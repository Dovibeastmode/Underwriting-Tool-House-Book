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Decision Summary" sheetId="3" state="visible" r:id="rId3"/>
    <sheet xmlns:r="http://schemas.openxmlformats.org/officeDocument/2006/relationships" name="Offer Engine" sheetId="4" state="visible" r:id="rId4"/>
    <sheet xmlns:r="http://schemas.openxmlformats.org/officeDocument/2006/relationships" name="Historical Score" sheetId="5" state="visible" r:id="rId5"/>
    <sheet xmlns:r="http://schemas.openxmlformats.org/officeDocument/2006/relationships" name="Comparable Deals" sheetId="6" state="visible" r:id="rId6"/>
    <sheet xmlns:r="http://schemas.openxmlformats.org/officeDocument/2006/relationships" name="Historical Data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Ref" sheetId="10" state="visible" r:id="rId10"/>
  </sheets>
  <definedNames>
    <definedName name="D26D33">#REF!</definedName>
    <definedName name="_xlnm.Print_Area" localSheetId="1">'Deal'!$B$1:$M$82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  <numFmt numFmtId="172" formatCode="0.0000"/>
    <numFmt numFmtId="173" formatCode="yyyy-mm-dd h:mm:ss"/>
    <numFmt numFmtId="174" formatCode="mm/dd/yyyy"/>
  </numFmts>
  <fonts count="51">
    <font>
      <name val="Calibri"/>
      <color theme="1"/>
      <sz val="11"/>
      <scheme val="minor"/>
    </font>
    <font>
      <name val="Calibri"/>
      <b val="1"/>
      <color theme="1"/>
      <sz val="15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i val="1"/>
      <color rgb="FF374151"/>
      <sz val="9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FFFFFF"/>
      <sz val="9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Arial"/>
      <color rgb="FF2F7D4F"/>
      <sz val="9"/>
    </font>
    <font>
      <name val="Calibri"/>
      <b val="1"/>
      <color rgb="FFFFFFFF"/>
      <sz val="11"/>
    </font>
    <font>
      <name val="Arial"/>
      <color rgb="FFB03A3A"/>
      <sz val="9"/>
    </font>
    <font>
      <name val="Calibri"/>
      <b val="1"/>
      <color rgb="FFFFFFFF"/>
      <sz val="9"/>
    </font>
    <font>
      <name val="Calibri"/>
      <b val="1"/>
      <color theme="1"/>
      <sz val="11"/>
    </font>
    <font>
      <name val="Calibri"/>
      <i val="1"/>
      <color rgb="FF374151"/>
      <sz val="9"/>
    </font>
    <font>
      <name val="Calibri"/>
      <color theme="1"/>
      <scheme val="minor"/>
    </font>
    <font>
      <name val="Calibri"/>
      <b val="1"/>
      <color theme="1"/>
      <sz val="12"/>
    </font>
    <font>
      <name val="&quot;Open Sans&quot;"/>
      <color rgb="FF212529"/>
      <sz val="11"/>
    </font>
    <font>
      <name val="Calibri"/>
      <b val="1"/>
      <color rgb="FF000000"/>
      <sz val="12"/>
      <scheme val="minor"/>
    </font>
    <font>
      <name val="Calibri"/>
      <b val="1"/>
      <color rgb="FF111827"/>
      <sz val="16"/>
    </font>
    <font>
      <name val="Calibri"/>
      <b val="1"/>
      <color rgb="FF111827"/>
      <sz val="11"/>
    </font>
    <font>
      <name val="Calibri"/>
      <b val="1"/>
      <color theme="1"/>
      <sz val="14"/>
    </font>
    <font>
      <name val="Calibri"/>
      <i val="1"/>
      <color rgb="FF6B7280"/>
      <sz val="9"/>
    </font>
    <font>
      <name val="0"/>
      <color theme="1"/>
    </font>
    <font>
      <name val="Calibri"/>
      <b val="1"/>
      <color rgb="FF111827"/>
      <sz val="11"/>
      <scheme val="minor"/>
    </font>
    <font>
      <name val="Calibri"/>
      <i val="1"/>
      <color rgb="FF6B7280"/>
      <sz val="9"/>
      <scheme val="minor"/>
    </font>
    <font>
      <name val="Calibri"/>
      <b val="1"/>
      <color rgb="FF111827"/>
      <sz val="16"/>
      <scheme val="minor"/>
    </font>
    <font>
      <name val="Calibri"/>
      <b val="1"/>
      <color theme="1"/>
      <sz val="14"/>
      <scheme val="minor"/>
    </font>
    <font>
      <name val="Calibri"/>
      <color rgb="FF6B7280"/>
      <sz val="9"/>
    </font>
    <font>
      <name val="Calibri"/>
      <b val="1"/>
      <color theme="1"/>
    </font>
    <font>
      <name val="Calibri"/>
      <color rgb="FF6B7280"/>
      <sz val="9"/>
      <scheme val="minor"/>
    </font>
    <font>
      <name val="Calibri"/>
      <b val="1"/>
      <color theme="1"/>
      <sz val="9"/>
      <scheme val="minor"/>
    </font>
    <font>
      <name val="Calibri"/>
      <i val="1"/>
      <color rgb="FF6B7280"/>
      <sz val="12"/>
      <scheme val="minor"/>
    </font>
    <font>
      <name val="Calibri"/>
      <b val="1"/>
      <color theme="1"/>
      <sz val="9"/>
    </font>
    <font>
      <name val="Calibri"/>
      <color theme="1"/>
    </font>
    <font>
      <name val="Calibri"/>
      <b val="1"/>
      <color theme="1"/>
      <sz val="10"/>
    </font>
    <font>
      <name val="Calibri"/>
      <b val="1"/>
      <color rgb="FFFFFFFF"/>
    </font>
    <font>
      <name val="Calibri"/>
      <b val="1"/>
      <color rgb="00008000"/>
      <sz val="12"/>
    </font>
    <font>
      <name val="Calibri"/>
      <color rgb="00008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11"/>
    </font>
    <font>
      <name val="Calibri"/>
      <color rgb="00374151"/>
      <sz val="9"/>
    </font>
    <font>
      <name val="Calibri"/>
      <b val="1"/>
      <color rgb="00000000"/>
      <sz val="11"/>
    </font>
    <font>
      <name val="Calibri"/>
      <b val="1"/>
      <sz val="12"/>
    </font>
    <font>
      <name val="Calibri"/>
      <sz val="11"/>
    </font>
    <font>
      <name val="Calibri"/>
      <b val="1"/>
      <sz val="14"/>
    </font>
    <font>
      <name val="Calibri"/>
      <color rgb="000000FF"/>
      <sz val="11"/>
    </font>
    <font>
      <name val="Calibri"/>
      <b val="1"/>
      <sz val="13"/>
    </font>
  </fonts>
  <fills count="13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FFF9C4"/>
      </patternFill>
    </fill>
  </fills>
  <borders count="26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3" borderId="1" applyAlignment="1" pivotButton="0" quotePrefix="0" xfId="0">
      <alignment horizontal="center" vertical="center"/>
    </xf>
    <xf numFmtId="164" fontId="8" fillId="0" borderId="5" applyAlignment="1" pivotButton="0" quotePrefix="0" xfId="0">
      <alignment horizontal="center" vertical="center"/>
    </xf>
    <xf numFmtId="2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9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2" fillId="2" borderId="2" pivotButton="0" quotePrefix="0" xfId="0"/>
    <xf numFmtId="0" fontId="12" fillId="2" borderId="2" pivotButton="0" quotePrefix="0" xfId="0"/>
    <xf numFmtId="0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64" fontId="13" fillId="0" borderId="0" applyAlignment="1" pivotButton="0" quotePrefix="0" xfId="0">
      <alignment horizontal="right"/>
    </xf>
    <xf numFmtId="166" fontId="9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7" fontId="9" fillId="0" borderId="5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" fontId="15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/>
    </xf>
    <xf numFmtId="0" fontId="16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165" fontId="17" fillId="0" borderId="0" pivotButton="0" quotePrefix="0" xfId="0"/>
    <xf numFmtId="1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70" fontId="10" fillId="0" borderId="1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64" fontId="18" fillId="0" borderId="5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5" fontId="19" fillId="0" borderId="6" applyAlignment="1" pivotButton="0" quotePrefix="0" xfId="0">
      <alignment vertical="bottom"/>
    </xf>
    <xf numFmtId="171" fontId="19" fillId="0" borderId="6" applyAlignment="1" pivotButton="0" quotePrefix="0" xfId="0">
      <alignment vertical="bottom"/>
    </xf>
    <xf numFmtId="0" fontId="19" fillId="0" borderId="6" applyAlignment="1" pivotButton="0" quotePrefix="0" xfId="0">
      <alignment vertical="bottom"/>
    </xf>
    <xf numFmtId="0" fontId="9" fillId="0" borderId="5" applyAlignment="1" pivotButton="0" quotePrefix="0" xfId="0">
      <alignment horizontal="left" vertical="center"/>
    </xf>
    <xf numFmtId="0" fontId="17" fillId="0" borderId="0" pivotButton="0" quotePrefix="0" xfId="0"/>
    <xf numFmtId="9" fontId="8" fillId="0" borderId="5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19" fillId="5" borderId="0" applyAlignment="1" pivotButton="0" quotePrefix="0" xfId="0">
      <alignment/>
    </xf>
    <xf numFmtId="164" fontId="18" fillId="0" borderId="5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/>
    </xf>
    <xf numFmtId="164" fontId="20" fillId="0" borderId="5" applyAlignment="1" pivotButton="0" quotePrefix="0" xfId="0">
      <alignment horizontal="center" vertical="center"/>
    </xf>
    <xf numFmtId="2" fontId="20" fillId="0" borderId="5" applyAlignment="1" pivotButton="0" quotePrefix="0" xfId="0">
      <alignment horizontal="center" vertical="center"/>
    </xf>
    <xf numFmtId="1" fontId="20" fillId="0" borderId="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9" fontId="2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24" fillId="0" borderId="0" pivotButton="0" quotePrefix="0" xfId="0"/>
    <xf numFmtId="0" fontId="25" fillId="0" borderId="0" pivotButton="0" quotePrefix="0" xfId="0"/>
    <xf numFmtId="0" fontId="22" fillId="6" borderId="2" pivotButton="0" quotePrefix="0" xfId="0"/>
    <xf numFmtId="0" fontId="26" fillId="7" borderId="0" pivotButton="0" quotePrefix="0" xfId="0"/>
    <xf numFmtId="0" fontId="22" fillId="4" borderId="2" pivotButton="0" quotePrefix="0" xfId="0"/>
    <xf numFmtId="1" fontId="9" fillId="0" borderId="0" pivotButton="0" quotePrefix="0" xfId="0"/>
    <xf numFmtId="0" fontId="27" fillId="0" borderId="0" pivotButton="0" quotePrefix="0" xfId="0"/>
    <xf numFmtId="0" fontId="14" fillId="8" borderId="9" applyAlignment="1" pivotButton="0" quotePrefix="0" xfId="0">
      <alignment horizontal="center" vertical="center"/>
    </xf>
    <xf numFmtId="9" fontId="9" fillId="0" borderId="0" pivotButton="0" quotePrefix="0" xfId="0"/>
    <xf numFmtId="0" fontId="7" fillId="8" borderId="9" applyAlignment="1" pivotButton="0" quotePrefix="0" xfId="0">
      <alignment horizontal="center"/>
    </xf>
    <xf numFmtId="164" fontId="18" fillId="9" borderId="9" applyAlignment="1" pivotButton="0" quotePrefix="0" xfId="0">
      <alignment horizontal="center" vertical="center"/>
    </xf>
    <xf numFmtId="2" fontId="18" fillId="9" borderId="9" applyAlignment="1" pivotButton="0" quotePrefix="0" xfId="0">
      <alignment horizontal="center" vertical="center"/>
    </xf>
    <xf numFmtId="1" fontId="18" fillId="9" borderId="9" applyAlignment="1" pivotButton="0" quotePrefix="0" xfId="0">
      <alignment horizontal="center" vertical="center"/>
    </xf>
    <xf numFmtId="0" fontId="18" fillId="9" borderId="9" applyAlignment="1" pivotButton="0" quotePrefix="0" xfId="0">
      <alignment horizontal="center" vertical="center"/>
    </xf>
    <xf numFmtId="9" fontId="18" fillId="9" borderId="9" applyAlignment="1" pivotButton="0" quotePrefix="0" xfId="0">
      <alignment horizontal="center" vertical="center"/>
    </xf>
    <xf numFmtId="0" fontId="28" fillId="0" borderId="0" pivotButton="0" quotePrefix="0" xfId="0"/>
    <xf numFmtId="164" fontId="18" fillId="0" borderId="9" applyAlignment="1" pivotButton="0" quotePrefix="0" xfId="0">
      <alignment horizontal="center" vertical="center"/>
    </xf>
    <xf numFmtId="0" fontId="26" fillId="0" borderId="0" pivotButton="0" quotePrefix="0" xfId="0"/>
    <xf numFmtId="0" fontId="29" fillId="0" borderId="7" applyAlignment="1" pivotButton="0" quotePrefix="0" xfId="0">
      <alignment horizontal="center" vertical="center"/>
    </xf>
    <xf numFmtId="0" fontId="24" fillId="0" borderId="0" pivotButton="0" quotePrefix="0" xfId="0"/>
    <xf numFmtId="0" fontId="9" fillId="0" borderId="9" pivotButton="0" quotePrefix="0" xfId="0"/>
    <xf numFmtId="0" fontId="26" fillId="4" borderId="2" pivotButton="0" quotePrefix="0" xfId="0"/>
    <xf numFmtId="0" fontId="7" fillId="8" borderId="9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/>
    </xf>
    <xf numFmtId="164" fontId="8" fillId="9" borderId="9" applyAlignment="1" pivotButton="0" quotePrefix="0" xfId="0">
      <alignment horizontal="center" vertical="center"/>
    </xf>
    <xf numFmtId="2" fontId="8" fillId="9" borderId="9" applyAlignment="1" pivotButton="0" quotePrefix="0" xfId="0">
      <alignment horizontal="center" vertical="center"/>
    </xf>
    <xf numFmtId="1" fontId="8" fillId="9" borderId="9" applyAlignment="1" pivotButton="0" quotePrefix="0" xfId="0">
      <alignment horizontal="center" vertical="center"/>
    </xf>
    <xf numFmtId="0" fontId="8" fillId="9" borderId="9" applyAlignment="1" pivotButton="0" quotePrefix="0" xfId="0">
      <alignment horizontal="center" vertical="center"/>
    </xf>
    <xf numFmtId="9" fontId="8" fillId="9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/>
    </xf>
    <xf numFmtId="0" fontId="30" fillId="0" borderId="0" pivotButton="0" quotePrefix="0" xfId="0"/>
    <xf numFmtId="164" fontId="8" fillId="0" borderId="9" applyAlignment="1" pivotButton="0" quotePrefix="0" xfId="0">
      <alignment horizontal="center" vertical="center"/>
    </xf>
    <xf numFmtId="165" fontId="17" fillId="0" borderId="0" pivotButton="0" quotePrefix="0" xfId="0"/>
    <xf numFmtId="0" fontId="30" fillId="0" borderId="0" pivotButton="0" quotePrefix="0" xfId="0"/>
    <xf numFmtId="165" fontId="31" fillId="0" borderId="0" pivotButton="0" quotePrefix="0" xfId="0"/>
    <xf numFmtId="0" fontId="27" fillId="0" borderId="0" pivotButton="0" quotePrefix="0" xfId="0"/>
    <xf numFmtId="164" fontId="31" fillId="0" borderId="0" pivotButton="0" quotePrefix="0" xfId="0"/>
    <xf numFmtId="0" fontId="32" fillId="0" borderId="0" pivotButton="0" quotePrefix="0" xfId="0"/>
    <xf numFmtId="164" fontId="10" fillId="0" borderId="0" pivotButton="0" quotePrefix="0" xfId="0"/>
    <xf numFmtId="167" fontId="31" fillId="0" borderId="0" pivotButton="0" quotePrefix="0" xfId="0"/>
    <xf numFmtId="167" fontId="10" fillId="0" borderId="0" pivotButton="0" quotePrefix="0" xfId="0"/>
    <xf numFmtId="0" fontId="9" fillId="0" borderId="9" applyAlignment="1" pivotButton="0" quotePrefix="0" xfId="0">
      <alignment horizontal="left" vertical="center"/>
    </xf>
    <xf numFmtId="1" fontId="31" fillId="0" borderId="9" applyAlignment="1" pivotButton="0" quotePrefix="0" xfId="0">
      <alignment horizontal="center" vertical="center"/>
    </xf>
    <xf numFmtId="0" fontId="17" fillId="0" borderId="0" pivotButton="0" quotePrefix="0" xfId="0"/>
    <xf numFmtId="1" fontId="9" fillId="9" borderId="9" applyAlignment="1" pivotButton="0" quotePrefix="0" xfId="0">
      <alignment horizontal="center" vertical="center"/>
    </xf>
    <xf numFmtId="0" fontId="32" fillId="0" borderId="0" pivotButton="0" quotePrefix="0" xfId="0"/>
    <xf numFmtId="0" fontId="31" fillId="0" borderId="9" applyAlignment="1" pivotButton="0" quotePrefix="0" xfId="0">
      <alignment horizontal="center" vertical="center"/>
    </xf>
    <xf numFmtId="164" fontId="8" fillId="6" borderId="9" applyAlignment="1" pivotButton="0" quotePrefix="0" xfId="0">
      <alignment horizontal="center" vertical="center"/>
    </xf>
    <xf numFmtId="10" fontId="9" fillId="0" borderId="9" applyAlignment="1" pivotButton="0" quotePrefix="0" xfId="0">
      <alignment horizontal="center"/>
    </xf>
    <xf numFmtId="10" fontId="10" fillId="0" borderId="9" applyAlignment="1" pivotButton="0" quotePrefix="0" xfId="0">
      <alignment horizontal="center"/>
    </xf>
    <xf numFmtId="0" fontId="9" fillId="0" borderId="0" pivotButton="0" quotePrefix="0" xfId="0"/>
    <xf numFmtId="9" fontId="31" fillId="0" borderId="9" applyAlignment="1" pivotButton="0" quotePrefix="0" xfId="0">
      <alignment horizontal="center" vertical="center"/>
    </xf>
    <xf numFmtId="9" fontId="9" fillId="9" borderId="9" applyAlignment="1" pivotButton="0" quotePrefix="0" xfId="0">
      <alignment horizontal="center" vertical="center"/>
    </xf>
    <xf numFmtId="0" fontId="33" fillId="0" borderId="0" pivotButton="0" quotePrefix="0" xfId="0"/>
    <xf numFmtId="0" fontId="10" fillId="0" borderId="0" pivotButton="0" quotePrefix="0" xfId="0"/>
    <xf numFmtId="168" fontId="9" fillId="0" borderId="9" applyAlignment="1" pivotButton="0" quotePrefix="0" xfId="0">
      <alignment horizontal="center"/>
    </xf>
    <xf numFmtId="164" fontId="9" fillId="9" borderId="9" applyAlignment="1" pivotButton="0" quotePrefix="0" xfId="0">
      <alignment horizontal="center" vertical="center"/>
    </xf>
    <xf numFmtId="164" fontId="9" fillId="9" borderId="9" applyAlignment="1" pivotButton="0" quotePrefix="0" xfId="0">
      <alignment horizontal="center" vertical="center"/>
    </xf>
    <xf numFmtId="168" fontId="10" fillId="0" borderId="9" applyAlignment="1" pivotButton="0" quotePrefix="0" xfId="0">
      <alignment horizontal="center"/>
    </xf>
    <xf numFmtId="0" fontId="9" fillId="9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9" fontId="9" fillId="9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164" fontId="18" fillId="6" borderId="9" applyAlignment="1" pivotButton="0" quotePrefix="0" xfId="0">
      <alignment horizontal="center" vertical="center"/>
    </xf>
    <xf numFmtId="0" fontId="31" fillId="4" borderId="7" applyAlignment="1" pivotButton="0" quotePrefix="0" xfId="0">
      <alignment horizontal="left" vertical="center"/>
    </xf>
    <xf numFmtId="0" fontId="6" fillId="0" borderId="10" pivotButton="0" quotePrefix="0" xfId="0"/>
    <xf numFmtId="167" fontId="31" fillId="4" borderId="9" applyAlignment="1" pivotButton="0" quotePrefix="0" xfId="0">
      <alignment horizontal="center" vertical="center"/>
    </xf>
    <xf numFmtId="0" fontId="34" fillId="0" borderId="0" pivotButton="0" quotePrefix="0" xfId="0"/>
    <xf numFmtId="2" fontId="9" fillId="0" borderId="0" pivotButton="0" quotePrefix="0" xfId="0"/>
    <xf numFmtId="0" fontId="35" fillId="0" borderId="0" pivotButton="0" quotePrefix="0" xfId="0"/>
    <xf numFmtId="0" fontId="31" fillId="0" borderId="0" pivotButton="0" quotePrefix="0" xfId="0"/>
    <xf numFmtId="0" fontId="9" fillId="9" borderId="9" applyAlignment="1" pivotButton="0" quotePrefix="0" xfId="0">
      <alignment horizontal="center" vertical="center"/>
    </xf>
    <xf numFmtId="167" fontId="9" fillId="0" borderId="0" pivotButton="0" quotePrefix="0" xfId="0"/>
    <xf numFmtId="164" fontId="9" fillId="0" borderId="0" pivotButton="0" quotePrefix="0" xfId="0"/>
    <xf numFmtId="0" fontId="10" fillId="4" borderId="11" applyAlignment="1" pivotButton="0" quotePrefix="0" xfId="0">
      <alignment horizontal="right" vertical="center"/>
    </xf>
    <xf numFmtId="164" fontId="10" fillId="4" borderId="11" applyAlignment="1" pivotButton="0" quotePrefix="0" xfId="0">
      <alignment horizontal="center" vertical="center"/>
    </xf>
    <xf numFmtId="0" fontId="26" fillId="6" borderId="2" pivotButton="0" quotePrefix="0" xfId="0"/>
    <xf numFmtId="2" fontId="8" fillId="6" borderId="9" applyAlignment="1" pivotButton="0" quotePrefix="0" xfId="0">
      <alignment horizontal="center" vertical="center"/>
    </xf>
    <xf numFmtId="0" fontId="8" fillId="6" borderId="9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9" pivotButton="0" quotePrefix="0" xfId="0"/>
    <xf numFmtId="0" fontId="32" fillId="0" borderId="9" applyAlignment="1" pivotButton="0" quotePrefix="0" xfId="0">
      <alignment horizontal="left" vertical="center"/>
    </xf>
    <xf numFmtId="9" fontId="10" fillId="0" borderId="9" applyAlignment="1" pivotButton="0" quotePrefix="0" xfId="0">
      <alignment horizontal="center" vertical="center"/>
    </xf>
    <xf numFmtId="0" fontId="32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2" fontId="10" fillId="0" borderId="9" applyAlignment="1" pivotButton="0" quotePrefix="0" xfId="0">
      <alignment horizontal="center" vertical="center"/>
    </xf>
    <xf numFmtId="2" fontId="9" fillId="9" borderId="9" applyAlignment="1" pivotButton="0" quotePrefix="0" xfId="0">
      <alignment horizontal="center" vertical="center"/>
    </xf>
    <xf numFmtId="9" fontId="9" fillId="0" borderId="9" applyAlignment="1" pivotButton="0" quotePrefix="0" xfId="0">
      <alignment horizontal="center" vertical="center"/>
    </xf>
    <xf numFmtId="170" fontId="9" fillId="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/>
    </xf>
    <xf numFmtId="164" fontId="9" fillId="9" borderId="9" applyAlignment="1" pivotButton="0" quotePrefix="0" xfId="0">
      <alignment horizontal="center"/>
    </xf>
    <xf numFmtId="10" fontId="10" fillId="4" borderId="11" applyAlignment="1" pivotButton="0" quotePrefix="0" xfId="0">
      <alignment horizontal="center" vertical="center"/>
    </xf>
    <xf numFmtId="0" fontId="36" fillId="0" borderId="0" pivotButton="0" quotePrefix="0" xfId="0"/>
    <xf numFmtId="0" fontId="37" fillId="0" borderId="0" pivotButton="0" quotePrefix="0" xfId="0"/>
    <xf numFmtId="1" fontId="36" fillId="0" borderId="0" pivotButton="0" quotePrefix="0" xfId="0"/>
    <xf numFmtId="167" fontId="9" fillId="9" borderId="9" applyAlignment="1" pivotButton="0" quotePrefix="0" xfId="0">
      <alignment horizontal="center" vertical="center"/>
    </xf>
    <xf numFmtId="2" fontId="9" fillId="9" borderId="9" applyAlignment="1" pivotButton="0" quotePrefix="0" xfId="0">
      <alignment horizontal="center" vertical="center"/>
    </xf>
    <xf numFmtId="0" fontId="31" fillId="4" borderId="11" applyAlignment="1" pivotButton="0" quotePrefix="0" xfId="0">
      <alignment horizontal="right" vertical="center"/>
    </xf>
    <xf numFmtId="164" fontId="31" fillId="4" borderId="11" applyAlignment="1" pivotButton="0" quotePrefix="0" xfId="0">
      <alignment horizontal="center" vertical="center"/>
    </xf>
    <xf numFmtId="0" fontId="31" fillId="0" borderId="9" applyAlignment="1" pivotButton="0" quotePrefix="0" xfId="0">
      <alignment horizontal="left" vertical="center"/>
    </xf>
    <xf numFmtId="0" fontId="30" fillId="0" borderId="9" applyAlignment="1" pivotButton="0" quotePrefix="0" xfId="0">
      <alignment horizontal="center" vertical="center"/>
    </xf>
    <xf numFmtId="0" fontId="31" fillId="6" borderId="9" applyAlignment="1" pivotButton="0" quotePrefix="0" xfId="0">
      <alignment horizontal="center" vertical="center"/>
    </xf>
    <xf numFmtId="1" fontId="31" fillId="6" borderId="9" applyAlignment="1" pivotButton="0" quotePrefix="0" xfId="0">
      <alignment horizontal="center" vertical="center"/>
    </xf>
    <xf numFmtId="165" fontId="10" fillId="0" borderId="0" pivotButton="0" quotePrefix="0" xfId="0"/>
    <xf numFmtId="2" fontId="31" fillId="6" borderId="9" applyAlignment="1" pivotButton="0" quotePrefix="0" xfId="0">
      <alignment horizontal="center" vertical="center"/>
    </xf>
    <xf numFmtId="2" fontId="18" fillId="6" borderId="9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6" fillId="0" borderId="0" pivotButton="0" quotePrefix="0" xfId="0"/>
    <xf numFmtId="0" fontId="14" fillId="8" borderId="9" pivotButton="0" quotePrefix="0" xfId="0"/>
    <xf numFmtId="0" fontId="30" fillId="0" borderId="9" applyAlignment="1" pivotButton="0" quotePrefix="0" xfId="0">
      <alignment horizontal="left" vertical="center"/>
    </xf>
    <xf numFmtId="10" fontId="38" fillId="0" borderId="9" applyAlignment="1" pivotButton="0" quotePrefix="0" xfId="0">
      <alignment horizontal="center" vertical="center"/>
    </xf>
    <xf numFmtId="2" fontId="38" fillId="0" borderId="9" applyAlignment="1" pivotButton="0" quotePrefix="0" xfId="0">
      <alignment horizontal="center" vertical="center"/>
    </xf>
    <xf numFmtId="9" fontId="31" fillId="4" borderId="11" applyAlignment="1" pivotButton="0" quotePrefix="0" xfId="0">
      <alignment horizontal="center" vertical="center"/>
    </xf>
    <xf numFmtId="170" fontId="31" fillId="4" borderId="11" applyAlignment="1" pivotButton="0" quotePrefix="0" xfId="0">
      <alignment horizontal="center" vertical="center"/>
    </xf>
    <xf numFmtId="164" fontId="18" fillId="9" borderId="9" applyAlignment="1" pivotButton="0" quotePrefix="0" xfId="0">
      <alignment horizontal="center"/>
    </xf>
    <xf numFmtId="2" fontId="18" fillId="9" borderId="9" applyAlignment="1" pivotButton="0" quotePrefix="0" xfId="0">
      <alignment horizontal="center"/>
    </xf>
    <xf numFmtId="1" fontId="18" fillId="9" borderId="9" applyAlignment="1" pivotButton="0" quotePrefix="0" xfId="0">
      <alignment horizontal="center"/>
    </xf>
    <xf numFmtId="0" fontId="18" fillId="9" borderId="9" applyAlignment="1" pivotButton="0" quotePrefix="0" xfId="0">
      <alignment horizontal="center"/>
    </xf>
    <xf numFmtId="9" fontId="18" fillId="9" borderId="9" applyAlignment="1" pivotButton="0" quotePrefix="0" xfId="0">
      <alignment horizontal="center"/>
    </xf>
    <xf numFmtId="164" fontId="9" fillId="9" borderId="9" applyAlignment="1" pivotButton="0" quotePrefix="0" xfId="0">
      <alignment horizontal="center"/>
    </xf>
    <xf numFmtId="9" fontId="10" fillId="4" borderId="11" applyAlignment="1" pivotButton="0" quotePrefix="0" xfId="0">
      <alignment horizontal="center" vertical="center"/>
    </xf>
    <xf numFmtId="170" fontId="1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43" fillId="0" borderId="0" applyAlignment="1" pivotButton="0" quotePrefix="0" xfId="0">
      <alignment vertical="top" wrapText="1"/>
    </xf>
    <xf numFmtId="0" fontId="47" fillId="0" borderId="0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center"/>
    </xf>
    <xf numFmtId="9" fontId="39" fillId="0" borderId="5" applyAlignment="1" pivotButton="0" quotePrefix="0" xfId="0">
      <alignment horizontal="center" vertical="center"/>
    </xf>
    <xf numFmtId="168" fontId="40" fillId="0" borderId="1" applyAlignment="1" pivotButton="0" quotePrefix="0" xfId="0">
      <alignment horizontal="center" vertical="center"/>
    </xf>
    <xf numFmtId="0" fontId="41" fillId="10" borderId="11" applyAlignment="1" pivotButton="0" quotePrefix="0" xfId="0">
      <alignment horizontal="left" vertical="center"/>
    </xf>
    <xf numFmtId="0" fontId="42" fillId="11" borderId="14" applyAlignment="1" pivotButton="0" quotePrefix="0" xfId="0">
      <alignment horizontal="left" vertical="center"/>
    </xf>
    <xf numFmtId="0" fontId="43" fillId="12" borderId="15" applyAlignment="1" pivotButton="0" quotePrefix="0" xfId="0">
      <alignment horizontal="center" vertical="center"/>
    </xf>
    <xf numFmtId="0" fontId="44" fillId="3" borderId="1" applyAlignment="1" pivotButton="0" quotePrefix="0" xfId="0">
      <alignment horizontal="left" vertical="center"/>
    </xf>
    <xf numFmtId="0" fontId="0" fillId="0" borderId="18" pivotButton="0" quotePrefix="0" xfId="0"/>
    <xf numFmtId="167" fontId="42" fillId="11" borderId="14" applyAlignment="1" pivotButton="0" quotePrefix="0" xfId="0">
      <alignment horizontal="left" vertical="center"/>
    </xf>
    <xf numFmtId="1" fontId="43" fillId="12" borderId="15" applyAlignment="1" pivotButton="0" quotePrefix="0" xfId="0">
      <alignment horizontal="center" vertical="center"/>
    </xf>
    <xf numFmtId="2" fontId="44" fillId="0" borderId="5" applyAlignment="1" pivotButton="0" quotePrefix="0" xfId="0">
      <alignment horizontal="left" vertical="center"/>
    </xf>
    <xf numFmtId="0" fontId="0" fillId="0" borderId="21" pivotButton="0" quotePrefix="0" xfId="0"/>
    <xf numFmtId="1" fontId="45" fillId="0" borderId="15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3" fillId="0" borderId="15" applyAlignment="1" pivotButton="0" quotePrefix="0" xfId="0">
      <alignment horizontal="center" vertical="center"/>
    </xf>
    <xf numFmtId="166" fontId="40" fillId="0" borderId="5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40" fillId="0" borderId="5" applyAlignment="1" pivotButton="0" quotePrefix="0" xfId="0">
      <alignment horizontal="center" vertical="center"/>
    </xf>
    <xf numFmtId="1" fontId="40" fillId="0" borderId="5" applyAlignment="1" pivotButton="0" quotePrefix="0" xfId="0">
      <alignment horizontal="center" vertical="center"/>
    </xf>
    <xf numFmtId="1" fontId="39" fillId="0" borderId="5" applyAlignment="1" pivotButton="0" quotePrefix="0" xfId="0">
      <alignment horizontal="center" vertical="center"/>
    </xf>
    <xf numFmtId="164" fontId="39" fillId="0" borderId="5" applyAlignment="1" pivotButton="0" quotePrefix="0" xfId="0">
      <alignment horizontal="center"/>
    </xf>
    <xf numFmtId="167" fontId="0" fillId="0" borderId="0" pivotButton="0" quotePrefix="0" xfId="0"/>
    <xf numFmtId="0" fontId="41" fillId="10" borderId="0" applyAlignment="1" pivotButton="0" quotePrefix="0" xfId="0">
      <alignment horizontal="left" vertical="center"/>
    </xf>
    <xf numFmtId="0" fontId="42" fillId="11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43" fillId="0" borderId="14" applyAlignment="1" pivotButton="0" quotePrefix="0" xfId="0">
      <alignment horizontal="right" vertical="center"/>
    </xf>
    <xf numFmtId="0" fontId="46" fillId="0" borderId="14" applyAlignment="1" pivotButton="0" quotePrefix="0" xfId="0">
      <alignment horizontal="center" vertical="center"/>
    </xf>
    <xf numFmtId="164" fontId="46" fillId="0" borderId="14" applyAlignment="1" pivotButton="0" quotePrefix="0" xfId="0">
      <alignment horizontal="center" vertical="center"/>
    </xf>
    <xf numFmtId="2" fontId="43" fillId="0" borderId="14" applyAlignment="1" pivotButton="0" quotePrefix="0" xfId="0">
      <alignment horizontal="center" vertical="center"/>
    </xf>
    <xf numFmtId="0" fontId="43" fillId="0" borderId="14" applyAlignment="1" pivotButton="0" quotePrefix="0" xfId="0">
      <alignment horizontal="center" vertical="center"/>
    </xf>
    <xf numFmtId="165" fontId="43" fillId="0" borderId="14" applyAlignment="1" pivotButton="0" quotePrefix="0" xfId="0">
      <alignment horizontal="center" vertical="center"/>
    </xf>
    <xf numFmtId="166" fontId="43" fillId="0" borderId="14" applyAlignment="1" pivotButton="0" quotePrefix="0" xfId="0">
      <alignment horizontal="center" vertical="center"/>
    </xf>
    <xf numFmtId="0" fontId="43" fillId="0" borderId="14" applyAlignment="1" pivotButton="0" quotePrefix="0" xfId="0">
      <alignment horizontal="left" vertical="top" wrapText="1"/>
    </xf>
    <xf numFmtId="0" fontId="43" fillId="0" borderId="14" applyAlignment="1" pivotButton="0" quotePrefix="0" xfId="0">
      <alignment horizontal="right" vertical="top"/>
    </xf>
    <xf numFmtId="0" fontId="47" fillId="0" borderId="0" applyAlignment="1" pivotButton="0" quotePrefix="0" xfId="0">
      <alignment horizontal="left" vertical="top" wrapText="1"/>
    </xf>
    <xf numFmtId="0" fontId="48" fillId="0" borderId="0" pivotButton="0" quotePrefix="0" xfId="0"/>
    <xf numFmtId="0" fontId="43" fillId="0" borderId="14" applyAlignment="1" pivotButton="0" quotePrefix="0" xfId="0">
      <alignment horizontal="left" vertical="center"/>
    </xf>
    <xf numFmtId="0" fontId="50" fillId="0" borderId="14" applyAlignment="1" pivotButton="0" quotePrefix="0" xfId="0">
      <alignment horizontal="center" vertical="center"/>
    </xf>
    <xf numFmtId="0" fontId="44" fillId="0" borderId="14" applyAlignment="1" pivotButton="0" quotePrefix="0" xfId="0">
      <alignment horizontal="left" vertical="top" wrapText="1"/>
    </xf>
    <xf numFmtId="164" fontId="50" fillId="0" borderId="14" applyAlignment="1" pivotButton="0" quotePrefix="0" xfId="0">
      <alignment horizontal="center" vertical="center"/>
    </xf>
    <xf numFmtId="2" fontId="47" fillId="0" borderId="14" applyAlignment="1" pivotButton="0" quotePrefix="0" xfId="0">
      <alignment horizontal="center" vertical="center"/>
    </xf>
    <xf numFmtId="1" fontId="47" fillId="0" borderId="14" applyAlignment="1" pivotButton="0" quotePrefix="0" xfId="0">
      <alignment horizontal="center" vertical="center"/>
    </xf>
    <xf numFmtId="165" fontId="47" fillId="0" borderId="14" applyAlignment="1" pivotButton="0" quotePrefix="0" xfId="0">
      <alignment horizontal="center" vertical="center"/>
    </xf>
    <xf numFmtId="0" fontId="47" fillId="0" borderId="14" applyAlignment="1" pivotButton="0" quotePrefix="0" xfId="0">
      <alignment horizontal="center" vertical="center"/>
    </xf>
    <xf numFmtId="166" fontId="47" fillId="0" borderId="14" applyAlignment="1" pivotButton="0" quotePrefix="0" xfId="0">
      <alignment horizontal="center" vertical="center"/>
    </xf>
    <xf numFmtId="167" fontId="47" fillId="0" borderId="14" applyAlignment="1" pivotButton="0" quotePrefix="0" xfId="0">
      <alignment horizontal="center" vertical="center"/>
    </xf>
    <xf numFmtId="0" fontId="47" fillId="0" borderId="14" applyAlignment="1" pivotButton="0" quotePrefix="0" xfId="0">
      <alignment horizontal="left" vertical="center"/>
    </xf>
    <xf numFmtId="0" fontId="47" fillId="0" borderId="14" applyAlignment="1" pivotButton="0" quotePrefix="0" xfId="0">
      <alignment horizontal="left" vertical="top" wrapText="1"/>
    </xf>
    <xf numFmtId="1" fontId="43" fillId="0" borderId="14" applyAlignment="1" pivotButton="0" quotePrefix="0" xfId="0">
      <alignment horizontal="center" vertical="center"/>
    </xf>
    <xf numFmtId="164" fontId="47" fillId="0" borderId="14" applyAlignment="1" pivotButton="0" quotePrefix="0" xfId="0">
      <alignment horizontal="center" vertical="center"/>
    </xf>
    <xf numFmtId="164" fontId="43" fillId="0" borderId="14" applyAlignment="1" pivotButton="0" quotePrefix="0" xfId="0">
      <alignment horizontal="center" vertical="center"/>
    </xf>
    <xf numFmtId="167" fontId="43" fillId="0" borderId="14" applyAlignment="1" pivotButton="0" quotePrefix="0" xfId="0">
      <alignment horizontal="center" vertical="center"/>
    </xf>
    <xf numFmtId="0" fontId="44" fillId="0" borderId="14" applyAlignment="1" pivotButton="0" quotePrefix="0" xfId="0">
      <alignment horizontal="left" vertical="center"/>
    </xf>
    <xf numFmtId="0" fontId="42" fillId="11" borderId="14" applyAlignment="1" pivotButton="0" quotePrefix="0" xfId="0">
      <alignment horizontal="center" vertical="center" wrapText="1"/>
    </xf>
    <xf numFmtId="1" fontId="43" fillId="0" borderId="14" applyAlignment="1" pivotButton="0" quotePrefix="0" xfId="0">
      <alignment horizontal="left" vertical="center"/>
    </xf>
    <xf numFmtId="166" fontId="43" fillId="0" borderId="14" applyAlignment="1" pivotButton="0" quotePrefix="0" xfId="0">
      <alignment horizontal="left" vertical="center"/>
    </xf>
    <xf numFmtId="2" fontId="43" fillId="0" borderId="14" applyAlignment="1" pivotButton="0" quotePrefix="0" xfId="0">
      <alignment horizontal="left" vertical="center"/>
    </xf>
    <xf numFmtId="0" fontId="43" fillId="0" borderId="0" pivotButton="0" quotePrefix="0" xfId="0"/>
    <xf numFmtId="0" fontId="44" fillId="0" borderId="0" pivotButton="0" quotePrefix="0" xfId="0"/>
    <xf numFmtId="0" fontId="47" fillId="0" borderId="0" pivotButton="0" quotePrefix="0" xfId="0"/>
    <xf numFmtId="174" fontId="47" fillId="0" borderId="0" pivotButton="0" quotePrefix="0" xfId="0"/>
    <xf numFmtId="2" fontId="47" fillId="0" borderId="0" pivotButton="0" quotePrefix="0" xfId="0"/>
    <xf numFmtId="164" fontId="47" fillId="0" borderId="0" pivotButton="0" quotePrefix="0" xfId="0"/>
    <xf numFmtId="9" fontId="47" fillId="0" borderId="0" pivotButton="0" quotePrefix="0" xfId="0"/>
    <xf numFmtId="0" fontId="42" fillId="10" borderId="14" applyAlignment="1" pivotButton="0" quotePrefix="0" xfId="0">
      <alignment horizontal="center" vertical="center" wrapText="1"/>
    </xf>
    <xf numFmtId="174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49" fillId="0" borderId="15" applyAlignment="1" pivotButton="0" quotePrefix="0" xfId="0">
      <alignment horizontal="center" vertical="center"/>
    </xf>
    <xf numFmtId="2" fontId="49" fillId="0" borderId="15" applyAlignment="1" pivotButton="0" quotePrefix="0" xfId="0">
      <alignment horizontal="center" vertical="center"/>
    </xf>
    <xf numFmtId="1" fontId="49" fillId="0" borderId="15" applyAlignment="1" pivotButton="0" quotePrefix="0" xfId="0">
      <alignment horizontal="center" vertical="center"/>
    </xf>
    <xf numFmtId="164" fontId="49" fillId="0" borderId="15" applyAlignment="1" pivotButton="0" quotePrefix="0" xfId="0">
      <alignment horizontal="center" vertical="center"/>
    </xf>
    <xf numFmtId="9" fontId="49" fillId="0" borderId="15" applyAlignment="1" pivotButton="0" quotePrefix="0" xfId="0">
      <alignment horizontal="center" vertical="center"/>
    </xf>
    <xf numFmtId="167" fontId="49" fillId="0" borderId="15" applyAlignment="1" pivotButton="0" quotePrefix="0" xfId="0">
      <alignment horizontal="center" vertical="center"/>
    </xf>
    <xf numFmtId="168" fontId="49" fillId="0" borderId="15" applyAlignment="1" pivotButton="0" quotePrefix="0" xfId="0">
      <alignment horizontal="center" vertical="center"/>
    </xf>
    <xf numFmtId="172" fontId="49" fillId="0" borderId="15" applyAlignment="1" pivotButton="0" quotePrefix="0" xfId="0">
      <alignment horizontal="center" vertical="center"/>
    </xf>
    <xf numFmtId="174" fontId="49" fillId="0" borderId="15" applyAlignment="1" pivotButton="0" quotePrefix="0" xfId="0">
      <alignment horizontal="center" vertical="center"/>
    </xf>
    <xf numFmtId="0" fontId="49" fillId="0" borderId="15" applyAlignment="1" pivotButton="0" quotePrefix="0" xfId="0">
      <alignment horizontal="center" vertical="center"/>
    </xf>
  </cellXfs>
  <cellStyles count="1">
    <cellStyle name="Normal" xfId="0" builtinId="0"/>
  </cellStyles>
  <dxfs count="1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0B6B3A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  <color rgb="FF0B6B3A"/>
      </font>
      <fill>
        <patternFill patternType="solid">
          <fgColor rgb="FF00B050"/>
          <bgColor rgb="FF00B050"/>
        </patternFill>
      </fill>
      <border/>
    </dxf>
    <dxf>
      <font>
        <b val="1"/>
        <color rgb="FF9C6500"/>
      </font>
      <fill>
        <patternFill patternType="solid">
          <fgColor rgb="FFFFFF00"/>
          <bgColor rgb="FFFFFF00"/>
        </patternFill>
      </fill>
      <border/>
    </dxf>
    <dxf>
      <font>
        <b val="1"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00FFFFFF"/>
      </font>
      <fill>
        <patternFill patternType="solid">
          <fgColor rgb="0000B050"/>
        </patternFill>
      </fill>
    </dxf>
    <dxf>
      <font>
        <b val="1"/>
        <color rgb="00000000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  <dxf>
      <font>
        <b val="1"/>
        <color rgb="00FFFFFF"/>
      </font>
      <fill>
        <patternFill patternType="solid">
          <fgColor rgb="00F97316"/>
        </patternFill>
      </fill>
    </dxf>
    <dxf>
      <fill>
        <patternFill patternType="solid">
          <fgColor rgb="00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34"/>
  <sheetViews>
    <sheetView showGridLines="0" workbookViewId="0">
      <selection activeCell="A1" sqref="A1"/>
    </sheetView>
  </sheetViews>
  <sheetFormatPr baseColWidth="8" defaultRowHeight="15"/>
  <cols>
    <col width="3" customWidth="1" style="228" min="1" max="1"/>
    <col width="120" customWidth="1" style="228" min="2" max="2"/>
  </cols>
  <sheetData>
    <row r="2">
      <c r="B2" s="229" t="inlineStr">
        <is>
          <t>ASPIRE COMBINED UNDERWRITING MODEL  -  cash-flow engine + house-book evidence  (v1)</t>
        </is>
      </c>
    </row>
    <row r="3">
      <c r="B3" s="230" t="inlineStr"/>
    </row>
    <row r="4">
      <c r="B4" s="230" t="inlineStr">
        <is>
          <t>HOW TO RUN A DEAL (everything happens on the Deal sheet)</t>
        </is>
      </c>
    </row>
    <row r="5">
      <c r="B5" s="230" t="inlineStr">
        <is>
          <t>1. Section A: requested fund, factor, term, frequency (optional - the engine sizes an offer from bank data even if blank).</t>
        </is>
      </c>
    </row>
    <row r="6">
      <c r="B6" s="230" t="inlineStr">
        <is>
          <t>2. Section B: up to 12 months of true revenue, average daily balance, negative days, NSFs - newest month first.</t>
        </is>
      </c>
    </row>
    <row r="7">
      <c r="B7" s="230" t="inlineStr">
        <is>
          <t>3. Existing positions: funder, funded $, payment, frequency, start date. Monthly-frequency debt = leverage only, not a position.</t>
        </is>
      </c>
    </row>
    <row r="8">
      <c r="B8" s="230" t="inlineStr">
        <is>
          <t>4. DEAL PROFILE (right of the bank data): ISO, industry (SIC major group), state, new deal or renewal, credit score. Position is automatic; override only if you know better.</t>
        </is>
      </c>
    </row>
    <row r="9">
      <c r="B9" s="230" t="inlineStr">
        <is>
          <t>5. Read Section F at the bottom: final decision, fund, factor, term, payment, frequency, modifier, comparables, confidence, stipulations and the written conclusion.</t>
        </is>
      </c>
    </row>
    <row r="10">
      <c r="B10" s="230" t="inlineStr">
        <is>
          <t>6. Decision Summary has the full 20-item output; Comparable Deals lists every house-book deal behind it by Contract ID; Historical Score shows all seven tiers and the credibility math.</t>
        </is>
      </c>
    </row>
    <row r="11">
      <c r="B11" s="230" t="inlineStr"/>
    </row>
    <row r="12">
      <c r="B12" s="229" t="inlineStr">
        <is>
          <t>THE THREE LAYERS</t>
        </is>
      </c>
    </row>
    <row r="13">
      <c r="B13" s="230" t="inlineStr">
        <is>
          <t>Layer 1 - Deal sheet sections A-E: the original cash-flow tool. Seven metrics plus credit score, green/yellow/red/knockout, score, cash-flow maximum daily payment (weakest of holdback, total leverage, daily-debt-to-balance green lines), term band, factor band, cash-flow max fund. Thresholds live on Controls.</t>
        </is>
      </c>
    </row>
    <row r="14">
      <c r="B14" s="230" t="inlineStr">
        <is>
          <t>Layer 2 - Historical Data + Historical Score: 1,067 house-book deals, seasoned = age &gt;= 1.25 x contracted term at the as-of date. Seven matching tiers (new/renewal + industry + position ... down to the seasoned book). Primary cohort = first tier with &gt;= 10 seasoned deals and &gt;= $150k seasoned funded. Credibility Z = n/(n+30). Blended lost rate = Z x cohort + (1-Z) x book. Relative index = blended / book -&gt; modifier level (Controls table). Confidence High / Medium / Low; Low caps the modifier at one step from neutral.</t>
        </is>
      </c>
    </row>
    <row r="15">
      <c r="B15" s="230" t="inlineStr">
        <is>
          <t>Layer 3 - Offer Engine + Decision Summary: adjusted fund = MIN(cash-flow max x multiplier, cash-flow max daily x adjusted term / adjusted factor). Term shortens by bands, factor rises by approved tiers, frequency may switch to weekly. All four offer-side metrics are recomputed and must stay off red. Decision = DECLINE / MANUAL REVIEW / CONDITIONAL / APPROVE.</t>
        </is>
      </c>
    </row>
    <row r="16">
      <c r="B16" s="230" t="inlineStr"/>
    </row>
    <row r="17">
      <c r="B17" s="229" t="inlineStr">
        <is>
          <t>WHAT HISTORY CAN AND CANNOT DO</t>
        </is>
      </c>
    </row>
    <row r="18">
      <c r="B18" s="230" t="inlineStr">
        <is>
          <t>Can: reduce funding, shorten term, raise factor within 1.40/1.45/1.49, require weekly, add stipulations, send to manual review, or allow the full cash-flow maximum when the evidence is strong and credible.</t>
        </is>
      </c>
    </row>
    <row r="19">
      <c r="B19" s="230" t="inlineStr">
        <is>
          <t>Cannot: remove a knockout, push a green metric to red, exceed the cash-flow maximum, or make a precise adjustment on a tiny or unseasoned cohort (Low confidence caps it and adds a stip). Checks proves each of these on every deal.</t>
        </is>
      </c>
    </row>
    <row r="20">
      <c r="B20" s="230" t="inlineStr"/>
    </row>
    <row r="21">
      <c r="B21" s="230" t="inlineStr">
        <is>
          <t>WHAT THE HOUSE BOOK ACTUALLY SUPPORTS (seasoned deals, after basic controls - see docs/01_Stage1_Audit_Findings.md)</t>
        </is>
      </c>
    </row>
    <row r="22">
      <c r="B22" s="230" t="inlineStr">
        <is>
          <t>Robust: renewal vs new (odds of default x0.43), construction trades (x1.8), Westwood ISO (x0.3). Composition, not the variable: United Secured Capital 8, position 3 (mostly new + 1.49 + construction mix). Informational only: state, factor, term, deal size, weekly vs daily, advance/revenue, holdback. Leakage - never used: NSF count (post-funding).</t>
        </is>
      </c>
    </row>
    <row r="23">
      <c r="B23" s="230" t="inlineStr"/>
    </row>
    <row r="24">
      <c r="B24" s="229" t="inlineStr">
        <is>
          <t>MAINTENANCE</t>
        </is>
      </c>
    </row>
    <row r="25">
      <c r="B25" s="230" t="inlineStr">
        <is>
          <t>- Refresh: paste the CRM export into Historical Data columns A-X (values only, same column order), update the as-of date on Controls, check Checks.</t>
        </is>
      </c>
    </row>
    <row r="26">
      <c r="B26" s="230" t="inlineStr">
        <is>
          <t>- Archiving a deal: copy the Deal sheet as before. Sections A-E stay self-contained; Section F points at the shared sheets and always shows the deal currently on the sheet named Deal - paste values before filing.</t>
        </is>
      </c>
    </row>
    <row r="27">
      <c r="B27" s="230" t="inlineStr">
        <is>
          <t>- Never insert or delete rows on Controls; formulas reference fixed cells.</t>
        </is>
      </c>
    </row>
    <row r="28">
      <c r="B28" s="230" t="inlineStr">
        <is>
          <t>- Score scaling: with a credit score entered the scorecard has 8 metrics; the score is scaled to the 7-point bands (score x 7 / metrics scored) so the pricing bands and tier names keep their meaning. APPROVE still requires every scored metric green.</t>
        </is>
      </c>
    </row>
    <row r="29">
      <c r="B29" s="230" t="inlineStr"/>
    </row>
    <row r="30">
      <c r="B30" s="229" t="inlineStr">
        <is>
          <t>GOOGLE SHEETS</t>
        </is>
      </c>
    </row>
    <row r="31">
      <c r="B31" s="230" t="inlineStr">
        <is>
          <t>Import: Google Drive &gt; New &gt; File upload &gt; this .xlsx &gt; open &gt; File &gt; Save as Google Sheets (or Sheets &gt; File &gt; Import &gt; Upload &gt; Replace spreadsheet). Every function used (SUMPRODUCT, NETWORKDAYS, INDEX/MATCH, COUNTIF, CHOOSE, FLOOR, TEXT, IFERROR, VLOOKUP) is native to Sheets. The first recalculation of the 45,000 formulas takes a few seconds; after that only the changed deal recalculates.</t>
        </is>
      </c>
    </row>
    <row r="32">
      <c r="B32" s="230" t="inlineStr">
        <is>
          <t>Dropdowns, colour rules, merged cells and number formats survive the import. Page setup does not matter in Sheets. If a dropdown shows no choices after import, re-point it at the Ref sheet lists (Data &gt; Data validation).</t>
        </is>
      </c>
    </row>
    <row r="33">
      <c r="B33" s="230" t="inlineStr"/>
    </row>
    <row r="34">
      <c r="B34" s="230" t="inlineStr">
        <is>
          <t>CONVERSIONS: money with 5 and 21.655 (weekly / 5 = daily; monthly / 21.655 = daily); time with 4.331 (weeks / 4.331 = months). MoneyBadger uses 4 and 21.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8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28" min="1" max="1"/>
    <col width="37.14" customWidth="1" style="228" min="2" max="2"/>
    <col width="17.29" customWidth="1" style="228" min="3" max="4"/>
    <col width="13" customWidth="1" style="228" min="5" max="5"/>
    <col width="12" customWidth="1" style="228" min="6" max="6"/>
    <col width="13" customWidth="1" style="228" min="7" max="7"/>
    <col width="12" customWidth="1" style="228" min="8" max="8"/>
    <col width="11.86" customWidth="1" style="228" min="9" max="9"/>
    <col width="27" customWidth="1" style="228" min="10" max="10"/>
    <col width="26" customWidth="1" style="228" min="11" max="13"/>
    <col width="16" customWidth="1" style="228" min="12" max="12"/>
    <col width="12" customWidth="1" style="228" min="13" max="13"/>
    <col width="8.710000000000001" customWidth="1" style="228" min="14" max="26"/>
  </cols>
  <sheetData>
    <row r="1">
      <c r="B1" s="1" t="inlineStr">
        <is>
          <t xml:space="preserve"> UNDERWRITING TOOL</t>
        </is>
      </c>
    </row>
    <row r="2">
      <c r="B2" s="2" t="inlineStr">
        <is>
          <t>DECISION</t>
        </is>
      </c>
      <c r="C2" s="3">
        <f>C52</f>
        <v/>
      </c>
      <c r="D2" s="4">
        <f>IF(C52="","",C50&amp;" red flag(s) vs limit "&amp;C51&amp;"   |   "&amp;COUNTIF(F38:F45,"GREEN")&amp;"G / "&amp;COUNTIF(F38:F45,"YELLOW")&amp;"Y / "&amp;COUNTIF(F38:F45,"RED")&amp;"R   |   score "&amp;TEXT(C55,"0.0")&amp;"/"&amp;D55&amp;" = "&amp;C56&amp;"   |   FINAL (with house book): "&amp;IF(C67="","-",C67))</f>
        <v/>
      </c>
    </row>
    <row r="3">
      <c r="B3" s="4" t="n"/>
    </row>
    <row r="4">
      <c r="B4" s="231" t="inlineStr">
        <is>
          <t>A.  OFFER</t>
        </is>
      </c>
      <c r="J4" s="231" t="inlineStr">
        <is>
          <t>MONEYBADGER CROSS-CHECK</t>
        </is>
      </c>
    </row>
    <row r="5">
      <c r="B5" s="49" t="inlineStr">
        <is>
          <t>Fund $</t>
        </is>
      </c>
      <c r="C5" s="49" t="inlineStr">
        <is>
          <t>Factor</t>
        </is>
      </c>
      <c r="D5" s="49">
        <f>IF($E$6="Weekly","Term (weeks)","Term (daily pmts)")</f>
        <v/>
      </c>
      <c r="E5" s="49" t="inlineStr">
        <is>
          <t>Freq</t>
        </is>
      </c>
      <c r="F5" s="49" t="inlineStr">
        <is>
          <t>Fee %</t>
        </is>
      </c>
      <c r="J5" s="49" t="inlineStr">
        <is>
          <t>Metric</t>
        </is>
      </c>
      <c r="K5" s="49" t="inlineStr">
        <is>
          <t>This tool</t>
        </is>
      </c>
      <c r="L5" s="49" t="inlineStr">
        <is>
          <t>MoneyBadger</t>
        </is>
      </c>
      <c r="M5" s="49" t="inlineStr">
        <is>
          <t>Diff</t>
        </is>
      </c>
    </row>
    <row r="6">
      <c r="B6" s="9" t="n"/>
      <c r="C6" s="10" t="n"/>
      <c r="D6" s="71" t="n"/>
      <c r="E6" s="100" t="n"/>
      <c r="F6" s="232">
        <f>Controls!$B$15</f>
        <v/>
      </c>
      <c r="J6" s="25">
        <f>IF($E$6="Weekly","Weekly remittance","Daily remittance")</f>
        <v/>
      </c>
      <c r="K6" s="15">
        <f>IF(OR($E$6="",C8="",C24=0),"",IF($E$6="Weekly",D8,C8))</f>
        <v/>
      </c>
      <c r="L6" s="15">
        <f>IF(OR(L7="",C24=0),"",L7*C24/IF($E$6="Weekly",$L$8,$L$9))</f>
        <v/>
      </c>
      <c r="M6" s="16">
        <f>IF(OR(K6="",L6=""),"",L6-K6)</f>
        <v/>
      </c>
    </row>
    <row r="7">
      <c r="B7" s="49" t="inlineStr">
        <is>
          <t>Payback</t>
        </is>
      </c>
      <c r="C7" s="49" t="inlineStr">
        <is>
          <t>Daily $</t>
        </is>
      </c>
      <c r="D7" s="49" t="inlineStr">
        <is>
          <t>Weekly $</t>
        </is>
      </c>
      <c r="E7" s="49" t="inlineStr">
        <is>
          <t>Monthly $</t>
        </is>
      </c>
      <c r="F7" s="49" t="inlineStr">
        <is>
          <t>Term (mo)</t>
        </is>
      </c>
      <c r="G7" s="49" t="inlineStr">
        <is>
          <t>Net $</t>
        </is>
      </c>
      <c r="J7" s="25" t="inlineStr">
        <is>
          <t>Holdback %</t>
        </is>
      </c>
      <c r="K7" s="17">
        <f>IF(OR(D8="",C24=0),"",E8/C24)</f>
        <v/>
      </c>
      <c r="L7" s="17">
        <f>IF(OR($E$6="",C8="",C24=0),"",ROUND(IF($E$6="Weekly",D8*$L$8,C8*$L$9)/C24*100,2)/100)</f>
        <v/>
      </c>
      <c r="M7" s="18">
        <f>IF(OR(K7="",L7=""),"",L7-K7)</f>
        <v/>
      </c>
    </row>
    <row r="8">
      <c r="B8" s="19">
        <f>IF(OR(B6="",C6=""),"",B6*C6)</f>
        <v/>
      </c>
      <c r="C8" s="21">
        <f>IF(OR(B8="",D6="",D6=0),"",IF(E6="Weekly",(B8/D6)/5,B8/D6))</f>
        <v/>
      </c>
      <c r="D8" s="21">
        <f>IF(C8="","",C8*5)</f>
        <v/>
      </c>
      <c r="E8" s="19">
        <f>IF(C8="","",C8*$K$9)</f>
        <v/>
      </c>
      <c r="F8" s="22">
        <f>IF(OR(D6="",D6=0),"",IF(E6="Weekly",D6,D6/5)/($K$9/5))</f>
        <v/>
      </c>
      <c r="G8" s="19">
        <f>IF(B6="","",B6-(B6*F6))</f>
        <v/>
      </c>
      <c r="J8" s="25" t="inlineStr">
        <is>
          <t>Weeks / month</t>
        </is>
      </c>
      <c r="K8" s="233">
        <f>Controls!$B$28</f>
        <v/>
      </c>
      <c r="L8" s="233">
        <f>Controls!$B$30</f>
        <v/>
      </c>
      <c r="M8" s="24">
        <f>IF(OR(K8="",L8=""),"",L8-K8)</f>
        <v/>
      </c>
    </row>
    <row r="9">
      <c r="J9" s="25" t="inlineStr">
        <is>
          <t>Days / month</t>
        </is>
      </c>
      <c r="K9" s="233">
        <f>Controls!$B$29</f>
        <v/>
      </c>
      <c r="L9" s="233">
        <f>Controls!$B$31</f>
        <v/>
      </c>
      <c r="M9" s="24">
        <f>IF(OR(K9="",L9=""),"",L9-K9)</f>
        <v/>
      </c>
    </row>
    <row r="10">
      <c r="B10" s="231" t="inlineStr">
        <is>
          <t>B.  BANK DATA  (up to 12 months)</t>
        </is>
      </c>
    </row>
    <row r="11">
      <c r="B11" s="49" t="inlineStr">
        <is>
          <t>Month - NEWEST FIRST</t>
        </is>
      </c>
      <c r="C11" s="49" t="inlineStr">
        <is>
          <t>True rev $</t>
        </is>
      </c>
      <c r="D11" s="49" t="inlineStr">
        <is>
          <t>Avg daily bal $</t>
        </is>
      </c>
      <c r="E11" s="49" t="inlineStr">
        <is>
          <t>Neg days</t>
        </is>
      </c>
      <c r="F11" s="49" t="inlineStr">
        <is>
          <t>NSFs</t>
        </is>
      </c>
      <c r="G11" s="49" t="inlineStr">
        <is>
          <t>MoM %</t>
        </is>
      </c>
      <c r="J11" s="234" t="inlineStr">
        <is>
          <t>DEAL PROFILE  (house-book match inputs)</t>
        </is>
      </c>
    </row>
    <row r="12">
      <c r="B12" s="38" t="inlineStr">
        <is>
          <t>Jul</t>
        </is>
      </c>
      <c r="C12" s="42" t="n"/>
      <c r="D12" s="42" t="n"/>
      <c r="E12" s="39" t="n">
        <v>0</v>
      </c>
      <c r="F12" s="39" t="n">
        <v>0</v>
      </c>
      <c r="G12" s="32">
        <f>IF(OR(C12="",C13=""),"",(C12-C13)/C13)</f>
        <v/>
      </c>
      <c r="J12" s="235" t="inlineStr">
        <is>
          <t>ISO</t>
        </is>
      </c>
      <c r="K12" s="236" t="n"/>
      <c r="L12" s="237">
        <f>IF(K12="","",COUNTIF('Historical Data'!$K$2:$K$1068,K12)&amp;" deals in book")</f>
        <v/>
      </c>
      <c r="M12" s="238" t="n"/>
    </row>
    <row r="13">
      <c r="B13" s="38" t="inlineStr">
        <is>
          <t>Jun</t>
        </is>
      </c>
      <c r="C13" s="42" t="n"/>
      <c r="D13" s="42" t="n"/>
      <c r="E13" s="39" t="n">
        <v>0</v>
      </c>
      <c r="F13" s="39" t="n">
        <v>0</v>
      </c>
      <c r="G13" s="32">
        <f>IF(OR(C13="",C14=""),"",(C13-C14)/C14)</f>
        <v/>
      </c>
      <c r="J13" s="239" t="inlineStr">
        <is>
          <t>Industry (SIC major group)</t>
        </is>
      </c>
      <c r="K13" s="240" t="n"/>
      <c r="L13" s="241">
        <f>IF(K13="","",COUNTIF('Historical Data'!$Y$2:$Y$1068,K13)&amp;" deals in book")</f>
        <v/>
      </c>
      <c r="M13" s="242" t="n"/>
    </row>
    <row r="14">
      <c r="B14" s="38" t="inlineStr">
        <is>
          <t>May</t>
        </is>
      </c>
      <c r="C14" s="42" t="n"/>
      <c r="D14" s="42" t="n"/>
      <c r="E14" s="39" t="n">
        <v>0</v>
      </c>
      <c r="F14" s="39" t="n">
        <v>0</v>
      </c>
      <c r="G14" s="32">
        <f>IF(OR(C14="",C15=""),"",(C14-C15)/C15)</f>
        <v/>
      </c>
      <c r="J14" s="239" t="inlineStr">
        <is>
          <t>State</t>
        </is>
      </c>
      <c r="K14" s="240" t="n"/>
      <c r="L14" s="241">
        <f>IF(K14="","",COUNTIF('Historical Data'!$J$2:$J$1068,K14)&amp;" deals in book")</f>
        <v/>
      </c>
      <c r="M14" s="242" t="n"/>
    </row>
    <row r="15">
      <c r="B15" s="38" t="inlineStr">
        <is>
          <t>Apr</t>
        </is>
      </c>
      <c r="C15" s="42" t="n"/>
      <c r="D15" s="42" t="n"/>
      <c r="E15" s="39" t="n">
        <v>0</v>
      </c>
      <c r="F15" s="39" t="n">
        <v>0</v>
      </c>
      <c r="G15" s="32">
        <f>IF(OR(C15="",C16=""),"",(C15-C16)/C16)</f>
        <v/>
      </c>
      <c r="J15" s="239" t="inlineStr">
        <is>
          <t>New deal or renewal</t>
        </is>
      </c>
      <c r="K15" s="240" t="n"/>
      <c r="L15" s="241">
        <f>IF(K15="","REQUIRED for history match","")</f>
        <v/>
      </c>
      <c r="M15" s="242" t="n"/>
    </row>
    <row r="16">
      <c r="B16" s="38" t="n"/>
      <c r="C16" s="42" t="n"/>
      <c r="D16" s="42" t="n"/>
      <c r="E16" s="39" t="n"/>
      <c r="F16" s="39" t="n"/>
      <c r="G16" s="32">
        <f>IF(OR(C16="",C17=""),"",(C16-C17)/C17)</f>
        <v/>
      </c>
      <c r="J16" s="239" t="inlineStr">
        <is>
          <t>Credit score (FICO)</t>
        </is>
      </c>
      <c r="K16" s="240" t="n"/>
      <c r="L16" s="241">
        <f>IF(K16="","not scored",IF(K16&gt;=Controls!$B$12,"GREEN",IF(K16&gt;=Controls!$C$12,"YELLOW","RED")))</f>
        <v/>
      </c>
      <c r="M16" s="242" t="n"/>
    </row>
    <row r="17">
      <c r="B17" s="38" t="n"/>
      <c r="C17" s="42" t="n"/>
      <c r="D17" s="42" t="n"/>
      <c r="E17" s="39" t="n"/>
      <c r="F17" s="39" t="n"/>
      <c r="G17" s="32">
        <f>IF(OR(C17="",C18=""),"",(C17-C18)/C18)</f>
        <v/>
      </c>
      <c r="J17" s="235" t="inlineStr">
        <is>
          <t>Proposed position (auto)</t>
        </is>
      </c>
      <c r="K17" s="243">
        <f>IF(C42="","",C42)</f>
        <v/>
      </c>
      <c r="L17" s="244" t="inlineStr">
        <is>
          <t>auto: positions incl. new</t>
        </is>
      </c>
    </row>
    <row r="18">
      <c r="B18" s="38" t="n"/>
      <c r="C18" s="42" t="n"/>
      <c r="D18" s="42" t="n"/>
      <c r="E18" s="39" t="n"/>
      <c r="F18" s="39" t="n"/>
      <c r="G18" s="32">
        <f>IF(OR(C18="",C19=""),"",(C18-C19)/C19)</f>
        <v/>
      </c>
      <c r="J18" s="235" t="inlineStr">
        <is>
          <t>Position override (optional)</t>
        </is>
      </c>
      <c r="K18" s="245" t="n"/>
      <c r="L18" s="244">
        <f>IF(K18="","",IF(K18&lt;&gt;K17,"override in use",""))</f>
        <v/>
      </c>
    </row>
    <row r="19">
      <c r="B19" s="38" t="n"/>
      <c r="C19" s="42" t="n"/>
      <c r="D19" s="42" t="n"/>
      <c r="E19" s="39" t="n"/>
      <c r="F19" s="39" t="n"/>
      <c r="G19" s="32">
        <f>IF(OR(C19="",C20=""),"",(C19-C20)/C20)</f>
        <v/>
      </c>
    </row>
    <row r="20">
      <c r="B20" s="38" t="n"/>
      <c r="C20" s="42" t="n"/>
      <c r="D20" s="42" t="n"/>
      <c r="E20" s="39" t="n"/>
      <c r="F20" s="39" t="n"/>
      <c r="G20" s="32">
        <f>IF(OR(C20="",C21=""),"",(C20-C21)/C21)</f>
        <v/>
      </c>
    </row>
    <row r="21" ht="15.75" customHeight="1" s="228">
      <c r="B21" s="38" t="n"/>
      <c r="C21" s="42" t="n"/>
      <c r="D21" s="42" t="n"/>
      <c r="E21" s="39" t="n"/>
      <c r="F21" s="39" t="n"/>
      <c r="G21" s="32">
        <f>IF(OR(C21="",C22=""),"",(C21-C22)/C22)</f>
        <v/>
      </c>
    </row>
    <row r="22" ht="15.75" customHeight="1" s="228">
      <c r="B22" s="38" t="n"/>
      <c r="C22" s="42" t="n"/>
      <c r="D22" s="42" t="n"/>
      <c r="E22" s="39" t="n"/>
      <c r="F22" s="39" t="n"/>
      <c r="G22" s="32">
        <f>IF(OR(C22="",C23=""),"",(C22-C23)/C23)</f>
        <v/>
      </c>
    </row>
    <row r="23" ht="15.75" customHeight="1" s="228">
      <c r="B23" s="38" t="n"/>
      <c r="C23" s="42" t="n"/>
      <c r="D23" s="42" t="n"/>
      <c r="E23" s="39" t="n"/>
      <c r="F23" s="39" t="n"/>
      <c r="G23" s="54" t="n"/>
    </row>
    <row r="24" ht="15.75" customHeight="1" s="228">
      <c r="B24" s="45" t="inlineStr">
        <is>
          <t>AVG / TOTAL (months entered)</t>
        </is>
      </c>
      <c r="C24" s="87">
        <f>IF(COUNT(C12:C23)=0,0,AVERAGE(C12:C23))</f>
        <v/>
      </c>
      <c r="D24" s="87">
        <f>IF(COUNT(D12:D23)=0,0,AVERAGE(D12:D23))</f>
        <v/>
      </c>
      <c r="E24" s="88">
        <f>SUM(E12:E23)</f>
        <v/>
      </c>
      <c r="F24" s="88">
        <f>SUM(F12:F23)</f>
        <v/>
      </c>
      <c r="G24" s="48">
        <f>IFERROR(AVERAGE(G12:G22),"")</f>
        <v/>
      </c>
    </row>
    <row r="25" ht="15.75" customHeight="1" s="228"/>
    <row r="26" ht="15.75" customHeight="1" s="228">
      <c r="B26" s="231" t="inlineStr">
        <is>
          <t>EXISTING POSITIONS   (freq Monthly = leverage only, NOT a position)</t>
        </is>
      </c>
    </row>
    <row r="27" ht="15.75" customHeight="1" s="228">
      <c r="B27" s="49" t="inlineStr">
        <is>
          <t>Funder</t>
        </is>
      </c>
      <c r="C27" s="49" t="inlineStr">
        <is>
          <t>Funded $</t>
        </is>
      </c>
      <c r="D27" s="49" t="inlineStr">
        <is>
          <t>Payment</t>
        </is>
      </c>
      <c r="E27" s="49" t="inlineStr">
        <is>
          <t>Freq</t>
        </is>
      </c>
      <c r="F27" s="49" t="inlineStr">
        <is>
          <t>Daily equiv</t>
        </is>
      </c>
      <c r="G27" s="49" t="inlineStr">
        <is>
          <t>Start Date</t>
        </is>
      </c>
      <c r="H27" s="49" t="inlineStr">
        <is>
          <t>Est Term</t>
        </is>
      </c>
      <c r="I27" s="49" t="inlineStr">
        <is>
          <t>Est term (mo)</t>
        </is>
      </c>
      <c r="J27" s="49" t="inlineStr">
        <is>
          <t>Mo. remaining</t>
        </is>
      </c>
    </row>
    <row r="28" ht="15.75" customHeight="1" s="228">
      <c r="B28" s="83" t="n"/>
      <c r="C28" s="42" t="n"/>
      <c r="D28" s="42" t="n"/>
      <c r="E28" s="38" t="inlineStr">
        <is>
          <t>Weekly</t>
        </is>
      </c>
      <c r="F28" s="15">
        <f>IF(D28&lt;&gt;"",IF(E28="Daily",D28,IF(E28="Weekly",D28/5,D28/$K$9)),IF(C28="","",C28*Controls!$B$33/(Controls!$B$23*$K$9)))</f>
        <v/>
      </c>
      <c r="G28" s="79" t="n"/>
      <c r="H28" s="53">
        <f>IF(OR(C28="",D28=""),"",ROUND(C28*Controls!$B$33/D28,0))</f>
        <v/>
      </c>
      <c r="I28" s="53">
        <f>IF(H28="","",H28/IF(E28="Daily",$K$9,IF(E28="Weekly",$K$9/5,1)))</f>
        <v/>
      </c>
      <c r="J28" s="53">
        <f>IF(OR(I28="",G28=""),"",MAX(0,I28-(TODAY()-G28)/Controls!$B$32))</f>
        <v/>
      </c>
    </row>
    <row r="29" ht="15.75" customHeight="1" s="228">
      <c r="B29" s="83" t="n"/>
      <c r="C29" s="42" t="n"/>
      <c r="D29" s="42" t="n"/>
      <c r="E29" s="38" t="inlineStr">
        <is>
          <t>Weekly</t>
        </is>
      </c>
      <c r="F29" s="15">
        <f>IF(D29&lt;&gt;"",IF(E29="Daily",D29,IF(E29="Weekly",D29/5,D29/$K$9)),IF(C29="","",C29*Controls!$B$33/(Controls!$B$23*$K$9)))</f>
        <v/>
      </c>
      <c r="G29" s="79" t="n"/>
      <c r="H29" s="79">
        <f>IF(OR(C29="",D29=""),"",ROUND(C29*Controls!$B$33/D29,0))</f>
        <v/>
      </c>
      <c r="I29" s="54">
        <f>IF(H29="","",H29/IF(E29="Daily",$K$9,IF(E29="Weekly",$K$9/5,1)))</f>
        <v/>
      </c>
      <c r="J29" s="79">
        <f>IF(OR(I29="",G29=""),"",MAX(0,I29-(TODAY()-G29)/Controls!$B$32))</f>
        <v/>
      </c>
    </row>
    <row r="30" ht="15.75" customHeight="1" s="228">
      <c r="B30" s="83" t="n"/>
      <c r="C30" s="42" t="n"/>
      <c r="D30" s="42" t="n"/>
      <c r="E30" s="38" t="inlineStr">
        <is>
          <t>Weekly</t>
        </is>
      </c>
      <c r="F30" s="15">
        <f>IF(D30&lt;&gt;"",IF(E30="Daily",D30,IF(E30="Weekly",D30/5,D30/$K$9)),IF(C30="","",C30*Controls!$B$33/(Controls!$B$23*$K$9)))</f>
        <v/>
      </c>
      <c r="G30" s="79" t="n"/>
      <c r="H30" s="79">
        <f>IF(OR(C30="",D30=""),"",ROUND(C30*Controls!$B$33/D30,0))</f>
        <v/>
      </c>
      <c r="I30" s="54">
        <f>IF(H30="","",H30/IF(E30="Daily",$K$9,IF(E30="Weekly",$K$9/5,1)))</f>
        <v/>
      </c>
      <c r="J30" s="79">
        <f>IF(OR(I30="",G30=""),"",MAX(0,I30-(TODAY()-G30)/Controls!$B$32))</f>
        <v/>
      </c>
    </row>
    <row r="31" ht="15.75" customHeight="1" s="228">
      <c r="B31" s="83" t="n"/>
      <c r="C31" s="42" t="n"/>
      <c r="D31" s="42" t="n"/>
      <c r="E31" s="38" t="inlineStr">
        <is>
          <t>Weekly</t>
        </is>
      </c>
      <c r="F31" s="15">
        <f>IF(D31&lt;&gt;"",IF(E31="Daily",D31,IF(E31="Weekly",D31/5,D31/$K$9)),IF(C31="","",C31*Controls!$B$33/(Controls!$B$23*$K$9)))</f>
        <v/>
      </c>
      <c r="G31" s="79" t="n"/>
      <c r="H31" s="79">
        <f>IF(OR(C31="",D31=""),"",ROUND(C31*Controls!$B$33/D31,0))</f>
        <v/>
      </c>
      <c r="I31" s="54">
        <f>IF(H31="","",H31/IF(E31="Daily",$K$9,IF(E31="Weekly",$K$9/5,1)))</f>
        <v/>
      </c>
      <c r="J31" s="79">
        <f>IF(OR(I31="",G31=""),"",MAX(0,I31-(TODAY()-G31)/Controls!$B$32))</f>
        <v/>
      </c>
    </row>
    <row r="32" ht="15.75" customHeight="1" s="228">
      <c r="B32" s="83" t="n"/>
      <c r="C32" s="42" t="n"/>
      <c r="D32" s="42" t="n"/>
      <c r="E32" s="38" t="inlineStr">
        <is>
          <t>Weekly</t>
        </is>
      </c>
      <c r="F32" s="15">
        <f>IF(D32&lt;&gt;"",IF(E32="Daily",D32,IF(E32="Weekly",D32/5,D32/$K$9)),IF(C32="","",C32*Controls!$B$33/(Controls!$B$23*$K$9)))</f>
        <v/>
      </c>
      <c r="G32" s="79" t="n"/>
      <c r="H32" s="79">
        <f>IF(OR(C32="",D32=""),"",ROUND(C32*Controls!$B$33/D32,0))</f>
        <v/>
      </c>
      <c r="I32" s="54">
        <f>IF(H32="","",H32/IF(E32="Daily",$K$9,IF(E32="Weekly",$K$9/5,1)))</f>
        <v/>
      </c>
      <c r="J32" s="79">
        <f>IF(OR(I32="",G32=""),"",MAX(0,I32-(TODAY()-G32)/Controls!$B$32))</f>
        <v/>
      </c>
    </row>
    <row r="33" ht="15.75" customHeight="1" s="228">
      <c r="B33" s="83" t="n"/>
      <c r="C33" s="42" t="n"/>
      <c r="D33" s="42" t="n"/>
      <c r="E33" s="38" t="inlineStr">
        <is>
          <t>Weekly</t>
        </is>
      </c>
      <c r="F33" s="15">
        <f>IF(D33&lt;&gt;"",IF(E33="Daily",D33,IF(E33="Weekly",D33/5,D33/$K$9)),IF(C33="","",C33*Controls!$B$33/(Controls!$B$23*$K$9)))</f>
        <v/>
      </c>
      <c r="G33" s="79" t="n"/>
      <c r="H33" s="79">
        <f>IF(OR(C33="",D33=""),"",ROUND(C33*Controls!$B$33/D33,0))</f>
        <v/>
      </c>
      <c r="I33" s="54">
        <f>IF(H33="","",H33/IF(E33="Daily",$K$9,IF(E33="Weekly",$K$9/5,1)))</f>
        <v/>
      </c>
      <c r="J33" s="79">
        <f>IF(OR(I33="",G33=""),"",MAX(0,I33-(TODAY()-G33)/Controls!$B$32))</f>
        <v/>
      </c>
    </row>
    <row r="34" ht="15.75" customHeight="1" s="228">
      <c r="B34" s="55" t="inlineStr">
        <is>
          <t>Positions (excl. Monthly)</t>
        </is>
      </c>
      <c r="C34" s="88">
        <f>SUMPRODUCT(((C28:C33&lt;&gt;"")+(D28:D33&lt;&gt;"")&gt;0)*(E28:E33&lt;&gt;"Monthly"))</f>
        <v/>
      </c>
      <c r="D34" s="55" t="inlineStr">
        <is>
          <t>Total existing daily</t>
        </is>
      </c>
      <c r="E34" s="56">
        <f>SUM(F28:F33)</f>
        <v/>
      </c>
      <c r="F34" s="87">
        <f>E34*$K$9</f>
        <v/>
      </c>
      <c r="G34" s="4" t="inlineStr">
        <is>
          <t>/month</t>
        </is>
      </c>
    </row>
    <row r="35" ht="15.75" customHeight="1" s="228">
      <c r="E35" s="138" t="n"/>
    </row>
    <row r="36" ht="15.75" customHeight="1" s="228">
      <c r="B36" s="231" t="inlineStr">
        <is>
          <t>C.  METRICS</t>
        </is>
      </c>
    </row>
    <row r="37" ht="15.75" customHeight="1" s="228">
      <c r="B37" s="49" t="inlineStr">
        <is>
          <t>Metric</t>
        </is>
      </c>
      <c r="C37" s="49" t="inlineStr">
        <is>
          <t>Value</t>
        </is>
      </c>
      <c r="D37" s="49" t="inlineStr">
        <is>
          <t>Green</t>
        </is>
      </c>
      <c r="E37" s="49" t="inlineStr">
        <is>
          <t>Red</t>
        </is>
      </c>
      <c r="F37" s="49" t="inlineStr">
        <is>
          <t>Status</t>
        </is>
      </c>
      <c r="G37" s="49" t="inlineStr">
        <is>
          <t>Knockout</t>
        </is>
      </c>
    </row>
    <row r="38" ht="15.75" customHeight="1" s="228">
      <c r="B38" s="25" t="inlineStr">
        <is>
          <t>Total LVG (all debt / rev)</t>
        </is>
      </c>
      <c r="C38" s="58">
        <f>IF(C24=0,"",(E34+IF(C8="",0,C8))*$K$9/C24)</f>
        <v/>
      </c>
      <c r="D38" s="246">
        <f>Controls!$B$5</f>
        <v/>
      </c>
      <c r="E38" s="246">
        <f>Controls!$C$5</f>
        <v/>
      </c>
      <c r="F38" s="60">
        <f>IF(C38="","",IF(C38&gt;=G38,"KNOCKOUT",IF(C38&lt;=D38,"GREEN",IF(C38&gt;=E38,"RED","YELLOW"))))</f>
        <v/>
      </c>
      <c r="G38" s="246">
        <f>Controls!$D$5</f>
        <v/>
      </c>
    </row>
    <row r="39" ht="15.75" customHeight="1" s="228">
      <c r="B39" s="25" t="inlineStr">
        <is>
          <t>New holdback SP%</t>
        </is>
      </c>
      <c r="C39" s="58">
        <f>IF(OR(C24=0,E8=""),"",E8/C24)</f>
        <v/>
      </c>
      <c r="D39" s="246">
        <f>Controls!$B$6</f>
        <v/>
      </c>
      <c r="E39" s="246">
        <f>Controls!$C$6</f>
        <v/>
      </c>
      <c r="F39" s="60">
        <f>IF(C39="","",IF(C39&gt;=G39,"KNOCKOUT",IF(C39&lt;=D39,"GREEN",IF(C39&gt;=E39,"RED","YELLOW"))))</f>
        <v/>
      </c>
      <c r="G39" s="246">
        <f>Controls!$D$6</f>
        <v/>
      </c>
    </row>
    <row r="40" ht="15.75" customHeight="1" s="228">
      <c r="B40" s="25" t="inlineStr">
        <is>
          <t>Daily debt / balance</t>
        </is>
      </c>
      <c r="C40" s="58">
        <f>IF(D24=0,"",(E34+IF(C8="",0,C8))/D24)</f>
        <v/>
      </c>
      <c r="D40" s="246">
        <f>Controls!$B$7</f>
        <v/>
      </c>
      <c r="E40" s="246">
        <f>Controls!$C$7</f>
        <v/>
      </c>
      <c r="F40" s="60">
        <f>IF(C40="","",IF(C40&gt;=G40,"KNOCKOUT",IF(C40&lt;=D40,"GREEN",IF(C40&gt;=E40,"RED","YELLOW"))))</f>
        <v/>
      </c>
      <c r="G40" s="246">
        <f>Controls!$D$7</f>
        <v/>
      </c>
    </row>
    <row r="41" ht="15.75" customHeight="1" s="228">
      <c r="B41" s="25" t="inlineStr">
        <is>
          <t>Fund / revenue</t>
        </is>
      </c>
      <c r="C41" s="247">
        <f>IF(OR(C24=0,B6=""),"",B6/C24)</f>
        <v/>
      </c>
      <c r="D41" s="248">
        <f>Controls!$B$8</f>
        <v/>
      </c>
      <c r="E41" s="248">
        <f>Controls!$C$8</f>
        <v/>
      </c>
      <c r="F41" s="60">
        <f>IF(C41="","",IF(C41&gt;=G41,"KNOCKOUT",IF(C41&lt;=D41,"GREEN",IF(C41&gt;=E41,"RED","YELLOW"))))</f>
        <v/>
      </c>
      <c r="G41" s="248">
        <f>Controls!$D$8</f>
        <v/>
      </c>
    </row>
    <row r="42" ht="15.75" customHeight="1" s="228">
      <c r="B42" s="25" t="inlineStr">
        <is>
          <t># positions (incl. new)</t>
        </is>
      </c>
      <c r="C42" s="65">
        <f>IF(C24=0,"",C34+1)</f>
        <v/>
      </c>
      <c r="D42" s="249">
        <f>Controls!$B$9</f>
        <v/>
      </c>
      <c r="E42" s="249">
        <f>Controls!$C$9</f>
        <v/>
      </c>
      <c r="F42" s="60">
        <f>IF(C42="","",IF(C42&gt;=G42,"KNOCKOUT",IF(C42&lt;=D42,"GREEN",IF(C42&gt;=E42,"RED","YELLOW"))))</f>
        <v/>
      </c>
      <c r="G42" s="249">
        <f>Controls!$D$9</f>
        <v/>
      </c>
    </row>
    <row r="43" ht="15.75" customHeight="1" s="228">
      <c r="B43" s="25" t="inlineStr">
        <is>
          <t>Revenue trend (avg MoM)</t>
        </is>
      </c>
      <c r="C43" s="18">
        <f>G24</f>
        <v/>
      </c>
      <c r="D43" s="246">
        <f>Controls!$B$10</f>
        <v/>
      </c>
      <c r="E43" s="246">
        <f>Controls!$C$10</f>
        <v/>
      </c>
      <c r="F43" s="60">
        <f>IF(C24=0,"",IF(NOT(ISNUMBER(C43)),"YELLOW",IF(C43&lt;=G43,"KNOCKOUT",IF(C43&gt;=D43,"GREEN",IF(C43&lt;=E43,"RED","YELLOW")))))</f>
        <v/>
      </c>
      <c r="G43" s="246">
        <f>Controls!$D$10</f>
        <v/>
      </c>
    </row>
    <row r="44" ht="15.75" customHeight="1" s="228">
      <c r="B44" s="25" t="inlineStr">
        <is>
          <t>Neg days + NSFs (total)</t>
        </is>
      </c>
      <c r="C44" s="65">
        <f>E24+F24</f>
        <v/>
      </c>
      <c r="D44" s="249">
        <f>Controls!$B$11</f>
        <v/>
      </c>
      <c r="E44" s="249">
        <f>Controls!$C$11</f>
        <v/>
      </c>
      <c r="F44" s="60">
        <f>IF(C44="","",IF(C44&gt;=G44,"KNOCKOUT",IF(C44&lt;=D44,"GREEN",IF(C44&gt;=E44,"RED","YELLOW"))))</f>
        <v/>
      </c>
      <c r="G44" s="249">
        <f>Controls!$D$11</f>
        <v/>
      </c>
    </row>
    <row r="45" ht="15.75" customHeight="1" s="228">
      <c r="B45" s="25" t="inlineStr">
        <is>
          <t>Credit score (FICO)</t>
        </is>
      </c>
      <c r="C45" s="65">
        <f>IF(K16="","",K16)</f>
        <v/>
      </c>
      <c r="D45" s="249">
        <f>Controls!$B$12</f>
        <v/>
      </c>
      <c r="E45" s="249">
        <f>Controls!$C$12</f>
        <v/>
      </c>
      <c r="F45" s="60">
        <f>IF(C45="","",IF(AND(G45&lt;&gt;0,C45&lt;=G45),"KNOCKOUT",IF(C45&gt;=D45,"GREEN",IF(C45&lt;E45,"RED","YELLOW"))))</f>
        <v/>
      </c>
      <c r="G45" s="249">
        <f>Controls!$D$12</f>
        <v/>
      </c>
    </row>
    <row r="46" ht="15.75" customHeight="1" s="228">
      <c r="B46" s="25" t="inlineStr">
        <is>
          <t>Existing leverage (before new)</t>
        </is>
      </c>
      <c r="C46" s="18">
        <f>IF(C24=0,"",F34/C24)</f>
        <v/>
      </c>
      <c r="D46" s="66" t="inlineStr">
        <is>
          <t>-</t>
        </is>
      </c>
      <c r="E46" s="66" t="inlineStr">
        <is>
          <t>-</t>
        </is>
      </c>
      <c r="F46" s="67" t="inlineStr">
        <is>
          <t>INFO</t>
        </is>
      </c>
    </row>
    <row r="47" ht="15.75" customHeight="1" s="228">
      <c r="B47" s="25" t="inlineStr">
        <is>
          <t>Balance / revenue</t>
        </is>
      </c>
      <c r="C47" s="18">
        <f>IF(C24=0,"",D24/C24)</f>
        <v/>
      </c>
      <c r="D47" s="66" t="inlineStr">
        <is>
          <t>-</t>
        </is>
      </c>
      <c r="E47" s="66" t="inlineStr">
        <is>
          <t>-</t>
        </is>
      </c>
      <c r="F47" s="67" t="inlineStr">
        <is>
          <t>INFO</t>
        </is>
      </c>
    </row>
    <row r="48" ht="15.75" customHeight="1" s="228"/>
    <row r="49" ht="15.75" customHeight="1" s="228">
      <c r="B49" s="231" t="inlineStr">
        <is>
          <t>D.  DECISION  (cash-flow layer, on the requested offer)</t>
        </is>
      </c>
    </row>
    <row r="50" ht="15.75" customHeight="1" s="228">
      <c r="B50" s="68" t="inlineStr">
        <is>
          <t>Red flags</t>
        </is>
      </c>
      <c r="C50" s="69">
        <f>COUNTIF(F38:F45,"RED")+COUNTIF(F38:F45,"KNOCKOUT")</f>
        <v/>
      </c>
      <c r="D50" s="68" t="inlineStr">
        <is>
          <t>Knockouts</t>
        </is>
      </c>
      <c r="E50" s="69">
        <f>COUNTIF(F38:F45,"KNOCKOUT")</f>
        <v/>
      </c>
    </row>
    <row r="51" ht="15.75" customHeight="1" s="228">
      <c r="B51" s="70" t="inlineStr">
        <is>
          <t>Decline if red flags &gt;=  (Controls)</t>
        </is>
      </c>
      <c r="C51" s="250">
        <f>Controls!$B$13</f>
        <v/>
      </c>
      <c r="D51" s="72" t="inlineStr">
        <is>
          <t>Minimum fund $</t>
        </is>
      </c>
      <c r="E51" s="251">
        <f>Controls!$B$14</f>
        <v/>
      </c>
    </row>
    <row r="52" ht="15.75" customHeight="1" s="228">
      <c r="B52" s="68" t="inlineStr">
        <is>
          <t>DECISION</t>
        </is>
      </c>
      <c r="C52" s="3">
        <f>IF(C24=0,"",IF(OR(E50&gt;0,IF(ISNUMBER(C63),C63,0)&lt;E51),"DECLINE",IF(OR(B6="",B6=0),"",IF(C50&gt;=C51,"DECLINE",IF(COUNTIF(F38:F45,"GREEN")=D55,"APPROVE","CONDITIONAL")))))</f>
        <v/>
      </c>
      <c r="D52" s="4">
        <f>IF(C52="DECLINE",IF(E50&gt;0,"KNOCKOUT: "&amp;INDEX(B38:B45,MATCH("KNOCKOUT",F38:F45,0))&amp;" is past its knockout line.",IF(C50&gt;=C51,"Red flags reached the threshold.","Recommended fund "&amp;IF(ISNUMBER(C63),TEXT(C63,"$#,##0"),"$0")&amp;" is below your minimum "&amp;TEXT(E51,"$#,##0")&amp;".")),IF(C52="APPROVE","All "&amp;D55&amp;" decision metrics green.",IF(C52="","Enter offer + bank data.","Fundable but not clean - review yellows/reds above.")))</f>
        <v/>
      </c>
    </row>
    <row r="53" ht="15.75" customHeight="1" s="228"/>
    <row r="54" ht="15.75" customHeight="1" s="228">
      <c r="B54" s="231" t="inlineStr">
        <is>
          <t>E.  DEAL QUALITY  &amp;  CASH-FLOW MAXIMUM OFFER  (bank data alone)</t>
        </is>
      </c>
    </row>
    <row r="55" ht="15.75" customHeight="1" s="228">
      <c r="B55" s="70" t="inlineStr">
        <is>
          <t>Score (G=1, Y=0.5, R=0)</t>
        </is>
      </c>
      <c r="C55" s="74">
        <f>COUNTIF(F38:F45,"GREEN")+0.5*COUNTIF(F38:F45,"YELLOW")</f>
        <v/>
      </c>
      <c r="D55" s="4">
        <f>SUMPRODUCT(--(F38:F45&lt;&gt;""))</f>
        <v/>
      </c>
      <c r="E55" t="inlineStr">
        <is>
          <t>scored metrics</t>
        </is>
      </c>
    </row>
    <row r="56" ht="15.75" customHeight="1" s="228">
      <c r="B56" s="70" t="inlineStr">
        <is>
          <t>Tier  (score scaled to 7 for the bands)</t>
        </is>
      </c>
      <c r="C56" s="60">
        <f>IF(C24=0,"",IF(D57&gt;=Controls!$B$25,"Strong",IF(D57&gt;=Controls!$C$25,"Solid",IF(D57&gt;=Controls!$D$25,"Moderate","Weak"))))</f>
        <v/>
      </c>
    </row>
    <row r="57" ht="15.75" customHeight="1" s="228">
      <c r="B57" s="70" t="inlineStr">
        <is>
          <t>Max daily by SP% green</t>
        </is>
      </c>
      <c r="C57" s="15">
        <f>IF(C24=0,"",D39*C24/$K$9)</f>
        <v/>
      </c>
      <c r="D57" s="252">
        <f>IF(D55=0,0,C55*7/D55)</f>
        <v/>
      </c>
      <c r="E57" t="inlineStr">
        <is>
          <t>scaled score /7</t>
        </is>
      </c>
    </row>
    <row r="58" ht="15.75" customHeight="1" s="228">
      <c r="B58" s="70" t="inlineStr">
        <is>
          <t>Max daily by Total LVG green</t>
        </is>
      </c>
      <c r="C58" s="15">
        <f>IF(C24=0,"",(D38*C24-F34)/$K$9)</f>
        <v/>
      </c>
    </row>
    <row r="59" ht="15.75" customHeight="1" s="228">
      <c r="B59" s="70" t="inlineStr">
        <is>
          <t>Max daily by Daily/Balance green</t>
        </is>
      </c>
      <c r="C59" s="15">
        <f>IF(OR(C24=0,D24=0),"",D40*D24-E34)</f>
        <v/>
      </c>
    </row>
    <row r="60" ht="15.75" customHeight="1" s="228">
      <c r="B60" s="68" t="inlineStr">
        <is>
          <t>CASH-FLOW MAX DAILY  (weakest link)</t>
        </is>
      </c>
      <c r="C60" s="21">
        <f>IF(C24=0,"",MAX(0,MIN(C57:C59)))</f>
        <v/>
      </c>
      <c r="D60" s="4">
        <f>IF(C60="","",IF(C60=0,"no clean room - existing debt is over a green line",INDEX({"SP% holdback";"Total LVG";"Daily/Balance"},MATCH(C60,C57:C59,0))&amp;" is the limit"))</f>
        <v/>
      </c>
    </row>
    <row r="61" ht="15.75" customHeight="1" s="228">
      <c r="B61" s="70" t="inlineStr">
        <is>
          <t>Weekly / monthly equivalent</t>
        </is>
      </c>
      <c r="C61" s="75">
        <f>IF(OR(C60="",C60=0),"",C60*5)</f>
        <v/>
      </c>
      <c r="D61" s="75">
        <f>IF(OR(C60="",C60=0),"",C60*$K$9)</f>
        <v/>
      </c>
    </row>
    <row r="62" ht="15.75" customHeight="1" s="228">
      <c r="B62" s="70" t="inlineStr">
        <is>
          <t>Term (daily pmts) / factor from bands</t>
        </is>
      </c>
      <c r="C62" s="76">
        <f>IF(OR(C60="",C60=0,C55=""),"",MAX(20,MIN(INDEX(Controls!$B$19:$B$22,MATCH(D57,Controls!$A$19:$A$22,1)),FLOOR(Controls!$B$23*$K$9,5),FLOOR(D41*C24*D62/C60,5))))</f>
        <v/>
      </c>
      <c r="D62" s="77">
        <f>IF(OR(C55="",C24=0),"",INDEX(Controls!$C$19:$C$22,MATCH(D57,Controls!$A$19:$A$22,1)))</f>
        <v/>
      </c>
    </row>
    <row r="63" ht="15.75" customHeight="1" s="228">
      <c r="B63" s="68" t="inlineStr">
        <is>
          <t>CASH-FLOW MAX FUND</t>
        </is>
      </c>
      <c r="C63" s="78">
        <f>IF(COUNTIF(F42:F45,"KNOCKOUT")&gt;0,"-",IF(OR(C60="",C60=0,C62="",D62=""),"",FLOOR(C60*C62/D62,500)))</f>
        <v/>
      </c>
      <c r="D63" s="4">
        <f>IF(C63="-","KNOCKOUT on the merchant - do not fund.",IF(C63="","","payback "&amp;TEXT(C63*D62,"$#,##0")&amp;" over "&amp;C62&amp;" daily pmts ("&amp;TEXT(C62/5,"0")&amp;" wks) - this is the ceiling; see F below"))</f>
        <v/>
      </c>
    </row>
    <row r="64" ht="15.75" customHeight="1" s="228">
      <c r="B64" s="4" t="n"/>
    </row>
    <row r="65" ht="18" customHeight="1" s="228">
      <c r="B65" s="253" t="inlineStr">
        <is>
          <t>F.  FINAL OFFER  =  cash-flow maximum  x  house-book evidence   (full detail on Decision Summary)</t>
        </is>
      </c>
    </row>
    <row r="66" ht="15.75" customHeight="1" s="228">
      <c r="B66" s="254" t="inlineStr">
        <is>
          <t>Item</t>
        </is>
      </c>
      <c r="C66" s="254" t="inlineStr">
        <is>
          <t>Value</t>
        </is>
      </c>
      <c r="D66" s="254" t="inlineStr">
        <is>
          <t>Detail</t>
        </is>
      </c>
      <c r="E66" s="255" t="n"/>
      <c r="F66" s="255" t="n"/>
      <c r="G66" s="255" t="n"/>
      <c r="H66" s="256" t="n"/>
    </row>
    <row r="67" ht="15.75" customHeight="1" s="228">
      <c r="B67" s="257" t="inlineStr">
        <is>
          <t>FINAL DECISION</t>
        </is>
      </c>
      <c r="C67" s="258">
        <f>'Decision Summary'!$C$5</f>
        <v/>
      </c>
      <c r="D67" s="244">
        <f>'Decision Summary'!$D$5</f>
        <v/>
      </c>
    </row>
    <row r="68" ht="15.75" customHeight="1" s="228">
      <c r="B68" s="257" t="inlineStr">
        <is>
          <t>Recommended fund</t>
        </is>
      </c>
      <c r="C68" s="259">
        <f>'Decision Summary'!$C$6</f>
        <v/>
      </c>
      <c r="D68" s="244">
        <f>'Decision Summary'!$D$6</f>
        <v/>
      </c>
    </row>
    <row r="69" ht="15.75" customHeight="1" s="228">
      <c r="B69" s="257" t="inlineStr">
        <is>
          <t>Factor</t>
        </is>
      </c>
      <c r="C69" s="260">
        <f>'Decision Summary'!$C$7</f>
        <v/>
      </c>
      <c r="D69" s="244">
        <f>'Decision Summary'!$D$7</f>
        <v/>
      </c>
    </row>
    <row r="70" ht="15.75" customHeight="1" s="228">
      <c r="B70" s="257" t="inlineStr">
        <is>
          <t>Term</t>
        </is>
      </c>
      <c r="C70" s="261">
        <f>'Decision Summary'!$C$8</f>
        <v/>
      </c>
      <c r="D70" s="244">
        <f>'Decision Summary'!$D$8</f>
        <v/>
      </c>
    </row>
    <row r="71" ht="15.75" customHeight="1" s="228">
      <c r="B71" s="257" t="inlineStr">
        <is>
          <t>Payment</t>
        </is>
      </c>
      <c r="C71" s="262">
        <f>'Decision Summary'!$C$9</f>
        <v/>
      </c>
      <c r="D71" s="244">
        <f>'Decision Summary'!$D$9</f>
        <v/>
      </c>
    </row>
    <row r="72" ht="15.75" customHeight="1" s="228">
      <c r="B72" s="257" t="inlineStr">
        <is>
          <t>Frequency</t>
        </is>
      </c>
      <c r="C72" s="261">
        <f>'Decision Summary'!$C$10</f>
        <v/>
      </c>
      <c r="D72" s="244">
        <f>'Decision Summary'!$D$10</f>
        <v/>
      </c>
    </row>
    <row r="73" ht="15.75" customHeight="1" s="228">
      <c r="B73" s="257" t="inlineStr">
        <is>
          <t>Holdback % at final offer</t>
        </is>
      </c>
      <c r="C73" s="263">
        <f>'Decision Summary'!$C$11</f>
        <v/>
      </c>
      <c r="D73" s="244">
        <f>'Decision Summary'!$D$11</f>
        <v/>
      </c>
    </row>
    <row r="74" ht="15.75" customHeight="1" s="228">
      <c r="B74" s="257" t="inlineStr">
        <is>
          <t>Historical modifier</t>
        </is>
      </c>
      <c r="C74" s="261">
        <f>'Decision Summary'!$C$16</f>
        <v/>
      </c>
      <c r="D74" s="244">
        <f>'Decision Summary'!$D$16</f>
        <v/>
      </c>
    </row>
    <row r="75" ht="15.75" customHeight="1" s="228">
      <c r="B75" s="257" t="inlineStr">
        <is>
          <t>Comparable deals (seasoned / all)</t>
        </is>
      </c>
      <c r="C75" s="261">
        <f>'Decision Summary'!$C$19</f>
        <v/>
      </c>
      <c r="D75" s="244">
        <f>'Decision Summary'!$D$19</f>
        <v/>
      </c>
    </row>
    <row r="76" ht="15.75" customHeight="1" s="228">
      <c r="B76" s="257" t="inlineStr">
        <is>
          <t>Cohort principal lost rate</t>
        </is>
      </c>
      <c r="C76" s="263">
        <f>'Decision Summary'!$C$21</f>
        <v/>
      </c>
      <c r="D76" s="244">
        <f>'Decision Summary'!$D$21</f>
        <v/>
      </c>
    </row>
    <row r="77" ht="15.75" customHeight="1" s="228">
      <c r="B77" s="257" t="inlineStr">
        <is>
          <t>Confidence</t>
        </is>
      </c>
      <c r="C77" s="261">
        <f>'Decision Summary'!$C$18</f>
        <v/>
      </c>
      <c r="D77" s="244">
        <f>'Decision Summary'!$D$18</f>
        <v/>
      </c>
    </row>
    <row r="78" ht="42" customHeight="1" s="228">
      <c r="B78" s="257" t="inlineStr">
        <is>
          <t>Stipulations</t>
        </is>
      </c>
      <c r="C78" s="264">
        <f>'Decision Summary'!$C$26</f>
        <v/>
      </c>
      <c r="D78" s="255" t="n"/>
      <c r="E78" s="255" t="n"/>
      <c r="F78" s="255" t="n"/>
      <c r="G78" s="255" t="n"/>
      <c r="H78" s="256" t="n"/>
    </row>
    <row r="79" ht="105" customHeight="1" s="228">
      <c r="B79" s="265" t="inlineStr">
        <is>
          <t>Underwriter's conclusion</t>
        </is>
      </c>
      <c r="C79" s="266">
        <f>'Decision Summary'!$C$30</f>
        <v/>
      </c>
    </row>
    <row r="80" ht="15.75" customHeight="1" s="228">
      <c r="B80" s="244" t="inlineStr">
        <is>
          <t>Layer 1 (sections A-E) is the safety ceiling. Section F never exceeds C63, never removes a knockout and never turns a green metric red - see Checks. Thresholds live on Controls.</t>
        </is>
      </c>
    </row>
    <row r="81" ht="15.75" customHeight="1" s="228"/>
    <row r="82" ht="15.75" customHeight="1" s="228"/>
    <row r="83" ht="15.75" customHeight="1" s="228"/>
    <row r="84" ht="15.75" customHeight="1" s="228"/>
    <row r="85" ht="15.75" customHeight="1" s="228"/>
    <row r="86" ht="15.75" customHeight="1" s="228"/>
    <row r="87" ht="15.75" customHeight="1" s="228"/>
    <row r="88" ht="15.75" customHeight="1" s="228"/>
    <row r="89" ht="15.75" customHeight="1" s="228"/>
    <row r="90" ht="15.75" customHeight="1" s="228"/>
    <row r="91" ht="15.75" customHeight="1" s="228"/>
    <row r="92" ht="15.75" customHeight="1" s="228"/>
    <row r="93" ht="15.75" customHeight="1" s="228"/>
    <row r="94" ht="15.75" customHeight="1" s="228"/>
    <row r="95" ht="15.75" customHeight="1" s="228"/>
    <row r="96" ht="15.75" customHeight="1" s="228"/>
    <row r="97" ht="15.75" customHeight="1" s="228"/>
    <row r="98" ht="15.75" customHeight="1" s="228"/>
    <row r="99" ht="15.75" customHeight="1" s="228"/>
    <row r="100" ht="15.75" customHeight="1" s="228"/>
    <row r="101" ht="15.75" customHeight="1" s="228"/>
    <row r="102" ht="15.75" customHeight="1" s="228"/>
    <row r="103" ht="15.75" customHeight="1" s="228"/>
    <row r="104" ht="15.75" customHeight="1" s="228"/>
    <row r="105" ht="15.75" customHeight="1" s="228"/>
    <row r="106" ht="15.75" customHeight="1" s="228"/>
    <row r="107" ht="15.75" customHeight="1" s="228"/>
    <row r="108" ht="15.75" customHeight="1" s="228"/>
    <row r="109" ht="15.75" customHeight="1" s="228"/>
    <row r="110" ht="15.75" customHeight="1" s="228"/>
    <row r="111" ht="15.75" customHeight="1" s="228"/>
    <row r="112" ht="15.75" customHeight="1" s="228"/>
    <row r="113" ht="15.75" customHeight="1" s="228"/>
    <row r="114" ht="15.75" customHeight="1" s="228"/>
    <row r="115" ht="15.75" customHeight="1" s="228"/>
    <row r="116" ht="15.75" customHeight="1" s="228"/>
    <row r="117" ht="15.75" customHeight="1" s="228"/>
    <row r="118" ht="15.75" customHeight="1" s="228"/>
    <row r="119" ht="15.75" customHeight="1" s="228"/>
    <row r="120" ht="15.75" customHeight="1" s="228"/>
    <row r="121" ht="15.75" customHeight="1" s="228"/>
    <row r="122" ht="15.75" customHeight="1" s="228"/>
    <row r="123" ht="15.75" customHeight="1" s="228"/>
    <row r="124" ht="15.75" customHeight="1" s="228"/>
    <row r="125" ht="15.75" customHeight="1" s="228"/>
    <row r="126" ht="15.75" customHeight="1" s="228"/>
    <row r="127" ht="15.75" customHeight="1" s="228"/>
    <row r="128" ht="15.75" customHeight="1" s="228"/>
    <row r="129" ht="15.75" customHeight="1" s="228"/>
    <row r="130" ht="15.75" customHeight="1" s="228"/>
    <row r="131" ht="15.75" customHeight="1" s="228"/>
    <row r="132" ht="15.75" customHeight="1" s="228"/>
    <row r="133" ht="15.75" customHeight="1" s="228"/>
    <row r="134" ht="15.75" customHeight="1" s="228"/>
    <row r="135" ht="15.75" customHeight="1" s="228"/>
    <row r="136" ht="15.75" customHeight="1" s="228"/>
    <row r="137" ht="15.75" customHeight="1" s="228"/>
    <row r="138" ht="15.75" customHeight="1" s="228"/>
    <row r="139" ht="15.75" customHeight="1" s="228"/>
    <row r="140" ht="15.75" customHeight="1" s="228"/>
    <row r="141" ht="15.75" customHeight="1" s="228"/>
    <row r="142" ht="15.75" customHeight="1" s="228"/>
    <row r="143" ht="15.75" customHeight="1" s="228"/>
    <row r="144" ht="15.75" customHeight="1" s="228"/>
    <row r="145" ht="15.75" customHeight="1" s="228"/>
    <row r="146" ht="15.75" customHeight="1" s="228"/>
    <row r="147" ht="15.75" customHeight="1" s="228"/>
    <row r="148" ht="15.75" customHeight="1" s="228"/>
    <row r="149" ht="15.75" customHeight="1" s="228"/>
    <row r="150" ht="15.75" customHeight="1" s="228"/>
    <row r="151" ht="15.75" customHeight="1" s="228"/>
    <row r="152" ht="15.75" customHeight="1" s="228"/>
    <row r="153" ht="15.75" customHeight="1" s="228"/>
    <row r="154" ht="15.75" customHeight="1" s="228"/>
    <row r="155" ht="15.75" customHeight="1" s="228"/>
    <row r="156" ht="15.75" customHeight="1" s="228"/>
    <row r="157" ht="15.75" customHeight="1" s="228"/>
    <row r="158" ht="15.75" customHeight="1" s="228"/>
    <row r="159" ht="15.75" customHeight="1" s="228"/>
    <row r="160" ht="15.75" customHeight="1" s="228"/>
    <row r="161" ht="15.75" customHeight="1" s="228"/>
    <row r="162" ht="15.75" customHeight="1" s="228"/>
    <row r="163" ht="15.75" customHeight="1" s="228"/>
    <row r="164" ht="15.75" customHeight="1" s="228"/>
    <row r="165" ht="15.75" customHeight="1" s="228"/>
    <row r="166" ht="15.75" customHeight="1" s="228"/>
    <row r="167" ht="15.75" customHeight="1" s="228"/>
    <row r="168" ht="15.75" customHeight="1" s="228"/>
    <row r="169" ht="15.75" customHeight="1" s="228"/>
    <row r="170" ht="15.75" customHeight="1" s="228"/>
    <row r="171" ht="15.75" customHeight="1" s="228"/>
    <row r="172" ht="15.75" customHeight="1" s="228"/>
    <row r="173" ht="15.75" customHeight="1" s="228"/>
    <row r="174" ht="15.75" customHeight="1" s="228"/>
    <row r="175" ht="15.75" customHeight="1" s="228"/>
    <row r="176" ht="15.75" customHeight="1" s="228"/>
    <row r="177" ht="15.75" customHeight="1" s="228"/>
    <row r="178" ht="15.75" customHeight="1" s="228"/>
    <row r="179" ht="15.75" customHeight="1" s="228"/>
    <row r="180" ht="15.75" customHeight="1" s="228"/>
    <row r="181" ht="15.75" customHeight="1" s="228"/>
    <row r="182" ht="15.75" customHeight="1" s="228"/>
    <row r="183" ht="15.75" customHeight="1" s="228"/>
    <row r="184" ht="15.75" customHeight="1" s="228"/>
    <row r="185" ht="15.75" customHeight="1" s="228"/>
    <row r="186" ht="15.75" customHeight="1" s="228"/>
    <row r="187" ht="15.75" customHeight="1" s="228"/>
    <row r="188" ht="15.75" customHeight="1" s="228"/>
    <row r="189" ht="15.75" customHeight="1" s="228"/>
    <row r="190" ht="15.75" customHeight="1" s="228"/>
    <row r="191" ht="15.75" customHeight="1" s="228"/>
    <row r="192" ht="15.75" customHeight="1" s="228"/>
    <row r="193" ht="15.75" customHeight="1" s="228"/>
    <row r="194" ht="15.75" customHeight="1" s="228"/>
    <row r="195" ht="15.75" customHeight="1" s="228"/>
    <row r="196" ht="15.75" customHeight="1" s="228"/>
    <row r="197" ht="15.75" customHeight="1" s="228"/>
    <row r="198" ht="15.75" customHeight="1" s="228"/>
    <row r="199" ht="15.75" customHeight="1" s="228"/>
    <row r="200" ht="15.75" customHeight="1" s="228"/>
    <row r="201" ht="15.75" customHeight="1" s="228"/>
    <row r="202" ht="15.75" customHeight="1" s="228"/>
    <row r="203" ht="15.75" customHeight="1" s="228"/>
    <row r="204" ht="15.75" customHeight="1" s="228"/>
    <row r="205" ht="15.75" customHeight="1" s="228"/>
    <row r="206" ht="15.75" customHeight="1" s="228"/>
    <row r="207" ht="15.75" customHeight="1" s="228"/>
    <row r="208" ht="15.75" customHeight="1" s="228"/>
    <row r="209" ht="15.75" customHeight="1" s="228"/>
    <row r="210" ht="15.75" customHeight="1" s="228"/>
    <row r="211" ht="15.75" customHeight="1" s="228"/>
    <row r="212" ht="15.75" customHeight="1" s="228"/>
    <row r="213" ht="15.75" customHeight="1" s="228"/>
    <row r="214" ht="15.75" customHeight="1" s="228"/>
    <row r="215" ht="15.75" customHeight="1" s="228"/>
    <row r="216" ht="15.75" customHeight="1" s="228"/>
    <row r="217" ht="15.75" customHeight="1" s="228"/>
    <row r="218" ht="15.75" customHeight="1" s="228"/>
    <row r="219" ht="15.75" customHeight="1" s="228"/>
    <row r="220" ht="15.75" customHeight="1" s="228"/>
    <row r="221" ht="15.75" customHeight="1" s="228"/>
    <row r="222" ht="15.75" customHeight="1" s="228"/>
    <row r="223" ht="15.75" customHeight="1" s="228"/>
    <row r="224" ht="15.75" customHeight="1" s="228"/>
    <row r="225" ht="15.75" customHeight="1" s="228"/>
    <row r="226" ht="15.75" customHeight="1" s="228"/>
    <row r="227" ht="15.75" customHeight="1" s="228"/>
    <row r="228" ht="15.75" customHeight="1" s="228"/>
    <row r="229" ht="15.75" customHeight="1" s="228"/>
    <row r="230" ht="15.75" customHeight="1" s="228"/>
    <row r="231" ht="15.75" customHeight="1" s="228"/>
    <row r="232" ht="15.75" customHeight="1" s="228"/>
    <row r="233" ht="15.75" customHeight="1" s="228"/>
    <row r="234" ht="15.75" customHeight="1" s="228"/>
    <row r="235" ht="15.75" customHeight="1" s="228"/>
    <row r="236" ht="15.75" customHeight="1" s="228"/>
    <row r="237" ht="15.75" customHeight="1" s="228"/>
    <row r="238" ht="15.75" customHeight="1" s="228"/>
    <row r="239" ht="15.75" customHeight="1" s="228"/>
    <row r="240" ht="15.75" customHeight="1" s="228"/>
    <row r="241" ht="15.75" customHeight="1" s="228"/>
    <row r="242" ht="15.75" customHeight="1" s="228"/>
    <row r="243" ht="15.75" customHeight="1" s="228"/>
    <row r="244" ht="15.75" customHeight="1" s="228"/>
    <row r="245" ht="15.75" customHeight="1" s="228"/>
    <row r="246" ht="15.75" customHeight="1" s="228"/>
    <row r="247" ht="15.75" customHeight="1" s="228"/>
    <row r="248" ht="15.75" customHeight="1" s="228"/>
    <row r="249" ht="15.75" customHeight="1" s="228"/>
    <row r="250" ht="15.75" customHeight="1" s="228"/>
    <row r="251" ht="15.75" customHeight="1" s="228"/>
    <row r="252" ht="15.75" customHeight="1" s="228"/>
    <row r="253" ht="15.75" customHeight="1" s="228"/>
    <row r="254" ht="15.75" customHeight="1" s="228"/>
    <row r="255" ht="15.75" customHeight="1" s="228"/>
    <row r="256" ht="15.75" customHeight="1" s="228"/>
    <row r="257" ht="15.75" customHeight="1" s="228"/>
    <row r="258" ht="15.75" customHeight="1" s="228"/>
    <row r="259" ht="15.75" customHeight="1" s="228"/>
    <row r="260" ht="15.75" customHeight="1" s="228"/>
    <row r="261" ht="15.75" customHeight="1" s="228"/>
    <row r="262" ht="15.75" customHeight="1" s="228"/>
    <row r="263" ht="15.75" customHeight="1" s="228"/>
    <row r="264" ht="15.75" customHeight="1" s="228"/>
    <row r="265" ht="15.75" customHeight="1" s="228"/>
    <row r="266" ht="15.75" customHeight="1" s="228"/>
    <row r="267" ht="15.75" customHeight="1" s="228"/>
    <row r="268" ht="15.75" customHeight="1" s="228"/>
    <row r="269" ht="15.75" customHeight="1" s="228"/>
    <row r="270" ht="15.75" customHeight="1" s="228"/>
    <row r="271" ht="15.75" customHeight="1" s="228"/>
    <row r="272" ht="15.75" customHeight="1" s="228"/>
    <row r="273" ht="15.75" customHeight="1" s="228"/>
    <row r="274" ht="15.75" customHeight="1" s="228"/>
    <row r="275" ht="15.75" customHeight="1" s="228"/>
    <row r="276" ht="15.75" customHeight="1" s="228"/>
    <row r="277" ht="15.75" customHeight="1" s="228"/>
    <row r="278" ht="15.75" customHeight="1" s="228"/>
    <row r="279" ht="15.75" customHeight="1" s="228"/>
    <row r="280" ht="15.75" customHeight="1" s="228"/>
    <row r="281" ht="15.75" customHeight="1" s="228"/>
    <row r="282" ht="15.75" customHeight="1" s="228"/>
    <row r="283" ht="15.75" customHeight="1" s="228"/>
    <row r="284" ht="15.75" customHeight="1" s="228"/>
    <row r="285" ht="15.75" customHeight="1" s="228"/>
    <row r="286" ht="15.75" customHeight="1" s="228"/>
    <row r="287" ht="15.75" customHeight="1" s="228"/>
    <row r="288" ht="15.75" customHeight="1" s="228"/>
    <row r="289" ht="15.75" customHeight="1" s="228"/>
    <row r="290" ht="15.75" customHeight="1" s="228"/>
    <row r="291" ht="15.75" customHeight="1" s="228"/>
    <row r="292" ht="15.75" customHeight="1" s="228"/>
    <row r="293" ht="15.75" customHeight="1" s="228"/>
    <row r="294" ht="15.75" customHeight="1" s="228"/>
    <row r="295" ht="15.75" customHeight="1" s="228"/>
    <row r="296" ht="15.75" customHeight="1" s="228"/>
    <row r="297" ht="15.75" customHeight="1" s="228"/>
    <row r="298" ht="15.75" customHeight="1" s="228"/>
    <row r="299" ht="15.75" customHeight="1" s="228"/>
    <row r="300" ht="15.75" customHeight="1" s="228"/>
    <row r="301" ht="15.75" customHeight="1" s="228"/>
    <row r="302" ht="15.75" customHeight="1" s="228"/>
    <row r="303" ht="15.75" customHeight="1" s="228"/>
    <row r="304" ht="15.75" customHeight="1" s="228"/>
    <row r="305" ht="15.75" customHeight="1" s="228"/>
    <row r="306" ht="15.75" customHeight="1" s="228"/>
    <row r="307" ht="15.75" customHeight="1" s="228"/>
    <row r="308" ht="15.75" customHeight="1" s="228"/>
    <row r="309" ht="15.75" customHeight="1" s="228"/>
    <row r="310" ht="15.75" customHeight="1" s="228"/>
    <row r="311" ht="15.75" customHeight="1" s="228"/>
    <row r="312" ht="15.75" customHeight="1" s="228"/>
    <row r="313" ht="15.75" customHeight="1" s="228"/>
    <row r="314" ht="15.75" customHeight="1" s="228"/>
    <row r="315" ht="15.75" customHeight="1" s="228"/>
    <row r="316" ht="15.75" customHeight="1" s="228"/>
    <row r="317" ht="15.75" customHeight="1" s="228"/>
    <row r="318" ht="15.75" customHeight="1" s="228"/>
    <row r="319" ht="15.75" customHeight="1" s="228"/>
    <row r="320" ht="15.75" customHeight="1" s="228"/>
    <row r="321" ht="15.75" customHeight="1" s="228"/>
    <row r="322" ht="15.75" customHeight="1" s="228"/>
    <row r="323" ht="15.75" customHeight="1" s="228"/>
    <row r="324" ht="15.75" customHeight="1" s="228"/>
    <row r="325" ht="15.75" customHeight="1" s="228"/>
    <row r="326" ht="15.75" customHeight="1" s="228"/>
    <row r="327" ht="15.75" customHeight="1" s="228"/>
    <row r="328" ht="15.75" customHeight="1" s="228"/>
    <row r="329" ht="15.75" customHeight="1" s="228"/>
    <row r="330" ht="15.75" customHeight="1" s="228"/>
    <row r="331" ht="15.75" customHeight="1" s="228"/>
    <row r="332" ht="15.75" customHeight="1" s="228"/>
    <row r="333" ht="15.75" customHeight="1" s="228"/>
    <row r="334" ht="15.75" customHeight="1" s="228"/>
    <row r="335" ht="15.75" customHeight="1" s="228"/>
    <row r="336" ht="15.75" customHeight="1" s="228"/>
    <row r="337" ht="15.75" customHeight="1" s="228"/>
    <row r="338" ht="15.75" customHeight="1" s="228"/>
    <row r="339" ht="15.75" customHeight="1" s="228"/>
    <row r="340" ht="15.75" customHeight="1" s="228"/>
    <row r="341" ht="15.75" customHeight="1" s="228"/>
    <row r="342" ht="15.75" customHeight="1" s="228"/>
    <row r="343" ht="15.75" customHeight="1" s="228"/>
    <row r="344" ht="15.75" customHeight="1" s="228"/>
    <row r="345" ht="15.75" customHeight="1" s="228"/>
    <row r="346" ht="15.75" customHeight="1" s="228"/>
    <row r="347" ht="15.75" customHeight="1" s="228"/>
    <row r="348" ht="15.75" customHeight="1" s="228"/>
    <row r="349" ht="15.75" customHeight="1" s="228"/>
    <row r="350" ht="15.75" customHeight="1" s="228"/>
    <row r="351" ht="15.75" customHeight="1" s="228"/>
    <row r="352" ht="15.75" customHeight="1" s="228"/>
    <row r="353" ht="15.75" customHeight="1" s="228"/>
    <row r="354" ht="15.75" customHeight="1" s="228"/>
    <row r="355" ht="15.75" customHeight="1" s="228"/>
    <row r="356" ht="15.75" customHeight="1" s="228"/>
    <row r="357" ht="15.75" customHeight="1" s="228"/>
    <row r="358" ht="15.75" customHeight="1" s="228"/>
    <row r="359" ht="15.75" customHeight="1" s="228"/>
    <row r="360" ht="15.75" customHeight="1" s="228"/>
    <row r="361" ht="15.75" customHeight="1" s="228"/>
    <row r="362" ht="15.75" customHeight="1" s="228"/>
    <row r="363" ht="15.75" customHeight="1" s="228"/>
    <row r="364" ht="15.75" customHeight="1" s="228"/>
    <row r="365" ht="15.75" customHeight="1" s="228"/>
    <row r="366" ht="15.75" customHeight="1" s="228"/>
    <row r="367" ht="15.75" customHeight="1" s="228"/>
    <row r="368" ht="15.75" customHeight="1" s="228"/>
    <row r="369" ht="15.75" customHeight="1" s="228"/>
    <row r="370" ht="15.75" customHeight="1" s="228"/>
    <row r="371" ht="15.75" customHeight="1" s="228"/>
    <row r="372" ht="15.75" customHeight="1" s="228"/>
    <row r="373" ht="15.75" customHeight="1" s="228"/>
    <row r="374" ht="15.75" customHeight="1" s="228"/>
    <row r="375" ht="15.75" customHeight="1" s="228"/>
    <row r="376" ht="15.75" customHeight="1" s="228"/>
    <row r="377" ht="15.75" customHeight="1" s="228"/>
    <row r="378" ht="15.75" customHeight="1" s="228"/>
    <row r="379" ht="15.75" customHeight="1" s="228"/>
    <row r="380" ht="15.75" customHeight="1" s="228"/>
    <row r="381" ht="15.75" customHeight="1" s="228"/>
    <row r="382" ht="15.75" customHeight="1" s="228"/>
    <row r="383" ht="15.75" customHeight="1" s="228"/>
    <row r="384" ht="15.75" customHeight="1" s="228"/>
    <row r="385" ht="15.75" customHeight="1" s="228"/>
    <row r="386" ht="15.75" customHeight="1" s="228"/>
    <row r="387" ht="15.75" customHeight="1" s="228"/>
    <row r="388" ht="15.75" customHeight="1" s="228"/>
    <row r="389" ht="15.75" customHeight="1" s="228"/>
    <row r="390" ht="15.75" customHeight="1" s="228"/>
    <row r="391" ht="15.75" customHeight="1" s="228"/>
    <row r="392" ht="15.75" customHeight="1" s="228"/>
    <row r="393" ht="15.75" customHeight="1" s="228"/>
    <row r="394" ht="15.75" customHeight="1" s="228"/>
    <row r="395" ht="15.75" customHeight="1" s="228"/>
    <row r="396" ht="15.75" customHeight="1" s="228"/>
    <row r="397" ht="15.75" customHeight="1" s="228"/>
    <row r="398" ht="15.75" customHeight="1" s="228"/>
    <row r="399" ht="15.75" customHeight="1" s="228"/>
    <row r="400" ht="15.75" customHeight="1" s="228"/>
    <row r="401" ht="15.75" customHeight="1" s="228"/>
    <row r="402" ht="15.75" customHeight="1" s="228"/>
    <row r="403" ht="15.75" customHeight="1" s="228"/>
    <row r="404" ht="15.75" customHeight="1" s="228"/>
    <row r="405" ht="15.75" customHeight="1" s="228"/>
    <row r="406" ht="15.75" customHeight="1" s="228"/>
    <row r="407" ht="15.75" customHeight="1" s="228"/>
    <row r="408" ht="15.75" customHeight="1" s="228"/>
    <row r="409" ht="15.75" customHeight="1" s="228"/>
    <row r="410" ht="15.75" customHeight="1" s="228"/>
    <row r="411" ht="15.75" customHeight="1" s="228"/>
    <row r="412" ht="15.75" customHeight="1" s="228"/>
    <row r="413" ht="15.75" customHeight="1" s="228"/>
    <row r="414" ht="15.75" customHeight="1" s="228"/>
    <row r="415" ht="15.75" customHeight="1" s="228"/>
    <row r="416" ht="15.75" customHeight="1" s="228"/>
    <row r="417" ht="15.75" customHeight="1" s="228"/>
    <row r="418" ht="15.75" customHeight="1" s="228"/>
    <row r="419" ht="15.75" customHeight="1" s="228"/>
    <row r="420" ht="15.75" customHeight="1" s="228"/>
    <row r="421" ht="15.75" customHeight="1" s="228"/>
    <row r="422" ht="15.75" customHeight="1" s="228"/>
    <row r="423" ht="15.75" customHeight="1" s="228"/>
    <row r="424" ht="15.75" customHeight="1" s="228"/>
    <row r="425" ht="15.75" customHeight="1" s="228"/>
    <row r="426" ht="15.75" customHeight="1" s="228"/>
    <row r="427" ht="15.75" customHeight="1" s="228"/>
    <row r="428" ht="15.75" customHeight="1" s="228"/>
    <row r="429" ht="15.75" customHeight="1" s="228"/>
    <row r="430" ht="15.75" customHeight="1" s="228"/>
    <row r="431" ht="15.75" customHeight="1" s="228"/>
    <row r="432" ht="15.75" customHeight="1" s="228"/>
    <row r="433" ht="15.75" customHeight="1" s="228"/>
    <row r="434" ht="15.75" customHeight="1" s="228"/>
    <row r="435" ht="15.75" customHeight="1" s="228"/>
    <row r="436" ht="15.75" customHeight="1" s="228"/>
    <row r="437" ht="15.75" customHeight="1" s="228"/>
    <row r="438" ht="15.75" customHeight="1" s="228"/>
    <row r="439" ht="15.75" customHeight="1" s="228"/>
    <row r="440" ht="15.75" customHeight="1" s="228"/>
    <row r="441" ht="15.75" customHeight="1" s="228"/>
    <row r="442" ht="15.75" customHeight="1" s="228"/>
    <row r="443" ht="15.75" customHeight="1" s="228"/>
    <row r="444" ht="15.75" customHeight="1" s="228"/>
    <row r="445" ht="15.75" customHeight="1" s="228"/>
    <row r="446" ht="15.75" customHeight="1" s="228"/>
    <row r="447" ht="15.75" customHeight="1" s="228"/>
    <row r="448" ht="15.75" customHeight="1" s="228"/>
    <row r="449" ht="15.75" customHeight="1" s="228"/>
    <row r="450" ht="15.75" customHeight="1" s="228"/>
    <row r="451" ht="15.75" customHeight="1" s="228"/>
    <row r="452" ht="15.75" customHeight="1" s="228"/>
    <row r="453" ht="15.75" customHeight="1" s="228"/>
    <row r="454" ht="15.75" customHeight="1" s="228"/>
    <row r="455" ht="15.75" customHeight="1" s="228"/>
    <row r="456" ht="15.75" customHeight="1" s="228"/>
    <row r="457" ht="15.75" customHeight="1" s="228"/>
    <row r="458" ht="15.75" customHeight="1" s="228"/>
    <row r="459" ht="15.75" customHeight="1" s="228"/>
    <row r="460" ht="15.75" customHeight="1" s="228"/>
    <row r="461" ht="15.75" customHeight="1" s="228"/>
    <row r="462" ht="15.75" customHeight="1" s="228"/>
    <row r="463" ht="15.75" customHeight="1" s="228"/>
    <row r="464" ht="15.75" customHeight="1" s="228"/>
    <row r="465" ht="15.75" customHeight="1" s="228"/>
    <row r="466" ht="15.75" customHeight="1" s="228"/>
    <row r="467" ht="15.75" customHeight="1" s="228"/>
    <row r="468" ht="15.75" customHeight="1" s="228"/>
    <row r="469" ht="15.75" customHeight="1" s="228"/>
    <row r="470" ht="15.75" customHeight="1" s="228"/>
    <row r="471" ht="15.75" customHeight="1" s="228"/>
    <row r="472" ht="15.75" customHeight="1" s="228"/>
    <row r="473" ht="15.75" customHeight="1" s="228"/>
    <row r="474" ht="15.75" customHeight="1" s="228"/>
    <row r="475" ht="15.75" customHeight="1" s="228"/>
    <row r="476" ht="15.75" customHeight="1" s="228"/>
    <row r="477" ht="15.75" customHeight="1" s="228"/>
    <row r="478" ht="15.75" customHeight="1" s="228"/>
    <row r="479" ht="15.75" customHeight="1" s="228"/>
    <row r="480" ht="15.75" customHeight="1" s="228"/>
    <row r="481" ht="15.75" customHeight="1" s="228"/>
    <row r="482" ht="15.75" customHeight="1" s="228"/>
    <row r="483" ht="15.75" customHeight="1" s="228"/>
    <row r="484" ht="15.75" customHeight="1" s="228"/>
    <row r="485" ht="15.75" customHeight="1" s="228"/>
    <row r="486" ht="15.75" customHeight="1" s="228"/>
    <row r="487" ht="15.75" customHeight="1" s="228"/>
    <row r="488" ht="15.75" customHeight="1" s="228"/>
    <row r="489" ht="15.75" customHeight="1" s="228"/>
    <row r="490" ht="15.75" customHeight="1" s="228"/>
    <row r="491" ht="15.75" customHeight="1" s="228"/>
    <row r="492" ht="15.75" customHeight="1" s="228"/>
    <row r="493" ht="15.75" customHeight="1" s="228"/>
    <row r="494" ht="15.75" customHeight="1" s="228"/>
    <row r="495" ht="15.75" customHeight="1" s="228"/>
    <row r="496" ht="15.75" customHeight="1" s="228"/>
    <row r="497" ht="15.75" customHeight="1" s="228"/>
    <row r="498" ht="15.75" customHeight="1" s="228"/>
    <row r="499" ht="15.75" customHeight="1" s="228"/>
    <row r="500" ht="15.75" customHeight="1" s="228"/>
    <row r="501" ht="15.75" customHeight="1" s="228"/>
    <row r="502" ht="15.75" customHeight="1" s="228"/>
    <row r="503" ht="15.75" customHeight="1" s="228"/>
    <row r="504" ht="15.75" customHeight="1" s="228"/>
    <row r="505" ht="15.75" customHeight="1" s="228"/>
    <row r="506" ht="15.75" customHeight="1" s="228"/>
    <row r="507" ht="15.75" customHeight="1" s="228"/>
    <row r="508" ht="15.75" customHeight="1" s="228"/>
    <row r="509" ht="15.75" customHeight="1" s="228"/>
    <row r="510" ht="15.75" customHeight="1" s="228"/>
    <row r="511" ht="15.75" customHeight="1" s="228"/>
    <row r="512" ht="15.75" customHeight="1" s="228"/>
    <row r="513" ht="15.75" customHeight="1" s="228"/>
    <row r="514" ht="15.75" customHeight="1" s="228"/>
    <row r="515" ht="15.75" customHeight="1" s="228"/>
    <row r="516" ht="15.75" customHeight="1" s="228"/>
    <row r="517" ht="15.75" customHeight="1" s="228"/>
    <row r="518" ht="15.75" customHeight="1" s="228"/>
    <row r="519" ht="15.75" customHeight="1" s="228"/>
    <row r="520" ht="15.75" customHeight="1" s="228"/>
    <row r="521" ht="15.75" customHeight="1" s="228"/>
    <row r="522" ht="15.75" customHeight="1" s="228"/>
    <row r="523" ht="15.75" customHeight="1" s="228"/>
    <row r="524" ht="15.75" customHeight="1" s="228"/>
    <row r="525" ht="15.75" customHeight="1" s="228"/>
    <row r="526" ht="15.75" customHeight="1" s="228"/>
    <row r="527" ht="15.75" customHeight="1" s="228"/>
    <row r="528" ht="15.75" customHeight="1" s="228"/>
    <row r="529" ht="15.75" customHeight="1" s="228"/>
    <row r="530" ht="15.75" customHeight="1" s="228"/>
    <row r="531" ht="15.75" customHeight="1" s="228"/>
    <row r="532" ht="15.75" customHeight="1" s="228"/>
    <row r="533" ht="15.75" customHeight="1" s="228"/>
    <row r="534" ht="15.75" customHeight="1" s="228"/>
    <row r="535" ht="15.75" customHeight="1" s="228"/>
    <row r="536" ht="15.75" customHeight="1" s="228"/>
    <row r="537" ht="15.75" customHeight="1" s="228"/>
    <row r="538" ht="15.75" customHeight="1" s="228"/>
    <row r="539" ht="15.75" customHeight="1" s="228"/>
    <row r="540" ht="15.75" customHeight="1" s="228"/>
    <row r="541" ht="15.75" customHeight="1" s="228"/>
    <row r="542" ht="15.75" customHeight="1" s="228"/>
    <row r="543" ht="15.75" customHeight="1" s="228"/>
    <row r="544" ht="15.75" customHeight="1" s="228"/>
    <row r="545" ht="15.75" customHeight="1" s="228"/>
    <row r="546" ht="15.75" customHeight="1" s="228"/>
    <row r="547" ht="15.75" customHeight="1" s="228"/>
    <row r="548" ht="15.75" customHeight="1" s="228"/>
    <row r="549" ht="15.75" customHeight="1" s="228"/>
    <row r="550" ht="15.75" customHeight="1" s="228"/>
    <row r="551" ht="15.75" customHeight="1" s="228"/>
    <row r="552" ht="15.75" customHeight="1" s="228"/>
    <row r="553" ht="15.75" customHeight="1" s="228"/>
    <row r="554" ht="15.75" customHeight="1" s="228"/>
    <row r="555" ht="15.75" customHeight="1" s="228"/>
    <row r="556" ht="15.75" customHeight="1" s="228"/>
    <row r="557" ht="15.75" customHeight="1" s="228"/>
    <row r="558" ht="15.75" customHeight="1" s="228"/>
    <row r="559" ht="15.75" customHeight="1" s="228"/>
    <row r="560" ht="15.75" customHeight="1" s="228"/>
    <row r="561" ht="15.75" customHeight="1" s="228"/>
    <row r="562" ht="15.75" customHeight="1" s="228"/>
    <row r="563" ht="15.75" customHeight="1" s="228"/>
    <row r="564" ht="15.75" customHeight="1" s="228"/>
    <row r="565" ht="15.75" customHeight="1" s="228"/>
    <row r="566" ht="15.75" customHeight="1" s="228"/>
    <row r="567" ht="15.75" customHeight="1" s="228"/>
    <row r="568" ht="15.75" customHeight="1" s="228"/>
    <row r="569" ht="15.75" customHeight="1" s="228"/>
    <row r="570" ht="15.75" customHeight="1" s="228"/>
    <row r="571" ht="15.75" customHeight="1" s="228"/>
    <row r="572" ht="15.75" customHeight="1" s="228"/>
    <row r="573" ht="15.75" customHeight="1" s="228"/>
    <row r="574" ht="15.75" customHeight="1" s="228"/>
    <row r="575" ht="15.75" customHeight="1" s="228"/>
    <row r="576" ht="15.75" customHeight="1" s="228"/>
    <row r="577" ht="15.75" customHeight="1" s="228"/>
    <row r="578" ht="15.75" customHeight="1" s="228"/>
    <row r="579" ht="15.75" customHeight="1" s="228"/>
    <row r="580" ht="15.75" customHeight="1" s="228"/>
    <row r="581" ht="15.75" customHeight="1" s="228"/>
    <row r="582" ht="15.75" customHeight="1" s="228"/>
    <row r="583" ht="15.75" customHeight="1" s="228"/>
    <row r="584" ht="15.75" customHeight="1" s="228"/>
    <row r="585" ht="15.75" customHeight="1" s="228"/>
    <row r="586" ht="15.75" customHeight="1" s="228"/>
    <row r="587" ht="15.75" customHeight="1" s="228"/>
    <row r="588" ht="15.75" customHeight="1" s="228"/>
    <row r="589" ht="15.75" customHeight="1" s="228"/>
    <row r="590" ht="15.75" customHeight="1" s="228"/>
    <row r="591" ht="15.75" customHeight="1" s="228"/>
    <row r="592" ht="15.75" customHeight="1" s="228"/>
    <row r="593" ht="15.75" customHeight="1" s="228"/>
    <row r="594" ht="15.75" customHeight="1" s="228"/>
    <row r="595" ht="15.75" customHeight="1" s="228"/>
    <row r="596" ht="15.75" customHeight="1" s="228"/>
    <row r="597" ht="15.75" customHeight="1" s="228"/>
    <row r="598" ht="15.75" customHeight="1" s="228"/>
    <row r="599" ht="15.75" customHeight="1" s="228"/>
    <row r="600" ht="15.75" customHeight="1" s="228"/>
    <row r="601" ht="15.75" customHeight="1" s="228"/>
    <row r="602" ht="15.75" customHeight="1" s="228"/>
    <row r="603" ht="15.75" customHeight="1" s="228"/>
    <row r="604" ht="15.75" customHeight="1" s="228"/>
    <row r="605" ht="15.75" customHeight="1" s="228"/>
    <row r="606" ht="15.75" customHeight="1" s="228"/>
    <row r="607" ht="15.75" customHeight="1" s="228"/>
    <row r="608" ht="15.75" customHeight="1" s="228"/>
    <row r="609" ht="15.75" customHeight="1" s="228"/>
    <row r="610" ht="15.75" customHeight="1" s="228"/>
    <row r="611" ht="15.75" customHeight="1" s="228"/>
    <row r="612" ht="15.75" customHeight="1" s="228"/>
    <row r="613" ht="15.75" customHeight="1" s="228"/>
    <row r="614" ht="15.75" customHeight="1" s="228"/>
    <row r="615" ht="15.75" customHeight="1" s="228"/>
    <row r="616" ht="15.75" customHeight="1" s="228"/>
    <row r="617" ht="15.75" customHeight="1" s="228"/>
    <row r="618" ht="15.75" customHeight="1" s="228"/>
    <row r="619" ht="15.75" customHeight="1" s="228"/>
    <row r="620" ht="15.75" customHeight="1" s="228"/>
    <row r="621" ht="15.75" customHeight="1" s="228"/>
    <row r="622" ht="15.75" customHeight="1" s="228"/>
    <row r="623" ht="15.75" customHeight="1" s="228"/>
    <row r="624" ht="15.75" customHeight="1" s="228"/>
    <row r="625" ht="15.75" customHeight="1" s="228"/>
    <row r="626" ht="15.75" customHeight="1" s="228"/>
    <row r="627" ht="15.75" customHeight="1" s="228"/>
    <row r="628" ht="15.75" customHeight="1" s="228"/>
    <row r="629" ht="15.75" customHeight="1" s="228"/>
    <row r="630" ht="15.75" customHeight="1" s="228"/>
    <row r="631" ht="15.75" customHeight="1" s="228"/>
    <row r="632" ht="15.75" customHeight="1" s="228"/>
    <row r="633" ht="15.75" customHeight="1" s="228"/>
    <row r="634" ht="15.75" customHeight="1" s="228"/>
    <row r="635" ht="15.75" customHeight="1" s="228"/>
    <row r="636" ht="15.75" customHeight="1" s="228"/>
    <row r="637" ht="15.75" customHeight="1" s="228"/>
    <row r="638" ht="15.75" customHeight="1" s="228"/>
    <row r="639" ht="15.75" customHeight="1" s="228"/>
    <row r="640" ht="15.75" customHeight="1" s="228"/>
    <row r="641" ht="15.75" customHeight="1" s="228"/>
    <row r="642" ht="15.75" customHeight="1" s="228"/>
    <row r="643" ht="15.75" customHeight="1" s="228"/>
    <row r="644" ht="15.75" customHeight="1" s="228"/>
    <row r="645" ht="15.75" customHeight="1" s="228"/>
    <row r="646" ht="15.75" customHeight="1" s="228"/>
    <row r="647" ht="15.75" customHeight="1" s="228"/>
    <row r="648" ht="15.75" customHeight="1" s="228"/>
    <row r="649" ht="15.75" customHeight="1" s="228"/>
    <row r="650" ht="15.75" customHeight="1" s="228"/>
    <row r="651" ht="15.75" customHeight="1" s="228"/>
    <row r="652" ht="15.75" customHeight="1" s="228"/>
    <row r="653" ht="15.75" customHeight="1" s="228"/>
    <row r="654" ht="15.75" customHeight="1" s="228"/>
    <row r="655" ht="15.75" customHeight="1" s="228"/>
    <row r="656" ht="15.75" customHeight="1" s="228"/>
    <row r="657" ht="15.75" customHeight="1" s="228"/>
    <row r="658" ht="15.75" customHeight="1" s="228"/>
    <row r="659" ht="15.75" customHeight="1" s="228"/>
    <row r="660" ht="15.75" customHeight="1" s="228"/>
    <row r="661" ht="15.75" customHeight="1" s="228"/>
    <row r="662" ht="15.75" customHeight="1" s="228"/>
    <row r="663" ht="15.75" customHeight="1" s="228"/>
    <row r="664" ht="15.75" customHeight="1" s="228"/>
    <row r="665" ht="15.75" customHeight="1" s="228"/>
    <row r="666" ht="15.75" customHeight="1" s="228"/>
    <row r="667" ht="15.75" customHeight="1" s="228"/>
    <row r="668" ht="15.75" customHeight="1" s="228"/>
    <row r="669" ht="15.75" customHeight="1" s="228"/>
    <row r="670" ht="15.75" customHeight="1" s="228"/>
    <row r="671" ht="15.75" customHeight="1" s="228"/>
    <row r="672" ht="15.75" customHeight="1" s="228"/>
    <row r="673" ht="15.75" customHeight="1" s="228"/>
    <row r="674" ht="15.75" customHeight="1" s="228"/>
    <row r="675" ht="15.75" customHeight="1" s="228"/>
    <row r="676" ht="15.75" customHeight="1" s="228"/>
    <row r="677" ht="15.75" customHeight="1" s="228"/>
    <row r="678" ht="15.75" customHeight="1" s="228"/>
    <row r="679" ht="15.75" customHeight="1" s="228"/>
    <row r="680" ht="15.75" customHeight="1" s="228"/>
    <row r="681" ht="15.75" customHeight="1" s="228"/>
    <row r="682" ht="15.75" customHeight="1" s="228"/>
    <row r="683" ht="15.75" customHeight="1" s="228"/>
    <row r="684" ht="15.75" customHeight="1" s="228"/>
    <row r="685" ht="15.75" customHeight="1" s="228"/>
    <row r="686" ht="15.75" customHeight="1" s="228"/>
    <row r="687" ht="15.75" customHeight="1" s="228"/>
    <row r="688" ht="15.75" customHeight="1" s="228"/>
    <row r="689" ht="15.75" customHeight="1" s="228"/>
    <row r="690" ht="15.75" customHeight="1" s="228"/>
    <row r="691" ht="15.75" customHeight="1" s="228"/>
    <row r="692" ht="15.75" customHeight="1" s="228"/>
    <row r="693" ht="15.75" customHeight="1" s="228"/>
    <row r="694" ht="15.75" customHeight="1" s="228"/>
    <row r="695" ht="15.75" customHeight="1" s="228"/>
    <row r="696" ht="15.75" customHeight="1" s="228"/>
    <row r="697" ht="15.75" customHeight="1" s="228"/>
    <row r="698" ht="15.75" customHeight="1" s="228"/>
    <row r="699" ht="15.75" customHeight="1" s="228"/>
    <row r="700" ht="15.75" customHeight="1" s="228"/>
    <row r="701" ht="15.75" customHeight="1" s="228"/>
    <row r="702" ht="15.75" customHeight="1" s="228"/>
    <row r="703" ht="15.75" customHeight="1" s="228"/>
    <row r="704" ht="15.75" customHeight="1" s="228"/>
    <row r="705" ht="15.75" customHeight="1" s="228"/>
    <row r="706" ht="15.75" customHeight="1" s="228"/>
    <row r="707" ht="15.75" customHeight="1" s="228"/>
    <row r="708" ht="15.75" customHeight="1" s="228"/>
    <row r="709" ht="15.75" customHeight="1" s="228"/>
    <row r="710" ht="15.75" customHeight="1" s="228"/>
    <row r="711" ht="15.75" customHeight="1" s="228"/>
    <row r="712" ht="15.75" customHeight="1" s="228"/>
    <row r="713" ht="15.75" customHeight="1" s="228"/>
    <row r="714" ht="15.75" customHeight="1" s="228"/>
    <row r="715" ht="15.75" customHeight="1" s="228"/>
    <row r="716" ht="15.75" customHeight="1" s="228"/>
    <row r="717" ht="15.75" customHeight="1" s="228"/>
    <row r="718" ht="15.75" customHeight="1" s="228"/>
    <row r="719" ht="15.75" customHeight="1" s="228"/>
    <row r="720" ht="15.75" customHeight="1" s="228"/>
    <row r="721" ht="15.75" customHeight="1" s="228"/>
    <row r="722" ht="15.75" customHeight="1" s="228"/>
    <row r="723" ht="15.75" customHeight="1" s="228"/>
    <row r="724" ht="15.75" customHeight="1" s="228"/>
    <row r="725" ht="15.75" customHeight="1" s="228"/>
    <row r="726" ht="15.75" customHeight="1" s="228"/>
    <row r="727" ht="15.75" customHeight="1" s="228"/>
    <row r="728" ht="15.75" customHeight="1" s="228"/>
    <row r="729" ht="15.75" customHeight="1" s="228"/>
    <row r="730" ht="15.75" customHeight="1" s="228"/>
    <row r="731" ht="15.75" customHeight="1" s="228"/>
    <row r="732" ht="15.75" customHeight="1" s="228"/>
    <row r="733" ht="15.75" customHeight="1" s="228"/>
    <row r="734" ht="15.75" customHeight="1" s="228"/>
    <row r="735" ht="15.75" customHeight="1" s="228"/>
    <row r="736" ht="15.75" customHeight="1" s="228"/>
    <row r="737" ht="15.75" customHeight="1" s="228"/>
    <row r="738" ht="15.75" customHeight="1" s="228"/>
    <row r="739" ht="15.75" customHeight="1" s="228"/>
    <row r="740" ht="15.75" customHeight="1" s="228"/>
    <row r="741" ht="15.75" customHeight="1" s="228"/>
    <row r="742" ht="15.75" customHeight="1" s="228"/>
    <row r="743" ht="15.75" customHeight="1" s="228"/>
    <row r="744" ht="15.75" customHeight="1" s="228"/>
    <row r="745" ht="15.75" customHeight="1" s="228"/>
    <row r="746" ht="15.75" customHeight="1" s="228"/>
    <row r="747" ht="15.75" customHeight="1" s="228"/>
    <row r="748" ht="15.75" customHeight="1" s="228"/>
    <row r="749" ht="15.75" customHeight="1" s="228"/>
    <row r="750" ht="15.75" customHeight="1" s="228"/>
    <row r="751" ht="15.75" customHeight="1" s="228"/>
    <row r="752" ht="15.75" customHeight="1" s="228"/>
    <row r="753" ht="15.75" customHeight="1" s="228"/>
    <row r="754" ht="15.75" customHeight="1" s="228"/>
    <row r="755" ht="15.75" customHeight="1" s="228"/>
    <row r="756" ht="15.75" customHeight="1" s="228"/>
    <row r="757" ht="15.75" customHeight="1" s="228"/>
    <row r="758" ht="15.75" customHeight="1" s="228"/>
    <row r="759" ht="15.75" customHeight="1" s="228"/>
    <row r="760" ht="15.75" customHeight="1" s="228"/>
    <row r="761" ht="15.75" customHeight="1" s="228"/>
    <row r="762" ht="15.75" customHeight="1" s="228"/>
    <row r="763" ht="15.75" customHeight="1" s="228"/>
    <row r="764" ht="15.75" customHeight="1" s="228"/>
    <row r="765" ht="15.75" customHeight="1" s="228"/>
    <row r="766" ht="15.75" customHeight="1" s="228"/>
    <row r="767" ht="15.75" customHeight="1" s="228"/>
    <row r="768" ht="15.75" customHeight="1" s="228"/>
    <row r="769" ht="15.75" customHeight="1" s="228"/>
    <row r="770" ht="15.75" customHeight="1" s="228"/>
    <row r="771" ht="15.75" customHeight="1" s="228"/>
    <row r="772" ht="15.75" customHeight="1" s="228"/>
    <row r="773" ht="15.75" customHeight="1" s="228"/>
    <row r="774" ht="15.75" customHeight="1" s="228"/>
    <row r="775" ht="15.75" customHeight="1" s="228"/>
    <row r="776" ht="15.75" customHeight="1" s="228"/>
    <row r="777" ht="15.75" customHeight="1" s="228"/>
    <row r="778" ht="15.75" customHeight="1" s="228"/>
    <row r="779" ht="15.75" customHeight="1" s="228"/>
    <row r="780" ht="15.75" customHeight="1" s="228"/>
    <row r="781" ht="15.75" customHeight="1" s="228"/>
    <row r="782" ht="15.75" customHeight="1" s="228"/>
    <row r="783" ht="15.75" customHeight="1" s="228"/>
    <row r="784" ht="15.75" customHeight="1" s="228"/>
    <row r="785" ht="15.75" customHeight="1" s="228"/>
    <row r="786" ht="15.75" customHeight="1" s="228"/>
    <row r="787" ht="15.75" customHeight="1" s="228"/>
    <row r="788" ht="15.75" customHeight="1" s="228"/>
    <row r="789" ht="15.75" customHeight="1" s="228"/>
    <row r="790" ht="15.75" customHeight="1" s="228"/>
    <row r="791" ht="15.75" customHeight="1" s="228"/>
    <row r="792" ht="15.75" customHeight="1" s="228"/>
    <row r="793" ht="15.75" customHeight="1" s="228"/>
    <row r="794" ht="15.75" customHeight="1" s="228"/>
    <row r="795" ht="15.75" customHeight="1" s="228"/>
    <row r="796" ht="15.75" customHeight="1" s="228"/>
    <row r="797" ht="15.75" customHeight="1" s="228"/>
    <row r="798" ht="15.75" customHeight="1" s="228"/>
    <row r="799" ht="15.75" customHeight="1" s="228"/>
    <row r="800" ht="15.75" customHeight="1" s="228"/>
    <row r="801" ht="15.75" customHeight="1" s="228"/>
    <row r="802" ht="15.75" customHeight="1" s="228"/>
    <row r="803" ht="15.75" customHeight="1" s="228"/>
    <row r="804" ht="15.75" customHeight="1" s="228"/>
    <row r="805" ht="15.75" customHeight="1" s="228"/>
    <row r="806" ht="15.75" customHeight="1" s="228"/>
    <row r="807" ht="15.75" customHeight="1" s="228"/>
    <row r="808" ht="15.75" customHeight="1" s="228"/>
    <row r="809" ht="15.75" customHeight="1" s="228"/>
    <row r="810" ht="15.75" customHeight="1" s="228"/>
    <row r="811" ht="15.75" customHeight="1" s="228"/>
    <row r="812" ht="15.75" customHeight="1" s="228"/>
    <row r="813" ht="15.75" customHeight="1" s="228"/>
    <row r="814" ht="15.75" customHeight="1" s="228"/>
    <row r="815" ht="15.75" customHeight="1" s="228"/>
    <row r="816" ht="15.75" customHeight="1" s="228"/>
    <row r="817" ht="15.75" customHeight="1" s="228"/>
    <row r="818" ht="15.75" customHeight="1" s="228"/>
    <row r="819" ht="15.75" customHeight="1" s="228"/>
    <row r="820" ht="15.75" customHeight="1" s="228"/>
    <row r="821" ht="15.75" customHeight="1" s="228"/>
    <row r="822" ht="15.75" customHeight="1" s="228"/>
    <row r="823" ht="15.75" customHeight="1" s="228"/>
    <row r="824" ht="15.75" customHeight="1" s="228"/>
    <row r="825" ht="15.75" customHeight="1" s="228"/>
    <row r="826" ht="15.75" customHeight="1" s="228"/>
    <row r="827" ht="15.75" customHeight="1" s="228"/>
    <row r="828" ht="15.75" customHeight="1" s="228"/>
    <row r="829" ht="15.75" customHeight="1" s="228"/>
    <row r="830" ht="15.75" customHeight="1" s="228"/>
    <row r="831" ht="15.75" customHeight="1" s="228"/>
    <row r="832" ht="15.75" customHeight="1" s="228"/>
    <row r="833" ht="15.75" customHeight="1" s="228"/>
    <row r="834" ht="15.75" customHeight="1" s="228"/>
    <row r="835" ht="15.75" customHeight="1" s="228"/>
    <row r="836" ht="15.75" customHeight="1" s="228"/>
    <row r="837" ht="15.75" customHeight="1" s="228"/>
    <row r="838" ht="15.75" customHeight="1" s="228"/>
    <row r="839" ht="15.75" customHeight="1" s="228"/>
    <row r="840" ht="15.75" customHeight="1" s="228"/>
    <row r="841" ht="15.75" customHeight="1" s="228"/>
    <row r="842" ht="15.75" customHeight="1" s="228"/>
    <row r="843" ht="15.75" customHeight="1" s="228"/>
    <row r="844" ht="15.75" customHeight="1" s="228"/>
    <row r="845" ht="15.75" customHeight="1" s="228"/>
    <row r="846" ht="15.75" customHeight="1" s="228"/>
    <row r="847" ht="15.75" customHeight="1" s="228"/>
    <row r="848" ht="15.75" customHeight="1" s="228"/>
    <row r="849" ht="15.75" customHeight="1" s="228"/>
    <row r="850" ht="15.75" customHeight="1" s="228"/>
    <row r="851" ht="15.75" customHeight="1" s="228"/>
    <row r="852" ht="15.75" customHeight="1" s="228"/>
    <row r="853" ht="15.75" customHeight="1" s="228"/>
    <row r="854" ht="15.75" customHeight="1" s="228"/>
    <row r="855" ht="15.75" customHeight="1" s="228"/>
    <row r="856" ht="15.75" customHeight="1" s="228"/>
    <row r="857" ht="15.75" customHeight="1" s="228"/>
    <row r="858" ht="15.75" customHeight="1" s="228"/>
    <row r="859" ht="15.75" customHeight="1" s="228"/>
    <row r="860" ht="15.75" customHeight="1" s="228"/>
    <row r="861" ht="15.75" customHeight="1" s="228"/>
    <row r="862" ht="15.75" customHeight="1" s="228"/>
    <row r="863" ht="15.75" customHeight="1" s="228"/>
    <row r="864" ht="15.75" customHeight="1" s="228"/>
    <row r="865" ht="15.75" customHeight="1" s="228"/>
    <row r="866" ht="15.75" customHeight="1" s="228"/>
    <row r="867" ht="15.75" customHeight="1" s="228"/>
    <row r="868" ht="15.75" customHeight="1" s="228"/>
    <row r="869" ht="15.75" customHeight="1" s="228"/>
    <row r="870" ht="15.75" customHeight="1" s="228"/>
    <row r="871" ht="15.75" customHeight="1" s="228"/>
    <row r="872" ht="15.75" customHeight="1" s="228"/>
    <row r="873" ht="15.75" customHeight="1" s="228"/>
    <row r="874" ht="15.75" customHeight="1" s="228"/>
    <row r="875" ht="15.75" customHeight="1" s="228"/>
    <row r="876" ht="15.75" customHeight="1" s="228"/>
    <row r="877" ht="15.75" customHeight="1" s="228"/>
    <row r="878" ht="15.75" customHeight="1" s="228"/>
    <row r="879" ht="15.75" customHeight="1" s="228"/>
    <row r="880" ht="15.75" customHeight="1" s="228"/>
    <row r="881" ht="15.75" customHeight="1" s="228"/>
    <row r="882" ht="15.75" customHeight="1" s="228"/>
    <row r="883" ht="15.75" customHeight="1" s="228"/>
    <row r="884" ht="15.75" customHeight="1" s="228"/>
    <row r="885" ht="15.75" customHeight="1" s="228"/>
    <row r="886" ht="15.75" customHeight="1" s="228"/>
    <row r="887" ht="15.75" customHeight="1" s="228"/>
    <row r="888" ht="15.75" customHeight="1" s="228"/>
    <row r="889" ht="15.75" customHeight="1" s="228"/>
    <row r="890" ht="15.75" customHeight="1" s="228"/>
    <row r="891" ht="15.75" customHeight="1" s="228"/>
    <row r="892" ht="15.75" customHeight="1" s="228"/>
    <row r="893" ht="15.75" customHeight="1" s="228"/>
    <row r="894" ht="15.75" customHeight="1" s="228"/>
    <row r="895" ht="15.75" customHeight="1" s="228"/>
    <row r="896" ht="15.75" customHeight="1" s="228"/>
    <row r="897" ht="15.75" customHeight="1" s="228"/>
    <row r="898" ht="15.75" customHeight="1" s="228"/>
    <row r="899" ht="15.75" customHeight="1" s="228"/>
    <row r="900" ht="15.75" customHeight="1" s="228"/>
    <row r="901" ht="15.75" customHeight="1" s="228"/>
    <row r="902" ht="15.75" customHeight="1" s="228"/>
    <row r="903" ht="15.75" customHeight="1" s="228"/>
    <row r="904" ht="15.75" customHeight="1" s="228"/>
    <row r="905" ht="15.75" customHeight="1" s="228"/>
    <row r="906" ht="15.75" customHeight="1" s="228"/>
    <row r="907" ht="15.75" customHeight="1" s="228"/>
    <row r="908" ht="15.75" customHeight="1" s="228"/>
    <row r="909" ht="15.75" customHeight="1" s="228"/>
    <row r="910" ht="15.75" customHeight="1" s="228"/>
    <row r="911" ht="15.75" customHeight="1" s="228"/>
    <row r="912" ht="15.75" customHeight="1" s="228"/>
    <row r="913" ht="15.75" customHeight="1" s="228"/>
    <row r="914" ht="15.75" customHeight="1" s="228"/>
    <row r="915" ht="15.75" customHeight="1" s="228"/>
    <row r="916" ht="15.75" customHeight="1" s="228"/>
    <row r="917" ht="15.75" customHeight="1" s="228"/>
    <row r="918" ht="15.75" customHeight="1" s="228"/>
    <row r="919" ht="15.75" customHeight="1" s="228"/>
    <row r="920" ht="15.75" customHeight="1" s="228"/>
    <row r="921" ht="15.75" customHeight="1" s="228"/>
    <row r="922" ht="15.75" customHeight="1" s="228"/>
    <row r="923" ht="15.75" customHeight="1" s="228"/>
    <row r="924" ht="15.75" customHeight="1" s="228"/>
    <row r="925" ht="15.75" customHeight="1" s="228"/>
    <row r="926" ht="15.75" customHeight="1" s="228"/>
    <row r="927" ht="15.75" customHeight="1" s="228"/>
    <row r="928" ht="15.75" customHeight="1" s="228"/>
    <row r="929" ht="15.75" customHeight="1" s="228"/>
    <row r="930" ht="15.75" customHeight="1" s="228"/>
    <row r="931" ht="15.75" customHeight="1" s="228"/>
    <row r="932" ht="15.75" customHeight="1" s="228"/>
    <row r="933" ht="15.75" customHeight="1" s="228"/>
    <row r="934" ht="15.75" customHeight="1" s="228"/>
    <row r="935" ht="15.75" customHeight="1" s="228"/>
    <row r="936" ht="15.75" customHeight="1" s="228"/>
    <row r="937" ht="15.75" customHeight="1" s="228"/>
    <row r="938" ht="15.75" customHeight="1" s="228"/>
    <row r="939" ht="15.75" customHeight="1" s="228"/>
    <row r="940" ht="15.75" customHeight="1" s="228"/>
    <row r="941" ht="15.75" customHeight="1" s="228"/>
    <row r="942" ht="15.75" customHeight="1" s="228"/>
    <row r="943" ht="15.75" customHeight="1" s="228"/>
    <row r="944" ht="15.75" customHeight="1" s="228"/>
    <row r="945" ht="15.75" customHeight="1" s="228"/>
    <row r="946" ht="15.75" customHeight="1" s="228"/>
    <row r="947" ht="15.75" customHeight="1" s="228"/>
    <row r="948" ht="15.75" customHeight="1" s="228"/>
    <row r="949" ht="15.75" customHeight="1" s="228"/>
    <row r="950" ht="15.75" customHeight="1" s="228"/>
    <row r="951" ht="15.75" customHeight="1" s="228"/>
    <row r="952" ht="15.75" customHeight="1" s="228"/>
    <row r="953" ht="15.75" customHeight="1" s="228"/>
    <row r="954" ht="15.75" customHeight="1" s="228"/>
    <row r="955" ht="15.75" customHeight="1" s="228"/>
    <row r="956" ht="15.75" customHeight="1" s="228"/>
    <row r="957" ht="15.75" customHeight="1" s="228"/>
    <row r="958" ht="15.75" customHeight="1" s="228"/>
    <row r="959" ht="15.75" customHeight="1" s="228"/>
    <row r="960" ht="15.75" customHeight="1" s="228"/>
    <row r="961" ht="15.75" customHeight="1" s="228"/>
    <row r="962" ht="15.75" customHeight="1" s="228"/>
    <row r="963" ht="15.75" customHeight="1" s="228"/>
    <row r="964" ht="15.75" customHeight="1" s="228"/>
    <row r="965" ht="15.75" customHeight="1" s="228"/>
    <row r="966" ht="15.75" customHeight="1" s="228"/>
    <row r="967" ht="15.75" customHeight="1" s="228"/>
    <row r="968" ht="15.75" customHeight="1" s="228"/>
    <row r="969" ht="15.75" customHeight="1" s="228"/>
    <row r="970" ht="15.75" customHeight="1" s="228"/>
    <row r="971" ht="15.75" customHeight="1" s="228"/>
    <row r="972" ht="15.75" customHeight="1" s="228"/>
    <row r="973" ht="15.75" customHeight="1" s="228"/>
    <row r="974" ht="15.75" customHeight="1" s="228"/>
    <row r="975" ht="15.75" customHeight="1" s="228"/>
    <row r="976" ht="15.75" customHeight="1" s="228"/>
    <row r="977" ht="15.75" customHeight="1" s="228"/>
    <row r="978" ht="15.75" customHeight="1" s="228"/>
    <row r="979" ht="15.75" customHeight="1" s="228"/>
    <row r="980" ht="15.75" customHeight="1" s="228"/>
    <row r="981" ht="15.75" customHeight="1" s="228"/>
    <row r="982" ht="15.75" customHeight="1" s="228"/>
    <row r="983" ht="15.75" customHeight="1" s="228"/>
    <row r="984" ht="15.75" customHeight="1" s="228"/>
    <row r="985" ht="15.75" customHeight="1" s="228"/>
    <row r="986" ht="15.75" customHeight="1" s="228"/>
    <row r="987" ht="15.75" customHeight="1" s="228"/>
    <row r="988" ht="15.75" customHeight="1" s="228"/>
    <row r="989" ht="15.75" customHeight="1" s="228"/>
    <row r="990" ht="15.75" customHeight="1" s="228"/>
    <row r="991" ht="15.75" customHeight="1" s="228"/>
    <row r="992" ht="15.75" customHeight="1" s="228"/>
    <row r="993" ht="15.75" customHeight="1" s="228"/>
    <row r="994" ht="15.75" customHeight="1" s="228"/>
    <row r="995" ht="15.75" customHeight="1" s="228"/>
    <row r="996" ht="15.75" customHeight="1" s="228"/>
    <row r="997" ht="15.75" customHeight="1" s="228"/>
    <row r="998" ht="15.75" customHeight="1" s="228"/>
    <row r="999" ht="15.75" customHeight="1" s="228"/>
    <row r="1000" ht="15.75" customHeight="1" s="228"/>
  </sheetData>
  <mergeCells count="36">
    <mergeCell ref="D60:H60"/>
    <mergeCell ref="L17:M17"/>
    <mergeCell ref="D75:H75"/>
    <mergeCell ref="D69:H69"/>
    <mergeCell ref="B49:H49"/>
    <mergeCell ref="L16:M16"/>
    <mergeCell ref="B65:H65"/>
    <mergeCell ref="D72:H72"/>
    <mergeCell ref="D78:H78"/>
    <mergeCell ref="D63:H63"/>
    <mergeCell ref="C78:H78"/>
    <mergeCell ref="B26:J26"/>
    <mergeCell ref="B64:H64"/>
    <mergeCell ref="D71:H71"/>
    <mergeCell ref="L13:M13"/>
    <mergeCell ref="D74:H74"/>
    <mergeCell ref="B36:H36"/>
    <mergeCell ref="D52:H52"/>
    <mergeCell ref="D68:H68"/>
    <mergeCell ref="L12:M12"/>
    <mergeCell ref="D77:H77"/>
    <mergeCell ref="D73:H73"/>
    <mergeCell ref="B4:H4"/>
    <mergeCell ref="D2:H2"/>
    <mergeCell ref="J4:M4"/>
    <mergeCell ref="J11:M11"/>
    <mergeCell ref="L15:M15"/>
    <mergeCell ref="L18:M18"/>
    <mergeCell ref="B54:H54"/>
    <mergeCell ref="D67:H67"/>
    <mergeCell ref="D76:H76"/>
    <mergeCell ref="B10:H10"/>
    <mergeCell ref="C79:H79"/>
    <mergeCell ref="L14:M14"/>
    <mergeCell ref="D70:H70"/>
    <mergeCell ref="D66:H66"/>
  </mergeCells>
  <conditionalFormatting sqref="F38:F45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C2">
    <cfRule type="cellIs" priority="5" operator="equal" dxfId="10">
      <formula>"APPROVE"</formula>
    </cfRule>
    <cfRule type="cellIs" priority="6" operator="equal" dxfId="11">
      <formula>"CONDITIONAL"</formula>
    </cfRule>
    <cfRule type="cellIs" priority="7" operator="equal" dxfId="12">
      <formula>"DECLINE"</formula>
    </cfRule>
    <cfRule type="cellIs" priority="8" operator="equal" dxfId="13">
      <formula>"MANUAL REVIEW"</formula>
    </cfRule>
  </conditionalFormatting>
  <conditionalFormatting sqref="C52">
    <cfRule type="cellIs" priority="9" operator="equal" dxfId="10">
      <formula>"APPROVE"</formula>
    </cfRule>
    <cfRule type="cellIs" priority="10" operator="equal" dxfId="11">
      <formula>"CONDITIONAL"</formula>
    </cfRule>
    <cfRule type="cellIs" priority="11" operator="equal" dxfId="12">
      <formula>"DECLINE"</formula>
    </cfRule>
    <cfRule type="cellIs" priority="12" operator="equal" dxfId="13">
      <formula>"MANUAL REVIEW"</formula>
    </cfRule>
  </conditionalFormatting>
  <conditionalFormatting sqref="C67">
    <cfRule type="cellIs" priority="13" operator="equal" dxfId="10">
      <formula>"APPROVE"</formula>
    </cfRule>
    <cfRule type="cellIs" priority="14" operator="equal" dxfId="11">
      <formula>"CONDITIONAL"</formula>
    </cfRule>
    <cfRule type="cellIs" priority="15" operator="equal" dxfId="12">
      <formula>"DECLINE"</formula>
    </cfRule>
    <cfRule type="cellIs" priority="16" operator="equal" dxfId="13">
      <formula>"MANUAL REVIEW"</formula>
    </cfRule>
  </conditionalFormatting>
  <dataValidations count="7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  <dataValidation sqref="K12" showDropDown="0" showInputMessage="0" showErrorMessage="0" allowBlank="1" type="list">
      <formula1>=Ref!$E$2:$E$157</formula1>
    </dataValidation>
    <dataValidation sqref="K13" showDropDown="0" showInputMessage="0" showErrorMessage="0" allowBlank="1" type="list">
      <formula1>=Ref!$G$2:$G$67</formula1>
    </dataValidation>
    <dataValidation sqref="K14" showDropDown="0" showInputMessage="0" showErrorMessage="0" allowBlank="1" type="list">
      <formula1>=Ref!$I$2:$I$51</formula1>
    </dataValidation>
    <dataValidation sqref="K15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3" customWidth="1" style="228" min="1" max="1"/>
    <col width="44" customWidth="1" style="228" min="2" max="2"/>
    <col width="26" customWidth="1" style="228" min="3" max="3"/>
    <col width="95" customWidth="1" style="228" min="4" max="4"/>
  </cols>
  <sheetData>
    <row r="1">
      <c r="B1" s="267" t="inlineStr">
        <is>
          <t>DECISION SUMMARY</t>
        </is>
      </c>
    </row>
    <row r="2">
      <c r="B2" s="244" t="inlineStr">
        <is>
          <t>Everything an underwriter needs to sign or override. Cash flow sets the ceiling (Layer 1); house-book evidence sets how much of it to use (Layers 2-3).</t>
        </is>
      </c>
    </row>
    <row r="4">
      <c r="A4" s="254" t="inlineStr"/>
      <c r="B4" s="254" t="inlineStr">
        <is>
          <t>Item</t>
        </is>
      </c>
      <c r="C4" s="254" t="inlineStr">
        <is>
          <t>Value</t>
        </is>
      </c>
      <c r="D4" s="254" t="inlineStr">
        <is>
          <t>Detail</t>
        </is>
      </c>
    </row>
    <row r="5" ht="32" customHeight="1" s="228">
      <c r="B5" s="268" t="inlineStr">
        <is>
          <t>DECISION</t>
        </is>
      </c>
      <c r="C5" s="269">
        <f>IF(Deal!$C$24=0,"",IF(OR(Deal!$C$63="-",Deal!$C$63="",'Offer Engine'!$D$8="",'Offer Engine'!$D$8=0,'Offer Engine'!$D$8&lt;Controls!$B$14,'Offer Engine'!$D$40&gt;=Controls!$B$13),"DECLINE",IF(C28&lt;&gt;"","MANUAL REVIEW",IF(OR(COUNTIF('Offer Engine'!$E$26:$E$33,"YELLOW")+COUNTIF('Offer Engine'!$E$26:$E$33,"RED")&gt;0,'Offer Engine'!$C$10&gt;=4,C31&gt;0),"CONDITIONAL","APPROVE"))))</f>
        <v/>
      </c>
      <c r="D5" s="270">
        <f>IF(C5="","Enter bank data + deal profile.",IF(C5="DECLINE",IF(COUNTIF(Deal!$F$42:$F$45,"KNOCKOUT")&gt;0,"Merchant knockout: "&amp;INDEX(Deal!$B$42:$B$45,MATCH("KNOCKOUT",Deal!$F$42:$F$45,0))&amp;".",IF(OR('Offer Engine'!$D$8="",'Offer Engine'!$D$8=0),"No clean room under the green lines.",IF('Offer Engine'!$D$8&lt;Controls!$B$14,"Adjusted fund "&amp;TEXT('Offer Engine'!$D$8,"$#,##0")&amp;" is below the minimum "&amp;TEXT(Controls!$B$14,"$#,##0")&amp;".","Red flags at the adjusted offer reached the limit."))),IF(C5="MANUAL REVIEW","Triggers: "&amp;C28,IF(C5="APPROVE","All metrics green at the adjusted offer; evidence neutral or better; standard stips only.","Yellows/reds remain, evidence is negative, or conditional stips apply - see below."))))</f>
        <v/>
      </c>
    </row>
    <row r="6">
      <c r="B6" s="268" t="inlineStr">
        <is>
          <t>Recommended funding amount</t>
        </is>
      </c>
      <c r="C6" s="271">
        <f>'Offer Engine'!$D$8</f>
        <v/>
      </c>
      <c r="D6" s="270">
        <f>IF(OR(C6="",C6="-"),"",IF(ISNUMBER(Deal!$C$63),"cash-flow max "&amp;TEXT(Deal!$C$63,"$#,##0")&amp;"  -&gt;  "&amp;TEXT(C6/Deal!$C$63,"0%")&amp;" used  (requested "&amp;IF(Deal!$B$6="","n/a",TEXT(Deal!$B$6,"$#,##0"))&amp;")",""))</f>
        <v/>
      </c>
    </row>
    <row r="7">
      <c r="B7" s="268" t="inlineStr">
        <is>
          <t>Recommended factor rate</t>
        </is>
      </c>
      <c r="C7" s="272">
        <f>'Offer Engine'!$D$7</f>
        <v/>
      </c>
      <c r="D7" s="270">
        <f>IF(C7="","","base "&amp;TEXT('Offer Engine'!$C$7,"0.00")&amp;IF('Offer Engine'!$D$7&gt;'Offer Engine'!$C$7," -&gt; raised one approved tier by history",""))</f>
        <v/>
      </c>
    </row>
    <row r="8">
      <c r="B8" s="268" t="inlineStr">
        <is>
          <t>Recommended term</t>
        </is>
      </c>
      <c r="C8" s="273">
        <f>'Offer Engine'!$D$17</f>
        <v/>
      </c>
      <c r="D8" s="270">
        <f>IF(C8="","",IF('Offer Engine'!$D$16="Weekly","weeks","daily payments")&amp;"  ("&amp;TEXT('Offer Engine'!$D$22,"0.0")&amp;" months; base "&amp;'Offer Engine'!$C$6&amp;" daily pmts"&amp;IF('Offer Engine'!$D$6&lt;'Offer Engine'!$C$6,", shortened by history","")&amp;")")</f>
        <v/>
      </c>
    </row>
    <row r="9">
      <c r="B9" s="268" t="inlineStr">
        <is>
          <t>Payment</t>
        </is>
      </c>
      <c r="C9" s="274">
        <f>'Offer Engine'!$D$18</f>
        <v/>
      </c>
      <c r="D9" s="270">
        <f>IF(C9="","","per "&amp;IF('Offer Engine'!$D$16="Weekly","week","business day")&amp;";  daily-equivalent "&amp;TEXT('Offer Engine'!$D$9,"$#,##0.00")&amp;", monthly "&amp;TEXT('Offer Engine'!$D$19,"$#,##0")&amp;";  payback "&amp;TEXT('Offer Engine'!$D$20,"$#,##0")&amp;", net "&amp;TEXT('Offer Engine'!$D$21,"$#,##0"))</f>
        <v/>
      </c>
    </row>
    <row r="10">
      <c r="B10" s="268" t="inlineStr">
        <is>
          <t>Daily or weekly</t>
        </is>
      </c>
      <c r="C10" s="275">
        <f>'Offer Engine'!$D$16</f>
        <v/>
      </c>
      <c r="D10" s="270">
        <f>IF('Offer Engine'!$C$14="Weekly","Weekly required by the historical modifier","As proposed on the Deal sheet")</f>
        <v/>
      </c>
    </row>
    <row r="11">
      <c r="B11" s="268" t="inlineStr">
        <is>
          <t>Holdback %</t>
        </is>
      </c>
      <c r="C11" s="276">
        <f>'Offer Engine'!$D$27</f>
        <v/>
      </c>
      <c r="D11" s="270">
        <f>IF(C11="","",'Offer Engine'!$E$27&amp;"  (green line "&amp;TEXT(Controls!$B$6,"0%")&amp;")")</f>
        <v/>
      </c>
    </row>
    <row r="12">
      <c r="B12" s="268" t="inlineStr">
        <is>
          <t>Total leverage (all debt / revenue)</t>
        </is>
      </c>
      <c r="C12" s="276">
        <f>'Offer Engine'!$D$26</f>
        <v/>
      </c>
      <c r="D12" s="270">
        <f>IF(C12="","",'Offer Engine'!$E$26&amp;"  (green line "&amp;TEXT(Controls!$B$5,"0%")&amp;")")</f>
        <v/>
      </c>
    </row>
    <row r="13">
      <c r="B13" s="268" t="inlineStr">
        <is>
          <t>Funding-to-revenue</t>
        </is>
      </c>
      <c r="C13" s="272">
        <f>'Offer Engine'!$D$29</f>
        <v/>
      </c>
      <c r="D13" s="270">
        <f>IF(C13="","",'Offer Engine'!$E$29&amp;"  (green line "&amp;TEXT(Controls!$B$8,"0.00")&amp;"x)")</f>
        <v/>
      </c>
    </row>
    <row r="14">
      <c r="B14" s="268" t="inlineStr">
        <is>
          <t>Daily debt-to-balance</t>
        </is>
      </c>
      <c r="C14" s="276">
        <f>'Offer Engine'!$D$28</f>
        <v/>
      </c>
      <c r="D14" s="270">
        <f>IF(C14="","",'Offer Engine'!$E$28&amp;"  (green line "&amp;TEXT(Controls!$B$7,"0%")&amp;")")</f>
        <v/>
      </c>
    </row>
    <row r="15">
      <c r="B15" s="268" t="inlineStr">
        <is>
          <t>Number of positions (incl. new)</t>
        </is>
      </c>
      <c r="C15" s="273">
        <f>Deal!$C$42</f>
        <v/>
      </c>
      <c r="D15" s="270">
        <f>IF(C15="","",Deal!$F$42&amp;IF(Deal!$K$18&lt;&gt;"","  (position override "&amp;Deal!$K$18&amp;" used for matching)",""))</f>
        <v/>
      </c>
    </row>
    <row r="16">
      <c r="B16" s="268" t="inlineStr">
        <is>
          <t>Historical risk modifier</t>
        </is>
      </c>
      <c r="C16" s="275">
        <f>'Historical Score'!$C$43</f>
        <v/>
      </c>
      <c r="D16" s="270">
        <f>IF(C16="","","relative index "&amp;TEXT('Historical Score'!$C$39,"0.00")&amp;" (1.00 = seasoned book); fund x "&amp;TEXT('Offer Engine'!$D$11,"0.00")&amp;", term step "&amp;'Offer Engine'!$D$12&amp;", factor step "&amp;'Offer Engine'!$D$13&amp;IF('Historical Score'!$C$42&lt;&gt;'Historical Score'!$C$40,"; capped by Low confidence",""))</f>
        <v/>
      </c>
    </row>
    <row r="17">
      <c r="B17" s="268" t="inlineStr">
        <is>
          <t>Cash-flow risk score</t>
        </is>
      </c>
      <c r="C17" s="277">
        <f>Deal!$C$55</f>
        <v/>
      </c>
      <c r="D17" s="270">
        <f>IF(C17="","","of "&amp;Deal!$D$55&amp;" scored metrics = "&amp;Deal!$C$56&amp;"  (scaled "&amp;TEXT(Deal!$D$57,"0.0")&amp;"/7 for pricing bands)")</f>
        <v/>
      </c>
    </row>
    <row r="18">
      <c r="B18" s="268" t="inlineStr">
        <is>
          <t>Overall confidence in the historical evidence</t>
        </is>
      </c>
      <c r="C18" s="275">
        <f>'Historical Score'!$C$41</f>
        <v/>
      </c>
      <c r="D18" s="270">
        <f>"Z = "&amp;TEXT('Historical Score'!$C$37,"0.00")&amp;"; open share "&amp;IF('Historical Score'!$C$34="","n/a",TEXT('Historical Score'!$C$34,"0%"))&amp;"; "&amp;IF('Historical Score'!$C$29=7,"no specific cohort met the minimums","primary tier "&amp;'Historical Score'!$C$29)</f>
        <v/>
      </c>
    </row>
    <row r="19">
      <c r="B19" s="268" t="inlineStr">
        <is>
          <t>Number of comparable deals (seasoned / all matches)</t>
        </is>
      </c>
      <c r="C19" s="275">
        <f>'Historical Score'!$C$31</f>
        <v/>
      </c>
      <c r="D19" s="270">
        <f>'Historical Score'!$C$30</f>
        <v/>
      </c>
    </row>
    <row r="20">
      <c r="B20" s="268" t="inlineStr">
        <is>
          <t>Percentage of comparable deals seasoned</t>
        </is>
      </c>
      <c r="C20" s="276">
        <f>'Historical Score'!$C$32</f>
        <v/>
      </c>
      <c r="D20" s="270">
        <f>"unseasoned deals are listed on Comparable Deals but never rated"</f>
        <v/>
      </c>
    </row>
    <row r="21">
      <c r="B21" s="268" t="inlineStr">
        <is>
          <t>Comparable-cohort principal lost rate</t>
        </is>
      </c>
      <c r="C21" s="276">
        <f>'Historical Score'!$C$33</f>
        <v/>
      </c>
      <c r="D21" s="270">
        <f>IF(C21="","too few seasoned deals to show a rate","vs seasoned book "&amp;TEXT('Historical Score'!$C$10,"0.0%")&amp;";  blended (credibility-weighted) "&amp;TEXT('Historical Score'!$C$38,"0.0%")&amp;";  collected on defaults "&amp;IF('Historical Score'!$C$36="","n/a",TEXT('Historical Score'!$C$36,"0%")))</f>
        <v/>
      </c>
    </row>
    <row r="22">
      <c r="B22" s="268" t="inlineStr">
        <is>
          <t>Comparable-cohort return on funded capital</t>
        </is>
      </c>
      <c r="C22" s="276">
        <f>'Historical Score'!$C$35</f>
        <v/>
      </c>
      <c r="D22" s="270">
        <f>IF(C22="","","seasoned deals only; open deals in the cohort depress this figure")</f>
        <v/>
      </c>
    </row>
    <row r="23">
      <c r="B23" s="268" t="inlineStr">
        <is>
          <t>Largest historical impact</t>
        </is>
      </c>
      <c r="C23" s="278">
        <f>'Historical Score'!$C$44</f>
        <v/>
      </c>
      <c r="D23" s="270">
        <f>'Historical Score'!$C$45</f>
        <v/>
      </c>
    </row>
    <row r="24">
      <c r="B24" s="268" t="inlineStr">
        <is>
          <t>Metric that limited the offer</t>
        </is>
      </c>
      <c r="C24" s="278">
        <f>IF(Deal!$D$60="","",Deal!$D$60)</f>
        <v/>
      </c>
      <c r="D24" s="270">
        <f>IF(Deal!$C$60="","",IF(Deal!$C$60=0,"existing debt already exceeds a green line",IF(Deal!$C$62=FLOOR(Deal!$D$41*Deal!$C$24*Deal!$D$62/Deal!$C$60,5),"term also capped by the fund/revenue green line","term set by the score band")))</f>
        <v/>
      </c>
    </row>
    <row r="25" ht="45" customHeight="1" s="228">
      <c r="B25" s="268" t="inlineStr">
        <is>
          <t>ISO / industry / state / position evidence</t>
        </is>
      </c>
      <c r="C25" s="279">
        <f>'Historical Score'!$C$46</f>
        <v/>
      </c>
      <c r="D25" s="270">
        <f>'Historical Score'!$C$47&amp;" | "&amp;'Historical Score'!$C$48&amp;" | "&amp;'Historical Score'!$C$49&amp;IF('Historical Score'!$C$50="No",""," | CONFLICT: "&amp;'Historical Score'!$C$50)</f>
        <v/>
      </c>
    </row>
    <row r="26" ht="45" customHeight="1" s="228">
      <c r="B26" s="268" t="inlineStr">
        <is>
          <t>Required stipulations</t>
        </is>
      </c>
      <c r="C26" s="279">
        <f>C27&amp;IF(D26="","","; "&amp;D26)</f>
        <v/>
      </c>
      <c r="D26" s="270">
        <f>IF(AND(Controls!$B$91="Y",'Offer Engine'!$C$10&gt;=4),"No-stacking covenant with default-to-daily; ","")&amp;IF(AND(Controls!$B$92="Y",Deal!$F$44&lt;&gt;"GREEN",Deal!$F$44&lt;&gt;""),"Bank login verification (Plaid/DecisionLogic); ","")&amp;IF(AND(Controls!$B$93="Y",Deal!$C$34&gt;=2),"Payoff/balance letter for each existing position; ","")&amp;IF(AND(Controls!$B$94="Y",Deal!$F$45&lt;&gt;"GREEN",Deal!$F$45&lt;&gt;""),"Landlord/lease letter; ","")&amp;IF(AND(Controls!$B$95="Y",'Historical Score'!$C$41="Low"),"Underwriter review of historical evidence; ","")&amp;IF(AND(Controls!$B$96="Y",'Offer Engine'!$C$14="Weekly"),"Weekly remittance only; ","")&amp;IF(AND(Controls!$B$97="Y",Deal!$K$15="Renewal"),"Prior-contract payoff and renewal history; ","")</f>
        <v/>
      </c>
    </row>
    <row r="27">
      <c r="B27" s="268" t="inlineStr">
        <is>
          <t>Standard stipulations</t>
        </is>
      </c>
      <c r="C27" s="278">
        <f>IF(Controls!$B$90="Y",Controls!$A$90,"")</f>
        <v/>
      </c>
      <c r="D27" s="270">
        <f>"always required"</f>
        <v/>
      </c>
    </row>
    <row r="28" ht="45" customHeight="1" s="228">
      <c r="B28" s="268" t="inlineStr">
        <is>
          <t>Manual-review triggers fired</t>
        </is>
      </c>
      <c r="C28" s="279">
        <f>IF(AND(Controls!$B$79="Y",'Offer Engine'!$C$15="Y"),"Severe historical modifier; ","")&amp;IF(AND(Controls!$B$80="Y",'Historical Score'!$C$41="Low",COUNTIF('Offer Engine'!$E$26:$E$33,"RED")&gt;0),"Low confidence with a RED metric; ","")&amp;IF(AND(Controls!$B$81="Y",Deal!$F$45="RED",COUNTIF('Offer Engine'!$E$26:$E$32,"RED")&gt;0),"Credit RED plus another RED; ","")&amp;IF(AND(Controls!$B$82="Y",ISNUMBER(Deal!$C$42),IF(ISNUMBER(Deal!$C$42),Deal!$C$42,0)&gt;=Controls!$C$82),"Positions incl. new at/above "&amp;Controls!$C$82&amp;"; ","")&amp;IF(AND(Controls!$B$83="Y",Deal!$K$15="New Deal",ISNUMBER('Historical Score'!$C$6),IF(ISNUMBER('Historical Score'!$C$6),'Historical Score'!$C$6,0)&gt;=Controls!$C$83,OR(Deal!$K$13="General Building Contractors",Deal!$K$13="Special Trade Contractors",Deal!$K$13="Heavy Construction")),"New 3rd+ position construction deal; ","")&amp;IF(AND(Controls!$B$84="Y",OR(AND(Deal!$K$12&lt;&gt;"",COUNTIF('Historical Data'!$K$2:$K$1068,Deal!$K$12)=0),AND(Deal!$K$13&lt;&gt;"",COUNTIF('Historical Data'!$Y$2:$Y$1068,Deal!$K$13)=0))),"ISO or industry not in house book; ","")&amp;IF(AND(Controls!$B$85="Y",ISNUMBER('Offer Engine'!$D$8),IF(ISNUMBER('Offer Engine'!$D$8),'Offer Engine'!$D$8,0)&lt;Controls!$B$14,IF(ISNUMBER('Offer Engine'!$D$8),'Offer Engine'!$D$8,0)&gt;0),"Adjusted fund below minimum; ","")&amp;IF(AND(Controls!$B$86="Y",ISNUMBER('Historical Score'!$C$34),IF(ISNUMBER('Historical Score'!$C$34),'Historical Score'!$C$34,0)&gt;Controls!$B$43),"Cohort open share high; ","")</f>
        <v/>
      </c>
      <c r="D28" s="270">
        <f>"blank = none"</f>
        <v/>
      </c>
    </row>
    <row r="29" ht="45" customHeight="1" s="228">
      <c r="B29" s="268" t="inlineStr">
        <is>
          <t>Main risks / positive factors</t>
        </is>
      </c>
      <c r="C29" s="279">
        <f>IF(COUNTIF(Deal!$F$38:$F$45,"RED")+COUNTIF(Deal!$F$38:$F$45,"KNOCKOUT")=0,"Risks: none red on the requested offer","Risks: "&amp;IF(Deal!$F$38="RED","total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present",""))&amp;IF('Offer Engine'!$C$10&gt;=4," | history: "&amp;'Historical Score'!$C$43,"")</f>
        <v/>
      </c>
      <c r="D29" s="270">
        <f>"Positives: "&amp;IF(COUNTIF(Deal!$F$38:$F$45,"GREEN")=0,"none green",IF(Deal!$F$38="GREEN","leverage;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",""))&amp;IF('Offer Engine'!$C$10&lt;=2,"history: "&amp;'Historical Score'!$C$43,"")&amp;IF(Deal!$K$15="Renewal"," | renewal (strongest surviving positive in the book)","")</f>
        <v/>
      </c>
    </row>
    <row r="30" ht="150" customHeight="1" s="228">
      <c r="B30" s="268" t="inlineStr">
        <is>
          <t>Underwriter's conclusion</t>
        </is>
      </c>
      <c r="C30" s="279">
        <f>IF(Deal!$C$24=0,"Enter bank data.",IF(Deal!$C$63="-","Do not fund: "&amp;INDEX(Deal!$B$42:$B$45,MATCH("KNOCKOUT",Deal!$F$42:$F$45,0))&amp;" is past its knockout line; history cannot override a knockout.",IF(OR(Deal!$C$63="",Deal!$C$63=0),"Cash flow leaves no clean room under the green lines - "&amp;Deal!$D$60&amp;".","Cash flow supports up to "&amp;TEXT(Deal!$C$63,"$#,##0")&amp;" ("&amp;Deal!$D$60&amp;", "&amp;Deal!$C$62&amp;" daily pmts @ "&amp;TEXT(Deal!$D$62,"0.00")&amp;"). "&amp;IF(C5="DECLINE","The deal is declined: "&amp;D5&amp;" For reference, ","The recommendation is "&amp;TEXT(C6,"$#,##0")&amp;" ("&amp;TEXT(C6/Deal!$C$63,"0%")&amp;" of the maximum) at "&amp;TEXT(C7,"0.00")&amp;" over "&amp;TEXT(C8,"0")&amp;IF(C10="Weekly"," weeks"," daily payments")&amp;", "&amp;TEXT(C9,"$#,##0")&amp;IF(C10="Weekly","/week","/day")&amp;", because ")&amp;"the primary comparable cohort ("&amp;'Historical Score'!$C$30&amp;") holds "&amp;'Historical Score'!$C$31&amp;" seasoned deals with a principal lost rate of "&amp;IF('Historical Score'!$C$33="","n/a",TEXT('Historical Score'!$C$33,"0.0%"))&amp;" against "&amp;TEXT('Historical Score'!$C$10,"0.0%")&amp;" for the seasoned book; at credibility "&amp;TEXT('Historical Score'!$C$37,"0.00")&amp;" that blends to "&amp;TEXT('Historical Score'!$C$38,"0.0%")&amp;" (index "&amp;TEXT('Historical Score'!$C$39,"0.00")&amp;"), which is "&amp;LOWER('Historical Score'!$C$43)&amp;IF('Historical Score'!$C$42&lt;&gt;'Historical Score'!$C$40," after the low-confidence cap","")&amp;". Confidence is "&amp;LOWER('Historical Score'!$C$41)&amp;". "&amp;IF(Deal!$K$15="Renewal","Renewal status is the strongest surviving positive in the book. ","")&amp;'Historical Score'!$C$46&amp;". "&amp;'Historical Score'!$C$47&amp;". "&amp;'Historical Score'!$C$48&amp;". "&amp;IF(C28&lt;&gt;"","Sent to manual review: "&amp;C28,"")&amp;IF(D26&lt;&gt;""," Conditional stips: "&amp;D26,""))))</f>
        <v/>
      </c>
      <c r="D30" s="256" t="n"/>
    </row>
    <row r="31">
      <c r="B31" s="268" t="inlineStr">
        <is>
          <t>Risk-based conditional stips (drive CONDITIONAL)</t>
        </is>
      </c>
      <c r="C31" s="273">
        <f>IF(AND(Controls!$B$91="Y",'Offer Engine'!$C$10&gt;=4),1,0)+IF(AND(Controls!$B$92="Y",Deal!$F$44&lt;&gt;"GREEN",Deal!$F$44&lt;&gt;""),1,0)+IF(AND(Controls!$B$94="Y",Deal!$F$45&lt;&gt;"GREEN",Deal!$F$45&lt;&gt;""),1,0)+IF(AND(Controls!$B$95="Y",'Historical Score'!$C$41="Low"),1,0)+IF(AND(Controls!$B$96="Y",'Offer Engine'!$C$14="Weekly"),1,0)</f>
        <v/>
      </c>
      <c r="D31" s="270">
        <f>"documentary stips (payoff letters, renewal history) do not by themselves make a deal CONDITIONAL"</f>
        <v/>
      </c>
    </row>
  </sheetData>
  <mergeCells count="1">
    <mergeCell ref="C30:D30"/>
  </mergeCells>
  <conditionalFormatting sqref="C5">
    <cfRule type="cellIs" priority="1" operator="equal" dxfId="10">
      <formula>"APPROVE"</formula>
    </cfRule>
    <cfRule type="cellIs" priority="2" operator="equal" dxfId="11">
      <formula>"CONDITIONAL"</formula>
    </cfRule>
    <cfRule type="cellIs" priority="3" operator="equal" dxfId="12">
      <formula>"DECLINE"</formula>
    </cfRule>
    <cfRule type="cellIs" priority="4" operator="equal" dxfId="13">
      <formula>"MANUAL REVIEW"</formula>
    </cfRule>
  </conditionalFormatting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selection activeCell="A1" sqref="A1"/>
    </sheetView>
  </sheetViews>
  <sheetFormatPr baseColWidth="8" defaultRowHeight="15"/>
  <cols>
    <col width="3" customWidth="1" style="228" min="1" max="1"/>
    <col width="46" customWidth="1" style="228" min="2" max="2"/>
    <col width="20" customWidth="1" style="228" min="3" max="3"/>
    <col width="20" customWidth="1" style="228" min="4" max="4"/>
    <col width="14" customWidth="1" style="228" min="5" max="5"/>
    <col width="60" customWidth="1" style="228" min="6" max="6"/>
  </cols>
  <sheetData>
    <row r="1">
      <c r="B1" s="267" t="inlineStr">
        <is>
          <t>OFFER ENGINE  -  base cash-flow offer, historical adjustment, adjusted offer</t>
        </is>
      </c>
    </row>
    <row r="2">
      <c r="B2" s="244" t="inlineStr">
        <is>
          <t>Adjusted fund = MIN(base fund x multiplier, cash-flow max daily x adjusted term / adjusted factor). The second term keeps the daily payment at or below the cash-flow maximum even when the term is shortened.</t>
        </is>
      </c>
    </row>
    <row r="4">
      <c r="A4" s="254" t="inlineStr"/>
      <c r="B4" s="254" t="inlineStr">
        <is>
          <t>Item</t>
        </is>
      </c>
      <c r="C4" s="254" t="inlineStr">
        <is>
          <t>Base (cash flow only)</t>
        </is>
      </c>
      <c r="D4" s="254" t="inlineStr">
        <is>
          <t>Adjusted (with history)</t>
        </is>
      </c>
      <c r="E4" s="254" t="inlineStr">
        <is>
          <t>Status</t>
        </is>
      </c>
      <c r="F4" s="254" t="inlineStr">
        <is>
          <t>How</t>
        </is>
      </c>
    </row>
    <row r="5">
      <c r="B5" s="278" t="inlineStr">
        <is>
          <t>Cash-flow max daily payment</t>
        </is>
      </c>
      <c r="C5" s="274">
        <f>Deal!$C$60</f>
        <v/>
      </c>
      <c r="D5" s="262">
        <f>Deal!$C$60</f>
        <v/>
      </c>
      <c r="F5" s="244" t="inlineStr">
        <is>
          <t>Deal C60 - weakest of holdback / total LVG / daily-debt-to-balance green lines</t>
        </is>
      </c>
    </row>
    <row r="6">
      <c r="B6" s="278" t="inlineStr">
        <is>
          <t>Term (daily payments)</t>
        </is>
      </c>
      <c r="C6" s="273">
        <f>Deal!$C$62</f>
        <v/>
      </c>
      <c r="D6" s="280">
        <f>IF(OR(C6="",C8="-"),"",MAX(20,MIN(C6,INDEX(Controls!$B$19:$B$22,MAX(1,MATCH(Deal!$D$57,Controls!$A$19:$A$22,1)+C12)))))</f>
        <v/>
      </c>
      <c r="F6" s="244" t="inlineStr">
        <is>
          <t>Base band term; step moves down the Controls band table</t>
        </is>
      </c>
    </row>
    <row r="7">
      <c r="B7" s="278" t="inlineStr">
        <is>
          <t>Factor</t>
        </is>
      </c>
      <c r="C7" s="272">
        <f>Deal!$D$62</f>
        <v/>
      </c>
      <c r="D7" s="260">
        <f>IF(C7="","",INDEX(Controls!$B$24:$D$24,MIN(3,MAX(1,MATCH(C7,Controls!$B$24:$D$24,0)+C13))))</f>
        <v/>
      </c>
      <c r="F7" s="244" t="inlineStr">
        <is>
          <t>Next approved tier, never above 1.49</t>
        </is>
      </c>
    </row>
    <row r="8">
      <c r="B8" s="278" t="inlineStr">
        <is>
          <t>Fund $</t>
        </is>
      </c>
      <c r="C8" s="281">
        <f>Deal!$C$63</f>
        <v/>
      </c>
      <c r="D8" s="282">
        <f>IF(C8="-","-",IF(OR(C8="",D6="",D7=""),"",MAX(0,FLOOR(MIN(C8*C11,C5*D6/D7),500))))</f>
        <v/>
      </c>
      <c r="F8" s="244" t="inlineStr">
        <is>
          <t>Never above the base fund</t>
        </is>
      </c>
    </row>
    <row r="9">
      <c r="B9" s="278" t="inlineStr">
        <is>
          <t>Daily payment</t>
        </is>
      </c>
      <c r="C9" s="274">
        <f>IF(OR(C8="",C8="-"),"",C8*C7/C6)</f>
        <v/>
      </c>
      <c r="D9" s="262">
        <f>IF(OR(D8="",D8="-",D8=0),"",D8*D7/D6)</f>
        <v/>
      </c>
      <c r="F9" s="244" t="inlineStr">
        <is>
          <t>fund x factor / term</t>
        </is>
      </c>
    </row>
    <row r="10">
      <c r="B10" s="278" t="inlineStr">
        <is>
          <t>Historical modifier level (after confidence cap)</t>
        </is>
      </c>
      <c r="C10" s="273">
        <f>'Historical Score'!$C$42</f>
        <v/>
      </c>
      <c r="D10" s="280">
        <f>'Historical Score'!$C$42</f>
        <v/>
      </c>
      <c r="F10" s="244" t="inlineStr">
        <is>
          <t>1 strong positive .. 3 neutral .. 6 severe</t>
        </is>
      </c>
    </row>
    <row r="11">
      <c r="B11" s="278" t="inlineStr">
        <is>
          <t>Fund multiplier</t>
        </is>
      </c>
      <c r="C11" s="272">
        <f>INDEX(Controls!$C$54:$C$59,C10)</f>
        <v/>
      </c>
      <c r="D11" s="260">
        <f>INDEX(Controls!$C$54:$C$59,C10)</f>
        <v/>
      </c>
      <c r="F11" s="244" t="inlineStr">
        <is>
          <t>Controls modifier table</t>
        </is>
      </c>
    </row>
    <row r="12">
      <c r="B12" s="278" t="inlineStr">
        <is>
          <t>Term step (bands)</t>
        </is>
      </c>
      <c r="C12" s="273">
        <f>INDEX(Controls!$D$54:$D$59,C10)</f>
        <v/>
      </c>
      <c r="D12" s="280">
        <f>INDEX(Controls!$D$54:$D$59,C10)</f>
        <v/>
      </c>
      <c r="F12" s="244" t="inlineStr"/>
    </row>
    <row r="13">
      <c r="B13" s="278" t="inlineStr">
        <is>
          <t>Factor step (tiers)</t>
        </is>
      </c>
      <c r="C13" s="273">
        <f>INDEX(Controls!$E$54:$E$59,C10)</f>
        <v/>
      </c>
      <c r="D13" s="280">
        <f>INDEX(Controls!$E$54:$E$59,C10)</f>
        <v/>
      </c>
      <c r="F13" s="244" t="inlineStr"/>
    </row>
    <row r="14">
      <c r="B14" s="278" t="inlineStr">
        <is>
          <t>Frequency rule</t>
        </is>
      </c>
      <c r="C14" s="275">
        <f>INDEX(Controls!$F$54:$F$59,C10)</f>
        <v/>
      </c>
      <c r="D14" s="261">
        <f>INDEX(Controls!$F$54:$F$59,C10)</f>
        <v/>
      </c>
      <c r="F14" s="244" t="inlineStr"/>
    </row>
    <row r="15">
      <c r="B15" s="278" t="inlineStr">
        <is>
          <t>Manual review flag from modifier</t>
        </is>
      </c>
      <c r="C15" s="275">
        <f>INDEX(Controls!$G$54:$G$59,C10)</f>
        <v/>
      </c>
      <c r="D15" s="261">
        <f>INDEX(Controls!$G$54:$G$59,C10)</f>
        <v/>
      </c>
      <c r="F15" s="244" t="inlineStr"/>
    </row>
    <row r="16">
      <c r="B16" s="278" t="inlineStr">
        <is>
          <t>Frequency (final)</t>
        </is>
      </c>
      <c r="C16" s="275">
        <f>IF(Deal!$E$6="","Daily",Deal!$E$6)</f>
        <v/>
      </c>
      <c r="D16" s="261">
        <f>IF(C14="Weekly","Weekly",IF(Deal!$E$6="","Daily",Deal!$E$6))</f>
        <v/>
      </c>
      <c r="F16" s="244" t="inlineStr">
        <is>
          <t>Proposed frequency unless the modifier requires weekly</t>
        </is>
      </c>
    </row>
    <row r="17">
      <c r="B17" s="278" t="inlineStr">
        <is>
          <t>Term in final units (weeks or daily pmts)</t>
        </is>
      </c>
      <c r="C17" s="273">
        <f>IF(OR(C6="",C8="-"),"",IF(C16="Weekly",C6/5,C6))</f>
        <v/>
      </c>
      <c r="D17" s="280">
        <f>IF(OR(D6="",D8="-"),"",IF(D16="Weekly",D6/5,D6))</f>
        <v/>
      </c>
      <c r="F17" s="244" t="inlineStr"/>
    </row>
    <row r="18">
      <c r="B18" s="278" t="inlineStr">
        <is>
          <t>Payment in final units</t>
        </is>
      </c>
      <c r="C18" s="274">
        <f>IF(C9="","",IF(C16="Weekly",C9*5,C9))</f>
        <v/>
      </c>
      <c r="D18" s="262">
        <f>IF(D9="","",IF(D16="Weekly",D9*5,D9))</f>
        <v/>
      </c>
      <c r="F18" s="244" t="inlineStr"/>
    </row>
    <row r="19">
      <c r="B19" s="278" t="inlineStr">
        <is>
          <t>Monthly payment</t>
        </is>
      </c>
      <c r="C19" s="281">
        <f>IF(C9="","",C9*Controls!$B$29)</f>
        <v/>
      </c>
      <c r="D19" s="282">
        <f>IF(D9="","",D9*Controls!$B$29)</f>
        <v/>
      </c>
      <c r="F19" s="244" t="inlineStr"/>
    </row>
    <row r="20">
      <c r="B20" s="278" t="inlineStr">
        <is>
          <t>Payback</t>
        </is>
      </c>
      <c r="C20" s="281">
        <f>IF(OR(C8="",C8="-"),"",C8*C7)</f>
        <v/>
      </c>
      <c r="D20" s="282">
        <f>IF(OR(D8="",D8="-"),"",D8*D7)</f>
        <v/>
      </c>
      <c r="F20" s="244" t="inlineStr"/>
    </row>
    <row r="21">
      <c r="B21" s="278" t="inlineStr">
        <is>
          <t>Net disbursed (after fee)</t>
        </is>
      </c>
      <c r="C21" s="281">
        <f>IF(OR(C8="",C8="-"),"",C8*(1-Controls!$B$15))</f>
        <v/>
      </c>
      <c r="D21" s="282">
        <f>IF(OR(D8="",D8="-"),"",D8*(1-Controls!$B$15))</f>
        <v/>
      </c>
      <c r="F21" s="244" t="inlineStr"/>
    </row>
    <row r="22">
      <c r="B22" s="278" t="inlineStr">
        <is>
          <t>Term (months)</t>
        </is>
      </c>
      <c r="C22" s="277">
        <f>IF(C6="","",C6/Controls!$B$29)</f>
        <v/>
      </c>
      <c r="D22" s="283">
        <f>IF(D6="","",D6/Controls!$B$29)</f>
        <v/>
      </c>
      <c r="F22" s="244" t="inlineStr"/>
    </row>
    <row r="24">
      <c r="B24" s="253" t="inlineStr">
        <is>
          <t>METRICS RE-CHECKED AT EACH OFFER  (must stay off RED / KNOCKOUT)</t>
        </is>
      </c>
    </row>
    <row r="25">
      <c r="A25" s="254" t="inlineStr"/>
      <c r="B25" s="254" t="inlineStr">
        <is>
          <t>Metric</t>
        </is>
      </c>
      <c r="C25" s="254" t="inlineStr">
        <is>
          <t>Base offer</t>
        </is>
      </c>
      <c r="D25" s="254" t="inlineStr">
        <is>
          <t>Adjusted offer</t>
        </is>
      </c>
      <c r="E25" s="254" t="inlineStr">
        <is>
          <t>Status (adjusted)</t>
        </is>
      </c>
      <c r="F25" s="254" t="inlineStr">
        <is>
          <t>Green / Red / Knockout</t>
        </is>
      </c>
    </row>
    <row r="26">
      <c r="B26" s="278" t="inlineStr">
        <is>
          <t>Total LVG (all debt / rev)</t>
        </is>
      </c>
      <c r="C26" s="276">
        <f>IF(OR(Deal!$C$24=0,C9=""),"",(Deal!$E$34+C9)*Controls!$B$29/Deal!$C$24)</f>
        <v/>
      </c>
      <c r="D26" s="263">
        <f>IF(OR(Deal!$C$24=0,D9=""),"",(Deal!$E$34+D9)*Controls!$B$29/Deal!$C$24)</f>
        <v/>
      </c>
      <c r="E26" s="261">
        <f>IF(D26="","",IF(D26&gt;=Controls!$D$5,"KNOCKOUT",IF(D26&lt;=Controls!$B$5,"GREEN",IF(D26&gt;=Controls!$C$5,"RED","YELLOW"))))</f>
        <v/>
      </c>
      <c r="F26" s="284">
        <f>TEXT(Controls!$B$5,"0.0%")&amp;" / "&amp;TEXT(Controls!$C$5,"0.0%")&amp;" / "&amp;TEXT(Controls!$D$5,"0.0%")</f>
        <v/>
      </c>
    </row>
    <row r="27">
      <c r="B27" s="278" t="inlineStr">
        <is>
          <t>New holdback SP%</t>
        </is>
      </c>
      <c r="C27" s="276">
        <f>IF(OR(Deal!$C$24=0,C9=""),"",C9*Controls!$B$29/Deal!$C$24)</f>
        <v/>
      </c>
      <c r="D27" s="263">
        <f>IF(OR(Deal!$C$24=0,D9=""),"",D9*Controls!$B$29/Deal!$C$24)</f>
        <v/>
      </c>
      <c r="E27" s="261">
        <f>IF(D27="","",IF(D27&gt;=Controls!$D$6,"KNOCKOUT",IF(D27&lt;=Controls!$B$6,"GREEN",IF(D27&gt;=Controls!$C$6,"RED","YELLOW"))))</f>
        <v/>
      </c>
      <c r="F27" s="284">
        <f>TEXT(Controls!$B$6,"0.0%")&amp;" / "&amp;TEXT(Controls!$C$6,"0.0%")&amp;" / "&amp;TEXT(Controls!$D$6,"0.0%")</f>
        <v/>
      </c>
    </row>
    <row r="28">
      <c r="B28" s="278" t="inlineStr">
        <is>
          <t>Daily debt / balance</t>
        </is>
      </c>
      <c r="C28" s="276">
        <f>IF(OR(Deal!$D$24=0,C9=""),"",(Deal!$E$34+C9)/Deal!$D$24)</f>
        <v/>
      </c>
      <c r="D28" s="263">
        <f>IF(OR(Deal!$D$24=0,D9=""),"",(Deal!$E$34+D9)/Deal!$D$24)</f>
        <v/>
      </c>
      <c r="E28" s="261">
        <f>IF(D28="","",IF(D28&gt;=Controls!$D$7,"KNOCKOUT",IF(D28&lt;=Controls!$B$7,"GREEN",IF(D28&gt;=Controls!$C$7,"RED","YELLOW"))))</f>
        <v/>
      </c>
      <c r="F28" s="284">
        <f>TEXT(Controls!$B$7,"0.0%")&amp;" / "&amp;TEXT(Controls!$C$7,"0.0%")&amp;" / "&amp;TEXT(Controls!$D$7,"0.0%")</f>
        <v/>
      </c>
    </row>
    <row r="29">
      <c r="B29" s="278" t="inlineStr">
        <is>
          <t>Fund / revenue</t>
        </is>
      </c>
      <c r="C29" s="272">
        <f>IF(OR(Deal!$C$24=0,C8="",C8="-"),"",C8/Deal!$C$24)</f>
        <v/>
      </c>
      <c r="D29" s="260">
        <f>IF(OR(Deal!$C$24=0,D8="",D8="-"),"",D8/Deal!$C$24)</f>
        <v/>
      </c>
      <c r="E29" s="261">
        <f>IF(D29="","",IF(D29&gt;=Controls!$D$8,"KNOCKOUT",IF(D29&lt;=Controls!$B$8,"GREEN",IF(D29&gt;=Controls!$C$8,"RED","YELLOW"))))</f>
        <v/>
      </c>
      <c r="F29" s="284">
        <f>TEXT(Controls!$B$8,"0.00")&amp;" / "&amp;TEXT(Controls!$C$8,"0.00")&amp;" / "&amp;TEXT(Controls!$D$8,"0.00")</f>
        <v/>
      </c>
    </row>
    <row r="30">
      <c r="B30" s="278" t="inlineStr">
        <is>
          <t># positions (incl. new)</t>
        </is>
      </c>
      <c r="C30" s="275">
        <f>Deal!$C$42</f>
        <v/>
      </c>
      <c r="D30" s="275">
        <f>Deal!$C$42</f>
        <v/>
      </c>
      <c r="E30" s="261">
        <f>Deal!$F$42</f>
        <v/>
      </c>
      <c r="F30" s="244" t="inlineStr">
        <is>
          <t>merchant-side metric - unchanged by the offer</t>
        </is>
      </c>
    </row>
    <row r="31">
      <c r="B31" s="278" t="inlineStr">
        <is>
          <t>Revenue trend (avg MoM)</t>
        </is>
      </c>
      <c r="C31" s="276">
        <f>Deal!$C$43</f>
        <v/>
      </c>
      <c r="D31" s="276">
        <f>Deal!$C$43</f>
        <v/>
      </c>
      <c r="E31" s="261">
        <f>Deal!$F$43</f>
        <v/>
      </c>
      <c r="F31" s="244" t="inlineStr">
        <is>
          <t>merchant-side metric - unchanged by the offer</t>
        </is>
      </c>
    </row>
    <row r="32">
      <c r="B32" s="278" t="inlineStr">
        <is>
          <t>Neg days + NSFs (total)</t>
        </is>
      </c>
      <c r="C32" s="275">
        <f>Deal!$C$44</f>
        <v/>
      </c>
      <c r="D32" s="275">
        <f>Deal!$C$44</f>
        <v/>
      </c>
      <c r="E32" s="261">
        <f>Deal!$F$44</f>
        <v/>
      </c>
      <c r="F32" s="244" t="inlineStr">
        <is>
          <t>merchant-side metric - unchanged by the offer</t>
        </is>
      </c>
    </row>
    <row r="33">
      <c r="B33" s="278" t="inlineStr">
        <is>
          <t>Credit score (FICO)</t>
        </is>
      </c>
      <c r="C33" s="275">
        <f>Deal!$C$45</f>
        <v/>
      </c>
      <c r="D33" s="275">
        <f>Deal!$C$45</f>
        <v/>
      </c>
      <c r="E33" s="261">
        <f>Deal!$F$45</f>
        <v/>
      </c>
      <c r="F33" s="244" t="inlineStr">
        <is>
          <t>merchant-side metric - unchanged by the offer</t>
        </is>
      </c>
    </row>
    <row r="35">
      <c r="B35" s="253" t="inlineStr">
        <is>
          <t>SAFETY PROOF</t>
        </is>
      </c>
    </row>
    <row r="36">
      <c r="B36" s="278" t="inlineStr">
        <is>
          <t>Adjusted fund &lt;= cash-flow max fund</t>
        </is>
      </c>
      <c r="D36" s="261">
        <f>IF(OR(D8="",D8="-",C8="",C8="-"),"OK",IF(D8&lt;=C8,"OK","FAIL"))</f>
        <v/>
      </c>
    </row>
    <row r="37">
      <c r="B37" s="278" t="inlineStr">
        <is>
          <t>Adjusted daily payment &lt;= cash-flow max daily</t>
        </is>
      </c>
      <c r="D37" s="261">
        <f>IF(OR(D9="",C5=""),"OK",IF(D9&lt;=C5+0.005,"OK","FAIL"))</f>
        <v/>
      </c>
    </row>
    <row r="38">
      <c r="B38" s="278" t="inlineStr">
        <is>
          <t>No offer-side metric RED or KNOCKOUT at adjusted offer</t>
        </is>
      </c>
      <c r="D38" s="261">
        <f>IF(COUNTIF(E26:E29,"RED")+COUNTIF(E26:E29,"KNOCKOUT")=0,"OK","FAIL")</f>
        <v/>
      </c>
    </row>
    <row r="39">
      <c r="B39" s="278" t="inlineStr">
        <is>
          <t>Merchant knockouts untouched (history cannot remove them)</t>
        </is>
      </c>
      <c r="D39" s="261">
        <f>IF(COUNTIF(Deal!$F$42:$F$45,"KNOCKOUT")&gt;0,IF(D8="-","OK","FAIL"),"OK")</f>
        <v/>
      </c>
    </row>
    <row r="40">
      <c r="B40" s="278" t="inlineStr">
        <is>
          <t>Red flags at adjusted offer (offer-side + merchant-side)</t>
        </is>
      </c>
      <c r="D40" s="261">
        <f>COUNTIF(E26:E33,"RED")+COUNTIF(E26:E33,"KNOCKOUT")</f>
        <v/>
      </c>
    </row>
  </sheetData>
  <mergeCells count="2">
    <mergeCell ref="B35:F35"/>
    <mergeCell ref="B24:F24"/>
  </mergeCells>
  <conditionalFormatting sqref="E26:E33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D36:D39">
    <cfRule type="cellIs" priority="5" operator="equal" dxfId="10">
      <formula>"OK"</formula>
    </cfRule>
    <cfRule type="cellIs" priority="6" operator="equal" dxfId="11">
      <formula>"WARN"</formula>
    </cfRule>
    <cfRule type="cellIs" priority="7" operator="equal" dxfId="12">
      <formula>"FAIL"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51"/>
  <sheetViews>
    <sheetView showGridLines="0"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28" min="1" max="1"/>
    <col width="34" customWidth="1" style="228" min="2" max="2"/>
    <col width="30" customWidth="1" style="228" min="3" max="3"/>
    <col width="9" customWidth="1" style="228" min="4" max="4"/>
    <col width="9" customWidth="1" style="228" min="5" max="5"/>
    <col width="9" customWidth="1" style="228" min="6" max="6"/>
    <col width="13" customWidth="1" style="228" min="7" max="7"/>
    <col width="8" customWidth="1" style="228" min="8" max="8"/>
    <col width="8" customWidth="1" style="228" min="9" max="9"/>
    <col width="8" customWidth="1" style="228" min="10" max="10"/>
    <col width="8" customWidth="1" style="228" min="11" max="11"/>
    <col width="10" customWidth="1" style="228" min="12" max="12"/>
    <col width="10" customWidth="1" style="228" min="13" max="13"/>
    <col width="10" customWidth="1" style="228" min="14" max="14"/>
    <col width="9" customWidth="1" style="228" min="15" max="15"/>
    <col width="9" customWidth="1" style="228" min="16" max="16"/>
    <col width="8" customWidth="1" style="228" min="17" max="17"/>
    <col width="11" customWidth="1" style="228" min="18" max="18"/>
    <col width="9" customWidth="1" style="228" min="19" max="19"/>
    <col width="9" customWidth="1" style="228" min="20" max="20"/>
    <col width="10" customWidth="1" style="228" min="21" max="21"/>
    <col width="9" customWidth="1" style="228" min="22" max="22"/>
    <col width="10" customWidth="1" style="228" min="23" max="23"/>
    <col width="9" customWidth="1" style="228" min="24" max="24"/>
    <col width="8" customWidth="1" style="228" min="25" max="25"/>
    <col width="12" customWidth="1" style="228" min="26" max="26"/>
    <col width="12" customWidth="1" style="228" min="27" max="27"/>
  </cols>
  <sheetData>
    <row r="1">
      <c r="A1" s="267" t="inlineStr">
        <is>
          <t>HISTORICAL SCORE  -  comparable cohorts, credibility and the risk modifier</t>
        </is>
      </c>
    </row>
    <row r="2">
      <c r="A2" s="244" t="inlineStr">
        <is>
          <t>Rates use SEASONED deals only (age &gt;= seasoning multiple x contracted term, as of the Controls date). Unseasoned deals are counted, never rated. Blended lost rate = Z x cohort + (1-Z) x seasoned book, Z = n/(n+K).</t>
        </is>
      </c>
    </row>
    <row r="4">
      <c r="A4" s="253" t="inlineStr">
        <is>
          <t>DEAL BEING MATCHED  (from the Deal sheet)</t>
        </is>
      </c>
    </row>
    <row r="5">
      <c r="B5" s="278" t="inlineStr">
        <is>
          <t>New deal or renewal</t>
        </is>
      </c>
      <c r="C5" s="261">
        <f>IF(Deal!$K$15="","",Deal!$K$15)</f>
        <v/>
      </c>
    </row>
    <row r="6">
      <c r="B6" s="278" t="inlineStr">
        <is>
          <t>Proposed position (effective)</t>
        </is>
      </c>
      <c r="C6" s="261">
        <f>IF(Deal!$K$18&lt;&gt;"",Deal!$K$18,Deal!$K$17)</f>
        <v/>
      </c>
    </row>
    <row r="7">
      <c r="B7" s="278" t="inlineStr">
        <is>
          <t>Industry</t>
        </is>
      </c>
      <c r="C7" s="261">
        <f>IF(Deal!$K$13="","",Deal!$K$13)</f>
        <v/>
      </c>
    </row>
    <row r="8">
      <c r="B8" s="278" t="inlineStr">
        <is>
          <t>ISO</t>
        </is>
      </c>
      <c r="C8" s="261">
        <f>IF(Deal!$K$12="","",Deal!$K$12)</f>
        <v/>
      </c>
    </row>
    <row r="9">
      <c r="B9" s="278" t="inlineStr">
        <is>
          <t>State</t>
        </is>
      </c>
      <c r="C9" s="261">
        <f>IF(Deal!$K$14="","",Deal!$K$14)</f>
        <v/>
      </c>
    </row>
    <row r="10">
      <c r="B10" s="278" t="inlineStr">
        <is>
          <t>Seasoned-book principal lost rate (baseline)</t>
        </is>
      </c>
      <c r="C10" s="263">
        <f>$L$20</f>
        <v/>
      </c>
    </row>
    <row r="11">
      <c r="B11" s="278" t="inlineStr">
        <is>
          <t>Seasoned-book deals / funded</t>
        </is>
      </c>
      <c r="C11" s="261">
        <f>TEXT($E$20,"#,##0")&amp;" / "&amp;TEXT($G$20,"$#,##0")</f>
        <v/>
      </c>
    </row>
    <row r="13" ht="40" customHeight="1" s="228">
      <c r="A13" s="285" t="inlineStr">
        <is>
          <t>Tier</t>
        </is>
      </c>
      <c r="B13" s="285" t="inlineStr">
        <is>
          <t>Cohort</t>
        </is>
      </c>
      <c r="C13" s="285" t="inlineStr">
        <is>
          <t>Keys</t>
        </is>
      </c>
      <c r="D13" s="285" t="inlineStr">
        <is>
          <t>Deals (all)</t>
        </is>
      </c>
      <c r="E13" s="285" t="inlineStr">
        <is>
          <t>Seasoned</t>
        </is>
      </c>
      <c r="F13" s="285" t="inlineStr">
        <is>
          <t>% seasoned</t>
        </is>
      </c>
      <c r="G13" s="285" t="inlineStr">
        <is>
          <t>Funded $ (seasoned)</t>
        </is>
      </c>
      <c r="H13" s="285" t="inlineStr">
        <is>
          <t>Open n</t>
        </is>
      </c>
      <c r="I13" s="285" t="inlineStr">
        <is>
          <t>Open %</t>
        </is>
      </c>
      <c r="J13" s="285" t="inlineStr">
        <is>
          <t>Default n</t>
        </is>
      </c>
      <c r="K13" s="285" t="inlineStr">
        <is>
          <t>Default %</t>
        </is>
      </c>
      <c r="L13" s="285" t="inlineStr">
        <is>
          <t>Principal lost rate</t>
        </is>
      </c>
      <c r="M13" s="285" t="inlineStr">
        <is>
          <t>Collected on defaults</t>
        </is>
      </c>
      <c r="N13" s="285" t="inlineStr">
        <is>
          <t>Return on funded</t>
        </is>
      </c>
      <c r="O13" s="285" t="inlineStr">
        <is>
          <t>Avg adv/rev</t>
        </is>
      </c>
      <c r="P13" s="285" t="inlineStr">
        <is>
          <t>Avg term (bd)</t>
        </is>
      </c>
      <c r="Q13" s="285" t="inlineStr">
        <is>
          <t>Avg factor</t>
        </is>
      </c>
      <c r="R13" s="285" t="inlineStr">
        <is>
          <t>Avg deal size</t>
        </is>
      </c>
      <c r="S13" s="285" t="inlineStr">
        <is>
          <t>Avg days on book</t>
        </is>
      </c>
      <c r="T13" s="285" t="inlineStr">
        <is>
          <t>Renewal share</t>
        </is>
      </c>
      <c r="U13" s="285" t="inlineStr">
        <is>
          <t>Seasoned enough?</t>
        </is>
      </c>
      <c r="V13" s="285" t="inlineStr">
        <is>
          <t>Credibility Z</t>
        </is>
      </c>
      <c r="W13" s="285" t="inlineStr">
        <is>
          <t>Blended lost rate</t>
        </is>
      </c>
      <c r="X13" s="285" t="inlineStr">
        <is>
          <t>Relative index</t>
        </is>
      </c>
      <c r="Y13" s="285" t="inlineStr">
        <is>
          <t>Meets min</t>
        </is>
      </c>
      <c r="Z13" s="285" t="inlineStr">
        <is>
          <t>Impact vs book</t>
        </is>
      </c>
      <c r="AA13" s="285" t="inlineStr">
        <is>
          <t>Lost rate shown?</t>
        </is>
      </c>
    </row>
    <row r="14">
      <c r="A14" s="261" t="n">
        <v>1</v>
      </c>
      <c r="B14" s="278" t="inlineStr">
        <is>
          <t>T1: new/renewal + industry + position</t>
        </is>
      </c>
      <c r="C14" s="278" t="inlineStr">
        <is>
          <t>NR + industry + position</t>
        </is>
      </c>
      <c r="D14" s="275">
        <f>SUMPRODUCT('Historical Data'!$AV$2:$AV$1068*'Historical Data'!$AD$2:$AD$1068)</f>
        <v/>
      </c>
      <c r="E14" s="275">
        <f>SUMPRODUCT('Historical Data'!$AV$2:$AV$1068*'Historical Data'!$AP$2:$AP$1068)</f>
        <v/>
      </c>
      <c r="F14" s="276">
        <f>IF(D14=0,"",E14/D14)</f>
        <v/>
      </c>
      <c r="G14" s="281">
        <f>SUMPRODUCT('Historical Data'!$AV$2:$AV$1068*'Historical Data'!$AP$2:$AP$1068*'Historical Data'!$N$2:$N$1068)</f>
        <v/>
      </c>
      <c r="H14" s="275">
        <f>SUMPRODUCT('Historical Data'!$AV$2:$AV$1068*'Historical Data'!$AP$2:$AP$1068*'Historical Data'!$AH$2:$AH$1068)</f>
        <v/>
      </c>
      <c r="I14" s="276">
        <f>IF(E14=0,"",H14/E14)</f>
        <v/>
      </c>
      <c r="J14" s="275">
        <f>SUMPRODUCT('Historical Data'!$AV$2:$AV$1068*'Historical Data'!$AP$2:$AP$1068*'Historical Data'!$AE$2:$AE$1068)</f>
        <v/>
      </c>
      <c r="K14" s="276">
        <f>IF(E14=0,"",J14/E14)</f>
        <v/>
      </c>
      <c r="L14" s="276">
        <f>IF(OR(E14&lt;Controls!$B$47,G14=0),"",SUMPRODUCT('Historical Data'!$AV$2:$AV$1068*'Historical Data'!$AP$2:$AP$1068*'Historical Data'!$AK$2:$AK$1068)/G14)</f>
        <v/>
      </c>
      <c r="M14" s="276">
        <f>IF(OR(E14&lt;Controls!$B$47,SUMPRODUCT('Historical Data'!$AV$2:$AV$1068*'Historical Data'!$AP$2:$AP$1068*'Historical Data'!$AE$2:$AE$1068*'Historical Data'!$N$2:$N$1068)=0),"",SUMPRODUCT('Historical Data'!$AV$2:$AV$1068*'Historical Data'!$AP$2:$AP$1068*'Historical Data'!$AE$2:$AE$1068*'Historical Data'!$Q$2:$Q$1068)/SUMPRODUCT('Historical Data'!$AV$2:$AV$1068*'Historical Data'!$AP$2:$AP$1068*'Historical Data'!$AE$2:$AE$1068*'Historical Data'!$N$2:$N$1068))</f>
        <v/>
      </c>
      <c r="N14" s="276">
        <f>IF(OR(E14&lt;Controls!$B$47,G14=0),"",SUMPRODUCT('Historical Data'!$AV$2:$AV$1068*'Historical Data'!$AP$2:$AP$1068*'Historical Data'!$AJ$2:$AJ$1068)/G14)</f>
        <v/>
      </c>
      <c r="O14" s="272">
        <f>IF(SUMPRODUCT('Historical Data'!$AV$2:$AV$1068*'Historical Data'!$AP$2:$AP$1068*'Historical Data'!$AM$2:$AM$1068)=0,"",SUMPRODUCT('Historical Data'!$AV$2:$AV$1068*'Historical Data'!$AP$2:$AP$1068*'Historical Data'!$AM$2:$AM$1068*'Historical Data'!$AL$2:$AL$1068)/SUMPRODUCT('Historical Data'!$AV$2:$AV$1068*'Historical Data'!$AP$2:$AP$1068*'Historical Data'!$AM$2:$AM$1068))</f>
        <v/>
      </c>
      <c r="P14" s="273">
        <f>IF(E14=0,"",SUMPRODUCT('Historical Data'!$AV$2:$AV$1068*'Historical Data'!$AP$2:$AP$1068*'Historical Data'!$AA$2:$AA$1068)/E14)</f>
        <v/>
      </c>
      <c r="Q14" s="272">
        <f>IF(E14=0,"",SUMPRODUCT('Historical Data'!$AV$2:$AV$1068*'Historical Data'!$AP$2:$AP$1068*'Historical Data'!$M$2:$M$1068)/E14)</f>
        <v/>
      </c>
      <c r="R14" s="281">
        <f>IF(E14=0,"",G14/E14)</f>
        <v/>
      </c>
      <c r="S14" s="273">
        <f>IF(E14=0,"",SUMPRODUCT('Historical Data'!$AV$2:$AV$1068*'Historical Data'!$AP$2:$AP$1068*'Historical Data'!$AN$2:$AN$1068)/E14)</f>
        <v/>
      </c>
      <c r="T14" s="276">
        <f>IF(E14=0,"",SUMPRODUCT('Historical Data'!$AV$2:$AV$1068*'Historical Data'!$AP$2:$AP$1068*'Historical Data'!$AO$2:$AO$1068)/E14)</f>
        <v/>
      </c>
      <c r="U14" s="275">
        <f>IF(AND(E14&gt;=Controls!$B$40,G14&gt;=Controls!$B$41,IF(I14="",1,I14)&lt;=Controls!$B$43),"Yes","No")</f>
        <v/>
      </c>
      <c r="V14" s="272">
        <f>IF(E14+Controls!$B$42=0,0,E14/(E14+Controls!$B$42))</f>
        <v/>
      </c>
      <c r="W14" s="276">
        <f>IF(L14="",$C$10,V14*L14+(1-V14)*$C$10)</f>
        <v/>
      </c>
      <c r="X14" s="272">
        <f>IF(OR($C$10="",$C$10=0),"",W14/$C$10)</f>
        <v/>
      </c>
      <c r="Y14" s="275">
        <f>IF(AND(E14&gt;=Controls!$B$40,G14&gt;=Controls!$B$41),1,0)</f>
        <v/>
      </c>
      <c r="Z14" s="276">
        <f>IF(L14="",0,ABS(W14-$C$10))</f>
        <v/>
      </c>
      <c r="AA14" s="275">
        <f>IF(L14="","No","Yes")</f>
        <v/>
      </c>
    </row>
    <row r="15">
      <c r="A15" s="261" t="n">
        <v>2</v>
      </c>
      <c r="B15" s="278" t="inlineStr">
        <is>
          <t>T2: new/renewal + ISO + position</t>
        </is>
      </c>
      <c r="C15" s="278" t="inlineStr">
        <is>
          <t>NR + ISO + position</t>
        </is>
      </c>
      <c r="D15" s="275">
        <f>SUMPRODUCT('Historical Data'!$AW$2:$AW$1068*'Historical Data'!$AD$2:$AD$1068)</f>
        <v/>
      </c>
      <c r="E15" s="275">
        <f>SUMPRODUCT('Historical Data'!$AW$2:$AW$1068*'Historical Data'!$AP$2:$AP$1068)</f>
        <v/>
      </c>
      <c r="F15" s="276">
        <f>IF(D15=0,"",E15/D15)</f>
        <v/>
      </c>
      <c r="G15" s="281">
        <f>SUMPRODUCT('Historical Data'!$AW$2:$AW$1068*'Historical Data'!$AP$2:$AP$1068*'Historical Data'!$N$2:$N$1068)</f>
        <v/>
      </c>
      <c r="H15" s="275">
        <f>SUMPRODUCT('Historical Data'!$AW$2:$AW$1068*'Historical Data'!$AP$2:$AP$1068*'Historical Data'!$AH$2:$AH$1068)</f>
        <v/>
      </c>
      <c r="I15" s="276">
        <f>IF(E15=0,"",H15/E15)</f>
        <v/>
      </c>
      <c r="J15" s="275">
        <f>SUMPRODUCT('Historical Data'!$AW$2:$AW$1068*'Historical Data'!$AP$2:$AP$1068*'Historical Data'!$AE$2:$AE$1068)</f>
        <v/>
      </c>
      <c r="K15" s="276">
        <f>IF(E15=0,"",J15/E15)</f>
        <v/>
      </c>
      <c r="L15" s="276">
        <f>IF(OR(E15&lt;Controls!$B$47,G15=0),"",SUMPRODUCT('Historical Data'!$AW$2:$AW$1068*'Historical Data'!$AP$2:$AP$1068*'Historical Data'!$AK$2:$AK$1068)/G15)</f>
        <v/>
      </c>
      <c r="M15" s="276">
        <f>IF(OR(E15&lt;Controls!$B$47,SUMPRODUCT('Historical Data'!$AW$2:$AW$1068*'Historical Data'!$AP$2:$AP$1068*'Historical Data'!$AE$2:$AE$1068*'Historical Data'!$N$2:$N$1068)=0),"",SUMPRODUCT('Historical Data'!$AW$2:$AW$1068*'Historical Data'!$AP$2:$AP$1068*'Historical Data'!$AE$2:$AE$1068*'Historical Data'!$Q$2:$Q$1068)/SUMPRODUCT('Historical Data'!$AW$2:$AW$1068*'Historical Data'!$AP$2:$AP$1068*'Historical Data'!$AE$2:$AE$1068*'Historical Data'!$N$2:$N$1068))</f>
        <v/>
      </c>
      <c r="N15" s="276">
        <f>IF(OR(E15&lt;Controls!$B$47,G15=0),"",SUMPRODUCT('Historical Data'!$AW$2:$AW$1068*'Historical Data'!$AP$2:$AP$1068*'Historical Data'!$AJ$2:$AJ$1068)/G15)</f>
        <v/>
      </c>
      <c r="O15" s="272">
        <f>IF(SUMPRODUCT('Historical Data'!$AW$2:$AW$1068*'Historical Data'!$AP$2:$AP$1068*'Historical Data'!$AM$2:$AM$1068)=0,"",SUMPRODUCT('Historical Data'!$AW$2:$AW$1068*'Historical Data'!$AP$2:$AP$1068*'Historical Data'!$AM$2:$AM$1068*'Historical Data'!$AL$2:$AL$1068)/SUMPRODUCT('Historical Data'!$AW$2:$AW$1068*'Historical Data'!$AP$2:$AP$1068*'Historical Data'!$AM$2:$AM$1068))</f>
        <v/>
      </c>
      <c r="P15" s="273">
        <f>IF(E15=0,"",SUMPRODUCT('Historical Data'!$AW$2:$AW$1068*'Historical Data'!$AP$2:$AP$1068*'Historical Data'!$AA$2:$AA$1068)/E15)</f>
        <v/>
      </c>
      <c r="Q15" s="272">
        <f>IF(E15=0,"",SUMPRODUCT('Historical Data'!$AW$2:$AW$1068*'Historical Data'!$AP$2:$AP$1068*'Historical Data'!$M$2:$M$1068)/E15)</f>
        <v/>
      </c>
      <c r="R15" s="281">
        <f>IF(E15=0,"",G15/E15)</f>
        <v/>
      </c>
      <c r="S15" s="273">
        <f>IF(E15=0,"",SUMPRODUCT('Historical Data'!$AW$2:$AW$1068*'Historical Data'!$AP$2:$AP$1068*'Historical Data'!$AN$2:$AN$1068)/E15)</f>
        <v/>
      </c>
      <c r="T15" s="276">
        <f>IF(E15=0,"",SUMPRODUCT('Historical Data'!$AW$2:$AW$1068*'Historical Data'!$AP$2:$AP$1068*'Historical Data'!$AO$2:$AO$1068)/E15)</f>
        <v/>
      </c>
      <c r="U15" s="275">
        <f>IF(AND(E15&gt;=Controls!$B$40,G15&gt;=Controls!$B$41,IF(I15="",1,I15)&lt;=Controls!$B$43),"Yes","No")</f>
        <v/>
      </c>
      <c r="V15" s="272">
        <f>IF(E15+Controls!$B$42=0,0,E15/(E15+Controls!$B$42))</f>
        <v/>
      </c>
      <c r="W15" s="276">
        <f>IF(L15="",$C$10,V15*L15+(1-V15)*$C$10)</f>
        <v/>
      </c>
      <c r="X15" s="272">
        <f>IF(OR($C$10="",$C$10=0),"",W15/$C$10)</f>
        <v/>
      </c>
      <c r="Y15" s="275">
        <f>IF(AND(E15&gt;=Controls!$B$40,G15&gt;=Controls!$B$41),1,0)</f>
        <v/>
      </c>
      <c r="Z15" s="276">
        <f>IF(L15="",0,ABS(W15-$C$10))</f>
        <v/>
      </c>
      <c r="AA15" s="275">
        <f>IF(L15="","No","Yes")</f>
        <v/>
      </c>
    </row>
    <row r="16">
      <c r="A16" s="261" t="n">
        <v>3</v>
      </c>
      <c r="B16" s="278" t="inlineStr">
        <is>
          <t>T3: new/renewal + industry</t>
        </is>
      </c>
      <c r="C16" s="278" t="inlineStr">
        <is>
          <t>NR + industry</t>
        </is>
      </c>
      <c r="D16" s="275">
        <f>SUMPRODUCT('Historical Data'!$AX$2:$AX$1068*'Historical Data'!$AD$2:$AD$1068)</f>
        <v/>
      </c>
      <c r="E16" s="275">
        <f>SUMPRODUCT('Historical Data'!$AX$2:$AX$1068*'Historical Data'!$AP$2:$AP$1068)</f>
        <v/>
      </c>
      <c r="F16" s="276">
        <f>IF(D16=0,"",E16/D16)</f>
        <v/>
      </c>
      <c r="G16" s="281">
        <f>SUMPRODUCT('Historical Data'!$AX$2:$AX$1068*'Historical Data'!$AP$2:$AP$1068*'Historical Data'!$N$2:$N$1068)</f>
        <v/>
      </c>
      <c r="H16" s="275">
        <f>SUMPRODUCT('Historical Data'!$AX$2:$AX$1068*'Historical Data'!$AP$2:$AP$1068*'Historical Data'!$AH$2:$AH$1068)</f>
        <v/>
      </c>
      <c r="I16" s="276">
        <f>IF(E16=0,"",H16/E16)</f>
        <v/>
      </c>
      <c r="J16" s="275">
        <f>SUMPRODUCT('Historical Data'!$AX$2:$AX$1068*'Historical Data'!$AP$2:$AP$1068*'Historical Data'!$AE$2:$AE$1068)</f>
        <v/>
      </c>
      <c r="K16" s="276">
        <f>IF(E16=0,"",J16/E16)</f>
        <v/>
      </c>
      <c r="L16" s="276">
        <f>IF(OR(E16&lt;Controls!$B$47,G16=0),"",SUMPRODUCT('Historical Data'!$AX$2:$AX$1068*'Historical Data'!$AP$2:$AP$1068*'Historical Data'!$AK$2:$AK$1068)/G16)</f>
        <v/>
      </c>
      <c r="M16" s="276">
        <f>IF(OR(E16&lt;Controls!$B$47,SUMPRODUCT('Historical Data'!$AX$2:$AX$1068*'Historical Data'!$AP$2:$AP$1068*'Historical Data'!$AE$2:$AE$1068*'Historical Data'!$N$2:$N$1068)=0),"",SUMPRODUCT('Historical Data'!$AX$2:$AX$1068*'Historical Data'!$AP$2:$AP$1068*'Historical Data'!$AE$2:$AE$1068*'Historical Data'!$Q$2:$Q$1068)/SUMPRODUCT('Historical Data'!$AX$2:$AX$1068*'Historical Data'!$AP$2:$AP$1068*'Historical Data'!$AE$2:$AE$1068*'Historical Data'!$N$2:$N$1068))</f>
        <v/>
      </c>
      <c r="N16" s="276">
        <f>IF(OR(E16&lt;Controls!$B$47,G16=0),"",SUMPRODUCT('Historical Data'!$AX$2:$AX$1068*'Historical Data'!$AP$2:$AP$1068*'Historical Data'!$AJ$2:$AJ$1068)/G16)</f>
        <v/>
      </c>
      <c r="O16" s="272">
        <f>IF(SUMPRODUCT('Historical Data'!$AX$2:$AX$1068*'Historical Data'!$AP$2:$AP$1068*'Historical Data'!$AM$2:$AM$1068)=0,"",SUMPRODUCT('Historical Data'!$AX$2:$AX$1068*'Historical Data'!$AP$2:$AP$1068*'Historical Data'!$AM$2:$AM$1068*'Historical Data'!$AL$2:$AL$1068)/SUMPRODUCT('Historical Data'!$AX$2:$AX$1068*'Historical Data'!$AP$2:$AP$1068*'Historical Data'!$AM$2:$AM$1068))</f>
        <v/>
      </c>
      <c r="P16" s="273">
        <f>IF(E16=0,"",SUMPRODUCT('Historical Data'!$AX$2:$AX$1068*'Historical Data'!$AP$2:$AP$1068*'Historical Data'!$AA$2:$AA$1068)/E16)</f>
        <v/>
      </c>
      <c r="Q16" s="272">
        <f>IF(E16=0,"",SUMPRODUCT('Historical Data'!$AX$2:$AX$1068*'Historical Data'!$AP$2:$AP$1068*'Historical Data'!$M$2:$M$1068)/E16)</f>
        <v/>
      </c>
      <c r="R16" s="281">
        <f>IF(E16=0,"",G16/E16)</f>
        <v/>
      </c>
      <c r="S16" s="273">
        <f>IF(E16=0,"",SUMPRODUCT('Historical Data'!$AX$2:$AX$1068*'Historical Data'!$AP$2:$AP$1068*'Historical Data'!$AN$2:$AN$1068)/E16)</f>
        <v/>
      </c>
      <c r="T16" s="276">
        <f>IF(E16=0,"",SUMPRODUCT('Historical Data'!$AX$2:$AX$1068*'Historical Data'!$AP$2:$AP$1068*'Historical Data'!$AO$2:$AO$1068)/E16)</f>
        <v/>
      </c>
      <c r="U16" s="275">
        <f>IF(AND(E16&gt;=Controls!$B$40,G16&gt;=Controls!$B$41,IF(I16="",1,I16)&lt;=Controls!$B$43),"Yes","No")</f>
        <v/>
      </c>
      <c r="V16" s="272">
        <f>IF(E16+Controls!$B$42=0,0,E16/(E16+Controls!$B$42))</f>
        <v/>
      </c>
      <c r="W16" s="276">
        <f>IF(L16="",$C$10,V16*L16+(1-V16)*$C$10)</f>
        <v/>
      </c>
      <c r="X16" s="272">
        <f>IF(OR($C$10="",$C$10=0),"",W16/$C$10)</f>
        <v/>
      </c>
      <c r="Y16" s="275">
        <f>IF(AND(E16&gt;=Controls!$B$40,G16&gt;=Controls!$B$41),1,0)</f>
        <v/>
      </c>
      <c r="Z16" s="276">
        <f>IF(L16="",0,ABS(W16-$C$10))</f>
        <v/>
      </c>
      <c r="AA16" s="275">
        <f>IF(L16="","No","Yes")</f>
        <v/>
      </c>
    </row>
    <row r="17">
      <c r="A17" s="261" t="n">
        <v>4</v>
      </c>
      <c r="B17" s="278" t="inlineStr">
        <is>
          <t>T4: new/renewal + ISO</t>
        </is>
      </c>
      <c r="C17" s="278" t="inlineStr">
        <is>
          <t>NR + ISO</t>
        </is>
      </c>
      <c r="D17" s="275">
        <f>SUMPRODUCT('Historical Data'!$AY$2:$AY$1068*'Historical Data'!$AD$2:$AD$1068)</f>
        <v/>
      </c>
      <c r="E17" s="275">
        <f>SUMPRODUCT('Historical Data'!$AY$2:$AY$1068*'Historical Data'!$AP$2:$AP$1068)</f>
        <v/>
      </c>
      <c r="F17" s="276">
        <f>IF(D17=0,"",E17/D17)</f>
        <v/>
      </c>
      <c r="G17" s="281">
        <f>SUMPRODUCT('Historical Data'!$AY$2:$AY$1068*'Historical Data'!$AP$2:$AP$1068*'Historical Data'!$N$2:$N$1068)</f>
        <v/>
      </c>
      <c r="H17" s="275">
        <f>SUMPRODUCT('Historical Data'!$AY$2:$AY$1068*'Historical Data'!$AP$2:$AP$1068*'Historical Data'!$AH$2:$AH$1068)</f>
        <v/>
      </c>
      <c r="I17" s="276">
        <f>IF(E17=0,"",H17/E17)</f>
        <v/>
      </c>
      <c r="J17" s="275">
        <f>SUMPRODUCT('Historical Data'!$AY$2:$AY$1068*'Historical Data'!$AP$2:$AP$1068*'Historical Data'!$AE$2:$AE$1068)</f>
        <v/>
      </c>
      <c r="K17" s="276">
        <f>IF(E17=0,"",J17/E17)</f>
        <v/>
      </c>
      <c r="L17" s="276">
        <f>IF(OR(E17&lt;Controls!$B$47,G17=0),"",SUMPRODUCT('Historical Data'!$AY$2:$AY$1068*'Historical Data'!$AP$2:$AP$1068*'Historical Data'!$AK$2:$AK$1068)/G17)</f>
        <v/>
      </c>
      <c r="M17" s="276">
        <f>IF(OR(E17&lt;Controls!$B$47,SUMPRODUCT('Historical Data'!$AY$2:$AY$1068*'Historical Data'!$AP$2:$AP$1068*'Historical Data'!$AE$2:$AE$1068*'Historical Data'!$N$2:$N$1068)=0),"",SUMPRODUCT('Historical Data'!$AY$2:$AY$1068*'Historical Data'!$AP$2:$AP$1068*'Historical Data'!$AE$2:$AE$1068*'Historical Data'!$Q$2:$Q$1068)/SUMPRODUCT('Historical Data'!$AY$2:$AY$1068*'Historical Data'!$AP$2:$AP$1068*'Historical Data'!$AE$2:$AE$1068*'Historical Data'!$N$2:$N$1068))</f>
        <v/>
      </c>
      <c r="N17" s="276">
        <f>IF(OR(E17&lt;Controls!$B$47,G17=0),"",SUMPRODUCT('Historical Data'!$AY$2:$AY$1068*'Historical Data'!$AP$2:$AP$1068*'Historical Data'!$AJ$2:$AJ$1068)/G17)</f>
        <v/>
      </c>
      <c r="O17" s="272">
        <f>IF(SUMPRODUCT('Historical Data'!$AY$2:$AY$1068*'Historical Data'!$AP$2:$AP$1068*'Historical Data'!$AM$2:$AM$1068)=0,"",SUMPRODUCT('Historical Data'!$AY$2:$AY$1068*'Historical Data'!$AP$2:$AP$1068*'Historical Data'!$AM$2:$AM$1068*'Historical Data'!$AL$2:$AL$1068)/SUMPRODUCT('Historical Data'!$AY$2:$AY$1068*'Historical Data'!$AP$2:$AP$1068*'Historical Data'!$AM$2:$AM$1068))</f>
        <v/>
      </c>
      <c r="P17" s="273">
        <f>IF(E17=0,"",SUMPRODUCT('Historical Data'!$AY$2:$AY$1068*'Historical Data'!$AP$2:$AP$1068*'Historical Data'!$AA$2:$AA$1068)/E17)</f>
        <v/>
      </c>
      <c r="Q17" s="272">
        <f>IF(E17=0,"",SUMPRODUCT('Historical Data'!$AY$2:$AY$1068*'Historical Data'!$AP$2:$AP$1068*'Historical Data'!$M$2:$M$1068)/E17)</f>
        <v/>
      </c>
      <c r="R17" s="281">
        <f>IF(E17=0,"",G17/E17)</f>
        <v/>
      </c>
      <c r="S17" s="273">
        <f>IF(E17=0,"",SUMPRODUCT('Historical Data'!$AY$2:$AY$1068*'Historical Data'!$AP$2:$AP$1068*'Historical Data'!$AN$2:$AN$1068)/E17)</f>
        <v/>
      </c>
      <c r="T17" s="276">
        <f>IF(E17=0,"",SUMPRODUCT('Historical Data'!$AY$2:$AY$1068*'Historical Data'!$AP$2:$AP$1068*'Historical Data'!$AO$2:$AO$1068)/E17)</f>
        <v/>
      </c>
      <c r="U17" s="275">
        <f>IF(AND(E17&gt;=Controls!$B$40,G17&gt;=Controls!$B$41,IF(I17="",1,I17)&lt;=Controls!$B$43),"Yes","No")</f>
        <v/>
      </c>
      <c r="V17" s="272">
        <f>IF(E17+Controls!$B$42=0,0,E17/(E17+Controls!$B$42))</f>
        <v/>
      </c>
      <c r="W17" s="276">
        <f>IF(L17="",$C$10,V17*L17+(1-V17)*$C$10)</f>
        <v/>
      </c>
      <c r="X17" s="272">
        <f>IF(OR($C$10="",$C$10=0),"",W17/$C$10)</f>
        <v/>
      </c>
      <c r="Y17" s="275">
        <f>IF(AND(E17&gt;=Controls!$B$40,G17&gt;=Controls!$B$41),1,0)</f>
        <v/>
      </c>
      <c r="Z17" s="276">
        <f>IF(L17="",0,ABS(W17-$C$10))</f>
        <v/>
      </c>
      <c r="AA17" s="275">
        <f>IF(L17="","No","Yes")</f>
        <v/>
      </c>
    </row>
    <row r="18">
      <c r="A18" s="261" t="n">
        <v>5</v>
      </c>
      <c r="B18" s="278" t="inlineStr">
        <is>
          <t>T5: new/renewal + position</t>
        </is>
      </c>
      <c r="C18" s="278" t="inlineStr">
        <is>
          <t>NR + position</t>
        </is>
      </c>
      <c r="D18" s="275">
        <f>SUMPRODUCT('Historical Data'!$AZ$2:$AZ$1068*'Historical Data'!$AD$2:$AD$1068)</f>
        <v/>
      </c>
      <c r="E18" s="275">
        <f>SUMPRODUCT('Historical Data'!$AZ$2:$AZ$1068*'Historical Data'!$AP$2:$AP$1068)</f>
        <v/>
      </c>
      <c r="F18" s="276">
        <f>IF(D18=0,"",E18/D18)</f>
        <v/>
      </c>
      <c r="G18" s="281">
        <f>SUMPRODUCT('Historical Data'!$AZ$2:$AZ$1068*'Historical Data'!$AP$2:$AP$1068*'Historical Data'!$N$2:$N$1068)</f>
        <v/>
      </c>
      <c r="H18" s="275">
        <f>SUMPRODUCT('Historical Data'!$AZ$2:$AZ$1068*'Historical Data'!$AP$2:$AP$1068*'Historical Data'!$AH$2:$AH$1068)</f>
        <v/>
      </c>
      <c r="I18" s="276">
        <f>IF(E18=0,"",H18/E18)</f>
        <v/>
      </c>
      <c r="J18" s="275">
        <f>SUMPRODUCT('Historical Data'!$AZ$2:$AZ$1068*'Historical Data'!$AP$2:$AP$1068*'Historical Data'!$AE$2:$AE$1068)</f>
        <v/>
      </c>
      <c r="K18" s="276">
        <f>IF(E18=0,"",J18/E18)</f>
        <v/>
      </c>
      <c r="L18" s="276">
        <f>IF(OR(E18&lt;Controls!$B$47,G18=0),"",SUMPRODUCT('Historical Data'!$AZ$2:$AZ$1068*'Historical Data'!$AP$2:$AP$1068*'Historical Data'!$AK$2:$AK$1068)/G18)</f>
        <v/>
      </c>
      <c r="M18" s="276">
        <f>IF(OR(E18&lt;Controls!$B$47,SUMPRODUCT('Historical Data'!$AZ$2:$AZ$1068*'Historical Data'!$AP$2:$AP$1068*'Historical Data'!$AE$2:$AE$1068*'Historical Data'!$N$2:$N$1068)=0),"",SUMPRODUCT('Historical Data'!$AZ$2:$AZ$1068*'Historical Data'!$AP$2:$AP$1068*'Historical Data'!$AE$2:$AE$1068*'Historical Data'!$Q$2:$Q$1068)/SUMPRODUCT('Historical Data'!$AZ$2:$AZ$1068*'Historical Data'!$AP$2:$AP$1068*'Historical Data'!$AE$2:$AE$1068*'Historical Data'!$N$2:$N$1068))</f>
        <v/>
      </c>
      <c r="N18" s="276">
        <f>IF(OR(E18&lt;Controls!$B$47,G18=0),"",SUMPRODUCT('Historical Data'!$AZ$2:$AZ$1068*'Historical Data'!$AP$2:$AP$1068*'Historical Data'!$AJ$2:$AJ$1068)/G18)</f>
        <v/>
      </c>
      <c r="O18" s="272">
        <f>IF(SUMPRODUCT('Historical Data'!$AZ$2:$AZ$1068*'Historical Data'!$AP$2:$AP$1068*'Historical Data'!$AM$2:$AM$1068)=0,"",SUMPRODUCT('Historical Data'!$AZ$2:$AZ$1068*'Historical Data'!$AP$2:$AP$1068*'Historical Data'!$AM$2:$AM$1068*'Historical Data'!$AL$2:$AL$1068)/SUMPRODUCT('Historical Data'!$AZ$2:$AZ$1068*'Historical Data'!$AP$2:$AP$1068*'Historical Data'!$AM$2:$AM$1068))</f>
        <v/>
      </c>
      <c r="P18" s="273">
        <f>IF(E18=0,"",SUMPRODUCT('Historical Data'!$AZ$2:$AZ$1068*'Historical Data'!$AP$2:$AP$1068*'Historical Data'!$AA$2:$AA$1068)/E18)</f>
        <v/>
      </c>
      <c r="Q18" s="272">
        <f>IF(E18=0,"",SUMPRODUCT('Historical Data'!$AZ$2:$AZ$1068*'Historical Data'!$AP$2:$AP$1068*'Historical Data'!$M$2:$M$1068)/E18)</f>
        <v/>
      </c>
      <c r="R18" s="281">
        <f>IF(E18=0,"",G18/E18)</f>
        <v/>
      </c>
      <c r="S18" s="273">
        <f>IF(E18=0,"",SUMPRODUCT('Historical Data'!$AZ$2:$AZ$1068*'Historical Data'!$AP$2:$AP$1068*'Historical Data'!$AN$2:$AN$1068)/E18)</f>
        <v/>
      </c>
      <c r="T18" s="276">
        <f>IF(E18=0,"",SUMPRODUCT('Historical Data'!$AZ$2:$AZ$1068*'Historical Data'!$AP$2:$AP$1068*'Historical Data'!$AO$2:$AO$1068)/E18)</f>
        <v/>
      </c>
      <c r="U18" s="275">
        <f>IF(AND(E18&gt;=Controls!$B$40,G18&gt;=Controls!$B$41,IF(I18="",1,I18)&lt;=Controls!$B$43),"Yes","No")</f>
        <v/>
      </c>
      <c r="V18" s="272">
        <f>IF(E18+Controls!$B$42=0,0,E18/(E18+Controls!$B$42))</f>
        <v/>
      </c>
      <c r="W18" s="276">
        <f>IF(L18="",$C$10,V18*L18+(1-V18)*$C$10)</f>
        <v/>
      </c>
      <c r="X18" s="272">
        <f>IF(OR($C$10="",$C$10=0),"",W18/$C$10)</f>
        <v/>
      </c>
      <c r="Y18" s="275">
        <f>IF(AND(E18&gt;=Controls!$B$40,G18&gt;=Controls!$B$41),1,0)</f>
        <v/>
      </c>
      <c r="Z18" s="276">
        <f>IF(L18="",0,ABS(W18-$C$10))</f>
        <v/>
      </c>
      <c r="AA18" s="275">
        <f>IF(L18="","No","Yes")</f>
        <v/>
      </c>
    </row>
    <row r="19">
      <c r="A19" s="261" t="n">
        <v>6</v>
      </c>
      <c r="B19" s="278" t="inlineStr">
        <is>
          <t>T6: new/renewal only</t>
        </is>
      </c>
      <c r="C19" s="278" t="inlineStr">
        <is>
          <t>NR</t>
        </is>
      </c>
      <c r="D19" s="275">
        <f>SUMPRODUCT('Historical Data'!$BA$2:$BA$1068*'Historical Data'!$AD$2:$AD$1068)</f>
        <v/>
      </c>
      <c r="E19" s="275">
        <f>SUMPRODUCT('Historical Data'!$BA$2:$BA$1068*'Historical Data'!$AP$2:$AP$1068)</f>
        <v/>
      </c>
      <c r="F19" s="276">
        <f>IF(D19=0,"",E19/D19)</f>
        <v/>
      </c>
      <c r="G19" s="281">
        <f>SUMPRODUCT('Historical Data'!$BA$2:$BA$1068*'Historical Data'!$AP$2:$AP$1068*'Historical Data'!$N$2:$N$1068)</f>
        <v/>
      </c>
      <c r="H19" s="275">
        <f>SUMPRODUCT('Historical Data'!$BA$2:$BA$1068*'Historical Data'!$AP$2:$AP$1068*'Historical Data'!$AH$2:$AH$1068)</f>
        <v/>
      </c>
      <c r="I19" s="276">
        <f>IF(E19=0,"",H19/E19)</f>
        <v/>
      </c>
      <c r="J19" s="275">
        <f>SUMPRODUCT('Historical Data'!$BA$2:$BA$1068*'Historical Data'!$AP$2:$AP$1068*'Historical Data'!$AE$2:$AE$1068)</f>
        <v/>
      </c>
      <c r="K19" s="276">
        <f>IF(E19=0,"",J19/E19)</f>
        <v/>
      </c>
      <c r="L19" s="276">
        <f>IF(OR(E19&lt;Controls!$B$47,G19=0),"",SUMPRODUCT('Historical Data'!$BA$2:$BA$1068*'Historical Data'!$AP$2:$AP$1068*'Historical Data'!$AK$2:$AK$1068)/G19)</f>
        <v/>
      </c>
      <c r="M19" s="276">
        <f>IF(OR(E19&lt;Controls!$B$47,SUMPRODUCT('Historical Data'!$BA$2:$BA$1068*'Historical Data'!$AP$2:$AP$1068*'Historical Data'!$AE$2:$AE$1068*'Historical Data'!$N$2:$N$1068)=0),"",SUMPRODUCT('Historical Data'!$BA$2:$BA$1068*'Historical Data'!$AP$2:$AP$1068*'Historical Data'!$AE$2:$AE$1068*'Historical Data'!$Q$2:$Q$1068)/SUMPRODUCT('Historical Data'!$BA$2:$BA$1068*'Historical Data'!$AP$2:$AP$1068*'Historical Data'!$AE$2:$AE$1068*'Historical Data'!$N$2:$N$1068))</f>
        <v/>
      </c>
      <c r="N19" s="276">
        <f>IF(OR(E19&lt;Controls!$B$47,G19=0),"",SUMPRODUCT('Historical Data'!$BA$2:$BA$1068*'Historical Data'!$AP$2:$AP$1068*'Historical Data'!$AJ$2:$AJ$1068)/G19)</f>
        <v/>
      </c>
      <c r="O19" s="272">
        <f>IF(SUMPRODUCT('Historical Data'!$BA$2:$BA$1068*'Historical Data'!$AP$2:$AP$1068*'Historical Data'!$AM$2:$AM$1068)=0,"",SUMPRODUCT('Historical Data'!$BA$2:$BA$1068*'Historical Data'!$AP$2:$AP$1068*'Historical Data'!$AM$2:$AM$1068*'Historical Data'!$AL$2:$AL$1068)/SUMPRODUCT('Historical Data'!$BA$2:$BA$1068*'Historical Data'!$AP$2:$AP$1068*'Historical Data'!$AM$2:$AM$1068))</f>
        <v/>
      </c>
      <c r="P19" s="273">
        <f>IF(E19=0,"",SUMPRODUCT('Historical Data'!$BA$2:$BA$1068*'Historical Data'!$AP$2:$AP$1068*'Historical Data'!$AA$2:$AA$1068)/E19)</f>
        <v/>
      </c>
      <c r="Q19" s="272">
        <f>IF(E19=0,"",SUMPRODUCT('Historical Data'!$BA$2:$BA$1068*'Historical Data'!$AP$2:$AP$1068*'Historical Data'!$M$2:$M$1068)/E19)</f>
        <v/>
      </c>
      <c r="R19" s="281">
        <f>IF(E19=0,"",G19/E19)</f>
        <v/>
      </c>
      <c r="S19" s="273">
        <f>IF(E19=0,"",SUMPRODUCT('Historical Data'!$BA$2:$BA$1068*'Historical Data'!$AP$2:$AP$1068*'Historical Data'!$AN$2:$AN$1068)/E19)</f>
        <v/>
      </c>
      <c r="T19" s="276">
        <f>IF(E19=0,"",SUMPRODUCT('Historical Data'!$BA$2:$BA$1068*'Historical Data'!$AP$2:$AP$1068*'Historical Data'!$AO$2:$AO$1068)/E19)</f>
        <v/>
      </c>
      <c r="U19" s="275">
        <f>IF(AND(E19&gt;=Controls!$B$40,G19&gt;=Controls!$B$41,IF(I19="",1,I19)&lt;=Controls!$B$43),"Yes","No")</f>
        <v/>
      </c>
      <c r="V19" s="272">
        <f>IF(E19+Controls!$B$42=0,0,E19/(E19+Controls!$B$42))</f>
        <v/>
      </c>
      <c r="W19" s="276">
        <f>IF(L19="",$C$10,V19*L19+(1-V19)*$C$10)</f>
        <v/>
      </c>
      <c r="X19" s="272">
        <f>IF(OR($C$10="",$C$10=0),"",W19/$C$10)</f>
        <v/>
      </c>
      <c r="Y19" s="275">
        <f>IF(AND(E19&gt;=Controls!$B$40,G19&gt;=Controls!$B$41),1,0)</f>
        <v/>
      </c>
      <c r="Z19" s="276">
        <f>IF(L19="",0,ABS(W19-$C$10))</f>
        <v/>
      </c>
      <c r="AA19" s="275">
        <f>IF(L19="","No","Yes")</f>
        <v/>
      </c>
    </row>
    <row r="20">
      <c r="A20" s="261" t="n">
        <v>7</v>
      </c>
      <c r="B20" s="278" t="inlineStr">
        <is>
          <t>T7: seasoned book (baseline)</t>
        </is>
      </c>
      <c r="C20" s="278" t="inlineStr">
        <is>
          <t>all seasoned deals in window</t>
        </is>
      </c>
      <c r="D20" s="275">
        <f>SUMPRODUCT('Historical Data'!$BB$2:$BB$1068*'Historical Data'!$AD$2:$AD$1068)</f>
        <v/>
      </c>
      <c r="E20" s="275">
        <f>SUMPRODUCT('Historical Data'!$BB$2:$BB$1068*'Historical Data'!$AP$2:$AP$1068)</f>
        <v/>
      </c>
      <c r="F20" s="276">
        <f>IF(D20=0,"",E20/D20)</f>
        <v/>
      </c>
      <c r="G20" s="281">
        <f>SUMPRODUCT('Historical Data'!$BB$2:$BB$1068*'Historical Data'!$AP$2:$AP$1068*'Historical Data'!$N$2:$N$1068)</f>
        <v/>
      </c>
      <c r="H20" s="275">
        <f>SUMPRODUCT('Historical Data'!$BB$2:$BB$1068*'Historical Data'!$AP$2:$AP$1068*'Historical Data'!$AH$2:$AH$1068)</f>
        <v/>
      </c>
      <c r="I20" s="276">
        <f>IF(E20=0,"",H20/E20)</f>
        <v/>
      </c>
      <c r="J20" s="275">
        <f>SUMPRODUCT('Historical Data'!$BB$2:$BB$1068*'Historical Data'!$AP$2:$AP$1068*'Historical Data'!$AE$2:$AE$1068)</f>
        <v/>
      </c>
      <c r="K20" s="276">
        <f>IF(E20=0,"",J20/E20)</f>
        <v/>
      </c>
      <c r="L20" s="276">
        <f>IF(OR(E20&lt;Controls!$B$47,G20=0),"",SUMPRODUCT('Historical Data'!$BB$2:$BB$1068*'Historical Data'!$AP$2:$AP$1068*'Historical Data'!$AK$2:$AK$1068)/G20)</f>
        <v/>
      </c>
      <c r="M20" s="276">
        <f>IF(OR(E20&lt;Controls!$B$47,SUMPRODUCT('Historical Data'!$BB$2:$BB$1068*'Historical Data'!$AP$2:$AP$1068*'Historical Data'!$AE$2:$AE$1068*'Historical Data'!$N$2:$N$1068)=0),"",SUMPRODUCT('Historical Data'!$BB$2:$BB$1068*'Historical Data'!$AP$2:$AP$1068*'Historical Data'!$AE$2:$AE$1068*'Historical Data'!$Q$2:$Q$1068)/SUMPRODUCT('Historical Data'!$BB$2:$BB$1068*'Historical Data'!$AP$2:$AP$1068*'Historical Data'!$AE$2:$AE$1068*'Historical Data'!$N$2:$N$1068))</f>
        <v/>
      </c>
      <c r="N20" s="276">
        <f>IF(OR(E20&lt;Controls!$B$47,G20=0),"",SUMPRODUCT('Historical Data'!$BB$2:$BB$1068*'Historical Data'!$AP$2:$AP$1068*'Historical Data'!$AJ$2:$AJ$1068)/G20)</f>
        <v/>
      </c>
      <c r="O20" s="272">
        <f>IF(SUMPRODUCT('Historical Data'!$BB$2:$BB$1068*'Historical Data'!$AP$2:$AP$1068*'Historical Data'!$AM$2:$AM$1068)=0,"",SUMPRODUCT('Historical Data'!$BB$2:$BB$1068*'Historical Data'!$AP$2:$AP$1068*'Historical Data'!$AM$2:$AM$1068*'Historical Data'!$AL$2:$AL$1068)/SUMPRODUCT('Historical Data'!$BB$2:$BB$1068*'Historical Data'!$AP$2:$AP$1068*'Historical Data'!$AM$2:$AM$1068))</f>
        <v/>
      </c>
      <c r="P20" s="273">
        <f>IF(E20=0,"",SUMPRODUCT('Historical Data'!$BB$2:$BB$1068*'Historical Data'!$AP$2:$AP$1068*'Historical Data'!$AA$2:$AA$1068)/E20)</f>
        <v/>
      </c>
      <c r="Q20" s="272">
        <f>IF(E20=0,"",SUMPRODUCT('Historical Data'!$BB$2:$BB$1068*'Historical Data'!$AP$2:$AP$1068*'Historical Data'!$M$2:$M$1068)/E20)</f>
        <v/>
      </c>
      <c r="R20" s="281">
        <f>IF(E20=0,"",G20/E20)</f>
        <v/>
      </c>
      <c r="S20" s="273">
        <f>IF(E20=0,"",SUMPRODUCT('Historical Data'!$BB$2:$BB$1068*'Historical Data'!$AP$2:$AP$1068*'Historical Data'!$AN$2:$AN$1068)/E20)</f>
        <v/>
      </c>
      <c r="T20" s="276">
        <f>IF(E20=0,"",SUMPRODUCT('Historical Data'!$BB$2:$BB$1068*'Historical Data'!$AP$2:$AP$1068*'Historical Data'!$AO$2:$AO$1068)/E20)</f>
        <v/>
      </c>
      <c r="U20" s="275">
        <f>IF(AND(E20&gt;=Controls!$B$40,G20&gt;=Controls!$B$41,IF(I20="",1,I20)&lt;=Controls!$B$43),"Yes","No")</f>
        <v/>
      </c>
      <c r="V20" s="272">
        <f>IF(E20+Controls!$B$42=0,0,E20/(E20+Controls!$B$42))</f>
        <v/>
      </c>
      <c r="W20" s="276">
        <f>IF(L20="",$C$10,V20*L20+(1-V20)*$C$10)</f>
        <v/>
      </c>
      <c r="X20" s="272">
        <f>IF(OR($C$10="",$C$10=0),"",W20/$C$10)</f>
        <v/>
      </c>
      <c r="Y20" s="275">
        <f>IF(AND(E20&gt;=Controls!$B$40,G20&gt;=Controls!$B$41),1,0)</f>
        <v/>
      </c>
      <c r="Z20" s="276">
        <f>IF(L20="",0,ABS(W20-$C$10))</f>
        <v/>
      </c>
      <c r="AA20" s="275">
        <f>IF(L20="","No","Yes")</f>
        <v/>
      </c>
    </row>
    <row r="21">
      <c r="A21" s="254" t="inlineStr"/>
      <c r="B21" s="254" t="inlineStr">
        <is>
          <t>SINGLE-DIMENSION EVIDENCE (informational + largest-impact test)</t>
        </is>
      </c>
      <c r="C21" s="254" t="inlineStr"/>
      <c r="D21" s="254" t="inlineStr"/>
      <c r="E21" s="254" t="inlineStr"/>
      <c r="F21" s="254" t="inlineStr"/>
      <c r="G21" s="254" t="inlineStr"/>
      <c r="H21" s="254" t="inlineStr"/>
      <c r="I21" s="254" t="inlineStr"/>
      <c r="J21" s="254" t="inlineStr"/>
      <c r="K21" s="254" t="inlineStr"/>
      <c r="L21" s="254" t="inlineStr"/>
      <c r="M21" s="254" t="inlineStr"/>
      <c r="N21" s="254" t="inlineStr"/>
      <c r="O21" s="254" t="inlineStr"/>
      <c r="P21" s="254" t="inlineStr"/>
      <c r="Q21" s="254" t="inlineStr"/>
      <c r="R21" s="254" t="inlineStr"/>
      <c r="S21" s="254" t="inlineStr"/>
      <c r="T21" s="254" t="inlineStr"/>
      <c r="U21" s="254" t="inlineStr"/>
      <c r="V21" s="254" t="inlineStr"/>
      <c r="W21" s="254" t="inlineStr"/>
      <c r="X21" s="254" t="inlineStr"/>
      <c r="Y21" s="254" t="inlineStr"/>
      <c r="Z21" s="254" t="inlineStr"/>
      <c r="AA21" s="254" t="inlineStr"/>
    </row>
    <row r="22">
      <c r="A22" s="261" t="inlineStr">
        <is>
          <t>S1</t>
        </is>
      </c>
      <c r="B22" s="278" t="inlineStr">
        <is>
          <t>Position only</t>
        </is>
      </c>
      <c r="C22" s="278" t="inlineStr">
        <is>
          <t>Position only</t>
        </is>
      </c>
      <c r="D22" s="275">
        <f>SUMPRODUCT('Historical Data'!$AQ$2:$AQ$1068*'Historical Data'!$AD$2:$AD$1068)</f>
        <v/>
      </c>
      <c r="E22" s="275">
        <f>SUMPRODUCT('Historical Data'!$AQ$2:$AQ$1068*'Historical Data'!$AP$2:$AP$1068)</f>
        <v/>
      </c>
      <c r="F22" s="276">
        <f>IF(D22=0,"",E22/D22)</f>
        <v/>
      </c>
      <c r="G22" s="281">
        <f>SUMPRODUCT('Historical Data'!$AQ$2:$AQ$1068*'Historical Data'!$AP$2:$AP$1068*'Historical Data'!$N$2:$N$1068)</f>
        <v/>
      </c>
      <c r="H22" s="275">
        <f>SUMPRODUCT('Historical Data'!$AQ$2:$AQ$1068*'Historical Data'!$AP$2:$AP$1068*'Historical Data'!$AH$2:$AH$1068)</f>
        <v/>
      </c>
      <c r="I22" s="276">
        <f>IF(E22=0,"",H22/E22)</f>
        <v/>
      </c>
      <c r="J22" s="275">
        <f>SUMPRODUCT('Historical Data'!$AQ$2:$AQ$1068*'Historical Data'!$AP$2:$AP$1068*'Historical Data'!$AE$2:$AE$1068)</f>
        <v/>
      </c>
      <c r="K22" s="276">
        <f>IF(E22=0,"",J22/E22)</f>
        <v/>
      </c>
      <c r="L22" s="276">
        <f>IF(OR(E22&lt;Controls!$B$47,G22=0),"",SUMPRODUCT('Historical Data'!$AQ$2:$AQ$1068*'Historical Data'!$AP$2:$AP$1068*'Historical Data'!$AK$2:$AK$1068)/G22)</f>
        <v/>
      </c>
      <c r="M22" s="276">
        <f>IF(OR(E22&lt;Controls!$B$47,SUMPRODUCT('Historical Data'!$AQ$2:$AQ$1068*'Historical Data'!$AP$2:$AP$1068*'Historical Data'!$AE$2:$AE$1068*'Historical Data'!$N$2:$N$1068)=0),"",SUMPRODUCT('Historical Data'!$AQ$2:$AQ$1068*'Historical Data'!$AP$2:$AP$1068*'Historical Data'!$AE$2:$AE$1068*'Historical Data'!$Q$2:$Q$1068)/SUMPRODUCT('Historical Data'!$AQ$2:$AQ$1068*'Historical Data'!$AP$2:$AP$1068*'Historical Data'!$AE$2:$AE$1068*'Historical Data'!$N$2:$N$1068))</f>
        <v/>
      </c>
      <c r="N22" s="276">
        <f>IF(OR(E22&lt;Controls!$B$47,G22=0),"",SUMPRODUCT('Historical Data'!$AQ$2:$AQ$1068*'Historical Data'!$AP$2:$AP$1068*'Historical Data'!$AJ$2:$AJ$1068)/G22)</f>
        <v/>
      </c>
      <c r="O22" s="272">
        <f>IF(SUMPRODUCT('Historical Data'!$AQ$2:$AQ$1068*'Historical Data'!$AP$2:$AP$1068*'Historical Data'!$AM$2:$AM$1068)=0,"",SUMPRODUCT('Historical Data'!$AQ$2:$AQ$1068*'Historical Data'!$AP$2:$AP$1068*'Historical Data'!$AM$2:$AM$1068*'Historical Data'!$AL$2:$AL$1068)/SUMPRODUCT('Historical Data'!$AQ$2:$AQ$1068*'Historical Data'!$AP$2:$AP$1068*'Historical Data'!$AM$2:$AM$1068))</f>
        <v/>
      </c>
      <c r="P22" s="273">
        <f>IF(E22=0,"",SUMPRODUCT('Historical Data'!$AQ$2:$AQ$1068*'Historical Data'!$AP$2:$AP$1068*'Historical Data'!$AA$2:$AA$1068)/E22)</f>
        <v/>
      </c>
      <c r="Q22" s="272">
        <f>IF(E22=0,"",SUMPRODUCT('Historical Data'!$AQ$2:$AQ$1068*'Historical Data'!$AP$2:$AP$1068*'Historical Data'!$M$2:$M$1068)/E22)</f>
        <v/>
      </c>
      <c r="R22" s="281">
        <f>IF(E22=0,"",G22/E22)</f>
        <v/>
      </c>
      <c r="S22" s="273">
        <f>IF(E22=0,"",SUMPRODUCT('Historical Data'!$AQ$2:$AQ$1068*'Historical Data'!$AP$2:$AP$1068*'Historical Data'!$AN$2:$AN$1068)/E22)</f>
        <v/>
      </c>
      <c r="T22" s="276">
        <f>IF(E22=0,"",SUMPRODUCT('Historical Data'!$AQ$2:$AQ$1068*'Historical Data'!$AP$2:$AP$1068*'Historical Data'!$AO$2:$AO$1068)/E22)</f>
        <v/>
      </c>
      <c r="U22" s="275">
        <f>IF(AND(E22&gt;=Controls!$B$40,G22&gt;=Controls!$B$41,IF(I22="",1,I22)&lt;=Controls!$B$43),"Yes","No")</f>
        <v/>
      </c>
      <c r="V22" s="272">
        <f>IF(E22+Controls!$B$42=0,0,E22/(E22+Controls!$B$42))</f>
        <v/>
      </c>
      <c r="W22" s="276">
        <f>IF(L22="",$C$10,V22*L22+(1-V22)*$C$10)</f>
        <v/>
      </c>
      <c r="X22" s="272">
        <f>IF(OR($C$10="",$C$10=0),"",W22/$C$10)</f>
        <v/>
      </c>
      <c r="Y22" s="275">
        <f>IF(AND(E22&gt;=Controls!$B$40,G22&gt;=Controls!$B$41),1,0)</f>
        <v/>
      </c>
      <c r="Z22" s="276">
        <f>IF(L22="",0,ABS(W22-$C$10))</f>
        <v/>
      </c>
      <c r="AA22" s="275">
        <f>IF(L22="","No","Yes")</f>
        <v/>
      </c>
    </row>
    <row r="23">
      <c r="A23" s="261" t="inlineStr">
        <is>
          <t>S2</t>
        </is>
      </c>
      <c r="B23" s="278" t="inlineStr">
        <is>
          <t>New/renewal only</t>
        </is>
      </c>
      <c r="C23" s="278" t="inlineStr">
        <is>
          <t>New/renewal only</t>
        </is>
      </c>
      <c r="D23" s="275">
        <f>SUMPRODUCT('Historical Data'!$AR$2:$AR$1068*'Historical Data'!$AD$2:$AD$1068)</f>
        <v/>
      </c>
      <c r="E23" s="275">
        <f>SUMPRODUCT('Historical Data'!$AR$2:$AR$1068*'Historical Data'!$AP$2:$AP$1068)</f>
        <v/>
      </c>
      <c r="F23" s="276">
        <f>IF(D23=0,"",E23/D23)</f>
        <v/>
      </c>
      <c r="G23" s="281">
        <f>SUMPRODUCT('Historical Data'!$AR$2:$AR$1068*'Historical Data'!$AP$2:$AP$1068*'Historical Data'!$N$2:$N$1068)</f>
        <v/>
      </c>
      <c r="H23" s="275">
        <f>SUMPRODUCT('Historical Data'!$AR$2:$AR$1068*'Historical Data'!$AP$2:$AP$1068*'Historical Data'!$AH$2:$AH$1068)</f>
        <v/>
      </c>
      <c r="I23" s="276">
        <f>IF(E23=0,"",H23/E23)</f>
        <v/>
      </c>
      <c r="J23" s="275">
        <f>SUMPRODUCT('Historical Data'!$AR$2:$AR$1068*'Historical Data'!$AP$2:$AP$1068*'Historical Data'!$AE$2:$AE$1068)</f>
        <v/>
      </c>
      <c r="K23" s="276">
        <f>IF(E23=0,"",J23/E23)</f>
        <v/>
      </c>
      <c r="L23" s="276">
        <f>IF(OR(E23&lt;Controls!$B$47,G23=0),"",SUMPRODUCT('Historical Data'!$AR$2:$AR$1068*'Historical Data'!$AP$2:$AP$1068*'Historical Data'!$AK$2:$AK$1068)/G23)</f>
        <v/>
      </c>
      <c r="M23" s="276">
        <f>IF(OR(E23&lt;Controls!$B$47,SUMPRODUCT('Historical Data'!$AR$2:$AR$1068*'Historical Data'!$AP$2:$AP$1068*'Historical Data'!$AE$2:$AE$1068*'Historical Data'!$N$2:$N$1068)=0),"",SUMPRODUCT('Historical Data'!$AR$2:$AR$1068*'Historical Data'!$AP$2:$AP$1068*'Historical Data'!$AE$2:$AE$1068*'Historical Data'!$Q$2:$Q$1068)/SUMPRODUCT('Historical Data'!$AR$2:$AR$1068*'Historical Data'!$AP$2:$AP$1068*'Historical Data'!$AE$2:$AE$1068*'Historical Data'!$N$2:$N$1068))</f>
        <v/>
      </c>
      <c r="N23" s="276">
        <f>IF(OR(E23&lt;Controls!$B$47,G23=0),"",SUMPRODUCT('Historical Data'!$AR$2:$AR$1068*'Historical Data'!$AP$2:$AP$1068*'Historical Data'!$AJ$2:$AJ$1068)/G23)</f>
        <v/>
      </c>
      <c r="O23" s="272">
        <f>IF(SUMPRODUCT('Historical Data'!$AR$2:$AR$1068*'Historical Data'!$AP$2:$AP$1068*'Historical Data'!$AM$2:$AM$1068)=0,"",SUMPRODUCT('Historical Data'!$AR$2:$AR$1068*'Historical Data'!$AP$2:$AP$1068*'Historical Data'!$AM$2:$AM$1068*'Historical Data'!$AL$2:$AL$1068)/SUMPRODUCT('Historical Data'!$AR$2:$AR$1068*'Historical Data'!$AP$2:$AP$1068*'Historical Data'!$AM$2:$AM$1068))</f>
        <v/>
      </c>
      <c r="P23" s="273">
        <f>IF(E23=0,"",SUMPRODUCT('Historical Data'!$AR$2:$AR$1068*'Historical Data'!$AP$2:$AP$1068*'Historical Data'!$AA$2:$AA$1068)/E23)</f>
        <v/>
      </c>
      <c r="Q23" s="272">
        <f>IF(E23=0,"",SUMPRODUCT('Historical Data'!$AR$2:$AR$1068*'Historical Data'!$AP$2:$AP$1068*'Historical Data'!$M$2:$M$1068)/E23)</f>
        <v/>
      </c>
      <c r="R23" s="281">
        <f>IF(E23=0,"",G23/E23)</f>
        <v/>
      </c>
      <c r="S23" s="273">
        <f>IF(E23=0,"",SUMPRODUCT('Historical Data'!$AR$2:$AR$1068*'Historical Data'!$AP$2:$AP$1068*'Historical Data'!$AN$2:$AN$1068)/E23)</f>
        <v/>
      </c>
      <c r="T23" s="276">
        <f>IF(E23=0,"",SUMPRODUCT('Historical Data'!$AR$2:$AR$1068*'Historical Data'!$AP$2:$AP$1068*'Historical Data'!$AO$2:$AO$1068)/E23)</f>
        <v/>
      </c>
      <c r="U23" s="275">
        <f>IF(AND(E23&gt;=Controls!$B$40,G23&gt;=Controls!$B$41,IF(I23="",1,I23)&lt;=Controls!$B$43),"Yes","No")</f>
        <v/>
      </c>
      <c r="V23" s="272">
        <f>IF(E23+Controls!$B$42=0,0,E23/(E23+Controls!$B$42))</f>
        <v/>
      </c>
      <c r="W23" s="276">
        <f>IF(L23="",$C$10,V23*L23+(1-V23)*$C$10)</f>
        <v/>
      </c>
      <c r="X23" s="272">
        <f>IF(OR($C$10="",$C$10=0),"",W23/$C$10)</f>
        <v/>
      </c>
      <c r="Y23" s="275">
        <f>IF(AND(E23&gt;=Controls!$B$40,G23&gt;=Controls!$B$41),1,0)</f>
        <v/>
      </c>
      <c r="Z23" s="276">
        <f>IF(L23="",0,ABS(W23-$C$10))</f>
        <v/>
      </c>
      <c r="AA23" s="275">
        <f>IF(L23="","No","Yes")</f>
        <v/>
      </c>
    </row>
    <row r="24">
      <c r="A24" s="261" t="inlineStr">
        <is>
          <t>S3</t>
        </is>
      </c>
      <c r="B24" s="278" t="inlineStr">
        <is>
          <t>Industry only</t>
        </is>
      </c>
      <c r="C24" s="278" t="inlineStr">
        <is>
          <t>Industry only</t>
        </is>
      </c>
      <c r="D24" s="275">
        <f>SUMPRODUCT('Historical Data'!$AS$2:$AS$1068*'Historical Data'!$AD$2:$AD$1068)</f>
        <v/>
      </c>
      <c r="E24" s="275">
        <f>SUMPRODUCT('Historical Data'!$AS$2:$AS$1068*'Historical Data'!$AP$2:$AP$1068)</f>
        <v/>
      </c>
      <c r="F24" s="276">
        <f>IF(D24=0,"",E24/D24)</f>
        <v/>
      </c>
      <c r="G24" s="281">
        <f>SUMPRODUCT('Historical Data'!$AS$2:$AS$1068*'Historical Data'!$AP$2:$AP$1068*'Historical Data'!$N$2:$N$1068)</f>
        <v/>
      </c>
      <c r="H24" s="275">
        <f>SUMPRODUCT('Historical Data'!$AS$2:$AS$1068*'Historical Data'!$AP$2:$AP$1068*'Historical Data'!$AH$2:$AH$1068)</f>
        <v/>
      </c>
      <c r="I24" s="276">
        <f>IF(E24=0,"",H24/E24)</f>
        <v/>
      </c>
      <c r="J24" s="275">
        <f>SUMPRODUCT('Historical Data'!$AS$2:$AS$1068*'Historical Data'!$AP$2:$AP$1068*'Historical Data'!$AE$2:$AE$1068)</f>
        <v/>
      </c>
      <c r="K24" s="276">
        <f>IF(E24=0,"",J24/E24)</f>
        <v/>
      </c>
      <c r="L24" s="276">
        <f>IF(OR(E24&lt;Controls!$B$47,G24=0),"",SUMPRODUCT('Historical Data'!$AS$2:$AS$1068*'Historical Data'!$AP$2:$AP$1068*'Historical Data'!$AK$2:$AK$1068)/G24)</f>
        <v/>
      </c>
      <c r="M24" s="276">
        <f>IF(OR(E24&lt;Controls!$B$47,SUMPRODUCT('Historical Data'!$AS$2:$AS$1068*'Historical Data'!$AP$2:$AP$1068*'Historical Data'!$AE$2:$AE$1068*'Historical Data'!$N$2:$N$1068)=0),"",SUMPRODUCT('Historical Data'!$AS$2:$AS$1068*'Historical Data'!$AP$2:$AP$1068*'Historical Data'!$AE$2:$AE$1068*'Historical Data'!$Q$2:$Q$1068)/SUMPRODUCT('Historical Data'!$AS$2:$AS$1068*'Historical Data'!$AP$2:$AP$1068*'Historical Data'!$AE$2:$AE$1068*'Historical Data'!$N$2:$N$1068))</f>
        <v/>
      </c>
      <c r="N24" s="276">
        <f>IF(OR(E24&lt;Controls!$B$47,G24=0),"",SUMPRODUCT('Historical Data'!$AS$2:$AS$1068*'Historical Data'!$AP$2:$AP$1068*'Historical Data'!$AJ$2:$AJ$1068)/G24)</f>
        <v/>
      </c>
      <c r="O24" s="272">
        <f>IF(SUMPRODUCT('Historical Data'!$AS$2:$AS$1068*'Historical Data'!$AP$2:$AP$1068*'Historical Data'!$AM$2:$AM$1068)=0,"",SUMPRODUCT('Historical Data'!$AS$2:$AS$1068*'Historical Data'!$AP$2:$AP$1068*'Historical Data'!$AM$2:$AM$1068*'Historical Data'!$AL$2:$AL$1068)/SUMPRODUCT('Historical Data'!$AS$2:$AS$1068*'Historical Data'!$AP$2:$AP$1068*'Historical Data'!$AM$2:$AM$1068))</f>
        <v/>
      </c>
      <c r="P24" s="273">
        <f>IF(E24=0,"",SUMPRODUCT('Historical Data'!$AS$2:$AS$1068*'Historical Data'!$AP$2:$AP$1068*'Historical Data'!$AA$2:$AA$1068)/E24)</f>
        <v/>
      </c>
      <c r="Q24" s="272">
        <f>IF(E24=0,"",SUMPRODUCT('Historical Data'!$AS$2:$AS$1068*'Historical Data'!$AP$2:$AP$1068*'Historical Data'!$M$2:$M$1068)/E24)</f>
        <v/>
      </c>
      <c r="R24" s="281">
        <f>IF(E24=0,"",G24/E24)</f>
        <v/>
      </c>
      <c r="S24" s="273">
        <f>IF(E24=0,"",SUMPRODUCT('Historical Data'!$AS$2:$AS$1068*'Historical Data'!$AP$2:$AP$1068*'Historical Data'!$AN$2:$AN$1068)/E24)</f>
        <v/>
      </c>
      <c r="T24" s="276">
        <f>IF(E24=0,"",SUMPRODUCT('Historical Data'!$AS$2:$AS$1068*'Historical Data'!$AP$2:$AP$1068*'Historical Data'!$AO$2:$AO$1068)/E24)</f>
        <v/>
      </c>
      <c r="U24" s="275">
        <f>IF(AND(E24&gt;=Controls!$B$40,G24&gt;=Controls!$B$41,IF(I24="",1,I24)&lt;=Controls!$B$43),"Yes","No")</f>
        <v/>
      </c>
      <c r="V24" s="272">
        <f>IF(E24+Controls!$B$42=0,0,E24/(E24+Controls!$B$42))</f>
        <v/>
      </c>
      <c r="W24" s="276">
        <f>IF(L24="",$C$10,V24*L24+(1-V24)*$C$10)</f>
        <v/>
      </c>
      <c r="X24" s="272">
        <f>IF(OR($C$10="",$C$10=0),"",W24/$C$10)</f>
        <v/>
      </c>
      <c r="Y24" s="275">
        <f>IF(AND(E24&gt;=Controls!$B$40,G24&gt;=Controls!$B$41),1,0)</f>
        <v/>
      </c>
      <c r="Z24" s="276">
        <f>IF(L24="",0,ABS(W24-$C$10))</f>
        <v/>
      </c>
      <c r="AA24" s="275">
        <f>IF(L24="","No","Yes")</f>
        <v/>
      </c>
    </row>
    <row r="25">
      <c r="A25" s="261" t="inlineStr">
        <is>
          <t>S4</t>
        </is>
      </c>
      <c r="B25" s="278" t="inlineStr">
        <is>
          <t>ISO only</t>
        </is>
      </c>
      <c r="C25" s="278" t="inlineStr">
        <is>
          <t>ISO only</t>
        </is>
      </c>
      <c r="D25" s="275">
        <f>SUMPRODUCT('Historical Data'!$AT$2:$AT$1068*'Historical Data'!$AD$2:$AD$1068)</f>
        <v/>
      </c>
      <c r="E25" s="275">
        <f>SUMPRODUCT('Historical Data'!$AT$2:$AT$1068*'Historical Data'!$AP$2:$AP$1068)</f>
        <v/>
      </c>
      <c r="F25" s="276">
        <f>IF(D25=0,"",E25/D25)</f>
        <v/>
      </c>
      <c r="G25" s="281">
        <f>SUMPRODUCT('Historical Data'!$AT$2:$AT$1068*'Historical Data'!$AP$2:$AP$1068*'Historical Data'!$N$2:$N$1068)</f>
        <v/>
      </c>
      <c r="H25" s="275">
        <f>SUMPRODUCT('Historical Data'!$AT$2:$AT$1068*'Historical Data'!$AP$2:$AP$1068*'Historical Data'!$AH$2:$AH$1068)</f>
        <v/>
      </c>
      <c r="I25" s="276">
        <f>IF(E25=0,"",H25/E25)</f>
        <v/>
      </c>
      <c r="J25" s="275">
        <f>SUMPRODUCT('Historical Data'!$AT$2:$AT$1068*'Historical Data'!$AP$2:$AP$1068*'Historical Data'!$AE$2:$AE$1068)</f>
        <v/>
      </c>
      <c r="K25" s="276">
        <f>IF(E25=0,"",J25/E25)</f>
        <v/>
      </c>
      <c r="L25" s="276">
        <f>IF(OR(E25&lt;Controls!$B$47,G25=0),"",SUMPRODUCT('Historical Data'!$AT$2:$AT$1068*'Historical Data'!$AP$2:$AP$1068*'Historical Data'!$AK$2:$AK$1068)/G25)</f>
        <v/>
      </c>
      <c r="M25" s="276">
        <f>IF(OR(E25&lt;Controls!$B$47,SUMPRODUCT('Historical Data'!$AT$2:$AT$1068*'Historical Data'!$AP$2:$AP$1068*'Historical Data'!$AE$2:$AE$1068*'Historical Data'!$N$2:$N$1068)=0),"",SUMPRODUCT('Historical Data'!$AT$2:$AT$1068*'Historical Data'!$AP$2:$AP$1068*'Historical Data'!$AE$2:$AE$1068*'Historical Data'!$Q$2:$Q$1068)/SUMPRODUCT('Historical Data'!$AT$2:$AT$1068*'Historical Data'!$AP$2:$AP$1068*'Historical Data'!$AE$2:$AE$1068*'Historical Data'!$N$2:$N$1068))</f>
        <v/>
      </c>
      <c r="N25" s="276">
        <f>IF(OR(E25&lt;Controls!$B$47,G25=0),"",SUMPRODUCT('Historical Data'!$AT$2:$AT$1068*'Historical Data'!$AP$2:$AP$1068*'Historical Data'!$AJ$2:$AJ$1068)/G25)</f>
        <v/>
      </c>
      <c r="O25" s="272">
        <f>IF(SUMPRODUCT('Historical Data'!$AT$2:$AT$1068*'Historical Data'!$AP$2:$AP$1068*'Historical Data'!$AM$2:$AM$1068)=0,"",SUMPRODUCT('Historical Data'!$AT$2:$AT$1068*'Historical Data'!$AP$2:$AP$1068*'Historical Data'!$AM$2:$AM$1068*'Historical Data'!$AL$2:$AL$1068)/SUMPRODUCT('Historical Data'!$AT$2:$AT$1068*'Historical Data'!$AP$2:$AP$1068*'Historical Data'!$AM$2:$AM$1068))</f>
        <v/>
      </c>
      <c r="P25" s="273">
        <f>IF(E25=0,"",SUMPRODUCT('Historical Data'!$AT$2:$AT$1068*'Historical Data'!$AP$2:$AP$1068*'Historical Data'!$AA$2:$AA$1068)/E25)</f>
        <v/>
      </c>
      <c r="Q25" s="272">
        <f>IF(E25=0,"",SUMPRODUCT('Historical Data'!$AT$2:$AT$1068*'Historical Data'!$AP$2:$AP$1068*'Historical Data'!$M$2:$M$1068)/E25)</f>
        <v/>
      </c>
      <c r="R25" s="281">
        <f>IF(E25=0,"",G25/E25)</f>
        <v/>
      </c>
      <c r="S25" s="273">
        <f>IF(E25=0,"",SUMPRODUCT('Historical Data'!$AT$2:$AT$1068*'Historical Data'!$AP$2:$AP$1068*'Historical Data'!$AN$2:$AN$1068)/E25)</f>
        <v/>
      </c>
      <c r="T25" s="276">
        <f>IF(E25=0,"",SUMPRODUCT('Historical Data'!$AT$2:$AT$1068*'Historical Data'!$AP$2:$AP$1068*'Historical Data'!$AO$2:$AO$1068)/E25)</f>
        <v/>
      </c>
      <c r="U25" s="275">
        <f>IF(AND(E25&gt;=Controls!$B$40,G25&gt;=Controls!$B$41,IF(I25="",1,I25)&lt;=Controls!$B$43),"Yes","No")</f>
        <v/>
      </c>
      <c r="V25" s="272">
        <f>IF(E25+Controls!$B$42=0,0,E25/(E25+Controls!$B$42))</f>
        <v/>
      </c>
      <c r="W25" s="276">
        <f>IF(L25="",$C$10,V25*L25+(1-V25)*$C$10)</f>
        <v/>
      </c>
      <c r="X25" s="272">
        <f>IF(OR($C$10="",$C$10=0),"",W25/$C$10)</f>
        <v/>
      </c>
      <c r="Y25" s="275">
        <f>IF(AND(E25&gt;=Controls!$B$40,G25&gt;=Controls!$B$41),1,0)</f>
        <v/>
      </c>
      <c r="Z25" s="276">
        <f>IF(L25="",0,ABS(W25-$C$10))</f>
        <v/>
      </c>
      <c r="AA25" s="275">
        <f>IF(L25="","No","Yes")</f>
        <v/>
      </c>
    </row>
    <row r="26">
      <c r="A26" s="261" t="inlineStr">
        <is>
          <t>S5</t>
        </is>
      </c>
      <c r="B26" s="278" t="inlineStr">
        <is>
          <t>State only (INFORMATIONAL - never in hierarchy)</t>
        </is>
      </c>
      <c r="C26" s="278" t="inlineStr">
        <is>
          <t>State only</t>
        </is>
      </c>
      <c r="D26" s="275">
        <f>SUMPRODUCT('Historical Data'!$AU$2:$AU$1068*'Historical Data'!$AD$2:$AD$1068)</f>
        <v/>
      </c>
      <c r="E26" s="275">
        <f>SUMPRODUCT('Historical Data'!$AU$2:$AU$1068*'Historical Data'!$AP$2:$AP$1068)</f>
        <v/>
      </c>
      <c r="F26" s="276">
        <f>IF(D26=0,"",E26/D26)</f>
        <v/>
      </c>
      <c r="G26" s="281">
        <f>SUMPRODUCT('Historical Data'!$AU$2:$AU$1068*'Historical Data'!$AP$2:$AP$1068*'Historical Data'!$N$2:$N$1068)</f>
        <v/>
      </c>
      <c r="H26" s="275">
        <f>SUMPRODUCT('Historical Data'!$AU$2:$AU$1068*'Historical Data'!$AP$2:$AP$1068*'Historical Data'!$AH$2:$AH$1068)</f>
        <v/>
      </c>
      <c r="I26" s="276">
        <f>IF(E26=0,"",H26/E26)</f>
        <v/>
      </c>
      <c r="J26" s="275">
        <f>SUMPRODUCT('Historical Data'!$AU$2:$AU$1068*'Historical Data'!$AP$2:$AP$1068*'Historical Data'!$AE$2:$AE$1068)</f>
        <v/>
      </c>
      <c r="K26" s="276">
        <f>IF(E26=0,"",J26/E26)</f>
        <v/>
      </c>
      <c r="L26" s="276">
        <f>IF(OR(E26&lt;Controls!$B$47,G26=0),"",SUMPRODUCT('Historical Data'!$AU$2:$AU$1068*'Historical Data'!$AP$2:$AP$1068*'Historical Data'!$AK$2:$AK$1068)/G26)</f>
        <v/>
      </c>
      <c r="M26" s="276">
        <f>IF(OR(E26&lt;Controls!$B$47,SUMPRODUCT('Historical Data'!$AU$2:$AU$1068*'Historical Data'!$AP$2:$AP$1068*'Historical Data'!$AE$2:$AE$1068*'Historical Data'!$N$2:$N$1068)=0),"",SUMPRODUCT('Historical Data'!$AU$2:$AU$1068*'Historical Data'!$AP$2:$AP$1068*'Historical Data'!$AE$2:$AE$1068*'Historical Data'!$Q$2:$Q$1068)/SUMPRODUCT('Historical Data'!$AU$2:$AU$1068*'Historical Data'!$AP$2:$AP$1068*'Historical Data'!$AE$2:$AE$1068*'Historical Data'!$N$2:$N$1068))</f>
        <v/>
      </c>
      <c r="N26" s="276">
        <f>IF(OR(E26&lt;Controls!$B$47,G26=0),"",SUMPRODUCT('Historical Data'!$AU$2:$AU$1068*'Historical Data'!$AP$2:$AP$1068*'Historical Data'!$AJ$2:$AJ$1068)/G26)</f>
        <v/>
      </c>
      <c r="O26" s="272">
        <f>IF(SUMPRODUCT('Historical Data'!$AU$2:$AU$1068*'Historical Data'!$AP$2:$AP$1068*'Historical Data'!$AM$2:$AM$1068)=0,"",SUMPRODUCT('Historical Data'!$AU$2:$AU$1068*'Historical Data'!$AP$2:$AP$1068*'Historical Data'!$AM$2:$AM$1068*'Historical Data'!$AL$2:$AL$1068)/SUMPRODUCT('Historical Data'!$AU$2:$AU$1068*'Historical Data'!$AP$2:$AP$1068*'Historical Data'!$AM$2:$AM$1068))</f>
        <v/>
      </c>
      <c r="P26" s="273">
        <f>IF(E26=0,"",SUMPRODUCT('Historical Data'!$AU$2:$AU$1068*'Historical Data'!$AP$2:$AP$1068*'Historical Data'!$AA$2:$AA$1068)/E26)</f>
        <v/>
      </c>
      <c r="Q26" s="272">
        <f>IF(E26=0,"",SUMPRODUCT('Historical Data'!$AU$2:$AU$1068*'Historical Data'!$AP$2:$AP$1068*'Historical Data'!$M$2:$M$1068)/E26)</f>
        <v/>
      </c>
      <c r="R26" s="281">
        <f>IF(E26=0,"",G26/E26)</f>
        <v/>
      </c>
      <c r="S26" s="273">
        <f>IF(E26=0,"",SUMPRODUCT('Historical Data'!$AU$2:$AU$1068*'Historical Data'!$AP$2:$AP$1068*'Historical Data'!$AN$2:$AN$1068)/E26)</f>
        <v/>
      </c>
      <c r="T26" s="276">
        <f>IF(E26=0,"",SUMPRODUCT('Historical Data'!$AU$2:$AU$1068*'Historical Data'!$AP$2:$AP$1068*'Historical Data'!$AO$2:$AO$1068)/E26)</f>
        <v/>
      </c>
      <c r="U26" s="275">
        <f>IF(AND(E26&gt;=Controls!$B$40,G26&gt;=Controls!$B$41,IF(I26="",1,I26)&lt;=Controls!$B$43),"Yes","No")</f>
        <v/>
      </c>
      <c r="V26" s="272">
        <f>IF(E26+Controls!$B$42=0,0,E26/(E26+Controls!$B$42))</f>
        <v/>
      </c>
      <c r="W26" s="276">
        <f>IF(L26="",$C$10,V26*L26+(1-V26)*$C$10)</f>
        <v/>
      </c>
      <c r="X26" s="272">
        <f>IF(OR($C$10="",$C$10=0),"",W26/$C$10)</f>
        <v/>
      </c>
      <c r="Y26" s="275">
        <f>IF(AND(E26&gt;=Controls!$B$40,G26&gt;=Controls!$B$41),1,0)</f>
        <v/>
      </c>
      <c r="Z26" s="276">
        <f>IF(L26="",0,ABS(W26-$C$10))</f>
        <v/>
      </c>
      <c r="AA26" s="275">
        <f>IF(L26="","No","Yes")</f>
        <v/>
      </c>
    </row>
    <row r="28">
      <c r="A28" s="253" t="inlineStr">
        <is>
          <t>RESULT</t>
        </is>
      </c>
    </row>
    <row r="29">
      <c r="B29" s="278" t="inlineStr">
        <is>
          <t>Primary tier (first tier meeting the minimums)</t>
        </is>
      </c>
      <c r="C29" s="286">
        <f>IFERROR(MATCH(1,$Y$14:$Y$20,0),7)</f>
        <v/>
      </c>
    </row>
    <row r="30">
      <c r="B30" s="278" t="inlineStr">
        <is>
          <t>Primary cohort</t>
        </is>
      </c>
      <c r="C30" s="268">
        <f>INDEX($B$14:$B$20,$C$29)</f>
        <v/>
      </c>
    </row>
    <row r="31">
      <c r="B31" s="278" t="inlineStr">
        <is>
          <t>Seasoned deals in primary cohort / all matches</t>
        </is>
      </c>
      <c r="C31" s="268">
        <f>TEXT(INDEX($E$14:$E$20,$C$29),"#,##0")&amp;" / "&amp;TEXT(INDEX($D$14:$D$20,$C$29),"#,##0")</f>
        <v/>
      </c>
    </row>
    <row r="32">
      <c r="B32" s="278" t="inlineStr">
        <is>
          <t>% of comparable deals seasoned</t>
        </is>
      </c>
      <c r="C32" s="287">
        <f>INDEX($F$14:$F$20,$C$29)</f>
        <v/>
      </c>
    </row>
    <row r="33">
      <c r="B33" s="278" t="inlineStr">
        <is>
          <t>Cohort principal lost rate (seasoned)</t>
        </is>
      </c>
      <c r="C33" s="287">
        <f>INDEX($L$14:$L$20,$C$29)</f>
        <v/>
      </c>
    </row>
    <row r="34">
      <c r="B34" s="278" t="inlineStr">
        <is>
          <t>Cohort open share</t>
        </is>
      </c>
      <c r="C34" s="287">
        <f>INDEX($I$14:$I$20,$C$29)</f>
        <v/>
      </c>
    </row>
    <row r="35">
      <c r="B35" s="278" t="inlineStr">
        <is>
          <t>Cohort return on funded capital</t>
        </is>
      </c>
      <c r="C35" s="287">
        <f>INDEX($N$14:$N$20,$C$29)</f>
        <v/>
      </c>
    </row>
    <row r="36">
      <c r="B36" s="278" t="inlineStr">
        <is>
          <t>Cohort collected on defaults</t>
        </is>
      </c>
      <c r="C36" s="287">
        <f>INDEX($M$14:$M$20,$C$29)</f>
        <v/>
      </c>
    </row>
    <row r="37">
      <c r="B37" s="278" t="inlineStr">
        <is>
          <t>Credibility Z</t>
        </is>
      </c>
      <c r="C37" s="288">
        <f>INDEX($V$14:$V$20,$C$29)</f>
        <v/>
      </c>
    </row>
    <row r="38">
      <c r="B38" s="278" t="inlineStr">
        <is>
          <t>Blended lost rate</t>
        </is>
      </c>
      <c r="C38" s="287">
        <f>INDEX($W$14:$W$20,$C$29)</f>
        <v/>
      </c>
    </row>
    <row r="39">
      <c r="B39" s="278" t="inlineStr">
        <is>
          <t>Relative index (blended / book)</t>
        </is>
      </c>
      <c r="C39" s="288">
        <f>INDEX($X$14:$X$20,$C$29)</f>
        <v/>
      </c>
    </row>
    <row r="40">
      <c r="B40" s="278" t="inlineStr">
        <is>
          <t>Modifier level from index (1 strong positive .. 6 severe)</t>
        </is>
      </c>
      <c r="C40" s="286">
        <f>IF(C39="",3,COUNTIF(Controls!$A$54:$A$59,"&lt;"&amp;C39)+1)</f>
        <v/>
      </c>
    </row>
    <row r="41">
      <c r="B41" s="278" t="inlineStr">
        <is>
          <t>Confidence</t>
        </is>
      </c>
      <c r="C41" s="268">
        <f>IF(OR($C$29=7,C37&lt;Controls!$B$45),"Low",IF(AND(C37&gt;=Controls!$B$44,IF(C34="",1,C34)&lt;=Controls!$B$43),"High","Medium"))</f>
        <v/>
      </c>
    </row>
    <row r="42">
      <c r="B42" s="278" t="inlineStr">
        <is>
          <t>Modifier level after confidence cap</t>
        </is>
      </c>
      <c r="C42" s="286">
        <f>IF(C41="Low",MIN(MAX(C40,3-Controls!$B$46),3+Controls!$B$46),C40)</f>
        <v/>
      </c>
    </row>
    <row r="43">
      <c r="B43" s="278" t="inlineStr">
        <is>
          <t>Modifier level name</t>
        </is>
      </c>
      <c r="C43" s="268">
        <f>INDEX(Controls!$B$54:$B$59,C42)</f>
        <v/>
      </c>
    </row>
    <row r="44">
      <c r="B44" s="278" t="inlineStr">
        <is>
          <t>Largest-impact variable (position / NR / industry / ISO)</t>
        </is>
      </c>
      <c r="C44" s="268">
        <f>IF(MAX($Z$22:$Z$25)=0,"none - no single-dimension cohort has a rate",INDEX($B$22:$B$25,MATCH(MAX($Z$22:$Z$25),$Z$22:$Z$25,0)))</f>
        <v/>
      </c>
    </row>
    <row r="45">
      <c r="B45" s="278" t="inlineStr">
        <is>
          <t xml:space="preserve">   its blended lost rate vs book</t>
        </is>
      </c>
      <c r="C45" s="268">
        <f>IF(MAX($Z$22:$Z$25)=0,"",TEXT(INDEX($W$22:$W$25,MATCH(MAX($Z$22:$Z$25),$Z$22:$Z$25,0)),"0.0%")&amp;" vs "&amp;TEXT($C$10,"0.0%")&amp;" book ("&amp;TEXT(INDEX($E$22:$E$25,MATCH(MAX($Z$22:$Z$25),$Z$22:$Z$25,0)),"0")&amp;" seasoned deals)")</f>
        <v/>
      </c>
    </row>
    <row r="46">
      <c r="B46" s="278" t="inlineStr">
        <is>
          <t>ISO evidence</t>
        </is>
      </c>
      <c r="C46" s="268">
        <f>IF($C$8="","ISO not entered",IF($E$25=0,"ISO "&amp;$C$8&amp;" has no seasoned deals in the book",IF($L$25="","ISO "&amp;$C$8&amp;": "&amp;$E$25&amp;" seasoned deals - too few to rate","ISO "&amp;$C$8&amp;": "&amp;$E$25&amp;" seasoned deals, lost "&amp;TEXT($L$25,"0.0%")&amp;" vs "&amp;TEXT($C$10,"0.0%")&amp;" book, Z "&amp;TEXT($V$25,"0.00")&amp;" -&gt; "&amp;IF($X$25&lt;=Controls!$A$55,"stronger than book",IF($X$25&lt;=Controls!$A$56,"neutral","weaker than book")))))</f>
        <v/>
      </c>
    </row>
    <row r="47">
      <c r="B47" s="278" t="inlineStr">
        <is>
          <t>Industry evidence</t>
        </is>
      </c>
      <c r="C47" s="268">
        <f>IF($C$7="","Industry not entered",IF($E$24=0,"Industry has no seasoned deals in the book",IF($L$24="","Industry "&amp;$C$7&amp;": "&amp;$E$24&amp;" seasoned deals - too few to rate","Industry "&amp;$C$7&amp;": "&amp;$E$24&amp;" seasoned deals, lost "&amp;TEXT($L$24,"0.0%")&amp;" vs "&amp;TEXT($C$10,"0.0%")&amp;" book, Z "&amp;TEXT($V$24,"0.00")&amp;" -&gt; "&amp;IF($X$24&lt;=Controls!$A$55,"stronger than book",IF($X$24&lt;=Controls!$A$56,"neutral","weaker than book")))))</f>
        <v/>
      </c>
    </row>
    <row r="48">
      <c r="B48" s="278" t="inlineStr">
        <is>
          <t>State evidence (informational only)</t>
        </is>
      </c>
      <c r="C48" s="268">
        <f>IF($C$9="","State not entered",IF($E$26=0,"State "&amp;$C$9&amp;" has no seasoned deals",IF($L$26="","State "&amp;$C$9&amp;": "&amp;$E$26&amp;" seasoned deals - too few to rate; not used","State "&amp;$C$9&amp;": "&amp;$E$26&amp;" seasoned deals, lost "&amp;TEXT($L$26,"0.0%")&amp;" vs "&amp;TEXT($C$10,"0.0%")&amp;" book - informational only, not used in the offer")))</f>
        <v/>
      </c>
    </row>
    <row r="49">
      <c r="B49" s="278" t="inlineStr">
        <is>
          <t>Position evidence</t>
        </is>
      </c>
      <c r="C49" s="268">
        <f>IF($C$6="","Position not entered",IF($L$22="","Position "&amp;$C$6&amp;": "&amp;$E$22&amp;" seasoned deals - too few to rate","Position "&amp;$C$6&amp;": "&amp;$E$22&amp;" seasoned deals, lost "&amp;TEXT($L$22,"0.0%")&amp;" vs "&amp;TEXT($C$10,"0.0%")&amp;" book"))</f>
        <v/>
      </c>
    </row>
    <row r="50">
      <c r="B50" s="278" t="inlineStr">
        <is>
          <t>Conflicting signals? (ISO and industry on opposite sides of neutral)</t>
        </is>
      </c>
      <c r="C50" s="268">
        <f>IF(OR($L$24="",$L$25=""),"No",IF(OR(AND($X$24&lt;Controls!$A$55,$X$25&gt;Controls!$A$56),AND($X$25&lt;Controls!$A$55,$X$24&gt;Controls!$A$56)),"YES - review both cohorts","No"))</f>
        <v/>
      </c>
    </row>
    <row r="51">
      <c r="B51" s="278" t="inlineStr">
        <is>
          <t>Warnings</t>
        </is>
      </c>
      <c r="C51" s="268">
        <f>IF($C$29=7,"No cohort met the minimums - book baseline used; ","")&amp;IF(INDEX($U$14:$U$20,$C$29)="No","Primary cohort not seasoned-enough (count, dollars or open share); ","")&amp;IF(C41="Low","Low confidence - modifier capped; ","")&amp;IF(C33&lt;Controls!$B$43,"","Cohort open share high; ")</f>
        <v/>
      </c>
    </row>
  </sheetData>
  <mergeCells count="2">
    <mergeCell ref="A28:C28"/>
    <mergeCell ref="A4:C4"/>
  </mergeCells>
  <conditionalFormatting sqref="U14:U26">
    <cfRule type="cellIs" priority="1" operator="equal" dxfId="10">
      <formula>"Yes"</formula>
    </cfRule>
    <cfRule type="cellIs" priority="2" operator="equal" dxfId="14">
      <formula>"No"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X4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28" min="1" max="1"/>
    <col width="12" customWidth="1" style="228" min="2" max="2"/>
    <col width="30" customWidth="1" style="228" min="3" max="3"/>
    <col width="18" customWidth="1" style="228" min="4" max="4"/>
    <col width="11" customWidth="1" style="228" min="5" max="5"/>
    <col width="8" customWidth="1" style="228" min="6" max="6"/>
    <col width="26" customWidth="1" style="228" min="7" max="7"/>
    <col width="24" customWidth="1" style="228" min="8" max="8"/>
    <col width="6" customWidth="1" style="228" min="9" max="9"/>
    <col width="10" customWidth="1" style="228" min="10" max="10"/>
    <col width="7" customWidth="1" style="228" min="11" max="11"/>
    <col width="11" customWidth="1" style="228" min="12" max="12"/>
    <col width="11" customWidth="1" style="228" min="13" max="13"/>
    <col width="7" customWidth="1" style="228" min="14" max="14"/>
    <col width="11" customWidth="1" style="228" min="15" max="15"/>
    <col width="11" customWidth="1" style="228" min="16" max="16"/>
    <col width="8" customWidth="1" style="228" min="17" max="17"/>
    <col width="8" customWidth="1" style="228" min="18" max="18"/>
    <col width="8" customWidth="1" style="228" min="19" max="19"/>
    <col width="8" customWidth="1" style="228" min="20" max="20"/>
    <col width="8" customWidth="1" style="228" min="21" max="21"/>
    <col width="7" customWidth="1" style="228" min="22" max="22"/>
    <col width="9" customWidth="1" style="228" min="23" max="23"/>
    <col width="40" customWidth="1" style="228" min="24" max="24"/>
  </cols>
  <sheetData>
    <row r="1">
      <c r="A1" s="267" t="inlineStr">
        <is>
          <t>COMPARABLE DEALS  -  every house-book deal in the primary cohort (seasoned and unseasoned), inspect by Contract ID</t>
        </is>
      </c>
    </row>
    <row r="2">
      <c r="A2" s="289">
        <f>"Primary cohort: "&amp;'Historical Score'!$C$30&amp;"   |   "&amp;'Historical Score'!$C$31&amp;" seasoned / all   |   only the first 400 are listed"</f>
        <v/>
      </c>
    </row>
    <row r="3">
      <c r="A3" s="244" t="inlineStr">
        <is>
          <t>Similarity tier 1 = closest (matches NR + industry + position). Deals shown with Seasoned = 0 are counted but excluded from every rate.</t>
        </is>
      </c>
    </row>
    <row r="4" ht="30" customHeight="1" s="228">
      <c r="A4" s="254" t="inlineStr">
        <is>
          <t>#</t>
        </is>
      </c>
      <c r="B4" s="254" t="inlineStr">
        <is>
          <t>Contract ID</t>
        </is>
      </c>
      <c r="C4" s="254" t="inlineStr">
        <is>
          <t>DBA</t>
        </is>
      </c>
      <c r="D4" s="254" t="inlineStr">
        <is>
          <t>Status</t>
        </is>
      </c>
      <c r="E4" s="254" t="inlineStr">
        <is>
          <t>Funded</t>
        </is>
      </c>
      <c r="F4" s="254" t="inlineStr">
        <is>
          <t>Position</t>
        </is>
      </c>
      <c r="G4" s="254" t="inlineStr">
        <is>
          <t>Industry</t>
        </is>
      </c>
      <c r="H4" s="254" t="inlineStr">
        <is>
          <t>ISO</t>
        </is>
      </c>
      <c r="I4" s="254" t="inlineStr">
        <is>
          <t>State</t>
        </is>
      </c>
      <c r="J4" s="254" t="inlineStr">
        <is>
          <t>New/renewal</t>
        </is>
      </c>
      <c r="K4" s="254" t="inlineStr">
        <is>
          <t>Factor</t>
        </is>
      </c>
      <c r="L4" s="254" t="inlineStr">
        <is>
          <t>Advance</t>
        </is>
      </c>
      <c r="M4" s="254" t="inlineStr">
        <is>
          <t>Collected</t>
        </is>
      </c>
      <c r="N4" s="254" t="inlineStr">
        <is>
          <t>% paid</t>
        </is>
      </c>
      <c r="O4" s="254" t="inlineStr">
        <is>
          <t>Net cash</t>
        </is>
      </c>
      <c r="P4" s="254" t="inlineStr">
        <is>
          <t>Principal lost</t>
        </is>
      </c>
      <c r="Q4" s="254" t="inlineStr">
        <is>
          <t>Term (bd)</t>
        </is>
      </c>
      <c r="R4" s="254" t="inlineStr">
        <is>
          <t>Age (bd)</t>
        </is>
      </c>
      <c r="S4" s="254" t="inlineStr">
        <is>
          <t>Days on book</t>
        </is>
      </c>
      <c r="T4" s="254" t="inlineStr">
        <is>
          <t>Seasoned</t>
        </is>
      </c>
      <c r="U4" s="254" t="inlineStr">
        <is>
          <t>Default</t>
        </is>
      </c>
      <c r="V4" s="254" t="inlineStr">
        <is>
          <t>Open</t>
        </is>
      </c>
      <c r="W4" s="254" t="inlineStr">
        <is>
          <t>Similarity tier</t>
        </is>
      </c>
      <c r="X4" s="254" t="inlineStr">
        <is>
          <t>Why included</t>
        </is>
      </c>
    </row>
    <row r="5">
      <c r="A5" s="290" t="n">
        <v>1</v>
      </c>
      <c r="B5" s="291">
        <f>IFERROR(INDEX('Historical Data'!$A$2:$A$1068,MATCH($A5,'Historical Data'!$BE$2:$BE$1068,0)),"")</f>
        <v/>
      </c>
      <c r="C5" s="291">
        <f>IFERROR(INDEX('Historical Data'!$B$2:$B$1068,MATCH($A5,'Historical Data'!$BE$2:$BE$1068,0)),"")</f>
        <v/>
      </c>
      <c r="D5" s="291">
        <f>IFERROR(INDEX('Historical Data'!$D$2:$D$1068,MATCH($A5,'Historical Data'!$BE$2:$BE$1068,0)),"")</f>
        <v/>
      </c>
      <c r="E5" s="292">
        <f>IFERROR(INDEX('Historical Data'!$E$2:$E$1068,MATCH($A5,'Historical Data'!$BE$2:$BE$1068,0)),"")</f>
        <v/>
      </c>
      <c r="F5" s="291">
        <f>IFERROR(INDEX('Historical Data'!$G$2:$G$1068,MATCH($A5,'Historical Data'!$BE$2:$BE$1068,0)),"")</f>
        <v/>
      </c>
      <c r="G5" s="291">
        <f>IFERROR(INDEX('Historical Data'!$Y$2:$Y$1068,MATCH($A5,'Historical Data'!$BE$2:$BE$1068,0)),"")</f>
        <v/>
      </c>
      <c r="H5" s="291">
        <f>IFERROR(INDEX('Historical Data'!$K$2:$K$1068,MATCH($A5,'Historical Data'!$BE$2:$BE$1068,0)),"")</f>
        <v/>
      </c>
      <c r="I5" s="291">
        <f>IFERROR(INDEX('Historical Data'!$J$2:$J$1068,MATCH($A5,'Historical Data'!$BE$2:$BE$1068,0)),"")</f>
        <v/>
      </c>
      <c r="J5" s="291">
        <f>IFERROR(INDEX('Historical Data'!$L$2:$L$1068,MATCH($A5,'Historical Data'!$BE$2:$BE$1068,0)),"")</f>
        <v/>
      </c>
      <c r="K5" s="293">
        <f>IFERROR(INDEX('Historical Data'!$M$2:$M$1068,MATCH($A5,'Historical Data'!$BE$2:$BE$1068,0)),"")</f>
        <v/>
      </c>
      <c r="L5" s="294">
        <f>IFERROR(INDEX('Historical Data'!$N$2:$N$1068,MATCH($A5,'Historical Data'!$BE$2:$BE$1068,0)),"")</f>
        <v/>
      </c>
      <c r="M5" s="294">
        <f>IFERROR(INDEX('Historical Data'!$Q$2:$Q$1068,MATCH($A5,'Historical Data'!$BE$2:$BE$1068,0)),"")</f>
        <v/>
      </c>
      <c r="N5" s="295">
        <f>IFERROR(INDEX('Historical Data'!$S$2:$S$1068,MATCH($A5,'Historical Data'!$BE$2:$BE$1068,0)),"")</f>
        <v/>
      </c>
      <c r="O5" s="294">
        <f>IFERROR(INDEX('Historical Data'!$AJ$2:$AJ$1068,MATCH($A5,'Historical Data'!$BE$2:$BE$1068,0)),"")</f>
        <v/>
      </c>
      <c r="P5" s="294">
        <f>IFERROR(INDEX('Historical Data'!$AK$2:$AK$1068,MATCH($A5,'Historical Data'!$BE$2:$BE$1068,0)),"")</f>
        <v/>
      </c>
      <c r="Q5" s="291">
        <f>IFERROR(INDEX('Historical Data'!$AA$2:$AA$1068,MATCH($A5,'Historical Data'!$BE$2:$BE$1068,0)),"")</f>
        <v/>
      </c>
      <c r="R5" s="291">
        <f>IFERROR(INDEX('Historical Data'!$AB$2:$AB$1068,MATCH($A5,'Historical Data'!$BE$2:$BE$1068,0)),"")</f>
        <v/>
      </c>
      <c r="S5" s="291">
        <f>IFERROR(INDEX('Historical Data'!$AN$2:$AN$1068,MATCH($A5,'Historical Data'!$BE$2:$BE$1068,0)),"")</f>
        <v/>
      </c>
      <c r="T5" s="291">
        <f>IFERROR(INDEX('Historical Data'!$AC$2:$AC$1068,MATCH($A5,'Historical Data'!$BE$2:$BE$1068,0)),"")</f>
        <v/>
      </c>
      <c r="U5" s="291">
        <f>IFERROR(INDEX('Historical Data'!$AE$2:$AE$1068,MATCH($A5,'Historical Data'!$BE$2:$BE$1068,0)),"")</f>
        <v/>
      </c>
      <c r="V5" s="291">
        <f>IFERROR(INDEX('Historical Data'!$AH$2:$AH$1068,MATCH($A5,'Historical Data'!$BE$2:$BE$1068,0)),"")</f>
        <v/>
      </c>
      <c r="W5" s="291">
        <f>IFERROR(INDEX('Historical Data'!$BC$2:$BC$1068,MATCH($A5,'Historical Data'!$BE$2:$BE$1068,0)),"")</f>
        <v/>
      </c>
      <c r="X5" s="290">
        <f>IF(B5="","",IF(W5=1,"NR + industry + position",IF(W5=2,"NR + ISO + position",IF(W5=3,"NR + industry",IF(W5=4,"NR + ISO",IF(W5=5,"NR + position",IF(W5=6,"NR only","book baseline"))))))&amp;"  ["&amp;IF(T5=1,"seasoned","unseasoned")&amp;IF(U5=1,", defaulted","")&amp;IF(V5=1,", open","")&amp;"]")</f>
        <v/>
      </c>
    </row>
    <row r="6">
      <c r="A6" s="290" t="n">
        <v>2</v>
      </c>
      <c r="B6" s="291">
        <f>IFERROR(INDEX('Historical Data'!$A$2:$A$1068,MATCH($A6,'Historical Data'!$BE$2:$BE$1068,0)),"")</f>
        <v/>
      </c>
      <c r="C6" s="291">
        <f>IFERROR(INDEX('Historical Data'!$B$2:$B$1068,MATCH($A6,'Historical Data'!$BE$2:$BE$1068,0)),"")</f>
        <v/>
      </c>
      <c r="D6" s="291">
        <f>IFERROR(INDEX('Historical Data'!$D$2:$D$1068,MATCH($A6,'Historical Data'!$BE$2:$BE$1068,0)),"")</f>
        <v/>
      </c>
      <c r="E6" s="292">
        <f>IFERROR(INDEX('Historical Data'!$E$2:$E$1068,MATCH($A6,'Historical Data'!$BE$2:$BE$1068,0)),"")</f>
        <v/>
      </c>
      <c r="F6" s="291">
        <f>IFERROR(INDEX('Historical Data'!$G$2:$G$1068,MATCH($A6,'Historical Data'!$BE$2:$BE$1068,0)),"")</f>
        <v/>
      </c>
      <c r="G6" s="291">
        <f>IFERROR(INDEX('Historical Data'!$Y$2:$Y$1068,MATCH($A6,'Historical Data'!$BE$2:$BE$1068,0)),"")</f>
        <v/>
      </c>
      <c r="H6" s="291">
        <f>IFERROR(INDEX('Historical Data'!$K$2:$K$1068,MATCH($A6,'Historical Data'!$BE$2:$BE$1068,0)),"")</f>
        <v/>
      </c>
      <c r="I6" s="291">
        <f>IFERROR(INDEX('Historical Data'!$J$2:$J$1068,MATCH($A6,'Historical Data'!$BE$2:$BE$1068,0)),"")</f>
        <v/>
      </c>
      <c r="J6" s="291">
        <f>IFERROR(INDEX('Historical Data'!$L$2:$L$1068,MATCH($A6,'Historical Data'!$BE$2:$BE$1068,0)),"")</f>
        <v/>
      </c>
      <c r="K6" s="293">
        <f>IFERROR(INDEX('Historical Data'!$M$2:$M$1068,MATCH($A6,'Historical Data'!$BE$2:$BE$1068,0)),"")</f>
        <v/>
      </c>
      <c r="L6" s="294">
        <f>IFERROR(INDEX('Historical Data'!$N$2:$N$1068,MATCH($A6,'Historical Data'!$BE$2:$BE$1068,0)),"")</f>
        <v/>
      </c>
      <c r="M6" s="294">
        <f>IFERROR(INDEX('Historical Data'!$Q$2:$Q$1068,MATCH($A6,'Historical Data'!$BE$2:$BE$1068,0)),"")</f>
        <v/>
      </c>
      <c r="N6" s="295">
        <f>IFERROR(INDEX('Historical Data'!$S$2:$S$1068,MATCH($A6,'Historical Data'!$BE$2:$BE$1068,0)),"")</f>
        <v/>
      </c>
      <c r="O6" s="294">
        <f>IFERROR(INDEX('Historical Data'!$AJ$2:$AJ$1068,MATCH($A6,'Historical Data'!$BE$2:$BE$1068,0)),"")</f>
        <v/>
      </c>
      <c r="P6" s="294">
        <f>IFERROR(INDEX('Historical Data'!$AK$2:$AK$1068,MATCH($A6,'Historical Data'!$BE$2:$BE$1068,0)),"")</f>
        <v/>
      </c>
      <c r="Q6" s="291">
        <f>IFERROR(INDEX('Historical Data'!$AA$2:$AA$1068,MATCH($A6,'Historical Data'!$BE$2:$BE$1068,0)),"")</f>
        <v/>
      </c>
      <c r="R6" s="291">
        <f>IFERROR(INDEX('Historical Data'!$AB$2:$AB$1068,MATCH($A6,'Historical Data'!$BE$2:$BE$1068,0)),"")</f>
        <v/>
      </c>
      <c r="S6" s="291">
        <f>IFERROR(INDEX('Historical Data'!$AN$2:$AN$1068,MATCH($A6,'Historical Data'!$BE$2:$BE$1068,0)),"")</f>
        <v/>
      </c>
      <c r="T6" s="291">
        <f>IFERROR(INDEX('Historical Data'!$AC$2:$AC$1068,MATCH($A6,'Historical Data'!$BE$2:$BE$1068,0)),"")</f>
        <v/>
      </c>
      <c r="U6" s="291">
        <f>IFERROR(INDEX('Historical Data'!$AE$2:$AE$1068,MATCH($A6,'Historical Data'!$BE$2:$BE$1068,0)),"")</f>
        <v/>
      </c>
      <c r="V6" s="291">
        <f>IFERROR(INDEX('Historical Data'!$AH$2:$AH$1068,MATCH($A6,'Historical Data'!$BE$2:$BE$1068,0)),"")</f>
        <v/>
      </c>
      <c r="W6" s="291">
        <f>IFERROR(INDEX('Historical Data'!$BC$2:$BC$1068,MATCH($A6,'Historical Data'!$BE$2:$BE$1068,0)),"")</f>
        <v/>
      </c>
      <c r="X6" s="290">
        <f>IF(B6="","",IF(W6=1,"NR + industry + position",IF(W6=2,"NR + ISO + position",IF(W6=3,"NR + industry",IF(W6=4,"NR + ISO",IF(W6=5,"NR + position",IF(W6=6,"NR only","book baseline"))))))&amp;"  ["&amp;IF(T6=1,"seasoned","unseasoned")&amp;IF(U6=1,", defaulted","")&amp;IF(V6=1,", open","")&amp;"]")</f>
        <v/>
      </c>
    </row>
    <row r="7">
      <c r="A7" s="290" t="n">
        <v>3</v>
      </c>
      <c r="B7" s="291">
        <f>IFERROR(INDEX('Historical Data'!$A$2:$A$1068,MATCH($A7,'Historical Data'!$BE$2:$BE$1068,0)),"")</f>
        <v/>
      </c>
      <c r="C7" s="291">
        <f>IFERROR(INDEX('Historical Data'!$B$2:$B$1068,MATCH($A7,'Historical Data'!$BE$2:$BE$1068,0)),"")</f>
        <v/>
      </c>
      <c r="D7" s="291">
        <f>IFERROR(INDEX('Historical Data'!$D$2:$D$1068,MATCH($A7,'Historical Data'!$BE$2:$BE$1068,0)),"")</f>
        <v/>
      </c>
      <c r="E7" s="292">
        <f>IFERROR(INDEX('Historical Data'!$E$2:$E$1068,MATCH($A7,'Historical Data'!$BE$2:$BE$1068,0)),"")</f>
        <v/>
      </c>
      <c r="F7" s="291">
        <f>IFERROR(INDEX('Historical Data'!$G$2:$G$1068,MATCH($A7,'Historical Data'!$BE$2:$BE$1068,0)),"")</f>
        <v/>
      </c>
      <c r="G7" s="291">
        <f>IFERROR(INDEX('Historical Data'!$Y$2:$Y$1068,MATCH($A7,'Historical Data'!$BE$2:$BE$1068,0)),"")</f>
        <v/>
      </c>
      <c r="H7" s="291">
        <f>IFERROR(INDEX('Historical Data'!$K$2:$K$1068,MATCH($A7,'Historical Data'!$BE$2:$BE$1068,0)),"")</f>
        <v/>
      </c>
      <c r="I7" s="291">
        <f>IFERROR(INDEX('Historical Data'!$J$2:$J$1068,MATCH($A7,'Historical Data'!$BE$2:$BE$1068,0)),"")</f>
        <v/>
      </c>
      <c r="J7" s="291">
        <f>IFERROR(INDEX('Historical Data'!$L$2:$L$1068,MATCH($A7,'Historical Data'!$BE$2:$BE$1068,0)),"")</f>
        <v/>
      </c>
      <c r="K7" s="293">
        <f>IFERROR(INDEX('Historical Data'!$M$2:$M$1068,MATCH($A7,'Historical Data'!$BE$2:$BE$1068,0)),"")</f>
        <v/>
      </c>
      <c r="L7" s="294">
        <f>IFERROR(INDEX('Historical Data'!$N$2:$N$1068,MATCH($A7,'Historical Data'!$BE$2:$BE$1068,0)),"")</f>
        <v/>
      </c>
      <c r="M7" s="294">
        <f>IFERROR(INDEX('Historical Data'!$Q$2:$Q$1068,MATCH($A7,'Historical Data'!$BE$2:$BE$1068,0)),"")</f>
        <v/>
      </c>
      <c r="N7" s="295">
        <f>IFERROR(INDEX('Historical Data'!$S$2:$S$1068,MATCH($A7,'Historical Data'!$BE$2:$BE$1068,0)),"")</f>
        <v/>
      </c>
      <c r="O7" s="294">
        <f>IFERROR(INDEX('Historical Data'!$AJ$2:$AJ$1068,MATCH($A7,'Historical Data'!$BE$2:$BE$1068,0)),"")</f>
        <v/>
      </c>
      <c r="P7" s="294">
        <f>IFERROR(INDEX('Historical Data'!$AK$2:$AK$1068,MATCH($A7,'Historical Data'!$BE$2:$BE$1068,0)),"")</f>
        <v/>
      </c>
      <c r="Q7" s="291">
        <f>IFERROR(INDEX('Historical Data'!$AA$2:$AA$1068,MATCH($A7,'Historical Data'!$BE$2:$BE$1068,0)),"")</f>
        <v/>
      </c>
      <c r="R7" s="291">
        <f>IFERROR(INDEX('Historical Data'!$AB$2:$AB$1068,MATCH($A7,'Historical Data'!$BE$2:$BE$1068,0)),"")</f>
        <v/>
      </c>
      <c r="S7" s="291">
        <f>IFERROR(INDEX('Historical Data'!$AN$2:$AN$1068,MATCH($A7,'Historical Data'!$BE$2:$BE$1068,0)),"")</f>
        <v/>
      </c>
      <c r="T7" s="291">
        <f>IFERROR(INDEX('Historical Data'!$AC$2:$AC$1068,MATCH($A7,'Historical Data'!$BE$2:$BE$1068,0)),"")</f>
        <v/>
      </c>
      <c r="U7" s="291">
        <f>IFERROR(INDEX('Historical Data'!$AE$2:$AE$1068,MATCH($A7,'Historical Data'!$BE$2:$BE$1068,0)),"")</f>
        <v/>
      </c>
      <c r="V7" s="291">
        <f>IFERROR(INDEX('Historical Data'!$AH$2:$AH$1068,MATCH($A7,'Historical Data'!$BE$2:$BE$1068,0)),"")</f>
        <v/>
      </c>
      <c r="W7" s="291">
        <f>IFERROR(INDEX('Historical Data'!$BC$2:$BC$1068,MATCH($A7,'Historical Data'!$BE$2:$BE$1068,0)),"")</f>
        <v/>
      </c>
      <c r="X7" s="290">
        <f>IF(B7="","",IF(W7=1,"NR + industry + position",IF(W7=2,"NR + ISO + position",IF(W7=3,"NR + industry",IF(W7=4,"NR + ISO",IF(W7=5,"NR + position",IF(W7=6,"NR only","book baseline"))))))&amp;"  ["&amp;IF(T7=1,"seasoned","unseasoned")&amp;IF(U7=1,", defaulted","")&amp;IF(V7=1,", open","")&amp;"]")</f>
        <v/>
      </c>
    </row>
    <row r="8">
      <c r="A8" s="290" t="n">
        <v>4</v>
      </c>
      <c r="B8" s="291">
        <f>IFERROR(INDEX('Historical Data'!$A$2:$A$1068,MATCH($A8,'Historical Data'!$BE$2:$BE$1068,0)),"")</f>
        <v/>
      </c>
      <c r="C8" s="291">
        <f>IFERROR(INDEX('Historical Data'!$B$2:$B$1068,MATCH($A8,'Historical Data'!$BE$2:$BE$1068,0)),"")</f>
        <v/>
      </c>
      <c r="D8" s="291">
        <f>IFERROR(INDEX('Historical Data'!$D$2:$D$1068,MATCH($A8,'Historical Data'!$BE$2:$BE$1068,0)),"")</f>
        <v/>
      </c>
      <c r="E8" s="292">
        <f>IFERROR(INDEX('Historical Data'!$E$2:$E$1068,MATCH($A8,'Historical Data'!$BE$2:$BE$1068,0)),"")</f>
        <v/>
      </c>
      <c r="F8" s="291">
        <f>IFERROR(INDEX('Historical Data'!$G$2:$G$1068,MATCH($A8,'Historical Data'!$BE$2:$BE$1068,0)),"")</f>
        <v/>
      </c>
      <c r="G8" s="291">
        <f>IFERROR(INDEX('Historical Data'!$Y$2:$Y$1068,MATCH($A8,'Historical Data'!$BE$2:$BE$1068,0)),"")</f>
        <v/>
      </c>
      <c r="H8" s="291">
        <f>IFERROR(INDEX('Historical Data'!$K$2:$K$1068,MATCH($A8,'Historical Data'!$BE$2:$BE$1068,0)),"")</f>
        <v/>
      </c>
      <c r="I8" s="291">
        <f>IFERROR(INDEX('Historical Data'!$J$2:$J$1068,MATCH($A8,'Historical Data'!$BE$2:$BE$1068,0)),"")</f>
        <v/>
      </c>
      <c r="J8" s="291">
        <f>IFERROR(INDEX('Historical Data'!$L$2:$L$1068,MATCH($A8,'Historical Data'!$BE$2:$BE$1068,0)),"")</f>
        <v/>
      </c>
      <c r="K8" s="293">
        <f>IFERROR(INDEX('Historical Data'!$M$2:$M$1068,MATCH($A8,'Historical Data'!$BE$2:$BE$1068,0)),"")</f>
        <v/>
      </c>
      <c r="L8" s="294">
        <f>IFERROR(INDEX('Historical Data'!$N$2:$N$1068,MATCH($A8,'Historical Data'!$BE$2:$BE$1068,0)),"")</f>
        <v/>
      </c>
      <c r="M8" s="294">
        <f>IFERROR(INDEX('Historical Data'!$Q$2:$Q$1068,MATCH($A8,'Historical Data'!$BE$2:$BE$1068,0)),"")</f>
        <v/>
      </c>
      <c r="N8" s="295">
        <f>IFERROR(INDEX('Historical Data'!$S$2:$S$1068,MATCH($A8,'Historical Data'!$BE$2:$BE$1068,0)),"")</f>
        <v/>
      </c>
      <c r="O8" s="294">
        <f>IFERROR(INDEX('Historical Data'!$AJ$2:$AJ$1068,MATCH($A8,'Historical Data'!$BE$2:$BE$1068,0)),"")</f>
        <v/>
      </c>
      <c r="P8" s="294">
        <f>IFERROR(INDEX('Historical Data'!$AK$2:$AK$1068,MATCH($A8,'Historical Data'!$BE$2:$BE$1068,0)),"")</f>
        <v/>
      </c>
      <c r="Q8" s="291">
        <f>IFERROR(INDEX('Historical Data'!$AA$2:$AA$1068,MATCH($A8,'Historical Data'!$BE$2:$BE$1068,0)),"")</f>
        <v/>
      </c>
      <c r="R8" s="291">
        <f>IFERROR(INDEX('Historical Data'!$AB$2:$AB$1068,MATCH($A8,'Historical Data'!$BE$2:$BE$1068,0)),"")</f>
        <v/>
      </c>
      <c r="S8" s="291">
        <f>IFERROR(INDEX('Historical Data'!$AN$2:$AN$1068,MATCH($A8,'Historical Data'!$BE$2:$BE$1068,0)),"")</f>
        <v/>
      </c>
      <c r="T8" s="291">
        <f>IFERROR(INDEX('Historical Data'!$AC$2:$AC$1068,MATCH($A8,'Historical Data'!$BE$2:$BE$1068,0)),"")</f>
        <v/>
      </c>
      <c r="U8" s="291">
        <f>IFERROR(INDEX('Historical Data'!$AE$2:$AE$1068,MATCH($A8,'Historical Data'!$BE$2:$BE$1068,0)),"")</f>
        <v/>
      </c>
      <c r="V8" s="291">
        <f>IFERROR(INDEX('Historical Data'!$AH$2:$AH$1068,MATCH($A8,'Historical Data'!$BE$2:$BE$1068,0)),"")</f>
        <v/>
      </c>
      <c r="W8" s="291">
        <f>IFERROR(INDEX('Historical Data'!$BC$2:$BC$1068,MATCH($A8,'Historical Data'!$BE$2:$BE$1068,0)),"")</f>
        <v/>
      </c>
      <c r="X8" s="290">
        <f>IF(B8="","",IF(W8=1,"NR + industry + position",IF(W8=2,"NR + ISO + position",IF(W8=3,"NR + industry",IF(W8=4,"NR + ISO",IF(W8=5,"NR + position",IF(W8=6,"NR only","book baseline"))))))&amp;"  ["&amp;IF(T8=1,"seasoned","unseasoned")&amp;IF(U8=1,", defaulted","")&amp;IF(V8=1,", open","")&amp;"]")</f>
        <v/>
      </c>
    </row>
    <row r="9">
      <c r="A9" s="290" t="n">
        <v>5</v>
      </c>
      <c r="B9" s="291">
        <f>IFERROR(INDEX('Historical Data'!$A$2:$A$1068,MATCH($A9,'Historical Data'!$BE$2:$BE$1068,0)),"")</f>
        <v/>
      </c>
      <c r="C9" s="291">
        <f>IFERROR(INDEX('Historical Data'!$B$2:$B$1068,MATCH($A9,'Historical Data'!$BE$2:$BE$1068,0)),"")</f>
        <v/>
      </c>
      <c r="D9" s="291">
        <f>IFERROR(INDEX('Historical Data'!$D$2:$D$1068,MATCH($A9,'Historical Data'!$BE$2:$BE$1068,0)),"")</f>
        <v/>
      </c>
      <c r="E9" s="292">
        <f>IFERROR(INDEX('Historical Data'!$E$2:$E$1068,MATCH($A9,'Historical Data'!$BE$2:$BE$1068,0)),"")</f>
        <v/>
      </c>
      <c r="F9" s="291">
        <f>IFERROR(INDEX('Historical Data'!$G$2:$G$1068,MATCH($A9,'Historical Data'!$BE$2:$BE$1068,0)),"")</f>
        <v/>
      </c>
      <c r="G9" s="291">
        <f>IFERROR(INDEX('Historical Data'!$Y$2:$Y$1068,MATCH($A9,'Historical Data'!$BE$2:$BE$1068,0)),"")</f>
        <v/>
      </c>
      <c r="H9" s="291">
        <f>IFERROR(INDEX('Historical Data'!$K$2:$K$1068,MATCH($A9,'Historical Data'!$BE$2:$BE$1068,0)),"")</f>
        <v/>
      </c>
      <c r="I9" s="291">
        <f>IFERROR(INDEX('Historical Data'!$J$2:$J$1068,MATCH($A9,'Historical Data'!$BE$2:$BE$1068,0)),"")</f>
        <v/>
      </c>
      <c r="J9" s="291">
        <f>IFERROR(INDEX('Historical Data'!$L$2:$L$1068,MATCH($A9,'Historical Data'!$BE$2:$BE$1068,0)),"")</f>
        <v/>
      </c>
      <c r="K9" s="293">
        <f>IFERROR(INDEX('Historical Data'!$M$2:$M$1068,MATCH($A9,'Historical Data'!$BE$2:$BE$1068,0)),"")</f>
        <v/>
      </c>
      <c r="L9" s="294">
        <f>IFERROR(INDEX('Historical Data'!$N$2:$N$1068,MATCH($A9,'Historical Data'!$BE$2:$BE$1068,0)),"")</f>
        <v/>
      </c>
      <c r="M9" s="294">
        <f>IFERROR(INDEX('Historical Data'!$Q$2:$Q$1068,MATCH($A9,'Historical Data'!$BE$2:$BE$1068,0)),"")</f>
        <v/>
      </c>
      <c r="N9" s="295">
        <f>IFERROR(INDEX('Historical Data'!$S$2:$S$1068,MATCH($A9,'Historical Data'!$BE$2:$BE$1068,0)),"")</f>
        <v/>
      </c>
      <c r="O9" s="294">
        <f>IFERROR(INDEX('Historical Data'!$AJ$2:$AJ$1068,MATCH($A9,'Historical Data'!$BE$2:$BE$1068,0)),"")</f>
        <v/>
      </c>
      <c r="P9" s="294">
        <f>IFERROR(INDEX('Historical Data'!$AK$2:$AK$1068,MATCH($A9,'Historical Data'!$BE$2:$BE$1068,0)),"")</f>
        <v/>
      </c>
      <c r="Q9" s="291">
        <f>IFERROR(INDEX('Historical Data'!$AA$2:$AA$1068,MATCH($A9,'Historical Data'!$BE$2:$BE$1068,0)),"")</f>
        <v/>
      </c>
      <c r="R9" s="291">
        <f>IFERROR(INDEX('Historical Data'!$AB$2:$AB$1068,MATCH($A9,'Historical Data'!$BE$2:$BE$1068,0)),"")</f>
        <v/>
      </c>
      <c r="S9" s="291">
        <f>IFERROR(INDEX('Historical Data'!$AN$2:$AN$1068,MATCH($A9,'Historical Data'!$BE$2:$BE$1068,0)),"")</f>
        <v/>
      </c>
      <c r="T9" s="291">
        <f>IFERROR(INDEX('Historical Data'!$AC$2:$AC$1068,MATCH($A9,'Historical Data'!$BE$2:$BE$1068,0)),"")</f>
        <v/>
      </c>
      <c r="U9" s="291">
        <f>IFERROR(INDEX('Historical Data'!$AE$2:$AE$1068,MATCH($A9,'Historical Data'!$BE$2:$BE$1068,0)),"")</f>
        <v/>
      </c>
      <c r="V9" s="291">
        <f>IFERROR(INDEX('Historical Data'!$AH$2:$AH$1068,MATCH($A9,'Historical Data'!$BE$2:$BE$1068,0)),"")</f>
        <v/>
      </c>
      <c r="W9" s="291">
        <f>IFERROR(INDEX('Historical Data'!$BC$2:$BC$1068,MATCH($A9,'Historical Data'!$BE$2:$BE$1068,0)),"")</f>
        <v/>
      </c>
      <c r="X9" s="290">
        <f>IF(B9="","",IF(W9=1,"NR + industry + position",IF(W9=2,"NR + ISO + position",IF(W9=3,"NR + industry",IF(W9=4,"NR + ISO",IF(W9=5,"NR + position",IF(W9=6,"NR only","book baseline"))))))&amp;"  ["&amp;IF(T9=1,"seasoned","unseasoned")&amp;IF(U9=1,", defaulted","")&amp;IF(V9=1,", open","")&amp;"]")</f>
        <v/>
      </c>
    </row>
    <row r="10">
      <c r="A10" s="290" t="n">
        <v>6</v>
      </c>
      <c r="B10" s="291">
        <f>IFERROR(INDEX('Historical Data'!$A$2:$A$1068,MATCH($A10,'Historical Data'!$BE$2:$BE$1068,0)),"")</f>
        <v/>
      </c>
      <c r="C10" s="291">
        <f>IFERROR(INDEX('Historical Data'!$B$2:$B$1068,MATCH($A10,'Historical Data'!$BE$2:$BE$1068,0)),"")</f>
        <v/>
      </c>
      <c r="D10" s="291">
        <f>IFERROR(INDEX('Historical Data'!$D$2:$D$1068,MATCH($A10,'Historical Data'!$BE$2:$BE$1068,0)),"")</f>
        <v/>
      </c>
      <c r="E10" s="292">
        <f>IFERROR(INDEX('Historical Data'!$E$2:$E$1068,MATCH($A10,'Historical Data'!$BE$2:$BE$1068,0)),"")</f>
        <v/>
      </c>
      <c r="F10" s="291">
        <f>IFERROR(INDEX('Historical Data'!$G$2:$G$1068,MATCH($A10,'Historical Data'!$BE$2:$BE$1068,0)),"")</f>
        <v/>
      </c>
      <c r="G10" s="291">
        <f>IFERROR(INDEX('Historical Data'!$Y$2:$Y$1068,MATCH($A10,'Historical Data'!$BE$2:$BE$1068,0)),"")</f>
        <v/>
      </c>
      <c r="H10" s="291">
        <f>IFERROR(INDEX('Historical Data'!$K$2:$K$1068,MATCH($A10,'Historical Data'!$BE$2:$BE$1068,0)),"")</f>
        <v/>
      </c>
      <c r="I10" s="291">
        <f>IFERROR(INDEX('Historical Data'!$J$2:$J$1068,MATCH($A10,'Historical Data'!$BE$2:$BE$1068,0)),"")</f>
        <v/>
      </c>
      <c r="J10" s="291">
        <f>IFERROR(INDEX('Historical Data'!$L$2:$L$1068,MATCH($A10,'Historical Data'!$BE$2:$BE$1068,0)),"")</f>
        <v/>
      </c>
      <c r="K10" s="293">
        <f>IFERROR(INDEX('Historical Data'!$M$2:$M$1068,MATCH($A10,'Historical Data'!$BE$2:$BE$1068,0)),"")</f>
        <v/>
      </c>
      <c r="L10" s="294">
        <f>IFERROR(INDEX('Historical Data'!$N$2:$N$1068,MATCH($A10,'Historical Data'!$BE$2:$BE$1068,0)),"")</f>
        <v/>
      </c>
      <c r="M10" s="294">
        <f>IFERROR(INDEX('Historical Data'!$Q$2:$Q$1068,MATCH($A10,'Historical Data'!$BE$2:$BE$1068,0)),"")</f>
        <v/>
      </c>
      <c r="N10" s="295">
        <f>IFERROR(INDEX('Historical Data'!$S$2:$S$1068,MATCH($A10,'Historical Data'!$BE$2:$BE$1068,0)),"")</f>
        <v/>
      </c>
      <c r="O10" s="294">
        <f>IFERROR(INDEX('Historical Data'!$AJ$2:$AJ$1068,MATCH($A10,'Historical Data'!$BE$2:$BE$1068,0)),"")</f>
        <v/>
      </c>
      <c r="P10" s="294">
        <f>IFERROR(INDEX('Historical Data'!$AK$2:$AK$1068,MATCH($A10,'Historical Data'!$BE$2:$BE$1068,0)),"")</f>
        <v/>
      </c>
      <c r="Q10" s="291">
        <f>IFERROR(INDEX('Historical Data'!$AA$2:$AA$1068,MATCH($A10,'Historical Data'!$BE$2:$BE$1068,0)),"")</f>
        <v/>
      </c>
      <c r="R10" s="291">
        <f>IFERROR(INDEX('Historical Data'!$AB$2:$AB$1068,MATCH($A10,'Historical Data'!$BE$2:$BE$1068,0)),"")</f>
        <v/>
      </c>
      <c r="S10" s="291">
        <f>IFERROR(INDEX('Historical Data'!$AN$2:$AN$1068,MATCH($A10,'Historical Data'!$BE$2:$BE$1068,0)),"")</f>
        <v/>
      </c>
      <c r="T10" s="291">
        <f>IFERROR(INDEX('Historical Data'!$AC$2:$AC$1068,MATCH($A10,'Historical Data'!$BE$2:$BE$1068,0)),"")</f>
        <v/>
      </c>
      <c r="U10" s="291">
        <f>IFERROR(INDEX('Historical Data'!$AE$2:$AE$1068,MATCH($A10,'Historical Data'!$BE$2:$BE$1068,0)),"")</f>
        <v/>
      </c>
      <c r="V10" s="291">
        <f>IFERROR(INDEX('Historical Data'!$AH$2:$AH$1068,MATCH($A10,'Historical Data'!$BE$2:$BE$1068,0)),"")</f>
        <v/>
      </c>
      <c r="W10" s="291">
        <f>IFERROR(INDEX('Historical Data'!$BC$2:$BC$1068,MATCH($A10,'Historical Data'!$BE$2:$BE$1068,0)),"")</f>
        <v/>
      </c>
      <c r="X10" s="290">
        <f>IF(B10="","",IF(W10=1,"NR + industry + position",IF(W10=2,"NR + ISO + position",IF(W10=3,"NR + industry",IF(W10=4,"NR + ISO",IF(W10=5,"NR + position",IF(W10=6,"NR only","book baseline"))))))&amp;"  ["&amp;IF(T10=1,"seasoned","unseasoned")&amp;IF(U10=1,", defaulted","")&amp;IF(V10=1,", open","")&amp;"]")</f>
        <v/>
      </c>
    </row>
    <row r="11">
      <c r="A11" s="290" t="n">
        <v>7</v>
      </c>
      <c r="B11" s="291">
        <f>IFERROR(INDEX('Historical Data'!$A$2:$A$1068,MATCH($A11,'Historical Data'!$BE$2:$BE$1068,0)),"")</f>
        <v/>
      </c>
      <c r="C11" s="291">
        <f>IFERROR(INDEX('Historical Data'!$B$2:$B$1068,MATCH($A11,'Historical Data'!$BE$2:$BE$1068,0)),"")</f>
        <v/>
      </c>
      <c r="D11" s="291">
        <f>IFERROR(INDEX('Historical Data'!$D$2:$D$1068,MATCH($A11,'Historical Data'!$BE$2:$BE$1068,0)),"")</f>
        <v/>
      </c>
      <c r="E11" s="292">
        <f>IFERROR(INDEX('Historical Data'!$E$2:$E$1068,MATCH($A11,'Historical Data'!$BE$2:$BE$1068,0)),"")</f>
        <v/>
      </c>
      <c r="F11" s="291">
        <f>IFERROR(INDEX('Historical Data'!$G$2:$G$1068,MATCH($A11,'Historical Data'!$BE$2:$BE$1068,0)),"")</f>
        <v/>
      </c>
      <c r="G11" s="291">
        <f>IFERROR(INDEX('Historical Data'!$Y$2:$Y$1068,MATCH($A11,'Historical Data'!$BE$2:$BE$1068,0)),"")</f>
        <v/>
      </c>
      <c r="H11" s="291">
        <f>IFERROR(INDEX('Historical Data'!$K$2:$K$1068,MATCH($A11,'Historical Data'!$BE$2:$BE$1068,0)),"")</f>
        <v/>
      </c>
      <c r="I11" s="291">
        <f>IFERROR(INDEX('Historical Data'!$J$2:$J$1068,MATCH($A11,'Historical Data'!$BE$2:$BE$1068,0)),"")</f>
        <v/>
      </c>
      <c r="J11" s="291">
        <f>IFERROR(INDEX('Historical Data'!$L$2:$L$1068,MATCH($A11,'Historical Data'!$BE$2:$BE$1068,0)),"")</f>
        <v/>
      </c>
      <c r="K11" s="293">
        <f>IFERROR(INDEX('Historical Data'!$M$2:$M$1068,MATCH($A11,'Historical Data'!$BE$2:$BE$1068,0)),"")</f>
        <v/>
      </c>
      <c r="L11" s="294">
        <f>IFERROR(INDEX('Historical Data'!$N$2:$N$1068,MATCH($A11,'Historical Data'!$BE$2:$BE$1068,0)),"")</f>
        <v/>
      </c>
      <c r="M11" s="294">
        <f>IFERROR(INDEX('Historical Data'!$Q$2:$Q$1068,MATCH($A11,'Historical Data'!$BE$2:$BE$1068,0)),"")</f>
        <v/>
      </c>
      <c r="N11" s="295">
        <f>IFERROR(INDEX('Historical Data'!$S$2:$S$1068,MATCH($A11,'Historical Data'!$BE$2:$BE$1068,0)),"")</f>
        <v/>
      </c>
      <c r="O11" s="294">
        <f>IFERROR(INDEX('Historical Data'!$AJ$2:$AJ$1068,MATCH($A11,'Historical Data'!$BE$2:$BE$1068,0)),"")</f>
        <v/>
      </c>
      <c r="P11" s="294">
        <f>IFERROR(INDEX('Historical Data'!$AK$2:$AK$1068,MATCH($A11,'Historical Data'!$BE$2:$BE$1068,0)),"")</f>
        <v/>
      </c>
      <c r="Q11" s="291">
        <f>IFERROR(INDEX('Historical Data'!$AA$2:$AA$1068,MATCH($A11,'Historical Data'!$BE$2:$BE$1068,0)),"")</f>
        <v/>
      </c>
      <c r="R11" s="291">
        <f>IFERROR(INDEX('Historical Data'!$AB$2:$AB$1068,MATCH($A11,'Historical Data'!$BE$2:$BE$1068,0)),"")</f>
        <v/>
      </c>
      <c r="S11" s="291">
        <f>IFERROR(INDEX('Historical Data'!$AN$2:$AN$1068,MATCH($A11,'Historical Data'!$BE$2:$BE$1068,0)),"")</f>
        <v/>
      </c>
      <c r="T11" s="291">
        <f>IFERROR(INDEX('Historical Data'!$AC$2:$AC$1068,MATCH($A11,'Historical Data'!$BE$2:$BE$1068,0)),"")</f>
        <v/>
      </c>
      <c r="U11" s="291">
        <f>IFERROR(INDEX('Historical Data'!$AE$2:$AE$1068,MATCH($A11,'Historical Data'!$BE$2:$BE$1068,0)),"")</f>
        <v/>
      </c>
      <c r="V11" s="291">
        <f>IFERROR(INDEX('Historical Data'!$AH$2:$AH$1068,MATCH($A11,'Historical Data'!$BE$2:$BE$1068,0)),"")</f>
        <v/>
      </c>
      <c r="W11" s="291">
        <f>IFERROR(INDEX('Historical Data'!$BC$2:$BC$1068,MATCH($A11,'Historical Data'!$BE$2:$BE$1068,0)),"")</f>
        <v/>
      </c>
      <c r="X11" s="290">
        <f>IF(B11="","",IF(W11=1,"NR + industry + position",IF(W11=2,"NR + ISO + position",IF(W11=3,"NR + industry",IF(W11=4,"NR + ISO",IF(W11=5,"NR + position",IF(W11=6,"NR only","book baseline"))))))&amp;"  ["&amp;IF(T11=1,"seasoned","unseasoned")&amp;IF(U11=1,", defaulted","")&amp;IF(V11=1,", open","")&amp;"]")</f>
        <v/>
      </c>
    </row>
    <row r="12">
      <c r="A12" s="290" t="n">
        <v>8</v>
      </c>
      <c r="B12" s="291">
        <f>IFERROR(INDEX('Historical Data'!$A$2:$A$1068,MATCH($A12,'Historical Data'!$BE$2:$BE$1068,0)),"")</f>
        <v/>
      </c>
      <c r="C12" s="291">
        <f>IFERROR(INDEX('Historical Data'!$B$2:$B$1068,MATCH($A12,'Historical Data'!$BE$2:$BE$1068,0)),"")</f>
        <v/>
      </c>
      <c r="D12" s="291">
        <f>IFERROR(INDEX('Historical Data'!$D$2:$D$1068,MATCH($A12,'Historical Data'!$BE$2:$BE$1068,0)),"")</f>
        <v/>
      </c>
      <c r="E12" s="292">
        <f>IFERROR(INDEX('Historical Data'!$E$2:$E$1068,MATCH($A12,'Historical Data'!$BE$2:$BE$1068,0)),"")</f>
        <v/>
      </c>
      <c r="F12" s="291">
        <f>IFERROR(INDEX('Historical Data'!$G$2:$G$1068,MATCH($A12,'Historical Data'!$BE$2:$BE$1068,0)),"")</f>
        <v/>
      </c>
      <c r="G12" s="291">
        <f>IFERROR(INDEX('Historical Data'!$Y$2:$Y$1068,MATCH($A12,'Historical Data'!$BE$2:$BE$1068,0)),"")</f>
        <v/>
      </c>
      <c r="H12" s="291">
        <f>IFERROR(INDEX('Historical Data'!$K$2:$K$1068,MATCH($A12,'Historical Data'!$BE$2:$BE$1068,0)),"")</f>
        <v/>
      </c>
      <c r="I12" s="291">
        <f>IFERROR(INDEX('Historical Data'!$J$2:$J$1068,MATCH($A12,'Historical Data'!$BE$2:$BE$1068,0)),"")</f>
        <v/>
      </c>
      <c r="J12" s="291">
        <f>IFERROR(INDEX('Historical Data'!$L$2:$L$1068,MATCH($A12,'Historical Data'!$BE$2:$BE$1068,0)),"")</f>
        <v/>
      </c>
      <c r="K12" s="293">
        <f>IFERROR(INDEX('Historical Data'!$M$2:$M$1068,MATCH($A12,'Historical Data'!$BE$2:$BE$1068,0)),"")</f>
        <v/>
      </c>
      <c r="L12" s="294">
        <f>IFERROR(INDEX('Historical Data'!$N$2:$N$1068,MATCH($A12,'Historical Data'!$BE$2:$BE$1068,0)),"")</f>
        <v/>
      </c>
      <c r="M12" s="294">
        <f>IFERROR(INDEX('Historical Data'!$Q$2:$Q$1068,MATCH($A12,'Historical Data'!$BE$2:$BE$1068,0)),"")</f>
        <v/>
      </c>
      <c r="N12" s="295">
        <f>IFERROR(INDEX('Historical Data'!$S$2:$S$1068,MATCH($A12,'Historical Data'!$BE$2:$BE$1068,0)),"")</f>
        <v/>
      </c>
      <c r="O12" s="294">
        <f>IFERROR(INDEX('Historical Data'!$AJ$2:$AJ$1068,MATCH($A12,'Historical Data'!$BE$2:$BE$1068,0)),"")</f>
        <v/>
      </c>
      <c r="P12" s="294">
        <f>IFERROR(INDEX('Historical Data'!$AK$2:$AK$1068,MATCH($A12,'Historical Data'!$BE$2:$BE$1068,0)),"")</f>
        <v/>
      </c>
      <c r="Q12" s="291">
        <f>IFERROR(INDEX('Historical Data'!$AA$2:$AA$1068,MATCH($A12,'Historical Data'!$BE$2:$BE$1068,0)),"")</f>
        <v/>
      </c>
      <c r="R12" s="291">
        <f>IFERROR(INDEX('Historical Data'!$AB$2:$AB$1068,MATCH($A12,'Historical Data'!$BE$2:$BE$1068,0)),"")</f>
        <v/>
      </c>
      <c r="S12" s="291">
        <f>IFERROR(INDEX('Historical Data'!$AN$2:$AN$1068,MATCH($A12,'Historical Data'!$BE$2:$BE$1068,0)),"")</f>
        <v/>
      </c>
      <c r="T12" s="291">
        <f>IFERROR(INDEX('Historical Data'!$AC$2:$AC$1068,MATCH($A12,'Historical Data'!$BE$2:$BE$1068,0)),"")</f>
        <v/>
      </c>
      <c r="U12" s="291">
        <f>IFERROR(INDEX('Historical Data'!$AE$2:$AE$1068,MATCH($A12,'Historical Data'!$BE$2:$BE$1068,0)),"")</f>
        <v/>
      </c>
      <c r="V12" s="291">
        <f>IFERROR(INDEX('Historical Data'!$AH$2:$AH$1068,MATCH($A12,'Historical Data'!$BE$2:$BE$1068,0)),"")</f>
        <v/>
      </c>
      <c r="W12" s="291">
        <f>IFERROR(INDEX('Historical Data'!$BC$2:$BC$1068,MATCH($A12,'Historical Data'!$BE$2:$BE$1068,0)),"")</f>
        <v/>
      </c>
      <c r="X12" s="290">
        <f>IF(B12="","",IF(W12=1,"NR + industry + position",IF(W12=2,"NR + ISO + position",IF(W12=3,"NR + industry",IF(W12=4,"NR + ISO",IF(W12=5,"NR + position",IF(W12=6,"NR only","book baseline"))))))&amp;"  ["&amp;IF(T12=1,"seasoned","unseasoned")&amp;IF(U12=1,", defaulted","")&amp;IF(V12=1,", open","")&amp;"]")</f>
        <v/>
      </c>
    </row>
    <row r="13">
      <c r="A13" s="290" t="n">
        <v>9</v>
      </c>
      <c r="B13" s="291">
        <f>IFERROR(INDEX('Historical Data'!$A$2:$A$1068,MATCH($A13,'Historical Data'!$BE$2:$BE$1068,0)),"")</f>
        <v/>
      </c>
      <c r="C13" s="291">
        <f>IFERROR(INDEX('Historical Data'!$B$2:$B$1068,MATCH($A13,'Historical Data'!$BE$2:$BE$1068,0)),"")</f>
        <v/>
      </c>
      <c r="D13" s="291">
        <f>IFERROR(INDEX('Historical Data'!$D$2:$D$1068,MATCH($A13,'Historical Data'!$BE$2:$BE$1068,0)),"")</f>
        <v/>
      </c>
      <c r="E13" s="292">
        <f>IFERROR(INDEX('Historical Data'!$E$2:$E$1068,MATCH($A13,'Historical Data'!$BE$2:$BE$1068,0)),"")</f>
        <v/>
      </c>
      <c r="F13" s="291">
        <f>IFERROR(INDEX('Historical Data'!$G$2:$G$1068,MATCH($A13,'Historical Data'!$BE$2:$BE$1068,0)),"")</f>
        <v/>
      </c>
      <c r="G13" s="291">
        <f>IFERROR(INDEX('Historical Data'!$Y$2:$Y$1068,MATCH($A13,'Historical Data'!$BE$2:$BE$1068,0)),"")</f>
        <v/>
      </c>
      <c r="H13" s="291">
        <f>IFERROR(INDEX('Historical Data'!$K$2:$K$1068,MATCH($A13,'Historical Data'!$BE$2:$BE$1068,0)),"")</f>
        <v/>
      </c>
      <c r="I13" s="291">
        <f>IFERROR(INDEX('Historical Data'!$J$2:$J$1068,MATCH($A13,'Historical Data'!$BE$2:$BE$1068,0)),"")</f>
        <v/>
      </c>
      <c r="J13" s="291">
        <f>IFERROR(INDEX('Historical Data'!$L$2:$L$1068,MATCH($A13,'Historical Data'!$BE$2:$BE$1068,0)),"")</f>
        <v/>
      </c>
      <c r="K13" s="293">
        <f>IFERROR(INDEX('Historical Data'!$M$2:$M$1068,MATCH($A13,'Historical Data'!$BE$2:$BE$1068,0)),"")</f>
        <v/>
      </c>
      <c r="L13" s="294">
        <f>IFERROR(INDEX('Historical Data'!$N$2:$N$1068,MATCH($A13,'Historical Data'!$BE$2:$BE$1068,0)),"")</f>
        <v/>
      </c>
      <c r="M13" s="294">
        <f>IFERROR(INDEX('Historical Data'!$Q$2:$Q$1068,MATCH($A13,'Historical Data'!$BE$2:$BE$1068,0)),"")</f>
        <v/>
      </c>
      <c r="N13" s="295">
        <f>IFERROR(INDEX('Historical Data'!$S$2:$S$1068,MATCH($A13,'Historical Data'!$BE$2:$BE$1068,0)),"")</f>
        <v/>
      </c>
      <c r="O13" s="294">
        <f>IFERROR(INDEX('Historical Data'!$AJ$2:$AJ$1068,MATCH($A13,'Historical Data'!$BE$2:$BE$1068,0)),"")</f>
        <v/>
      </c>
      <c r="P13" s="294">
        <f>IFERROR(INDEX('Historical Data'!$AK$2:$AK$1068,MATCH($A13,'Historical Data'!$BE$2:$BE$1068,0)),"")</f>
        <v/>
      </c>
      <c r="Q13" s="291">
        <f>IFERROR(INDEX('Historical Data'!$AA$2:$AA$1068,MATCH($A13,'Historical Data'!$BE$2:$BE$1068,0)),"")</f>
        <v/>
      </c>
      <c r="R13" s="291">
        <f>IFERROR(INDEX('Historical Data'!$AB$2:$AB$1068,MATCH($A13,'Historical Data'!$BE$2:$BE$1068,0)),"")</f>
        <v/>
      </c>
      <c r="S13" s="291">
        <f>IFERROR(INDEX('Historical Data'!$AN$2:$AN$1068,MATCH($A13,'Historical Data'!$BE$2:$BE$1068,0)),"")</f>
        <v/>
      </c>
      <c r="T13" s="291">
        <f>IFERROR(INDEX('Historical Data'!$AC$2:$AC$1068,MATCH($A13,'Historical Data'!$BE$2:$BE$1068,0)),"")</f>
        <v/>
      </c>
      <c r="U13" s="291">
        <f>IFERROR(INDEX('Historical Data'!$AE$2:$AE$1068,MATCH($A13,'Historical Data'!$BE$2:$BE$1068,0)),"")</f>
        <v/>
      </c>
      <c r="V13" s="291">
        <f>IFERROR(INDEX('Historical Data'!$AH$2:$AH$1068,MATCH($A13,'Historical Data'!$BE$2:$BE$1068,0)),"")</f>
        <v/>
      </c>
      <c r="W13" s="291">
        <f>IFERROR(INDEX('Historical Data'!$BC$2:$BC$1068,MATCH($A13,'Historical Data'!$BE$2:$BE$1068,0)),"")</f>
        <v/>
      </c>
      <c r="X13" s="290">
        <f>IF(B13="","",IF(W13=1,"NR + industry + position",IF(W13=2,"NR + ISO + position",IF(W13=3,"NR + industry",IF(W13=4,"NR + ISO",IF(W13=5,"NR + position",IF(W13=6,"NR only","book baseline"))))))&amp;"  ["&amp;IF(T13=1,"seasoned","unseasoned")&amp;IF(U13=1,", defaulted","")&amp;IF(V13=1,", open","")&amp;"]")</f>
        <v/>
      </c>
    </row>
    <row r="14">
      <c r="A14" s="290" t="n">
        <v>10</v>
      </c>
      <c r="B14" s="291">
        <f>IFERROR(INDEX('Historical Data'!$A$2:$A$1068,MATCH($A14,'Historical Data'!$BE$2:$BE$1068,0)),"")</f>
        <v/>
      </c>
      <c r="C14" s="291">
        <f>IFERROR(INDEX('Historical Data'!$B$2:$B$1068,MATCH($A14,'Historical Data'!$BE$2:$BE$1068,0)),"")</f>
        <v/>
      </c>
      <c r="D14" s="291">
        <f>IFERROR(INDEX('Historical Data'!$D$2:$D$1068,MATCH($A14,'Historical Data'!$BE$2:$BE$1068,0)),"")</f>
        <v/>
      </c>
      <c r="E14" s="292">
        <f>IFERROR(INDEX('Historical Data'!$E$2:$E$1068,MATCH($A14,'Historical Data'!$BE$2:$BE$1068,0)),"")</f>
        <v/>
      </c>
      <c r="F14" s="291">
        <f>IFERROR(INDEX('Historical Data'!$G$2:$G$1068,MATCH($A14,'Historical Data'!$BE$2:$BE$1068,0)),"")</f>
        <v/>
      </c>
      <c r="G14" s="291">
        <f>IFERROR(INDEX('Historical Data'!$Y$2:$Y$1068,MATCH($A14,'Historical Data'!$BE$2:$BE$1068,0)),"")</f>
        <v/>
      </c>
      <c r="H14" s="291">
        <f>IFERROR(INDEX('Historical Data'!$K$2:$K$1068,MATCH($A14,'Historical Data'!$BE$2:$BE$1068,0)),"")</f>
        <v/>
      </c>
      <c r="I14" s="291">
        <f>IFERROR(INDEX('Historical Data'!$J$2:$J$1068,MATCH($A14,'Historical Data'!$BE$2:$BE$1068,0)),"")</f>
        <v/>
      </c>
      <c r="J14" s="291">
        <f>IFERROR(INDEX('Historical Data'!$L$2:$L$1068,MATCH($A14,'Historical Data'!$BE$2:$BE$1068,0)),"")</f>
        <v/>
      </c>
      <c r="K14" s="293">
        <f>IFERROR(INDEX('Historical Data'!$M$2:$M$1068,MATCH($A14,'Historical Data'!$BE$2:$BE$1068,0)),"")</f>
        <v/>
      </c>
      <c r="L14" s="294">
        <f>IFERROR(INDEX('Historical Data'!$N$2:$N$1068,MATCH($A14,'Historical Data'!$BE$2:$BE$1068,0)),"")</f>
        <v/>
      </c>
      <c r="M14" s="294">
        <f>IFERROR(INDEX('Historical Data'!$Q$2:$Q$1068,MATCH($A14,'Historical Data'!$BE$2:$BE$1068,0)),"")</f>
        <v/>
      </c>
      <c r="N14" s="295">
        <f>IFERROR(INDEX('Historical Data'!$S$2:$S$1068,MATCH($A14,'Historical Data'!$BE$2:$BE$1068,0)),"")</f>
        <v/>
      </c>
      <c r="O14" s="294">
        <f>IFERROR(INDEX('Historical Data'!$AJ$2:$AJ$1068,MATCH($A14,'Historical Data'!$BE$2:$BE$1068,0)),"")</f>
        <v/>
      </c>
      <c r="P14" s="294">
        <f>IFERROR(INDEX('Historical Data'!$AK$2:$AK$1068,MATCH($A14,'Historical Data'!$BE$2:$BE$1068,0)),"")</f>
        <v/>
      </c>
      <c r="Q14" s="291">
        <f>IFERROR(INDEX('Historical Data'!$AA$2:$AA$1068,MATCH($A14,'Historical Data'!$BE$2:$BE$1068,0)),"")</f>
        <v/>
      </c>
      <c r="R14" s="291">
        <f>IFERROR(INDEX('Historical Data'!$AB$2:$AB$1068,MATCH($A14,'Historical Data'!$BE$2:$BE$1068,0)),"")</f>
        <v/>
      </c>
      <c r="S14" s="291">
        <f>IFERROR(INDEX('Historical Data'!$AN$2:$AN$1068,MATCH($A14,'Historical Data'!$BE$2:$BE$1068,0)),"")</f>
        <v/>
      </c>
      <c r="T14" s="291">
        <f>IFERROR(INDEX('Historical Data'!$AC$2:$AC$1068,MATCH($A14,'Historical Data'!$BE$2:$BE$1068,0)),"")</f>
        <v/>
      </c>
      <c r="U14" s="291">
        <f>IFERROR(INDEX('Historical Data'!$AE$2:$AE$1068,MATCH($A14,'Historical Data'!$BE$2:$BE$1068,0)),"")</f>
        <v/>
      </c>
      <c r="V14" s="291">
        <f>IFERROR(INDEX('Historical Data'!$AH$2:$AH$1068,MATCH($A14,'Historical Data'!$BE$2:$BE$1068,0)),"")</f>
        <v/>
      </c>
      <c r="W14" s="291">
        <f>IFERROR(INDEX('Historical Data'!$BC$2:$BC$1068,MATCH($A14,'Historical Data'!$BE$2:$BE$1068,0)),"")</f>
        <v/>
      </c>
      <c r="X14" s="290">
        <f>IF(B14="","",IF(W14=1,"NR + industry + position",IF(W14=2,"NR + ISO + position",IF(W14=3,"NR + industry",IF(W14=4,"NR + ISO",IF(W14=5,"NR + position",IF(W14=6,"NR only","book baseline"))))))&amp;"  ["&amp;IF(T14=1,"seasoned","unseasoned")&amp;IF(U14=1,", defaulted","")&amp;IF(V14=1,", open","")&amp;"]")</f>
        <v/>
      </c>
    </row>
    <row r="15">
      <c r="A15" s="290" t="n">
        <v>11</v>
      </c>
      <c r="B15" s="291">
        <f>IFERROR(INDEX('Historical Data'!$A$2:$A$1068,MATCH($A15,'Historical Data'!$BE$2:$BE$1068,0)),"")</f>
        <v/>
      </c>
      <c r="C15" s="291">
        <f>IFERROR(INDEX('Historical Data'!$B$2:$B$1068,MATCH($A15,'Historical Data'!$BE$2:$BE$1068,0)),"")</f>
        <v/>
      </c>
      <c r="D15" s="291">
        <f>IFERROR(INDEX('Historical Data'!$D$2:$D$1068,MATCH($A15,'Historical Data'!$BE$2:$BE$1068,0)),"")</f>
        <v/>
      </c>
      <c r="E15" s="292">
        <f>IFERROR(INDEX('Historical Data'!$E$2:$E$1068,MATCH($A15,'Historical Data'!$BE$2:$BE$1068,0)),"")</f>
        <v/>
      </c>
      <c r="F15" s="291">
        <f>IFERROR(INDEX('Historical Data'!$G$2:$G$1068,MATCH($A15,'Historical Data'!$BE$2:$BE$1068,0)),"")</f>
        <v/>
      </c>
      <c r="G15" s="291">
        <f>IFERROR(INDEX('Historical Data'!$Y$2:$Y$1068,MATCH($A15,'Historical Data'!$BE$2:$BE$1068,0)),"")</f>
        <v/>
      </c>
      <c r="H15" s="291">
        <f>IFERROR(INDEX('Historical Data'!$K$2:$K$1068,MATCH($A15,'Historical Data'!$BE$2:$BE$1068,0)),"")</f>
        <v/>
      </c>
      <c r="I15" s="291">
        <f>IFERROR(INDEX('Historical Data'!$J$2:$J$1068,MATCH($A15,'Historical Data'!$BE$2:$BE$1068,0)),"")</f>
        <v/>
      </c>
      <c r="J15" s="291">
        <f>IFERROR(INDEX('Historical Data'!$L$2:$L$1068,MATCH($A15,'Historical Data'!$BE$2:$BE$1068,0)),"")</f>
        <v/>
      </c>
      <c r="K15" s="293">
        <f>IFERROR(INDEX('Historical Data'!$M$2:$M$1068,MATCH($A15,'Historical Data'!$BE$2:$BE$1068,0)),"")</f>
        <v/>
      </c>
      <c r="L15" s="294">
        <f>IFERROR(INDEX('Historical Data'!$N$2:$N$1068,MATCH($A15,'Historical Data'!$BE$2:$BE$1068,0)),"")</f>
        <v/>
      </c>
      <c r="M15" s="294">
        <f>IFERROR(INDEX('Historical Data'!$Q$2:$Q$1068,MATCH($A15,'Historical Data'!$BE$2:$BE$1068,0)),"")</f>
        <v/>
      </c>
      <c r="N15" s="295">
        <f>IFERROR(INDEX('Historical Data'!$S$2:$S$1068,MATCH($A15,'Historical Data'!$BE$2:$BE$1068,0)),"")</f>
        <v/>
      </c>
      <c r="O15" s="294">
        <f>IFERROR(INDEX('Historical Data'!$AJ$2:$AJ$1068,MATCH($A15,'Historical Data'!$BE$2:$BE$1068,0)),"")</f>
        <v/>
      </c>
      <c r="P15" s="294">
        <f>IFERROR(INDEX('Historical Data'!$AK$2:$AK$1068,MATCH($A15,'Historical Data'!$BE$2:$BE$1068,0)),"")</f>
        <v/>
      </c>
      <c r="Q15" s="291">
        <f>IFERROR(INDEX('Historical Data'!$AA$2:$AA$1068,MATCH($A15,'Historical Data'!$BE$2:$BE$1068,0)),"")</f>
        <v/>
      </c>
      <c r="R15" s="291">
        <f>IFERROR(INDEX('Historical Data'!$AB$2:$AB$1068,MATCH($A15,'Historical Data'!$BE$2:$BE$1068,0)),"")</f>
        <v/>
      </c>
      <c r="S15" s="291">
        <f>IFERROR(INDEX('Historical Data'!$AN$2:$AN$1068,MATCH($A15,'Historical Data'!$BE$2:$BE$1068,0)),"")</f>
        <v/>
      </c>
      <c r="T15" s="291">
        <f>IFERROR(INDEX('Historical Data'!$AC$2:$AC$1068,MATCH($A15,'Historical Data'!$BE$2:$BE$1068,0)),"")</f>
        <v/>
      </c>
      <c r="U15" s="291">
        <f>IFERROR(INDEX('Historical Data'!$AE$2:$AE$1068,MATCH($A15,'Historical Data'!$BE$2:$BE$1068,0)),"")</f>
        <v/>
      </c>
      <c r="V15" s="291">
        <f>IFERROR(INDEX('Historical Data'!$AH$2:$AH$1068,MATCH($A15,'Historical Data'!$BE$2:$BE$1068,0)),"")</f>
        <v/>
      </c>
      <c r="W15" s="291">
        <f>IFERROR(INDEX('Historical Data'!$BC$2:$BC$1068,MATCH($A15,'Historical Data'!$BE$2:$BE$1068,0)),"")</f>
        <v/>
      </c>
      <c r="X15" s="290">
        <f>IF(B15="","",IF(W15=1,"NR + industry + position",IF(W15=2,"NR + ISO + position",IF(W15=3,"NR + industry",IF(W15=4,"NR + ISO",IF(W15=5,"NR + position",IF(W15=6,"NR only","book baseline"))))))&amp;"  ["&amp;IF(T15=1,"seasoned","unseasoned")&amp;IF(U15=1,", defaulted","")&amp;IF(V15=1,", open","")&amp;"]")</f>
        <v/>
      </c>
    </row>
    <row r="16">
      <c r="A16" s="290" t="n">
        <v>12</v>
      </c>
      <c r="B16" s="291">
        <f>IFERROR(INDEX('Historical Data'!$A$2:$A$1068,MATCH($A16,'Historical Data'!$BE$2:$BE$1068,0)),"")</f>
        <v/>
      </c>
      <c r="C16" s="291">
        <f>IFERROR(INDEX('Historical Data'!$B$2:$B$1068,MATCH($A16,'Historical Data'!$BE$2:$BE$1068,0)),"")</f>
        <v/>
      </c>
      <c r="D16" s="291">
        <f>IFERROR(INDEX('Historical Data'!$D$2:$D$1068,MATCH($A16,'Historical Data'!$BE$2:$BE$1068,0)),"")</f>
        <v/>
      </c>
      <c r="E16" s="292">
        <f>IFERROR(INDEX('Historical Data'!$E$2:$E$1068,MATCH($A16,'Historical Data'!$BE$2:$BE$1068,0)),"")</f>
        <v/>
      </c>
      <c r="F16" s="291">
        <f>IFERROR(INDEX('Historical Data'!$G$2:$G$1068,MATCH($A16,'Historical Data'!$BE$2:$BE$1068,0)),"")</f>
        <v/>
      </c>
      <c r="G16" s="291">
        <f>IFERROR(INDEX('Historical Data'!$Y$2:$Y$1068,MATCH($A16,'Historical Data'!$BE$2:$BE$1068,0)),"")</f>
        <v/>
      </c>
      <c r="H16" s="291">
        <f>IFERROR(INDEX('Historical Data'!$K$2:$K$1068,MATCH($A16,'Historical Data'!$BE$2:$BE$1068,0)),"")</f>
        <v/>
      </c>
      <c r="I16" s="291">
        <f>IFERROR(INDEX('Historical Data'!$J$2:$J$1068,MATCH($A16,'Historical Data'!$BE$2:$BE$1068,0)),"")</f>
        <v/>
      </c>
      <c r="J16" s="291">
        <f>IFERROR(INDEX('Historical Data'!$L$2:$L$1068,MATCH($A16,'Historical Data'!$BE$2:$BE$1068,0)),"")</f>
        <v/>
      </c>
      <c r="K16" s="293">
        <f>IFERROR(INDEX('Historical Data'!$M$2:$M$1068,MATCH($A16,'Historical Data'!$BE$2:$BE$1068,0)),"")</f>
        <v/>
      </c>
      <c r="L16" s="294">
        <f>IFERROR(INDEX('Historical Data'!$N$2:$N$1068,MATCH($A16,'Historical Data'!$BE$2:$BE$1068,0)),"")</f>
        <v/>
      </c>
      <c r="M16" s="294">
        <f>IFERROR(INDEX('Historical Data'!$Q$2:$Q$1068,MATCH($A16,'Historical Data'!$BE$2:$BE$1068,0)),"")</f>
        <v/>
      </c>
      <c r="N16" s="295">
        <f>IFERROR(INDEX('Historical Data'!$S$2:$S$1068,MATCH($A16,'Historical Data'!$BE$2:$BE$1068,0)),"")</f>
        <v/>
      </c>
      <c r="O16" s="294">
        <f>IFERROR(INDEX('Historical Data'!$AJ$2:$AJ$1068,MATCH($A16,'Historical Data'!$BE$2:$BE$1068,0)),"")</f>
        <v/>
      </c>
      <c r="P16" s="294">
        <f>IFERROR(INDEX('Historical Data'!$AK$2:$AK$1068,MATCH($A16,'Historical Data'!$BE$2:$BE$1068,0)),"")</f>
        <v/>
      </c>
      <c r="Q16" s="291">
        <f>IFERROR(INDEX('Historical Data'!$AA$2:$AA$1068,MATCH($A16,'Historical Data'!$BE$2:$BE$1068,0)),"")</f>
        <v/>
      </c>
      <c r="R16" s="291">
        <f>IFERROR(INDEX('Historical Data'!$AB$2:$AB$1068,MATCH($A16,'Historical Data'!$BE$2:$BE$1068,0)),"")</f>
        <v/>
      </c>
      <c r="S16" s="291">
        <f>IFERROR(INDEX('Historical Data'!$AN$2:$AN$1068,MATCH($A16,'Historical Data'!$BE$2:$BE$1068,0)),"")</f>
        <v/>
      </c>
      <c r="T16" s="291">
        <f>IFERROR(INDEX('Historical Data'!$AC$2:$AC$1068,MATCH($A16,'Historical Data'!$BE$2:$BE$1068,0)),"")</f>
        <v/>
      </c>
      <c r="U16" s="291">
        <f>IFERROR(INDEX('Historical Data'!$AE$2:$AE$1068,MATCH($A16,'Historical Data'!$BE$2:$BE$1068,0)),"")</f>
        <v/>
      </c>
      <c r="V16" s="291">
        <f>IFERROR(INDEX('Historical Data'!$AH$2:$AH$1068,MATCH($A16,'Historical Data'!$BE$2:$BE$1068,0)),"")</f>
        <v/>
      </c>
      <c r="W16" s="291">
        <f>IFERROR(INDEX('Historical Data'!$BC$2:$BC$1068,MATCH($A16,'Historical Data'!$BE$2:$BE$1068,0)),"")</f>
        <v/>
      </c>
      <c r="X16" s="290">
        <f>IF(B16="","",IF(W16=1,"NR + industry + position",IF(W16=2,"NR + ISO + position",IF(W16=3,"NR + industry",IF(W16=4,"NR + ISO",IF(W16=5,"NR + position",IF(W16=6,"NR only","book baseline"))))))&amp;"  ["&amp;IF(T16=1,"seasoned","unseasoned")&amp;IF(U16=1,", defaulted","")&amp;IF(V16=1,", open","")&amp;"]")</f>
        <v/>
      </c>
    </row>
    <row r="17">
      <c r="A17" s="290" t="n">
        <v>13</v>
      </c>
      <c r="B17" s="291">
        <f>IFERROR(INDEX('Historical Data'!$A$2:$A$1068,MATCH($A17,'Historical Data'!$BE$2:$BE$1068,0)),"")</f>
        <v/>
      </c>
      <c r="C17" s="291">
        <f>IFERROR(INDEX('Historical Data'!$B$2:$B$1068,MATCH($A17,'Historical Data'!$BE$2:$BE$1068,0)),"")</f>
        <v/>
      </c>
      <c r="D17" s="291">
        <f>IFERROR(INDEX('Historical Data'!$D$2:$D$1068,MATCH($A17,'Historical Data'!$BE$2:$BE$1068,0)),"")</f>
        <v/>
      </c>
      <c r="E17" s="292">
        <f>IFERROR(INDEX('Historical Data'!$E$2:$E$1068,MATCH($A17,'Historical Data'!$BE$2:$BE$1068,0)),"")</f>
        <v/>
      </c>
      <c r="F17" s="291">
        <f>IFERROR(INDEX('Historical Data'!$G$2:$G$1068,MATCH($A17,'Historical Data'!$BE$2:$BE$1068,0)),"")</f>
        <v/>
      </c>
      <c r="G17" s="291">
        <f>IFERROR(INDEX('Historical Data'!$Y$2:$Y$1068,MATCH($A17,'Historical Data'!$BE$2:$BE$1068,0)),"")</f>
        <v/>
      </c>
      <c r="H17" s="291">
        <f>IFERROR(INDEX('Historical Data'!$K$2:$K$1068,MATCH($A17,'Historical Data'!$BE$2:$BE$1068,0)),"")</f>
        <v/>
      </c>
      <c r="I17" s="291">
        <f>IFERROR(INDEX('Historical Data'!$J$2:$J$1068,MATCH($A17,'Historical Data'!$BE$2:$BE$1068,0)),"")</f>
        <v/>
      </c>
      <c r="J17" s="291">
        <f>IFERROR(INDEX('Historical Data'!$L$2:$L$1068,MATCH($A17,'Historical Data'!$BE$2:$BE$1068,0)),"")</f>
        <v/>
      </c>
      <c r="K17" s="293">
        <f>IFERROR(INDEX('Historical Data'!$M$2:$M$1068,MATCH($A17,'Historical Data'!$BE$2:$BE$1068,0)),"")</f>
        <v/>
      </c>
      <c r="L17" s="294">
        <f>IFERROR(INDEX('Historical Data'!$N$2:$N$1068,MATCH($A17,'Historical Data'!$BE$2:$BE$1068,0)),"")</f>
        <v/>
      </c>
      <c r="M17" s="294">
        <f>IFERROR(INDEX('Historical Data'!$Q$2:$Q$1068,MATCH($A17,'Historical Data'!$BE$2:$BE$1068,0)),"")</f>
        <v/>
      </c>
      <c r="N17" s="295">
        <f>IFERROR(INDEX('Historical Data'!$S$2:$S$1068,MATCH($A17,'Historical Data'!$BE$2:$BE$1068,0)),"")</f>
        <v/>
      </c>
      <c r="O17" s="294">
        <f>IFERROR(INDEX('Historical Data'!$AJ$2:$AJ$1068,MATCH($A17,'Historical Data'!$BE$2:$BE$1068,0)),"")</f>
        <v/>
      </c>
      <c r="P17" s="294">
        <f>IFERROR(INDEX('Historical Data'!$AK$2:$AK$1068,MATCH($A17,'Historical Data'!$BE$2:$BE$1068,0)),"")</f>
        <v/>
      </c>
      <c r="Q17" s="291">
        <f>IFERROR(INDEX('Historical Data'!$AA$2:$AA$1068,MATCH($A17,'Historical Data'!$BE$2:$BE$1068,0)),"")</f>
        <v/>
      </c>
      <c r="R17" s="291">
        <f>IFERROR(INDEX('Historical Data'!$AB$2:$AB$1068,MATCH($A17,'Historical Data'!$BE$2:$BE$1068,0)),"")</f>
        <v/>
      </c>
      <c r="S17" s="291">
        <f>IFERROR(INDEX('Historical Data'!$AN$2:$AN$1068,MATCH($A17,'Historical Data'!$BE$2:$BE$1068,0)),"")</f>
        <v/>
      </c>
      <c r="T17" s="291">
        <f>IFERROR(INDEX('Historical Data'!$AC$2:$AC$1068,MATCH($A17,'Historical Data'!$BE$2:$BE$1068,0)),"")</f>
        <v/>
      </c>
      <c r="U17" s="291">
        <f>IFERROR(INDEX('Historical Data'!$AE$2:$AE$1068,MATCH($A17,'Historical Data'!$BE$2:$BE$1068,0)),"")</f>
        <v/>
      </c>
      <c r="V17" s="291">
        <f>IFERROR(INDEX('Historical Data'!$AH$2:$AH$1068,MATCH($A17,'Historical Data'!$BE$2:$BE$1068,0)),"")</f>
        <v/>
      </c>
      <c r="W17" s="291">
        <f>IFERROR(INDEX('Historical Data'!$BC$2:$BC$1068,MATCH($A17,'Historical Data'!$BE$2:$BE$1068,0)),"")</f>
        <v/>
      </c>
      <c r="X17" s="290">
        <f>IF(B17="","",IF(W17=1,"NR + industry + position",IF(W17=2,"NR + ISO + position",IF(W17=3,"NR + industry",IF(W17=4,"NR + ISO",IF(W17=5,"NR + position",IF(W17=6,"NR only","book baseline"))))))&amp;"  ["&amp;IF(T17=1,"seasoned","unseasoned")&amp;IF(U17=1,", defaulted","")&amp;IF(V17=1,", open","")&amp;"]")</f>
        <v/>
      </c>
    </row>
    <row r="18">
      <c r="A18" s="290" t="n">
        <v>14</v>
      </c>
      <c r="B18" s="291">
        <f>IFERROR(INDEX('Historical Data'!$A$2:$A$1068,MATCH($A18,'Historical Data'!$BE$2:$BE$1068,0)),"")</f>
        <v/>
      </c>
      <c r="C18" s="291">
        <f>IFERROR(INDEX('Historical Data'!$B$2:$B$1068,MATCH($A18,'Historical Data'!$BE$2:$BE$1068,0)),"")</f>
        <v/>
      </c>
      <c r="D18" s="291">
        <f>IFERROR(INDEX('Historical Data'!$D$2:$D$1068,MATCH($A18,'Historical Data'!$BE$2:$BE$1068,0)),"")</f>
        <v/>
      </c>
      <c r="E18" s="292">
        <f>IFERROR(INDEX('Historical Data'!$E$2:$E$1068,MATCH($A18,'Historical Data'!$BE$2:$BE$1068,0)),"")</f>
        <v/>
      </c>
      <c r="F18" s="291">
        <f>IFERROR(INDEX('Historical Data'!$G$2:$G$1068,MATCH($A18,'Historical Data'!$BE$2:$BE$1068,0)),"")</f>
        <v/>
      </c>
      <c r="G18" s="291">
        <f>IFERROR(INDEX('Historical Data'!$Y$2:$Y$1068,MATCH($A18,'Historical Data'!$BE$2:$BE$1068,0)),"")</f>
        <v/>
      </c>
      <c r="H18" s="291">
        <f>IFERROR(INDEX('Historical Data'!$K$2:$K$1068,MATCH($A18,'Historical Data'!$BE$2:$BE$1068,0)),"")</f>
        <v/>
      </c>
      <c r="I18" s="291">
        <f>IFERROR(INDEX('Historical Data'!$J$2:$J$1068,MATCH($A18,'Historical Data'!$BE$2:$BE$1068,0)),"")</f>
        <v/>
      </c>
      <c r="J18" s="291">
        <f>IFERROR(INDEX('Historical Data'!$L$2:$L$1068,MATCH($A18,'Historical Data'!$BE$2:$BE$1068,0)),"")</f>
        <v/>
      </c>
      <c r="K18" s="293">
        <f>IFERROR(INDEX('Historical Data'!$M$2:$M$1068,MATCH($A18,'Historical Data'!$BE$2:$BE$1068,0)),"")</f>
        <v/>
      </c>
      <c r="L18" s="294">
        <f>IFERROR(INDEX('Historical Data'!$N$2:$N$1068,MATCH($A18,'Historical Data'!$BE$2:$BE$1068,0)),"")</f>
        <v/>
      </c>
      <c r="M18" s="294">
        <f>IFERROR(INDEX('Historical Data'!$Q$2:$Q$1068,MATCH($A18,'Historical Data'!$BE$2:$BE$1068,0)),"")</f>
        <v/>
      </c>
      <c r="N18" s="295">
        <f>IFERROR(INDEX('Historical Data'!$S$2:$S$1068,MATCH($A18,'Historical Data'!$BE$2:$BE$1068,0)),"")</f>
        <v/>
      </c>
      <c r="O18" s="294">
        <f>IFERROR(INDEX('Historical Data'!$AJ$2:$AJ$1068,MATCH($A18,'Historical Data'!$BE$2:$BE$1068,0)),"")</f>
        <v/>
      </c>
      <c r="P18" s="294">
        <f>IFERROR(INDEX('Historical Data'!$AK$2:$AK$1068,MATCH($A18,'Historical Data'!$BE$2:$BE$1068,0)),"")</f>
        <v/>
      </c>
      <c r="Q18" s="291">
        <f>IFERROR(INDEX('Historical Data'!$AA$2:$AA$1068,MATCH($A18,'Historical Data'!$BE$2:$BE$1068,0)),"")</f>
        <v/>
      </c>
      <c r="R18" s="291">
        <f>IFERROR(INDEX('Historical Data'!$AB$2:$AB$1068,MATCH($A18,'Historical Data'!$BE$2:$BE$1068,0)),"")</f>
        <v/>
      </c>
      <c r="S18" s="291">
        <f>IFERROR(INDEX('Historical Data'!$AN$2:$AN$1068,MATCH($A18,'Historical Data'!$BE$2:$BE$1068,0)),"")</f>
        <v/>
      </c>
      <c r="T18" s="291">
        <f>IFERROR(INDEX('Historical Data'!$AC$2:$AC$1068,MATCH($A18,'Historical Data'!$BE$2:$BE$1068,0)),"")</f>
        <v/>
      </c>
      <c r="U18" s="291">
        <f>IFERROR(INDEX('Historical Data'!$AE$2:$AE$1068,MATCH($A18,'Historical Data'!$BE$2:$BE$1068,0)),"")</f>
        <v/>
      </c>
      <c r="V18" s="291">
        <f>IFERROR(INDEX('Historical Data'!$AH$2:$AH$1068,MATCH($A18,'Historical Data'!$BE$2:$BE$1068,0)),"")</f>
        <v/>
      </c>
      <c r="W18" s="291">
        <f>IFERROR(INDEX('Historical Data'!$BC$2:$BC$1068,MATCH($A18,'Historical Data'!$BE$2:$BE$1068,0)),"")</f>
        <v/>
      </c>
      <c r="X18" s="290">
        <f>IF(B18="","",IF(W18=1,"NR + industry + position",IF(W18=2,"NR + ISO + position",IF(W18=3,"NR + industry",IF(W18=4,"NR + ISO",IF(W18=5,"NR + position",IF(W18=6,"NR only","book baseline"))))))&amp;"  ["&amp;IF(T18=1,"seasoned","unseasoned")&amp;IF(U18=1,", defaulted","")&amp;IF(V18=1,", open","")&amp;"]")</f>
        <v/>
      </c>
    </row>
    <row r="19">
      <c r="A19" s="290" t="n">
        <v>15</v>
      </c>
      <c r="B19" s="291">
        <f>IFERROR(INDEX('Historical Data'!$A$2:$A$1068,MATCH($A19,'Historical Data'!$BE$2:$BE$1068,0)),"")</f>
        <v/>
      </c>
      <c r="C19" s="291">
        <f>IFERROR(INDEX('Historical Data'!$B$2:$B$1068,MATCH($A19,'Historical Data'!$BE$2:$BE$1068,0)),"")</f>
        <v/>
      </c>
      <c r="D19" s="291">
        <f>IFERROR(INDEX('Historical Data'!$D$2:$D$1068,MATCH($A19,'Historical Data'!$BE$2:$BE$1068,0)),"")</f>
        <v/>
      </c>
      <c r="E19" s="292">
        <f>IFERROR(INDEX('Historical Data'!$E$2:$E$1068,MATCH($A19,'Historical Data'!$BE$2:$BE$1068,0)),"")</f>
        <v/>
      </c>
      <c r="F19" s="291">
        <f>IFERROR(INDEX('Historical Data'!$G$2:$G$1068,MATCH($A19,'Historical Data'!$BE$2:$BE$1068,0)),"")</f>
        <v/>
      </c>
      <c r="G19" s="291">
        <f>IFERROR(INDEX('Historical Data'!$Y$2:$Y$1068,MATCH($A19,'Historical Data'!$BE$2:$BE$1068,0)),"")</f>
        <v/>
      </c>
      <c r="H19" s="291">
        <f>IFERROR(INDEX('Historical Data'!$K$2:$K$1068,MATCH($A19,'Historical Data'!$BE$2:$BE$1068,0)),"")</f>
        <v/>
      </c>
      <c r="I19" s="291">
        <f>IFERROR(INDEX('Historical Data'!$J$2:$J$1068,MATCH($A19,'Historical Data'!$BE$2:$BE$1068,0)),"")</f>
        <v/>
      </c>
      <c r="J19" s="291">
        <f>IFERROR(INDEX('Historical Data'!$L$2:$L$1068,MATCH($A19,'Historical Data'!$BE$2:$BE$1068,0)),"")</f>
        <v/>
      </c>
      <c r="K19" s="293">
        <f>IFERROR(INDEX('Historical Data'!$M$2:$M$1068,MATCH($A19,'Historical Data'!$BE$2:$BE$1068,0)),"")</f>
        <v/>
      </c>
      <c r="L19" s="294">
        <f>IFERROR(INDEX('Historical Data'!$N$2:$N$1068,MATCH($A19,'Historical Data'!$BE$2:$BE$1068,0)),"")</f>
        <v/>
      </c>
      <c r="M19" s="294">
        <f>IFERROR(INDEX('Historical Data'!$Q$2:$Q$1068,MATCH($A19,'Historical Data'!$BE$2:$BE$1068,0)),"")</f>
        <v/>
      </c>
      <c r="N19" s="295">
        <f>IFERROR(INDEX('Historical Data'!$S$2:$S$1068,MATCH($A19,'Historical Data'!$BE$2:$BE$1068,0)),"")</f>
        <v/>
      </c>
      <c r="O19" s="294">
        <f>IFERROR(INDEX('Historical Data'!$AJ$2:$AJ$1068,MATCH($A19,'Historical Data'!$BE$2:$BE$1068,0)),"")</f>
        <v/>
      </c>
      <c r="P19" s="294">
        <f>IFERROR(INDEX('Historical Data'!$AK$2:$AK$1068,MATCH($A19,'Historical Data'!$BE$2:$BE$1068,0)),"")</f>
        <v/>
      </c>
      <c r="Q19" s="291">
        <f>IFERROR(INDEX('Historical Data'!$AA$2:$AA$1068,MATCH($A19,'Historical Data'!$BE$2:$BE$1068,0)),"")</f>
        <v/>
      </c>
      <c r="R19" s="291">
        <f>IFERROR(INDEX('Historical Data'!$AB$2:$AB$1068,MATCH($A19,'Historical Data'!$BE$2:$BE$1068,0)),"")</f>
        <v/>
      </c>
      <c r="S19" s="291">
        <f>IFERROR(INDEX('Historical Data'!$AN$2:$AN$1068,MATCH($A19,'Historical Data'!$BE$2:$BE$1068,0)),"")</f>
        <v/>
      </c>
      <c r="T19" s="291">
        <f>IFERROR(INDEX('Historical Data'!$AC$2:$AC$1068,MATCH($A19,'Historical Data'!$BE$2:$BE$1068,0)),"")</f>
        <v/>
      </c>
      <c r="U19" s="291">
        <f>IFERROR(INDEX('Historical Data'!$AE$2:$AE$1068,MATCH($A19,'Historical Data'!$BE$2:$BE$1068,0)),"")</f>
        <v/>
      </c>
      <c r="V19" s="291">
        <f>IFERROR(INDEX('Historical Data'!$AH$2:$AH$1068,MATCH($A19,'Historical Data'!$BE$2:$BE$1068,0)),"")</f>
        <v/>
      </c>
      <c r="W19" s="291">
        <f>IFERROR(INDEX('Historical Data'!$BC$2:$BC$1068,MATCH($A19,'Historical Data'!$BE$2:$BE$1068,0)),"")</f>
        <v/>
      </c>
      <c r="X19" s="290">
        <f>IF(B19="","",IF(W19=1,"NR + industry + position",IF(W19=2,"NR + ISO + position",IF(W19=3,"NR + industry",IF(W19=4,"NR + ISO",IF(W19=5,"NR + position",IF(W19=6,"NR only","book baseline"))))))&amp;"  ["&amp;IF(T19=1,"seasoned","unseasoned")&amp;IF(U19=1,", defaulted","")&amp;IF(V19=1,", open","")&amp;"]")</f>
        <v/>
      </c>
    </row>
    <row r="20">
      <c r="A20" s="290" t="n">
        <v>16</v>
      </c>
      <c r="B20" s="291">
        <f>IFERROR(INDEX('Historical Data'!$A$2:$A$1068,MATCH($A20,'Historical Data'!$BE$2:$BE$1068,0)),"")</f>
        <v/>
      </c>
      <c r="C20" s="291">
        <f>IFERROR(INDEX('Historical Data'!$B$2:$B$1068,MATCH($A20,'Historical Data'!$BE$2:$BE$1068,0)),"")</f>
        <v/>
      </c>
      <c r="D20" s="291">
        <f>IFERROR(INDEX('Historical Data'!$D$2:$D$1068,MATCH($A20,'Historical Data'!$BE$2:$BE$1068,0)),"")</f>
        <v/>
      </c>
      <c r="E20" s="292">
        <f>IFERROR(INDEX('Historical Data'!$E$2:$E$1068,MATCH($A20,'Historical Data'!$BE$2:$BE$1068,0)),"")</f>
        <v/>
      </c>
      <c r="F20" s="291">
        <f>IFERROR(INDEX('Historical Data'!$G$2:$G$1068,MATCH($A20,'Historical Data'!$BE$2:$BE$1068,0)),"")</f>
        <v/>
      </c>
      <c r="G20" s="291">
        <f>IFERROR(INDEX('Historical Data'!$Y$2:$Y$1068,MATCH($A20,'Historical Data'!$BE$2:$BE$1068,0)),"")</f>
        <v/>
      </c>
      <c r="H20" s="291">
        <f>IFERROR(INDEX('Historical Data'!$K$2:$K$1068,MATCH($A20,'Historical Data'!$BE$2:$BE$1068,0)),"")</f>
        <v/>
      </c>
      <c r="I20" s="291">
        <f>IFERROR(INDEX('Historical Data'!$J$2:$J$1068,MATCH($A20,'Historical Data'!$BE$2:$BE$1068,0)),"")</f>
        <v/>
      </c>
      <c r="J20" s="291">
        <f>IFERROR(INDEX('Historical Data'!$L$2:$L$1068,MATCH($A20,'Historical Data'!$BE$2:$BE$1068,0)),"")</f>
        <v/>
      </c>
      <c r="K20" s="293">
        <f>IFERROR(INDEX('Historical Data'!$M$2:$M$1068,MATCH($A20,'Historical Data'!$BE$2:$BE$1068,0)),"")</f>
        <v/>
      </c>
      <c r="L20" s="294">
        <f>IFERROR(INDEX('Historical Data'!$N$2:$N$1068,MATCH($A20,'Historical Data'!$BE$2:$BE$1068,0)),"")</f>
        <v/>
      </c>
      <c r="M20" s="294">
        <f>IFERROR(INDEX('Historical Data'!$Q$2:$Q$1068,MATCH($A20,'Historical Data'!$BE$2:$BE$1068,0)),"")</f>
        <v/>
      </c>
      <c r="N20" s="295">
        <f>IFERROR(INDEX('Historical Data'!$S$2:$S$1068,MATCH($A20,'Historical Data'!$BE$2:$BE$1068,0)),"")</f>
        <v/>
      </c>
      <c r="O20" s="294">
        <f>IFERROR(INDEX('Historical Data'!$AJ$2:$AJ$1068,MATCH($A20,'Historical Data'!$BE$2:$BE$1068,0)),"")</f>
        <v/>
      </c>
      <c r="P20" s="294">
        <f>IFERROR(INDEX('Historical Data'!$AK$2:$AK$1068,MATCH($A20,'Historical Data'!$BE$2:$BE$1068,0)),"")</f>
        <v/>
      </c>
      <c r="Q20" s="291">
        <f>IFERROR(INDEX('Historical Data'!$AA$2:$AA$1068,MATCH($A20,'Historical Data'!$BE$2:$BE$1068,0)),"")</f>
        <v/>
      </c>
      <c r="R20" s="291">
        <f>IFERROR(INDEX('Historical Data'!$AB$2:$AB$1068,MATCH($A20,'Historical Data'!$BE$2:$BE$1068,0)),"")</f>
        <v/>
      </c>
      <c r="S20" s="291">
        <f>IFERROR(INDEX('Historical Data'!$AN$2:$AN$1068,MATCH($A20,'Historical Data'!$BE$2:$BE$1068,0)),"")</f>
        <v/>
      </c>
      <c r="T20" s="291">
        <f>IFERROR(INDEX('Historical Data'!$AC$2:$AC$1068,MATCH($A20,'Historical Data'!$BE$2:$BE$1068,0)),"")</f>
        <v/>
      </c>
      <c r="U20" s="291">
        <f>IFERROR(INDEX('Historical Data'!$AE$2:$AE$1068,MATCH($A20,'Historical Data'!$BE$2:$BE$1068,0)),"")</f>
        <v/>
      </c>
      <c r="V20" s="291">
        <f>IFERROR(INDEX('Historical Data'!$AH$2:$AH$1068,MATCH($A20,'Historical Data'!$BE$2:$BE$1068,0)),"")</f>
        <v/>
      </c>
      <c r="W20" s="291">
        <f>IFERROR(INDEX('Historical Data'!$BC$2:$BC$1068,MATCH($A20,'Historical Data'!$BE$2:$BE$1068,0)),"")</f>
        <v/>
      </c>
      <c r="X20" s="290">
        <f>IF(B20="","",IF(W20=1,"NR + industry + position",IF(W20=2,"NR + ISO + position",IF(W20=3,"NR + industry",IF(W20=4,"NR + ISO",IF(W20=5,"NR + position",IF(W20=6,"NR only","book baseline"))))))&amp;"  ["&amp;IF(T20=1,"seasoned","unseasoned")&amp;IF(U20=1,", defaulted","")&amp;IF(V20=1,", open","")&amp;"]")</f>
        <v/>
      </c>
    </row>
    <row r="21">
      <c r="A21" s="290" t="n">
        <v>17</v>
      </c>
      <c r="B21" s="291">
        <f>IFERROR(INDEX('Historical Data'!$A$2:$A$1068,MATCH($A21,'Historical Data'!$BE$2:$BE$1068,0)),"")</f>
        <v/>
      </c>
      <c r="C21" s="291">
        <f>IFERROR(INDEX('Historical Data'!$B$2:$B$1068,MATCH($A21,'Historical Data'!$BE$2:$BE$1068,0)),"")</f>
        <v/>
      </c>
      <c r="D21" s="291">
        <f>IFERROR(INDEX('Historical Data'!$D$2:$D$1068,MATCH($A21,'Historical Data'!$BE$2:$BE$1068,0)),"")</f>
        <v/>
      </c>
      <c r="E21" s="292">
        <f>IFERROR(INDEX('Historical Data'!$E$2:$E$1068,MATCH($A21,'Historical Data'!$BE$2:$BE$1068,0)),"")</f>
        <v/>
      </c>
      <c r="F21" s="291">
        <f>IFERROR(INDEX('Historical Data'!$G$2:$G$1068,MATCH($A21,'Historical Data'!$BE$2:$BE$1068,0)),"")</f>
        <v/>
      </c>
      <c r="G21" s="291">
        <f>IFERROR(INDEX('Historical Data'!$Y$2:$Y$1068,MATCH($A21,'Historical Data'!$BE$2:$BE$1068,0)),"")</f>
        <v/>
      </c>
      <c r="H21" s="291">
        <f>IFERROR(INDEX('Historical Data'!$K$2:$K$1068,MATCH($A21,'Historical Data'!$BE$2:$BE$1068,0)),"")</f>
        <v/>
      </c>
      <c r="I21" s="291">
        <f>IFERROR(INDEX('Historical Data'!$J$2:$J$1068,MATCH($A21,'Historical Data'!$BE$2:$BE$1068,0)),"")</f>
        <v/>
      </c>
      <c r="J21" s="291">
        <f>IFERROR(INDEX('Historical Data'!$L$2:$L$1068,MATCH($A21,'Historical Data'!$BE$2:$BE$1068,0)),"")</f>
        <v/>
      </c>
      <c r="K21" s="293">
        <f>IFERROR(INDEX('Historical Data'!$M$2:$M$1068,MATCH($A21,'Historical Data'!$BE$2:$BE$1068,0)),"")</f>
        <v/>
      </c>
      <c r="L21" s="294">
        <f>IFERROR(INDEX('Historical Data'!$N$2:$N$1068,MATCH($A21,'Historical Data'!$BE$2:$BE$1068,0)),"")</f>
        <v/>
      </c>
      <c r="M21" s="294">
        <f>IFERROR(INDEX('Historical Data'!$Q$2:$Q$1068,MATCH($A21,'Historical Data'!$BE$2:$BE$1068,0)),"")</f>
        <v/>
      </c>
      <c r="N21" s="295">
        <f>IFERROR(INDEX('Historical Data'!$S$2:$S$1068,MATCH($A21,'Historical Data'!$BE$2:$BE$1068,0)),"")</f>
        <v/>
      </c>
      <c r="O21" s="294">
        <f>IFERROR(INDEX('Historical Data'!$AJ$2:$AJ$1068,MATCH($A21,'Historical Data'!$BE$2:$BE$1068,0)),"")</f>
        <v/>
      </c>
      <c r="P21" s="294">
        <f>IFERROR(INDEX('Historical Data'!$AK$2:$AK$1068,MATCH($A21,'Historical Data'!$BE$2:$BE$1068,0)),"")</f>
        <v/>
      </c>
      <c r="Q21" s="291">
        <f>IFERROR(INDEX('Historical Data'!$AA$2:$AA$1068,MATCH($A21,'Historical Data'!$BE$2:$BE$1068,0)),"")</f>
        <v/>
      </c>
      <c r="R21" s="291">
        <f>IFERROR(INDEX('Historical Data'!$AB$2:$AB$1068,MATCH($A21,'Historical Data'!$BE$2:$BE$1068,0)),"")</f>
        <v/>
      </c>
      <c r="S21" s="291">
        <f>IFERROR(INDEX('Historical Data'!$AN$2:$AN$1068,MATCH($A21,'Historical Data'!$BE$2:$BE$1068,0)),"")</f>
        <v/>
      </c>
      <c r="T21" s="291">
        <f>IFERROR(INDEX('Historical Data'!$AC$2:$AC$1068,MATCH($A21,'Historical Data'!$BE$2:$BE$1068,0)),"")</f>
        <v/>
      </c>
      <c r="U21" s="291">
        <f>IFERROR(INDEX('Historical Data'!$AE$2:$AE$1068,MATCH($A21,'Historical Data'!$BE$2:$BE$1068,0)),"")</f>
        <v/>
      </c>
      <c r="V21" s="291">
        <f>IFERROR(INDEX('Historical Data'!$AH$2:$AH$1068,MATCH($A21,'Historical Data'!$BE$2:$BE$1068,0)),"")</f>
        <v/>
      </c>
      <c r="W21" s="291">
        <f>IFERROR(INDEX('Historical Data'!$BC$2:$BC$1068,MATCH($A21,'Historical Data'!$BE$2:$BE$1068,0)),"")</f>
        <v/>
      </c>
      <c r="X21" s="290">
        <f>IF(B21="","",IF(W21=1,"NR + industry + position",IF(W21=2,"NR + ISO + position",IF(W21=3,"NR + industry",IF(W21=4,"NR + ISO",IF(W21=5,"NR + position",IF(W21=6,"NR only","book baseline"))))))&amp;"  ["&amp;IF(T21=1,"seasoned","unseasoned")&amp;IF(U21=1,", defaulted","")&amp;IF(V21=1,", open","")&amp;"]")</f>
        <v/>
      </c>
    </row>
    <row r="22">
      <c r="A22" s="290" t="n">
        <v>18</v>
      </c>
      <c r="B22" s="291">
        <f>IFERROR(INDEX('Historical Data'!$A$2:$A$1068,MATCH($A22,'Historical Data'!$BE$2:$BE$1068,0)),"")</f>
        <v/>
      </c>
      <c r="C22" s="291">
        <f>IFERROR(INDEX('Historical Data'!$B$2:$B$1068,MATCH($A22,'Historical Data'!$BE$2:$BE$1068,0)),"")</f>
        <v/>
      </c>
      <c r="D22" s="291">
        <f>IFERROR(INDEX('Historical Data'!$D$2:$D$1068,MATCH($A22,'Historical Data'!$BE$2:$BE$1068,0)),"")</f>
        <v/>
      </c>
      <c r="E22" s="292">
        <f>IFERROR(INDEX('Historical Data'!$E$2:$E$1068,MATCH($A22,'Historical Data'!$BE$2:$BE$1068,0)),"")</f>
        <v/>
      </c>
      <c r="F22" s="291">
        <f>IFERROR(INDEX('Historical Data'!$G$2:$G$1068,MATCH($A22,'Historical Data'!$BE$2:$BE$1068,0)),"")</f>
        <v/>
      </c>
      <c r="G22" s="291">
        <f>IFERROR(INDEX('Historical Data'!$Y$2:$Y$1068,MATCH($A22,'Historical Data'!$BE$2:$BE$1068,0)),"")</f>
        <v/>
      </c>
      <c r="H22" s="291">
        <f>IFERROR(INDEX('Historical Data'!$K$2:$K$1068,MATCH($A22,'Historical Data'!$BE$2:$BE$1068,0)),"")</f>
        <v/>
      </c>
      <c r="I22" s="291">
        <f>IFERROR(INDEX('Historical Data'!$J$2:$J$1068,MATCH($A22,'Historical Data'!$BE$2:$BE$1068,0)),"")</f>
        <v/>
      </c>
      <c r="J22" s="291">
        <f>IFERROR(INDEX('Historical Data'!$L$2:$L$1068,MATCH($A22,'Historical Data'!$BE$2:$BE$1068,0)),"")</f>
        <v/>
      </c>
      <c r="K22" s="293">
        <f>IFERROR(INDEX('Historical Data'!$M$2:$M$1068,MATCH($A22,'Historical Data'!$BE$2:$BE$1068,0)),"")</f>
        <v/>
      </c>
      <c r="L22" s="294">
        <f>IFERROR(INDEX('Historical Data'!$N$2:$N$1068,MATCH($A22,'Historical Data'!$BE$2:$BE$1068,0)),"")</f>
        <v/>
      </c>
      <c r="M22" s="294">
        <f>IFERROR(INDEX('Historical Data'!$Q$2:$Q$1068,MATCH($A22,'Historical Data'!$BE$2:$BE$1068,0)),"")</f>
        <v/>
      </c>
      <c r="N22" s="295">
        <f>IFERROR(INDEX('Historical Data'!$S$2:$S$1068,MATCH($A22,'Historical Data'!$BE$2:$BE$1068,0)),"")</f>
        <v/>
      </c>
      <c r="O22" s="294">
        <f>IFERROR(INDEX('Historical Data'!$AJ$2:$AJ$1068,MATCH($A22,'Historical Data'!$BE$2:$BE$1068,0)),"")</f>
        <v/>
      </c>
      <c r="P22" s="294">
        <f>IFERROR(INDEX('Historical Data'!$AK$2:$AK$1068,MATCH($A22,'Historical Data'!$BE$2:$BE$1068,0)),"")</f>
        <v/>
      </c>
      <c r="Q22" s="291">
        <f>IFERROR(INDEX('Historical Data'!$AA$2:$AA$1068,MATCH($A22,'Historical Data'!$BE$2:$BE$1068,0)),"")</f>
        <v/>
      </c>
      <c r="R22" s="291">
        <f>IFERROR(INDEX('Historical Data'!$AB$2:$AB$1068,MATCH($A22,'Historical Data'!$BE$2:$BE$1068,0)),"")</f>
        <v/>
      </c>
      <c r="S22" s="291">
        <f>IFERROR(INDEX('Historical Data'!$AN$2:$AN$1068,MATCH($A22,'Historical Data'!$BE$2:$BE$1068,0)),"")</f>
        <v/>
      </c>
      <c r="T22" s="291">
        <f>IFERROR(INDEX('Historical Data'!$AC$2:$AC$1068,MATCH($A22,'Historical Data'!$BE$2:$BE$1068,0)),"")</f>
        <v/>
      </c>
      <c r="U22" s="291">
        <f>IFERROR(INDEX('Historical Data'!$AE$2:$AE$1068,MATCH($A22,'Historical Data'!$BE$2:$BE$1068,0)),"")</f>
        <v/>
      </c>
      <c r="V22" s="291">
        <f>IFERROR(INDEX('Historical Data'!$AH$2:$AH$1068,MATCH($A22,'Historical Data'!$BE$2:$BE$1068,0)),"")</f>
        <v/>
      </c>
      <c r="W22" s="291">
        <f>IFERROR(INDEX('Historical Data'!$BC$2:$BC$1068,MATCH($A22,'Historical Data'!$BE$2:$BE$1068,0)),"")</f>
        <v/>
      </c>
      <c r="X22" s="290">
        <f>IF(B22="","",IF(W22=1,"NR + industry + position",IF(W22=2,"NR + ISO + position",IF(W22=3,"NR + industry",IF(W22=4,"NR + ISO",IF(W22=5,"NR + position",IF(W22=6,"NR only","book baseline"))))))&amp;"  ["&amp;IF(T22=1,"seasoned","unseasoned")&amp;IF(U22=1,", defaulted","")&amp;IF(V22=1,", open","")&amp;"]")</f>
        <v/>
      </c>
    </row>
    <row r="23">
      <c r="A23" s="290" t="n">
        <v>19</v>
      </c>
      <c r="B23" s="291">
        <f>IFERROR(INDEX('Historical Data'!$A$2:$A$1068,MATCH($A23,'Historical Data'!$BE$2:$BE$1068,0)),"")</f>
        <v/>
      </c>
      <c r="C23" s="291">
        <f>IFERROR(INDEX('Historical Data'!$B$2:$B$1068,MATCH($A23,'Historical Data'!$BE$2:$BE$1068,0)),"")</f>
        <v/>
      </c>
      <c r="D23" s="291">
        <f>IFERROR(INDEX('Historical Data'!$D$2:$D$1068,MATCH($A23,'Historical Data'!$BE$2:$BE$1068,0)),"")</f>
        <v/>
      </c>
      <c r="E23" s="292">
        <f>IFERROR(INDEX('Historical Data'!$E$2:$E$1068,MATCH($A23,'Historical Data'!$BE$2:$BE$1068,0)),"")</f>
        <v/>
      </c>
      <c r="F23" s="291">
        <f>IFERROR(INDEX('Historical Data'!$G$2:$G$1068,MATCH($A23,'Historical Data'!$BE$2:$BE$1068,0)),"")</f>
        <v/>
      </c>
      <c r="G23" s="291">
        <f>IFERROR(INDEX('Historical Data'!$Y$2:$Y$1068,MATCH($A23,'Historical Data'!$BE$2:$BE$1068,0)),"")</f>
        <v/>
      </c>
      <c r="H23" s="291">
        <f>IFERROR(INDEX('Historical Data'!$K$2:$K$1068,MATCH($A23,'Historical Data'!$BE$2:$BE$1068,0)),"")</f>
        <v/>
      </c>
      <c r="I23" s="291">
        <f>IFERROR(INDEX('Historical Data'!$J$2:$J$1068,MATCH($A23,'Historical Data'!$BE$2:$BE$1068,0)),"")</f>
        <v/>
      </c>
      <c r="J23" s="291">
        <f>IFERROR(INDEX('Historical Data'!$L$2:$L$1068,MATCH($A23,'Historical Data'!$BE$2:$BE$1068,0)),"")</f>
        <v/>
      </c>
      <c r="K23" s="293">
        <f>IFERROR(INDEX('Historical Data'!$M$2:$M$1068,MATCH($A23,'Historical Data'!$BE$2:$BE$1068,0)),"")</f>
        <v/>
      </c>
      <c r="L23" s="294">
        <f>IFERROR(INDEX('Historical Data'!$N$2:$N$1068,MATCH($A23,'Historical Data'!$BE$2:$BE$1068,0)),"")</f>
        <v/>
      </c>
      <c r="M23" s="294">
        <f>IFERROR(INDEX('Historical Data'!$Q$2:$Q$1068,MATCH($A23,'Historical Data'!$BE$2:$BE$1068,0)),"")</f>
        <v/>
      </c>
      <c r="N23" s="295">
        <f>IFERROR(INDEX('Historical Data'!$S$2:$S$1068,MATCH($A23,'Historical Data'!$BE$2:$BE$1068,0)),"")</f>
        <v/>
      </c>
      <c r="O23" s="294">
        <f>IFERROR(INDEX('Historical Data'!$AJ$2:$AJ$1068,MATCH($A23,'Historical Data'!$BE$2:$BE$1068,0)),"")</f>
        <v/>
      </c>
      <c r="P23" s="294">
        <f>IFERROR(INDEX('Historical Data'!$AK$2:$AK$1068,MATCH($A23,'Historical Data'!$BE$2:$BE$1068,0)),"")</f>
        <v/>
      </c>
      <c r="Q23" s="291">
        <f>IFERROR(INDEX('Historical Data'!$AA$2:$AA$1068,MATCH($A23,'Historical Data'!$BE$2:$BE$1068,0)),"")</f>
        <v/>
      </c>
      <c r="R23" s="291">
        <f>IFERROR(INDEX('Historical Data'!$AB$2:$AB$1068,MATCH($A23,'Historical Data'!$BE$2:$BE$1068,0)),"")</f>
        <v/>
      </c>
      <c r="S23" s="291">
        <f>IFERROR(INDEX('Historical Data'!$AN$2:$AN$1068,MATCH($A23,'Historical Data'!$BE$2:$BE$1068,0)),"")</f>
        <v/>
      </c>
      <c r="T23" s="291">
        <f>IFERROR(INDEX('Historical Data'!$AC$2:$AC$1068,MATCH($A23,'Historical Data'!$BE$2:$BE$1068,0)),"")</f>
        <v/>
      </c>
      <c r="U23" s="291">
        <f>IFERROR(INDEX('Historical Data'!$AE$2:$AE$1068,MATCH($A23,'Historical Data'!$BE$2:$BE$1068,0)),"")</f>
        <v/>
      </c>
      <c r="V23" s="291">
        <f>IFERROR(INDEX('Historical Data'!$AH$2:$AH$1068,MATCH($A23,'Historical Data'!$BE$2:$BE$1068,0)),"")</f>
        <v/>
      </c>
      <c r="W23" s="291">
        <f>IFERROR(INDEX('Historical Data'!$BC$2:$BC$1068,MATCH($A23,'Historical Data'!$BE$2:$BE$1068,0)),"")</f>
        <v/>
      </c>
      <c r="X23" s="290">
        <f>IF(B23="","",IF(W23=1,"NR + industry + position",IF(W23=2,"NR + ISO + position",IF(W23=3,"NR + industry",IF(W23=4,"NR + ISO",IF(W23=5,"NR + position",IF(W23=6,"NR only","book baseline"))))))&amp;"  ["&amp;IF(T23=1,"seasoned","unseasoned")&amp;IF(U23=1,", defaulted","")&amp;IF(V23=1,", open","")&amp;"]")</f>
        <v/>
      </c>
    </row>
    <row r="24">
      <c r="A24" s="290" t="n">
        <v>20</v>
      </c>
      <c r="B24" s="291">
        <f>IFERROR(INDEX('Historical Data'!$A$2:$A$1068,MATCH($A24,'Historical Data'!$BE$2:$BE$1068,0)),"")</f>
        <v/>
      </c>
      <c r="C24" s="291">
        <f>IFERROR(INDEX('Historical Data'!$B$2:$B$1068,MATCH($A24,'Historical Data'!$BE$2:$BE$1068,0)),"")</f>
        <v/>
      </c>
      <c r="D24" s="291">
        <f>IFERROR(INDEX('Historical Data'!$D$2:$D$1068,MATCH($A24,'Historical Data'!$BE$2:$BE$1068,0)),"")</f>
        <v/>
      </c>
      <c r="E24" s="292">
        <f>IFERROR(INDEX('Historical Data'!$E$2:$E$1068,MATCH($A24,'Historical Data'!$BE$2:$BE$1068,0)),"")</f>
        <v/>
      </c>
      <c r="F24" s="291">
        <f>IFERROR(INDEX('Historical Data'!$G$2:$G$1068,MATCH($A24,'Historical Data'!$BE$2:$BE$1068,0)),"")</f>
        <v/>
      </c>
      <c r="G24" s="291">
        <f>IFERROR(INDEX('Historical Data'!$Y$2:$Y$1068,MATCH($A24,'Historical Data'!$BE$2:$BE$1068,0)),"")</f>
        <v/>
      </c>
      <c r="H24" s="291">
        <f>IFERROR(INDEX('Historical Data'!$K$2:$K$1068,MATCH($A24,'Historical Data'!$BE$2:$BE$1068,0)),"")</f>
        <v/>
      </c>
      <c r="I24" s="291">
        <f>IFERROR(INDEX('Historical Data'!$J$2:$J$1068,MATCH($A24,'Historical Data'!$BE$2:$BE$1068,0)),"")</f>
        <v/>
      </c>
      <c r="J24" s="291">
        <f>IFERROR(INDEX('Historical Data'!$L$2:$L$1068,MATCH($A24,'Historical Data'!$BE$2:$BE$1068,0)),"")</f>
        <v/>
      </c>
      <c r="K24" s="293">
        <f>IFERROR(INDEX('Historical Data'!$M$2:$M$1068,MATCH($A24,'Historical Data'!$BE$2:$BE$1068,0)),"")</f>
        <v/>
      </c>
      <c r="L24" s="294">
        <f>IFERROR(INDEX('Historical Data'!$N$2:$N$1068,MATCH($A24,'Historical Data'!$BE$2:$BE$1068,0)),"")</f>
        <v/>
      </c>
      <c r="M24" s="294">
        <f>IFERROR(INDEX('Historical Data'!$Q$2:$Q$1068,MATCH($A24,'Historical Data'!$BE$2:$BE$1068,0)),"")</f>
        <v/>
      </c>
      <c r="N24" s="295">
        <f>IFERROR(INDEX('Historical Data'!$S$2:$S$1068,MATCH($A24,'Historical Data'!$BE$2:$BE$1068,0)),"")</f>
        <v/>
      </c>
      <c r="O24" s="294">
        <f>IFERROR(INDEX('Historical Data'!$AJ$2:$AJ$1068,MATCH($A24,'Historical Data'!$BE$2:$BE$1068,0)),"")</f>
        <v/>
      </c>
      <c r="P24" s="294">
        <f>IFERROR(INDEX('Historical Data'!$AK$2:$AK$1068,MATCH($A24,'Historical Data'!$BE$2:$BE$1068,0)),"")</f>
        <v/>
      </c>
      <c r="Q24" s="291">
        <f>IFERROR(INDEX('Historical Data'!$AA$2:$AA$1068,MATCH($A24,'Historical Data'!$BE$2:$BE$1068,0)),"")</f>
        <v/>
      </c>
      <c r="R24" s="291">
        <f>IFERROR(INDEX('Historical Data'!$AB$2:$AB$1068,MATCH($A24,'Historical Data'!$BE$2:$BE$1068,0)),"")</f>
        <v/>
      </c>
      <c r="S24" s="291">
        <f>IFERROR(INDEX('Historical Data'!$AN$2:$AN$1068,MATCH($A24,'Historical Data'!$BE$2:$BE$1068,0)),"")</f>
        <v/>
      </c>
      <c r="T24" s="291">
        <f>IFERROR(INDEX('Historical Data'!$AC$2:$AC$1068,MATCH($A24,'Historical Data'!$BE$2:$BE$1068,0)),"")</f>
        <v/>
      </c>
      <c r="U24" s="291">
        <f>IFERROR(INDEX('Historical Data'!$AE$2:$AE$1068,MATCH($A24,'Historical Data'!$BE$2:$BE$1068,0)),"")</f>
        <v/>
      </c>
      <c r="V24" s="291">
        <f>IFERROR(INDEX('Historical Data'!$AH$2:$AH$1068,MATCH($A24,'Historical Data'!$BE$2:$BE$1068,0)),"")</f>
        <v/>
      </c>
      <c r="W24" s="291">
        <f>IFERROR(INDEX('Historical Data'!$BC$2:$BC$1068,MATCH($A24,'Historical Data'!$BE$2:$BE$1068,0)),"")</f>
        <v/>
      </c>
      <c r="X24" s="290">
        <f>IF(B24="","",IF(W24=1,"NR + industry + position",IF(W24=2,"NR + ISO + position",IF(W24=3,"NR + industry",IF(W24=4,"NR + ISO",IF(W24=5,"NR + position",IF(W24=6,"NR only","book baseline"))))))&amp;"  ["&amp;IF(T24=1,"seasoned","unseasoned")&amp;IF(U24=1,", defaulted","")&amp;IF(V24=1,", open","")&amp;"]")</f>
        <v/>
      </c>
    </row>
    <row r="25">
      <c r="A25" s="290" t="n">
        <v>21</v>
      </c>
      <c r="B25" s="291">
        <f>IFERROR(INDEX('Historical Data'!$A$2:$A$1068,MATCH($A25,'Historical Data'!$BE$2:$BE$1068,0)),"")</f>
        <v/>
      </c>
      <c r="C25" s="291">
        <f>IFERROR(INDEX('Historical Data'!$B$2:$B$1068,MATCH($A25,'Historical Data'!$BE$2:$BE$1068,0)),"")</f>
        <v/>
      </c>
      <c r="D25" s="291">
        <f>IFERROR(INDEX('Historical Data'!$D$2:$D$1068,MATCH($A25,'Historical Data'!$BE$2:$BE$1068,0)),"")</f>
        <v/>
      </c>
      <c r="E25" s="292">
        <f>IFERROR(INDEX('Historical Data'!$E$2:$E$1068,MATCH($A25,'Historical Data'!$BE$2:$BE$1068,0)),"")</f>
        <v/>
      </c>
      <c r="F25" s="291">
        <f>IFERROR(INDEX('Historical Data'!$G$2:$G$1068,MATCH($A25,'Historical Data'!$BE$2:$BE$1068,0)),"")</f>
        <v/>
      </c>
      <c r="G25" s="291">
        <f>IFERROR(INDEX('Historical Data'!$Y$2:$Y$1068,MATCH($A25,'Historical Data'!$BE$2:$BE$1068,0)),"")</f>
        <v/>
      </c>
      <c r="H25" s="291">
        <f>IFERROR(INDEX('Historical Data'!$K$2:$K$1068,MATCH($A25,'Historical Data'!$BE$2:$BE$1068,0)),"")</f>
        <v/>
      </c>
      <c r="I25" s="291">
        <f>IFERROR(INDEX('Historical Data'!$J$2:$J$1068,MATCH($A25,'Historical Data'!$BE$2:$BE$1068,0)),"")</f>
        <v/>
      </c>
      <c r="J25" s="291">
        <f>IFERROR(INDEX('Historical Data'!$L$2:$L$1068,MATCH($A25,'Historical Data'!$BE$2:$BE$1068,0)),"")</f>
        <v/>
      </c>
      <c r="K25" s="293">
        <f>IFERROR(INDEX('Historical Data'!$M$2:$M$1068,MATCH($A25,'Historical Data'!$BE$2:$BE$1068,0)),"")</f>
        <v/>
      </c>
      <c r="L25" s="294">
        <f>IFERROR(INDEX('Historical Data'!$N$2:$N$1068,MATCH($A25,'Historical Data'!$BE$2:$BE$1068,0)),"")</f>
        <v/>
      </c>
      <c r="M25" s="294">
        <f>IFERROR(INDEX('Historical Data'!$Q$2:$Q$1068,MATCH($A25,'Historical Data'!$BE$2:$BE$1068,0)),"")</f>
        <v/>
      </c>
      <c r="N25" s="295">
        <f>IFERROR(INDEX('Historical Data'!$S$2:$S$1068,MATCH($A25,'Historical Data'!$BE$2:$BE$1068,0)),"")</f>
        <v/>
      </c>
      <c r="O25" s="294">
        <f>IFERROR(INDEX('Historical Data'!$AJ$2:$AJ$1068,MATCH($A25,'Historical Data'!$BE$2:$BE$1068,0)),"")</f>
        <v/>
      </c>
      <c r="P25" s="294">
        <f>IFERROR(INDEX('Historical Data'!$AK$2:$AK$1068,MATCH($A25,'Historical Data'!$BE$2:$BE$1068,0)),"")</f>
        <v/>
      </c>
      <c r="Q25" s="291">
        <f>IFERROR(INDEX('Historical Data'!$AA$2:$AA$1068,MATCH($A25,'Historical Data'!$BE$2:$BE$1068,0)),"")</f>
        <v/>
      </c>
      <c r="R25" s="291">
        <f>IFERROR(INDEX('Historical Data'!$AB$2:$AB$1068,MATCH($A25,'Historical Data'!$BE$2:$BE$1068,0)),"")</f>
        <v/>
      </c>
      <c r="S25" s="291">
        <f>IFERROR(INDEX('Historical Data'!$AN$2:$AN$1068,MATCH($A25,'Historical Data'!$BE$2:$BE$1068,0)),"")</f>
        <v/>
      </c>
      <c r="T25" s="291">
        <f>IFERROR(INDEX('Historical Data'!$AC$2:$AC$1068,MATCH($A25,'Historical Data'!$BE$2:$BE$1068,0)),"")</f>
        <v/>
      </c>
      <c r="U25" s="291">
        <f>IFERROR(INDEX('Historical Data'!$AE$2:$AE$1068,MATCH($A25,'Historical Data'!$BE$2:$BE$1068,0)),"")</f>
        <v/>
      </c>
      <c r="V25" s="291">
        <f>IFERROR(INDEX('Historical Data'!$AH$2:$AH$1068,MATCH($A25,'Historical Data'!$BE$2:$BE$1068,0)),"")</f>
        <v/>
      </c>
      <c r="W25" s="291">
        <f>IFERROR(INDEX('Historical Data'!$BC$2:$BC$1068,MATCH($A25,'Historical Data'!$BE$2:$BE$1068,0)),"")</f>
        <v/>
      </c>
      <c r="X25" s="290">
        <f>IF(B25="","",IF(W25=1,"NR + industry + position",IF(W25=2,"NR + ISO + position",IF(W25=3,"NR + industry",IF(W25=4,"NR + ISO",IF(W25=5,"NR + position",IF(W25=6,"NR only","book baseline"))))))&amp;"  ["&amp;IF(T25=1,"seasoned","unseasoned")&amp;IF(U25=1,", defaulted","")&amp;IF(V25=1,", open","")&amp;"]")</f>
        <v/>
      </c>
    </row>
    <row r="26">
      <c r="A26" s="290" t="n">
        <v>22</v>
      </c>
      <c r="B26" s="291">
        <f>IFERROR(INDEX('Historical Data'!$A$2:$A$1068,MATCH($A26,'Historical Data'!$BE$2:$BE$1068,0)),"")</f>
        <v/>
      </c>
      <c r="C26" s="291">
        <f>IFERROR(INDEX('Historical Data'!$B$2:$B$1068,MATCH($A26,'Historical Data'!$BE$2:$BE$1068,0)),"")</f>
        <v/>
      </c>
      <c r="D26" s="291">
        <f>IFERROR(INDEX('Historical Data'!$D$2:$D$1068,MATCH($A26,'Historical Data'!$BE$2:$BE$1068,0)),"")</f>
        <v/>
      </c>
      <c r="E26" s="292">
        <f>IFERROR(INDEX('Historical Data'!$E$2:$E$1068,MATCH($A26,'Historical Data'!$BE$2:$BE$1068,0)),"")</f>
        <v/>
      </c>
      <c r="F26" s="291">
        <f>IFERROR(INDEX('Historical Data'!$G$2:$G$1068,MATCH($A26,'Historical Data'!$BE$2:$BE$1068,0)),"")</f>
        <v/>
      </c>
      <c r="G26" s="291">
        <f>IFERROR(INDEX('Historical Data'!$Y$2:$Y$1068,MATCH($A26,'Historical Data'!$BE$2:$BE$1068,0)),"")</f>
        <v/>
      </c>
      <c r="H26" s="291">
        <f>IFERROR(INDEX('Historical Data'!$K$2:$K$1068,MATCH($A26,'Historical Data'!$BE$2:$BE$1068,0)),"")</f>
        <v/>
      </c>
      <c r="I26" s="291">
        <f>IFERROR(INDEX('Historical Data'!$J$2:$J$1068,MATCH($A26,'Historical Data'!$BE$2:$BE$1068,0)),"")</f>
        <v/>
      </c>
      <c r="J26" s="291">
        <f>IFERROR(INDEX('Historical Data'!$L$2:$L$1068,MATCH($A26,'Historical Data'!$BE$2:$BE$1068,0)),"")</f>
        <v/>
      </c>
      <c r="K26" s="293">
        <f>IFERROR(INDEX('Historical Data'!$M$2:$M$1068,MATCH($A26,'Historical Data'!$BE$2:$BE$1068,0)),"")</f>
        <v/>
      </c>
      <c r="L26" s="294">
        <f>IFERROR(INDEX('Historical Data'!$N$2:$N$1068,MATCH($A26,'Historical Data'!$BE$2:$BE$1068,0)),"")</f>
        <v/>
      </c>
      <c r="M26" s="294">
        <f>IFERROR(INDEX('Historical Data'!$Q$2:$Q$1068,MATCH($A26,'Historical Data'!$BE$2:$BE$1068,0)),"")</f>
        <v/>
      </c>
      <c r="N26" s="295">
        <f>IFERROR(INDEX('Historical Data'!$S$2:$S$1068,MATCH($A26,'Historical Data'!$BE$2:$BE$1068,0)),"")</f>
        <v/>
      </c>
      <c r="O26" s="294">
        <f>IFERROR(INDEX('Historical Data'!$AJ$2:$AJ$1068,MATCH($A26,'Historical Data'!$BE$2:$BE$1068,0)),"")</f>
        <v/>
      </c>
      <c r="P26" s="294">
        <f>IFERROR(INDEX('Historical Data'!$AK$2:$AK$1068,MATCH($A26,'Historical Data'!$BE$2:$BE$1068,0)),"")</f>
        <v/>
      </c>
      <c r="Q26" s="291">
        <f>IFERROR(INDEX('Historical Data'!$AA$2:$AA$1068,MATCH($A26,'Historical Data'!$BE$2:$BE$1068,0)),"")</f>
        <v/>
      </c>
      <c r="R26" s="291">
        <f>IFERROR(INDEX('Historical Data'!$AB$2:$AB$1068,MATCH($A26,'Historical Data'!$BE$2:$BE$1068,0)),"")</f>
        <v/>
      </c>
      <c r="S26" s="291">
        <f>IFERROR(INDEX('Historical Data'!$AN$2:$AN$1068,MATCH($A26,'Historical Data'!$BE$2:$BE$1068,0)),"")</f>
        <v/>
      </c>
      <c r="T26" s="291">
        <f>IFERROR(INDEX('Historical Data'!$AC$2:$AC$1068,MATCH($A26,'Historical Data'!$BE$2:$BE$1068,0)),"")</f>
        <v/>
      </c>
      <c r="U26" s="291">
        <f>IFERROR(INDEX('Historical Data'!$AE$2:$AE$1068,MATCH($A26,'Historical Data'!$BE$2:$BE$1068,0)),"")</f>
        <v/>
      </c>
      <c r="V26" s="291">
        <f>IFERROR(INDEX('Historical Data'!$AH$2:$AH$1068,MATCH($A26,'Historical Data'!$BE$2:$BE$1068,0)),"")</f>
        <v/>
      </c>
      <c r="W26" s="291">
        <f>IFERROR(INDEX('Historical Data'!$BC$2:$BC$1068,MATCH($A26,'Historical Data'!$BE$2:$BE$1068,0)),"")</f>
        <v/>
      </c>
      <c r="X26" s="290">
        <f>IF(B26="","",IF(W26=1,"NR + industry + position",IF(W26=2,"NR + ISO + position",IF(W26=3,"NR + industry",IF(W26=4,"NR + ISO",IF(W26=5,"NR + position",IF(W26=6,"NR only","book baseline"))))))&amp;"  ["&amp;IF(T26=1,"seasoned","unseasoned")&amp;IF(U26=1,", defaulted","")&amp;IF(V26=1,", open","")&amp;"]")</f>
        <v/>
      </c>
    </row>
    <row r="27">
      <c r="A27" s="290" t="n">
        <v>23</v>
      </c>
      <c r="B27" s="291">
        <f>IFERROR(INDEX('Historical Data'!$A$2:$A$1068,MATCH($A27,'Historical Data'!$BE$2:$BE$1068,0)),"")</f>
        <v/>
      </c>
      <c r="C27" s="291">
        <f>IFERROR(INDEX('Historical Data'!$B$2:$B$1068,MATCH($A27,'Historical Data'!$BE$2:$BE$1068,0)),"")</f>
        <v/>
      </c>
      <c r="D27" s="291">
        <f>IFERROR(INDEX('Historical Data'!$D$2:$D$1068,MATCH($A27,'Historical Data'!$BE$2:$BE$1068,0)),"")</f>
        <v/>
      </c>
      <c r="E27" s="292">
        <f>IFERROR(INDEX('Historical Data'!$E$2:$E$1068,MATCH($A27,'Historical Data'!$BE$2:$BE$1068,0)),"")</f>
        <v/>
      </c>
      <c r="F27" s="291">
        <f>IFERROR(INDEX('Historical Data'!$G$2:$G$1068,MATCH($A27,'Historical Data'!$BE$2:$BE$1068,0)),"")</f>
        <v/>
      </c>
      <c r="G27" s="291">
        <f>IFERROR(INDEX('Historical Data'!$Y$2:$Y$1068,MATCH($A27,'Historical Data'!$BE$2:$BE$1068,0)),"")</f>
        <v/>
      </c>
      <c r="H27" s="291">
        <f>IFERROR(INDEX('Historical Data'!$K$2:$K$1068,MATCH($A27,'Historical Data'!$BE$2:$BE$1068,0)),"")</f>
        <v/>
      </c>
      <c r="I27" s="291">
        <f>IFERROR(INDEX('Historical Data'!$J$2:$J$1068,MATCH($A27,'Historical Data'!$BE$2:$BE$1068,0)),"")</f>
        <v/>
      </c>
      <c r="J27" s="291">
        <f>IFERROR(INDEX('Historical Data'!$L$2:$L$1068,MATCH($A27,'Historical Data'!$BE$2:$BE$1068,0)),"")</f>
        <v/>
      </c>
      <c r="K27" s="293">
        <f>IFERROR(INDEX('Historical Data'!$M$2:$M$1068,MATCH($A27,'Historical Data'!$BE$2:$BE$1068,0)),"")</f>
        <v/>
      </c>
      <c r="L27" s="294">
        <f>IFERROR(INDEX('Historical Data'!$N$2:$N$1068,MATCH($A27,'Historical Data'!$BE$2:$BE$1068,0)),"")</f>
        <v/>
      </c>
      <c r="M27" s="294">
        <f>IFERROR(INDEX('Historical Data'!$Q$2:$Q$1068,MATCH($A27,'Historical Data'!$BE$2:$BE$1068,0)),"")</f>
        <v/>
      </c>
      <c r="N27" s="295">
        <f>IFERROR(INDEX('Historical Data'!$S$2:$S$1068,MATCH($A27,'Historical Data'!$BE$2:$BE$1068,0)),"")</f>
        <v/>
      </c>
      <c r="O27" s="294">
        <f>IFERROR(INDEX('Historical Data'!$AJ$2:$AJ$1068,MATCH($A27,'Historical Data'!$BE$2:$BE$1068,0)),"")</f>
        <v/>
      </c>
      <c r="P27" s="294">
        <f>IFERROR(INDEX('Historical Data'!$AK$2:$AK$1068,MATCH($A27,'Historical Data'!$BE$2:$BE$1068,0)),"")</f>
        <v/>
      </c>
      <c r="Q27" s="291">
        <f>IFERROR(INDEX('Historical Data'!$AA$2:$AA$1068,MATCH($A27,'Historical Data'!$BE$2:$BE$1068,0)),"")</f>
        <v/>
      </c>
      <c r="R27" s="291">
        <f>IFERROR(INDEX('Historical Data'!$AB$2:$AB$1068,MATCH($A27,'Historical Data'!$BE$2:$BE$1068,0)),"")</f>
        <v/>
      </c>
      <c r="S27" s="291">
        <f>IFERROR(INDEX('Historical Data'!$AN$2:$AN$1068,MATCH($A27,'Historical Data'!$BE$2:$BE$1068,0)),"")</f>
        <v/>
      </c>
      <c r="T27" s="291">
        <f>IFERROR(INDEX('Historical Data'!$AC$2:$AC$1068,MATCH($A27,'Historical Data'!$BE$2:$BE$1068,0)),"")</f>
        <v/>
      </c>
      <c r="U27" s="291">
        <f>IFERROR(INDEX('Historical Data'!$AE$2:$AE$1068,MATCH($A27,'Historical Data'!$BE$2:$BE$1068,0)),"")</f>
        <v/>
      </c>
      <c r="V27" s="291">
        <f>IFERROR(INDEX('Historical Data'!$AH$2:$AH$1068,MATCH($A27,'Historical Data'!$BE$2:$BE$1068,0)),"")</f>
        <v/>
      </c>
      <c r="W27" s="291">
        <f>IFERROR(INDEX('Historical Data'!$BC$2:$BC$1068,MATCH($A27,'Historical Data'!$BE$2:$BE$1068,0)),"")</f>
        <v/>
      </c>
      <c r="X27" s="290">
        <f>IF(B27="","",IF(W27=1,"NR + industry + position",IF(W27=2,"NR + ISO + position",IF(W27=3,"NR + industry",IF(W27=4,"NR + ISO",IF(W27=5,"NR + position",IF(W27=6,"NR only","book baseline"))))))&amp;"  ["&amp;IF(T27=1,"seasoned","unseasoned")&amp;IF(U27=1,", defaulted","")&amp;IF(V27=1,", open","")&amp;"]")</f>
        <v/>
      </c>
    </row>
    <row r="28">
      <c r="A28" s="290" t="n">
        <v>24</v>
      </c>
      <c r="B28" s="291">
        <f>IFERROR(INDEX('Historical Data'!$A$2:$A$1068,MATCH($A28,'Historical Data'!$BE$2:$BE$1068,0)),"")</f>
        <v/>
      </c>
      <c r="C28" s="291">
        <f>IFERROR(INDEX('Historical Data'!$B$2:$B$1068,MATCH($A28,'Historical Data'!$BE$2:$BE$1068,0)),"")</f>
        <v/>
      </c>
      <c r="D28" s="291">
        <f>IFERROR(INDEX('Historical Data'!$D$2:$D$1068,MATCH($A28,'Historical Data'!$BE$2:$BE$1068,0)),"")</f>
        <v/>
      </c>
      <c r="E28" s="292">
        <f>IFERROR(INDEX('Historical Data'!$E$2:$E$1068,MATCH($A28,'Historical Data'!$BE$2:$BE$1068,0)),"")</f>
        <v/>
      </c>
      <c r="F28" s="291">
        <f>IFERROR(INDEX('Historical Data'!$G$2:$G$1068,MATCH($A28,'Historical Data'!$BE$2:$BE$1068,0)),"")</f>
        <v/>
      </c>
      <c r="G28" s="291">
        <f>IFERROR(INDEX('Historical Data'!$Y$2:$Y$1068,MATCH($A28,'Historical Data'!$BE$2:$BE$1068,0)),"")</f>
        <v/>
      </c>
      <c r="H28" s="291">
        <f>IFERROR(INDEX('Historical Data'!$K$2:$K$1068,MATCH($A28,'Historical Data'!$BE$2:$BE$1068,0)),"")</f>
        <v/>
      </c>
      <c r="I28" s="291">
        <f>IFERROR(INDEX('Historical Data'!$J$2:$J$1068,MATCH($A28,'Historical Data'!$BE$2:$BE$1068,0)),"")</f>
        <v/>
      </c>
      <c r="J28" s="291">
        <f>IFERROR(INDEX('Historical Data'!$L$2:$L$1068,MATCH($A28,'Historical Data'!$BE$2:$BE$1068,0)),"")</f>
        <v/>
      </c>
      <c r="K28" s="293">
        <f>IFERROR(INDEX('Historical Data'!$M$2:$M$1068,MATCH($A28,'Historical Data'!$BE$2:$BE$1068,0)),"")</f>
        <v/>
      </c>
      <c r="L28" s="294">
        <f>IFERROR(INDEX('Historical Data'!$N$2:$N$1068,MATCH($A28,'Historical Data'!$BE$2:$BE$1068,0)),"")</f>
        <v/>
      </c>
      <c r="M28" s="294">
        <f>IFERROR(INDEX('Historical Data'!$Q$2:$Q$1068,MATCH($A28,'Historical Data'!$BE$2:$BE$1068,0)),"")</f>
        <v/>
      </c>
      <c r="N28" s="295">
        <f>IFERROR(INDEX('Historical Data'!$S$2:$S$1068,MATCH($A28,'Historical Data'!$BE$2:$BE$1068,0)),"")</f>
        <v/>
      </c>
      <c r="O28" s="294">
        <f>IFERROR(INDEX('Historical Data'!$AJ$2:$AJ$1068,MATCH($A28,'Historical Data'!$BE$2:$BE$1068,0)),"")</f>
        <v/>
      </c>
      <c r="P28" s="294">
        <f>IFERROR(INDEX('Historical Data'!$AK$2:$AK$1068,MATCH($A28,'Historical Data'!$BE$2:$BE$1068,0)),"")</f>
        <v/>
      </c>
      <c r="Q28" s="291">
        <f>IFERROR(INDEX('Historical Data'!$AA$2:$AA$1068,MATCH($A28,'Historical Data'!$BE$2:$BE$1068,0)),"")</f>
        <v/>
      </c>
      <c r="R28" s="291">
        <f>IFERROR(INDEX('Historical Data'!$AB$2:$AB$1068,MATCH($A28,'Historical Data'!$BE$2:$BE$1068,0)),"")</f>
        <v/>
      </c>
      <c r="S28" s="291">
        <f>IFERROR(INDEX('Historical Data'!$AN$2:$AN$1068,MATCH($A28,'Historical Data'!$BE$2:$BE$1068,0)),"")</f>
        <v/>
      </c>
      <c r="T28" s="291">
        <f>IFERROR(INDEX('Historical Data'!$AC$2:$AC$1068,MATCH($A28,'Historical Data'!$BE$2:$BE$1068,0)),"")</f>
        <v/>
      </c>
      <c r="U28" s="291">
        <f>IFERROR(INDEX('Historical Data'!$AE$2:$AE$1068,MATCH($A28,'Historical Data'!$BE$2:$BE$1068,0)),"")</f>
        <v/>
      </c>
      <c r="V28" s="291">
        <f>IFERROR(INDEX('Historical Data'!$AH$2:$AH$1068,MATCH($A28,'Historical Data'!$BE$2:$BE$1068,0)),"")</f>
        <v/>
      </c>
      <c r="W28" s="291">
        <f>IFERROR(INDEX('Historical Data'!$BC$2:$BC$1068,MATCH($A28,'Historical Data'!$BE$2:$BE$1068,0)),"")</f>
        <v/>
      </c>
      <c r="X28" s="290">
        <f>IF(B28="","",IF(W28=1,"NR + industry + position",IF(W28=2,"NR + ISO + position",IF(W28=3,"NR + industry",IF(W28=4,"NR + ISO",IF(W28=5,"NR + position",IF(W28=6,"NR only","book baseline"))))))&amp;"  ["&amp;IF(T28=1,"seasoned","unseasoned")&amp;IF(U28=1,", defaulted","")&amp;IF(V28=1,", open","")&amp;"]")</f>
        <v/>
      </c>
    </row>
    <row r="29">
      <c r="A29" s="290" t="n">
        <v>25</v>
      </c>
      <c r="B29" s="291">
        <f>IFERROR(INDEX('Historical Data'!$A$2:$A$1068,MATCH($A29,'Historical Data'!$BE$2:$BE$1068,0)),"")</f>
        <v/>
      </c>
      <c r="C29" s="291">
        <f>IFERROR(INDEX('Historical Data'!$B$2:$B$1068,MATCH($A29,'Historical Data'!$BE$2:$BE$1068,0)),"")</f>
        <v/>
      </c>
      <c r="D29" s="291">
        <f>IFERROR(INDEX('Historical Data'!$D$2:$D$1068,MATCH($A29,'Historical Data'!$BE$2:$BE$1068,0)),"")</f>
        <v/>
      </c>
      <c r="E29" s="292">
        <f>IFERROR(INDEX('Historical Data'!$E$2:$E$1068,MATCH($A29,'Historical Data'!$BE$2:$BE$1068,0)),"")</f>
        <v/>
      </c>
      <c r="F29" s="291">
        <f>IFERROR(INDEX('Historical Data'!$G$2:$G$1068,MATCH($A29,'Historical Data'!$BE$2:$BE$1068,0)),"")</f>
        <v/>
      </c>
      <c r="G29" s="291">
        <f>IFERROR(INDEX('Historical Data'!$Y$2:$Y$1068,MATCH($A29,'Historical Data'!$BE$2:$BE$1068,0)),"")</f>
        <v/>
      </c>
      <c r="H29" s="291">
        <f>IFERROR(INDEX('Historical Data'!$K$2:$K$1068,MATCH($A29,'Historical Data'!$BE$2:$BE$1068,0)),"")</f>
        <v/>
      </c>
      <c r="I29" s="291">
        <f>IFERROR(INDEX('Historical Data'!$J$2:$J$1068,MATCH($A29,'Historical Data'!$BE$2:$BE$1068,0)),"")</f>
        <v/>
      </c>
      <c r="J29" s="291">
        <f>IFERROR(INDEX('Historical Data'!$L$2:$L$1068,MATCH($A29,'Historical Data'!$BE$2:$BE$1068,0)),"")</f>
        <v/>
      </c>
      <c r="K29" s="293">
        <f>IFERROR(INDEX('Historical Data'!$M$2:$M$1068,MATCH($A29,'Historical Data'!$BE$2:$BE$1068,0)),"")</f>
        <v/>
      </c>
      <c r="L29" s="294">
        <f>IFERROR(INDEX('Historical Data'!$N$2:$N$1068,MATCH($A29,'Historical Data'!$BE$2:$BE$1068,0)),"")</f>
        <v/>
      </c>
      <c r="M29" s="294">
        <f>IFERROR(INDEX('Historical Data'!$Q$2:$Q$1068,MATCH($A29,'Historical Data'!$BE$2:$BE$1068,0)),"")</f>
        <v/>
      </c>
      <c r="N29" s="295">
        <f>IFERROR(INDEX('Historical Data'!$S$2:$S$1068,MATCH($A29,'Historical Data'!$BE$2:$BE$1068,0)),"")</f>
        <v/>
      </c>
      <c r="O29" s="294">
        <f>IFERROR(INDEX('Historical Data'!$AJ$2:$AJ$1068,MATCH($A29,'Historical Data'!$BE$2:$BE$1068,0)),"")</f>
        <v/>
      </c>
      <c r="P29" s="294">
        <f>IFERROR(INDEX('Historical Data'!$AK$2:$AK$1068,MATCH($A29,'Historical Data'!$BE$2:$BE$1068,0)),"")</f>
        <v/>
      </c>
      <c r="Q29" s="291">
        <f>IFERROR(INDEX('Historical Data'!$AA$2:$AA$1068,MATCH($A29,'Historical Data'!$BE$2:$BE$1068,0)),"")</f>
        <v/>
      </c>
      <c r="R29" s="291">
        <f>IFERROR(INDEX('Historical Data'!$AB$2:$AB$1068,MATCH($A29,'Historical Data'!$BE$2:$BE$1068,0)),"")</f>
        <v/>
      </c>
      <c r="S29" s="291">
        <f>IFERROR(INDEX('Historical Data'!$AN$2:$AN$1068,MATCH($A29,'Historical Data'!$BE$2:$BE$1068,0)),"")</f>
        <v/>
      </c>
      <c r="T29" s="291">
        <f>IFERROR(INDEX('Historical Data'!$AC$2:$AC$1068,MATCH($A29,'Historical Data'!$BE$2:$BE$1068,0)),"")</f>
        <v/>
      </c>
      <c r="U29" s="291">
        <f>IFERROR(INDEX('Historical Data'!$AE$2:$AE$1068,MATCH($A29,'Historical Data'!$BE$2:$BE$1068,0)),"")</f>
        <v/>
      </c>
      <c r="V29" s="291">
        <f>IFERROR(INDEX('Historical Data'!$AH$2:$AH$1068,MATCH($A29,'Historical Data'!$BE$2:$BE$1068,0)),"")</f>
        <v/>
      </c>
      <c r="W29" s="291">
        <f>IFERROR(INDEX('Historical Data'!$BC$2:$BC$1068,MATCH($A29,'Historical Data'!$BE$2:$BE$1068,0)),"")</f>
        <v/>
      </c>
      <c r="X29" s="290">
        <f>IF(B29="","",IF(W29=1,"NR + industry + position",IF(W29=2,"NR + ISO + position",IF(W29=3,"NR + industry",IF(W29=4,"NR + ISO",IF(W29=5,"NR + position",IF(W29=6,"NR only","book baseline"))))))&amp;"  ["&amp;IF(T29=1,"seasoned","unseasoned")&amp;IF(U29=1,", defaulted","")&amp;IF(V29=1,", open","")&amp;"]")</f>
        <v/>
      </c>
    </row>
    <row r="30">
      <c r="A30" s="290" t="n">
        <v>26</v>
      </c>
      <c r="B30" s="291">
        <f>IFERROR(INDEX('Historical Data'!$A$2:$A$1068,MATCH($A30,'Historical Data'!$BE$2:$BE$1068,0)),"")</f>
        <v/>
      </c>
      <c r="C30" s="291">
        <f>IFERROR(INDEX('Historical Data'!$B$2:$B$1068,MATCH($A30,'Historical Data'!$BE$2:$BE$1068,0)),"")</f>
        <v/>
      </c>
      <c r="D30" s="291">
        <f>IFERROR(INDEX('Historical Data'!$D$2:$D$1068,MATCH($A30,'Historical Data'!$BE$2:$BE$1068,0)),"")</f>
        <v/>
      </c>
      <c r="E30" s="292">
        <f>IFERROR(INDEX('Historical Data'!$E$2:$E$1068,MATCH($A30,'Historical Data'!$BE$2:$BE$1068,0)),"")</f>
        <v/>
      </c>
      <c r="F30" s="291">
        <f>IFERROR(INDEX('Historical Data'!$G$2:$G$1068,MATCH($A30,'Historical Data'!$BE$2:$BE$1068,0)),"")</f>
        <v/>
      </c>
      <c r="G30" s="291">
        <f>IFERROR(INDEX('Historical Data'!$Y$2:$Y$1068,MATCH($A30,'Historical Data'!$BE$2:$BE$1068,0)),"")</f>
        <v/>
      </c>
      <c r="H30" s="291">
        <f>IFERROR(INDEX('Historical Data'!$K$2:$K$1068,MATCH($A30,'Historical Data'!$BE$2:$BE$1068,0)),"")</f>
        <v/>
      </c>
      <c r="I30" s="291">
        <f>IFERROR(INDEX('Historical Data'!$J$2:$J$1068,MATCH($A30,'Historical Data'!$BE$2:$BE$1068,0)),"")</f>
        <v/>
      </c>
      <c r="J30" s="291">
        <f>IFERROR(INDEX('Historical Data'!$L$2:$L$1068,MATCH($A30,'Historical Data'!$BE$2:$BE$1068,0)),"")</f>
        <v/>
      </c>
      <c r="K30" s="293">
        <f>IFERROR(INDEX('Historical Data'!$M$2:$M$1068,MATCH($A30,'Historical Data'!$BE$2:$BE$1068,0)),"")</f>
        <v/>
      </c>
      <c r="L30" s="294">
        <f>IFERROR(INDEX('Historical Data'!$N$2:$N$1068,MATCH($A30,'Historical Data'!$BE$2:$BE$1068,0)),"")</f>
        <v/>
      </c>
      <c r="M30" s="294">
        <f>IFERROR(INDEX('Historical Data'!$Q$2:$Q$1068,MATCH($A30,'Historical Data'!$BE$2:$BE$1068,0)),"")</f>
        <v/>
      </c>
      <c r="N30" s="295">
        <f>IFERROR(INDEX('Historical Data'!$S$2:$S$1068,MATCH($A30,'Historical Data'!$BE$2:$BE$1068,0)),"")</f>
        <v/>
      </c>
      <c r="O30" s="294">
        <f>IFERROR(INDEX('Historical Data'!$AJ$2:$AJ$1068,MATCH($A30,'Historical Data'!$BE$2:$BE$1068,0)),"")</f>
        <v/>
      </c>
      <c r="P30" s="294">
        <f>IFERROR(INDEX('Historical Data'!$AK$2:$AK$1068,MATCH($A30,'Historical Data'!$BE$2:$BE$1068,0)),"")</f>
        <v/>
      </c>
      <c r="Q30" s="291">
        <f>IFERROR(INDEX('Historical Data'!$AA$2:$AA$1068,MATCH($A30,'Historical Data'!$BE$2:$BE$1068,0)),"")</f>
        <v/>
      </c>
      <c r="R30" s="291">
        <f>IFERROR(INDEX('Historical Data'!$AB$2:$AB$1068,MATCH($A30,'Historical Data'!$BE$2:$BE$1068,0)),"")</f>
        <v/>
      </c>
      <c r="S30" s="291">
        <f>IFERROR(INDEX('Historical Data'!$AN$2:$AN$1068,MATCH($A30,'Historical Data'!$BE$2:$BE$1068,0)),"")</f>
        <v/>
      </c>
      <c r="T30" s="291">
        <f>IFERROR(INDEX('Historical Data'!$AC$2:$AC$1068,MATCH($A30,'Historical Data'!$BE$2:$BE$1068,0)),"")</f>
        <v/>
      </c>
      <c r="U30" s="291">
        <f>IFERROR(INDEX('Historical Data'!$AE$2:$AE$1068,MATCH($A30,'Historical Data'!$BE$2:$BE$1068,0)),"")</f>
        <v/>
      </c>
      <c r="V30" s="291">
        <f>IFERROR(INDEX('Historical Data'!$AH$2:$AH$1068,MATCH($A30,'Historical Data'!$BE$2:$BE$1068,0)),"")</f>
        <v/>
      </c>
      <c r="W30" s="291">
        <f>IFERROR(INDEX('Historical Data'!$BC$2:$BC$1068,MATCH($A30,'Historical Data'!$BE$2:$BE$1068,0)),"")</f>
        <v/>
      </c>
      <c r="X30" s="290">
        <f>IF(B30="","",IF(W30=1,"NR + industry + position",IF(W30=2,"NR + ISO + position",IF(W30=3,"NR + industry",IF(W30=4,"NR + ISO",IF(W30=5,"NR + position",IF(W30=6,"NR only","book baseline"))))))&amp;"  ["&amp;IF(T30=1,"seasoned","unseasoned")&amp;IF(U30=1,", defaulted","")&amp;IF(V30=1,", open","")&amp;"]")</f>
        <v/>
      </c>
    </row>
    <row r="31">
      <c r="A31" s="290" t="n">
        <v>27</v>
      </c>
      <c r="B31" s="291">
        <f>IFERROR(INDEX('Historical Data'!$A$2:$A$1068,MATCH($A31,'Historical Data'!$BE$2:$BE$1068,0)),"")</f>
        <v/>
      </c>
      <c r="C31" s="291">
        <f>IFERROR(INDEX('Historical Data'!$B$2:$B$1068,MATCH($A31,'Historical Data'!$BE$2:$BE$1068,0)),"")</f>
        <v/>
      </c>
      <c r="D31" s="291">
        <f>IFERROR(INDEX('Historical Data'!$D$2:$D$1068,MATCH($A31,'Historical Data'!$BE$2:$BE$1068,0)),"")</f>
        <v/>
      </c>
      <c r="E31" s="292">
        <f>IFERROR(INDEX('Historical Data'!$E$2:$E$1068,MATCH($A31,'Historical Data'!$BE$2:$BE$1068,0)),"")</f>
        <v/>
      </c>
      <c r="F31" s="291">
        <f>IFERROR(INDEX('Historical Data'!$G$2:$G$1068,MATCH($A31,'Historical Data'!$BE$2:$BE$1068,0)),"")</f>
        <v/>
      </c>
      <c r="G31" s="291">
        <f>IFERROR(INDEX('Historical Data'!$Y$2:$Y$1068,MATCH($A31,'Historical Data'!$BE$2:$BE$1068,0)),"")</f>
        <v/>
      </c>
      <c r="H31" s="291">
        <f>IFERROR(INDEX('Historical Data'!$K$2:$K$1068,MATCH($A31,'Historical Data'!$BE$2:$BE$1068,0)),"")</f>
        <v/>
      </c>
      <c r="I31" s="291">
        <f>IFERROR(INDEX('Historical Data'!$J$2:$J$1068,MATCH($A31,'Historical Data'!$BE$2:$BE$1068,0)),"")</f>
        <v/>
      </c>
      <c r="J31" s="291">
        <f>IFERROR(INDEX('Historical Data'!$L$2:$L$1068,MATCH($A31,'Historical Data'!$BE$2:$BE$1068,0)),"")</f>
        <v/>
      </c>
      <c r="K31" s="293">
        <f>IFERROR(INDEX('Historical Data'!$M$2:$M$1068,MATCH($A31,'Historical Data'!$BE$2:$BE$1068,0)),"")</f>
        <v/>
      </c>
      <c r="L31" s="294">
        <f>IFERROR(INDEX('Historical Data'!$N$2:$N$1068,MATCH($A31,'Historical Data'!$BE$2:$BE$1068,0)),"")</f>
        <v/>
      </c>
      <c r="M31" s="294">
        <f>IFERROR(INDEX('Historical Data'!$Q$2:$Q$1068,MATCH($A31,'Historical Data'!$BE$2:$BE$1068,0)),"")</f>
        <v/>
      </c>
      <c r="N31" s="295">
        <f>IFERROR(INDEX('Historical Data'!$S$2:$S$1068,MATCH($A31,'Historical Data'!$BE$2:$BE$1068,0)),"")</f>
        <v/>
      </c>
      <c r="O31" s="294">
        <f>IFERROR(INDEX('Historical Data'!$AJ$2:$AJ$1068,MATCH($A31,'Historical Data'!$BE$2:$BE$1068,0)),"")</f>
        <v/>
      </c>
      <c r="P31" s="294">
        <f>IFERROR(INDEX('Historical Data'!$AK$2:$AK$1068,MATCH($A31,'Historical Data'!$BE$2:$BE$1068,0)),"")</f>
        <v/>
      </c>
      <c r="Q31" s="291">
        <f>IFERROR(INDEX('Historical Data'!$AA$2:$AA$1068,MATCH($A31,'Historical Data'!$BE$2:$BE$1068,0)),"")</f>
        <v/>
      </c>
      <c r="R31" s="291">
        <f>IFERROR(INDEX('Historical Data'!$AB$2:$AB$1068,MATCH($A31,'Historical Data'!$BE$2:$BE$1068,0)),"")</f>
        <v/>
      </c>
      <c r="S31" s="291">
        <f>IFERROR(INDEX('Historical Data'!$AN$2:$AN$1068,MATCH($A31,'Historical Data'!$BE$2:$BE$1068,0)),"")</f>
        <v/>
      </c>
      <c r="T31" s="291">
        <f>IFERROR(INDEX('Historical Data'!$AC$2:$AC$1068,MATCH($A31,'Historical Data'!$BE$2:$BE$1068,0)),"")</f>
        <v/>
      </c>
      <c r="U31" s="291">
        <f>IFERROR(INDEX('Historical Data'!$AE$2:$AE$1068,MATCH($A31,'Historical Data'!$BE$2:$BE$1068,0)),"")</f>
        <v/>
      </c>
      <c r="V31" s="291">
        <f>IFERROR(INDEX('Historical Data'!$AH$2:$AH$1068,MATCH($A31,'Historical Data'!$BE$2:$BE$1068,0)),"")</f>
        <v/>
      </c>
      <c r="W31" s="291">
        <f>IFERROR(INDEX('Historical Data'!$BC$2:$BC$1068,MATCH($A31,'Historical Data'!$BE$2:$BE$1068,0)),"")</f>
        <v/>
      </c>
      <c r="X31" s="290">
        <f>IF(B31="","",IF(W31=1,"NR + industry + position",IF(W31=2,"NR + ISO + position",IF(W31=3,"NR + industry",IF(W31=4,"NR + ISO",IF(W31=5,"NR + position",IF(W31=6,"NR only","book baseline"))))))&amp;"  ["&amp;IF(T31=1,"seasoned","unseasoned")&amp;IF(U31=1,", defaulted","")&amp;IF(V31=1,", open","")&amp;"]")</f>
        <v/>
      </c>
    </row>
    <row r="32">
      <c r="A32" s="290" t="n">
        <v>28</v>
      </c>
      <c r="B32" s="291">
        <f>IFERROR(INDEX('Historical Data'!$A$2:$A$1068,MATCH($A32,'Historical Data'!$BE$2:$BE$1068,0)),"")</f>
        <v/>
      </c>
      <c r="C32" s="291">
        <f>IFERROR(INDEX('Historical Data'!$B$2:$B$1068,MATCH($A32,'Historical Data'!$BE$2:$BE$1068,0)),"")</f>
        <v/>
      </c>
      <c r="D32" s="291">
        <f>IFERROR(INDEX('Historical Data'!$D$2:$D$1068,MATCH($A32,'Historical Data'!$BE$2:$BE$1068,0)),"")</f>
        <v/>
      </c>
      <c r="E32" s="292">
        <f>IFERROR(INDEX('Historical Data'!$E$2:$E$1068,MATCH($A32,'Historical Data'!$BE$2:$BE$1068,0)),"")</f>
        <v/>
      </c>
      <c r="F32" s="291">
        <f>IFERROR(INDEX('Historical Data'!$G$2:$G$1068,MATCH($A32,'Historical Data'!$BE$2:$BE$1068,0)),"")</f>
        <v/>
      </c>
      <c r="G32" s="291">
        <f>IFERROR(INDEX('Historical Data'!$Y$2:$Y$1068,MATCH($A32,'Historical Data'!$BE$2:$BE$1068,0)),"")</f>
        <v/>
      </c>
      <c r="H32" s="291">
        <f>IFERROR(INDEX('Historical Data'!$K$2:$K$1068,MATCH($A32,'Historical Data'!$BE$2:$BE$1068,0)),"")</f>
        <v/>
      </c>
      <c r="I32" s="291">
        <f>IFERROR(INDEX('Historical Data'!$J$2:$J$1068,MATCH($A32,'Historical Data'!$BE$2:$BE$1068,0)),"")</f>
        <v/>
      </c>
      <c r="J32" s="291">
        <f>IFERROR(INDEX('Historical Data'!$L$2:$L$1068,MATCH($A32,'Historical Data'!$BE$2:$BE$1068,0)),"")</f>
        <v/>
      </c>
      <c r="K32" s="293">
        <f>IFERROR(INDEX('Historical Data'!$M$2:$M$1068,MATCH($A32,'Historical Data'!$BE$2:$BE$1068,0)),"")</f>
        <v/>
      </c>
      <c r="L32" s="294">
        <f>IFERROR(INDEX('Historical Data'!$N$2:$N$1068,MATCH($A32,'Historical Data'!$BE$2:$BE$1068,0)),"")</f>
        <v/>
      </c>
      <c r="M32" s="294">
        <f>IFERROR(INDEX('Historical Data'!$Q$2:$Q$1068,MATCH($A32,'Historical Data'!$BE$2:$BE$1068,0)),"")</f>
        <v/>
      </c>
      <c r="N32" s="295">
        <f>IFERROR(INDEX('Historical Data'!$S$2:$S$1068,MATCH($A32,'Historical Data'!$BE$2:$BE$1068,0)),"")</f>
        <v/>
      </c>
      <c r="O32" s="294">
        <f>IFERROR(INDEX('Historical Data'!$AJ$2:$AJ$1068,MATCH($A32,'Historical Data'!$BE$2:$BE$1068,0)),"")</f>
        <v/>
      </c>
      <c r="P32" s="294">
        <f>IFERROR(INDEX('Historical Data'!$AK$2:$AK$1068,MATCH($A32,'Historical Data'!$BE$2:$BE$1068,0)),"")</f>
        <v/>
      </c>
      <c r="Q32" s="291">
        <f>IFERROR(INDEX('Historical Data'!$AA$2:$AA$1068,MATCH($A32,'Historical Data'!$BE$2:$BE$1068,0)),"")</f>
        <v/>
      </c>
      <c r="R32" s="291">
        <f>IFERROR(INDEX('Historical Data'!$AB$2:$AB$1068,MATCH($A32,'Historical Data'!$BE$2:$BE$1068,0)),"")</f>
        <v/>
      </c>
      <c r="S32" s="291">
        <f>IFERROR(INDEX('Historical Data'!$AN$2:$AN$1068,MATCH($A32,'Historical Data'!$BE$2:$BE$1068,0)),"")</f>
        <v/>
      </c>
      <c r="T32" s="291">
        <f>IFERROR(INDEX('Historical Data'!$AC$2:$AC$1068,MATCH($A32,'Historical Data'!$BE$2:$BE$1068,0)),"")</f>
        <v/>
      </c>
      <c r="U32" s="291">
        <f>IFERROR(INDEX('Historical Data'!$AE$2:$AE$1068,MATCH($A32,'Historical Data'!$BE$2:$BE$1068,0)),"")</f>
        <v/>
      </c>
      <c r="V32" s="291">
        <f>IFERROR(INDEX('Historical Data'!$AH$2:$AH$1068,MATCH($A32,'Historical Data'!$BE$2:$BE$1068,0)),"")</f>
        <v/>
      </c>
      <c r="W32" s="291">
        <f>IFERROR(INDEX('Historical Data'!$BC$2:$BC$1068,MATCH($A32,'Historical Data'!$BE$2:$BE$1068,0)),"")</f>
        <v/>
      </c>
      <c r="X32" s="290">
        <f>IF(B32="","",IF(W32=1,"NR + industry + position",IF(W32=2,"NR + ISO + position",IF(W32=3,"NR + industry",IF(W32=4,"NR + ISO",IF(W32=5,"NR + position",IF(W32=6,"NR only","book baseline"))))))&amp;"  ["&amp;IF(T32=1,"seasoned","unseasoned")&amp;IF(U32=1,", defaulted","")&amp;IF(V32=1,", open","")&amp;"]")</f>
        <v/>
      </c>
    </row>
    <row r="33">
      <c r="A33" s="290" t="n">
        <v>29</v>
      </c>
      <c r="B33" s="291">
        <f>IFERROR(INDEX('Historical Data'!$A$2:$A$1068,MATCH($A33,'Historical Data'!$BE$2:$BE$1068,0)),"")</f>
        <v/>
      </c>
      <c r="C33" s="291">
        <f>IFERROR(INDEX('Historical Data'!$B$2:$B$1068,MATCH($A33,'Historical Data'!$BE$2:$BE$1068,0)),"")</f>
        <v/>
      </c>
      <c r="D33" s="291">
        <f>IFERROR(INDEX('Historical Data'!$D$2:$D$1068,MATCH($A33,'Historical Data'!$BE$2:$BE$1068,0)),"")</f>
        <v/>
      </c>
      <c r="E33" s="292">
        <f>IFERROR(INDEX('Historical Data'!$E$2:$E$1068,MATCH($A33,'Historical Data'!$BE$2:$BE$1068,0)),"")</f>
        <v/>
      </c>
      <c r="F33" s="291">
        <f>IFERROR(INDEX('Historical Data'!$G$2:$G$1068,MATCH($A33,'Historical Data'!$BE$2:$BE$1068,0)),"")</f>
        <v/>
      </c>
      <c r="G33" s="291">
        <f>IFERROR(INDEX('Historical Data'!$Y$2:$Y$1068,MATCH($A33,'Historical Data'!$BE$2:$BE$1068,0)),"")</f>
        <v/>
      </c>
      <c r="H33" s="291">
        <f>IFERROR(INDEX('Historical Data'!$K$2:$K$1068,MATCH($A33,'Historical Data'!$BE$2:$BE$1068,0)),"")</f>
        <v/>
      </c>
      <c r="I33" s="291">
        <f>IFERROR(INDEX('Historical Data'!$J$2:$J$1068,MATCH($A33,'Historical Data'!$BE$2:$BE$1068,0)),"")</f>
        <v/>
      </c>
      <c r="J33" s="291">
        <f>IFERROR(INDEX('Historical Data'!$L$2:$L$1068,MATCH($A33,'Historical Data'!$BE$2:$BE$1068,0)),"")</f>
        <v/>
      </c>
      <c r="K33" s="293">
        <f>IFERROR(INDEX('Historical Data'!$M$2:$M$1068,MATCH($A33,'Historical Data'!$BE$2:$BE$1068,0)),"")</f>
        <v/>
      </c>
      <c r="L33" s="294">
        <f>IFERROR(INDEX('Historical Data'!$N$2:$N$1068,MATCH($A33,'Historical Data'!$BE$2:$BE$1068,0)),"")</f>
        <v/>
      </c>
      <c r="M33" s="294">
        <f>IFERROR(INDEX('Historical Data'!$Q$2:$Q$1068,MATCH($A33,'Historical Data'!$BE$2:$BE$1068,0)),"")</f>
        <v/>
      </c>
      <c r="N33" s="295">
        <f>IFERROR(INDEX('Historical Data'!$S$2:$S$1068,MATCH($A33,'Historical Data'!$BE$2:$BE$1068,0)),"")</f>
        <v/>
      </c>
      <c r="O33" s="294">
        <f>IFERROR(INDEX('Historical Data'!$AJ$2:$AJ$1068,MATCH($A33,'Historical Data'!$BE$2:$BE$1068,0)),"")</f>
        <v/>
      </c>
      <c r="P33" s="294">
        <f>IFERROR(INDEX('Historical Data'!$AK$2:$AK$1068,MATCH($A33,'Historical Data'!$BE$2:$BE$1068,0)),"")</f>
        <v/>
      </c>
      <c r="Q33" s="291">
        <f>IFERROR(INDEX('Historical Data'!$AA$2:$AA$1068,MATCH($A33,'Historical Data'!$BE$2:$BE$1068,0)),"")</f>
        <v/>
      </c>
      <c r="R33" s="291">
        <f>IFERROR(INDEX('Historical Data'!$AB$2:$AB$1068,MATCH($A33,'Historical Data'!$BE$2:$BE$1068,0)),"")</f>
        <v/>
      </c>
      <c r="S33" s="291">
        <f>IFERROR(INDEX('Historical Data'!$AN$2:$AN$1068,MATCH($A33,'Historical Data'!$BE$2:$BE$1068,0)),"")</f>
        <v/>
      </c>
      <c r="T33" s="291">
        <f>IFERROR(INDEX('Historical Data'!$AC$2:$AC$1068,MATCH($A33,'Historical Data'!$BE$2:$BE$1068,0)),"")</f>
        <v/>
      </c>
      <c r="U33" s="291">
        <f>IFERROR(INDEX('Historical Data'!$AE$2:$AE$1068,MATCH($A33,'Historical Data'!$BE$2:$BE$1068,0)),"")</f>
        <v/>
      </c>
      <c r="V33" s="291">
        <f>IFERROR(INDEX('Historical Data'!$AH$2:$AH$1068,MATCH($A33,'Historical Data'!$BE$2:$BE$1068,0)),"")</f>
        <v/>
      </c>
      <c r="W33" s="291">
        <f>IFERROR(INDEX('Historical Data'!$BC$2:$BC$1068,MATCH($A33,'Historical Data'!$BE$2:$BE$1068,0)),"")</f>
        <v/>
      </c>
      <c r="X33" s="290">
        <f>IF(B33="","",IF(W33=1,"NR + industry + position",IF(W33=2,"NR + ISO + position",IF(W33=3,"NR + industry",IF(W33=4,"NR + ISO",IF(W33=5,"NR + position",IF(W33=6,"NR only","book baseline"))))))&amp;"  ["&amp;IF(T33=1,"seasoned","unseasoned")&amp;IF(U33=1,", defaulted","")&amp;IF(V33=1,", open","")&amp;"]")</f>
        <v/>
      </c>
    </row>
    <row r="34">
      <c r="A34" s="290" t="n">
        <v>30</v>
      </c>
      <c r="B34" s="291">
        <f>IFERROR(INDEX('Historical Data'!$A$2:$A$1068,MATCH($A34,'Historical Data'!$BE$2:$BE$1068,0)),"")</f>
        <v/>
      </c>
      <c r="C34" s="291">
        <f>IFERROR(INDEX('Historical Data'!$B$2:$B$1068,MATCH($A34,'Historical Data'!$BE$2:$BE$1068,0)),"")</f>
        <v/>
      </c>
      <c r="D34" s="291">
        <f>IFERROR(INDEX('Historical Data'!$D$2:$D$1068,MATCH($A34,'Historical Data'!$BE$2:$BE$1068,0)),"")</f>
        <v/>
      </c>
      <c r="E34" s="292">
        <f>IFERROR(INDEX('Historical Data'!$E$2:$E$1068,MATCH($A34,'Historical Data'!$BE$2:$BE$1068,0)),"")</f>
        <v/>
      </c>
      <c r="F34" s="291">
        <f>IFERROR(INDEX('Historical Data'!$G$2:$G$1068,MATCH($A34,'Historical Data'!$BE$2:$BE$1068,0)),"")</f>
        <v/>
      </c>
      <c r="G34" s="291">
        <f>IFERROR(INDEX('Historical Data'!$Y$2:$Y$1068,MATCH($A34,'Historical Data'!$BE$2:$BE$1068,0)),"")</f>
        <v/>
      </c>
      <c r="H34" s="291">
        <f>IFERROR(INDEX('Historical Data'!$K$2:$K$1068,MATCH($A34,'Historical Data'!$BE$2:$BE$1068,0)),"")</f>
        <v/>
      </c>
      <c r="I34" s="291">
        <f>IFERROR(INDEX('Historical Data'!$J$2:$J$1068,MATCH($A34,'Historical Data'!$BE$2:$BE$1068,0)),"")</f>
        <v/>
      </c>
      <c r="J34" s="291">
        <f>IFERROR(INDEX('Historical Data'!$L$2:$L$1068,MATCH($A34,'Historical Data'!$BE$2:$BE$1068,0)),"")</f>
        <v/>
      </c>
      <c r="K34" s="293">
        <f>IFERROR(INDEX('Historical Data'!$M$2:$M$1068,MATCH($A34,'Historical Data'!$BE$2:$BE$1068,0)),"")</f>
        <v/>
      </c>
      <c r="L34" s="294">
        <f>IFERROR(INDEX('Historical Data'!$N$2:$N$1068,MATCH($A34,'Historical Data'!$BE$2:$BE$1068,0)),"")</f>
        <v/>
      </c>
      <c r="M34" s="294">
        <f>IFERROR(INDEX('Historical Data'!$Q$2:$Q$1068,MATCH($A34,'Historical Data'!$BE$2:$BE$1068,0)),"")</f>
        <v/>
      </c>
      <c r="N34" s="295">
        <f>IFERROR(INDEX('Historical Data'!$S$2:$S$1068,MATCH($A34,'Historical Data'!$BE$2:$BE$1068,0)),"")</f>
        <v/>
      </c>
      <c r="O34" s="294">
        <f>IFERROR(INDEX('Historical Data'!$AJ$2:$AJ$1068,MATCH($A34,'Historical Data'!$BE$2:$BE$1068,0)),"")</f>
        <v/>
      </c>
      <c r="P34" s="294">
        <f>IFERROR(INDEX('Historical Data'!$AK$2:$AK$1068,MATCH($A34,'Historical Data'!$BE$2:$BE$1068,0)),"")</f>
        <v/>
      </c>
      <c r="Q34" s="291">
        <f>IFERROR(INDEX('Historical Data'!$AA$2:$AA$1068,MATCH($A34,'Historical Data'!$BE$2:$BE$1068,0)),"")</f>
        <v/>
      </c>
      <c r="R34" s="291">
        <f>IFERROR(INDEX('Historical Data'!$AB$2:$AB$1068,MATCH($A34,'Historical Data'!$BE$2:$BE$1068,0)),"")</f>
        <v/>
      </c>
      <c r="S34" s="291">
        <f>IFERROR(INDEX('Historical Data'!$AN$2:$AN$1068,MATCH($A34,'Historical Data'!$BE$2:$BE$1068,0)),"")</f>
        <v/>
      </c>
      <c r="T34" s="291">
        <f>IFERROR(INDEX('Historical Data'!$AC$2:$AC$1068,MATCH($A34,'Historical Data'!$BE$2:$BE$1068,0)),"")</f>
        <v/>
      </c>
      <c r="U34" s="291">
        <f>IFERROR(INDEX('Historical Data'!$AE$2:$AE$1068,MATCH($A34,'Historical Data'!$BE$2:$BE$1068,0)),"")</f>
        <v/>
      </c>
      <c r="V34" s="291">
        <f>IFERROR(INDEX('Historical Data'!$AH$2:$AH$1068,MATCH($A34,'Historical Data'!$BE$2:$BE$1068,0)),"")</f>
        <v/>
      </c>
      <c r="W34" s="291">
        <f>IFERROR(INDEX('Historical Data'!$BC$2:$BC$1068,MATCH($A34,'Historical Data'!$BE$2:$BE$1068,0)),"")</f>
        <v/>
      </c>
      <c r="X34" s="290">
        <f>IF(B34="","",IF(W34=1,"NR + industry + position",IF(W34=2,"NR + ISO + position",IF(W34=3,"NR + industry",IF(W34=4,"NR + ISO",IF(W34=5,"NR + position",IF(W34=6,"NR only","book baseline"))))))&amp;"  ["&amp;IF(T34=1,"seasoned","unseasoned")&amp;IF(U34=1,", defaulted","")&amp;IF(V34=1,", open","")&amp;"]")</f>
        <v/>
      </c>
    </row>
    <row r="35">
      <c r="A35" s="290" t="n">
        <v>31</v>
      </c>
      <c r="B35" s="291">
        <f>IFERROR(INDEX('Historical Data'!$A$2:$A$1068,MATCH($A35,'Historical Data'!$BE$2:$BE$1068,0)),"")</f>
        <v/>
      </c>
      <c r="C35" s="291">
        <f>IFERROR(INDEX('Historical Data'!$B$2:$B$1068,MATCH($A35,'Historical Data'!$BE$2:$BE$1068,0)),"")</f>
        <v/>
      </c>
      <c r="D35" s="291">
        <f>IFERROR(INDEX('Historical Data'!$D$2:$D$1068,MATCH($A35,'Historical Data'!$BE$2:$BE$1068,0)),"")</f>
        <v/>
      </c>
      <c r="E35" s="292">
        <f>IFERROR(INDEX('Historical Data'!$E$2:$E$1068,MATCH($A35,'Historical Data'!$BE$2:$BE$1068,0)),"")</f>
        <v/>
      </c>
      <c r="F35" s="291">
        <f>IFERROR(INDEX('Historical Data'!$G$2:$G$1068,MATCH($A35,'Historical Data'!$BE$2:$BE$1068,0)),"")</f>
        <v/>
      </c>
      <c r="G35" s="291">
        <f>IFERROR(INDEX('Historical Data'!$Y$2:$Y$1068,MATCH($A35,'Historical Data'!$BE$2:$BE$1068,0)),"")</f>
        <v/>
      </c>
      <c r="H35" s="291">
        <f>IFERROR(INDEX('Historical Data'!$K$2:$K$1068,MATCH($A35,'Historical Data'!$BE$2:$BE$1068,0)),"")</f>
        <v/>
      </c>
      <c r="I35" s="291">
        <f>IFERROR(INDEX('Historical Data'!$J$2:$J$1068,MATCH($A35,'Historical Data'!$BE$2:$BE$1068,0)),"")</f>
        <v/>
      </c>
      <c r="J35" s="291">
        <f>IFERROR(INDEX('Historical Data'!$L$2:$L$1068,MATCH($A35,'Historical Data'!$BE$2:$BE$1068,0)),"")</f>
        <v/>
      </c>
      <c r="K35" s="293">
        <f>IFERROR(INDEX('Historical Data'!$M$2:$M$1068,MATCH($A35,'Historical Data'!$BE$2:$BE$1068,0)),"")</f>
        <v/>
      </c>
      <c r="L35" s="294">
        <f>IFERROR(INDEX('Historical Data'!$N$2:$N$1068,MATCH($A35,'Historical Data'!$BE$2:$BE$1068,0)),"")</f>
        <v/>
      </c>
      <c r="M35" s="294">
        <f>IFERROR(INDEX('Historical Data'!$Q$2:$Q$1068,MATCH($A35,'Historical Data'!$BE$2:$BE$1068,0)),"")</f>
        <v/>
      </c>
      <c r="N35" s="295">
        <f>IFERROR(INDEX('Historical Data'!$S$2:$S$1068,MATCH($A35,'Historical Data'!$BE$2:$BE$1068,0)),"")</f>
        <v/>
      </c>
      <c r="O35" s="294">
        <f>IFERROR(INDEX('Historical Data'!$AJ$2:$AJ$1068,MATCH($A35,'Historical Data'!$BE$2:$BE$1068,0)),"")</f>
        <v/>
      </c>
      <c r="P35" s="294">
        <f>IFERROR(INDEX('Historical Data'!$AK$2:$AK$1068,MATCH($A35,'Historical Data'!$BE$2:$BE$1068,0)),"")</f>
        <v/>
      </c>
      <c r="Q35" s="291">
        <f>IFERROR(INDEX('Historical Data'!$AA$2:$AA$1068,MATCH($A35,'Historical Data'!$BE$2:$BE$1068,0)),"")</f>
        <v/>
      </c>
      <c r="R35" s="291">
        <f>IFERROR(INDEX('Historical Data'!$AB$2:$AB$1068,MATCH($A35,'Historical Data'!$BE$2:$BE$1068,0)),"")</f>
        <v/>
      </c>
      <c r="S35" s="291">
        <f>IFERROR(INDEX('Historical Data'!$AN$2:$AN$1068,MATCH($A35,'Historical Data'!$BE$2:$BE$1068,0)),"")</f>
        <v/>
      </c>
      <c r="T35" s="291">
        <f>IFERROR(INDEX('Historical Data'!$AC$2:$AC$1068,MATCH($A35,'Historical Data'!$BE$2:$BE$1068,0)),"")</f>
        <v/>
      </c>
      <c r="U35" s="291">
        <f>IFERROR(INDEX('Historical Data'!$AE$2:$AE$1068,MATCH($A35,'Historical Data'!$BE$2:$BE$1068,0)),"")</f>
        <v/>
      </c>
      <c r="V35" s="291">
        <f>IFERROR(INDEX('Historical Data'!$AH$2:$AH$1068,MATCH($A35,'Historical Data'!$BE$2:$BE$1068,0)),"")</f>
        <v/>
      </c>
      <c r="W35" s="291">
        <f>IFERROR(INDEX('Historical Data'!$BC$2:$BC$1068,MATCH($A35,'Historical Data'!$BE$2:$BE$1068,0)),"")</f>
        <v/>
      </c>
      <c r="X35" s="290">
        <f>IF(B35="","",IF(W35=1,"NR + industry + position",IF(W35=2,"NR + ISO + position",IF(W35=3,"NR + industry",IF(W35=4,"NR + ISO",IF(W35=5,"NR + position",IF(W35=6,"NR only","book baseline"))))))&amp;"  ["&amp;IF(T35=1,"seasoned","unseasoned")&amp;IF(U35=1,", defaulted","")&amp;IF(V35=1,", open","")&amp;"]")</f>
        <v/>
      </c>
    </row>
    <row r="36">
      <c r="A36" s="290" t="n">
        <v>32</v>
      </c>
      <c r="B36" s="291">
        <f>IFERROR(INDEX('Historical Data'!$A$2:$A$1068,MATCH($A36,'Historical Data'!$BE$2:$BE$1068,0)),"")</f>
        <v/>
      </c>
      <c r="C36" s="291">
        <f>IFERROR(INDEX('Historical Data'!$B$2:$B$1068,MATCH($A36,'Historical Data'!$BE$2:$BE$1068,0)),"")</f>
        <v/>
      </c>
      <c r="D36" s="291">
        <f>IFERROR(INDEX('Historical Data'!$D$2:$D$1068,MATCH($A36,'Historical Data'!$BE$2:$BE$1068,0)),"")</f>
        <v/>
      </c>
      <c r="E36" s="292">
        <f>IFERROR(INDEX('Historical Data'!$E$2:$E$1068,MATCH($A36,'Historical Data'!$BE$2:$BE$1068,0)),"")</f>
        <v/>
      </c>
      <c r="F36" s="291">
        <f>IFERROR(INDEX('Historical Data'!$G$2:$G$1068,MATCH($A36,'Historical Data'!$BE$2:$BE$1068,0)),"")</f>
        <v/>
      </c>
      <c r="G36" s="291">
        <f>IFERROR(INDEX('Historical Data'!$Y$2:$Y$1068,MATCH($A36,'Historical Data'!$BE$2:$BE$1068,0)),"")</f>
        <v/>
      </c>
      <c r="H36" s="291">
        <f>IFERROR(INDEX('Historical Data'!$K$2:$K$1068,MATCH($A36,'Historical Data'!$BE$2:$BE$1068,0)),"")</f>
        <v/>
      </c>
      <c r="I36" s="291">
        <f>IFERROR(INDEX('Historical Data'!$J$2:$J$1068,MATCH($A36,'Historical Data'!$BE$2:$BE$1068,0)),"")</f>
        <v/>
      </c>
      <c r="J36" s="291">
        <f>IFERROR(INDEX('Historical Data'!$L$2:$L$1068,MATCH($A36,'Historical Data'!$BE$2:$BE$1068,0)),"")</f>
        <v/>
      </c>
      <c r="K36" s="293">
        <f>IFERROR(INDEX('Historical Data'!$M$2:$M$1068,MATCH($A36,'Historical Data'!$BE$2:$BE$1068,0)),"")</f>
        <v/>
      </c>
      <c r="L36" s="294">
        <f>IFERROR(INDEX('Historical Data'!$N$2:$N$1068,MATCH($A36,'Historical Data'!$BE$2:$BE$1068,0)),"")</f>
        <v/>
      </c>
      <c r="M36" s="294">
        <f>IFERROR(INDEX('Historical Data'!$Q$2:$Q$1068,MATCH($A36,'Historical Data'!$BE$2:$BE$1068,0)),"")</f>
        <v/>
      </c>
      <c r="N36" s="295">
        <f>IFERROR(INDEX('Historical Data'!$S$2:$S$1068,MATCH($A36,'Historical Data'!$BE$2:$BE$1068,0)),"")</f>
        <v/>
      </c>
      <c r="O36" s="294">
        <f>IFERROR(INDEX('Historical Data'!$AJ$2:$AJ$1068,MATCH($A36,'Historical Data'!$BE$2:$BE$1068,0)),"")</f>
        <v/>
      </c>
      <c r="P36" s="294">
        <f>IFERROR(INDEX('Historical Data'!$AK$2:$AK$1068,MATCH($A36,'Historical Data'!$BE$2:$BE$1068,0)),"")</f>
        <v/>
      </c>
      <c r="Q36" s="291">
        <f>IFERROR(INDEX('Historical Data'!$AA$2:$AA$1068,MATCH($A36,'Historical Data'!$BE$2:$BE$1068,0)),"")</f>
        <v/>
      </c>
      <c r="R36" s="291">
        <f>IFERROR(INDEX('Historical Data'!$AB$2:$AB$1068,MATCH($A36,'Historical Data'!$BE$2:$BE$1068,0)),"")</f>
        <v/>
      </c>
      <c r="S36" s="291">
        <f>IFERROR(INDEX('Historical Data'!$AN$2:$AN$1068,MATCH($A36,'Historical Data'!$BE$2:$BE$1068,0)),"")</f>
        <v/>
      </c>
      <c r="T36" s="291">
        <f>IFERROR(INDEX('Historical Data'!$AC$2:$AC$1068,MATCH($A36,'Historical Data'!$BE$2:$BE$1068,0)),"")</f>
        <v/>
      </c>
      <c r="U36" s="291">
        <f>IFERROR(INDEX('Historical Data'!$AE$2:$AE$1068,MATCH($A36,'Historical Data'!$BE$2:$BE$1068,0)),"")</f>
        <v/>
      </c>
      <c r="V36" s="291">
        <f>IFERROR(INDEX('Historical Data'!$AH$2:$AH$1068,MATCH($A36,'Historical Data'!$BE$2:$BE$1068,0)),"")</f>
        <v/>
      </c>
      <c r="W36" s="291">
        <f>IFERROR(INDEX('Historical Data'!$BC$2:$BC$1068,MATCH($A36,'Historical Data'!$BE$2:$BE$1068,0)),"")</f>
        <v/>
      </c>
      <c r="X36" s="290">
        <f>IF(B36="","",IF(W36=1,"NR + industry + position",IF(W36=2,"NR + ISO + position",IF(W36=3,"NR + industry",IF(W36=4,"NR + ISO",IF(W36=5,"NR + position",IF(W36=6,"NR only","book baseline"))))))&amp;"  ["&amp;IF(T36=1,"seasoned","unseasoned")&amp;IF(U36=1,", defaulted","")&amp;IF(V36=1,", open","")&amp;"]")</f>
        <v/>
      </c>
    </row>
    <row r="37">
      <c r="A37" s="290" t="n">
        <v>33</v>
      </c>
      <c r="B37" s="291">
        <f>IFERROR(INDEX('Historical Data'!$A$2:$A$1068,MATCH($A37,'Historical Data'!$BE$2:$BE$1068,0)),"")</f>
        <v/>
      </c>
      <c r="C37" s="291">
        <f>IFERROR(INDEX('Historical Data'!$B$2:$B$1068,MATCH($A37,'Historical Data'!$BE$2:$BE$1068,0)),"")</f>
        <v/>
      </c>
      <c r="D37" s="291">
        <f>IFERROR(INDEX('Historical Data'!$D$2:$D$1068,MATCH($A37,'Historical Data'!$BE$2:$BE$1068,0)),"")</f>
        <v/>
      </c>
      <c r="E37" s="292">
        <f>IFERROR(INDEX('Historical Data'!$E$2:$E$1068,MATCH($A37,'Historical Data'!$BE$2:$BE$1068,0)),"")</f>
        <v/>
      </c>
      <c r="F37" s="291">
        <f>IFERROR(INDEX('Historical Data'!$G$2:$G$1068,MATCH($A37,'Historical Data'!$BE$2:$BE$1068,0)),"")</f>
        <v/>
      </c>
      <c r="G37" s="291">
        <f>IFERROR(INDEX('Historical Data'!$Y$2:$Y$1068,MATCH($A37,'Historical Data'!$BE$2:$BE$1068,0)),"")</f>
        <v/>
      </c>
      <c r="H37" s="291">
        <f>IFERROR(INDEX('Historical Data'!$K$2:$K$1068,MATCH($A37,'Historical Data'!$BE$2:$BE$1068,0)),"")</f>
        <v/>
      </c>
      <c r="I37" s="291">
        <f>IFERROR(INDEX('Historical Data'!$J$2:$J$1068,MATCH($A37,'Historical Data'!$BE$2:$BE$1068,0)),"")</f>
        <v/>
      </c>
      <c r="J37" s="291">
        <f>IFERROR(INDEX('Historical Data'!$L$2:$L$1068,MATCH($A37,'Historical Data'!$BE$2:$BE$1068,0)),"")</f>
        <v/>
      </c>
      <c r="K37" s="293">
        <f>IFERROR(INDEX('Historical Data'!$M$2:$M$1068,MATCH($A37,'Historical Data'!$BE$2:$BE$1068,0)),"")</f>
        <v/>
      </c>
      <c r="L37" s="294">
        <f>IFERROR(INDEX('Historical Data'!$N$2:$N$1068,MATCH($A37,'Historical Data'!$BE$2:$BE$1068,0)),"")</f>
        <v/>
      </c>
      <c r="M37" s="294">
        <f>IFERROR(INDEX('Historical Data'!$Q$2:$Q$1068,MATCH($A37,'Historical Data'!$BE$2:$BE$1068,0)),"")</f>
        <v/>
      </c>
      <c r="N37" s="295">
        <f>IFERROR(INDEX('Historical Data'!$S$2:$S$1068,MATCH($A37,'Historical Data'!$BE$2:$BE$1068,0)),"")</f>
        <v/>
      </c>
      <c r="O37" s="294">
        <f>IFERROR(INDEX('Historical Data'!$AJ$2:$AJ$1068,MATCH($A37,'Historical Data'!$BE$2:$BE$1068,0)),"")</f>
        <v/>
      </c>
      <c r="P37" s="294">
        <f>IFERROR(INDEX('Historical Data'!$AK$2:$AK$1068,MATCH($A37,'Historical Data'!$BE$2:$BE$1068,0)),"")</f>
        <v/>
      </c>
      <c r="Q37" s="291">
        <f>IFERROR(INDEX('Historical Data'!$AA$2:$AA$1068,MATCH($A37,'Historical Data'!$BE$2:$BE$1068,0)),"")</f>
        <v/>
      </c>
      <c r="R37" s="291">
        <f>IFERROR(INDEX('Historical Data'!$AB$2:$AB$1068,MATCH($A37,'Historical Data'!$BE$2:$BE$1068,0)),"")</f>
        <v/>
      </c>
      <c r="S37" s="291">
        <f>IFERROR(INDEX('Historical Data'!$AN$2:$AN$1068,MATCH($A37,'Historical Data'!$BE$2:$BE$1068,0)),"")</f>
        <v/>
      </c>
      <c r="T37" s="291">
        <f>IFERROR(INDEX('Historical Data'!$AC$2:$AC$1068,MATCH($A37,'Historical Data'!$BE$2:$BE$1068,0)),"")</f>
        <v/>
      </c>
      <c r="U37" s="291">
        <f>IFERROR(INDEX('Historical Data'!$AE$2:$AE$1068,MATCH($A37,'Historical Data'!$BE$2:$BE$1068,0)),"")</f>
        <v/>
      </c>
      <c r="V37" s="291">
        <f>IFERROR(INDEX('Historical Data'!$AH$2:$AH$1068,MATCH($A37,'Historical Data'!$BE$2:$BE$1068,0)),"")</f>
        <v/>
      </c>
      <c r="W37" s="291">
        <f>IFERROR(INDEX('Historical Data'!$BC$2:$BC$1068,MATCH($A37,'Historical Data'!$BE$2:$BE$1068,0)),"")</f>
        <v/>
      </c>
      <c r="X37" s="290">
        <f>IF(B37="","",IF(W37=1,"NR + industry + position",IF(W37=2,"NR + ISO + position",IF(W37=3,"NR + industry",IF(W37=4,"NR + ISO",IF(W37=5,"NR + position",IF(W37=6,"NR only","book baseline"))))))&amp;"  ["&amp;IF(T37=1,"seasoned","unseasoned")&amp;IF(U37=1,", defaulted","")&amp;IF(V37=1,", open","")&amp;"]")</f>
        <v/>
      </c>
    </row>
    <row r="38">
      <c r="A38" s="290" t="n">
        <v>34</v>
      </c>
      <c r="B38" s="291">
        <f>IFERROR(INDEX('Historical Data'!$A$2:$A$1068,MATCH($A38,'Historical Data'!$BE$2:$BE$1068,0)),"")</f>
        <v/>
      </c>
      <c r="C38" s="291">
        <f>IFERROR(INDEX('Historical Data'!$B$2:$B$1068,MATCH($A38,'Historical Data'!$BE$2:$BE$1068,0)),"")</f>
        <v/>
      </c>
      <c r="D38" s="291">
        <f>IFERROR(INDEX('Historical Data'!$D$2:$D$1068,MATCH($A38,'Historical Data'!$BE$2:$BE$1068,0)),"")</f>
        <v/>
      </c>
      <c r="E38" s="292">
        <f>IFERROR(INDEX('Historical Data'!$E$2:$E$1068,MATCH($A38,'Historical Data'!$BE$2:$BE$1068,0)),"")</f>
        <v/>
      </c>
      <c r="F38" s="291">
        <f>IFERROR(INDEX('Historical Data'!$G$2:$G$1068,MATCH($A38,'Historical Data'!$BE$2:$BE$1068,0)),"")</f>
        <v/>
      </c>
      <c r="G38" s="291">
        <f>IFERROR(INDEX('Historical Data'!$Y$2:$Y$1068,MATCH($A38,'Historical Data'!$BE$2:$BE$1068,0)),"")</f>
        <v/>
      </c>
      <c r="H38" s="291">
        <f>IFERROR(INDEX('Historical Data'!$K$2:$K$1068,MATCH($A38,'Historical Data'!$BE$2:$BE$1068,0)),"")</f>
        <v/>
      </c>
      <c r="I38" s="291">
        <f>IFERROR(INDEX('Historical Data'!$J$2:$J$1068,MATCH($A38,'Historical Data'!$BE$2:$BE$1068,0)),"")</f>
        <v/>
      </c>
      <c r="J38" s="291">
        <f>IFERROR(INDEX('Historical Data'!$L$2:$L$1068,MATCH($A38,'Historical Data'!$BE$2:$BE$1068,0)),"")</f>
        <v/>
      </c>
      <c r="K38" s="293">
        <f>IFERROR(INDEX('Historical Data'!$M$2:$M$1068,MATCH($A38,'Historical Data'!$BE$2:$BE$1068,0)),"")</f>
        <v/>
      </c>
      <c r="L38" s="294">
        <f>IFERROR(INDEX('Historical Data'!$N$2:$N$1068,MATCH($A38,'Historical Data'!$BE$2:$BE$1068,0)),"")</f>
        <v/>
      </c>
      <c r="M38" s="294">
        <f>IFERROR(INDEX('Historical Data'!$Q$2:$Q$1068,MATCH($A38,'Historical Data'!$BE$2:$BE$1068,0)),"")</f>
        <v/>
      </c>
      <c r="N38" s="295">
        <f>IFERROR(INDEX('Historical Data'!$S$2:$S$1068,MATCH($A38,'Historical Data'!$BE$2:$BE$1068,0)),"")</f>
        <v/>
      </c>
      <c r="O38" s="294">
        <f>IFERROR(INDEX('Historical Data'!$AJ$2:$AJ$1068,MATCH($A38,'Historical Data'!$BE$2:$BE$1068,0)),"")</f>
        <v/>
      </c>
      <c r="P38" s="294">
        <f>IFERROR(INDEX('Historical Data'!$AK$2:$AK$1068,MATCH($A38,'Historical Data'!$BE$2:$BE$1068,0)),"")</f>
        <v/>
      </c>
      <c r="Q38" s="291">
        <f>IFERROR(INDEX('Historical Data'!$AA$2:$AA$1068,MATCH($A38,'Historical Data'!$BE$2:$BE$1068,0)),"")</f>
        <v/>
      </c>
      <c r="R38" s="291">
        <f>IFERROR(INDEX('Historical Data'!$AB$2:$AB$1068,MATCH($A38,'Historical Data'!$BE$2:$BE$1068,0)),"")</f>
        <v/>
      </c>
      <c r="S38" s="291">
        <f>IFERROR(INDEX('Historical Data'!$AN$2:$AN$1068,MATCH($A38,'Historical Data'!$BE$2:$BE$1068,0)),"")</f>
        <v/>
      </c>
      <c r="T38" s="291">
        <f>IFERROR(INDEX('Historical Data'!$AC$2:$AC$1068,MATCH($A38,'Historical Data'!$BE$2:$BE$1068,0)),"")</f>
        <v/>
      </c>
      <c r="U38" s="291">
        <f>IFERROR(INDEX('Historical Data'!$AE$2:$AE$1068,MATCH($A38,'Historical Data'!$BE$2:$BE$1068,0)),"")</f>
        <v/>
      </c>
      <c r="V38" s="291">
        <f>IFERROR(INDEX('Historical Data'!$AH$2:$AH$1068,MATCH($A38,'Historical Data'!$BE$2:$BE$1068,0)),"")</f>
        <v/>
      </c>
      <c r="W38" s="291">
        <f>IFERROR(INDEX('Historical Data'!$BC$2:$BC$1068,MATCH($A38,'Historical Data'!$BE$2:$BE$1068,0)),"")</f>
        <v/>
      </c>
      <c r="X38" s="290">
        <f>IF(B38="","",IF(W38=1,"NR + industry + position",IF(W38=2,"NR + ISO + position",IF(W38=3,"NR + industry",IF(W38=4,"NR + ISO",IF(W38=5,"NR + position",IF(W38=6,"NR only","book baseline"))))))&amp;"  ["&amp;IF(T38=1,"seasoned","unseasoned")&amp;IF(U38=1,", defaulted","")&amp;IF(V38=1,", open","")&amp;"]")</f>
        <v/>
      </c>
    </row>
    <row r="39">
      <c r="A39" s="290" t="n">
        <v>35</v>
      </c>
      <c r="B39" s="291">
        <f>IFERROR(INDEX('Historical Data'!$A$2:$A$1068,MATCH($A39,'Historical Data'!$BE$2:$BE$1068,0)),"")</f>
        <v/>
      </c>
      <c r="C39" s="291">
        <f>IFERROR(INDEX('Historical Data'!$B$2:$B$1068,MATCH($A39,'Historical Data'!$BE$2:$BE$1068,0)),"")</f>
        <v/>
      </c>
      <c r="D39" s="291">
        <f>IFERROR(INDEX('Historical Data'!$D$2:$D$1068,MATCH($A39,'Historical Data'!$BE$2:$BE$1068,0)),"")</f>
        <v/>
      </c>
      <c r="E39" s="292">
        <f>IFERROR(INDEX('Historical Data'!$E$2:$E$1068,MATCH($A39,'Historical Data'!$BE$2:$BE$1068,0)),"")</f>
        <v/>
      </c>
      <c r="F39" s="291">
        <f>IFERROR(INDEX('Historical Data'!$G$2:$G$1068,MATCH($A39,'Historical Data'!$BE$2:$BE$1068,0)),"")</f>
        <v/>
      </c>
      <c r="G39" s="291">
        <f>IFERROR(INDEX('Historical Data'!$Y$2:$Y$1068,MATCH($A39,'Historical Data'!$BE$2:$BE$1068,0)),"")</f>
        <v/>
      </c>
      <c r="H39" s="291">
        <f>IFERROR(INDEX('Historical Data'!$K$2:$K$1068,MATCH($A39,'Historical Data'!$BE$2:$BE$1068,0)),"")</f>
        <v/>
      </c>
      <c r="I39" s="291">
        <f>IFERROR(INDEX('Historical Data'!$J$2:$J$1068,MATCH($A39,'Historical Data'!$BE$2:$BE$1068,0)),"")</f>
        <v/>
      </c>
      <c r="J39" s="291">
        <f>IFERROR(INDEX('Historical Data'!$L$2:$L$1068,MATCH($A39,'Historical Data'!$BE$2:$BE$1068,0)),"")</f>
        <v/>
      </c>
      <c r="K39" s="293">
        <f>IFERROR(INDEX('Historical Data'!$M$2:$M$1068,MATCH($A39,'Historical Data'!$BE$2:$BE$1068,0)),"")</f>
        <v/>
      </c>
      <c r="L39" s="294">
        <f>IFERROR(INDEX('Historical Data'!$N$2:$N$1068,MATCH($A39,'Historical Data'!$BE$2:$BE$1068,0)),"")</f>
        <v/>
      </c>
      <c r="M39" s="294">
        <f>IFERROR(INDEX('Historical Data'!$Q$2:$Q$1068,MATCH($A39,'Historical Data'!$BE$2:$BE$1068,0)),"")</f>
        <v/>
      </c>
      <c r="N39" s="295">
        <f>IFERROR(INDEX('Historical Data'!$S$2:$S$1068,MATCH($A39,'Historical Data'!$BE$2:$BE$1068,0)),"")</f>
        <v/>
      </c>
      <c r="O39" s="294">
        <f>IFERROR(INDEX('Historical Data'!$AJ$2:$AJ$1068,MATCH($A39,'Historical Data'!$BE$2:$BE$1068,0)),"")</f>
        <v/>
      </c>
      <c r="P39" s="294">
        <f>IFERROR(INDEX('Historical Data'!$AK$2:$AK$1068,MATCH($A39,'Historical Data'!$BE$2:$BE$1068,0)),"")</f>
        <v/>
      </c>
      <c r="Q39" s="291">
        <f>IFERROR(INDEX('Historical Data'!$AA$2:$AA$1068,MATCH($A39,'Historical Data'!$BE$2:$BE$1068,0)),"")</f>
        <v/>
      </c>
      <c r="R39" s="291">
        <f>IFERROR(INDEX('Historical Data'!$AB$2:$AB$1068,MATCH($A39,'Historical Data'!$BE$2:$BE$1068,0)),"")</f>
        <v/>
      </c>
      <c r="S39" s="291">
        <f>IFERROR(INDEX('Historical Data'!$AN$2:$AN$1068,MATCH($A39,'Historical Data'!$BE$2:$BE$1068,0)),"")</f>
        <v/>
      </c>
      <c r="T39" s="291">
        <f>IFERROR(INDEX('Historical Data'!$AC$2:$AC$1068,MATCH($A39,'Historical Data'!$BE$2:$BE$1068,0)),"")</f>
        <v/>
      </c>
      <c r="U39" s="291">
        <f>IFERROR(INDEX('Historical Data'!$AE$2:$AE$1068,MATCH($A39,'Historical Data'!$BE$2:$BE$1068,0)),"")</f>
        <v/>
      </c>
      <c r="V39" s="291">
        <f>IFERROR(INDEX('Historical Data'!$AH$2:$AH$1068,MATCH($A39,'Historical Data'!$BE$2:$BE$1068,0)),"")</f>
        <v/>
      </c>
      <c r="W39" s="291">
        <f>IFERROR(INDEX('Historical Data'!$BC$2:$BC$1068,MATCH($A39,'Historical Data'!$BE$2:$BE$1068,0)),"")</f>
        <v/>
      </c>
      <c r="X39" s="290">
        <f>IF(B39="","",IF(W39=1,"NR + industry + position",IF(W39=2,"NR + ISO + position",IF(W39=3,"NR + industry",IF(W39=4,"NR + ISO",IF(W39=5,"NR + position",IF(W39=6,"NR only","book baseline"))))))&amp;"  ["&amp;IF(T39=1,"seasoned","unseasoned")&amp;IF(U39=1,", defaulted","")&amp;IF(V39=1,", open","")&amp;"]")</f>
        <v/>
      </c>
    </row>
    <row r="40">
      <c r="A40" s="290" t="n">
        <v>36</v>
      </c>
      <c r="B40" s="291">
        <f>IFERROR(INDEX('Historical Data'!$A$2:$A$1068,MATCH($A40,'Historical Data'!$BE$2:$BE$1068,0)),"")</f>
        <v/>
      </c>
      <c r="C40" s="291">
        <f>IFERROR(INDEX('Historical Data'!$B$2:$B$1068,MATCH($A40,'Historical Data'!$BE$2:$BE$1068,0)),"")</f>
        <v/>
      </c>
      <c r="D40" s="291">
        <f>IFERROR(INDEX('Historical Data'!$D$2:$D$1068,MATCH($A40,'Historical Data'!$BE$2:$BE$1068,0)),"")</f>
        <v/>
      </c>
      <c r="E40" s="292">
        <f>IFERROR(INDEX('Historical Data'!$E$2:$E$1068,MATCH($A40,'Historical Data'!$BE$2:$BE$1068,0)),"")</f>
        <v/>
      </c>
      <c r="F40" s="291">
        <f>IFERROR(INDEX('Historical Data'!$G$2:$G$1068,MATCH($A40,'Historical Data'!$BE$2:$BE$1068,0)),"")</f>
        <v/>
      </c>
      <c r="G40" s="291">
        <f>IFERROR(INDEX('Historical Data'!$Y$2:$Y$1068,MATCH($A40,'Historical Data'!$BE$2:$BE$1068,0)),"")</f>
        <v/>
      </c>
      <c r="H40" s="291">
        <f>IFERROR(INDEX('Historical Data'!$K$2:$K$1068,MATCH($A40,'Historical Data'!$BE$2:$BE$1068,0)),"")</f>
        <v/>
      </c>
      <c r="I40" s="291">
        <f>IFERROR(INDEX('Historical Data'!$J$2:$J$1068,MATCH($A40,'Historical Data'!$BE$2:$BE$1068,0)),"")</f>
        <v/>
      </c>
      <c r="J40" s="291">
        <f>IFERROR(INDEX('Historical Data'!$L$2:$L$1068,MATCH($A40,'Historical Data'!$BE$2:$BE$1068,0)),"")</f>
        <v/>
      </c>
      <c r="K40" s="293">
        <f>IFERROR(INDEX('Historical Data'!$M$2:$M$1068,MATCH($A40,'Historical Data'!$BE$2:$BE$1068,0)),"")</f>
        <v/>
      </c>
      <c r="L40" s="294">
        <f>IFERROR(INDEX('Historical Data'!$N$2:$N$1068,MATCH($A40,'Historical Data'!$BE$2:$BE$1068,0)),"")</f>
        <v/>
      </c>
      <c r="M40" s="294">
        <f>IFERROR(INDEX('Historical Data'!$Q$2:$Q$1068,MATCH($A40,'Historical Data'!$BE$2:$BE$1068,0)),"")</f>
        <v/>
      </c>
      <c r="N40" s="295">
        <f>IFERROR(INDEX('Historical Data'!$S$2:$S$1068,MATCH($A40,'Historical Data'!$BE$2:$BE$1068,0)),"")</f>
        <v/>
      </c>
      <c r="O40" s="294">
        <f>IFERROR(INDEX('Historical Data'!$AJ$2:$AJ$1068,MATCH($A40,'Historical Data'!$BE$2:$BE$1068,0)),"")</f>
        <v/>
      </c>
      <c r="P40" s="294">
        <f>IFERROR(INDEX('Historical Data'!$AK$2:$AK$1068,MATCH($A40,'Historical Data'!$BE$2:$BE$1068,0)),"")</f>
        <v/>
      </c>
      <c r="Q40" s="291">
        <f>IFERROR(INDEX('Historical Data'!$AA$2:$AA$1068,MATCH($A40,'Historical Data'!$BE$2:$BE$1068,0)),"")</f>
        <v/>
      </c>
      <c r="R40" s="291">
        <f>IFERROR(INDEX('Historical Data'!$AB$2:$AB$1068,MATCH($A40,'Historical Data'!$BE$2:$BE$1068,0)),"")</f>
        <v/>
      </c>
      <c r="S40" s="291">
        <f>IFERROR(INDEX('Historical Data'!$AN$2:$AN$1068,MATCH($A40,'Historical Data'!$BE$2:$BE$1068,0)),"")</f>
        <v/>
      </c>
      <c r="T40" s="291">
        <f>IFERROR(INDEX('Historical Data'!$AC$2:$AC$1068,MATCH($A40,'Historical Data'!$BE$2:$BE$1068,0)),"")</f>
        <v/>
      </c>
      <c r="U40" s="291">
        <f>IFERROR(INDEX('Historical Data'!$AE$2:$AE$1068,MATCH($A40,'Historical Data'!$BE$2:$BE$1068,0)),"")</f>
        <v/>
      </c>
      <c r="V40" s="291">
        <f>IFERROR(INDEX('Historical Data'!$AH$2:$AH$1068,MATCH($A40,'Historical Data'!$BE$2:$BE$1068,0)),"")</f>
        <v/>
      </c>
      <c r="W40" s="291">
        <f>IFERROR(INDEX('Historical Data'!$BC$2:$BC$1068,MATCH($A40,'Historical Data'!$BE$2:$BE$1068,0)),"")</f>
        <v/>
      </c>
      <c r="X40" s="290">
        <f>IF(B40="","",IF(W40=1,"NR + industry + position",IF(W40=2,"NR + ISO + position",IF(W40=3,"NR + industry",IF(W40=4,"NR + ISO",IF(W40=5,"NR + position",IF(W40=6,"NR only","book baseline"))))))&amp;"  ["&amp;IF(T40=1,"seasoned","unseasoned")&amp;IF(U40=1,", defaulted","")&amp;IF(V40=1,", open","")&amp;"]")</f>
        <v/>
      </c>
    </row>
    <row r="41">
      <c r="A41" s="290" t="n">
        <v>37</v>
      </c>
      <c r="B41" s="291">
        <f>IFERROR(INDEX('Historical Data'!$A$2:$A$1068,MATCH($A41,'Historical Data'!$BE$2:$BE$1068,0)),"")</f>
        <v/>
      </c>
      <c r="C41" s="291">
        <f>IFERROR(INDEX('Historical Data'!$B$2:$B$1068,MATCH($A41,'Historical Data'!$BE$2:$BE$1068,0)),"")</f>
        <v/>
      </c>
      <c r="D41" s="291">
        <f>IFERROR(INDEX('Historical Data'!$D$2:$D$1068,MATCH($A41,'Historical Data'!$BE$2:$BE$1068,0)),"")</f>
        <v/>
      </c>
      <c r="E41" s="292">
        <f>IFERROR(INDEX('Historical Data'!$E$2:$E$1068,MATCH($A41,'Historical Data'!$BE$2:$BE$1068,0)),"")</f>
        <v/>
      </c>
      <c r="F41" s="291">
        <f>IFERROR(INDEX('Historical Data'!$G$2:$G$1068,MATCH($A41,'Historical Data'!$BE$2:$BE$1068,0)),"")</f>
        <v/>
      </c>
      <c r="G41" s="291">
        <f>IFERROR(INDEX('Historical Data'!$Y$2:$Y$1068,MATCH($A41,'Historical Data'!$BE$2:$BE$1068,0)),"")</f>
        <v/>
      </c>
      <c r="H41" s="291">
        <f>IFERROR(INDEX('Historical Data'!$K$2:$K$1068,MATCH($A41,'Historical Data'!$BE$2:$BE$1068,0)),"")</f>
        <v/>
      </c>
      <c r="I41" s="291">
        <f>IFERROR(INDEX('Historical Data'!$J$2:$J$1068,MATCH($A41,'Historical Data'!$BE$2:$BE$1068,0)),"")</f>
        <v/>
      </c>
      <c r="J41" s="291">
        <f>IFERROR(INDEX('Historical Data'!$L$2:$L$1068,MATCH($A41,'Historical Data'!$BE$2:$BE$1068,0)),"")</f>
        <v/>
      </c>
      <c r="K41" s="293">
        <f>IFERROR(INDEX('Historical Data'!$M$2:$M$1068,MATCH($A41,'Historical Data'!$BE$2:$BE$1068,0)),"")</f>
        <v/>
      </c>
      <c r="L41" s="294">
        <f>IFERROR(INDEX('Historical Data'!$N$2:$N$1068,MATCH($A41,'Historical Data'!$BE$2:$BE$1068,0)),"")</f>
        <v/>
      </c>
      <c r="M41" s="294">
        <f>IFERROR(INDEX('Historical Data'!$Q$2:$Q$1068,MATCH($A41,'Historical Data'!$BE$2:$BE$1068,0)),"")</f>
        <v/>
      </c>
      <c r="N41" s="295">
        <f>IFERROR(INDEX('Historical Data'!$S$2:$S$1068,MATCH($A41,'Historical Data'!$BE$2:$BE$1068,0)),"")</f>
        <v/>
      </c>
      <c r="O41" s="294">
        <f>IFERROR(INDEX('Historical Data'!$AJ$2:$AJ$1068,MATCH($A41,'Historical Data'!$BE$2:$BE$1068,0)),"")</f>
        <v/>
      </c>
      <c r="P41" s="294">
        <f>IFERROR(INDEX('Historical Data'!$AK$2:$AK$1068,MATCH($A41,'Historical Data'!$BE$2:$BE$1068,0)),"")</f>
        <v/>
      </c>
      <c r="Q41" s="291">
        <f>IFERROR(INDEX('Historical Data'!$AA$2:$AA$1068,MATCH($A41,'Historical Data'!$BE$2:$BE$1068,0)),"")</f>
        <v/>
      </c>
      <c r="R41" s="291">
        <f>IFERROR(INDEX('Historical Data'!$AB$2:$AB$1068,MATCH($A41,'Historical Data'!$BE$2:$BE$1068,0)),"")</f>
        <v/>
      </c>
      <c r="S41" s="291">
        <f>IFERROR(INDEX('Historical Data'!$AN$2:$AN$1068,MATCH($A41,'Historical Data'!$BE$2:$BE$1068,0)),"")</f>
        <v/>
      </c>
      <c r="T41" s="291">
        <f>IFERROR(INDEX('Historical Data'!$AC$2:$AC$1068,MATCH($A41,'Historical Data'!$BE$2:$BE$1068,0)),"")</f>
        <v/>
      </c>
      <c r="U41" s="291">
        <f>IFERROR(INDEX('Historical Data'!$AE$2:$AE$1068,MATCH($A41,'Historical Data'!$BE$2:$BE$1068,0)),"")</f>
        <v/>
      </c>
      <c r="V41" s="291">
        <f>IFERROR(INDEX('Historical Data'!$AH$2:$AH$1068,MATCH($A41,'Historical Data'!$BE$2:$BE$1068,0)),"")</f>
        <v/>
      </c>
      <c r="W41" s="291">
        <f>IFERROR(INDEX('Historical Data'!$BC$2:$BC$1068,MATCH($A41,'Historical Data'!$BE$2:$BE$1068,0)),"")</f>
        <v/>
      </c>
      <c r="X41" s="290">
        <f>IF(B41="","",IF(W41=1,"NR + industry + position",IF(W41=2,"NR + ISO + position",IF(W41=3,"NR + industry",IF(W41=4,"NR + ISO",IF(W41=5,"NR + position",IF(W41=6,"NR only","book baseline"))))))&amp;"  ["&amp;IF(T41=1,"seasoned","unseasoned")&amp;IF(U41=1,", defaulted","")&amp;IF(V41=1,", open","")&amp;"]")</f>
        <v/>
      </c>
    </row>
    <row r="42">
      <c r="A42" s="290" t="n">
        <v>38</v>
      </c>
      <c r="B42" s="291">
        <f>IFERROR(INDEX('Historical Data'!$A$2:$A$1068,MATCH($A42,'Historical Data'!$BE$2:$BE$1068,0)),"")</f>
        <v/>
      </c>
      <c r="C42" s="291">
        <f>IFERROR(INDEX('Historical Data'!$B$2:$B$1068,MATCH($A42,'Historical Data'!$BE$2:$BE$1068,0)),"")</f>
        <v/>
      </c>
      <c r="D42" s="291">
        <f>IFERROR(INDEX('Historical Data'!$D$2:$D$1068,MATCH($A42,'Historical Data'!$BE$2:$BE$1068,0)),"")</f>
        <v/>
      </c>
      <c r="E42" s="292">
        <f>IFERROR(INDEX('Historical Data'!$E$2:$E$1068,MATCH($A42,'Historical Data'!$BE$2:$BE$1068,0)),"")</f>
        <v/>
      </c>
      <c r="F42" s="291">
        <f>IFERROR(INDEX('Historical Data'!$G$2:$G$1068,MATCH($A42,'Historical Data'!$BE$2:$BE$1068,0)),"")</f>
        <v/>
      </c>
      <c r="G42" s="291">
        <f>IFERROR(INDEX('Historical Data'!$Y$2:$Y$1068,MATCH($A42,'Historical Data'!$BE$2:$BE$1068,0)),"")</f>
        <v/>
      </c>
      <c r="H42" s="291">
        <f>IFERROR(INDEX('Historical Data'!$K$2:$K$1068,MATCH($A42,'Historical Data'!$BE$2:$BE$1068,0)),"")</f>
        <v/>
      </c>
      <c r="I42" s="291">
        <f>IFERROR(INDEX('Historical Data'!$J$2:$J$1068,MATCH($A42,'Historical Data'!$BE$2:$BE$1068,0)),"")</f>
        <v/>
      </c>
      <c r="J42" s="291">
        <f>IFERROR(INDEX('Historical Data'!$L$2:$L$1068,MATCH($A42,'Historical Data'!$BE$2:$BE$1068,0)),"")</f>
        <v/>
      </c>
      <c r="K42" s="293">
        <f>IFERROR(INDEX('Historical Data'!$M$2:$M$1068,MATCH($A42,'Historical Data'!$BE$2:$BE$1068,0)),"")</f>
        <v/>
      </c>
      <c r="L42" s="294">
        <f>IFERROR(INDEX('Historical Data'!$N$2:$N$1068,MATCH($A42,'Historical Data'!$BE$2:$BE$1068,0)),"")</f>
        <v/>
      </c>
      <c r="M42" s="294">
        <f>IFERROR(INDEX('Historical Data'!$Q$2:$Q$1068,MATCH($A42,'Historical Data'!$BE$2:$BE$1068,0)),"")</f>
        <v/>
      </c>
      <c r="N42" s="295">
        <f>IFERROR(INDEX('Historical Data'!$S$2:$S$1068,MATCH($A42,'Historical Data'!$BE$2:$BE$1068,0)),"")</f>
        <v/>
      </c>
      <c r="O42" s="294">
        <f>IFERROR(INDEX('Historical Data'!$AJ$2:$AJ$1068,MATCH($A42,'Historical Data'!$BE$2:$BE$1068,0)),"")</f>
        <v/>
      </c>
      <c r="P42" s="294">
        <f>IFERROR(INDEX('Historical Data'!$AK$2:$AK$1068,MATCH($A42,'Historical Data'!$BE$2:$BE$1068,0)),"")</f>
        <v/>
      </c>
      <c r="Q42" s="291">
        <f>IFERROR(INDEX('Historical Data'!$AA$2:$AA$1068,MATCH($A42,'Historical Data'!$BE$2:$BE$1068,0)),"")</f>
        <v/>
      </c>
      <c r="R42" s="291">
        <f>IFERROR(INDEX('Historical Data'!$AB$2:$AB$1068,MATCH($A42,'Historical Data'!$BE$2:$BE$1068,0)),"")</f>
        <v/>
      </c>
      <c r="S42" s="291">
        <f>IFERROR(INDEX('Historical Data'!$AN$2:$AN$1068,MATCH($A42,'Historical Data'!$BE$2:$BE$1068,0)),"")</f>
        <v/>
      </c>
      <c r="T42" s="291">
        <f>IFERROR(INDEX('Historical Data'!$AC$2:$AC$1068,MATCH($A42,'Historical Data'!$BE$2:$BE$1068,0)),"")</f>
        <v/>
      </c>
      <c r="U42" s="291">
        <f>IFERROR(INDEX('Historical Data'!$AE$2:$AE$1068,MATCH($A42,'Historical Data'!$BE$2:$BE$1068,0)),"")</f>
        <v/>
      </c>
      <c r="V42" s="291">
        <f>IFERROR(INDEX('Historical Data'!$AH$2:$AH$1068,MATCH($A42,'Historical Data'!$BE$2:$BE$1068,0)),"")</f>
        <v/>
      </c>
      <c r="W42" s="291">
        <f>IFERROR(INDEX('Historical Data'!$BC$2:$BC$1068,MATCH($A42,'Historical Data'!$BE$2:$BE$1068,0)),"")</f>
        <v/>
      </c>
      <c r="X42" s="290">
        <f>IF(B42="","",IF(W42=1,"NR + industry + position",IF(W42=2,"NR + ISO + position",IF(W42=3,"NR + industry",IF(W42=4,"NR + ISO",IF(W42=5,"NR + position",IF(W42=6,"NR only","book baseline"))))))&amp;"  ["&amp;IF(T42=1,"seasoned","unseasoned")&amp;IF(U42=1,", defaulted","")&amp;IF(V42=1,", open","")&amp;"]")</f>
        <v/>
      </c>
    </row>
    <row r="43">
      <c r="A43" s="290" t="n">
        <v>39</v>
      </c>
      <c r="B43" s="291">
        <f>IFERROR(INDEX('Historical Data'!$A$2:$A$1068,MATCH($A43,'Historical Data'!$BE$2:$BE$1068,0)),"")</f>
        <v/>
      </c>
      <c r="C43" s="291">
        <f>IFERROR(INDEX('Historical Data'!$B$2:$B$1068,MATCH($A43,'Historical Data'!$BE$2:$BE$1068,0)),"")</f>
        <v/>
      </c>
      <c r="D43" s="291">
        <f>IFERROR(INDEX('Historical Data'!$D$2:$D$1068,MATCH($A43,'Historical Data'!$BE$2:$BE$1068,0)),"")</f>
        <v/>
      </c>
      <c r="E43" s="292">
        <f>IFERROR(INDEX('Historical Data'!$E$2:$E$1068,MATCH($A43,'Historical Data'!$BE$2:$BE$1068,0)),"")</f>
        <v/>
      </c>
      <c r="F43" s="291">
        <f>IFERROR(INDEX('Historical Data'!$G$2:$G$1068,MATCH($A43,'Historical Data'!$BE$2:$BE$1068,0)),"")</f>
        <v/>
      </c>
      <c r="G43" s="291">
        <f>IFERROR(INDEX('Historical Data'!$Y$2:$Y$1068,MATCH($A43,'Historical Data'!$BE$2:$BE$1068,0)),"")</f>
        <v/>
      </c>
      <c r="H43" s="291">
        <f>IFERROR(INDEX('Historical Data'!$K$2:$K$1068,MATCH($A43,'Historical Data'!$BE$2:$BE$1068,0)),"")</f>
        <v/>
      </c>
      <c r="I43" s="291">
        <f>IFERROR(INDEX('Historical Data'!$J$2:$J$1068,MATCH($A43,'Historical Data'!$BE$2:$BE$1068,0)),"")</f>
        <v/>
      </c>
      <c r="J43" s="291">
        <f>IFERROR(INDEX('Historical Data'!$L$2:$L$1068,MATCH($A43,'Historical Data'!$BE$2:$BE$1068,0)),"")</f>
        <v/>
      </c>
      <c r="K43" s="293">
        <f>IFERROR(INDEX('Historical Data'!$M$2:$M$1068,MATCH($A43,'Historical Data'!$BE$2:$BE$1068,0)),"")</f>
        <v/>
      </c>
      <c r="L43" s="294">
        <f>IFERROR(INDEX('Historical Data'!$N$2:$N$1068,MATCH($A43,'Historical Data'!$BE$2:$BE$1068,0)),"")</f>
        <v/>
      </c>
      <c r="M43" s="294">
        <f>IFERROR(INDEX('Historical Data'!$Q$2:$Q$1068,MATCH($A43,'Historical Data'!$BE$2:$BE$1068,0)),"")</f>
        <v/>
      </c>
      <c r="N43" s="295">
        <f>IFERROR(INDEX('Historical Data'!$S$2:$S$1068,MATCH($A43,'Historical Data'!$BE$2:$BE$1068,0)),"")</f>
        <v/>
      </c>
      <c r="O43" s="294">
        <f>IFERROR(INDEX('Historical Data'!$AJ$2:$AJ$1068,MATCH($A43,'Historical Data'!$BE$2:$BE$1068,0)),"")</f>
        <v/>
      </c>
      <c r="P43" s="294">
        <f>IFERROR(INDEX('Historical Data'!$AK$2:$AK$1068,MATCH($A43,'Historical Data'!$BE$2:$BE$1068,0)),"")</f>
        <v/>
      </c>
      <c r="Q43" s="291">
        <f>IFERROR(INDEX('Historical Data'!$AA$2:$AA$1068,MATCH($A43,'Historical Data'!$BE$2:$BE$1068,0)),"")</f>
        <v/>
      </c>
      <c r="R43" s="291">
        <f>IFERROR(INDEX('Historical Data'!$AB$2:$AB$1068,MATCH($A43,'Historical Data'!$BE$2:$BE$1068,0)),"")</f>
        <v/>
      </c>
      <c r="S43" s="291">
        <f>IFERROR(INDEX('Historical Data'!$AN$2:$AN$1068,MATCH($A43,'Historical Data'!$BE$2:$BE$1068,0)),"")</f>
        <v/>
      </c>
      <c r="T43" s="291">
        <f>IFERROR(INDEX('Historical Data'!$AC$2:$AC$1068,MATCH($A43,'Historical Data'!$BE$2:$BE$1068,0)),"")</f>
        <v/>
      </c>
      <c r="U43" s="291">
        <f>IFERROR(INDEX('Historical Data'!$AE$2:$AE$1068,MATCH($A43,'Historical Data'!$BE$2:$BE$1068,0)),"")</f>
        <v/>
      </c>
      <c r="V43" s="291">
        <f>IFERROR(INDEX('Historical Data'!$AH$2:$AH$1068,MATCH($A43,'Historical Data'!$BE$2:$BE$1068,0)),"")</f>
        <v/>
      </c>
      <c r="W43" s="291">
        <f>IFERROR(INDEX('Historical Data'!$BC$2:$BC$1068,MATCH($A43,'Historical Data'!$BE$2:$BE$1068,0)),"")</f>
        <v/>
      </c>
      <c r="X43" s="290">
        <f>IF(B43="","",IF(W43=1,"NR + industry + position",IF(W43=2,"NR + ISO + position",IF(W43=3,"NR + industry",IF(W43=4,"NR + ISO",IF(W43=5,"NR + position",IF(W43=6,"NR only","book baseline"))))))&amp;"  ["&amp;IF(T43=1,"seasoned","unseasoned")&amp;IF(U43=1,", defaulted","")&amp;IF(V43=1,", open","")&amp;"]")</f>
        <v/>
      </c>
    </row>
    <row r="44">
      <c r="A44" s="290" t="n">
        <v>40</v>
      </c>
      <c r="B44" s="291">
        <f>IFERROR(INDEX('Historical Data'!$A$2:$A$1068,MATCH($A44,'Historical Data'!$BE$2:$BE$1068,0)),"")</f>
        <v/>
      </c>
      <c r="C44" s="291">
        <f>IFERROR(INDEX('Historical Data'!$B$2:$B$1068,MATCH($A44,'Historical Data'!$BE$2:$BE$1068,0)),"")</f>
        <v/>
      </c>
      <c r="D44" s="291">
        <f>IFERROR(INDEX('Historical Data'!$D$2:$D$1068,MATCH($A44,'Historical Data'!$BE$2:$BE$1068,0)),"")</f>
        <v/>
      </c>
      <c r="E44" s="292">
        <f>IFERROR(INDEX('Historical Data'!$E$2:$E$1068,MATCH($A44,'Historical Data'!$BE$2:$BE$1068,0)),"")</f>
        <v/>
      </c>
      <c r="F44" s="291">
        <f>IFERROR(INDEX('Historical Data'!$G$2:$G$1068,MATCH($A44,'Historical Data'!$BE$2:$BE$1068,0)),"")</f>
        <v/>
      </c>
      <c r="G44" s="291">
        <f>IFERROR(INDEX('Historical Data'!$Y$2:$Y$1068,MATCH($A44,'Historical Data'!$BE$2:$BE$1068,0)),"")</f>
        <v/>
      </c>
      <c r="H44" s="291">
        <f>IFERROR(INDEX('Historical Data'!$K$2:$K$1068,MATCH($A44,'Historical Data'!$BE$2:$BE$1068,0)),"")</f>
        <v/>
      </c>
      <c r="I44" s="291">
        <f>IFERROR(INDEX('Historical Data'!$J$2:$J$1068,MATCH($A44,'Historical Data'!$BE$2:$BE$1068,0)),"")</f>
        <v/>
      </c>
      <c r="J44" s="291">
        <f>IFERROR(INDEX('Historical Data'!$L$2:$L$1068,MATCH($A44,'Historical Data'!$BE$2:$BE$1068,0)),"")</f>
        <v/>
      </c>
      <c r="K44" s="293">
        <f>IFERROR(INDEX('Historical Data'!$M$2:$M$1068,MATCH($A44,'Historical Data'!$BE$2:$BE$1068,0)),"")</f>
        <v/>
      </c>
      <c r="L44" s="294">
        <f>IFERROR(INDEX('Historical Data'!$N$2:$N$1068,MATCH($A44,'Historical Data'!$BE$2:$BE$1068,0)),"")</f>
        <v/>
      </c>
      <c r="M44" s="294">
        <f>IFERROR(INDEX('Historical Data'!$Q$2:$Q$1068,MATCH($A44,'Historical Data'!$BE$2:$BE$1068,0)),"")</f>
        <v/>
      </c>
      <c r="N44" s="295">
        <f>IFERROR(INDEX('Historical Data'!$S$2:$S$1068,MATCH($A44,'Historical Data'!$BE$2:$BE$1068,0)),"")</f>
        <v/>
      </c>
      <c r="O44" s="294">
        <f>IFERROR(INDEX('Historical Data'!$AJ$2:$AJ$1068,MATCH($A44,'Historical Data'!$BE$2:$BE$1068,0)),"")</f>
        <v/>
      </c>
      <c r="P44" s="294">
        <f>IFERROR(INDEX('Historical Data'!$AK$2:$AK$1068,MATCH($A44,'Historical Data'!$BE$2:$BE$1068,0)),"")</f>
        <v/>
      </c>
      <c r="Q44" s="291">
        <f>IFERROR(INDEX('Historical Data'!$AA$2:$AA$1068,MATCH($A44,'Historical Data'!$BE$2:$BE$1068,0)),"")</f>
        <v/>
      </c>
      <c r="R44" s="291">
        <f>IFERROR(INDEX('Historical Data'!$AB$2:$AB$1068,MATCH($A44,'Historical Data'!$BE$2:$BE$1068,0)),"")</f>
        <v/>
      </c>
      <c r="S44" s="291">
        <f>IFERROR(INDEX('Historical Data'!$AN$2:$AN$1068,MATCH($A44,'Historical Data'!$BE$2:$BE$1068,0)),"")</f>
        <v/>
      </c>
      <c r="T44" s="291">
        <f>IFERROR(INDEX('Historical Data'!$AC$2:$AC$1068,MATCH($A44,'Historical Data'!$BE$2:$BE$1068,0)),"")</f>
        <v/>
      </c>
      <c r="U44" s="291">
        <f>IFERROR(INDEX('Historical Data'!$AE$2:$AE$1068,MATCH($A44,'Historical Data'!$BE$2:$BE$1068,0)),"")</f>
        <v/>
      </c>
      <c r="V44" s="291">
        <f>IFERROR(INDEX('Historical Data'!$AH$2:$AH$1068,MATCH($A44,'Historical Data'!$BE$2:$BE$1068,0)),"")</f>
        <v/>
      </c>
      <c r="W44" s="291">
        <f>IFERROR(INDEX('Historical Data'!$BC$2:$BC$1068,MATCH($A44,'Historical Data'!$BE$2:$BE$1068,0)),"")</f>
        <v/>
      </c>
      <c r="X44" s="290">
        <f>IF(B44="","",IF(W44=1,"NR + industry + position",IF(W44=2,"NR + ISO + position",IF(W44=3,"NR + industry",IF(W44=4,"NR + ISO",IF(W44=5,"NR + position",IF(W44=6,"NR only","book baseline"))))))&amp;"  ["&amp;IF(T44=1,"seasoned","unseasoned")&amp;IF(U44=1,", defaulted","")&amp;IF(V44=1,", open","")&amp;"]")</f>
        <v/>
      </c>
    </row>
    <row r="45">
      <c r="A45" s="290" t="n">
        <v>41</v>
      </c>
      <c r="B45" s="291">
        <f>IFERROR(INDEX('Historical Data'!$A$2:$A$1068,MATCH($A45,'Historical Data'!$BE$2:$BE$1068,0)),"")</f>
        <v/>
      </c>
      <c r="C45" s="291">
        <f>IFERROR(INDEX('Historical Data'!$B$2:$B$1068,MATCH($A45,'Historical Data'!$BE$2:$BE$1068,0)),"")</f>
        <v/>
      </c>
      <c r="D45" s="291">
        <f>IFERROR(INDEX('Historical Data'!$D$2:$D$1068,MATCH($A45,'Historical Data'!$BE$2:$BE$1068,0)),"")</f>
        <v/>
      </c>
      <c r="E45" s="292">
        <f>IFERROR(INDEX('Historical Data'!$E$2:$E$1068,MATCH($A45,'Historical Data'!$BE$2:$BE$1068,0)),"")</f>
        <v/>
      </c>
      <c r="F45" s="291">
        <f>IFERROR(INDEX('Historical Data'!$G$2:$G$1068,MATCH($A45,'Historical Data'!$BE$2:$BE$1068,0)),"")</f>
        <v/>
      </c>
      <c r="G45" s="291">
        <f>IFERROR(INDEX('Historical Data'!$Y$2:$Y$1068,MATCH($A45,'Historical Data'!$BE$2:$BE$1068,0)),"")</f>
        <v/>
      </c>
      <c r="H45" s="291">
        <f>IFERROR(INDEX('Historical Data'!$K$2:$K$1068,MATCH($A45,'Historical Data'!$BE$2:$BE$1068,0)),"")</f>
        <v/>
      </c>
      <c r="I45" s="291">
        <f>IFERROR(INDEX('Historical Data'!$J$2:$J$1068,MATCH($A45,'Historical Data'!$BE$2:$BE$1068,0)),"")</f>
        <v/>
      </c>
      <c r="J45" s="291">
        <f>IFERROR(INDEX('Historical Data'!$L$2:$L$1068,MATCH($A45,'Historical Data'!$BE$2:$BE$1068,0)),"")</f>
        <v/>
      </c>
      <c r="K45" s="293">
        <f>IFERROR(INDEX('Historical Data'!$M$2:$M$1068,MATCH($A45,'Historical Data'!$BE$2:$BE$1068,0)),"")</f>
        <v/>
      </c>
      <c r="L45" s="294">
        <f>IFERROR(INDEX('Historical Data'!$N$2:$N$1068,MATCH($A45,'Historical Data'!$BE$2:$BE$1068,0)),"")</f>
        <v/>
      </c>
      <c r="M45" s="294">
        <f>IFERROR(INDEX('Historical Data'!$Q$2:$Q$1068,MATCH($A45,'Historical Data'!$BE$2:$BE$1068,0)),"")</f>
        <v/>
      </c>
      <c r="N45" s="295">
        <f>IFERROR(INDEX('Historical Data'!$S$2:$S$1068,MATCH($A45,'Historical Data'!$BE$2:$BE$1068,0)),"")</f>
        <v/>
      </c>
      <c r="O45" s="294">
        <f>IFERROR(INDEX('Historical Data'!$AJ$2:$AJ$1068,MATCH($A45,'Historical Data'!$BE$2:$BE$1068,0)),"")</f>
        <v/>
      </c>
      <c r="P45" s="294">
        <f>IFERROR(INDEX('Historical Data'!$AK$2:$AK$1068,MATCH($A45,'Historical Data'!$BE$2:$BE$1068,0)),"")</f>
        <v/>
      </c>
      <c r="Q45" s="291">
        <f>IFERROR(INDEX('Historical Data'!$AA$2:$AA$1068,MATCH($A45,'Historical Data'!$BE$2:$BE$1068,0)),"")</f>
        <v/>
      </c>
      <c r="R45" s="291">
        <f>IFERROR(INDEX('Historical Data'!$AB$2:$AB$1068,MATCH($A45,'Historical Data'!$BE$2:$BE$1068,0)),"")</f>
        <v/>
      </c>
      <c r="S45" s="291">
        <f>IFERROR(INDEX('Historical Data'!$AN$2:$AN$1068,MATCH($A45,'Historical Data'!$BE$2:$BE$1068,0)),"")</f>
        <v/>
      </c>
      <c r="T45" s="291">
        <f>IFERROR(INDEX('Historical Data'!$AC$2:$AC$1068,MATCH($A45,'Historical Data'!$BE$2:$BE$1068,0)),"")</f>
        <v/>
      </c>
      <c r="U45" s="291">
        <f>IFERROR(INDEX('Historical Data'!$AE$2:$AE$1068,MATCH($A45,'Historical Data'!$BE$2:$BE$1068,0)),"")</f>
        <v/>
      </c>
      <c r="V45" s="291">
        <f>IFERROR(INDEX('Historical Data'!$AH$2:$AH$1068,MATCH($A45,'Historical Data'!$BE$2:$BE$1068,0)),"")</f>
        <v/>
      </c>
      <c r="W45" s="291">
        <f>IFERROR(INDEX('Historical Data'!$BC$2:$BC$1068,MATCH($A45,'Historical Data'!$BE$2:$BE$1068,0)),"")</f>
        <v/>
      </c>
      <c r="X45" s="290">
        <f>IF(B45="","",IF(W45=1,"NR + industry + position",IF(W45=2,"NR + ISO + position",IF(W45=3,"NR + industry",IF(W45=4,"NR + ISO",IF(W45=5,"NR + position",IF(W45=6,"NR only","book baseline"))))))&amp;"  ["&amp;IF(T45=1,"seasoned","unseasoned")&amp;IF(U45=1,", defaulted","")&amp;IF(V45=1,", open","")&amp;"]")</f>
        <v/>
      </c>
    </row>
    <row r="46">
      <c r="A46" s="290" t="n">
        <v>42</v>
      </c>
      <c r="B46" s="291">
        <f>IFERROR(INDEX('Historical Data'!$A$2:$A$1068,MATCH($A46,'Historical Data'!$BE$2:$BE$1068,0)),"")</f>
        <v/>
      </c>
      <c r="C46" s="291">
        <f>IFERROR(INDEX('Historical Data'!$B$2:$B$1068,MATCH($A46,'Historical Data'!$BE$2:$BE$1068,0)),"")</f>
        <v/>
      </c>
      <c r="D46" s="291">
        <f>IFERROR(INDEX('Historical Data'!$D$2:$D$1068,MATCH($A46,'Historical Data'!$BE$2:$BE$1068,0)),"")</f>
        <v/>
      </c>
      <c r="E46" s="292">
        <f>IFERROR(INDEX('Historical Data'!$E$2:$E$1068,MATCH($A46,'Historical Data'!$BE$2:$BE$1068,0)),"")</f>
        <v/>
      </c>
      <c r="F46" s="291">
        <f>IFERROR(INDEX('Historical Data'!$G$2:$G$1068,MATCH($A46,'Historical Data'!$BE$2:$BE$1068,0)),"")</f>
        <v/>
      </c>
      <c r="G46" s="291">
        <f>IFERROR(INDEX('Historical Data'!$Y$2:$Y$1068,MATCH($A46,'Historical Data'!$BE$2:$BE$1068,0)),"")</f>
        <v/>
      </c>
      <c r="H46" s="291">
        <f>IFERROR(INDEX('Historical Data'!$K$2:$K$1068,MATCH($A46,'Historical Data'!$BE$2:$BE$1068,0)),"")</f>
        <v/>
      </c>
      <c r="I46" s="291">
        <f>IFERROR(INDEX('Historical Data'!$J$2:$J$1068,MATCH($A46,'Historical Data'!$BE$2:$BE$1068,0)),"")</f>
        <v/>
      </c>
      <c r="J46" s="291">
        <f>IFERROR(INDEX('Historical Data'!$L$2:$L$1068,MATCH($A46,'Historical Data'!$BE$2:$BE$1068,0)),"")</f>
        <v/>
      </c>
      <c r="K46" s="293">
        <f>IFERROR(INDEX('Historical Data'!$M$2:$M$1068,MATCH($A46,'Historical Data'!$BE$2:$BE$1068,0)),"")</f>
        <v/>
      </c>
      <c r="L46" s="294">
        <f>IFERROR(INDEX('Historical Data'!$N$2:$N$1068,MATCH($A46,'Historical Data'!$BE$2:$BE$1068,0)),"")</f>
        <v/>
      </c>
      <c r="M46" s="294">
        <f>IFERROR(INDEX('Historical Data'!$Q$2:$Q$1068,MATCH($A46,'Historical Data'!$BE$2:$BE$1068,0)),"")</f>
        <v/>
      </c>
      <c r="N46" s="295">
        <f>IFERROR(INDEX('Historical Data'!$S$2:$S$1068,MATCH($A46,'Historical Data'!$BE$2:$BE$1068,0)),"")</f>
        <v/>
      </c>
      <c r="O46" s="294">
        <f>IFERROR(INDEX('Historical Data'!$AJ$2:$AJ$1068,MATCH($A46,'Historical Data'!$BE$2:$BE$1068,0)),"")</f>
        <v/>
      </c>
      <c r="P46" s="294">
        <f>IFERROR(INDEX('Historical Data'!$AK$2:$AK$1068,MATCH($A46,'Historical Data'!$BE$2:$BE$1068,0)),"")</f>
        <v/>
      </c>
      <c r="Q46" s="291">
        <f>IFERROR(INDEX('Historical Data'!$AA$2:$AA$1068,MATCH($A46,'Historical Data'!$BE$2:$BE$1068,0)),"")</f>
        <v/>
      </c>
      <c r="R46" s="291">
        <f>IFERROR(INDEX('Historical Data'!$AB$2:$AB$1068,MATCH($A46,'Historical Data'!$BE$2:$BE$1068,0)),"")</f>
        <v/>
      </c>
      <c r="S46" s="291">
        <f>IFERROR(INDEX('Historical Data'!$AN$2:$AN$1068,MATCH($A46,'Historical Data'!$BE$2:$BE$1068,0)),"")</f>
        <v/>
      </c>
      <c r="T46" s="291">
        <f>IFERROR(INDEX('Historical Data'!$AC$2:$AC$1068,MATCH($A46,'Historical Data'!$BE$2:$BE$1068,0)),"")</f>
        <v/>
      </c>
      <c r="U46" s="291">
        <f>IFERROR(INDEX('Historical Data'!$AE$2:$AE$1068,MATCH($A46,'Historical Data'!$BE$2:$BE$1068,0)),"")</f>
        <v/>
      </c>
      <c r="V46" s="291">
        <f>IFERROR(INDEX('Historical Data'!$AH$2:$AH$1068,MATCH($A46,'Historical Data'!$BE$2:$BE$1068,0)),"")</f>
        <v/>
      </c>
      <c r="W46" s="291">
        <f>IFERROR(INDEX('Historical Data'!$BC$2:$BC$1068,MATCH($A46,'Historical Data'!$BE$2:$BE$1068,0)),"")</f>
        <v/>
      </c>
      <c r="X46" s="290">
        <f>IF(B46="","",IF(W46=1,"NR + industry + position",IF(W46=2,"NR + ISO + position",IF(W46=3,"NR + industry",IF(W46=4,"NR + ISO",IF(W46=5,"NR + position",IF(W46=6,"NR only","book baseline"))))))&amp;"  ["&amp;IF(T46=1,"seasoned","unseasoned")&amp;IF(U46=1,", defaulted","")&amp;IF(V46=1,", open","")&amp;"]")</f>
        <v/>
      </c>
    </row>
    <row r="47">
      <c r="A47" s="290" t="n">
        <v>43</v>
      </c>
      <c r="B47" s="291">
        <f>IFERROR(INDEX('Historical Data'!$A$2:$A$1068,MATCH($A47,'Historical Data'!$BE$2:$BE$1068,0)),"")</f>
        <v/>
      </c>
      <c r="C47" s="291">
        <f>IFERROR(INDEX('Historical Data'!$B$2:$B$1068,MATCH($A47,'Historical Data'!$BE$2:$BE$1068,0)),"")</f>
        <v/>
      </c>
      <c r="D47" s="291">
        <f>IFERROR(INDEX('Historical Data'!$D$2:$D$1068,MATCH($A47,'Historical Data'!$BE$2:$BE$1068,0)),"")</f>
        <v/>
      </c>
      <c r="E47" s="292">
        <f>IFERROR(INDEX('Historical Data'!$E$2:$E$1068,MATCH($A47,'Historical Data'!$BE$2:$BE$1068,0)),"")</f>
        <v/>
      </c>
      <c r="F47" s="291">
        <f>IFERROR(INDEX('Historical Data'!$G$2:$G$1068,MATCH($A47,'Historical Data'!$BE$2:$BE$1068,0)),"")</f>
        <v/>
      </c>
      <c r="G47" s="291">
        <f>IFERROR(INDEX('Historical Data'!$Y$2:$Y$1068,MATCH($A47,'Historical Data'!$BE$2:$BE$1068,0)),"")</f>
        <v/>
      </c>
      <c r="H47" s="291">
        <f>IFERROR(INDEX('Historical Data'!$K$2:$K$1068,MATCH($A47,'Historical Data'!$BE$2:$BE$1068,0)),"")</f>
        <v/>
      </c>
      <c r="I47" s="291">
        <f>IFERROR(INDEX('Historical Data'!$J$2:$J$1068,MATCH($A47,'Historical Data'!$BE$2:$BE$1068,0)),"")</f>
        <v/>
      </c>
      <c r="J47" s="291">
        <f>IFERROR(INDEX('Historical Data'!$L$2:$L$1068,MATCH($A47,'Historical Data'!$BE$2:$BE$1068,0)),"")</f>
        <v/>
      </c>
      <c r="K47" s="293">
        <f>IFERROR(INDEX('Historical Data'!$M$2:$M$1068,MATCH($A47,'Historical Data'!$BE$2:$BE$1068,0)),"")</f>
        <v/>
      </c>
      <c r="L47" s="294">
        <f>IFERROR(INDEX('Historical Data'!$N$2:$N$1068,MATCH($A47,'Historical Data'!$BE$2:$BE$1068,0)),"")</f>
        <v/>
      </c>
      <c r="M47" s="294">
        <f>IFERROR(INDEX('Historical Data'!$Q$2:$Q$1068,MATCH($A47,'Historical Data'!$BE$2:$BE$1068,0)),"")</f>
        <v/>
      </c>
      <c r="N47" s="295">
        <f>IFERROR(INDEX('Historical Data'!$S$2:$S$1068,MATCH($A47,'Historical Data'!$BE$2:$BE$1068,0)),"")</f>
        <v/>
      </c>
      <c r="O47" s="294">
        <f>IFERROR(INDEX('Historical Data'!$AJ$2:$AJ$1068,MATCH($A47,'Historical Data'!$BE$2:$BE$1068,0)),"")</f>
        <v/>
      </c>
      <c r="P47" s="294">
        <f>IFERROR(INDEX('Historical Data'!$AK$2:$AK$1068,MATCH($A47,'Historical Data'!$BE$2:$BE$1068,0)),"")</f>
        <v/>
      </c>
      <c r="Q47" s="291">
        <f>IFERROR(INDEX('Historical Data'!$AA$2:$AA$1068,MATCH($A47,'Historical Data'!$BE$2:$BE$1068,0)),"")</f>
        <v/>
      </c>
      <c r="R47" s="291">
        <f>IFERROR(INDEX('Historical Data'!$AB$2:$AB$1068,MATCH($A47,'Historical Data'!$BE$2:$BE$1068,0)),"")</f>
        <v/>
      </c>
      <c r="S47" s="291">
        <f>IFERROR(INDEX('Historical Data'!$AN$2:$AN$1068,MATCH($A47,'Historical Data'!$BE$2:$BE$1068,0)),"")</f>
        <v/>
      </c>
      <c r="T47" s="291">
        <f>IFERROR(INDEX('Historical Data'!$AC$2:$AC$1068,MATCH($A47,'Historical Data'!$BE$2:$BE$1068,0)),"")</f>
        <v/>
      </c>
      <c r="U47" s="291">
        <f>IFERROR(INDEX('Historical Data'!$AE$2:$AE$1068,MATCH($A47,'Historical Data'!$BE$2:$BE$1068,0)),"")</f>
        <v/>
      </c>
      <c r="V47" s="291">
        <f>IFERROR(INDEX('Historical Data'!$AH$2:$AH$1068,MATCH($A47,'Historical Data'!$BE$2:$BE$1068,0)),"")</f>
        <v/>
      </c>
      <c r="W47" s="291">
        <f>IFERROR(INDEX('Historical Data'!$BC$2:$BC$1068,MATCH($A47,'Historical Data'!$BE$2:$BE$1068,0)),"")</f>
        <v/>
      </c>
      <c r="X47" s="290">
        <f>IF(B47="","",IF(W47=1,"NR + industry + position",IF(W47=2,"NR + ISO + position",IF(W47=3,"NR + industry",IF(W47=4,"NR + ISO",IF(W47=5,"NR + position",IF(W47=6,"NR only","book baseline"))))))&amp;"  ["&amp;IF(T47=1,"seasoned","unseasoned")&amp;IF(U47=1,", defaulted","")&amp;IF(V47=1,", open","")&amp;"]")</f>
        <v/>
      </c>
    </row>
    <row r="48">
      <c r="A48" s="290" t="n">
        <v>44</v>
      </c>
      <c r="B48" s="291">
        <f>IFERROR(INDEX('Historical Data'!$A$2:$A$1068,MATCH($A48,'Historical Data'!$BE$2:$BE$1068,0)),"")</f>
        <v/>
      </c>
      <c r="C48" s="291">
        <f>IFERROR(INDEX('Historical Data'!$B$2:$B$1068,MATCH($A48,'Historical Data'!$BE$2:$BE$1068,0)),"")</f>
        <v/>
      </c>
      <c r="D48" s="291">
        <f>IFERROR(INDEX('Historical Data'!$D$2:$D$1068,MATCH($A48,'Historical Data'!$BE$2:$BE$1068,0)),"")</f>
        <v/>
      </c>
      <c r="E48" s="292">
        <f>IFERROR(INDEX('Historical Data'!$E$2:$E$1068,MATCH($A48,'Historical Data'!$BE$2:$BE$1068,0)),"")</f>
        <v/>
      </c>
      <c r="F48" s="291">
        <f>IFERROR(INDEX('Historical Data'!$G$2:$G$1068,MATCH($A48,'Historical Data'!$BE$2:$BE$1068,0)),"")</f>
        <v/>
      </c>
      <c r="G48" s="291">
        <f>IFERROR(INDEX('Historical Data'!$Y$2:$Y$1068,MATCH($A48,'Historical Data'!$BE$2:$BE$1068,0)),"")</f>
        <v/>
      </c>
      <c r="H48" s="291">
        <f>IFERROR(INDEX('Historical Data'!$K$2:$K$1068,MATCH($A48,'Historical Data'!$BE$2:$BE$1068,0)),"")</f>
        <v/>
      </c>
      <c r="I48" s="291">
        <f>IFERROR(INDEX('Historical Data'!$J$2:$J$1068,MATCH($A48,'Historical Data'!$BE$2:$BE$1068,0)),"")</f>
        <v/>
      </c>
      <c r="J48" s="291">
        <f>IFERROR(INDEX('Historical Data'!$L$2:$L$1068,MATCH($A48,'Historical Data'!$BE$2:$BE$1068,0)),"")</f>
        <v/>
      </c>
      <c r="K48" s="293">
        <f>IFERROR(INDEX('Historical Data'!$M$2:$M$1068,MATCH($A48,'Historical Data'!$BE$2:$BE$1068,0)),"")</f>
        <v/>
      </c>
      <c r="L48" s="294">
        <f>IFERROR(INDEX('Historical Data'!$N$2:$N$1068,MATCH($A48,'Historical Data'!$BE$2:$BE$1068,0)),"")</f>
        <v/>
      </c>
      <c r="M48" s="294">
        <f>IFERROR(INDEX('Historical Data'!$Q$2:$Q$1068,MATCH($A48,'Historical Data'!$BE$2:$BE$1068,0)),"")</f>
        <v/>
      </c>
      <c r="N48" s="295">
        <f>IFERROR(INDEX('Historical Data'!$S$2:$S$1068,MATCH($A48,'Historical Data'!$BE$2:$BE$1068,0)),"")</f>
        <v/>
      </c>
      <c r="O48" s="294">
        <f>IFERROR(INDEX('Historical Data'!$AJ$2:$AJ$1068,MATCH($A48,'Historical Data'!$BE$2:$BE$1068,0)),"")</f>
        <v/>
      </c>
      <c r="P48" s="294">
        <f>IFERROR(INDEX('Historical Data'!$AK$2:$AK$1068,MATCH($A48,'Historical Data'!$BE$2:$BE$1068,0)),"")</f>
        <v/>
      </c>
      <c r="Q48" s="291">
        <f>IFERROR(INDEX('Historical Data'!$AA$2:$AA$1068,MATCH($A48,'Historical Data'!$BE$2:$BE$1068,0)),"")</f>
        <v/>
      </c>
      <c r="R48" s="291">
        <f>IFERROR(INDEX('Historical Data'!$AB$2:$AB$1068,MATCH($A48,'Historical Data'!$BE$2:$BE$1068,0)),"")</f>
        <v/>
      </c>
      <c r="S48" s="291">
        <f>IFERROR(INDEX('Historical Data'!$AN$2:$AN$1068,MATCH($A48,'Historical Data'!$BE$2:$BE$1068,0)),"")</f>
        <v/>
      </c>
      <c r="T48" s="291">
        <f>IFERROR(INDEX('Historical Data'!$AC$2:$AC$1068,MATCH($A48,'Historical Data'!$BE$2:$BE$1068,0)),"")</f>
        <v/>
      </c>
      <c r="U48" s="291">
        <f>IFERROR(INDEX('Historical Data'!$AE$2:$AE$1068,MATCH($A48,'Historical Data'!$BE$2:$BE$1068,0)),"")</f>
        <v/>
      </c>
      <c r="V48" s="291">
        <f>IFERROR(INDEX('Historical Data'!$AH$2:$AH$1068,MATCH($A48,'Historical Data'!$BE$2:$BE$1068,0)),"")</f>
        <v/>
      </c>
      <c r="W48" s="291">
        <f>IFERROR(INDEX('Historical Data'!$BC$2:$BC$1068,MATCH($A48,'Historical Data'!$BE$2:$BE$1068,0)),"")</f>
        <v/>
      </c>
      <c r="X48" s="290">
        <f>IF(B48="","",IF(W48=1,"NR + industry + position",IF(W48=2,"NR + ISO + position",IF(W48=3,"NR + industry",IF(W48=4,"NR + ISO",IF(W48=5,"NR + position",IF(W48=6,"NR only","book baseline"))))))&amp;"  ["&amp;IF(T48=1,"seasoned","unseasoned")&amp;IF(U48=1,", defaulted","")&amp;IF(V48=1,", open","")&amp;"]")</f>
        <v/>
      </c>
    </row>
    <row r="49">
      <c r="A49" s="290" t="n">
        <v>45</v>
      </c>
      <c r="B49" s="291">
        <f>IFERROR(INDEX('Historical Data'!$A$2:$A$1068,MATCH($A49,'Historical Data'!$BE$2:$BE$1068,0)),"")</f>
        <v/>
      </c>
      <c r="C49" s="291">
        <f>IFERROR(INDEX('Historical Data'!$B$2:$B$1068,MATCH($A49,'Historical Data'!$BE$2:$BE$1068,0)),"")</f>
        <v/>
      </c>
      <c r="D49" s="291">
        <f>IFERROR(INDEX('Historical Data'!$D$2:$D$1068,MATCH($A49,'Historical Data'!$BE$2:$BE$1068,0)),"")</f>
        <v/>
      </c>
      <c r="E49" s="292">
        <f>IFERROR(INDEX('Historical Data'!$E$2:$E$1068,MATCH($A49,'Historical Data'!$BE$2:$BE$1068,0)),"")</f>
        <v/>
      </c>
      <c r="F49" s="291">
        <f>IFERROR(INDEX('Historical Data'!$G$2:$G$1068,MATCH($A49,'Historical Data'!$BE$2:$BE$1068,0)),"")</f>
        <v/>
      </c>
      <c r="G49" s="291">
        <f>IFERROR(INDEX('Historical Data'!$Y$2:$Y$1068,MATCH($A49,'Historical Data'!$BE$2:$BE$1068,0)),"")</f>
        <v/>
      </c>
      <c r="H49" s="291">
        <f>IFERROR(INDEX('Historical Data'!$K$2:$K$1068,MATCH($A49,'Historical Data'!$BE$2:$BE$1068,0)),"")</f>
        <v/>
      </c>
      <c r="I49" s="291">
        <f>IFERROR(INDEX('Historical Data'!$J$2:$J$1068,MATCH($A49,'Historical Data'!$BE$2:$BE$1068,0)),"")</f>
        <v/>
      </c>
      <c r="J49" s="291">
        <f>IFERROR(INDEX('Historical Data'!$L$2:$L$1068,MATCH($A49,'Historical Data'!$BE$2:$BE$1068,0)),"")</f>
        <v/>
      </c>
      <c r="K49" s="293">
        <f>IFERROR(INDEX('Historical Data'!$M$2:$M$1068,MATCH($A49,'Historical Data'!$BE$2:$BE$1068,0)),"")</f>
        <v/>
      </c>
      <c r="L49" s="294">
        <f>IFERROR(INDEX('Historical Data'!$N$2:$N$1068,MATCH($A49,'Historical Data'!$BE$2:$BE$1068,0)),"")</f>
        <v/>
      </c>
      <c r="M49" s="294">
        <f>IFERROR(INDEX('Historical Data'!$Q$2:$Q$1068,MATCH($A49,'Historical Data'!$BE$2:$BE$1068,0)),"")</f>
        <v/>
      </c>
      <c r="N49" s="295">
        <f>IFERROR(INDEX('Historical Data'!$S$2:$S$1068,MATCH($A49,'Historical Data'!$BE$2:$BE$1068,0)),"")</f>
        <v/>
      </c>
      <c r="O49" s="294">
        <f>IFERROR(INDEX('Historical Data'!$AJ$2:$AJ$1068,MATCH($A49,'Historical Data'!$BE$2:$BE$1068,0)),"")</f>
        <v/>
      </c>
      <c r="P49" s="294">
        <f>IFERROR(INDEX('Historical Data'!$AK$2:$AK$1068,MATCH($A49,'Historical Data'!$BE$2:$BE$1068,0)),"")</f>
        <v/>
      </c>
      <c r="Q49" s="291">
        <f>IFERROR(INDEX('Historical Data'!$AA$2:$AA$1068,MATCH($A49,'Historical Data'!$BE$2:$BE$1068,0)),"")</f>
        <v/>
      </c>
      <c r="R49" s="291">
        <f>IFERROR(INDEX('Historical Data'!$AB$2:$AB$1068,MATCH($A49,'Historical Data'!$BE$2:$BE$1068,0)),"")</f>
        <v/>
      </c>
      <c r="S49" s="291">
        <f>IFERROR(INDEX('Historical Data'!$AN$2:$AN$1068,MATCH($A49,'Historical Data'!$BE$2:$BE$1068,0)),"")</f>
        <v/>
      </c>
      <c r="T49" s="291">
        <f>IFERROR(INDEX('Historical Data'!$AC$2:$AC$1068,MATCH($A49,'Historical Data'!$BE$2:$BE$1068,0)),"")</f>
        <v/>
      </c>
      <c r="U49" s="291">
        <f>IFERROR(INDEX('Historical Data'!$AE$2:$AE$1068,MATCH($A49,'Historical Data'!$BE$2:$BE$1068,0)),"")</f>
        <v/>
      </c>
      <c r="V49" s="291">
        <f>IFERROR(INDEX('Historical Data'!$AH$2:$AH$1068,MATCH($A49,'Historical Data'!$BE$2:$BE$1068,0)),"")</f>
        <v/>
      </c>
      <c r="W49" s="291">
        <f>IFERROR(INDEX('Historical Data'!$BC$2:$BC$1068,MATCH($A49,'Historical Data'!$BE$2:$BE$1068,0)),"")</f>
        <v/>
      </c>
      <c r="X49" s="290">
        <f>IF(B49="","",IF(W49=1,"NR + industry + position",IF(W49=2,"NR + ISO + position",IF(W49=3,"NR + industry",IF(W49=4,"NR + ISO",IF(W49=5,"NR + position",IF(W49=6,"NR only","book baseline"))))))&amp;"  ["&amp;IF(T49=1,"seasoned","unseasoned")&amp;IF(U49=1,", defaulted","")&amp;IF(V49=1,", open","")&amp;"]")</f>
        <v/>
      </c>
    </row>
    <row r="50">
      <c r="A50" s="290" t="n">
        <v>46</v>
      </c>
      <c r="B50" s="291">
        <f>IFERROR(INDEX('Historical Data'!$A$2:$A$1068,MATCH($A50,'Historical Data'!$BE$2:$BE$1068,0)),"")</f>
        <v/>
      </c>
      <c r="C50" s="291">
        <f>IFERROR(INDEX('Historical Data'!$B$2:$B$1068,MATCH($A50,'Historical Data'!$BE$2:$BE$1068,0)),"")</f>
        <v/>
      </c>
      <c r="D50" s="291">
        <f>IFERROR(INDEX('Historical Data'!$D$2:$D$1068,MATCH($A50,'Historical Data'!$BE$2:$BE$1068,0)),"")</f>
        <v/>
      </c>
      <c r="E50" s="292">
        <f>IFERROR(INDEX('Historical Data'!$E$2:$E$1068,MATCH($A50,'Historical Data'!$BE$2:$BE$1068,0)),"")</f>
        <v/>
      </c>
      <c r="F50" s="291">
        <f>IFERROR(INDEX('Historical Data'!$G$2:$G$1068,MATCH($A50,'Historical Data'!$BE$2:$BE$1068,0)),"")</f>
        <v/>
      </c>
      <c r="G50" s="291">
        <f>IFERROR(INDEX('Historical Data'!$Y$2:$Y$1068,MATCH($A50,'Historical Data'!$BE$2:$BE$1068,0)),"")</f>
        <v/>
      </c>
      <c r="H50" s="291">
        <f>IFERROR(INDEX('Historical Data'!$K$2:$K$1068,MATCH($A50,'Historical Data'!$BE$2:$BE$1068,0)),"")</f>
        <v/>
      </c>
      <c r="I50" s="291">
        <f>IFERROR(INDEX('Historical Data'!$J$2:$J$1068,MATCH($A50,'Historical Data'!$BE$2:$BE$1068,0)),"")</f>
        <v/>
      </c>
      <c r="J50" s="291">
        <f>IFERROR(INDEX('Historical Data'!$L$2:$L$1068,MATCH($A50,'Historical Data'!$BE$2:$BE$1068,0)),"")</f>
        <v/>
      </c>
      <c r="K50" s="293">
        <f>IFERROR(INDEX('Historical Data'!$M$2:$M$1068,MATCH($A50,'Historical Data'!$BE$2:$BE$1068,0)),"")</f>
        <v/>
      </c>
      <c r="L50" s="294">
        <f>IFERROR(INDEX('Historical Data'!$N$2:$N$1068,MATCH($A50,'Historical Data'!$BE$2:$BE$1068,0)),"")</f>
        <v/>
      </c>
      <c r="M50" s="294">
        <f>IFERROR(INDEX('Historical Data'!$Q$2:$Q$1068,MATCH($A50,'Historical Data'!$BE$2:$BE$1068,0)),"")</f>
        <v/>
      </c>
      <c r="N50" s="295">
        <f>IFERROR(INDEX('Historical Data'!$S$2:$S$1068,MATCH($A50,'Historical Data'!$BE$2:$BE$1068,0)),"")</f>
        <v/>
      </c>
      <c r="O50" s="294">
        <f>IFERROR(INDEX('Historical Data'!$AJ$2:$AJ$1068,MATCH($A50,'Historical Data'!$BE$2:$BE$1068,0)),"")</f>
        <v/>
      </c>
      <c r="P50" s="294">
        <f>IFERROR(INDEX('Historical Data'!$AK$2:$AK$1068,MATCH($A50,'Historical Data'!$BE$2:$BE$1068,0)),"")</f>
        <v/>
      </c>
      <c r="Q50" s="291">
        <f>IFERROR(INDEX('Historical Data'!$AA$2:$AA$1068,MATCH($A50,'Historical Data'!$BE$2:$BE$1068,0)),"")</f>
        <v/>
      </c>
      <c r="R50" s="291">
        <f>IFERROR(INDEX('Historical Data'!$AB$2:$AB$1068,MATCH($A50,'Historical Data'!$BE$2:$BE$1068,0)),"")</f>
        <v/>
      </c>
      <c r="S50" s="291">
        <f>IFERROR(INDEX('Historical Data'!$AN$2:$AN$1068,MATCH($A50,'Historical Data'!$BE$2:$BE$1068,0)),"")</f>
        <v/>
      </c>
      <c r="T50" s="291">
        <f>IFERROR(INDEX('Historical Data'!$AC$2:$AC$1068,MATCH($A50,'Historical Data'!$BE$2:$BE$1068,0)),"")</f>
        <v/>
      </c>
      <c r="U50" s="291">
        <f>IFERROR(INDEX('Historical Data'!$AE$2:$AE$1068,MATCH($A50,'Historical Data'!$BE$2:$BE$1068,0)),"")</f>
        <v/>
      </c>
      <c r="V50" s="291">
        <f>IFERROR(INDEX('Historical Data'!$AH$2:$AH$1068,MATCH($A50,'Historical Data'!$BE$2:$BE$1068,0)),"")</f>
        <v/>
      </c>
      <c r="W50" s="291">
        <f>IFERROR(INDEX('Historical Data'!$BC$2:$BC$1068,MATCH($A50,'Historical Data'!$BE$2:$BE$1068,0)),"")</f>
        <v/>
      </c>
      <c r="X50" s="290">
        <f>IF(B50="","",IF(W50=1,"NR + industry + position",IF(W50=2,"NR + ISO + position",IF(W50=3,"NR + industry",IF(W50=4,"NR + ISO",IF(W50=5,"NR + position",IF(W50=6,"NR only","book baseline"))))))&amp;"  ["&amp;IF(T50=1,"seasoned","unseasoned")&amp;IF(U50=1,", defaulted","")&amp;IF(V50=1,", open","")&amp;"]")</f>
        <v/>
      </c>
    </row>
    <row r="51">
      <c r="A51" s="290" t="n">
        <v>47</v>
      </c>
      <c r="B51" s="291">
        <f>IFERROR(INDEX('Historical Data'!$A$2:$A$1068,MATCH($A51,'Historical Data'!$BE$2:$BE$1068,0)),"")</f>
        <v/>
      </c>
      <c r="C51" s="291">
        <f>IFERROR(INDEX('Historical Data'!$B$2:$B$1068,MATCH($A51,'Historical Data'!$BE$2:$BE$1068,0)),"")</f>
        <v/>
      </c>
      <c r="D51" s="291">
        <f>IFERROR(INDEX('Historical Data'!$D$2:$D$1068,MATCH($A51,'Historical Data'!$BE$2:$BE$1068,0)),"")</f>
        <v/>
      </c>
      <c r="E51" s="292">
        <f>IFERROR(INDEX('Historical Data'!$E$2:$E$1068,MATCH($A51,'Historical Data'!$BE$2:$BE$1068,0)),"")</f>
        <v/>
      </c>
      <c r="F51" s="291">
        <f>IFERROR(INDEX('Historical Data'!$G$2:$G$1068,MATCH($A51,'Historical Data'!$BE$2:$BE$1068,0)),"")</f>
        <v/>
      </c>
      <c r="G51" s="291">
        <f>IFERROR(INDEX('Historical Data'!$Y$2:$Y$1068,MATCH($A51,'Historical Data'!$BE$2:$BE$1068,0)),"")</f>
        <v/>
      </c>
      <c r="H51" s="291">
        <f>IFERROR(INDEX('Historical Data'!$K$2:$K$1068,MATCH($A51,'Historical Data'!$BE$2:$BE$1068,0)),"")</f>
        <v/>
      </c>
      <c r="I51" s="291">
        <f>IFERROR(INDEX('Historical Data'!$J$2:$J$1068,MATCH($A51,'Historical Data'!$BE$2:$BE$1068,0)),"")</f>
        <v/>
      </c>
      <c r="J51" s="291">
        <f>IFERROR(INDEX('Historical Data'!$L$2:$L$1068,MATCH($A51,'Historical Data'!$BE$2:$BE$1068,0)),"")</f>
        <v/>
      </c>
      <c r="K51" s="293">
        <f>IFERROR(INDEX('Historical Data'!$M$2:$M$1068,MATCH($A51,'Historical Data'!$BE$2:$BE$1068,0)),"")</f>
        <v/>
      </c>
      <c r="L51" s="294">
        <f>IFERROR(INDEX('Historical Data'!$N$2:$N$1068,MATCH($A51,'Historical Data'!$BE$2:$BE$1068,0)),"")</f>
        <v/>
      </c>
      <c r="M51" s="294">
        <f>IFERROR(INDEX('Historical Data'!$Q$2:$Q$1068,MATCH($A51,'Historical Data'!$BE$2:$BE$1068,0)),"")</f>
        <v/>
      </c>
      <c r="N51" s="295">
        <f>IFERROR(INDEX('Historical Data'!$S$2:$S$1068,MATCH($A51,'Historical Data'!$BE$2:$BE$1068,0)),"")</f>
        <v/>
      </c>
      <c r="O51" s="294">
        <f>IFERROR(INDEX('Historical Data'!$AJ$2:$AJ$1068,MATCH($A51,'Historical Data'!$BE$2:$BE$1068,0)),"")</f>
        <v/>
      </c>
      <c r="P51" s="294">
        <f>IFERROR(INDEX('Historical Data'!$AK$2:$AK$1068,MATCH($A51,'Historical Data'!$BE$2:$BE$1068,0)),"")</f>
        <v/>
      </c>
      <c r="Q51" s="291">
        <f>IFERROR(INDEX('Historical Data'!$AA$2:$AA$1068,MATCH($A51,'Historical Data'!$BE$2:$BE$1068,0)),"")</f>
        <v/>
      </c>
      <c r="R51" s="291">
        <f>IFERROR(INDEX('Historical Data'!$AB$2:$AB$1068,MATCH($A51,'Historical Data'!$BE$2:$BE$1068,0)),"")</f>
        <v/>
      </c>
      <c r="S51" s="291">
        <f>IFERROR(INDEX('Historical Data'!$AN$2:$AN$1068,MATCH($A51,'Historical Data'!$BE$2:$BE$1068,0)),"")</f>
        <v/>
      </c>
      <c r="T51" s="291">
        <f>IFERROR(INDEX('Historical Data'!$AC$2:$AC$1068,MATCH($A51,'Historical Data'!$BE$2:$BE$1068,0)),"")</f>
        <v/>
      </c>
      <c r="U51" s="291">
        <f>IFERROR(INDEX('Historical Data'!$AE$2:$AE$1068,MATCH($A51,'Historical Data'!$BE$2:$BE$1068,0)),"")</f>
        <v/>
      </c>
      <c r="V51" s="291">
        <f>IFERROR(INDEX('Historical Data'!$AH$2:$AH$1068,MATCH($A51,'Historical Data'!$BE$2:$BE$1068,0)),"")</f>
        <v/>
      </c>
      <c r="W51" s="291">
        <f>IFERROR(INDEX('Historical Data'!$BC$2:$BC$1068,MATCH($A51,'Historical Data'!$BE$2:$BE$1068,0)),"")</f>
        <v/>
      </c>
      <c r="X51" s="290">
        <f>IF(B51="","",IF(W51=1,"NR + industry + position",IF(W51=2,"NR + ISO + position",IF(W51=3,"NR + industry",IF(W51=4,"NR + ISO",IF(W51=5,"NR + position",IF(W51=6,"NR only","book baseline"))))))&amp;"  ["&amp;IF(T51=1,"seasoned","unseasoned")&amp;IF(U51=1,", defaulted","")&amp;IF(V51=1,", open","")&amp;"]")</f>
        <v/>
      </c>
    </row>
    <row r="52">
      <c r="A52" s="290" t="n">
        <v>48</v>
      </c>
      <c r="B52" s="291">
        <f>IFERROR(INDEX('Historical Data'!$A$2:$A$1068,MATCH($A52,'Historical Data'!$BE$2:$BE$1068,0)),"")</f>
        <v/>
      </c>
      <c r="C52" s="291">
        <f>IFERROR(INDEX('Historical Data'!$B$2:$B$1068,MATCH($A52,'Historical Data'!$BE$2:$BE$1068,0)),"")</f>
        <v/>
      </c>
      <c r="D52" s="291">
        <f>IFERROR(INDEX('Historical Data'!$D$2:$D$1068,MATCH($A52,'Historical Data'!$BE$2:$BE$1068,0)),"")</f>
        <v/>
      </c>
      <c r="E52" s="292">
        <f>IFERROR(INDEX('Historical Data'!$E$2:$E$1068,MATCH($A52,'Historical Data'!$BE$2:$BE$1068,0)),"")</f>
        <v/>
      </c>
      <c r="F52" s="291">
        <f>IFERROR(INDEX('Historical Data'!$G$2:$G$1068,MATCH($A52,'Historical Data'!$BE$2:$BE$1068,0)),"")</f>
        <v/>
      </c>
      <c r="G52" s="291">
        <f>IFERROR(INDEX('Historical Data'!$Y$2:$Y$1068,MATCH($A52,'Historical Data'!$BE$2:$BE$1068,0)),"")</f>
        <v/>
      </c>
      <c r="H52" s="291">
        <f>IFERROR(INDEX('Historical Data'!$K$2:$K$1068,MATCH($A52,'Historical Data'!$BE$2:$BE$1068,0)),"")</f>
        <v/>
      </c>
      <c r="I52" s="291">
        <f>IFERROR(INDEX('Historical Data'!$J$2:$J$1068,MATCH($A52,'Historical Data'!$BE$2:$BE$1068,0)),"")</f>
        <v/>
      </c>
      <c r="J52" s="291">
        <f>IFERROR(INDEX('Historical Data'!$L$2:$L$1068,MATCH($A52,'Historical Data'!$BE$2:$BE$1068,0)),"")</f>
        <v/>
      </c>
      <c r="K52" s="293">
        <f>IFERROR(INDEX('Historical Data'!$M$2:$M$1068,MATCH($A52,'Historical Data'!$BE$2:$BE$1068,0)),"")</f>
        <v/>
      </c>
      <c r="L52" s="294">
        <f>IFERROR(INDEX('Historical Data'!$N$2:$N$1068,MATCH($A52,'Historical Data'!$BE$2:$BE$1068,0)),"")</f>
        <v/>
      </c>
      <c r="M52" s="294">
        <f>IFERROR(INDEX('Historical Data'!$Q$2:$Q$1068,MATCH($A52,'Historical Data'!$BE$2:$BE$1068,0)),"")</f>
        <v/>
      </c>
      <c r="N52" s="295">
        <f>IFERROR(INDEX('Historical Data'!$S$2:$S$1068,MATCH($A52,'Historical Data'!$BE$2:$BE$1068,0)),"")</f>
        <v/>
      </c>
      <c r="O52" s="294">
        <f>IFERROR(INDEX('Historical Data'!$AJ$2:$AJ$1068,MATCH($A52,'Historical Data'!$BE$2:$BE$1068,0)),"")</f>
        <v/>
      </c>
      <c r="P52" s="294">
        <f>IFERROR(INDEX('Historical Data'!$AK$2:$AK$1068,MATCH($A52,'Historical Data'!$BE$2:$BE$1068,0)),"")</f>
        <v/>
      </c>
      <c r="Q52" s="291">
        <f>IFERROR(INDEX('Historical Data'!$AA$2:$AA$1068,MATCH($A52,'Historical Data'!$BE$2:$BE$1068,0)),"")</f>
        <v/>
      </c>
      <c r="R52" s="291">
        <f>IFERROR(INDEX('Historical Data'!$AB$2:$AB$1068,MATCH($A52,'Historical Data'!$BE$2:$BE$1068,0)),"")</f>
        <v/>
      </c>
      <c r="S52" s="291">
        <f>IFERROR(INDEX('Historical Data'!$AN$2:$AN$1068,MATCH($A52,'Historical Data'!$BE$2:$BE$1068,0)),"")</f>
        <v/>
      </c>
      <c r="T52" s="291">
        <f>IFERROR(INDEX('Historical Data'!$AC$2:$AC$1068,MATCH($A52,'Historical Data'!$BE$2:$BE$1068,0)),"")</f>
        <v/>
      </c>
      <c r="U52" s="291">
        <f>IFERROR(INDEX('Historical Data'!$AE$2:$AE$1068,MATCH($A52,'Historical Data'!$BE$2:$BE$1068,0)),"")</f>
        <v/>
      </c>
      <c r="V52" s="291">
        <f>IFERROR(INDEX('Historical Data'!$AH$2:$AH$1068,MATCH($A52,'Historical Data'!$BE$2:$BE$1068,0)),"")</f>
        <v/>
      </c>
      <c r="W52" s="291">
        <f>IFERROR(INDEX('Historical Data'!$BC$2:$BC$1068,MATCH($A52,'Historical Data'!$BE$2:$BE$1068,0)),"")</f>
        <v/>
      </c>
      <c r="X52" s="290">
        <f>IF(B52="","",IF(W52=1,"NR + industry + position",IF(W52=2,"NR + ISO + position",IF(W52=3,"NR + industry",IF(W52=4,"NR + ISO",IF(W52=5,"NR + position",IF(W52=6,"NR only","book baseline"))))))&amp;"  ["&amp;IF(T52=1,"seasoned","unseasoned")&amp;IF(U52=1,", defaulted","")&amp;IF(V52=1,", open","")&amp;"]")</f>
        <v/>
      </c>
    </row>
    <row r="53">
      <c r="A53" s="290" t="n">
        <v>49</v>
      </c>
      <c r="B53" s="291">
        <f>IFERROR(INDEX('Historical Data'!$A$2:$A$1068,MATCH($A53,'Historical Data'!$BE$2:$BE$1068,0)),"")</f>
        <v/>
      </c>
      <c r="C53" s="291">
        <f>IFERROR(INDEX('Historical Data'!$B$2:$B$1068,MATCH($A53,'Historical Data'!$BE$2:$BE$1068,0)),"")</f>
        <v/>
      </c>
      <c r="D53" s="291">
        <f>IFERROR(INDEX('Historical Data'!$D$2:$D$1068,MATCH($A53,'Historical Data'!$BE$2:$BE$1068,0)),"")</f>
        <v/>
      </c>
      <c r="E53" s="292">
        <f>IFERROR(INDEX('Historical Data'!$E$2:$E$1068,MATCH($A53,'Historical Data'!$BE$2:$BE$1068,0)),"")</f>
        <v/>
      </c>
      <c r="F53" s="291">
        <f>IFERROR(INDEX('Historical Data'!$G$2:$G$1068,MATCH($A53,'Historical Data'!$BE$2:$BE$1068,0)),"")</f>
        <v/>
      </c>
      <c r="G53" s="291">
        <f>IFERROR(INDEX('Historical Data'!$Y$2:$Y$1068,MATCH($A53,'Historical Data'!$BE$2:$BE$1068,0)),"")</f>
        <v/>
      </c>
      <c r="H53" s="291">
        <f>IFERROR(INDEX('Historical Data'!$K$2:$K$1068,MATCH($A53,'Historical Data'!$BE$2:$BE$1068,0)),"")</f>
        <v/>
      </c>
      <c r="I53" s="291">
        <f>IFERROR(INDEX('Historical Data'!$J$2:$J$1068,MATCH($A53,'Historical Data'!$BE$2:$BE$1068,0)),"")</f>
        <v/>
      </c>
      <c r="J53" s="291">
        <f>IFERROR(INDEX('Historical Data'!$L$2:$L$1068,MATCH($A53,'Historical Data'!$BE$2:$BE$1068,0)),"")</f>
        <v/>
      </c>
      <c r="K53" s="293">
        <f>IFERROR(INDEX('Historical Data'!$M$2:$M$1068,MATCH($A53,'Historical Data'!$BE$2:$BE$1068,0)),"")</f>
        <v/>
      </c>
      <c r="L53" s="294">
        <f>IFERROR(INDEX('Historical Data'!$N$2:$N$1068,MATCH($A53,'Historical Data'!$BE$2:$BE$1068,0)),"")</f>
        <v/>
      </c>
      <c r="M53" s="294">
        <f>IFERROR(INDEX('Historical Data'!$Q$2:$Q$1068,MATCH($A53,'Historical Data'!$BE$2:$BE$1068,0)),"")</f>
        <v/>
      </c>
      <c r="N53" s="295">
        <f>IFERROR(INDEX('Historical Data'!$S$2:$S$1068,MATCH($A53,'Historical Data'!$BE$2:$BE$1068,0)),"")</f>
        <v/>
      </c>
      <c r="O53" s="294">
        <f>IFERROR(INDEX('Historical Data'!$AJ$2:$AJ$1068,MATCH($A53,'Historical Data'!$BE$2:$BE$1068,0)),"")</f>
        <v/>
      </c>
      <c r="P53" s="294">
        <f>IFERROR(INDEX('Historical Data'!$AK$2:$AK$1068,MATCH($A53,'Historical Data'!$BE$2:$BE$1068,0)),"")</f>
        <v/>
      </c>
      <c r="Q53" s="291">
        <f>IFERROR(INDEX('Historical Data'!$AA$2:$AA$1068,MATCH($A53,'Historical Data'!$BE$2:$BE$1068,0)),"")</f>
        <v/>
      </c>
      <c r="R53" s="291">
        <f>IFERROR(INDEX('Historical Data'!$AB$2:$AB$1068,MATCH($A53,'Historical Data'!$BE$2:$BE$1068,0)),"")</f>
        <v/>
      </c>
      <c r="S53" s="291">
        <f>IFERROR(INDEX('Historical Data'!$AN$2:$AN$1068,MATCH($A53,'Historical Data'!$BE$2:$BE$1068,0)),"")</f>
        <v/>
      </c>
      <c r="T53" s="291">
        <f>IFERROR(INDEX('Historical Data'!$AC$2:$AC$1068,MATCH($A53,'Historical Data'!$BE$2:$BE$1068,0)),"")</f>
        <v/>
      </c>
      <c r="U53" s="291">
        <f>IFERROR(INDEX('Historical Data'!$AE$2:$AE$1068,MATCH($A53,'Historical Data'!$BE$2:$BE$1068,0)),"")</f>
        <v/>
      </c>
      <c r="V53" s="291">
        <f>IFERROR(INDEX('Historical Data'!$AH$2:$AH$1068,MATCH($A53,'Historical Data'!$BE$2:$BE$1068,0)),"")</f>
        <v/>
      </c>
      <c r="W53" s="291">
        <f>IFERROR(INDEX('Historical Data'!$BC$2:$BC$1068,MATCH($A53,'Historical Data'!$BE$2:$BE$1068,0)),"")</f>
        <v/>
      </c>
      <c r="X53" s="290">
        <f>IF(B53="","",IF(W53=1,"NR + industry + position",IF(W53=2,"NR + ISO + position",IF(W53=3,"NR + industry",IF(W53=4,"NR + ISO",IF(W53=5,"NR + position",IF(W53=6,"NR only","book baseline"))))))&amp;"  ["&amp;IF(T53=1,"seasoned","unseasoned")&amp;IF(U53=1,", defaulted","")&amp;IF(V53=1,", open","")&amp;"]")</f>
        <v/>
      </c>
    </row>
    <row r="54">
      <c r="A54" s="290" t="n">
        <v>50</v>
      </c>
      <c r="B54" s="291">
        <f>IFERROR(INDEX('Historical Data'!$A$2:$A$1068,MATCH($A54,'Historical Data'!$BE$2:$BE$1068,0)),"")</f>
        <v/>
      </c>
      <c r="C54" s="291">
        <f>IFERROR(INDEX('Historical Data'!$B$2:$B$1068,MATCH($A54,'Historical Data'!$BE$2:$BE$1068,0)),"")</f>
        <v/>
      </c>
      <c r="D54" s="291">
        <f>IFERROR(INDEX('Historical Data'!$D$2:$D$1068,MATCH($A54,'Historical Data'!$BE$2:$BE$1068,0)),"")</f>
        <v/>
      </c>
      <c r="E54" s="292">
        <f>IFERROR(INDEX('Historical Data'!$E$2:$E$1068,MATCH($A54,'Historical Data'!$BE$2:$BE$1068,0)),"")</f>
        <v/>
      </c>
      <c r="F54" s="291">
        <f>IFERROR(INDEX('Historical Data'!$G$2:$G$1068,MATCH($A54,'Historical Data'!$BE$2:$BE$1068,0)),"")</f>
        <v/>
      </c>
      <c r="G54" s="291">
        <f>IFERROR(INDEX('Historical Data'!$Y$2:$Y$1068,MATCH($A54,'Historical Data'!$BE$2:$BE$1068,0)),"")</f>
        <v/>
      </c>
      <c r="H54" s="291">
        <f>IFERROR(INDEX('Historical Data'!$K$2:$K$1068,MATCH($A54,'Historical Data'!$BE$2:$BE$1068,0)),"")</f>
        <v/>
      </c>
      <c r="I54" s="291">
        <f>IFERROR(INDEX('Historical Data'!$J$2:$J$1068,MATCH($A54,'Historical Data'!$BE$2:$BE$1068,0)),"")</f>
        <v/>
      </c>
      <c r="J54" s="291">
        <f>IFERROR(INDEX('Historical Data'!$L$2:$L$1068,MATCH($A54,'Historical Data'!$BE$2:$BE$1068,0)),"")</f>
        <v/>
      </c>
      <c r="K54" s="293">
        <f>IFERROR(INDEX('Historical Data'!$M$2:$M$1068,MATCH($A54,'Historical Data'!$BE$2:$BE$1068,0)),"")</f>
        <v/>
      </c>
      <c r="L54" s="294">
        <f>IFERROR(INDEX('Historical Data'!$N$2:$N$1068,MATCH($A54,'Historical Data'!$BE$2:$BE$1068,0)),"")</f>
        <v/>
      </c>
      <c r="M54" s="294">
        <f>IFERROR(INDEX('Historical Data'!$Q$2:$Q$1068,MATCH($A54,'Historical Data'!$BE$2:$BE$1068,0)),"")</f>
        <v/>
      </c>
      <c r="N54" s="295">
        <f>IFERROR(INDEX('Historical Data'!$S$2:$S$1068,MATCH($A54,'Historical Data'!$BE$2:$BE$1068,0)),"")</f>
        <v/>
      </c>
      <c r="O54" s="294">
        <f>IFERROR(INDEX('Historical Data'!$AJ$2:$AJ$1068,MATCH($A54,'Historical Data'!$BE$2:$BE$1068,0)),"")</f>
        <v/>
      </c>
      <c r="P54" s="294">
        <f>IFERROR(INDEX('Historical Data'!$AK$2:$AK$1068,MATCH($A54,'Historical Data'!$BE$2:$BE$1068,0)),"")</f>
        <v/>
      </c>
      <c r="Q54" s="291">
        <f>IFERROR(INDEX('Historical Data'!$AA$2:$AA$1068,MATCH($A54,'Historical Data'!$BE$2:$BE$1068,0)),"")</f>
        <v/>
      </c>
      <c r="R54" s="291">
        <f>IFERROR(INDEX('Historical Data'!$AB$2:$AB$1068,MATCH($A54,'Historical Data'!$BE$2:$BE$1068,0)),"")</f>
        <v/>
      </c>
      <c r="S54" s="291">
        <f>IFERROR(INDEX('Historical Data'!$AN$2:$AN$1068,MATCH($A54,'Historical Data'!$BE$2:$BE$1068,0)),"")</f>
        <v/>
      </c>
      <c r="T54" s="291">
        <f>IFERROR(INDEX('Historical Data'!$AC$2:$AC$1068,MATCH($A54,'Historical Data'!$BE$2:$BE$1068,0)),"")</f>
        <v/>
      </c>
      <c r="U54" s="291">
        <f>IFERROR(INDEX('Historical Data'!$AE$2:$AE$1068,MATCH($A54,'Historical Data'!$BE$2:$BE$1068,0)),"")</f>
        <v/>
      </c>
      <c r="V54" s="291">
        <f>IFERROR(INDEX('Historical Data'!$AH$2:$AH$1068,MATCH($A54,'Historical Data'!$BE$2:$BE$1068,0)),"")</f>
        <v/>
      </c>
      <c r="W54" s="291">
        <f>IFERROR(INDEX('Historical Data'!$BC$2:$BC$1068,MATCH($A54,'Historical Data'!$BE$2:$BE$1068,0)),"")</f>
        <v/>
      </c>
      <c r="X54" s="290">
        <f>IF(B54="","",IF(W54=1,"NR + industry + position",IF(W54=2,"NR + ISO + position",IF(W54=3,"NR + industry",IF(W54=4,"NR + ISO",IF(W54=5,"NR + position",IF(W54=6,"NR only","book baseline"))))))&amp;"  ["&amp;IF(T54=1,"seasoned","unseasoned")&amp;IF(U54=1,", defaulted","")&amp;IF(V54=1,", open","")&amp;"]")</f>
        <v/>
      </c>
    </row>
    <row r="55">
      <c r="A55" s="290" t="n">
        <v>51</v>
      </c>
      <c r="B55" s="291">
        <f>IFERROR(INDEX('Historical Data'!$A$2:$A$1068,MATCH($A55,'Historical Data'!$BE$2:$BE$1068,0)),"")</f>
        <v/>
      </c>
      <c r="C55" s="291">
        <f>IFERROR(INDEX('Historical Data'!$B$2:$B$1068,MATCH($A55,'Historical Data'!$BE$2:$BE$1068,0)),"")</f>
        <v/>
      </c>
      <c r="D55" s="291">
        <f>IFERROR(INDEX('Historical Data'!$D$2:$D$1068,MATCH($A55,'Historical Data'!$BE$2:$BE$1068,0)),"")</f>
        <v/>
      </c>
      <c r="E55" s="292">
        <f>IFERROR(INDEX('Historical Data'!$E$2:$E$1068,MATCH($A55,'Historical Data'!$BE$2:$BE$1068,0)),"")</f>
        <v/>
      </c>
      <c r="F55" s="291">
        <f>IFERROR(INDEX('Historical Data'!$G$2:$G$1068,MATCH($A55,'Historical Data'!$BE$2:$BE$1068,0)),"")</f>
        <v/>
      </c>
      <c r="G55" s="291">
        <f>IFERROR(INDEX('Historical Data'!$Y$2:$Y$1068,MATCH($A55,'Historical Data'!$BE$2:$BE$1068,0)),"")</f>
        <v/>
      </c>
      <c r="H55" s="291">
        <f>IFERROR(INDEX('Historical Data'!$K$2:$K$1068,MATCH($A55,'Historical Data'!$BE$2:$BE$1068,0)),"")</f>
        <v/>
      </c>
      <c r="I55" s="291">
        <f>IFERROR(INDEX('Historical Data'!$J$2:$J$1068,MATCH($A55,'Historical Data'!$BE$2:$BE$1068,0)),"")</f>
        <v/>
      </c>
      <c r="J55" s="291">
        <f>IFERROR(INDEX('Historical Data'!$L$2:$L$1068,MATCH($A55,'Historical Data'!$BE$2:$BE$1068,0)),"")</f>
        <v/>
      </c>
      <c r="K55" s="293">
        <f>IFERROR(INDEX('Historical Data'!$M$2:$M$1068,MATCH($A55,'Historical Data'!$BE$2:$BE$1068,0)),"")</f>
        <v/>
      </c>
      <c r="L55" s="294">
        <f>IFERROR(INDEX('Historical Data'!$N$2:$N$1068,MATCH($A55,'Historical Data'!$BE$2:$BE$1068,0)),"")</f>
        <v/>
      </c>
      <c r="M55" s="294">
        <f>IFERROR(INDEX('Historical Data'!$Q$2:$Q$1068,MATCH($A55,'Historical Data'!$BE$2:$BE$1068,0)),"")</f>
        <v/>
      </c>
      <c r="N55" s="295">
        <f>IFERROR(INDEX('Historical Data'!$S$2:$S$1068,MATCH($A55,'Historical Data'!$BE$2:$BE$1068,0)),"")</f>
        <v/>
      </c>
      <c r="O55" s="294">
        <f>IFERROR(INDEX('Historical Data'!$AJ$2:$AJ$1068,MATCH($A55,'Historical Data'!$BE$2:$BE$1068,0)),"")</f>
        <v/>
      </c>
      <c r="P55" s="294">
        <f>IFERROR(INDEX('Historical Data'!$AK$2:$AK$1068,MATCH($A55,'Historical Data'!$BE$2:$BE$1068,0)),"")</f>
        <v/>
      </c>
      <c r="Q55" s="291">
        <f>IFERROR(INDEX('Historical Data'!$AA$2:$AA$1068,MATCH($A55,'Historical Data'!$BE$2:$BE$1068,0)),"")</f>
        <v/>
      </c>
      <c r="R55" s="291">
        <f>IFERROR(INDEX('Historical Data'!$AB$2:$AB$1068,MATCH($A55,'Historical Data'!$BE$2:$BE$1068,0)),"")</f>
        <v/>
      </c>
      <c r="S55" s="291">
        <f>IFERROR(INDEX('Historical Data'!$AN$2:$AN$1068,MATCH($A55,'Historical Data'!$BE$2:$BE$1068,0)),"")</f>
        <v/>
      </c>
      <c r="T55" s="291">
        <f>IFERROR(INDEX('Historical Data'!$AC$2:$AC$1068,MATCH($A55,'Historical Data'!$BE$2:$BE$1068,0)),"")</f>
        <v/>
      </c>
      <c r="U55" s="291">
        <f>IFERROR(INDEX('Historical Data'!$AE$2:$AE$1068,MATCH($A55,'Historical Data'!$BE$2:$BE$1068,0)),"")</f>
        <v/>
      </c>
      <c r="V55" s="291">
        <f>IFERROR(INDEX('Historical Data'!$AH$2:$AH$1068,MATCH($A55,'Historical Data'!$BE$2:$BE$1068,0)),"")</f>
        <v/>
      </c>
      <c r="W55" s="291">
        <f>IFERROR(INDEX('Historical Data'!$BC$2:$BC$1068,MATCH($A55,'Historical Data'!$BE$2:$BE$1068,0)),"")</f>
        <v/>
      </c>
      <c r="X55" s="290">
        <f>IF(B55="","",IF(W55=1,"NR + industry + position",IF(W55=2,"NR + ISO + position",IF(W55=3,"NR + industry",IF(W55=4,"NR + ISO",IF(W55=5,"NR + position",IF(W55=6,"NR only","book baseline"))))))&amp;"  ["&amp;IF(T55=1,"seasoned","unseasoned")&amp;IF(U55=1,", defaulted","")&amp;IF(V55=1,", open","")&amp;"]")</f>
        <v/>
      </c>
    </row>
    <row r="56">
      <c r="A56" s="290" t="n">
        <v>52</v>
      </c>
      <c r="B56" s="291">
        <f>IFERROR(INDEX('Historical Data'!$A$2:$A$1068,MATCH($A56,'Historical Data'!$BE$2:$BE$1068,0)),"")</f>
        <v/>
      </c>
      <c r="C56" s="291">
        <f>IFERROR(INDEX('Historical Data'!$B$2:$B$1068,MATCH($A56,'Historical Data'!$BE$2:$BE$1068,0)),"")</f>
        <v/>
      </c>
      <c r="D56" s="291">
        <f>IFERROR(INDEX('Historical Data'!$D$2:$D$1068,MATCH($A56,'Historical Data'!$BE$2:$BE$1068,0)),"")</f>
        <v/>
      </c>
      <c r="E56" s="292">
        <f>IFERROR(INDEX('Historical Data'!$E$2:$E$1068,MATCH($A56,'Historical Data'!$BE$2:$BE$1068,0)),"")</f>
        <v/>
      </c>
      <c r="F56" s="291">
        <f>IFERROR(INDEX('Historical Data'!$G$2:$G$1068,MATCH($A56,'Historical Data'!$BE$2:$BE$1068,0)),"")</f>
        <v/>
      </c>
      <c r="G56" s="291">
        <f>IFERROR(INDEX('Historical Data'!$Y$2:$Y$1068,MATCH($A56,'Historical Data'!$BE$2:$BE$1068,0)),"")</f>
        <v/>
      </c>
      <c r="H56" s="291">
        <f>IFERROR(INDEX('Historical Data'!$K$2:$K$1068,MATCH($A56,'Historical Data'!$BE$2:$BE$1068,0)),"")</f>
        <v/>
      </c>
      <c r="I56" s="291">
        <f>IFERROR(INDEX('Historical Data'!$J$2:$J$1068,MATCH($A56,'Historical Data'!$BE$2:$BE$1068,0)),"")</f>
        <v/>
      </c>
      <c r="J56" s="291">
        <f>IFERROR(INDEX('Historical Data'!$L$2:$L$1068,MATCH($A56,'Historical Data'!$BE$2:$BE$1068,0)),"")</f>
        <v/>
      </c>
      <c r="K56" s="293">
        <f>IFERROR(INDEX('Historical Data'!$M$2:$M$1068,MATCH($A56,'Historical Data'!$BE$2:$BE$1068,0)),"")</f>
        <v/>
      </c>
      <c r="L56" s="294">
        <f>IFERROR(INDEX('Historical Data'!$N$2:$N$1068,MATCH($A56,'Historical Data'!$BE$2:$BE$1068,0)),"")</f>
        <v/>
      </c>
      <c r="M56" s="294">
        <f>IFERROR(INDEX('Historical Data'!$Q$2:$Q$1068,MATCH($A56,'Historical Data'!$BE$2:$BE$1068,0)),"")</f>
        <v/>
      </c>
      <c r="N56" s="295">
        <f>IFERROR(INDEX('Historical Data'!$S$2:$S$1068,MATCH($A56,'Historical Data'!$BE$2:$BE$1068,0)),"")</f>
        <v/>
      </c>
      <c r="O56" s="294">
        <f>IFERROR(INDEX('Historical Data'!$AJ$2:$AJ$1068,MATCH($A56,'Historical Data'!$BE$2:$BE$1068,0)),"")</f>
        <v/>
      </c>
      <c r="P56" s="294">
        <f>IFERROR(INDEX('Historical Data'!$AK$2:$AK$1068,MATCH($A56,'Historical Data'!$BE$2:$BE$1068,0)),"")</f>
        <v/>
      </c>
      <c r="Q56" s="291">
        <f>IFERROR(INDEX('Historical Data'!$AA$2:$AA$1068,MATCH($A56,'Historical Data'!$BE$2:$BE$1068,0)),"")</f>
        <v/>
      </c>
      <c r="R56" s="291">
        <f>IFERROR(INDEX('Historical Data'!$AB$2:$AB$1068,MATCH($A56,'Historical Data'!$BE$2:$BE$1068,0)),"")</f>
        <v/>
      </c>
      <c r="S56" s="291">
        <f>IFERROR(INDEX('Historical Data'!$AN$2:$AN$1068,MATCH($A56,'Historical Data'!$BE$2:$BE$1068,0)),"")</f>
        <v/>
      </c>
      <c r="T56" s="291">
        <f>IFERROR(INDEX('Historical Data'!$AC$2:$AC$1068,MATCH($A56,'Historical Data'!$BE$2:$BE$1068,0)),"")</f>
        <v/>
      </c>
      <c r="U56" s="291">
        <f>IFERROR(INDEX('Historical Data'!$AE$2:$AE$1068,MATCH($A56,'Historical Data'!$BE$2:$BE$1068,0)),"")</f>
        <v/>
      </c>
      <c r="V56" s="291">
        <f>IFERROR(INDEX('Historical Data'!$AH$2:$AH$1068,MATCH($A56,'Historical Data'!$BE$2:$BE$1068,0)),"")</f>
        <v/>
      </c>
      <c r="W56" s="291">
        <f>IFERROR(INDEX('Historical Data'!$BC$2:$BC$1068,MATCH($A56,'Historical Data'!$BE$2:$BE$1068,0)),"")</f>
        <v/>
      </c>
      <c r="X56" s="290">
        <f>IF(B56="","",IF(W56=1,"NR + industry + position",IF(W56=2,"NR + ISO + position",IF(W56=3,"NR + industry",IF(W56=4,"NR + ISO",IF(W56=5,"NR + position",IF(W56=6,"NR only","book baseline"))))))&amp;"  ["&amp;IF(T56=1,"seasoned","unseasoned")&amp;IF(U56=1,", defaulted","")&amp;IF(V56=1,", open","")&amp;"]")</f>
        <v/>
      </c>
    </row>
    <row r="57">
      <c r="A57" s="290" t="n">
        <v>53</v>
      </c>
      <c r="B57" s="291">
        <f>IFERROR(INDEX('Historical Data'!$A$2:$A$1068,MATCH($A57,'Historical Data'!$BE$2:$BE$1068,0)),"")</f>
        <v/>
      </c>
      <c r="C57" s="291">
        <f>IFERROR(INDEX('Historical Data'!$B$2:$B$1068,MATCH($A57,'Historical Data'!$BE$2:$BE$1068,0)),"")</f>
        <v/>
      </c>
      <c r="D57" s="291">
        <f>IFERROR(INDEX('Historical Data'!$D$2:$D$1068,MATCH($A57,'Historical Data'!$BE$2:$BE$1068,0)),"")</f>
        <v/>
      </c>
      <c r="E57" s="292">
        <f>IFERROR(INDEX('Historical Data'!$E$2:$E$1068,MATCH($A57,'Historical Data'!$BE$2:$BE$1068,0)),"")</f>
        <v/>
      </c>
      <c r="F57" s="291">
        <f>IFERROR(INDEX('Historical Data'!$G$2:$G$1068,MATCH($A57,'Historical Data'!$BE$2:$BE$1068,0)),"")</f>
        <v/>
      </c>
      <c r="G57" s="291">
        <f>IFERROR(INDEX('Historical Data'!$Y$2:$Y$1068,MATCH($A57,'Historical Data'!$BE$2:$BE$1068,0)),"")</f>
        <v/>
      </c>
      <c r="H57" s="291">
        <f>IFERROR(INDEX('Historical Data'!$K$2:$K$1068,MATCH($A57,'Historical Data'!$BE$2:$BE$1068,0)),"")</f>
        <v/>
      </c>
      <c r="I57" s="291">
        <f>IFERROR(INDEX('Historical Data'!$J$2:$J$1068,MATCH($A57,'Historical Data'!$BE$2:$BE$1068,0)),"")</f>
        <v/>
      </c>
      <c r="J57" s="291">
        <f>IFERROR(INDEX('Historical Data'!$L$2:$L$1068,MATCH($A57,'Historical Data'!$BE$2:$BE$1068,0)),"")</f>
        <v/>
      </c>
      <c r="K57" s="293">
        <f>IFERROR(INDEX('Historical Data'!$M$2:$M$1068,MATCH($A57,'Historical Data'!$BE$2:$BE$1068,0)),"")</f>
        <v/>
      </c>
      <c r="L57" s="294">
        <f>IFERROR(INDEX('Historical Data'!$N$2:$N$1068,MATCH($A57,'Historical Data'!$BE$2:$BE$1068,0)),"")</f>
        <v/>
      </c>
      <c r="M57" s="294">
        <f>IFERROR(INDEX('Historical Data'!$Q$2:$Q$1068,MATCH($A57,'Historical Data'!$BE$2:$BE$1068,0)),"")</f>
        <v/>
      </c>
      <c r="N57" s="295">
        <f>IFERROR(INDEX('Historical Data'!$S$2:$S$1068,MATCH($A57,'Historical Data'!$BE$2:$BE$1068,0)),"")</f>
        <v/>
      </c>
      <c r="O57" s="294">
        <f>IFERROR(INDEX('Historical Data'!$AJ$2:$AJ$1068,MATCH($A57,'Historical Data'!$BE$2:$BE$1068,0)),"")</f>
        <v/>
      </c>
      <c r="P57" s="294">
        <f>IFERROR(INDEX('Historical Data'!$AK$2:$AK$1068,MATCH($A57,'Historical Data'!$BE$2:$BE$1068,0)),"")</f>
        <v/>
      </c>
      <c r="Q57" s="291">
        <f>IFERROR(INDEX('Historical Data'!$AA$2:$AA$1068,MATCH($A57,'Historical Data'!$BE$2:$BE$1068,0)),"")</f>
        <v/>
      </c>
      <c r="R57" s="291">
        <f>IFERROR(INDEX('Historical Data'!$AB$2:$AB$1068,MATCH($A57,'Historical Data'!$BE$2:$BE$1068,0)),"")</f>
        <v/>
      </c>
      <c r="S57" s="291">
        <f>IFERROR(INDEX('Historical Data'!$AN$2:$AN$1068,MATCH($A57,'Historical Data'!$BE$2:$BE$1068,0)),"")</f>
        <v/>
      </c>
      <c r="T57" s="291">
        <f>IFERROR(INDEX('Historical Data'!$AC$2:$AC$1068,MATCH($A57,'Historical Data'!$BE$2:$BE$1068,0)),"")</f>
        <v/>
      </c>
      <c r="U57" s="291">
        <f>IFERROR(INDEX('Historical Data'!$AE$2:$AE$1068,MATCH($A57,'Historical Data'!$BE$2:$BE$1068,0)),"")</f>
        <v/>
      </c>
      <c r="V57" s="291">
        <f>IFERROR(INDEX('Historical Data'!$AH$2:$AH$1068,MATCH($A57,'Historical Data'!$BE$2:$BE$1068,0)),"")</f>
        <v/>
      </c>
      <c r="W57" s="291">
        <f>IFERROR(INDEX('Historical Data'!$BC$2:$BC$1068,MATCH($A57,'Historical Data'!$BE$2:$BE$1068,0)),"")</f>
        <v/>
      </c>
      <c r="X57" s="290">
        <f>IF(B57="","",IF(W57=1,"NR + industry + position",IF(W57=2,"NR + ISO + position",IF(W57=3,"NR + industry",IF(W57=4,"NR + ISO",IF(W57=5,"NR + position",IF(W57=6,"NR only","book baseline"))))))&amp;"  ["&amp;IF(T57=1,"seasoned","unseasoned")&amp;IF(U57=1,", defaulted","")&amp;IF(V57=1,", open","")&amp;"]")</f>
        <v/>
      </c>
    </row>
    <row r="58">
      <c r="A58" s="290" t="n">
        <v>54</v>
      </c>
      <c r="B58" s="291">
        <f>IFERROR(INDEX('Historical Data'!$A$2:$A$1068,MATCH($A58,'Historical Data'!$BE$2:$BE$1068,0)),"")</f>
        <v/>
      </c>
      <c r="C58" s="291">
        <f>IFERROR(INDEX('Historical Data'!$B$2:$B$1068,MATCH($A58,'Historical Data'!$BE$2:$BE$1068,0)),"")</f>
        <v/>
      </c>
      <c r="D58" s="291">
        <f>IFERROR(INDEX('Historical Data'!$D$2:$D$1068,MATCH($A58,'Historical Data'!$BE$2:$BE$1068,0)),"")</f>
        <v/>
      </c>
      <c r="E58" s="292">
        <f>IFERROR(INDEX('Historical Data'!$E$2:$E$1068,MATCH($A58,'Historical Data'!$BE$2:$BE$1068,0)),"")</f>
        <v/>
      </c>
      <c r="F58" s="291">
        <f>IFERROR(INDEX('Historical Data'!$G$2:$G$1068,MATCH($A58,'Historical Data'!$BE$2:$BE$1068,0)),"")</f>
        <v/>
      </c>
      <c r="G58" s="291">
        <f>IFERROR(INDEX('Historical Data'!$Y$2:$Y$1068,MATCH($A58,'Historical Data'!$BE$2:$BE$1068,0)),"")</f>
        <v/>
      </c>
      <c r="H58" s="291">
        <f>IFERROR(INDEX('Historical Data'!$K$2:$K$1068,MATCH($A58,'Historical Data'!$BE$2:$BE$1068,0)),"")</f>
        <v/>
      </c>
      <c r="I58" s="291">
        <f>IFERROR(INDEX('Historical Data'!$J$2:$J$1068,MATCH($A58,'Historical Data'!$BE$2:$BE$1068,0)),"")</f>
        <v/>
      </c>
      <c r="J58" s="291">
        <f>IFERROR(INDEX('Historical Data'!$L$2:$L$1068,MATCH($A58,'Historical Data'!$BE$2:$BE$1068,0)),"")</f>
        <v/>
      </c>
      <c r="K58" s="293">
        <f>IFERROR(INDEX('Historical Data'!$M$2:$M$1068,MATCH($A58,'Historical Data'!$BE$2:$BE$1068,0)),"")</f>
        <v/>
      </c>
      <c r="L58" s="294">
        <f>IFERROR(INDEX('Historical Data'!$N$2:$N$1068,MATCH($A58,'Historical Data'!$BE$2:$BE$1068,0)),"")</f>
        <v/>
      </c>
      <c r="M58" s="294">
        <f>IFERROR(INDEX('Historical Data'!$Q$2:$Q$1068,MATCH($A58,'Historical Data'!$BE$2:$BE$1068,0)),"")</f>
        <v/>
      </c>
      <c r="N58" s="295">
        <f>IFERROR(INDEX('Historical Data'!$S$2:$S$1068,MATCH($A58,'Historical Data'!$BE$2:$BE$1068,0)),"")</f>
        <v/>
      </c>
      <c r="O58" s="294">
        <f>IFERROR(INDEX('Historical Data'!$AJ$2:$AJ$1068,MATCH($A58,'Historical Data'!$BE$2:$BE$1068,0)),"")</f>
        <v/>
      </c>
      <c r="P58" s="294">
        <f>IFERROR(INDEX('Historical Data'!$AK$2:$AK$1068,MATCH($A58,'Historical Data'!$BE$2:$BE$1068,0)),"")</f>
        <v/>
      </c>
      <c r="Q58" s="291">
        <f>IFERROR(INDEX('Historical Data'!$AA$2:$AA$1068,MATCH($A58,'Historical Data'!$BE$2:$BE$1068,0)),"")</f>
        <v/>
      </c>
      <c r="R58" s="291">
        <f>IFERROR(INDEX('Historical Data'!$AB$2:$AB$1068,MATCH($A58,'Historical Data'!$BE$2:$BE$1068,0)),"")</f>
        <v/>
      </c>
      <c r="S58" s="291">
        <f>IFERROR(INDEX('Historical Data'!$AN$2:$AN$1068,MATCH($A58,'Historical Data'!$BE$2:$BE$1068,0)),"")</f>
        <v/>
      </c>
      <c r="T58" s="291">
        <f>IFERROR(INDEX('Historical Data'!$AC$2:$AC$1068,MATCH($A58,'Historical Data'!$BE$2:$BE$1068,0)),"")</f>
        <v/>
      </c>
      <c r="U58" s="291">
        <f>IFERROR(INDEX('Historical Data'!$AE$2:$AE$1068,MATCH($A58,'Historical Data'!$BE$2:$BE$1068,0)),"")</f>
        <v/>
      </c>
      <c r="V58" s="291">
        <f>IFERROR(INDEX('Historical Data'!$AH$2:$AH$1068,MATCH($A58,'Historical Data'!$BE$2:$BE$1068,0)),"")</f>
        <v/>
      </c>
      <c r="W58" s="291">
        <f>IFERROR(INDEX('Historical Data'!$BC$2:$BC$1068,MATCH($A58,'Historical Data'!$BE$2:$BE$1068,0)),"")</f>
        <v/>
      </c>
      <c r="X58" s="290">
        <f>IF(B58="","",IF(W58=1,"NR + industry + position",IF(W58=2,"NR + ISO + position",IF(W58=3,"NR + industry",IF(W58=4,"NR + ISO",IF(W58=5,"NR + position",IF(W58=6,"NR only","book baseline"))))))&amp;"  ["&amp;IF(T58=1,"seasoned","unseasoned")&amp;IF(U58=1,", defaulted","")&amp;IF(V58=1,", open","")&amp;"]")</f>
        <v/>
      </c>
    </row>
    <row r="59">
      <c r="A59" s="290" t="n">
        <v>55</v>
      </c>
      <c r="B59" s="291">
        <f>IFERROR(INDEX('Historical Data'!$A$2:$A$1068,MATCH($A59,'Historical Data'!$BE$2:$BE$1068,0)),"")</f>
        <v/>
      </c>
      <c r="C59" s="291">
        <f>IFERROR(INDEX('Historical Data'!$B$2:$B$1068,MATCH($A59,'Historical Data'!$BE$2:$BE$1068,0)),"")</f>
        <v/>
      </c>
      <c r="D59" s="291">
        <f>IFERROR(INDEX('Historical Data'!$D$2:$D$1068,MATCH($A59,'Historical Data'!$BE$2:$BE$1068,0)),"")</f>
        <v/>
      </c>
      <c r="E59" s="292">
        <f>IFERROR(INDEX('Historical Data'!$E$2:$E$1068,MATCH($A59,'Historical Data'!$BE$2:$BE$1068,0)),"")</f>
        <v/>
      </c>
      <c r="F59" s="291">
        <f>IFERROR(INDEX('Historical Data'!$G$2:$G$1068,MATCH($A59,'Historical Data'!$BE$2:$BE$1068,0)),"")</f>
        <v/>
      </c>
      <c r="G59" s="291">
        <f>IFERROR(INDEX('Historical Data'!$Y$2:$Y$1068,MATCH($A59,'Historical Data'!$BE$2:$BE$1068,0)),"")</f>
        <v/>
      </c>
      <c r="H59" s="291">
        <f>IFERROR(INDEX('Historical Data'!$K$2:$K$1068,MATCH($A59,'Historical Data'!$BE$2:$BE$1068,0)),"")</f>
        <v/>
      </c>
      <c r="I59" s="291">
        <f>IFERROR(INDEX('Historical Data'!$J$2:$J$1068,MATCH($A59,'Historical Data'!$BE$2:$BE$1068,0)),"")</f>
        <v/>
      </c>
      <c r="J59" s="291">
        <f>IFERROR(INDEX('Historical Data'!$L$2:$L$1068,MATCH($A59,'Historical Data'!$BE$2:$BE$1068,0)),"")</f>
        <v/>
      </c>
      <c r="K59" s="293">
        <f>IFERROR(INDEX('Historical Data'!$M$2:$M$1068,MATCH($A59,'Historical Data'!$BE$2:$BE$1068,0)),"")</f>
        <v/>
      </c>
      <c r="L59" s="294">
        <f>IFERROR(INDEX('Historical Data'!$N$2:$N$1068,MATCH($A59,'Historical Data'!$BE$2:$BE$1068,0)),"")</f>
        <v/>
      </c>
      <c r="M59" s="294">
        <f>IFERROR(INDEX('Historical Data'!$Q$2:$Q$1068,MATCH($A59,'Historical Data'!$BE$2:$BE$1068,0)),"")</f>
        <v/>
      </c>
      <c r="N59" s="295">
        <f>IFERROR(INDEX('Historical Data'!$S$2:$S$1068,MATCH($A59,'Historical Data'!$BE$2:$BE$1068,0)),"")</f>
        <v/>
      </c>
      <c r="O59" s="294">
        <f>IFERROR(INDEX('Historical Data'!$AJ$2:$AJ$1068,MATCH($A59,'Historical Data'!$BE$2:$BE$1068,0)),"")</f>
        <v/>
      </c>
      <c r="P59" s="294">
        <f>IFERROR(INDEX('Historical Data'!$AK$2:$AK$1068,MATCH($A59,'Historical Data'!$BE$2:$BE$1068,0)),"")</f>
        <v/>
      </c>
      <c r="Q59" s="291">
        <f>IFERROR(INDEX('Historical Data'!$AA$2:$AA$1068,MATCH($A59,'Historical Data'!$BE$2:$BE$1068,0)),"")</f>
        <v/>
      </c>
      <c r="R59" s="291">
        <f>IFERROR(INDEX('Historical Data'!$AB$2:$AB$1068,MATCH($A59,'Historical Data'!$BE$2:$BE$1068,0)),"")</f>
        <v/>
      </c>
      <c r="S59" s="291">
        <f>IFERROR(INDEX('Historical Data'!$AN$2:$AN$1068,MATCH($A59,'Historical Data'!$BE$2:$BE$1068,0)),"")</f>
        <v/>
      </c>
      <c r="T59" s="291">
        <f>IFERROR(INDEX('Historical Data'!$AC$2:$AC$1068,MATCH($A59,'Historical Data'!$BE$2:$BE$1068,0)),"")</f>
        <v/>
      </c>
      <c r="U59" s="291">
        <f>IFERROR(INDEX('Historical Data'!$AE$2:$AE$1068,MATCH($A59,'Historical Data'!$BE$2:$BE$1068,0)),"")</f>
        <v/>
      </c>
      <c r="V59" s="291">
        <f>IFERROR(INDEX('Historical Data'!$AH$2:$AH$1068,MATCH($A59,'Historical Data'!$BE$2:$BE$1068,0)),"")</f>
        <v/>
      </c>
      <c r="W59" s="291">
        <f>IFERROR(INDEX('Historical Data'!$BC$2:$BC$1068,MATCH($A59,'Historical Data'!$BE$2:$BE$1068,0)),"")</f>
        <v/>
      </c>
      <c r="X59" s="290">
        <f>IF(B59="","",IF(W59=1,"NR + industry + position",IF(W59=2,"NR + ISO + position",IF(W59=3,"NR + industry",IF(W59=4,"NR + ISO",IF(W59=5,"NR + position",IF(W59=6,"NR only","book baseline"))))))&amp;"  ["&amp;IF(T59=1,"seasoned","unseasoned")&amp;IF(U59=1,", defaulted","")&amp;IF(V59=1,", open","")&amp;"]")</f>
        <v/>
      </c>
    </row>
    <row r="60">
      <c r="A60" s="290" t="n">
        <v>56</v>
      </c>
      <c r="B60" s="291">
        <f>IFERROR(INDEX('Historical Data'!$A$2:$A$1068,MATCH($A60,'Historical Data'!$BE$2:$BE$1068,0)),"")</f>
        <v/>
      </c>
      <c r="C60" s="291">
        <f>IFERROR(INDEX('Historical Data'!$B$2:$B$1068,MATCH($A60,'Historical Data'!$BE$2:$BE$1068,0)),"")</f>
        <v/>
      </c>
      <c r="D60" s="291">
        <f>IFERROR(INDEX('Historical Data'!$D$2:$D$1068,MATCH($A60,'Historical Data'!$BE$2:$BE$1068,0)),"")</f>
        <v/>
      </c>
      <c r="E60" s="292">
        <f>IFERROR(INDEX('Historical Data'!$E$2:$E$1068,MATCH($A60,'Historical Data'!$BE$2:$BE$1068,0)),"")</f>
        <v/>
      </c>
      <c r="F60" s="291">
        <f>IFERROR(INDEX('Historical Data'!$G$2:$G$1068,MATCH($A60,'Historical Data'!$BE$2:$BE$1068,0)),"")</f>
        <v/>
      </c>
      <c r="G60" s="291">
        <f>IFERROR(INDEX('Historical Data'!$Y$2:$Y$1068,MATCH($A60,'Historical Data'!$BE$2:$BE$1068,0)),"")</f>
        <v/>
      </c>
      <c r="H60" s="291">
        <f>IFERROR(INDEX('Historical Data'!$K$2:$K$1068,MATCH($A60,'Historical Data'!$BE$2:$BE$1068,0)),"")</f>
        <v/>
      </c>
      <c r="I60" s="291">
        <f>IFERROR(INDEX('Historical Data'!$J$2:$J$1068,MATCH($A60,'Historical Data'!$BE$2:$BE$1068,0)),"")</f>
        <v/>
      </c>
      <c r="J60" s="291">
        <f>IFERROR(INDEX('Historical Data'!$L$2:$L$1068,MATCH($A60,'Historical Data'!$BE$2:$BE$1068,0)),"")</f>
        <v/>
      </c>
      <c r="K60" s="293">
        <f>IFERROR(INDEX('Historical Data'!$M$2:$M$1068,MATCH($A60,'Historical Data'!$BE$2:$BE$1068,0)),"")</f>
        <v/>
      </c>
      <c r="L60" s="294">
        <f>IFERROR(INDEX('Historical Data'!$N$2:$N$1068,MATCH($A60,'Historical Data'!$BE$2:$BE$1068,0)),"")</f>
        <v/>
      </c>
      <c r="M60" s="294">
        <f>IFERROR(INDEX('Historical Data'!$Q$2:$Q$1068,MATCH($A60,'Historical Data'!$BE$2:$BE$1068,0)),"")</f>
        <v/>
      </c>
      <c r="N60" s="295">
        <f>IFERROR(INDEX('Historical Data'!$S$2:$S$1068,MATCH($A60,'Historical Data'!$BE$2:$BE$1068,0)),"")</f>
        <v/>
      </c>
      <c r="O60" s="294">
        <f>IFERROR(INDEX('Historical Data'!$AJ$2:$AJ$1068,MATCH($A60,'Historical Data'!$BE$2:$BE$1068,0)),"")</f>
        <v/>
      </c>
      <c r="P60" s="294">
        <f>IFERROR(INDEX('Historical Data'!$AK$2:$AK$1068,MATCH($A60,'Historical Data'!$BE$2:$BE$1068,0)),"")</f>
        <v/>
      </c>
      <c r="Q60" s="291">
        <f>IFERROR(INDEX('Historical Data'!$AA$2:$AA$1068,MATCH($A60,'Historical Data'!$BE$2:$BE$1068,0)),"")</f>
        <v/>
      </c>
      <c r="R60" s="291">
        <f>IFERROR(INDEX('Historical Data'!$AB$2:$AB$1068,MATCH($A60,'Historical Data'!$BE$2:$BE$1068,0)),"")</f>
        <v/>
      </c>
      <c r="S60" s="291">
        <f>IFERROR(INDEX('Historical Data'!$AN$2:$AN$1068,MATCH($A60,'Historical Data'!$BE$2:$BE$1068,0)),"")</f>
        <v/>
      </c>
      <c r="T60" s="291">
        <f>IFERROR(INDEX('Historical Data'!$AC$2:$AC$1068,MATCH($A60,'Historical Data'!$BE$2:$BE$1068,0)),"")</f>
        <v/>
      </c>
      <c r="U60" s="291">
        <f>IFERROR(INDEX('Historical Data'!$AE$2:$AE$1068,MATCH($A60,'Historical Data'!$BE$2:$BE$1068,0)),"")</f>
        <v/>
      </c>
      <c r="V60" s="291">
        <f>IFERROR(INDEX('Historical Data'!$AH$2:$AH$1068,MATCH($A60,'Historical Data'!$BE$2:$BE$1068,0)),"")</f>
        <v/>
      </c>
      <c r="W60" s="291">
        <f>IFERROR(INDEX('Historical Data'!$BC$2:$BC$1068,MATCH($A60,'Historical Data'!$BE$2:$BE$1068,0)),"")</f>
        <v/>
      </c>
      <c r="X60" s="290">
        <f>IF(B60="","",IF(W60=1,"NR + industry + position",IF(W60=2,"NR + ISO + position",IF(W60=3,"NR + industry",IF(W60=4,"NR + ISO",IF(W60=5,"NR + position",IF(W60=6,"NR only","book baseline"))))))&amp;"  ["&amp;IF(T60=1,"seasoned","unseasoned")&amp;IF(U60=1,", defaulted","")&amp;IF(V60=1,", open","")&amp;"]")</f>
        <v/>
      </c>
    </row>
    <row r="61">
      <c r="A61" s="290" t="n">
        <v>57</v>
      </c>
      <c r="B61" s="291">
        <f>IFERROR(INDEX('Historical Data'!$A$2:$A$1068,MATCH($A61,'Historical Data'!$BE$2:$BE$1068,0)),"")</f>
        <v/>
      </c>
      <c r="C61" s="291">
        <f>IFERROR(INDEX('Historical Data'!$B$2:$B$1068,MATCH($A61,'Historical Data'!$BE$2:$BE$1068,0)),"")</f>
        <v/>
      </c>
      <c r="D61" s="291">
        <f>IFERROR(INDEX('Historical Data'!$D$2:$D$1068,MATCH($A61,'Historical Data'!$BE$2:$BE$1068,0)),"")</f>
        <v/>
      </c>
      <c r="E61" s="292">
        <f>IFERROR(INDEX('Historical Data'!$E$2:$E$1068,MATCH($A61,'Historical Data'!$BE$2:$BE$1068,0)),"")</f>
        <v/>
      </c>
      <c r="F61" s="291">
        <f>IFERROR(INDEX('Historical Data'!$G$2:$G$1068,MATCH($A61,'Historical Data'!$BE$2:$BE$1068,0)),"")</f>
        <v/>
      </c>
      <c r="G61" s="291">
        <f>IFERROR(INDEX('Historical Data'!$Y$2:$Y$1068,MATCH($A61,'Historical Data'!$BE$2:$BE$1068,0)),"")</f>
        <v/>
      </c>
      <c r="H61" s="291">
        <f>IFERROR(INDEX('Historical Data'!$K$2:$K$1068,MATCH($A61,'Historical Data'!$BE$2:$BE$1068,0)),"")</f>
        <v/>
      </c>
      <c r="I61" s="291">
        <f>IFERROR(INDEX('Historical Data'!$J$2:$J$1068,MATCH($A61,'Historical Data'!$BE$2:$BE$1068,0)),"")</f>
        <v/>
      </c>
      <c r="J61" s="291">
        <f>IFERROR(INDEX('Historical Data'!$L$2:$L$1068,MATCH($A61,'Historical Data'!$BE$2:$BE$1068,0)),"")</f>
        <v/>
      </c>
      <c r="K61" s="293">
        <f>IFERROR(INDEX('Historical Data'!$M$2:$M$1068,MATCH($A61,'Historical Data'!$BE$2:$BE$1068,0)),"")</f>
        <v/>
      </c>
      <c r="L61" s="294">
        <f>IFERROR(INDEX('Historical Data'!$N$2:$N$1068,MATCH($A61,'Historical Data'!$BE$2:$BE$1068,0)),"")</f>
        <v/>
      </c>
      <c r="M61" s="294">
        <f>IFERROR(INDEX('Historical Data'!$Q$2:$Q$1068,MATCH($A61,'Historical Data'!$BE$2:$BE$1068,0)),"")</f>
        <v/>
      </c>
      <c r="N61" s="295">
        <f>IFERROR(INDEX('Historical Data'!$S$2:$S$1068,MATCH($A61,'Historical Data'!$BE$2:$BE$1068,0)),"")</f>
        <v/>
      </c>
      <c r="O61" s="294">
        <f>IFERROR(INDEX('Historical Data'!$AJ$2:$AJ$1068,MATCH($A61,'Historical Data'!$BE$2:$BE$1068,0)),"")</f>
        <v/>
      </c>
      <c r="P61" s="294">
        <f>IFERROR(INDEX('Historical Data'!$AK$2:$AK$1068,MATCH($A61,'Historical Data'!$BE$2:$BE$1068,0)),"")</f>
        <v/>
      </c>
      <c r="Q61" s="291">
        <f>IFERROR(INDEX('Historical Data'!$AA$2:$AA$1068,MATCH($A61,'Historical Data'!$BE$2:$BE$1068,0)),"")</f>
        <v/>
      </c>
      <c r="R61" s="291">
        <f>IFERROR(INDEX('Historical Data'!$AB$2:$AB$1068,MATCH($A61,'Historical Data'!$BE$2:$BE$1068,0)),"")</f>
        <v/>
      </c>
      <c r="S61" s="291">
        <f>IFERROR(INDEX('Historical Data'!$AN$2:$AN$1068,MATCH($A61,'Historical Data'!$BE$2:$BE$1068,0)),"")</f>
        <v/>
      </c>
      <c r="T61" s="291">
        <f>IFERROR(INDEX('Historical Data'!$AC$2:$AC$1068,MATCH($A61,'Historical Data'!$BE$2:$BE$1068,0)),"")</f>
        <v/>
      </c>
      <c r="U61" s="291">
        <f>IFERROR(INDEX('Historical Data'!$AE$2:$AE$1068,MATCH($A61,'Historical Data'!$BE$2:$BE$1068,0)),"")</f>
        <v/>
      </c>
      <c r="V61" s="291">
        <f>IFERROR(INDEX('Historical Data'!$AH$2:$AH$1068,MATCH($A61,'Historical Data'!$BE$2:$BE$1068,0)),"")</f>
        <v/>
      </c>
      <c r="W61" s="291">
        <f>IFERROR(INDEX('Historical Data'!$BC$2:$BC$1068,MATCH($A61,'Historical Data'!$BE$2:$BE$1068,0)),"")</f>
        <v/>
      </c>
      <c r="X61" s="290">
        <f>IF(B61="","",IF(W61=1,"NR + industry + position",IF(W61=2,"NR + ISO + position",IF(W61=3,"NR + industry",IF(W61=4,"NR + ISO",IF(W61=5,"NR + position",IF(W61=6,"NR only","book baseline"))))))&amp;"  ["&amp;IF(T61=1,"seasoned","unseasoned")&amp;IF(U61=1,", defaulted","")&amp;IF(V61=1,", open","")&amp;"]")</f>
        <v/>
      </c>
    </row>
    <row r="62">
      <c r="A62" s="290" t="n">
        <v>58</v>
      </c>
      <c r="B62" s="291">
        <f>IFERROR(INDEX('Historical Data'!$A$2:$A$1068,MATCH($A62,'Historical Data'!$BE$2:$BE$1068,0)),"")</f>
        <v/>
      </c>
      <c r="C62" s="291">
        <f>IFERROR(INDEX('Historical Data'!$B$2:$B$1068,MATCH($A62,'Historical Data'!$BE$2:$BE$1068,0)),"")</f>
        <v/>
      </c>
      <c r="D62" s="291">
        <f>IFERROR(INDEX('Historical Data'!$D$2:$D$1068,MATCH($A62,'Historical Data'!$BE$2:$BE$1068,0)),"")</f>
        <v/>
      </c>
      <c r="E62" s="292">
        <f>IFERROR(INDEX('Historical Data'!$E$2:$E$1068,MATCH($A62,'Historical Data'!$BE$2:$BE$1068,0)),"")</f>
        <v/>
      </c>
      <c r="F62" s="291">
        <f>IFERROR(INDEX('Historical Data'!$G$2:$G$1068,MATCH($A62,'Historical Data'!$BE$2:$BE$1068,0)),"")</f>
        <v/>
      </c>
      <c r="G62" s="291">
        <f>IFERROR(INDEX('Historical Data'!$Y$2:$Y$1068,MATCH($A62,'Historical Data'!$BE$2:$BE$1068,0)),"")</f>
        <v/>
      </c>
      <c r="H62" s="291">
        <f>IFERROR(INDEX('Historical Data'!$K$2:$K$1068,MATCH($A62,'Historical Data'!$BE$2:$BE$1068,0)),"")</f>
        <v/>
      </c>
      <c r="I62" s="291">
        <f>IFERROR(INDEX('Historical Data'!$J$2:$J$1068,MATCH($A62,'Historical Data'!$BE$2:$BE$1068,0)),"")</f>
        <v/>
      </c>
      <c r="J62" s="291">
        <f>IFERROR(INDEX('Historical Data'!$L$2:$L$1068,MATCH($A62,'Historical Data'!$BE$2:$BE$1068,0)),"")</f>
        <v/>
      </c>
      <c r="K62" s="293">
        <f>IFERROR(INDEX('Historical Data'!$M$2:$M$1068,MATCH($A62,'Historical Data'!$BE$2:$BE$1068,0)),"")</f>
        <v/>
      </c>
      <c r="L62" s="294">
        <f>IFERROR(INDEX('Historical Data'!$N$2:$N$1068,MATCH($A62,'Historical Data'!$BE$2:$BE$1068,0)),"")</f>
        <v/>
      </c>
      <c r="M62" s="294">
        <f>IFERROR(INDEX('Historical Data'!$Q$2:$Q$1068,MATCH($A62,'Historical Data'!$BE$2:$BE$1068,0)),"")</f>
        <v/>
      </c>
      <c r="N62" s="295">
        <f>IFERROR(INDEX('Historical Data'!$S$2:$S$1068,MATCH($A62,'Historical Data'!$BE$2:$BE$1068,0)),"")</f>
        <v/>
      </c>
      <c r="O62" s="294">
        <f>IFERROR(INDEX('Historical Data'!$AJ$2:$AJ$1068,MATCH($A62,'Historical Data'!$BE$2:$BE$1068,0)),"")</f>
        <v/>
      </c>
      <c r="P62" s="294">
        <f>IFERROR(INDEX('Historical Data'!$AK$2:$AK$1068,MATCH($A62,'Historical Data'!$BE$2:$BE$1068,0)),"")</f>
        <v/>
      </c>
      <c r="Q62" s="291">
        <f>IFERROR(INDEX('Historical Data'!$AA$2:$AA$1068,MATCH($A62,'Historical Data'!$BE$2:$BE$1068,0)),"")</f>
        <v/>
      </c>
      <c r="R62" s="291">
        <f>IFERROR(INDEX('Historical Data'!$AB$2:$AB$1068,MATCH($A62,'Historical Data'!$BE$2:$BE$1068,0)),"")</f>
        <v/>
      </c>
      <c r="S62" s="291">
        <f>IFERROR(INDEX('Historical Data'!$AN$2:$AN$1068,MATCH($A62,'Historical Data'!$BE$2:$BE$1068,0)),"")</f>
        <v/>
      </c>
      <c r="T62" s="291">
        <f>IFERROR(INDEX('Historical Data'!$AC$2:$AC$1068,MATCH($A62,'Historical Data'!$BE$2:$BE$1068,0)),"")</f>
        <v/>
      </c>
      <c r="U62" s="291">
        <f>IFERROR(INDEX('Historical Data'!$AE$2:$AE$1068,MATCH($A62,'Historical Data'!$BE$2:$BE$1068,0)),"")</f>
        <v/>
      </c>
      <c r="V62" s="291">
        <f>IFERROR(INDEX('Historical Data'!$AH$2:$AH$1068,MATCH($A62,'Historical Data'!$BE$2:$BE$1068,0)),"")</f>
        <v/>
      </c>
      <c r="W62" s="291">
        <f>IFERROR(INDEX('Historical Data'!$BC$2:$BC$1068,MATCH($A62,'Historical Data'!$BE$2:$BE$1068,0)),"")</f>
        <v/>
      </c>
      <c r="X62" s="290">
        <f>IF(B62="","",IF(W62=1,"NR + industry + position",IF(W62=2,"NR + ISO + position",IF(W62=3,"NR + industry",IF(W62=4,"NR + ISO",IF(W62=5,"NR + position",IF(W62=6,"NR only","book baseline"))))))&amp;"  ["&amp;IF(T62=1,"seasoned","unseasoned")&amp;IF(U62=1,", defaulted","")&amp;IF(V62=1,", open","")&amp;"]")</f>
        <v/>
      </c>
    </row>
    <row r="63">
      <c r="A63" s="290" t="n">
        <v>59</v>
      </c>
      <c r="B63" s="291">
        <f>IFERROR(INDEX('Historical Data'!$A$2:$A$1068,MATCH($A63,'Historical Data'!$BE$2:$BE$1068,0)),"")</f>
        <v/>
      </c>
      <c r="C63" s="291">
        <f>IFERROR(INDEX('Historical Data'!$B$2:$B$1068,MATCH($A63,'Historical Data'!$BE$2:$BE$1068,0)),"")</f>
        <v/>
      </c>
      <c r="D63" s="291">
        <f>IFERROR(INDEX('Historical Data'!$D$2:$D$1068,MATCH($A63,'Historical Data'!$BE$2:$BE$1068,0)),"")</f>
        <v/>
      </c>
      <c r="E63" s="292">
        <f>IFERROR(INDEX('Historical Data'!$E$2:$E$1068,MATCH($A63,'Historical Data'!$BE$2:$BE$1068,0)),"")</f>
        <v/>
      </c>
      <c r="F63" s="291">
        <f>IFERROR(INDEX('Historical Data'!$G$2:$G$1068,MATCH($A63,'Historical Data'!$BE$2:$BE$1068,0)),"")</f>
        <v/>
      </c>
      <c r="G63" s="291">
        <f>IFERROR(INDEX('Historical Data'!$Y$2:$Y$1068,MATCH($A63,'Historical Data'!$BE$2:$BE$1068,0)),"")</f>
        <v/>
      </c>
      <c r="H63" s="291">
        <f>IFERROR(INDEX('Historical Data'!$K$2:$K$1068,MATCH($A63,'Historical Data'!$BE$2:$BE$1068,0)),"")</f>
        <v/>
      </c>
      <c r="I63" s="291">
        <f>IFERROR(INDEX('Historical Data'!$J$2:$J$1068,MATCH($A63,'Historical Data'!$BE$2:$BE$1068,0)),"")</f>
        <v/>
      </c>
      <c r="J63" s="291">
        <f>IFERROR(INDEX('Historical Data'!$L$2:$L$1068,MATCH($A63,'Historical Data'!$BE$2:$BE$1068,0)),"")</f>
        <v/>
      </c>
      <c r="K63" s="293">
        <f>IFERROR(INDEX('Historical Data'!$M$2:$M$1068,MATCH($A63,'Historical Data'!$BE$2:$BE$1068,0)),"")</f>
        <v/>
      </c>
      <c r="L63" s="294">
        <f>IFERROR(INDEX('Historical Data'!$N$2:$N$1068,MATCH($A63,'Historical Data'!$BE$2:$BE$1068,0)),"")</f>
        <v/>
      </c>
      <c r="M63" s="294">
        <f>IFERROR(INDEX('Historical Data'!$Q$2:$Q$1068,MATCH($A63,'Historical Data'!$BE$2:$BE$1068,0)),"")</f>
        <v/>
      </c>
      <c r="N63" s="295">
        <f>IFERROR(INDEX('Historical Data'!$S$2:$S$1068,MATCH($A63,'Historical Data'!$BE$2:$BE$1068,0)),"")</f>
        <v/>
      </c>
      <c r="O63" s="294">
        <f>IFERROR(INDEX('Historical Data'!$AJ$2:$AJ$1068,MATCH($A63,'Historical Data'!$BE$2:$BE$1068,0)),"")</f>
        <v/>
      </c>
      <c r="P63" s="294">
        <f>IFERROR(INDEX('Historical Data'!$AK$2:$AK$1068,MATCH($A63,'Historical Data'!$BE$2:$BE$1068,0)),"")</f>
        <v/>
      </c>
      <c r="Q63" s="291">
        <f>IFERROR(INDEX('Historical Data'!$AA$2:$AA$1068,MATCH($A63,'Historical Data'!$BE$2:$BE$1068,0)),"")</f>
        <v/>
      </c>
      <c r="R63" s="291">
        <f>IFERROR(INDEX('Historical Data'!$AB$2:$AB$1068,MATCH($A63,'Historical Data'!$BE$2:$BE$1068,0)),"")</f>
        <v/>
      </c>
      <c r="S63" s="291">
        <f>IFERROR(INDEX('Historical Data'!$AN$2:$AN$1068,MATCH($A63,'Historical Data'!$BE$2:$BE$1068,0)),"")</f>
        <v/>
      </c>
      <c r="T63" s="291">
        <f>IFERROR(INDEX('Historical Data'!$AC$2:$AC$1068,MATCH($A63,'Historical Data'!$BE$2:$BE$1068,0)),"")</f>
        <v/>
      </c>
      <c r="U63" s="291">
        <f>IFERROR(INDEX('Historical Data'!$AE$2:$AE$1068,MATCH($A63,'Historical Data'!$BE$2:$BE$1068,0)),"")</f>
        <v/>
      </c>
      <c r="V63" s="291">
        <f>IFERROR(INDEX('Historical Data'!$AH$2:$AH$1068,MATCH($A63,'Historical Data'!$BE$2:$BE$1068,0)),"")</f>
        <v/>
      </c>
      <c r="W63" s="291">
        <f>IFERROR(INDEX('Historical Data'!$BC$2:$BC$1068,MATCH($A63,'Historical Data'!$BE$2:$BE$1068,0)),"")</f>
        <v/>
      </c>
      <c r="X63" s="290">
        <f>IF(B63="","",IF(W63=1,"NR + industry + position",IF(W63=2,"NR + ISO + position",IF(W63=3,"NR + industry",IF(W63=4,"NR + ISO",IF(W63=5,"NR + position",IF(W63=6,"NR only","book baseline"))))))&amp;"  ["&amp;IF(T63=1,"seasoned","unseasoned")&amp;IF(U63=1,", defaulted","")&amp;IF(V63=1,", open","")&amp;"]")</f>
        <v/>
      </c>
    </row>
    <row r="64">
      <c r="A64" s="290" t="n">
        <v>60</v>
      </c>
      <c r="B64" s="291">
        <f>IFERROR(INDEX('Historical Data'!$A$2:$A$1068,MATCH($A64,'Historical Data'!$BE$2:$BE$1068,0)),"")</f>
        <v/>
      </c>
      <c r="C64" s="291">
        <f>IFERROR(INDEX('Historical Data'!$B$2:$B$1068,MATCH($A64,'Historical Data'!$BE$2:$BE$1068,0)),"")</f>
        <v/>
      </c>
      <c r="D64" s="291">
        <f>IFERROR(INDEX('Historical Data'!$D$2:$D$1068,MATCH($A64,'Historical Data'!$BE$2:$BE$1068,0)),"")</f>
        <v/>
      </c>
      <c r="E64" s="292">
        <f>IFERROR(INDEX('Historical Data'!$E$2:$E$1068,MATCH($A64,'Historical Data'!$BE$2:$BE$1068,0)),"")</f>
        <v/>
      </c>
      <c r="F64" s="291">
        <f>IFERROR(INDEX('Historical Data'!$G$2:$G$1068,MATCH($A64,'Historical Data'!$BE$2:$BE$1068,0)),"")</f>
        <v/>
      </c>
      <c r="G64" s="291">
        <f>IFERROR(INDEX('Historical Data'!$Y$2:$Y$1068,MATCH($A64,'Historical Data'!$BE$2:$BE$1068,0)),"")</f>
        <v/>
      </c>
      <c r="H64" s="291">
        <f>IFERROR(INDEX('Historical Data'!$K$2:$K$1068,MATCH($A64,'Historical Data'!$BE$2:$BE$1068,0)),"")</f>
        <v/>
      </c>
      <c r="I64" s="291">
        <f>IFERROR(INDEX('Historical Data'!$J$2:$J$1068,MATCH($A64,'Historical Data'!$BE$2:$BE$1068,0)),"")</f>
        <v/>
      </c>
      <c r="J64" s="291">
        <f>IFERROR(INDEX('Historical Data'!$L$2:$L$1068,MATCH($A64,'Historical Data'!$BE$2:$BE$1068,0)),"")</f>
        <v/>
      </c>
      <c r="K64" s="293">
        <f>IFERROR(INDEX('Historical Data'!$M$2:$M$1068,MATCH($A64,'Historical Data'!$BE$2:$BE$1068,0)),"")</f>
        <v/>
      </c>
      <c r="L64" s="294">
        <f>IFERROR(INDEX('Historical Data'!$N$2:$N$1068,MATCH($A64,'Historical Data'!$BE$2:$BE$1068,0)),"")</f>
        <v/>
      </c>
      <c r="M64" s="294">
        <f>IFERROR(INDEX('Historical Data'!$Q$2:$Q$1068,MATCH($A64,'Historical Data'!$BE$2:$BE$1068,0)),"")</f>
        <v/>
      </c>
      <c r="N64" s="295">
        <f>IFERROR(INDEX('Historical Data'!$S$2:$S$1068,MATCH($A64,'Historical Data'!$BE$2:$BE$1068,0)),"")</f>
        <v/>
      </c>
      <c r="O64" s="294">
        <f>IFERROR(INDEX('Historical Data'!$AJ$2:$AJ$1068,MATCH($A64,'Historical Data'!$BE$2:$BE$1068,0)),"")</f>
        <v/>
      </c>
      <c r="P64" s="294">
        <f>IFERROR(INDEX('Historical Data'!$AK$2:$AK$1068,MATCH($A64,'Historical Data'!$BE$2:$BE$1068,0)),"")</f>
        <v/>
      </c>
      <c r="Q64" s="291">
        <f>IFERROR(INDEX('Historical Data'!$AA$2:$AA$1068,MATCH($A64,'Historical Data'!$BE$2:$BE$1068,0)),"")</f>
        <v/>
      </c>
      <c r="R64" s="291">
        <f>IFERROR(INDEX('Historical Data'!$AB$2:$AB$1068,MATCH($A64,'Historical Data'!$BE$2:$BE$1068,0)),"")</f>
        <v/>
      </c>
      <c r="S64" s="291">
        <f>IFERROR(INDEX('Historical Data'!$AN$2:$AN$1068,MATCH($A64,'Historical Data'!$BE$2:$BE$1068,0)),"")</f>
        <v/>
      </c>
      <c r="T64" s="291">
        <f>IFERROR(INDEX('Historical Data'!$AC$2:$AC$1068,MATCH($A64,'Historical Data'!$BE$2:$BE$1068,0)),"")</f>
        <v/>
      </c>
      <c r="U64" s="291">
        <f>IFERROR(INDEX('Historical Data'!$AE$2:$AE$1068,MATCH($A64,'Historical Data'!$BE$2:$BE$1068,0)),"")</f>
        <v/>
      </c>
      <c r="V64" s="291">
        <f>IFERROR(INDEX('Historical Data'!$AH$2:$AH$1068,MATCH($A64,'Historical Data'!$BE$2:$BE$1068,0)),"")</f>
        <v/>
      </c>
      <c r="W64" s="291">
        <f>IFERROR(INDEX('Historical Data'!$BC$2:$BC$1068,MATCH($A64,'Historical Data'!$BE$2:$BE$1068,0)),"")</f>
        <v/>
      </c>
      <c r="X64" s="290">
        <f>IF(B64="","",IF(W64=1,"NR + industry + position",IF(W64=2,"NR + ISO + position",IF(W64=3,"NR + industry",IF(W64=4,"NR + ISO",IF(W64=5,"NR + position",IF(W64=6,"NR only","book baseline"))))))&amp;"  ["&amp;IF(T64=1,"seasoned","unseasoned")&amp;IF(U64=1,", defaulted","")&amp;IF(V64=1,", open","")&amp;"]")</f>
        <v/>
      </c>
    </row>
    <row r="65">
      <c r="A65" s="290" t="n">
        <v>61</v>
      </c>
      <c r="B65" s="291">
        <f>IFERROR(INDEX('Historical Data'!$A$2:$A$1068,MATCH($A65,'Historical Data'!$BE$2:$BE$1068,0)),"")</f>
        <v/>
      </c>
      <c r="C65" s="291">
        <f>IFERROR(INDEX('Historical Data'!$B$2:$B$1068,MATCH($A65,'Historical Data'!$BE$2:$BE$1068,0)),"")</f>
        <v/>
      </c>
      <c r="D65" s="291">
        <f>IFERROR(INDEX('Historical Data'!$D$2:$D$1068,MATCH($A65,'Historical Data'!$BE$2:$BE$1068,0)),"")</f>
        <v/>
      </c>
      <c r="E65" s="292">
        <f>IFERROR(INDEX('Historical Data'!$E$2:$E$1068,MATCH($A65,'Historical Data'!$BE$2:$BE$1068,0)),"")</f>
        <v/>
      </c>
      <c r="F65" s="291">
        <f>IFERROR(INDEX('Historical Data'!$G$2:$G$1068,MATCH($A65,'Historical Data'!$BE$2:$BE$1068,0)),"")</f>
        <v/>
      </c>
      <c r="G65" s="291">
        <f>IFERROR(INDEX('Historical Data'!$Y$2:$Y$1068,MATCH($A65,'Historical Data'!$BE$2:$BE$1068,0)),"")</f>
        <v/>
      </c>
      <c r="H65" s="291">
        <f>IFERROR(INDEX('Historical Data'!$K$2:$K$1068,MATCH($A65,'Historical Data'!$BE$2:$BE$1068,0)),"")</f>
        <v/>
      </c>
      <c r="I65" s="291">
        <f>IFERROR(INDEX('Historical Data'!$J$2:$J$1068,MATCH($A65,'Historical Data'!$BE$2:$BE$1068,0)),"")</f>
        <v/>
      </c>
      <c r="J65" s="291">
        <f>IFERROR(INDEX('Historical Data'!$L$2:$L$1068,MATCH($A65,'Historical Data'!$BE$2:$BE$1068,0)),"")</f>
        <v/>
      </c>
      <c r="K65" s="293">
        <f>IFERROR(INDEX('Historical Data'!$M$2:$M$1068,MATCH($A65,'Historical Data'!$BE$2:$BE$1068,0)),"")</f>
        <v/>
      </c>
      <c r="L65" s="294">
        <f>IFERROR(INDEX('Historical Data'!$N$2:$N$1068,MATCH($A65,'Historical Data'!$BE$2:$BE$1068,0)),"")</f>
        <v/>
      </c>
      <c r="M65" s="294">
        <f>IFERROR(INDEX('Historical Data'!$Q$2:$Q$1068,MATCH($A65,'Historical Data'!$BE$2:$BE$1068,0)),"")</f>
        <v/>
      </c>
      <c r="N65" s="295">
        <f>IFERROR(INDEX('Historical Data'!$S$2:$S$1068,MATCH($A65,'Historical Data'!$BE$2:$BE$1068,0)),"")</f>
        <v/>
      </c>
      <c r="O65" s="294">
        <f>IFERROR(INDEX('Historical Data'!$AJ$2:$AJ$1068,MATCH($A65,'Historical Data'!$BE$2:$BE$1068,0)),"")</f>
        <v/>
      </c>
      <c r="P65" s="294">
        <f>IFERROR(INDEX('Historical Data'!$AK$2:$AK$1068,MATCH($A65,'Historical Data'!$BE$2:$BE$1068,0)),"")</f>
        <v/>
      </c>
      <c r="Q65" s="291">
        <f>IFERROR(INDEX('Historical Data'!$AA$2:$AA$1068,MATCH($A65,'Historical Data'!$BE$2:$BE$1068,0)),"")</f>
        <v/>
      </c>
      <c r="R65" s="291">
        <f>IFERROR(INDEX('Historical Data'!$AB$2:$AB$1068,MATCH($A65,'Historical Data'!$BE$2:$BE$1068,0)),"")</f>
        <v/>
      </c>
      <c r="S65" s="291">
        <f>IFERROR(INDEX('Historical Data'!$AN$2:$AN$1068,MATCH($A65,'Historical Data'!$BE$2:$BE$1068,0)),"")</f>
        <v/>
      </c>
      <c r="T65" s="291">
        <f>IFERROR(INDEX('Historical Data'!$AC$2:$AC$1068,MATCH($A65,'Historical Data'!$BE$2:$BE$1068,0)),"")</f>
        <v/>
      </c>
      <c r="U65" s="291">
        <f>IFERROR(INDEX('Historical Data'!$AE$2:$AE$1068,MATCH($A65,'Historical Data'!$BE$2:$BE$1068,0)),"")</f>
        <v/>
      </c>
      <c r="V65" s="291">
        <f>IFERROR(INDEX('Historical Data'!$AH$2:$AH$1068,MATCH($A65,'Historical Data'!$BE$2:$BE$1068,0)),"")</f>
        <v/>
      </c>
      <c r="W65" s="291">
        <f>IFERROR(INDEX('Historical Data'!$BC$2:$BC$1068,MATCH($A65,'Historical Data'!$BE$2:$BE$1068,0)),"")</f>
        <v/>
      </c>
      <c r="X65" s="290">
        <f>IF(B65="","",IF(W65=1,"NR + industry + position",IF(W65=2,"NR + ISO + position",IF(W65=3,"NR + industry",IF(W65=4,"NR + ISO",IF(W65=5,"NR + position",IF(W65=6,"NR only","book baseline"))))))&amp;"  ["&amp;IF(T65=1,"seasoned","unseasoned")&amp;IF(U65=1,", defaulted","")&amp;IF(V65=1,", open","")&amp;"]")</f>
        <v/>
      </c>
    </row>
    <row r="66">
      <c r="A66" s="290" t="n">
        <v>62</v>
      </c>
      <c r="B66" s="291">
        <f>IFERROR(INDEX('Historical Data'!$A$2:$A$1068,MATCH($A66,'Historical Data'!$BE$2:$BE$1068,0)),"")</f>
        <v/>
      </c>
      <c r="C66" s="291">
        <f>IFERROR(INDEX('Historical Data'!$B$2:$B$1068,MATCH($A66,'Historical Data'!$BE$2:$BE$1068,0)),"")</f>
        <v/>
      </c>
      <c r="D66" s="291">
        <f>IFERROR(INDEX('Historical Data'!$D$2:$D$1068,MATCH($A66,'Historical Data'!$BE$2:$BE$1068,0)),"")</f>
        <v/>
      </c>
      <c r="E66" s="292">
        <f>IFERROR(INDEX('Historical Data'!$E$2:$E$1068,MATCH($A66,'Historical Data'!$BE$2:$BE$1068,0)),"")</f>
        <v/>
      </c>
      <c r="F66" s="291">
        <f>IFERROR(INDEX('Historical Data'!$G$2:$G$1068,MATCH($A66,'Historical Data'!$BE$2:$BE$1068,0)),"")</f>
        <v/>
      </c>
      <c r="G66" s="291">
        <f>IFERROR(INDEX('Historical Data'!$Y$2:$Y$1068,MATCH($A66,'Historical Data'!$BE$2:$BE$1068,0)),"")</f>
        <v/>
      </c>
      <c r="H66" s="291">
        <f>IFERROR(INDEX('Historical Data'!$K$2:$K$1068,MATCH($A66,'Historical Data'!$BE$2:$BE$1068,0)),"")</f>
        <v/>
      </c>
      <c r="I66" s="291">
        <f>IFERROR(INDEX('Historical Data'!$J$2:$J$1068,MATCH($A66,'Historical Data'!$BE$2:$BE$1068,0)),"")</f>
        <v/>
      </c>
      <c r="J66" s="291">
        <f>IFERROR(INDEX('Historical Data'!$L$2:$L$1068,MATCH($A66,'Historical Data'!$BE$2:$BE$1068,0)),"")</f>
        <v/>
      </c>
      <c r="K66" s="293">
        <f>IFERROR(INDEX('Historical Data'!$M$2:$M$1068,MATCH($A66,'Historical Data'!$BE$2:$BE$1068,0)),"")</f>
        <v/>
      </c>
      <c r="L66" s="294">
        <f>IFERROR(INDEX('Historical Data'!$N$2:$N$1068,MATCH($A66,'Historical Data'!$BE$2:$BE$1068,0)),"")</f>
        <v/>
      </c>
      <c r="M66" s="294">
        <f>IFERROR(INDEX('Historical Data'!$Q$2:$Q$1068,MATCH($A66,'Historical Data'!$BE$2:$BE$1068,0)),"")</f>
        <v/>
      </c>
      <c r="N66" s="295">
        <f>IFERROR(INDEX('Historical Data'!$S$2:$S$1068,MATCH($A66,'Historical Data'!$BE$2:$BE$1068,0)),"")</f>
        <v/>
      </c>
      <c r="O66" s="294">
        <f>IFERROR(INDEX('Historical Data'!$AJ$2:$AJ$1068,MATCH($A66,'Historical Data'!$BE$2:$BE$1068,0)),"")</f>
        <v/>
      </c>
      <c r="P66" s="294">
        <f>IFERROR(INDEX('Historical Data'!$AK$2:$AK$1068,MATCH($A66,'Historical Data'!$BE$2:$BE$1068,0)),"")</f>
        <v/>
      </c>
      <c r="Q66" s="291">
        <f>IFERROR(INDEX('Historical Data'!$AA$2:$AA$1068,MATCH($A66,'Historical Data'!$BE$2:$BE$1068,0)),"")</f>
        <v/>
      </c>
      <c r="R66" s="291">
        <f>IFERROR(INDEX('Historical Data'!$AB$2:$AB$1068,MATCH($A66,'Historical Data'!$BE$2:$BE$1068,0)),"")</f>
        <v/>
      </c>
      <c r="S66" s="291">
        <f>IFERROR(INDEX('Historical Data'!$AN$2:$AN$1068,MATCH($A66,'Historical Data'!$BE$2:$BE$1068,0)),"")</f>
        <v/>
      </c>
      <c r="T66" s="291">
        <f>IFERROR(INDEX('Historical Data'!$AC$2:$AC$1068,MATCH($A66,'Historical Data'!$BE$2:$BE$1068,0)),"")</f>
        <v/>
      </c>
      <c r="U66" s="291">
        <f>IFERROR(INDEX('Historical Data'!$AE$2:$AE$1068,MATCH($A66,'Historical Data'!$BE$2:$BE$1068,0)),"")</f>
        <v/>
      </c>
      <c r="V66" s="291">
        <f>IFERROR(INDEX('Historical Data'!$AH$2:$AH$1068,MATCH($A66,'Historical Data'!$BE$2:$BE$1068,0)),"")</f>
        <v/>
      </c>
      <c r="W66" s="291">
        <f>IFERROR(INDEX('Historical Data'!$BC$2:$BC$1068,MATCH($A66,'Historical Data'!$BE$2:$BE$1068,0)),"")</f>
        <v/>
      </c>
      <c r="X66" s="290">
        <f>IF(B66="","",IF(W66=1,"NR + industry + position",IF(W66=2,"NR + ISO + position",IF(W66=3,"NR + industry",IF(W66=4,"NR + ISO",IF(W66=5,"NR + position",IF(W66=6,"NR only","book baseline"))))))&amp;"  ["&amp;IF(T66=1,"seasoned","unseasoned")&amp;IF(U66=1,", defaulted","")&amp;IF(V66=1,", open","")&amp;"]")</f>
        <v/>
      </c>
    </row>
    <row r="67">
      <c r="A67" s="290" t="n">
        <v>63</v>
      </c>
      <c r="B67" s="291">
        <f>IFERROR(INDEX('Historical Data'!$A$2:$A$1068,MATCH($A67,'Historical Data'!$BE$2:$BE$1068,0)),"")</f>
        <v/>
      </c>
      <c r="C67" s="291">
        <f>IFERROR(INDEX('Historical Data'!$B$2:$B$1068,MATCH($A67,'Historical Data'!$BE$2:$BE$1068,0)),"")</f>
        <v/>
      </c>
      <c r="D67" s="291">
        <f>IFERROR(INDEX('Historical Data'!$D$2:$D$1068,MATCH($A67,'Historical Data'!$BE$2:$BE$1068,0)),"")</f>
        <v/>
      </c>
      <c r="E67" s="292">
        <f>IFERROR(INDEX('Historical Data'!$E$2:$E$1068,MATCH($A67,'Historical Data'!$BE$2:$BE$1068,0)),"")</f>
        <v/>
      </c>
      <c r="F67" s="291">
        <f>IFERROR(INDEX('Historical Data'!$G$2:$G$1068,MATCH($A67,'Historical Data'!$BE$2:$BE$1068,0)),"")</f>
        <v/>
      </c>
      <c r="G67" s="291">
        <f>IFERROR(INDEX('Historical Data'!$Y$2:$Y$1068,MATCH($A67,'Historical Data'!$BE$2:$BE$1068,0)),"")</f>
        <v/>
      </c>
      <c r="H67" s="291">
        <f>IFERROR(INDEX('Historical Data'!$K$2:$K$1068,MATCH($A67,'Historical Data'!$BE$2:$BE$1068,0)),"")</f>
        <v/>
      </c>
      <c r="I67" s="291">
        <f>IFERROR(INDEX('Historical Data'!$J$2:$J$1068,MATCH($A67,'Historical Data'!$BE$2:$BE$1068,0)),"")</f>
        <v/>
      </c>
      <c r="J67" s="291">
        <f>IFERROR(INDEX('Historical Data'!$L$2:$L$1068,MATCH($A67,'Historical Data'!$BE$2:$BE$1068,0)),"")</f>
        <v/>
      </c>
      <c r="K67" s="293">
        <f>IFERROR(INDEX('Historical Data'!$M$2:$M$1068,MATCH($A67,'Historical Data'!$BE$2:$BE$1068,0)),"")</f>
        <v/>
      </c>
      <c r="L67" s="294">
        <f>IFERROR(INDEX('Historical Data'!$N$2:$N$1068,MATCH($A67,'Historical Data'!$BE$2:$BE$1068,0)),"")</f>
        <v/>
      </c>
      <c r="M67" s="294">
        <f>IFERROR(INDEX('Historical Data'!$Q$2:$Q$1068,MATCH($A67,'Historical Data'!$BE$2:$BE$1068,0)),"")</f>
        <v/>
      </c>
      <c r="N67" s="295">
        <f>IFERROR(INDEX('Historical Data'!$S$2:$S$1068,MATCH($A67,'Historical Data'!$BE$2:$BE$1068,0)),"")</f>
        <v/>
      </c>
      <c r="O67" s="294">
        <f>IFERROR(INDEX('Historical Data'!$AJ$2:$AJ$1068,MATCH($A67,'Historical Data'!$BE$2:$BE$1068,0)),"")</f>
        <v/>
      </c>
      <c r="P67" s="294">
        <f>IFERROR(INDEX('Historical Data'!$AK$2:$AK$1068,MATCH($A67,'Historical Data'!$BE$2:$BE$1068,0)),"")</f>
        <v/>
      </c>
      <c r="Q67" s="291">
        <f>IFERROR(INDEX('Historical Data'!$AA$2:$AA$1068,MATCH($A67,'Historical Data'!$BE$2:$BE$1068,0)),"")</f>
        <v/>
      </c>
      <c r="R67" s="291">
        <f>IFERROR(INDEX('Historical Data'!$AB$2:$AB$1068,MATCH($A67,'Historical Data'!$BE$2:$BE$1068,0)),"")</f>
        <v/>
      </c>
      <c r="S67" s="291">
        <f>IFERROR(INDEX('Historical Data'!$AN$2:$AN$1068,MATCH($A67,'Historical Data'!$BE$2:$BE$1068,0)),"")</f>
        <v/>
      </c>
      <c r="T67" s="291">
        <f>IFERROR(INDEX('Historical Data'!$AC$2:$AC$1068,MATCH($A67,'Historical Data'!$BE$2:$BE$1068,0)),"")</f>
        <v/>
      </c>
      <c r="U67" s="291">
        <f>IFERROR(INDEX('Historical Data'!$AE$2:$AE$1068,MATCH($A67,'Historical Data'!$BE$2:$BE$1068,0)),"")</f>
        <v/>
      </c>
      <c r="V67" s="291">
        <f>IFERROR(INDEX('Historical Data'!$AH$2:$AH$1068,MATCH($A67,'Historical Data'!$BE$2:$BE$1068,0)),"")</f>
        <v/>
      </c>
      <c r="W67" s="291">
        <f>IFERROR(INDEX('Historical Data'!$BC$2:$BC$1068,MATCH($A67,'Historical Data'!$BE$2:$BE$1068,0)),"")</f>
        <v/>
      </c>
      <c r="X67" s="290">
        <f>IF(B67="","",IF(W67=1,"NR + industry + position",IF(W67=2,"NR + ISO + position",IF(W67=3,"NR + industry",IF(W67=4,"NR + ISO",IF(W67=5,"NR + position",IF(W67=6,"NR only","book baseline"))))))&amp;"  ["&amp;IF(T67=1,"seasoned","unseasoned")&amp;IF(U67=1,", defaulted","")&amp;IF(V67=1,", open","")&amp;"]")</f>
        <v/>
      </c>
    </row>
    <row r="68">
      <c r="A68" s="290" t="n">
        <v>64</v>
      </c>
      <c r="B68" s="291">
        <f>IFERROR(INDEX('Historical Data'!$A$2:$A$1068,MATCH($A68,'Historical Data'!$BE$2:$BE$1068,0)),"")</f>
        <v/>
      </c>
      <c r="C68" s="291">
        <f>IFERROR(INDEX('Historical Data'!$B$2:$B$1068,MATCH($A68,'Historical Data'!$BE$2:$BE$1068,0)),"")</f>
        <v/>
      </c>
      <c r="D68" s="291">
        <f>IFERROR(INDEX('Historical Data'!$D$2:$D$1068,MATCH($A68,'Historical Data'!$BE$2:$BE$1068,0)),"")</f>
        <v/>
      </c>
      <c r="E68" s="292">
        <f>IFERROR(INDEX('Historical Data'!$E$2:$E$1068,MATCH($A68,'Historical Data'!$BE$2:$BE$1068,0)),"")</f>
        <v/>
      </c>
      <c r="F68" s="291">
        <f>IFERROR(INDEX('Historical Data'!$G$2:$G$1068,MATCH($A68,'Historical Data'!$BE$2:$BE$1068,0)),"")</f>
        <v/>
      </c>
      <c r="G68" s="291">
        <f>IFERROR(INDEX('Historical Data'!$Y$2:$Y$1068,MATCH($A68,'Historical Data'!$BE$2:$BE$1068,0)),"")</f>
        <v/>
      </c>
      <c r="H68" s="291">
        <f>IFERROR(INDEX('Historical Data'!$K$2:$K$1068,MATCH($A68,'Historical Data'!$BE$2:$BE$1068,0)),"")</f>
        <v/>
      </c>
      <c r="I68" s="291">
        <f>IFERROR(INDEX('Historical Data'!$J$2:$J$1068,MATCH($A68,'Historical Data'!$BE$2:$BE$1068,0)),"")</f>
        <v/>
      </c>
      <c r="J68" s="291">
        <f>IFERROR(INDEX('Historical Data'!$L$2:$L$1068,MATCH($A68,'Historical Data'!$BE$2:$BE$1068,0)),"")</f>
        <v/>
      </c>
      <c r="K68" s="293">
        <f>IFERROR(INDEX('Historical Data'!$M$2:$M$1068,MATCH($A68,'Historical Data'!$BE$2:$BE$1068,0)),"")</f>
        <v/>
      </c>
      <c r="L68" s="294">
        <f>IFERROR(INDEX('Historical Data'!$N$2:$N$1068,MATCH($A68,'Historical Data'!$BE$2:$BE$1068,0)),"")</f>
        <v/>
      </c>
      <c r="M68" s="294">
        <f>IFERROR(INDEX('Historical Data'!$Q$2:$Q$1068,MATCH($A68,'Historical Data'!$BE$2:$BE$1068,0)),"")</f>
        <v/>
      </c>
      <c r="N68" s="295">
        <f>IFERROR(INDEX('Historical Data'!$S$2:$S$1068,MATCH($A68,'Historical Data'!$BE$2:$BE$1068,0)),"")</f>
        <v/>
      </c>
      <c r="O68" s="294">
        <f>IFERROR(INDEX('Historical Data'!$AJ$2:$AJ$1068,MATCH($A68,'Historical Data'!$BE$2:$BE$1068,0)),"")</f>
        <v/>
      </c>
      <c r="P68" s="294">
        <f>IFERROR(INDEX('Historical Data'!$AK$2:$AK$1068,MATCH($A68,'Historical Data'!$BE$2:$BE$1068,0)),"")</f>
        <v/>
      </c>
      <c r="Q68" s="291">
        <f>IFERROR(INDEX('Historical Data'!$AA$2:$AA$1068,MATCH($A68,'Historical Data'!$BE$2:$BE$1068,0)),"")</f>
        <v/>
      </c>
      <c r="R68" s="291">
        <f>IFERROR(INDEX('Historical Data'!$AB$2:$AB$1068,MATCH($A68,'Historical Data'!$BE$2:$BE$1068,0)),"")</f>
        <v/>
      </c>
      <c r="S68" s="291">
        <f>IFERROR(INDEX('Historical Data'!$AN$2:$AN$1068,MATCH($A68,'Historical Data'!$BE$2:$BE$1068,0)),"")</f>
        <v/>
      </c>
      <c r="T68" s="291">
        <f>IFERROR(INDEX('Historical Data'!$AC$2:$AC$1068,MATCH($A68,'Historical Data'!$BE$2:$BE$1068,0)),"")</f>
        <v/>
      </c>
      <c r="U68" s="291">
        <f>IFERROR(INDEX('Historical Data'!$AE$2:$AE$1068,MATCH($A68,'Historical Data'!$BE$2:$BE$1068,0)),"")</f>
        <v/>
      </c>
      <c r="V68" s="291">
        <f>IFERROR(INDEX('Historical Data'!$AH$2:$AH$1068,MATCH($A68,'Historical Data'!$BE$2:$BE$1068,0)),"")</f>
        <v/>
      </c>
      <c r="W68" s="291">
        <f>IFERROR(INDEX('Historical Data'!$BC$2:$BC$1068,MATCH($A68,'Historical Data'!$BE$2:$BE$1068,0)),"")</f>
        <v/>
      </c>
      <c r="X68" s="290">
        <f>IF(B68="","",IF(W68=1,"NR + industry + position",IF(W68=2,"NR + ISO + position",IF(W68=3,"NR + industry",IF(W68=4,"NR + ISO",IF(W68=5,"NR + position",IF(W68=6,"NR only","book baseline"))))))&amp;"  ["&amp;IF(T68=1,"seasoned","unseasoned")&amp;IF(U68=1,", defaulted","")&amp;IF(V68=1,", open","")&amp;"]")</f>
        <v/>
      </c>
    </row>
    <row r="69">
      <c r="A69" s="290" t="n">
        <v>65</v>
      </c>
      <c r="B69" s="291">
        <f>IFERROR(INDEX('Historical Data'!$A$2:$A$1068,MATCH($A69,'Historical Data'!$BE$2:$BE$1068,0)),"")</f>
        <v/>
      </c>
      <c r="C69" s="291">
        <f>IFERROR(INDEX('Historical Data'!$B$2:$B$1068,MATCH($A69,'Historical Data'!$BE$2:$BE$1068,0)),"")</f>
        <v/>
      </c>
      <c r="D69" s="291">
        <f>IFERROR(INDEX('Historical Data'!$D$2:$D$1068,MATCH($A69,'Historical Data'!$BE$2:$BE$1068,0)),"")</f>
        <v/>
      </c>
      <c r="E69" s="292">
        <f>IFERROR(INDEX('Historical Data'!$E$2:$E$1068,MATCH($A69,'Historical Data'!$BE$2:$BE$1068,0)),"")</f>
        <v/>
      </c>
      <c r="F69" s="291">
        <f>IFERROR(INDEX('Historical Data'!$G$2:$G$1068,MATCH($A69,'Historical Data'!$BE$2:$BE$1068,0)),"")</f>
        <v/>
      </c>
      <c r="G69" s="291">
        <f>IFERROR(INDEX('Historical Data'!$Y$2:$Y$1068,MATCH($A69,'Historical Data'!$BE$2:$BE$1068,0)),"")</f>
        <v/>
      </c>
      <c r="H69" s="291">
        <f>IFERROR(INDEX('Historical Data'!$K$2:$K$1068,MATCH($A69,'Historical Data'!$BE$2:$BE$1068,0)),"")</f>
        <v/>
      </c>
      <c r="I69" s="291">
        <f>IFERROR(INDEX('Historical Data'!$J$2:$J$1068,MATCH($A69,'Historical Data'!$BE$2:$BE$1068,0)),"")</f>
        <v/>
      </c>
      <c r="J69" s="291">
        <f>IFERROR(INDEX('Historical Data'!$L$2:$L$1068,MATCH($A69,'Historical Data'!$BE$2:$BE$1068,0)),"")</f>
        <v/>
      </c>
      <c r="K69" s="293">
        <f>IFERROR(INDEX('Historical Data'!$M$2:$M$1068,MATCH($A69,'Historical Data'!$BE$2:$BE$1068,0)),"")</f>
        <v/>
      </c>
      <c r="L69" s="294">
        <f>IFERROR(INDEX('Historical Data'!$N$2:$N$1068,MATCH($A69,'Historical Data'!$BE$2:$BE$1068,0)),"")</f>
        <v/>
      </c>
      <c r="M69" s="294">
        <f>IFERROR(INDEX('Historical Data'!$Q$2:$Q$1068,MATCH($A69,'Historical Data'!$BE$2:$BE$1068,0)),"")</f>
        <v/>
      </c>
      <c r="N69" s="295">
        <f>IFERROR(INDEX('Historical Data'!$S$2:$S$1068,MATCH($A69,'Historical Data'!$BE$2:$BE$1068,0)),"")</f>
        <v/>
      </c>
      <c r="O69" s="294">
        <f>IFERROR(INDEX('Historical Data'!$AJ$2:$AJ$1068,MATCH($A69,'Historical Data'!$BE$2:$BE$1068,0)),"")</f>
        <v/>
      </c>
      <c r="P69" s="294">
        <f>IFERROR(INDEX('Historical Data'!$AK$2:$AK$1068,MATCH($A69,'Historical Data'!$BE$2:$BE$1068,0)),"")</f>
        <v/>
      </c>
      <c r="Q69" s="291">
        <f>IFERROR(INDEX('Historical Data'!$AA$2:$AA$1068,MATCH($A69,'Historical Data'!$BE$2:$BE$1068,0)),"")</f>
        <v/>
      </c>
      <c r="R69" s="291">
        <f>IFERROR(INDEX('Historical Data'!$AB$2:$AB$1068,MATCH($A69,'Historical Data'!$BE$2:$BE$1068,0)),"")</f>
        <v/>
      </c>
      <c r="S69" s="291">
        <f>IFERROR(INDEX('Historical Data'!$AN$2:$AN$1068,MATCH($A69,'Historical Data'!$BE$2:$BE$1068,0)),"")</f>
        <v/>
      </c>
      <c r="T69" s="291">
        <f>IFERROR(INDEX('Historical Data'!$AC$2:$AC$1068,MATCH($A69,'Historical Data'!$BE$2:$BE$1068,0)),"")</f>
        <v/>
      </c>
      <c r="U69" s="291">
        <f>IFERROR(INDEX('Historical Data'!$AE$2:$AE$1068,MATCH($A69,'Historical Data'!$BE$2:$BE$1068,0)),"")</f>
        <v/>
      </c>
      <c r="V69" s="291">
        <f>IFERROR(INDEX('Historical Data'!$AH$2:$AH$1068,MATCH($A69,'Historical Data'!$BE$2:$BE$1068,0)),"")</f>
        <v/>
      </c>
      <c r="W69" s="291">
        <f>IFERROR(INDEX('Historical Data'!$BC$2:$BC$1068,MATCH($A69,'Historical Data'!$BE$2:$BE$1068,0)),"")</f>
        <v/>
      </c>
      <c r="X69" s="290">
        <f>IF(B69="","",IF(W69=1,"NR + industry + position",IF(W69=2,"NR + ISO + position",IF(W69=3,"NR + industry",IF(W69=4,"NR + ISO",IF(W69=5,"NR + position",IF(W69=6,"NR only","book baseline"))))))&amp;"  ["&amp;IF(T69=1,"seasoned","unseasoned")&amp;IF(U69=1,", defaulted","")&amp;IF(V69=1,", open","")&amp;"]")</f>
        <v/>
      </c>
    </row>
    <row r="70">
      <c r="A70" s="290" t="n">
        <v>66</v>
      </c>
      <c r="B70" s="291">
        <f>IFERROR(INDEX('Historical Data'!$A$2:$A$1068,MATCH($A70,'Historical Data'!$BE$2:$BE$1068,0)),"")</f>
        <v/>
      </c>
      <c r="C70" s="291">
        <f>IFERROR(INDEX('Historical Data'!$B$2:$B$1068,MATCH($A70,'Historical Data'!$BE$2:$BE$1068,0)),"")</f>
        <v/>
      </c>
      <c r="D70" s="291">
        <f>IFERROR(INDEX('Historical Data'!$D$2:$D$1068,MATCH($A70,'Historical Data'!$BE$2:$BE$1068,0)),"")</f>
        <v/>
      </c>
      <c r="E70" s="292">
        <f>IFERROR(INDEX('Historical Data'!$E$2:$E$1068,MATCH($A70,'Historical Data'!$BE$2:$BE$1068,0)),"")</f>
        <v/>
      </c>
      <c r="F70" s="291">
        <f>IFERROR(INDEX('Historical Data'!$G$2:$G$1068,MATCH($A70,'Historical Data'!$BE$2:$BE$1068,0)),"")</f>
        <v/>
      </c>
      <c r="G70" s="291">
        <f>IFERROR(INDEX('Historical Data'!$Y$2:$Y$1068,MATCH($A70,'Historical Data'!$BE$2:$BE$1068,0)),"")</f>
        <v/>
      </c>
      <c r="H70" s="291">
        <f>IFERROR(INDEX('Historical Data'!$K$2:$K$1068,MATCH($A70,'Historical Data'!$BE$2:$BE$1068,0)),"")</f>
        <v/>
      </c>
      <c r="I70" s="291">
        <f>IFERROR(INDEX('Historical Data'!$J$2:$J$1068,MATCH($A70,'Historical Data'!$BE$2:$BE$1068,0)),"")</f>
        <v/>
      </c>
      <c r="J70" s="291">
        <f>IFERROR(INDEX('Historical Data'!$L$2:$L$1068,MATCH($A70,'Historical Data'!$BE$2:$BE$1068,0)),"")</f>
        <v/>
      </c>
      <c r="K70" s="293">
        <f>IFERROR(INDEX('Historical Data'!$M$2:$M$1068,MATCH($A70,'Historical Data'!$BE$2:$BE$1068,0)),"")</f>
        <v/>
      </c>
      <c r="L70" s="294">
        <f>IFERROR(INDEX('Historical Data'!$N$2:$N$1068,MATCH($A70,'Historical Data'!$BE$2:$BE$1068,0)),"")</f>
        <v/>
      </c>
      <c r="M70" s="294">
        <f>IFERROR(INDEX('Historical Data'!$Q$2:$Q$1068,MATCH($A70,'Historical Data'!$BE$2:$BE$1068,0)),"")</f>
        <v/>
      </c>
      <c r="N70" s="295">
        <f>IFERROR(INDEX('Historical Data'!$S$2:$S$1068,MATCH($A70,'Historical Data'!$BE$2:$BE$1068,0)),"")</f>
        <v/>
      </c>
      <c r="O70" s="294">
        <f>IFERROR(INDEX('Historical Data'!$AJ$2:$AJ$1068,MATCH($A70,'Historical Data'!$BE$2:$BE$1068,0)),"")</f>
        <v/>
      </c>
      <c r="P70" s="294">
        <f>IFERROR(INDEX('Historical Data'!$AK$2:$AK$1068,MATCH($A70,'Historical Data'!$BE$2:$BE$1068,0)),"")</f>
        <v/>
      </c>
      <c r="Q70" s="291">
        <f>IFERROR(INDEX('Historical Data'!$AA$2:$AA$1068,MATCH($A70,'Historical Data'!$BE$2:$BE$1068,0)),"")</f>
        <v/>
      </c>
      <c r="R70" s="291">
        <f>IFERROR(INDEX('Historical Data'!$AB$2:$AB$1068,MATCH($A70,'Historical Data'!$BE$2:$BE$1068,0)),"")</f>
        <v/>
      </c>
      <c r="S70" s="291">
        <f>IFERROR(INDEX('Historical Data'!$AN$2:$AN$1068,MATCH($A70,'Historical Data'!$BE$2:$BE$1068,0)),"")</f>
        <v/>
      </c>
      <c r="T70" s="291">
        <f>IFERROR(INDEX('Historical Data'!$AC$2:$AC$1068,MATCH($A70,'Historical Data'!$BE$2:$BE$1068,0)),"")</f>
        <v/>
      </c>
      <c r="U70" s="291">
        <f>IFERROR(INDEX('Historical Data'!$AE$2:$AE$1068,MATCH($A70,'Historical Data'!$BE$2:$BE$1068,0)),"")</f>
        <v/>
      </c>
      <c r="V70" s="291">
        <f>IFERROR(INDEX('Historical Data'!$AH$2:$AH$1068,MATCH($A70,'Historical Data'!$BE$2:$BE$1068,0)),"")</f>
        <v/>
      </c>
      <c r="W70" s="291">
        <f>IFERROR(INDEX('Historical Data'!$BC$2:$BC$1068,MATCH($A70,'Historical Data'!$BE$2:$BE$1068,0)),"")</f>
        <v/>
      </c>
      <c r="X70" s="290">
        <f>IF(B70="","",IF(W70=1,"NR + industry + position",IF(W70=2,"NR + ISO + position",IF(W70=3,"NR + industry",IF(W70=4,"NR + ISO",IF(W70=5,"NR + position",IF(W70=6,"NR only","book baseline"))))))&amp;"  ["&amp;IF(T70=1,"seasoned","unseasoned")&amp;IF(U70=1,", defaulted","")&amp;IF(V70=1,", open","")&amp;"]")</f>
        <v/>
      </c>
    </row>
    <row r="71">
      <c r="A71" s="290" t="n">
        <v>67</v>
      </c>
      <c r="B71" s="291">
        <f>IFERROR(INDEX('Historical Data'!$A$2:$A$1068,MATCH($A71,'Historical Data'!$BE$2:$BE$1068,0)),"")</f>
        <v/>
      </c>
      <c r="C71" s="291">
        <f>IFERROR(INDEX('Historical Data'!$B$2:$B$1068,MATCH($A71,'Historical Data'!$BE$2:$BE$1068,0)),"")</f>
        <v/>
      </c>
      <c r="D71" s="291">
        <f>IFERROR(INDEX('Historical Data'!$D$2:$D$1068,MATCH($A71,'Historical Data'!$BE$2:$BE$1068,0)),"")</f>
        <v/>
      </c>
      <c r="E71" s="292">
        <f>IFERROR(INDEX('Historical Data'!$E$2:$E$1068,MATCH($A71,'Historical Data'!$BE$2:$BE$1068,0)),"")</f>
        <v/>
      </c>
      <c r="F71" s="291">
        <f>IFERROR(INDEX('Historical Data'!$G$2:$G$1068,MATCH($A71,'Historical Data'!$BE$2:$BE$1068,0)),"")</f>
        <v/>
      </c>
      <c r="G71" s="291">
        <f>IFERROR(INDEX('Historical Data'!$Y$2:$Y$1068,MATCH($A71,'Historical Data'!$BE$2:$BE$1068,0)),"")</f>
        <v/>
      </c>
      <c r="H71" s="291">
        <f>IFERROR(INDEX('Historical Data'!$K$2:$K$1068,MATCH($A71,'Historical Data'!$BE$2:$BE$1068,0)),"")</f>
        <v/>
      </c>
      <c r="I71" s="291">
        <f>IFERROR(INDEX('Historical Data'!$J$2:$J$1068,MATCH($A71,'Historical Data'!$BE$2:$BE$1068,0)),"")</f>
        <v/>
      </c>
      <c r="J71" s="291">
        <f>IFERROR(INDEX('Historical Data'!$L$2:$L$1068,MATCH($A71,'Historical Data'!$BE$2:$BE$1068,0)),"")</f>
        <v/>
      </c>
      <c r="K71" s="293">
        <f>IFERROR(INDEX('Historical Data'!$M$2:$M$1068,MATCH($A71,'Historical Data'!$BE$2:$BE$1068,0)),"")</f>
        <v/>
      </c>
      <c r="L71" s="294">
        <f>IFERROR(INDEX('Historical Data'!$N$2:$N$1068,MATCH($A71,'Historical Data'!$BE$2:$BE$1068,0)),"")</f>
        <v/>
      </c>
      <c r="M71" s="294">
        <f>IFERROR(INDEX('Historical Data'!$Q$2:$Q$1068,MATCH($A71,'Historical Data'!$BE$2:$BE$1068,0)),"")</f>
        <v/>
      </c>
      <c r="N71" s="295">
        <f>IFERROR(INDEX('Historical Data'!$S$2:$S$1068,MATCH($A71,'Historical Data'!$BE$2:$BE$1068,0)),"")</f>
        <v/>
      </c>
      <c r="O71" s="294">
        <f>IFERROR(INDEX('Historical Data'!$AJ$2:$AJ$1068,MATCH($A71,'Historical Data'!$BE$2:$BE$1068,0)),"")</f>
        <v/>
      </c>
      <c r="P71" s="294">
        <f>IFERROR(INDEX('Historical Data'!$AK$2:$AK$1068,MATCH($A71,'Historical Data'!$BE$2:$BE$1068,0)),"")</f>
        <v/>
      </c>
      <c r="Q71" s="291">
        <f>IFERROR(INDEX('Historical Data'!$AA$2:$AA$1068,MATCH($A71,'Historical Data'!$BE$2:$BE$1068,0)),"")</f>
        <v/>
      </c>
      <c r="R71" s="291">
        <f>IFERROR(INDEX('Historical Data'!$AB$2:$AB$1068,MATCH($A71,'Historical Data'!$BE$2:$BE$1068,0)),"")</f>
        <v/>
      </c>
      <c r="S71" s="291">
        <f>IFERROR(INDEX('Historical Data'!$AN$2:$AN$1068,MATCH($A71,'Historical Data'!$BE$2:$BE$1068,0)),"")</f>
        <v/>
      </c>
      <c r="T71" s="291">
        <f>IFERROR(INDEX('Historical Data'!$AC$2:$AC$1068,MATCH($A71,'Historical Data'!$BE$2:$BE$1068,0)),"")</f>
        <v/>
      </c>
      <c r="U71" s="291">
        <f>IFERROR(INDEX('Historical Data'!$AE$2:$AE$1068,MATCH($A71,'Historical Data'!$BE$2:$BE$1068,0)),"")</f>
        <v/>
      </c>
      <c r="V71" s="291">
        <f>IFERROR(INDEX('Historical Data'!$AH$2:$AH$1068,MATCH($A71,'Historical Data'!$BE$2:$BE$1068,0)),"")</f>
        <v/>
      </c>
      <c r="W71" s="291">
        <f>IFERROR(INDEX('Historical Data'!$BC$2:$BC$1068,MATCH($A71,'Historical Data'!$BE$2:$BE$1068,0)),"")</f>
        <v/>
      </c>
      <c r="X71" s="290">
        <f>IF(B71="","",IF(W71=1,"NR + industry + position",IF(W71=2,"NR + ISO + position",IF(W71=3,"NR + industry",IF(W71=4,"NR + ISO",IF(W71=5,"NR + position",IF(W71=6,"NR only","book baseline"))))))&amp;"  ["&amp;IF(T71=1,"seasoned","unseasoned")&amp;IF(U71=1,", defaulted","")&amp;IF(V71=1,", open","")&amp;"]")</f>
        <v/>
      </c>
    </row>
    <row r="72">
      <c r="A72" s="290" t="n">
        <v>68</v>
      </c>
      <c r="B72" s="291">
        <f>IFERROR(INDEX('Historical Data'!$A$2:$A$1068,MATCH($A72,'Historical Data'!$BE$2:$BE$1068,0)),"")</f>
        <v/>
      </c>
      <c r="C72" s="291">
        <f>IFERROR(INDEX('Historical Data'!$B$2:$B$1068,MATCH($A72,'Historical Data'!$BE$2:$BE$1068,0)),"")</f>
        <v/>
      </c>
      <c r="D72" s="291">
        <f>IFERROR(INDEX('Historical Data'!$D$2:$D$1068,MATCH($A72,'Historical Data'!$BE$2:$BE$1068,0)),"")</f>
        <v/>
      </c>
      <c r="E72" s="292">
        <f>IFERROR(INDEX('Historical Data'!$E$2:$E$1068,MATCH($A72,'Historical Data'!$BE$2:$BE$1068,0)),"")</f>
        <v/>
      </c>
      <c r="F72" s="291">
        <f>IFERROR(INDEX('Historical Data'!$G$2:$G$1068,MATCH($A72,'Historical Data'!$BE$2:$BE$1068,0)),"")</f>
        <v/>
      </c>
      <c r="G72" s="291">
        <f>IFERROR(INDEX('Historical Data'!$Y$2:$Y$1068,MATCH($A72,'Historical Data'!$BE$2:$BE$1068,0)),"")</f>
        <v/>
      </c>
      <c r="H72" s="291">
        <f>IFERROR(INDEX('Historical Data'!$K$2:$K$1068,MATCH($A72,'Historical Data'!$BE$2:$BE$1068,0)),"")</f>
        <v/>
      </c>
      <c r="I72" s="291">
        <f>IFERROR(INDEX('Historical Data'!$J$2:$J$1068,MATCH($A72,'Historical Data'!$BE$2:$BE$1068,0)),"")</f>
        <v/>
      </c>
      <c r="J72" s="291">
        <f>IFERROR(INDEX('Historical Data'!$L$2:$L$1068,MATCH($A72,'Historical Data'!$BE$2:$BE$1068,0)),"")</f>
        <v/>
      </c>
      <c r="K72" s="293">
        <f>IFERROR(INDEX('Historical Data'!$M$2:$M$1068,MATCH($A72,'Historical Data'!$BE$2:$BE$1068,0)),"")</f>
        <v/>
      </c>
      <c r="L72" s="294">
        <f>IFERROR(INDEX('Historical Data'!$N$2:$N$1068,MATCH($A72,'Historical Data'!$BE$2:$BE$1068,0)),"")</f>
        <v/>
      </c>
      <c r="M72" s="294">
        <f>IFERROR(INDEX('Historical Data'!$Q$2:$Q$1068,MATCH($A72,'Historical Data'!$BE$2:$BE$1068,0)),"")</f>
        <v/>
      </c>
      <c r="N72" s="295">
        <f>IFERROR(INDEX('Historical Data'!$S$2:$S$1068,MATCH($A72,'Historical Data'!$BE$2:$BE$1068,0)),"")</f>
        <v/>
      </c>
      <c r="O72" s="294">
        <f>IFERROR(INDEX('Historical Data'!$AJ$2:$AJ$1068,MATCH($A72,'Historical Data'!$BE$2:$BE$1068,0)),"")</f>
        <v/>
      </c>
      <c r="P72" s="294">
        <f>IFERROR(INDEX('Historical Data'!$AK$2:$AK$1068,MATCH($A72,'Historical Data'!$BE$2:$BE$1068,0)),"")</f>
        <v/>
      </c>
      <c r="Q72" s="291">
        <f>IFERROR(INDEX('Historical Data'!$AA$2:$AA$1068,MATCH($A72,'Historical Data'!$BE$2:$BE$1068,0)),"")</f>
        <v/>
      </c>
      <c r="R72" s="291">
        <f>IFERROR(INDEX('Historical Data'!$AB$2:$AB$1068,MATCH($A72,'Historical Data'!$BE$2:$BE$1068,0)),"")</f>
        <v/>
      </c>
      <c r="S72" s="291">
        <f>IFERROR(INDEX('Historical Data'!$AN$2:$AN$1068,MATCH($A72,'Historical Data'!$BE$2:$BE$1068,0)),"")</f>
        <v/>
      </c>
      <c r="T72" s="291">
        <f>IFERROR(INDEX('Historical Data'!$AC$2:$AC$1068,MATCH($A72,'Historical Data'!$BE$2:$BE$1068,0)),"")</f>
        <v/>
      </c>
      <c r="U72" s="291">
        <f>IFERROR(INDEX('Historical Data'!$AE$2:$AE$1068,MATCH($A72,'Historical Data'!$BE$2:$BE$1068,0)),"")</f>
        <v/>
      </c>
      <c r="V72" s="291">
        <f>IFERROR(INDEX('Historical Data'!$AH$2:$AH$1068,MATCH($A72,'Historical Data'!$BE$2:$BE$1068,0)),"")</f>
        <v/>
      </c>
      <c r="W72" s="291">
        <f>IFERROR(INDEX('Historical Data'!$BC$2:$BC$1068,MATCH($A72,'Historical Data'!$BE$2:$BE$1068,0)),"")</f>
        <v/>
      </c>
      <c r="X72" s="290">
        <f>IF(B72="","",IF(W72=1,"NR + industry + position",IF(W72=2,"NR + ISO + position",IF(W72=3,"NR + industry",IF(W72=4,"NR + ISO",IF(W72=5,"NR + position",IF(W72=6,"NR only","book baseline"))))))&amp;"  ["&amp;IF(T72=1,"seasoned","unseasoned")&amp;IF(U72=1,", defaulted","")&amp;IF(V72=1,", open","")&amp;"]")</f>
        <v/>
      </c>
    </row>
    <row r="73">
      <c r="A73" s="290" t="n">
        <v>69</v>
      </c>
      <c r="B73" s="291">
        <f>IFERROR(INDEX('Historical Data'!$A$2:$A$1068,MATCH($A73,'Historical Data'!$BE$2:$BE$1068,0)),"")</f>
        <v/>
      </c>
      <c r="C73" s="291">
        <f>IFERROR(INDEX('Historical Data'!$B$2:$B$1068,MATCH($A73,'Historical Data'!$BE$2:$BE$1068,0)),"")</f>
        <v/>
      </c>
      <c r="D73" s="291">
        <f>IFERROR(INDEX('Historical Data'!$D$2:$D$1068,MATCH($A73,'Historical Data'!$BE$2:$BE$1068,0)),"")</f>
        <v/>
      </c>
      <c r="E73" s="292">
        <f>IFERROR(INDEX('Historical Data'!$E$2:$E$1068,MATCH($A73,'Historical Data'!$BE$2:$BE$1068,0)),"")</f>
        <v/>
      </c>
      <c r="F73" s="291">
        <f>IFERROR(INDEX('Historical Data'!$G$2:$G$1068,MATCH($A73,'Historical Data'!$BE$2:$BE$1068,0)),"")</f>
        <v/>
      </c>
      <c r="G73" s="291">
        <f>IFERROR(INDEX('Historical Data'!$Y$2:$Y$1068,MATCH($A73,'Historical Data'!$BE$2:$BE$1068,0)),"")</f>
        <v/>
      </c>
      <c r="H73" s="291">
        <f>IFERROR(INDEX('Historical Data'!$K$2:$K$1068,MATCH($A73,'Historical Data'!$BE$2:$BE$1068,0)),"")</f>
        <v/>
      </c>
      <c r="I73" s="291">
        <f>IFERROR(INDEX('Historical Data'!$J$2:$J$1068,MATCH($A73,'Historical Data'!$BE$2:$BE$1068,0)),"")</f>
        <v/>
      </c>
      <c r="J73" s="291">
        <f>IFERROR(INDEX('Historical Data'!$L$2:$L$1068,MATCH($A73,'Historical Data'!$BE$2:$BE$1068,0)),"")</f>
        <v/>
      </c>
      <c r="K73" s="293">
        <f>IFERROR(INDEX('Historical Data'!$M$2:$M$1068,MATCH($A73,'Historical Data'!$BE$2:$BE$1068,0)),"")</f>
        <v/>
      </c>
      <c r="L73" s="294">
        <f>IFERROR(INDEX('Historical Data'!$N$2:$N$1068,MATCH($A73,'Historical Data'!$BE$2:$BE$1068,0)),"")</f>
        <v/>
      </c>
      <c r="M73" s="294">
        <f>IFERROR(INDEX('Historical Data'!$Q$2:$Q$1068,MATCH($A73,'Historical Data'!$BE$2:$BE$1068,0)),"")</f>
        <v/>
      </c>
      <c r="N73" s="295">
        <f>IFERROR(INDEX('Historical Data'!$S$2:$S$1068,MATCH($A73,'Historical Data'!$BE$2:$BE$1068,0)),"")</f>
        <v/>
      </c>
      <c r="O73" s="294">
        <f>IFERROR(INDEX('Historical Data'!$AJ$2:$AJ$1068,MATCH($A73,'Historical Data'!$BE$2:$BE$1068,0)),"")</f>
        <v/>
      </c>
      <c r="P73" s="294">
        <f>IFERROR(INDEX('Historical Data'!$AK$2:$AK$1068,MATCH($A73,'Historical Data'!$BE$2:$BE$1068,0)),"")</f>
        <v/>
      </c>
      <c r="Q73" s="291">
        <f>IFERROR(INDEX('Historical Data'!$AA$2:$AA$1068,MATCH($A73,'Historical Data'!$BE$2:$BE$1068,0)),"")</f>
        <v/>
      </c>
      <c r="R73" s="291">
        <f>IFERROR(INDEX('Historical Data'!$AB$2:$AB$1068,MATCH($A73,'Historical Data'!$BE$2:$BE$1068,0)),"")</f>
        <v/>
      </c>
      <c r="S73" s="291">
        <f>IFERROR(INDEX('Historical Data'!$AN$2:$AN$1068,MATCH($A73,'Historical Data'!$BE$2:$BE$1068,0)),"")</f>
        <v/>
      </c>
      <c r="T73" s="291">
        <f>IFERROR(INDEX('Historical Data'!$AC$2:$AC$1068,MATCH($A73,'Historical Data'!$BE$2:$BE$1068,0)),"")</f>
        <v/>
      </c>
      <c r="U73" s="291">
        <f>IFERROR(INDEX('Historical Data'!$AE$2:$AE$1068,MATCH($A73,'Historical Data'!$BE$2:$BE$1068,0)),"")</f>
        <v/>
      </c>
      <c r="V73" s="291">
        <f>IFERROR(INDEX('Historical Data'!$AH$2:$AH$1068,MATCH($A73,'Historical Data'!$BE$2:$BE$1068,0)),"")</f>
        <v/>
      </c>
      <c r="W73" s="291">
        <f>IFERROR(INDEX('Historical Data'!$BC$2:$BC$1068,MATCH($A73,'Historical Data'!$BE$2:$BE$1068,0)),"")</f>
        <v/>
      </c>
      <c r="X73" s="290">
        <f>IF(B73="","",IF(W73=1,"NR + industry + position",IF(W73=2,"NR + ISO + position",IF(W73=3,"NR + industry",IF(W73=4,"NR + ISO",IF(W73=5,"NR + position",IF(W73=6,"NR only","book baseline"))))))&amp;"  ["&amp;IF(T73=1,"seasoned","unseasoned")&amp;IF(U73=1,", defaulted","")&amp;IF(V73=1,", open","")&amp;"]")</f>
        <v/>
      </c>
    </row>
    <row r="74">
      <c r="A74" s="290" t="n">
        <v>70</v>
      </c>
      <c r="B74" s="291">
        <f>IFERROR(INDEX('Historical Data'!$A$2:$A$1068,MATCH($A74,'Historical Data'!$BE$2:$BE$1068,0)),"")</f>
        <v/>
      </c>
      <c r="C74" s="291">
        <f>IFERROR(INDEX('Historical Data'!$B$2:$B$1068,MATCH($A74,'Historical Data'!$BE$2:$BE$1068,0)),"")</f>
        <v/>
      </c>
      <c r="D74" s="291">
        <f>IFERROR(INDEX('Historical Data'!$D$2:$D$1068,MATCH($A74,'Historical Data'!$BE$2:$BE$1068,0)),"")</f>
        <v/>
      </c>
      <c r="E74" s="292">
        <f>IFERROR(INDEX('Historical Data'!$E$2:$E$1068,MATCH($A74,'Historical Data'!$BE$2:$BE$1068,0)),"")</f>
        <v/>
      </c>
      <c r="F74" s="291">
        <f>IFERROR(INDEX('Historical Data'!$G$2:$G$1068,MATCH($A74,'Historical Data'!$BE$2:$BE$1068,0)),"")</f>
        <v/>
      </c>
      <c r="G74" s="291">
        <f>IFERROR(INDEX('Historical Data'!$Y$2:$Y$1068,MATCH($A74,'Historical Data'!$BE$2:$BE$1068,0)),"")</f>
        <v/>
      </c>
      <c r="H74" s="291">
        <f>IFERROR(INDEX('Historical Data'!$K$2:$K$1068,MATCH($A74,'Historical Data'!$BE$2:$BE$1068,0)),"")</f>
        <v/>
      </c>
      <c r="I74" s="291">
        <f>IFERROR(INDEX('Historical Data'!$J$2:$J$1068,MATCH($A74,'Historical Data'!$BE$2:$BE$1068,0)),"")</f>
        <v/>
      </c>
      <c r="J74" s="291">
        <f>IFERROR(INDEX('Historical Data'!$L$2:$L$1068,MATCH($A74,'Historical Data'!$BE$2:$BE$1068,0)),"")</f>
        <v/>
      </c>
      <c r="K74" s="293">
        <f>IFERROR(INDEX('Historical Data'!$M$2:$M$1068,MATCH($A74,'Historical Data'!$BE$2:$BE$1068,0)),"")</f>
        <v/>
      </c>
      <c r="L74" s="294">
        <f>IFERROR(INDEX('Historical Data'!$N$2:$N$1068,MATCH($A74,'Historical Data'!$BE$2:$BE$1068,0)),"")</f>
        <v/>
      </c>
      <c r="M74" s="294">
        <f>IFERROR(INDEX('Historical Data'!$Q$2:$Q$1068,MATCH($A74,'Historical Data'!$BE$2:$BE$1068,0)),"")</f>
        <v/>
      </c>
      <c r="N74" s="295">
        <f>IFERROR(INDEX('Historical Data'!$S$2:$S$1068,MATCH($A74,'Historical Data'!$BE$2:$BE$1068,0)),"")</f>
        <v/>
      </c>
      <c r="O74" s="294">
        <f>IFERROR(INDEX('Historical Data'!$AJ$2:$AJ$1068,MATCH($A74,'Historical Data'!$BE$2:$BE$1068,0)),"")</f>
        <v/>
      </c>
      <c r="P74" s="294">
        <f>IFERROR(INDEX('Historical Data'!$AK$2:$AK$1068,MATCH($A74,'Historical Data'!$BE$2:$BE$1068,0)),"")</f>
        <v/>
      </c>
      <c r="Q74" s="291">
        <f>IFERROR(INDEX('Historical Data'!$AA$2:$AA$1068,MATCH($A74,'Historical Data'!$BE$2:$BE$1068,0)),"")</f>
        <v/>
      </c>
      <c r="R74" s="291">
        <f>IFERROR(INDEX('Historical Data'!$AB$2:$AB$1068,MATCH($A74,'Historical Data'!$BE$2:$BE$1068,0)),"")</f>
        <v/>
      </c>
      <c r="S74" s="291">
        <f>IFERROR(INDEX('Historical Data'!$AN$2:$AN$1068,MATCH($A74,'Historical Data'!$BE$2:$BE$1068,0)),"")</f>
        <v/>
      </c>
      <c r="T74" s="291">
        <f>IFERROR(INDEX('Historical Data'!$AC$2:$AC$1068,MATCH($A74,'Historical Data'!$BE$2:$BE$1068,0)),"")</f>
        <v/>
      </c>
      <c r="U74" s="291">
        <f>IFERROR(INDEX('Historical Data'!$AE$2:$AE$1068,MATCH($A74,'Historical Data'!$BE$2:$BE$1068,0)),"")</f>
        <v/>
      </c>
      <c r="V74" s="291">
        <f>IFERROR(INDEX('Historical Data'!$AH$2:$AH$1068,MATCH($A74,'Historical Data'!$BE$2:$BE$1068,0)),"")</f>
        <v/>
      </c>
      <c r="W74" s="291">
        <f>IFERROR(INDEX('Historical Data'!$BC$2:$BC$1068,MATCH($A74,'Historical Data'!$BE$2:$BE$1068,0)),"")</f>
        <v/>
      </c>
      <c r="X74" s="290">
        <f>IF(B74="","",IF(W74=1,"NR + industry + position",IF(W74=2,"NR + ISO + position",IF(W74=3,"NR + industry",IF(W74=4,"NR + ISO",IF(W74=5,"NR + position",IF(W74=6,"NR only","book baseline"))))))&amp;"  ["&amp;IF(T74=1,"seasoned","unseasoned")&amp;IF(U74=1,", defaulted","")&amp;IF(V74=1,", open","")&amp;"]")</f>
        <v/>
      </c>
    </row>
    <row r="75">
      <c r="A75" s="290" t="n">
        <v>71</v>
      </c>
      <c r="B75" s="291">
        <f>IFERROR(INDEX('Historical Data'!$A$2:$A$1068,MATCH($A75,'Historical Data'!$BE$2:$BE$1068,0)),"")</f>
        <v/>
      </c>
      <c r="C75" s="291">
        <f>IFERROR(INDEX('Historical Data'!$B$2:$B$1068,MATCH($A75,'Historical Data'!$BE$2:$BE$1068,0)),"")</f>
        <v/>
      </c>
      <c r="D75" s="291">
        <f>IFERROR(INDEX('Historical Data'!$D$2:$D$1068,MATCH($A75,'Historical Data'!$BE$2:$BE$1068,0)),"")</f>
        <v/>
      </c>
      <c r="E75" s="292">
        <f>IFERROR(INDEX('Historical Data'!$E$2:$E$1068,MATCH($A75,'Historical Data'!$BE$2:$BE$1068,0)),"")</f>
        <v/>
      </c>
      <c r="F75" s="291">
        <f>IFERROR(INDEX('Historical Data'!$G$2:$G$1068,MATCH($A75,'Historical Data'!$BE$2:$BE$1068,0)),"")</f>
        <v/>
      </c>
      <c r="G75" s="291">
        <f>IFERROR(INDEX('Historical Data'!$Y$2:$Y$1068,MATCH($A75,'Historical Data'!$BE$2:$BE$1068,0)),"")</f>
        <v/>
      </c>
      <c r="H75" s="291">
        <f>IFERROR(INDEX('Historical Data'!$K$2:$K$1068,MATCH($A75,'Historical Data'!$BE$2:$BE$1068,0)),"")</f>
        <v/>
      </c>
      <c r="I75" s="291">
        <f>IFERROR(INDEX('Historical Data'!$J$2:$J$1068,MATCH($A75,'Historical Data'!$BE$2:$BE$1068,0)),"")</f>
        <v/>
      </c>
      <c r="J75" s="291">
        <f>IFERROR(INDEX('Historical Data'!$L$2:$L$1068,MATCH($A75,'Historical Data'!$BE$2:$BE$1068,0)),"")</f>
        <v/>
      </c>
      <c r="K75" s="293">
        <f>IFERROR(INDEX('Historical Data'!$M$2:$M$1068,MATCH($A75,'Historical Data'!$BE$2:$BE$1068,0)),"")</f>
        <v/>
      </c>
      <c r="L75" s="294">
        <f>IFERROR(INDEX('Historical Data'!$N$2:$N$1068,MATCH($A75,'Historical Data'!$BE$2:$BE$1068,0)),"")</f>
        <v/>
      </c>
      <c r="M75" s="294">
        <f>IFERROR(INDEX('Historical Data'!$Q$2:$Q$1068,MATCH($A75,'Historical Data'!$BE$2:$BE$1068,0)),"")</f>
        <v/>
      </c>
      <c r="N75" s="295">
        <f>IFERROR(INDEX('Historical Data'!$S$2:$S$1068,MATCH($A75,'Historical Data'!$BE$2:$BE$1068,0)),"")</f>
        <v/>
      </c>
      <c r="O75" s="294">
        <f>IFERROR(INDEX('Historical Data'!$AJ$2:$AJ$1068,MATCH($A75,'Historical Data'!$BE$2:$BE$1068,0)),"")</f>
        <v/>
      </c>
      <c r="P75" s="294">
        <f>IFERROR(INDEX('Historical Data'!$AK$2:$AK$1068,MATCH($A75,'Historical Data'!$BE$2:$BE$1068,0)),"")</f>
        <v/>
      </c>
      <c r="Q75" s="291">
        <f>IFERROR(INDEX('Historical Data'!$AA$2:$AA$1068,MATCH($A75,'Historical Data'!$BE$2:$BE$1068,0)),"")</f>
        <v/>
      </c>
      <c r="R75" s="291">
        <f>IFERROR(INDEX('Historical Data'!$AB$2:$AB$1068,MATCH($A75,'Historical Data'!$BE$2:$BE$1068,0)),"")</f>
        <v/>
      </c>
      <c r="S75" s="291">
        <f>IFERROR(INDEX('Historical Data'!$AN$2:$AN$1068,MATCH($A75,'Historical Data'!$BE$2:$BE$1068,0)),"")</f>
        <v/>
      </c>
      <c r="T75" s="291">
        <f>IFERROR(INDEX('Historical Data'!$AC$2:$AC$1068,MATCH($A75,'Historical Data'!$BE$2:$BE$1068,0)),"")</f>
        <v/>
      </c>
      <c r="U75" s="291">
        <f>IFERROR(INDEX('Historical Data'!$AE$2:$AE$1068,MATCH($A75,'Historical Data'!$BE$2:$BE$1068,0)),"")</f>
        <v/>
      </c>
      <c r="V75" s="291">
        <f>IFERROR(INDEX('Historical Data'!$AH$2:$AH$1068,MATCH($A75,'Historical Data'!$BE$2:$BE$1068,0)),"")</f>
        <v/>
      </c>
      <c r="W75" s="291">
        <f>IFERROR(INDEX('Historical Data'!$BC$2:$BC$1068,MATCH($A75,'Historical Data'!$BE$2:$BE$1068,0)),"")</f>
        <v/>
      </c>
      <c r="X75" s="290">
        <f>IF(B75="","",IF(W75=1,"NR + industry + position",IF(W75=2,"NR + ISO + position",IF(W75=3,"NR + industry",IF(W75=4,"NR + ISO",IF(W75=5,"NR + position",IF(W75=6,"NR only","book baseline"))))))&amp;"  ["&amp;IF(T75=1,"seasoned","unseasoned")&amp;IF(U75=1,", defaulted","")&amp;IF(V75=1,", open","")&amp;"]")</f>
        <v/>
      </c>
    </row>
    <row r="76">
      <c r="A76" s="290" t="n">
        <v>72</v>
      </c>
      <c r="B76" s="291">
        <f>IFERROR(INDEX('Historical Data'!$A$2:$A$1068,MATCH($A76,'Historical Data'!$BE$2:$BE$1068,0)),"")</f>
        <v/>
      </c>
      <c r="C76" s="291">
        <f>IFERROR(INDEX('Historical Data'!$B$2:$B$1068,MATCH($A76,'Historical Data'!$BE$2:$BE$1068,0)),"")</f>
        <v/>
      </c>
      <c r="D76" s="291">
        <f>IFERROR(INDEX('Historical Data'!$D$2:$D$1068,MATCH($A76,'Historical Data'!$BE$2:$BE$1068,0)),"")</f>
        <v/>
      </c>
      <c r="E76" s="292">
        <f>IFERROR(INDEX('Historical Data'!$E$2:$E$1068,MATCH($A76,'Historical Data'!$BE$2:$BE$1068,0)),"")</f>
        <v/>
      </c>
      <c r="F76" s="291">
        <f>IFERROR(INDEX('Historical Data'!$G$2:$G$1068,MATCH($A76,'Historical Data'!$BE$2:$BE$1068,0)),"")</f>
        <v/>
      </c>
      <c r="G76" s="291">
        <f>IFERROR(INDEX('Historical Data'!$Y$2:$Y$1068,MATCH($A76,'Historical Data'!$BE$2:$BE$1068,0)),"")</f>
        <v/>
      </c>
      <c r="H76" s="291">
        <f>IFERROR(INDEX('Historical Data'!$K$2:$K$1068,MATCH($A76,'Historical Data'!$BE$2:$BE$1068,0)),"")</f>
        <v/>
      </c>
      <c r="I76" s="291">
        <f>IFERROR(INDEX('Historical Data'!$J$2:$J$1068,MATCH($A76,'Historical Data'!$BE$2:$BE$1068,0)),"")</f>
        <v/>
      </c>
      <c r="J76" s="291">
        <f>IFERROR(INDEX('Historical Data'!$L$2:$L$1068,MATCH($A76,'Historical Data'!$BE$2:$BE$1068,0)),"")</f>
        <v/>
      </c>
      <c r="K76" s="293">
        <f>IFERROR(INDEX('Historical Data'!$M$2:$M$1068,MATCH($A76,'Historical Data'!$BE$2:$BE$1068,0)),"")</f>
        <v/>
      </c>
      <c r="L76" s="294">
        <f>IFERROR(INDEX('Historical Data'!$N$2:$N$1068,MATCH($A76,'Historical Data'!$BE$2:$BE$1068,0)),"")</f>
        <v/>
      </c>
      <c r="M76" s="294">
        <f>IFERROR(INDEX('Historical Data'!$Q$2:$Q$1068,MATCH($A76,'Historical Data'!$BE$2:$BE$1068,0)),"")</f>
        <v/>
      </c>
      <c r="N76" s="295">
        <f>IFERROR(INDEX('Historical Data'!$S$2:$S$1068,MATCH($A76,'Historical Data'!$BE$2:$BE$1068,0)),"")</f>
        <v/>
      </c>
      <c r="O76" s="294">
        <f>IFERROR(INDEX('Historical Data'!$AJ$2:$AJ$1068,MATCH($A76,'Historical Data'!$BE$2:$BE$1068,0)),"")</f>
        <v/>
      </c>
      <c r="P76" s="294">
        <f>IFERROR(INDEX('Historical Data'!$AK$2:$AK$1068,MATCH($A76,'Historical Data'!$BE$2:$BE$1068,0)),"")</f>
        <v/>
      </c>
      <c r="Q76" s="291">
        <f>IFERROR(INDEX('Historical Data'!$AA$2:$AA$1068,MATCH($A76,'Historical Data'!$BE$2:$BE$1068,0)),"")</f>
        <v/>
      </c>
      <c r="R76" s="291">
        <f>IFERROR(INDEX('Historical Data'!$AB$2:$AB$1068,MATCH($A76,'Historical Data'!$BE$2:$BE$1068,0)),"")</f>
        <v/>
      </c>
      <c r="S76" s="291">
        <f>IFERROR(INDEX('Historical Data'!$AN$2:$AN$1068,MATCH($A76,'Historical Data'!$BE$2:$BE$1068,0)),"")</f>
        <v/>
      </c>
      <c r="T76" s="291">
        <f>IFERROR(INDEX('Historical Data'!$AC$2:$AC$1068,MATCH($A76,'Historical Data'!$BE$2:$BE$1068,0)),"")</f>
        <v/>
      </c>
      <c r="U76" s="291">
        <f>IFERROR(INDEX('Historical Data'!$AE$2:$AE$1068,MATCH($A76,'Historical Data'!$BE$2:$BE$1068,0)),"")</f>
        <v/>
      </c>
      <c r="V76" s="291">
        <f>IFERROR(INDEX('Historical Data'!$AH$2:$AH$1068,MATCH($A76,'Historical Data'!$BE$2:$BE$1068,0)),"")</f>
        <v/>
      </c>
      <c r="W76" s="291">
        <f>IFERROR(INDEX('Historical Data'!$BC$2:$BC$1068,MATCH($A76,'Historical Data'!$BE$2:$BE$1068,0)),"")</f>
        <v/>
      </c>
      <c r="X76" s="290">
        <f>IF(B76="","",IF(W76=1,"NR + industry + position",IF(W76=2,"NR + ISO + position",IF(W76=3,"NR + industry",IF(W76=4,"NR + ISO",IF(W76=5,"NR + position",IF(W76=6,"NR only","book baseline"))))))&amp;"  ["&amp;IF(T76=1,"seasoned","unseasoned")&amp;IF(U76=1,", defaulted","")&amp;IF(V76=1,", open","")&amp;"]")</f>
        <v/>
      </c>
    </row>
    <row r="77">
      <c r="A77" s="290" t="n">
        <v>73</v>
      </c>
      <c r="B77" s="291">
        <f>IFERROR(INDEX('Historical Data'!$A$2:$A$1068,MATCH($A77,'Historical Data'!$BE$2:$BE$1068,0)),"")</f>
        <v/>
      </c>
      <c r="C77" s="291">
        <f>IFERROR(INDEX('Historical Data'!$B$2:$B$1068,MATCH($A77,'Historical Data'!$BE$2:$BE$1068,0)),"")</f>
        <v/>
      </c>
      <c r="D77" s="291">
        <f>IFERROR(INDEX('Historical Data'!$D$2:$D$1068,MATCH($A77,'Historical Data'!$BE$2:$BE$1068,0)),"")</f>
        <v/>
      </c>
      <c r="E77" s="292">
        <f>IFERROR(INDEX('Historical Data'!$E$2:$E$1068,MATCH($A77,'Historical Data'!$BE$2:$BE$1068,0)),"")</f>
        <v/>
      </c>
      <c r="F77" s="291">
        <f>IFERROR(INDEX('Historical Data'!$G$2:$G$1068,MATCH($A77,'Historical Data'!$BE$2:$BE$1068,0)),"")</f>
        <v/>
      </c>
      <c r="G77" s="291">
        <f>IFERROR(INDEX('Historical Data'!$Y$2:$Y$1068,MATCH($A77,'Historical Data'!$BE$2:$BE$1068,0)),"")</f>
        <v/>
      </c>
      <c r="H77" s="291">
        <f>IFERROR(INDEX('Historical Data'!$K$2:$K$1068,MATCH($A77,'Historical Data'!$BE$2:$BE$1068,0)),"")</f>
        <v/>
      </c>
      <c r="I77" s="291">
        <f>IFERROR(INDEX('Historical Data'!$J$2:$J$1068,MATCH($A77,'Historical Data'!$BE$2:$BE$1068,0)),"")</f>
        <v/>
      </c>
      <c r="J77" s="291">
        <f>IFERROR(INDEX('Historical Data'!$L$2:$L$1068,MATCH($A77,'Historical Data'!$BE$2:$BE$1068,0)),"")</f>
        <v/>
      </c>
      <c r="K77" s="293">
        <f>IFERROR(INDEX('Historical Data'!$M$2:$M$1068,MATCH($A77,'Historical Data'!$BE$2:$BE$1068,0)),"")</f>
        <v/>
      </c>
      <c r="L77" s="294">
        <f>IFERROR(INDEX('Historical Data'!$N$2:$N$1068,MATCH($A77,'Historical Data'!$BE$2:$BE$1068,0)),"")</f>
        <v/>
      </c>
      <c r="M77" s="294">
        <f>IFERROR(INDEX('Historical Data'!$Q$2:$Q$1068,MATCH($A77,'Historical Data'!$BE$2:$BE$1068,0)),"")</f>
        <v/>
      </c>
      <c r="N77" s="295">
        <f>IFERROR(INDEX('Historical Data'!$S$2:$S$1068,MATCH($A77,'Historical Data'!$BE$2:$BE$1068,0)),"")</f>
        <v/>
      </c>
      <c r="O77" s="294">
        <f>IFERROR(INDEX('Historical Data'!$AJ$2:$AJ$1068,MATCH($A77,'Historical Data'!$BE$2:$BE$1068,0)),"")</f>
        <v/>
      </c>
      <c r="P77" s="294">
        <f>IFERROR(INDEX('Historical Data'!$AK$2:$AK$1068,MATCH($A77,'Historical Data'!$BE$2:$BE$1068,0)),"")</f>
        <v/>
      </c>
      <c r="Q77" s="291">
        <f>IFERROR(INDEX('Historical Data'!$AA$2:$AA$1068,MATCH($A77,'Historical Data'!$BE$2:$BE$1068,0)),"")</f>
        <v/>
      </c>
      <c r="R77" s="291">
        <f>IFERROR(INDEX('Historical Data'!$AB$2:$AB$1068,MATCH($A77,'Historical Data'!$BE$2:$BE$1068,0)),"")</f>
        <v/>
      </c>
      <c r="S77" s="291">
        <f>IFERROR(INDEX('Historical Data'!$AN$2:$AN$1068,MATCH($A77,'Historical Data'!$BE$2:$BE$1068,0)),"")</f>
        <v/>
      </c>
      <c r="T77" s="291">
        <f>IFERROR(INDEX('Historical Data'!$AC$2:$AC$1068,MATCH($A77,'Historical Data'!$BE$2:$BE$1068,0)),"")</f>
        <v/>
      </c>
      <c r="U77" s="291">
        <f>IFERROR(INDEX('Historical Data'!$AE$2:$AE$1068,MATCH($A77,'Historical Data'!$BE$2:$BE$1068,0)),"")</f>
        <v/>
      </c>
      <c r="V77" s="291">
        <f>IFERROR(INDEX('Historical Data'!$AH$2:$AH$1068,MATCH($A77,'Historical Data'!$BE$2:$BE$1068,0)),"")</f>
        <v/>
      </c>
      <c r="W77" s="291">
        <f>IFERROR(INDEX('Historical Data'!$BC$2:$BC$1068,MATCH($A77,'Historical Data'!$BE$2:$BE$1068,0)),"")</f>
        <v/>
      </c>
      <c r="X77" s="290">
        <f>IF(B77="","",IF(W77=1,"NR + industry + position",IF(W77=2,"NR + ISO + position",IF(W77=3,"NR + industry",IF(W77=4,"NR + ISO",IF(W77=5,"NR + position",IF(W77=6,"NR only","book baseline"))))))&amp;"  ["&amp;IF(T77=1,"seasoned","unseasoned")&amp;IF(U77=1,", defaulted","")&amp;IF(V77=1,", open","")&amp;"]")</f>
        <v/>
      </c>
    </row>
    <row r="78">
      <c r="A78" s="290" t="n">
        <v>74</v>
      </c>
      <c r="B78" s="291">
        <f>IFERROR(INDEX('Historical Data'!$A$2:$A$1068,MATCH($A78,'Historical Data'!$BE$2:$BE$1068,0)),"")</f>
        <v/>
      </c>
      <c r="C78" s="291">
        <f>IFERROR(INDEX('Historical Data'!$B$2:$B$1068,MATCH($A78,'Historical Data'!$BE$2:$BE$1068,0)),"")</f>
        <v/>
      </c>
      <c r="D78" s="291">
        <f>IFERROR(INDEX('Historical Data'!$D$2:$D$1068,MATCH($A78,'Historical Data'!$BE$2:$BE$1068,0)),"")</f>
        <v/>
      </c>
      <c r="E78" s="292">
        <f>IFERROR(INDEX('Historical Data'!$E$2:$E$1068,MATCH($A78,'Historical Data'!$BE$2:$BE$1068,0)),"")</f>
        <v/>
      </c>
      <c r="F78" s="291">
        <f>IFERROR(INDEX('Historical Data'!$G$2:$G$1068,MATCH($A78,'Historical Data'!$BE$2:$BE$1068,0)),"")</f>
        <v/>
      </c>
      <c r="G78" s="291">
        <f>IFERROR(INDEX('Historical Data'!$Y$2:$Y$1068,MATCH($A78,'Historical Data'!$BE$2:$BE$1068,0)),"")</f>
        <v/>
      </c>
      <c r="H78" s="291">
        <f>IFERROR(INDEX('Historical Data'!$K$2:$K$1068,MATCH($A78,'Historical Data'!$BE$2:$BE$1068,0)),"")</f>
        <v/>
      </c>
      <c r="I78" s="291">
        <f>IFERROR(INDEX('Historical Data'!$J$2:$J$1068,MATCH($A78,'Historical Data'!$BE$2:$BE$1068,0)),"")</f>
        <v/>
      </c>
      <c r="J78" s="291">
        <f>IFERROR(INDEX('Historical Data'!$L$2:$L$1068,MATCH($A78,'Historical Data'!$BE$2:$BE$1068,0)),"")</f>
        <v/>
      </c>
      <c r="K78" s="293">
        <f>IFERROR(INDEX('Historical Data'!$M$2:$M$1068,MATCH($A78,'Historical Data'!$BE$2:$BE$1068,0)),"")</f>
        <v/>
      </c>
      <c r="L78" s="294">
        <f>IFERROR(INDEX('Historical Data'!$N$2:$N$1068,MATCH($A78,'Historical Data'!$BE$2:$BE$1068,0)),"")</f>
        <v/>
      </c>
      <c r="M78" s="294">
        <f>IFERROR(INDEX('Historical Data'!$Q$2:$Q$1068,MATCH($A78,'Historical Data'!$BE$2:$BE$1068,0)),"")</f>
        <v/>
      </c>
      <c r="N78" s="295">
        <f>IFERROR(INDEX('Historical Data'!$S$2:$S$1068,MATCH($A78,'Historical Data'!$BE$2:$BE$1068,0)),"")</f>
        <v/>
      </c>
      <c r="O78" s="294">
        <f>IFERROR(INDEX('Historical Data'!$AJ$2:$AJ$1068,MATCH($A78,'Historical Data'!$BE$2:$BE$1068,0)),"")</f>
        <v/>
      </c>
      <c r="P78" s="294">
        <f>IFERROR(INDEX('Historical Data'!$AK$2:$AK$1068,MATCH($A78,'Historical Data'!$BE$2:$BE$1068,0)),"")</f>
        <v/>
      </c>
      <c r="Q78" s="291">
        <f>IFERROR(INDEX('Historical Data'!$AA$2:$AA$1068,MATCH($A78,'Historical Data'!$BE$2:$BE$1068,0)),"")</f>
        <v/>
      </c>
      <c r="R78" s="291">
        <f>IFERROR(INDEX('Historical Data'!$AB$2:$AB$1068,MATCH($A78,'Historical Data'!$BE$2:$BE$1068,0)),"")</f>
        <v/>
      </c>
      <c r="S78" s="291">
        <f>IFERROR(INDEX('Historical Data'!$AN$2:$AN$1068,MATCH($A78,'Historical Data'!$BE$2:$BE$1068,0)),"")</f>
        <v/>
      </c>
      <c r="T78" s="291">
        <f>IFERROR(INDEX('Historical Data'!$AC$2:$AC$1068,MATCH($A78,'Historical Data'!$BE$2:$BE$1068,0)),"")</f>
        <v/>
      </c>
      <c r="U78" s="291">
        <f>IFERROR(INDEX('Historical Data'!$AE$2:$AE$1068,MATCH($A78,'Historical Data'!$BE$2:$BE$1068,0)),"")</f>
        <v/>
      </c>
      <c r="V78" s="291">
        <f>IFERROR(INDEX('Historical Data'!$AH$2:$AH$1068,MATCH($A78,'Historical Data'!$BE$2:$BE$1068,0)),"")</f>
        <v/>
      </c>
      <c r="W78" s="291">
        <f>IFERROR(INDEX('Historical Data'!$BC$2:$BC$1068,MATCH($A78,'Historical Data'!$BE$2:$BE$1068,0)),"")</f>
        <v/>
      </c>
      <c r="X78" s="290">
        <f>IF(B78="","",IF(W78=1,"NR + industry + position",IF(W78=2,"NR + ISO + position",IF(W78=3,"NR + industry",IF(W78=4,"NR + ISO",IF(W78=5,"NR + position",IF(W78=6,"NR only","book baseline"))))))&amp;"  ["&amp;IF(T78=1,"seasoned","unseasoned")&amp;IF(U78=1,", defaulted","")&amp;IF(V78=1,", open","")&amp;"]")</f>
        <v/>
      </c>
    </row>
    <row r="79">
      <c r="A79" s="290" t="n">
        <v>75</v>
      </c>
      <c r="B79" s="291">
        <f>IFERROR(INDEX('Historical Data'!$A$2:$A$1068,MATCH($A79,'Historical Data'!$BE$2:$BE$1068,0)),"")</f>
        <v/>
      </c>
      <c r="C79" s="291">
        <f>IFERROR(INDEX('Historical Data'!$B$2:$B$1068,MATCH($A79,'Historical Data'!$BE$2:$BE$1068,0)),"")</f>
        <v/>
      </c>
      <c r="D79" s="291">
        <f>IFERROR(INDEX('Historical Data'!$D$2:$D$1068,MATCH($A79,'Historical Data'!$BE$2:$BE$1068,0)),"")</f>
        <v/>
      </c>
      <c r="E79" s="292">
        <f>IFERROR(INDEX('Historical Data'!$E$2:$E$1068,MATCH($A79,'Historical Data'!$BE$2:$BE$1068,0)),"")</f>
        <v/>
      </c>
      <c r="F79" s="291">
        <f>IFERROR(INDEX('Historical Data'!$G$2:$G$1068,MATCH($A79,'Historical Data'!$BE$2:$BE$1068,0)),"")</f>
        <v/>
      </c>
      <c r="G79" s="291">
        <f>IFERROR(INDEX('Historical Data'!$Y$2:$Y$1068,MATCH($A79,'Historical Data'!$BE$2:$BE$1068,0)),"")</f>
        <v/>
      </c>
      <c r="H79" s="291">
        <f>IFERROR(INDEX('Historical Data'!$K$2:$K$1068,MATCH($A79,'Historical Data'!$BE$2:$BE$1068,0)),"")</f>
        <v/>
      </c>
      <c r="I79" s="291">
        <f>IFERROR(INDEX('Historical Data'!$J$2:$J$1068,MATCH($A79,'Historical Data'!$BE$2:$BE$1068,0)),"")</f>
        <v/>
      </c>
      <c r="J79" s="291">
        <f>IFERROR(INDEX('Historical Data'!$L$2:$L$1068,MATCH($A79,'Historical Data'!$BE$2:$BE$1068,0)),"")</f>
        <v/>
      </c>
      <c r="K79" s="293">
        <f>IFERROR(INDEX('Historical Data'!$M$2:$M$1068,MATCH($A79,'Historical Data'!$BE$2:$BE$1068,0)),"")</f>
        <v/>
      </c>
      <c r="L79" s="294">
        <f>IFERROR(INDEX('Historical Data'!$N$2:$N$1068,MATCH($A79,'Historical Data'!$BE$2:$BE$1068,0)),"")</f>
        <v/>
      </c>
      <c r="M79" s="294">
        <f>IFERROR(INDEX('Historical Data'!$Q$2:$Q$1068,MATCH($A79,'Historical Data'!$BE$2:$BE$1068,0)),"")</f>
        <v/>
      </c>
      <c r="N79" s="295">
        <f>IFERROR(INDEX('Historical Data'!$S$2:$S$1068,MATCH($A79,'Historical Data'!$BE$2:$BE$1068,0)),"")</f>
        <v/>
      </c>
      <c r="O79" s="294">
        <f>IFERROR(INDEX('Historical Data'!$AJ$2:$AJ$1068,MATCH($A79,'Historical Data'!$BE$2:$BE$1068,0)),"")</f>
        <v/>
      </c>
      <c r="P79" s="294">
        <f>IFERROR(INDEX('Historical Data'!$AK$2:$AK$1068,MATCH($A79,'Historical Data'!$BE$2:$BE$1068,0)),"")</f>
        <v/>
      </c>
      <c r="Q79" s="291">
        <f>IFERROR(INDEX('Historical Data'!$AA$2:$AA$1068,MATCH($A79,'Historical Data'!$BE$2:$BE$1068,0)),"")</f>
        <v/>
      </c>
      <c r="R79" s="291">
        <f>IFERROR(INDEX('Historical Data'!$AB$2:$AB$1068,MATCH($A79,'Historical Data'!$BE$2:$BE$1068,0)),"")</f>
        <v/>
      </c>
      <c r="S79" s="291">
        <f>IFERROR(INDEX('Historical Data'!$AN$2:$AN$1068,MATCH($A79,'Historical Data'!$BE$2:$BE$1068,0)),"")</f>
        <v/>
      </c>
      <c r="T79" s="291">
        <f>IFERROR(INDEX('Historical Data'!$AC$2:$AC$1068,MATCH($A79,'Historical Data'!$BE$2:$BE$1068,0)),"")</f>
        <v/>
      </c>
      <c r="U79" s="291">
        <f>IFERROR(INDEX('Historical Data'!$AE$2:$AE$1068,MATCH($A79,'Historical Data'!$BE$2:$BE$1068,0)),"")</f>
        <v/>
      </c>
      <c r="V79" s="291">
        <f>IFERROR(INDEX('Historical Data'!$AH$2:$AH$1068,MATCH($A79,'Historical Data'!$BE$2:$BE$1068,0)),"")</f>
        <v/>
      </c>
      <c r="W79" s="291">
        <f>IFERROR(INDEX('Historical Data'!$BC$2:$BC$1068,MATCH($A79,'Historical Data'!$BE$2:$BE$1068,0)),"")</f>
        <v/>
      </c>
      <c r="X79" s="290">
        <f>IF(B79="","",IF(W79=1,"NR + industry + position",IF(W79=2,"NR + ISO + position",IF(W79=3,"NR + industry",IF(W79=4,"NR + ISO",IF(W79=5,"NR + position",IF(W79=6,"NR only","book baseline"))))))&amp;"  ["&amp;IF(T79=1,"seasoned","unseasoned")&amp;IF(U79=1,", defaulted","")&amp;IF(V79=1,", open","")&amp;"]")</f>
        <v/>
      </c>
    </row>
    <row r="80">
      <c r="A80" s="290" t="n">
        <v>76</v>
      </c>
      <c r="B80" s="291">
        <f>IFERROR(INDEX('Historical Data'!$A$2:$A$1068,MATCH($A80,'Historical Data'!$BE$2:$BE$1068,0)),"")</f>
        <v/>
      </c>
      <c r="C80" s="291">
        <f>IFERROR(INDEX('Historical Data'!$B$2:$B$1068,MATCH($A80,'Historical Data'!$BE$2:$BE$1068,0)),"")</f>
        <v/>
      </c>
      <c r="D80" s="291">
        <f>IFERROR(INDEX('Historical Data'!$D$2:$D$1068,MATCH($A80,'Historical Data'!$BE$2:$BE$1068,0)),"")</f>
        <v/>
      </c>
      <c r="E80" s="292">
        <f>IFERROR(INDEX('Historical Data'!$E$2:$E$1068,MATCH($A80,'Historical Data'!$BE$2:$BE$1068,0)),"")</f>
        <v/>
      </c>
      <c r="F80" s="291">
        <f>IFERROR(INDEX('Historical Data'!$G$2:$G$1068,MATCH($A80,'Historical Data'!$BE$2:$BE$1068,0)),"")</f>
        <v/>
      </c>
      <c r="G80" s="291">
        <f>IFERROR(INDEX('Historical Data'!$Y$2:$Y$1068,MATCH($A80,'Historical Data'!$BE$2:$BE$1068,0)),"")</f>
        <v/>
      </c>
      <c r="H80" s="291">
        <f>IFERROR(INDEX('Historical Data'!$K$2:$K$1068,MATCH($A80,'Historical Data'!$BE$2:$BE$1068,0)),"")</f>
        <v/>
      </c>
      <c r="I80" s="291">
        <f>IFERROR(INDEX('Historical Data'!$J$2:$J$1068,MATCH($A80,'Historical Data'!$BE$2:$BE$1068,0)),"")</f>
        <v/>
      </c>
      <c r="J80" s="291">
        <f>IFERROR(INDEX('Historical Data'!$L$2:$L$1068,MATCH($A80,'Historical Data'!$BE$2:$BE$1068,0)),"")</f>
        <v/>
      </c>
      <c r="K80" s="293">
        <f>IFERROR(INDEX('Historical Data'!$M$2:$M$1068,MATCH($A80,'Historical Data'!$BE$2:$BE$1068,0)),"")</f>
        <v/>
      </c>
      <c r="L80" s="294">
        <f>IFERROR(INDEX('Historical Data'!$N$2:$N$1068,MATCH($A80,'Historical Data'!$BE$2:$BE$1068,0)),"")</f>
        <v/>
      </c>
      <c r="M80" s="294">
        <f>IFERROR(INDEX('Historical Data'!$Q$2:$Q$1068,MATCH($A80,'Historical Data'!$BE$2:$BE$1068,0)),"")</f>
        <v/>
      </c>
      <c r="N80" s="295">
        <f>IFERROR(INDEX('Historical Data'!$S$2:$S$1068,MATCH($A80,'Historical Data'!$BE$2:$BE$1068,0)),"")</f>
        <v/>
      </c>
      <c r="O80" s="294">
        <f>IFERROR(INDEX('Historical Data'!$AJ$2:$AJ$1068,MATCH($A80,'Historical Data'!$BE$2:$BE$1068,0)),"")</f>
        <v/>
      </c>
      <c r="P80" s="294">
        <f>IFERROR(INDEX('Historical Data'!$AK$2:$AK$1068,MATCH($A80,'Historical Data'!$BE$2:$BE$1068,0)),"")</f>
        <v/>
      </c>
      <c r="Q80" s="291">
        <f>IFERROR(INDEX('Historical Data'!$AA$2:$AA$1068,MATCH($A80,'Historical Data'!$BE$2:$BE$1068,0)),"")</f>
        <v/>
      </c>
      <c r="R80" s="291">
        <f>IFERROR(INDEX('Historical Data'!$AB$2:$AB$1068,MATCH($A80,'Historical Data'!$BE$2:$BE$1068,0)),"")</f>
        <v/>
      </c>
      <c r="S80" s="291">
        <f>IFERROR(INDEX('Historical Data'!$AN$2:$AN$1068,MATCH($A80,'Historical Data'!$BE$2:$BE$1068,0)),"")</f>
        <v/>
      </c>
      <c r="T80" s="291">
        <f>IFERROR(INDEX('Historical Data'!$AC$2:$AC$1068,MATCH($A80,'Historical Data'!$BE$2:$BE$1068,0)),"")</f>
        <v/>
      </c>
      <c r="U80" s="291">
        <f>IFERROR(INDEX('Historical Data'!$AE$2:$AE$1068,MATCH($A80,'Historical Data'!$BE$2:$BE$1068,0)),"")</f>
        <v/>
      </c>
      <c r="V80" s="291">
        <f>IFERROR(INDEX('Historical Data'!$AH$2:$AH$1068,MATCH($A80,'Historical Data'!$BE$2:$BE$1068,0)),"")</f>
        <v/>
      </c>
      <c r="W80" s="291">
        <f>IFERROR(INDEX('Historical Data'!$BC$2:$BC$1068,MATCH($A80,'Historical Data'!$BE$2:$BE$1068,0)),"")</f>
        <v/>
      </c>
      <c r="X80" s="290">
        <f>IF(B80="","",IF(W80=1,"NR + industry + position",IF(W80=2,"NR + ISO + position",IF(W80=3,"NR + industry",IF(W80=4,"NR + ISO",IF(W80=5,"NR + position",IF(W80=6,"NR only","book baseline"))))))&amp;"  ["&amp;IF(T80=1,"seasoned","unseasoned")&amp;IF(U80=1,", defaulted","")&amp;IF(V80=1,", open","")&amp;"]")</f>
        <v/>
      </c>
    </row>
    <row r="81">
      <c r="A81" s="290" t="n">
        <v>77</v>
      </c>
      <c r="B81" s="291">
        <f>IFERROR(INDEX('Historical Data'!$A$2:$A$1068,MATCH($A81,'Historical Data'!$BE$2:$BE$1068,0)),"")</f>
        <v/>
      </c>
      <c r="C81" s="291">
        <f>IFERROR(INDEX('Historical Data'!$B$2:$B$1068,MATCH($A81,'Historical Data'!$BE$2:$BE$1068,0)),"")</f>
        <v/>
      </c>
      <c r="D81" s="291">
        <f>IFERROR(INDEX('Historical Data'!$D$2:$D$1068,MATCH($A81,'Historical Data'!$BE$2:$BE$1068,0)),"")</f>
        <v/>
      </c>
      <c r="E81" s="292">
        <f>IFERROR(INDEX('Historical Data'!$E$2:$E$1068,MATCH($A81,'Historical Data'!$BE$2:$BE$1068,0)),"")</f>
        <v/>
      </c>
      <c r="F81" s="291">
        <f>IFERROR(INDEX('Historical Data'!$G$2:$G$1068,MATCH($A81,'Historical Data'!$BE$2:$BE$1068,0)),"")</f>
        <v/>
      </c>
      <c r="G81" s="291">
        <f>IFERROR(INDEX('Historical Data'!$Y$2:$Y$1068,MATCH($A81,'Historical Data'!$BE$2:$BE$1068,0)),"")</f>
        <v/>
      </c>
      <c r="H81" s="291">
        <f>IFERROR(INDEX('Historical Data'!$K$2:$K$1068,MATCH($A81,'Historical Data'!$BE$2:$BE$1068,0)),"")</f>
        <v/>
      </c>
      <c r="I81" s="291">
        <f>IFERROR(INDEX('Historical Data'!$J$2:$J$1068,MATCH($A81,'Historical Data'!$BE$2:$BE$1068,0)),"")</f>
        <v/>
      </c>
      <c r="J81" s="291">
        <f>IFERROR(INDEX('Historical Data'!$L$2:$L$1068,MATCH($A81,'Historical Data'!$BE$2:$BE$1068,0)),"")</f>
        <v/>
      </c>
      <c r="K81" s="293">
        <f>IFERROR(INDEX('Historical Data'!$M$2:$M$1068,MATCH($A81,'Historical Data'!$BE$2:$BE$1068,0)),"")</f>
        <v/>
      </c>
      <c r="L81" s="294">
        <f>IFERROR(INDEX('Historical Data'!$N$2:$N$1068,MATCH($A81,'Historical Data'!$BE$2:$BE$1068,0)),"")</f>
        <v/>
      </c>
      <c r="M81" s="294">
        <f>IFERROR(INDEX('Historical Data'!$Q$2:$Q$1068,MATCH($A81,'Historical Data'!$BE$2:$BE$1068,0)),"")</f>
        <v/>
      </c>
      <c r="N81" s="295">
        <f>IFERROR(INDEX('Historical Data'!$S$2:$S$1068,MATCH($A81,'Historical Data'!$BE$2:$BE$1068,0)),"")</f>
        <v/>
      </c>
      <c r="O81" s="294">
        <f>IFERROR(INDEX('Historical Data'!$AJ$2:$AJ$1068,MATCH($A81,'Historical Data'!$BE$2:$BE$1068,0)),"")</f>
        <v/>
      </c>
      <c r="P81" s="294">
        <f>IFERROR(INDEX('Historical Data'!$AK$2:$AK$1068,MATCH($A81,'Historical Data'!$BE$2:$BE$1068,0)),"")</f>
        <v/>
      </c>
      <c r="Q81" s="291">
        <f>IFERROR(INDEX('Historical Data'!$AA$2:$AA$1068,MATCH($A81,'Historical Data'!$BE$2:$BE$1068,0)),"")</f>
        <v/>
      </c>
      <c r="R81" s="291">
        <f>IFERROR(INDEX('Historical Data'!$AB$2:$AB$1068,MATCH($A81,'Historical Data'!$BE$2:$BE$1068,0)),"")</f>
        <v/>
      </c>
      <c r="S81" s="291">
        <f>IFERROR(INDEX('Historical Data'!$AN$2:$AN$1068,MATCH($A81,'Historical Data'!$BE$2:$BE$1068,0)),"")</f>
        <v/>
      </c>
      <c r="T81" s="291">
        <f>IFERROR(INDEX('Historical Data'!$AC$2:$AC$1068,MATCH($A81,'Historical Data'!$BE$2:$BE$1068,0)),"")</f>
        <v/>
      </c>
      <c r="U81" s="291">
        <f>IFERROR(INDEX('Historical Data'!$AE$2:$AE$1068,MATCH($A81,'Historical Data'!$BE$2:$BE$1068,0)),"")</f>
        <v/>
      </c>
      <c r="V81" s="291">
        <f>IFERROR(INDEX('Historical Data'!$AH$2:$AH$1068,MATCH($A81,'Historical Data'!$BE$2:$BE$1068,0)),"")</f>
        <v/>
      </c>
      <c r="W81" s="291">
        <f>IFERROR(INDEX('Historical Data'!$BC$2:$BC$1068,MATCH($A81,'Historical Data'!$BE$2:$BE$1068,0)),"")</f>
        <v/>
      </c>
      <c r="X81" s="290">
        <f>IF(B81="","",IF(W81=1,"NR + industry + position",IF(W81=2,"NR + ISO + position",IF(W81=3,"NR + industry",IF(W81=4,"NR + ISO",IF(W81=5,"NR + position",IF(W81=6,"NR only","book baseline"))))))&amp;"  ["&amp;IF(T81=1,"seasoned","unseasoned")&amp;IF(U81=1,", defaulted","")&amp;IF(V81=1,", open","")&amp;"]")</f>
        <v/>
      </c>
    </row>
    <row r="82">
      <c r="A82" s="290" t="n">
        <v>78</v>
      </c>
      <c r="B82" s="291">
        <f>IFERROR(INDEX('Historical Data'!$A$2:$A$1068,MATCH($A82,'Historical Data'!$BE$2:$BE$1068,0)),"")</f>
        <v/>
      </c>
      <c r="C82" s="291">
        <f>IFERROR(INDEX('Historical Data'!$B$2:$B$1068,MATCH($A82,'Historical Data'!$BE$2:$BE$1068,0)),"")</f>
        <v/>
      </c>
      <c r="D82" s="291">
        <f>IFERROR(INDEX('Historical Data'!$D$2:$D$1068,MATCH($A82,'Historical Data'!$BE$2:$BE$1068,0)),"")</f>
        <v/>
      </c>
      <c r="E82" s="292">
        <f>IFERROR(INDEX('Historical Data'!$E$2:$E$1068,MATCH($A82,'Historical Data'!$BE$2:$BE$1068,0)),"")</f>
        <v/>
      </c>
      <c r="F82" s="291">
        <f>IFERROR(INDEX('Historical Data'!$G$2:$G$1068,MATCH($A82,'Historical Data'!$BE$2:$BE$1068,0)),"")</f>
        <v/>
      </c>
      <c r="G82" s="291">
        <f>IFERROR(INDEX('Historical Data'!$Y$2:$Y$1068,MATCH($A82,'Historical Data'!$BE$2:$BE$1068,0)),"")</f>
        <v/>
      </c>
      <c r="H82" s="291">
        <f>IFERROR(INDEX('Historical Data'!$K$2:$K$1068,MATCH($A82,'Historical Data'!$BE$2:$BE$1068,0)),"")</f>
        <v/>
      </c>
      <c r="I82" s="291">
        <f>IFERROR(INDEX('Historical Data'!$J$2:$J$1068,MATCH($A82,'Historical Data'!$BE$2:$BE$1068,0)),"")</f>
        <v/>
      </c>
      <c r="J82" s="291">
        <f>IFERROR(INDEX('Historical Data'!$L$2:$L$1068,MATCH($A82,'Historical Data'!$BE$2:$BE$1068,0)),"")</f>
        <v/>
      </c>
      <c r="K82" s="293">
        <f>IFERROR(INDEX('Historical Data'!$M$2:$M$1068,MATCH($A82,'Historical Data'!$BE$2:$BE$1068,0)),"")</f>
        <v/>
      </c>
      <c r="L82" s="294">
        <f>IFERROR(INDEX('Historical Data'!$N$2:$N$1068,MATCH($A82,'Historical Data'!$BE$2:$BE$1068,0)),"")</f>
        <v/>
      </c>
      <c r="M82" s="294">
        <f>IFERROR(INDEX('Historical Data'!$Q$2:$Q$1068,MATCH($A82,'Historical Data'!$BE$2:$BE$1068,0)),"")</f>
        <v/>
      </c>
      <c r="N82" s="295">
        <f>IFERROR(INDEX('Historical Data'!$S$2:$S$1068,MATCH($A82,'Historical Data'!$BE$2:$BE$1068,0)),"")</f>
        <v/>
      </c>
      <c r="O82" s="294">
        <f>IFERROR(INDEX('Historical Data'!$AJ$2:$AJ$1068,MATCH($A82,'Historical Data'!$BE$2:$BE$1068,0)),"")</f>
        <v/>
      </c>
      <c r="P82" s="294">
        <f>IFERROR(INDEX('Historical Data'!$AK$2:$AK$1068,MATCH($A82,'Historical Data'!$BE$2:$BE$1068,0)),"")</f>
        <v/>
      </c>
      <c r="Q82" s="291">
        <f>IFERROR(INDEX('Historical Data'!$AA$2:$AA$1068,MATCH($A82,'Historical Data'!$BE$2:$BE$1068,0)),"")</f>
        <v/>
      </c>
      <c r="R82" s="291">
        <f>IFERROR(INDEX('Historical Data'!$AB$2:$AB$1068,MATCH($A82,'Historical Data'!$BE$2:$BE$1068,0)),"")</f>
        <v/>
      </c>
      <c r="S82" s="291">
        <f>IFERROR(INDEX('Historical Data'!$AN$2:$AN$1068,MATCH($A82,'Historical Data'!$BE$2:$BE$1068,0)),"")</f>
        <v/>
      </c>
      <c r="T82" s="291">
        <f>IFERROR(INDEX('Historical Data'!$AC$2:$AC$1068,MATCH($A82,'Historical Data'!$BE$2:$BE$1068,0)),"")</f>
        <v/>
      </c>
      <c r="U82" s="291">
        <f>IFERROR(INDEX('Historical Data'!$AE$2:$AE$1068,MATCH($A82,'Historical Data'!$BE$2:$BE$1068,0)),"")</f>
        <v/>
      </c>
      <c r="V82" s="291">
        <f>IFERROR(INDEX('Historical Data'!$AH$2:$AH$1068,MATCH($A82,'Historical Data'!$BE$2:$BE$1068,0)),"")</f>
        <v/>
      </c>
      <c r="W82" s="291">
        <f>IFERROR(INDEX('Historical Data'!$BC$2:$BC$1068,MATCH($A82,'Historical Data'!$BE$2:$BE$1068,0)),"")</f>
        <v/>
      </c>
      <c r="X82" s="290">
        <f>IF(B82="","",IF(W82=1,"NR + industry + position",IF(W82=2,"NR + ISO + position",IF(W82=3,"NR + industry",IF(W82=4,"NR + ISO",IF(W82=5,"NR + position",IF(W82=6,"NR only","book baseline"))))))&amp;"  ["&amp;IF(T82=1,"seasoned","unseasoned")&amp;IF(U82=1,", defaulted","")&amp;IF(V82=1,", open","")&amp;"]")</f>
        <v/>
      </c>
    </row>
    <row r="83">
      <c r="A83" s="290" t="n">
        <v>79</v>
      </c>
      <c r="B83" s="291">
        <f>IFERROR(INDEX('Historical Data'!$A$2:$A$1068,MATCH($A83,'Historical Data'!$BE$2:$BE$1068,0)),"")</f>
        <v/>
      </c>
      <c r="C83" s="291">
        <f>IFERROR(INDEX('Historical Data'!$B$2:$B$1068,MATCH($A83,'Historical Data'!$BE$2:$BE$1068,0)),"")</f>
        <v/>
      </c>
      <c r="D83" s="291">
        <f>IFERROR(INDEX('Historical Data'!$D$2:$D$1068,MATCH($A83,'Historical Data'!$BE$2:$BE$1068,0)),"")</f>
        <v/>
      </c>
      <c r="E83" s="292">
        <f>IFERROR(INDEX('Historical Data'!$E$2:$E$1068,MATCH($A83,'Historical Data'!$BE$2:$BE$1068,0)),"")</f>
        <v/>
      </c>
      <c r="F83" s="291">
        <f>IFERROR(INDEX('Historical Data'!$G$2:$G$1068,MATCH($A83,'Historical Data'!$BE$2:$BE$1068,0)),"")</f>
        <v/>
      </c>
      <c r="G83" s="291">
        <f>IFERROR(INDEX('Historical Data'!$Y$2:$Y$1068,MATCH($A83,'Historical Data'!$BE$2:$BE$1068,0)),"")</f>
        <v/>
      </c>
      <c r="H83" s="291">
        <f>IFERROR(INDEX('Historical Data'!$K$2:$K$1068,MATCH($A83,'Historical Data'!$BE$2:$BE$1068,0)),"")</f>
        <v/>
      </c>
      <c r="I83" s="291">
        <f>IFERROR(INDEX('Historical Data'!$J$2:$J$1068,MATCH($A83,'Historical Data'!$BE$2:$BE$1068,0)),"")</f>
        <v/>
      </c>
      <c r="J83" s="291">
        <f>IFERROR(INDEX('Historical Data'!$L$2:$L$1068,MATCH($A83,'Historical Data'!$BE$2:$BE$1068,0)),"")</f>
        <v/>
      </c>
      <c r="K83" s="293">
        <f>IFERROR(INDEX('Historical Data'!$M$2:$M$1068,MATCH($A83,'Historical Data'!$BE$2:$BE$1068,0)),"")</f>
        <v/>
      </c>
      <c r="L83" s="294">
        <f>IFERROR(INDEX('Historical Data'!$N$2:$N$1068,MATCH($A83,'Historical Data'!$BE$2:$BE$1068,0)),"")</f>
        <v/>
      </c>
      <c r="M83" s="294">
        <f>IFERROR(INDEX('Historical Data'!$Q$2:$Q$1068,MATCH($A83,'Historical Data'!$BE$2:$BE$1068,0)),"")</f>
        <v/>
      </c>
      <c r="N83" s="295">
        <f>IFERROR(INDEX('Historical Data'!$S$2:$S$1068,MATCH($A83,'Historical Data'!$BE$2:$BE$1068,0)),"")</f>
        <v/>
      </c>
      <c r="O83" s="294">
        <f>IFERROR(INDEX('Historical Data'!$AJ$2:$AJ$1068,MATCH($A83,'Historical Data'!$BE$2:$BE$1068,0)),"")</f>
        <v/>
      </c>
      <c r="P83" s="294">
        <f>IFERROR(INDEX('Historical Data'!$AK$2:$AK$1068,MATCH($A83,'Historical Data'!$BE$2:$BE$1068,0)),"")</f>
        <v/>
      </c>
      <c r="Q83" s="291">
        <f>IFERROR(INDEX('Historical Data'!$AA$2:$AA$1068,MATCH($A83,'Historical Data'!$BE$2:$BE$1068,0)),"")</f>
        <v/>
      </c>
      <c r="R83" s="291">
        <f>IFERROR(INDEX('Historical Data'!$AB$2:$AB$1068,MATCH($A83,'Historical Data'!$BE$2:$BE$1068,0)),"")</f>
        <v/>
      </c>
      <c r="S83" s="291">
        <f>IFERROR(INDEX('Historical Data'!$AN$2:$AN$1068,MATCH($A83,'Historical Data'!$BE$2:$BE$1068,0)),"")</f>
        <v/>
      </c>
      <c r="T83" s="291">
        <f>IFERROR(INDEX('Historical Data'!$AC$2:$AC$1068,MATCH($A83,'Historical Data'!$BE$2:$BE$1068,0)),"")</f>
        <v/>
      </c>
      <c r="U83" s="291">
        <f>IFERROR(INDEX('Historical Data'!$AE$2:$AE$1068,MATCH($A83,'Historical Data'!$BE$2:$BE$1068,0)),"")</f>
        <v/>
      </c>
      <c r="V83" s="291">
        <f>IFERROR(INDEX('Historical Data'!$AH$2:$AH$1068,MATCH($A83,'Historical Data'!$BE$2:$BE$1068,0)),"")</f>
        <v/>
      </c>
      <c r="W83" s="291">
        <f>IFERROR(INDEX('Historical Data'!$BC$2:$BC$1068,MATCH($A83,'Historical Data'!$BE$2:$BE$1068,0)),"")</f>
        <v/>
      </c>
      <c r="X83" s="290">
        <f>IF(B83="","",IF(W83=1,"NR + industry + position",IF(W83=2,"NR + ISO + position",IF(W83=3,"NR + industry",IF(W83=4,"NR + ISO",IF(W83=5,"NR + position",IF(W83=6,"NR only","book baseline"))))))&amp;"  ["&amp;IF(T83=1,"seasoned","unseasoned")&amp;IF(U83=1,", defaulted","")&amp;IF(V83=1,", open","")&amp;"]")</f>
        <v/>
      </c>
    </row>
    <row r="84">
      <c r="A84" s="290" t="n">
        <v>80</v>
      </c>
      <c r="B84" s="291">
        <f>IFERROR(INDEX('Historical Data'!$A$2:$A$1068,MATCH($A84,'Historical Data'!$BE$2:$BE$1068,0)),"")</f>
        <v/>
      </c>
      <c r="C84" s="291">
        <f>IFERROR(INDEX('Historical Data'!$B$2:$B$1068,MATCH($A84,'Historical Data'!$BE$2:$BE$1068,0)),"")</f>
        <v/>
      </c>
      <c r="D84" s="291">
        <f>IFERROR(INDEX('Historical Data'!$D$2:$D$1068,MATCH($A84,'Historical Data'!$BE$2:$BE$1068,0)),"")</f>
        <v/>
      </c>
      <c r="E84" s="292">
        <f>IFERROR(INDEX('Historical Data'!$E$2:$E$1068,MATCH($A84,'Historical Data'!$BE$2:$BE$1068,0)),"")</f>
        <v/>
      </c>
      <c r="F84" s="291">
        <f>IFERROR(INDEX('Historical Data'!$G$2:$G$1068,MATCH($A84,'Historical Data'!$BE$2:$BE$1068,0)),"")</f>
        <v/>
      </c>
      <c r="G84" s="291">
        <f>IFERROR(INDEX('Historical Data'!$Y$2:$Y$1068,MATCH($A84,'Historical Data'!$BE$2:$BE$1068,0)),"")</f>
        <v/>
      </c>
      <c r="H84" s="291">
        <f>IFERROR(INDEX('Historical Data'!$K$2:$K$1068,MATCH($A84,'Historical Data'!$BE$2:$BE$1068,0)),"")</f>
        <v/>
      </c>
      <c r="I84" s="291">
        <f>IFERROR(INDEX('Historical Data'!$J$2:$J$1068,MATCH($A84,'Historical Data'!$BE$2:$BE$1068,0)),"")</f>
        <v/>
      </c>
      <c r="J84" s="291">
        <f>IFERROR(INDEX('Historical Data'!$L$2:$L$1068,MATCH($A84,'Historical Data'!$BE$2:$BE$1068,0)),"")</f>
        <v/>
      </c>
      <c r="K84" s="293">
        <f>IFERROR(INDEX('Historical Data'!$M$2:$M$1068,MATCH($A84,'Historical Data'!$BE$2:$BE$1068,0)),"")</f>
        <v/>
      </c>
      <c r="L84" s="294">
        <f>IFERROR(INDEX('Historical Data'!$N$2:$N$1068,MATCH($A84,'Historical Data'!$BE$2:$BE$1068,0)),"")</f>
        <v/>
      </c>
      <c r="M84" s="294">
        <f>IFERROR(INDEX('Historical Data'!$Q$2:$Q$1068,MATCH($A84,'Historical Data'!$BE$2:$BE$1068,0)),"")</f>
        <v/>
      </c>
      <c r="N84" s="295">
        <f>IFERROR(INDEX('Historical Data'!$S$2:$S$1068,MATCH($A84,'Historical Data'!$BE$2:$BE$1068,0)),"")</f>
        <v/>
      </c>
      <c r="O84" s="294">
        <f>IFERROR(INDEX('Historical Data'!$AJ$2:$AJ$1068,MATCH($A84,'Historical Data'!$BE$2:$BE$1068,0)),"")</f>
        <v/>
      </c>
      <c r="P84" s="294">
        <f>IFERROR(INDEX('Historical Data'!$AK$2:$AK$1068,MATCH($A84,'Historical Data'!$BE$2:$BE$1068,0)),"")</f>
        <v/>
      </c>
      <c r="Q84" s="291">
        <f>IFERROR(INDEX('Historical Data'!$AA$2:$AA$1068,MATCH($A84,'Historical Data'!$BE$2:$BE$1068,0)),"")</f>
        <v/>
      </c>
      <c r="R84" s="291">
        <f>IFERROR(INDEX('Historical Data'!$AB$2:$AB$1068,MATCH($A84,'Historical Data'!$BE$2:$BE$1068,0)),"")</f>
        <v/>
      </c>
      <c r="S84" s="291">
        <f>IFERROR(INDEX('Historical Data'!$AN$2:$AN$1068,MATCH($A84,'Historical Data'!$BE$2:$BE$1068,0)),"")</f>
        <v/>
      </c>
      <c r="T84" s="291">
        <f>IFERROR(INDEX('Historical Data'!$AC$2:$AC$1068,MATCH($A84,'Historical Data'!$BE$2:$BE$1068,0)),"")</f>
        <v/>
      </c>
      <c r="U84" s="291">
        <f>IFERROR(INDEX('Historical Data'!$AE$2:$AE$1068,MATCH($A84,'Historical Data'!$BE$2:$BE$1068,0)),"")</f>
        <v/>
      </c>
      <c r="V84" s="291">
        <f>IFERROR(INDEX('Historical Data'!$AH$2:$AH$1068,MATCH($A84,'Historical Data'!$BE$2:$BE$1068,0)),"")</f>
        <v/>
      </c>
      <c r="W84" s="291">
        <f>IFERROR(INDEX('Historical Data'!$BC$2:$BC$1068,MATCH($A84,'Historical Data'!$BE$2:$BE$1068,0)),"")</f>
        <v/>
      </c>
      <c r="X84" s="290">
        <f>IF(B84="","",IF(W84=1,"NR + industry + position",IF(W84=2,"NR + ISO + position",IF(W84=3,"NR + industry",IF(W84=4,"NR + ISO",IF(W84=5,"NR + position",IF(W84=6,"NR only","book baseline"))))))&amp;"  ["&amp;IF(T84=1,"seasoned","unseasoned")&amp;IF(U84=1,", defaulted","")&amp;IF(V84=1,", open","")&amp;"]")</f>
        <v/>
      </c>
    </row>
    <row r="85">
      <c r="A85" s="290" t="n">
        <v>81</v>
      </c>
      <c r="B85" s="291">
        <f>IFERROR(INDEX('Historical Data'!$A$2:$A$1068,MATCH($A85,'Historical Data'!$BE$2:$BE$1068,0)),"")</f>
        <v/>
      </c>
      <c r="C85" s="291">
        <f>IFERROR(INDEX('Historical Data'!$B$2:$B$1068,MATCH($A85,'Historical Data'!$BE$2:$BE$1068,0)),"")</f>
        <v/>
      </c>
      <c r="D85" s="291">
        <f>IFERROR(INDEX('Historical Data'!$D$2:$D$1068,MATCH($A85,'Historical Data'!$BE$2:$BE$1068,0)),"")</f>
        <v/>
      </c>
      <c r="E85" s="292">
        <f>IFERROR(INDEX('Historical Data'!$E$2:$E$1068,MATCH($A85,'Historical Data'!$BE$2:$BE$1068,0)),"")</f>
        <v/>
      </c>
      <c r="F85" s="291">
        <f>IFERROR(INDEX('Historical Data'!$G$2:$G$1068,MATCH($A85,'Historical Data'!$BE$2:$BE$1068,0)),"")</f>
        <v/>
      </c>
      <c r="G85" s="291">
        <f>IFERROR(INDEX('Historical Data'!$Y$2:$Y$1068,MATCH($A85,'Historical Data'!$BE$2:$BE$1068,0)),"")</f>
        <v/>
      </c>
      <c r="H85" s="291">
        <f>IFERROR(INDEX('Historical Data'!$K$2:$K$1068,MATCH($A85,'Historical Data'!$BE$2:$BE$1068,0)),"")</f>
        <v/>
      </c>
      <c r="I85" s="291">
        <f>IFERROR(INDEX('Historical Data'!$J$2:$J$1068,MATCH($A85,'Historical Data'!$BE$2:$BE$1068,0)),"")</f>
        <v/>
      </c>
      <c r="J85" s="291">
        <f>IFERROR(INDEX('Historical Data'!$L$2:$L$1068,MATCH($A85,'Historical Data'!$BE$2:$BE$1068,0)),"")</f>
        <v/>
      </c>
      <c r="K85" s="293">
        <f>IFERROR(INDEX('Historical Data'!$M$2:$M$1068,MATCH($A85,'Historical Data'!$BE$2:$BE$1068,0)),"")</f>
        <v/>
      </c>
      <c r="L85" s="294">
        <f>IFERROR(INDEX('Historical Data'!$N$2:$N$1068,MATCH($A85,'Historical Data'!$BE$2:$BE$1068,0)),"")</f>
        <v/>
      </c>
      <c r="M85" s="294">
        <f>IFERROR(INDEX('Historical Data'!$Q$2:$Q$1068,MATCH($A85,'Historical Data'!$BE$2:$BE$1068,0)),"")</f>
        <v/>
      </c>
      <c r="N85" s="295">
        <f>IFERROR(INDEX('Historical Data'!$S$2:$S$1068,MATCH($A85,'Historical Data'!$BE$2:$BE$1068,0)),"")</f>
        <v/>
      </c>
      <c r="O85" s="294">
        <f>IFERROR(INDEX('Historical Data'!$AJ$2:$AJ$1068,MATCH($A85,'Historical Data'!$BE$2:$BE$1068,0)),"")</f>
        <v/>
      </c>
      <c r="P85" s="294">
        <f>IFERROR(INDEX('Historical Data'!$AK$2:$AK$1068,MATCH($A85,'Historical Data'!$BE$2:$BE$1068,0)),"")</f>
        <v/>
      </c>
      <c r="Q85" s="291">
        <f>IFERROR(INDEX('Historical Data'!$AA$2:$AA$1068,MATCH($A85,'Historical Data'!$BE$2:$BE$1068,0)),"")</f>
        <v/>
      </c>
      <c r="R85" s="291">
        <f>IFERROR(INDEX('Historical Data'!$AB$2:$AB$1068,MATCH($A85,'Historical Data'!$BE$2:$BE$1068,0)),"")</f>
        <v/>
      </c>
      <c r="S85" s="291">
        <f>IFERROR(INDEX('Historical Data'!$AN$2:$AN$1068,MATCH($A85,'Historical Data'!$BE$2:$BE$1068,0)),"")</f>
        <v/>
      </c>
      <c r="T85" s="291">
        <f>IFERROR(INDEX('Historical Data'!$AC$2:$AC$1068,MATCH($A85,'Historical Data'!$BE$2:$BE$1068,0)),"")</f>
        <v/>
      </c>
      <c r="U85" s="291">
        <f>IFERROR(INDEX('Historical Data'!$AE$2:$AE$1068,MATCH($A85,'Historical Data'!$BE$2:$BE$1068,0)),"")</f>
        <v/>
      </c>
      <c r="V85" s="291">
        <f>IFERROR(INDEX('Historical Data'!$AH$2:$AH$1068,MATCH($A85,'Historical Data'!$BE$2:$BE$1068,0)),"")</f>
        <v/>
      </c>
      <c r="W85" s="291">
        <f>IFERROR(INDEX('Historical Data'!$BC$2:$BC$1068,MATCH($A85,'Historical Data'!$BE$2:$BE$1068,0)),"")</f>
        <v/>
      </c>
      <c r="X85" s="290">
        <f>IF(B85="","",IF(W85=1,"NR + industry + position",IF(W85=2,"NR + ISO + position",IF(W85=3,"NR + industry",IF(W85=4,"NR + ISO",IF(W85=5,"NR + position",IF(W85=6,"NR only","book baseline"))))))&amp;"  ["&amp;IF(T85=1,"seasoned","unseasoned")&amp;IF(U85=1,", defaulted","")&amp;IF(V85=1,", open","")&amp;"]")</f>
        <v/>
      </c>
    </row>
    <row r="86">
      <c r="A86" s="290" t="n">
        <v>82</v>
      </c>
      <c r="B86" s="291">
        <f>IFERROR(INDEX('Historical Data'!$A$2:$A$1068,MATCH($A86,'Historical Data'!$BE$2:$BE$1068,0)),"")</f>
        <v/>
      </c>
      <c r="C86" s="291">
        <f>IFERROR(INDEX('Historical Data'!$B$2:$B$1068,MATCH($A86,'Historical Data'!$BE$2:$BE$1068,0)),"")</f>
        <v/>
      </c>
      <c r="D86" s="291">
        <f>IFERROR(INDEX('Historical Data'!$D$2:$D$1068,MATCH($A86,'Historical Data'!$BE$2:$BE$1068,0)),"")</f>
        <v/>
      </c>
      <c r="E86" s="292">
        <f>IFERROR(INDEX('Historical Data'!$E$2:$E$1068,MATCH($A86,'Historical Data'!$BE$2:$BE$1068,0)),"")</f>
        <v/>
      </c>
      <c r="F86" s="291">
        <f>IFERROR(INDEX('Historical Data'!$G$2:$G$1068,MATCH($A86,'Historical Data'!$BE$2:$BE$1068,0)),"")</f>
        <v/>
      </c>
      <c r="G86" s="291">
        <f>IFERROR(INDEX('Historical Data'!$Y$2:$Y$1068,MATCH($A86,'Historical Data'!$BE$2:$BE$1068,0)),"")</f>
        <v/>
      </c>
      <c r="H86" s="291">
        <f>IFERROR(INDEX('Historical Data'!$K$2:$K$1068,MATCH($A86,'Historical Data'!$BE$2:$BE$1068,0)),"")</f>
        <v/>
      </c>
      <c r="I86" s="291">
        <f>IFERROR(INDEX('Historical Data'!$J$2:$J$1068,MATCH($A86,'Historical Data'!$BE$2:$BE$1068,0)),"")</f>
        <v/>
      </c>
      <c r="J86" s="291">
        <f>IFERROR(INDEX('Historical Data'!$L$2:$L$1068,MATCH($A86,'Historical Data'!$BE$2:$BE$1068,0)),"")</f>
        <v/>
      </c>
      <c r="K86" s="293">
        <f>IFERROR(INDEX('Historical Data'!$M$2:$M$1068,MATCH($A86,'Historical Data'!$BE$2:$BE$1068,0)),"")</f>
        <v/>
      </c>
      <c r="L86" s="294">
        <f>IFERROR(INDEX('Historical Data'!$N$2:$N$1068,MATCH($A86,'Historical Data'!$BE$2:$BE$1068,0)),"")</f>
        <v/>
      </c>
      <c r="M86" s="294">
        <f>IFERROR(INDEX('Historical Data'!$Q$2:$Q$1068,MATCH($A86,'Historical Data'!$BE$2:$BE$1068,0)),"")</f>
        <v/>
      </c>
      <c r="N86" s="295">
        <f>IFERROR(INDEX('Historical Data'!$S$2:$S$1068,MATCH($A86,'Historical Data'!$BE$2:$BE$1068,0)),"")</f>
        <v/>
      </c>
      <c r="O86" s="294">
        <f>IFERROR(INDEX('Historical Data'!$AJ$2:$AJ$1068,MATCH($A86,'Historical Data'!$BE$2:$BE$1068,0)),"")</f>
        <v/>
      </c>
      <c r="P86" s="294">
        <f>IFERROR(INDEX('Historical Data'!$AK$2:$AK$1068,MATCH($A86,'Historical Data'!$BE$2:$BE$1068,0)),"")</f>
        <v/>
      </c>
      <c r="Q86" s="291">
        <f>IFERROR(INDEX('Historical Data'!$AA$2:$AA$1068,MATCH($A86,'Historical Data'!$BE$2:$BE$1068,0)),"")</f>
        <v/>
      </c>
      <c r="R86" s="291">
        <f>IFERROR(INDEX('Historical Data'!$AB$2:$AB$1068,MATCH($A86,'Historical Data'!$BE$2:$BE$1068,0)),"")</f>
        <v/>
      </c>
      <c r="S86" s="291">
        <f>IFERROR(INDEX('Historical Data'!$AN$2:$AN$1068,MATCH($A86,'Historical Data'!$BE$2:$BE$1068,0)),"")</f>
        <v/>
      </c>
      <c r="T86" s="291">
        <f>IFERROR(INDEX('Historical Data'!$AC$2:$AC$1068,MATCH($A86,'Historical Data'!$BE$2:$BE$1068,0)),"")</f>
        <v/>
      </c>
      <c r="U86" s="291">
        <f>IFERROR(INDEX('Historical Data'!$AE$2:$AE$1068,MATCH($A86,'Historical Data'!$BE$2:$BE$1068,0)),"")</f>
        <v/>
      </c>
      <c r="V86" s="291">
        <f>IFERROR(INDEX('Historical Data'!$AH$2:$AH$1068,MATCH($A86,'Historical Data'!$BE$2:$BE$1068,0)),"")</f>
        <v/>
      </c>
      <c r="W86" s="291">
        <f>IFERROR(INDEX('Historical Data'!$BC$2:$BC$1068,MATCH($A86,'Historical Data'!$BE$2:$BE$1068,0)),"")</f>
        <v/>
      </c>
      <c r="X86" s="290">
        <f>IF(B86="","",IF(W86=1,"NR + industry + position",IF(W86=2,"NR + ISO + position",IF(W86=3,"NR + industry",IF(W86=4,"NR + ISO",IF(W86=5,"NR + position",IF(W86=6,"NR only","book baseline"))))))&amp;"  ["&amp;IF(T86=1,"seasoned","unseasoned")&amp;IF(U86=1,", defaulted","")&amp;IF(V86=1,", open","")&amp;"]")</f>
        <v/>
      </c>
    </row>
    <row r="87">
      <c r="A87" s="290" t="n">
        <v>83</v>
      </c>
      <c r="B87" s="291">
        <f>IFERROR(INDEX('Historical Data'!$A$2:$A$1068,MATCH($A87,'Historical Data'!$BE$2:$BE$1068,0)),"")</f>
        <v/>
      </c>
      <c r="C87" s="291">
        <f>IFERROR(INDEX('Historical Data'!$B$2:$B$1068,MATCH($A87,'Historical Data'!$BE$2:$BE$1068,0)),"")</f>
        <v/>
      </c>
      <c r="D87" s="291">
        <f>IFERROR(INDEX('Historical Data'!$D$2:$D$1068,MATCH($A87,'Historical Data'!$BE$2:$BE$1068,0)),"")</f>
        <v/>
      </c>
      <c r="E87" s="292">
        <f>IFERROR(INDEX('Historical Data'!$E$2:$E$1068,MATCH($A87,'Historical Data'!$BE$2:$BE$1068,0)),"")</f>
        <v/>
      </c>
      <c r="F87" s="291">
        <f>IFERROR(INDEX('Historical Data'!$G$2:$G$1068,MATCH($A87,'Historical Data'!$BE$2:$BE$1068,0)),"")</f>
        <v/>
      </c>
      <c r="G87" s="291">
        <f>IFERROR(INDEX('Historical Data'!$Y$2:$Y$1068,MATCH($A87,'Historical Data'!$BE$2:$BE$1068,0)),"")</f>
        <v/>
      </c>
      <c r="H87" s="291">
        <f>IFERROR(INDEX('Historical Data'!$K$2:$K$1068,MATCH($A87,'Historical Data'!$BE$2:$BE$1068,0)),"")</f>
        <v/>
      </c>
      <c r="I87" s="291">
        <f>IFERROR(INDEX('Historical Data'!$J$2:$J$1068,MATCH($A87,'Historical Data'!$BE$2:$BE$1068,0)),"")</f>
        <v/>
      </c>
      <c r="J87" s="291">
        <f>IFERROR(INDEX('Historical Data'!$L$2:$L$1068,MATCH($A87,'Historical Data'!$BE$2:$BE$1068,0)),"")</f>
        <v/>
      </c>
      <c r="K87" s="293">
        <f>IFERROR(INDEX('Historical Data'!$M$2:$M$1068,MATCH($A87,'Historical Data'!$BE$2:$BE$1068,0)),"")</f>
        <v/>
      </c>
      <c r="L87" s="294">
        <f>IFERROR(INDEX('Historical Data'!$N$2:$N$1068,MATCH($A87,'Historical Data'!$BE$2:$BE$1068,0)),"")</f>
        <v/>
      </c>
      <c r="M87" s="294">
        <f>IFERROR(INDEX('Historical Data'!$Q$2:$Q$1068,MATCH($A87,'Historical Data'!$BE$2:$BE$1068,0)),"")</f>
        <v/>
      </c>
      <c r="N87" s="295">
        <f>IFERROR(INDEX('Historical Data'!$S$2:$S$1068,MATCH($A87,'Historical Data'!$BE$2:$BE$1068,0)),"")</f>
        <v/>
      </c>
      <c r="O87" s="294">
        <f>IFERROR(INDEX('Historical Data'!$AJ$2:$AJ$1068,MATCH($A87,'Historical Data'!$BE$2:$BE$1068,0)),"")</f>
        <v/>
      </c>
      <c r="P87" s="294">
        <f>IFERROR(INDEX('Historical Data'!$AK$2:$AK$1068,MATCH($A87,'Historical Data'!$BE$2:$BE$1068,0)),"")</f>
        <v/>
      </c>
      <c r="Q87" s="291">
        <f>IFERROR(INDEX('Historical Data'!$AA$2:$AA$1068,MATCH($A87,'Historical Data'!$BE$2:$BE$1068,0)),"")</f>
        <v/>
      </c>
      <c r="R87" s="291">
        <f>IFERROR(INDEX('Historical Data'!$AB$2:$AB$1068,MATCH($A87,'Historical Data'!$BE$2:$BE$1068,0)),"")</f>
        <v/>
      </c>
      <c r="S87" s="291">
        <f>IFERROR(INDEX('Historical Data'!$AN$2:$AN$1068,MATCH($A87,'Historical Data'!$BE$2:$BE$1068,0)),"")</f>
        <v/>
      </c>
      <c r="T87" s="291">
        <f>IFERROR(INDEX('Historical Data'!$AC$2:$AC$1068,MATCH($A87,'Historical Data'!$BE$2:$BE$1068,0)),"")</f>
        <v/>
      </c>
      <c r="U87" s="291">
        <f>IFERROR(INDEX('Historical Data'!$AE$2:$AE$1068,MATCH($A87,'Historical Data'!$BE$2:$BE$1068,0)),"")</f>
        <v/>
      </c>
      <c r="V87" s="291">
        <f>IFERROR(INDEX('Historical Data'!$AH$2:$AH$1068,MATCH($A87,'Historical Data'!$BE$2:$BE$1068,0)),"")</f>
        <v/>
      </c>
      <c r="W87" s="291">
        <f>IFERROR(INDEX('Historical Data'!$BC$2:$BC$1068,MATCH($A87,'Historical Data'!$BE$2:$BE$1068,0)),"")</f>
        <v/>
      </c>
      <c r="X87" s="290">
        <f>IF(B87="","",IF(W87=1,"NR + industry + position",IF(W87=2,"NR + ISO + position",IF(W87=3,"NR + industry",IF(W87=4,"NR + ISO",IF(W87=5,"NR + position",IF(W87=6,"NR only","book baseline"))))))&amp;"  ["&amp;IF(T87=1,"seasoned","unseasoned")&amp;IF(U87=1,", defaulted","")&amp;IF(V87=1,", open","")&amp;"]")</f>
        <v/>
      </c>
    </row>
    <row r="88">
      <c r="A88" s="290" t="n">
        <v>84</v>
      </c>
      <c r="B88" s="291">
        <f>IFERROR(INDEX('Historical Data'!$A$2:$A$1068,MATCH($A88,'Historical Data'!$BE$2:$BE$1068,0)),"")</f>
        <v/>
      </c>
      <c r="C88" s="291">
        <f>IFERROR(INDEX('Historical Data'!$B$2:$B$1068,MATCH($A88,'Historical Data'!$BE$2:$BE$1068,0)),"")</f>
        <v/>
      </c>
      <c r="D88" s="291">
        <f>IFERROR(INDEX('Historical Data'!$D$2:$D$1068,MATCH($A88,'Historical Data'!$BE$2:$BE$1068,0)),"")</f>
        <v/>
      </c>
      <c r="E88" s="292">
        <f>IFERROR(INDEX('Historical Data'!$E$2:$E$1068,MATCH($A88,'Historical Data'!$BE$2:$BE$1068,0)),"")</f>
        <v/>
      </c>
      <c r="F88" s="291">
        <f>IFERROR(INDEX('Historical Data'!$G$2:$G$1068,MATCH($A88,'Historical Data'!$BE$2:$BE$1068,0)),"")</f>
        <v/>
      </c>
      <c r="G88" s="291">
        <f>IFERROR(INDEX('Historical Data'!$Y$2:$Y$1068,MATCH($A88,'Historical Data'!$BE$2:$BE$1068,0)),"")</f>
        <v/>
      </c>
      <c r="H88" s="291">
        <f>IFERROR(INDEX('Historical Data'!$K$2:$K$1068,MATCH($A88,'Historical Data'!$BE$2:$BE$1068,0)),"")</f>
        <v/>
      </c>
      <c r="I88" s="291">
        <f>IFERROR(INDEX('Historical Data'!$J$2:$J$1068,MATCH($A88,'Historical Data'!$BE$2:$BE$1068,0)),"")</f>
        <v/>
      </c>
      <c r="J88" s="291">
        <f>IFERROR(INDEX('Historical Data'!$L$2:$L$1068,MATCH($A88,'Historical Data'!$BE$2:$BE$1068,0)),"")</f>
        <v/>
      </c>
      <c r="K88" s="293">
        <f>IFERROR(INDEX('Historical Data'!$M$2:$M$1068,MATCH($A88,'Historical Data'!$BE$2:$BE$1068,0)),"")</f>
        <v/>
      </c>
      <c r="L88" s="294">
        <f>IFERROR(INDEX('Historical Data'!$N$2:$N$1068,MATCH($A88,'Historical Data'!$BE$2:$BE$1068,0)),"")</f>
        <v/>
      </c>
      <c r="M88" s="294">
        <f>IFERROR(INDEX('Historical Data'!$Q$2:$Q$1068,MATCH($A88,'Historical Data'!$BE$2:$BE$1068,0)),"")</f>
        <v/>
      </c>
      <c r="N88" s="295">
        <f>IFERROR(INDEX('Historical Data'!$S$2:$S$1068,MATCH($A88,'Historical Data'!$BE$2:$BE$1068,0)),"")</f>
        <v/>
      </c>
      <c r="O88" s="294">
        <f>IFERROR(INDEX('Historical Data'!$AJ$2:$AJ$1068,MATCH($A88,'Historical Data'!$BE$2:$BE$1068,0)),"")</f>
        <v/>
      </c>
      <c r="P88" s="294">
        <f>IFERROR(INDEX('Historical Data'!$AK$2:$AK$1068,MATCH($A88,'Historical Data'!$BE$2:$BE$1068,0)),"")</f>
        <v/>
      </c>
      <c r="Q88" s="291">
        <f>IFERROR(INDEX('Historical Data'!$AA$2:$AA$1068,MATCH($A88,'Historical Data'!$BE$2:$BE$1068,0)),"")</f>
        <v/>
      </c>
      <c r="R88" s="291">
        <f>IFERROR(INDEX('Historical Data'!$AB$2:$AB$1068,MATCH($A88,'Historical Data'!$BE$2:$BE$1068,0)),"")</f>
        <v/>
      </c>
      <c r="S88" s="291">
        <f>IFERROR(INDEX('Historical Data'!$AN$2:$AN$1068,MATCH($A88,'Historical Data'!$BE$2:$BE$1068,0)),"")</f>
        <v/>
      </c>
      <c r="T88" s="291">
        <f>IFERROR(INDEX('Historical Data'!$AC$2:$AC$1068,MATCH($A88,'Historical Data'!$BE$2:$BE$1068,0)),"")</f>
        <v/>
      </c>
      <c r="U88" s="291">
        <f>IFERROR(INDEX('Historical Data'!$AE$2:$AE$1068,MATCH($A88,'Historical Data'!$BE$2:$BE$1068,0)),"")</f>
        <v/>
      </c>
      <c r="V88" s="291">
        <f>IFERROR(INDEX('Historical Data'!$AH$2:$AH$1068,MATCH($A88,'Historical Data'!$BE$2:$BE$1068,0)),"")</f>
        <v/>
      </c>
      <c r="W88" s="291">
        <f>IFERROR(INDEX('Historical Data'!$BC$2:$BC$1068,MATCH($A88,'Historical Data'!$BE$2:$BE$1068,0)),"")</f>
        <v/>
      </c>
      <c r="X88" s="290">
        <f>IF(B88="","",IF(W88=1,"NR + industry + position",IF(W88=2,"NR + ISO + position",IF(W88=3,"NR + industry",IF(W88=4,"NR + ISO",IF(W88=5,"NR + position",IF(W88=6,"NR only","book baseline"))))))&amp;"  ["&amp;IF(T88=1,"seasoned","unseasoned")&amp;IF(U88=1,", defaulted","")&amp;IF(V88=1,", open","")&amp;"]")</f>
        <v/>
      </c>
    </row>
    <row r="89">
      <c r="A89" s="290" t="n">
        <v>85</v>
      </c>
      <c r="B89" s="291">
        <f>IFERROR(INDEX('Historical Data'!$A$2:$A$1068,MATCH($A89,'Historical Data'!$BE$2:$BE$1068,0)),"")</f>
        <v/>
      </c>
      <c r="C89" s="291">
        <f>IFERROR(INDEX('Historical Data'!$B$2:$B$1068,MATCH($A89,'Historical Data'!$BE$2:$BE$1068,0)),"")</f>
        <v/>
      </c>
      <c r="D89" s="291">
        <f>IFERROR(INDEX('Historical Data'!$D$2:$D$1068,MATCH($A89,'Historical Data'!$BE$2:$BE$1068,0)),"")</f>
        <v/>
      </c>
      <c r="E89" s="292">
        <f>IFERROR(INDEX('Historical Data'!$E$2:$E$1068,MATCH($A89,'Historical Data'!$BE$2:$BE$1068,0)),"")</f>
        <v/>
      </c>
      <c r="F89" s="291">
        <f>IFERROR(INDEX('Historical Data'!$G$2:$G$1068,MATCH($A89,'Historical Data'!$BE$2:$BE$1068,0)),"")</f>
        <v/>
      </c>
      <c r="G89" s="291">
        <f>IFERROR(INDEX('Historical Data'!$Y$2:$Y$1068,MATCH($A89,'Historical Data'!$BE$2:$BE$1068,0)),"")</f>
        <v/>
      </c>
      <c r="H89" s="291">
        <f>IFERROR(INDEX('Historical Data'!$K$2:$K$1068,MATCH($A89,'Historical Data'!$BE$2:$BE$1068,0)),"")</f>
        <v/>
      </c>
      <c r="I89" s="291">
        <f>IFERROR(INDEX('Historical Data'!$J$2:$J$1068,MATCH($A89,'Historical Data'!$BE$2:$BE$1068,0)),"")</f>
        <v/>
      </c>
      <c r="J89" s="291">
        <f>IFERROR(INDEX('Historical Data'!$L$2:$L$1068,MATCH($A89,'Historical Data'!$BE$2:$BE$1068,0)),"")</f>
        <v/>
      </c>
      <c r="K89" s="293">
        <f>IFERROR(INDEX('Historical Data'!$M$2:$M$1068,MATCH($A89,'Historical Data'!$BE$2:$BE$1068,0)),"")</f>
        <v/>
      </c>
      <c r="L89" s="294">
        <f>IFERROR(INDEX('Historical Data'!$N$2:$N$1068,MATCH($A89,'Historical Data'!$BE$2:$BE$1068,0)),"")</f>
        <v/>
      </c>
      <c r="M89" s="294">
        <f>IFERROR(INDEX('Historical Data'!$Q$2:$Q$1068,MATCH($A89,'Historical Data'!$BE$2:$BE$1068,0)),"")</f>
        <v/>
      </c>
      <c r="N89" s="295">
        <f>IFERROR(INDEX('Historical Data'!$S$2:$S$1068,MATCH($A89,'Historical Data'!$BE$2:$BE$1068,0)),"")</f>
        <v/>
      </c>
      <c r="O89" s="294">
        <f>IFERROR(INDEX('Historical Data'!$AJ$2:$AJ$1068,MATCH($A89,'Historical Data'!$BE$2:$BE$1068,0)),"")</f>
        <v/>
      </c>
      <c r="P89" s="294">
        <f>IFERROR(INDEX('Historical Data'!$AK$2:$AK$1068,MATCH($A89,'Historical Data'!$BE$2:$BE$1068,0)),"")</f>
        <v/>
      </c>
      <c r="Q89" s="291">
        <f>IFERROR(INDEX('Historical Data'!$AA$2:$AA$1068,MATCH($A89,'Historical Data'!$BE$2:$BE$1068,0)),"")</f>
        <v/>
      </c>
      <c r="R89" s="291">
        <f>IFERROR(INDEX('Historical Data'!$AB$2:$AB$1068,MATCH($A89,'Historical Data'!$BE$2:$BE$1068,0)),"")</f>
        <v/>
      </c>
      <c r="S89" s="291">
        <f>IFERROR(INDEX('Historical Data'!$AN$2:$AN$1068,MATCH($A89,'Historical Data'!$BE$2:$BE$1068,0)),"")</f>
        <v/>
      </c>
      <c r="T89" s="291">
        <f>IFERROR(INDEX('Historical Data'!$AC$2:$AC$1068,MATCH($A89,'Historical Data'!$BE$2:$BE$1068,0)),"")</f>
        <v/>
      </c>
      <c r="U89" s="291">
        <f>IFERROR(INDEX('Historical Data'!$AE$2:$AE$1068,MATCH($A89,'Historical Data'!$BE$2:$BE$1068,0)),"")</f>
        <v/>
      </c>
      <c r="V89" s="291">
        <f>IFERROR(INDEX('Historical Data'!$AH$2:$AH$1068,MATCH($A89,'Historical Data'!$BE$2:$BE$1068,0)),"")</f>
        <v/>
      </c>
      <c r="W89" s="291">
        <f>IFERROR(INDEX('Historical Data'!$BC$2:$BC$1068,MATCH($A89,'Historical Data'!$BE$2:$BE$1068,0)),"")</f>
        <v/>
      </c>
      <c r="X89" s="290">
        <f>IF(B89="","",IF(W89=1,"NR + industry + position",IF(W89=2,"NR + ISO + position",IF(W89=3,"NR + industry",IF(W89=4,"NR + ISO",IF(W89=5,"NR + position",IF(W89=6,"NR only","book baseline"))))))&amp;"  ["&amp;IF(T89=1,"seasoned","unseasoned")&amp;IF(U89=1,", defaulted","")&amp;IF(V89=1,", open","")&amp;"]")</f>
        <v/>
      </c>
    </row>
    <row r="90">
      <c r="A90" s="290" t="n">
        <v>86</v>
      </c>
      <c r="B90" s="291">
        <f>IFERROR(INDEX('Historical Data'!$A$2:$A$1068,MATCH($A90,'Historical Data'!$BE$2:$BE$1068,0)),"")</f>
        <v/>
      </c>
      <c r="C90" s="291">
        <f>IFERROR(INDEX('Historical Data'!$B$2:$B$1068,MATCH($A90,'Historical Data'!$BE$2:$BE$1068,0)),"")</f>
        <v/>
      </c>
      <c r="D90" s="291">
        <f>IFERROR(INDEX('Historical Data'!$D$2:$D$1068,MATCH($A90,'Historical Data'!$BE$2:$BE$1068,0)),"")</f>
        <v/>
      </c>
      <c r="E90" s="292">
        <f>IFERROR(INDEX('Historical Data'!$E$2:$E$1068,MATCH($A90,'Historical Data'!$BE$2:$BE$1068,0)),"")</f>
        <v/>
      </c>
      <c r="F90" s="291">
        <f>IFERROR(INDEX('Historical Data'!$G$2:$G$1068,MATCH($A90,'Historical Data'!$BE$2:$BE$1068,0)),"")</f>
        <v/>
      </c>
      <c r="G90" s="291">
        <f>IFERROR(INDEX('Historical Data'!$Y$2:$Y$1068,MATCH($A90,'Historical Data'!$BE$2:$BE$1068,0)),"")</f>
        <v/>
      </c>
      <c r="H90" s="291">
        <f>IFERROR(INDEX('Historical Data'!$K$2:$K$1068,MATCH($A90,'Historical Data'!$BE$2:$BE$1068,0)),"")</f>
        <v/>
      </c>
      <c r="I90" s="291">
        <f>IFERROR(INDEX('Historical Data'!$J$2:$J$1068,MATCH($A90,'Historical Data'!$BE$2:$BE$1068,0)),"")</f>
        <v/>
      </c>
      <c r="J90" s="291">
        <f>IFERROR(INDEX('Historical Data'!$L$2:$L$1068,MATCH($A90,'Historical Data'!$BE$2:$BE$1068,0)),"")</f>
        <v/>
      </c>
      <c r="K90" s="293">
        <f>IFERROR(INDEX('Historical Data'!$M$2:$M$1068,MATCH($A90,'Historical Data'!$BE$2:$BE$1068,0)),"")</f>
        <v/>
      </c>
      <c r="L90" s="294">
        <f>IFERROR(INDEX('Historical Data'!$N$2:$N$1068,MATCH($A90,'Historical Data'!$BE$2:$BE$1068,0)),"")</f>
        <v/>
      </c>
      <c r="M90" s="294">
        <f>IFERROR(INDEX('Historical Data'!$Q$2:$Q$1068,MATCH($A90,'Historical Data'!$BE$2:$BE$1068,0)),"")</f>
        <v/>
      </c>
      <c r="N90" s="295">
        <f>IFERROR(INDEX('Historical Data'!$S$2:$S$1068,MATCH($A90,'Historical Data'!$BE$2:$BE$1068,0)),"")</f>
        <v/>
      </c>
      <c r="O90" s="294">
        <f>IFERROR(INDEX('Historical Data'!$AJ$2:$AJ$1068,MATCH($A90,'Historical Data'!$BE$2:$BE$1068,0)),"")</f>
        <v/>
      </c>
      <c r="P90" s="294">
        <f>IFERROR(INDEX('Historical Data'!$AK$2:$AK$1068,MATCH($A90,'Historical Data'!$BE$2:$BE$1068,0)),"")</f>
        <v/>
      </c>
      <c r="Q90" s="291">
        <f>IFERROR(INDEX('Historical Data'!$AA$2:$AA$1068,MATCH($A90,'Historical Data'!$BE$2:$BE$1068,0)),"")</f>
        <v/>
      </c>
      <c r="R90" s="291">
        <f>IFERROR(INDEX('Historical Data'!$AB$2:$AB$1068,MATCH($A90,'Historical Data'!$BE$2:$BE$1068,0)),"")</f>
        <v/>
      </c>
      <c r="S90" s="291">
        <f>IFERROR(INDEX('Historical Data'!$AN$2:$AN$1068,MATCH($A90,'Historical Data'!$BE$2:$BE$1068,0)),"")</f>
        <v/>
      </c>
      <c r="T90" s="291">
        <f>IFERROR(INDEX('Historical Data'!$AC$2:$AC$1068,MATCH($A90,'Historical Data'!$BE$2:$BE$1068,0)),"")</f>
        <v/>
      </c>
      <c r="U90" s="291">
        <f>IFERROR(INDEX('Historical Data'!$AE$2:$AE$1068,MATCH($A90,'Historical Data'!$BE$2:$BE$1068,0)),"")</f>
        <v/>
      </c>
      <c r="V90" s="291">
        <f>IFERROR(INDEX('Historical Data'!$AH$2:$AH$1068,MATCH($A90,'Historical Data'!$BE$2:$BE$1068,0)),"")</f>
        <v/>
      </c>
      <c r="W90" s="291">
        <f>IFERROR(INDEX('Historical Data'!$BC$2:$BC$1068,MATCH($A90,'Historical Data'!$BE$2:$BE$1068,0)),"")</f>
        <v/>
      </c>
      <c r="X90" s="290">
        <f>IF(B90="","",IF(W90=1,"NR + industry + position",IF(W90=2,"NR + ISO + position",IF(W90=3,"NR + industry",IF(W90=4,"NR + ISO",IF(W90=5,"NR + position",IF(W90=6,"NR only","book baseline"))))))&amp;"  ["&amp;IF(T90=1,"seasoned","unseasoned")&amp;IF(U90=1,", defaulted","")&amp;IF(V90=1,", open","")&amp;"]")</f>
        <v/>
      </c>
    </row>
    <row r="91">
      <c r="A91" s="290" t="n">
        <v>87</v>
      </c>
      <c r="B91" s="291">
        <f>IFERROR(INDEX('Historical Data'!$A$2:$A$1068,MATCH($A91,'Historical Data'!$BE$2:$BE$1068,0)),"")</f>
        <v/>
      </c>
      <c r="C91" s="291">
        <f>IFERROR(INDEX('Historical Data'!$B$2:$B$1068,MATCH($A91,'Historical Data'!$BE$2:$BE$1068,0)),"")</f>
        <v/>
      </c>
      <c r="D91" s="291">
        <f>IFERROR(INDEX('Historical Data'!$D$2:$D$1068,MATCH($A91,'Historical Data'!$BE$2:$BE$1068,0)),"")</f>
        <v/>
      </c>
      <c r="E91" s="292">
        <f>IFERROR(INDEX('Historical Data'!$E$2:$E$1068,MATCH($A91,'Historical Data'!$BE$2:$BE$1068,0)),"")</f>
        <v/>
      </c>
      <c r="F91" s="291">
        <f>IFERROR(INDEX('Historical Data'!$G$2:$G$1068,MATCH($A91,'Historical Data'!$BE$2:$BE$1068,0)),"")</f>
        <v/>
      </c>
      <c r="G91" s="291">
        <f>IFERROR(INDEX('Historical Data'!$Y$2:$Y$1068,MATCH($A91,'Historical Data'!$BE$2:$BE$1068,0)),"")</f>
        <v/>
      </c>
      <c r="H91" s="291">
        <f>IFERROR(INDEX('Historical Data'!$K$2:$K$1068,MATCH($A91,'Historical Data'!$BE$2:$BE$1068,0)),"")</f>
        <v/>
      </c>
      <c r="I91" s="291">
        <f>IFERROR(INDEX('Historical Data'!$J$2:$J$1068,MATCH($A91,'Historical Data'!$BE$2:$BE$1068,0)),"")</f>
        <v/>
      </c>
      <c r="J91" s="291">
        <f>IFERROR(INDEX('Historical Data'!$L$2:$L$1068,MATCH($A91,'Historical Data'!$BE$2:$BE$1068,0)),"")</f>
        <v/>
      </c>
      <c r="K91" s="293">
        <f>IFERROR(INDEX('Historical Data'!$M$2:$M$1068,MATCH($A91,'Historical Data'!$BE$2:$BE$1068,0)),"")</f>
        <v/>
      </c>
      <c r="L91" s="294">
        <f>IFERROR(INDEX('Historical Data'!$N$2:$N$1068,MATCH($A91,'Historical Data'!$BE$2:$BE$1068,0)),"")</f>
        <v/>
      </c>
      <c r="M91" s="294">
        <f>IFERROR(INDEX('Historical Data'!$Q$2:$Q$1068,MATCH($A91,'Historical Data'!$BE$2:$BE$1068,0)),"")</f>
        <v/>
      </c>
      <c r="N91" s="295">
        <f>IFERROR(INDEX('Historical Data'!$S$2:$S$1068,MATCH($A91,'Historical Data'!$BE$2:$BE$1068,0)),"")</f>
        <v/>
      </c>
      <c r="O91" s="294">
        <f>IFERROR(INDEX('Historical Data'!$AJ$2:$AJ$1068,MATCH($A91,'Historical Data'!$BE$2:$BE$1068,0)),"")</f>
        <v/>
      </c>
      <c r="P91" s="294">
        <f>IFERROR(INDEX('Historical Data'!$AK$2:$AK$1068,MATCH($A91,'Historical Data'!$BE$2:$BE$1068,0)),"")</f>
        <v/>
      </c>
      <c r="Q91" s="291">
        <f>IFERROR(INDEX('Historical Data'!$AA$2:$AA$1068,MATCH($A91,'Historical Data'!$BE$2:$BE$1068,0)),"")</f>
        <v/>
      </c>
      <c r="R91" s="291">
        <f>IFERROR(INDEX('Historical Data'!$AB$2:$AB$1068,MATCH($A91,'Historical Data'!$BE$2:$BE$1068,0)),"")</f>
        <v/>
      </c>
      <c r="S91" s="291">
        <f>IFERROR(INDEX('Historical Data'!$AN$2:$AN$1068,MATCH($A91,'Historical Data'!$BE$2:$BE$1068,0)),"")</f>
        <v/>
      </c>
      <c r="T91" s="291">
        <f>IFERROR(INDEX('Historical Data'!$AC$2:$AC$1068,MATCH($A91,'Historical Data'!$BE$2:$BE$1068,0)),"")</f>
        <v/>
      </c>
      <c r="U91" s="291">
        <f>IFERROR(INDEX('Historical Data'!$AE$2:$AE$1068,MATCH($A91,'Historical Data'!$BE$2:$BE$1068,0)),"")</f>
        <v/>
      </c>
      <c r="V91" s="291">
        <f>IFERROR(INDEX('Historical Data'!$AH$2:$AH$1068,MATCH($A91,'Historical Data'!$BE$2:$BE$1068,0)),"")</f>
        <v/>
      </c>
      <c r="W91" s="291">
        <f>IFERROR(INDEX('Historical Data'!$BC$2:$BC$1068,MATCH($A91,'Historical Data'!$BE$2:$BE$1068,0)),"")</f>
        <v/>
      </c>
      <c r="X91" s="290">
        <f>IF(B91="","",IF(W91=1,"NR + industry + position",IF(W91=2,"NR + ISO + position",IF(W91=3,"NR + industry",IF(W91=4,"NR + ISO",IF(W91=5,"NR + position",IF(W91=6,"NR only","book baseline"))))))&amp;"  ["&amp;IF(T91=1,"seasoned","unseasoned")&amp;IF(U91=1,", defaulted","")&amp;IF(V91=1,", open","")&amp;"]")</f>
        <v/>
      </c>
    </row>
    <row r="92">
      <c r="A92" s="290" t="n">
        <v>88</v>
      </c>
      <c r="B92" s="291">
        <f>IFERROR(INDEX('Historical Data'!$A$2:$A$1068,MATCH($A92,'Historical Data'!$BE$2:$BE$1068,0)),"")</f>
        <v/>
      </c>
      <c r="C92" s="291">
        <f>IFERROR(INDEX('Historical Data'!$B$2:$B$1068,MATCH($A92,'Historical Data'!$BE$2:$BE$1068,0)),"")</f>
        <v/>
      </c>
      <c r="D92" s="291">
        <f>IFERROR(INDEX('Historical Data'!$D$2:$D$1068,MATCH($A92,'Historical Data'!$BE$2:$BE$1068,0)),"")</f>
        <v/>
      </c>
      <c r="E92" s="292">
        <f>IFERROR(INDEX('Historical Data'!$E$2:$E$1068,MATCH($A92,'Historical Data'!$BE$2:$BE$1068,0)),"")</f>
        <v/>
      </c>
      <c r="F92" s="291">
        <f>IFERROR(INDEX('Historical Data'!$G$2:$G$1068,MATCH($A92,'Historical Data'!$BE$2:$BE$1068,0)),"")</f>
        <v/>
      </c>
      <c r="G92" s="291">
        <f>IFERROR(INDEX('Historical Data'!$Y$2:$Y$1068,MATCH($A92,'Historical Data'!$BE$2:$BE$1068,0)),"")</f>
        <v/>
      </c>
      <c r="H92" s="291">
        <f>IFERROR(INDEX('Historical Data'!$K$2:$K$1068,MATCH($A92,'Historical Data'!$BE$2:$BE$1068,0)),"")</f>
        <v/>
      </c>
      <c r="I92" s="291">
        <f>IFERROR(INDEX('Historical Data'!$J$2:$J$1068,MATCH($A92,'Historical Data'!$BE$2:$BE$1068,0)),"")</f>
        <v/>
      </c>
      <c r="J92" s="291">
        <f>IFERROR(INDEX('Historical Data'!$L$2:$L$1068,MATCH($A92,'Historical Data'!$BE$2:$BE$1068,0)),"")</f>
        <v/>
      </c>
      <c r="K92" s="293">
        <f>IFERROR(INDEX('Historical Data'!$M$2:$M$1068,MATCH($A92,'Historical Data'!$BE$2:$BE$1068,0)),"")</f>
        <v/>
      </c>
      <c r="L92" s="294">
        <f>IFERROR(INDEX('Historical Data'!$N$2:$N$1068,MATCH($A92,'Historical Data'!$BE$2:$BE$1068,0)),"")</f>
        <v/>
      </c>
      <c r="M92" s="294">
        <f>IFERROR(INDEX('Historical Data'!$Q$2:$Q$1068,MATCH($A92,'Historical Data'!$BE$2:$BE$1068,0)),"")</f>
        <v/>
      </c>
      <c r="N92" s="295">
        <f>IFERROR(INDEX('Historical Data'!$S$2:$S$1068,MATCH($A92,'Historical Data'!$BE$2:$BE$1068,0)),"")</f>
        <v/>
      </c>
      <c r="O92" s="294">
        <f>IFERROR(INDEX('Historical Data'!$AJ$2:$AJ$1068,MATCH($A92,'Historical Data'!$BE$2:$BE$1068,0)),"")</f>
        <v/>
      </c>
      <c r="P92" s="294">
        <f>IFERROR(INDEX('Historical Data'!$AK$2:$AK$1068,MATCH($A92,'Historical Data'!$BE$2:$BE$1068,0)),"")</f>
        <v/>
      </c>
      <c r="Q92" s="291">
        <f>IFERROR(INDEX('Historical Data'!$AA$2:$AA$1068,MATCH($A92,'Historical Data'!$BE$2:$BE$1068,0)),"")</f>
        <v/>
      </c>
      <c r="R92" s="291">
        <f>IFERROR(INDEX('Historical Data'!$AB$2:$AB$1068,MATCH($A92,'Historical Data'!$BE$2:$BE$1068,0)),"")</f>
        <v/>
      </c>
      <c r="S92" s="291">
        <f>IFERROR(INDEX('Historical Data'!$AN$2:$AN$1068,MATCH($A92,'Historical Data'!$BE$2:$BE$1068,0)),"")</f>
        <v/>
      </c>
      <c r="T92" s="291">
        <f>IFERROR(INDEX('Historical Data'!$AC$2:$AC$1068,MATCH($A92,'Historical Data'!$BE$2:$BE$1068,0)),"")</f>
        <v/>
      </c>
      <c r="U92" s="291">
        <f>IFERROR(INDEX('Historical Data'!$AE$2:$AE$1068,MATCH($A92,'Historical Data'!$BE$2:$BE$1068,0)),"")</f>
        <v/>
      </c>
      <c r="V92" s="291">
        <f>IFERROR(INDEX('Historical Data'!$AH$2:$AH$1068,MATCH($A92,'Historical Data'!$BE$2:$BE$1068,0)),"")</f>
        <v/>
      </c>
      <c r="W92" s="291">
        <f>IFERROR(INDEX('Historical Data'!$BC$2:$BC$1068,MATCH($A92,'Historical Data'!$BE$2:$BE$1068,0)),"")</f>
        <v/>
      </c>
      <c r="X92" s="290">
        <f>IF(B92="","",IF(W92=1,"NR + industry + position",IF(W92=2,"NR + ISO + position",IF(W92=3,"NR + industry",IF(W92=4,"NR + ISO",IF(W92=5,"NR + position",IF(W92=6,"NR only","book baseline"))))))&amp;"  ["&amp;IF(T92=1,"seasoned","unseasoned")&amp;IF(U92=1,", defaulted","")&amp;IF(V92=1,", open","")&amp;"]")</f>
        <v/>
      </c>
    </row>
    <row r="93">
      <c r="A93" s="290" t="n">
        <v>89</v>
      </c>
      <c r="B93" s="291">
        <f>IFERROR(INDEX('Historical Data'!$A$2:$A$1068,MATCH($A93,'Historical Data'!$BE$2:$BE$1068,0)),"")</f>
        <v/>
      </c>
      <c r="C93" s="291">
        <f>IFERROR(INDEX('Historical Data'!$B$2:$B$1068,MATCH($A93,'Historical Data'!$BE$2:$BE$1068,0)),"")</f>
        <v/>
      </c>
      <c r="D93" s="291">
        <f>IFERROR(INDEX('Historical Data'!$D$2:$D$1068,MATCH($A93,'Historical Data'!$BE$2:$BE$1068,0)),"")</f>
        <v/>
      </c>
      <c r="E93" s="292">
        <f>IFERROR(INDEX('Historical Data'!$E$2:$E$1068,MATCH($A93,'Historical Data'!$BE$2:$BE$1068,0)),"")</f>
        <v/>
      </c>
      <c r="F93" s="291">
        <f>IFERROR(INDEX('Historical Data'!$G$2:$G$1068,MATCH($A93,'Historical Data'!$BE$2:$BE$1068,0)),"")</f>
        <v/>
      </c>
      <c r="G93" s="291">
        <f>IFERROR(INDEX('Historical Data'!$Y$2:$Y$1068,MATCH($A93,'Historical Data'!$BE$2:$BE$1068,0)),"")</f>
        <v/>
      </c>
      <c r="H93" s="291">
        <f>IFERROR(INDEX('Historical Data'!$K$2:$K$1068,MATCH($A93,'Historical Data'!$BE$2:$BE$1068,0)),"")</f>
        <v/>
      </c>
      <c r="I93" s="291">
        <f>IFERROR(INDEX('Historical Data'!$J$2:$J$1068,MATCH($A93,'Historical Data'!$BE$2:$BE$1068,0)),"")</f>
        <v/>
      </c>
      <c r="J93" s="291">
        <f>IFERROR(INDEX('Historical Data'!$L$2:$L$1068,MATCH($A93,'Historical Data'!$BE$2:$BE$1068,0)),"")</f>
        <v/>
      </c>
      <c r="K93" s="293">
        <f>IFERROR(INDEX('Historical Data'!$M$2:$M$1068,MATCH($A93,'Historical Data'!$BE$2:$BE$1068,0)),"")</f>
        <v/>
      </c>
      <c r="L93" s="294">
        <f>IFERROR(INDEX('Historical Data'!$N$2:$N$1068,MATCH($A93,'Historical Data'!$BE$2:$BE$1068,0)),"")</f>
        <v/>
      </c>
      <c r="M93" s="294">
        <f>IFERROR(INDEX('Historical Data'!$Q$2:$Q$1068,MATCH($A93,'Historical Data'!$BE$2:$BE$1068,0)),"")</f>
        <v/>
      </c>
      <c r="N93" s="295">
        <f>IFERROR(INDEX('Historical Data'!$S$2:$S$1068,MATCH($A93,'Historical Data'!$BE$2:$BE$1068,0)),"")</f>
        <v/>
      </c>
      <c r="O93" s="294">
        <f>IFERROR(INDEX('Historical Data'!$AJ$2:$AJ$1068,MATCH($A93,'Historical Data'!$BE$2:$BE$1068,0)),"")</f>
        <v/>
      </c>
      <c r="P93" s="294">
        <f>IFERROR(INDEX('Historical Data'!$AK$2:$AK$1068,MATCH($A93,'Historical Data'!$BE$2:$BE$1068,0)),"")</f>
        <v/>
      </c>
      <c r="Q93" s="291">
        <f>IFERROR(INDEX('Historical Data'!$AA$2:$AA$1068,MATCH($A93,'Historical Data'!$BE$2:$BE$1068,0)),"")</f>
        <v/>
      </c>
      <c r="R93" s="291">
        <f>IFERROR(INDEX('Historical Data'!$AB$2:$AB$1068,MATCH($A93,'Historical Data'!$BE$2:$BE$1068,0)),"")</f>
        <v/>
      </c>
      <c r="S93" s="291">
        <f>IFERROR(INDEX('Historical Data'!$AN$2:$AN$1068,MATCH($A93,'Historical Data'!$BE$2:$BE$1068,0)),"")</f>
        <v/>
      </c>
      <c r="T93" s="291">
        <f>IFERROR(INDEX('Historical Data'!$AC$2:$AC$1068,MATCH($A93,'Historical Data'!$BE$2:$BE$1068,0)),"")</f>
        <v/>
      </c>
      <c r="U93" s="291">
        <f>IFERROR(INDEX('Historical Data'!$AE$2:$AE$1068,MATCH($A93,'Historical Data'!$BE$2:$BE$1068,0)),"")</f>
        <v/>
      </c>
      <c r="V93" s="291">
        <f>IFERROR(INDEX('Historical Data'!$AH$2:$AH$1068,MATCH($A93,'Historical Data'!$BE$2:$BE$1068,0)),"")</f>
        <v/>
      </c>
      <c r="W93" s="291">
        <f>IFERROR(INDEX('Historical Data'!$BC$2:$BC$1068,MATCH($A93,'Historical Data'!$BE$2:$BE$1068,0)),"")</f>
        <v/>
      </c>
      <c r="X93" s="290">
        <f>IF(B93="","",IF(W93=1,"NR + industry + position",IF(W93=2,"NR + ISO + position",IF(W93=3,"NR + industry",IF(W93=4,"NR + ISO",IF(W93=5,"NR + position",IF(W93=6,"NR only","book baseline"))))))&amp;"  ["&amp;IF(T93=1,"seasoned","unseasoned")&amp;IF(U93=1,", defaulted","")&amp;IF(V93=1,", open","")&amp;"]")</f>
        <v/>
      </c>
    </row>
    <row r="94">
      <c r="A94" s="290" t="n">
        <v>90</v>
      </c>
      <c r="B94" s="291">
        <f>IFERROR(INDEX('Historical Data'!$A$2:$A$1068,MATCH($A94,'Historical Data'!$BE$2:$BE$1068,0)),"")</f>
        <v/>
      </c>
      <c r="C94" s="291">
        <f>IFERROR(INDEX('Historical Data'!$B$2:$B$1068,MATCH($A94,'Historical Data'!$BE$2:$BE$1068,0)),"")</f>
        <v/>
      </c>
      <c r="D94" s="291">
        <f>IFERROR(INDEX('Historical Data'!$D$2:$D$1068,MATCH($A94,'Historical Data'!$BE$2:$BE$1068,0)),"")</f>
        <v/>
      </c>
      <c r="E94" s="292">
        <f>IFERROR(INDEX('Historical Data'!$E$2:$E$1068,MATCH($A94,'Historical Data'!$BE$2:$BE$1068,0)),"")</f>
        <v/>
      </c>
      <c r="F94" s="291">
        <f>IFERROR(INDEX('Historical Data'!$G$2:$G$1068,MATCH($A94,'Historical Data'!$BE$2:$BE$1068,0)),"")</f>
        <v/>
      </c>
      <c r="G94" s="291">
        <f>IFERROR(INDEX('Historical Data'!$Y$2:$Y$1068,MATCH($A94,'Historical Data'!$BE$2:$BE$1068,0)),"")</f>
        <v/>
      </c>
      <c r="H94" s="291">
        <f>IFERROR(INDEX('Historical Data'!$K$2:$K$1068,MATCH($A94,'Historical Data'!$BE$2:$BE$1068,0)),"")</f>
        <v/>
      </c>
      <c r="I94" s="291">
        <f>IFERROR(INDEX('Historical Data'!$J$2:$J$1068,MATCH($A94,'Historical Data'!$BE$2:$BE$1068,0)),"")</f>
        <v/>
      </c>
      <c r="J94" s="291">
        <f>IFERROR(INDEX('Historical Data'!$L$2:$L$1068,MATCH($A94,'Historical Data'!$BE$2:$BE$1068,0)),"")</f>
        <v/>
      </c>
      <c r="K94" s="293">
        <f>IFERROR(INDEX('Historical Data'!$M$2:$M$1068,MATCH($A94,'Historical Data'!$BE$2:$BE$1068,0)),"")</f>
        <v/>
      </c>
      <c r="L94" s="294">
        <f>IFERROR(INDEX('Historical Data'!$N$2:$N$1068,MATCH($A94,'Historical Data'!$BE$2:$BE$1068,0)),"")</f>
        <v/>
      </c>
      <c r="M94" s="294">
        <f>IFERROR(INDEX('Historical Data'!$Q$2:$Q$1068,MATCH($A94,'Historical Data'!$BE$2:$BE$1068,0)),"")</f>
        <v/>
      </c>
      <c r="N94" s="295">
        <f>IFERROR(INDEX('Historical Data'!$S$2:$S$1068,MATCH($A94,'Historical Data'!$BE$2:$BE$1068,0)),"")</f>
        <v/>
      </c>
      <c r="O94" s="294">
        <f>IFERROR(INDEX('Historical Data'!$AJ$2:$AJ$1068,MATCH($A94,'Historical Data'!$BE$2:$BE$1068,0)),"")</f>
        <v/>
      </c>
      <c r="P94" s="294">
        <f>IFERROR(INDEX('Historical Data'!$AK$2:$AK$1068,MATCH($A94,'Historical Data'!$BE$2:$BE$1068,0)),"")</f>
        <v/>
      </c>
      <c r="Q94" s="291">
        <f>IFERROR(INDEX('Historical Data'!$AA$2:$AA$1068,MATCH($A94,'Historical Data'!$BE$2:$BE$1068,0)),"")</f>
        <v/>
      </c>
      <c r="R94" s="291">
        <f>IFERROR(INDEX('Historical Data'!$AB$2:$AB$1068,MATCH($A94,'Historical Data'!$BE$2:$BE$1068,0)),"")</f>
        <v/>
      </c>
      <c r="S94" s="291">
        <f>IFERROR(INDEX('Historical Data'!$AN$2:$AN$1068,MATCH($A94,'Historical Data'!$BE$2:$BE$1068,0)),"")</f>
        <v/>
      </c>
      <c r="T94" s="291">
        <f>IFERROR(INDEX('Historical Data'!$AC$2:$AC$1068,MATCH($A94,'Historical Data'!$BE$2:$BE$1068,0)),"")</f>
        <v/>
      </c>
      <c r="U94" s="291">
        <f>IFERROR(INDEX('Historical Data'!$AE$2:$AE$1068,MATCH($A94,'Historical Data'!$BE$2:$BE$1068,0)),"")</f>
        <v/>
      </c>
      <c r="V94" s="291">
        <f>IFERROR(INDEX('Historical Data'!$AH$2:$AH$1068,MATCH($A94,'Historical Data'!$BE$2:$BE$1068,0)),"")</f>
        <v/>
      </c>
      <c r="W94" s="291">
        <f>IFERROR(INDEX('Historical Data'!$BC$2:$BC$1068,MATCH($A94,'Historical Data'!$BE$2:$BE$1068,0)),"")</f>
        <v/>
      </c>
      <c r="X94" s="290">
        <f>IF(B94="","",IF(W94=1,"NR + industry + position",IF(W94=2,"NR + ISO + position",IF(W94=3,"NR + industry",IF(W94=4,"NR + ISO",IF(W94=5,"NR + position",IF(W94=6,"NR only","book baseline"))))))&amp;"  ["&amp;IF(T94=1,"seasoned","unseasoned")&amp;IF(U94=1,", defaulted","")&amp;IF(V94=1,", open","")&amp;"]")</f>
        <v/>
      </c>
    </row>
    <row r="95">
      <c r="A95" s="290" t="n">
        <v>91</v>
      </c>
      <c r="B95" s="291">
        <f>IFERROR(INDEX('Historical Data'!$A$2:$A$1068,MATCH($A95,'Historical Data'!$BE$2:$BE$1068,0)),"")</f>
        <v/>
      </c>
      <c r="C95" s="291">
        <f>IFERROR(INDEX('Historical Data'!$B$2:$B$1068,MATCH($A95,'Historical Data'!$BE$2:$BE$1068,0)),"")</f>
        <v/>
      </c>
      <c r="D95" s="291">
        <f>IFERROR(INDEX('Historical Data'!$D$2:$D$1068,MATCH($A95,'Historical Data'!$BE$2:$BE$1068,0)),"")</f>
        <v/>
      </c>
      <c r="E95" s="292">
        <f>IFERROR(INDEX('Historical Data'!$E$2:$E$1068,MATCH($A95,'Historical Data'!$BE$2:$BE$1068,0)),"")</f>
        <v/>
      </c>
      <c r="F95" s="291">
        <f>IFERROR(INDEX('Historical Data'!$G$2:$G$1068,MATCH($A95,'Historical Data'!$BE$2:$BE$1068,0)),"")</f>
        <v/>
      </c>
      <c r="G95" s="291">
        <f>IFERROR(INDEX('Historical Data'!$Y$2:$Y$1068,MATCH($A95,'Historical Data'!$BE$2:$BE$1068,0)),"")</f>
        <v/>
      </c>
      <c r="H95" s="291">
        <f>IFERROR(INDEX('Historical Data'!$K$2:$K$1068,MATCH($A95,'Historical Data'!$BE$2:$BE$1068,0)),"")</f>
        <v/>
      </c>
      <c r="I95" s="291">
        <f>IFERROR(INDEX('Historical Data'!$J$2:$J$1068,MATCH($A95,'Historical Data'!$BE$2:$BE$1068,0)),"")</f>
        <v/>
      </c>
      <c r="J95" s="291">
        <f>IFERROR(INDEX('Historical Data'!$L$2:$L$1068,MATCH($A95,'Historical Data'!$BE$2:$BE$1068,0)),"")</f>
        <v/>
      </c>
      <c r="K95" s="293">
        <f>IFERROR(INDEX('Historical Data'!$M$2:$M$1068,MATCH($A95,'Historical Data'!$BE$2:$BE$1068,0)),"")</f>
        <v/>
      </c>
      <c r="L95" s="294">
        <f>IFERROR(INDEX('Historical Data'!$N$2:$N$1068,MATCH($A95,'Historical Data'!$BE$2:$BE$1068,0)),"")</f>
        <v/>
      </c>
      <c r="M95" s="294">
        <f>IFERROR(INDEX('Historical Data'!$Q$2:$Q$1068,MATCH($A95,'Historical Data'!$BE$2:$BE$1068,0)),"")</f>
        <v/>
      </c>
      <c r="N95" s="295">
        <f>IFERROR(INDEX('Historical Data'!$S$2:$S$1068,MATCH($A95,'Historical Data'!$BE$2:$BE$1068,0)),"")</f>
        <v/>
      </c>
      <c r="O95" s="294">
        <f>IFERROR(INDEX('Historical Data'!$AJ$2:$AJ$1068,MATCH($A95,'Historical Data'!$BE$2:$BE$1068,0)),"")</f>
        <v/>
      </c>
      <c r="P95" s="294">
        <f>IFERROR(INDEX('Historical Data'!$AK$2:$AK$1068,MATCH($A95,'Historical Data'!$BE$2:$BE$1068,0)),"")</f>
        <v/>
      </c>
      <c r="Q95" s="291">
        <f>IFERROR(INDEX('Historical Data'!$AA$2:$AA$1068,MATCH($A95,'Historical Data'!$BE$2:$BE$1068,0)),"")</f>
        <v/>
      </c>
      <c r="R95" s="291">
        <f>IFERROR(INDEX('Historical Data'!$AB$2:$AB$1068,MATCH($A95,'Historical Data'!$BE$2:$BE$1068,0)),"")</f>
        <v/>
      </c>
      <c r="S95" s="291">
        <f>IFERROR(INDEX('Historical Data'!$AN$2:$AN$1068,MATCH($A95,'Historical Data'!$BE$2:$BE$1068,0)),"")</f>
        <v/>
      </c>
      <c r="T95" s="291">
        <f>IFERROR(INDEX('Historical Data'!$AC$2:$AC$1068,MATCH($A95,'Historical Data'!$BE$2:$BE$1068,0)),"")</f>
        <v/>
      </c>
      <c r="U95" s="291">
        <f>IFERROR(INDEX('Historical Data'!$AE$2:$AE$1068,MATCH($A95,'Historical Data'!$BE$2:$BE$1068,0)),"")</f>
        <v/>
      </c>
      <c r="V95" s="291">
        <f>IFERROR(INDEX('Historical Data'!$AH$2:$AH$1068,MATCH($A95,'Historical Data'!$BE$2:$BE$1068,0)),"")</f>
        <v/>
      </c>
      <c r="W95" s="291">
        <f>IFERROR(INDEX('Historical Data'!$BC$2:$BC$1068,MATCH($A95,'Historical Data'!$BE$2:$BE$1068,0)),"")</f>
        <v/>
      </c>
      <c r="X95" s="290">
        <f>IF(B95="","",IF(W95=1,"NR + industry + position",IF(W95=2,"NR + ISO + position",IF(W95=3,"NR + industry",IF(W95=4,"NR + ISO",IF(W95=5,"NR + position",IF(W95=6,"NR only","book baseline"))))))&amp;"  ["&amp;IF(T95=1,"seasoned","unseasoned")&amp;IF(U95=1,", defaulted","")&amp;IF(V95=1,", open","")&amp;"]")</f>
        <v/>
      </c>
    </row>
    <row r="96">
      <c r="A96" s="290" t="n">
        <v>92</v>
      </c>
      <c r="B96" s="291">
        <f>IFERROR(INDEX('Historical Data'!$A$2:$A$1068,MATCH($A96,'Historical Data'!$BE$2:$BE$1068,0)),"")</f>
        <v/>
      </c>
      <c r="C96" s="291">
        <f>IFERROR(INDEX('Historical Data'!$B$2:$B$1068,MATCH($A96,'Historical Data'!$BE$2:$BE$1068,0)),"")</f>
        <v/>
      </c>
      <c r="D96" s="291">
        <f>IFERROR(INDEX('Historical Data'!$D$2:$D$1068,MATCH($A96,'Historical Data'!$BE$2:$BE$1068,0)),"")</f>
        <v/>
      </c>
      <c r="E96" s="292">
        <f>IFERROR(INDEX('Historical Data'!$E$2:$E$1068,MATCH($A96,'Historical Data'!$BE$2:$BE$1068,0)),"")</f>
        <v/>
      </c>
      <c r="F96" s="291">
        <f>IFERROR(INDEX('Historical Data'!$G$2:$G$1068,MATCH($A96,'Historical Data'!$BE$2:$BE$1068,0)),"")</f>
        <v/>
      </c>
      <c r="G96" s="291">
        <f>IFERROR(INDEX('Historical Data'!$Y$2:$Y$1068,MATCH($A96,'Historical Data'!$BE$2:$BE$1068,0)),"")</f>
        <v/>
      </c>
      <c r="H96" s="291">
        <f>IFERROR(INDEX('Historical Data'!$K$2:$K$1068,MATCH($A96,'Historical Data'!$BE$2:$BE$1068,0)),"")</f>
        <v/>
      </c>
      <c r="I96" s="291">
        <f>IFERROR(INDEX('Historical Data'!$J$2:$J$1068,MATCH($A96,'Historical Data'!$BE$2:$BE$1068,0)),"")</f>
        <v/>
      </c>
      <c r="J96" s="291">
        <f>IFERROR(INDEX('Historical Data'!$L$2:$L$1068,MATCH($A96,'Historical Data'!$BE$2:$BE$1068,0)),"")</f>
        <v/>
      </c>
      <c r="K96" s="293">
        <f>IFERROR(INDEX('Historical Data'!$M$2:$M$1068,MATCH($A96,'Historical Data'!$BE$2:$BE$1068,0)),"")</f>
        <v/>
      </c>
      <c r="L96" s="294">
        <f>IFERROR(INDEX('Historical Data'!$N$2:$N$1068,MATCH($A96,'Historical Data'!$BE$2:$BE$1068,0)),"")</f>
        <v/>
      </c>
      <c r="M96" s="294">
        <f>IFERROR(INDEX('Historical Data'!$Q$2:$Q$1068,MATCH($A96,'Historical Data'!$BE$2:$BE$1068,0)),"")</f>
        <v/>
      </c>
      <c r="N96" s="295">
        <f>IFERROR(INDEX('Historical Data'!$S$2:$S$1068,MATCH($A96,'Historical Data'!$BE$2:$BE$1068,0)),"")</f>
        <v/>
      </c>
      <c r="O96" s="294">
        <f>IFERROR(INDEX('Historical Data'!$AJ$2:$AJ$1068,MATCH($A96,'Historical Data'!$BE$2:$BE$1068,0)),"")</f>
        <v/>
      </c>
      <c r="P96" s="294">
        <f>IFERROR(INDEX('Historical Data'!$AK$2:$AK$1068,MATCH($A96,'Historical Data'!$BE$2:$BE$1068,0)),"")</f>
        <v/>
      </c>
      <c r="Q96" s="291">
        <f>IFERROR(INDEX('Historical Data'!$AA$2:$AA$1068,MATCH($A96,'Historical Data'!$BE$2:$BE$1068,0)),"")</f>
        <v/>
      </c>
      <c r="R96" s="291">
        <f>IFERROR(INDEX('Historical Data'!$AB$2:$AB$1068,MATCH($A96,'Historical Data'!$BE$2:$BE$1068,0)),"")</f>
        <v/>
      </c>
      <c r="S96" s="291">
        <f>IFERROR(INDEX('Historical Data'!$AN$2:$AN$1068,MATCH($A96,'Historical Data'!$BE$2:$BE$1068,0)),"")</f>
        <v/>
      </c>
      <c r="T96" s="291">
        <f>IFERROR(INDEX('Historical Data'!$AC$2:$AC$1068,MATCH($A96,'Historical Data'!$BE$2:$BE$1068,0)),"")</f>
        <v/>
      </c>
      <c r="U96" s="291">
        <f>IFERROR(INDEX('Historical Data'!$AE$2:$AE$1068,MATCH($A96,'Historical Data'!$BE$2:$BE$1068,0)),"")</f>
        <v/>
      </c>
      <c r="V96" s="291">
        <f>IFERROR(INDEX('Historical Data'!$AH$2:$AH$1068,MATCH($A96,'Historical Data'!$BE$2:$BE$1068,0)),"")</f>
        <v/>
      </c>
      <c r="W96" s="291">
        <f>IFERROR(INDEX('Historical Data'!$BC$2:$BC$1068,MATCH($A96,'Historical Data'!$BE$2:$BE$1068,0)),"")</f>
        <v/>
      </c>
      <c r="X96" s="290">
        <f>IF(B96="","",IF(W96=1,"NR + industry + position",IF(W96=2,"NR + ISO + position",IF(W96=3,"NR + industry",IF(W96=4,"NR + ISO",IF(W96=5,"NR + position",IF(W96=6,"NR only","book baseline"))))))&amp;"  ["&amp;IF(T96=1,"seasoned","unseasoned")&amp;IF(U96=1,", defaulted","")&amp;IF(V96=1,", open","")&amp;"]")</f>
        <v/>
      </c>
    </row>
    <row r="97">
      <c r="A97" s="290" t="n">
        <v>93</v>
      </c>
      <c r="B97" s="291">
        <f>IFERROR(INDEX('Historical Data'!$A$2:$A$1068,MATCH($A97,'Historical Data'!$BE$2:$BE$1068,0)),"")</f>
        <v/>
      </c>
      <c r="C97" s="291">
        <f>IFERROR(INDEX('Historical Data'!$B$2:$B$1068,MATCH($A97,'Historical Data'!$BE$2:$BE$1068,0)),"")</f>
        <v/>
      </c>
      <c r="D97" s="291">
        <f>IFERROR(INDEX('Historical Data'!$D$2:$D$1068,MATCH($A97,'Historical Data'!$BE$2:$BE$1068,0)),"")</f>
        <v/>
      </c>
      <c r="E97" s="292">
        <f>IFERROR(INDEX('Historical Data'!$E$2:$E$1068,MATCH($A97,'Historical Data'!$BE$2:$BE$1068,0)),"")</f>
        <v/>
      </c>
      <c r="F97" s="291">
        <f>IFERROR(INDEX('Historical Data'!$G$2:$G$1068,MATCH($A97,'Historical Data'!$BE$2:$BE$1068,0)),"")</f>
        <v/>
      </c>
      <c r="G97" s="291">
        <f>IFERROR(INDEX('Historical Data'!$Y$2:$Y$1068,MATCH($A97,'Historical Data'!$BE$2:$BE$1068,0)),"")</f>
        <v/>
      </c>
      <c r="H97" s="291">
        <f>IFERROR(INDEX('Historical Data'!$K$2:$K$1068,MATCH($A97,'Historical Data'!$BE$2:$BE$1068,0)),"")</f>
        <v/>
      </c>
      <c r="I97" s="291">
        <f>IFERROR(INDEX('Historical Data'!$J$2:$J$1068,MATCH($A97,'Historical Data'!$BE$2:$BE$1068,0)),"")</f>
        <v/>
      </c>
      <c r="J97" s="291">
        <f>IFERROR(INDEX('Historical Data'!$L$2:$L$1068,MATCH($A97,'Historical Data'!$BE$2:$BE$1068,0)),"")</f>
        <v/>
      </c>
      <c r="K97" s="293">
        <f>IFERROR(INDEX('Historical Data'!$M$2:$M$1068,MATCH($A97,'Historical Data'!$BE$2:$BE$1068,0)),"")</f>
        <v/>
      </c>
      <c r="L97" s="294">
        <f>IFERROR(INDEX('Historical Data'!$N$2:$N$1068,MATCH($A97,'Historical Data'!$BE$2:$BE$1068,0)),"")</f>
        <v/>
      </c>
      <c r="M97" s="294">
        <f>IFERROR(INDEX('Historical Data'!$Q$2:$Q$1068,MATCH($A97,'Historical Data'!$BE$2:$BE$1068,0)),"")</f>
        <v/>
      </c>
      <c r="N97" s="295">
        <f>IFERROR(INDEX('Historical Data'!$S$2:$S$1068,MATCH($A97,'Historical Data'!$BE$2:$BE$1068,0)),"")</f>
        <v/>
      </c>
      <c r="O97" s="294">
        <f>IFERROR(INDEX('Historical Data'!$AJ$2:$AJ$1068,MATCH($A97,'Historical Data'!$BE$2:$BE$1068,0)),"")</f>
        <v/>
      </c>
      <c r="P97" s="294">
        <f>IFERROR(INDEX('Historical Data'!$AK$2:$AK$1068,MATCH($A97,'Historical Data'!$BE$2:$BE$1068,0)),"")</f>
        <v/>
      </c>
      <c r="Q97" s="291">
        <f>IFERROR(INDEX('Historical Data'!$AA$2:$AA$1068,MATCH($A97,'Historical Data'!$BE$2:$BE$1068,0)),"")</f>
        <v/>
      </c>
      <c r="R97" s="291">
        <f>IFERROR(INDEX('Historical Data'!$AB$2:$AB$1068,MATCH($A97,'Historical Data'!$BE$2:$BE$1068,0)),"")</f>
        <v/>
      </c>
      <c r="S97" s="291">
        <f>IFERROR(INDEX('Historical Data'!$AN$2:$AN$1068,MATCH($A97,'Historical Data'!$BE$2:$BE$1068,0)),"")</f>
        <v/>
      </c>
      <c r="T97" s="291">
        <f>IFERROR(INDEX('Historical Data'!$AC$2:$AC$1068,MATCH($A97,'Historical Data'!$BE$2:$BE$1068,0)),"")</f>
        <v/>
      </c>
      <c r="U97" s="291">
        <f>IFERROR(INDEX('Historical Data'!$AE$2:$AE$1068,MATCH($A97,'Historical Data'!$BE$2:$BE$1068,0)),"")</f>
        <v/>
      </c>
      <c r="V97" s="291">
        <f>IFERROR(INDEX('Historical Data'!$AH$2:$AH$1068,MATCH($A97,'Historical Data'!$BE$2:$BE$1068,0)),"")</f>
        <v/>
      </c>
      <c r="W97" s="291">
        <f>IFERROR(INDEX('Historical Data'!$BC$2:$BC$1068,MATCH($A97,'Historical Data'!$BE$2:$BE$1068,0)),"")</f>
        <v/>
      </c>
      <c r="X97" s="290">
        <f>IF(B97="","",IF(W97=1,"NR + industry + position",IF(W97=2,"NR + ISO + position",IF(W97=3,"NR + industry",IF(W97=4,"NR + ISO",IF(W97=5,"NR + position",IF(W97=6,"NR only","book baseline"))))))&amp;"  ["&amp;IF(T97=1,"seasoned","unseasoned")&amp;IF(U97=1,", defaulted","")&amp;IF(V97=1,", open","")&amp;"]")</f>
        <v/>
      </c>
    </row>
    <row r="98">
      <c r="A98" s="290" t="n">
        <v>94</v>
      </c>
      <c r="B98" s="291">
        <f>IFERROR(INDEX('Historical Data'!$A$2:$A$1068,MATCH($A98,'Historical Data'!$BE$2:$BE$1068,0)),"")</f>
        <v/>
      </c>
      <c r="C98" s="291">
        <f>IFERROR(INDEX('Historical Data'!$B$2:$B$1068,MATCH($A98,'Historical Data'!$BE$2:$BE$1068,0)),"")</f>
        <v/>
      </c>
      <c r="D98" s="291">
        <f>IFERROR(INDEX('Historical Data'!$D$2:$D$1068,MATCH($A98,'Historical Data'!$BE$2:$BE$1068,0)),"")</f>
        <v/>
      </c>
      <c r="E98" s="292">
        <f>IFERROR(INDEX('Historical Data'!$E$2:$E$1068,MATCH($A98,'Historical Data'!$BE$2:$BE$1068,0)),"")</f>
        <v/>
      </c>
      <c r="F98" s="291">
        <f>IFERROR(INDEX('Historical Data'!$G$2:$G$1068,MATCH($A98,'Historical Data'!$BE$2:$BE$1068,0)),"")</f>
        <v/>
      </c>
      <c r="G98" s="291">
        <f>IFERROR(INDEX('Historical Data'!$Y$2:$Y$1068,MATCH($A98,'Historical Data'!$BE$2:$BE$1068,0)),"")</f>
        <v/>
      </c>
      <c r="H98" s="291">
        <f>IFERROR(INDEX('Historical Data'!$K$2:$K$1068,MATCH($A98,'Historical Data'!$BE$2:$BE$1068,0)),"")</f>
        <v/>
      </c>
      <c r="I98" s="291">
        <f>IFERROR(INDEX('Historical Data'!$J$2:$J$1068,MATCH($A98,'Historical Data'!$BE$2:$BE$1068,0)),"")</f>
        <v/>
      </c>
      <c r="J98" s="291">
        <f>IFERROR(INDEX('Historical Data'!$L$2:$L$1068,MATCH($A98,'Historical Data'!$BE$2:$BE$1068,0)),"")</f>
        <v/>
      </c>
      <c r="K98" s="293">
        <f>IFERROR(INDEX('Historical Data'!$M$2:$M$1068,MATCH($A98,'Historical Data'!$BE$2:$BE$1068,0)),"")</f>
        <v/>
      </c>
      <c r="L98" s="294">
        <f>IFERROR(INDEX('Historical Data'!$N$2:$N$1068,MATCH($A98,'Historical Data'!$BE$2:$BE$1068,0)),"")</f>
        <v/>
      </c>
      <c r="M98" s="294">
        <f>IFERROR(INDEX('Historical Data'!$Q$2:$Q$1068,MATCH($A98,'Historical Data'!$BE$2:$BE$1068,0)),"")</f>
        <v/>
      </c>
      <c r="N98" s="295">
        <f>IFERROR(INDEX('Historical Data'!$S$2:$S$1068,MATCH($A98,'Historical Data'!$BE$2:$BE$1068,0)),"")</f>
        <v/>
      </c>
      <c r="O98" s="294">
        <f>IFERROR(INDEX('Historical Data'!$AJ$2:$AJ$1068,MATCH($A98,'Historical Data'!$BE$2:$BE$1068,0)),"")</f>
        <v/>
      </c>
      <c r="P98" s="294">
        <f>IFERROR(INDEX('Historical Data'!$AK$2:$AK$1068,MATCH($A98,'Historical Data'!$BE$2:$BE$1068,0)),"")</f>
        <v/>
      </c>
      <c r="Q98" s="291">
        <f>IFERROR(INDEX('Historical Data'!$AA$2:$AA$1068,MATCH($A98,'Historical Data'!$BE$2:$BE$1068,0)),"")</f>
        <v/>
      </c>
      <c r="R98" s="291">
        <f>IFERROR(INDEX('Historical Data'!$AB$2:$AB$1068,MATCH($A98,'Historical Data'!$BE$2:$BE$1068,0)),"")</f>
        <v/>
      </c>
      <c r="S98" s="291">
        <f>IFERROR(INDEX('Historical Data'!$AN$2:$AN$1068,MATCH($A98,'Historical Data'!$BE$2:$BE$1068,0)),"")</f>
        <v/>
      </c>
      <c r="T98" s="291">
        <f>IFERROR(INDEX('Historical Data'!$AC$2:$AC$1068,MATCH($A98,'Historical Data'!$BE$2:$BE$1068,0)),"")</f>
        <v/>
      </c>
      <c r="U98" s="291">
        <f>IFERROR(INDEX('Historical Data'!$AE$2:$AE$1068,MATCH($A98,'Historical Data'!$BE$2:$BE$1068,0)),"")</f>
        <v/>
      </c>
      <c r="V98" s="291">
        <f>IFERROR(INDEX('Historical Data'!$AH$2:$AH$1068,MATCH($A98,'Historical Data'!$BE$2:$BE$1068,0)),"")</f>
        <v/>
      </c>
      <c r="W98" s="291">
        <f>IFERROR(INDEX('Historical Data'!$BC$2:$BC$1068,MATCH($A98,'Historical Data'!$BE$2:$BE$1068,0)),"")</f>
        <v/>
      </c>
      <c r="X98" s="290">
        <f>IF(B98="","",IF(W98=1,"NR + industry + position",IF(W98=2,"NR + ISO + position",IF(W98=3,"NR + industry",IF(W98=4,"NR + ISO",IF(W98=5,"NR + position",IF(W98=6,"NR only","book baseline"))))))&amp;"  ["&amp;IF(T98=1,"seasoned","unseasoned")&amp;IF(U98=1,", defaulted","")&amp;IF(V98=1,", open","")&amp;"]")</f>
        <v/>
      </c>
    </row>
    <row r="99">
      <c r="A99" s="290" t="n">
        <v>95</v>
      </c>
      <c r="B99" s="291">
        <f>IFERROR(INDEX('Historical Data'!$A$2:$A$1068,MATCH($A99,'Historical Data'!$BE$2:$BE$1068,0)),"")</f>
        <v/>
      </c>
      <c r="C99" s="291">
        <f>IFERROR(INDEX('Historical Data'!$B$2:$B$1068,MATCH($A99,'Historical Data'!$BE$2:$BE$1068,0)),"")</f>
        <v/>
      </c>
      <c r="D99" s="291">
        <f>IFERROR(INDEX('Historical Data'!$D$2:$D$1068,MATCH($A99,'Historical Data'!$BE$2:$BE$1068,0)),"")</f>
        <v/>
      </c>
      <c r="E99" s="292">
        <f>IFERROR(INDEX('Historical Data'!$E$2:$E$1068,MATCH($A99,'Historical Data'!$BE$2:$BE$1068,0)),"")</f>
        <v/>
      </c>
      <c r="F99" s="291">
        <f>IFERROR(INDEX('Historical Data'!$G$2:$G$1068,MATCH($A99,'Historical Data'!$BE$2:$BE$1068,0)),"")</f>
        <v/>
      </c>
      <c r="G99" s="291">
        <f>IFERROR(INDEX('Historical Data'!$Y$2:$Y$1068,MATCH($A99,'Historical Data'!$BE$2:$BE$1068,0)),"")</f>
        <v/>
      </c>
      <c r="H99" s="291">
        <f>IFERROR(INDEX('Historical Data'!$K$2:$K$1068,MATCH($A99,'Historical Data'!$BE$2:$BE$1068,0)),"")</f>
        <v/>
      </c>
      <c r="I99" s="291">
        <f>IFERROR(INDEX('Historical Data'!$J$2:$J$1068,MATCH($A99,'Historical Data'!$BE$2:$BE$1068,0)),"")</f>
        <v/>
      </c>
      <c r="J99" s="291">
        <f>IFERROR(INDEX('Historical Data'!$L$2:$L$1068,MATCH($A99,'Historical Data'!$BE$2:$BE$1068,0)),"")</f>
        <v/>
      </c>
      <c r="K99" s="293">
        <f>IFERROR(INDEX('Historical Data'!$M$2:$M$1068,MATCH($A99,'Historical Data'!$BE$2:$BE$1068,0)),"")</f>
        <v/>
      </c>
      <c r="L99" s="294">
        <f>IFERROR(INDEX('Historical Data'!$N$2:$N$1068,MATCH($A99,'Historical Data'!$BE$2:$BE$1068,0)),"")</f>
        <v/>
      </c>
      <c r="M99" s="294">
        <f>IFERROR(INDEX('Historical Data'!$Q$2:$Q$1068,MATCH($A99,'Historical Data'!$BE$2:$BE$1068,0)),"")</f>
        <v/>
      </c>
      <c r="N99" s="295">
        <f>IFERROR(INDEX('Historical Data'!$S$2:$S$1068,MATCH($A99,'Historical Data'!$BE$2:$BE$1068,0)),"")</f>
        <v/>
      </c>
      <c r="O99" s="294">
        <f>IFERROR(INDEX('Historical Data'!$AJ$2:$AJ$1068,MATCH($A99,'Historical Data'!$BE$2:$BE$1068,0)),"")</f>
        <v/>
      </c>
      <c r="P99" s="294">
        <f>IFERROR(INDEX('Historical Data'!$AK$2:$AK$1068,MATCH($A99,'Historical Data'!$BE$2:$BE$1068,0)),"")</f>
        <v/>
      </c>
      <c r="Q99" s="291">
        <f>IFERROR(INDEX('Historical Data'!$AA$2:$AA$1068,MATCH($A99,'Historical Data'!$BE$2:$BE$1068,0)),"")</f>
        <v/>
      </c>
      <c r="R99" s="291">
        <f>IFERROR(INDEX('Historical Data'!$AB$2:$AB$1068,MATCH($A99,'Historical Data'!$BE$2:$BE$1068,0)),"")</f>
        <v/>
      </c>
      <c r="S99" s="291">
        <f>IFERROR(INDEX('Historical Data'!$AN$2:$AN$1068,MATCH($A99,'Historical Data'!$BE$2:$BE$1068,0)),"")</f>
        <v/>
      </c>
      <c r="T99" s="291">
        <f>IFERROR(INDEX('Historical Data'!$AC$2:$AC$1068,MATCH($A99,'Historical Data'!$BE$2:$BE$1068,0)),"")</f>
        <v/>
      </c>
      <c r="U99" s="291">
        <f>IFERROR(INDEX('Historical Data'!$AE$2:$AE$1068,MATCH($A99,'Historical Data'!$BE$2:$BE$1068,0)),"")</f>
        <v/>
      </c>
      <c r="V99" s="291">
        <f>IFERROR(INDEX('Historical Data'!$AH$2:$AH$1068,MATCH($A99,'Historical Data'!$BE$2:$BE$1068,0)),"")</f>
        <v/>
      </c>
      <c r="W99" s="291">
        <f>IFERROR(INDEX('Historical Data'!$BC$2:$BC$1068,MATCH($A99,'Historical Data'!$BE$2:$BE$1068,0)),"")</f>
        <v/>
      </c>
      <c r="X99" s="290">
        <f>IF(B99="","",IF(W99=1,"NR + industry + position",IF(W99=2,"NR + ISO + position",IF(W99=3,"NR + industry",IF(W99=4,"NR + ISO",IF(W99=5,"NR + position",IF(W99=6,"NR only","book baseline"))))))&amp;"  ["&amp;IF(T99=1,"seasoned","unseasoned")&amp;IF(U99=1,", defaulted","")&amp;IF(V99=1,", open","")&amp;"]")</f>
        <v/>
      </c>
    </row>
    <row r="100">
      <c r="A100" s="290" t="n">
        <v>96</v>
      </c>
      <c r="B100" s="291">
        <f>IFERROR(INDEX('Historical Data'!$A$2:$A$1068,MATCH($A100,'Historical Data'!$BE$2:$BE$1068,0)),"")</f>
        <v/>
      </c>
      <c r="C100" s="291">
        <f>IFERROR(INDEX('Historical Data'!$B$2:$B$1068,MATCH($A100,'Historical Data'!$BE$2:$BE$1068,0)),"")</f>
        <v/>
      </c>
      <c r="D100" s="291">
        <f>IFERROR(INDEX('Historical Data'!$D$2:$D$1068,MATCH($A100,'Historical Data'!$BE$2:$BE$1068,0)),"")</f>
        <v/>
      </c>
      <c r="E100" s="292">
        <f>IFERROR(INDEX('Historical Data'!$E$2:$E$1068,MATCH($A100,'Historical Data'!$BE$2:$BE$1068,0)),"")</f>
        <v/>
      </c>
      <c r="F100" s="291">
        <f>IFERROR(INDEX('Historical Data'!$G$2:$G$1068,MATCH($A100,'Historical Data'!$BE$2:$BE$1068,0)),"")</f>
        <v/>
      </c>
      <c r="G100" s="291">
        <f>IFERROR(INDEX('Historical Data'!$Y$2:$Y$1068,MATCH($A100,'Historical Data'!$BE$2:$BE$1068,0)),"")</f>
        <v/>
      </c>
      <c r="H100" s="291">
        <f>IFERROR(INDEX('Historical Data'!$K$2:$K$1068,MATCH($A100,'Historical Data'!$BE$2:$BE$1068,0)),"")</f>
        <v/>
      </c>
      <c r="I100" s="291">
        <f>IFERROR(INDEX('Historical Data'!$J$2:$J$1068,MATCH($A100,'Historical Data'!$BE$2:$BE$1068,0)),"")</f>
        <v/>
      </c>
      <c r="J100" s="291">
        <f>IFERROR(INDEX('Historical Data'!$L$2:$L$1068,MATCH($A100,'Historical Data'!$BE$2:$BE$1068,0)),"")</f>
        <v/>
      </c>
      <c r="K100" s="293">
        <f>IFERROR(INDEX('Historical Data'!$M$2:$M$1068,MATCH($A100,'Historical Data'!$BE$2:$BE$1068,0)),"")</f>
        <v/>
      </c>
      <c r="L100" s="294">
        <f>IFERROR(INDEX('Historical Data'!$N$2:$N$1068,MATCH($A100,'Historical Data'!$BE$2:$BE$1068,0)),"")</f>
        <v/>
      </c>
      <c r="M100" s="294">
        <f>IFERROR(INDEX('Historical Data'!$Q$2:$Q$1068,MATCH($A100,'Historical Data'!$BE$2:$BE$1068,0)),"")</f>
        <v/>
      </c>
      <c r="N100" s="295">
        <f>IFERROR(INDEX('Historical Data'!$S$2:$S$1068,MATCH($A100,'Historical Data'!$BE$2:$BE$1068,0)),"")</f>
        <v/>
      </c>
      <c r="O100" s="294">
        <f>IFERROR(INDEX('Historical Data'!$AJ$2:$AJ$1068,MATCH($A100,'Historical Data'!$BE$2:$BE$1068,0)),"")</f>
        <v/>
      </c>
      <c r="P100" s="294">
        <f>IFERROR(INDEX('Historical Data'!$AK$2:$AK$1068,MATCH($A100,'Historical Data'!$BE$2:$BE$1068,0)),"")</f>
        <v/>
      </c>
      <c r="Q100" s="291">
        <f>IFERROR(INDEX('Historical Data'!$AA$2:$AA$1068,MATCH($A100,'Historical Data'!$BE$2:$BE$1068,0)),"")</f>
        <v/>
      </c>
      <c r="R100" s="291">
        <f>IFERROR(INDEX('Historical Data'!$AB$2:$AB$1068,MATCH($A100,'Historical Data'!$BE$2:$BE$1068,0)),"")</f>
        <v/>
      </c>
      <c r="S100" s="291">
        <f>IFERROR(INDEX('Historical Data'!$AN$2:$AN$1068,MATCH($A100,'Historical Data'!$BE$2:$BE$1068,0)),"")</f>
        <v/>
      </c>
      <c r="T100" s="291">
        <f>IFERROR(INDEX('Historical Data'!$AC$2:$AC$1068,MATCH($A100,'Historical Data'!$BE$2:$BE$1068,0)),"")</f>
        <v/>
      </c>
      <c r="U100" s="291">
        <f>IFERROR(INDEX('Historical Data'!$AE$2:$AE$1068,MATCH($A100,'Historical Data'!$BE$2:$BE$1068,0)),"")</f>
        <v/>
      </c>
      <c r="V100" s="291">
        <f>IFERROR(INDEX('Historical Data'!$AH$2:$AH$1068,MATCH($A100,'Historical Data'!$BE$2:$BE$1068,0)),"")</f>
        <v/>
      </c>
      <c r="W100" s="291">
        <f>IFERROR(INDEX('Historical Data'!$BC$2:$BC$1068,MATCH($A100,'Historical Data'!$BE$2:$BE$1068,0)),"")</f>
        <v/>
      </c>
      <c r="X100" s="290">
        <f>IF(B100="","",IF(W100=1,"NR + industry + position",IF(W100=2,"NR + ISO + position",IF(W100=3,"NR + industry",IF(W100=4,"NR + ISO",IF(W100=5,"NR + position",IF(W100=6,"NR only","book baseline"))))))&amp;"  ["&amp;IF(T100=1,"seasoned","unseasoned")&amp;IF(U100=1,", defaulted","")&amp;IF(V100=1,", open","")&amp;"]")</f>
        <v/>
      </c>
    </row>
    <row r="101">
      <c r="A101" s="290" t="n">
        <v>97</v>
      </c>
      <c r="B101" s="291">
        <f>IFERROR(INDEX('Historical Data'!$A$2:$A$1068,MATCH($A101,'Historical Data'!$BE$2:$BE$1068,0)),"")</f>
        <v/>
      </c>
      <c r="C101" s="291">
        <f>IFERROR(INDEX('Historical Data'!$B$2:$B$1068,MATCH($A101,'Historical Data'!$BE$2:$BE$1068,0)),"")</f>
        <v/>
      </c>
      <c r="D101" s="291">
        <f>IFERROR(INDEX('Historical Data'!$D$2:$D$1068,MATCH($A101,'Historical Data'!$BE$2:$BE$1068,0)),"")</f>
        <v/>
      </c>
      <c r="E101" s="292">
        <f>IFERROR(INDEX('Historical Data'!$E$2:$E$1068,MATCH($A101,'Historical Data'!$BE$2:$BE$1068,0)),"")</f>
        <v/>
      </c>
      <c r="F101" s="291">
        <f>IFERROR(INDEX('Historical Data'!$G$2:$G$1068,MATCH($A101,'Historical Data'!$BE$2:$BE$1068,0)),"")</f>
        <v/>
      </c>
      <c r="G101" s="291">
        <f>IFERROR(INDEX('Historical Data'!$Y$2:$Y$1068,MATCH($A101,'Historical Data'!$BE$2:$BE$1068,0)),"")</f>
        <v/>
      </c>
      <c r="H101" s="291">
        <f>IFERROR(INDEX('Historical Data'!$K$2:$K$1068,MATCH($A101,'Historical Data'!$BE$2:$BE$1068,0)),"")</f>
        <v/>
      </c>
      <c r="I101" s="291">
        <f>IFERROR(INDEX('Historical Data'!$J$2:$J$1068,MATCH($A101,'Historical Data'!$BE$2:$BE$1068,0)),"")</f>
        <v/>
      </c>
      <c r="J101" s="291">
        <f>IFERROR(INDEX('Historical Data'!$L$2:$L$1068,MATCH($A101,'Historical Data'!$BE$2:$BE$1068,0)),"")</f>
        <v/>
      </c>
      <c r="K101" s="293">
        <f>IFERROR(INDEX('Historical Data'!$M$2:$M$1068,MATCH($A101,'Historical Data'!$BE$2:$BE$1068,0)),"")</f>
        <v/>
      </c>
      <c r="L101" s="294">
        <f>IFERROR(INDEX('Historical Data'!$N$2:$N$1068,MATCH($A101,'Historical Data'!$BE$2:$BE$1068,0)),"")</f>
        <v/>
      </c>
      <c r="M101" s="294">
        <f>IFERROR(INDEX('Historical Data'!$Q$2:$Q$1068,MATCH($A101,'Historical Data'!$BE$2:$BE$1068,0)),"")</f>
        <v/>
      </c>
      <c r="N101" s="295">
        <f>IFERROR(INDEX('Historical Data'!$S$2:$S$1068,MATCH($A101,'Historical Data'!$BE$2:$BE$1068,0)),"")</f>
        <v/>
      </c>
      <c r="O101" s="294">
        <f>IFERROR(INDEX('Historical Data'!$AJ$2:$AJ$1068,MATCH($A101,'Historical Data'!$BE$2:$BE$1068,0)),"")</f>
        <v/>
      </c>
      <c r="P101" s="294">
        <f>IFERROR(INDEX('Historical Data'!$AK$2:$AK$1068,MATCH($A101,'Historical Data'!$BE$2:$BE$1068,0)),"")</f>
        <v/>
      </c>
      <c r="Q101" s="291">
        <f>IFERROR(INDEX('Historical Data'!$AA$2:$AA$1068,MATCH($A101,'Historical Data'!$BE$2:$BE$1068,0)),"")</f>
        <v/>
      </c>
      <c r="R101" s="291">
        <f>IFERROR(INDEX('Historical Data'!$AB$2:$AB$1068,MATCH($A101,'Historical Data'!$BE$2:$BE$1068,0)),"")</f>
        <v/>
      </c>
      <c r="S101" s="291">
        <f>IFERROR(INDEX('Historical Data'!$AN$2:$AN$1068,MATCH($A101,'Historical Data'!$BE$2:$BE$1068,0)),"")</f>
        <v/>
      </c>
      <c r="T101" s="291">
        <f>IFERROR(INDEX('Historical Data'!$AC$2:$AC$1068,MATCH($A101,'Historical Data'!$BE$2:$BE$1068,0)),"")</f>
        <v/>
      </c>
      <c r="U101" s="291">
        <f>IFERROR(INDEX('Historical Data'!$AE$2:$AE$1068,MATCH($A101,'Historical Data'!$BE$2:$BE$1068,0)),"")</f>
        <v/>
      </c>
      <c r="V101" s="291">
        <f>IFERROR(INDEX('Historical Data'!$AH$2:$AH$1068,MATCH($A101,'Historical Data'!$BE$2:$BE$1068,0)),"")</f>
        <v/>
      </c>
      <c r="W101" s="291">
        <f>IFERROR(INDEX('Historical Data'!$BC$2:$BC$1068,MATCH($A101,'Historical Data'!$BE$2:$BE$1068,0)),"")</f>
        <v/>
      </c>
      <c r="X101" s="290">
        <f>IF(B101="","",IF(W101=1,"NR + industry + position",IF(W101=2,"NR + ISO + position",IF(W101=3,"NR + industry",IF(W101=4,"NR + ISO",IF(W101=5,"NR + position",IF(W101=6,"NR only","book baseline"))))))&amp;"  ["&amp;IF(T101=1,"seasoned","unseasoned")&amp;IF(U101=1,", defaulted","")&amp;IF(V101=1,", open","")&amp;"]")</f>
        <v/>
      </c>
    </row>
    <row r="102">
      <c r="A102" s="290" t="n">
        <v>98</v>
      </c>
      <c r="B102" s="291">
        <f>IFERROR(INDEX('Historical Data'!$A$2:$A$1068,MATCH($A102,'Historical Data'!$BE$2:$BE$1068,0)),"")</f>
        <v/>
      </c>
      <c r="C102" s="291">
        <f>IFERROR(INDEX('Historical Data'!$B$2:$B$1068,MATCH($A102,'Historical Data'!$BE$2:$BE$1068,0)),"")</f>
        <v/>
      </c>
      <c r="D102" s="291">
        <f>IFERROR(INDEX('Historical Data'!$D$2:$D$1068,MATCH($A102,'Historical Data'!$BE$2:$BE$1068,0)),"")</f>
        <v/>
      </c>
      <c r="E102" s="292">
        <f>IFERROR(INDEX('Historical Data'!$E$2:$E$1068,MATCH($A102,'Historical Data'!$BE$2:$BE$1068,0)),"")</f>
        <v/>
      </c>
      <c r="F102" s="291">
        <f>IFERROR(INDEX('Historical Data'!$G$2:$G$1068,MATCH($A102,'Historical Data'!$BE$2:$BE$1068,0)),"")</f>
        <v/>
      </c>
      <c r="G102" s="291">
        <f>IFERROR(INDEX('Historical Data'!$Y$2:$Y$1068,MATCH($A102,'Historical Data'!$BE$2:$BE$1068,0)),"")</f>
        <v/>
      </c>
      <c r="H102" s="291">
        <f>IFERROR(INDEX('Historical Data'!$K$2:$K$1068,MATCH($A102,'Historical Data'!$BE$2:$BE$1068,0)),"")</f>
        <v/>
      </c>
      <c r="I102" s="291">
        <f>IFERROR(INDEX('Historical Data'!$J$2:$J$1068,MATCH($A102,'Historical Data'!$BE$2:$BE$1068,0)),"")</f>
        <v/>
      </c>
      <c r="J102" s="291">
        <f>IFERROR(INDEX('Historical Data'!$L$2:$L$1068,MATCH($A102,'Historical Data'!$BE$2:$BE$1068,0)),"")</f>
        <v/>
      </c>
      <c r="K102" s="293">
        <f>IFERROR(INDEX('Historical Data'!$M$2:$M$1068,MATCH($A102,'Historical Data'!$BE$2:$BE$1068,0)),"")</f>
        <v/>
      </c>
      <c r="L102" s="294">
        <f>IFERROR(INDEX('Historical Data'!$N$2:$N$1068,MATCH($A102,'Historical Data'!$BE$2:$BE$1068,0)),"")</f>
        <v/>
      </c>
      <c r="M102" s="294">
        <f>IFERROR(INDEX('Historical Data'!$Q$2:$Q$1068,MATCH($A102,'Historical Data'!$BE$2:$BE$1068,0)),"")</f>
        <v/>
      </c>
      <c r="N102" s="295">
        <f>IFERROR(INDEX('Historical Data'!$S$2:$S$1068,MATCH($A102,'Historical Data'!$BE$2:$BE$1068,0)),"")</f>
        <v/>
      </c>
      <c r="O102" s="294">
        <f>IFERROR(INDEX('Historical Data'!$AJ$2:$AJ$1068,MATCH($A102,'Historical Data'!$BE$2:$BE$1068,0)),"")</f>
        <v/>
      </c>
      <c r="P102" s="294">
        <f>IFERROR(INDEX('Historical Data'!$AK$2:$AK$1068,MATCH($A102,'Historical Data'!$BE$2:$BE$1068,0)),"")</f>
        <v/>
      </c>
      <c r="Q102" s="291">
        <f>IFERROR(INDEX('Historical Data'!$AA$2:$AA$1068,MATCH($A102,'Historical Data'!$BE$2:$BE$1068,0)),"")</f>
        <v/>
      </c>
      <c r="R102" s="291">
        <f>IFERROR(INDEX('Historical Data'!$AB$2:$AB$1068,MATCH($A102,'Historical Data'!$BE$2:$BE$1068,0)),"")</f>
        <v/>
      </c>
      <c r="S102" s="291">
        <f>IFERROR(INDEX('Historical Data'!$AN$2:$AN$1068,MATCH($A102,'Historical Data'!$BE$2:$BE$1068,0)),"")</f>
        <v/>
      </c>
      <c r="T102" s="291">
        <f>IFERROR(INDEX('Historical Data'!$AC$2:$AC$1068,MATCH($A102,'Historical Data'!$BE$2:$BE$1068,0)),"")</f>
        <v/>
      </c>
      <c r="U102" s="291">
        <f>IFERROR(INDEX('Historical Data'!$AE$2:$AE$1068,MATCH($A102,'Historical Data'!$BE$2:$BE$1068,0)),"")</f>
        <v/>
      </c>
      <c r="V102" s="291">
        <f>IFERROR(INDEX('Historical Data'!$AH$2:$AH$1068,MATCH($A102,'Historical Data'!$BE$2:$BE$1068,0)),"")</f>
        <v/>
      </c>
      <c r="W102" s="291">
        <f>IFERROR(INDEX('Historical Data'!$BC$2:$BC$1068,MATCH($A102,'Historical Data'!$BE$2:$BE$1068,0)),"")</f>
        <v/>
      </c>
      <c r="X102" s="290">
        <f>IF(B102="","",IF(W102=1,"NR + industry + position",IF(W102=2,"NR + ISO + position",IF(W102=3,"NR + industry",IF(W102=4,"NR + ISO",IF(W102=5,"NR + position",IF(W102=6,"NR only","book baseline"))))))&amp;"  ["&amp;IF(T102=1,"seasoned","unseasoned")&amp;IF(U102=1,", defaulted","")&amp;IF(V102=1,", open","")&amp;"]")</f>
        <v/>
      </c>
    </row>
    <row r="103">
      <c r="A103" s="290" t="n">
        <v>99</v>
      </c>
      <c r="B103" s="291">
        <f>IFERROR(INDEX('Historical Data'!$A$2:$A$1068,MATCH($A103,'Historical Data'!$BE$2:$BE$1068,0)),"")</f>
        <v/>
      </c>
      <c r="C103" s="291">
        <f>IFERROR(INDEX('Historical Data'!$B$2:$B$1068,MATCH($A103,'Historical Data'!$BE$2:$BE$1068,0)),"")</f>
        <v/>
      </c>
      <c r="D103" s="291">
        <f>IFERROR(INDEX('Historical Data'!$D$2:$D$1068,MATCH($A103,'Historical Data'!$BE$2:$BE$1068,0)),"")</f>
        <v/>
      </c>
      <c r="E103" s="292">
        <f>IFERROR(INDEX('Historical Data'!$E$2:$E$1068,MATCH($A103,'Historical Data'!$BE$2:$BE$1068,0)),"")</f>
        <v/>
      </c>
      <c r="F103" s="291">
        <f>IFERROR(INDEX('Historical Data'!$G$2:$G$1068,MATCH($A103,'Historical Data'!$BE$2:$BE$1068,0)),"")</f>
        <v/>
      </c>
      <c r="G103" s="291">
        <f>IFERROR(INDEX('Historical Data'!$Y$2:$Y$1068,MATCH($A103,'Historical Data'!$BE$2:$BE$1068,0)),"")</f>
        <v/>
      </c>
      <c r="H103" s="291">
        <f>IFERROR(INDEX('Historical Data'!$K$2:$K$1068,MATCH($A103,'Historical Data'!$BE$2:$BE$1068,0)),"")</f>
        <v/>
      </c>
      <c r="I103" s="291">
        <f>IFERROR(INDEX('Historical Data'!$J$2:$J$1068,MATCH($A103,'Historical Data'!$BE$2:$BE$1068,0)),"")</f>
        <v/>
      </c>
      <c r="J103" s="291">
        <f>IFERROR(INDEX('Historical Data'!$L$2:$L$1068,MATCH($A103,'Historical Data'!$BE$2:$BE$1068,0)),"")</f>
        <v/>
      </c>
      <c r="K103" s="293">
        <f>IFERROR(INDEX('Historical Data'!$M$2:$M$1068,MATCH($A103,'Historical Data'!$BE$2:$BE$1068,0)),"")</f>
        <v/>
      </c>
      <c r="L103" s="294">
        <f>IFERROR(INDEX('Historical Data'!$N$2:$N$1068,MATCH($A103,'Historical Data'!$BE$2:$BE$1068,0)),"")</f>
        <v/>
      </c>
      <c r="M103" s="294">
        <f>IFERROR(INDEX('Historical Data'!$Q$2:$Q$1068,MATCH($A103,'Historical Data'!$BE$2:$BE$1068,0)),"")</f>
        <v/>
      </c>
      <c r="N103" s="295">
        <f>IFERROR(INDEX('Historical Data'!$S$2:$S$1068,MATCH($A103,'Historical Data'!$BE$2:$BE$1068,0)),"")</f>
        <v/>
      </c>
      <c r="O103" s="294">
        <f>IFERROR(INDEX('Historical Data'!$AJ$2:$AJ$1068,MATCH($A103,'Historical Data'!$BE$2:$BE$1068,0)),"")</f>
        <v/>
      </c>
      <c r="P103" s="294">
        <f>IFERROR(INDEX('Historical Data'!$AK$2:$AK$1068,MATCH($A103,'Historical Data'!$BE$2:$BE$1068,0)),"")</f>
        <v/>
      </c>
      <c r="Q103" s="291">
        <f>IFERROR(INDEX('Historical Data'!$AA$2:$AA$1068,MATCH($A103,'Historical Data'!$BE$2:$BE$1068,0)),"")</f>
        <v/>
      </c>
      <c r="R103" s="291">
        <f>IFERROR(INDEX('Historical Data'!$AB$2:$AB$1068,MATCH($A103,'Historical Data'!$BE$2:$BE$1068,0)),"")</f>
        <v/>
      </c>
      <c r="S103" s="291">
        <f>IFERROR(INDEX('Historical Data'!$AN$2:$AN$1068,MATCH($A103,'Historical Data'!$BE$2:$BE$1068,0)),"")</f>
        <v/>
      </c>
      <c r="T103" s="291">
        <f>IFERROR(INDEX('Historical Data'!$AC$2:$AC$1068,MATCH($A103,'Historical Data'!$BE$2:$BE$1068,0)),"")</f>
        <v/>
      </c>
      <c r="U103" s="291">
        <f>IFERROR(INDEX('Historical Data'!$AE$2:$AE$1068,MATCH($A103,'Historical Data'!$BE$2:$BE$1068,0)),"")</f>
        <v/>
      </c>
      <c r="V103" s="291">
        <f>IFERROR(INDEX('Historical Data'!$AH$2:$AH$1068,MATCH($A103,'Historical Data'!$BE$2:$BE$1068,0)),"")</f>
        <v/>
      </c>
      <c r="W103" s="291">
        <f>IFERROR(INDEX('Historical Data'!$BC$2:$BC$1068,MATCH($A103,'Historical Data'!$BE$2:$BE$1068,0)),"")</f>
        <v/>
      </c>
      <c r="X103" s="290">
        <f>IF(B103="","",IF(W103=1,"NR + industry + position",IF(W103=2,"NR + ISO + position",IF(W103=3,"NR + industry",IF(W103=4,"NR + ISO",IF(W103=5,"NR + position",IF(W103=6,"NR only","book baseline"))))))&amp;"  ["&amp;IF(T103=1,"seasoned","unseasoned")&amp;IF(U103=1,", defaulted","")&amp;IF(V103=1,", open","")&amp;"]")</f>
        <v/>
      </c>
    </row>
    <row r="104">
      <c r="A104" s="290" t="n">
        <v>100</v>
      </c>
      <c r="B104" s="291">
        <f>IFERROR(INDEX('Historical Data'!$A$2:$A$1068,MATCH($A104,'Historical Data'!$BE$2:$BE$1068,0)),"")</f>
        <v/>
      </c>
      <c r="C104" s="291">
        <f>IFERROR(INDEX('Historical Data'!$B$2:$B$1068,MATCH($A104,'Historical Data'!$BE$2:$BE$1068,0)),"")</f>
        <v/>
      </c>
      <c r="D104" s="291">
        <f>IFERROR(INDEX('Historical Data'!$D$2:$D$1068,MATCH($A104,'Historical Data'!$BE$2:$BE$1068,0)),"")</f>
        <v/>
      </c>
      <c r="E104" s="292">
        <f>IFERROR(INDEX('Historical Data'!$E$2:$E$1068,MATCH($A104,'Historical Data'!$BE$2:$BE$1068,0)),"")</f>
        <v/>
      </c>
      <c r="F104" s="291">
        <f>IFERROR(INDEX('Historical Data'!$G$2:$G$1068,MATCH($A104,'Historical Data'!$BE$2:$BE$1068,0)),"")</f>
        <v/>
      </c>
      <c r="G104" s="291">
        <f>IFERROR(INDEX('Historical Data'!$Y$2:$Y$1068,MATCH($A104,'Historical Data'!$BE$2:$BE$1068,0)),"")</f>
        <v/>
      </c>
      <c r="H104" s="291">
        <f>IFERROR(INDEX('Historical Data'!$K$2:$K$1068,MATCH($A104,'Historical Data'!$BE$2:$BE$1068,0)),"")</f>
        <v/>
      </c>
      <c r="I104" s="291">
        <f>IFERROR(INDEX('Historical Data'!$J$2:$J$1068,MATCH($A104,'Historical Data'!$BE$2:$BE$1068,0)),"")</f>
        <v/>
      </c>
      <c r="J104" s="291">
        <f>IFERROR(INDEX('Historical Data'!$L$2:$L$1068,MATCH($A104,'Historical Data'!$BE$2:$BE$1068,0)),"")</f>
        <v/>
      </c>
      <c r="K104" s="293">
        <f>IFERROR(INDEX('Historical Data'!$M$2:$M$1068,MATCH($A104,'Historical Data'!$BE$2:$BE$1068,0)),"")</f>
        <v/>
      </c>
      <c r="L104" s="294">
        <f>IFERROR(INDEX('Historical Data'!$N$2:$N$1068,MATCH($A104,'Historical Data'!$BE$2:$BE$1068,0)),"")</f>
        <v/>
      </c>
      <c r="M104" s="294">
        <f>IFERROR(INDEX('Historical Data'!$Q$2:$Q$1068,MATCH($A104,'Historical Data'!$BE$2:$BE$1068,0)),"")</f>
        <v/>
      </c>
      <c r="N104" s="295">
        <f>IFERROR(INDEX('Historical Data'!$S$2:$S$1068,MATCH($A104,'Historical Data'!$BE$2:$BE$1068,0)),"")</f>
        <v/>
      </c>
      <c r="O104" s="294">
        <f>IFERROR(INDEX('Historical Data'!$AJ$2:$AJ$1068,MATCH($A104,'Historical Data'!$BE$2:$BE$1068,0)),"")</f>
        <v/>
      </c>
      <c r="P104" s="294">
        <f>IFERROR(INDEX('Historical Data'!$AK$2:$AK$1068,MATCH($A104,'Historical Data'!$BE$2:$BE$1068,0)),"")</f>
        <v/>
      </c>
      <c r="Q104" s="291">
        <f>IFERROR(INDEX('Historical Data'!$AA$2:$AA$1068,MATCH($A104,'Historical Data'!$BE$2:$BE$1068,0)),"")</f>
        <v/>
      </c>
      <c r="R104" s="291">
        <f>IFERROR(INDEX('Historical Data'!$AB$2:$AB$1068,MATCH($A104,'Historical Data'!$BE$2:$BE$1068,0)),"")</f>
        <v/>
      </c>
      <c r="S104" s="291">
        <f>IFERROR(INDEX('Historical Data'!$AN$2:$AN$1068,MATCH($A104,'Historical Data'!$BE$2:$BE$1068,0)),"")</f>
        <v/>
      </c>
      <c r="T104" s="291">
        <f>IFERROR(INDEX('Historical Data'!$AC$2:$AC$1068,MATCH($A104,'Historical Data'!$BE$2:$BE$1068,0)),"")</f>
        <v/>
      </c>
      <c r="U104" s="291">
        <f>IFERROR(INDEX('Historical Data'!$AE$2:$AE$1068,MATCH($A104,'Historical Data'!$BE$2:$BE$1068,0)),"")</f>
        <v/>
      </c>
      <c r="V104" s="291">
        <f>IFERROR(INDEX('Historical Data'!$AH$2:$AH$1068,MATCH($A104,'Historical Data'!$BE$2:$BE$1068,0)),"")</f>
        <v/>
      </c>
      <c r="W104" s="291">
        <f>IFERROR(INDEX('Historical Data'!$BC$2:$BC$1068,MATCH($A104,'Historical Data'!$BE$2:$BE$1068,0)),"")</f>
        <v/>
      </c>
      <c r="X104" s="290">
        <f>IF(B104="","",IF(W104=1,"NR + industry + position",IF(W104=2,"NR + ISO + position",IF(W104=3,"NR + industry",IF(W104=4,"NR + ISO",IF(W104=5,"NR + position",IF(W104=6,"NR only","book baseline"))))))&amp;"  ["&amp;IF(T104=1,"seasoned","unseasoned")&amp;IF(U104=1,", defaulted","")&amp;IF(V104=1,", open","")&amp;"]")</f>
        <v/>
      </c>
    </row>
    <row r="105">
      <c r="A105" s="290" t="n">
        <v>101</v>
      </c>
      <c r="B105" s="291">
        <f>IFERROR(INDEX('Historical Data'!$A$2:$A$1068,MATCH($A105,'Historical Data'!$BE$2:$BE$1068,0)),"")</f>
        <v/>
      </c>
      <c r="C105" s="291">
        <f>IFERROR(INDEX('Historical Data'!$B$2:$B$1068,MATCH($A105,'Historical Data'!$BE$2:$BE$1068,0)),"")</f>
        <v/>
      </c>
      <c r="D105" s="291">
        <f>IFERROR(INDEX('Historical Data'!$D$2:$D$1068,MATCH($A105,'Historical Data'!$BE$2:$BE$1068,0)),"")</f>
        <v/>
      </c>
      <c r="E105" s="292">
        <f>IFERROR(INDEX('Historical Data'!$E$2:$E$1068,MATCH($A105,'Historical Data'!$BE$2:$BE$1068,0)),"")</f>
        <v/>
      </c>
      <c r="F105" s="291">
        <f>IFERROR(INDEX('Historical Data'!$G$2:$G$1068,MATCH($A105,'Historical Data'!$BE$2:$BE$1068,0)),"")</f>
        <v/>
      </c>
      <c r="G105" s="291">
        <f>IFERROR(INDEX('Historical Data'!$Y$2:$Y$1068,MATCH($A105,'Historical Data'!$BE$2:$BE$1068,0)),"")</f>
        <v/>
      </c>
      <c r="H105" s="291">
        <f>IFERROR(INDEX('Historical Data'!$K$2:$K$1068,MATCH($A105,'Historical Data'!$BE$2:$BE$1068,0)),"")</f>
        <v/>
      </c>
      <c r="I105" s="291">
        <f>IFERROR(INDEX('Historical Data'!$J$2:$J$1068,MATCH($A105,'Historical Data'!$BE$2:$BE$1068,0)),"")</f>
        <v/>
      </c>
      <c r="J105" s="291">
        <f>IFERROR(INDEX('Historical Data'!$L$2:$L$1068,MATCH($A105,'Historical Data'!$BE$2:$BE$1068,0)),"")</f>
        <v/>
      </c>
      <c r="K105" s="293">
        <f>IFERROR(INDEX('Historical Data'!$M$2:$M$1068,MATCH($A105,'Historical Data'!$BE$2:$BE$1068,0)),"")</f>
        <v/>
      </c>
      <c r="L105" s="294">
        <f>IFERROR(INDEX('Historical Data'!$N$2:$N$1068,MATCH($A105,'Historical Data'!$BE$2:$BE$1068,0)),"")</f>
        <v/>
      </c>
      <c r="M105" s="294">
        <f>IFERROR(INDEX('Historical Data'!$Q$2:$Q$1068,MATCH($A105,'Historical Data'!$BE$2:$BE$1068,0)),"")</f>
        <v/>
      </c>
      <c r="N105" s="295">
        <f>IFERROR(INDEX('Historical Data'!$S$2:$S$1068,MATCH($A105,'Historical Data'!$BE$2:$BE$1068,0)),"")</f>
        <v/>
      </c>
      <c r="O105" s="294">
        <f>IFERROR(INDEX('Historical Data'!$AJ$2:$AJ$1068,MATCH($A105,'Historical Data'!$BE$2:$BE$1068,0)),"")</f>
        <v/>
      </c>
      <c r="P105" s="294">
        <f>IFERROR(INDEX('Historical Data'!$AK$2:$AK$1068,MATCH($A105,'Historical Data'!$BE$2:$BE$1068,0)),"")</f>
        <v/>
      </c>
      <c r="Q105" s="291">
        <f>IFERROR(INDEX('Historical Data'!$AA$2:$AA$1068,MATCH($A105,'Historical Data'!$BE$2:$BE$1068,0)),"")</f>
        <v/>
      </c>
      <c r="R105" s="291">
        <f>IFERROR(INDEX('Historical Data'!$AB$2:$AB$1068,MATCH($A105,'Historical Data'!$BE$2:$BE$1068,0)),"")</f>
        <v/>
      </c>
      <c r="S105" s="291">
        <f>IFERROR(INDEX('Historical Data'!$AN$2:$AN$1068,MATCH($A105,'Historical Data'!$BE$2:$BE$1068,0)),"")</f>
        <v/>
      </c>
      <c r="T105" s="291">
        <f>IFERROR(INDEX('Historical Data'!$AC$2:$AC$1068,MATCH($A105,'Historical Data'!$BE$2:$BE$1068,0)),"")</f>
        <v/>
      </c>
      <c r="U105" s="291">
        <f>IFERROR(INDEX('Historical Data'!$AE$2:$AE$1068,MATCH($A105,'Historical Data'!$BE$2:$BE$1068,0)),"")</f>
        <v/>
      </c>
      <c r="V105" s="291">
        <f>IFERROR(INDEX('Historical Data'!$AH$2:$AH$1068,MATCH($A105,'Historical Data'!$BE$2:$BE$1068,0)),"")</f>
        <v/>
      </c>
      <c r="W105" s="291">
        <f>IFERROR(INDEX('Historical Data'!$BC$2:$BC$1068,MATCH($A105,'Historical Data'!$BE$2:$BE$1068,0)),"")</f>
        <v/>
      </c>
      <c r="X105" s="290">
        <f>IF(B105="","",IF(W105=1,"NR + industry + position",IF(W105=2,"NR + ISO + position",IF(W105=3,"NR + industry",IF(W105=4,"NR + ISO",IF(W105=5,"NR + position",IF(W105=6,"NR only","book baseline"))))))&amp;"  ["&amp;IF(T105=1,"seasoned","unseasoned")&amp;IF(U105=1,", defaulted","")&amp;IF(V105=1,", open","")&amp;"]")</f>
        <v/>
      </c>
    </row>
    <row r="106">
      <c r="A106" s="290" t="n">
        <v>102</v>
      </c>
      <c r="B106" s="291">
        <f>IFERROR(INDEX('Historical Data'!$A$2:$A$1068,MATCH($A106,'Historical Data'!$BE$2:$BE$1068,0)),"")</f>
        <v/>
      </c>
      <c r="C106" s="291">
        <f>IFERROR(INDEX('Historical Data'!$B$2:$B$1068,MATCH($A106,'Historical Data'!$BE$2:$BE$1068,0)),"")</f>
        <v/>
      </c>
      <c r="D106" s="291">
        <f>IFERROR(INDEX('Historical Data'!$D$2:$D$1068,MATCH($A106,'Historical Data'!$BE$2:$BE$1068,0)),"")</f>
        <v/>
      </c>
      <c r="E106" s="292">
        <f>IFERROR(INDEX('Historical Data'!$E$2:$E$1068,MATCH($A106,'Historical Data'!$BE$2:$BE$1068,0)),"")</f>
        <v/>
      </c>
      <c r="F106" s="291">
        <f>IFERROR(INDEX('Historical Data'!$G$2:$G$1068,MATCH($A106,'Historical Data'!$BE$2:$BE$1068,0)),"")</f>
        <v/>
      </c>
      <c r="G106" s="291">
        <f>IFERROR(INDEX('Historical Data'!$Y$2:$Y$1068,MATCH($A106,'Historical Data'!$BE$2:$BE$1068,0)),"")</f>
        <v/>
      </c>
      <c r="H106" s="291">
        <f>IFERROR(INDEX('Historical Data'!$K$2:$K$1068,MATCH($A106,'Historical Data'!$BE$2:$BE$1068,0)),"")</f>
        <v/>
      </c>
      <c r="I106" s="291">
        <f>IFERROR(INDEX('Historical Data'!$J$2:$J$1068,MATCH($A106,'Historical Data'!$BE$2:$BE$1068,0)),"")</f>
        <v/>
      </c>
      <c r="J106" s="291">
        <f>IFERROR(INDEX('Historical Data'!$L$2:$L$1068,MATCH($A106,'Historical Data'!$BE$2:$BE$1068,0)),"")</f>
        <v/>
      </c>
      <c r="K106" s="293">
        <f>IFERROR(INDEX('Historical Data'!$M$2:$M$1068,MATCH($A106,'Historical Data'!$BE$2:$BE$1068,0)),"")</f>
        <v/>
      </c>
      <c r="L106" s="294">
        <f>IFERROR(INDEX('Historical Data'!$N$2:$N$1068,MATCH($A106,'Historical Data'!$BE$2:$BE$1068,0)),"")</f>
        <v/>
      </c>
      <c r="M106" s="294">
        <f>IFERROR(INDEX('Historical Data'!$Q$2:$Q$1068,MATCH($A106,'Historical Data'!$BE$2:$BE$1068,0)),"")</f>
        <v/>
      </c>
      <c r="N106" s="295">
        <f>IFERROR(INDEX('Historical Data'!$S$2:$S$1068,MATCH($A106,'Historical Data'!$BE$2:$BE$1068,0)),"")</f>
        <v/>
      </c>
      <c r="O106" s="294">
        <f>IFERROR(INDEX('Historical Data'!$AJ$2:$AJ$1068,MATCH($A106,'Historical Data'!$BE$2:$BE$1068,0)),"")</f>
        <v/>
      </c>
      <c r="P106" s="294">
        <f>IFERROR(INDEX('Historical Data'!$AK$2:$AK$1068,MATCH($A106,'Historical Data'!$BE$2:$BE$1068,0)),"")</f>
        <v/>
      </c>
      <c r="Q106" s="291">
        <f>IFERROR(INDEX('Historical Data'!$AA$2:$AA$1068,MATCH($A106,'Historical Data'!$BE$2:$BE$1068,0)),"")</f>
        <v/>
      </c>
      <c r="R106" s="291">
        <f>IFERROR(INDEX('Historical Data'!$AB$2:$AB$1068,MATCH($A106,'Historical Data'!$BE$2:$BE$1068,0)),"")</f>
        <v/>
      </c>
      <c r="S106" s="291">
        <f>IFERROR(INDEX('Historical Data'!$AN$2:$AN$1068,MATCH($A106,'Historical Data'!$BE$2:$BE$1068,0)),"")</f>
        <v/>
      </c>
      <c r="T106" s="291">
        <f>IFERROR(INDEX('Historical Data'!$AC$2:$AC$1068,MATCH($A106,'Historical Data'!$BE$2:$BE$1068,0)),"")</f>
        <v/>
      </c>
      <c r="U106" s="291">
        <f>IFERROR(INDEX('Historical Data'!$AE$2:$AE$1068,MATCH($A106,'Historical Data'!$BE$2:$BE$1068,0)),"")</f>
        <v/>
      </c>
      <c r="V106" s="291">
        <f>IFERROR(INDEX('Historical Data'!$AH$2:$AH$1068,MATCH($A106,'Historical Data'!$BE$2:$BE$1068,0)),"")</f>
        <v/>
      </c>
      <c r="W106" s="291">
        <f>IFERROR(INDEX('Historical Data'!$BC$2:$BC$1068,MATCH($A106,'Historical Data'!$BE$2:$BE$1068,0)),"")</f>
        <v/>
      </c>
      <c r="X106" s="290">
        <f>IF(B106="","",IF(W106=1,"NR + industry + position",IF(W106=2,"NR + ISO + position",IF(W106=3,"NR + industry",IF(W106=4,"NR + ISO",IF(W106=5,"NR + position",IF(W106=6,"NR only","book baseline"))))))&amp;"  ["&amp;IF(T106=1,"seasoned","unseasoned")&amp;IF(U106=1,", defaulted","")&amp;IF(V106=1,", open","")&amp;"]")</f>
        <v/>
      </c>
    </row>
    <row r="107">
      <c r="A107" s="290" t="n">
        <v>103</v>
      </c>
      <c r="B107" s="291">
        <f>IFERROR(INDEX('Historical Data'!$A$2:$A$1068,MATCH($A107,'Historical Data'!$BE$2:$BE$1068,0)),"")</f>
        <v/>
      </c>
      <c r="C107" s="291">
        <f>IFERROR(INDEX('Historical Data'!$B$2:$B$1068,MATCH($A107,'Historical Data'!$BE$2:$BE$1068,0)),"")</f>
        <v/>
      </c>
      <c r="D107" s="291">
        <f>IFERROR(INDEX('Historical Data'!$D$2:$D$1068,MATCH($A107,'Historical Data'!$BE$2:$BE$1068,0)),"")</f>
        <v/>
      </c>
      <c r="E107" s="292">
        <f>IFERROR(INDEX('Historical Data'!$E$2:$E$1068,MATCH($A107,'Historical Data'!$BE$2:$BE$1068,0)),"")</f>
        <v/>
      </c>
      <c r="F107" s="291">
        <f>IFERROR(INDEX('Historical Data'!$G$2:$G$1068,MATCH($A107,'Historical Data'!$BE$2:$BE$1068,0)),"")</f>
        <v/>
      </c>
      <c r="G107" s="291">
        <f>IFERROR(INDEX('Historical Data'!$Y$2:$Y$1068,MATCH($A107,'Historical Data'!$BE$2:$BE$1068,0)),"")</f>
        <v/>
      </c>
      <c r="H107" s="291">
        <f>IFERROR(INDEX('Historical Data'!$K$2:$K$1068,MATCH($A107,'Historical Data'!$BE$2:$BE$1068,0)),"")</f>
        <v/>
      </c>
      <c r="I107" s="291">
        <f>IFERROR(INDEX('Historical Data'!$J$2:$J$1068,MATCH($A107,'Historical Data'!$BE$2:$BE$1068,0)),"")</f>
        <v/>
      </c>
      <c r="J107" s="291">
        <f>IFERROR(INDEX('Historical Data'!$L$2:$L$1068,MATCH($A107,'Historical Data'!$BE$2:$BE$1068,0)),"")</f>
        <v/>
      </c>
      <c r="K107" s="293">
        <f>IFERROR(INDEX('Historical Data'!$M$2:$M$1068,MATCH($A107,'Historical Data'!$BE$2:$BE$1068,0)),"")</f>
        <v/>
      </c>
      <c r="L107" s="294">
        <f>IFERROR(INDEX('Historical Data'!$N$2:$N$1068,MATCH($A107,'Historical Data'!$BE$2:$BE$1068,0)),"")</f>
        <v/>
      </c>
      <c r="M107" s="294">
        <f>IFERROR(INDEX('Historical Data'!$Q$2:$Q$1068,MATCH($A107,'Historical Data'!$BE$2:$BE$1068,0)),"")</f>
        <v/>
      </c>
      <c r="N107" s="295">
        <f>IFERROR(INDEX('Historical Data'!$S$2:$S$1068,MATCH($A107,'Historical Data'!$BE$2:$BE$1068,0)),"")</f>
        <v/>
      </c>
      <c r="O107" s="294">
        <f>IFERROR(INDEX('Historical Data'!$AJ$2:$AJ$1068,MATCH($A107,'Historical Data'!$BE$2:$BE$1068,0)),"")</f>
        <v/>
      </c>
      <c r="P107" s="294">
        <f>IFERROR(INDEX('Historical Data'!$AK$2:$AK$1068,MATCH($A107,'Historical Data'!$BE$2:$BE$1068,0)),"")</f>
        <v/>
      </c>
      <c r="Q107" s="291">
        <f>IFERROR(INDEX('Historical Data'!$AA$2:$AA$1068,MATCH($A107,'Historical Data'!$BE$2:$BE$1068,0)),"")</f>
        <v/>
      </c>
      <c r="R107" s="291">
        <f>IFERROR(INDEX('Historical Data'!$AB$2:$AB$1068,MATCH($A107,'Historical Data'!$BE$2:$BE$1068,0)),"")</f>
        <v/>
      </c>
      <c r="S107" s="291">
        <f>IFERROR(INDEX('Historical Data'!$AN$2:$AN$1068,MATCH($A107,'Historical Data'!$BE$2:$BE$1068,0)),"")</f>
        <v/>
      </c>
      <c r="T107" s="291">
        <f>IFERROR(INDEX('Historical Data'!$AC$2:$AC$1068,MATCH($A107,'Historical Data'!$BE$2:$BE$1068,0)),"")</f>
        <v/>
      </c>
      <c r="U107" s="291">
        <f>IFERROR(INDEX('Historical Data'!$AE$2:$AE$1068,MATCH($A107,'Historical Data'!$BE$2:$BE$1068,0)),"")</f>
        <v/>
      </c>
      <c r="V107" s="291">
        <f>IFERROR(INDEX('Historical Data'!$AH$2:$AH$1068,MATCH($A107,'Historical Data'!$BE$2:$BE$1068,0)),"")</f>
        <v/>
      </c>
      <c r="W107" s="291">
        <f>IFERROR(INDEX('Historical Data'!$BC$2:$BC$1068,MATCH($A107,'Historical Data'!$BE$2:$BE$1068,0)),"")</f>
        <v/>
      </c>
      <c r="X107" s="290">
        <f>IF(B107="","",IF(W107=1,"NR + industry + position",IF(W107=2,"NR + ISO + position",IF(W107=3,"NR + industry",IF(W107=4,"NR + ISO",IF(W107=5,"NR + position",IF(W107=6,"NR only","book baseline"))))))&amp;"  ["&amp;IF(T107=1,"seasoned","unseasoned")&amp;IF(U107=1,", defaulted","")&amp;IF(V107=1,", open","")&amp;"]")</f>
        <v/>
      </c>
    </row>
    <row r="108">
      <c r="A108" s="290" t="n">
        <v>104</v>
      </c>
      <c r="B108" s="291">
        <f>IFERROR(INDEX('Historical Data'!$A$2:$A$1068,MATCH($A108,'Historical Data'!$BE$2:$BE$1068,0)),"")</f>
        <v/>
      </c>
      <c r="C108" s="291">
        <f>IFERROR(INDEX('Historical Data'!$B$2:$B$1068,MATCH($A108,'Historical Data'!$BE$2:$BE$1068,0)),"")</f>
        <v/>
      </c>
      <c r="D108" s="291">
        <f>IFERROR(INDEX('Historical Data'!$D$2:$D$1068,MATCH($A108,'Historical Data'!$BE$2:$BE$1068,0)),"")</f>
        <v/>
      </c>
      <c r="E108" s="292">
        <f>IFERROR(INDEX('Historical Data'!$E$2:$E$1068,MATCH($A108,'Historical Data'!$BE$2:$BE$1068,0)),"")</f>
        <v/>
      </c>
      <c r="F108" s="291">
        <f>IFERROR(INDEX('Historical Data'!$G$2:$G$1068,MATCH($A108,'Historical Data'!$BE$2:$BE$1068,0)),"")</f>
        <v/>
      </c>
      <c r="G108" s="291">
        <f>IFERROR(INDEX('Historical Data'!$Y$2:$Y$1068,MATCH($A108,'Historical Data'!$BE$2:$BE$1068,0)),"")</f>
        <v/>
      </c>
      <c r="H108" s="291">
        <f>IFERROR(INDEX('Historical Data'!$K$2:$K$1068,MATCH($A108,'Historical Data'!$BE$2:$BE$1068,0)),"")</f>
        <v/>
      </c>
      <c r="I108" s="291">
        <f>IFERROR(INDEX('Historical Data'!$J$2:$J$1068,MATCH($A108,'Historical Data'!$BE$2:$BE$1068,0)),"")</f>
        <v/>
      </c>
      <c r="J108" s="291">
        <f>IFERROR(INDEX('Historical Data'!$L$2:$L$1068,MATCH($A108,'Historical Data'!$BE$2:$BE$1068,0)),"")</f>
        <v/>
      </c>
      <c r="K108" s="293">
        <f>IFERROR(INDEX('Historical Data'!$M$2:$M$1068,MATCH($A108,'Historical Data'!$BE$2:$BE$1068,0)),"")</f>
        <v/>
      </c>
      <c r="L108" s="294">
        <f>IFERROR(INDEX('Historical Data'!$N$2:$N$1068,MATCH($A108,'Historical Data'!$BE$2:$BE$1068,0)),"")</f>
        <v/>
      </c>
      <c r="M108" s="294">
        <f>IFERROR(INDEX('Historical Data'!$Q$2:$Q$1068,MATCH($A108,'Historical Data'!$BE$2:$BE$1068,0)),"")</f>
        <v/>
      </c>
      <c r="N108" s="295">
        <f>IFERROR(INDEX('Historical Data'!$S$2:$S$1068,MATCH($A108,'Historical Data'!$BE$2:$BE$1068,0)),"")</f>
        <v/>
      </c>
      <c r="O108" s="294">
        <f>IFERROR(INDEX('Historical Data'!$AJ$2:$AJ$1068,MATCH($A108,'Historical Data'!$BE$2:$BE$1068,0)),"")</f>
        <v/>
      </c>
      <c r="P108" s="294">
        <f>IFERROR(INDEX('Historical Data'!$AK$2:$AK$1068,MATCH($A108,'Historical Data'!$BE$2:$BE$1068,0)),"")</f>
        <v/>
      </c>
      <c r="Q108" s="291">
        <f>IFERROR(INDEX('Historical Data'!$AA$2:$AA$1068,MATCH($A108,'Historical Data'!$BE$2:$BE$1068,0)),"")</f>
        <v/>
      </c>
      <c r="R108" s="291">
        <f>IFERROR(INDEX('Historical Data'!$AB$2:$AB$1068,MATCH($A108,'Historical Data'!$BE$2:$BE$1068,0)),"")</f>
        <v/>
      </c>
      <c r="S108" s="291">
        <f>IFERROR(INDEX('Historical Data'!$AN$2:$AN$1068,MATCH($A108,'Historical Data'!$BE$2:$BE$1068,0)),"")</f>
        <v/>
      </c>
      <c r="T108" s="291">
        <f>IFERROR(INDEX('Historical Data'!$AC$2:$AC$1068,MATCH($A108,'Historical Data'!$BE$2:$BE$1068,0)),"")</f>
        <v/>
      </c>
      <c r="U108" s="291">
        <f>IFERROR(INDEX('Historical Data'!$AE$2:$AE$1068,MATCH($A108,'Historical Data'!$BE$2:$BE$1068,0)),"")</f>
        <v/>
      </c>
      <c r="V108" s="291">
        <f>IFERROR(INDEX('Historical Data'!$AH$2:$AH$1068,MATCH($A108,'Historical Data'!$BE$2:$BE$1068,0)),"")</f>
        <v/>
      </c>
      <c r="W108" s="291">
        <f>IFERROR(INDEX('Historical Data'!$BC$2:$BC$1068,MATCH($A108,'Historical Data'!$BE$2:$BE$1068,0)),"")</f>
        <v/>
      </c>
      <c r="X108" s="290">
        <f>IF(B108="","",IF(W108=1,"NR + industry + position",IF(W108=2,"NR + ISO + position",IF(W108=3,"NR + industry",IF(W108=4,"NR + ISO",IF(W108=5,"NR + position",IF(W108=6,"NR only","book baseline"))))))&amp;"  ["&amp;IF(T108=1,"seasoned","unseasoned")&amp;IF(U108=1,", defaulted","")&amp;IF(V108=1,", open","")&amp;"]")</f>
        <v/>
      </c>
    </row>
    <row r="109">
      <c r="A109" s="290" t="n">
        <v>105</v>
      </c>
      <c r="B109" s="291">
        <f>IFERROR(INDEX('Historical Data'!$A$2:$A$1068,MATCH($A109,'Historical Data'!$BE$2:$BE$1068,0)),"")</f>
        <v/>
      </c>
      <c r="C109" s="291">
        <f>IFERROR(INDEX('Historical Data'!$B$2:$B$1068,MATCH($A109,'Historical Data'!$BE$2:$BE$1068,0)),"")</f>
        <v/>
      </c>
      <c r="D109" s="291">
        <f>IFERROR(INDEX('Historical Data'!$D$2:$D$1068,MATCH($A109,'Historical Data'!$BE$2:$BE$1068,0)),"")</f>
        <v/>
      </c>
      <c r="E109" s="292">
        <f>IFERROR(INDEX('Historical Data'!$E$2:$E$1068,MATCH($A109,'Historical Data'!$BE$2:$BE$1068,0)),"")</f>
        <v/>
      </c>
      <c r="F109" s="291">
        <f>IFERROR(INDEX('Historical Data'!$G$2:$G$1068,MATCH($A109,'Historical Data'!$BE$2:$BE$1068,0)),"")</f>
        <v/>
      </c>
      <c r="G109" s="291">
        <f>IFERROR(INDEX('Historical Data'!$Y$2:$Y$1068,MATCH($A109,'Historical Data'!$BE$2:$BE$1068,0)),"")</f>
        <v/>
      </c>
      <c r="H109" s="291">
        <f>IFERROR(INDEX('Historical Data'!$K$2:$K$1068,MATCH($A109,'Historical Data'!$BE$2:$BE$1068,0)),"")</f>
        <v/>
      </c>
      <c r="I109" s="291">
        <f>IFERROR(INDEX('Historical Data'!$J$2:$J$1068,MATCH($A109,'Historical Data'!$BE$2:$BE$1068,0)),"")</f>
        <v/>
      </c>
      <c r="J109" s="291">
        <f>IFERROR(INDEX('Historical Data'!$L$2:$L$1068,MATCH($A109,'Historical Data'!$BE$2:$BE$1068,0)),"")</f>
        <v/>
      </c>
      <c r="K109" s="293">
        <f>IFERROR(INDEX('Historical Data'!$M$2:$M$1068,MATCH($A109,'Historical Data'!$BE$2:$BE$1068,0)),"")</f>
        <v/>
      </c>
      <c r="L109" s="294">
        <f>IFERROR(INDEX('Historical Data'!$N$2:$N$1068,MATCH($A109,'Historical Data'!$BE$2:$BE$1068,0)),"")</f>
        <v/>
      </c>
      <c r="M109" s="294">
        <f>IFERROR(INDEX('Historical Data'!$Q$2:$Q$1068,MATCH($A109,'Historical Data'!$BE$2:$BE$1068,0)),"")</f>
        <v/>
      </c>
      <c r="N109" s="295">
        <f>IFERROR(INDEX('Historical Data'!$S$2:$S$1068,MATCH($A109,'Historical Data'!$BE$2:$BE$1068,0)),"")</f>
        <v/>
      </c>
      <c r="O109" s="294">
        <f>IFERROR(INDEX('Historical Data'!$AJ$2:$AJ$1068,MATCH($A109,'Historical Data'!$BE$2:$BE$1068,0)),"")</f>
        <v/>
      </c>
      <c r="P109" s="294">
        <f>IFERROR(INDEX('Historical Data'!$AK$2:$AK$1068,MATCH($A109,'Historical Data'!$BE$2:$BE$1068,0)),"")</f>
        <v/>
      </c>
      <c r="Q109" s="291">
        <f>IFERROR(INDEX('Historical Data'!$AA$2:$AA$1068,MATCH($A109,'Historical Data'!$BE$2:$BE$1068,0)),"")</f>
        <v/>
      </c>
      <c r="R109" s="291">
        <f>IFERROR(INDEX('Historical Data'!$AB$2:$AB$1068,MATCH($A109,'Historical Data'!$BE$2:$BE$1068,0)),"")</f>
        <v/>
      </c>
      <c r="S109" s="291">
        <f>IFERROR(INDEX('Historical Data'!$AN$2:$AN$1068,MATCH($A109,'Historical Data'!$BE$2:$BE$1068,0)),"")</f>
        <v/>
      </c>
      <c r="T109" s="291">
        <f>IFERROR(INDEX('Historical Data'!$AC$2:$AC$1068,MATCH($A109,'Historical Data'!$BE$2:$BE$1068,0)),"")</f>
        <v/>
      </c>
      <c r="U109" s="291">
        <f>IFERROR(INDEX('Historical Data'!$AE$2:$AE$1068,MATCH($A109,'Historical Data'!$BE$2:$BE$1068,0)),"")</f>
        <v/>
      </c>
      <c r="V109" s="291">
        <f>IFERROR(INDEX('Historical Data'!$AH$2:$AH$1068,MATCH($A109,'Historical Data'!$BE$2:$BE$1068,0)),"")</f>
        <v/>
      </c>
      <c r="W109" s="291">
        <f>IFERROR(INDEX('Historical Data'!$BC$2:$BC$1068,MATCH($A109,'Historical Data'!$BE$2:$BE$1068,0)),"")</f>
        <v/>
      </c>
      <c r="X109" s="290">
        <f>IF(B109="","",IF(W109=1,"NR + industry + position",IF(W109=2,"NR + ISO + position",IF(W109=3,"NR + industry",IF(W109=4,"NR + ISO",IF(W109=5,"NR + position",IF(W109=6,"NR only","book baseline"))))))&amp;"  ["&amp;IF(T109=1,"seasoned","unseasoned")&amp;IF(U109=1,", defaulted","")&amp;IF(V109=1,", open","")&amp;"]")</f>
        <v/>
      </c>
    </row>
    <row r="110">
      <c r="A110" s="290" t="n">
        <v>106</v>
      </c>
      <c r="B110" s="291">
        <f>IFERROR(INDEX('Historical Data'!$A$2:$A$1068,MATCH($A110,'Historical Data'!$BE$2:$BE$1068,0)),"")</f>
        <v/>
      </c>
      <c r="C110" s="291">
        <f>IFERROR(INDEX('Historical Data'!$B$2:$B$1068,MATCH($A110,'Historical Data'!$BE$2:$BE$1068,0)),"")</f>
        <v/>
      </c>
      <c r="D110" s="291">
        <f>IFERROR(INDEX('Historical Data'!$D$2:$D$1068,MATCH($A110,'Historical Data'!$BE$2:$BE$1068,0)),"")</f>
        <v/>
      </c>
      <c r="E110" s="292">
        <f>IFERROR(INDEX('Historical Data'!$E$2:$E$1068,MATCH($A110,'Historical Data'!$BE$2:$BE$1068,0)),"")</f>
        <v/>
      </c>
      <c r="F110" s="291">
        <f>IFERROR(INDEX('Historical Data'!$G$2:$G$1068,MATCH($A110,'Historical Data'!$BE$2:$BE$1068,0)),"")</f>
        <v/>
      </c>
      <c r="G110" s="291">
        <f>IFERROR(INDEX('Historical Data'!$Y$2:$Y$1068,MATCH($A110,'Historical Data'!$BE$2:$BE$1068,0)),"")</f>
        <v/>
      </c>
      <c r="H110" s="291">
        <f>IFERROR(INDEX('Historical Data'!$K$2:$K$1068,MATCH($A110,'Historical Data'!$BE$2:$BE$1068,0)),"")</f>
        <v/>
      </c>
      <c r="I110" s="291">
        <f>IFERROR(INDEX('Historical Data'!$J$2:$J$1068,MATCH($A110,'Historical Data'!$BE$2:$BE$1068,0)),"")</f>
        <v/>
      </c>
      <c r="J110" s="291">
        <f>IFERROR(INDEX('Historical Data'!$L$2:$L$1068,MATCH($A110,'Historical Data'!$BE$2:$BE$1068,0)),"")</f>
        <v/>
      </c>
      <c r="K110" s="293">
        <f>IFERROR(INDEX('Historical Data'!$M$2:$M$1068,MATCH($A110,'Historical Data'!$BE$2:$BE$1068,0)),"")</f>
        <v/>
      </c>
      <c r="L110" s="294">
        <f>IFERROR(INDEX('Historical Data'!$N$2:$N$1068,MATCH($A110,'Historical Data'!$BE$2:$BE$1068,0)),"")</f>
        <v/>
      </c>
      <c r="M110" s="294">
        <f>IFERROR(INDEX('Historical Data'!$Q$2:$Q$1068,MATCH($A110,'Historical Data'!$BE$2:$BE$1068,0)),"")</f>
        <v/>
      </c>
      <c r="N110" s="295">
        <f>IFERROR(INDEX('Historical Data'!$S$2:$S$1068,MATCH($A110,'Historical Data'!$BE$2:$BE$1068,0)),"")</f>
        <v/>
      </c>
      <c r="O110" s="294">
        <f>IFERROR(INDEX('Historical Data'!$AJ$2:$AJ$1068,MATCH($A110,'Historical Data'!$BE$2:$BE$1068,0)),"")</f>
        <v/>
      </c>
      <c r="P110" s="294">
        <f>IFERROR(INDEX('Historical Data'!$AK$2:$AK$1068,MATCH($A110,'Historical Data'!$BE$2:$BE$1068,0)),"")</f>
        <v/>
      </c>
      <c r="Q110" s="291">
        <f>IFERROR(INDEX('Historical Data'!$AA$2:$AA$1068,MATCH($A110,'Historical Data'!$BE$2:$BE$1068,0)),"")</f>
        <v/>
      </c>
      <c r="R110" s="291">
        <f>IFERROR(INDEX('Historical Data'!$AB$2:$AB$1068,MATCH($A110,'Historical Data'!$BE$2:$BE$1068,0)),"")</f>
        <v/>
      </c>
      <c r="S110" s="291">
        <f>IFERROR(INDEX('Historical Data'!$AN$2:$AN$1068,MATCH($A110,'Historical Data'!$BE$2:$BE$1068,0)),"")</f>
        <v/>
      </c>
      <c r="T110" s="291">
        <f>IFERROR(INDEX('Historical Data'!$AC$2:$AC$1068,MATCH($A110,'Historical Data'!$BE$2:$BE$1068,0)),"")</f>
        <v/>
      </c>
      <c r="U110" s="291">
        <f>IFERROR(INDEX('Historical Data'!$AE$2:$AE$1068,MATCH($A110,'Historical Data'!$BE$2:$BE$1068,0)),"")</f>
        <v/>
      </c>
      <c r="V110" s="291">
        <f>IFERROR(INDEX('Historical Data'!$AH$2:$AH$1068,MATCH($A110,'Historical Data'!$BE$2:$BE$1068,0)),"")</f>
        <v/>
      </c>
      <c r="W110" s="291">
        <f>IFERROR(INDEX('Historical Data'!$BC$2:$BC$1068,MATCH($A110,'Historical Data'!$BE$2:$BE$1068,0)),"")</f>
        <v/>
      </c>
      <c r="X110" s="290">
        <f>IF(B110="","",IF(W110=1,"NR + industry + position",IF(W110=2,"NR + ISO + position",IF(W110=3,"NR + industry",IF(W110=4,"NR + ISO",IF(W110=5,"NR + position",IF(W110=6,"NR only","book baseline"))))))&amp;"  ["&amp;IF(T110=1,"seasoned","unseasoned")&amp;IF(U110=1,", defaulted","")&amp;IF(V110=1,", open","")&amp;"]")</f>
        <v/>
      </c>
    </row>
    <row r="111">
      <c r="A111" s="290" t="n">
        <v>107</v>
      </c>
      <c r="B111" s="291">
        <f>IFERROR(INDEX('Historical Data'!$A$2:$A$1068,MATCH($A111,'Historical Data'!$BE$2:$BE$1068,0)),"")</f>
        <v/>
      </c>
      <c r="C111" s="291">
        <f>IFERROR(INDEX('Historical Data'!$B$2:$B$1068,MATCH($A111,'Historical Data'!$BE$2:$BE$1068,0)),"")</f>
        <v/>
      </c>
      <c r="D111" s="291">
        <f>IFERROR(INDEX('Historical Data'!$D$2:$D$1068,MATCH($A111,'Historical Data'!$BE$2:$BE$1068,0)),"")</f>
        <v/>
      </c>
      <c r="E111" s="292">
        <f>IFERROR(INDEX('Historical Data'!$E$2:$E$1068,MATCH($A111,'Historical Data'!$BE$2:$BE$1068,0)),"")</f>
        <v/>
      </c>
      <c r="F111" s="291">
        <f>IFERROR(INDEX('Historical Data'!$G$2:$G$1068,MATCH($A111,'Historical Data'!$BE$2:$BE$1068,0)),"")</f>
        <v/>
      </c>
      <c r="G111" s="291">
        <f>IFERROR(INDEX('Historical Data'!$Y$2:$Y$1068,MATCH($A111,'Historical Data'!$BE$2:$BE$1068,0)),"")</f>
        <v/>
      </c>
      <c r="H111" s="291">
        <f>IFERROR(INDEX('Historical Data'!$K$2:$K$1068,MATCH($A111,'Historical Data'!$BE$2:$BE$1068,0)),"")</f>
        <v/>
      </c>
      <c r="I111" s="291">
        <f>IFERROR(INDEX('Historical Data'!$J$2:$J$1068,MATCH($A111,'Historical Data'!$BE$2:$BE$1068,0)),"")</f>
        <v/>
      </c>
      <c r="J111" s="291">
        <f>IFERROR(INDEX('Historical Data'!$L$2:$L$1068,MATCH($A111,'Historical Data'!$BE$2:$BE$1068,0)),"")</f>
        <v/>
      </c>
      <c r="K111" s="293">
        <f>IFERROR(INDEX('Historical Data'!$M$2:$M$1068,MATCH($A111,'Historical Data'!$BE$2:$BE$1068,0)),"")</f>
        <v/>
      </c>
      <c r="L111" s="294">
        <f>IFERROR(INDEX('Historical Data'!$N$2:$N$1068,MATCH($A111,'Historical Data'!$BE$2:$BE$1068,0)),"")</f>
        <v/>
      </c>
      <c r="M111" s="294">
        <f>IFERROR(INDEX('Historical Data'!$Q$2:$Q$1068,MATCH($A111,'Historical Data'!$BE$2:$BE$1068,0)),"")</f>
        <v/>
      </c>
      <c r="N111" s="295">
        <f>IFERROR(INDEX('Historical Data'!$S$2:$S$1068,MATCH($A111,'Historical Data'!$BE$2:$BE$1068,0)),"")</f>
        <v/>
      </c>
      <c r="O111" s="294">
        <f>IFERROR(INDEX('Historical Data'!$AJ$2:$AJ$1068,MATCH($A111,'Historical Data'!$BE$2:$BE$1068,0)),"")</f>
        <v/>
      </c>
      <c r="P111" s="294">
        <f>IFERROR(INDEX('Historical Data'!$AK$2:$AK$1068,MATCH($A111,'Historical Data'!$BE$2:$BE$1068,0)),"")</f>
        <v/>
      </c>
      <c r="Q111" s="291">
        <f>IFERROR(INDEX('Historical Data'!$AA$2:$AA$1068,MATCH($A111,'Historical Data'!$BE$2:$BE$1068,0)),"")</f>
        <v/>
      </c>
      <c r="R111" s="291">
        <f>IFERROR(INDEX('Historical Data'!$AB$2:$AB$1068,MATCH($A111,'Historical Data'!$BE$2:$BE$1068,0)),"")</f>
        <v/>
      </c>
      <c r="S111" s="291">
        <f>IFERROR(INDEX('Historical Data'!$AN$2:$AN$1068,MATCH($A111,'Historical Data'!$BE$2:$BE$1068,0)),"")</f>
        <v/>
      </c>
      <c r="T111" s="291">
        <f>IFERROR(INDEX('Historical Data'!$AC$2:$AC$1068,MATCH($A111,'Historical Data'!$BE$2:$BE$1068,0)),"")</f>
        <v/>
      </c>
      <c r="U111" s="291">
        <f>IFERROR(INDEX('Historical Data'!$AE$2:$AE$1068,MATCH($A111,'Historical Data'!$BE$2:$BE$1068,0)),"")</f>
        <v/>
      </c>
      <c r="V111" s="291">
        <f>IFERROR(INDEX('Historical Data'!$AH$2:$AH$1068,MATCH($A111,'Historical Data'!$BE$2:$BE$1068,0)),"")</f>
        <v/>
      </c>
      <c r="W111" s="291">
        <f>IFERROR(INDEX('Historical Data'!$BC$2:$BC$1068,MATCH($A111,'Historical Data'!$BE$2:$BE$1068,0)),"")</f>
        <v/>
      </c>
      <c r="X111" s="290">
        <f>IF(B111="","",IF(W111=1,"NR + industry + position",IF(W111=2,"NR + ISO + position",IF(W111=3,"NR + industry",IF(W111=4,"NR + ISO",IF(W111=5,"NR + position",IF(W111=6,"NR only","book baseline"))))))&amp;"  ["&amp;IF(T111=1,"seasoned","unseasoned")&amp;IF(U111=1,", defaulted","")&amp;IF(V111=1,", open","")&amp;"]")</f>
        <v/>
      </c>
    </row>
    <row r="112">
      <c r="A112" s="290" t="n">
        <v>108</v>
      </c>
      <c r="B112" s="291">
        <f>IFERROR(INDEX('Historical Data'!$A$2:$A$1068,MATCH($A112,'Historical Data'!$BE$2:$BE$1068,0)),"")</f>
        <v/>
      </c>
      <c r="C112" s="291">
        <f>IFERROR(INDEX('Historical Data'!$B$2:$B$1068,MATCH($A112,'Historical Data'!$BE$2:$BE$1068,0)),"")</f>
        <v/>
      </c>
      <c r="D112" s="291">
        <f>IFERROR(INDEX('Historical Data'!$D$2:$D$1068,MATCH($A112,'Historical Data'!$BE$2:$BE$1068,0)),"")</f>
        <v/>
      </c>
      <c r="E112" s="292">
        <f>IFERROR(INDEX('Historical Data'!$E$2:$E$1068,MATCH($A112,'Historical Data'!$BE$2:$BE$1068,0)),"")</f>
        <v/>
      </c>
      <c r="F112" s="291">
        <f>IFERROR(INDEX('Historical Data'!$G$2:$G$1068,MATCH($A112,'Historical Data'!$BE$2:$BE$1068,0)),"")</f>
        <v/>
      </c>
      <c r="G112" s="291">
        <f>IFERROR(INDEX('Historical Data'!$Y$2:$Y$1068,MATCH($A112,'Historical Data'!$BE$2:$BE$1068,0)),"")</f>
        <v/>
      </c>
      <c r="H112" s="291">
        <f>IFERROR(INDEX('Historical Data'!$K$2:$K$1068,MATCH($A112,'Historical Data'!$BE$2:$BE$1068,0)),"")</f>
        <v/>
      </c>
      <c r="I112" s="291">
        <f>IFERROR(INDEX('Historical Data'!$J$2:$J$1068,MATCH($A112,'Historical Data'!$BE$2:$BE$1068,0)),"")</f>
        <v/>
      </c>
      <c r="J112" s="291">
        <f>IFERROR(INDEX('Historical Data'!$L$2:$L$1068,MATCH($A112,'Historical Data'!$BE$2:$BE$1068,0)),"")</f>
        <v/>
      </c>
      <c r="K112" s="293">
        <f>IFERROR(INDEX('Historical Data'!$M$2:$M$1068,MATCH($A112,'Historical Data'!$BE$2:$BE$1068,0)),"")</f>
        <v/>
      </c>
      <c r="L112" s="294">
        <f>IFERROR(INDEX('Historical Data'!$N$2:$N$1068,MATCH($A112,'Historical Data'!$BE$2:$BE$1068,0)),"")</f>
        <v/>
      </c>
      <c r="M112" s="294">
        <f>IFERROR(INDEX('Historical Data'!$Q$2:$Q$1068,MATCH($A112,'Historical Data'!$BE$2:$BE$1068,0)),"")</f>
        <v/>
      </c>
      <c r="N112" s="295">
        <f>IFERROR(INDEX('Historical Data'!$S$2:$S$1068,MATCH($A112,'Historical Data'!$BE$2:$BE$1068,0)),"")</f>
        <v/>
      </c>
      <c r="O112" s="294">
        <f>IFERROR(INDEX('Historical Data'!$AJ$2:$AJ$1068,MATCH($A112,'Historical Data'!$BE$2:$BE$1068,0)),"")</f>
        <v/>
      </c>
      <c r="P112" s="294">
        <f>IFERROR(INDEX('Historical Data'!$AK$2:$AK$1068,MATCH($A112,'Historical Data'!$BE$2:$BE$1068,0)),"")</f>
        <v/>
      </c>
      <c r="Q112" s="291">
        <f>IFERROR(INDEX('Historical Data'!$AA$2:$AA$1068,MATCH($A112,'Historical Data'!$BE$2:$BE$1068,0)),"")</f>
        <v/>
      </c>
      <c r="R112" s="291">
        <f>IFERROR(INDEX('Historical Data'!$AB$2:$AB$1068,MATCH($A112,'Historical Data'!$BE$2:$BE$1068,0)),"")</f>
        <v/>
      </c>
      <c r="S112" s="291">
        <f>IFERROR(INDEX('Historical Data'!$AN$2:$AN$1068,MATCH($A112,'Historical Data'!$BE$2:$BE$1068,0)),"")</f>
        <v/>
      </c>
      <c r="T112" s="291">
        <f>IFERROR(INDEX('Historical Data'!$AC$2:$AC$1068,MATCH($A112,'Historical Data'!$BE$2:$BE$1068,0)),"")</f>
        <v/>
      </c>
      <c r="U112" s="291">
        <f>IFERROR(INDEX('Historical Data'!$AE$2:$AE$1068,MATCH($A112,'Historical Data'!$BE$2:$BE$1068,0)),"")</f>
        <v/>
      </c>
      <c r="V112" s="291">
        <f>IFERROR(INDEX('Historical Data'!$AH$2:$AH$1068,MATCH($A112,'Historical Data'!$BE$2:$BE$1068,0)),"")</f>
        <v/>
      </c>
      <c r="W112" s="291">
        <f>IFERROR(INDEX('Historical Data'!$BC$2:$BC$1068,MATCH($A112,'Historical Data'!$BE$2:$BE$1068,0)),"")</f>
        <v/>
      </c>
      <c r="X112" s="290">
        <f>IF(B112="","",IF(W112=1,"NR + industry + position",IF(W112=2,"NR + ISO + position",IF(W112=3,"NR + industry",IF(W112=4,"NR + ISO",IF(W112=5,"NR + position",IF(W112=6,"NR only","book baseline"))))))&amp;"  ["&amp;IF(T112=1,"seasoned","unseasoned")&amp;IF(U112=1,", defaulted","")&amp;IF(V112=1,", open","")&amp;"]")</f>
        <v/>
      </c>
    </row>
    <row r="113">
      <c r="A113" s="290" t="n">
        <v>109</v>
      </c>
      <c r="B113" s="291">
        <f>IFERROR(INDEX('Historical Data'!$A$2:$A$1068,MATCH($A113,'Historical Data'!$BE$2:$BE$1068,0)),"")</f>
        <v/>
      </c>
      <c r="C113" s="291">
        <f>IFERROR(INDEX('Historical Data'!$B$2:$B$1068,MATCH($A113,'Historical Data'!$BE$2:$BE$1068,0)),"")</f>
        <v/>
      </c>
      <c r="D113" s="291">
        <f>IFERROR(INDEX('Historical Data'!$D$2:$D$1068,MATCH($A113,'Historical Data'!$BE$2:$BE$1068,0)),"")</f>
        <v/>
      </c>
      <c r="E113" s="292">
        <f>IFERROR(INDEX('Historical Data'!$E$2:$E$1068,MATCH($A113,'Historical Data'!$BE$2:$BE$1068,0)),"")</f>
        <v/>
      </c>
      <c r="F113" s="291">
        <f>IFERROR(INDEX('Historical Data'!$G$2:$G$1068,MATCH($A113,'Historical Data'!$BE$2:$BE$1068,0)),"")</f>
        <v/>
      </c>
      <c r="G113" s="291">
        <f>IFERROR(INDEX('Historical Data'!$Y$2:$Y$1068,MATCH($A113,'Historical Data'!$BE$2:$BE$1068,0)),"")</f>
        <v/>
      </c>
      <c r="H113" s="291">
        <f>IFERROR(INDEX('Historical Data'!$K$2:$K$1068,MATCH($A113,'Historical Data'!$BE$2:$BE$1068,0)),"")</f>
        <v/>
      </c>
      <c r="I113" s="291">
        <f>IFERROR(INDEX('Historical Data'!$J$2:$J$1068,MATCH($A113,'Historical Data'!$BE$2:$BE$1068,0)),"")</f>
        <v/>
      </c>
      <c r="J113" s="291">
        <f>IFERROR(INDEX('Historical Data'!$L$2:$L$1068,MATCH($A113,'Historical Data'!$BE$2:$BE$1068,0)),"")</f>
        <v/>
      </c>
      <c r="K113" s="293">
        <f>IFERROR(INDEX('Historical Data'!$M$2:$M$1068,MATCH($A113,'Historical Data'!$BE$2:$BE$1068,0)),"")</f>
        <v/>
      </c>
      <c r="L113" s="294">
        <f>IFERROR(INDEX('Historical Data'!$N$2:$N$1068,MATCH($A113,'Historical Data'!$BE$2:$BE$1068,0)),"")</f>
        <v/>
      </c>
      <c r="M113" s="294">
        <f>IFERROR(INDEX('Historical Data'!$Q$2:$Q$1068,MATCH($A113,'Historical Data'!$BE$2:$BE$1068,0)),"")</f>
        <v/>
      </c>
      <c r="N113" s="295">
        <f>IFERROR(INDEX('Historical Data'!$S$2:$S$1068,MATCH($A113,'Historical Data'!$BE$2:$BE$1068,0)),"")</f>
        <v/>
      </c>
      <c r="O113" s="294">
        <f>IFERROR(INDEX('Historical Data'!$AJ$2:$AJ$1068,MATCH($A113,'Historical Data'!$BE$2:$BE$1068,0)),"")</f>
        <v/>
      </c>
      <c r="P113" s="294">
        <f>IFERROR(INDEX('Historical Data'!$AK$2:$AK$1068,MATCH($A113,'Historical Data'!$BE$2:$BE$1068,0)),"")</f>
        <v/>
      </c>
      <c r="Q113" s="291">
        <f>IFERROR(INDEX('Historical Data'!$AA$2:$AA$1068,MATCH($A113,'Historical Data'!$BE$2:$BE$1068,0)),"")</f>
        <v/>
      </c>
      <c r="R113" s="291">
        <f>IFERROR(INDEX('Historical Data'!$AB$2:$AB$1068,MATCH($A113,'Historical Data'!$BE$2:$BE$1068,0)),"")</f>
        <v/>
      </c>
      <c r="S113" s="291">
        <f>IFERROR(INDEX('Historical Data'!$AN$2:$AN$1068,MATCH($A113,'Historical Data'!$BE$2:$BE$1068,0)),"")</f>
        <v/>
      </c>
      <c r="T113" s="291">
        <f>IFERROR(INDEX('Historical Data'!$AC$2:$AC$1068,MATCH($A113,'Historical Data'!$BE$2:$BE$1068,0)),"")</f>
        <v/>
      </c>
      <c r="U113" s="291">
        <f>IFERROR(INDEX('Historical Data'!$AE$2:$AE$1068,MATCH($A113,'Historical Data'!$BE$2:$BE$1068,0)),"")</f>
        <v/>
      </c>
      <c r="V113" s="291">
        <f>IFERROR(INDEX('Historical Data'!$AH$2:$AH$1068,MATCH($A113,'Historical Data'!$BE$2:$BE$1068,0)),"")</f>
        <v/>
      </c>
      <c r="W113" s="291">
        <f>IFERROR(INDEX('Historical Data'!$BC$2:$BC$1068,MATCH($A113,'Historical Data'!$BE$2:$BE$1068,0)),"")</f>
        <v/>
      </c>
      <c r="X113" s="290">
        <f>IF(B113="","",IF(W113=1,"NR + industry + position",IF(W113=2,"NR + ISO + position",IF(W113=3,"NR + industry",IF(W113=4,"NR + ISO",IF(W113=5,"NR + position",IF(W113=6,"NR only","book baseline"))))))&amp;"  ["&amp;IF(T113=1,"seasoned","unseasoned")&amp;IF(U113=1,", defaulted","")&amp;IF(V113=1,", open","")&amp;"]")</f>
        <v/>
      </c>
    </row>
    <row r="114">
      <c r="A114" s="290" t="n">
        <v>110</v>
      </c>
      <c r="B114" s="291">
        <f>IFERROR(INDEX('Historical Data'!$A$2:$A$1068,MATCH($A114,'Historical Data'!$BE$2:$BE$1068,0)),"")</f>
        <v/>
      </c>
      <c r="C114" s="291">
        <f>IFERROR(INDEX('Historical Data'!$B$2:$B$1068,MATCH($A114,'Historical Data'!$BE$2:$BE$1068,0)),"")</f>
        <v/>
      </c>
      <c r="D114" s="291">
        <f>IFERROR(INDEX('Historical Data'!$D$2:$D$1068,MATCH($A114,'Historical Data'!$BE$2:$BE$1068,0)),"")</f>
        <v/>
      </c>
      <c r="E114" s="292">
        <f>IFERROR(INDEX('Historical Data'!$E$2:$E$1068,MATCH($A114,'Historical Data'!$BE$2:$BE$1068,0)),"")</f>
        <v/>
      </c>
      <c r="F114" s="291">
        <f>IFERROR(INDEX('Historical Data'!$G$2:$G$1068,MATCH($A114,'Historical Data'!$BE$2:$BE$1068,0)),"")</f>
        <v/>
      </c>
      <c r="G114" s="291">
        <f>IFERROR(INDEX('Historical Data'!$Y$2:$Y$1068,MATCH($A114,'Historical Data'!$BE$2:$BE$1068,0)),"")</f>
        <v/>
      </c>
      <c r="H114" s="291">
        <f>IFERROR(INDEX('Historical Data'!$K$2:$K$1068,MATCH($A114,'Historical Data'!$BE$2:$BE$1068,0)),"")</f>
        <v/>
      </c>
      <c r="I114" s="291">
        <f>IFERROR(INDEX('Historical Data'!$J$2:$J$1068,MATCH($A114,'Historical Data'!$BE$2:$BE$1068,0)),"")</f>
        <v/>
      </c>
      <c r="J114" s="291">
        <f>IFERROR(INDEX('Historical Data'!$L$2:$L$1068,MATCH($A114,'Historical Data'!$BE$2:$BE$1068,0)),"")</f>
        <v/>
      </c>
      <c r="K114" s="293">
        <f>IFERROR(INDEX('Historical Data'!$M$2:$M$1068,MATCH($A114,'Historical Data'!$BE$2:$BE$1068,0)),"")</f>
        <v/>
      </c>
      <c r="L114" s="294">
        <f>IFERROR(INDEX('Historical Data'!$N$2:$N$1068,MATCH($A114,'Historical Data'!$BE$2:$BE$1068,0)),"")</f>
        <v/>
      </c>
      <c r="M114" s="294">
        <f>IFERROR(INDEX('Historical Data'!$Q$2:$Q$1068,MATCH($A114,'Historical Data'!$BE$2:$BE$1068,0)),"")</f>
        <v/>
      </c>
      <c r="N114" s="295">
        <f>IFERROR(INDEX('Historical Data'!$S$2:$S$1068,MATCH($A114,'Historical Data'!$BE$2:$BE$1068,0)),"")</f>
        <v/>
      </c>
      <c r="O114" s="294">
        <f>IFERROR(INDEX('Historical Data'!$AJ$2:$AJ$1068,MATCH($A114,'Historical Data'!$BE$2:$BE$1068,0)),"")</f>
        <v/>
      </c>
      <c r="P114" s="294">
        <f>IFERROR(INDEX('Historical Data'!$AK$2:$AK$1068,MATCH($A114,'Historical Data'!$BE$2:$BE$1068,0)),"")</f>
        <v/>
      </c>
      <c r="Q114" s="291">
        <f>IFERROR(INDEX('Historical Data'!$AA$2:$AA$1068,MATCH($A114,'Historical Data'!$BE$2:$BE$1068,0)),"")</f>
        <v/>
      </c>
      <c r="R114" s="291">
        <f>IFERROR(INDEX('Historical Data'!$AB$2:$AB$1068,MATCH($A114,'Historical Data'!$BE$2:$BE$1068,0)),"")</f>
        <v/>
      </c>
      <c r="S114" s="291">
        <f>IFERROR(INDEX('Historical Data'!$AN$2:$AN$1068,MATCH($A114,'Historical Data'!$BE$2:$BE$1068,0)),"")</f>
        <v/>
      </c>
      <c r="T114" s="291">
        <f>IFERROR(INDEX('Historical Data'!$AC$2:$AC$1068,MATCH($A114,'Historical Data'!$BE$2:$BE$1068,0)),"")</f>
        <v/>
      </c>
      <c r="U114" s="291">
        <f>IFERROR(INDEX('Historical Data'!$AE$2:$AE$1068,MATCH($A114,'Historical Data'!$BE$2:$BE$1068,0)),"")</f>
        <v/>
      </c>
      <c r="V114" s="291">
        <f>IFERROR(INDEX('Historical Data'!$AH$2:$AH$1068,MATCH($A114,'Historical Data'!$BE$2:$BE$1068,0)),"")</f>
        <v/>
      </c>
      <c r="W114" s="291">
        <f>IFERROR(INDEX('Historical Data'!$BC$2:$BC$1068,MATCH($A114,'Historical Data'!$BE$2:$BE$1068,0)),"")</f>
        <v/>
      </c>
      <c r="X114" s="290">
        <f>IF(B114="","",IF(W114=1,"NR + industry + position",IF(W114=2,"NR + ISO + position",IF(W114=3,"NR + industry",IF(W114=4,"NR + ISO",IF(W114=5,"NR + position",IF(W114=6,"NR only","book baseline"))))))&amp;"  ["&amp;IF(T114=1,"seasoned","unseasoned")&amp;IF(U114=1,", defaulted","")&amp;IF(V114=1,", open","")&amp;"]")</f>
        <v/>
      </c>
    </row>
    <row r="115">
      <c r="A115" s="290" t="n">
        <v>111</v>
      </c>
      <c r="B115" s="291">
        <f>IFERROR(INDEX('Historical Data'!$A$2:$A$1068,MATCH($A115,'Historical Data'!$BE$2:$BE$1068,0)),"")</f>
        <v/>
      </c>
      <c r="C115" s="291">
        <f>IFERROR(INDEX('Historical Data'!$B$2:$B$1068,MATCH($A115,'Historical Data'!$BE$2:$BE$1068,0)),"")</f>
        <v/>
      </c>
      <c r="D115" s="291">
        <f>IFERROR(INDEX('Historical Data'!$D$2:$D$1068,MATCH($A115,'Historical Data'!$BE$2:$BE$1068,0)),"")</f>
        <v/>
      </c>
      <c r="E115" s="292">
        <f>IFERROR(INDEX('Historical Data'!$E$2:$E$1068,MATCH($A115,'Historical Data'!$BE$2:$BE$1068,0)),"")</f>
        <v/>
      </c>
      <c r="F115" s="291">
        <f>IFERROR(INDEX('Historical Data'!$G$2:$G$1068,MATCH($A115,'Historical Data'!$BE$2:$BE$1068,0)),"")</f>
        <v/>
      </c>
      <c r="G115" s="291">
        <f>IFERROR(INDEX('Historical Data'!$Y$2:$Y$1068,MATCH($A115,'Historical Data'!$BE$2:$BE$1068,0)),"")</f>
        <v/>
      </c>
      <c r="H115" s="291">
        <f>IFERROR(INDEX('Historical Data'!$K$2:$K$1068,MATCH($A115,'Historical Data'!$BE$2:$BE$1068,0)),"")</f>
        <v/>
      </c>
      <c r="I115" s="291">
        <f>IFERROR(INDEX('Historical Data'!$J$2:$J$1068,MATCH($A115,'Historical Data'!$BE$2:$BE$1068,0)),"")</f>
        <v/>
      </c>
      <c r="J115" s="291">
        <f>IFERROR(INDEX('Historical Data'!$L$2:$L$1068,MATCH($A115,'Historical Data'!$BE$2:$BE$1068,0)),"")</f>
        <v/>
      </c>
      <c r="K115" s="293">
        <f>IFERROR(INDEX('Historical Data'!$M$2:$M$1068,MATCH($A115,'Historical Data'!$BE$2:$BE$1068,0)),"")</f>
        <v/>
      </c>
      <c r="L115" s="294">
        <f>IFERROR(INDEX('Historical Data'!$N$2:$N$1068,MATCH($A115,'Historical Data'!$BE$2:$BE$1068,0)),"")</f>
        <v/>
      </c>
      <c r="M115" s="294">
        <f>IFERROR(INDEX('Historical Data'!$Q$2:$Q$1068,MATCH($A115,'Historical Data'!$BE$2:$BE$1068,0)),"")</f>
        <v/>
      </c>
      <c r="N115" s="295">
        <f>IFERROR(INDEX('Historical Data'!$S$2:$S$1068,MATCH($A115,'Historical Data'!$BE$2:$BE$1068,0)),"")</f>
        <v/>
      </c>
      <c r="O115" s="294">
        <f>IFERROR(INDEX('Historical Data'!$AJ$2:$AJ$1068,MATCH($A115,'Historical Data'!$BE$2:$BE$1068,0)),"")</f>
        <v/>
      </c>
      <c r="P115" s="294">
        <f>IFERROR(INDEX('Historical Data'!$AK$2:$AK$1068,MATCH($A115,'Historical Data'!$BE$2:$BE$1068,0)),"")</f>
        <v/>
      </c>
      <c r="Q115" s="291">
        <f>IFERROR(INDEX('Historical Data'!$AA$2:$AA$1068,MATCH($A115,'Historical Data'!$BE$2:$BE$1068,0)),"")</f>
        <v/>
      </c>
      <c r="R115" s="291">
        <f>IFERROR(INDEX('Historical Data'!$AB$2:$AB$1068,MATCH($A115,'Historical Data'!$BE$2:$BE$1068,0)),"")</f>
        <v/>
      </c>
      <c r="S115" s="291">
        <f>IFERROR(INDEX('Historical Data'!$AN$2:$AN$1068,MATCH($A115,'Historical Data'!$BE$2:$BE$1068,0)),"")</f>
        <v/>
      </c>
      <c r="T115" s="291">
        <f>IFERROR(INDEX('Historical Data'!$AC$2:$AC$1068,MATCH($A115,'Historical Data'!$BE$2:$BE$1068,0)),"")</f>
        <v/>
      </c>
      <c r="U115" s="291">
        <f>IFERROR(INDEX('Historical Data'!$AE$2:$AE$1068,MATCH($A115,'Historical Data'!$BE$2:$BE$1068,0)),"")</f>
        <v/>
      </c>
      <c r="V115" s="291">
        <f>IFERROR(INDEX('Historical Data'!$AH$2:$AH$1068,MATCH($A115,'Historical Data'!$BE$2:$BE$1068,0)),"")</f>
        <v/>
      </c>
      <c r="W115" s="291">
        <f>IFERROR(INDEX('Historical Data'!$BC$2:$BC$1068,MATCH($A115,'Historical Data'!$BE$2:$BE$1068,0)),"")</f>
        <v/>
      </c>
      <c r="X115" s="290">
        <f>IF(B115="","",IF(W115=1,"NR + industry + position",IF(W115=2,"NR + ISO + position",IF(W115=3,"NR + industry",IF(W115=4,"NR + ISO",IF(W115=5,"NR + position",IF(W115=6,"NR only","book baseline"))))))&amp;"  ["&amp;IF(T115=1,"seasoned","unseasoned")&amp;IF(U115=1,", defaulted","")&amp;IF(V115=1,", open","")&amp;"]")</f>
        <v/>
      </c>
    </row>
    <row r="116">
      <c r="A116" s="290" t="n">
        <v>112</v>
      </c>
      <c r="B116" s="291">
        <f>IFERROR(INDEX('Historical Data'!$A$2:$A$1068,MATCH($A116,'Historical Data'!$BE$2:$BE$1068,0)),"")</f>
        <v/>
      </c>
      <c r="C116" s="291">
        <f>IFERROR(INDEX('Historical Data'!$B$2:$B$1068,MATCH($A116,'Historical Data'!$BE$2:$BE$1068,0)),"")</f>
        <v/>
      </c>
      <c r="D116" s="291">
        <f>IFERROR(INDEX('Historical Data'!$D$2:$D$1068,MATCH($A116,'Historical Data'!$BE$2:$BE$1068,0)),"")</f>
        <v/>
      </c>
      <c r="E116" s="292">
        <f>IFERROR(INDEX('Historical Data'!$E$2:$E$1068,MATCH($A116,'Historical Data'!$BE$2:$BE$1068,0)),"")</f>
        <v/>
      </c>
      <c r="F116" s="291">
        <f>IFERROR(INDEX('Historical Data'!$G$2:$G$1068,MATCH($A116,'Historical Data'!$BE$2:$BE$1068,0)),"")</f>
        <v/>
      </c>
      <c r="G116" s="291">
        <f>IFERROR(INDEX('Historical Data'!$Y$2:$Y$1068,MATCH($A116,'Historical Data'!$BE$2:$BE$1068,0)),"")</f>
        <v/>
      </c>
      <c r="H116" s="291">
        <f>IFERROR(INDEX('Historical Data'!$K$2:$K$1068,MATCH($A116,'Historical Data'!$BE$2:$BE$1068,0)),"")</f>
        <v/>
      </c>
      <c r="I116" s="291">
        <f>IFERROR(INDEX('Historical Data'!$J$2:$J$1068,MATCH($A116,'Historical Data'!$BE$2:$BE$1068,0)),"")</f>
        <v/>
      </c>
      <c r="J116" s="291">
        <f>IFERROR(INDEX('Historical Data'!$L$2:$L$1068,MATCH($A116,'Historical Data'!$BE$2:$BE$1068,0)),"")</f>
        <v/>
      </c>
      <c r="K116" s="293">
        <f>IFERROR(INDEX('Historical Data'!$M$2:$M$1068,MATCH($A116,'Historical Data'!$BE$2:$BE$1068,0)),"")</f>
        <v/>
      </c>
      <c r="L116" s="294">
        <f>IFERROR(INDEX('Historical Data'!$N$2:$N$1068,MATCH($A116,'Historical Data'!$BE$2:$BE$1068,0)),"")</f>
        <v/>
      </c>
      <c r="M116" s="294">
        <f>IFERROR(INDEX('Historical Data'!$Q$2:$Q$1068,MATCH($A116,'Historical Data'!$BE$2:$BE$1068,0)),"")</f>
        <v/>
      </c>
      <c r="N116" s="295">
        <f>IFERROR(INDEX('Historical Data'!$S$2:$S$1068,MATCH($A116,'Historical Data'!$BE$2:$BE$1068,0)),"")</f>
        <v/>
      </c>
      <c r="O116" s="294">
        <f>IFERROR(INDEX('Historical Data'!$AJ$2:$AJ$1068,MATCH($A116,'Historical Data'!$BE$2:$BE$1068,0)),"")</f>
        <v/>
      </c>
      <c r="P116" s="294">
        <f>IFERROR(INDEX('Historical Data'!$AK$2:$AK$1068,MATCH($A116,'Historical Data'!$BE$2:$BE$1068,0)),"")</f>
        <v/>
      </c>
      <c r="Q116" s="291">
        <f>IFERROR(INDEX('Historical Data'!$AA$2:$AA$1068,MATCH($A116,'Historical Data'!$BE$2:$BE$1068,0)),"")</f>
        <v/>
      </c>
      <c r="R116" s="291">
        <f>IFERROR(INDEX('Historical Data'!$AB$2:$AB$1068,MATCH($A116,'Historical Data'!$BE$2:$BE$1068,0)),"")</f>
        <v/>
      </c>
      <c r="S116" s="291">
        <f>IFERROR(INDEX('Historical Data'!$AN$2:$AN$1068,MATCH($A116,'Historical Data'!$BE$2:$BE$1068,0)),"")</f>
        <v/>
      </c>
      <c r="T116" s="291">
        <f>IFERROR(INDEX('Historical Data'!$AC$2:$AC$1068,MATCH($A116,'Historical Data'!$BE$2:$BE$1068,0)),"")</f>
        <v/>
      </c>
      <c r="U116" s="291">
        <f>IFERROR(INDEX('Historical Data'!$AE$2:$AE$1068,MATCH($A116,'Historical Data'!$BE$2:$BE$1068,0)),"")</f>
        <v/>
      </c>
      <c r="V116" s="291">
        <f>IFERROR(INDEX('Historical Data'!$AH$2:$AH$1068,MATCH($A116,'Historical Data'!$BE$2:$BE$1068,0)),"")</f>
        <v/>
      </c>
      <c r="W116" s="291">
        <f>IFERROR(INDEX('Historical Data'!$BC$2:$BC$1068,MATCH($A116,'Historical Data'!$BE$2:$BE$1068,0)),"")</f>
        <v/>
      </c>
      <c r="X116" s="290">
        <f>IF(B116="","",IF(W116=1,"NR + industry + position",IF(W116=2,"NR + ISO + position",IF(W116=3,"NR + industry",IF(W116=4,"NR + ISO",IF(W116=5,"NR + position",IF(W116=6,"NR only","book baseline"))))))&amp;"  ["&amp;IF(T116=1,"seasoned","unseasoned")&amp;IF(U116=1,", defaulted","")&amp;IF(V116=1,", open","")&amp;"]")</f>
        <v/>
      </c>
    </row>
    <row r="117">
      <c r="A117" s="290" t="n">
        <v>113</v>
      </c>
      <c r="B117" s="291">
        <f>IFERROR(INDEX('Historical Data'!$A$2:$A$1068,MATCH($A117,'Historical Data'!$BE$2:$BE$1068,0)),"")</f>
        <v/>
      </c>
      <c r="C117" s="291">
        <f>IFERROR(INDEX('Historical Data'!$B$2:$B$1068,MATCH($A117,'Historical Data'!$BE$2:$BE$1068,0)),"")</f>
        <v/>
      </c>
      <c r="D117" s="291">
        <f>IFERROR(INDEX('Historical Data'!$D$2:$D$1068,MATCH($A117,'Historical Data'!$BE$2:$BE$1068,0)),"")</f>
        <v/>
      </c>
      <c r="E117" s="292">
        <f>IFERROR(INDEX('Historical Data'!$E$2:$E$1068,MATCH($A117,'Historical Data'!$BE$2:$BE$1068,0)),"")</f>
        <v/>
      </c>
      <c r="F117" s="291">
        <f>IFERROR(INDEX('Historical Data'!$G$2:$G$1068,MATCH($A117,'Historical Data'!$BE$2:$BE$1068,0)),"")</f>
        <v/>
      </c>
      <c r="G117" s="291">
        <f>IFERROR(INDEX('Historical Data'!$Y$2:$Y$1068,MATCH($A117,'Historical Data'!$BE$2:$BE$1068,0)),"")</f>
        <v/>
      </c>
      <c r="H117" s="291">
        <f>IFERROR(INDEX('Historical Data'!$K$2:$K$1068,MATCH($A117,'Historical Data'!$BE$2:$BE$1068,0)),"")</f>
        <v/>
      </c>
      <c r="I117" s="291">
        <f>IFERROR(INDEX('Historical Data'!$J$2:$J$1068,MATCH($A117,'Historical Data'!$BE$2:$BE$1068,0)),"")</f>
        <v/>
      </c>
      <c r="J117" s="291">
        <f>IFERROR(INDEX('Historical Data'!$L$2:$L$1068,MATCH($A117,'Historical Data'!$BE$2:$BE$1068,0)),"")</f>
        <v/>
      </c>
      <c r="K117" s="293">
        <f>IFERROR(INDEX('Historical Data'!$M$2:$M$1068,MATCH($A117,'Historical Data'!$BE$2:$BE$1068,0)),"")</f>
        <v/>
      </c>
      <c r="L117" s="294">
        <f>IFERROR(INDEX('Historical Data'!$N$2:$N$1068,MATCH($A117,'Historical Data'!$BE$2:$BE$1068,0)),"")</f>
        <v/>
      </c>
      <c r="M117" s="294">
        <f>IFERROR(INDEX('Historical Data'!$Q$2:$Q$1068,MATCH($A117,'Historical Data'!$BE$2:$BE$1068,0)),"")</f>
        <v/>
      </c>
      <c r="N117" s="295">
        <f>IFERROR(INDEX('Historical Data'!$S$2:$S$1068,MATCH($A117,'Historical Data'!$BE$2:$BE$1068,0)),"")</f>
        <v/>
      </c>
      <c r="O117" s="294">
        <f>IFERROR(INDEX('Historical Data'!$AJ$2:$AJ$1068,MATCH($A117,'Historical Data'!$BE$2:$BE$1068,0)),"")</f>
        <v/>
      </c>
      <c r="P117" s="294">
        <f>IFERROR(INDEX('Historical Data'!$AK$2:$AK$1068,MATCH($A117,'Historical Data'!$BE$2:$BE$1068,0)),"")</f>
        <v/>
      </c>
      <c r="Q117" s="291">
        <f>IFERROR(INDEX('Historical Data'!$AA$2:$AA$1068,MATCH($A117,'Historical Data'!$BE$2:$BE$1068,0)),"")</f>
        <v/>
      </c>
      <c r="R117" s="291">
        <f>IFERROR(INDEX('Historical Data'!$AB$2:$AB$1068,MATCH($A117,'Historical Data'!$BE$2:$BE$1068,0)),"")</f>
        <v/>
      </c>
      <c r="S117" s="291">
        <f>IFERROR(INDEX('Historical Data'!$AN$2:$AN$1068,MATCH($A117,'Historical Data'!$BE$2:$BE$1068,0)),"")</f>
        <v/>
      </c>
      <c r="T117" s="291">
        <f>IFERROR(INDEX('Historical Data'!$AC$2:$AC$1068,MATCH($A117,'Historical Data'!$BE$2:$BE$1068,0)),"")</f>
        <v/>
      </c>
      <c r="U117" s="291">
        <f>IFERROR(INDEX('Historical Data'!$AE$2:$AE$1068,MATCH($A117,'Historical Data'!$BE$2:$BE$1068,0)),"")</f>
        <v/>
      </c>
      <c r="V117" s="291">
        <f>IFERROR(INDEX('Historical Data'!$AH$2:$AH$1068,MATCH($A117,'Historical Data'!$BE$2:$BE$1068,0)),"")</f>
        <v/>
      </c>
      <c r="W117" s="291">
        <f>IFERROR(INDEX('Historical Data'!$BC$2:$BC$1068,MATCH($A117,'Historical Data'!$BE$2:$BE$1068,0)),"")</f>
        <v/>
      </c>
      <c r="X117" s="290">
        <f>IF(B117="","",IF(W117=1,"NR + industry + position",IF(W117=2,"NR + ISO + position",IF(W117=3,"NR + industry",IF(W117=4,"NR + ISO",IF(W117=5,"NR + position",IF(W117=6,"NR only","book baseline"))))))&amp;"  ["&amp;IF(T117=1,"seasoned","unseasoned")&amp;IF(U117=1,", defaulted","")&amp;IF(V117=1,", open","")&amp;"]")</f>
        <v/>
      </c>
    </row>
    <row r="118">
      <c r="A118" s="290" t="n">
        <v>114</v>
      </c>
      <c r="B118" s="291">
        <f>IFERROR(INDEX('Historical Data'!$A$2:$A$1068,MATCH($A118,'Historical Data'!$BE$2:$BE$1068,0)),"")</f>
        <v/>
      </c>
      <c r="C118" s="291">
        <f>IFERROR(INDEX('Historical Data'!$B$2:$B$1068,MATCH($A118,'Historical Data'!$BE$2:$BE$1068,0)),"")</f>
        <v/>
      </c>
      <c r="D118" s="291">
        <f>IFERROR(INDEX('Historical Data'!$D$2:$D$1068,MATCH($A118,'Historical Data'!$BE$2:$BE$1068,0)),"")</f>
        <v/>
      </c>
      <c r="E118" s="292">
        <f>IFERROR(INDEX('Historical Data'!$E$2:$E$1068,MATCH($A118,'Historical Data'!$BE$2:$BE$1068,0)),"")</f>
        <v/>
      </c>
      <c r="F118" s="291">
        <f>IFERROR(INDEX('Historical Data'!$G$2:$G$1068,MATCH($A118,'Historical Data'!$BE$2:$BE$1068,0)),"")</f>
        <v/>
      </c>
      <c r="G118" s="291">
        <f>IFERROR(INDEX('Historical Data'!$Y$2:$Y$1068,MATCH($A118,'Historical Data'!$BE$2:$BE$1068,0)),"")</f>
        <v/>
      </c>
      <c r="H118" s="291">
        <f>IFERROR(INDEX('Historical Data'!$K$2:$K$1068,MATCH($A118,'Historical Data'!$BE$2:$BE$1068,0)),"")</f>
        <v/>
      </c>
      <c r="I118" s="291">
        <f>IFERROR(INDEX('Historical Data'!$J$2:$J$1068,MATCH($A118,'Historical Data'!$BE$2:$BE$1068,0)),"")</f>
        <v/>
      </c>
      <c r="J118" s="291">
        <f>IFERROR(INDEX('Historical Data'!$L$2:$L$1068,MATCH($A118,'Historical Data'!$BE$2:$BE$1068,0)),"")</f>
        <v/>
      </c>
      <c r="K118" s="293">
        <f>IFERROR(INDEX('Historical Data'!$M$2:$M$1068,MATCH($A118,'Historical Data'!$BE$2:$BE$1068,0)),"")</f>
        <v/>
      </c>
      <c r="L118" s="294">
        <f>IFERROR(INDEX('Historical Data'!$N$2:$N$1068,MATCH($A118,'Historical Data'!$BE$2:$BE$1068,0)),"")</f>
        <v/>
      </c>
      <c r="M118" s="294">
        <f>IFERROR(INDEX('Historical Data'!$Q$2:$Q$1068,MATCH($A118,'Historical Data'!$BE$2:$BE$1068,0)),"")</f>
        <v/>
      </c>
      <c r="N118" s="295">
        <f>IFERROR(INDEX('Historical Data'!$S$2:$S$1068,MATCH($A118,'Historical Data'!$BE$2:$BE$1068,0)),"")</f>
        <v/>
      </c>
      <c r="O118" s="294">
        <f>IFERROR(INDEX('Historical Data'!$AJ$2:$AJ$1068,MATCH($A118,'Historical Data'!$BE$2:$BE$1068,0)),"")</f>
        <v/>
      </c>
      <c r="P118" s="294">
        <f>IFERROR(INDEX('Historical Data'!$AK$2:$AK$1068,MATCH($A118,'Historical Data'!$BE$2:$BE$1068,0)),"")</f>
        <v/>
      </c>
      <c r="Q118" s="291">
        <f>IFERROR(INDEX('Historical Data'!$AA$2:$AA$1068,MATCH($A118,'Historical Data'!$BE$2:$BE$1068,0)),"")</f>
        <v/>
      </c>
      <c r="R118" s="291">
        <f>IFERROR(INDEX('Historical Data'!$AB$2:$AB$1068,MATCH($A118,'Historical Data'!$BE$2:$BE$1068,0)),"")</f>
        <v/>
      </c>
      <c r="S118" s="291">
        <f>IFERROR(INDEX('Historical Data'!$AN$2:$AN$1068,MATCH($A118,'Historical Data'!$BE$2:$BE$1068,0)),"")</f>
        <v/>
      </c>
      <c r="T118" s="291">
        <f>IFERROR(INDEX('Historical Data'!$AC$2:$AC$1068,MATCH($A118,'Historical Data'!$BE$2:$BE$1068,0)),"")</f>
        <v/>
      </c>
      <c r="U118" s="291">
        <f>IFERROR(INDEX('Historical Data'!$AE$2:$AE$1068,MATCH($A118,'Historical Data'!$BE$2:$BE$1068,0)),"")</f>
        <v/>
      </c>
      <c r="V118" s="291">
        <f>IFERROR(INDEX('Historical Data'!$AH$2:$AH$1068,MATCH($A118,'Historical Data'!$BE$2:$BE$1068,0)),"")</f>
        <v/>
      </c>
      <c r="W118" s="291">
        <f>IFERROR(INDEX('Historical Data'!$BC$2:$BC$1068,MATCH($A118,'Historical Data'!$BE$2:$BE$1068,0)),"")</f>
        <v/>
      </c>
      <c r="X118" s="290">
        <f>IF(B118="","",IF(W118=1,"NR + industry + position",IF(W118=2,"NR + ISO + position",IF(W118=3,"NR + industry",IF(W118=4,"NR + ISO",IF(W118=5,"NR + position",IF(W118=6,"NR only","book baseline"))))))&amp;"  ["&amp;IF(T118=1,"seasoned","unseasoned")&amp;IF(U118=1,", defaulted","")&amp;IF(V118=1,", open","")&amp;"]")</f>
        <v/>
      </c>
    </row>
    <row r="119">
      <c r="A119" s="290" t="n">
        <v>115</v>
      </c>
      <c r="B119" s="291">
        <f>IFERROR(INDEX('Historical Data'!$A$2:$A$1068,MATCH($A119,'Historical Data'!$BE$2:$BE$1068,0)),"")</f>
        <v/>
      </c>
      <c r="C119" s="291">
        <f>IFERROR(INDEX('Historical Data'!$B$2:$B$1068,MATCH($A119,'Historical Data'!$BE$2:$BE$1068,0)),"")</f>
        <v/>
      </c>
      <c r="D119" s="291">
        <f>IFERROR(INDEX('Historical Data'!$D$2:$D$1068,MATCH($A119,'Historical Data'!$BE$2:$BE$1068,0)),"")</f>
        <v/>
      </c>
      <c r="E119" s="292">
        <f>IFERROR(INDEX('Historical Data'!$E$2:$E$1068,MATCH($A119,'Historical Data'!$BE$2:$BE$1068,0)),"")</f>
        <v/>
      </c>
      <c r="F119" s="291">
        <f>IFERROR(INDEX('Historical Data'!$G$2:$G$1068,MATCH($A119,'Historical Data'!$BE$2:$BE$1068,0)),"")</f>
        <v/>
      </c>
      <c r="G119" s="291">
        <f>IFERROR(INDEX('Historical Data'!$Y$2:$Y$1068,MATCH($A119,'Historical Data'!$BE$2:$BE$1068,0)),"")</f>
        <v/>
      </c>
      <c r="H119" s="291">
        <f>IFERROR(INDEX('Historical Data'!$K$2:$K$1068,MATCH($A119,'Historical Data'!$BE$2:$BE$1068,0)),"")</f>
        <v/>
      </c>
      <c r="I119" s="291">
        <f>IFERROR(INDEX('Historical Data'!$J$2:$J$1068,MATCH($A119,'Historical Data'!$BE$2:$BE$1068,0)),"")</f>
        <v/>
      </c>
      <c r="J119" s="291">
        <f>IFERROR(INDEX('Historical Data'!$L$2:$L$1068,MATCH($A119,'Historical Data'!$BE$2:$BE$1068,0)),"")</f>
        <v/>
      </c>
      <c r="K119" s="293">
        <f>IFERROR(INDEX('Historical Data'!$M$2:$M$1068,MATCH($A119,'Historical Data'!$BE$2:$BE$1068,0)),"")</f>
        <v/>
      </c>
      <c r="L119" s="294">
        <f>IFERROR(INDEX('Historical Data'!$N$2:$N$1068,MATCH($A119,'Historical Data'!$BE$2:$BE$1068,0)),"")</f>
        <v/>
      </c>
      <c r="M119" s="294">
        <f>IFERROR(INDEX('Historical Data'!$Q$2:$Q$1068,MATCH($A119,'Historical Data'!$BE$2:$BE$1068,0)),"")</f>
        <v/>
      </c>
      <c r="N119" s="295">
        <f>IFERROR(INDEX('Historical Data'!$S$2:$S$1068,MATCH($A119,'Historical Data'!$BE$2:$BE$1068,0)),"")</f>
        <v/>
      </c>
      <c r="O119" s="294">
        <f>IFERROR(INDEX('Historical Data'!$AJ$2:$AJ$1068,MATCH($A119,'Historical Data'!$BE$2:$BE$1068,0)),"")</f>
        <v/>
      </c>
      <c r="P119" s="294">
        <f>IFERROR(INDEX('Historical Data'!$AK$2:$AK$1068,MATCH($A119,'Historical Data'!$BE$2:$BE$1068,0)),"")</f>
        <v/>
      </c>
      <c r="Q119" s="291">
        <f>IFERROR(INDEX('Historical Data'!$AA$2:$AA$1068,MATCH($A119,'Historical Data'!$BE$2:$BE$1068,0)),"")</f>
        <v/>
      </c>
      <c r="R119" s="291">
        <f>IFERROR(INDEX('Historical Data'!$AB$2:$AB$1068,MATCH($A119,'Historical Data'!$BE$2:$BE$1068,0)),"")</f>
        <v/>
      </c>
      <c r="S119" s="291">
        <f>IFERROR(INDEX('Historical Data'!$AN$2:$AN$1068,MATCH($A119,'Historical Data'!$BE$2:$BE$1068,0)),"")</f>
        <v/>
      </c>
      <c r="T119" s="291">
        <f>IFERROR(INDEX('Historical Data'!$AC$2:$AC$1068,MATCH($A119,'Historical Data'!$BE$2:$BE$1068,0)),"")</f>
        <v/>
      </c>
      <c r="U119" s="291">
        <f>IFERROR(INDEX('Historical Data'!$AE$2:$AE$1068,MATCH($A119,'Historical Data'!$BE$2:$BE$1068,0)),"")</f>
        <v/>
      </c>
      <c r="V119" s="291">
        <f>IFERROR(INDEX('Historical Data'!$AH$2:$AH$1068,MATCH($A119,'Historical Data'!$BE$2:$BE$1068,0)),"")</f>
        <v/>
      </c>
      <c r="W119" s="291">
        <f>IFERROR(INDEX('Historical Data'!$BC$2:$BC$1068,MATCH($A119,'Historical Data'!$BE$2:$BE$1068,0)),"")</f>
        <v/>
      </c>
      <c r="X119" s="290">
        <f>IF(B119="","",IF(W119=1,"NR + industry + position",IF(W119=2,"NR + ISO + position",IF(W119=3,"NR + industry",IF(W119=4,"NR + ISO",IF(W119=5,"NR + position",IF(W119=6,"NR only","book baseline"))))))&amp;"  ["&amp;IF(T119=1,"seasoned","unseasoned")&amp;IF(U119=1,", defaulted","")&amp;IF(V119=1,", open","")&amp;"]")</f>
        <v/>
      </c>
    </row>
    <row r="120">
      <c r="A120" s="290" t="n">
        <v>116</v>
      </c>
      <c r="B120" s="291">
        <f>IFERROR(INDEX('Historical Data'!$A$2:$A$1068,MATCH($A120,'Historical Data'!$BE$2:$BE$1068,0)),"")</f>
        <v/>
      </c>
      <c r="C120" s="291">
        <f>IFERROR(INDEX('Historical Data'!$B$2:$B$1068,MATCH($A120,'Historical Data'!$BE$2:$BE$1068,0)),"")</f>
        <v/>
      </c>
      <c r="D120" s="291">
        <f>IFERROR(INDEX('Historical Data'!$D$2:$D$1068,MATCH($A120,'Historical Data'!$BE$2:$BE$1068,0)),"")</f>
        <v/>
      </c>
      <c r="E120" s="292">
        <f>IFERROR(INDEX('Historical Data'!$E$2:$E$1068,MATCH($A120,'Historical Data'!$BE$2:$BE$1068,0)),"")</f>
        <v/>
      </c>
      <c r="F120" s="291">
        <f>IFERROR(INDEX('Historical Data'!$G$2:$G$1068,MATCH($A120,'Historical Data'!$BE$2:$BE$1068,0)),"")</f>
        <v/>
      </c>
      <c r="G120" s="291">
        <f>IFERROR(INDEX('Historical Data'!$Y$2:$Y$1068,MATCH($A120,'Historical Data'!$BE$2:$BE$1068,0)),"")</f>
        <v/>
      </c>
      <c r="H120" s="291">
        <f>IFERROR(INDEX('Historical Data'!$K$2:$K$1068,MATCH($A120,'Historical Data'!$BE$2:$BE$1068,0)),"")</f>
        <v/>
      </c>
      <c r="I120" s="291">
        <f>IFERROR(INDEX('Historical Data'!$J$2:$J$1068,MATCH($A120,'Historical Data'!$BE$2:$BE$1068,0)),"")</f>
        <v/>
      </c>
      <c r="J120" s="291">
        <f>IFERROR(INDEX('Historical Data'!$L$2:$L$1068,MATCH($A120,'Historical Data'!$BE$2:$BE$1068,0)),"")</f>
        <v/>
      </c>
      <c r="K120" s="293">
        <f>IFERROR(INDEX('Historical Data'!$M$2:$M$1068,MATCH($A120,'Historical Data'!$BE$2:$BE$1068,0)),"")</f>
        <v/>
      </c>
      <c r="L120" s="294">
        <f>IFERROR(INDEX('Historical Data'!$N$2:$N$1068,MATCH($A120,'Historical Data'!$BE$2:$BE$1068,0)),"")</f>
        <v/>
      </c>
      <c r="M120" s="294">
        <f>IFERROR(INDEX('Historical Data'!$Q$2:$Q$1068,MATCH($A120,'Historical Data'!$BE$2:$BE$1068,0)),"")</f>
        <v/>
      </c>
      <c r="N120" s="295">
        <f>IFERROR(INDEX('Historical Data'!$S$2:$S$1068,MATCH($A120,'Historical Data'!$BE$2:$BE$1068,0)),"")</f>
        <v/>
      </c>
      <c r="O120" s="294">
        <f>IFERROR(INDEX('Historical Data'!$AJ$2:$AJ$1068,MATCH($A120,'Historical Data'!$BE$2:$BE$1068,0)),"")</f>
        <v/>
      </c>
      <c r="P120" s="294">
        <f>IFERROR(INDEX('Historical Data'!$AK$2:$AK$1068,MATCH($A120,'Historical Data'!$BE$2:$BE$1068,0)),"")</f>
        <v/>
      </c>
      <c r="Q120" s="291">
        <f>IFERROR(INDEX('Historical Data'!$AA$2:$AA$1068,MATCH($A120,'Historical Data'!$BE$2:$BE$1068,0)),"")</f>
        <v/>
      </c>
      <c r="R120" s="291">
        <f>IFERROR(INDEX('Historical Data'!$AB$2:$AB$1068,MATCH($A120,'Historical Data'!$BE$2:$BE$1068,0)),"")</f>
        <v/>
      </c>
      <c r="S120" s="291">
        <f>IFERROR(INDEX('Historical Data'!$AN$2:$AN$1068,MATCH($A120,'Historical Data'!$BE$2:$BE$1068,0)),"")</f>
        <v/>
      </c>
      <c r="T120" s="291">
        <f>IFERROR(INDEX('Historical Data'!$AC$2:$AC$1068,MATCH($A120,'Historical Data'!$BE$2:$BE$1068,0)),"")</f>
        <v/>
      </c>
      <c r="U120" s="291">
        <f>IFERROR(INDEX('Historical Data'!$AE$2:$AE$1068,MATCH($A120,'Historical Data'!$BE$2:$BE$1068,0)),"")</f>
        <v/>
      </c>
      <c r="V120" s="291">
        <f>IFERROR(INDEX('Historical Data'!$AH$2:$AH$1068,MATCH($A120,'Historical Data'!$BE$2:$BE$1068,0)),"")</f>
        <v/>
      </c>
      <c r="W120" s="291">
        <f>IFERROR(INDEX('Historical Data'!$BC$2:$BC$1068,MATCH($A120,'Historical Data'!$BE$2:$BE$1068,0)),"")</f>
        <v/>
      </c>
      <c r="X120" s="290">
        <f>IF(B120="","",IF(W120=1,"NR + industry + position",IF(W120=2,"NR + ISO + position",IF(W120=3,"NR + industry",IF(W120=4,"NR + ISO",IF(W120=5,"NR + position",IF(W120=6,"NR only","book baseline"))))))&amp;"  ["&amp;IF(T120=1,"seasoned","unseasoned")&amp;IF(U120=1,", defaulted","")&amp;IF(V120=1,", open","")&amp;"]")</f>
        <v/>
      </c>
    </row>
    <row r="121">
      <c r="A121" s="290" t="n">
        <v>117</v>
      </c>
      <c r="B121" s="291">
        <f>IFERROR(INDEX('Historical Data'!$A$2:$A$1068,MATCH($A121,'Historical Data'!$BE$2:$BE$1068,0)),"")</f>
        <v/>
      </c>
      <c r="C121" s="291">
        <f>IFERROR(INDEX('Historical Data'!$B$2:$B$1068,MATCH($A121,'Historical Data'!$BE$2:$BE$1068,0)),"")</f>
        <v/>
      </c>
      <c r="D121" s="291">
        <f>IFERROR(INDEX('Historical Data'!$D$2:$D$1068,MATCH($A121,'Historical Data'!$BE$2:$BE$1068,0)),"")</f>
        <v/>
      </c>
      <c r="E121" s="292">
        <f>IFERROR(INDEX('Historical Data'!$E$2:$E$1068,MATCH($A121,'Historical Data'!$BE$2:$BE$1068,0)),"")</f>
        <v/>
      </c>
      <c r="F121" s="291">
        <f>IFERROR(INDEX('Historical Data'!$G$2:$G$1068,MATCH($A121,'Historical Data'!$BE$2:$BE$1068,0)),"")</f>
        <v/>
      </c>
      <c r="G121" s="291">
        <f>IFERROR(INDEX('Historical Data'!$Y$2:$Y$1068,MATCH($A121,'Historical Data'!$BE$2:$BE$1068,0)),"")</f>
        <v/>
      </c>
      <c r="H121" s="291">
        <f>IFERROR(INDEX('Historical Data'!$K$2:$K$1068,MATCH($A121,'Historical Data'!$BE$2:$BE$1068,0)),"")</f>
        <v/>
      </c>
      <c r="I121" s="291">
        <f>IFERROR(INDEX('Historical Data'!$J$2:$J$1068,MATCH($A121,'Historical Data'!$BE$2:$BE$1068,0)),"")</f>
        <v/>
      </c>
      <c r="J121" s="291">
        <f>IFERROR(INDEX('Historical Data'!$L$2:$L$1068,MATCH($A121,'Historical Data'!$BE$2:$BE$1068,0)),"")</f>
        <v/>
      </c>
      <c r="K121" s="293">
        <f>IFERROR(INDEX('Historical Data'!$M$2:$M$1068,MATCH($A121,'Historical Data'!$BE$2:$BE$1068,0)),"")</f>
        <v/>
      </c>
      <c r="L121" s="294">
        <f>IFERROR(INDEX('Historical Data'!$N$2:$N$1068,MATCH($A121,'Historical Data'!$BE$2:$BE$1068,0)),"")</f>
        <v/>
      </c>
      <c r="M121" s="294">
        <f>IFERROR(INDEX('Historical Data'!$Q$2:$Q$1068,MATCH($A121,'Historical Data'!$BE$2:$BE$1068,0)),"")</f>
        <v/>
      </c>
      <c r="N121" s="295">
        <f>IFERROR(INDEX('Historical Data'!$S$2:$S$1068,MATCH($A121,'Historical Data'!$BE$2:$BE$1068,0)),"")</f>
        <v/>
      </c>
      <c r="O121" s="294">
        <f>IFERROR(INDEX('Historical Data'!$AJ$2:$AJ$1068,MATCH($A121,'Historical Data'!$BE$2:$BE$1068,0)),"")</f>
        <v/>
      </c>
      <c r="P121" s="294">
        <f>IFERROR(INDEX('Historical Data'!$AK$2:$AK$1068,MATCH($A121,'Historical Data'!$BE$2:$BE$1068,0)),"")</f>
        <v/>
      </c>
      <c r="Q121" s="291">
        <f>IFERROR(INDEX('Historical Data'!$AA$2:$AA$1068,MATCH($A121,'Historical Data'!$BE$2:$BE$1068,0)),"")</f>
        <v/>
      </c>
      <c r="R121" s="291">
        <f>IFERROR(INDEX('Historical Data'!$AB$2:$AB$1068,MATCH($A121,'Historical Data'!$BE$2:$BE$1068,0)),"")</f>
        <v/>
      </c>
      <c r="S121" s="291">
        <f>IFERROR(INDEX('Historical Data'!$AN$2:$AN$1068,MATCH($A121,'Historical Data'!$BE$2:$BE$1068,0)),"")</f>
        <v/>
      </c>
      <c r="T121" s="291">
        <f>IFERROR(INDEX('Historical Data'!$AC$2:$AC$1068,MATCH($A121,'Historical Data'!$BE$2:$BE$1068,0)),"")</f>
        <v/>
      </c>
      <c r="U121" s="291">
        <f>IFERROR(INDEX('Historical Data'!$AE$2:$AE$1068,MATCH($A121,'Historical Data'!$BE$2:$BE$1068,0)),"")</f>
        <v/>
      </c>
      <c r="V121" s="291">
        <f>IFERROR(INDEX('Historical Data'!$AH$2:$AH$1068,MATCH($A121,'Historical Data'!$BE$2:$BE$1068,0)),"")</f>
        <v/>
      </c>
      <c r="W121" s="291">
        <f>IFERROR(INDEX('Historical Data'!$BC$2:$BC$1068,MATCH($A121,'Historical Data'!$BE$2:$BE$1068,0)),"")</f>
        <v/>
      </c>
      <c r="X121" s="290">
        <f>IF(B121="","",IF(W121=1,"NR + industry + position",IF(W121=2,"NR + ISO + position",IF(W121=3,"NR + industry",IF(W121=4,"NR + ISO",IF(W121=5,"NR + position",IF(W121=6,"NR only","book baseline"))))))&amp;"  ["&amp;IF(T121=1,"seasoned","unseasoned")&amp;IF(U121=1,", defaulted","")&amp;IF(V121=1,", open","")&amp;"]")</f>
        <v/>
      </c>
    </row>
    <row r="122">
      <c r="A122" s="290" t="n">
        <v>118</v>
      </c>
      <c r="B122" s="291">
        <f>IFERROR(INDEX('Historical Data'!$A$2:$A$1068,MATCH($A122,'Historical Data'!$BE$2:$BE$1068,0)),"")</f>
        <v/>
      </c>
      <c r="C122" s="291">
        <f>IFERROR(INDEX('Historical Data'!$B$2:$B$1068,MATCH($A122,'Historical Data'!$BE$2:$BE$1068,0)),"")</f>
        <v/>
      </c>
      <c r="D122" s="291">
        <f>IFERROR(INDEX('Historical Data'!$D$2:$D$1068,MATCH($A122,'Historical Data'!$BE$2:$BE$1068,0)),"")</f>
        <v/>
      </c>
      <c r="E122" s="292">
        <f>IFERROR(INDEX('Historical Data'!$E$2:$E$1068,MATCH($A122,'Historical Data'!$BE$2:$BE$1068,0)),"")</f>
        <v/>
      </c>
      <c r="F122" s="291">
        <f>IFERROR(INDEX('Historical Data'!$G$2:$G$1068,MATCH($A122,'Historical Data'!$BE$2:$BE$1068,0)),"")</f>
        <v/>
      </c>
      <c r="G122" s="291">
        <f>IFERROR(INDEX('Historical Data'!$Y$2:$Y$1068,MATCH($A122,'Historical Data'!$BE$2:$BE$1068,0)),"")</f>
        <v/>
      </c>
      <c r="H122" s="291">
        <f>IFERROR(INDEX('Historical Data'!$K$2:$K$1068,MATCH($A122,'Historical Data'!$BE$2:$BE$1068,0)),"")</f>
        <v/>
      </c>
      <c r="I122" s="291">
        <f>IFERROR(INDEX('Historical Data'!$J$2:$J$1068,MATCH($A122,'Historical Data'!$BE$2:$BE$1068,0)),"")</f>
        <v/>
      </c>
      <c r="J122" s="291">
        <f>IFERROR(INDEX('Historical Data'!$L$2:$L$1068,MATCH($A122,'Historical Data'!$BE$2:$BE$1068,0)),"")</f>
        <v/>
      </c>
      <c r="K122" s="293">
        <f>IFERROR(INDEX('Historical Data'!$M$2:$M$1068,MATCH($A122,'Historical Data'!$BE$2:$BE$1068,0)),"")</f>
        <v/>
      </c>
      <c r="L122" s="294">
        <f>IFERROR(INDEX('Historical Data'!$N$2:$N$1068,MATCH($A122,'Historical Data'!$BE$2:$BE$1068,0)),"")</f>
        <v/>
      </c>
      <c r="M122" s="294">
        <f>IFERROR(INDEX('Historical Data'!$Q$2:$Q$1068,MATCH($A122,'Historical Data'!$BE$2:$BE$1068,0)),"")</f>
        <v/>
      </c>
      <c r="N122" s="295">
        <f>IFERROR(INDEX('Historical Data'!$S$2:$S$1068,MATCH($A122,'Historical Data'!$BE$2:$BE$1068,0)),"")</f>
        <v/>
      </c>
      <c r="O122" s="294">
        <f>IFERROR(INDEX('Historical Data'!$AJ$2:$AJ$1068,MATCH($A122,'Historical Data'!$BE$2:$BE$1068,0)),"")</f>
        <v/>
      </c>
      <c r="P122" s="294">
        <f>IFERROR(INDEX('Historical Data'!$AK$2:$AK$1068,MATCH($A122,'Historical Data'!$BE$2:$BE$1068,0)),"")</f>
        <v/>
      </c>
      <c r="Q122" s="291">
        <f>IFERROR(INDEX('Historical Data'!$AA$2:$AA$1068,MATCH($A122,'Historical Data'!$BE$2:$BE$1068,0)),"")</f>
        <v/>
      </c>
      <c r="R122" s="291">
        <f>IFERROR(INDEX('Historical Data'!$AB$2:$AB$1068,MATCH($A122,'Historical Data'!$BE$2:$BE$1068,0)),"")</f>
        <v/>
      </c>
      <c r="S122" s="291">
        <f>IFERROR(INDEX('Historical Data'!$AN$2:$AN$1068,MATCH($A122,'Historical Data'!$BE$2:$BE$1068,0)),"")</f>
        <v/>
      </c>
      <c r="T122" s="291">
        <f>IFERROR(INDEX('Historical Data'!$AC$2:$AC$1068,MATCH($A122,'Historical Data'!$BE$2:$BE$1068,0)),"")</f>
        <v/>
      </c>
      <c r="U122" s="291">
        <f>IFERROR(INDEX('Historical Data'!$AE$2:$AE$1068,MATCH($A122,'Historical Data'!$BE$2:$BE$1068,0)),"")</f>
        <v/>
      </c>
      <c r="V122" s="291">
        <f>IFERROR(INDEX('Historical Data'!$AH$2:$AH$1068,MATCH($A122,'Historical Data'!$BE$2:$BE$1068,0)),"")</f>
        <v/>
      </c>
      <c r="W122" s="291">
        <f>IFERROR(INDEX('Historical Data'!$BC$2:$BC$1068,MATCH($A122,'Historical Data'!$BE$2:$BE$1068,0)),"")</f>
        <v/>
      </c>
      <c r="X122" s="290">
        <f>IF(B122="","",IF(W122=1,"NR + industry + position",IF(W122=2,"NR + ISO + position",IF(W122=3,"NR + industry",IF(W122=4,"NR + ISO",IF(W122=5,"NR + position",IF(W122=6,"NR only","book baseline"))))))&amp;"  ["&amp;IF(T122=1,"seasoned","unseasoned")&amp;IF(U122=1,", defaulted","")&amp;IF(V122=1,", open","")&amp;"]")</f>
        <v/>
      </c>
    </row>
    <row r="123">
      <c r="A123" s="290" t="n">
        <v>119</v>
      </c>
      <c r="B123" s="291">
        <f>IFERROR(INDEX('Historical Data'!$A$2:$A$1068,MATCH($A123,'Historical Data'!$BE$2:$BE$1068,0)),"")</f>
        <v/>
      </c>
      <c r="C123" s="291">
        <f>IFERROR(INDEX('Historical Data'!$B$2:$B$1068,MATCH($A123,'Historical Data'!$BE$2:$BE$1068,0)),"")</f>
        <v/>
      </c>
      <c r="D123" s="291">
        <f>IFERROR(INDEX('Historical Data'!$D$2:$D$1068,MATCH($A123,'Historical Data'!$BE$2:$BE$1068,0)),"")</f>
        <v/>
      </c>
      <c r="E123" s="292">
        <f>IFERROR(INDEX('Historical Data'!$E$2:$E$1068,MATCH($A123,'Historical Data'!$BE$2:$BE$1068,0)),"")</f>
        <v/>
      </c>
      <c r="F123" s="291">
        <f>IFERROR(INDEX('Historical Data'!$G$2:$G$1068,MATCH($A123,'Historical Data'!$BE$2:$BE$1068,0)),"")</f>
        <v/>
      </c>
      <c r="G123" s="291">
        <f>IFERROR(INDEX('Historical Data'!$Y$2:$Y$1068,MATCH($A123,'Historical Data'!$BE$2:$BE$1068,0)),"")</f>
        <v/>
      </c>
      <c r="H123" s="291">
        <f>IFERROR(INDEX('Historical Data'!$K$2:$K$1068,MATCH($A123,'Historical Data'!$BE$2:$BE$1068,0)),"")</f>
        <v/>
      </c>
      <c r="I123" s="291">
        <f>IFERROR(INDEX('Historical Data'!$J$2:$J$1068,MATCH($A123,'Historical Data'!$BE$2:$BE$1068,0)),"")</f>
        <v/>
      </c>
      <c r="J123" s="291">
        <f>IFERROR(INDEX('Historical Data'!$L$2:$L$1068,MATCH($A123,'Historical Data'!$BE$2:$BE$1068,0)),"")</f>
        <v/>
      </c>
      <c r="K123" s="293">
        <f>IFERROR(INDEX('Historical Data'!$M$2:$M$1068,MATCH($A123,'Historical Data'!$BE$2:$BE$1068,0)),"")</f>
        <v/>
      </c>
      <c r="L123" s="294">
        <f>IFERROR(INDEX('Historical Data'!$N$2:$N$1068,MATCH($A123,'Historical Data'!$BE$2:$BE$1068,0)),"")</f>
        <v/>
      </c>
      <c r="M123" s="294">
        <f>IFERROR(INDEX('Historical Data'!$Q$2:$Q$1068,MATCH($A123,'Historical Data'!$BE$2:$BE$1068,0)),"")</f>
        <v/>
      </c>
      <c r="N123" s="295">
        <f>IFERROR(INDEX('Historical Data'!$S$2:$S$1068,MATCH($A123,'Historical Data'!$BE$2:$BE$1068,0)),"")</f>
        <v/>
      </c>
      <c r="O123" s="294">
        <f>IFERROR(INDEX('Historical Data'!$AJ$2:$AJ$1068,MATCH($A123,'Historical Data'!$BE$2:$BE$1068,0)),"")</f>
        <v/>
      </c>
      <c r="P123" s="294">
        <f>IFERROR(INDEX('Historical Data'!$AK$2:$AK$1068,MATCH($A123,'Historical Data'!$BE$2:$BE$1068,0)),"")</f>
        <v/>
      </c>
      <c r="Q123" s="291">
        <f>IFERROR(INDEX('Historical Data'!$AA$2:$AA$1068,MATCH($A123,'Historical Data'!$BE$2:$BE$1068,0)),"")</f>
        <v/>
      </c>
      <c r="R123" s="291">
        <f>IFERROR(INDEX('Historical Data'!$AB$2:$AB$1068,MATCH($A123,'Historical Data'!$BE$2:$BE$1068,0)),"")</f>
        <v/>
      </c>
      <c r="S123" s="291">
        <f>IFERROR(INDEX('Historical Data'!$AN$2:$AN$1068,MATCH($A123,'Historical Data'!$BE$2:$BE$1068,0)),"")</f>
        <v/>
      </c>
      <c r="T123" s="291">
        <f>IFERROR(INDEX('Historical Data'!$AC$2:$AC$1068,MATCH($A123,'Historical Data'!$BE$2:$BE$1068,0)),"")</f>
        <v/>
      </c>
      <c r="U123" s="291">
        <f>IFERROR(INDEX('Historical Data'!$AE$2:$AE$1068,MATCH($A123,'Historical Data'!$BE$2:$BE$1068,0)),"")</f>
        <v/>
      </c>
      <c r="V123" s="291">
        <f>IFERROR(INDEX('Historical Data'!$AH$2:$AH$1068,MATCH($A123,'Historical Data'!$BE$2:$BE$1068,0)),"")</f>
        <v/>
      </c>
      <c r="W123" s="291">
        <f>IFERROR(INDEX('Historical Data'!$BC$2:$BC$1068,MATCH($A123,'Historical Data'!$BE$2:$BE$1068,0)),"")</f>
        <v/>
      </c>
      <c r="X123" s="290">
        <f>IF(B123="","",IF(W123=1,"NR + industry + position",IF(W123=2,"NR + ISO + position",IF(W123=3,"NR + industry",IF(W123=4,"NR + ISO",IF(W123=5,"NR + position",IF(W123=6,"NR only","book baseline"))))))&amp;"  ["&amp;IF(T123=1,"seasoned","unseasoned")&amp;IF(U123=1,", defaulted","")&amp;IF(V123=1,", open","")&amp;"]")</f>
        <v/>
      </c>
    </row>
    <row r="124">
      <c r="A124" s="290" t="n">
        <v>120</v>
      </c>
      <c r="B124" s="291">
        <f>IFERROR(INDEX('Historical Data'!$A$2:$A$1068,MATCH($A124,'Historical Data'!$BE$2:$BE$1068,0)),"")</f>
        <v/>
      </c>
      <c r="C124" s="291">
        <f>IFERROR(INDEX('Historical Data'!$B$2:$B$1068,MATCH($A124,'Historical Data'!$BE$2:$BE$1068,0)),"")</f>
        <v/>
      </c>
      <c r="D124" s="291">
        <f>IFERROR(INDEX('Historical Data'!$D$2:$D$1068,MATCH($A124,'Historical Data'!$BE$2:$BE$1068,0)),"")</f>
        <v/>
      </c>
      <c r="E124" s="292">
        <f>IFERROR(INDEX('Historical Data'!$E$2:$E$1068,MATCH($A124,'Historical Data'!$BE$2:$BE$1068,0)),"")</f>
        <v/>
      </c>
      <c r="F124" s="291">
        <f>IFERROR(INDEX('Historical Data'!$G$2:$G$1068,MATCH($A124,'Historical Data'!$BE$2:$BE$1068,0)),"")</f>
        <v/>
      </c>
      <c r="G124" s="291">
        <f>IFERROR(INDEX('Historical Data'!$Y$2:$Y$1068,MATCH($A124,'Historical Data'!$BE$2:$BE$1068,0)),"")</f>
        <v/>
      </c>
      <c r="H124" s="291">
        <f>IFERROR(INDEX('Historical Data'!$K$2:$K$1068,MATCH($A124,'Historical Data'!$BE$2:$BE$1068,0)),"")</f>
        <v/>
      </c>
      <c r="I124" s="291">
        <f>IFERROR(INDEX('Historical Data'!$J$2:$J$1068,MATCH($A124,'Historical Data'!$BE$2:$BE$1068,0)),"")</f>
        <v/>
      </c>
      <c r="J124" s="291">
        <f>IFERROR(INDEX('Historical Data'!$L$2:$L$1068,MATCH($A124,'Historical Data'!$BE$2:$BE$1068,0)),"")</f>
        <v/>
      </c>
      <c r="K124" s="293">
        <f>IFERROR(INDEX('Historical Data'!$M$2:$M$1068,MATCH($A124,'Historical Data'!$BE$2:$BE$1068,0)),"")</f>
        <v/>
      </c>
      <c r="L124" s="294">
        <f>IFERROR(INDEX('Historical Data'!$N$2:$N$1068,MATCH($A124,'Historical Data'!$BE$2:$BE$1068,0)),"")</f>
        <v/>
      </c>
      <c r="M124" s="294">
        <f>IFERROR(INDEX('Historical Data'!$Q$2:$Q$1068,MATCH($A124,'Historical Data'!$BE$2:$BE$1068,0)),"")</f>
        <v/>
      </c>
      <c r="N124" s="295">
        <f>IFERROR(INDEX('Historical Data'!$S$2:$S$1068,MATCH($A124,'Historical Data'!$BE$2:$BE$1068,0)),"")</f>
        <v/>
      </c>
      <c r="O124" s="294">
        <f>IFERROR(INDEX('Historical Data'!$AJ$2:$AJ$1068,MATCH($A124,'Historical Data'!$BE$2:$BE$1068,0)),"")</f>
        <v/>
      </c>
      <c r="P124" s="294">
        <f>IFERROR(INDEX('Historical Data'!$AK$2:$AK$1068,MATCH($A124,'Historical Data'!$BE$2:$BE$1068,0)),"")</f>
        <v/>
      </c>
      <c r="Q124" s="291">
        <f>IFERROR(INDEX('Historical Data'!$AA$2:$AA$1068,MATCH($A124,'Historical Data'!$BE$2:$BE$1068,0)),"")</f>
        <v/>
      </c>
      <c r="R124" s="291">
        <f>IFERROR(INDEX('Historical Data'!$AB$2:$AB$1068,MATCH($A124,'Historical Data'!$BE$2:$BE$1068,0)),"")</f>
        <v/>
      </c>
      <c r="S124" s="291">
        <f>IFERROR(INDEX('Historical Data'!$AN$2:$AN$1068,MATCH($A124,'Historical Data'!$BE$2:$BE$1068,0)),"")</f>
        <v/>
      </c>
      <c r="T124" s="291">
        <f>IFERROR(INDEX('Historical Data'!$AC$2:$AC$1068,MATCH($A124,'Historical Data'!$BE$2:$BE$1068,0)),"")</f>
        <v/>
      </c>
      <c r="U124" s="291">
        <f>IFERROR(INDEX('Historical Data'!$AE$2:$AE$1068,MATCH($A124,'Historical Data'!$BE$2:$BE$1068,0)),"")</f>
        <v/>
      </c>
      <c r="V124" s="291">
        <f>IFERROR(INDEX('Historical Data'!$AH$2:$AH$1068,MATCH($A124,'Historical Data'!$BE$2:$BE$1068,0)),"")</f>
        <v/>
      </c>
      <c r="W124" s="291">
        <f>IFERROR(INDEX('Historical Data'!$BC$2:$BC$1068,MATCH($A124,'Historical Data'!$BE$2:$BE$1068,0)),"")</f>
        <v/>
      </c>
      <c r="X124" s="290">
        <f>IF(B124="","",IF(W124=1,"NR + industry + position",IF(W124=2,"NR + ISO + position",IF(W124=3,"NR + industry",IF(W124=4,"NR + ISO",IF(W124=5,"NR + position",IF(W124=6,"NR only","book baseline"))))))&amp;"  ["&amp;IF(T124=1,"seasoned","unseasoned")&amp;IF(U124=1,", defaulted","")&amp;IF(V124=1,", open","")&amp;"]")</f>
        <v/>
      </c>
    </row>
    <row r="125">
      <c r="A125" s="290" t="n">
        <v>121</v>
      </c>
      <c r="B125" s="291">
        <f>IFERROR(INDEX('Historical Data'!$A$2:$A$1068,MATCH($A125,'Historical Data'!$BE$2:$BE$1068,0)),"")</f>
        <v/>
      </c>
      <c r="C125" s="291">
        <f>IFERROR(INDEX('Historical Data'!$B$2:$B$1068,MATCH($A125,'Historical Data'!$BE$2:$BE$1068,0)),"")</f>
        <v/>
      </c>
      <c r="D125" s="291">
        <f>IFERROR(INDEX('Historical Data'!$D$2:$D$1068,MATCH($A125,'Historical Data'!$BE$2:$BE$1068,0)),"")</f>
        <v/>
      </c>
      <c r="E125" s="292">
        <f>IFERROR(INDEX('Historical Data'!$E$2:$E$1068,MATCH($A125,'Historical Data'!$BE$2:$BE$1068,0)),"")</f>
        <v/>
      </c>
      <c r="F125" s="291">
        <f>IFERROR(INDEX('Historical Data'!$G$2:$G$1068,MATCH($A125,'Historical Data'!$BE$2:$BE$1068,0)),"")</f>
        <v/>
      </c>
      <c r="G125" s="291">
        <f>IFERROR(INDEX('Historical Data'!$Y$2:$Y$1068,MATCH($A125,'Historical Data'!$BE$2:$BE$1068,0)),"")</f>
        <v/>
      </c>
      <c r="H125" s="291">
        <f>IFERROR(INDEX('Historical Data'!$K$2:$K$1068,MATCH($A125,'Historical Data'!$BE$2:$BE$1068,0)),"")</f>
        <v/>
      </c>
      <c r="I125" s="291">
        <f>IFERROR(INDEX('Historical Data'!$J$2:$J$1068,MATCH($A125,'Historical Data'!$BE$2:$BE$1068,0)),"")</f>
        <v/>
      </c>
      <c r="J125" s="291">
        <f>IFERROR(INDEX('Historical Data'!$L$2:$L$1068,MATCH($A125,'Historical Data'!$BE$2:$BE$1068,0)),"")</f>
        <v/>
      </c>
      <c r="K125" s="293">
        <f>IFERROR(INDEX('Historical Data'!$M$2:$M$1068,MATCH($A125,'Historical Data'!$BE$2:$BE$1068,0)),"")</f>
        <v/>
      </c>
      <c r="L125" s="294">
        <f>IFERROR(INDEX('Historical Data'!$N$2:$N$1068,MATCH($A125,'Historical Data'!$BE$2:$BE$1068,0)),"")</f>
        <v/>
      </c>
      <c r="M125" s="294">
        <f>IFERROR(INDEX('Historical Data'!$Q$2:$Q$1068,MATCH($A125,'Historical Data'!$BE$2:$BE$1068,0)),"")</f>
        <v/>
      </c>
      <c r="N125" s="295">
        <f>IFERROR(INDEX('Historical Data'!$S$2:$S$1068,MATCH($A125,'Historical Data'!$BE$2:$BE$1068,0)),"")</f>
        <v/>
      </c>
      <c r="O125" s="294">
        <f>IFERROR(INDEX('Historical Data'!$AJ$2:$AJ$1068,MATCH($A125,'Historical Data'!$BE$2:$BE$1068,0)),"")</f>
        <v/>
      </c>
      <c r="P125" s="294">
        <f>IFERROR(INDEX('Historical Data'!$AK$2:$AK$1068,MATCH($A125,'Historical Data'!$BE$2:$BE$1068,0)),"")</f>
        <v/>
      </c>
      <c r="Q125" s="291">
        <f>IFERROR(INDEX('Historical Data'!$AA$2:$AA$1068,MATCH($A125,'Historical Data'!$BE$2:$BE$1068,0)),"")</f>
        <v/>
      </c>
      <c r="R125" s="291">
        <f>IFERROR(INDEX('Historical Data'!$AB$2:$AB$1068,MATCH($A125,'Historical Data'!$BE$2:$BE$1068,0)),"")</f>
        <v/>
      </c>
      <c r="S125" s="291">
        <f>IFERROR(INDEX('Historical Data'!$AN$2:$AN$1068,MATCH($A125,'Historical Data'!$BE$2:$BE$1068,0)),"")</f>
        <v/>
      </c>
      <c r="T125" s="291">
        <f>IFERROR(INDEX('Historical Data'!$AC$2:$AC$1068,MATCH($A125,'Historical Data'!$BE$2:$BE$1068,0)),"")</f>
        <v/>
      </c>
      <c r="U125" s="291">
        <f>IFERROR(INDEX('Historical Data'!$AE$2:$AE$1068,MATCH($A125,'Historical Data'!$BE$2:$BE$1068,0)),"")</f>
        <v/>
      </c>
      <c r="V125" s="291">
        <f>IFERROR(INDEX('Historical Data'!$AH$2:$AH$1068,MATCH($A125,'Historical Data'!$BE$2:$BE$1068,0)),"")</f>
        <v/>
      </c>
      <c r="W125" s="291">
        <f>IFERROR(INDEX('Historical Data'!$BC$2:$BC$1068,MATCH($A125,'Historical Data'!$BE$2:$BE$1068,0)),"")</f>
        <v/>
      </c>
      <c r="X125" s="290">
        <f>IF(B125="","",IF(W125=1,"NR + industry + position",IF(W125=2,"NR + ISO + position",IF(W125=3,"NR + industry",IF(W125=4,"NR + ISO",IF(W125=5,"NR + position",IF(W125=6,"NR only","book baseline"))))))&amp;"  ["&amp;IF(T125=1,"seasoned","unseasoned")&amp;IF(U125=1,", defaulted","")&amp;IF(V125=1,", open","")&amp;"]")</f>
        <v/>
      </c>
    </row>
    <row r="126">
      <c r="A126" s="290" t="n">
        <v>122</v>
      </c>
      <c r="B126" s="291">
        <f>IFERROR(INDEX('Historical Data'!$A$2:$A$1068,MATCH($A126,'Historical Data'!$BE$2:$BE$1068,0)),"")</f>
        <v/>
      </c>
      <c r="C126" s="291">
        <f>IFERROR(INDEX('Historical Data'!$B$2:$B$1068,MATCH($A126,'Historical Data'!$BE$2:$BE$1068,0)),"")</f>
        <v/>
      </c>
      <c r="D126" s="291">
        <f>IFERROR(INDEX('Historical Data'!$D$2:$D$1068,MATCH($A126,'Historical Data'!$BE$2:$BE$1068,0)),"")</f>
        <v/>
      </c>
      <c r="E126" s="292">
        <f>IFERROR(INDEX('Historical Data'!$E$2:$E$1068,MATCH($A126,'Historical Data'!$BE$2:$BE$1068,0)),"")</f>
        <v/>
      </c>
      <c r="F126" s="291">
        <f>IFERROR(INDEX('Historical Data'!$G$2:$G$1068,MATCH($A126,'Historical Data'!$BE$2:$BE$1068,0)),"")</f>
        <v/>
      </c>
      <c r="G126" s="291">
        <f>IFERROR(INDEX('Historical Data'!$Y$2:$Y$1068,MATCH($A126,'Historical Data'!$BE$2:$BE$1068,0)),"")</f>
        <v/>
      </c>
      <c r="H126" s="291">
        <f>IFERROR(INDEX('Historical Data'!$K$2:$K$1068,MATCH($A126,'Historical Data'!$BE$2:$BE$1068,0)),"")</f>
        <v/>
      </c>
      <c r="I126" s="291">
        <f>IFERROR(INDEX('Historical Data'!$J$2:$J$1068,MATCH($A126,'Historical Data'!$BE$2:$BE$1068,0)),"")</f>
        <v/>
      </c>
      <c r="J126" s="291">
        <f>IFERROR(INDEX('Historical Data'!$L$2:$L$1068,MATCH($A126,'Historical Data'!$BE$2:$BE$1068,0)),"")</f>
        <v/>
      </c>
      <c r="K126" s="293">
        <f>IFERROR(INDEX('Historical Data'!$M$2:$M$1068,MATCH($A126,'Historical Data'!$BE$2:$BE$1068,0)),"")</f>
        <v/>
      </c>
      <c r="L126" s="294">
        <f>IFERROR(INDEX('Historical Data'!$N$2:$N$1068,MATCH($A126,'Historical Data'!$BE$2:$BE$1068,0)),"")</f>
        <v/>
      </c>
      <c r="M126" s="294">
        <f>IFERROR(INDEX('Historical Data'!$Q$2:$Q$1068,MATCH($A126,'Historical Data'!$BE$2:$BE$1068,0)),"")</f>
        <v/>
      </c>
      <c r="N126" s="295">
        <f>IFERROR(INDEX('Historical Data'!$S$2:$S$1068,MATCH($A126,'Historical Data'!$BE$2:$BE$1068,0)),"")</f>
        <v/>
      </c>
      <c r="O126" s="294">
        <f>IFERROR(INDEX('Historical Data'!$AJ$2:$AJ$1068,MATCH($A126,'Historical Data'!$BE$2:$BE$1068,0)),"")</f>
        <v/>
      </c>
      <c r="P126" s="294">
        <f>IFERROR(INDEX('Historical Data'!$AK$2:$AK$1068,MATCH($A126,'Historical Data'!$BE$2:$BE$1068,0)),"")</f>
        <v/>
      </c>
      <c r="Q126" s="291">
        <f>IFERROR(INDEX('Historical Data'!$AA$2:$AA$1068,MATCH($A126,'Historical Data'!$BE$2:$BE$1068,0)),"")</f>
        <v/>
      </c>
      <c r="R126" s="291">
        <f>IFERROR(INDEX('Historical Data'!$AB$2:$AB$1068,MATCH($A126,'Historical Data'!$BE$2:$BE$1068,0)),"")</f>
        <v/>
      </c>
      <c r="S126" s="291">
        <f>IFERROR(INDEX('Historical Data'!$AN$2:$AN$1068,MATCH($A126,'Historical Data'!$BE$2:$BE$1068,0)),"")</f>
        <v/>
      </c>
      <c r="T126" s="291">
        <f>IFERROR(INDEX('Historical Data'!$AC$2:$AC$1068,MATCH($A126,'Historical Data'!$BE$2:$BE$1068,0)),"")</f>
        <v/>
      </c>
      <c r="U126" s="291">
        <f>IFERROR(INDEX('Historical Data'!$AE$2:$AE$1068,MATCH($A126,'Historical Data'!$BE$2:$BE$1068,0)),"")</f>
        <v/>
      </c>
      <c r="V126" s="291">
        <f>IFERROR(INDEX('Historical Data'!$AH$2:$AH$1068,MATCH($A126,'Historical Data'!$BE$2:$BE$1068,0)),"")</f>
        <v/>
      </c>
      <c r="W126" s="291">
        <f>IFERROR(INDEX('Historical Data'!$BC$2:$BC$1068,MATCH($A126,'Historical Data'!$BE$2:$BE$1068,0)),"")</f>
        <v/>
      </c>
      <c r="X126" s="290">
        <f>IF(B126="","",IF(W126=1,"NR + industry + position",IF(W126=2,"NR + ISO + position",IF(W126=3,"NR + industry",IF(W126=4,"NR + ISO",IF(W126=5,"NR + position",IF(W126=6,"NR only","book baseline"))))))&amp;"  ["&amp;IF(T126=1,"seasoned","unseasoned")&amp;IF(U126=1,", defaulted","")&amp;IF(V126=1,", open","")&amp;"]")</f>
        <v/>
      </c>
    </row>
    <row r="127">
      <c r="A127" s="290" t="n">
        <v>123</v>
      </c>
      <c r="B127" s="291">
        <f>IFERROR(INDEX('Historical Data'!$A$2:$A$1068,MATCH($A127,'Historical Data'!$BE$2:$BE$1068,0)),"")</f>
        <v/>
      </c>
      <c r="C127" s="291">
        <f>IFERROR(INDEX('Historical Data'!$B$2:$B$1068,MATCH($A127,'Historical Data'!$BE$2:$BE$1068,0)),"")</f>
        <v/>
      </c>
      <c r="D127" s="291">
        <f>IFERROR(INDEX('Historical Data'!$D$2:$D$1068,MATCH($A127,'Historical Data'!$BE$2:$BE$1068,0)),"")</f>
        <v/>
      </c>
      <c r="E127" s="292">
        <f>IFERROR(INDEX('Historical Data'!$E$2:$E$1068,MATCH($A127,'Historical Data'!$BE$2:$BE$1068,0)),"")</f>
        <v/>
      </c>
      <c r="F127" s="291">
        <f>IFERROR(INDEX('Historical Data'!$G$2:$G$1068,MATCH($A127,'Historical Data'!$BE$2:$BE$1068,0)),"")</f>
        <v/>
      </c>
      <c r="G127" s="291">
        <f>IFERROR(INDEX('Historical Data'!$Y$2:$Y$1068,MATCH($A127,'Historical Data'!$BE$2:$BE$1068,0)),"")</f>
        <v/>
      </c>
      <c r="H127" s="291">
        <f>IFERROR(INDEX('Historical Data'!$K$2:$K$1068,MATCH($A127,'Historical Data'!$BE$2:$BE$1068,0)),"")</f>
        <v/>
      </c>
      <c r="I127" s="291">
        <f>IFERROR(INDEX('Historical Data'!$J$2:$J$1068,MATCH($A127,'Historical Data'!$BE$2:$BE$1068,0)),"")</f>
        <v/>
      </c>
      <c r="J127" s="291">
        <f>IFERROR(INDEX('Historical Data'!$L$2:$L$1068,MATCH($A127,'Historical Data'!$BE$2:$BE$1068,0)),"")</f>
        <v/>
      </c>
      <c r="K127" s="293">
        <f>IFERROR(INDEX('Historical Data'!$M$2:$M$1068,MATCH($A127,'Historical Data'!$BE$2:$BE$1068,0)),"")</f>
        <v/>
      </c>
      <c r="L127" s="294">
        <f>IFERROR(INDEX('Historical Data'!$N$2:$N$1068,MATCH($A127,'Historical Data'!$BE$2:$BE$1068,0)),"")</f>
        <v/>
      </c>
      <c r="M127" s="294">
        <f>IFERROR(INDEX('Historical Data'!$Q$2:$Q$1068,MATCH($A127,'Historical Data'!$BE$2:$BE$1068,0)),"")</f>
        <v/>
      </c>
      <c r="N127" s="295">
        <f>IFERROR(INDEX('Historical Data'!$S$2:$S$1068,MATCH($A127,'Historical Data'!$BE$2:$BE$1068,0)),"")</f>
        <v/>
      </c>
      <c r="O127" s="294">
        <f>IFERROR(INDEX('Historical Data'!$AJ$2:$AJ$1068,MATCH($A127,'Historical Data'!$BE$2:$BE$1068,0)),"")</f>
        <v/>
      </c>
      <c r="P127" s="294">
        <f>IFERROR(INDEX('Historical Data'!$AK$2:$AK$1068,MATCH($A127,'Historical Data'!$BE$2:$BE$1068,0)),"")</f>
        <v/>
      </c>
      <c r="Q127" s="291">
        <f>IFERROR(INDEX('Historical Data'!$AA$2:$AA$1068,MATCH($A127,'Historical Data'!$BE$2:$BE$1068,0)),"")</f>
        <v/>
      </c>
      <c r="R127" s="291">
        <f>IFERROR(INDEX('Historical Data'!$AB$2:$AB$1068,MATCH($A127,'Historical Data'!$BE$2:$BE$1068,0)),"")</f>
        <v/>
      </c>
      <c r="S127" s="291">
        <f>IFERROR(INDEX('Historical Data'!$AN$2:$AN$1068,MATCH($A127,'Historical Data'!$BE$2:$BE$1068,0)),"")</f>
        <v/>
      </c>
      <c r="T127" s="291">
        <f>IFERROR(INDEX('Historical Data'!$AC$2:$AC$1068,MATCH($A127,'Historical Data'!$BE$2:$BE$1068,0)),"")</f>
        <v/>
      </c>
      <c r="U127" s="291">
        <f>IFERROR(INDEX('Historical Data'!$AE$2:$AE$1068,MATCH($A127,'Historical Data'!$BE$2:$BE$1068,0)),"")</f>
        <v/>
      </c>
      <c r="V127" s="291">
        <f>IFERROR(INDEX('Historical Data'!$AH$2:$AH$1068,MATCH($A127,'Historical Data'!$BE$2:$BE$1068,0)),"")</f>
        <v/>
      </c>
      <c r="W127" s="291">
        <f>IFERROR(INDEX('Historical Data'!$BC$2:$BC$1068,MATCH($A127,'Historical Data'!$BE$2:$BE$1068,0)),"")</f>
        <v/>
      </c>
      <c r="X127" s="290">
        <f>IF(B127="","",IF(W127=1,"NR + industry + position",IF(W127=2,"NR + ISO + position",IF(W127=3,"NR + industry",IF(W127=4,"NR + ISO",IF(W127=5,"NR + position",IF(W127=6,"NR only","book baseline"))))))&amp;"  ["&amp;IF(T127=1,"seasoned","unseasoned")&amp;IF(U127=1,", defaulted","")&amp;IF(V127=1,", open","")&amp;"]")</f>
        <v/>
      </c>
    </row>
    <row r="128">
      <c r="A128" s="290" t="n">
        <v>124</v>
      </c>
      <c r="B128" s="291">
        <f>IFERROR(INDEX('Historical Data'!$A$2:$A$1068,MATCH($A128,'Historical Data'!$BE$2:$BE$1068,0)),"")</f>
        <v/>
      </c>
      <c r="C128" s="291">
        <f>IFERROR(INDEX('Historical Data'!$B$2:$B$1068,MATCH($A128,'Historical Data'!$BE$2:$BE$1068,0)),"")</f>
        <v/>
      </c>
      <c r="D128" s="291">
        <f>IFERROR(INDEX('Historical Data'!$D$2:$D$1068,MATCH($A128,'Historical Data'!$BE$2:$BE$1068,0)),"")</f>
        <v/>
      </c>
      <c r="E128" s="292">
        <f>IFERROR(INDEX('Historical Data'!$E$2:$E$1068,MATCH($A128,'Historical Data'!$BE$2:$BE$1068,0)),"")</f>
        <v/>
      </c>
      <c r="F128" s="291">
        <f>IFERROR(INDEX('Historical Data'!$G$2:$G$1068,MATCH($A128,'Historical Data'!$BE$2:$BE$1068,0)),"")</f>
        <v/>
      </c>
      <c r="G128" s="291">
        <f>IFERROR(INDEX('Historical Data'!$Y$2:$Y$1068,MATCH($A128,'Historical Data'!$BE$2:$BE$1068,0)),"")</f>
        <v/>
      </c>
      <c r="H128" s="291">
        <f>IFERROR(INDEX('Historical Data'!$K$2:$K$1068,MATCH($A128,'Historical Data'!$BE$2:$BE$1068,0)),"")</f>
        <v/>
      </c>
      <c r="I128" s="291">
        <f>IFERROR(INDEX('Historical Data'!$J$2:$J$1068,MATCH($A128,'Historical Data'!$BE$2:$BE$1068,0)),"")</f>
        <v/>
      </c>
      <c r="J128" s="291">
        <f>IFERROR(INDEX('Historical Data'!$L$2:$L$1068,MATCH($A128,'Historical Data'!$BE$2:$BE$1068,0)),"")</f>
        <v/>
      </c>
      <c r="K128" s="293">
        <f>IFERROR(INDEX('Historical Data'!$M$2:$M$1068,MATCH($A128,'Historical Data'!$BE$2:$BE$1068,0)),"")</f>
        <v/>
      </c>
      <c r="L128" s="294">
        <f>IFERROR(INDEX('Historical Data'!$N$2:$N$1068,MATCH($A128,'Historical Data'!$BE$2:$BE$1068,0)),"")</f>
        <v/>
      </c>
      <c r="M128" s="294">
        <f>IFERROR(INDEX('Historical Data'!$Q$2:$Q$1068,MATCH($A128,'Historical Data'!$BE$2:$BE$1068,0)),"")</f>
        <v/>
      </c>
      <c r="N128" s="295">
        <f>IFERROR(INDEX('Historical Data'!$S$2:$S$1068,MATCH($A128,'Historical Data'!$BE$2:$BE$1068,0)),"")</f>
        <v/>
      </c>
      <c r="O128" s="294">
        <f>IFERROR(INDEX('Historical Data'!$AJ$2:$AJ$1068,MATCH($A128,'Historical Data'!$BE$2:$BE$1068,0)),"")</f>
        <v/>
      </c>
      <c r="P128" s="294">
        <f>IFERROR(INDEX('Historical Data'!$AK$2:$AK$1068,MATCH($A128,'Historical Data'!$BE$2:$BE$1068,0)),"")</f>
        <v/>
      </c>
      <c r="Q128" s="291">
        <f>IFERROR(INDEX('Historical Data'!$AA$2:$AA$1068,MATCH($A128,'Historical Data'!$BE$2:$BE$1068,0)),"")</f>
        <v/>
      </c>
      <c r="R128" s="291">
        <f>IFERROR(INDEX('Historical Data'!$AB$2:$AB$1068,MATCH($A128,'Historical Data'!$BE$2:$BE$1068,0)),"")</f>
        <v/>
      </c>
      <c r="S128" s="291">
        <f>IFERROR(INDEX('Historical Data'!$AN$2:$AN$1068,MATCH($A128,'Historical Data'!$BE$2:$BE$1068,0)),"")</f>
        <v/>
      </c>
      <c r="T128" s="291">
        <f>IFERROR(INDEX('Historical Data'!$AC$2:$AC$1068,MATCH($A128,'Historical Data'!$BE$2:$BE$1068,0)),"")</f>
        <v/>
      </c>
      <c r="U128" s="291">
        <f>IFERROR(INDEX('Historical Data'!$AE$2:$AE$1068,MATCH($A128,'Historical Data'!$BE$2:$BE$1068,0)),"")</f>
        <v/>
      </c>
      <c r="V128" s="291">
        <f>IFERROR(INDEX('Historical Data'!$AH$2:$AH$1068,MATCH($A128,'Historical Data'!$BE$2:$BE$1068,0)),"")</f>
        <v/>
      </c>
      <c r="W128" s="291">
        <f>IFERROR(INDEX('Historical Data'!$BC$2:$BC$1068,MATCH($A128,'Historical Data'!$BE$2:$BE$1068,0)),"")</f>
        <v/>
      </c>
      <c r="X128" s="290">
        <f>IF(B128="","",IF(W128=1,"NR + industry + position",IF(W128=2,"NR + ISO + position",IF(W128=3,"NR + industry",IF(W128=4,"NR + ISO",IF(W128=5,"NR + position",IF(W128=6,"NR only","book baseline"))))))&amp;"  ["&amp;IF(T128=1,"seasoned","unseasoned")&amp;IF(U128=1,", defaulted","")&amp;IF(V128=1,", open","")&amp;"]")</f>
        <v/>
      </c>
    </row>
    <row r="129">
      <c r="A129" s="290" t="n">
        <v>125</v>
      </c>
      <c r="B129" s="291">
        <f>IFERROR(INDEX('Historical Data'!$A$2:$A$1068,MATCH($A129,'Historical Data'!$BE$2:$BE$1068,0)),"")</f>
        <v/>
      </c>
      <c r="C129" s="291">
        <f>IFERROR(INDEX('Historical Data'!$B$2:$B$1068,MATCH($A129,'Historical Data'!$BE$2:$BE$1068,0)),"")</f>
        <v/>
      </c>
      <c r="D129" s="291">
        <f>IFERROR(INDEX('Historical Data'!$D$2:$D$1068,MATCH($A129,'Historical Data'!$BE$2:$BE$1068,0)),"")</f>
        <v/>
      </c>
      <c r="E129" s="292">
        <f>IFERROR(INDEX('Historical Data'!$E$2:$E$1068,MATCH($A129,'Historical Data'!$BE$2:$BE$1068,0)),"")</f>
        <v/>
      </c>
      <c r="F129" s="291">
        <f>IFERROR(INDEX('Historical Data'!$G$2:$G$1068,MATCH($A129,'Historical Data'!$BE$2:$BE$1068,0)),"")</f>
        <v/>
      </c>
      <c r="G129" s="291">
        <f>IFERROR(INDEX('Historical Data'!$Y$2:$Y$1068,MATCH($A129,'Historical Data'!$BE$2:$BE$1068,0)),"")</f>
        <v/>
      </c>
      <c r="H129" s="291">
        <f>IFERROR(INDEX('Historical Data'!$K$2:$K$1068,MATCH($A129,'Historical Data'!$BE$2:$BE$1068,0)),"")</f>
        <v/>
      </c>
      <c r="I129" s="291">
        <f>IFERROR(INDEX('Historical Data'!$J$2:$J$1068,MATCH($A129,'Historical Data'!$BE$2:$BE$1068,0)),"")</f>
        <v/>
      </c>
      <c r="J129" s="291">
        <f>IFERROR(INDEX('Historical Data'!$L$2:$L$1068,MATCH($A129,'Historical Data'!$BE$2:$BE$1068,0)),"")</f>
        <v/>
      </c>
      <c r="K129" s="293">
        <f>IFERROR(INDEX('Historical Data'!$M$2:$M$1068,MATCH($A129,'Historical Data'!$BE$2:$BE$1068,0)),"")</f>
        <v/>
      </c>
      <c r="L129" s="294">
        <f>IFERROR(INDEX('Historical Data'!$N$2:$N$1068,MATCH($A129,'Historical Data'!$BE$2:$BE$1068,0)),"")</f>
        <v/>
      </c>
      <c r="M129" s="294">
        <f>IFERROR(INDEX('Historical Data'!$Q$2:$Q$1068,MATCH($A129,'Historical Data'!$BE$2:$BE$1068,0)),"")</f>
        <v/>
      </c>
      <c r="N129" s="295">
        <f>IFERROR(INDEX('Historical Data'!$S$2:$S$1068,MATCH($A129,'Historical Data'!$BE$2:$BE$1068,0)),"")</f>
        <v/>
      </c>
      <c r="O129" s="294">
        <f>IFERROR(INDEX('Historical Data'!$AJ$2:$AJ$1068,MATCH($A129,'Historical Data'!$BE$2:$BE$1068,0)),"")</f>
        <v/>
      </c>
      <c r="P129" s="294">
        <f>IFERROR(INDEX('Historical Data'!$AK$2:$AK$1068,MATCH($A129,'Historical Data'!$BE$2:$BE$1068,0)),"")</f>
        <v/>
      </c>
      <c r="Q129" s="291">
        <f>IFERROR(INDEX('Historical Data'!$AA$2:$AA$1068,MATCH($A129,'Historical Data'!$BE$2:$BE$1068,0)),"")</f>
        <v/>
      </c>
      <c r="R129" s="291">
        <f>IFERROR(INDEX('Historical Data'!$AB$2:$AB$1068,MATCH($A129,'Historical Data'!$BE$2:$BE$1068,0)),"")</f>
        <v/>
      </c>
      <c r="S129" s="291">
        <f>IFERROR(INDEX('Historical Data'!$AN$2:$AN$1068,MATCH($A129,'Historical Data'!$BE$2:$BE$1068,0)),"")</f>
        <v/>
      </c>
      <c r="T129" s="291">
        <f>IFERROR(INDEX('Historical Data'!$AC$2:$AC$1068,MATCH($A129,'Historical Data'!$BE$2:$BE$1068,0)),"")</f>
        <v/>
      </c>
      <c r="U129" s="291">
        <f>IFERROR(INDEX('Historical Data'!$AE$2:$AE$1068,MATCH($A129,'Historical Data'!$BE$2:$BE$1068,0)),"")</f>
        <v/>
      </c>
      <c r="V129" s="291">
        <f>IFERROR(INDEX('Historical Data'!$AH$2:$AH$1068,MATCH($A129,'Historical Data'!$BE$2:$BE$1068,0)),"")</f>
        <v/>
      </c>
      <c r="W129" s="291">
        <f>IFERROR(INDEX('Historical Data'!$BC$2:$BC$1068,MATCH($A129,'Historical Data'!$BE$2:$BE$1068,0)),"")</f>
        <v/>
      </c>
      <c r="X129" s="290">
        <f>IF(B129="","",IF(W129=1,"NR + industry + position",IF(W129=2,"NR + ISO + position",IF(W129=3,"NR + industry",IF(W129=4,"NR + ISO",IF(W129=5,"NR + position",IF(W129=6,"NR only","book baseline"))))))&amp;"  ["&amp;IF(T129=1,"seasoned","unseasoned")&amp;IF(U129=1,", defaulted","")&amp;IF(V129=1,", open","")&amp;"]")</f>
        <v/>
      </c>
    </row>
    <row r="130">
      <c r="A130" s="290" t="n">
        <v>126</v>
      </c>
      <c r="B130" s="291">
        <f>IFERROR(INDEX('Historical Data'!$A$2:$A$1068,MATCH($A130,'Historical Data'!$BE$2:$BE$1068,0)),"")</f>
        <v/>
      </c>
      <c r="C130" s="291">
        <f>IFERROR(INDEX('Historical Data'!$B$2:$B$1068,MATCH($A130,'Historical Data'!$BE$2:$BE$1068,0)),"")</f>
        <v/>
      </c>
      <c r="D130" s="291">
        <f>IFERROR(INDEX('Historical Data'!$D$2:$D$1068,MATCH($A130,'Historical Data'!$BE$2:$BE$1068,0)),"")</f>
        <v/>
      </c>
      <c r="E130" s="292">
        <f>IFERROR(INDEX('Historical Data'!$E$2:$E$1068,MATCH($A130,'Historical Data'!$BE$2:$BE$1068,0)),"")</f>
        <v/>
      </c>
      <c r="F130" s="291">
        <f>IFERROR(INDEX('Historical Data'!$G$2:$G$1068,MATCH($A130,'Historical Data'!$BE$2:$BE$1068,0)),"")</f>
        <v/>
      </c>
      <c r="G130" s="291">
        <f>IFERROR(INDEX('Historical Data'!$Y$2:$Y$1068,MATCH($A130,'Historical Data'!$BE$2:$BE$1068,0)),"")</f>
        <v/>
      </c>
      <c r="H130" s="291">
        <f>IFERROR(INDEX('Historical Data'!$K$2:$K$1068,MATCH($A130,'Historical Data'!$BE$2:$BE$1068,0)),"")</f>
        <v/>
      </c>
      <c r="I130" s="291">
        <f>IFERROR(INDEX('Historical Data'!$J$2:$J$1068,MATCH($A130,'Historical Data'!$BE$2:$BE$1068,0)),"")</f>
        <v/>
      </c>
      <c r="J130" s="291">
        <f>IFERROR(INDEX('Historical Data'!$L$2:$L$1068,MATCH($A130,'Historical Data'!$BE$2:$BE$1068,0)),"")</f>
        <v/>
      </c>
      <c r="K130" s="293">
        <f>IFERROR(INDEX('Historical Data'!$M$2:$M$1068,MATCH($A130,'Historical Data'!$BE$2:$BE$1068,0)),"")</f>
        <v/>
      </c>
      <c r="L130" s="294">
        <f>IFERROR(INDEX('Historical Data'!$N$2:$N$1068,MATCH($A130,'Historical Data'!$BE$2:$BE$1068,0)),"")</f>
        <v/>
      </c>
      <c r="M130" s="294">
        <f>IFERROR(INDEX('Historical Data'!$Q$2:$Q$1068,MATCH($A130,'Historical Data'!$BE$2:$BE$1068,0)),"")</f>
        <v/>
      </c>
      <c r="N130" s="295">
        <f>IFERROR(INDEX('Historical Data'!$S$2:$S$1068,MATCH($A130,'Historical Data'!$BE$2:$BE$1068,0)),"")</f>
        <v/>
      </c>
      <c r="O130" s="294">
        <f>IFERROR(INDEX('Historical Data'!$AJ$2:$AJ$1068,MATCH($A130,'Historical Data'!$BE$2:$BE$1068,0)),"")</f>
        <v/>
      </c>
      <c r="P130" s="294">
        <f>IFERROR(INDEX('Historical Data'!$AK$2:$AK$1068,MATCH($A130,'Historical Data'!$BE$2:$BE$1068,0)),"")</f>
        <v/>
      </c>
      <c r="Q130" s="291">
        <f>IFERROR(INDEX('Historical Data'!$AA$2:$AA$1068,MATCH($A130,'Historical Data'!$BE$2:$BE$1068,0)),"")</f>
        <v/>
      </c>
      <c r="R130" s="291">
        <f>IFERROR(INDEX('Historical Data'!$AB$2:$AB$1068,MATCH($A130,'Historical Data'!$BE$2:$BE$1068,0)),"")</f>
        <v/>
      </c>
      <c r="S130" s="291">
        <f>IFERROR(INDEX('Historical Data'!$AN$2:$AN$1068,MATCH($A130,'Historical Data'!$BE$2:$BE$1068,0)),"")</f>
        <v/>
      </c>
      <c r="T130" s="291">
        <f>IFERROR(INDEX('Historical Data'!$AC$2:$AC$1068,MATCH($A130,'Historical Data'!$BE$2:$BE$1068,0)),"")</f>
        <v/>
      </c>
      <c r="U130" s="291">
        <f>IFERROR(INDEX('Historical Data'!$AE$2:$AE$1068,MATCH($A130,'Historical Data'!$BE$2:$BE$1068,0)),"")</f>
        <v/>
      </c>
      <c r="V130" s="291">
        <f>IFERROR(INDEX('Historical Data'!$AH$2:$AH$1068,MATCH($A130,'Historical Data'!$BE$2:$BE$1068,0)),"")</f>
        <v/>
      </c>
      <c r="W130" s="291">
        <f>IFERROR(INDEX('Historical Data'!$BC$2:$BC$1068,MATCH($A130,'Historical Data'!$BE$2:$BE$1068,0)),"")</f>
        <v/>
      </c>
      <c r="X130" s="290">
        <f>IF(B130="","",IF(W130=1,"NR + industry + position",IF(W130=2,"NR + ISO + position",IF(W130=3,"NR + industry",IF(W130=4,"NR + ISO",IF(W130=5,"NR + position",IF(W130=6,"NR only","book baseline"))))))&amp;"  ["&amp;IF(T130=1,"seasoned","unseasoned")&amp;IF(U130=1,", defaulted","")&amp;IF(V130=1,", open","")&amp;"]")</f>
        <v/>
      </c>
    </row>
    <row r="131">
      <c r="A131" s="290" t="n">
        <v>127</v>
      </c>
      <c r="B131" s="291">
        <f>IFERROR(INDEX('Historical Data'!$A$2:$A$1068,MATCH($A131,'Historical Data'!$BE$2:$BE$1068,0)),"")</f>
        <v/>
      </c>
      <c r="C131" s="291">
        <f>IFERROR(INDEX('Historical Data'!$B$2:$B$1068,MATCH($A131,'Historical Data'!$BE$2:$BE$1068,0)),"")</f>
        <v/>
      </c>
      <c r="D131" s="291">
        <f>IFERROR(INDEX('Historical Data'!$D$2:$D$1068,MATCH($A131,'Historical Data'!$BE$2:$BE$1068,0)),"")</f>
        <v/>
      </c>
      <c r="E131" s="292">
        <f>IFERROR(INDEX('Historical Data'!$E$2:$E$1068,MATCH($A131,'Historical Data'!$BE$2:$BE$1068,0)),"")</f>
        <v/>
      </c>
      <c r="F131" s="291">
        <f>IFERROR(INDEX('Historical Data'!$G$2:$G$1068,MATCH($A131,'Historical Data'!$BE$2:$BE$1068,0)),"")</f>
        <v/>
      </c>
      <c r="G131" s="291">
        <f>IFERROR(INDEX('Historical Data'!$Y$2:$Y$1068,MATCH($A131,'Historical Data'!$BE$2:$BE$1068,0)),"")</f>
        <v/>
      </c>
      <c r="H131" s="291">
        <f>IFERROR(INDEX('Historical Data'!$K$2:$K$1068,MATCH($A131,'Historical Data'!$BE$2:$BE$1068,0)),"")</f>
        <v/>
      </c>
      <c r="I131" s="291">
        <f>IFERROR(INDEX('Historical Data'!$J$2:$J$1068,MATCH($A131,'Historical Data'!$BE$2:$BE$1068,0)),"")</f>
        <v/>
      </c>
      <c r="J131" s="291">
        <f>IFERROR(INDEX('Historical Data'!$L$2:$L$1068,MATCH($A131,'Historical Data'!$BE$2:$BE$1068,0)),"")</f>
        <v/>
      </c>
      <c r="K131" s="293">
        <f>IFERROR(INDEX('Historical Data'!$M$2:$M$1068,MATCH($A131,'Historical Data'!$BE$2:$BE$1068,0)),"")</f>
        <v/>
      </c>
      <c r="L131" s="294">
        <f>IFERROR(INDEX('Historical Data'!$N$2:$N$1068,MATCH($A131,'Historical Data'!$BE$2:$BE$1068,0)),"")</f>
        <v/>
      </c>
      <c r="M131" s="294">
        <f>IFERROR(INDEX('Historical Data'!$Q$2:$Q$1068,MATCH($A131,'Historical Data'!$BE$2:$BE$1068,0)),"")</f>
        <v/>
      </c>
      <c r="N131" s="295">
        <f>IFERROR(INDEX('Historical Data'!$S$2:$S$1068,MATCH($A131,'Historical Data'!$BE$2:$BE$1068,0)),"")</f>
        <v/>
      </c>
      <c r="O131" s="294">
        <f>IFERROR(INDEX('Historical Data'!$AJ$2:$AJ$1068,MATCH($A131,'Historical Data'!$BE$2:$BE$1068,0)),"")</f>
        <v/>
      </c>
      <c r="P131" s="294">
        <f>IFERROR(INDEX('Historical Data'!$AK$2:$AK$1068,MATCH($A131,'Historical Data'!$BE$2:$BE$1068,0)),"")</f>
        <v/>
      </c>
      <c r="Q131" s="291">
        <f>IFERROR(INDEX('Historical Data'!$AA$2:$AA$1068,MATCH($A131,'Historical Data'!$BE$2:$BE$1068,0)),"")</f>
        <v/>
      </c>
      <c r="R131" s="291">
        <f>IFERROR(INDEX('Historical Data'!$AB$2:$AB$1068,MATCH($A131,'Historical Data'!$BE$2:$BE$1068,0)),"")</f>
        <v/>
      </c>
      <c r="S131" s="291">
        <f>IFERROR(INDEX('Historical Data'!$AN$2:$AN$1068,MATCH($A131,'Historical Data'!$BE$2:$BE$1068,0)),"")</f>
        <v/>
      </c>
      <c r="T131" s="291">
        <f>IFERROR(INDEX('Historical Data'!$AC$2:$AC$1068,MATCH($A131,'Historical Data'!$BE$2:$BE$1068,0)),"")</f>
        <v/>
      </c>
      <c r="U131" s="291">
        <f>IFERROR(INDEX('Historical Data'!$AE$2:$AE$1068,MATCH($A131,'Historical Data'!$BE$2:$BE$1068,0)),"")</f>
        <v/>
      </c>
      <c r="V131" s="291">
        <f>IFERROR(INDEX('Historical Data'!$AH$2:$AH$1068,MATCH($A131,'Historical Data'!$BE$2:$BE$1068,0)),"")</f>
        <v/>
      </c>
      <c r="W131" s="291">
        <f>IFERROR(INDEX('Historical Data'!$BC$2:$BC$1068,MATCH($A131,'Historical Data'!$BE$2:$BE$1068,0)),"")</f>
        <v/>
      </c>
      <c r="X131" s="290">
        <f>IF(B131="","",IF(W131=1,"NR + industry + position",IF(W131=2,"NR + ISO + position",IF(W131=3,"NR + industry",IF(W131=4,"NR + ISO",IF(W131=5,"NR + position",IF(W131=6,"NR only","book baseline"))))))&amp;"  ["&amp;IF(T131=1,"seasoned","unseasoned")&amp;IF(U131=1,", defaulted","")&amp;IF(V131=1,", open","")&amp;"]")</f>
        <v/>
      </c>
    </row>
    <row r="132">
      <c r="A132" s="290" t="n">
        <v>128</v>
      </c>
      <c r="B132" s="291">
        <f>IFERROR(INDEX('Historical Data'!$A$2:$A$1068,MATCH($A132,'Historical Data'!$BE$2:$BE$1068,0)),"")</f>
        <v/>
      </c>
      <c r="C132" s="291">
        <f>IFERROR(INDEX('Historical Data'!$B$2:$B$1068,MATCH($A132,'Historical Data'!$BE$2:$BE$1068,0)),"")</f>
        <v/>
      </c>
      <c r="D132" s="291">
        <f>IFERROR(INDEX('Historical Data'!$D$2:$D$1068,MATCH($A132,'Historical Data'!$BE$2:$BE$1068,0)),"")</f>
        <v/>
      </c>
      <c r="E132" s="292">
        <f>IFERROR(INDEX('Historical Data'!$E$2:$E$1068,MATCH($A132,'Historical Data'!$BE$2:$BE$1068,0)),"")</f>
        <v/>
      </c>
      <c r="F132" s="291">
        <f>IFERROR(INDEX('Historical Data'!$G$2:$G$1068,MATCH($A132,'Historical Data'!$BE$2:$BE$1068,0)),"")</f>
        <v/>
      </c>
      <c r="G132" s="291">
        <f>IFERROR(INDEX('Historical Data'!$Y$2:$Y$1068,MATCH($A132,'Historical Data'!$BE$2:$BE$1068,0)),"")</f>
        <v/>
      </c>
      <c r="H132" s="291">
        <f>IFERROR(INDEX('Historical Data'!$K$2:$K$1068,MATCH($A132,'Historical Data'!$BE$2:$BE$1068,0)),"")</f>
        <v/>
      </c>
      <c r="I132" s="291">
        <f>IFERROR(INDEX('Historical Data'!$J$2:$J$1068,MATCH($A132,'Historical Data'!$BE$2:$BE$1068,0)),"")</f>
        <v/>
      </c>
      <c r="J132" s="291">
        <f>IFERROR(INDEX('Historical Data'!$L$2:$L$1068,MATCH($A132,'Historical Data'!$BE$2:$BE$1068,0)),"")</f>
        <v/>
      </c>
      <c r="K132" s="293">
        <f>IFERROR(INDEX('Historical Data'!$M$2:$M$1068,MATCH($A132,'Historical Data'!$BE$2:$BE$1068,0)),"")</f>
        <v/>
      </c>
      <c r="L132" s="294">
        <f>IFERROR(INDEX('Historical Data'!$N$2:$N$1068,MATCH($A132,'Historical Data'!$BE$2:$BE$1068,0)),"")</f>
        <v/>
      </c>
      <c r="M132" s="294">
        <f>IFERROR(INDEX('Historical Data'!$Q$2:$Q$1068,MATCH($A132,'Historical Data'!$BE$2:$BE$1068,0)),"")</f>
        <v/>
      </c>
      <c r="N132" s="295">
        <f>IFERROR(INDEX('Historical Data'!$S$2:$S$1068,MATCH($A132,'Historical Data'!$BE$2:$BE$1068,0)),"")</f>
        <v/>
      </c>
      <c r="O132" s="294">
        <f>IFERROR(INDEX('Historical Data'!$AJ$2:$AJ$1068,MATCH($A132,'Historical Data'!$BE$2:$BE$1068,0)),"")</f>
        <v/>
      </c>
      <c r="P132" s="294">
        <f>IFERROR(INDEX('Historical Data'!$AK$2:$AK$1068,MATCH($A132,'Historical Data'!$BE$2:$BE$1068,0)),"")</f>
        <v/>
      </c>
      <c r="Q132" s="291">
        <f>IFERROR(INDEX('Historical Data'!$AA$2:$AA$1068,MATCH($A132,'Historical Data'!$BE$2:$BE$1068,0)),"")</f>
        <v/>
      </c>
      <c r="R132" s="291">
        <f>IFERROR(INDEX('Historical Data'!$AB$2:$AB$1068,MATCH($A132,'Historical Data'!$BE$2:$BE$1068,0)),"")</f>
        <v/>
      </c>
      <c r="S132" s="291">
        <f>IFERROR(INDEX('Historical Data'!$AN$2:$AN$1068,MATCH($A132,'Historical Data'!$BE$2:$BE$1068,0)),"")</f>
        <v/>
      </c>
      <c r="T132" s="291">
        <f>IFERROR(INDEX('Historical Data'!$AC$2:$AC$1068,MATCH($A132,'Historical Data'!$BE$2:$BE$1068,0)),"")</f>
        <v/>
      </c>
      <c r="U132" s="291">
        <f>IFERROR(INDEX('Historical Data'!$AE$2:$AE$1068,MATCH($A132,'Historical Data'!$BE$2:$BE$1068,0)),"")</f>
        <v/>
      </c>
      <c r="V132" s="291">
        <f>IFERROR(INDEX('Historical Data'!$AH$2:$AH$1068,MATCH($A132,'Historical Data'!$BE$2:$BE$1068,0)),"")</f>
        <v/>
      </c>
      <c r="W132" s="291">
        <f>IFERROR(INDEX('Historical Data'!$BC$2:$BC$1068,MATCH($A132,'Historical Data'!$BE$2:$BE$1068,0)),"")</f>
        <v/>
      </c>
      <c r="X132" s="290">
        <f>IF(B132="","",IF(W132=1,"NR + industry + position",IF(W132=2,"NR + ISO + position",IF(W132=3,"NR + industry",IF(W132=4,"NR + ISO",IF(W132=5,"NR + position",IF(W132=6,"NR only","book baseline"))))))&amp;"  ["&amp;IF(T132=1,"seasoned","unseasoned")&amp;IF(U132=1,", defaulted","")&amp;IF(V132=1,", open","")&amp;"]")</f>
        <v/>
      </c>
    </row>
    <row r="133">
      <c r="A133" s="290" t="n">
        <v>129</v>
      </c>
      <c r="B133" s="291">
        <f>IFERROR(INDEX('Historical Data'!$A$2:$A$1068,MATCH($A133,'Historical Data'!$BE$2:$BE$1068,0)),"")</f>
        <v/>
      </c>
      <c r="C133" s="291">
        <f>IFERROR(INDEX('Historical Data'!$B$2:$B$1068,MATCH($A133,'Historical Data'!$BE$2:$BE$1068,0)),"")</f>
        <v/>
      </c>
      <c r="D133" s="291">
        <f>IFERROR(INDEX('Historical Data'!$D$2:$D$1068,MATCH($A133,'Historical Data'!$BE$2:$BE$1068,0)),"")</f>
        <v/>
      </c>
      <c r="E133" s="292">
        <f>IFERROR(INDEX('Historical Data'!$E$2:$E$1068,MATCH($A133,'Historical Data'!$BE$2:$BE$1068,0)),"")</f>
        <v/>
      </c>
      <c r="F133" s="291">
        <f>IFERROR(INDEX('Historical Data'!$G$2:$G$1068,MATCH($A133,'Historical Data'!$BE$2:$BE$1068,0)),"")</f>
        <v/>
      </c>
      <c r="G133" s="291">
        <f>IFERROR(INDEX('Historical Data'!$Y$2:$Y$1068,MATCH($A133,'Historical Data'!$BE$2:$BE$1068,0)),"")</f>
        <v/>
      </c>
      <c r="H133" s="291">
        <f>IFERROR(INDEX('Historical Data'!$K$2:$K$1068,MATCH($A133,'Historical Data'!$BE$2:$BE$1068,0)),"")</f>
        <v/>
      </c>
      <c r="I133" s="291">
        <f>IFERROR(INDEX('Historical Data'!$J$2:$J$1068,MATCH($A133,'Historical Data'!$BE$2:$BE$1068,0)),"")</f>
        <v/>
      </c>
      <c r="J133" s="291">
        <f>IFERROR(INDEX('Historical Data'!$L$2:$L$1068,MATCH($A133,'Historical Data'!$BE$2:$BE$1068,0)),"")</f>
        <v/>
      </c>
      <c r="K133" s="293">
        <f>IFERROR(INDEX('Historical Data'!$M$2:$M$1068,MATCH($A133,'Historical Data'!$BE$2:$BE$1068,0)),"")</f>
        <v/>
      </c>
      <c r="L133" s="294">
        <f>IFERROR(INDEX('Historical Data'!$N$2:$N$1068,MATCH($A133,'Historical Data'!$BE$2:$BE$1068,0)),"")</f>
        <v/>
      </c>
      <c r="M133" s="294">
        <f>IFERROR(INDEX('Historical Data'!$Q$2:$Q$1068,MATCH($A133,'Historical Data'!$BE$2:$BE$1068,0)),"")</f>
        <v/>
      </c>
      <c r="N133" s="295">
        <f>IFERROR(INDEX('Historical Data'!$S$2:$S$1068,MATCH($A133,'Historical Data'!$BE$2:$BE$1068,0)),"")</f>
        <v/>
      </c>
      <c r="O133" s="294">
        <f>IFERROR(INDEX('Historical Data'!$AJ$2:$AJ$1068,MATCH($A133,'Historical Data'!$BE$2:$BE$1068,0)),"")</f>
        <v/>
      </c>
      <c r="P133" s="294">
        <f>IFERROR(INDEX('Historical Data'!$AK$2:$AK$1068,MATCH($A133,'Historical Data'!$BE$2:$BE$1068,0)),"")</f>
        <v/>
      </c>
      <c r="Q133" s="291">
        <f>IFERROR(INDEX('Historical Data'!$AA$2:$AA$1068,MATCH($A133,'Historical Data'!$BE$2:$BE$1068,0)),"")</f>
        <v/>
      </c>
      <c r="R133" s="291">
        <f>IFERROR(INDEX('Historical Data'!$AB$2:$AB$1068,MATCH($A133,'Historical Data'!$BE$2:$BE$1068,0)),"")</f>
        <v/>
      </c>
      <c r="S133" s="291">
        <f>IFERROR(INDEX('Historical Data'!$AN$2:$AN$1068,MATCH($A133,'Historical Data'!$BE$2:$BE$1068,0)),"")</f>
        <v/>
      </c>
      <c r="T133" s="291">
        <f>IFERROR(INDEX('Historical Data'!$AC$2:$AC$1068,MATCH($A133,'Historical Data'!$BE$2:$BE$1068,0)),"")</f>
        <v/>
      </c>
      <c r="U133" s="291">
        <f>IFERROR(INDEX('Historical Data'!$AE$2:$AE$1068,MATCH($A133,'Historical Data'!$BE$2:$BE$1068,0)),"")</f>
        <v/>
      </c>
      <c r="V133" s="291">
        <f>IFERROR(INDEX('Historical Data'!$AH$2:$AH$1068,MATCH($A133,'Historical Data'!$BE$2:$BE$1068,0)),"")</f>
        <v/>
      </c>
      <c r="W133" s="291">
        <f>IFERROR(INDEX('Historical Data'!$BC$2:$BC$1068,MATCH($A133,'Historical Data'!$BE$2:$BE$1068,0)),"")</f>
        <v/>
      </c>
      <c r="X133" s="290">
        <f>IF(B133="","",IF(W133=1,"NR + industry + position",IF(W133=2,"NR + ISO + position",IF(W133=3,"NR + industry",IF(W133=4,"NR + ISO",IF(W133=5,"NR + position",IF(W133=6,"NR only","book baseline"))))))&amp;"  ["&amp;IF(T133=1,"seasoned","unseasoned")&amp;IF(U133=1,", defaulted","")&amp;IF(V133=1,", open","")&amp;"]")</f>
        <v/>
      </c>
    </row>
    <row r="134">
      <c r="A134" s="290" t="n">
        <v>130</v>
      </c>
      <c r="B134" s="291">
        <f>IFERROR(INDEX('Historical Data'!$A$2:$A$1068,MATCH($A134,'Historical Data'!$BE$2:$BE$1068,0)),"")</f>
        <v/>
      </c>
      <c r="C134" s="291">
        <f>IFERROR(INDEX('Historical Data'!$B$2:$B$1068,MATCH($A134,'Historical Data'!$BE$2:$BE$1068,0)),"")</f>
        <v/>
      </c>
      <c r="D134" s="291">
        <f>IFERROR(INDEX('Historical Data'!$D$2:$D$1068,MATCH($A134,'Historical Data'!$BE$2:$BE$1068,0)),"")</f>
        <v/>
      </c>
      <c r="E134" s="292">
        <f>IFERROR(INDEX('Historical Data'!$E$2:$E$1068,MATCH($A134,'Historical Data'!$BE$2:$BE$1068,0)),"")</f>
        <v/>
      </c>
      <c r="F134" s="291">
        <f>IFERROR(INDEX('Historical Data'!$G$2:$G$1068,MATCH($A134,'Historical Data'!$BE$2:$BE$1068,0)),"")</f>
        <v/>
      </c>
      <c r="G134" s="291">
        <f>IFERROR(INDEX('Historical Data'!$Y$2:$Y$1068,MATCH($A134,'Historical Data'!$BE$2:$BE$1068,0)),"")</f>
        <v/>
      </c>
      <c r="H134" s="291">
        <f>IFERROR(INDEX('Historical Data'!$K$2:$K$1068,MATCH($A134,'Historical Data'!$BE$2:$BE$1068,0)),"")</f>
        <v/>
      </c>
      <c r="I134" s="291">
        <f>IFERROR(INDEX('Historical Data'!$J$2:$J$1068,MATCH($A134,'Historical Data'!$BE$2:$BE$1068,0)),"")</f>
        <v/>
      </c>
      <c r="J134" s="291">
        <f>IFERROR(INDEX('Historical Data'!$L$2:$L$1068,MATCH($A134,'Historical Data'!$BE$2:$BE$1068,0)),"")</f>
        <v/>
      </c>
      <c r="K134" s="293">
        <f>IFERROR(INDEX('Historical Data'!$M$2:$M$1068,MATCH($A134,'Historical Data'!$BE$2:$BE$1068,0)),"")</f>
        <v/>
      </c>
      <c r="L134" s="294">
        <f>IFERROR(INDEX('Historical Data'!$N$2:$N$1068,MATCH($A134,'Historical Data'!$BE$2:$BE$1068,0)),"")</f>
        <v/>
      </c>
      <c r="M134" s="294">
        <f>IFERROR(INDEX('Historical Data'!$Q$2:$Q$1068,MATCH($A134,'Historical Data'!$BE$2:$BE$1068,0)),"")</f>
        <v/>
      </c>
      <c r="N134" s="295">
        <f>IFERROR(INDEX('Historical Data'!$S$2:$S$1068,MATCH($A134,'Historical Data'!$BE$2:$BE$1068,0)),"")</f>
        <v/>
      </c>
      <c r="O134" s="294">
        <f>IFERROR(INDEX('Historical Data'!$AJ$2:$AJ$1068,MATCH($A134,'Historical Data'!$BE$2:$BE$1068,0)),"")</f>
        <v/>
      </c>
      <c r="P134" s="294">
        <f>IFERROR(INDEX('Historical Data'!$AK$2:$AK$1068,MATCH($A134,'Historical Data'!$BE$2:$BE$1068,0)),"")</f>
        <v/>
      </c>
      <c r="Q134" s="291">
        <f>IFERROR(INDEX('Historical Data'!$AA$2:$AA$1068,MATCH($A134,'Historical Data'!$BE$2:$BE$1068,0)),"")</f>
        <v/>
      </c>
      <c r="R134" s="291">
        <f>IFERROR(INDEX('Historical Data'!$AB$2:$AB$1068,MATCH($A134,'Historical Data'!$BE$2:$BE$1068,0)),"")</f>
        <v/>
      </c>
      <c r="S134" s="291">
        <f>IFERROR(INDEX('Historical Data'!$AN$2:$AN$1068,MATCH($A134,'Historical Data'!$BE$2:$BE$1068,0)),"")</f>
        <v/>
      </c>
      <c r="T134" s="291">
        <f>IFERROR(INDEX('Historical Data'!$AC$2:$AC$1068,MATCH($A134,'Historical Data'!$BE$2:$BE$1068,0)),"")</f>
        <v/>
      </c>
      <c r="U134" s="291">
        <f>IFERROR(INDEX('Historical Data'!$AE$2:$AE$1068,MATCH($A134,'Historical Data'!$BE$2:$BE$1068,0)),"")</f>
        <v/>
      </c>
      <c r="V134" s="291">
        <f>IFERROR(INDEX('Historical Data'!$AH$2:$AH$1068,MATCH($A134,'Historical Data'!$BE$2:$BE$1068,0)),"")</f>
        <v/>
      </c>
      <c r="W134" s="291">
        <f>IFERROR(INDEX('Historical Data'!$BC$2:$BC$1068,MATCH($A134,'Historical Data'!$BE$2:$BE$1068,0)),"")</f>
        <v/>
      </c>
      <c r="X134" s="290">
        <f>IF(B134="","",IF(W134=1,"NR + industry + position",IF(W134=2,"NR + ISO + position",IF(W134=3,"NR + industry",IF(W134=4,"NR + ISO",IF(W134=5,"NR + position",IF(W134=6,"NR only","book baseline"))))))&amp;"  ["&amp;IF(T134=1,"seasoned","unseasoned")&amp;IF(U134=1,", defaulted","")&amp;IF(V134=1,", open","")&amp;"]")</f>
        <v/>
      </c>
    </row>
    <row r="135">
      <c r="A135" s="290" t="n">
        <v>131</v>
      </c>
      <c r="B135" s="291">
        <f>IFERROR(INDEX('Historical Data'!$A$2:$A$1068,MATCH($A135,'Historical Data'!$BE$2:$BE$1068,0)),"")</f>
        <v/>
      </c>
      <c r="C135" s="291">
        <f>IFERROR(INDEX('Historical Data'!$B$2:$B$1068,MATCH($A135,'Historical Data'!$BE$2:$BE$1068,0)),"")</f>
        <v/>
      </c>
      <c r="D135" s="291">
        <f>IFERROR(INDEX('Historical Data'!$D$2:$D$1068,MATCH($A135,'Historical Data'!$BE$2:$BE$1068,0)),"")</f>
        <v/>
      </c>
      <c r="E135" s="292">
        <f>IFERROR(INDEX('Historical Data'!$E$2:$E$1068,MATCH($A135,'Historical Data'!$BE$2:$BE$1068,0)),"")</f>
        <v/>
      </c>
      <c r="F135" s="291">
        <f>IFERROR(INDEX('Historical Data'!$G$2:$G$1068,MATCH($A135,'Historical Data'!$BE$2:$BE$1068,0)),"")</f>
        <v/>
      </c>
      <c r="G135" s="291">
        <f>IFERROR(INDEX('Historical Data'!$Y$2:$Y$1068,MATCH($A135,'Historical Data'!$BE$2:$BE$1068,0)),"")</f>
        <v/>
      </c>
      <c r="H135" s="291">
        <f>IFERROR(INDEX('Historical Data'!$K$2:$K$1068,MATCH($A135,'Historical Data'!$BE$2:$BE$1068,0)),"")</f>
        <v/>
      </c>
      <c r="I135" s="291">
        <f>IFERROR(INDEX('Historical Data'!$J$2:$J$1068,MATCH($A135,'Historical Data'!$BE$2:$BE$1068,0)),"")</f>
        <v/>
      </c>
      <c r="J135" s="291">
        <f>IFERROR(INDEX('Historical Data'!$L$2:$L$1068,MATCH($A135,'Historical Data'!$BE$2:$BE$1068,0)),"")</f>
        <v/>
      </c>
      <c r="K135" s="293">
        <f>IFERROR(INDEX('Historical Data'!$M$2:$M$1068,MATCH($A135,'Historical Data'!$BE$2:$BE$1068,0)),"")</f>
        <v/>
      </c>
      <c r="L135" s="294">
        <f>IFERROR(INDEX('Historical Data'!$N$2:$N$1068,MATCH($A135,'Historical Data'!$BE$2:$BE$1068,0)),"")</f>
        <v/>
      </c>
      <c r="M135" s="294">
        <f>IFERROR(INDEX('Historical Data'!$Q$2:$Q$1068,MATCH($A135,'Historical Data'!$BE$2:$BE$1068,0)),"")</f>
        <v/>
      </c>
      <c r="N135" s="295">
        <f>IFERROR(INDEX('Historical Data'!$S$2:$S$1068,MATCH($A135,'Historical Data'!$BE$2:$BE$1068,0)),"")</f>
        <v/>
      </c>
      <c r="O135" s="294">
        <f>IFERROR(INDEX('Historical Data'!$AJ$2:$AJ$1068,MATCH($A135,'Historical Data'!$BE$2:$BE$1068,0)),"")</f>
        <v/>
      </c>
      <c r="P135" s="294">
        <f>IFERROR(INDEX('Historical Data'!$AK$2:$AK$1068,MATCH($A135,'Historical Data'!$BE$2:$BE$1068,0)),"")</f>
        <v/>
      </c>
      <c r="Q135" s="291">
        <f>IFERROR(INDEX('Historical Data'!$AA$2:$AA$1068,MATCH($A135,'Historical Data'!$BE$2:$BE$1068,0)),"")</f>
        <v/>
      </c>
      <c r="R135" s="291">
        <f>IFERROR(INDEX('Historical Data'!$AB$2:$AB$1068,MATCH($A135,'Historical Data'!$BE$2:$BE$1068,0)),"")</f>
        <v/>
      </c>
      <c r="S135" s="291">
        <f>IFERROR(INDEX('Historical Data'!$AN$2:$AN$1068,MATCH($A135,'Historical Data'!$BE$2:$BE$1068,0)),"")</f>
        <v/>
      </c>
      <c r="T135" s="291">
        <f>IFERROR(INDEX('Historical Data'!$AC$2:$AC$1068,MATCH($A135,'Historical Data'!$BE$2:$BE$1068,0)),"")</f>
        <v/>
      </c>
      <c r="U135" s="291">
        <f>IFERROR(INDEX('Historical Data'!$AE$2:$AE$1068,MATCH($A135,'Historical Data'!$BE$2:$BE$1068,0)),"")</f>
        <v/>
      </c>
      <c r="V135" s="291">
        <f>IFERROR(INDEX('Historical Data'!$AH$2:$AH$1068,MATCH($A135,'Historical Data'!$BE$2:$BE$1068,0)),"")</f>
        <v/>
      </c>
      <c r="W135" s="291">
        <f>IFERROR(INDEX('Historical Data'!$BC$2:$BC$1068,MATCH($A135,'Historical Data'!$BE$2:$BE$1068,0)),"")</f>
        <v/>
      </c>
      <c r="X135" s="290">
        <f>IF(B135="","",IF(W135=1,"NR + industry + position",IF(W135=2,"NR + ISO + position",IF(W135=3,"NR + industry",IF(W135=4,"NR + ISO",IF(W135=5,"NR + position",IF(W135=6,"NR only","book baseline"))))))&amp;"  ["&amp;IF(T135=1,"seasoned","unseasoned")&amp;IF(U135=1,", defaulted","")&amp;IF(V135=1,", open","")&amp;"]")</f>
        <v/>
      </c>
    </row>
    <row r="136">
      <c r="A136" s="290" t="n">
        <v>132</v>
      </c>
      <c r="B136" s="291">
        <f>IFERROR(INDEX('Historical Data'!$A$2:$A$1068,MATCH($A136,'Historical Data'!$BE$2:$BE$1068,0)),"")</f>
        <v/>
      </c>
      <c r="C136" s="291">
        <f>IFERROR(INDEX('Historical Data'!$B$2:$B$1068,MATCH($A136,'Historical Data'!$BE$2:$BE$1068,0)),"")</f>
        <v/>
      </c>
      <c r="D136" s="291">
        <f>IFERROR(INDEX('Historical Data'!$D$2:$D$1068,MATCH($A136,'Historical Data'!$BE$2:$BE$1068,0)),"")</f>
        <v/>
      </c>
      <c r="E136" s="292">
        <f>IFERROR(INDEX('Historical Data'!$E$2:$E$1068,MATCH($A136,'Historical Data'!$BE$2:$BE$1068,0)),"")</f>
        <v/>
      </c>
      <c r="F136" s="291">
        <f>IFERROR(INDEX('Historical Data'!$G$2:$G$1068,MATCH($A136,'Historical Data'!$BE$2:$BE$1068,0)),"")</f>
        <v/>
      </c>
      <c r="G136" s="291">
        <f>IFERROR(INDEX('Historical Data'!$Y$2:$Y$1068,MATCH($A136,'Historical Data'!$BE$2:$BE$1068,0)),"")</f>
        <v/>
      </c>
      <c r="H136" s="291">
        <f>IFERROR(INDEX('Historical Data'!$K$2:$K$1068,MATCH($A136,'Historical Data'!$BE$2:$BE$1068,0)),"")</f>
        <v/>
      </c>
      <c r="I136" s="291">
        <f>IFERROR(INDEX('Historical Data'!$J$2:$J$1068,MATCH($A136,'Historical Data'!$BE$2:$BE$1068,0)),"")</f>
        <v/>
      </c>
      <c r="J136" s="291">
        <f>IFERROR(INDEX('Historical Data'!$L$2:$L$1068,MATCH($A136,'Historical Data'!$BE$2:$BE$1068,0)),"")</f>
        <v/>
      </c>
      <c r="K136" s="293">
        <f>IFERROR(INDEX('Historical Data'!$M$2:$M$1068,MATCH($A136,'Historical Data'!$BE$2:$BE$1068,0)),"")</f>
        <v/>
      </c>
      <c r="L136" s="294">
        <f>IFERROR(INDEX('Historical Data'!$N$2:$N$1068,MATCH($A136,'Historical Data'!$BE$2:$BE$1068,0)),"")</f>
        <v/>
      </c>
      <c r="M136" s="294">
        <f>IFERROR(INDEX('Historical Data'!$Q$2:$Q$1068,MATCH($A136,'Historical Data'!$BE$2:$BE$1068,0)),"")</f>
        <v/>
      </c>
      <c r="N136" s="295">
        <f>IFERROR(INDEX('Historical Data'!$S$2:$S$1068,MATCH($A136,'Historical Data'!$BE$2:$BE$1068,0)),"")</f>
        <v/>
      </c>
      <c r="O136" s="294">
        <f>IFERROR(INDEX('Historical Data'!$AJ$2:$AJ$1068,MATCH($A136,'Historical Data'!$BE$2:$BE$1068,0)),"")</f>
        <v/>
      </c>
      <c r="P136" s="294">
        <f>IFERROR(INDEX('Historical Data'!$AK$2:$AK$1068,MATCH($A136,'Historical Data'!$BE$2:$BE$1068,0)),"")</f>
        <v/>
      </c>
      <c r="Q136" s="291">
        <f>IFERROR(INDEX('Historical Data'!$AA$2:$AA$1068,MATCH($A136,'Historical Data'!$BE$2:$BE$1068,0)),"")</f>
        <v/>
      </c>
      <c r="R136" s="291">
        <f>IFERROR(INDEX('Historical Data'!$AB$2:$AB$1068,MATCH($A136,'Historical Data'!$BE$2:$BE$1068,0)),"")</f>
        <v/>
      </c>
      <c r="S136" s="291">
        <f>IFERROR(INDEX('Historical Data'!$AN$2:$AN$1068,MATCH($A136,'Historical Data'!$BE$2:$BE$1068,0)),"")</f>
        <v/>
      </c>
      <c r="T136" s="291">
        <f>IFERROR(INDEX('Historical Data'!$AC$2:$AC$1068,MATCH($A136,'Historical Data'!$BE$2:$BE$1068,0)),"")</f>
        <v/>
      </c>
      <c r="U136" s="291">
        <f>IFERROR(INDEX('Historical Data'!$AE$2:$AE$1068,MATCH($A136,'Historical Data'!$BE$2:$BE$1068,0)),"")</f>
        <v/>
      </c>
      <c r="V136" s="291">
        <f>IFERROR(INDEX('Historical Data'!$AH$2:$AH$1068,MATCH($A136,'Historical Data'!$BE$2:$BE$1068,0)),"")</f>
        <v/>
      </c>
      <c r="W136" s="291">
        <f>IFERROR(INDEX('Historical Data'!$BC$2:$BC$1068,MATCH($A136,'Historical Data'!$BE$2:$BE$1068,0)),"")</f>
        <v/>
      </c>
      <c r="X136" s="290">
        <f>IF(B136="","",IF(W136=1,"NR + industry + position",IF(W136=2,"NR + ISO + position",IF(W136=3,"NR + industry",IF(W136=4,"NR + ISO",IF(W136=5,"NR + position",IF(W136=6,"NR only","book baseline"))))))&amp;"  ["&amp;IF(T136=1,"seasoned","unseasoned")&amp;IF(U136=1,", defaulted","")&amp;IF(V136=1,", open","")&amp;"]")</f>
        <v/>
      </c>
    </row>
    <row r="137">
      <c r="A137" s="290" t="n">
        <v>133</v>
      </c>
      <c r="B137" s="291">
        <f>IFERROR(INDEX('Historical Data'!$A$2:$A$1068,MATCH($A137,'Historical Data'!$BE$2:$BE$1068,0)),"")</f>
        <v/>
      </c>
      <c r="C137" s="291">
        <f>IFERROR(INDEX('Historical Data'!$B$2:$B$1068,MATCH($A137,'Historical Data'!$BE$2:$BE$1068,0)),"")</f>
        <v/>
      </c>
      <c r="D137" s="291">
        <f>IFERROR(INDEX('Historical Data'!$D$2:$D$1068,MATCH($A137,'Historical Data'!$BE$2:$BE$1068,0)),"")</f>
        <v/>
      </c>
      <c r="E137" s="292">
        <f>IFERROR(INDEX('Historical Data'!$E$2:$E$1068,MATCH($A137,'Historical Data'!$BE$2:$BE$1068,0)),"")</f>
        <v/>
      </c>
      <c r="F137" s="291">
        <f>IFERROR(INDEX('Historical Data'!$G$2:$G$1068,MATCH($A137,'Historical Data'!$BE$2:$BE$1068,0)),"")</f>
        <v/>
      </c>
      <c r="G137" s="291">
        <f>IFERROR(INDEX('Historical Data'!$Y$2:$Y$1068,MATCH($A137,'Historical Data'!$BE$2:$BE$1068,0)),"")</f>
        <v/>
      </c>
      <c r="H137" s="291">
        <f>IFERROR(INDEX('Historical Data'!$K$2:$K$1068,MATCH($A137,'Historical Data'!$BE$2:$BE$1068,0)),"")</f>
        <v/>
      </c>
      <c r="I137" s="291">
        <f>IFERROR(INDEX('Historical Data'!$J$2:$J$1068,MATCH($A137,'Historical Data'!$BE$2:$BE$1068,0)),"")</f>
        <v/>
      </c>
      <c r="J137" s="291">
        <f>IFERROR(INDEX('Historical Data'!$L$2:$L$1068,MATCH($A137,'Historical Data'!$BE$2:$BE$1068,0)),"")</f>
        <v/>
      </c>
      <c r="K137" s="293">
        <f>IFERROR(INDEX('Historical Data'!$M$2:$M$1068,MATCH($A137,'Historical Data'!$BE$2:$BE$1068,0)),"")</f>
        <v/>
      </c>
      <c r="L137" s="294">
        <f>IFERROR(INDEX('Historical Data'!$N$2:$N$1068,MATCH($A137,'Historical Data'!$BE$2:$BE$1068,0)),"")</f>
        <v/>
      </c>
      <c r="M137" s="294">
        <f>IFERROR(INDEX('Historical Data'!$Q$2:$Q$1068,MATCH($A137,'Historical Data'!$BE$2:$BE$1068,0)),"")</f>
        <v/>
      </c>
      <c r="N137" s="295">
        <f>IFERROR(INDEX('Historical Data'!$S$2:$S$1068,MATCH($A137,'Historical Data'!$BE$2:$BE$1068,0)),"")</f>
        <v/>
      </c>
      <c r="O137" s="294">
        <f>IFERROR(INDEX('Historical Data'!$AJ$2:$AJ$1068,MATCH($A137,'Historical Data'!$BE$2:$BE$1068,0)),"")</f>
        <v/>
      </c>
      <c r="P137" s="294">
        <f>IFERROR(INDEX('Historical Data'!$AK$2:$AK$1068,MATCH($A137,'Historical Data'!$BE$2:$BE$1068,0)),"")</f>
        <v/>
      </c>
      <c r="Q137" s="291">
        <f>IFERROR(INDEX('Historical Data'!$AA$2:$AA$1068,MATCH($A137,'Historical Data'!$BE$2:$BE$1068,0)),"")</f>
        <v/>
      </c>
      <c r="R137" s="291">
        <f>IFERROR(INDEX('Historical Data'!$AB$2:$AB$1068,MATCH($A137,'Historical Data'!$BE$2:$BE$1068,0)),"")</f>
        <v/>
      </c>
      <c r="S137" s="291">
        <f>IFERROR(INDEX('Historical Data'!$AN$2:$AN$1068,MATCH($A137,'Historical Data'!$BE$2:$BE$1068,0)),"")</f>
        <v/>
      </c>
      <c r="T137" s="291">
        <f>IFERROR(INDEX('Historical Data'!$AC$2:$AC$1068,MATCH($A137,'Historical Data'!$BE$2:$BE$1068,0)),"")</f>
        <v/>
      </c>
      <c r="U137" s="291">
        <f>IFERROR(INDEX('Historical Data'!$AE$2:$AE$1068,MATCH($A137,'Historical Data'!$BE$2:$BE$1068,0)),"")</f>
        <v/>
      </c>
      <c r="V137" s="291">
        <f>IFERROR(INDEX('Historical Data'!$AH$2:$AH$1068,MATCH($A137,'Historical Data'!$BE$2:$BE$1068,0)),"")</f>
        <v/>
      </c>
      <c r="W137" s="291">
        <f>IFERROR(INDEX('Historical Data'!$BC$2:$BC$1068,MATCH($A137,'Historical Data'!$BE$2:$BE$1068,0)),"")</f>
        <v/>
      </c>
      <c r="X137" s="290">
        <f>IF(B137="","",IF(W137=1,"NR + industry + position",IF(W137=2,"NR + ISO + position",IF(W137=3,"NR + industry",IF(W137=4,"NR + ISO",IF(W137=5,"NR + position",IF(W137=6,"NR only","book baseline"))))))&amp;"  ["&amp;IF(T137=1,"seasoned","unseasoned")&amp;IF(U137=1,", defaulted","")&amp;IF(V137=1,", open","")&amp;"]")</f>
        <v/>
      </c>
    </row>
    <row r="138">
      <c r="A138" s="290" t="n">
        <v>134</v>
      </c>
      <c r="B138" s="291">
        <f>IFERROR(INDEX('Historical Data'!$A$2:$A$1068,MATCH($A138,'Historical Data'!$BE$2:$BE$1068,0)),"")</f>
        <v/>
      </c>
      <c r="C138" s="291">
        <f>IFERROR(INDEX('Historical Data'!$B$2:$B$1068,MATCH($A138,'Historical Data'!$BE$2:$BE$1068,0)),"")</f>
        <v/>
      </c>
      <c r="D138" s="291">
        <f>IFERROR(INDEX('Historical Data'!$D$2:$D$1068,MATCH($A138,'Historical Data'!$BE$2:$BE$1068,0)),"")</f>
        <v/>
      </c>
      <c r="E138" s="292">
        <f>IFERROR(INDEX('Historical Data'!$E$2:$E$1068,MATCH($A138,'Historical Data'!$BE$2:$BE$1068,0)),"")</f>
        <v/>
      </c>
      <c r="F138" s="291">
        <f>IFERROR(INDEX('Historical Data'!$G$2:$G$1068,MATCH($A138,'Historical Data'!$BE$2:$BE$1068,0)),"")</f>
        <v/>
      </c>
      <c r="G138" s="291">
        <f>IFERROR(INDEX('Historical Data'!$Y$2:$Y$1068,MATCH($A138,'Historical Data'!$BE$2:$BE$1068,0)),"")</f>
        <v/>
      </c>
      <c r="H138" s="291">
        <f>IFERROR(INDEX('Historical Data'!$K$2:$K$1068,MATCH($A138,'Historical Data'!$BE$2:$BE$1068,0)),"")</f>
        <v/>
      </c>
      <c r="I138" s="291">
        <f>IFERROR(INDEX('Historical Data'!$J$2:$J$1068,MATCH($A138,'Historical Data'!$BE$2:$BE$1068,0)),"")</f>
        <v/>
      </c>
      <c r="J138" s="291">
        <f>IFERROR(INDEX('Historical Data'!$L$2:$L$1068,MATCH($A138,'Historical Data'!$BE$2:$BE$1068,0)),"")</f>
        <v/>
      </c>
      <c r="K138" s="293">
        <f>IFERROR(INDEX('Historical Data'!$M$2:$M$1068,MATCH($A138,'Historical Data'!$BE$2:$BE$1068,0)),"")</f>
        <v/>
      </c>
      <c r="L138" s="294">
        <f>IFERROR(INDEX('Historical Data'!$N$2:$N$1068,MATCH($A138,'Historical Data'!$BE$2:$BE$1068,0)),"")</f>
        <v/>
      </c>
      <c r="M138" s="294">
        <f>IFERROR(INDEX('Historical Data'!$Q$2:$Q$1068,MATCH($A138,'Historical Data'!$BE$2:$BE$1068,0)),"")</f>
        <v/>
      </c>
      <c r="N138" s="295">
        <f>IFERROR(INDEX('Historical Data'!$S$2:$S$1068,MATCH($A138,'Historical Data'!$BE$2:$BE$1068,0)),"")</f>
        <v/>
      </c>
      <c r="O138" s="294">
        <f>IFERROR(INDEX('Historical Data'!$AJ$2:$AJ$1068,MATCH($A138,'Historical Data'!$BE$2:$BE$1068,0)),"")</f>
        <v/>
      </c>
      <c r="P138" s="294">
        <f>IFERROR(INDEX('Historical Data'!$AK$2:$AK$1068,MATCH($A138,'Historical Data'!$BE$2:$BE$1068,0)),"")</f>
        <v/>
      </c>
      <c r="Q138" s="291">
        <f>IFERROR(INDEX('Historical Data'!$AA$2:$AA$1068,MATCH($A138,'Historical Data'!$BE$2:$BE$1068,0)),"")</f>
        <v/>
      </c>
      <c r="R138" s="291">
        <f>IFERROR(INDEX('Historical Data'!$AB$2:$AB$1068,MATCH($A138,'Historical Data'!$BE$2:$BE$1068,0)),"")</f>
        <v/>
      </c>
      <c r="S138" s="291">
        <f>IFERROR(INDEX('Historical Data'!$AN$2:$AN$1068,MATCH($A138,'Historical Data'!$BE$2:$BE$1068,0)),"")</f>
        <v/>
      </c>
      <c r="T138" s="291">
        <f>IFERROR(INDEX('Historical Data'!$AC$2:$AC$1068,MATCH($A138,'Historical Data'!$BE$2:$BE$1068,0)),"")</f>
        <v/>
      </c>
      <c r="U138" s="291">
        <f>IFERROR(INDEX('Historical Data'!$AE$2:$AE$1068,MATCH($A138,'Historical Data'!$BE$2:$BE$1068,0)),"")</f>
        <v/>
      </c>
      <c r="V138" s="291">
        <f>IFERROR(INDEX('Historical Data'!$AH$2:$AH$1068,MATCH($A138,'Historical Data'!$BE$2:$BE$1068,0)),"")</f>
        <v/>
      </c>
      <c r="W138" s="291">
        <f>IFERROR(INDEX('Historical Data'!$BC$2:$BC$1068,MATCH($A138,'Historical Data'!$BE$2:$BE$1068,0)),"")</f>
        <v/>
      </c>
      <c r="X138" s="290">
        <f>IF(B138="","",IF(W138=1,"NR + industry + position",IF(W138=2,"NR + ISO + position",IF(W138=3,"NR + industry",IF(W138=4,"NR + ISO",IF(W138=5,"NR + position",IF(W138=6,"NR only","book baseline"))))))&amp;"  ["&amp;IF(T138=1,"seasoned","unseasoned")&amp;IF(U138=1,", defaulted","")&amp;IF(V138=1,", open","")&amp;"]")</f>
        <v/>
      </c>
    </row>
    <row r="139">
      <c r="A139" s="290" t="n">
        <v>135</v>
      </c>
      <c r="B139" s="291">
        <f>IFERROR(INDEX('Historical Data'!$A$2:$A$1068,MATCH($A139,'Historical Data'!$BE$2:$BE$1068,0)),"")</f>
        <v/>
      </c>
      <c r="C139" s="291">
        <f>IFERROR(INDEX('Historical Data'!$B$2:$B$1068,MATCH($A139,'Historical Data'!$BE$2:$BE$1068,0)),"")</f>
        <v/>
      </c>
      <c r="D139" s="291">
        <f>IFERROR(INDEX('Historical Data'!$D$2:$D$1068,MATCH($A139,'Historical Data'!$BE$2:$BE$1068,0)),"")</f>
        <v/>
      </c>
      <c r="E139" s="292">
        <f>IFERROR(INDEX('Historical Data'!$E$2:$E$1068,MATCH($A139,'Historical Data'!$BE$2:$BE$1068,0)),"")</f>
        <v/>
      </c>
      <c r="F139" s="291">
        <f>IFERROR(INDEX('Historical Data'!$G$2:$G$1068,MATCH($A139,'Historical Data'!$BE$2:$BE$1068,0)),"")</f>
        <v/>
      </c>
      <c r="G139" s="291">
        <f>IFERROR(INDEX('Historical Data'!$Y$2:$Y$1068,MATCH($A139,'Historical Data'!$BE$2:$BE$1068,0)),"")</f>
        <v/>
      </c>
      <c r="H139" s="291">
        <f>IFERROR(INDEX('Historical Data'!$K$2:$K$1068,MATCH($A139,'Historical Data'!$BE$2:$BE$1068,0)),"")</f>
        <v/>
      </c>
      <c r="I139" s="291">
        <f>IFERROR(INDEX('Historical Data'!$J$2:$J$1068,MATCH($A139,'Historical Data'!$BE$2:$BE$1068,0)),"")</f>
        <v/>
      </c>
      <c r="J139" s="291">
        <f>IFERROR(INDEX('Historical Data'!$L$2:$L$1068,MATCH($A139,'Historical Data'!$BE$2:$BE$1068,0)),"")</f>
        <v/>
      </c>
      <c r="K139" s="293">
        <f>IFERROR(INDEX('Historical Data'!$M$2:$M$1068,MATCH($A139,'Historical Data'!$BE$2:$BE$1068,0)),"")</f>
        <v/>
      </c>
      <c r="L139" s="294">
        <f>IFERROR(INDEX('Historical Data'!$N$2:$N$1068,MATCH($A139,'Historical Data'!$BE$2:$BE$1068,0)),"")</f>
        <v/>
      </c>
      <c r="M139" s="294">
        <f>IFERROR(INDEX('Historical Data'!$Q$2:$Q$1068,MATCH($A139,'Historical Data'!$BE$2:$BE$1068,0)),"")</f>
        <v/>
      </c>
      <c r="N139" s="295">
        <f>IFERROR(INDEX('Historical Data'!$S$2:$S$1068,MATCH($A139,'Historical Data'!$BE$2:$BE$1068,0)),"")</f>
        <v/>
      </c>
      <c r="O139" s="294">
        <f>IFERROR(INDEX('Historical Data'!$AJ$2:$AJ$1068,MATCH($A139,'Historical Data'!$BE$2:$BE$1068,0)),"")</f>
        <v/>
      </c>
      <c r="P139" s="294">
        <f>IFERROR(INDEX('Historical Data'!$AK$2:$AK$1068,MATCH($A139,'Historical Data'!$BE$2:$BE$1068,0)),"")</f>
        <v/>
      </c>
      <c r="Q139" s="291">
        <f>IFERROR(INDEX('Historical Data'!$AA$2:$AA$1068,MATCH($A139,'Historical Data'!$BE$2:$BE$1068,0)),"")</f>
        <v/>
      </c>
      <c r="R139" s="291">
        <f>IFERROR(INDEX('Historical Data'!$AB$2:$AB$1068,MATCH($A139,'Historical Data'!$BE$2:$BE$1068,0)),"")</f>
        <v/>
      </c>
      <c r="S139" s="291">
        <f>IFERROR(INDEX('Historical Data'!$AN$2:$AN$1068,MATCH($A139,'Historical Data'!$BE$2:$BE$1068,0)),"")</f>
        <v/>
      </c>
      <c r="T139" s="291">
        <f>IFERROR(INDEX('Historical Data'!$AC$2:$AC$1068,MATCH($A139,'Historical Data'!$BE$2:$BE$1068,0)),"")</f>
        <v/>
      </c>
      <c r="U139" s="291">
        <f>IFERROR(INDEX('Historical Data'!$AE$2:$AE$1068,MATCH($A139,'Historical Data'!$BE$2:$BE$1068,0)),"")</f>
        <v/>
      </c>
      <c r="V139" s="291">
        <f>IFERROR(INDEX('Historical Data'!$AH$2:$AH$1068,MATCH($A139,'Historical Data'!$BE$2:$BE$1068,0)),"")</f>
        <v/>
      </c>
      <c r="W139" s="291">
        <f>IFERROR(INDEX('Historical Data'!$BC$2:$BC$1068,MATCH($A139,'Historical Data'!$BE$2:$BE$1068,0)),"")</f>
        <v/>
      </c>
      <c r="X139" s="290">
        <f>IF(B139="","",IF(W139=1,"NR + industry + position",IF(W139=2,"NR + ISO + position",IF(W139=3,"NR + industry",IF(W139=4,"NR + ISO",IF(W139=5,"NR + position",IF(W139=6,"NR only","book baseline"))))))&amp;"  ["&amp;IF(T139=1,"seasoned","unseasoned")&amp;IF(U139=1,", defaulted","")&amp;IF(V139=1,", open","")&amp;"]")</f>
        <v/>
      </c>
    </row>
    <row r="140">
      <c r="A140" s="290" t="n">
        <v>136</v>
      </c>
      <c r="B140" s="291">
        <f>IFERROR(INDEX('Historical Data'!$A$2:$A$1068,MATCH($A140,'Historical Data'!$BE$2:$BE$1068,0)),"")</f>
        <v/>
      </c>
      <c r="C140" s="291">
        <f>IFERROR(INDEX('Historical Data'!$B$2:$B$1068,MATCH($A140,'Historical Data'!$BE$2:$BE$1068,0)),"")</f>
        <v/>
      </c>
      <c r="D140" s="291">
        <f>IFERROR(INDEX('Historical Data'!$D$2:$D$1068,MATCH($A140,'Historical Data'!$BE$2:$BE$1068,0)),"")</f>
        <v/>
      </c>
      <c r="E140" s="292">
        <f>IFERROR(INDEX('Historical Data'!$E$2:$E$1068,MATCH($A140,'Historical Data'!$BE$2:$BE$1068,0)),"")</f>
        <v/>
      </c>
      <c r="F140" s="291">
        <f>IFERROR(INDEX('Historical Data'!$G$2:$G$1068,MATCH($A140,'Historical Data'!$BE$2:$BE$1068,0)),"")</f>
        <v/>
      </c>
      <c r="G140" s="291">
        <f>IFERROR(INDEX('Historical Data'!$Y$2:$Y$1068,MATCH($A140,'Historical Data'!$BE$2:$BE$1068,0)),"")</f>
        <v/>
      </c>
      <c r="H140" s="291">
        <f>IFERROR(INDEX('Historical Data'!$K$2:$K$1068,MATCH($A140,'Historical Data'!$BE$2:$BE$1068,0)),"")</f>
        <v/>
      </c>
      <c r="I140" s="291">
        <f>IFERROR(INDEX('Historical Data'!$J$2:$J$1068,MATCH($A140,'Historical Data'!$BE$2:$BE$1068,0)),"")</f>
        <v/>
      </c>
      <c r="J140" s="291">
        <f>IFERROR(INDEX('Historical Data'!$L$2:$L$1068,MATCH($A140,'Historical Data'!$BE$2:$BE$1068,0)),"")</f>
        <v/>
      </c>
      <c r="K140" s="293">
        <f>IFERROR(INDEX('Historical Data'!$M$2:$M$1068,MATCH($A140,'Historical Data'!$BE$2:$BE$1068,0)),"")</f>
        <v/>
      </c>
      <c r="L140" s="294">
        <f>IFERROR(INDEX('Historical Data'!$N$2:$N$1068,MATCH($A140,'Historical Data'!$BE$2:$BE$1068,0)),"")</f>
        <v/>
      </c>
      <c r="M140" s="294">
        <f>IFERROR(INDEX('Historical Data'!$Q$2:$Q$1068,MATCH($A140,'Historical Data'!$BE$2:$BE$1068,0)),"")</f>
        <v/>
      </c>
      <c r="N140" s="295">
        <f>IFERROR(INDEX('Historical Data'!$S$2:$S$1068,MATCH($A140,'Historical Data'!$BE$2:$BE$1068,0)),"")</f>
        <v/>
      </c>
      <c r="O140" s="294">
        <f>IFERROR(INDEX('Historical Data'!$AJ$2:$AJ$1068,MATCH($A140,'Historical Data'!$BE$2:$BE$1068,0)),"")</f>
        <v/>
      </c>
      <c r="P140" s="294">
        <f>IFERROR(INDEX('Historical Data'!$AK$2:$AK$1068,MATCH($A140,'Historical Data'!$BE$2:$BE$1068,0)),"")</f>
        <v/>
      </c>
      <c r="Q140" s="291">
        <f>IFERROR(INDEX('Historical Data'!$AA$2:$AA$1068,MATCH($A140,'Historical Data'!$BE$2:$BE$1068,0)),"")</f>
        <v/>
      </c>
      <c r="R140" s="291">
        <f>IFERROR(INDEX('Historical Data'!$AB$2:$AB$1068,MATCH($A140,'Historical Data'!$BE$2:$BE$1068,0)),"")</f>
        <v/>
      </c>
      <c r="S140" s="291">
        <f>IFERROR(INDEX('Historical Data'!$AN$2:$AN$1068,MATCH($A140,'Historical Data'!$BE$2:$BE$1068,0)),"")</f>
        <v/>
      </c>
      <c r="T140" s="291">
        <f>IFERROR(INDEX('Historical Data'!$AC$2:$AC$1068,MATCH($A140,'Historical Data'!$BE$2:$BE$1068,0)),"")</f>
        <v/>
      </c>
      <c r="U140" s="291">
        <f>IFERROR(INDEX('Historical Data'!$AE$2:$AE$1068,MATCH($A140,'Historical Data'!$BE$2:$BE$1068,0)),"")</f>
        <v/>
      </c>
      <c r="V140" s="291">
        <f>IFERROR(INDEX('Historical Data'!$AH$2:$AH$1068,MATCH($A140,'Historical Data'!$BE$2:$BE$1068,0)),"")</f>
        <v/>
      </c>
      <c r="W140" s="291">
        <f>IFERROR(INDEX('Historical Data'!$BC$2:$BC$1068,MATCH($A140,'Historical Data'!$BE$2:$BE$1068,0)),"")</f>
        <v/>
      </c>
      <c r="X140" s="290">
        <f>IF(B140="","",IF(W140=1,"NR + industry + position",IF(W140=2,"NR + ISO + position",IF(W140=3,"NR + industry",IF(W140=4,"NR + ISO",IF(W140=5,"NR + position",IF(W140=6,"NR only","book baseline"))))))&amp;"  ["&amp;IF(T140=1,"seasoned","unseasoned")&amp;IF(U140=1,", defaulted","")&amp;IF(V140=1,", open","")&amp;"]")</f>
        <v/>
      </c>
    </row>
    <row r="141">
      <c r="A141" s="290" t="n">
        <v>137</v>
      </c>
      <c r="B141" s="291">
        <f>IFERROR(INDEX('Historical Data'!$A$2:$A$1068,MATCH($A141,'Historical Data'!$BE$2:$BE$1068,0)),"")</f>
        <v/>
      </c>
      <c r="C141" s="291">
        <f>IFERROR(INDEX('Historical Data'!$B$2:$B$1068,MATCH($A141,'Historical Data'!$BE$2:$BE$1068,0)),"")</f>
        <v/>
      </c>
      <c r="D141" s="291">
        <f>IFERROR(INDEX('Historical Data'!$D$2:$D$1068,MATCH($A141,'Historical Data'!$BE$2:$BE$1068,0)),"")</f>
        <v/>
      </c>
      <c r="E141" s="292">
        <f>IFERROR(INDEX('Historical Data'!$E$2:$E$1068,MATCH($A141,'Historical Data'!$BE$2:$BE$1068,0)),"")</f>
        <v/>
      </c>
      <c r="F141" s="291">
        <f>IFERROR(INDEX('Historical Data'!$G$2:$G$1068,MATCH($A141,'Historical Data'!$BE$2:$BE$1068,0)),"")</f>
        <v/>
      </c>
      <c r="G141" s="291">
        <f>IFERROR(INDEX('Historical Data'!$Y$2:$Y$1068,MATCH($A141,'Historical Data'!$BE$2:$BE$1068,0)),"")</f>
        <v/>
      </c>
      <c r="H141" s="291">
        <f>IFERROR(INDEX('Historical Data'!$K$2:$K$1068,MATCH($A141,'Historical Data'!$BE$2:$BE$1068,0)),"")</f>
        <v/>
      </c>
      <c r="I141" s="291">
        <f>IFERROR(INDEX('Historical Data'!$J$2:$J$1068,MATCH($A141,'Historical Data'!$BE$2:$BE$1068,0)),"")</f>
        <v/>
      </c>
      <c r="J141" s="291">
        <f>IFERROR(INDEX('Historical Data'!$L$2:$L$1068,MATCH($A141,'Historical Data'!$BE$2:$BE$1068,0)),"")</f>
        <v/>
      </c>
      <c r="K141" s="293">
        <f>IFERROR(INDEX('Historical Data'!$M$2:$M$1068,MATCH($A141,'Historical Data'!$BE$2:$BE$1068,0)),"")</f>
        <v/>
      </c>
      <c r="L141" s="294">
        <f>IFERROR(INDEX('Historical Data'!$N$2:$N$1068,MATCH($A141,'Historical Data'!$BE$2:$BE$1068,0)),"")</f>
        <v/>
      </c>
      <c r="M141" s="294">
        <f>IFERROR(INDEX('Historical Data'!$Q$2:$Q$1068,MATCH($A141,'Historical Data'!$BE$2:$BE$1068,0)),"")</f>
        <v/>
      </c>
      <c r="N141" s="295">
        <f>IFERROR(INDEX('Historical Data'!$S$2:$S$1068,MATCH($A141,'Historical Data'!$BE$2:$BE$1068,0)),"")</f>
        <v/>
      </c>
      <c r="O141" s="294">
        <f>IFERROR(INDEX('Historical Data'!$AJ$2:$AJ$1068,MATCH($A141,'Historical Data'!$BE$2:$BE$1068,0)),"")</f>
        <v/>
      </c>
      <c r="P141" s="294">
        <f>IFERROR(INDEX('Historical Data'!$AK$2:$AK$1068,MATCH($A141,'Historical Data'!$BE$2:$BE$1068,0)),"")</f>
        <v/>
      </c>
      <c r="Q141" s="291">
        <f>IFERROR(INDEX('Historical Data'!$AA$2:$AA$1068,MATCH($A141,'Historical Data'!$BE$2:$BE$1068,0)),"")</f>
        <v/>
      </c>
      <c r="R141" s="291">
        <f>IFERROR(INDEX('Historical Data'!$AB$2:$AB$1068,MATCH($A141,'Historical Data'!$BE$2:$BE$1068,0)),"")</f>
        <v/>
      </c>
      <c r="S141" s="291">
        <f>IFERROR(INDEX('Historical Data'!$AN$2:$AN$1068,MATCH($A141,'Historical Data'!$BE$2:$BE$1068,0)),"")</f>
        <v/>
      </c>
      <c r="T141" s="291">
        <f>IFERROR(INDEX('Historical Data'!$AC$2:$AC$1068,MATCH($A141,'Historical Data'!$BE$2:$BE$1068,0)),"")</f>
        <v/>
      </c>
      <c r="U141" s="291">
        <f>IFERROR(INDEX('Historical Data'!$AE$2:$AE$1068,MATCH($A141,'Historical Data'!$BE$2:$BE$1068,0)),"")</f>
        <v/>
      </c>
      <c r="V141" s="291">
        <f>IFERROR(INDEX('Historical Data'!$AH$2:$AH$1068,MATCH($A141,'Historical Data'!$BE$2:$BE$1068,0)),"")</f>
        <v/>
      </c>
      <c r="W141" s="291">
        <f>IFERROR(INDEX('Historical Data'!$BC$2:$BC$1068,MATCH($A141,'Historical Data'!$BE$2:$BE$1068,0)),"")</f>
        <v/>
      </c>
      <c r="X141" s="290">
        <f>IF(B141="","",IF(W141=1,"NR + industry + position",IF(W141=2,"NR + ISO + position",IF(W141=3,"NR + industry",IF(W141=4,"NR + ISO",IF(W141=5,"NR + position",IF(W141=6,"NR only","book baseline"))))))&amp;"  ["&amp;IF(T141=1,"seasoned","unseasoned")&amp;IF(U141=1,", defaulted","")&amp;IF(V141=1,", open","")&amp;"]")</f>
        <v/>
      </c>
    </row>
    <row r="142">
      <c r="A142" s="290" t="n">
        <v>138</v>
      </c>
      <c r="B142" s="291">
        <f>IFERROR(INDEX('Historical Data'!$A$2:$A$1068,MATCH($A142,'Historical Data'!$BE$2:$BE$1068,0)),"")</f>
        <v/>
      </c>
      <c r="C142" s="291">
        <f>IFERROR(INDEX('Historical Data'!$B$2:$B$1068,MATCH($A142,'Historical Data'!$BE$2:$BE$1068,0)),"")</f>
        <v/>
      </c>
      <c r="D142" s="291">
        <f>IFERROR(INDEX('Historical Data'!$D$2:$D$1068,MATCH($A142,'Historical Data'!$BE$2:$BE$1068,0)),"")</f>
        <v/>
      </c>
      <c r="E142" s="292">
        <f>IFERROR(INDEX('Historical Data'!$E$2:$E$1068,MATCH($A142,'Historical Data'!$BE$2:$BE$1068,0)),"")</f>
        <v/>
      </c>
      <c r="F142" s="291">
        <f>IFERROR(INDEX('Historical Data'!$G$2:$G$1068,MATCH($A142,'Historical Data'!$BE$2:$BE$1068,0)),"")</f>
        <v/>
      </c>
      <c r="G142" s="291">
        <f>IFERROR(INDEX('Historical Data'!$Y$2:$Y$1068,MATCH($A142,'Historical Data'!$BE$2:$BE$1068,0)),"")</f>
        <v/>
      </c>
      <c r="H142" s="291">
        <f>IFERROR(INDEX('Historical Data'!$K$2:$K$1068,MATCH($A142,'Historical Data'!$BE$2:$BE$1068,0)),"")</f>
        <v/>
      </c>
      <c r="I142" s="291">
        <f>IFERROR(INDEX('Historical Data'!$J$2:$J$1068,MATCH($A142,'Historical Data'!$BE$2:$BE$1068,0)),"")</f>
        <v/>
      </c>
      <c r="J142" s="291">
        <f>IFERROR(INDEX('Historical Data'!$L$2:$L$1068,MATCH($A142,'Historical Data'!$BE$2:$BE$1068,0)),"")</f>
        <v/>
      </c>
      <c r="K142" s="293">
        <f>IFERROR(INDEX('Historical Data'!$M$2:$M$1068,MATCH($A142,'Historical Data'!$BE$2:$BE$1068,0)),"")</f>
        <v/>
      </c>
      <c r="L142" s="294">
        <f>IFERROR(INDEX('Historical Data'!$N$2:$N$1068,MATCH($A142,'Historical Data'!$BE$2:$BE$1068,0)),"")</f>
        <v/>
      </c>
      <c r="M142" s="294">
        <f>IFERROR(INDEX('Historical Data'!$Q$2:$Q$1068,MATCH($A142,'Historical Data'!$BE$2:$BE$1068,0)),"")</f>
        <v/>
      </c>
      <c r="N142" s="295">
        <f>IFERROR(INDEX('Historical Data'!$S$2:$S$1068,MATCH($A142,'Historical Data'!$BE$2:$BE$1068,0)),"")</f>
        <v/>
      </c>
      <c r="O142" s="294">
        <f>IFERROR(INDEX('Historical Data'!$AJ$2:$AJ$1068,MATCH($A142,'Historical Data'!$BE$2:$BE$1068,0)),"")</f>
        <v/>
      </c>
      <c r="P142" s="294">
        <f>IFERROR(INDEX('Historical Data'!$AK$2:$AK$1068,MATCH($A142,'Historical Data'!$BE$2:$BE$1068,0)),"")</f>
        <v/>
      </c>
      <c r="Q142" s="291">
        <f>IFERROR(INDEX('Historical Data'!$AA$2:$AA$1068,MATCH($A142,'Historical Data'!$BE$2:$BE$1068,0)),"")</f>
        <v/>
      </c>
      <c r="R142" s="291">
        <f>IFERROR(INDEX('Historical Data'!$AB$2:$AB$1068,MATCH($A142,'Historical Data'!$BE$2:$BE$1068,0)),"")</f>
        <v/>
      </c>
      <c r="S142" s="291">
        <f>IFERROR(INDEX('Historical Data'!$AN$2:$AN$1068,MATCH($A142,'Historical Data'!$BE$2:$BE$1068,0)),"")</f>
        <v/>
      </c>
      <c r="T142" s="291">
        <f>IFERROR(INDEX('Historical Data'!$AC$2:$AC$1068,MATCH($A142,'Historical Data'!$BE$2:$BE$1068,0)),"")</f>
        <v/>
      </c>
      <c r="U142" s="291">
        <f>IFERROR(INDEX('Historical Data'!$AE$2:$AE$1068,MATCH($A142,'Historical Data'!$BE$2:$BE$1068,0)),"")</f>
        <v/>
      </c>
      <c r="V142" s="291">
        <f>IFERROR(INDEX('Historical Data'!$AH$2:$AH$1068,MATCH($A142,'Historical Data'!$BE$2:$BE$1068,0)),"")</f>
        <v/>
      </c>
      <c r="W142" s="291">
        <f>IFERROR(INDEX('Historical Data'!$BC$2:$BC$1068,MATCH($A142,'Historical Data'!$BE$2:$BE$1068,0)),"")</f>
        <v/>
      </c>
      <c r="X142" s="290">
        <f>IF(B142="","",IF(W142=1,"NR + industry + position",IF(W142=2,"NR + ISO + position",IF(W142=3,"NR + industry",IF(W142=4,"NR + ISO",IF(W142=5,"NR + position",IF(W142=6,"NR only","book baseline"))))))&amp;"  ["&amp;IF(T142=1,"seasoned","unseasoned")&amp;IF(U142=1,", defaulted","")&amp;IF(V142=1,", open","")&amp;"]")</f>
        <v/>
      </c>
    </row>
    <row r="143">
      <c r="A143" s="290" t="n">
        <v>139</v>
      </c>
      <c r="B143" s="291">
        <f>IFERROR(INDEX('Historical Data'!$A$2:$A$1068,MATCH($A143,'Historical Data'!$BE$2:$BE$1068,0)),"")</f>
        <v/>
      </c>
      <c r="C143" s="291">
        <f>IFERROR(INDEX('Historical Data'!$B$2:$B$1068,MATCH($A143,'Historical Data'!$BE$2:$BE$1068,0)),"")</f>
        <v/>
      </c>
      <c r="D143" s="291">
        <f>IFERROR(INDEX('Historical Data'!$D$2:$D$1068,MATCH($A143,'Historical Data'!$BE$2:$BE$1068,0)),"")</f>
        <v/>
      </c>
      <c r="E143" s="292">
        <f>IFERROR(INDEX('Historical Data'!$E$2:$E$1068,MATCH($A143,'Historical Data'!$BE$2:$BE$1068,0)),"")</f>
        <v/>
      </c>
      <c r="F143" s="291">
        <f>IFERROR(INDEX('Historical Data'!$G$2:$G$1068,MATCH($A143,'Historical Data'!$BE$2:$BE$1068,0)),"")</f>
        <v/>
      </c>
      <c r="G143" s="291">
        <f>IFERROR(INDEX('Historical Data'!$Y$2:$Y$1068,MATCH($A143,'Historical Data'!$BE$2:$BE$1068,0)),"")</f>
        <v/>
      </c>
      <c r="H143" s="291">
        <f>IFERROR(INDEX('Historical Data'!$K$2:$K$1068,MATCH($A143,'Historical Data'!$BE$2:$BE$1068,0)),"")</f>
        <v/>
      </c>
      <c r="I143" s="291">
        <f>IFERROR(INDEX('Historical Data'!$J$2:$J$1068,MATCH($A143,'Historical Data'!$BE$2:$BE$1068,0)),"")</f>
        <v/>
      </c>
      <c r="J143" s="291">
        <f>IFERROR(INDEX('Historical Data'!$L$2:$L$1068,MATCH($A143,'Historical Data'!$BE$2:$BE$1068,0)),"")</f>
        <v/>
      </c>
      <c r="K143" s="293">
        <f>IFERROR(INDEX('Historical Data'!$M$2:$M$1068,MATCH($A143,'Historical Data'!$BE$2:$BE$1068,0)),"")</f>
        <v/>
      </c>
      <c r="L143" s="294">
        <f>IFERROR(INDEX('Historical Data'!$N$2:$N$1068,MATCH($A143,'Historical Data'!$BE$2:$BE$1068,0)),"")</f>
        <v/>
      </c>
      <c r="M143" s="294">
        <f>IFERROR(INDEX('Historical Data'!$Q$2:$Q$1068,MATCH($A143,'Historical Data'!$BE$2:$BE$1068,0)),"")</f>
        <v/>
      </c>
      <c r="N143" s="295">
        <f>IFERROR(INDEX('Historical Data'!$S$2:$S$1068,MATCH($A143,'Historical Data'!$BE$2:$BE$1068,0)),"")</f>
        <v/>
      </c>
      <c r="O143" s="294">
        <f>IFERROR(INDEX('Historical Data'!$AJ$2:$AJ$1068,MATCH($A143,'Historical Data'!$BE$2:$BE$1068,0)),"")</f>
        <v/>
      </c>
      <c r="P143" s="294">
        <f>IFERROR(INDEX('Historical Data'!$AK$2:$AK$1068,MATCH($A143,'Historical Data'!$BE$2:$BE$1068,0)),"")</f>
        <v/>
      </c>
      <c r="Q143" s="291">
        <f>IFERROR(INDEX('Historical Data'!$AA$2:$AA$1068,MATCH($A143,'Historical Data'!$BE$2:$BE$1068,0)),"")</f>
        <v/>
      </c>
      <c r="R143" s="291">
        <f>IFERROR(INDEX('Historical Data'!$AB$2:$AB$1068,MATCH($A143,'Historical Data'!$BE$2:$BE$1068,0)),"")</f>
        <v/>
      </c>
      <c r="S143" s="291">
        <f>IFERROR(INDEX('Historical Data'!$AN$2:$AN$1068,MATCH($A143,'Historical Data'!$BE$2:$BE$1068,0)),"")</f>
        <v/>
      </c>
      <c r="T143" s="291">
        <f>IFERROR(INDEX('Historical Data'!$AC$2:$AC$1068,MATCH($A143,'Historical Data'!$BE$2:$BE$1068,0)),"")</f>
        <v/>
      </c>
      <c r="U143" s="291">
        <f>IFERROR(INDEX('Historical Data'!$AE$2:$AE$1068,MATCH($A143,'Historical Data'!$BE$2:$BE$1068,0)),"")</f>
        <v/>
      </c>
      <c r="V143" s="291">
        <f>IFERROR(INDEX('Historical Data'!$AH$2:$AH$1068,MATCH($A143,'Historical Data'!$BE$2:$BE$1068,0)),"")</f>
        <v/>
      </c>
      <c r="W143" s="291">
        <f>IFERROR(INDEX('Historical Data'!$BC$2:$BC$1068,MATCH($A143,'Historical Data'!$BE$2:$BE$1068,0)),"")</f>
        <v/>
      </c>
      <c r="X143" s="290">
        <f>IF(B143="","",IF(W143=1,"NR + industry + position",IF(W143=2,"NR + ISO + position",IF(W143=3,"NR + industry",IF(W143=4,"NR + ISO",IF(W143=5,"NR + position",IF(W143=6,"NR only","book baseline"))))))&amp;"  ["&amp;IF(T143=1,"seasoned","unseasoned")&amp;IF(U143=1,", defaulted","")&amp;IF(V143=1,", open","")&amp;"]")</f>
        <v/>
      </c>
    </row>
    <row r="144">
      <c r="A144" s="290" t="n">
        <v>140</v>
      </c>
      <c r="B144" s="291">
        <f>IFERROR(INDEX('Historical Data'!$A$2:$A$1068,MATCH($A144,'Historical Data'!$BE$2:$BE$1068,0)),"")</f>
        <v/>
      </c>
      <c r="C144" s="291">
        <f>IFERROR(INDEX('Historical Data'!$B$2:$B$1068,MATCH($A144,'Historical Data'!$BE$2:$BE$1068,0)),"")</f>
        <v/>
      </c>
      <c r="D144" s="291">
        <f>IFERROR(INDEX('Historical Data'!$D$2:$D$1068,MATCH($A144,'Historical Data'!$BE$2:$BE$1068,0)),"")</f>
        <v/>
      </c>
      <c r="E144" s="292">
        <f>IFERROR(INDEX('Historical Data'!$E$2:$E$1068,MATCH($A144,'Historical Data'!$BE$2:$BE$1068,0)),"")</f>
        <v/>
      </c>
      <c r="F144" s="291">
        <f>IFERROR(INDEX('Historical Data'!$G$2:$G$1068,MATCH($A144,'Historical Data'!$BE$2:$BE$1068,0)),"")</f>
        <v/>
      </c>
      <c r="G144" s="291">
        <f>IFERROR(INDEX('Historical Data'!$Y$2:$Y$1068,MATCH($A144,'Historical Data'!$BE$2:$BE$1068,0)),"")</f>
        <v/>
      </c>
      <c r="H144" s="291">
        <f>IFERROR(INDEX('Historical Data'!$K$2:$K$1068,MATCH($A144,'Historical Data'!$BE$2:$BE$1068,0)),"")</f>
        <v/>
      </c>
      <c r="I144" s="291">
        <f>IFERROR(INDEX('Historical Data'!$J$2:$J$1068,MATCH($A144,'Historical Data'!$BE$2:$BE$1068,0)),"")</f>
        <v/>
      </c>
      <c r="J144" s="291">
        <f>IFERROR(INDEX('Historical Data'!$L$2:$L$1068,MATCH($A144,'Historical Data'!$BE$2:$BE$1068,0)),"")</f>
        <v/>
      </c>
      <c r="K144" s="293">
        <f>IFERROR(INDEX('Historical Data'!$M$2:$M$1068,MATCH($A144,'Historical Data'!$BE$2:$BE$1068,0)),"")</f>
        <v/>
      </c>
      <c r="L144" s="294">
        <f>IFERROR(INDEX('Historical Data'!$N$2:$N$1068,MATCH($A144,'Historical Data'!$BE$2:$BE$1068,0)),"")</f>
        <v/>
      </c>
      <c r="M144" s="294">
        <f>IFERROR(INDEX('Historical Data'!$Q$2:$Q$1068,MATCH($A144,'Historical Data'!$BE$2:$BE$1068,0)),"")</f>
        <v/>
      </c>
      <c r="N144" s="295">
        <f>IFERROR(INDEX('Historical Data'!$S$2:$S$1068,MATCH($A144,'Historical Data'!$BE$2:$BE$1068,0)),"")</f>
        <v/>
      </c>
      <c r="O144" s="294">
        <f>IFERROR(INDEX('Historical Data'!$AJ$2:$AJ$1068,MATCH($A144,'Historical Data'!$BE$2:$BE$1068,0)),"")</f>
        <v/>
      </c>
      <c r="P144" s="294">
        <f>IFERROR(INDEX('Historical Data'!$AK$2:$AK$1068,MATCH($A144,'Historical Data'!$BE$2:$BE$1068,0)),"")</f>
        <v/>
      </c>
      <c r="Q144" s="291">
        <f>IFERROR(INDEX('Historical Data'!$AA$2:$AA$1068,MATCH($A144,'Historical Data'!$BE$2:$BE$1068,0)),"")</f>
        <v/>
      </c>
      <c r="R144" s="291">
        <f>IFERROR(INDEX('Historical Data'!$AB$2:$AB$1068,MATCH($A144,'Historical Data'!$BE$2:$BE$1068,0)),"")</f>
        <v/>
      </c>
      <c r="S144" s="291">
        <f>IFERROR(INDEX('Historical Data'!$AN$2:$AN$1068,MATCH($A144,'Historical Data'!$BE$2:$BE$1068,0)),"")</f>
        <v/>
      </c>
      <c r="T144" s="291">
        <f>IFERROR(INDEX('Historical Data'!$AC$2:$AC$1068,MATCH($A144,'Historical Data'!$BE$2:$BE$1068,0)),"")</f>
        <v/>
      </c>
      <c r="U144" s="291">
        <f>IFERROR(INDEX('Historical Data'!$AE$2:$AE$1068,MATCH($A144,'Historical Data'!$BE$2:$BE$1068,0)),"")</f>
        <v/>
      </c>
      <c r="V144" s="291">
        <f>IFERROR(INDEX('Historical Data'!$AH$2:$AH$1068,MATCH($A144,'Historical Data'!$BE$2:$BE$1068,0)),"")</f>
        <v/>
      </c>
      <c r="W144" s="291">
        <f>IFERROR(INDEX('Historical Data'!$BC$2:$BC$1068,MATCH($A144,'Historical Data'!$BE$2:$BE$1068,0)),"")</f>
        <v/>
      </c>
      <c r="X144" s="290">
        <f>IF(B144="","",IF(W144=1,"NR + industry + position",IF(W144=2,"NR + ISO + position",IF(W144=3,"NR + industry",IF(W144=4,"NR + ISO",IF(W144=5,"NR + position",IF(W144=6,"NR only","book baseline"))))))&amp;"  ["&amp;IF(T144=1,"seasoned","unseasoned")&amp;IF(U144=1,", defaulted","")&amp;IF(V144=1,", open","")&amp;"]")</f>
        <v/>
      </c>
    </row>
    <row r="145">
      <c r="A145" s="290" t="n">
        <v>141</v>
      </c>
      <c r="B145" s="291">
        <f>IFERROR(INDEX('Historical Data'!$A$2:$A$1068,MATCH($A145,'Historical Data'!$BE$2:$BE$1068,0)),"")</f>
        <v/>
      </c>
      <c r="C145" s="291">
        <f>IFERROR(INDEX('Historical Data'!$B$2:$B$1068,MATCH($A145,'Historical Data'!$BE$2:$BE$1068,0)),"")</f>
        <v/>
      </c>
      <c r="D145" s="291">
        <f>IFERROR(INDEX('Historical Data'!$D$2:$D$1068,MATCH($A145,'Historical Data'!$BE$2:$BE$1068,0)),"")</f>
        <v/>
      </c>
      <c r="E145" s="292">
        <f>IFERROR(INDEX('Historical Data'!$E$2:$E$1068,MATCH($A145,'Historical Data'!$BE$2:$BE$1068,0)),"")</f>
        <v/>
      </c>
      <c r="F145" s="291">
        <f>IFERROR(INDEX('Historical Data'!$G$2:$G$1068,MATCH($A145,'Historical Data'!$BE$2:$BE$1068,0)),"")</f>
        <v/>
      </c>
      <c r="G145" s="291">
        <f>IFERROR(INDEX('Historical Data'!$Y$2:$Y$1068,MATCH($A145,'Historical Data'!$BE$2:$BE$1068,0)),"")</f>
        <v/>
      </c>
      <c r="H145" s="291">
        <f>IFERROR(INDEX('Historical Data'!$K$2:$K$1068,MATCH($A145,'Historical Data'!$BE$2:$BE$1068,0)),"")</f>
        <v/>
      </c>
      <c r="I145" s="291">
        <f>IFERROR(INDEX('Historical Data'!$J$2:$J$1068,MATCH($A145,'Historical Data'!$BE$2:$BE$1068,0)),"")</f>
        <v/>
      </c>
      <c r="J145" s="291">
        <f>IFERROR(INDEX('Historical Data'!$L$2:$L$1068,MATCH($A145,'Historical Data'!$BE$2:$BE$1068,0)),"")</f>
        <v/>
      </c>
      <c r="K145" s="293">
        <f>IFERROR(INDEX('Historical Data'!$M$2:$M$1068,MATCH($A145,'Historical Data'!$BE$2:$BE$1068,0)),"")</f>
        <v/>
      </c>
      <c r="L145" s="294">
        <f>IFERROR(INDEX('Historical Data'!$N$2:$N$1068,MATCH($A145,'Historical Data'!$BE$2:$BE$1068,0)),"")</f>
        <v/>
      </c>
      <c r="M145" s="294">
        <f>IFERROR(INDEX('Historical Data'!$Q$2:$Q$1068,MATCH($A145,'Historical Data'!$BE$2:$BE$1068,0)),"")</f>
        <v/>
      </c>
      <c r="N145" s="295">
        <f>IFERROR(INDEX('Historical Data'!$S$2:$S$1068,MATCH($A145,'Historical Data'!$BE$2:$BE$1068,0)),"")</f>
        <v/>
      </c>
      <c r="O145" s="294">
        <f>IFERROR(INDEX('Historical Data'!$AJ$2:$AJ$1068,MATCH($A145,'Historical Data'!$BE$2:$BE$1068,0)),"")</f>
        <v/>
      </c>
      <c r="P145" s="294">
        <f>IFERROR(INDEX('Historical Data'!$AK$2:$AK$1068,MATCH($A145,'Historical Data'!$BE$2:$BE$1068,0)),"")</f>
        <v/>
      </c>
      <c r="Q145" s="291">
        <f>IFERROR(INDEX('Historical Data'!$AA$2:$AA$1068,MATCH($A145,'Historical Data'!$BE$2:$BE$1068,0)),"")</f>
        <v/>
      </c>
      <c r="R145" s="291">
        <f>IFERROR(INDEX('Historical Data'!$AB$2:$AB$1068,MATCH($A145,'Historical Data'!$BE$2:$BE$1068,0)),"")</f>
        <v/>
      </c>
      <c r="S145" s="291">
        <f>IFERROR(INDEX('Historical Data'!$AN$2:$AN$1068,MATCH($A145,'Historical Data'!$BE$2:$BE$1068,0)),"")</f>
        <v/>
      </c>
      <c r="T145" s="291">
        <f>IFERROR(INDEX('Historical Data'!$AC$2:$AC$1068,MATCH($A145,'Historical Data'!$BE$2:$BE$1068,0)),"")</f>
        <v/>
      </c>
      <c r="U145" s="291">
        <f>IFERROR(INDEX('Historical Data'!$AE$2:$AE$1068,MATCH($A145,'Historical Data'!$BE$2:$BE$1068,0)),"")</f>
        <v/>
      </c>
      <c r="V145" s="291">
        <f>IFERROR(INDEX('Historical Data'!$AH$2:$AH$1068,MATCH($A145,'Historical Data'!$BE$2:$BE$1068,0)),"")</f>
        <v/>
      </c>
      <c r="W145" s="291">
        <f>IFERROR(INDEX('Historical Data'!$BC$2:$BC$1068,MATCH($A145,'Historical Data'!$BE$2:$BE$1068,0)),"")</f>
        <v/>
      </c>
      <c r="X145" s="290">
        <f>IF(B145="","",IF(W145=1,"NR + industry + position",IF(W145=2,"NR + ISO + position",IF(W145=3,"NR + industry",IF(W145=4,"NR + ISO",IF(W145=5,"NR + position",IF(W145=6,"NR only","book baseline"))))))&amp;"  ["&amp;IF(T145=1,"seasoned","unseasoned")&amp;IF(U145=1,", defaulted","")&amp;IF(V145=1,", open","")&amp;"]")</f>
        <v/>
      </c>
    </row>
    <row r="146">
      <c r="A146" s="290" t="n">
        <v>142</v>
      </c>
      <c r="B146" s="291">
        <f>IFERROR(INDEX('Historical Data'!$A$2:$A$1068,MATCH($A146,'Historical Data'!$BE$2:$BE$1068,0)),"")</f>
        <v/>
      </c>
      <c r="C146" s="291">
        <f>IFERROR(INDEX('Historical Data'!$B$2:$B$1068,MATCH($A146,'Historical Data'!$BE$2:$BE$1068,0)),"")</f>
        <v/>
      </c>
      <c r="D146" s="291">
        <f>IFERROR(INDEX('Historical Data'!$D$2:$D$1068,MATCH($A146,'Historical Data'!$BE$2:$BE$1068,0)),"")</f>
        <v/>
      </c>
      <c r="E146" s="292">
        <f>IFERROR(INDEX('Historical Data'!$E$2:$E$1068,MATCH($A146,'Historical Data'!$BE$2:$BE$1068,0)),"")</f>
        <v/>
      </c>
      <c r="F146" s="291">
        <f>IFERROR(INDEX('Historical Data'!$G$2:$G$1068,MATCH($A146,'Historical Data'!$BE$2:$BE$1068,0)),"")</f>
        <v/>
      </c>
      <c r="G146" s="291">
        <f>IFERROR(INDEX('Historical Data'!$Y$2:$Y$1068,MATCH($A146,'Historical Data'!$BE$2:$BE$1068,0)),"")</f>
        <v/>
      </c>
      <c r="H146" s="291">
        <f>IFERROR(INDEX('Historical Data'!$K$2:$K$1068,MATCH($A146,'Historical Data'!$BE$2:$BE$1068,0)),"")</f>
        <v/>
      </c>
      <c r="I146" s="291">
        <f>IFERROR(INDEX('Historical Data'!$J$2:$J$1068,MATCH($A146,'Historical Data'!$BE$2:$BE$1068,0)),"")</f>
        <v/>
      </c>
      <c r="J146" s="291">
        <f>IFERROR(INDEX('Historical Data'!$L$2:$L$1068,MATCH($A146,'Historical Data'!$BE$2:$BE$1068,0)),"")</f>
        <v/>
      </c>
      <c r="K146" s="293">
        <f>IFERROR(INDEX('Historical Data'!$M$2:$M$1068,MATCH($A146,'Historical Data'!$BE$2:$BE$1068,0)),"")</f>
        <v/>
      </c>
      <c r="L146" s="294">
        <f>IFERROR(INDEX('Historical Data'!$N$2:$N$1068,MATCH($A146,'Historical Data'!$BE$2:$BE$1068,0)),"")</f>
        <v/>
      </c>
      <c r="M146" s="294">
        <f>IFERROR(INDEX('Historical Data'!$Q$2:$Q$1068,MATCH($A146,'Historical Data'!$BE$2:$BE$1068,0)),"")</f>
        <v/>
      </c>
      <c r="N146" s="295">
        <f>IFERROR(INDEX('Historical Data'!$S$2:$S$1068,MATCH($A146,'Historical Data'!$BE$2:$BE$1068,0)),"")</f>
        <v/>
      </c>
      <c r="O146" s="294">
        <f>IFERROR(INDEX('Historical Data'!$AJ$2:$AJ$1068,MATCH($A146,'Historical Data'!$BE$2:$BE$1068,0)),"")</f>
        <v/>
      </c>
      <c r="P146" s="294">
        <f>IFERROR(INDEX('Historical Data'!$AK$2:$AK$1068,MATCH($A146,'Historical Data'!$BE$2:$BE$1068,0)),"")</f>
        <v/>
      </c>
      <c r="Q146" s="291">
        <f>IFERROR(INDEX('Historical Data'!$AA$2:$AA$1068,MATCH($A146,'Historical Data'!$BE$2:$BE$1068,0)),"")</f>
        <v/>
      </c>
      <c r="R146" s="291">
        <f>IFERROR(INDEX('Historical Data'!$AB$2:$AB$1068,MATCH($A146,'Historical Data'!$BE$2:$BE$1068,0)),"")</f>
        <v/>
      </c>
      <c r="S146" s="291">
        <f>IFERROR(INDEX('Historical Data'!$AN$2:$AN$1068,MATCH($A146,'Historical Data'!$BE$2:$BE$1068,0)),"")</f>
        <v/>
      </c>
      <c r="T146" s="291">
        <f>IFERROR(INDEX('Historical Data'!$AC$2:$AC$1068,MATCH($A146,'Historical Data'!$BE$2:$BE$1068,0)),"")</f>
        <v/>
      </c>
      <c r="U146" s="291">
        <f>IFERROR(INDEX('Historical Data'!$AE$2:$AE$1068,MATCH($A146,'Historical Data'!$BE$2:$BE$1068,0)),"")</f>
        <v/>
      </c>
      <c r="V146" s="291">
        <f>IFERROR(INDEX('Historical Data'!$AH$2:$AH$1068,MATCH($A146,'Historical Data'!$BE$2:$BE$1068,0)),"")</f>
        <v/>
      </c>
      <c r="W146" s="291">
        <f>IFERROR(INDEX('Historical Data'!$BC$2:$BC$1068,MATCH($A146,'Historical Data'!$BE$2:$BE$1068,0)),"")</f>
        <v/>
      </c>
      <c r="X146" s="290">
        <f>IF(B146="","",IF(W146=1,"NR + industry + position",IF(W146=2,"NR + ISO + position",IF(W146=3,"NR + industry",IF(W146=4,"NR + ISO",IF(W146=5,"NR + position",IF(W146=6,"NR only","book baseline"))))))&amp;"  ["&amp;IF(T146=1,"seasoned","unseasoned")&amp;IF(U146=1,", defaulted","")&amp;IF(V146=1,", open","")&amp;"]")</f>
        <v/>
      </c>
    </row>
    <row r="147">
      <c r="A147" s="290" t="n">
        <v>143</v>
      </c>
      <c r="B147" s="291">
        <f>IFERROR(INDEX('Historical Data'!$A$2:$A$1068,MATCH($A147,'Historical Data'!$BE$2:$BE$1068,0)),"")</f>
        <v/>
      </c>
      <c r="C147" s="291">
        <f>IFERROR(INDEX('Historical Data'!$B$2:$B$1068,MATCH($A147,'Historical Data'!$BE$2:$BE$1068,0)),"")</f>
        <v/>
      </c>
      <c r="D147" s="291">
        <f>IFERROR(INDEX('Historical Data'!$D$2:$D$1068,MATCH($A147,'Historical Data'!$BE$2:$BE$1068,0)),"")</f>
        <v/>
      </c>
      <c r="E147" s="292">
        <f>IFERROR(INDEX('Historical Data'!$E$2:$E$1068,MATCH($A147,'Historical Data'!$BE$2:$BE$1068,0)),"")</f>
        <v/>
      </c>
      <c r="F147" s="291">
        <f>IFERROR(INDEX('Historical Data'!$G$2:$G$1068,MATCH($A147,'Historical Data'!$BE$2:$BE$1068,0)),"")</f>
        <v/>
      </c>
      <c r="G147" s="291">
        <f>IFERROR(INDEX('Historical Data'!$Y$2:$Y$1068,MATCH($A147,'Historical Data'!$BE$2:$BE$1068,0)),"")</f>
        <v/>
      </c>
      <c r="H147" s="291">
        <f>IFERROR(INDEX('Historical Data'!$K$2:$K$1068,MATCH($A147,'Historical Data'!$BE$2:$BE$1068,0)),"")</f>
        <v/>
      </c>
      <c r="I147" s="291">
        <f>IFERROR(INDEX('Historical Data'!$J$2:$J$1068,MATCH($A147,'Historical Data'!$BE$2:$BE$1068,0)),"")</f>
        <v/>
      </c>
      <c r="J147" s="291">
        <f>IFERROR(INDEX('Historical Data'!$L$2:$L$1068,MATCH($A147,'Historical Data'!$BE$2:$BE$1068,0)),"")</f>
        <v/>
      </c>
      <c r="K147" s="293">
        <f>IFERROR(INDEX('Historical Data'!$M$2:$M$1068,MATCH($A147,'Historical Data'!$BE$2:$BE$1068,0)),"")</f>
        <v/>
      </c>
      <c r="L147" s="294">
        <f>IFERROR(INDEX('Historical Data'!$N$2:$N$1068,MATCH($A147,'Historical Data'!$BE$2:$BE$1068,0)),"")</f>
        <v/>
      </c>
      <c r="M147" s="294">
        <f>IFERROR(INDEX('Historical Data'!$Q$2:$Q$1068,MATCH($A147,'Historical Data'!$BE$2:$BE$1068,0)),"")</f>
        <v/>
      </c>
      <c r="N147" s="295">
        <f>IFERROR(INDEX('Historical Data'!$S$2:$S$1068,MATCH($A147,'Historical Data'!$BE$2:$BE$1068,0)),"")</f>
        <v/>
      </c>
      <c r="O147" s="294">
        <f>IFERROR(INDEX('Historical Data'!$AJ$2:$AJ$1068,MATCH($A147,'Historical Data'!$BE$2:$BE$1068,0)),"")</f>
        <v/>
      </c>
      <c r="P147" s="294">
        <f>IFERROR(INDEX('Historical Data'!$AK$2:$AK$1068,MATCH($A147,'Historical Data'!$BE$2:$BE$1068,0)),"")</f>
        <v/>
      </c>
      <c r="Q147" s="291">
        <f>IFERROR(INDEX('Historical Data'!$AA$2:$AA$1068,MATCH($A147,'Historical Data'!$BE$2:$BE$1068,0)),"")</f>
        <v/>
      </c>
      <c r="R147" s="291">
        <f>IFERROR(INDEX('Historical Data'!$AB$2:$AB$1068,MATCH($A147,'Historical Data'!$BE$2:$BE$1068,0)),"")</f>
        <v/>
      </c>
      <c r="S147" s="291">
        <f>IFERROR(INDEX('Historical Data'!$AN$2:$AN$1068,MATCH($A147,'Historical Data'!$BE$2:$BE$1068,0)),"")</f>
        <v/>
      </c>
      <c r="T147" s="291">
        <f>IFERROR(INDEX('Historical Data'!$AC$2:$AC$1068,MATCH($A147,'Historical Data'!$BE$2:$BE$1068,0)),"")</f>
        <v/>
      </c>
      <c r="U147" s="291">
        <f>IFERROR(INDEX('Historical Data'!$AE$2:$AE$1068,MATCH($A147,'Historical Data'!$BE$2:$BE$1068,0)),"")</f>
        <v/>
      </c>
      <c r="V147" s="291">
        <f>IFERROR(INDEX('Historical Data'!$AH$2:$AH$1068,MATCH($A147,'Historical Data'!$BE$2:$BE$1068,0)),"")</f>
        <v/>
      </c>
      <c r="W147" s="291">
        <f>IFERROR(INDEX('Historical Data'!$BC$2:$BC$1068,MATCH($A147,'Historical Data'!$BE$2:$BE$1068,0)),"")</f>
        <v/>
      </c>
      <c r="X147" s="290">
        <f>IF(B147="","",IF(W147=1,"NR + industry + position",IF(W147=2,"NR + ISO + position",IF(W147=3,"NR + industry",IF(W147=4,"NR + ISO",IF(W147=5,"NR + position",IF(W147=6,"NR only","book baseline"))))))&amp;"  ["&amp;IF(T147=1,"seasoned","unseasoned")&amp;IF(U147=1,", defaulted","")&amp;IF(V147=1,", open","")&amp;"]")</f>
        <v/>
      </c>
    </row>
    <row r="148">
      <c r="A148" s="290" t="n">
        <v>144</v>
      </c>
      <c r="B148" s="291">
        <f>IFERROR(INDEX('Historical Data'!$A$2:$A$1068,MATCH($A148,'Historical Data'!$BE$2:$BE$1068,0)),"")</f>
        <v/>
      </c>
      <c r="C148" s="291">
        <f>IFERROR(INDEX('Historical Data'!$B$2:$B$1068,MATCH($A148,'Historical Data'!$BE$2:$BE$1068,0)),"")</f>
        <v/>
      </c>
      <c r="D148" s="291">
        <f>IFERROR(INDEX('Historical Data'!$D$2:$D$1068,MATCH($A148,'Historical Data'!$BE$2:$BE$1068,0)),"")</f>
        <v/>
      </c>
      <c r="E148" s="292">
        <f>IFERROR(INDEX('Historical Data'!$E$2:$E$1068,MATCH($A148,'Historical Data'!$BE$2:$BE$1068,0)),"")</f>
        <v/>
      </c>
      <c r="F148" s="291">
        <f>IFERROR(INDEX('Historical Data'!$G$2:$G$1068,MATCH($A148,'Historical Data'!$BE$2:$BE$1068,0)),"")</f>
        <v/>
      </c>
      <c r="G148" s="291">
        <f>IFERROR(INDEX('Historical Data'!$Y$2:$Y$1068,MATCH($A148,'Historical Data'!$BE$2:$BE$1068,0)),"")</f>
        <v/>
      </c>
      <c r="H148" s="291">
        <f>IFERROR(INDEX('Historical Data'!$K$2:$K$1068,MATCH($A148,'Historical Data'!$BE$2:$BE$1068,0)),"")</f>
        <v/>
      </c>
      <c r="I148" s="291">
        <f>IFERROR(INDEX('Historical Data'!$J$2:$J$1068,MATCH($A148,'Historical Data'!$BE$2:$BE$1068,0)),"")</f>
        <v/>
      </c>
      <c r="J148" s="291">
        <f>IFERROR(INDEX('Historical Data'!$L$2:$L$1068,MATCH($A148,'Historical Data'!$BE$2:$BE$1068,0)),"")</f>
        <v/>
      </c>
      <c r="K148" s="293">
        <f>IFERROR(INDEX('Historical Data'!$M$2:$M$1068,MATCH($A148,'Historical Data'!$BE$2:$BE$1068,0)),"")</f>
        <v/>
      </c>
      <c r="L148" s="294">
        <f>IFERROR(INDEX('Historical Data'!$N$2:$N$1068,MATCH($A148,'Historical Data'!$BE$2:$BE$1068,0)),"")</f>
        <v/>
      </c>
      <c r="M148" s="294">
        <f>IFERROR(INDEX('Historical Data'!$Q$2:$Q$1068,MATCH($A148,'Historical Data'!$BE$2:$BE$1068,0)),"")</f>
        <v/>
      </c>
      <c r="N148" s="295">
        <f>IFERROR(INDEX('Historical Data'!$S$2:$S$1068,MATCH($A148,'Historical Data'!$BE$2:$BE$1068,0)),"")</f>
        <v/>
      </c>
      <c r="O148" s="294">
        <f>IFERROR(INDEX('Historical Data'!$AJ$2:$AJ$1068,MATCH($A148,'Historical Data'!$BE$2:$BE$1068,0)),"")</f>
        <v/>
      </c>
      <c r="P148" s="294">
        <f>IFERROR(INDEX('Historical Data'!$AK$2:$AK$1068,MATCH($A148,'Historical Data'!$BE$2:$BE$1068,0)),"")</f>
        <v/>
      </c>
      <c r="Q148" s="291">
        <f>IFERROR(INDEX('Historical Data'!$AA$2:$AA$1068,MATCH($A148,'Historical Data'!$BE$2:$BE$1068,0)),"")</f>
        <v/>
      </c>
      <c r="R148" s="291">
        <f>IFERROR(INDEX('Historical Data'!$AB$2:$AB$1068,MATCH($A148,'Historical Data'!$BE$2:$BE$1068,0)),"")</f>
        <v/>
      </c>
      <c r="S148" s="291">
        <f>IFERROR(INDEX('Historical Data'!$AN$2:$AN$1068,MATCH($A148,'Historical Data'!$BE$2:$BE$1068,0)),"")</f>
        <v/>
      </c>
      <c r="T148" s="291">
        <f>IFERROR(INDEX('Historical Data'!$AC$2:$AC$1068,MATCH($A148,'Historical Data'!$BE$2:$BE$1068,0)),"")</f>
        <v/>
      </c>
      <c r="U148" s="291">
        <f>IFERROR(INDEX('Historical Data'!$AE$2:$AE$1068,MATCH($A148,'Historical Data'!$BE$2:$BE$1068,0)),"")</f>
        <v/>
      </c>
      <c r="V148" s="291">
        <f>IFERROR(INDEX('Historical Data'!$AH$2:$AH$1068,MATCH($A148,'Historical Data'!$BE$2:$BE$1068,0)),"")</f>
        <v/>
      </c>
      <c r="W148" s="291">
        <f>IFERROR(INDEX('Historical Data'!$BC$2:$BC$1068,MATCH($A148,'Historical Data'!$BE$2:$BE$1068,0)),"")</f>
        <v/>
      </c>
      <c r="X148" s="290">
        <f>IF(B148="","",IF(W148=1,"NR + industry + position",IF(W148=2,"NR + ISO + position",IF(W148=3,"NR + industry",IF(W148=4,"NR + ISO",IF(W148=5,"NR + position",IF(W148=6,"NR only","book baseline"))))))&amp;"  ["&amp;IF(T148=1,"seasoned","unseasoned")&amp;IF(U148=1,", defaulted","")&amp;IF(V148=1,", open","")&amp;"]")</f>
        <v/>
      </c>
    </row>
    <row r="149">
      <c r="A149" s="290" t="n">
        <v>145</v>
      </c>
      <c r="B149" s="291">
        <f>IFERROR(INDEX('Historical Data'!$A$2:$A$1068,MATCH($A149,'Historical Data'!$BE$2:$BE$1068,0)),"")</f>
        <v/>
      </c>
      <c r="C149" s="291">
        <f>IFERROR(INDEX('Historical Data'!$B$2:$B$1068,MATCH($A149,'Historical Data'!$BE$2:$BE$1068,0)),"")</f>
        <v/>
      </c>
      <c r="D149" s="291">
        <f>IFERROR(INDEX('Historical Data'!$D$2:$D$1068,MATCH($A149,'Historical Data'!$BE$2:$BE$1068,0)),"")</f>
        <v/>
      </c>
      <c r="E149" s="292">
        <f>IFERROR(INDEX('Historical Data'!$E$2:$E$1068,MATCH($A149,'Historical Data'!$BE$2:$BE$1068,0)),"")</f>
        <v/>
      </c>
      <c r="F149" s="291">
        <f>IFERROR(INDEX('Historical Data'!$G$2:$G$1068,MATCH($A149,'Historical Data'!$BE$2:$BE$1068,0)),"")</f>
        <v/>
      </c>
      <c r="G149" s="291">
        <f>IFERROR(INDEX('Historical Data'!$Y$2:$Y$1068,MATCH($A149,'Historical Data'!$BE$2:$BE$1068,0)),"")</f>
        <v/>
      </c>
      <c r="H149" s="291">
        <f>IFERROR(INDEX('Historical Data'!$K$2:$K$1068,MATCH($A149,'Historical Data'!$BE$2:$BE$1068,0)),"")</f>
        <v/>
      </c>
      <c r="I149" s="291">
        <f>IFERROR(INDEX('Historical Data'!$J$2:$J$1068,MATCH($A149,'Historical Data'!$BE$2:$BE$1068,0)),"")</f>
        <v/>
      </c>
      <c r="J149" s="291">
        <f>IFERROR(INDEX('Historical Data'!$L$2:$L$1068,MATCH($A149,'Historical Data'!$BE$2:$BE$1068,0)),"")</f>
        <v/>
      </c>
      <c r="K149" s="293">
        <f>IFERROR(INDEX('Historical Data'!$M$2:$M$1068,MATCH($A149,'Historical Data'!$BE$2:$BE$1068,0)),"")</f>
        <v/>
      </c>
      <c r="L149" s="294">
        <f>IFERROR(INDEX('Historical Data'!$N$2:$N$1068,MATCH($A149,'Historical Data'!$BE$2:$BE$1068,0)),"")</f>
        <v/>
      </c>
      <c r="M149" s="294">
        <f>IFERROR(INDEX('Historical Data'!$Q$2:$Q$1068,MATCH($A149,'Historical Data'!$BE$2:$BE$1068,0)),"")</f>
        <v/>
      </c>
      <c r="N149" s="295">
        <f>IFERROR(INDEX('Historical Data'!$S$2:$S$1068,MATCH($A149,'Historical Data'!$BE$2:$BE$1068,0)),"")</f>
        <v/>
      </c>
      <c r="O149" s="294">
        <f>IFERROR(INDEX('Historical Data'!$AJ$2:$AJ$1068,MATCH($A149,'Historical Data'!$BE$2:$BE$1068,0)),"")</f>
        <v/>
      </c>
      <c r="P149" s="294">
        <f>IFERROR(INDEX('Historical Data'!$AK$2:$AK$1068,MATCH($A149,'Historical Data'!$BE$2:$BE$1068,0)),"")</f>
        <v/>
      </c>
      <c r="Q149" s="291">
        <f>IFERROR(INDEX('Historical Data'!$AA$2:$AA$1068,MATCH($A149,'Historical Data'!$BE$2:$BE$1068,0)),"")</f>
        <v/>
      </c>
      <c r="R149" s="291">
        <f>IFERROR(INDEX('Historical Data'!$AB$2:$AB$1068,MATCH($A149,'Historical Data'!$BE$2:$BE$1068,0)),"")</f>
        <v/>
      </c>
      <c r="S149" s="291">
        <f>IFERROR(INDEX('Historical Data'!$AN$2:$AN$1068,MATCH($A149,'Historical Data'!$BE$2:$BE$1068,0)),"")</f>
        <v/>
      </c>
      <c r="T149" s="291">
        <f>IFERROR(INDEX('Historical Data'!$AC$2:$AC$1068,MATCH($A149,'Historical Data'!$BE$2:$BE$1068,0)),"")</f>
        <v/>
      </c>
      <c r="U149" s="291">
        <f>IFERROR(INDEX('Historical Data'!$AE$2:$AE$1068,MATCH($A149,'Historical Data'!$BE$2:$BE$1068,0)),"")</f>
        <v/>
      </c>
      <c r="V149" s="291">
        <f>IFERROR(INDEX('Historical Data'!$AH$2:$AH$1068,MATCH($A149,'Historical Data'!$BE$2:$BE$1068,0)),"")</f>
        <v/>
      </c>
      <c r="W149" s="291">
        <f>IFERROR(INDEX('Historical Data'!$BC$2:$BC$1068,MATCH($A149,'Historical Data'!$BE$2:$BE$1068,0)),"")</f>
        <v/>
      </c>
      <c r="X149" s="290">
        <f>IF(B149="","",IF(W149=1,"NR + industry + position",IF(W149=2,"NR + ISO + position",IF(W149=3,"NR + industry",IF(W149=4,"NR + ISO",IF(W149=5,"NR + position",IF(W149=6,"NR only","book baseline"))))))&amp;"  ["&amp;IF(T149=1,"seasoned","unseasoned")&amp;IF(U149=1,", defaulted","")&amp;IF(V149=1,", open","")&amp;"]")</f>
        <v/>
      </c>
    </row>
    <row r="150">
      <c r="A150" s="290" t="n">
        <v>146</v>
      </c>
      <c r="B150" s="291">
        <f>IFERROR(INDEX('Historical Data'!$A$2:$A$1068,MATCH($A150,'Historical Data'!$BE$2:$BE$1068,0)),"")</f>
        <v/>
      </c>
      <c r="C150" s="291">
        <f>IFERROR(INDEX('Historical Data'!$B$2:$B$1068,MATCH($A150,'Historical Data'!$BE$2:$BE$1068,0)),"")</f>
        <v/>
      </c>
      <c r="D150" s="291">
        <f>IFERROR(INDEX('Historical Data'!$D$2:$D$1068,MATCH($A150,'Historical Data'!$BE$2:$BE$1068,0)),"")</f>
        <v/>
      </c>
      <c r="E150" s="292">
        <f>IFERROR(INDEX('Historical Data'!$E$2:$E$1068,MATCH($A150,'Historical Data'!$BE$2:$BE$1068,0)),"")</f>
        <v/>
      </c>
      <c r="F150" s="291">
        <f>IFERROR(INDEX('Historical Data'!$G$2:$G$1068,MATCH($A150,'Historical Data'!$BE$2:$BE$1068,0)),"")</f>
        <v/>
      </c>
      <c r="G150" s="291">
        <f>IFERROR(INDEX('Historical Data'!$Y$2:$Y$1068,MATCH($A150,'Historical Data'!$BE$2:$BE$1068,0)),"")</f>
        <v/>
      </c>
      <c r="H150" s="291">
        <f>IFERROR(INDEX('Historical Data'!$K$2:$K$1068,MATCH($A150,'Historical Data'!$BE$2:$BE$1068,0)),"")</f>
        <v/>
      </c>
      <c r="I150" s="291">
        <f>IFERROR(INDEX('Historical Data'!$J$2:$J$1068,MATCH($A150,'Historical Data'!$BE$2:$BE$1068,0)),"")</f>
        <v/>
      </c>
      <c r="J150" s="291">
        <f>IFERROR(INDEX('Historical Data'!$L$2:$L$1068,MATCH($A150,'Historical Data'!$BE$2:$BE$1068,0)),"")</f>
        <v/>
      </c>
      <c r="K150" s="293">
        <f>IFERROR(INDEX('Historical Data'!$M$2:$M$1068,MATCH($A150,'Historical Data'!$BE$2:$BE$1068,0)),"")</f>
        <v/>
      </c>
      <c r="L150" s="294">
        <f>IFERROR(INDEX('Historical Data'!$N$2:$N$1068,MATCH($A150,'Historical Data'!$BE$2:$BE$1068,0)),"")</f>
        <v/>
      </c>
      <c r="M150" s="294">
        <f>IFERROR(INDEX('Historical Data'!$Q$2:$Q$1068,MATCH($A150,'Historical Data'!$BE$2:$BE$1068,0)),"")</f>
        <v/>
      </c>
      <c r="N150" s="295">
        <f>IFERROR(INDEX('Historical Data'!$S$2:$S$1068,MATCH($A150,'Historical Data'!$BE$2:$BE$1068,0)),"")</f>
        <v/>
      </c>
      <c r="O150" s="294">
        <f>IFERROR(INDEX('Historical Data'!$AJ$2:$AJ$1068,MATCH($A150,'Historical Data'!$BE$2:$BE$1068,0)),"")</f>
        <v/>
      </c>
      <c r="P150" s="294">
        <f>IFERROR(INDEX('Historical Data'!$AK$2:$AK$1068,MATCH($A150,'Historical Data'!$BE$2:$BE$1068,0)),"")</f>
        <v/>
      </c>
      <c r="Q150" s="291">
        <f>IFERROR(INDEX('Historical Data'!$AA$2:$AA$1068,MATCH($A150,'Historical Data'!$BE$2:$BE$1068,0)),"")</f>
        <v/>
      </c>
      <c r="R150" s="291">
        <f>IFERROR(INDEX('Historical Data'!$AB$2:$AB$1068,MATCH($A150,'Historical Data'!$BE$2:$BE$1068,0)),"")</f>
        <v/>
      </c>
      <c r="S150" s="291">
        <f>IFERROR(INDEX('Historical Data'!$AN$2:$AN$1068,MATCH($A150,'Historical Data'!$BE$2:$BE$1068,0)),"")</f>
        <v/>
      </c>
      <c r="T150" s="291">
        <f>IFERROR(INDEX('Historical Data'!$AC$2:$AC$1068,MATCH($A150,'Historical Data'!$BE$2:$BE$1068,0)),"")</f>
        <v/>
      </c>
      <c r="U150" s="291">
        <f>IFERROR(INDEX('Historical Data'!$AE$2:$AE$1068,MATCH($A150,'Historical Data'!$BE$2:$BE$1068,0)),"")</f>
        <v/>
      </c>
      <c r="V150" s="291">
        <f>IFERROR(INDEX('Historical Data'!$AH$2:$AH$1068,MATCH($A150,'Historical Data'!$BE$2:$BE$1068,0)),"")</f>
        <v/>
      </c>
      <c r="W150" s="291">
        <f>IFERROR(INDEX('Historical Data'!$BC$2:$BC$1068,MATCH($A150,'Historical Data'!$BE$2:$BE$1068,0)),"")</f>
        <v/>
      </c>
      <c r="X150" s="290">
        <f>IF(B150="","",IF(W150=1,"NR + industry + position",IF(W150=2,"NR + ISO + position",IF(W150=3,"NR + industry",IF(W150=4,"NR + ISO",IF(W150=5,"NR + position",IF(W150=6,"NR only","book baseline"))))))&amp;"  ["&amp;IF(T150=1,"seasoned","unseasoned")&amp;IF(U150=1,", defaulted","")&amp;IF(V150=1,", open","")&amp;"]")</f>
        <v/>
      </c>
    </row>
    <row r="151">
      <c r="A151" s="290" t="n">
        <v>147</v>
      </c>
      <c r="B151" s="291">
        <f>IFERROR(INDEX('Historical Data'!$A$2:$A$1068,MATCH($A151,'Historical Data'!$BE$2:$BE$1068,0)),"")</f>
        <v/>
      </c>
      <c r="C151" s="291">
        <f>IFERROR(INDEX('Historical Data'!$B$2:$B$1068,MATCH($A151,'Historical Data'!$BE$2:$BE$1068,0)),"")</f>
        <v/>
      </c>
      <c r="D151" s="291">
        <f>IFERROR(INDEX('Historical Data'!$D$2:$D$1068,MATCH($A151,'Historical Data'!$BE$2:$BE$1068,0)),"")</f>
        <v/>
      </c>
      <c r="E151" s="292">
        <f>IFERROR(INDEX('Historical Data'!$E$2:$E$1068,MATCH($A151,'Historical Data'!$BE$2:$BE$1068,0)),"")</f>
        <v/>
      </c>
      <c r="F151" s="291">
        <f>IFERROR(INDEX('Historical Data'!$G$2:$G$1068,MATCH($A151,'Historical Data'!$BE$2:$BE$1068,0)),"")</f>
        <v/>
      </c>
      <c r="G151" s="291">
        <f>IFERROR(INDEX('Historical Data'!$Y$2:$Y$1068,MATCH($A151,'Historical Data'!$BE$2:$BE$1068,0)),"")</f>
        <v/>
      </c>
      <c r="H151" s="291">
        <f>IFERROR(INDEX('Historical Data'!$K$2:$K$1068,MATCH($A151,'Historical Data'!$BE$2:$BE$1068,0)),"")</f>
        <v/>
      </c>
      <c r="I151" s="291">
        <f>IFERROR(INDEX('Historical Data'!$J$2:$J$1068,MATCH($A151,'Historical Data'!$BE$2:$BE$1068,0)),"")</f>
        <v/>
      </c>
      <c r="J151" s="291">
        <f>IFERROR(INDEX('Historical Data'!$L$2:$L$1068,MATCH($A151,'Historical Data'!$BE$2:$BE$1068,0)),"")</f>
        <v/>
      </c>
      <c r="K151" s="293">
        <f>IFERROR(INDEX('Historical Data'!$M$2:$M$1068,MATCH($A151,'Historical Data'!$BE$2:$BE$1068,0)),"")</f>
        <v/>
      </c>
      <c r="L151" s="294">
        <f>IFERROR(INDEX('Historical Data'!$N$2:$N$1068,MATCH($A151,'Historical Data'!$BE$2:$BE$1068,0)),"")</f>
        <v/>
      </c>
      <c r="M151" s="294">
        <f>IFERROR(INDEX('Historical Data'!$Q$2:$Q$1068,MATCH($A151,'Historical Data'!$BE$2:$BE$1068,0)),"")</f>
        <v/>
      </c>
      <c r="N151" s="295">
        <f>IFERROR(INDEX('Historical Data'!$S$2:$S$1068,MATCH($A151,'Historical Data'!$BE$2:$BE$1068,0)),"")</f>
        <v/>
      </c>
      <c r="O151" s="294">
        <f>IFERROR(INDEX('Historical Data'!$AJ$2:$AJ$1068,MATCH($A151,'Historical Data'!$BE$2:$BE$1068,0)),"")</f>
        <v/>
      </c>
      <c r="P151" s="294">
        <f>IFERROR(INDEX('Historical Data'!$AK$2:$AK$1068,MATCH($A151,'Historical Data'!$BE$2:$BE$1068,0)),"")</f>
        <v/>
      </c>
      <c r="Q151" s="291">
        <f>IFERROR(INDEX('Historical Data'!$AA$2:$AA$1068,MATCH($A151,'Historical Data'!$BE$2:$BE$1068,0)),"")</f>
        <v/>
      </c>
      <c r="R151" s="291">
        <f>IFERROR(INDEX('Historical Data'!$AB$2:$AB$1068,MATCH($A151,'Historical Data'!$BE$2:$BE$1068,0)),"")</f>
        <v/>
      </c>
      <c r="S151" s="291">
        <f>IFERROR(INDEX('Historical Data'!$AN$2:$AN$1068,MATCH($A151,'Historical Data'!$BE$2:$BE$1068,0)),"")</f>
        <v/>
      </c>
      <c r="T151" s="291">
        <f>IFERROR(INDEX('Historical Data'!$AC$2:$AC$1068,MATCH($A151,'Historical Data'!$BE$2:$BE$1068,0)),"")</f>
        <v/>
      </c>
      <c r="U151" s="291">
        <f>IFERROR(INDEX('Historical Data'!$AE$2:$AE$1068,MATCH($A151,'Historical Data'!$BE$2:$BE$1068,0)),"")</f>
        <v/>
      </c>
      <c r="V151" s="291">
        <f>IFERROR(INDEX('Historical Data'!$AH$2:$AH$1068,MATCH($A151,'Historical Data'!$BE$2:$BE$1068,0)),"")</f>
        <v/>
      </c>
      <c r="W151" s="291">
        <f>IFERROR(INDEX('Historical Data'!$BC$2:$BC$1068,MATCH($A151,'Historical Data'!$BE$2:$BE$1068,0)),"")</f>
        <v/>
      </c>
      <c r="X151" s="290">
        <f>IF(B151="","",IF(W151=1,"NR + industry + position",IF(W151=2,"NR + ISO + position",IF(W151=3,"NR + industry",IF(W151=4,"NR + ISO",IF(W151=5,"NR + position",IF(W151=6,"NR only","book baseline"))))))&amp;"  ["&amp;IF(T151=1,"seasoned","unseasoned")&amp;IF(U151=1,", defaulted","")&amp;IF(V151=1,", open","")&amp;"]")</f>
        <v/>
      </c>
    </row>
    <row r="152">
      <c r="A152" s="290" t="n">
        <v>148</v>
      </c>
      <c r="B152" s="291">
        <f>IFERROR(INDEX('Historical Data'!$A$2:$A$1068,MATCH($A152,'Historical Data'!$BE$2:$BE$1068,0)),"")</f>
        <v/>
      </c>
      <c r="C152" s="291">
        <f>IFERROR(INDEX('Historical Data'!$B$2:$B$1068,MATCH($A152,'Historical Data'!$BE$2:$BE$1068,0)),"")</f>
        <v/>
      </c>
      <c r="D152" s="291">
        <f>IFERROR(INDEX('Historical Data'!$D$2:$D$1068,MATCH($A152,'Historical Data'!$BE$2:$BE$1068,0)),"")</f>
        <v/>
      </c>
      <c r="E152" s="292">
        <f>IFERROR(INDEX('Historical Data'!$E$2:$E$1068,MATCH($A152,'Historical Data'!$BE$2:$BE$1068,0)),"")</f>
        <v/>
      </c>
      <c r="F152" s="291">
        <f>IFERROR(INDEX('Historical Data'!$G$2:$G$1068,MATCH($A152,'Historical Data'!$BE$2:$BE$1068,0)),"")</f>
        <v/>
      </c>
      <c r="G152" s="291">
        <f>IFERROR(INDEX('Historical Data'!$Y$2:$Y$1068,MATCH($A152,'Historical Data'!$BE$2:$BE$1068,0)),"")</f>
        <v/>
      </c>
      <c r="H152" s="291">
        <f>IFERROR(INDEX('Historical Data'!$K$2:$K$1068,MATCH($A152,'Historical Data'!$BE$2:$BE$1068,0)),"")</f>
        <v/>
      </c>
      <c r="I152" s="291">
        <f>IFERROR(INDEX('Historical Data'!$J$2:$J$1068,MATCH($A152,'Historical Data'!$BE$2:$BE$1068,0)),"")</f>
        <v/>
      </c>
      <c r="J152" s="291">
        <f>IFERROR(INDEX('Historical Data'!$L$2:$L$1068,MATCH($A152,'Historical Data'!$BE$2:$BE$1068,0)),"")</f>
        <v/>
      </c>
      <c r="K152" s="293">
        <f>IFERROR(INDEX('Historical Data'!$M$2:$M$1068,MATCH($A152,'Historical Data'!$BE$2:$BE$1068,0)),"")</f>
        <v/>
      </c>
      <c r="L152" s="294">
        <f>IFERROR(INDEX('Historical Data'!$N$2:$N$1068,MATCH($A152,'Historical Data'!$BE$2:$BE$1068,0)),"")</f>
        <v/>
      </c>
      <c r="M152" s="294">
        <f>IFERROR(INDEX('Historical Data'!$Q$2:$Q$1068,MATCH($A152,'Historical Data'!$BE$2:$BE$1068,0)),"")</f>
        <v/>
      </c>
      <c r="N152" s="295">
        <f>IFERROR(INDEX('Historical Data'!$S$2:$S$1068,MATCH($A152,'Historical Data'!$BE$2:$BE$1068,0)),"")</f>
        <v/>
      </c>
      <c r="O152" s="294">
        <f>IFERROR(INDEX('Historical Data'!$AJ$2:$AJ$1068,MATCH($A152,'Historical Data'!$BE$2:$BE$1068,0)),"")</f>
        <v/>
      </c>
      <c r="P152" s="294">
        <f>IFERROR(INDEX('Historical Data'!$AK$2:$AK$1068,MATCH($A152,'Historical Data'!$BE$2:$BE$1068,0)),"")</f>
        <v/>
      </c>
      <c r="Q152" s="291">
        <f>IFERROR(INDEX('Historical Data'!$AA$2:$AA$1068,MATCH($A152,'Historical Data'!$BE$2:$BE$1068,0)),"")</f>
        <v/>
      </c>
      <c r="R152" s="291">
        <f>IFERROR(INDEX('Historical Data'!$AB$2:$AB$1068,MATCH($A152,'Historical Data'!$BE$2:$BE$1068,0)),"")</f>
        <v/>
      </c>
      <c r="S152" s="291">
        <f>IFERROR(INDEX('Historical Data'!$AN$2:$AN$1068,MATCH($A152,'Historical Data'!$BE$2:$BE$1068,0)),"")</f>
        <v/>
      </c>
      <c r="T152" s="291">
        <f>IFERROR(INDEX('Historical Data'!$AC$2:$AC$1068,MATCH($A152,'Historical Data'!$BE$2:$BE$1068,0)),"")</f>
        <v/>
      </c>
      <c r="U152" s="291">
        <f>IFERROR(INDEX('Historical Data'!$AE$2:$AE$1068,MATCH($A152,'Historical Data'!$BE$2:$BE$1068,0)),"")</f>
        <v/>
      </c>
      <c r="V152" s="291">
        <f>IFERROR(INDEX('Historical Data'!$AH$2:$AH$1068,MATCH($A152,'Historical Data'!$BE$2:$BE$1068,0)),"")</f>
        <v/>
      </c>
      <c r="W152" s="291">
        <f>IFERROR(INDEX('Historical Data'!$BC$2:$BC$1068,MATCH($A152,'Historical Data'!$BE$2:$BE$1068,0)),"")</f>
        <v/>
      </c>
      <c r="X152" s="290">
        <f>IF(B152="","",IF(W152=1,"NR + industry + position",IF(W152=2,"NR + ISO + position",IF(W152=3,"NR + industry",IF(W152=4,"NR + ISO",IF(W152=5,"NR + position",IF(W152=6,"NR only","book baseline"))))))&amp;"  ["&amp;IF(T152=1,"seasoned","unseasoned")&amp;IF(U152=1,", defaulted","")&amp;IF(V152=1,", open","")&amp;"]")</f>
        <v/>
      </c>
    </row>
    <row r="153">
      <c r="A153" s="290" t="n">
        <v>149</v>
      </c>
      <c r="B153" s="291">
        <f>IFERROR(INDEX('Historical Data'!$A$2:$A$1068,MATCH($A153,'Historical Data'!$BE$2:$BE$1068,0)),"")</f>
        <v/>
      </c>
      <c r="C153" s="291">
        <f>IFERROR(INDEX('Historical Data'!$B$2:$B$1068,MATCH($A153,'Historical Data'!$BE$2:$BE$1068,0)),"")</f>
        <v/>
      </c>
      <c r="D153" s="291">
        <f>IFERROR(INDEX('Historical Data'!$D$2:$D$1068,MATCH($A153,'Historical Data'!$BE$2:$BE$1068,0)),"")</f>
        <v/>
      </c>
      <c r="E153" s="292">
        <f>IFERROR(INDEX('Historical Data'!$E$2:$E$1068,MATCH($A153,'Historical Data'!$BE$2:$BE$1068,0)),"")</f>
        <v/>
      </c>
      <c r="F153" s="291">
        <f>IFERROR(INDEX('Historical Data'!$G$2:$G$1068,MATCH($A153,'Historical Data'!$BE$2:$BE$1068,0)),"")</f>
        <v/>
      </c>
      <c r="G153" s="291">
        <f>IFERROR(INDEX('Historical Data'!$Y$2:$Y$1068,MATCH($A153,'Historical Data'!$BE$2:$BE$1068,0)),"")</f>
        <v/>
      </c>
      <c r="H153" s="291">
        <f>IFERROR(INDEX('Historical Data'!$K$2:$K$1068,MATCH($A153,'Historical Data'!$BE$2:$BE$1068,0)),"")</f>
        <v/>
      </c>
      <c r="I153" s="291">
        <f>IFERROR(INDEX('Historical Data'!$J$2:$J$1068,MATCH($A153,'Historical Data'!$BE$2:$BE$1068,0)),"")</f>
        <v/>
      </c>
      <c r="J153" s="291">
        <f>IFERROR(INDEX('Historical Data'!$L$2:$L$1068,MATCH($A153,'Historical Data'!$BE$2:$BE$1068,0)),"")</f>
        <v/>
      </c>
      <c r="K153" s="293">
        <f>IFERROR(INDEX('Historical Data'!$M$2:$M$1068,MATCH($A153,'Historical Data'!$BE$2:$BE$1068,0)),"")</f>
        <v/>
      </c>
      <c r="L153" s="294">
        <f>IFERROR(INDEX('Historical Data'!$N$2:$N$1068,MATCH($A153,'Historical Data'!$BE$2:$BE$1068,0)),"")</f>
        <v/>
      </c>
      <c r="M153" s="294">
        <f>IFERROR(INDEX('Historical Data'!$Q$2:$Q$1068,MATCH($A153,'Historical Data'!$BE$2:$BE$1068,0)),"")</f>
        <v/>
      </c>
      <c r="N153" s="295">
        <f>IFERROR(INDEX('Historical Data'!$S$2:$S$1068,MATCH($A153,'Historical Data'!$BE$2:$BE$1068,0)),"")</f>
        <v/>
      </c>
      <c r="O153" s="294">
        <f>IFERROR(INDEX('Historical Data'!$AJ$2:$AJ$1068,MATCH($A153,'Historical Data'!$BE$2:$BE$1068,0)),"")</f>
        <v/>
      </c>
      <c r="P153" s="294">
        <f>IFERROR(INDEX('Historical Data'!$AK$2:$AK$1068,MATCH($A153,'Historical Data'!$BE$2:$BE$1068,0)),"")</f>
        <v/>
      </c>
      <c r="Q153" s="291">
        <f>IFERROR(INDEX('Historical Data'!$AA$2:$AA$1068,MATCH($A153,'Historical Data'!$BE$2:$BE$1068,0)),"")</f>
        <v/>
      </c>
      <c r="R153" s="291">
        <f>IFERROR(INDEX('Historical Data'!$AB$2:$AB$1068,MATCH($A153,'Historical Data'!$BE$2:$BE$1068,0)),"")</f>
        <v/>
      </c>
      <c r="S153" s="291">
        <f>IFERROR(INDEX('Historical Data'!$AN$2:$AN$1068,MATCH($A153,'Historical Data'!$BE$2:$BE$1068,0)),"")</f>
        <v/>
      </c>
      <c r="T153" s="291">
        <f>IFERROR(INDEX('Historical Data'!$AC$2:$AC$1068,MATCH($A153,'Historical Data'!$BE$2:$BE$1068,0)),"")</f>
        <v/>
      </c>
      <c r="U153" s="291">
        <f>IFERROR(INDEX('Historical Data'!$AE$2:$AE$1068,MATCH($A153,'Historical Data'!$BE$2:$BE$1068,0)),"")</f>
        <v/>
      </c>
      <c r="V153" s="291">
        <f>IFERROR(INDEX('Historical Data'!$AH$2:$AH$1068,MATCH($A153,'Historical Data'!$BE$2:$BE$1068,0)),"")</f>
        <v/>
      </c>
      <c r="W153" s="291">
        <f>IFERROR(INDEX('Historical Data'!$BC$2:$BC$1068,MATCH($A153,'Historical Data'!$BE$2:$BE$1068,0)),"")</f>
        <v/>
      </c>
      <c r="X153" s="290">
        <f>IF(B153="","",IF(W153=1,"NR + industry + position",IF(W153=2,"NR + ISO + position",IF(W153=3,"NR + industry",IF(W153=4,"NR + ISO",IF(W153=5,"NR + position",IF(W153=6,"NR only","book baseline"))))))&amp;"  ["&amp;IF(T153=1,"seasoned","unseasoned")&amp;IF(U153=1,", defaulted","")&amp;IF(V153=1,", open","")&amp;"]")</f>
        <v/>
      </c>
    </row>
    <row r="154">
      <c r="A154" s="290" t="n">
        <v>150</v>
      </c>
      <c r="B154" s="291">
        <f>IFERROR(INDEX('Historical Data'!$A$2:$A$1068,MATCH($A154,'Historical Data'!$BE$2:$BE$1068,0)),"")</f>
        <v/>
      </c>
      <c r="C154" s="291">
        <f>IFERROR(INDEX('Historical Data'!$B$2:$B$1068,MATCH($A154,'Historical Data'!$BE$2:$BE$1068,0)),"")</f>
        <v/>
      </c>
      <c r="D154" s="291">
        <f>IFERROR(INDEX('Historical Data'!$D$2:$D$1068,MATCH($A154,'Historical Data'!$BE$2:$BE$1068,0)),"")</f>
        <v/>
      </c>
      <c r="E154" s="292">
        <f>IFERROR(INDEX('Historical Data'!$E$2:$E$1068,MATCH($A154,'Historical Data'!$BE$2:$BE$1068,0)),"")</f>
        <v/>
      </c>
      <c r="F154" s="291">
        <f>IFERROR(INDEX('Historical Data'!$G$2:$G$1068,MATCH($A154,'Historical Data'!$BE$2:$BE$1068,0)),"")</f>
        <v/>
      </c>
      <c r="G154" s="291">
        <f>IFERROR(INDEX('Historical Data'!$Y$2:$Y$1068,MATCH($A154,'Historical Data'!$BE$2:$BE$1068,0)),"")</f>
        <v/>
      </c>
      <c r="H154" s="291">
        <f>IFERROR(INDEX('Historical Data'!$K$2:$K$1068,MATCH($A154,'Historical Data'!$BE$2:$BE$1068,0)),"")</f>
        <v/>
      </c>
      <c r="I154" s="291">
        <f>IFERROR(INDEX('Historical Data'!$J$2:$J$1068,MATCH($A154,'Historical Data'!$BE$2:$BE$1068,0)),"")</f>
        <v/>
      </c>
      <c r="J154" s="291">
        <f>IFERROR(INDEX('Historical Data'!$L$2:$L$1068,MATCH($A154,'Historical Data'!$BE$2:$BE$1068,0)),"")</f>
        <v/>
      </c>
      <c r="K154" s="293">
        <f>IFERROR(INDEX('Historical Data'!$M$2:$M$1068,MATCH($A154,'Historical Data'!$BE$2:$BE$1068,0)),"")</f>
        <v/>
      </c>
      <c r="L154" s="294">
        <f>IFERROR(INDEX('Historical Data'!$N$2:$N$1068,MATCH($A154,'Historical Data'!$BE$2:$BE$1068,0)),"")</f>
        <v/>
      </c>
      <c r="M154" s="294">
        <f>IFERROR(INDEX('Historical Data'!$Q$2:$Q$1068,MATCH($A154,'Historical Data'!$BE$2:$BE$1068,0)),"")</f>
        <v/>
      </c>
      <c r="N154" s="295">
        <f>IFERROR(INDEX('Historical Data'!$S$2:$S$1068,MATCH($A154,'Historical Data'!$BE$2:$BE$1068,0)),"")</f>
        <v/>
      </c>
      <c r="O154" s="294">
        <f>IFERROR(INDEX('Historical Data'!$AJ$2:$AJ$1068,MATCH($A154,'Historical Data'!$BE$2:$BE$1068,0)),"")</f>
        <v/>
      </c>
      <c r="P154" s="294">
        <f>IFERROR(INDEX('Historical Data'!$AK$2:$AK$1068,MATCH($A154,'Historical Data'!$BE$2:$BE$1068,0)),"")</f>
        <v/>
      </c>
      <c r="Q154" s="291">
        <f>IFERROR(INDEX('Historical Data'!$AA$2:$AA$1068,MATCH($A154,'Historical Data'!$BE$2:$BE$1068,0)),"")</f>
        <v/>
      </c>
      <c r="R154" s="291">
        <f>IFERROR(INDEX('Historical Data'!$AB$2:$AB$1068,MATCH($A154,'Historical Data'!$BE$2:$BE$1068,0)),"")</f>
        <v/>
      </c>
      <c r="S154" s="291">
        <f>IFERROR(INDEX('Historical Data'!$AN$2:$AN$1068,MATCH($A154,'Historical Data'!$BE$2:$BE$1068,0)),"")</f>
        <v/>
      </c>
      <c r="T154" s="291">
        <f>IFERROR(INDEX('Historical Data'!$AC$2:$AC$1068,MATCH($A154,'Historical Data'!$BE$2:$BE$1068,0)),"")</f>
        <v/>
      </c>
      <c r="U154" s="291">
        <f>IFERROR(INDEX('Historical Data'!$AE$2:$AE$1068,MATCH($A154,'Historical Data'!$BE$2:$BE$1068,0)),"")</f>
        <v/>
      </c>
      <c r="V154" s="291">
        <f>IFERROR(INDEX('Historical Data'!$AH$2:$AH$1068,MATCH($A154,'Historical Data'!$BE$2:$BE$1068,0)),"")</f>
        <v/>
      </c>
      <c r="W154" s="291">
        <f>IFERROR(INDEX('Historical Data'!$BC$2:$BC$1068,MATCH($A154,'Historical Data'!$BE$2:$BE$1068,0)),"")</f>
        <v/>
      </c>
      <c r="X154" s="290">
        <f>IF(B154="","",IF(W154=1,"NR + industry + position",IF(W154=2,"NR + ISO + position",IF(W154=3,"NR + industry",IF(W154=4,"NR + ISO",IF(W154=5,"NR + position",IF(W154=6,"NR only","book baseline"))))))&amp;"  ["&amp;IF(T154=1,"seasoned","unseasoned")&amp;IF(U154=1,", defaulted","")&amp;IF(V154=1,", open","")&amp;"]")</f>
        <v/>
      </c>
    </row>
    <row r="155">
      <c r="A155" s="290" t="n">
        <v>151</v>
      </c>
      <c r="B155" s="291">
        <f>IFERROR(INDEX('Historical Data'!$A$2:$A$1068,MATCH($A155,'Historical Data'!$BE$2:$BE$1068,0)),"")</f>
        <v/>
      </c>
      <c r="C155" s="291">
        <f>IFERROR(INDEX('Historical Data'!$B$2:$B$1068,MATCH($A155,'Historical Data'!$BE$2:$BE$1068,0)),"")</f>
        <v/>
      </c>
      <c r="D155" s="291">
        <f>IFERROR(INDEX('Historical Data'!$D$2:$D$1068,MATCH($A155,'Historical Data'!$BE$2:$BE$1068,0)),"")</f>
        <v/>
      </c>
      <c r="E155" s="292">
        <f>IFERROR(INDEX('Historical Data'!$E$2:$E$1068,MATCH($A155,'Historical Data'!$BE$2:$BE$1068,0)),"")</f>
        <v/>
      </c>
      <c r="F155" s="291">
        <f>IFERROR(INDEX('Historical Data'!$G$2:$G$1068,MATCH($A155,'Historical Data'!$BE$2:$BE$1068,0)),"")</f>
        <v/>
      </c>
      <c r="G155" s="291">
        <f>IFERROR(INDEX('Historical Data'!$Y$2:$Y$1068,MATCH($A155,'Historical Data'!$BE$2:$BE$1068,0)),"")</f>
        <v/>
      </c>
      <c r="H155" s="291">
        <f>IFERROR(INDEX('Historical Data'!$K$2:$K$1068,MATCH($A155,'Historical Data'!$BE$2:$BE$1068,0)),"")</f>
        <v/>
      </c>
      <c r="I155" s="291">
        <f>IFERROR(INDEX('Historical Data'!$J$2:$J$1068,MATCH($A155,'Historical Data'!$BE$2:$BE$1068,0)),"")</f>
        <v/>
      </c>
      <c r="J155" s="291">
        <f>IFERROR(INDEX('Historical Data'!$L$2:$L$1068,MATCH($A155,'Historical Data'!$BE$2:$BE$1068,0)),"")</f>
        <v/>
      </c>
      <c r="K155" s="293">
        <f>IFERROR(INDEX('Historical Data'!$M$2:$M$1068,MATCH($A155,'Historical Data'!$BE$2:$BE$1068,0)),"")</f>
        <v/>
      </c>
      <c r="L155" s="294">
        <f>IFERROR(INDEX('Historical Data'!$N$2:$N$1068,MATCH($A155,'Historical Data'!$BE$2:$BE$1068,0)),"")</f>
        <v/>
      </c>
      <c r="M155" s="294">
        <f>IFERROR(INDEX('Historical Data'!$Q$2:$Q$1068,MATCH($A155,'Historical Data'!$BE$2:$BE$1068,0)),"")</f>
        <v/>
      </c>
      <c r="N155" s="295">
        <f>IFERROR(INDEX('Historical Data'!$S$2:$S$1068,MATCH($A155,'Historical Data'!$BE$2:$BE$1068,0)),"")</f>
        <v/>
      </c>
      <c r="O155" s="294">
        <f>IFERROR(INDEX('Historical Data'!$AJ$2:$AJ$1068,MATCH($A155,'Historical Data'!$BE$2:$BE$1068,0)),"")</f>
        <v/>
      </c>
      <c r="P155" s="294">
        <f>IFERROR(INDEX('Historical Data'!$AK$2:$AK$1068,MATCH($A155,'Historical Data'!$BE$2:$BE$1068,0)),"")</f>
        <v/>
      </c>
      <c r="Q155" s="291">
        <f>IFERROR(INDEX('Historical Data'!$AA$2:$AA$1068,MATCH($A155,'Historical Data'!$BE$2:$BE$1068,0)),"")</f>
        <v/>
      </c>
      <c r="R155" s="291">
        <f>IFERROR(INDEX('Historical Data'!$AB$2:$AB$1068,MATCH($A155,'Historical Data'!$BE$2:$BE$1068,0)),"")</f>
        <v/>
      </c>
      <c r="S155" s="291">
        <f>IFERROR(INDEX('Historical Data'!$AN$2:$AN$1068,MATCH($A155,'Historical Data'!$BE$2:$BE$1068,0)),"")</f>
        <v/>
      </c>
      <c r="T155" s="291">
        <f>IFERROR(INDEX('Historical Data'!$AC$2:$AC$1068,MATCH($A155,'Historical Data'!$BE$2:$BE$1068,0)),"")</f>
        <v/>
      </c>
      <c r="U155" s="291">
        <f>IFERROR(INDEX('Historical Data'!$AE$2:$AE$1068,MATCH($A155,'Historical Data'!$BE$2:$BE$1068,0)),"")</f>
        <v/>
      </c>
      <c r="V155" s="291">
        <f>IFERROR(INDEX('Historical Data'!$AH$2:$AH$1068,MATCH($A155,'Historical Data'!$BE$2:$BE$1068,0)),"")</f>
        <v/>
      </c>
      <c r="W155" s="291">
        <f>IFERROR(INDEX('Historical Data'!$BC$2:$BC$1068,MATCH($A155,'Historical Data'!$BE$2:$BE$1068,0)),"")</f>
        <v/>
      </c>
      <c r="X155" s="290">
        <f>IF(B155="","",IF(W155=1,"NR + industry + position",IF(W155=2,"NR + ISO + position",IF(W155=3,"NR + industry",IF(W155=4,"NR + ISO",IF(W155=5,"NR + position",IF(W155=6,"NR only","book baseline"))))))&amp;"  ["&amp;IF(T155=1,"seasoned","unseasoned")&amp;IF(U155=1,", defaulted","")&amp;IF(V155=1,", open","")&amp;"]")</f>
        <v/>
      </c>
    </row>
    <row r="156">
      <c r="A156" s="290" t="n">
        <v>152</v>
      </c>
      <c r="B156" s="291">
        <f>IFERROR(INDEX('Historical Data'!$A$2:$A$1068,MATCH($A156,'Historical Data'!$BE$2:$BE$1068,0)),"")</f>
        <v/>
      </c>
      <c r="C156" s="291">
        <f>IFERROR(INDEX('Historical Data'!$B$2:$B$1068,MATCH($A156,'Historical Data'!$BE$2:$BE$1068,0)),"")</f>
        <v/>
      </c>
      <c r="D156" s="291">
        <f>IFERROR(INDEX('Historical Data'!$D$2:$D$1068,MATCH($A156,'Historical Data'!$BE$2:$BE$1068,0)),"")</f>
        <v/>
      </c>
      <c r="E156" s="292">
        <f>IFERROR(INDEX('Historical Data'!$E$2:$E$1068,MATCH($A156,'Historical Data'!$BE$2:$BE$1068,0)),"")</f>
        <v/>
      </c>
      <c r="F156" s="291">
        <f>IFERROR(INDEX('Historical Data'!$G$2:$G$1068,MATCH($A156,'Historical Data'!$BE$2:$BE$1068,0)),"")</f>
        <v/>
      </c>
      <c r="G156" s="291">
        <f>IFERROR(INDEX('Historical Data'!$Y$2:$Y$1068,MATCH($A156,'Historical Data'!$BE$2:$BE$1068,0)),"")</f>
        <v/>
      </c>
      <c r="H156" s="291">
        <f>IFERROR(INDEX('Historical Data'!$K$2:$K$1068,MATCH($A156,'Historical Data'!$BE$2:$BE$1068,0)),"")</f>
        <v/>
      </c>
      <c r="I156" s="291">
        <f>IFERROR(INDEX('Historical Data'!$J$2:$J$1068,MATCH($A156,'Historical Data'!$BE$2:$BE$1068,0)),"")</f>
        <v/>
      </c>
      <c r="J156" s="291">
        <f>IFERROR(INDEX('Historical Data'!$L$2:$L$1068,MATCH($A156,'Historical Data'!$BE$2:$BE$1068,0)),"")</f>
        <v/>
      </c>
      <c r="K156" s="293">
        <f>IFERROR(INDEX('Historical Data'!$M$2:$M$1068,MATCH($A156,'Historical Data'!$BE$2:$BE$1068,0)),"")</f>
        <v/>
      </c>
      <c r="L156" s="294">
        <f>IFERROR(INDEX('Historical Data'!$N$2:$N$1068,MATCH($A156,'Historical Data'!$BE$2:$BE$1068,0)),"")</f>
        <v/>
      </c>
      <c r="M156" s="294">
        <f>IFERROR(INDEX('Historical Data'!$Q$2:$Q$1068,MATCH($A156,'Historical Data'!$BE$2:$BE$1068,0)),"")</f>
        <v/>
      </c>
      <c r="N156" s="295">
        <f>IFERROR(INDEX('Historical Data'!$S$2:$S$1068,MATCH($A156,'Historical Data'!$BE$2:$BE$1068,0)),"")</f>
        <v/>
      </c>
      <c r="O156" s="294">
        <f>IFERROR(INDEX('Historical Data'!$AJ$2:$AJ$1068,MATCH($A156,'Historical Data'!$BE$2:$BE$1068,0)),"")</f>
        <v/>
      </c>
      <c r="P156" s="294">
        <f>IFERROR(INDEX('Historical Data'!$AK$2:$AK$1068,MATCH($A156,'Historical Data'!$BE$2:$BE$1068,0)),"")</f>
        <v/>
      </c>
      <c r="Q156" s="291">
        <f>IFERROR(INDEX('Historical Data'!$AA$2:$AA$1068,MATCH($A156,'Historical Data'!$BE$2:$BE$1068,0)),"")</f>
        <v/>
      </c>
      <c r="R156" s="291">
        <f>IFERROR(INDEX('Historical Data'!$AB$2:$AB$1068,MATCH($A156,'Historical Data'!$BE$2:$BE$1068,0)),"")</f>
        <v/>
      </c>
      <c r="S156" s="291">
        <f>IFERROR(INDEX('Historical Data'!$AN$2:$AN$1068,MATCH($A156,'Historical Data'!$BE$2:$BE$1068,0)),"")</f>
        <v/>
      </c>
      <c r="T156" s="291">
        <f>IFERROR(INDEX('Historical Data'!$AC$2:$AC$1068,MATCH($A156,'Historical Data'!$BE$2:$BE$1068,0)),"")</f>
        <v/>
      </c>
      <c r="U156" s="291">
        <f>IFERROR(INDEX('Historical Data'!$AE$2:$AE$1068,MATCH($A156,'Historical Data'!$BE$2:$BE$1068,0)),"")</f>
        <v/>
      </c>
      <c r="V156" s="291">
        <f>IFERROR(INDEX('Historical Data'!$AH$2:$AH$1068,MATCH($A156,'Historical Data'!$BE$2:$BE$1068,0)),"")</f>
        <v/>
      </c>
      <c r="W156" s="291">
        <f>IFERROR(INDEX('Historical Data'!$BC$2:$BC$1068,MATCH($A156,'Historical Data'!$BE$2:$BE$1068,0)),"")</f>
        <v/>
      </c>
      <c r="X156" s="290">
        <f>IF(B156="","",IF(W156=1,"NR + industry + position",IF(W156=2,"NR + ISO + position",IF(W156=3,"NR + industry",IF(W156=4,"NR + ISO",IF(W156=5,"NR + position",IF(W156=6,"NR only","book baseline"))))))&amp;"  ["&amp;IF(T156=1,"seasoned","unseasoned")&amp;IF(U156=1,", defaulted","")&amp;IF(V156=1,", open","")&amp;"]")</f>
        <v/>
      </c>
    </row>
    <row r="157">
      <c r="A157" s="290" t="n">
        <v>153</v>
      </c>
      <c r="B157" s="291">
        <f>IFERROR(INDEX('Historical Data'!$A$2:$A$1068,MATCH($A157,'Historical Data'!$BE$2:$BE$1068,0)),"")</f>
        <v/>
      </c>
      <c r="C157" s="291">
        <f>IFERROR(INDEX('Historical Data'!$B$2:$B$1068,MATCH($A157,'Historical Data'!$BE$2:$BE$1068,0)),"")</f>
        <v/>
      </c>
      <c r="D157" s="291">
        <f>IFERROR(INDEX('Historical Data'!$D$2:$D$1068,MATCH($A157,'Historical Data'!$BE$2:$BE$1068,0)),"")</f>
        <v/>
      </c>
      <c r="E157" s="292">
        <f>IFERROR(INDEX('Historical Data'!$E$2:$E$1068,MATCH($A157,'Historical Data'!$BE$2:$BE$1068,0)),"")</f>
        <v/>
      </c>
      <c r="F157" s="291">
        <f>IFERROR(INDEX('Historical Data'!$G$2:$G$1068,MATCH($A157,'Historical Data'!$BE$2:$BE$1068,0)),"")</f>
        <v/>
      </c>
      <c r="G157" s="291">
        <f>IFERROR(INDEX('Historical Data'!$Y$2:$Y$1068,MATCH($A157,'Historical Data'!$BE$2:$BE$1068,0)),"")</f>
        <v/>
      </c>
      <c r="H157" s="291">
        <f>IFERROR(INDEX('Historical Data'!$K$2:$K$1068,MATCH($A157,'Historical Data'!$BE$2:$BE$1068,0)),"")</f>
        <v/>
      </c>
      <c r="I157" s="291">
        <f>IFERROR(INDEX('Historical Data'!$J$2:$J$1068,MATCH($A157,'Historical Data'!$BE$2:$BE$1068,0)),"")</f>
        <v/>
      </c>
      <c r="J157" s="291">
        <f>IFERROR(INDEX('Historical Data'!$L$2:$L$1068,MATCH($A157,'Historical Data'!$BE$2:$BE$1068,0)),"")</f>
        <v/>
      </c>
      <c r="K157" s="293">
        <f>IFERROR(INDEX('Historical Data'!$M$2:$M$1068,MATCH($A157,'Historical Data'!$BE$2:$BE$1068,0)),"")</f>
        <v/>
      </c>
      <c r="L157" s="294">
        <f>IFERROR(INDEX('Historical Data'!$N$2:$N$1068,MATCH($A157,'Historical Data'!$BE$2:$BE$1068,0)),"")</f>
        <v/>
      </c>
      <c r="M157" s="294">
        <f>IFERROR(INDEX('Historical Data'!$Q$2:$Q$1068,MATCH($A157,'Historical Data'!$BE$2:$BE$1068,0)),"")</f>
        <v/>
      </c>
      <c r="N157" s="295">
        <f>IFERROR(INDEX('Historical Data'!$S$2:$S$1068,MATCH($A157,'Historical Data'!$BE$2:$BE$1068,0)),"")</f>
        <v/>
      </c>
      <c r="O157" s="294">
        <f>IFERROR(INDEX('Historical Data'!$AJ$2:$AJ$1068,MATCH($A157,'Historical Data'!$BE$2:$BE$1068,0)),"")</f>
        <v/>
      </c>
      <c r="P157" s="294">
        <f>IFERROR(INDEX('Historical Data'!$AK$2:$AK$1068,MATCH($A157,'Historical Data'!$BE$2:$BE$1068,0)),"")</f>
        <v/>
      </c>
      <c r="Q157" s="291">
        <f>IFERROR(INDEX('Historical Data'!$AA$2:$AA$1068,MATCH($A157,'Historical Data'!$BE$2:$BE$1068,0)),"")</f>
        <v/>
      </c>
      <c r="R157" s="291">
        <f>IFERROR(INDEX('Historical Data'!$AB$2:$AB$1068,MATCH($A157,'Historical Data'!$BE$2:$BE$1068,0)),"")</f>
        <v/>
      </c>
      <c r="S157" s="291">
        <f>IFERROR(INDEX('Historical Data'!$AN$2:$AN$1068,MATCH($A157,'Historical Data'!$BE$2:$BE$1068,0)),"")</f>
        <v/>
      </c>
      <c r="T157" s="291">
        <f>IFERROR(INDEX('Historical Data'!$AC$2:$AC$1068,MATCH($A157,'Historical Data'!$BE$2:$BE$1068,0)),"")</f>
        <v/>
      </c>
      <c r="U157" s="291">
        <f>IFERROR(INDEX('Historical Data'!$AE$2:$AE$1068,MATCH($A157,'Historical Data'!$BE$2:$BE$1068,0)),"")</f>
        <v/>
      </c>
      <c r="V157" s="291">
        <f>IFERROR(INDEX('Historical Data'!$AH$2:$AH$1068,MATCH($A157,'Historical Data'!$BE$2:$BE$1068,0)),"")</f>
        <v/>
      </c>
      <c r="W157" s="291">
        <f>IFERROR(INDEX('Historical Data'!$BC$2:$BC$1068,MATCH($A157,'Historical Data'!$BE$2:$BE$1068,0)),"")</f>
        <v/>
      </c>
      <c r="X157" s="290">
        <f>IF(B157="","",IF(W157=1,"NR + industry + position",IF(W157=2,"NR + ISO + position",IF(W157=3,"NR + industry",IF(W157=4,"NR + ISO",IF(W157=5,"NR + position",IF(W157=6,"NR only","book baseline"))))))&amp;"  ["&amp;IF(T157=1,"seasoned","unseasoned")&amp;IF(U157=1,", defaulted","")&amp;IF(V157=1,", open","")&amp;"]")</f>
        <v/>
      </c>
    </row>
    <row r="158">
      <c r="A158" s="290" t="n">
        <v>154</v>
      </c>
      <c r="B158" s="291">
        <f>IFERROR(INDEX('Historical Data'!$A$2:$A$1068,MATCH($A158,'Historical Data'!$BE$2:$BE$1068,0)),"")</f>
        <v/>
      </c>
      <c r="C158" s="291">
        <f>IFERROR(INDEX('Historical Data'!$B$2:$B$1068,MATCH($A158,'Historical Data'!$BE$2:$BE$1068,0)),"")</f>
        <v/>
      </c>
      <c r="D158" s="291">
        <f>IFERROR(INDEX('Historical Data'!$D$2:$D$1068,MATCH($A158,'Historical Data'!$BE$2:$BE$1068,0)),"")</f>
        <v/>
      </c>
      <c r="E158" s="292">
        <f>IFERROR(INDEX('Historical Data'!$E$2:$E$1068,MATCH($A158,'Historical Data'!$BE$2:$BE$1068,0)),"")</f>
        <v/>
      </c>
      <c r="F158" s="291">
        <f>IFERROR(INDEX('Historical Data'!$G$2:$G$1068,MATCH($A158,'Historical Data'!$BE$2:$BE$1068,0)),"")</f>
        <v/>
      </c>
      <c r="G158" s="291">
        <f>IFERROR(INDEX('Historical Data'!$Y$2:$Y$1068,MATCH($A158,'Historical Data'!$BE$2:$BE$1068,0)),"")</f>
        <v/>
      </c>
      <c r="H158" s="291">
        <f>IFERROR(INDEX('Historical Data'!$K$2:$K$1068,MATCH($A158,'Historical Data'!$BE$2:$BE$1068,0)),"")</f>
        <v/>
      </c>
      <c r="I158" s="291">
        <f>IFERROR(INDEX('Historical Data'!$J$2:$J$1068,MATCH($A158,'Historical Data'!$BE$2:$BE$1068,0)),"")</f>
        <v/>
      </c>
      <c r="J158" s="291">
        <f>IFERROR(INDEX('Historical Data'!$L$2:$L$1068,MATCH($A158,'Historical Data'!$BE$2:$BE$1068,0)),"")</f>
        <v/>
      </c>
      <c r="K158" s="293">
        <f>IFERROR(INDEX('Historical Data'!$M$2:$M$1068,MATCH($A158,'Historical Data'!$BE$2:$BE$1068,0)),"")</f>
        <v/>
      </c>
      <c r="L158" s="294">
        <f>IFERROR(INDEX('Historical Data'!$N$2:$N$1068,MATCH($A158,'Historical Data'!$BE$2:$BE$1068,0)),"")</f>
        <v/>
      </c>
      <c r="M158" s="294">
        <f>IFERROR(INDEX('Historical Data'!$Q$2:$Q$1068,MATCH($A158,'Historical Data'!$BE$2:$BE$1068,0)),"")</f>
        <v/>
      </c>
      <c r="N158" s="295">
        <f>IFERROR(INDEX('Historical Data'!$S$2:$S$1068,MATCH($A158,'Historical Data'!$BE$2:$BE$1068,0)),"")</f>
        <v/>
      </c>
      <c r="O158" s="294">
        <f>IFERROR(INDEX('Historical Data'!$AJ$2:$AJ$1068,MATCH($A158,'Historical Data'!$BE$2:$BE$1068,0)),"")</f>
        <v/>
      </c>
      <c r="P158" s="294">
        <f>IFERROR(INDEX('Historical Data'!$AK$2:$AK$1068,MATCH($A158,'Historical Data'!$BE$2:$BE$1068,0)),"")</f>
        <v/>
      </c>
      <c r="Q158" s="291">
        <f>IFERROR(INDEX('Historical Data'!$AA$2:$AA$1068,MATCH($A158,'Historical Data'!$BE$2:$BE$1068,0)),"")</f>
        <v/>
      </c>
      <c r="R158" s="291">
        <f>IFERROR(INDEX('Historical Data'!$AB$2:$AB$1068,MATCH($A158,'Historical Data'!$BE$2:$BE$1068,0)),"")</f>
        <v/>
      </c>
      <c r="S158" s="291">
        <f>IFERROR(INDEX('Historical Data'!$AN$2:$AN$1068,MATCH($A158,'Historical Data'!$BE$2:$BE$1068,0)),"")</f>
        <v/>
      </c>
      <c r="T158" s="291">
        <f>IFERROR(INDEX('Historical Data'!$AC$2:$AC$1068,MATCH($A158,'Historical Data'!$BE$2:$BE$1068,0)),"")</f>
        <v/>
      </c>
      <c r="U158" s="291">
        <f>IFERROR(INDEX('Historical Data'!$AE$2:$AE$1068,MATCH($A158,'Historical Data'!$BE$2:$BE$1068,0)),"")</f>
        <v/>
      </c>
      <c r="V158" s="291">
        <f>IFERROR(INDEX('Historical Data'!$AH$2:$AH$1068,MATCH($A158,'Historical Data'!$BE$2:$BE$1068,0)),"")</f>
        <v/>
      </c>
      <c r="W158" s="291">
        <f>IFERROR(INDEX('Historical Data'!$BC$2:$BC$1068,MATCH($A158,'Historical Data'!$BE$2:$BE$1068,0)),"")</f>
        <v/>
      </c>
      <c r="X158" s="290">
        <f>IF(B158="","",IF(W158=1,"NR + industry + position",IF(W158=2,"NR + ISO + position",IF(W158=3,"NR + industry",IF(W158=4,"NR + ISO",IF(W158=5,"NR + position",IF(W158=6,"NR only","book baseline"))))))&amp;"  ["&amp;IF(T158=1,"seasoned","unseasoned")&amp;IF(U158=1,", defaulted","")&amp;IF(V158=1,", open","")&amp;"]")</f>
        <v/>
      </c>
    </row>
    <row r="159">
      <c r="A159" s="290" t="n">
        <v>155</v>
      </c>
      <c r="B159" s="291">
        <f>IFERROR(INDEX('Historical Data'!$A$2:$A$1068,MATCH($A159,'Historical Data'!$BE$2:$BE$1068,0)),"")</f>
        <v/>
      </c>
      <c r="C159" s="291">
        <f>IFERROR(INDEX('Historical Data'!$B$2:$B$1068,MATCH($A159,'Historical Data'!$BE$2:$BE$1068,0)),"")</f>
        <v/>
      </c>
      <c r="D159" s="291">
        <f>IFERROR(INDEX('Historical Data'!$D$2:$D$1068,MATCH($A159,'Historical Data'!$BE$2:$BE$1068,0)),"")</f>
        <v/>
      </c>
      <c r="E159" s="292">
        <f>IFERROR(INDEX('Historical Data'!$E$2:$E$1068,MATCH($A159,'Historical Data'!$BE$2:$BE$1068,0)),"")</f>
        <v/>
      </c>
      <c r="F159" s="291">
        <f>IFERROR(INDEX('Historical Data'!$G$2:$G$1068,MATCH($A159,'Historical Data'!$BE$2:$BE$1068,0)),"")</f>
        <v/>
      </c>
      <c r="G159" s="291">
        <f>IFERROR(INDEX('Historical Data'!$Y$2:$Y$1068,MATCH($A159,'Historical Data'!$BE$2:$BE$1068,0)),"")</f>
        <v/>
      </c>
      <c r="H159" s="291">
        <f>IFERROR(INDEX('Historical Data'!$K$2:$K$1068,MATCH($A159,'Historical Data'!$BE$2:$BE$1068,0)),"")</f>
        <v/>
      </c>
      <c r="I159" s="291">
        <f>IFERROR(INDEX('Historical Data'!$J$2:$J$1068,MATCH($A159,'Historical Data'!$BE$2:$BE$1068,0)),"")</f>
        <v/>
      </c>
      <c r="J159" s="291">
        <f>IFERROR(INDEX('Historical Data'!$L$2:$L$1068,MATCH($A159,'Historical Data'!$BE$2:$BE$1068,0)),"")</f>
        <v/>
      </c>
      <c r="K159" s="293">
        <f>IFERROR(INDEX('Historical Data'!$M$2:$M$1068,MATCH($A159,'Historical Data'!$BE$2:$BE$1068,0)),"")</f>
        <v/>
      </c>
      <c r="L159" s="294">
        <f>IFERROR(INDEX('Historical Data'!$N$2:$N$1068,MATCH($A159,'Historical Data'!$BE$2:$BE$1068,0)),"")</f>
        <v/>
      </c>
      <c r="M159" s="294">
        <f>IFERROR(INDEX('Historical Data'!$Q$2:$Q$1068,MATCH($A159,'Historical Data'!$BE$2:$BE$1068,0)),"")</f>
        <v/>
      </c>
      <c r="N159" s="295">
        <f>IFERROR(INDEX('Historical Data'!$S$2:$S$1068,MATCH($A159,'Historical Data'!$BE$2:$BE$1068,0)),"")</f>
        <v/>
      </c>
      <c r="O159" s="294">
        <f>IFERROR(INDEX('Historical Data'!$AJ$2:$AJ$1068,MATCH($A159,'Historical Data'!$BE$2:$BE$1068,0)),"")</f>
        <v/>
      </c>
      <c r="P159" s="294">
        <f>IFERROR(INDEX('Historical Data'!$AK$2:$AK$1068,MATCH($A159,'Historical Data'!$BE$2:$BE$1068,0)),"")</f>
        <v/>
      </c>
      <c r="Q159" s="291">
        <f>IFERROR(INDEX('Historical Data'!$AA$2:$AA$1068,MATCH($A159,'Historical Data'!$BE$2:$BE$1068,0)),"")</f>
        <v/>
      </c>
      <c r="R159" s="291">
        <f>IFERROR(INDEX('Historical Data'!$AB$2:$AB$1068,MATCH($A159,'Historical Data'!$BE$2:$BE$1068,0)),"")</f>
        <v/>
      </c>
      <c r="S159" s="291">
        <f>IFERROR(INDEX('Historical Data'!$AN$2:$AN$1068,MATCH($A159,'Historical Data'!$BE$2:$BE$1068,0)),"")</f>
        <v/>
      </c>
      <c r="T159" s="291">
        <f>IFERROR(INDEX('Historical Data'!$AC$2:$AC$1068,MATCH($A159,'Historical Data'!$BE$2:$BE$1068,0)),"")</f>
        <v/>
      </c>
      <c r="U159" s="291">
        <f>IFERROR(INDEX('Historical Data'!$AE$2:$AE$1068,MATCH($A159,'Historical Data'!$BE$2:$BE$1068,0)),"")</f>
        <v/>
      </c>
      <c r="V159" s="291">
        <f>IFERROR(INDEX('Historical Data'!$AH$2:$AH$1068,MATCH($A159,'Historical Data'!$BE$2:$BE$1068,0)),"")</f>
        <v/>
      </c>
      <c r="W159" s="291">
        <f>IFERROR(INDEX('Historical Data'!$BC$2:$BC$1068,MATCH($A159,'Historical Data'!$BE$2:$BE$1068,0)),"")</f>
        <v/>
      </c>
      <c r="X159" s="290">
        <f>IF(B159="","",IF(W159=1,"NR + industry + position",IF(W159=2,"NR + ISO + position",IF(W159=3,"NR + industry",IF(W159=4,"NR + ISO",IF(W159=5,"NR + position",IF(W159=6,"NR only","book baseline"))))))&amp;"  ["&amp;IF(T159=1,"seasoned","unseasoned")&amp;IF(U159=1,", defaulted","")&amp;IF(V159=1,", open","")&amp;"]")</f>
        <v/>
      </c>
    </row>
    <row r="160">
      <c r="A160" s="290" t="n">
        <v>156</v>
      </c>
      <c r="B160" s="291">
        <f>IFERROR(INDEX('Historical Data'!$A$2:$A$1068,MATCH($A160,'Historical Data'!$BE$2:$BE$1068,0)),"")</f>
        <v/>
      </c>
      <c r="C160" s="291">
        <f>IFERROR(INDEX('Historical Data'!$B$2:$B$1068,MATCH($A160,'Historical Data'!$BE$2:$BE$1068,0)),"")</f>
        <v/>
      </c>
      <c r="D160" s="291">
        <f>IFERROR(INDEX('Historical Data'!$D$2:$D$1068,MATCH($A160,'Historical Data'!$BE$2:$BE$1068,0)),"")</f>
        <v/>
      </c>
      <c r="E160" s="292">
        <f>IFERROR(INDEX('Historical Data'!$E$2:$E$1068,MATCH($A160,'Historical Data'!$BE$2:$BE$1068,0)),"")</f>
        <v/>
      </c>
      <c r="F160" s="291">
        <f>IFERROR(INDEX('Historical Data'!$G$2:$G$1068,MATCH($A160,'Historical Data'!$BE$2:$BE$1068,0)),"")</f>
        <v/>
      </c>
      <c r="G160" s="291">
        <f>IFERROR(INDEX('Historical Data'!$Y$2:$Y$1068,MATCH($A160,'Historical Data'!$BE$2:$BE$1068,0)),"")</f>
        <v/>
      </c>
      <c r="H160" s="291">
        <f>IFERROR(INDEX('Historical Data'!$K$2:$K$1068,MATCH($A160,'Historical Data'!$BE$2:$BE$1068,0)),"")</f>
        <v/>
      </c>
      <c r="I160" s="291">
        <f>IFERROR(INDEX('Historical Data'!$J$2:$J$1068,MATCH($A160,'Historical Data'!$BE$2:$BE$1068,0)),"")</f>
        <v/>
      </c>
      <c r="J160" s="291">
        <f>IFERROR(INDEX('Historical Data'!$L$2:$L$1068,MATCH($A160,'Historical Data'!$BE$2:$BE$1068,0)),"")</f>
        <v/>
      </c>
      <c r="K160" s="293">
        <f>IFERROR(INDEX('Historical Data'!$M$2:$M$1068,MATCH($A160,'Historical Data'!$BE$2:$BE$1068,0)),"")</f>
        <v/>
      </c>
      <c r="L160" s="294">
        <f>IFERROR(INDEX('Historical Data'!$N$2:$N$1068,MATCH($A160,'Historical Data'!$BE$2:$BE$1068,0)),"")</f>
        <v/>
      </c>
      <c r="M160" s="294">
        <f>IFERROR(INDEX('Historical Data'!$Q$2:$Q$1068,MATCH($A160,'Historical Data'!$BE$2:$BE$1068,0)),"")</f>
        <v/>
      </c>
      <c r="N160" s="295">
        <f>IFERROR(INDEX('Historical Data'!$S$2:$S$1068,MATCH($A160,'Historical Data'!$BE$2:$BE$1068,0)),"")</f>
        <v/>
      </c>
      <c r="O160" s="294">
        <f>IFERROR(INDEX('Historical Data'!$AJ$2:$AJ$1068,MATCH($A160,'Historical Data'!$BE$2:$BE$1068,0)),"")</f>
        <v/>
      </c>
      <c r="P160" s="294">
        <f>IFERROR(INDEX('Historical Data'!$AK$2:$AK$1068,MATCH($A160,'Historical Data'!$BE$2:$BE$1068,0)),"")</f>
        <v/>
      </c>
      <c r="Q160" s="291">
        <f>IFERROR(INDEX('Historical Data'!$AA$2:$AA$1068,MATCH($A160,'Historical Data'!$BE$2:$BE$1068,0)),"")</f>
        <v/>
      </c>
      <c r="R160" s="291">
        <f>IFERROR(INDEX('Historical Data'!$AB$2:$AB$1068,MATCH($A160,'Historical Data'!$BE$2:$BE$1068,0)),"")</f>
        <v/>
      </c>
      <c r="S160" s="291">
        <f>IFERROR(INDEX('Historical Data'!$AN$2:$AN$1068,MATCH($A160,'Historical Data'!$BE$2:$BE$1068,0)),"")</f>
        <v/>
      </c>
      <c r="T160" s="291">
        <f>IFERROR(INDEX('Historical Data'!$AC$2:$AC$1068,MATCH($A160,'Historical Data'!$BE$2:$BE$1068,0)),"")</f>
        <v/>
      </c>
      <c r="U160" s="291">
        <f>IFERROR(INDEX('Historical Data'!$AE$2:$AE$1068,MATCH($A160,'Historical Data'!$BE$2:$BE$1068,0)),"")</f>
        <v/>
      </c>
      <c r="V160" s="291">
        <f>IFERROR(INDEX('Historical Data'!$AH$2:$AH$1068,MATCH($A160,'Historical Data'!$BE$2:$BE$1068,0)),"")</f>
        <v/>
      </c>
      <c r="W160" s="291">
        <f>IFERROR(INDEX('Historical Data'!$BC$2:$BC$1068,MATCH($A160,'Historical Data'!$BE$2:$BE$1068,0)),"")</f>
        <v/>
      </c>
      <c r="X160" s="290">
        <f>IF(B160="","",IF(W160=1,"NR + industry + position",IF(W160=2,"NR + ISO + position",IF(W160=3,"NR + industry",IF(W160=4,"NR + ISO",IF(W160=5,"NR + position",IF(W160=6,"NR only","book baseline"))))))&amp;"  ["&amp;IF(T160=1,"seasoned","unseasoned")&amp;IF(U160=1,", defaulted","")&amp;IF(V160=1,", open","")&amp;"]")</f>
        <v/>
      </c>
    </row>
    <row r="161">
      <c r="A161" s="290" t="n">
        <v>157</v>
      </c>
      <c r="B161" s="291">
        <f>IFERROR(INDEX('Historical Data'!$A$2:$A$1068,MATCH($A161,'Historical Data'!$BE$2:$BE$1068,0)),"")</f>
        <v/>
      </c>
      <c r="C161" s="291">
        <f>IFERROR(INDEX('Historical Data'!$B$2:$B$1068,MATCH($A161,'Historical Data'!$BE$2:$BE$1068,0)),"")</f>
        <v/>
      </c>
      <c r="D161" s="291">
        <f>IFERROR(INDEX('Historical Data'!$D$2:$D$1068,MATCH($A161,'Historical Data'!$BE$2:$BE$1068,0)),"")</f>
        <v/>
      </c>
      <c r="E161" s="292">
        <f>IFERROR(INDEX('Historical Data'!$E$2:$E$1068,MATCH($A161,'Historical Data'!$BE$2:$BE$1068,0)),"")</f>
        <v/>
      </c>
      <c r="F161" s="291">
        <f>IFERROR(INDEX('Historical Data'!$G$2:$G$1068,MATCH($A161,'Historical Data'!$BE$2:$BE$1068,0)),"")</f>
        <v/>
      </c>
      <c r="G161" s="291">
        <f>IFERROR(INDEX('Historical Data'!$Y$2:$Y$1068,MATCH($A161,'Historical Data'!$BE$2:$BE$1068,0)),"")</f>
        <v/>
      </c>
      <c r="H161" s="291">
        <f>IFERROR(INDEX('Historical Data'!$K$2:$K$1068,MATCH($A161,'Historical Data'!$BE$2:$BE$1068,0)),"")</f>
        <v/>
      </c>
      <c r="I161" s="291">
        <f>IFERROR(INDEX('Historical Data'!$J$2:$J$1068,MATCH($A161,'Historical Data'!$BE$2:$BE$1068,0)),"")</f>
        <v/>
      </c>
      <c r="J161" s="291">
        <f>IFERROR(INDEX('Historical Data'!$L$2:$L$1068,MATCH($A161,'Historical Data'!$BE$2:$BE$1068,0)),"")</f>
        <v/>
      </c>
      <c r="K161" s="293">
        <f>IFERROR(INDEX('Historical Data'!$M$2:$M$1068,MATCH($A161,'Historical Data'!$BE$2:$BE$1068,0)),"")</f>
        <v/>
      </c>
      <c r="L161" s="294">
        <f>IFERROR(INDEX('Historical Data'!$N$2:$N$1068,MATCH($A161,'Historical Data'!$BE$2:$BE$1068,0)),"")</f>
        <v/>
      </c>
      <c r="M161" s="294">
        <f>IFERROR(INDEX('Historical Data'!$Q$2:$Q$1068,MATCH($A161,'Historical Data'!$BE$2:$BE$1068,0)),"")</f>
        <v/>
      </c>
      <c r="N161" s="295">
        <f>IFERROR(INDEX('Historical Data'!$S$2:$S$1068,MATCH($A161,'Historical Data'!$BE$2:$BE$1068,0)),"")</f>
        <v/>
      </c>
      <c r="O161" s="294">
        <f>IFERROR(INDEX('Historical Data'!$AJ$2:$AJ$1068,MATCH($A161,'Historical Data'!$BE$2:$BE$1068,0)),"")</f>
        <v/>
      </c>
      <c r="P161" s="294">
        <f>IFERROR(INDEX('Historical Data'!$AK$2:$AK$1068,MATCH($A161,'Historical Data'!$BE$2:$BE$1068,0)),"")</f>
        <v/>
      </c>
      <c r="Q161" s="291">
        <f>IFERROR(INDEX('Historical Data'!$AA$2:$AA$1068,MATCH($A161,'Historical Data'!$BE$2:$BE$1068,0)),"")</f>
        <v/>
      </c>
      <c r="R161" s="291">
        <f>IFERROR(INDEX('Historical Data'!$AB$2:$AB$1068,MATCH($A161,'Historical Data'!$BE$2:$BE$1068,0)),"")</f>
        <v/>
      </c>
      <c r="S161" s="291">
        <f>IFERROR(INDEX('Historical Data'!$AN$2:$AN$1068,MATCH($A161,'Historical Data'!$BE$2:$BE$1068,0)),"")</f>
        <v/>
      </c>
      <c r="T161" s="291">
        <f>IFERROR(INDEX('Historical Data'!$AC$2:$AC$1068,MATCH($A161,'Historical Data'!$BE$2:$BE$1068,0)),"")</f>
        <v/>
      </c>
      <c r="U161" s="291">
        <f>IFERROR(INDEX('Historical Data'!$AE$2:$AE$1068,MATCH($A161,'Historical Data'!$BE$2:$BE$1068,0)),"")</f>
        <v/>
      </c>
      <c r="V161" s="291">
        <f>IFERROR(INDEX('Historical Data'!$AH$2:$AH$1068,MATCH($A161,'Historical Data'!$BE$2:$BE$1068,0)),"")</f>
        <v/>
      </c>
      <c r="W161" s="291">
        <f>IFERROR(INDEX('Historical Data'!$BC$2:$BC$1068,MATCH($A161,'Historical Data'!$BE$2:$BE$1068,0)),"")</f>
        <v/>
      </c>
      <c r="X161" s="290">
        <f>IF(B161="","",IF(W161=1,"NR + industry + position",IF(W161=2,"NR + ISO + position",IF(W161=3,"NR + industry",IF(W161=4,"NR + ISO",IF(W161=5,"NR + position",IF(W161=6,"NR only","book baseline"))))))&amp;"  ["&amp;IF(T161=1,"seasoned","unseasoned")&amp;IF(U161=1,", defaulted","")&amp;IF(V161=1,", open","")&amp;"]")</f>
        <v/>
      </c>
    </row>
    <row r="162">
      <c r="A162" s="290" t="n">
        <v>158</v>
      </c>
      <c r="B162" s="291">
        <f>IFERROR(INDEX('Historical Data'!$A$2:$A$1068,MATCH($A162,'Historical Data'!$BE$2:$BE$1068,0)),"")</f>
        <v/>
      </c>
      <c r="C162" s="291">
        <f>IFERROR(INDEX('Historical Data'!$B$2:$B$1068,MATCH($A162,'Historical Data'!$BE$2:$BE$1068,0)),"")</f>
        <v/>
      </c>
      <c r="D162" s="291">
        <f>IFERROR(INDEX('Historical Data'!$D$2:$D$1068,MATCH($A162,'Historical Data'!$BE$2:$BE$1068,0)),"")</f>
        <v/>
      </c>
      <c r="E162" s="292">
        <f>IFERROR(INDEX('Historical Data'!$E$2:$E$1068,MATCH($A162,'Historical Data'!$BE$2:$BE$1068,0)),"")</f>
        <v/>
      </c>
      <c r="F162" s="291">
        <f>IFERROR(INDEX('Historical Data'!$G$2:$G$1068,MATCH($A162,'Historical Data'!$BE$2:$BE$1068,0)),"")</f>
        <v/>
      </c>
      <c r="G162" s="291">
        <f>IFERROR(INDEX('Historical Data'!$Y$2:$Y$1068,MATCH($A162,'Historical Data'!$BE$2:$BE$1068,0)),"")</f>
        <v/>
      </c>
      <c r="H162" s="291">
        <f>IFERROR(INDEX('Historical Data'!$K$2:$K$1068,MATCH($A162,'Historical Data'!$BE$2:$BE$1068,0)),"")</f>
        <v/>
      </c>
      <c r="I162" s="291">
        <f>IFERROR(INDEX('Historical Data'!$J$2:$J$1068,MATCH($A162,'Historical Data'!$BE$2:$BE$1068,0)),"")</f>
        <v/>
      </c>
      <c r="J162" s="291">
        <f>IFERROR(INDEX('Historical Data'!$L$2:$L$1068,MATCH($A162,'Historical Data'!$BE$2:$BE$1068,0)),"")</f>
        <v/>
      </c>
      <c r="K162" s="293">
        <f>IFERROR(INDEX('Historical Data'!$M$2:$M$1068,MATCH($A162,'Historical Data'!$BE$2:$BE$1068,0)),"")</f>
        <v/>
      </c>
      <c r="L162" s="294">
        <f>IFERROR(INDEX('Historical Data'!$N$2:$N$1068,MATCH($A162,'Historical Data'!$BE$2:$BE$1068,0)),"")</f>
        <v/>
      </c>
      <c r="M162" s="294">
        <f>IFERROR(INDEX('Historical Data'!$Q$2:$Q$1068,MATCH($A162,'Historical Data'!$BE$2:$BE$1068,0)),"")</f>
        <v/>
      </c>
      <c r="N162" s="295">
        <f>IFERROR(INDEX('Historical Data'!$S$2:$S$1068,MATCH($A162,'Historical Data'!$BE$2:$BE$1068,0)),"")</f>
        <v/>
      </c>
      <c r="O162" s="294">
        <f>IFERROR(INDEX('Historical Data'!$AJ$2:$AJ$1068,MATCH($A162,'Historical Data'!$BE$2:$BE$1068,0)),"")</f>
        <v/>
      </c>
      <c r="P162" s="294">
        <f>IFERROR(INDEX('Historical Data'!$AK$2:$AK$1068,MATCH($A162,'Historical Data'!$BE$2:$BE$1068,0)),"")</f>
        <v/>
      </c>
      <c r="Q162" s="291">
        <f>IFERROR(INDEX('Historical Data'!$AA$2:$AA$1068,MATCH($A162,'Historical Data'!$BE$2:$BE$1068,0)),"")</f>
        <v/>
      </c>
      <c r="R162" s="291">
        <f>IFERROR(INDEX('Historical Data'!$AB$2:$AB$1068,MATCH($A162,'Historical Data'!$BE$2:$BE$1068,0)),"")</f>
        <v/>
      </c>
      <c r="S162" s="291">
        <f>IFERROR(INDEX('Historical Data'!$AN$2:$AN$1068,MATCH($A162,'Historical Data'!$BE$2:$BE$1068,0)),"")</f>
        <v/>
      </c>
      <c r="T162" s="291">
        <f>IFERROR(INDEX('Historical Data'!$AC$2:$AC$1068,MATCH($A162,'Historical Data'!$BE$2:$BE$1068,0)),"")</f>
        <v/>
      </c>
      <c r="U162" s="291">
        <f>IFERROR(INDEX('Historical Data'!$AE$2:$AE$1068,MATCH($A162,'Historical Data'!$BE$2:$BE$1068,0)),"")</f>
        <v/>
      </c>
      <c r="V162" s="291">
        <f>IFERROR(INDEX('Historical Data'!$AH$2:$AH$1068,MATCH($A162,'Historical Data'!$BE$2:$BE$1068,0)),"")</f>
        <v/>
      </c>
      <c r="W162" s="291">
        <f>IFERROR(INDEX('Historical Data'!$BC$2:$BC$1068,MATCH($A162,'Historical Data'!$BE$2:$BE$1068,0)),"")</f>
        <v/>
      </c>
      <c r="X162" s="290">
        <f>IF(B162="","",IF(W162=1,"NR + industry + position",IF(W162=2,"NR + ISO + position",IF(W162=3,"NR + industry",IF(W162=4,"NR + ISO",IF(W162=5,"NR + position",IF(W162=6,"NR only","book baseline"))))))&amp;"  ["&amp;IF(T162=1,"seasoned","unseasoned")&amp;IF(U162=1,", defaulted","")&amp;IF(V162=1,", open","")&amp;"]")</f>
        <v/>
      </c>
    </row>
    <row r="163">
      <c r="A163" s="290" t="n">
        <v>159</v>
      </c>
      <c r="B163" s="291">
        <f>IFERROR(INDEX('Historical Data'!$A$2:$A$1068,MATCH($A163,'Historical Data'!$BE$2:$BE$1068,0)),"")</f>
        <v/>
      </c>
      <c r="C163" s="291">
        <f>IFERROR(INDEX('Historical Data'!$B$2:$B$1068,MATCH($A163,'Historical Data'!$BE$2:$BE$1068,0)),"")</f>
        <v/>
      </c>
      <c r="D163" s="291">
        <f>IFERROR(INDEX('Historical Data'!$D$2:$D$1068,MATCH($A163,'Historical Data'!$BE$2:$BE$1068,0)),"")</f>
        <v/>
      </c>
      <c r="E163" s="292">
        <f>IFERROR(INDEX('Historical Data'!$E$2:$E$1068,MATCH($A163,'Historical Data'!$BE$2:$BE$1068,0)),"")</f>
        <v/>
      </c>
      <c r="F163" s="291">
        <f>IFERROR(INDEX('Historical Data'!$G$2:$G$1068,MATCH($A163,'Historical Data'!$BE$2:$BE$1068,0)),"")</f>
        <v/>
      </c>
      <c r="G163" s="291">
        <f>IFERROR(INDEX('Historical Data'!$Y$2:$Y$1068,MATCH($A163,'Historical Data'!$BE$2:$BE$1068,0)),"")</f>
        <v/>
      </c>
      <c r="H163" s="291">
        <f>IFERROR(INDEX('Historical Data'!$K$2:$K$1068,MATCH($A163,'Historical Data'!$BE$2:$BE$1068,0)),"")</f>
        <v/>
      </c>
      <c r="I163" s="291">
        <f>IFERROR(INDEX('Historical Data'!$J$2:$J$1068,MATCH($A163,'Historical Data'!$BE$2:$BE$1068,0)),"")</f>
        <v/>
      </c>
      <c r="J163" s="291">
        <f>IFERROR(INDEX('Historical Data'!$L$2:$L$1068,MATCH($A163,'Historical Data'!$BE$2:$BE$1068,0)),"")</f>
        <v/>
      </c>
      <c r="K163" s="293">
        <f>IFERROR(INDEX('Historical Data'!$M$2:$M$1068,MATCH($A163,'Historical Data'!$BE$2:$BE$1068,0)),"")</f>
        <v/>
      </c>
      <c r="L163" s="294">
        <f>IFERROR(INDEX('Historical Data'!$N$2:$N$1068,MATCH($A163,'Historical Data'!$BE$2:$BE$1068,0)),"")</f>
        <v/>
      </c>
      <c r="M163" s="294">
        <f>IFERROR(INDEX('Historical Data'!$Q$2:$Q$1068,MATCH($A163,'Historical Data'!$BE$2:$BE$1068,0)),"")</f>
        <v/>
      </c>
      <c r="N163" s="295">
        <f>IFERROR(INDEX('Historical Data'!$S$2:$S$1068,MATCH($A163,'Historical Data'!$BE$2:$BE$1068,0)),"")</f>
        <v/>
      </c>
      <c r="O163" s="294">
        <f>IFERROR(INDEX('Historical Data'!$AJ$2:$AJ$1068,MATCH($A163,'Historical Data'!$BE$2:$BE$1068,0)),"")</f>
        <v/>
      </c>
      <c r="P163" s="294">
        <f>IFERROR(INDEX('Historical Data'!$AK$2:$AK$1068,MATCH($A163,'Historical Data'!$BE$2:$BE$1068,0)),"")</f>
        <v/>
      </c>
      <c r="Q163" s="291">
        <f>IFERROR(INDEX('Historical Data'!$AA$2:$AA$1068,MATCH($A163,'Historical Data'!$BE$2:$BE$1068,0)),"")</f>
        <v/>
      </c>
      <c r="R163" s="291">
        <f>IFERROR(INDEX('Historical Data'!$AB$2:$AB$1068,MATCH($A163,'Historical Data'!$BE$2:$BE$1068,0)),"")</f>
        <v/>
      </c>
      <c r="S163" s="291">
        <f>IFERROR(INDEX('Historical Data'!$AN$2:$AN$1068,MATCH($A163,'Historical Data'!$BE$2:$BE$1068,0)),"")</f>
        <v/>
      </c>
      <c r="T163" s="291">
        <f>IFERROR(INDEX('Historical Data'!$AC$2:$AC$1068,MATCH($A163,'Historical Data'!$BE$2:$BE$1068,0)),"")</f>
        <v/>
      </c>
      <c r="U163" s="291">
        <f>IFERROR(INDEX('Historical Data'!$AE$2:$AE$1068,MATCH($A163,'Historical Data'!$BE$2:$BE$1068,0)),"")</f>
        <v/>
      </c>
      <c r="V163" s="291">
        <f>IFERROR(INDEX('Historical Data'!$AH$2:$AH$1068,MATCH($A163,'Historical Data'!$BE$2:$BE$1068,0)),"")</f>
        <v/>
      </c>
      <c r="W163" s="291">
        <f>IFERROR(INDEX('Historical Data'!$BC$2:$BC$1068,MATCH($A163,'Historical Data'!$BE$2:$BE$1068,0)),"")</f>
        <v/>
      </c>
      <c r="X163" s="290">
        <f>IF(B163="","",IF(W163=1,"NR + industry + position",IF(W163=2,"NR + ISO + position",IF(W163=3,"NR + industry",IF(W163=4,"NR + ISO",IF(W163=5,"NR + position",IF(W163=6,"NR only","book baseline"))))))&amp;"  ["&amp;IF(T163=1,"seasoned","unseasoned")&amp;IF(U163=1,", defaulted","")&amp;IF(V163=1,", open","")&amp;"]")</f>
        <v/>
      </c>
    </row>
    <row r="164">
      <c r="A164" s="290" t="n">
        <v>160</v>
      </c>
      <c r="B164" s="291">
        <f>IFERROR(INDEX('Historical Data'!$A$2:$A$1068,MATCH($A164,'Historical Data'!$BE$2:$BE$1068,0)),"")</f>
        <v/>
      </c>
      <c r="C164" s="291">
        <f>IFERROR(INDEX('Historical Data'!$B$2:$B$1068,MATCH($A164,'Historical Data'!$BE$2:$BE$1068,0)),"")</f>
        <v/>
      </c>
      <c r="D164" s="291">
        <f>IFERROR(INDEX('Historical Data'!$D$2:$D$1068,MATCH($A164,'Historical Data'!$BE$2:$BE$1068,0)),"")</f>
        <v/>
      </c>
      <c r="E164" s="292">
        <f>IFERROR(INDEX('Historical Data'!$E$2:$E$1068,MATCH($A164,'Historical Data'!$BE$2:$BE$1068,0)),"")</f>
        <v/>
      </c>
      <c r="F164" s="291">
        <f>IFERROR(INDEX('Historical Data'!$G$2:$G$1068,MATCH($A164,'Historical Data'!$BE$2:$BE$1068,0)),"")</f>
        <v/>
      </c>
      <c r="G164" s="291">
        <f>IFERROR(INDEX('Historical Data'!$Y$2:$Y$1068,MATCH($A164,'Historical Data'!$BE$2:$BE$1068,0)),"")</f>
        <v/>
      </c>
      <c r="H164" s="291">
        <f>IFERROR(INDEX('Historical Data'!$K$2:$K$1068,MATCH($A164,'Historical Data'!$BE$2:$BE$1068,0)),"")</f>
        <v/>
      </c>
      <c r="I164" s="291">
        <f>IFERROR(INDEX('Historical Data'!$J$2:$J$1068,MATCH($A164,'Historical Data'!$BE$2:$BE$1068,0)),"")</f>
        <v/>
      </c>
      <c r="J164" s="291">
        <f>IFERROR(INDEX('Historical Data'!$L$2:$L$1068,MATCH($A164,'Historical Data'!$BE$2:$BE$1068,0)),"")</f>
        <v/>
      </c>
      <c r="K164" s="293">
        <f>IFERROR(INDEX('Historical Data'!$M$2:$M$1068,MATCH($A164,'Historical Data'!$BE$2:$BE$1068,0)),"")</f>
        <v/>
      </c>
      <c r="L164" s="294">
        <f>IFERROR(INDEX('Historical Data'!$N$2:$N$1068,MATCH($A164,'Historical Data'!$BE$2:$BE$1068,0)),"")</f>
        <v/>
      </c>
      <c r="M164" s="294">
        <f>IFERROR(INDEX('Historical Data'!$Q$2:$Q$1068,MATCH($A164,'Historical Data'!$BE$2:$BE$1068,0)),"")</f>
        <v/>
      </c>
      <c r="N164" s="295">
        <f>IFERROR(INDEX('Historical Data'!$S$2:$S$1068,MATCH($A164,'Historical Data'!$BE$2:$BE$1068,0)),"")</f>
        <v/>
      </c>
      <c r="O164" s="294">
        <f>IFERROR(INDEX('Historical Data'!$AJ$2:$AJ$1068,MATCH($A164,'Historical Data'!$BE$2:$BE$1068,0)),"")</f>
        <v/>
      </c>
      <c r="P164" s="294">
        <f>IFERROR(INDEX('Historical Data'!$AK$2:$AK$1068,MATCH($A164,'Historical Data'!$BE$2:$BE$1068,0)),"")</f>
        <v/>
      </c>
      <c r="Q164" s="291">
        <f>IFERROR(INDEX('Historical Data'!$AA$2:$AA$1068,MATCH($A164,'Historical Data'!$BE$2:$BE$1068,0)),"")</f>
        <v/>
      </c>
      <c r="R164" s="291">
        <f>IFERROR(INDEX('Historical Data'!$AB$2:$AB$1068,MATCH($A164,'Historical Data'!$BE$2:$BE$1068,0)),"")</f>
        <v/>
      </c>
      <c r="S164" s="291">
        <f>IFERROR(INDEX('Historical Data'!$AN$2:$AN$1068,MATCH($A164,'Historical Data'!$BE$2:$BE$1068,0)),"")</f>
        <v/>
      </c>
      <c r="T164" s="291">
        <f>IFERROR(INDEX('Historical Data'!$AC$2:$AC$1068,MATCH($A164,'Historical Data'!$BE$2:$BE$1068,0)),"")</f>
        <v/>
      </c>
      <c r="U164" s="291">
        <f>IFERROR(INDEX('Historical Data'!$AE$2:$AE$1068,MATCH($A164,'Historical Data'!$BE$2:$BE$1068,0)),"")</f>
        <v/>
      </c>
      <c r="V164" s="291">
        <f>IFERROR(INDEX('Historical Data'!$AH$2:$AH$1068,MATCH($A164,'Historical Data'!$BE$2:$BE$1068,0)),"")</f>
        <v/>
      </c>
      <c r="W164" s="291">
        <f>IFERROR(INDEX('Historical Data'!$BC$2:$BC$1068,MATCH($A164,'Historical Data'!$BE$2:$BE$1068,0)),"")</f>
        <v/>
      </c>
      <c r="X164" s="290">
        <f>IF(B164="","",IF(W164=1,"NR + industry + position",IF(W164=2,"NR + ISO + position",IF(W164=3,"NR + industry",IF(W164=4,"NR + ISO",IF(W164=5,"NR + position",IF(W164=6,"NR only","book baseline"))))))&amp;"  ["&amp;IF(T164=1,"seasoned","unseasoned")&amp;IF(U164=1,", defaulted","")&amp;IF(V164=1,", open","")&amp;"]")</f>
        <v/>
      </c>
    </row>
    <row r="165">
      <c r="A165" s="290" t="n">
        <v>161</v>
      </c>
      <c r="B165" s="291">
        <f>IFERROR(INDEX('Historical Data'!$A$2:$A$1068,MATCH($A165,'Historical Data'!$BE$2:$BE$1068,0)),"")</f>
        <v/>
      </c>
      <c r="C165" s="291">
        <f>IFERROR(INDEX('Historical Data'!$B$2:$B$1068,MATCH($A165,'Historical Data'!$BE$2:$BE$1068,0)),"")</f>
        <v/>
      </c>
      <c r="D165" s="291">
        <f>IFERROR(INDEX('Historical Data'!$D$2:$D$1068,MATCH($A165,'Historical Data'!$BE$2:$BE$1068,0)),"")</f>
        <v/>
      </c>
      <c r="E165" s="292">
        <f>IFERROR(INDEX('Historical Data'!$E$2:$E$1068,MATCH($A165,'Historical Data'!$BE$2:$BE$1068,0)),"")</f>
        <v/>
      </c>
      <c r="F165" s="291">
        <f>IFERROR(INDEX('Historical Data'!$G$2:$G$1068,MATCH($A165,'Historical Data'!$BE$2:$BE$1068,0)),"")</f>
        <v/>
      </c>
      <c r="G165" s="291">
        <f>IFERROR(INDEX('Historical Data'!$Y$2:$Y$1068,MATCH($A165,'Historical Data'!$BE$2:$BE$1068,0)),"")</f>
        <v/>
      </c>
      <c r="H165" s="291">
        <f>IFERROR(INDEX('Historical Data'!$K$2:$K$1068,MATCH($A165,'Historical Data'!$BE$2:$BE$1068,0)),"")</f>
        <v/>
      </c>
      <c r="I165" s="291">
        <f>IFERROR(INDEX('Historical Data'!$J$2:$J$1068,MATCH($A165,'Historical Data'!$BE$2:$BE$1068,0)),"")</f>
        <v/>
      </c>
      <c r="J165" s="291">
        <f>IFERROR(INDEX('Historical Data'!$L$2:$L$1068,MATCH($A165,'Historical Data'!$BE$2:$BE$1068,0)),"")</f>
        <v/>
      </c>
      <c r="K165" s="293">
        <f>IFERROR(INDEX('Historical Data'!$M$2:$M$1068,MATCH($A165,'Historical Data'!$BE$2:$BE$1068,0)),"")</f>
        <v/>
      </c>
      <c r="L165" s="294">
        <f>IFERROR(INDEX('Historical Data'!$N$2:$N$1068,MATCH($A165,'Historical Data'!$BE$2:$BE$1068,0)),"")</f>
        <v/>
      </c>
      <c r="M165" s="294">
        <f>IFERROR(INDEX('Historical Data'!$Q$2:$Q$1068,MATCH($A165,'Historical Data'!$BE$2:$BE$1068,0)),"")</f>
        <v/>
      </c>
      <c r="N165" s="295">
        <f>IFERROR(INDEX('Historical Data'!$S$2:$S$1068,MATCH($A165,'Historical Data'!$BE$2:$BE$1068,0)),"")</f>
        <v/>
      </c>
      <c r="O165" s="294">
        <f>IFERROR(INDEX('Historical Data'!$AJ$2:$AJ$1068,MATCH($A165,'Historical Data'!$BE$2:$BE$1068,0)),"")</f>
        <v/>
      </c>
      <c r="P165" s="294">
        <f>IFERROR(INDEX('Historical Data'!$AK$2:$AK$1068,MATCH($A165,'Historical Data'!$BE$2:$BE$1068,0)),"")</f>
        <v/>
      </c>
      <c r="Q165" s="291">
        <f>IFERROR(INDEX('Historical Data'!$AA$2:$AA$1068,MATCH($A165,'Historical Data'!$BE$2:$BE$1068,0)),"")</f>
        <v/>
      </c>
      <c r="R165" s="291">
        <f>IFERROR(INDEX('Historical Data'!$AB$2:$AB$1068,MATCH($A165,'Historical Data'!$BE$2:$BE$1068,0)),"")</f>
        <v/>
      </c>
      <c r="S165" s="291">
        <f>IFERROR(INDEX('Historical Data'!$AN$2:$AN$1068,MATCH($A165,'Historical Data'!$BE$2:$BE$1068,0)),"")</f>
        <v/>
      </c>
      <c r="T165" s="291">
        <f>IFERROR(INDEX('Historical Data'!$AC$2:$AC$1068,MATCH($A165,'Historical Data'!$BE$2:$BE$1068,0)),"")</f>
        <v/>
      </c>
      <c r="U165" s="291">
        <f>IFERROR(INDEX('Historical Data'!$AE$2:$AE$1068,MATCH($A165,'Historical Data'!$BE$2:$BE$1068,0)),"")</f>
        <v/>
      </c>
      <c r="V165" s="291">
        <f>IFERROR(INDEX('Historical Data'!$AH$2:$AH$1068,MATCH($A165,'Historical Data'!$BE$2:$BE$1068,0)),"")</f>
        <v/>
      </c>
      <c r="W165" s="291">
        <f>IFERROR(INDEX('Historical Data'!$BC$2:$BC$1068,MATCH($A165,'Historical Data'!$BE$2:$BE$1068,0)),"")</f>
        <v/>
      </c>
      <c r="X165" s="290">
        <f>IF(B165="","",IF(W165=1,"NR + industry + position",IF(W165=2,"NR + ISO + position",IF(W165=3,"NR + industry",IF(W165=4,"NR + ISO",IF(W165=5,"NR + position",IF(W165=6,"NR only","book baseline"))))))&amp;"  ["&amp;IF(T165=1,"seasoned","unseasoned")&amp;IF(U165=1,", defaulted","")&amp;IF(V165=1,", open","")&amp;"]")</f>
        <v/>
      </c>
    </row>
    <row r="166">
      <c r="A166" s="290" t="n">
        <v>162</v>
      </c>
      <c r="B166" s="291">
        <f>IFERROR(INDEX('Historical Data'!$A$2:$A$1068,MATCH($A166,'Historical Data'!$BE$2:$BE$1068,0)),"")</f>
        <v/>
      </c>
      <c r="C166" s="291">
        <f>IFERROR(INDEX('Historical Data'!$B$2:$B$1068,MATCH($A166,'Historical Data'!$BE$2:$BE$1068,0)),"")</f>
        <v/>
      </c>
      <c r="D166" s="291">
        <f>IFERROR(INDEX('Historical Data'!$D$2:$D$1068,MATCH($A166,'Historical Data'!$BE$2:$BE$1068,0)),"")</f>
        <v/>
      </c>
      <c r="E166" s="292">
        <f>IFERROR(INDEX('Historical Data'!$E$2:$E$1068,MATCH($A166,'Historical Data'!$BE$2:$BE$1068,0)),"")</f>
        <v/>
      </c>
      <c r="F166" s="291">
        <f>IFERROR(INDEX('Historical Data'!$G$2:$G$1068,MATCH($A166,'Historical Data'!$BE$2:$BE$1068,0)),"")</f>
        <v/>
      </c>
      <c r="G166" s="291">
        <f>IFERROR(INDEX('Historical Data'!$Y$2:$Y$1068,MATCH($A166,'Historical Data'!$BE$2:$BE$1068,0)),"")</f>
        <v/>
      </c>
      <c r="H166" s="291">
        <f>IFERROR(INDEX('Historical Data'!$K$2:$K$1068,MATCH($A166,'Historical Data'!$BE$2:$BE$1068,0)),"")</f>
        <v/>
      </c>
      <c r="I166" s="291">
        <f>IFERROR(INDEX('Historical Data'!$J$2:$J$1068,MATCH($A166,'Historical Data'!$BE$2:$BE$1068,0)),"")</f>
        <v/>
      </c>
      <c r="J166" s="291">
        <f>IFERROR(INDEX('Historical Data'!$L$2:$L$1068,MATCH($A166,'Historical Data'!$BE$2:$BE$1068,0)),"")</f>
        <v/>
      </c>
      <c r="K166" s="293">
        <f>IFERROR(INDEX('Historical Data'!$M$2:$M$1068,MATCH($A166,'Historical Data'!$BE$2:$BE$1068,0)),"")</f>
        <v/>
      </c>
      <c r="L166" s="294">
        <f>IFERROR(INDEX('Historical Data'!$N$2:$N$1068,MATCH($A166,'Historical Data'!$BE$2:$BE$1068,0)),"")</f>
        <v/>
      </c>
      <c r="M166" s="294">
        <f>IFERROR(INDEX('Historical Data'!$Q$2:$Q$1068,MATCH($A166,'Historical Data'!$BE$2:$BE$1068,0)),"")</f>
        <v/>
      </c>
      <c r="N166" s="295">
        <f>IFERROR(INDEX('Historical Data'!$S$2:$S$1068,MATCH($A166,'Historical Data'!$BE$2:$BE$1068,0)),"")</f>
        <v/>
      </c>
      <c r="O166" s="294">
        <f>IFERROR(INDEX('Historical Data'!$AJ$2:$AJ$1068,MATCH($A166,'Historical Data'!$BE$2:$BE$1068,0)),"")</f>
        <v/>
      </c>
      <c r="P166" s="294">
        <f>IFERROR(INDEX('Historical Data'!$AK$2:$AK$1068,MATCH($A166,'Historical Data'!$BE$2:$BE$1068,0)),"")</f>
        <v/>
      </c>
      <c r="Q166" s="291">
        <f>IFERROR(INDEX('Historical Data'!$AA$2:$AA$1068,MATCH($A166,'Historical Data'!$BE$2:$BE$1068,0)),"")</f>
        <v/>
      </c>
      <c r="R166" s="291">
        <f>IFERROR(INDEX('Historical Data'!$AB$2:$AB$1068,MATCH($A166,'Historical Data'!$BE$2:$BE$1068,0)),"")</f>
        <v/>
      </c>
      <c r="S166" s="291">
        <f>IFERROR(INDEX('Historical Data'!$AN$2:$AN$1068,MATCH($A166,'Historical Data'!$BE$2:$BE$1068,0)),"")</f>
        <v/>
      </c>
      <c r="T166" s="291">
        <f>IFERROR(INDEX('Historical Data'!$AC$2:$AC$1068,MATCH($A166,'Historical Data'!$BE$2:$BE$1068,0)),"")</f>
        <v/>
      </c>
      <c r="U166" s="291">
        <f>IFERROR(INDEX('Historical Data'!$AE$2:$AE$1068,MATCH($A166,'Historical Data'!$BE$2:$BE$1068,0)),"")</f>
        <v/>
      </c>
      <c r="V166" s="291">
        <f>IFERROR(INDEX('Historical Data'!$AH$2:$AH$1068,MATCH($A166,'Historical Data'!$BE$2:$BE$1068,0)),"")</f>
        <v/>
      </c>
      <c r="W166" s="291">
        <f>IFERROR(INDEX('Historical Data'!$BC$2:$BC$1068,MATCH($A166,'Historical Data'!$BE$2:$BE$1068,0)),"")</f>
        <v/>
      </c>
      <c r="X166" s="290">
        <f>IF(B166="","",IF(W166=1,"NR + industry + position",IF(W166=2,"NR + ISO + position",IF(W166=3,"NR + industry",IF(W166=4,"NR + ISO",IF(W166=5,"NR + position",IF(W166=6,"NR only","book baseline"))))))&amp;"  ["&amp;IF(T166=1,"seasoned","unseasoned")&amp;IF(U166=1,", defaulted","")&amp;IF(V166=1,", open","")&amp;"]")</f>
        <v/>
      </c>
    </row>
    <row r="167">
      <c r="A167" s="290" t="n">
        <v>163</v>
      </c>
      <c r="B167" s="291">
        <f>IFERROR(INDEX('Historical Data'!$A$2:$A$1068,MATCH($A167,'Historical Data'!$BE$2:$BE$1068,0)),"")</f>
        <v/>
      </c>
      <c r="C167" s="291">
        <f>IFERROR(INDEX('Historical Data'!$B$2:$B$1068,MATCH($A167,'Historical Data'!$BE$2:$BE$1068,0)),"")</f>
        <v/>
      </c>
      <c r="D167" s="291">
        <f>IFERROR(INDEX('Historical Data'!$D$2:$D$1068,MATCH($A167,'Historical Data'!$BE$2:$BE$1068,0)),"")</f>
        <v/>
      </c>
      <c r="E167" s="292">
        <f>IFERROR(INDEX('Historical Data'!$E$2:$E$1068,MATCH($A167,'Historical Data'!$BE$2:$BE$1068,0)),"")</f>
        <v/>
      </c>
      <c r="F167" s="291">
        <f>IFERROR(INDEX('Historical Data'!$G$2:$G$1068,MATCH($A167,'Historical Data'!$BE$2:$BE$1068,0)),"")</f>
        <v/>
      </c>
      <c r="G167" s="291">
        <f>IFERROR(INDEX('Historical Data'!$Y$2:$Y$1068,MATCH($A167,'Historical Data'!$BE$2:$BE$1068,0)),"")</f>
        <v/>
      </c>
      <c r="H167" s="291">
        <f>IFERROR(INDEX('Historical Data'!$K$2:$K$1068,MATCH($A167,'Historical Data'!$BE$2:$BE$1068,0)),"")</f>
        <v/>
      </c>
      <c r="I167" s="291">
        <f>IFERROR(INDEX('Historical Data'!$J$2:$J$1068,MATCH($A167,'Historical Data'!$BE$2:$BE$1068,0)),"")</f>
        <v/>
      </c>
      <c r="J167" s="291">
        <f>IFERROR(INDEX('Historical Data'!$L$2:$L$1068,MATCH($A167,'Historical Data'!$BE$2:$BE$1068,0)),"")</f>
        <v/>
      </c>
      <c r="K167" s="293">
        <f>IFERROR(INDEX('Historical Data'!$M$2:$M$1068,MATCH($A167,'Historical Data'!$BE$2:$BE$1068,0)),"")</f>
        <v/>
      </c>
      <c r="L167" s="294">
        <f>IFERROR(INDEX('Historical Data'!$N$2:$N$1068,MATCH($A167,'Historical Data'!$BE$2:$BE$1068,0)),"")</f>
        <v/>
      </c>
      <c r="M167" s="294">
        <f>IFERROR(INDEX('Historical Data'!$Q$2:$Q$1068,MATCH($A167,'Historical Data'!$BE$2:$BE$1068,0)),"")</f>
        <v/>
      </c>
      <c r="N167" s="295">
        <f>IFERROR(INDEX('Historical Data'!$S$2:$S$1068,MATCH($A167,'Historical Data'!$BE$2:$BE$1068,0)),"")</f>
        <v/>
      </c>
      <c r="O167" s="294">
        <f>IFERROR(INDEX('Historical Data'!$AJ$2:$AJ$1068,MATCH($A167,'Historical Data'!$BE$2:$BE$1068,0)),"")</f>
        <v/>
      </c>
      <c r="P167" s="294">
        <f>IFERROR(INDEX('Historical Data'!$AK$2:$AK$1068,MATCH($A167,'Historical Data'!$BE$2:$BE$1068,0)),"")</f>
        <v/>
      </c>
      <c r="Q167" s="291">
        <f>IFERROR(INDEX('Historical Data'!$AA$2:$AA$1068,MATCH($A167,'Historical Data'!$BE$2:$BE$1068,0)),"")</f>
        <v/>
      </c>
      <c r="R167" s="291">
        <f>IFERROR(INDEX('Historical Data'!$AB$2:$AB$1068,MATCH($A167,'Historical Data'!$BE$2:$BE$1068,0)),"")</f>
        <v/>
      </c>
      <c r="S167" s="291">
        <f>IFERROR(INDEX('Historical Data'!$AN$2:$AN$1068,MATCH($A167,'Historical Data'!$BE$2:$BE$1068,0)),"")</f>
        <v/>
      </c>
      <c r="T167" s="291">
        <f>IFERROR(INDEX('Historical Data'!$AC$2:$AC$1068,MATCH($A167,'Historical Data'!$BE$2:$BE$1068,0)),"")</f>
        <v/>
      </c>
      <c r="U167" s="291">
        <f>IFERROR(INDEX('Historical Data'!$AE$2:$AE$1068,MATCH($A167,'Historical Data'!$BE$2:$BE$1068,0)),"")</f>
        <v/>
      </c>
      <c r="V167" s="291">
        <f>IFERROR(INDEX('Historical Data'!$AH$2:$AH$1068,MATCH($A167,'Historical Data'!$BE$2:$BE$1068,0)),"")</f>
        <v/>
      </c>
      <c r="W167" s="291">
        <f>IFERROR(INDEX('Historical Data'!$BC$2:$BC$1068,MATCH($A167,'Historical Data'!$BE$2:$BE$1068,0)),"")</f>
        <v/>
      </c>
      <c r="X167" s="290">
        <f>IF(B167="","",IF(W167=1,"NR + industry + position",IF(W167=2,"NR + ISO + position",IF(W167=3,"NR + industry",IF(W167=4,"NR + ISO",IF(W167=5,"NR + position",IF(W167=6,"NR only","book baseline"))))))&amp;"  ["&amp;IF(T167=1,"seasoned","unseasoned")&amp;IF(U167=1,", defaulted","")&amp;IF(V167=1,", open","")&amp;"]")</f>
        <v/>
      </c>
    </row>
    <row r="168">
      <c r="A168" s="290" t="n">
        <v>164</v>
      </c>
      <c r="B168" s="291">
        <f>IFERROR(INDEX('Historical Data'!$A$2:$A$1068,MATCH($A168,'Historical Data'!$BE$2:$BE$1068,0)),"")</f>
        <v/>
      </c>
      <c r="C168" s="291">
        <f>IFERROR(INDEX('Historical Data'!$B$2:$B$1068,MATCH($A168,'Historical Data'!$BE$2:$BE$1068,0)),"")</f>
        <v/>
      </c>
      <c r="D168" s="291">
        <f>IFERROR(INDEX('Historical Data'!$D$2:$D$1068,MATCH($A168,'Historical Data'!$BE$2:$BE$1068,0)),"")</f>
        <v/>
      </c>
      <c r="E168" s="292">
        <f>IFERROR(INDEX('Historical Data'!$E$2:$E$1068,MATCH($A168,'Historical Data'!$BE$2:$BE$1068,0)),"")</f>
        <v/>
      </c>
      <c r="F168" s="291">
        <f>IFERROR(INDEX('Historical Data'!$G$2:$G$1068,MATCH($A168,'Historical Data'!$BE$2:$BE$1068,0)),"")</f>
        <v/>
      </c>
      <c r="G168" s="291">
        <f>IFERROR(INDEX('Historical Data'!$Y$2:$Y$1068,MATCH($A168,'Historical Data'!$BE$2:$BE$1068,0)),"")</f>
        <v/>
      </c>
      <c r="H168" s="291">
        <f>IFERROR(INDEX('Historical Data'!$K$2:$K$1068,MATCH($A168,'Historical Data'!$BE$2:$BE$1068,0)),"")</f>
        <v/>
      </c>
      <c r="I168" s="291">
        <f>IFERROR(INDEX('Historical Data'!$J$2:$J$1068,MATCH($A168,'Historical Data'!$BE$2:$BE$1068,0)),"")</f>
        <v/>
      </c>
      <c r="J168" s="291">
        <f>IFERROR(INDEX('Historical Data'!$L$2:$L$1068,MATCH($A168,'Historical Data'!$BE$2:$BE$1068,0)),"")</f>
        <v/>
      </c>
      <c r="K168" s="293">
        <f>IFERROR(INDEX('Historical Data'!$M$2:$M$1068,MATCH($A168,'Historical Data'!$BE$2:$BE$1068,0)),"")</f>
        <v/>
      </c>
      <c r="L168" s="294">
        <f>IFERROR(INDEX('Historical Data'!$N$2:$N$1068,MATCH($A168,'Historical Data'!$BE$2:$BE$1068,0)),"")</f>
        <v/>
      </c>
      <c r="M168" s="294">
        <f>IFERROR(INDEX('Historical Data'!$Q$2:$Q$1068,MATCH($A168,'Historical Data'!$BE$2:$BE$1068,0)),"")</f>
        <v/>
      </c>
      <c r="N168" s="295">
        <f>IFERROR(INDEX('Historical Data'!$S$2:$S$1068,MATCH($A168,'Historical Data'!$BE$2:$BE$1068,0)),"")</f>
        <v/>
      </c>
      <c r="O168" s="294">
        <f>IFERROR(INDEX('Historical Data'!$AJ$2:$AJ$1068,MATCH($A168,'Historical Data'!$BE$2:$BE$1068,0)),"")</f>
        <v/>
      </c>
      <c r="P168" s="294">
        <f>IFERROR(INDEX('Historical Data'!$AK$2:$AK$1068,MATCH($A168,'Historical Data'!$BE$2:$BE$1068,0)),"")</f>
        <v/>
      </c>
      <c r="Q168" s="291">
        <f>IFERROR(INDEX('Historical Data'!$AA$2:$AA$1068,MATCH($A168,'Historical Data'!$BE$2:$BE$1068,0)),"")</f>
        <v/>
      </c>
      <c r="R168" s="291">
        <f>IFERROR(INDEX('Historical Data'!$AB$2:$AB$1068,MATCH($A168,'Historical Data'!$BE$2:$BE$1068,0)),"")</f>
        <v/>
      </c>
      <c r="S168" s="291">
        <f>IFERROR(INDEX('Historical Data'!$AN$2:$AN$1068,MATCH($A168,'Historical Data'!$BE$2:$BE$1068,0)),"")</f>
        <v/>
      </c>
      <c r="T168" s="291">
        <f>IFERROR(INDEX('Historical Data'!$AC$2:$AC$1068,MATCH($A168,'Historical Data'!$BE$2:$BE$1068,0)),"")</f>
        <v/>
      </c>
      <c r="U168" s="291">
        <f>IFERROR(INDEX('Historical Data'!$AE$2:$AE$1068,MATCH($A168,'Historical Data'!$BE$2:$BE$1068,0)),"")</f>
        <v/>
      </c>
      <c r="V168" s="291">
        <f>IFERROR(INDEX('Historical Data'!$AH$2:$AH$1068,MATCH($A168,'Historical Data'!$BE$2:$BE$1068,0)),"")</f>
        <v/>
      </c>
      <c r="W168" s="291">
        <f>IFERROR(INDEX('Historical Data'!$BC$2:$BC$1068,MATCH($A168,'Historical Data'!$BE$2:$BE$1068,0)),"")</f>
        <v/>
      </c>
      <c r="X168" s="290">
        <f>IF(B168="","",IF(W168=1,"NR + industry + position",IF(W168=2,"NR + ISO + position",IF(W168=3,"NR + industry",IF(W168=4,"NR + ISO",IF(W168=5,"NR + position",IF(W168=6,"NR only","book baseline"))))))&amp;"  ["&amp;IF(T168=1,"seasoned","unseasoned")&amp;IF(U168=1,", defaulted","")&amp;IF(V168=1,", open","")&amp;"]")</f>
        <v/>
      </c>
    </row>
    <row r="169">
      <c r="A169" s="290" t="n">
        <v>165</v>
      </c>
      <c r="B169" s="291">
        <f>IFERROR(INDEX('Historical Data'!$A$2:$A$1068,MATCH($A169,'Historical Data'!$BE$2:$BE$1068,0)),"")</f>
        <v/>
      </c>
      <c r="C169" s="291">
        <f>IFERROR(INDEX('Historical Data'!$B$2:$B$1068,MATCH($A169,'Historical Data'!$BE$2:$BE$1068,0)),"")</f>
        <v/>
      </c>
      <c r="D169" s="291">
        <f>IFERROR(INDEX('Historical Data'!$D$2:$D$1068,MATCH($A169,'Historical Data'!$BE$2:$BE$1068,0)),"")</f>
        <v/>
      </c>
      <c r="E169" s="292">
        <f>IFERROR(INDEX('Historical Data'!$E$2:$E$1068,MATCH($A169,'Historical Data'!$BE$2:$BE$1068,0)),"")</f>
        <v/>
      </c>
      <c r="F169" s="291">
        <f>IFERROR(INDEX('Historical Data'!$G$2:$G$1068,MATCH($A169,'Historical Data'!$BE$2:$BE$1068,0)),"")</f>
        <v/>
      </c>
      <c r="G169" s="291">
        <f>IFERROR(INDEX('Historical Data'!$Y$2:$Y$1068,MATCH($A169,'Historical Data'!$BE$2:$BE$1068,0)),"")</f>
        <v/>
      </c>
      <c r="H169" s="291">
        <f>IFERROR(INDEX('Historical Data'!$K$2:$K$1068,MATCH($A169,'Historical Data'!$BE$2:$BE$1068,0)),"")</f>
        <v/>
      </c>
      <c r="I169" s="291">
        <f>IFERROR(INDEX('Historical Data'!$J$2:$J$1068,MATCH($A169,'Historical Data'!$BE$2:$BE$1068,0)),"")</f>
        <v/>
      </c>
      <c r="J169" s="291">
        <f>IFERROR(INDEX('Historical Data'!$L$2:$L$1068,MATCH($A169,'Historical Data'!$BE$2:$BE$1068,0)),"")</f>
        <v/>
      </c>
      <c r="K169" s="293">
        <f>IFERROR(INDEX('Historical Data'!$M$2:$M$1068,MATCH($A169,'Historical Data'!$BE$2:$BE$1068,0)),"")</f>
        <v/>
      </c>
      <c r="L169" s="294">
        <f>IFERROR(INDEX('Historical Data'!$N$2:$N$1068,MATCH($A169,'Historical Data'!$BE$2:$BE$1068,0)),"")</f>
        <v/>
      </c>
      <c r="M169" s="294">
        <f>IFERROR(INDEX('Historical Data'!$Q$2:$Q$1068,MATCH($A169,'Historical Data'!$BE$2:$BE$1068,0)),"")</f>
        <v/>
      </c>
      <c r="N169" s="295">
        <f>IFERROR(INDEX('Historical Data'!$S$2:$S$1068,MATCH($A169,'Historical Data'!$BE$2:$BE$1068,0)),"")</f>
        <v/>
      </c>
      <c r="O169" s="294">
        <f>IFERROR(INDEX('Historical Data'!$AJ$2:$AJ$1068,MATCH($A169,'Historical Data'!$BE$2:$BE$1068,0)),"")</f>
        <v/>
      </c>
      <c r="P169" s="294">
        <f>IFERROR(INDEX('Historical Data'!$AK$2:$AK$1068,MATCH($A169,'Historical Data'!$BE$2:$BE$1068,0)),"")</f>
        <v/>
      </c>
      <c r="Q169" s="291">
        <f>IFERROR(INDEX('Historical Data'!$AA$2:$AA$1068,MATCH($A169,'Historical Data'!$BE$2:$BE$1068,0)),"")</f>
        <v/>
      </c>
      <c r="R169" s="291">
        <f>IFERROR(INDEX('Historical Data'!$AB$2:$AB$1068,MATCH($A169,'Historical Data'!$BE$2:$BE$1068,0)),"")</f>
        <v/>
      </c>
      <c r="S169" s="291">
        <f>IFERROR(INDEX('Historical Data'!$AN$2:$AN$1068,MATCH($A169,'Historical Data'!$BE$2:$BE$1068,0)),"")</f>
        <v/>
      </c>
      <c r="T169" s="291">
        <f>IFERROR(INDEX('Historical Data'!$AC$2:$AC$1068,MATCH($A169,'Historical Data'!$BE$2:$BE$1068,0)),"")</f>
        <v/>
      </c>
      <c r="U169" s="291">
        <f>IFERROR(INDEX('Historical Data'!$AE$2:$AE$1068,MATCH($A169,'Historical Data'!$BE$2:$BE$1068,0)),"")</f>
        <v/>
      </c>
      <c r="V169" s="291">
        <f>IFERROR(INDEX('Historical Data'!$AH$2:$AH$1068,MATCH($A169,'Historical Data'!$BE$2:$BE$1068,0)),"")</f>
        <v/>
      </c>
      <c r="W169" s="291">
        <f>IFERROR(INDEX('Historical Data'!$BC$2:$BC$1068,MATCH($A169,'Historical Data'!$BE$2:$BE$1068,0)),"")</f>
        <v/>
      </c>
      <c r="X169" s="290">
        <f>IF(B169="","",IF(W169=1,"NR + industry + position",IF(W169=2,"NR + ISO + position",IF(W169=3,"NR + industry",IF(W169=4,"NR + ISO",IF(W169=5,"NR + position",IF(W169=6,"NR only","book baseline"))))))&amp;"  ["&amp;IF(T169=1,"seasoned","unseasoned")&amp;IF(U169=1,", defaulted","")&amp;IF(V169=1,", open","")&amp;"]")</f>
        <v/>
      </c>
    </row>
    <row r="170">
      <c r="A170" s="290" t="n">
        <v>166</v>
      </c>
      <c r="B170" s="291">
        <f>IFERROR(INDEX('Historical Data'!$A$2:$A$1068,MATCH($A170,'Historical Data'!$BE$2:$BE$1068,0)),"")</f>
        <v/>
      </c>
      <c r="C170" s="291">
        <f>IFERROR(INDEX('Historical Data'!$B$2:$B$1068,MATCH($A170,'Historical Data'!$BE$2:$BE$1068,0)),"")</f>
        <v/>
      </c>
      <c r="D170" s="291">
        <f>IFERROR(INDEX('Historical Data'!$D$2:$D$1068,MATCH($A170,'Historical Data'!$BE$2:$BE$1068,0)),"")</f>
        <v/>
      </c>
      <c r="E170" s="292">
        <f>IFERROR(INDEX('Historical Data'!$E$2:$E$1068,MATCH($A170,'Historical Data'!$BE$2:$BE$1068,0)),"")</f>
        <v/>
      </c>
      <c r="F170" s="291">
        <f>IFERROR(INDEX('Historical Data'!$G$2:$G$1068,MATCH($A170,'Historical Data'!$BE$2:$BE$1068,0)),"")</f>
        <v/>
      </c>
      <c r="G170" s="291">
        <f>IFERROR(INDEX('Historical Data'!$Y$2:$Y$1068,MATCH($A170,'Historical Data'!$BE$2:$BE$1068,0)),"")</f>
        <v/>
      </c>
      <c r="H170" s="291">
        <f>IFERROR(INDEX('Historical Data'!$K$2:$K$1068,MATCH($A170,'Historical Data'!$BE$2:$BE$1068,0)),"")</f>
        <v/>
      </c>
      <c r="I170" s="291">
        <f>IFERROR(INDEX('Historical Data'!$J$2:$J$1068,MATCH($A170,'Historical Data'!$BE$2:$BE$1068,0)),"")</f>
        <v/>
      </c>
      <c r="J170" s="291">
        <f>IFERROR(INDEX('Historical Data'!$L$2:$L$1068,MATCH($A170,'Historical Data'!$BE$2:$BE$1068,0)),"")</f>
        <v/>
      </c>
      <c r="K170" s="293">
        <f>IFERROR(INDEX('Historical Data'!$M$2:$M$1068,MATCH($A170,'Historical Data'!$BE$2:$BE$1068,0)),"")</f>
        <v/>
      </c>
      <c r="L170" s="294">
        <f>IFERROR(INDEX('Historical Data'!$N$2:$N$1068,MATCH($A170,'Historical Data'!$BE$2:$BE$1068,0)),"")</f>
        <v/>
      </c>
      <c r="M170" s="294">
        <f>IFERROR(INDEX('Historical Data'!$Q$2:$Q$1068,MATCH($A170,'Historical Data'!$BE$2:$BE$1068,0)),"")</f>
        <v/>
      </c>
      <c r="N170" s="295">
        <f>IFERROR(INDEX('Historical Data'!$S$2:$S$1068,MATCH($A170,'Historical Data'!$BE$2:$BE$1068,0)),"")</f>
        <v/>
      </c>
      <c r="O170" s="294">
        <f>IFERROR(INDEX('Historical Data'!$AJ$2:$AJ$1068,MATCH($A170,'Historical Data'!$BE$2:$BE$1068,0)),"")</f>
        <v/>
      </c>
      <c r="P170" s="294">
        <f>IFERROR(INDEX('Historical Data'!$AK$2:$AK$1068,MATCH($A170,'Historical Data'!$BE$2:$BE$1068,0)),"")</f>
        <v/>
      </c>
      <c r="Q170" s="291">
        <f>IFERROR(INDEX('Historical Data'!$AA$2:$AA$1068,MATCH($A170,'Historical Data'!$BE$2:$BE$1068,0)),"")</f>
        <v/>
      </c>
      <c r="R170" s="291">
        <f>IFERROR(INDEX('Historical Data'!$AB$2:$AB$1068,MATCH($A170,'Historical Data'!$BE$2:$BE$1068,0)),"")</f>
        <v/>
      </c>
      <c r="S170" s="291">
        <f>IFERROR(INDEX('Historical Data'!$AN$2:$AN$1068,MATCH($A170,'Historical Data'!$BE$2:$BE$1068,0)),"")</f>
        <v/>
      </c>
      <c r="T170" s="291">
        <f>IFERROR(INDEX('Historical Data'!$AC$2:$AC$1068,MATCH($A170,'Historical Data'!$BE$2:$BE$1068,0)),"")</f>
        <v/>
      </c>
      <c r="U170" s="291">
        <f>IFERROR(INDEX('Historical Data'!$AE$2:$AE$1068,MATCH($A170,'Historical Data'!$BE$2:$BE$1068,0)),"")</f>
        <v/>
      </c>
      <c r="V170" s="291">
        <f>IFERROR(INDEX('Historical Data'!$AH$2:$AH$1068,MATCH($A170,'Historical Data'!$BE$2:$BE$1068,0)),"")</f>
        <v/>
      </c>
      <c r="W170" s="291">
        <f>IFERROR(INDEX('Historical Data'!$BC$2:$BC$1068,MATCH($A170,'Historical Data'!$BE$2:$BE$1068,0)),"")</f>
        <v/>
      </c>
      <c r="X170" s="290">
        <f>IF(B170="","",IF(W170=1,"NR + industry + position",IF(W170=2,"NR + ISO + position",IF(W170=3,"NR + industry",IF(W170=4,"NR + ISO",IF(W170=5,"NR + position",IF(W170=6,"NR only","book baseline"))))))&amp;"  ["&amp;IF(T170=1,"seasoned","unseasoned")&amp;IF(U170=1,", defaulted","")&amp;IF(V170=1,", open","")&amp;"]")</f>
        <v/>
      </c>
    </row>
    <row r="171">
      <c r="A171" s="290" t="n">
        <v>167</v>
      </c>
      <c r="B171" s="291">
        <f>IFERROR(INDEX('Historical Data'!$A$2:$A$1068,MATCH($A171,'Historical Data'!$BE$2:$BE$1068,0)),"")</f>
        <v/>
      </c>
      <c r="C171" s="291">
        <f>IFERROR(INDEX('Historical Data'!$B$2:$B$1068,MATCH($A171,'Historical Data'!$BE$2:$BE$1068,0)),"")</f>
        <v/>
      </c>
      <c r="D171" s="291">
        <f>IFERROR(INDEX('Historical Data'!$D$2:$D$1068,MATCH($A171,'Historical Data'!$BE$2:$BE$1068,0)),"")</f>
        <v/>
      </c>
      <c r="E171" s="292">
        <f>IFERROR(INDEX('Historical Data'!$E$2:$E$1068,MATCH($A171,'Historical Data'!$BE$2:$BE$1068,0)),"")</f>
        <v/>
      </c>
      <c r="F171" s="291">
        <f>IFERROR(INDEX('Historical Data'!$G$2:$G$1068,MATCH($A171,'Historical Data'!$BE$2:$BE$1068,0)),"")</f>
        <v/>
      </c>
      <c r="G171" s="291">
        <f>IFERROR(INDEX('Historical Data'!$Y$2:$Y$1068,MATCH($A171,'Historical Data'!$BE$2:$BE$1068,0)),"")</f>
        <v/>
      </c>
      <c r="H171" s="291">
        <f>IFERROR(INDEX('Historical Data'!$K$2:$K$1068,MATCH($A171,'Historical Data'!$BE$2:$BE$1068,0)),"")</f>
        <v/>
      </c>
      <c r="I171" s="291">
        <f>IFERROR(INDEX('Historical Data'!$J$2:$J$1068,MATCH($A171,'Historical Data'!$BE$2:$BE$1068,0)),"")</f>
        <v/>
      </c>
      <c r="J171" s="291">
        <f>IFERROR(INDEX('Historical Data'!$L$2:$L$1068,MATCH($A171,'Historical Data'!$BE$2:$BE$1068,0)),"")</f>
        <v/>
      </c>
      <c r="K171" s="293">
        <f>IFERROR(INDEX('Historical Data'!$M$2:$M$1068,MATCH($A171,'Historical Data'!$BE$2:$BE$1068,0)),"")</f>
        <v/>
      </c>
      <c r="L171" s="294">
        <f>IFERROR(INDEX('Historical Data'!$N$2:$N$1068,MATCH($A171,'Historical Data'!$BE$2:$BE$1068,0)),"")</f>
        <v/>
      </c>
      <c r="M171" s="294">
        <f>IFERROR(INDEX('Historical Data'!$Q$2:$Q$1068,MATCH($A171,'Historical Data'!$BE$2:$BE$1068,0)),"")</f>
        <v/>
      </c>
      <c r="N171" s="295">
        <f>IFERROR(INDEX('Historical Data'!$S$2:$S$1068,MATCH($A171,'Historical Data'!$BE$2:$BE$1068,0)),"")</f>
        <v/>
      </c>
      <c r="O171" s="294">
        <f>IFERROR(INDEX('Historical Data'!$AJ$2:$AJ$1068,MATCH($A171,'Historical Data'!$BE$2:$BE$1068,0)),"")</f>
        <v/>
      </c>
      <c r="P171" s="294">
        <f>IFERROR(INDEX('Historical Data'!$AK$2:$AK$1068,MATCH($A171,'Historical Data'!$BE$2:$BE$1068,0)),"")</f>
        <v/>
      </c>
      <c r="Q171" s="291">
        <f>IFERROR(INDEX('Historical Data'!$AA$2:$AA$1068,MATCH($A171,'Historical Data'!$BE$2:$BE$1068,0)),"")</f>
        <v/>
      </c>
      <c r="R171" s="291">
        <f>IFERROR(INDEX('Historical Data'!$AB$2:$AB$1068,MATCH($A171,'Historical Data'!$BE$2:$BE$1068,0)),"")</f>
        <v/>
      </c>
      <c r="S171" s="291">
        <f>IFERROR(INDEX('Historical Data'!$AN$2:$AN$1068,MATCH($A171,'Historical Data'!$BE$2:$BE$1068,0)),"")</f>
        <v/>
      </c>
      <c r="T171" s="291">
        <f>IFERROR(INDEX('Historical Data'!$AC$2:$AC$1068,MATCH($A171,'Historical Data'!$BE$2:$BE$1068,0)),"")</f>
        <v/>
      </c>
      <c r="U171" s="291">
        <f>IFERROR(INDEX('Historical Data'!$AE$2:$AE$1068,MATCH($A171,'Historical Data'!$BE$2:$BE$1068,0)),"")</f>
        <v/>
      </c>
      <c r="V171" s="291">
        <f>IFERROR(INDEX('Historical Data'!$AH$2:$AH$1068,MATCH($A171,'Historical Data'!$BE$2:$BE$1068,0)),"")</f>
        <v/>
      </c>
      <c r="W171" s="291">
        <f>IFERROR(INDEX('Historical Data'!$BC$2:$BC$1068,MATCH($A171,'Historical Data'!$BE$2:$BE$1068,0)),"")</f>
        <v/>
      </c>
      <c r="X171" s="290">
        <f>IF(B171="","",IF(W171=1,"NR + industry + position",IF(W171=2,"NR + ISO + position",IF(W171=3,"NR + industry",IF(W171=4,"NR + ISO",IF(W171=5,"NR + position",IF(W171=6,"NR only","book baseline"))))))&amp;"  ["&amp;IF(T171=1,"seasoned","unseasoned")&amp;IF(U171=1,", defaulted","")&amp;IF(V171=1,", open","")&amp;"]")</f>
        <v/>
      </c>
    </row>
    <row r="172">
      <c r="A172" s="290" t="n">
        <v>168</v>
      </c>
      <c r="B172" s="291">
        <f>IFERROR(INDEX('Historical Data'!$A$2:$A$1068,MATCH($A172,'Historical Data'!$BE$2:$BE$1068,0)),"")</f>
        <v/>
      </c>
      <c r="C172" s="291">
        <f>IFERROR(INDEX('Historical Data'!$B$2:$B$1068,MATCH($A172,'Historical Data'!$BE$2:$BE$1068,0)),"")</f>
        <v/>
      </c>
      <c r="D172" s="291">
        <f>IFERROR(INDEX('Historical Data'!$D$2:$D$1068,MATCH($A172,'Historical Data'!$BE$2:$BE$1068,0)),"")</f>
        <v/>
      </c>
      <c r="E172" s="292">
        <f>IFERROR(INDEX('Historical Data'!$E$2:$E$1068,MATCH($A172,'Historical Data'!$BE$2:$BE$1068,0)),"")</f>
        <v/>
      </c>
      <c r="F172" s="291">
        <f>IFERROR(INDEX('Historical Data'!$G$2:$G$1068,MATCH($A172,'Historical Data'!$BE$2:$BE$1068,0)),"")</f>
        <v/>
      </c>
      <c r="G172" s="291">
        <f>IFERROR(INDEX('Historical Data'!$Y$2:$Y$1068,MATCH($A172,'Historical Data'!$BE$2:$BE$1068,0)),"")</f>
        <v/>
      </c>
      <c r="H172" s="291">
        <f>IFERROR(INDEX('Historical Data'!$K$2:$K$1068,MATCH($A172,'Historical Data'!$BE$2:$BE$1068,0)),"")</f>
        <v/>
      </c>
      <c r="I172" s="291">
        <f>IFERROR(INDEX('Historical Data'!$J$2:$J$1068,MATCH($A172,'Historical Data'!$BE$2:$BE$1068,0)),"")</f>
        <v/>
      </c>
      <c r="J172" s="291">
        <f>IFERROR(INDEX('Historical Data'!$L$2:$L$1068,MATCH($A172,'Historical Data'!$BE$2:$BE$1068,0)),"")</f>
        <v/>
      </c>
      <c r="K172" s="293">
        <f>IFERROR(INDEX('Historical Data'!$M$2:$M$1068,MATCH($A172,'Historical Data'!$BE$2:$BE$1068,0)),"")</f>
        <v/>
      </c>
      <c r="L172" s="294">
        <f>IFERROR(INDEX('Historical Data'!$N$2:$N$1068,MATCH($A172,'Historical Data'!$BE$2:$BE$1068,0)),"")</f>
        <v/>
      </c>
      <c r="M172" s="294">
        <f>IFERROR(INDEX('Historical Data'!$Q$2:$Q$1068,MATCH($A172,'Historical Data'!$BE$2:$BE$1068,0)),"")</f>
        <v/>
      </c>
      <c r="N172" s="295">
        <f>IFERROR(INDEX('Historical Data'!$S$2:$S$1068,MATCH($A172,'Historical Data'!$BE$2:$BE$1068,0)),"")</f>
        <v/>
      </c>
      <c r="O172" s="294">
        <f>IFERROR(INDEX('Historical Data'!$AJ$2:$AJ$1068,MATCH($A172,'Historical Data'!$BE$2:$BE$1068,0)),"")</f>
        <v/>
      </c>
      <c r="P172" s="294">
        <f>IFERROR(INDEX('Historical Data'!$AK$2:$AK$1068,MATCH($A172,'Historical Data'!$BE$2:$BE$1068,0)),"")</f>
        <v/>
      </c>
      <c r="Q172" s="291">
        <f>IFERROR(INDEX('Historical Data'!$AA$2:$AA$1068,MATCH($A172,'Historical Data'!$BE$2:$BE$1068,0)),"")</f>
        <v/>
      </c>
      <c r="R172" s="291">
        <f>IFERROR(INDEX('Historical Data'!$AB$2:$AB$1068,MATCH($A172,'Historical Data'!$BE$2:$BE$1068,0)),"")</f>
        <v/>
      </c>
      <c r="S172" s="291">
        <f>IFERROR(INDEX('Historical Data'!$AN$2:$AN$1068,MATCH($A172,'Historical Data'!$BE$2:$BE$1068,0)),"")</f>
        <v/>
      </c>
      <c r="T172" s="291">
        <f>IFERROR(INDEX('Historical Data'!$AC$2:$AC$1068,MATCH($A172,'Historical Data'!$BE$2:$BE$1068,0)),"")</f>
        <v/>
      </c>
      <c r="U172" s="291">
        <f>IFERROR(INDEX('Historical Data'!$AE$2:$AE$1068,MATCH($A172,'Historical Data'!$BE$2:$BE$1068,0)),"")</f>
        <v/>
      </c>
      <c r="V172" s="291">
        <f>IFERROR(INDEX('Historical Data'!$AH$2:$AH$1068,MATCH($A172,'Historical Data'!$BE$2:$BE$1068,0)),"")</f>
        <v/>
      </c>
      <c r="W172" s="291">
        <f>IFERROR(INDEX('Historical Data'!$BC$2:$BC$1068,MATCH($A172,'Historical Data'!$BE$2:$BE$1068,0)),"")</f>
        <v/>
      </c>
      <c r="X172" s="290">
        <f>IF(B172="","",IF(W172=1,"NR + industry + position",IF(W172=2,"NR + ISO + position",IF(W172=3,"NR + industry",IF(W172=4,"NR + ISO",IF(W172=5,"NR + position",IF(W172=6,"NR only","book baseline"))))))&amp;"  ["&amp;IF(T172=1,"seasoned","unseasoned")&amp;IF(U172=1,", defaulted","")&amp;IF(V172=1,", open","")&amp;"]")</f>
        <v/>
      </c>
    </row>
    <row r="173">
      <c r="A173" s="290" t="n">
        <v>169</v>
      </c>
      <c r="B173" s="291">
        <f>IFERROR(INDEX('Historical Data'!$A$2:$A$1068,MATCH($A173,'Historical Data'!$BE$2:$BE$1068,0)),"")</f>
        <v/>
      </c>
      <c r="C173" s="291">
        <f>IFERROR(INDEX('Historical Data'!$B$2:$B$1068,MATCH($A173,'Historical Data'!$BE$2:$BE$1068,0)),"")</f>
        <v/>
      </c>
      <c r="D173" s="291">
        <f>IFERROR(INDEX('Historical Data'!$D$2:$D$1068,MATCH($A173,'Historical Data'!$BE$2:$BE$1068,0)),"")</f>
        <v/>
      </c>
      <c r="E173" s="292">
        <f>IFERROR(INDEX('Historical Data'!$E$2:$E$1068,MATCH($A173,'Historical Data'!$BE$2:$BE$1068,0)),"")</f>
        <v/>
      </c>
      <c r="F173" s="291">
        <f>IFERROR(INDEX('Historical Data'!$G$2:$G$1068,MATCH($A173,'Historical Data'!$BE$2:$BE$1068,0)),"")</f>
        <v/>
      </c>
      <c r="G173" s="291">
        <f>IFERROR(INDEX('Historical Data'!$Y$2:$Y$1068,MATCH($A173,'Historical Data'!$BE$2:$BE$1068,0)),"")</f>
        <v/>
      </c>
      <c r="H173" s="291">
        <f>IFERROR(INDEX('Historical Data'!$K$2:$K$1068,MATCH($A173,'Historical Data'!$BE$2:$BE$1068,0)),"")</f>
        <v/>
      </c>
      <c r="I173" s="291">
        <f>IFERROR(INDEX('Historical Data'!$J$2:$J$1068,MATCH($A173,'Historical Data'!$BE$2:$BE$1068,0)),"")</f>
        <v/>
      </c>
      <c r="J173" s="291">
        <f>IFERROR(INDEX('Historical Data'!$L$2:$L$1068,MATCH($A173,'Historical Data'!$BE$2:$BE$1068,0)),"")</f>
        <v/>
      </c>
      <c r="K173" s="293">
        <f>IFERROR(INDEX('Historical Data'!$M$2:$M$1068,MATCH($A173,'Historical Data'!$BE$2:$BE$1068,0)),"")</f>
        <v/>
      </c>
      <c r="L173" s="294">
        <f>IFERROR(INDEX('Historical Data'!$N$2:$N$1068,MATCH($A173,'Historical Data'!$BE$2:$BE$1068,0)),"")</f>
        <v/>
      </c>
      <c r="M173" s="294">
        <f>IFERROR(INDEX('Historical Data'!$Q$2:$Q$1068,MATCH($A173,'Historical Data'!$BE$2:$BE$1068,0)),"")</f>
        <v/>
      </c>
      <c r="N173" s="295">
        <f>IFERROR(INDEX('Historical Data'!$S$2:$S$1068,MATCH($A173,'Historical Data'!$BE$2:$BE$1068,0)),"")</f>
        <v/>
      </c>
      <c r="O173" s="294">
        <f>IFERROR(INDEX('Historical Data'!$AJ$2:$AJ$1068,MATCH($A173,'Historical Data'!$BE$2:$BE$1068,0)),"")</f>
        <v/>
      </c>
      <c r="P173" s="294">
        <f>IFERROR(INDEX('Historical Data'!$AK$2:$AK$1068,MATCH($A173,'Historical Data'!$BE$2:$BE$1068,0)),"")</f>
        <v/>
      </c>
      <c r="Q173" s="291">
        <f>IFERROR(INDEX('Historical Data'!$AA$2:$AA$1068,MATCH($A173,'Historical Data'!$BE$2:$BE$1068,0)),"")</f>
        <v/>
      </c>
      <c r="R173" s="291">
        <f>IFERROR(INDEX('Historical Data'!$AB$2:$AB$1068,MATCH($A173,'Historical Data'!$BE$2:$BE$1068,0)),"")</f>
        <v/>
      </c>
      <c r="S173" s="291">
        <f>IFERROR(INDEX('Historical Data'!$AN$2:$AN$1068,MATCH($A173,'Historical Data'!$BE$2:$BE$1068,0)),"")</f>
        <v/>
      </c>
      <c r="T173" s="291">
        <f>IFERROR(INDEX('Historical Data'!$AC$2:$AC$1068,MATCH($A173,'Historical Data'!$BE$2:$BE$1068,0)),"")</f>
        <v/>
      </c>
      <c r="U173" s="291">
        <f>IFERROR(INDEX('Historical Data'!$AE$2:$AE$1068,MATCH($A173,'Historical Data'!$BE$2:$BE$1068,0)),"")</f>
        <v/>
      </c>
      <c r="V173" s="291">
        <f>IFERROR(INDEX('Historical Data'!$AH$2:$AH$1068,MATCH($A173,'Historical Data'!$BE$2:$BE$1068,0)),"")</f>
        <v/>
      </c>
      <c r="W173" s="291">
        <f>IFERROR(INDEX('Historical Data'!$BC$2:$BC$1068,MATCH($A173,'Historical Data'!$BE$2:$BE$1068,0)),"")</f>
        <v/>
      </c>
      <c r="X173" s="290">
        <f>IF(B173="","",IF(W173=1,"NR + industry + position",IF(W173=2,"NR + ISO + position",IF(W173=3,"NR + industry",IF(W173=4,"NR + ISO",IF(W173=5,"NR + position",IF(W173=6,"NR only","book baseline"))))))&amp;"  ["&amp;IF(T173=1,"seasoned","unseasoned")&amp;IF(U173=1,", defaulted","")&amp;IF(V173=1,", open","")&amp;"]")</f>
        <v/>
      </c>
    </row>
    <row r="174">
      <c r="A174" s="290" t="n">
        <v>170</v>
      </c>
      <c r="B174" s="291">
        <f>IFERROR(INDEX('Historical Data'!$A$2:$A$1068,MATCH($A174,'Historical Data'!$BE$2:$BE$1068,0)),"")</f>
        <v/>
      </c>
      <c r="C174" s="291">
        <f>IFERROR(INDEX('Historical Data'!$B$2:$B$1068,MATCH($A174,'Historical Data'!$BE$2:$BE$1068,0)),"")</f>
        <v/>
      </c>
      <c r="D174" s="291">
        <f>IFERROR(INDEX('Historical Data'!$D$2:$D$1068,MATCH($A174,'Historical Data'!$BE$2:$BE$1068,0)),"")</f>
        <v/>
      </c>
      <c r="E174" s="292">
        <f>IFERROR(INDEX('Historical Data'!$E$2:$E$1068,MATCH($A174,'Historical Data'!$BE$2:$BE$1068,0)),"")</f>
        <v/>
      </c>
      <c r="F174" s="291">
        <f>IFERROR(INDEX('Historical Data'!$G$2:$G$1068,MATCH($A174,'Historical Data'!$BE$2:$BE$1068,0)),"")</f>
        <v/>
      </c>
      <c r="G174" s="291">
        <f>IFERROR(INDEX('Historical Data'!$Y$2:$Y$1068,MATCH($A174,'Historical Data'!$BE$2:$BE$1068,0)),"")</f>
        <v/>
      </c>
      <c r="H174" s="291">
        <f>IFERROR(INDEX('Historical Data'!$K$2:$K$1068,MATCH($A174,'Historical Data'!$BE$2:$BE$1068,0)),"")</f>
        <v/>
      </c>
      <c r="I174" s="291">
        <f>IFERROR(INDEX('Historical Data'!$J$2:$J$1068,MATCH($A174,'Historical Data'!$BE$2:$BE$1068,0)),"")</f>
        <v/>
      </c>
      <c r="J174" s="291">
        <f>IFERROR(INDEX('Historical Data'!$L$2:$L$1068,MATCH($A174,'Historical Data'!$BE$2:$BE$1068,0)),"")</f>
        <v/>
      </c>
      <c r="K174" s="293">
        <f>IFERROR(INDEX('Historical Data'!$M$2:$M$1068,MATCH($A174,'Historical Data'!$BE$2:$BE$1068,0)),"")</f>
        <v/>
      </c>
      <c r="L174" s="294">
        <f>IFERROR(INDEX('Historical Data'!$N$2:$N$1068,MATCH($A174,'Historical Data'!$BE$2:$BE$1068,0)),"")</f>
        <v/>
      </c>
      <c r="M174" s="294">
        <f>IFERROR(INDEX('Historical Data'!$Q$2:$Q$1068,MATCH($A174,'Historical Data'!$BE$2:$BE$1068,0)),"")</f>
        <v/>
      </c>
      <c r="N174" s="295">
        <f>IFERROR(INDEX('Historical Data'!$S$2:$S$1068,MATCH($A174,'Historical Data'!$BE$2:$BE$1068,0)),"")</f>
        <v/>
      </c>
      <c r="O174" s="294">
        <f>IFERROR(INDEX('Historical Data'!$AJ$2:$AJ$1068,MATCH($A174,'Historical Data'!$BE$2:$BE$1068,0)),"")</f>
        <v/>
      </c>
      <c r="P174" s="294">
        <f>IFERROR(INDEX('Historical Data'!$AK$2:$AK$1068,MATCH($A174,'Historical Data'!$BE$2:$BE$1068,0)),"")</f>
        <v/>
      </c>
      <c r="Q174" s="291">
        <f>IFERROR(INDEX('Historical Data'!$AA$2:$AA$1068,MATCH($A174,'Historical Data'!$BE$2:$BE$1068,0)),"")</f>
        <v/>
      </c>
      <c r="R174" s="291">
        <f>IFERROR(INDEX('Historical Data'!$AB$2:$AB$1068,MATCH($A174,'Historical Data'!$BE$2:$BE$1068,0)),"")</f>
        <v/>
      </c>
      <c r="S174" s="291">
        <f>IFERROR(INDEX('Historical Data'!$AN$2:$AN$1068,MATCH($A174,'Historical Data'!$BE$2:$BE$1068,0)),"")</f>
        <v/>
      </c>
      <c r="T174" s="291">
        <f>IFERROR(INDEX('Historical Data'!$AC$2:$AC$1068,MATCH($A174,'Historical Data'!$BE$2:$BE$1068,0)),"")</f>
        <v/>
      </c>
      <c r="U174" s="291">
        <f>IFERROR(INDEX('Historical Data'!$AE$2:$AE$1068,MATCH($A174,'Historical Data'!$BE$2:$BE$1068,0)),"")</f>
        <v/>
      </c>
      <c r="V174" s="291">
        <f>IFERROR(INDEX('Historical Data'!$AH$2:$AH$1068,MATCH($A174,'Historical Data'!$BE$2:$BE$1068,0)),"")</f>
        <v/>
      </c>
      <c r="W174" s="291">
        <f>IFERROR(INDEX('Historical Data'!$BC$2:$BC$1068,MATCH($A174,'Historical Data'!$BE$2:$BE$1068,0)),"")</f>
        <v/>
      </c>
      <c r="X174" s="290">
        <f>IF(B174="","",IF(W174=1,"NR + industry + position",IF(W174=2,"NR + ISO + position",IF(W174=3,"NR + industry",IF(W174=4,"NR + ISO",IF(W174=5,"NR + position",IF(W174=6,"NR only","book baseline"))))))&amp;"  ["&amp;IF(T174=1,"seasoned","unseasoned")&amp;IF(U174=1,", defaulted","")&amp;IF(V174=1,", open","")&amp;"]")</f>
        <v/>
      </c>
    </row>
    <row r="175">
      <c r="A175" s="290" t="n">
        <v>171</v>
      </c>
      <c r="B175" s="291">
        <f>IFERROR(INDEX('Historical Data'!$A$2:$A$1068,MATCH($A175,'Historical Data'!$BE$2:$BE$1068,0)),"")</f>
        <v/>
      </c>
      <c r="C175" s="291">
        <f>IFERROR(INDEX('Historical Data'!$B$2:$B$1068,MATCH($A175,'Historical Data'!$BE$2:$BE$1068,0)),"")</f>
        <v/>
      </c>
      <c r="D175" s="291">
        <f>IFERROR(INDEX('Historical Data'!$D$2:$D$1068,MATCH($A175,'Historical Data'!$BE$2:$BE$1068,0)),"")</f>
        <v/>
      </c>
      <c r="E175" s="292">
        <f>IFERROR(INDEX('Historical Data'!$E$2:$E$1068,MATCH($A175,'Historical Data'!$BE$2:$BE$1068,0)),"")</f>
        <v/>
      </c>
      <c r="F175" s="291">
        <f>IFERROR(INDEX('Historical Data'!$G$2:$G$1068,MATCH($A175,'Historical Data'!$BE$2:$BE$1068,0)),"")</f>
        <v/>
      </c>
      <c r="G175" s="291">
        <f>IFERROR(INDEX('Historical Data'!$Y$2:$Y$1068,MATCH($A175,'Historical Data'!$BE$2:$BE$1068,0)),"")</f>
        <v/>
      </c>
      <c r="H175" s="291">
        <f>IFERROR(INDEX('Historical Data'!$K$2:$K$1068,MATCH($A175,'Historical Data'!$BE$2:$BE$1068,0)),"")</f>
        <v/>
      </c>
      <c r="I175" s="291">
        <f>IFERROR(INDEX('Historical Data'!$J$2:$J$1068,MATCH($A175,'Historical Data'!$BE$2:$BE$1068,0)),"")</f>
        <v/>
      </c>
      <c r="J175" s="291">
        <f>IFERROR(INDEX('Historical Data'!$L$2:$L$1068,MATCH($A175,'Historical Data'!$BE$2:$BE$1068,0)),"")</f>
        <v/>
      </c>
      <c r="K175" s="293">
        <f>IFERROR(INDEX('Historical Data'!$M$2:$M$1068,MATCH($A175,'Historical Data'!$BE$2:$BE$1068,0)),"")</f>
        <v/>
      </c>
      <c r="L175" s="294">
        <f>IFERROR(INDEX('Historical Data'!$N$2:$N$1068,MATCH($A175,'Historical Data'!$BE$2:$BE$1068,0)),"")</f>
        <v/>
      </c>
      <c r="M175" s="294">
        <f>IFERROR(INDEX('Historical Data'!$Q$2:$Q$1068,MATCH($A175,'Historical Data'!$BE$2:$BE$1068,0)),"")</f>
        <v/>
      </c>
      <c r="N175" s="295">
        <f>IFERROR(INDEX('Historical Data'!$S$2:$S$1068,MATCH($A175,'Historical Data'!$BE$2:$BE$1068,0)),"")</f>
        <v/>
      </c>
      <c r="O175" s="294">
        <f>IFERROR(INDEX('Historical Data'!$AJ$2:$AJ$1068,MATCH($A175,'Historical Data'!$BE$2:$BE$1068,0)),"")</f>
        <v/>
      </c>
      <c r="P175" s="294">
        <f>IFERROR(INDEX('Historical Data'!$AK$2:$AK$1068,MATCH($A175,'Historical Data'!$BE$2:$BE$1068,0)),"")</f>
        <v/>
      </c>
      <c r="Q175" s="291">
        <f>IFERROR(INDEX('Historical Data'!$AA$2:$AA$1068,MATCH($A175,'Historical Data'!$BE$2:$BE$1068,0)),"")</f>
        <v/>
      </c>
      <c r="R175" s="291">
        <f>IFERROR(INDEX('Historical Data'!$AB$2:$AB$1068,MATCH($A175,'Historical Data'!$BE$2:$BE$1068,0)),"")</f>
        <v/>
      </c>
      <c r="S175" s="291">
        <f>IFERROR(INDEX('Historical Data'!$AN$2:$AN$1068,MATCH($A175,'Historical Data'!$BE$2:$BE$1068,0)),"")</f>
        <v/>
      </c>
      <c r="T175" s="291">
        <f>IFERROR(INDEX('Historical Data'!$AC$2:$AC$1068,MATCH($A175,'Historical Data'!$BE$2:$BE$1068,0)),"")</f>
        <v/>
      </c>
      <c r="U175" s="291">
        <f>IFERROR(INDEX('Historical Data'!$AE$2:$AE$1068,MATCH($A175,'Historical Data'!$BE$2:$BE$1068,0)),"")</f>
        <v/>
      </c>
      <c r="V175" s="291">
        <f>IFERROR(INDEX('Historical Data'!$AH$2:$AH$1068,MATCH($A175,'Historical Data'!$BE$2:$BE$1068,0)),"")</f>
        <v/>
      </c>
      <c r="W175" s="291">
        <f>IFERROR(INDEX('Historical Data'!$BC$2:$BC$1068,MATCH($A175,'Historical Data'!$BE$2:$BE$1068,0)),"")</f>
        <v/>
      </c>
      <c r="X175" s="290">
        <f>IF(B175="","",IF(W175=1,"NR + industry + position",IF(W175=2,"NR + ISO + position",IF(W175=3,"NR + industry",IF(W175=4,"NR + ISO",IF(W175=5,"NR + position",IF(W175=6,"NR only","book baseline"))))))&amp;"  ["&amp;IF(T175=1,"seasoned","unseasoned")&amp;IF(U175=1,", defaulted","")&amp;IF(V175=1,", open","")&amp;"]")</f>
        <v/>
      </c>
    </row>
    <row r="176">
      <c r="A176" s="290" t="n">
        <v>172</v>
      </c>
      <c r="B176" s="291">
        <f>IFERROR(INDEX('Historical Data'!$A$2:$A$1068,MATCH($A176,'Historical Data'!$BE$2:$BE$1068,0)),"")</f>
        <v/>
      </c>
      <c r="C176" s="291">
        <f>IFERROR(INDEX('Historical Data'!$B$2:$B$1068,MATCH($A176,'Historical Data'!$BE$2:$BE$1068,0)),"")</f>
        <v/>
      </c>
      <c r="D176" s="291">
        <f>IFERROR(INDEX('Historical Data'!$D$2:$D$1068,MATCH($A176,'Historical Data'!$BE$2:$BE$1068,0)),"")</f>
        <v/>
      </c>
      <c r="E176" s="292">
        <f>IFERROR(INDEX('Historical Data'!$E$2:$E$1068,MATCH($A176,'Historical Data'!$BE$2:$BE$1068,0)),"")</f>
        <v/>
      </c>
      <c r="F176" s="291">
        <f>IFERROR(INDEX('Historical Data'!$G$2:$G$1068,MATCH($A176,'Historical Data'!$BE$2:$BE$1068,0)),"")</f>
        <v/>
      </c>
      <c r="G176" s="291">
        <f>IFERROR(INDEX('Historical Data'!$Y$2:$Y$1068,MATCH($A176,'Historical Data'!$BE$2:$BE$1068,0)),"")</f>
        <v/>
      </c>
      <c r="H176" s="291">
        <f>IFERROR(INDEX('Historical Data'!$K$2:$K$1068,MATCH($A176,'Historical Data'!$BE$2:$BE$1068,0)),"")</f>
        <v/>
      </c>
      <c r="I176" s="291">
        <f>IFERROR(INDEX('Historical Data'!$J$2:$J$1068,MATCH($A176,'Historical Data'!$BE$2:$BE$1068,0)),"")</f>
        <v/>
      </c>
      <c r="J176" s="291">
        <f>IFERROR(INDEX('Historical Data'!$L$2:$L$1068,MATCH($A176,'Historical Data'!$BE$2:$BE$1068,0)),"")</f>
        <v/>
      </c>
      <c r="K176" s="293">
        <f>IFERROR(INDEX('Historical Data'!$M$2:$M$1068,MATCH($A176,'Historical Data'!$BE$2:$BE$1068,0)),"")</f>
        <v/>
      </c>
      <c r="L176" s="294">
        <f>IFERROR(INDEX('Historical Data'!$N$2:$N$1068,MATCH($A176,'Historical Data'!$BE$2:$BE$1068,0)),"")</f>
        <v/>
      </c>
      <c r="M176" s="294">
        <f>IFERROR(INDEX('Historical Data'!$Q$2:$Q$1068,MATCH($A176,'Historical Data'!$BE$2:$BE$1068,0)),"")</f>
        <v/>
      </c>
      <c r="N176" s="295">
        <f>IFERROR(INDEX('Historical Data'!$S$2:$S$1068,MATCH($A176,'Historical Data'!$BE$2:$BE$1068,0)),"")</f>
        <v/>
      </c>
      <c r="O176" s="294">
        <f>IFERROR(INDEX('Historical Data'!$AJ$2:$AJ$1068,MATCH($A176,'Historical Data'!$BE$2:$BE$1068,0)),"")</f>
        <v/>
      </c>
      <c r="P176" s="294">
        <f>IFERROR(INDEX('Historical Data'!$AK$2:$AK$1068,MATCH($A176,'Historical Data'!$BE$2:$BE$1068,0)),"")</f>
        <v/>
      </c>
      <c r="Q176" s="291">
        <f>IFERROR(INDEX('Historical Data'!$AA$2:$AA$1068,MATCH($A176,'Historical Data'!$BE$2:$BE$1068,0)),"")</f>
        <v/>
      </c>
      <c r="R176" s="291">
        <f>IFERROR(INDEX('Historical Data'!$AB$2:$AB$1068,MATCH($A176,'Historical Data'!$BE$2:$BE$1068,0)),"")</f>
        <v/>
      </c>
      <c r="S176" s="291">
        <f>IFERROR(INDEX('Historical Data'!$AN$2:$AN$1068,MATCH($A176,'Historical Data'!$BE$2:$BE$1068,0)),"")</f>
        <v/>
      </c>
      <c r="T176" s="291">
        <f>IFERROR(INDEX('Historical Data'!$AC$2:$AC$1068,MATCH($A176,'Historical Data'!$BE$2:$BE$1068,0)),"")</f>
        <v/>
      </c>
      <c r="U176" s="291">
        <f>IFERROR(INDEX('Historical Data'!$AE$2:$AE$1068,MATCH($A176,'Historical Data'!$BE$2:$BE$1068,0)),"")</f>
        <v/>
      </c>
      <c r="V176" s="291">
        <f>IFERROR(INDEX('Historical Data'!$AH$2:$AH$1068,MATCH($A176,'Historical Data'!$BE$2:$BE$1068,0)),"")</f>
        <v/>
      </c>
      <c r="W176" s="291">
        <f>IFERROR(INDEX('Historical Data'!$BC$2:$BC$1068,MATCH($A176,'Historical Data'!$BE$2:$BE$1068,0)),"")</f>
        <v/>
      </c>
      <c r="X176" s="290">
        <f>IF(B176="","",IF(W176=1,"NR + industry + position",IF(W176=2,"NR + ISO + position",IF(W176=3,"NR + industry",IF(W176=4,"NR + ISO",IF(W176=5,"NR + position",IF(W176=6,"NR only","book baseline"))))))&amp;"  ["&amp;IF(T176=1,"seasoned","unseasoned")&amp;IF(U176=1,", defaulted","")&amp;IF(V176=1,", open","")&amp;"]")</f>
        <v/>
      </c>
    </row>
    <row r="177">
      <c r="A177" s="290" t="n">
        <v>173</v>
      </c>
      <c r="B177" s="291">
        <f>IFERROR(INDEX('Historical Data'!$A$2:$A$1068,MATCH($A177,'Historical Data'!$BE$2:$BE$1068,0)),"")</f>
        <v/>
      </c>
      <c r="C177" s="291">
        <f>IFERROR(INDEX('Historical Data'!$B$2:$B$1068,MATCH($A177,'Historical Data'!$BE$2:$BE$1068,0)),"")</f>
        <v/>
      </c>
      <c r="D177" s="291">
        <f>IFERROR(INDEX('Historical Data'!$D$2:$D$1068,MATCH($A177,'Historical Data'!$BE$2:$BE$1068,0)),"")</f>
        <v/>
      </c>
      <c r="E177" s="292">
        <f>IFERROR(INDEX('Historical Data'!$E$2:$E$1068,MATCH($A177,'Historical Data'!$BE$2:$BE$1068,0)),"")</f>
        <v/>
      </c>
      <c r="F177" s="291">
        <f>IFERROR(INDEX('Historical Data'!$G$2:$G$1068,MATCH($A177,'Historical Data'!$BE$2:$BE$1068,0)),"")</f>
        <v/>
      </c>
      <c r="G177" s="291">
        <f>IFERROR(INDEX('Historical Data'!$Y$2:$Y$1068,MATCH($A177,'Historical Data'!$BE$2:$BE$1068,0)),"")</f>
        <v/>
      </c>
      <c r="H177" s="291">
        <f>IFERROR(INDEX('Historical Data'!$K$2:$K$1068,MATCH($A177,'Historical Data'!$BE$2:$BE$1068,0)),"")</f>
        <v/>
      </c>
      <c r="I177" s="291">
        <f>IFERROR(INDEX('Historical Data'!$J$2:$J$1068,MATCH($A177,'Historical Data'!$BE$2:$BE$1068,0)),"")</f>
        <v/>
      </c>
      <c r="J177" s="291">
        <f>IFERROR(INDEX('Historical Data'!$L$2:$L$1068,MATCH($A177,'Historical Data'!$BE$2:$BE$1068,0)),"")</f>
        <v/>
      </c>
      <c r="K177" s="293">
        <f>IFERROR(INDEX('Historical Data'!$M$2:$M$1068,MATCH($A177,'Historical Data'!$BE$2:$BE$1068,0)),"")</f>
        <v/>
      </c>
      <c r="L177" s="294">
        <f>IFERROR(INDEX('Historical Data'!$N$2:$N$1068,MATCH($A177,'Historical Data'!$BE$2:$BE$1068,0)),"")</f>
        <v/>
      </c>
      <c r="M177" s="294">
        <f>IFERROR(INDEX('Historical Data'!$Q$2:$Q$1068,MATCH($A177,'Historical Data'!$BE$2:$BE$1068,0)),"")</f>
        <v/>
      </c>
      <c r="N177" s="295">
        <f>IFERROR(INDEX('Historical Data'!$S$2:$S$1068,MATCH($A177,'Historical Data'!$BE$2:$BE$1068,0)),"")</f>
        <v/>
      </c>
      <c r="O177" s="294">
        <f>IFERROR(INDEX('Historical Data'!$AJ$2:$AJ$1068,MATCH($A177,'Historical Data'!$BE$2:$BE$1068,0)),"")</f>
        <v/>
      </c>
      <c r="P177" s="294">
        <f>IFERROR(INDEX('Historical Data'!$AK$2:$AK$1068,MATCH($A177,'Historical Data'!$BE$2:$BE$1068,0)),"")</f>
        <v/>
      </c>
      <c r="Q177" s="291">
        <f>IFERROR(INDEX('Historical Data'!$AA$2:$AA$1068,MATCH($A177,'Historical Data'!$BE$2:$BE$1068,0)),"")</f>
        <v/>
      </c>
      <c r="R177" s="291">
        <f>IFERROR(INDEX('Historical Data'!$AB$2:$AB$1068,MATCH($A177,'Historical Data'!$BE$2:$BE$1068,0)),"")</f>
        <v/>
      </c>
      <c r="S177" s="291">
        <f>IFERROR(INDEX('Historical Data'!$AN$2:$AN$1068,MATCH($A177,'Historical Data'!$BE$2:$BE$1068,0)),"")</f>
        <v/>
      </c>
      <c r="T177" s="291">
        <f>IFERROR(INDEX('Historical Data'!$AC$2:$AC$1068,MATCH($A177,'Historical Data'!$BE$2:$BE$1068,0)),"")</f>
        <v/>
      </c>
      <c r="U177" s="291">
        <f>IFERROR(INDEX('Historical Data'!$AE$2:$AE$1068,MATCH($A177,'Historical Data'!$BE$2:$BE$1068,0)),"")</f>
        <v/>
      </c>
      <c r="V177" s="291">
        <f>IFERROR(INDEX('Historical Data'!$AH$2:$AH$1068,MATCH($A177,'Historical Data'!$BE$2:$BE$1068,0)),"")</f>
        <v/>
      </c>
      <c r="W177" s="291">
        <f>IFERROR(INDEX('Historical Data'!$BC$2:$BC$1068,MATCH($A177,'Historical Data'!$BE$2:$BE$1068,0)),"")</f>
        <v/>
      </c>
      <c r="X177" s="290">
        <f>IF(B177="","",IF(W177=1,"NR + industry + position",IF(W177=2,"NR + ISO + position",IF(W177=3,"NR + industry",IF(W177=4,"NR + ISO",IF(W177=5,"NR + position",IF(W177=6,"NR only","book baseline"))))))&amp;"  ["&amp;IF(T177=1,"seasoned","unseasoned")&amp;IF(U177=1,", defaulted","")&amp;IF(V177=1,", open","")&amp;"]")</f>
        <v/>
      </c>
    </row>
    <row r="178">
      <c r="A178" s="290" t="n">
        <v>174</v>
      </c>
      <c r="B178" s="291">
        <f>IFERROR(INDEX('Historical Data'!$A$2:$A$1068,MATCH($A178,'Historical Data'!$BE$2:$BE$1068,0)),"")</f>
        <v/>
      </c>
      <c r="C178" s="291">
        <f>IFERROR(INDEX('Historical Data'!$B$2:$B$1068,MATCH($A178,'Historical Data'!$BE$2:$BE$1068,0)),"")</f>
        <v/>
      </c>
      <c r="D178" s="291">
        <f>IFERROR(INDEX('Historical Data'!$D$2:$D$1068,MATCH($A178,'Historical Data'!$BE$2:$BE$1068,0)),"")</f>
        <v/>
      </c>
      <c r="E178" s="292">
        <f>IFERROR(INDEX('Historical Data'!$E$2:$E$1068,MATCH($A178,'Historical Data'!$BE$2:$BE$1068,0)),"")</f>
        <v/>
      </c>
      <c r="F178" s="291">
        <f>IFERROR(INDEX('Historical Data'!$G$2:$G$1068,MATCH($A178,'Historical Data'!$BE$2:$BE$1068,0)),"")</f>
        <v/>
      </c>
      <c r="G178" s="291">
        <f>IFERROR(INDEX('Historical Data'!$Y$2:$Y$1068,MATCH($A178,'Historical Data'!$BE$2:$BE$1068,0)),"")</f>
        <v/>
      </c>
      <c r="H178" s="291">
        <f>IFERROR(INDEX('Historical Data'!$K$2:$K$1068,MATCH($A178,'Historical Data'!$BE$2:$BE$1068,0)),"")</f>
        <v/>
      </c>
      <c r="I178" s="291">
        <f>IFERROR(INDEX('Historical Data'!$J$2:$J$1068,MATCH($A178,'Historical Data'!$BE$2:$BE$1068,0)),"")</f>
        <v/>
      </c>
      <c r="J178" s="291">
        <f>IFERROR(INDEX('Historical Data'!$L$2:$L$1068,MATCH($A178,'Historical Data'!$BE$2:$BE$1068,0)),"")</f>
        <v/>
      </c>
      <c r="K178" s="293">
        <f>IFERROR(INDEX('Historical Data'!$M$2:$M$1068,MATCH($A178,'Historical Data'!$BE$2:$BE$1068,0)),"")</f>
        <v/>
      </c>
      <c r="L178" s="294">
        <f>IFERROR(INDEX('Historical Data'!$N$2:$N$1068,MATCH($A178,'Historical Data'!$BE$2:$BE$1068,0)),"")</f>
        <v/>
      </c>
      <c r="M178" s="294">
        <f>IFERROR(INDEX('Historical Data'!$Q$2:$Q$1068,MATCH($A178,'Historical Data'!$BE$2:$BE$1068,0)),"")</f>
        <v/>
      </c>
      <c r="N178" s="295">
        <f>IFERROR(INDEX('Historical Data'!$S$2:$S$1068,MATCH($A178,'Historical Data'!$BE$2:$BE$1068,0)),"")</f>
        <v/>
      </c>
      <c r="O178" s="294">
        <f>IFERROR(INDEX('Historical Data'!$AJ$2:$AJ$1068,MATCH($A178,'Historical Data'!$BE$2:$BE$1068,0)),"")</f>
        <v/>
      </c>
      <c r="P178" s="294">
        <f>IFERROR(INDEX('Historical Data'!$AK$2:$AK$1068,MATCH($A178,'Historical Data'!$BE$2:$BE$1068,0)),"")</f>
        <v/>
      </c>
      <c r="Q178" s="291">
        <f>IFERROR(INDEX('Historical Data'!$AA$2:$AA$1068,MATCH($A178,'Historical Data'!$BE$2:$BE$1068,0)),"")</f>
        <v/>
      </c>
      <c r="R178" s="291">
        <f>IFERROR(INDEX('Historical Data'!$AB$2:$AB$1068,MATCH($A178,'Historical Data'!$BE$2:$BE$1068,0)),"")</f>
        <v/>
      </c>
      <c r="S178" s="291">
        <f>IFERROR(INDEX('Historical Data'!$AN$2:$AN$1068,MATCH($A178,'Historical Data'!$BE$2:$BE$1068,0)),"")</f>
        <v/>
      </c>
      <c r="T178" s="291">
        <f>IFERROR(INDEX('Historical Data'!$AC$2:$AC$1068,MATCH($A178,'Historical Data'!$BE$2:$BE$1068,0)),"")</f>
        <v/>
      </c>
      <c r="U178" s="291">
        <f>IFERROR(INDEX('Historical Data'!$AE$2:$AE$1068,MATCH($A178,'Historical Data'!$BE$2:$BE$1068,0)),"")</f>
        <v/>
      </c>
      <c r="V178" s="291">
        <f>IFERROR(INDEX('Historical Data'!$AH$2:$AH$1068,MATCH($A178,'Historical Data'!$BE$2:$BE$1068,0)),"")</f>
        <v/>
      </c>
      <c r="W178" s="291">
        <f>IFERROR(INDEX('Historical Data'!$BC$2:$BC$1068,MATCH($A178,'Historical Data'!$BE$2:$BE$1068,0)),"")</f>
        <v/>
      </c>
      <c r="X178" s="290">
        <f>IF(B178="","",IF(W178=1,"NR + industry + position",IF(W178=2,"NR + ISO + position",IF(W178=3,"NR + industry",IF(W178=4,"NR + ISO",IF(W178=5,"NR + position",IF(W178=6,"NR only","book baseline"))))))&amp;"  ["&amp;IF(T178=1,"seasoned","unseasoned")&amp;IF(U178=1,", defaulted","")&amp;IF(V178=1,", open","")&amp;"]")</f>
        <v/>
      </c>
    </row>
    <row r="179">
      <c r="A179" s="290" t="n">
        <v>175</v>
      </c>
      <c r="B179" s="291">
        <f>IFERROR(INDEX('Historical Data'!$A$2:$A$1068,MATCH($A179,'Historical Data'!$BE$2:$BE$1068,0)),"")</f>
        <v/>
      </c>
      <c r="C179" s="291">
        <f>IFERROR(INDEX('Historical Data'!$B$2:$B$1068,MATCH($A179,'Historical Data'!$BE$2:$BE$1068,0)),"")</f>
        <v/>
      </c>
      <c r="D179" s="291">
        <f>IFERROR(INDEX('Historical Data'!$D$2:$D$1068,MATCH($A179,'Historical Data'!$BE$2:$BE$1068,0)),"")</f>
        <v/>
      </c>
      <c r="E179" s="292">
        <f>IFERROR(INDEX('Historical Data'!$E$2:$E$1068,MATCH($A179,'Historical Data'!$BE$2:$BE$1068,0)),"")</f>
        <v/>
      </c>
      <c r="F179" s="291">
        <f>IFERROR(INDEX('Historical Data'!$G$2:$G$1068,MATCH($A179,'Historical Data'!$BE$2:$BE$1068,0)),"")</f>
        <v/>
      </c>
      <c r="G179" s="291">
        <f>IFERROR(INDEX('Historical Data'!$Y$2:$Y$1068,MATCH($A179,'Historical Data'!$BE$2:$BE$1068,0)),"")</f>
        <v/>
      </c>
      <c r="H179" s="291">
        <f>IFERROR(INDEX('Historical Data'!$K$2:$K$1068,MATCH($A179,'Historical Data'!$BE$2:$BE$1068,0)),"")</f>
        <v/>
      </c>
      <c r="I179" s="291">
        <f>IFERROR(INDEX('Historical Data'!$J$2:$J$1068,MATCH($A179,'Historical Data'!$BE$2:$BE$1068,0)),"")</f>
        <v/>
      </c>
      <c r="J179" s="291">
        <f>IFERROR(INDEX('Historical Data'!$L$2:$L$1068,MATCH($A179,'Historical Data'!$BE$2:$BE$1068,0)),"")</f>
        <v/>
      </c>
      <c r="K179" s="293">
        <f>IFERROR(INDEX('Historical Data'!$M$2:$M$1068,MATCH($A179,'Historical Data'!$BE$2:$BE$1068,0)),"")</f>
        <v/>
      </c>
      <c r="L179" s="294">
        <f>IFERROR(INDEX('Historical Data'!$N$2:$N$1068,MATCH($A179,'Historical Data'!$BE$2:$BE$1068,0)),"")</f>
        <v/>
      </c>
      <c r="M179" s="294">
        <f>IFERROR(INDEX('Historical Data'!$Q$2:$Q$1068,MATCH($A179,'Historical Data'!$BE$2:$BE$1068,0)),"")</f>
        <v/>
      </c>
      <c r="N179" s="295">
        <f>IFERROR(INDEX('Historical Data'!$S$2:$S$1068,MATCH($A179,'Historical Data'!$BE$2:$BE$1068,0)),"")</f>
        <v/>
      </c>
      <c r="O179" s="294">
        <f>IFERROR(INDEX('Historical Data'!$AJ$2:$AJ$1068,MATCH($A179,'Historical Data'!$BE$2:$BE$1068,0)),"")</f>
        <v/>
      </c>
      <c r="P179" s="294">
        <f>IFERROR(INDEX('Historical Data'!$AK$2:$AK$1068,MATCH($A179,'Historical Data'!$BE$2:$BE$1068,0)),"")</f>
        <v/>
      </c>
      <c r="Q179" s="291">
        <f>IFERROR(INDEX('Historical Data'!$AA$2:$AA$1068,MATCH($A179,'Historical Data'!$BE$2:$BE$1068,0)),"")</f>
        <v/>
      </c>
      <c r="R179" s="291">
        <f>IFERROR(INDEX('Historical Data'!$AB$2:$AB$1068,MATCH($A179,'Historical Data'!$BE$2:$BE$1068,0)),"")</f>
        <v/>
      </c>
      <c r="S179" s="291">
        <f>IFERROR(INDEX('Historical Data'!$AN$2:$AN$1068,MATCH($A179,'Historical Data'!$BE$2:$BE$1068,0)),"")</f>
        <v/>
      </c>
      <c r="T179" s="291">
        <f>IFERROR(INDEX('Historical Data'!$AC$2:$AC$1068,MATCH($A179,'Historical Data'!$BE$2:$BE$1068,0)),"")</f>
        <v/>
      </c>
      <c r="U179" s="291">
        <f>IFERROR(INDEX('Historical Data'!$AE$2:$AE$1068,MATCH($A179,'Historical Data'!$BE$2:$BE$1068,0)),"")</f>
        <v/>
      </c>
      <c r="V179" s="291">
        <f>IFERROR(INDEX('Historical Data'!$AH$2:$AH$1068,MATCH($A179,'Historical Data'!$BE$2:$BE$1068,0)),"")</f>
        <v/>
      </c>
      <c r="W179" s="291">
        <f>IFERROR(INDEX('Historical Data'!$BC$2:$BC$1068,MATCH($A179,'Historical Data'!$BE$2:$BE$1068,0)),"")</f>
        <v/>
      </c>
      <c r="X179" s="290">
        <f>IF(B179="","",IF(W179=1,"NR + industry + position",IF(W179=2,"NR + ISO + position",IF(W179=3,"NR + industry",IF(W179=4,"NR + ISO",IF(W179=5,"NR + position",IF(W179=6,"NR only","book baseline"))))))&amp;"  ["&amp;IF(T179=1,"seasoned","unseasoned")&amp;IF(U179=1,", defaulted","")&amp;IF(V179=1,", open","")&amp;"]")</f>
        <v/>
      </c>
    </row>
    <row r="180">
      <c r="A180" s="290" t="n">
        <v>176</v>
      </c>
      <c r="B180" s="291">
        <f>IFERROR(INDEX('Historical Data'!$A$2:$A$1068,MATCH($A180,'Historical Data'!$BE$2:$BE$1068,0)),"")</f>
        <v/>
      </c>
      <c r="C180" s="291">
        <f>IFERROR(INDEX('Historical Data'!$B$2:$B$1068,MATCH($A180,'Historical Data'!$BE$2:$BE$1068,0)),"")</f>
        <v/>
      </c>
      <c r="D180" s="291">
        <f>IFERROR(INDEX('Historical Data'!$D$2:$D$1068,MATCH($A180,'Historical Data'!$BE$2:$BE$1068,0)),"")</f>
        <v/>
      </c>
      <c r="E180" s="292">
        <f>IFERROR(INDEX('Historical Data'!$E$2:$E$1068,MATCH($A180,'Historical Data'!$BE$2:$BE$1068,0)),"")</f>
        <v/>
      </c>
      <c r="F180" s="291">
        <f>IFERROR(INDEX('Historical Data'!$G$2:$G$1068,MATCH($A180,'Historical Data'!$BE$2:$BE$1068,0)),"")</f>
        <v/>
      </c>
      <c r="G180" s="291">
        <f>IFERROR(INDEX('Historical Data'!$Y$2:$Y$1068,MATCH($A180,'Historical Data'!$BE$2:$BE$1068,0)),"")</f>
        <v/>
      </c>
      <c r="H180" s="291">
        <f>IFERROR(INDEX('Historical Data'!$K$2:$K$1068,MATCH($A180,'Historical Data'!$BE$2:$BE$1068,0)),"")</f>
        <v/>
      </c>
      <c r="I180" s="291">
        <f>IFERROR(INDEX('Historical Data'!$J$2:$J$1068,MATCH($A180,'Historical Data'!$BE$2:$BE$1068,0)),"")</f>
        <v/>
      </c>
      <c r="J180" s="291">
        <f>IFERROR(INDEX('Historical Data'!$L$2:$L$1068,MATCH($A180,'Historical Data'!$BE$2:$BE$1068,0)),"")</f>
        <v/>
      </c>
      <c r="K180" s="293">
        <f>IFERROR(INDEX('Historical Data'!$M$2:$M$1068,MATCH($A180,'Historical Data'!$BE$2:$BE$1068,0)),"")</f>
        <v/>
      </c>
      <c r="L180" s="294">
        <f>IFERROR(INDEX('Historical Data'!$N$2:$N$1068,MATCH($A180,'Historical Data'!$BE$2:$BE$1068,0)),"")</f>
        <v/>
      </c>
      <c r="M180" s="294">
        <f>IFERROR(INDEX('Historical Data'!$Q$2:$Q$1068,MATCH($A180,'Historical Data'!$BE$2:$BE$1068,0)),"")</f>
        <v/>
      </c>
      <c r="N180" s="295">
        <f>IFERROR(INDEX('Historical Data'!$S$2:$S$1068,MATCH($A180,'Historical Data'!$BE$2:$BE$1068,0)),"")</f>
        <v/>
      </c>
      <c r="O180" s="294">
        <f>IFERROR(INDEX('Historical Data'!$AJ$2:$AJ$1068,MATCH($A180,'Historical Data'!$BE$2:$BE$1068,0)),"")</f>
        <v/>
      </c>
      <c r="P180" s="294">
        <f>IFERROR(INDEX('Historical Data'!$AK$2:$AK$1068,MATCH($A180,'Historical Data'!$BE$2:$BE$1068,0)),"")</f>
        <v/>
      </c>
      <c r="Q180" s="291">
        <f>IFERROR(INDEX('Historical Data'!$AA$2:$AA$1068,MATCH($A180,'Historical Data'!$BE$2:$BE$1068,0)),"")</f>
        <v/>
      </c>
      <c r="R180" s="291">
        <f>IFERROR(INDEX('Historical Data'!$AB$2:$AB$1068,MATCH($A180,'Historical Data'!$BE$2:$BE$1068,0)),"")</f>
        <v/>
      </c>
      <c r="S180" s="291">
        <f>IFERROR(INDEX('Historical Data'!$AN$2:$AN$1068,MATCH($A180,'Historical Data'!$BE$2:$BE$1068,0)),"")</f>
        <v/>
      </c>
      <c r="T180" s="291">
        <f>IFERROR(INDEX('Historical Data'!$AC$2:$AC$1068,MATCH($A180,'Historical Data'!$BE$2:$BE$1068,0)),"")</f>
        <v/>
      </c>
      <c r="U180" s="291">
        <f>IFERROR(INDEX('Historical Data'!$AE$2:$AE$1068,MATCH($A180,'Historical Data'!$BE$2:$BE$1068,0)),"")</f>
        <v/>
      </c>
      <c r="V180" s="291">
        <f>IFERROR(INDEX('Historical Data'!$AH$2:$AH$1068,MATCH($A180,'Historical Data'!$BE$2:$BE$1068,0)),"")</f>
        <v/>
      </c>
      <c r="W180" s="291">
        <f>IFERROR(INDEX('Historical Data'!$BC$2:$BC$1068,MATCH($A180,'Historical Data'!$BE$2:$BE$1068,0)),"")</f>
        <v/>
      </c>
      <c r="X180" s="290">
        <f>IF(B180="","",IF(W180=1,"NR + industry + position",IF(W180=2,"NR + ISO + position",IF(W180=3,"NR + industry",IF(W180=4,"NR + ISO",IF(W180=5,"NR + position",IF(W180=6,"NR only","book baseline"))))))&amp;"  ["&amp;IF(T180=1,"seasoned","unseasoned")&amp;IF(U180=1,", defaulted","")&amp;IF(V180=1,", open","")&amp;"]")</f>
        <v/>
      </c>
    </row>
    <row r="181">
      <c r="A181" s="290" t="n">
        <v>177</v>
      </c>
      <c r="B181" s="291">
        <f>IFERROR(INDEX('Historical Data'!$A$2:$A$1068,MATCH($A181,'Historical Data'!$BE$2:$BE$1068,0)),"")</f>
        <v/>
      </c>
      <c r="C181" s="291">
        <f>IFERROR(INDEX('Historical Data'!$B$2:$B$1068,MATCH($A181,'Historical Data'!$BE$2:$BE$1068,0)),"")</f>
        <v/>
      </c>
      <c r="D181" s="291">
        <f>IFERROR(INDEX('Historical Data'!$D$2:$D$1068,MATCH($A181,'Historical Data'!$BE$2:$BE$1068,0)),"")</f>
        <v/>
      </c>
      <c r="E181" s="292">
        <f>IFERROR(INDEX('Historical Data'!$E$2:$E$1068,MATCH($A181,'Historical Data'!$BE$2:$BE$1068,0)),"")</f>
        <v/>
      </c>
      <c r="F181" s="291">
        <f>IFERROR(INDEX('Historical Data'!$G$2:$G$1068,MATCH($A181,'Historical Data'!$BE$2:$BE$1068,0)),"")</f>
        <v/>
      </c>
      <c r="G181" s="291">
        <f>IFERROR(INDEX('Historical Data'!$Y$2:$Y$1068,MATCH($A181,'Historical Data'!$BE$2:$BE$1068,0)),"")</f>
        <v/>
      </c>
      <c r="H181" s="291">
        <f>IFERROR(INDEX('Historical Data'!$K$2:$K$1068,MATCH($A181,'Historical Data'!$BE$2:$BE$1068,0)),"")</f>
        <v/>
      </c>
      <c r="I181" s="291">
        <f>IFERROR(INDEX('Historical Data'!$J$2:$J$1068,MATCH($A181,'Historical Data'!$BE$2:$BE$1068,0)),"")</f>
        <v/>
      </c>
      <c r="J181" s="291">
        <f>IFERROR(INDEX('Historical Data'!$L$2:$L$1068,MATCH($A181,'Historical Data'!$BE$2:$BE$1068,0)),"")</f>
        <v/>
      </c>
      <c r="K181" s="293">
        <f>IFERROR(INDEX('Historical Data'!$M$2:$M$1068,MATCH($A181,'Historical Data'!$BE$2:$BE$1068,0)),"")</f>
        <v/>
      </c>
      <c r="L181" s="294">
        <f>IFERROR(INDEX('Historical Data'!$N$2:$N$1068,MATCH($A181,'Historical Data'!$BE$2:$BE$1068,0)),"")</f>
        <v/>
      </c>
      <c r="M181" s="294">
        <f>IFERROR(INDEX('Historical Data'!$Q$2:$Q$1068,MATCH($A181,'Historical Data'!$BE$2:$BE$1068,0)),"")</f>
        <v/>
      </c>
      <c r="N181" s="295">
        <f>IFERROR(INDEX('Historical Data'!$S$2:$S$1068,MATCH($A181,'Historical Data'!$BE$2:$BE$1068,0)),"")</f>
        <v/>
      </c>
      <c r="O181" s="294">
        <f>IFERROR(INDEX('Historical Data'!$AJ$2:$AJ$1068,MATCH($A181,'Historical Data'!$BE$2:$BE$1068,0)),"")</f>
        <v/>
      </c>
      <c r="P181" s="294">
        <f>IFERROR(INDEX('Historical Data'!$AK$2:$AK$1068,MATCH($A181,'Historical Data'!$BE$2:$BE$1068,0)),"")</f>
        <v/>
      </c>
      <c r="Q181" s="291">
        <f>IFERROR(INDEX('Historical Data'!$AA$2:$AA$1068,MATCH($A181,'Historical Data'!$BE$2:$BE$1068,0)),"")</f>
        <v/>
      </c>
      <c r="R181" s="291">
        <f>IFERROR(INDEX('Historical Data'!$AB$2:$AB$1068,MATCH($A181,'Historical Data'!$BE$2:$BE$1068,0)),"")</f>
        <v/>
      </c>
      <c r="S181" s="291">
        <f>IFERROR(INDEX('Historical Data'!$AN$2:$AN$1068,MATCH($A181,'Historical Data'!$BE$2:$BE$1068,0)),"")</f>
        <v/>
      </c>
      <c r="T181" s="291">
        <f>IFERROR(INDEX('Historical Data'!$AC$2:$AC$1068,MATCH($A181,'Historical Data'!$BE$2:$BE$1068,0)),"")</f>
        <v/>
      </c>
      <c r="U181" s="291">
        <f>IFERROR(INDEX('Historical Data'!$AE$2:$AE$1068,MATCH($A181,'Historical Data'!$BE$2:$BE$1068,0)),"")</f>
        <v/>
      </c>
      <c r="V181" s="291">
        <f>IFERROR(INDEX('Historical Data'!$AH$2:$AH$1068,MATCH($A181,'Historical Data'!$BE$2:$BE$1068,0)),"")</f>
        <v/>
      </c>
      <c r="W181" s="291">
        <f>IFERROR(INDEX('Historical Data'!$BC$2:$BC$1068,MATCH($A181,'Historical Data'!$BE$2:$BE$1068,0)),"")</f>
        <v/>
      </c>
      <c r="X181" s="290">
        <f>IF(B181="","",IF(W181=1,"NR + industry + position",IF(W181=2,"NR + ISO + position",IF(W181=3,"NR + industry",IF(W181=4,"NR + ISO",IF(W181=5,"NR + position",IF(W181=6,"NR only","book baseline"))))))&amp;"  ["&amp;IF(T181=1,"seasoned","unseasoned")&amp;IF(U181=1,", defaulted","")&amp;IF(V181=1,", open","")&amp;"]")</f>
        <v/>
      </c>
    </row>
    <row r="182">
      <c r="A182" s="290" t="n">
        <v>178</v>
      </c>
      <c r="B182" s="291">
        <f>IFERROR(INDEX('Historical Data'!$A$2:$A$1068,MATCH($A182,'Historical Data'!$BE$2:$BE$1068,0)),"")</f>
        <v/>
      </c>
      <c r="C182" s="291">
        <f>IFERROR(INDEX('Historical Data'!$B$2:$B$1068,MATCH($A182,'Historical Data'!$BE$2:$BE$1068,0)),"")</f>
        <v/>
      </c>
      <c r="D182" s="291">
        <f>IFERROR(INDEX('Historical Data'!$D$2:$D$1068,MATCH($A182,'Historical Data'!$BE$2:$BE$1068,0)),"")</f>
        <v/>
      </c>
      <c r="E182" s="292">
        <f>IFERROR(INDEX('Historical Data'!$E$2:$E$1068,MATCH($A182,'Historical Data'!$BE$2:$BE$1068,0)),"")</f>
        <v/>
      </c>
      <c r="F182" s="291">
        <f>IFERROR(INDEX('Historical Data'!$G$2:$G$1068,MATCH($A182,'Historical Data'!$BE$2:$BE$1068,0)),"")</f>
        <v/>
      </c>
      <c r="G182" s="291">
        <f>IFERROR(INDEX('Historical Data'!$Y$2:$Y$1068,MATCH($A182,'Historical Data'!$BE$2:$BE$1068,0)),"")</f>
        <v/>
      </c>
      <c r="H182" s="291">
        <f>IFERROR(INDEX('Historical Data'!$K$2:$K$1068,MATCH($A182,'Historical Data'!$BE$2:$BE$1068,0)),"")</f>
        <v/>
      </c>
      <c r="I182" s="291">
        <f>IFERROR(INDEX('Historical Data'!$J$2:$J$1068,MATCH($A182,'Historical Data'!$BE$2:$BE$1068,0)),"")</f>
        <v/>
      </c>
      <c r="J182" s="291">
        <f>IFERROR(INDEX('Historical Data'!$L$2:$L$1068,MATCH($A182,'Historical Data'!$BE$2:$BE$1068,0)),"")</f>
        <v/>
      </c>
      <c r="K182" s="293">
        <f>IFERROR(INDEX('Historical Data'!$M$2:$M$1068,MATCH($A182,'Historical Data'!$BE$2:$BE$1068,0)),"")</f>
        <v/>
      </c>
      <c r="L182" s="294">
        <f>IFERROR(INDEX('Historical Data'!$N$2:$N$1068,MATCH($A182,'Historical Data'!$BE$2:$BE$1068,0)),"")</f>
        <v/>
      </c>
      <c r="M182" s="294">
        <f>IFERROR(INDEX('Historical Data'!$Q$2:$Q$1068,MATCH($A182,'Historical Data'!$BE$2:$BE$1068,0)),"")</f>
        <v/>
      </c>
      <c r="N182" s="295">
        <f>IFERROR(INDEX('Historical Data'!$S$2:$S$1068,MATCH($A182,'Historical Data'!$BE$2:$BE$1068,0)),"")</f>
        <v/>
      </c>
      <c r="O182" s="294">
        <f>IFERROR(INDEX('Historical Data'!$AJ$2:$AJ$1068,MATCH($A182,'Historical Data'!$BE$2:$BE$1068,0)),"")</f>
        <v/>
      </c>
      <c r="P182" s="294">
        <f>IFERROR(INDEX('Historical Data'!$AK$2:$AK$1068,MATCH($A182,'Historical Data'!$BE$2:$BE$1068,0)),"")</f>
        <v/>
      </c>
      <c r="Q182" s="291">
        <f>IFERROR(INDEX('Historical Data'!$AA$2:$AA$1068,MATCH($A182,'Historical Data'!$BE$2:$BE$1068,0)),"")</f>
        <v/>
      </c>
      <c r="R182" s="291">
        <f>IFERROR(INDEX('Historical Data'!$AB$2:$AB$1068,MATCH($A182,'Historical Data'!$BE$2:$BE$1068,0)),"")</f>
        <v/>
      </c>
      <c r="S182" s="291">
        <f>IFERROR(INDEX('Historical Data'!$AN$2:$AN$1068,MATCH($A182,'Historical Data'!$BE$2:$BE$1068,0)),"")</f>
        <v/>
      </c>
      <c r="T182" s="291">
        <f>IFERROR(INDEX('Historical Data'!$AC$2:$AC$1068,MATCH($A182,'Historical Data'!$BE$2:$BE$1068,0)),"")</f>
        <v/>
      </c>
      <c r="U182" s="291">
        <f>IFERROR(INDEX('Historical Data'!$AE$2:$AE$1068,MATCH($A182,'Historical Data'!$BE$2:$BE$1068,0)),"")</f>
        <v/>
      </c>
      <c r="V182" s="291">
        <f>IFERROR(INDEX('Historical Data'!$AH$2:$AH$1068,MATCH($A182,'Historical Data'!$BE$2:$BE$1068,0)),"")</f>
        <v/>
      </c>
      <c r="W182" s="291">
        <f>IFERROR(INDEX('Historical Data'!$BC$2:$BC$1068,MATCH($A182,'Historical Data'!$BE$2:$BE$1068,0)),"")</f>
        <v/>
      </c>
      <c r="X182" s="290">
        <f>IF(B182="","",IF(W182=1,"NR + industry + position",IF(W182=2,"NR + ISO + position",IF(W182=3,"NR + industry",IF(W182=4,"NR + ISO",IF(W182=5,"NR + position",IF(W182=6,"NR only","book baseline"))))))&amp;"  ["&amp;IF(T182=1,"seasoned","unseasoned")&amp;IF(U182=1,", defaulted","")&amp;IF(V182=1,", open","")&amp;"]")</f>
        <v/>
      </c>
    </row>
    <row r="183">
      <c r="A183" s="290" t="n">
        <v>179</v>
      </c>
      <c r="B183" s="291">
        <f>IFERROR(INDEX('Historical Data'!$A$2:$A$1068,MATCH($A183,'Historical Data'!$BE$2:$BE$1068,0)),"")</f>
        <v/>
      </c>
      <c r="C183" s="291">
        <f>IFERROR(INDEX('Historical Data'!$B$2:$B$1068,MATCH($A183,'Historical Data'!$BE$2:$BE$1068,0)),"")</f>
        <v/>
      </c>
      <c r="D183" s="291">
        <f>IFERROR(INDEX('Historical Data'!$D$2:$D$1068,MATCH($A183,'Historical Data'!$BE$2:$BE$1068,0)),"")</f>
        <v/>
      </c>
      <c r="E183" s="292">
        <f>IFERROR(INDEX('Historical Data'!$E$2:$E$1068,MATCH($A183,'Historical Data'!$BE$2:$BE$1068,0)),"")</f>
        <v/>
      </c>
      <c r="F183" s="291">
        <f>IFERROR(INDEX('Historical Data'!$G$2:$G$1068,MATCH($A183,'Historical Data'!$BE$2:$BE$1068,0)),"")</f>
        <v/>
      </c>
      <c r="G183" s="291">
        <f>IFERROR(INDEX('Historical Data'!$Y$2:$Y$1068,MATCH($A183,'Historical Data'!$BE$2:$BE$1068,0)),"")</f>
        <v/>
      </c>
      <c r="H183" s="291">
        <f>IFERROR(INDEX('Historical Data'!$K$2:$K$1068,MATCH($A183,'Historical Data'!$BE$2:$BE$1068,0)),"")</f>
        <v/>
      </c>
      <c r="I183" s="291">
        <f>IFERROR(INDEX('Historical Data'!$J$2:$J$1068,MATCH($A183,'Historical Data'!$BE$2:$BE$1068,0)),"")</f>
        <v/>
      </c>
      <c r="J183" s="291">
        <f>IFERROR(INDEX('Historical Data'!$L$2:$L$1068,MATCH($A183,'Historical Data'!$BE$2:$BE$1068,0)),"")</f>
        <v/>
      </c>
      <c r="K183" s="293">
        <f>IFERROR(INDEX('Historical Data'!$M$2:$M$1068,MATCH($A183,'Historical Data'!$BE$2:$BE$1068,0)),"")</f>
        <v/>
      </c>
      <c r="L183" s="294">
        <f>IFERROR(INDEX('Historical Data'!$N$2:$N$1068,MATCH($A183,'Historical Data'!$BE$2:$BE$1068,0)),"")</f>
        <v/>
      </c>
      <c r="M183" s="294">
        <f>IFERROR(INDEX('Historical Data'!$Q$2:$Q$1068,MATCH($A183,'Historical Data'!$BE$2:$BE$1068,0)),"")</f>
        <v/>
      </c>
      <c r="N183" s="295">
        <f>IFERROR(INDEX('Historical Data'!$S$2:$S$1068,MATCH($A183,'Historical Data'!$BE$2:$BE$1068,0)),"")</f>
        <v/>
      </c>
      <c r="O183" s="294">
        <f>IFERROR(INDEX('Historical Data'!$AJ$2:$AJ$1068,MATCH($A183,'Historical Data'!$BE$2:$BE$1068,0)),"")</f>
        <v/>
      </c>
      <c r="P183" s="294">
        <f>IFERROR(INDEX('Historical Data'!$AK$2:$AK$1068,MATCH($A183,'Historical Data'!$BE$2:$BE$1068,0)),"")</f>
        <v/>
      </c>
      <c r="Q183" s="291">
        <f>IFERROR(INDEX('Historical Data'!$AA$2:$AA$1068,MATCH($A183,'Historical Data'!$BE$2:$BE$1068,0)),"")</f>
        <v/>
      </c>
      <c r="R183" s="291">
        <f>IFERROR(INDEX('Historical Data'!$AB$2:$AB$1068,MATCH($A183,'Historical Data'!$BE$2:$BE$1068,0)),"")</f>
        <v/>
      </c>
      <c r="S183" s="291">
        <f>IFERROR(INDEX('Historical Data'!$AN$2:$AN$1068,MATCH($A183,'Historical Data'!$BE$2:$BE$1068,0)),"")</f>
        <v/>
      </c>
      <c r="T183" s="291">
        <f>IFERROR(INDEX('Historical Data'!$AC$2:$AC$1068,MATCH($A183,'Historical Data'!$BE$2:$BE$1068,0)),"")</f>
        <v/>
      </c>
      <c r="U183" s="291">
        <f>IFERROR(INDEX('Historical Data'!$AE$2:$AE$1068,MATCH($A183,'Historical Data'!$BE$2:$BE$1068,0)),"")</f>
        <v/>
      </c>
      <c r="V183" s="291">
        <f>IFERROR(INDEX('Historical Data'!$AH$2:$AH$1068,MATCH($A183,'Historical Data'!$BE$2:$BE$1068,0)),"")</f>
        <v/>
      </c>
      <c r="W183" s="291">
        <f>IFERROR(INDEX('Historical Data'!$BC$2:$BC$1068,MATCH($A183,'Historical Data'!$BE$2:$BE$1068,0)),"")</f>
        <v/>
      </c>
      <c r="X183" s="290">
        <f>IF(B183="","",IF(W183=1,"NR + industry + position",IF(W183=2,"NR + ISO + position",IF(W183=3,"NR + industry",IF(W183=4,"NR + ISO",IF(W183=5,"NR + position",IF(W183=6,"NR only","book baseline"))))))&amp;"  ["&amp;IF(T183=1,"seasoned","unseasoned")&amp;IF(U183=1,", defaulted","")&amp;IF(V183=1,", open","")&amp;"]")</f>
        <v/>
      </c>
    </row>
    <row r="184">
      <c r="A184" s="290" t="n">
        <v>180</v>
      </c>
      <c r="B184" s="291">
        <f>IFERROR(INDEX('Historical Data'!$A$2:$A$1068,MATCH($A184,'Historical Data'!$BE$2:$BE$1068,0)),"")</f>
        <v/>
      </c>
      <c r="C184" s="291">
        <f>IFERROR(INDEX('Historical Data'!$B$2:$B$1068,MATCH($A184,'Historical Data'!$BE$2:$BE$1068,0)),"")</f>
        <v/>
      </c>
      <c r="D184" s="291">
        <f>IFERROR(INDEX('Historical Data'!$D$2:$D$1068,MATCH($A184,'Historical Data'!$BE$2:$BE$1068,0)),"")</f>
        <v/>
      </c>
      <c r="E184" s="292">
        <f>IFERROR(INDEX('Historical Data'!$E$2:$E$1068,MATCH($A184,'Historical Data'!$BE$2:$BE$1068,0)),"")</f>
        <v/>
      </c>
      <c r="F184" s="291">
        <f>IFERROR(INDEX('Historical Data'!$G$2:$G$1068,MATCH($A184,'Historical Data'!$BE$2:$BE$1068,0)),"")</f>
        <v/>
      </c>
      <c r="G184" s="291">
        <f>IFERROR(INDEX('Historical Data'!$Y$2:$Y$1068,MATCH($A184,'Historical Data'!$BE$2:$BE$1068,0)),"")</f>
        <v/>
      </c>
      <c r="H184" s="291">
        <f>IFERROR(INDEX('Historical Data'!$K$2:$K$1068,MATCH($A184,'Historical Data'!$BE$2:$BE$1068,0)),"")</f>
        <v/>
      </c>
      <c r="I184" s="291">
        <f>IFERROR(INDEX('Historical Data'!$J$2:$J$1068,MATCH($A184,'Historical Data'!$BE$2:$BE$1068,0)),"")</f>
        <v/>
      </c>
      <c r="J184" s="291">
        <f>IFERROR(INDEX('Historical Data'!$L$2:$L$1068,MATCH($A184,'Historical Data'!$BE$2:$BE$1068,0)),"")</f>
        <v/>
      </c>
      <c r="K184" s="293">
        <f>IFERROR(INDEX('Historical Data'!$M$2:$M$1068,MATCH($A184,'Historical Data'!$BE$2:$BE$1068,0)),"")</f>
        <v/>
      </c>
      <c r="L184" s="294">
        <f>IFERROR(INDEX('Historical Data'!$N$2:$N$1068,MATCH($A184,'Historical Data'!$BE$2:$BE$1068,0)),"")</f>
        <v/>
      </c>
      <c r="M184" s="294">
        <f>IFERROR(INDEX('Historical Data'!$Q$2:$Q$1068,MATCH($A184,'Historical Data'!$BE$2:$BE$1068,0)),"")</f>
        <v/>
      </c>
      <c r="N184" s="295">
        <f>IFERROR(INDEX('Historical Data'!$S$2:$S$1068,MATCH($A184,'Historical Data'!$BE$2:$BE$1068,0)),"")</f>
        <v/>
      </c>
      <c r="O184" s="294">
        <f>IFERROR(INDEX('Historical Data'!$AJ$2:$AJ$1068,MATCH($A184,'Historical Data'!$BE$2:$BE$1068,0)),"")</f>
        <v/>
      </c>
      <c r="P184" s="294">
        <f>IFERROR(INDEX('Historical Data'!$AK$2:$AK$1068,MATCH($A184,'Historical Data'!$BE$2:$BE$1068,0)),"")</f>
        <v/>
      </c>
      <c r="Q184" s="291">
        <f>IFERROR(INDEX('Historical Data'!$AA$2:$AA$1068,MATCH($A184,'Historical Data'!$BE$2:$BE$1068,0)),"")</f>
        <v/>
      </c>
      <c r="R184" s="291">
        <f>IFERROR(INDEX('Historical Data'!$AB$2:$AB$1068,MATCH($A184,'Historical Data'!$BE$2:$BE$1068,0)),"")</f>
        <v/>
      </c>
      <c r="S184" s="291">
        <f>IFERROR(INDEX('Historical Data'!$AN$2:$AN$1068,MATCH($A184,'Historical Data'!$BE$2:$BE$1068,0)),"")</f>
        <v/>
      </c>
      <c r="T184" s="291">
        <f>IFERROR(INDEX('Historical Data'!$AC$2:$AC$1068,MATCH($A184,'Historical Data'!$BE$2:$BE$1068,0)),"")</f>
        <v/>
      </c>
      <c r="U184" s="291">
        <f>IFERROR(INDEX('Historical Data'!$AE$2:$AE$1068,MATCH($A184,'Historical Data'!$BE$2:$BE$1068,0)),"")</f>
        <v/>
      </c>
      <c r="V184" s="291">
        <f>IFERROR(INDEX('Historical Data'!$AH$2:$AH$1068,MATCH($A184,'Historical Data'!$BE$2:$BE$1068,0)),"")</f>
        <v/>
      </c>
      <c r="W184" s="291">
        <f>IFERROR(INDEX('Historical Data'!$BC$2:$BC$1068,MATCH($A184,'Historical Data'!$BE$2:$BE$1068,0)),"")</f>
        <v/>
      </c>
      <c r="X184" s="290">
        <f>IF(B184="","",IF(W184=1,"NR + industry + position",IF(W184=2,"NR + ISO + position",IF(W184=3,"NR + industry",IF(W184=4,"NR + ISO",IF(W184=5,"NR + position",IF(W184=6,"NR only","book baseline"))))))&amp;"  ["&amp;IF(T184=1,"seasoned","unseasoned")&amp;IF(U184=1,", defaulted","")&amp;IF(V184=1,", open","")&amp;"]")</f>
        <v/>
      </c>
    </row>
    <row r="185">
      <c r="A185" s="290" t="n">
        <v>181</v>
      </c>
      <c r="B185" s="291">
        <f>IFERROR(INDEX('Historical Data'!$A$2:$A$1068,MATCH($A185,'Historical Data'!$BE$2:$BE$1068,0)),"")</f>
        <v/>
      </c>
      <c r="C185" s="291">
        <f>IFERROR(INDEX('Historical Data'!$B$2:$B$1068,MATCH($A185,'Historical Data'!$BE$2:$BE$1068,0)),"")</f>
        <v/>
      </c>
      <c r="D185" s="291">
        <f>IFERROR(INDEX('Historical Data'!$D$2:$D$1068,MATCH($A185,'Historical Data'!$BE$2:$BE$1068,0)),"")</f>
        <v/>
      </c>
      <c r="E185" s="292">
        <f>IFERROR(INDEX('Historical Data'!$E$2:$E$1068,MATCH($A185,'Historical Data'!$BE$2:$BE$1068,0)),"")</f>
        <v/>
      </c>
      <c r="F185" s="291">
        <f>IFERROR(INDEX('Historical Data'!$G$2:$G$1068,MATCH($A185,'Historical Data'!$BE$2:$BE$1068,0)),"")</f>
        <v/>
      </c>
      <c r="G185" s="291">
        <f>IFERROR(INDEX('Historical Data'!$Y$2:$Y$1068,MATCH($A185,'Historical Data'!$BE$2:$BE$1068,0)),"")</f>
        <v/>
      </c>
      <c r="H185" s="291">
        <f>IFERROR(INDEX('Historical Data'!$K$2:$K$1068,MATCH($A185,'Historical Data'!$BE$2:$BE$1068,0)),"")</f>
        <v/>
      </c>
      <c r="I185" s="291">
        <f>IFERROR(INDEX('Historical Data'!$J$2:$J$1068,MATCH($A185,'Historical Data'!$BE$2:$BE$1068,0)),"")</f>
        <v/>
      </c>
      <c r="J185" s="291">
        <f>IFERROR(INDEX('Historical Data'!$L$2:$L$1068,MATCH($A185,'Historical Data'!$BE$2:$BE$1068,0)),"")</f>
        <v/>
      </c>
      <c r="K185" s="293">
        <f>IFERROR(INDEX('Historical Data'!$M$2:$M$1068,MATCH($A185,'Historical Data'!$BE$2:$BE$1068,0)),"")</f>
        <v/>
      </c>
      <c r="L185" s="294">
        <f>IFERROR(INDEX('Historical Data'!$N$2:$N$1068,MATCH($A185,'Historical Data'!$BE$2:$BE$1068,0)),"")</f>
        <v/>
      </c>
      <c r="M185" s="294">
        <f>IFERROR(INDEX('Historical Data'!$Q$2:$Q$1068,MATCH($A185,'Historical Data'!$BE$2:$BE$1068,0)),"")</f>
        <v/>
      </c>
      <c r="N185" s="295">
        <f>IFERROR(INDEX('Historical Data'!$S$2:$S$1068,MATCH($A185,'Historical Data'!$BE$2:$BE$1068,0)),"")</f>
        <v/>
      </c>
      <c r="O185" s="294">
        <f>IFERROR(INDEX('Historical Data'!$AJ$2:$AJ$1068,MATCH($A185,'Historical Data'!$BE$2:$BE$1068,0)),"")</f>
        <v/>
      </c>
      <c r="P185" s="294">
        <f>IFERROR(INDEX('Historical Data'!$AK$2:$AK$1068,MATCH($A185,'Historical Data'!$BE$2:$BE$1068,0)),"")</f>
        <v/>
      </c>
      <c r="Q185" s="291">
        <f>IFERROR(INDEX('Historical Data'!$AA$2:$AA$1068,MATCH($A185,'Historical Data'!$BE$2:$BE$1068,0)),"")</f>
        <v/>
      </c>
      <c r="R185" s="291">
        <f>IFERROR(INDEX('Historical Data'!$AB$2:$AB$1068,MATCH($A185,'Historical Data'!$BE$2:$BE$1068,0)),"")</f>
        <v/>
      </c>
      <c r="S185" s="291">
        <f>IFERROR(INDEX('Historical Data'!$AN$2:$AN$1068,MATCH($A185,'Historical Data'!$BE$2:$BE$1068,0)),"")</f>
        <v/>
      </c>
      <c r="T185" s="291">
        <f>IFERROR(INDEX('Historical Data'!$AC$2:$AC$1068,MATCH($A185,'Historical Data'!$BE$2:$BE$1068,0)),"")</f>
        <v/>
      </c>
      <c r="U185" s="291">
        <f>IFERROR(INDEX('Historical Data'!$AE$2:$AE$1068,MATCH($A185,'Historical Data'!$BE$2:$BE$1068,0)),"")</f>
        <v/>
      </c>
      <c r="V185" s="291">
        <f>IFERROR(INDEX('Historical Data'!$AH$2:$AH$1068,MATCH($A185,'Historical Data'!$BE$2:$BE$1068,0)),"")</f>
        <v/>
      </c>
      <c r="W185" s="291">
        <f>IFERROR(INDEX('Historical Data'!$BC$2:$BC$1068,MATCH($A185,'Historical Data'!$BE$2:$BE$1068,0)),"")</f>
        <v/>
      </c>
      <c r="X185" s="290">
        <f>IF(B185="","",IF(W185=1,"NR + industry + position",IF(W185=2,"NR + ISO + position",IF(W185=3,"NR + industry",IF(W185=4,"NR + ISO",IF(W185=5,"NR + position",IF(W185=6,"NR only","book baseline"))))))&amp;"  ["&amp;IF(T185=1,"seasoned","unseasoned")&amp;IF(U185=1,", defaulted","")&amp;IF(V185=1,", open","")&amp;"]")</f>
        <v/>
      </c>
    </row>
    <row r="186">
      <c r="A186" s="290" t="n">
        <v>182</v>
      </c>
      <c r="B186" s="291">
        <f>IFERROR(INDEX('Historical Data'!$A$2:$A$1068,MATCH($A186,'Historical Data'!$BE$2:$BE$1068,0)),"")</f>
        <v/>
      </c>
      <c r="C186" s="291">
        <f>IFERROR(INDEX('Historical Data'!$B$2:$B$1068,MATCH($A186,'Historical Data'!$BE$2:$BE$1068,0)),"")</f>
        <v/>
      </c>
      <c r="D186" s="291">
        <f>IFERROR(INDEX('Historical Data'!$D$2:$D$1068,MATCH($A186,'Historical Data'!$BE$2:$BE$1068,0)),"")</f>
        <v/>
      </c>
      <c r="E186" s="292">
        <f>IFERROR(INDEX('Historical Data'!$E$2:$E$1068,MATCH($A186,'Historical Data'!$BE$2:$BE$1068,0)),"")</f>
        <v/>
      </c>
      <c r="F186" s="291">
        <f>IFERROR(INDEX('Historical Data'!$G$2:$G$1068,MATCH($A186,'Historical Data'!$BE$2:$BE$1068,0)),"")</f>
        <v/>
      </c>
      <c r="G186" s="291">
        <f>IFERROR(INDEX('Historical Data'!$Y$2:$Y$1068,MATCH($A186,'Historical Data'!$BE$2:$BE$1068,0)),"")</f>
        <v/>
      </c>
      <c r="H186" s="291">
        <f>IFERROR(INDEX('Historical Data'!$K$2:$K$1068,MATCH($A186,'Historical Data'!$BE$2:$BE$1068,0)),"")</f>
        <v/>
      </c>
      <c r="I186" s="291">
        <f>IFERROR(INDEX('Historical Data'!$J$2:$J$1068,MATCH($A186,'Historical Data'!$BE$2:$BE$1068,0)),"")</f>
        <v/>
      </c>
      <c r="J186" s="291">
        <f>IFERROR(INDEX('Historical Data'!$L$2:$L$1068,MATCH($A186,'Historical Data'!$BE$2:$BE$1068,0)),"")</f>
        <v/>
      </c>
      <c r="K186" s="293">
        <f>IFERROR(INDEX('Historical Data'!$M$2:$M$1068,MATCH($A186,'Historical Data'!$BE$2:$BE$1068,0)),"")</f>
        <v/>
      </c>
      <c r="L186" s="294">
        <f>IFERROR(INDEX('Historical Data'!$N$2:$N$1068,MATCH($A186,'Historical Data'!$BE$2:$BE$1068,0)),"")</f>
        <v/>
      </c>
      <c r="M186" s="294">
        <f>IFERROR(INDEX('Historical Data'!$Q$2:$Q$1068,MATCH($A186,'Historical Data'!$BE$2:$BE$1068,0)),"")</f>
        <v/>
      </c>
      <c r="N186" s="295">
        <f>IFERROR(INDEX('Historical Data'!$S$2:$S$1068,MATCH($A186,'Historical Data'!$BE$2:$BE$1068,0)),"")</f>
        <v/>
      </c>
      <c r="O186" s="294">
        <f>IFERROR(INDEX('Historical Data'!$AJ$2:$AJ$1068,MATCH($A186,'Historical Data'!$BE$2:$BE$1068,0)),"")</f>
        <v/>
      </c>
      <c r="P186" s="294">
        <f>IFERROR(INDEX('Historical Data'!$AK$2:$AK$1068,MATCH($A186,'Historical Data'!$BE$2:$BE$1068,0)),"")</f>
        <v/>
      </c>
      <c r="Q186" s="291">
        <f>IFERROR(INDEX('Historical Data'!$AA$2:$AA$1068,MATCH($A186,'Historical Data'!$BE$2:$BE$1068,0)),"")</f>
        <v/>
      </c>
      <c r="R186" s="291">
        <f>IFERROR(INDEX('Historical Data'!$AB$2:$AB$1068,MATCH($A186,'Historical Data'!$BE$2:$BE$1068,0)),"")</f>
        <v/>
      </c>
      <c r="S186" s="291">
        <f>IFERROR(INDEX('Historical Data'!$AN$2:$AN$1068,MATCH($A186,'Historical Data'!$BE$2:$BE$1068,0)),"")</f>
        <v/>
      </c>
      <c r="T186" s="291">
        <f>IFERROR(INDEX('Historical Data'!$AC$2:$AC$1068,MATCH($A186,'Historical Data'!$BE$2:$BE$1068,0)),"")</f>
        <v/>
      </c>
      <c r="U186" s="291">
        <f>IFERROR(INDEX('Historical Data'!$AE$2:$AE$1068,MATCH($A186,'Historical Data'!$BE$2:$BE$1068,0)),"")</f>
        <v/>
      </c>
      <c r="V186" s="291">
        <f>IFERROR(INDEX('Historical Data'!$AH$2:$AH$1068,MATCH($A186,'Historical Data'!$BE$2:$BE$1068,0)),"")</f>
        <v/>
      </c>
      <c r="W186" s="291">
        <f>IFERROR(INDEX('Historical Data'!$BC$2:$BC$1068,MATCH($A186,'Historical Data'!$BE$2:$BE$1068,0)),"")</f>
        <v/>
      </c>
      <c r="X186" s="290">
        <f>IF(B186="","",IF(W186=1,"NR + industry + position",IF(W186=2,"NR + ISO + position",IF(W186=3,"NR + industry",IF(W186=4,"NR + ISO",IF(W186=5,"NR + position",IF(W186=6,"NR only","book baseline"))))))&amp;"  ["&amp;IF(T186=1,"seasoned","unseasoned")&amp;IF(U186=1,", defaulted","")&amp;IF(V186=1,", open","")&amp;"]")</f>
        <v/>
      </c>
    </row>
    <row r="187">
      <c r="A187" s="290" t="n">
        <v>183</v>
      </c>
      <c r="B187" s="291">
        <f>IFERROR(INDEX('Historical Data'!$A$2:$A$1068,MATCH($A187,'Historical Data'!$BE$2:$BE$1068,0)),"")</f>
        <v/>
      </c>
      <c r="C187" s="291">
        <f>IFERROR(INDEX('Historical Data'!$B$2:$B$1068,MATCH($A187,'Historical Data'!$BE$2:$BE$1068,0)),"")</f>
        <v/>
      </c>
      <c r="D187" s="291">
        <f>IFERROR(INDEX('Historical Data'!$D$2:$D$1068,MATCH($A187,'Historical Data'!$BE$2:$BE$1068,0)),"")</f>
        <v/>
      </c>
      <c r="E187" s="292">
        <f>IFERROR(INDEX('Historical Data'!$E$2:$E$1068,MATCH($A187,'Historical Data'!$BE$2:$BE$1068,0)),"")</f>
        <v/>
      </c>
      <c r="F187" s="291">
        <f>IFERROR(INDEX('Historical Data'!$G$2:$G$1068,MATCH($A187,'Historical Data'!$BE$2:$BE$1068,0)),"")</f>
        <v/>
      </c>
      <c r="G187" s="291">
        <f>IFERROR(INDEX('Historical Data'!$Y$2:$Y$1068,MATCH($A187,'Historical Data'!$BE$2:$BE$1068,0)),"")</f>
        <v/>
      </c>
      <c r="H187" s="291">
        <f>IFERROR(INDEX('Historical Data'!$K$2:$K$1068,MATCH($A187,'Historical Data'!$BE$2:$BE$1068,0)),"")</f>
        <v/>
      </c>
      <c r="I187" s="291">
        <f>IFERROR(INDEX('Historical Data'!$J$2:$J$1068,MATCH($A187,'Historical Data'!$BE$2:$BE$1068,0)),"")</f>
        <v/>
      </c>
      <c r="J187" s="291">
        <f>IFERROR(INDEX('Historical Data'!$L$2:$L$1068,MATCH($A187,'Historical Data'!$BE$2:$BE$1068,0)),"")</f>
        <v/>
      </c>
      <c r="K187" s="293">
        <f>IFERROR(INDEX('Historical Data'!$M$2:$M$1068,MATCH($A187,'Historical Data'!$BE$2:$BE$1068,0)),"")</f>
        <v/>
      </c>
      <c r="L187" s="294">
        <f>IFERROR(INDEX('Historical Data'!$N$2:$N$1068,MATCH($A187,'Historical Data'!$BE$2:$BE$1068,0)),"")</f>
        <v/>
      </c>
      <c r="M187" s="294">
        <f>IFERROR(INDEX('Historical Data'!$Q$2:$Q$1068,MATCH($A187,'Historical Data'!$BE$2:$BE$1068,0)),"")</f>
        <v/>
      </c>
      <c r="N187" s="295">
        <f>IFERROR(INDEX('Historical Data'!$S$2:$S$1068,MATCH($A187,'Historical Data'!$BE$2:$BE$1068,0)),"")</f>
        <v/>
      </c>
      <c r="O187" s="294">
        <f>IFERROR(INDEX('Historical Data'!$AJ$2:$AJ$1068,MATCH($A187,'Historical Data'!$BE$2:$BE$1068,0)),"")</f>
        <v/>
      </c>
      <c r="P187" s="294">
        <f>IFERROR(INDEX('Historical Data'!$AK$2:$AK$1068,MATCH($A187,'Historical Data'!$BE$2:$BE$1068,0)),"")</f>
        <v/>
      </c>
      <c r="Q187" s="291">
        <f>IFERROR(INDEX('Historical Data'!$AA$2:$AA$1068,MATCH($A187,'Historical Data'!$BE$2:$BE$1068,0)),"")</f>
        <v/>
      </c>
      <c r="R187" s="291">
        <f>IFERROR(INDEX('Historical Data'!$AB$2:$AB$1068,MATCH($A187,'Historical Data'!$BE$2:$BE$1068,0)),"")</f>
        <v/>
      </c>
      <c r="S187" s="291">
        <f>IFERROR(INDEX('Historical Data'!$AN$2:$AN$1068,MATCH($A187,'Historical Data'!$BE$2:$BE$1068,0)),"")</f>
        <v/>
      </c>
      <c r="T187" s="291">
        <f>IFERROR(INDEX('Historical Data'!$AC$2:$AC$1068,MATCH($A187,'Historical Data'!$BE$2:$BE$1068,0)),"")</f>
        <v/>
      </c>
      <c r="U187" s="291">
        <f>IFERROR(INDEX('Historical Data'!$AE$2:$AE$1068,MATCH($A187,'Historical Data'!$BE$2:$BE$1068,0)),"")</f>
        <v/>
      </c>
      <c r="V187" s="291">
        <f>IFERROR(INDEX('Historical Data'!$AH$2:$AH$1068,MATCH($A187,'Historical Data'!$BE$2:$BE$1068,0)),"")</f>
        <v/>
      </c>
      <c r="W187" s="291">
        <f>IFERROR(INDEX('Historical Data'!$BC$2:$BC$1068,MATCH($A187,'Historical Data'!$BE$2:$BE$1068,0)),"")</f>
        <v/>
      </c>
      <c r="X187" s="290">
        <f>IF(B187="","",IF(W187=1,"NR + industry + position",IF(W187=2,"NR + ISO + position",IF(W187=3,"NR + industry",IF(W187=4,"NR + ISO",IF(W187=5,"NR + position",IF(W187=6,"NR only","book baseline"))))))&amp;"  ["&amp;IF(T187=1,"seasoned","unseasoned")&amp;IF(U187=1,", defaulted","")&amp;IF(V187=1,", open","")&amp;"]")</f>
        <v/>
      </c>
    </row>
    <row r="188">
      <c r="A188" s="290" t="n">
        <v>184</v>
      </c>
      <c r="B188" s="291">
        <f>IFERROR(INDEX('Historical Data'!$A$2:$A$1068,MATCH($A188,'Historical Data'!$BE$2:$BE$1068,0)),"")</f>
        <v/>
      </c>
      <c r="C188" s="291">
        <f>IFERROR(INDEX('Historical Data'!$B$2:$B$1068,MATCH($A188,'Historical Data'!$BE$2:$BE$1068,0)),"")</f>
        <v/>
      </c>
      <c r="D188" s="291">
        <f>IFERROR(INDEX('Historical Data'!$D$2:$D$1068,MATCH($A188,'Historical Data'!$BE$2:$BE$1068,0)),"")</f>
        <v/>
      </c>
      <c r="E188" s="292">
        <f>IFERROR(INDEX('Historical Data'!$E$2:$E$1068,MATCH($A188,'Historical Data'!$BE$2:$BE$1068,0)),"")</f>
        <v/>
      </c>
      <c r="F188" s="291">
        <f>IFERROR(INDEX('Historical Data'!$G$2:$G$1068,MATCH($A188,'Historical Data'!$BE$2:$BE$1068,0)),"")</f>
        <v/>
      </c>
      <c r="G188" s="291">
        <f>IFERROR(INDEX('Historical Data'!$Y$2:$Y$1068,MATCH($A188,'Historical Data'!$BE$2:$BE$1068,0)),"")</f>
        <v/>
      </c>
      <c r="H188" s="291">
        <f>IFERROR(INDEX('Historical Data'!$K$2:$K$1068,MATCH($A188,'Historical Data'!$BE$2:$BE$1068,0)),"")</f>
        <v/>
      </c>
      <c r="I188" s="291">
        <f>IFERROR(INDEX('Historical Data'!$J$2:$J$1068,MATCH($A188,'Historical Data'!$BE$2:$BE$1068,0)),"")</f>
        <v/>
      </c>
      <c r="J188" s="291">
        <f>IFERROR(INDEX('Historical Data'!$L$2:$L$1068,MATCH($A188,'Historical Data'!$BE$2:$BE$1068,0)),"")</f>
        <v/>
      </c>
      <c r="K188" s="293">
        <f>IFERROR(INDEX('Historical Data'!$M$2:$M$1068,MATCH($A188,'Historical Data'!$BE$2:$BE$1068,0)),"")</f>
        <v/>
      </c>
      <c r="L188" s="294">
        <f>IFERROR(INDEX('Historical Data'!$N$2:$N$1068,MATCH($A188,'Historical Data'!$BE$2:$BE$1068,0)),"")</f>
        <v/>
      </c>
      <c r="M188" s="294">
        <f>IFERROR(INDEX('Historical Data'!$Q$2:$Q$1068,MATCH($A188,'Historical Data'!$BE$2:$BE$1068,0)),"")</f>
        <v/>
      </c>
      <c r="N188" s="295">
        <f>IFERROR(INDEX('Historical Data'!$S$2:$S$1068,MATCH($A188,'Historical Data'!$BE$2:$BE$1068,0)),"")</f>
        <v/>
      </c>
      <c r="O188" s="294">
        <f>IFERROR(INDEX('Historical Data'!$AJ$2:$AJ$1068,MATCH($A188,'Historical Data'!$BE$2:$BE$1068,0)),"")</f>
        <v/>
      </c>
      <c r="P188" s="294">
        <f>IFERROR(INDEX('Historical Data'!$AK$2:$AK$1068,MATCH($A188,'Historical Data'!$BE$2:$BE$1068,0)),"")</f>
        <v/>
      </c>
      <c r="Q188" s="291">
        <f>IFERROR(INDEX('Historical Data'!$AA$2:$AA$1068,MATCH($A188,'Historical Data'!$BE$2:$BE$1068,0)),"")</f>
        <v/>
      </c>
      <c r="R188" s="291">
        <f>IFERROR(INDEX('Historical Data'!$AB$2:$AB$1068,MATCH($A188,'Historical Data'!$BE$2:$BE$1068,0)),"")</f>
        <v/>
      </c>
      <c r="S188" s="291">
        <f>IFERROR(INDEX('Historical Data'!$AN$2:$AN$1068,MATCH($A188,'Historical Data'!$BE$2:$BE$1068,0)),"")</f>
        <v/>
      </c>
      <c r="T188" s="291">
        <f>IFERROR(INDEX('Historical Data'!$AC$2:$AC$1068,MATCH($A188,'Historical Data'!$BE$2:$BE$1068,0)),"")</f>
        <v/>
      </c>
      <c r="U188" s="291">
        <f>IFERROR(INDEX('Historical Data'!$AE$2:$AE$1068,MATCH($A188,'Historical Data'!$BE$2:$BE$1068,0)),"")</f>
        <v/>
      </c>
      <c r="V188" s="291">
        <f>IFERROR(INDEX('Historical Data'!$AH$2:$AH$1068,MATCH($A188,'Historical Data'!$BE$2:$BE$1068,0)),"")</f>
        <v/>
      </c>
      <c r="W188" s="291">
        <f>IFERROR(INDEX('Historical Data'!$BC$2:$BC$1068,MATCH($A188,'Historical Data'!$BE$2:$BE$1068,0)),"")</f>
        <v/>
      </c>
      <c r="X188" s="290">
        <f>IF(B188="","",IF(W188=1,"NR + industry + position",IF(W188=2,"NR + ISO + position",IF(W188=3,"NR + industry",IF(W188=4,"NR + ISO",IF(W188=5,"NR + position",IF(W188=6,"NR only","book baseline"))))))&amp;"  ["&amp;IF(T188=1,"seasoned","unseasoned")&amp;IF(U188=1,", defaulted","")&amp;IF(V188=1,", open","")&amp;"]")</f>
        <v/>
      </c>
    </row>
    <row r="189">
      <c r="A189" s="290" t="n">
        <v>185</v>
      </c>
      <c r="B189" s="291">
        <f>IFERROR(INDEX('Historical Data'!$A$2:$A$1068,MATCH($A189,'Historical Data'!$BE$2:$BE$1068,0)),"")</f>
        <v/>
      </c>
      <c r="C189" s="291">
        <f>IFERROR(INDEX('Historical Data'!$B$2:$B$1068,MATCH($A189,'Historical Data'!$BE$2:$BE$1068,0)),"")</f>
        <v/>
      </c>
      <c r="D189" s="291">
        <f>IFERROR(INDEX('Historical Data'!$D$2:$D$1068,MATCH($A189,'Historical Data'!$BE$2:$BE$1068,0)),"")</f>
        <v/>
      </c>
      <c r="E189" s="292">
        <f>IFERROR(INDEX('Historical Data'!$E$2:$E$1068,MATCH($A189,'Historical Data'!$BE$2:$BE$1068,0)),"")</f>
        <v/>
      </c>
      <c r="F189" s="291">
        <f>IFERROR(INDEX('Historical Data'!$G$2:$G$1068,MATCH($A189,'Historical Data'!$BE$2:$BE$1068,0)),"")</f>
        <v/>
      </c>
      <c r="G189" s="291">
        <f>IFERROR(INDEX('Historical Data'!$Y$2:$Y$1068,MATCH($A189,'Historical Data'!$BE$2:$BE$1068,0)),"")</f>
        <v/>
      </c>
      <c r="H189" s="291">
        <f>IFERROR(INDEX('Historical Data'!$K$2:$K$1068,MATCH($A189,'Historical Data'!$BE$2:$BE$1068,0)),"")</f>
        <v/>
      </c>
      <c r="I189" s="291">
        <f>IFERROR(INDEX('Historical Data'!$J$2:$J$1068,MATCH($A189,'Historical Data'!$BE$2:$BE$1068,0)),"")</f>
        <v/>
      </c>
      <c r="J189" s="291">
        <f>IFERROR(INDEX('Historical Data'!$L$2:$L$1068,MATCH($A189,'Historical Data'!$BE$2:$BE$1068,0)),"")</f>
        <v/>
      </c>
      <c r="K189" s="293">
        <f>IFERROR(INDEX('Historical Data'!$M$2:$M$1068,MATCH($A189,'Historical Data'!$BE$2:$BE$1068,0)),"")</f>
        <v/>
      </c>
      <c r="L189" s="294">
        <f>IFERROR(INDEX('Historical Data'!$N$2:$N$1068,MATCH($A189,'Historical Data'!$BE$2:$BE$1068,0)),"")</f>
        <v/>
      </c>
      <c r="M189" s="294">
        <f>IFERROR(INDEX('Historical Data'!$Q$2:$Q$1068,MATCH($A189,'Historical Data'!$BE$2:$BE$1068,0)),"")</f>
        <v/>
      </c>
      <c r="N189" s="295">
        <f>IFERROR(INDEX('Historical Data'!$S$2:$S$1068,MATCH($A189,'Historical Data'!$BE$2:$BE$1068,0)),"")</f>
        <v/>
      </c>
      <c r="O189" s="294">
        <f>IFERROR(INDEX('Historical Data'!$AJ$2:$AJ$1068,MATCH($A189,'Historical Data'!$BE$2:$BE$1068,0)),"")</f>
        <v/>
      </c>
      <c r="P189" s="294">
        <f>IFERROR(INDEX('Historical Data'!$AK$2:$AK$1068,MATCH($A189,'Historical Data'!$BE$2:$BE$1068,0)),"")</f>
        <v/>
      </c>
      <c r="Q189" s="291">
        <f>IFERROR(INDEX('Historical Data'!$AA$2:$AA$1068,MATCH($A189,'Historical Data'!$BE$2:$BE$1068,0)),"")</f>
        <v/>
      </c>
      <c r="R189" s="291">
        <f>IFERROR(INDEX('Historical Data'!$AB$2:$AB$1068,MATCH($A189,'Historical Data'!$BE$2:$BE$1068,0)),"")</f>
        <v/>
      </c>
      <c r="S189" s="291">
        <f>IFERROR(INDEX('Historical Data'!$AN$2:$AN$1068,MATCH($A189,'Historical Data'!$BE$2:$BE$1068,0)),"")</f>
        <v/>
      </c>
      <c r="T189" s="291">
        <f>IFERROR(INDEX('Historical Data'!$AC$2:$AC$1068,MATCH($A189,'Historical Data'!$BE$2:$BE$1068,0)),"")</f>
        <v/>
      </c>
      <c r="U189" s="291">
        <f>IFERROR(INDEX('Historical Data'!$AE$2:$AE$1068,MATCH($A189,'Historical Data'!$BE$2:$BE$1068,0)),"")</f>
        <v/>
      </c>
      <c r="V189" s="291">
        <f>IFERROR(INDEX('Historical Data'!$AH$2:$AH$1068,MATCH($A189,'Historical Data'!$BE$2:$BE$1068,0)),"")</f>
        <v/>
      </c>
      <c r="W189" s="291">
        <f>IFERROR(INDEX('Historical Data'!$BC$2:$BC$1068,MATCH($A189,'Historical Data'!$BE$2:$BE$1068,0)),"")</f>
        <v/>
      </c>
      <c r="X189" s="290">
        <f>IF(B189="","",IF(W189=1,"NR + industry + position",IF(W189=2,"NR + ISO + position",IF(W189=3,"NR + industry",IF(W189=4,"NR + ISO",IF(W189=5,"NR + position",IF(W189=6,"NR only","book baseline"))))))&amp;"  ["&amp;IF(T189=1,"seasoned","unseasoned")&amp;IF(U189=1,", defaulted","")&amp;IF(V189=1,", open","")&amp;"]")</f>
        <v/>
      </c>
    </row>
    <row r="190">
      <c r="A190" s="290" t="n">
        <v>186</v>
      </c>
      <c r="B190" s="291">
        <f>IFERROR(INDEX('Historical Data'!$A$2:$A$1068,MATCH($A190,'Historical Data'!$BE$2:$BE$1068,0)),"")</f>
        <v/>
      </c>
      <c r="C190" s="291">
        <f>IFERROR(INDEX('Historical Data'!$B$2:$B$1068,MATCH($A190,'Historical Data'!$BE$2:$BE$1068,0)),"")</f>
        <v/>
      </c>
      <c r="D190" s="291">
        <f>IFERROR(INDEX('Historical Data'!$D$2:$D$1068,MATCH($A190,'Historical Data'!$BE$2:$BE$1068,0)),"")</f>
        <v/>
      </c>
      <c r="E190" s="292">
        <f>IFERROR(INDEX('Historical Data'!$E$2:$E$1068,MATCH($A190,'Historical Data'!$BE$2:$BE$1068,0)),"")</f>
        <v/>
      </c>
      <c r="F190" s="291">
        <f>IFERROR(INDEX('Historical Data'!$G$2:$G$1068,MATCH($A190,'Historical Data'!$BE$2:$BE$1068,0)),"")</f>
        <v/>
      </c>
      <c r="G190" s="291">
        <f>IFERROR(INDEX('Historical Data'!$Y$2:$Y$1068,MATCH($A190,'Historical Data'!$BE$2:$BE$1068,0)),"")</f>
        <v/>
      </c>
      <c r="H190" s="291">
        <f>IFERROR(INDEX('Historical Data'!$K$2:$K$1068,MATCH($A190,'Historical Data'!$BE$2:$BE$1068,0)),"")</f>
        <v/>
      </c>
      <c r="I190" s="291">
        <f>IFERROR(INDEX('Historical Data'!$J$2:$J$1068,MATCH($A190,'Historical Data'!$BE$2:$BE$1068,0)),"")</f>
        <v/>
      </c>
      <c r="J190" s="291">
        <f>IFERROR(INDEX('Historical Data'!$L$2:$L$1068,MATCH($A190,'Historical Data'!$BE$2:$BE$1068,0)),"")</f>
        <v/>
      </c>
      <c r="K190" s="293">
        <f>IFERROR(INDEX('Historical Data'!$M$2:$M$1068,MATCH($A190,'Historical Data'!$BE$2:$BE$1068,0)),"")</f>
        <v/>
      </c>
      <c r="L190" s="294">
        <f>IFERROR(INDEX('Historical Data'!$N$2:$N$1068,MATCH($A190,'Historical Data'!$BE$2:$BE$1068,0)),"")</f>
        <v/>
      </c>
      <c r="M190" s="294">
        <f>IFERROR(INDEX('Historical Data'!$Q$2:$Q$1068,MATCH($A190,'Historical Data'!$BE$2:$BE$1068,0)),"")</f>
        <v/>
      </c>
      <c r="N190" s="295">
        <f>IFERROR(INDEX('Historical Data'!$S$2:$S$1068,MATCH($A190,'Historical Data'!$BE$2:$BE$1068,0)),"")</f>
        <v/>
      </c>
      <c r="O190" s="294">
        <f>IFERROR(INDEX('Historical Data'!$AJ$2:$AJ$1068,MATCH($A190,'Historical Data'!$BE$2:$BE$1068,0)),"")</f>
        <v/>
      </c>
      <c r="P190" s="294">
        <f>IFERROR(INDEX('Historical Data'!$AK$2:$AK$1068,MATCH($A190,'Historical Data'!$BE$2:$BE$1068,0)),"")</f>
        <v/>
      </c>
      <c r="Q190" s="291">
        <f>IFERROR(INDEX('Historical Data'!$AA$2:$AA$1068,MATCH($A190,'Historical Data'!$BE$2:$BE$1068,0)),"")</f>
        <v/>
      </c>
      <c r="R190" s="291">
        <f>IFERROR(INDEX('Historical Data'!$AB$2:$AB$1068,MATCH($A190,'Historical Data'!$BE$2:$BE$1068,0)),"")</f>
        <v/>
      </c>
      <c r="S190" s="291">
        <f>IFERROR(INDEX('Historical Data'!$AN$2:$AN$1068,MATCH($A190,'Historical Data'!$BE$2:$BE$1068,0)),"")</f>
        <v/>
      </c>
      <c r="T190" s="291">
        <f>IFERROR(INDEX('Historical Data'!$AC$2:$AC$1068,MATCH($A190,'Historical Data'!$BE$2:$BE$1068,0)),"")</f>
        <v/>
      </c>
      <c r="U190" s="291">
        <f>IFERROR(INDEX('Historical Data'!$AE$2:$AE$1068,MATCH($A190,'Historical Data'!$BE$2:$BE$1068,0)),"")</f>
        <v/>
      </c>
      <c r="V190" s="291">
        <f>IFERROR(INDEX('Historical Data'!$AH$2:$AH$1068,MATCH($A190,'Historical Data'!$BE$2:$BE$1068,0)),"")</f>
        <v/>
      </c>
      <c r="W190" s="291">
        <f>IFERROR(INDEX('Historical Data'!$BC$2:$BC$1068,MATCH($A190,'Historical Data'!$BE$2:$BE$1068,0)),"")</f>
        <v/>
      </c>
      <c r="X190" s="290">
        <f>IF(B190="","",IF(W190=1,"NR + industry + position",IF(W190=2,"NR + ISO + position",IF(W190=3,"NR + industry",IF(W190=4,"NR + ISO",IF(W190=5,"NR + position",IF(W190=6,"NR only","book baseline"))))))&amp;"  ["&amp;IF(T190=1,"seasoned","unseasoned")&amp;IF(U190=1,", defaulted","")&amp;IF(V190=1,", open","")&amp;"]")</f>
        <v/>
      </c>
    </row>
    <row r="191">
      <c r="A191" s="290" t="n">
        <v>187</v>
      </c>
      <c r="B191" s="291">
        <f>IFERROR(INDEX('Historical Data'!$A$2:$A$1068,MATCH($A191,'Historical Data'!$BE$2:$BE$1068,0)),"")</f>
        <v/>
      </c>
      <c r="C191" s="291">
        <f>IFERROR(INDEX('Historical Data'!$B$2:$B$1068,MATCH($A191,'Historical Data'!$BE$2:$BE$1068,0)),"")</f>
        <v/>
      </c>
      <c r="D191" s="291">
        <f>IFERROR(INDEX('Historical Data'!$D$2:$D$1068,MATCH($A191,'Historical Data'!$BE$2:$BE$1068,0)),"")</f>
        <v/>
      </c>
      <c r="E191" s="292">
        <f>IFERROR(INDEX('Historical Data'!$E$2:$E$1068,MATCH($A191,'Historical Data'!$BE$2:$BE$1068,0)),"")</f>
        <v/>
      </c>
      <c r="F191" s="291">
        <f>IFERROR(INDEX('Historical Data'!$G$2:$G$1068,MATCH($A191,'Historical Data'!$BE$2:$BE$1068,0)),"")</f>
        <v/>
      </c>
      <c r="G191" s="291">
        <f>IFERROR(INDEX('Historical Data'!$Y$2:$Y$1068,MATCH($A191,'Historical Data'!$BE$2:$BE$1068,0)),"")</f>
        <v/>
      </c>
      <c r="H191" s="291">
        <f>IFERROR(INDEX('Historical Data'!$K$2:$K$1068,MATCH($A191,'Historical Data'!$BE$2:$BE$1068,0)),"")</f>
        <v/>
      </c>
      <c r="I191" s="291">
        <f>IFERROR(INDEX('Historical Data'!$J$2:$J$1068,MATCH($A191,'Historical Data'!$BE$2:$BE$1068,0)),"")</f>
        <v/>
      </c>
      <c r="J191" s="291">
        <f>IFERROR(INDEX('Historical Data'!$L$2:$L$1068,MATCH($A191,'Historical Data'!$BE$2:$BE$1068,0)),"")</f>
        <v/>
      </c>
      <c r="K191" s="293">
        <f>IFERROR(INDEX('Historical Data'!$M$2:$M$1068,MATCH($A191,'Historical Data'!$BE$2:$BE$1068,0)),"")</f>
        <v/>
      </c>
      <c r="L191" s="294">
        <f>IFERROR(INDEX('Historical Data'!$N$2:$N$1068,MATCH($A191,'Historical Data'!$BE$2:$BE$1068,0)),"")</f>
        <v/>
      </c>
      <c r="M191" s="294">
        <f>IFERROR(INDEX('Historical Data'!$Q$2:$Q$1068,MATCH($A191,'Historical Data'!$BE$2:$BE$1068,0)),"")</f>
        <v/>
      </c>
      <c r="N191" s="295">
        <f>IFERROR(INDEX('Historical Data'!$S$2:$S$1068,MATCH($A191,'Historical Data'!$BE$2:$BE$1068,0)),"")</f>
        <v/>
      </c>
      <c r="O191" s="294">
        <f>IFERROR(INDEX('Historical Data'!$AJ$2:$AJ$1068,MATCH($A191,'Historical Data'!$BE$2:$BE$1068,0)),"")</f>
        <v/>
      </c>
      <c r="P191" s="294">
        <f>IFERROR(INDEX('Historical Data'!$AK$2:$AK$1068,MATCH($A191,'Historical Data'!$BE$2:$BE$1068,0)),"")</f>
        <v/>
      </c>
      <c r="Q191" s="291">
        <f>IFERROR(INDEX('Historical Data'!$AA$2:$AA$1068,MATCH($A191,'Historical Data'!$BE$2:$BE$1068,0)),"")</f>
        <v/>
      </c>
      <c r="R191" s="291">
        <f>IFERROR(INDEX('Historical Data'!$AB$2:$AB$1068,MATCH($A191,'Historical Data'!$BE$2:$BE$1068,0)),"")</f>
        <v/>
      </c>
      <c r="S191" s="291">
        <f>IFERROR(INDEX('Historical Data'!$AN$2:$AN$1068,MATCH($A191,'Historical Data'!$BE$2:$BE$1068,0)),"")</f>
        <v/>
      </c>
      <c r="T191" s="291">
        <f>IFERROR(INDEX('Historical Data'!$AC$2:$AC$1068,MATCH($A191,'Historical Data'!$BE$2:$BE$1068,0)),"")</f>
        <v/>
      </c>
      <c r="U191" s="291">
        <f>IFERROR(INDEX('Historical Data'!$AE$2:$AE$1068,MATCH($A191,'Historical Data'!$BE$2:$BE$1068,0)),"")</f>
        <v/>
      </c>
      <c r="V191" s="291">
        <f>IFERROR(INDEX('Historical Data'!$AH$2:$AH$1068,MATCH($A191,'Historical Data'!$BE$2:$BE$1068,0)),"")</f>
        <v/>
      </c>
      <c r="W191" s="291">
        <f>IFERROR(INDEX('Historical Data'!$BC$2:$BC$1068,MATCH($A191,'Historical Data'!$BE$2:$BE$1068,0)),"")</f>
        <v/>
      </c>
      <c r="X191" s="290">
        <f>IF(B191="","",IF(W191=1,"NR + industry + position",IF(W191=2,"NR + ISO + position",IF(W191=3,"NR + industry",IF(W191=4,"NR + ISO",IF(W191=5,"NR + position",IF(W191=6,"NR only","book baseline"))))))&amp;"  ["&amp;IF(T191=1,"seasoned","unseasoned")&amp;IF(U191=1,", defaulted","")&amp;IF(V191=1,", open","")&amp;"]")</f>
        <v/>
      </c>
    </row>
    <row r="192">
      <c r="A192" s="290" t="n">
        <v>188</v>
      </c>
      <c r="B192" s="291">
        <f>IFERROR(INDEX('Historical Data'!$A$2:$A$1068,MATCH($A192,'Historical Data'!$BE$2:$BE$1068,0)),"")</f>
        <v/>
      </c>
      <c r="C192" s="291">
        <f>IFERROR(INDEX('Historical Data'!$B$2:$B$1068,MATCH($A192,'Historical Data'!$BE$2:$BE$1068,0)),"")</f>
        <v/>
      </c>
      <c r="D192" s="291">
        <f>IFERROR(INDEX('Historical Data'!$D$2:$D$1068,MATCH($A192,'Historical Data'!$BE$2:$BE$1068,0)),"")</f>
        <v/>
      </c>
      <c r="E192" s="292">
        <f>IFERROR(INDEX('Historical Data'!$E$2:$E$1068,MATCH($A192,'Historical Data'!$BE$2:$BE$1068,0)),"")</f>
        <v/>
      </c>
      <c r="F192" s="291">
        <f>IFERROR(INDEX('Historical Data'!$G$2:$G$1068,MATCH($A192,'Historical Data'!$BE$2:$BE$1068,0)),"")</f>
        <v/>
      </c>
      <c r="G192" s="291">
        <f>IFERROR(INDEX('Historical Data'!$Y$2:$Y$1068,MATCH($A192,'Historical Data'!$BE$2:$BE$1068,0)),"")</f>
        <v/>
      </c>
      <c r="H192" s="291">
        <f>IFERROR(INDEX('Historical Data'!$K$2:$K$1068,MATCH($A192,'Historical Data'!$BE$2:$BE$1068,0)),"")</f>
        <v/>
      </c>
      <c r="I192" s="291">
        <f>IFERROR(INDEX('Historical Data'!$J$2:$J$1068,MATCH($A192,'Historical Data'!$BE$2:$BE$1068,0)),"")</f>
        <v/>
      </c>
      <c r="J192" s="291">
        <f>IFERROR(INDEX('Historical Data'!$L$2:$L$1068,MATCH($A192,'Historical Data'!$BE$2:$BE$1068,0)),"")</f>
        <v/>
      </c>
      <c r="K192" s="293">
        <f>IFERROR(INDEX('Historical Data'!$M$2:$M$1068,MATCH($A192,'Historical Data'!$BE$2:$BE$1068,0)),"")</f>
        <v/>
      </c>
      <c r="L192" s="294">
        <f>IFERROR(INDEX('Historical Data'!$N$2:$N$1068,MATCH($A192,'Historical Data'!$BE$2:$BE$1068,0)),"")</f>
        <v/>
      </c>
      <c r="M192" s="294">
        <f>IFERROR(INDEX('Historical Data'!$Q$2:$Q$1068,MATCH($A192,'Historical Data'!$BE$2:$BE$1068,0)),"")</f>
        <v/>
      </c>
      <c r="N192" s="295">
        <f>IFERROR(INDEX('Historical Data'!$S$2:$S$1068,MATCH($A192,'Historical Data'!$BE$2:$BE$1068,0)),"")</f>
        <v/>
      </c>
      <c r="O192" s="294">
        <f>IFERROR(INDEX('Historical Data'!$AJ$2:$AJ$1068,MATCH($A192,'Historical Data'!$BE$2:$BE$1068,0)),"")</f>
        <v/>
      </c>
      <c r="P192" s="294">
        <f>IFERROR(INDEX('Historical Data'!$AK$2:$AK$1068,MATCH($A192,'Historical Data'!$BE$2:$BE$1068,0)),"")</f>
        <v/>
      </c>
      <c r="Q192" s="291">
        <f>IFERROR(INDEX('Historical Data'!$AA$2:$AA$1068,MATCH($A192,'Historical Data'!$BE$2:$BE$1068,0)),"")</f>
        <v/>
      </c>
      <c r="R192" s="291">
        <f>IFERROR(INDEX('Historical Data'!$AB$2:$AB$1068,MATCH($A192,'Historical Data'!$BE$2:$BE$1068,0)),"")</f>
        <v/>
      </c>
      <c r="S192" s="291">
        <f>IFERROR(INDEX('Historical Data'!$AN$2:$AN$1068,MATCH($A192,'Historical Data'!$BE$2:$BE$1068,0)),"")</f>
        <v/>
      </c>
      <c r="T192" s="291">
        <f>IFERROR(INDEX('Historical Data'!$AC$2:$AC$1068,MATCH($A192,'Historical Data'!$BE$2:$BE$1068,0)),"")</f>
        <v/>
      </c>
      <c r="U192" s="291">
        <f>IFERROR(INDEX('Historical Data'!$AE$2:$AE$1068,MATCH($A192,'Historical Data'!$BE$2:$BE$1068,0)),"")</f>
        <v/>
      </c>
      <c r="V192" s="291">
        <f>IFERROR(INDEX('Historical Data'!$AH$2:$AH$1068,MATCH($A192,'Historical Data'!$BE$2:$BE$1068,0)),"")</f>
        <v/>
      </c>
      <c r="W192" s="291">
        <f>IFERROR(INDEX('Historical Data'!$BC$2:$BC$1068,MATCH($A192,'Historical Data'!$BE$2:$BE$1068,0)),"")</f>
        <v/>
      </c>
      <c r="X192" s="290">
        <f>IF(B192="","",IF(W192=1,"NR + industry + position",IF(W192=2,"NR + ISO + position",IF(W192=3,"NR + industry",IF(W192=4,"NR + ISO",IF(W192=5,"NR + position",IF(W192=6,"NR only","book baseline"))))))&amp;"  ["&amp;IF(T192=1,"seasoned","unseasoned")&amp;IF(U192=1,", defaulted","")&amp;IF(V192=1,", open","")&amp;"]")</f>
        <v/>
      </c>
    </row>
    <row r="193">
      <c r="A193" s="290" t="n">
        <v>189</v>
      </c>
      <c r="B193" s="291">
        <f>IFERROR(INDEX('Historical Data'!$A$2:$A$1068,MATCH($A193,'Historical Data'!$BE$2:$BE$1068,0)),"")</f>
        <v/>
      </c>
      <c r="C193" s="291">
        <f>IFERROR(INDEX('Historical Data'!$B$2:$B$1068,MATCH($A193,'Historical Data'!$BE$2:$BE$1068,0)),"")</f>
        <v/>
      </c>
      <c r="D193" s="291">
        <f>IFERROR(INDEX('Historical Data'!$D$2:$D$1068,MATCH($A193,'Historical Data'!$BE$2:$BE$1068,0)),"")</f>
        <v/>
      </c>
      <c r="E193" s="292">
        <f>IFERROR(INDEX('Historical Data'!$E$2:$E$1068,MATCH($A193,'Historical Data'!$BE$2:$BE$1068,0)),"")</f>
        <v/>
      </c>
      <c r="F193" s="291">
        <f>IFERROR(INDEX('Historical Data'!$G$2:$G$1068,MATCH($A193,'Historical Data'!$BE$2:$BE$1068,0)),"")</f>
        <v/>
      </c>
      <c r="G193" s="291">
        <f>IFERROR(INDEX('Historical Data'!$Y$2:$Y$1068,MATCH($A193,'Historical Data'!$BE$2:$BE$1068,0)),"")</f>
        <v/>
      </c>
      <c r="H193" s="291">
        <f>IFERROR(INDEX('Historical Data'!$K$2:$K$1068,MATCH($A193,'Historical Data'!$BE$2:$BE$1068,0)),"")</f>
        <v/>
      </c>
      <c r="I193" s="291">
        <f>IFERROR(INDEX('Historical Data'!$J$2:$J$1068,MATCH($A193,'Historical Data'!$BE$2:$BE$1068,0)),"")</f>
        <v/>
      </c>
      <c r="J193" s="291">
        <f>IFERROR(INDEX('Historical Data'!$L$2:$L$1068,MATCH($A193,'Historical Data'!$BE$2:$BE$1068,0)),"")</f>
        <v/>
      </c>
      <c r="K193" s="293">
        <f>IFERROR(INDEX('Historical Data'!$M$2:$M$1068,MATCH($A193,'Historical Data'!$BE$2:$BE$1068,0)),"")</f>
        <v/>
      </c>
      <c r="L193" s="294">
        <f>IFERROR(INDEX('Historical Data'!$N$2:$N$1068,MATCH($A193,'Historical Data'!$BE$2:$BE$1068,0)),"")</f>
        <v/>
      </c>
      <c r="M193" s="294">
        <f>IFERROR(INDEX('Historical Data'!$Q$2:$Q$1068,MATCH($A193,'Historical Data'!$BE$2:$BE$1068,0)),"")</f>
        <v/>
      </c>
      <c r="N193" s="295">
        <f>IFERROR(INDEX('Historical Data'!$S$2:$S$1068,MATCH($A193,'Historical Data'!$BE$2:$BE$1068,0)),"")</f>
        <v/>
      </c>
      <c r="O193" s="294">
        <f>IFERROR(INDEX('Historical Data'!$AJ$2:$AJ$1068,MATCH($A193,'Historical Data'!$BE$2:$BE$1068,0)),"")</f>
        <v/>
      </c>
      <c r="P193" s="294">
        <f>IFERROR(INDEX('Historical Data'!$AK$2:$AK$1068,MATCH($A193,'Historical Data'!$BE$2:$BE$1068,0)),"")</f>
        <v/>
      </c>
      <c r="Q193" s="291">
        <f>IFERROR(INDEX('Historical Data'!$AA$2:$AA$1068,MATCH($A193,'Historical Data'!$BE$2:$BE$1068,0)),"")</f>
        <v/>
      </c>
      <c r="R193" s="291">
        <f>IFERROR(INDEX('Historical Data'!$AB$2:$AB$1068,MATCH($A193,'Historical Data'!$BE$2:$BE$1068,0)),"")</f>
        <v/>
      </c>
      <c r="S193" s="291">
        <f>IFERROR(INDEX('Historical Data'!$AN$2:$AN$1068,MATCH($A193,'Historical Data'!$BE$2:$BE$1068,0)),"")</f>
        <v/>
      </c>
      <c r="T193" s="291">
        <f>IFERROR(INDEX('Historical Data'!$AC$2:$AC$1068,MATCH($A193,'Historical Data'!$BE$2:$BE$1068,0)),"")</f>
        <v/>
      </c>
      <c r="U193" s="291">
        <f>IFERROR(INDEX('Historical Data'!$AE$2:$AE$1068,MATCH($A193,'Historical Data'!$BE$2:$BE$1068,0)),"")</f>
        <v/>
      </c>
      <c r="V193" s="291">
        <f>IFERROR(INDEX('Historical Data'!$AH$2:$AH$1068,MATCH($A193,'Historical Data'!$BE$2:$BE$1068,0)),"")</f>
        <v/>
      </c>
      <c r="W193" s="291">
        <f>IFERROR(INDEX('Historical Data'!$BC$2:$BC$1068,MATCH($A193,'Historical Data'!$BE$2:$BE$1068,0)),"")</f>
        <v/>
      </c>
      <c r="X193" s="290">
        <f>IF(B193="","",IF(W193=1,"NR + industry + position",IF(W193=2,"NR + ISO + position",IF(W193=3,"NR + industry",IF(W193=4,"NR + ISO",IF(W193=5,"NR + position",IF(W193=6,"NR only","book baseline"))))))&amp;"  ["&amp;IF(T193=1,"seasoned","unseasoned")&amp;IF(U193=1,", defaulted","")&amp;IF(V193=1,", open","")&amp;"]")</f>
        <v/>
      </c>
    </row>
    <row r="194">
      <c r="A194" s="290" t="n">
        <v>190</v>
      </c>
      <c r="B194" s="291">
        <f>IFERROR(INDEX('Historical Data'!$A$2:$A$1068,MATCH($A194,'Historical Data'!$BE$2:$BE$1068,0)),"")</f>
        <v/>
      </c>
      <c r="C194" s="291">
        <f>IFERROR(INDEX('Historical Data'!$B$2:$B$1068,MATCH($A194,'Historical Data'!$BE$2:$BE$1068,0)),"")</f>
        <v/>
      </c>
      <c r="D194" s="291">
        <f>IFERROR(INDEX('Historical Data'!$D$2:$D$1068,MATCH($A194,'Historical Data'!$BE$2:$BE$1068,0)),"")</f>
        <v/>
      </c>
      <c r="E194" s="292">
        <f>IFERROR(INDEX('Historical Data'!$E$2:$E$1068,MATCH($A194,'Historical Data'!$BE$2:$BE$1068,0)),"")</f>
        <v/>
      </c>
      <c r="F194" s="291">
        <f>IFERROR(INDEX('Historical Data'!$G$2:$G$1068,MATCH($A194,'Historical Data'!$BE$2:$BE$1068,0)),"")</f>
        <v/>
      </c>
      <c r="G194" s="291">
        <f>IFERROR(INDEX('Historical Data'!$Y$2:$Y$1068,MATCH($A194,'Historical Data'!$BE$2:$BE$1068,0)),"")</f>
        <v/>
      </c>
      <c r="H194" s="291">
        <f>IFERROR(INDEX('Historical Data'!$K$2:$K$1068,MATCH($A194,'Historical Data'!$BE$2:$BE$1068,0)),"")</f>
        <v/>
      </c>
      <c r="I194" s="291">
        <f>IFERROR(INDEX('Historical Data'!$J$2:$J$1068,MATCH($A194,'Historical Data'!$BE$2:$BE$1068,0)),"")</f>
        <v/>
      </c>
      <c r="J194" s="291">
        <f>IFERROR(INDEX('Historical Data'!$L$2:$L$1068,MATCH($A194,'Historical Data'!$BE$2:$BE$1068,0)),"")</f>
        <v/>
      </c>
      <c r="K194" s="293">
        <f>IFERROR(INDEX('Historical Data'!$M$2:$M$1068,MATCH($A194,'Historical Data'!$BE$2:$BE$1068,0)),"")</f>
        <v/>
      </c>
      <c r="L194" s="294">
        <f>IFERROR(INDEX('Historical Data'!$N$2:$N$1068,MATCH($A194,'Historical Data'!$BE$2:$BE$1068,0)),"")</f>
        <v/>
      </c>
      <c r="M194" s="294">
        <f>IFERROR(INDEX('Historical Data'!$Q$2:$Q$1068,MATCH($A194,'Historical Data'!$BE$2:$BE$1068,0)),"")</f>
        <v/>
      </c>
      <c r="N194" s="295">
        <f>IFERROR(INDEX('Historical Data'!$S$2:$S$1068,MATCH($A194,'Historical Data'!$BE$2:$BE$1068,0)),"")</f>
        <v/>
      </c>
      <c r="O194" s="294">
        <f>IFERROR(INDEX('Historical Data'!$AJ$2:$AJ$1068,MATCH($A194,'Historical Data'!$BE$2:$BE$1068,0)),"")</f>
        <v/>
      </c>
      <c r="P194" s="294">
        <f>IFERROR(INDEX('Historical Data'!$AK$2:$AK$1068,MATCH($A194,'Historical Data'!$BE$2:$BE$1068,0)),"")</f>
        <v/>
      </c>
      <c r="Q194" s="291">
        <f>IFERROR(INDEX('Historical Data'!$AA$2:$AA$1068,MATCH($A194,'Historical Data'!$BE$2:$BE$1068,0)),"")</f>
        <v/>
      </c>
      <c r="R194" s="291">
        <f>IFERROR(INDEX('Historical Data'!$AB$2:$AB$1068,MATCH($A194,'Historical Data'!$BE$2:$BE$1068,0)),"")</f>
        <v/>
      </c>
      <c r="S194" s="291">
        <f>IFERROR(INDEX('Historical Data'!$AN$2:$AN$1068,MATCH($A194,'Historical Data'!$BE$2:$BE$1068,0)),"")</f>
        <v/>
      </c>
      <c r="T194" s="291">
        <f>IFERROR(INDEX('Historical Data'!$AC$2:$AC$1068,MATCH($A194,'Historical Data'!$BE$2:$BE$1068,0)),"")</f>
        <v/>
      </c>
      <c r="U194" s="291">
        <f>IFERROR(INDEX('Historical Data'!$AE$2:$AE$1068,MATCH($A194,'Historical Data'!$BE$2:$BE$1068,0)),"")</f>
        <v/>
      </c>
      <c r="V194" s="291">
        <f>IFERROR(INDEX('Historical Data'!$AH$2:$AH$1068,MATCH($A194,'Historical Data'!$BE$2:$BE$1068,0)),"")</f>
        <v/>
      </c>
      <c r="W194" s="291">
        <f>IFERROR(INDEX('Historical Data'!$BC$2:$BC$1068,MATCH($A194,'Historical Data'!$BE$2:$BE$1068,0)),"")</f>
        <v/>
      </c>
      <c r="X194" s="290">
        <f>IF(B194="","",IF(W194=1,"NR + industry + position",IF(W194=2,"NR + ISO + position",IF(W194=3,"NR + industry",IF(W194=4,"NR + ISO",IF(W194=5,"NR + position",IF(W194=6,"NR only","book baseline"))))))&amp;"  ["&amp;IF(T194=1,"seasoned","unseasoned")&amp;IF(U194=1,", defaulted","")&amp;IF(V194=1,", open","")&amp;"]")</f>
        <v/>
      </c>
    </row>
    <row r="195">
      <c r="A195" s="290" t="n">
        <v>191</v>
      </c>
      <c r="B195" s="291">
        <f>IFERROR(INDEX('Historical Data'!$A$2:$A$1068,MATCH($A195,'Historical Data'!$BE$2:$BE$1068,0)),"")</f>
        <v/>
      </c>
      <c r="C195" s="291">
        <f>IFERROR(INDEX('Historical Data'!$B$2:$B$1068,MATCH($A195,'Historical Data'!$BE$2:$BE$1068,0)),"")</f>
        <v/>
      </c>
      <c r="D195" s="291">
        <f>IFERROR(INDEX('Historical Data'!$D$2:$D$1068,MATCH($A195,'Historical Data'!$BE$2:$BE$1068,0)),"")</f>
        <v/>
      </c>
      <c r="E195" s="292">
        <f>IFERROR(INDEX('Historical Data'!$E$2:$E$1068,MATCH($A195,'Historical Data'!$BE$2:$BE$1068,0)),"")</f>
        <v/>
      </c>
      <c r="F195" s="291">
        <f>IFERROR(INDEX('Historical Data'!$G$2:$G$1068,MATCH($A195,'Historical Data'!$BE$2:$BE$1068,0)),"")</f>
        <v/>
      </c>
      <c r="G195" s="291">
        <f>IFERROR(INDEX('Historical Data'!$Y$2:$Y$1068,MATCH($A195,'Historical Data'!$BE$2:$BE$1068,0)),"")</f>
        <v/>
      </c>
      <c r="H195" s="291">
        <f>IFERROR(INDEX('Historical Data'!$K$2:$K$1068,MATCH($A195,'Historical Data'!$BE$2:$BE$1068,0)),"")</f>
        <v/>
      </c>
      <c r="I195" s="291">
        <f>IFERROR(INDEX('Historical Data'!$J$2:$J$1068,MATCH($A195,'Historical Data'!$BE$2:$BE$1068,0)),"")</f>
        <v/>
      </c>
      <c r="J195" s="291">
        <f>IFERROR(INDEX('Historical Data'!$L$2:$L$1068,MATCH($A195,'Historical Data'!$BE$2:$BE$1068,0)),"")</f>
        <v/>
      </c>
      <c r="K195" s="293">
        <f>IFERROR(INDEX('Historical Data'!$M$2:$M$1068,MATCH($A195,'Historical Data'!$BE$2:$BE$1068,0)),"")</f>
        <v/>
      </c>
      <c r="L195" s="294">
        <f>IFERROR(INDEX('Historical Data'!$N$2:$N$1068,MATCH($A195,'Historical Data'!$BE$2:$BE$1068,0)),"")</f>
        <v/>
      </c>
      <c r="M195" s="294">
        <f>IFERROR(INDEX('Historical Data'!$Q$2:$Q$1068,MATCH($A195,'Historical Data'!$BE$2:$BE$1068,0)),"")</f>
        <v/>
      </c>
      <c r="N195" s="295">
        <f>IFERROR(INDEX('Historical Data'!$S$2:$S$1068,MATCH($A195,'Historical Data'!$BE$2:$BE$1068,0)),"")</f>
        <v/>
      </c>
      <c r="O195" s="294">
        <f>IFERROR(INDEX('Historical Data'!$AJ$2:$AJ$1068,MATCH($A195,'Historical Data'!$BE$2:$BE$1068,0)),"")</f>
        <v/>
      </c>
      <c r="P195" s="294">
        <f>IFERROR(INDEX('Historical Data'!$AK$2:$AK$1068,MATCH($A195,'Historical Data'!$BE$2:$BE$1068,0)),"")</f>
        <v/>
      </c>
      <c r="Q195" s="291">
        <f>IFERROR(INDEX('Historical Data'!$AA$2:$AA$1068,MATCH($A195,'Historical Data'!$BE$2:$BE$1068,0)),"")</f>
        <v/>
      </c>
      <c r="R195" s="291">
        <f>IFERROR(INDEX('Historical Data'!$AB$2:$AB$1068,MATCH($A195,'Historical Data'!$BE$2:$BE$1068,0)),"")</f>
        <v/>
      </c>
      <c r="S195" s="291">
        <f>IFERROR(INDEX('Historical Data'!$AN$2:$AN$1068,MATCH($A195,'Historical Data'!$BE$2:$BE$1068,0)),"")</f>
        <v/>
      </c>
      <c r="T195" s="291">
        <f>IFERROR(INDEX('Historical Data'!$AC$2:$AC$1068,MATCH($A195,'Historical Data'!$BE$2:$BE$1068,0)),"")</f>
        <v/>
      </c>
      <c r="U195" s="291">
        <f>IFERROR(INDEX('Historical Data'!$AE$2:$AE$1068,MATCH($A195,'Historical Data'!$BE$2:$BE$1068,0)),"")</f>
        <v/>
      </c>
      <c r="V195" s="291">
        <f>IFERROR(INDEX('Historical Data'!$AH$2:$AH$1068,MATCH($A195,'Historical Data'!$BE$2:$BE$1068,0)),"")</f>
        <v/>
      </c>
      <c r="W195" s="291">
        <f>IFERROR(INDEX('Historical Data'!$BC$2:$BC$1068,MATCH($A195,'Historical Data'!$BE$2:$BE$1068,0)),"")</f>
        <v/>
      </c>
      <c r="X195" s="290">
        <f>IF(B195="","",IF(W195=1,"NR + industry + position",IF(W195=2,"NR + ISO + position",IF(W195=3,"NR + industry",IF(W195=4,"NR + ISO",IF(W195=5,"NR + position",IF(W195=6,"NR only","book baseline"))))))&amp;"  ["&amp;IF(T195=1,"seasoned","unseasoned")&amp;IF(U195=1,", defaulted","")&amp;IF(V195=1,", open","")&amp;"]")</f>
        <v/>
      </c>
    </row>
    <row r="196">
      <c r="A196" s="290" t="n">
        <v>192</v>
      </c>
      <c r="B196" s="291">
        <f>IFERROR(INDEX('Historical Data'!$A$2:$A$1068,MATCH($A196,'Historical Data'!$BE$2:$BE$1068,0)),"")</f>
        <v/>
      </c>
      <c r="C196" s="291">
        <f>IFERROR(INDEX('Historical Data'!$B$2:$B$1068,MATCH($A196,'Historical Data'!$BE$2:$BE$1068,0)),"")</f>
        <v/>
      </c>
      <c r="D196" s="291">
        <f>IFERROR(INDEX('Historical Data'!$D$2:$D$1068,MATCH($A196,'Historical Data'!$BE$2:$BE$1068,0)),"")</f>
        <v/>
      </c>
      <c r="E196" s="292">
        <f>IFERROR(INDEX('Historical Data'!$E$2:$E$1068,MATCH($A196,'Historical Data'!$BE$2:$BE$1068,0)),"")</f>
        <v/>
      </c>
      <c r="F196" s="291">
        <f>IFERROR(INDEX('Historical Data'!$G$2:$G$1068,MATCH($A196,'Historical Data'!$BE$2:$BE$1068,0)),"")</f>
        <v/>
      </c>
      <c r="G196" s="291">
        <f>IFERROR(INDEX('Historical Data'!$Y$2:$Y$1068,MATCH($A196,'Historical Data'!$BE$2:$BE$1068,0)),"")</f>
        <v/>
      </c>
      <c r="H196" s="291">
        <f>IFERROR(INDEX('Historical Data'!$K$2:$K$1068,MATCH($A196,'Historical Data'!$BE$2:$BE$1068,0)),"")</f>
        <v/>
      </c>
      <c r="I196" s="291">
        <f>IFERROR(INDEX('Historical Data'!$J$2:$J$1068,MATCH($A196,'Historical Data'!$BE$2:$BE$1068,0)),"")</f>
        <v/>
      </c>
      <c r="J196" s="291">
        <f>IFERROR(INDEX('Historical Data'!$L$2:$L$1068,MATCH($A196,'Historical Data'!$BE$2:$BE$1068,0)),"")</f>
        <v/>
      </c>
      <c r="K196" s="293">
        <f>IFERROR(INDEX('Historical Data'!$M$2:$M$1068,MATCH($A196,'Historical Data'!$BE$2:$BE$1068,0)),"")</f>
        <v/>
      </c>
      <c r="L196" s="294">
        <f>IFERROR(INDEX('Historical Data'!$N$2:$N$1068,MATCH($A196,'Historical Data'!$BE$2:$BE$1068,0)),"")</f>
        <v/>
      </c>
      <c r="M196" s="294">
        <f>IFERROR(INDEX('Historical Data'!$Q$2:$Q$1068,MATCH($A196,'Historical Data'!$BE$2:$BE$1068,0)),"")</f>
        <v/>
      </c>
      <c r="N196" s="295">
        <f>IFERROR(INDEX('Historical Data'!$S$2:$S$1068,MATCH($A196,'Historical Data'!$BE$2:$BE$1068,0)),"")</f>
        <v/>
      </c>
      <c r="O196" s="294">
        <f>IFERROR(INDEX('Historical Data'!$AJ$2:$AJ$1068,MATCH($A196,'Historical Data'!$BE$2:$BE$1068,0)),"")</f>
        <v/>
      </c>
      <c r="P196" s="294">
        <f>IFERROR(INDEX('Historical Data'!$AK$2:$AK$1068,MATCH($A196,'Historical Data'!$BE$2:$BE$1068,0)),"")</f>
        <v/>
      </c>
      <c r="Q196" s="291">
        <f>IFERROR(INDEX('Historical Data'!$AA$2:$AA$1068,MATCH($A196,'Historical Data'!$BE$2:$BE$1068,0)),"")</f>
        <v/>
      </c>
      <c r="R196" s="291">
        <f>IFERROR(INDEX('Historical Data'!$AB$2:$AB$1068,MATCH($A196,'Historical Data'!$BE$2:$BE$1068,0)),"")</f>
        <v/>
      </c>
      <c r="S196" s="291">
        <f>IFERROR(INDEX('Historical Data'!$AN$2:$AN$1068,MATCH($A196,'Historical Data'!$BE$2:$BE$1068,0)),"")</f>
        <v/>
      </c>
      <c r="T196" s="291">
        <f>IFERROR(INDEX('Historical Data'!$AC$2:$AC$1068,MATCH($A196,'Historical Data'!$BE$2:$BE$1068,0)),"")</f>
        <v/>
      </c>
      <c r="U196" s="291">
        <f>IFERROR(INDEX('Historical Data'!$AE$2:$AE$1068,MATCH($A196,'Historical Data'!$BE$2:$BE$1068,0)),"")</f>
        <v/>
      </c>
      <c r="V196" s="291">
        <f>IFERROR(INDEX('Historical Data'!$AH$2:$AH$1068,MATCH($A196,'Historical Data'!$BE$2:$BE$1068,0)),"")</f>
        <v/>
      </c>
      <c r="W196" s="291">
        <f>IFERROR(INDEX('Historical Data'!$BC$2:$BC$1068,MATCH($A196,'Historical Data'!$BE$2:$BE$1068,0)),"")</f>
        <v/>
      </c>
      <c r="X196" s="290">
        <f>IF(B196="","",IF(W196=1,"NR + industry + position",IF(W196=2,"NR + ISO + position",IF(W196=3,"NR + industry",IF(W196=4,"NR + ISO",IF(W196=5,"NR + position",IF(W196=6,"NR only","book baseline"))))))&amp;"  ["&amp;IF(T196=1,"seasoned","unseasoned")&amp;IF(U196=1,", defaulted","")&amp;IF(V196=1,", open","")&amp;"]")</f>
        <v/>
      </c>
    </row>
    <row r="197">
      <c r="A197" s="290" t="n">
        <v>193</v>
      </c>
      <c r="B197" s="291">
        <f>IFERROR(INDEX('Historical Data'!$A$2:$A$1068,MATCH($A197,'Historical Data'!$BE$2:$BE$1068,0)),"")</f>
        <v/>
      </c>
      <c r="C197" s="291">
        <f>IFERROR(INDEX('Historical Data'!$B$2:$B$1068,MATCH($A197,'Historical Data'!$BE$2:$BE$1068,0)),"")</f>
        <v/>
      </c>
      <c r="D197" s="291">
        <f>IFERROR(INDEX('Historical Data'!$D$2:$D$1068,MATCH($A197,'Historical Data'!$BE$2:$BE$1068,0)),"")</f>
        <v/>
      </c>
      <c r="E197" s="292">
        <f>IFERROR(INDEX('Historical Data'!$E$2:$E$1068,MATCH($A197,'Historical Data'!$BE$2:$BE$1068,0)),"")</f>
        <v/>
      </c>
      <c r="F197" s="291">
        <f>IFERROR(INDEX('Historical Data'!$G$2:$G$1068,MATCH($A197,'Historical Data'!$BE$2:$BE$1068,0)),"")</f>
        <v/>
      </c>
      <c r="G197" s="291">
        <f>IFERROR(INDEX('Historical Data'!$Y$2:$Y$1068,MATCH($A197,'Historical Data'!$BE$2:$BE$1068,0)),"")</f>
        <v/>
      </c>
      <c r="H197" s="291">
        <f>IFERROR(INDEX('Historical Data'!$K$2:$K$1068,MATCH($A197,'Historical Data'!$BE$2:$BE$1068,0)),"")</f>
        <v/>
      </c>
      <c r="I197" s="291">
        <f>IFERROR(INDEX('Historical Data'!$J$2:$J$1068,MATCH($A197,'Historical Data'!$BE$2:$BE$1068,0)),"")</f>
        <v/>
      </c>
      <c r="J197" s="291">
        <f>IFERROR(INDEX('Historical Data'!$L$2:$L$1068,MATCH($A197,'Historical Data'!$BE$2:$BE$1068,0)),"")</f>
        <v/>
      </c>
      <c r="K197" s="293">
        <f>IFERROR(INDEX('Historical Data'!$M$2:$M$1068,MATCH($A197,'Historical Data'!$BE$2:$BE$1068,0)),"")</f>
        <v/>
      </c>
      <c r="L197" s="294">
        <f>IFERROR(INDEX('Historical Data'!$N$2:$N$1068,MATCH($A197,'Historical Data'!$BE$2:$BE$1068,0)),"")</f>
        <v/>
      </c>
      <c r="M197" s="294">
        <f>IFERROR(INDEX('Historical Data'!$Q$2:$Q$1068,MATCH($A197,'Historical Data'!$BE$2:$BE$1068,0)),"")</f>
        <v/>
      </c>
      <c r="N197" s="295">
        <f>IFERROR(INDEX('Historical Data'!$S$2:$S$1068,MATCH($A197,'Historical Data'!$BE$2:$BE$1068,0)),"")</f>
        <v/>
      </c>
      <c r="O197" s="294">
        <f>IFERROR(INDEX('Historical Data'!$AJ$2:$AJ$1068,MATCH($A197,'Historical Data'!$BE$2:$BE$1068,0)),"")</f>
        <v/>
      </c>
      <c r="P197" s="294">
        <f>IFERROR(INDEX('Historical Data'!$AK$2:$AK$1068,MATCH($A197,'Historical Data'!$BE$2:$BE$1068,0)),"")</f>
        <v/>
      </c>
      <c r="Q197" s="291">
        <f>IFERROR(INDEX('Historical Data'!$AA$2:$AA$1068,MATCH($A197,'Historical Data'!$BE$2:$BE$1068,0)),"")</f>
        <v/>
      </c>
      <c r="R197" s="291">
        <f>IFERROR(INDEX('Historical Data'!$AB$2:$AB$1068,MATCH($A197,'Historical Data'!$BE$2:$BE$1068,0)),"")</f>
        <v/>
      </c>
      <c r="S197" s="291">
        <f>IFERROR(INDEX('Historical Data'!$AN$2:$AN$1068,MATCH($A197,'Historical Data'!$BE$2:$BE$1068,0)),"")</f>
        <v/>
      </c>
      <c r="T197" s="291">
        <f>IFERROR(INDEX('Historical Data'!$AC$2:$AC$1068,MATCH($A197,'Historical Data'!$BE$2:$BE$1068,0)),"")</f>
        <v/>
      </c>
      <c r="U197" s="291">
        <f>IFERROR(INDEX('Historical Data'!$AE$2:$AE$1068,MATCH($A197,'Historical Data'!$BE$2:$BE$1068,0)),"")</f>
        <v/>
      </c>
      <c r="V197" s="291">
        <f>IFERROR(INDEX('Historical Data'!$AH$2:$AH$1068,MATCH($A197,'Historical Data'!$BE$2:$BE$1068,0)),"")</f>
        <v/>
      </c>
      <c r="W197" s="291">
        <f>IFERROR(INDEX('Historical Data'!$BC$2:$BC$1068,MATCH($A197,'Historical Data'!$BE$2:$BE$1068,0)),"")</f>
        <v/>
      </c>
      <c r="X197" s="290">
        <f>IF(B197="","",IF(W197=1,"NR + industry + position",IF(W197=2,"NR + ISO + position",IF(W197=3,"NR + industry",IF(W197=4,"NR + ISO",IF(W197=5,"NR + position",IF(W197=6,"NR only","book baseline"))))))&amp;"  ["&amp;IF(T197=1,"seasoned","unseasoned")&amp;IF(U197=1,", defaulted","")&amp;IF(V197=1,", open","")&amp;"]")</f>
        <v/>
      </c>
    </row>
    <row r="198">
      <c r="A198" s="290" t="n">
        <v>194</v>
      </c>
      <c r="B198" s="291">
        <f>IFERROR(INDEX('Historical Data'!$A$2:$A$1068,MATCH($A198,'Historical Data'!$BE$2:$BE$1068,0)),"")</f>
        <v/>
      </c>
      <c r="C198" s="291">
        <f>IFERROR(INDEX('Historical Data'!$B$2:$B$1068,MATCH($A198,'Historical Data'!$BE$2:$BE$1068,0)),"")</f>
        <v/>
      </c>
      <c r="D198" s="291">
        <f>IFERROR(INDEX('Historical Data'!$D$2:$D$1068,MATCH($A198,'Historical Data'!$BE$2:$BE$1068,0)),"")</f>
        <v/>
      </c>
      <c r="E198" s="292">
        <f>IFERROR(INDEX('Historical Data'!$E$2:$E$1068,MATCH($A198,'Historical Data'!$BE$2:$BE$1068,0)),"")</f>
        <v/>
      </c>
      <c r="F198" s="291">
        <f>IFERROR(INDEX('Historical Data'!$G$2:$G$1068,MATCH($A198,'Historical Data'!$BE$2:$BE$1068,0)),"")</f>
        <v/>
      </c>
      <c r="G198" s="291">
        <f>IFERROR(INDEX('Historical Data'!$Y$2:$Y$1068,MATCH($A198,'Historical Data'!$BE$2:$BE$1068,0)),"")</f>
        <v/>
      </c>
      <c r="H198" s="291">
        <f>IFERROR(INDEX('Historical Data'!$K$2:$K$1068,MATCH($A198,'Historical Data'!$BE$2:$BE$1068,0)),"")</f>
        <v/>
      </c>
      <c r="I198" s="291">
        <f>IFERROR(INDEX('Historical Data'!$J$2:$J$1068,MATCH($A198,'Historical Data'!$BE$2:$BE$1068,0)),"")</f>
        <v/>
      </c>
      <c r="J198" s="291">
        <f>IFERROR(INDEX('Historical Data'!$L$2:$L$1068,MATCH($A198,'Historical Data'!$BE$2:$BE$1068,0)),"")</f>
        <v/>
      </c>
      <c r="K198" s="293">
        <f>IFERROR(INDEX('Historical Data'!$M$2:$M$1068,MATCH($A198,'Historical Data'!$BE$2:$BE$1068,0)),"")</f>
        <v/>
      </c>
      <c r="L198" s="294">
        <f>IFERROR(INDEX('Historical Data'!$N$2:$N$1068,MATCH($A198,'Historical Data'!$BE$2:$BE$1068,0)),"")</f>
        <v/>
      </c>
      <c r="M198" s="294">
        <f>IFERROR(INDEX('Historical Data'!$Q$2:$Q$1068,MATCH($A198,'Historical Data'!$BE$2:$BE$1068,0)),"")</f>
        <v/>
      </c>
      <c r="N198" s="295">
        <f>IFERROR(INDEX('Historical Data'!$S$2:$S$1068,MATCH($A198,'Historical Data'!$BE$2:$BE$1068,0)),"")</f>
        <v/>
      </c>
      <c r="O198" s="294">
        <f>IFERROR(INDEX('Historical Data'!$AJ$2:$AJ$1068,MATCH($A198,'Historical Data'!$BE$2:$BE$1068,0)),"")</f>
        <v/>
      </c>
      <c r="P198" s="294">
        <f>IFERROR(INDEX('Historical Data'!$AK$2:$AK$1068,MATCH($A198,'Historical Data'!$BE$2:$BE$1068,0)),"")</f>
        <v/>
      </c>
      <c r="Q198" s="291">
        <f>IFERROR(INDEX('Historical Data'!$AA$2:$AA$1068,MATCH($A198,'Historical Data'!$BE$2:$BE$1068,0)),"")</f>
        <v/>
      </c>
      <c r="R198" s="291">
        <f>IFERROR(INDEX('Historical Data'!$AB$2:$AB$1068,MATCH($A198,'Historical Data'!$BE$2:$BE$1068,0)),"")</f>
        <v/>
      </c>
      <c r="S198" s="291">
        <f>IFERROR(INDEX('Historical Data'!$AN$2:$AN$1068,MATCH($A198,'Historical Data'!$BE$2:$BE$1068,0)),"")</f>
        <v/>
      </c>
      <c r="T198" s="291">
        <f>IFERROR(INDEX('Historical Data'!$AC$2:$AC$1068,MATCH($A198,'Historical Data'!$BE$2:$BE$1068,0)),"")</f>
        <v/>
      </c>
      <c r="U198" s="291">
        <f>IFERROR(INDEX('Historical Data'!$AE$2:$AE$1068,MATCH($A198,'Historical Data'!$BE$2:$BE$1068,0)),"")</f>
        <v/>
      </c>
      <c r="V198" s="291">
        <f>IFERROR(INDEX('Historical Data'!$AH$2:$AH$1068,MATCH($A198,'Historical Data'!$BE$2:$BE$1068,0)),"")</f>
        <v/>
      </c>
      <c r="W198" s="291">
        <f>IFERROR(INDEX('Historical Data'!$BC$2:$BC$1068,MATCH($A198,'Historical Data'!$BE$2:$BE$1068,0)),"")</f>
        <v/>
      </c>
      <c r="X198" s="290">
        <f>IF(B198="","",IF(W198=1,"NR + industry + position",IF(W198=2,"NR + ISO + position",IF(W198=3,"NR + industry",IF(W198=4,"NR + ISO",IF(W198=5,"NR + position",IF(W198=6,"NR only","book baseline"))))))&amp;"  ["&amp;IF(T198=1,"seasoned","unseasoned")&amp;IF(U198=1,", defaulted","")&amp;IF(V198=1,", open","")&amp;"]")</f>
        <v/>
      </c>
    </row>
    <row r="199">
      <c r="A199" s="290" t="n">
        <v>195</v>
      </c>
      <c r="B199" s="291">
        <f>IFERROR(INDEX('Historical Data'!$A$2:$A$1068,MATCH($A199,'Historical Data'!$BE$2:$BE$1068,0)),"")</f>
        <v/>
      </c>
      <c r="C199" s="291">
        <f>IFERROR(INDEX('Historical Data'!$B$2:$B$1068,MATCH($A199,'Historical Data'!$BE$2:$BE$1068,0)),"")</f>
        <v/>
      </c>
      <c r="D199" s="291">
        <f>IFERROR(INDEX('Historical Data'!$D$2:$D$1068,MATCH($A199,'Historical Data'!$BE$2:$BE$1068,0)),"")</f>
        <v/>
      </c>
      <c r="E199" s="292">
        <f>IFERROR(INDEX('Historical Data'!$E$2:$E$1068,MATCH($A199,'Historical Data'!$BE$2:$BE$1068,0)),"")</f>
        <v/>
      </c>
      <c r="F199" s="291">
        <f>IFERROR(INDEX('Historical Data'!$G$2:$G$1068,MATCH($A199,'Historical Data'!$BE$2:$BE$1068,0)),"")</f>
        <v/>
      </c>
      <c r="G199" s="291">
        <f>IFERROR(INDEX('Historical Data'!$Y$2:$Y$1068,MATCH($A199,'Historical Data'!$BE$2:$BE$1068,0)),"")</f>
        <v/>
      </c>
      <c r="H199" s="291">
        <f>IFERROR(INDEX('Historical Data'!$K$2:$K$1068,MATCH($A199,'Historical Data'!$BE$2:$BE$1068,0)),"")</f>
        <v/>
      </c>
      <c r="I199" s="291">
        <f>IFERROR(INDEX('Historical Data'!$J$2:$J$1068,MATCH($A199,'Historical Data'!$BE$2:$BE$1068,0)),"")</f>
        <v/>
      </c>
      <c r="J199" s="291">
        <f>IFERROR(INDEX('Historical Data'!$L$2:$L$1068,MATCH($A199,'Historical Data'!$BE$2:$BE$1068,0)),"")</f>
        <v/>
      </c>
      <c r="K199" s="293">
        <f>IFERROR(INDEX('Historical Data'!$M$2:$M$1068,MATCH($A199,'Historical Data'!$BE$2:$BE$1068,0)),"")</f>
        <v/>
      </c>
      <c r="L199" s="294">
        <f>IFERROR(INDEX('Historical Data'!$N$2:$N$1068,MATCH($A199,'Historical Data'!$BE$2:$BE$1068,0)),"")</f>
        <v/>
      </c>
      <c r="M199" s="294">
        <f>IFERROR(INDEX('Historical Data'!$Q$2:$Q$1068,MATCH($A199,'Historical Data'!$BE$2:$BE$1068,0)),"")</f>
        <v/>
      </c>
      <c r="N199" s="295">
        <f>IFERROR(INDEX('Historical Data'!$S$2:$S$1068,MATCH($A199,'Historical Data'!$BE$2:$BE$1068,0)),"")</f>
        <v/>
      </c>
      <c r="O199" s="294">
        <f>IFERROR(INDEX('Historical Data'!$AJ$2:$AJ$1068,MATCH($A199,'Historical Data'!$BE$2:$BE$1068,0)),"")</f>
        <v/>
      </c>
      <c r="P199" s="294">
        <f>IFERROR(INDEX('Historical Data'!$AK$2:$AK$1068,MATCH($A199,'Historical Data'!$BE$2:$BE$1068,0)),"")</f>
        <v/>
      </c>
      <c r="Q199" s="291">
        <f>IFERROR(INDEX('Historical Data'!$AA$2:$AA$1068,MATCH($A199,'Historical Data'!$BE$2:$BE$1068,0)),"")</f>
        <v/>
      </c>
      <c r="R199" s="291">
        <f>IFERROR(INDEX('Historical Data'!$AB$2:$AB$1068,MATCH($A199,'Historical Data'!$BE$2:$BE$1068,0)),"")</f>
        <v/>
      </c>
      <c r="S199" s="291">
        <f>IFERROR(INDEX('Historical Data'!$AN$2:$AN$1068,MATCH($A199,'Historical Data'!$BE$2:$BE$1068,0)),"")</f>
        <v/>
      </c>
      <c r="T199" s="291">
        <f>IFERROR(INDEX('Historical Data'!$AC$2:$AC$1068,MATCH($A199,'Historical Data'!$BE$2:$BE$1068,0)),"")</f>
        <v/>
      </c>
      <c r="U199" s="291">
        <f>IFERROR(INDEX('Historical Data'!$AE$2:$AE$1068,MATCH($A199,'Historical Data'!$BE$2:$BE$1068,0)),"")</f>
        <v/>
      </c>
      <c r="V199" s="291">
        <f>IFERROR(INDEX('Historical Data'!$AH$2:$AH$1068,MATCH($A199,'Historical Data'!$BE$2:$BE$1068,0)),"")</f>
        <v/>
      </c>
      <c r="W199" s="291">
        <f>IFERROR(INDEX('Historical Data'!$BC$2:$BC$1068,MATCH($A199,'Historical Data'!$BE$2:$BE$1068,0)),"")</f>
        <v/>
      </c>
      <c r="X199" s="290">
        <f>IF(B199="","",IF(W199=1,"NR + industry + position",IF(W199=2,"NR + ISO + position",IF(W199=3,"NR + industry",IF(W199=4,"NR + ISO",IF(W199=5,"NR + position",IF(W199=6,"NR only","book baseline"))))))&amp;"  ["&amp;IF(T199=1,"seasoned","unseasoned")&amp;IF(U199=1,", defaulted","")&amp;IF(V199=1,", open","")&amp;"]")</f>
        <v/>
      </c>
    </row>
    <row r="200">
      <c r="A200" s="290" t="n">
        <v>196</v>
      </c>
      <c r="B200" s="291">
        <f>IFERROR(INDEX('Historical Data'!$A$2:$A$1068,MATCH($A200,'Historical Data'!$BE$2:$BE$1068,0)),"")</f>
        <v/>
      </c>
      <c r="C200" s="291">
        <f>IFERROR(INDEX('Historical Data'!$B$2:$B$1068,MATCH($A200,'Historical Data'!$BE$2:$BE$1068,0)),"")</f>
        <v/>
      </c>
      <c r="D200" s="291">
        <f>IFERROR(INDEX('Historical Data'!$D$2:$D$1068,MATCH($A200,'Historical Data'!$BE$2:$BE$1068,0)),"")</f>
        <v/>
      </c>
      <c r="E200" s="292">
        <f>IFERROR(INDEX('Historical Data'!$E$2:$E$1068,MATCH($A200,'Historical Data'!$BE$2:$BE$1068,0)),"")</f>
        <v/>
      </c>
      <c r="F200" s="291">
        <f>IFERROR(INDEX('Historical Data'!$G$2:$G$1068,MATCH($A200,'Historical Data'!$BE$2:$BE$1068,0)),"")</f>
        <v/>
      </c>
      <c r="G200" s="291">
        <f>IFERROR(INDEX('Historical Data'!$Y$2:$Y$1068,MATCH($A200,'Historical Data'!$BE$2:$BE$1068,0)),"")</f>
        <v/>
      </c>
      <c r="H200" s="291">
        <f>IFERROR(INDEX('Historical Data'!$K$2:$K$1068,MATCH($A200,'Historical Data'!$BE$2:$BE$1068,0)),"")</f>
        <v/>
      </c>
      <c r="I200" s="291">
        <f>IFERROR(INDEX('Historical Data'!$J$2:$J$1068,MATCH($A200,'Historical Data'!$BE$2:$BE$1068,0)),"")</f>
        <v/>
      </c>
      <c r="J200" s="291">
        <f>IFERROR(INDEX('Historical Data'!$L$2:$L$1068,MATCH($A200,'Historical Data'!$BE$2:$BE$1068,0)),"")</f>
        <v/>
      </c>
      <c r="K200" s="293">
        <f>IFERROR(INDEX('Historical Data'!$M$2:$M$1068,MATCH($A200,'Historical Data'!$BE$2:$BE$1068,0)),"")</f>
        <v/>
      </c>
      <c r="L200" s="294">
        <f>IFERROR(INDEX('Historical Data'!$N$2:$N$1068,MATCH($A200,'Historical Data'!$BE$2:$BE$1068,0)),"")</f>
        <v/>
      </c>
      <c r="M200" s="294">
        <f>IFERROR(INDEX('Historical Data'!$Q$2:$Q$1068,MATCH($A200,'Historical Data'!$BE$2:$BE$1068,0)),"")</f>
        <v/>
      </c>
      <c r="N200" s="295">
        <f>IFERROR(INDEX('Historical Data'!$S$2:$S$1068,MATCH($A200,'Historical Data'!$BE$2:$BE$1068,0)),"")</f>
        <v/>
      </c>
      <c r="O200" s="294">
        <f>IFERROR(INDEX('Historical Data'!$AJ$2:$AJ$1068,MATCH($A200,'Historical Data'!$BE$2:$BE$1068,0)),"")</f>
        <v/>
      </c>
      <c r="P200" s="294">
        <f>IFERROR(INDEX('Historical Data'!$AK$2:$AK$1068,MATCH($A200,'Historical Data'!$BE$2:$BE$1068,0)),"")</f>
        <v/>
      </c>
      <c r="Q200" s="291">
        <f>IFERROR(INDEX('Historical Data'!$AA$2:$AA$1068,MATCH($A200,'Historical Data'!$BE$2:$BE$1068,0)),"")</f>
        <v/>
      </c>
      <c r="R200" s="291">
        <f>IFERROR(INDEX('Historical Data'!$AB$2:$AB$1068,MATCH($A200,'Historical Data'!$BE$2:$BE$1068,0)),"")</f>
        <v/>
      </c>
      <c r="S200" s="291">
        <f>IFERROR(INDEX('Historical Data'!$AN$2:$AN$1068,MATCH($A200,'Historical Data'!$BE$2:$BE$1068,0)),"")</f>
        <v/>
      </c>
      <c r="T200" s="291">
        <f>IFERROR(INDEX('Historical Data'!$AC$2:$AC$1068,MATCH($A200,'Historical Data'!$BE$2:$BE$1068,0)),"")</f>
        <v/>
      </c>
      <c r="U200" s="291">
        <f>IFERROR(INDEX('Historical Data'!$AE$2:$AE$1068,MATCH($A200,'Historical Data'!$BE$2:$BE$1068,0)),"")</f>
        <v/>
      </c>
      <c r="V200" s="291">
        <f>IFERROR(INDEX('Historical Data'!$AH$2:$AH$1068,MATCH($A200,'Historical Data'!$BE$2:$BE$1068,0)),"")</f>
        <v/>
      </c>
      <c r="W200" s="291">
        <f>IFERROR(INDEX('Historical Data'!$BC$2:$BC$1068,MATCH($A200,'Historical Data'!$BE$2:$BE$1068,0)),"")</f>
        <v/>
      </c>
      <c r="X200" s="290">
        <f>IF(B200="","",IF(W200=1,"NR + industry + position",IF(W200=2,"NR + ISO + position",IF(W200=3,"NR + industry",IF(W200=4,"NR + ISO",IF(W200=5,"NR + position",IF(W200=6,"NR only","book baseline"))))))&amp;"  ["&amp;IF(T200=1,"seasoned","unseasoned")&amp;IF(U200=1,", defaulted","")&amp;IF(V200=1,", open","")&amp;"]")</f>
        <v/>
      </c>
    </row>
    <row r="201">
      <c r="A201" s="290" t="n">
        <v>197</v>
      </c>
      <c r="B201" s="291">
        <f>IFERROR(INDEX('Historical Data'!$A$2:$A$1068,MATCH($A201,'Historical Data'!$BE$2:$BE$1068,0)),"")</f>
        <v/>
      </c>
      <c r="C201" s="291">
        <f>IFERROR(INDEX('Historical Data'!$B$2:$B$1068,MATCH($A201,'Historical Data'!$BE$2:$BE$1068,0)),"")</f>
        <v/>
      </c>
      <c r="D201" s="291">
        <f>IFERROR(INDEX('Historical Data'!$D$2:$D$1068,MATCH($A201,'Historical Data'!$BE$2:$BE$1068,0)),"")</f>
        <v/>
      </c>
      <c r="E201" s="292">
        <f>IFERROR(INDEX('Historical Data'!$E$2:$E$1068,MATCH($A201,'Historical Data'!$BE$2:$BE$1068,0)),"")</f>
        <v/>
      </c>
      <c r="F201" s="291">
        <f>IFERROR(INDEX('Historical Data'!$G$2:$G$1068,MATCH($A201,'Historical Data'!$BE$2:$BE$1068,0)),"")</f>
        <v/>
      </c>
      <c r="G201" s="291">
        <f>IFERROR(INDEX('Historical Data'!$Y$2:$Y$1068,MATCH($A201,'Historical Data'!$BE$2:$BE$1068,0)),"")</f>
        <v/>
      </c>
      <c r="H201" s="291">
        <f>IFERROR(INDEX('Historical Data'!$K$2:$K$1068,MATCH($A201,'Historical Data'!$BE$2:$BE$1068,0)),"")</f>
        <v/>
      </c>
      <c r="I201" s="291">
        <f>IFERROR(INDEX('Historical Data'!$J$2:$J$1068,MATCH($A201,'Historical Data'!$BE$2:$BE$1068,0)),"")</f>
        <v/>
      </c>
      <c r="J201" s="291">
        <f>IFERROR(INDEX('Historical Data'!$L$2:$L$1068,MATCH($A201,'Historical Data'!$BE$2:$BE$1068,0)),"")</f>
        <v/>
      </c>
      <c r="K201" s="293">
        <f>IFERROR(INDEX('Historical Data'!$M$2:$M$1068,MATCH($A201,'Historical Data'!$BE$2:$BE$1068,0)),"")</f>
        <v/>
      </c>
      <c r="L201" s="294">
        <f>IFERROR(INDEX('Historical Data'!$N$2:$N$1068,MATCH($A201,'Historical Data'!$BE$2:$BE$1068,0)),"")</f>
        <v/>
      </c>
      <c r="M201" s="294">
        <f>IFERROR(INDEX('Historical Data'!$Q$2:$Q$1068,MATCH($A201,'Historical Data'!$BE$2:$BE$1068,0)),"")</f>
        <v/>
      </c>
      <c r="N201" s="295">
        <f>IFERROR(INDEX('Historical Data'!$S$2:$S$1068,MATCH($A201,'Historical Data'!$BE$2:$BE$1068,0)),"")</f>
        <v/>
      </c>
      <c r="O201" s="294">
        <f>IFERROR(INDEX('Historical Data'!$AJ$2:$AJ$1068,MATCH($A201,'Historical Data'!$BE$2:$BE$1068,0)),"")</f>
        <v/>
      </c>
      <c r="P201" s="294">
        <f>IFERROR(INDEX('Historical Data'!$AK$2:$AK$1068,MATCH($A201,'Historical Data'!$BE$2:$BE$1068,0)),"")</f>
        <v/>
      </c>
      <c r="Q201" s="291">
        <f>IFERROR(INDEX('Historical Data'!$AA$2:$AA$1068,MATCH($A201,'Historical Data'!$BE$2:$BE$1068,0)),"")</f>
        <v/>
      </c>
      <c r="R201" s="291">
        <f>IFERROR(INDEX('Historical Data'!$AB$2:$AB$1068,MATCH($A201,'Historical Data'!$BE$2:$BE$1068,0)),"")</f>
        <v/>
      </c>
      <c r="S201" s="291">
        <f>IFERROR(INDEX('Historical Data'!$AN$2:$AN$1068,MATCH($A201,'Historical Data'!$BE$2:$BE$1068,0)),"")</f>
        <v/>
      </c>
      <c r="T201" s="291">
        <f>IFERROR(INDEX('Historical Data'!$AC$2:$AC$1068,MATCH($A201,'Historical Data'!$BE$2:$BE$1068,0)),"")</f>
        <v/>
      </c>
      <c r="U201" s="291">
        <f>IFERROR(INDEX('Historical Data'!$AE$2:$AE$1068,MATCH($A201,'Historical Data'!$BE$2:$BE$1068,0)),"")</f>
        <v/>
      </c>
      <c r="V201" s="291">
        <f>IFERROR(INDEX('Historical Data'!$AH$2:$AH$1068,MATCH($A201,'Historical Data'!$BE$2:$BE$1068,0)),"")</f>
        <v/>
      </c>
      <c r="W201" s="291">
        <f>IFERROR(INDEX('Historical Data'!$BC$2:$BC$1068,MATCH($A201,'Historical Data'!$BE$2:$BE$1068,0)),"")</f>
        <v/>
      </c>
      <c r="X201" s="290">
        <f>IF(B201="","",IF(W201=1,"NR + industry + position",IF(W201=2,"NR + ISO + position",IF(W201=3,"NR + industry",IF(W201=4,"NR + ISO",IF(W201=5,"NR + position",IF(W201=6,"NR only","book baseline"))))))&amp;"  ["&amp;IF(T201=1,"seasoned","unseasoned")&amp;IF(U201=1,", defaulted","")&amp;IF(V201=1,", open","")&amp;"]")</f>
        <v/>
      </c>
    </row>
    <row r="202">
      <c r="A202" s="290" t="n">
        <v>198</v>
      </c>
      <c r="B202" s="291">
        <f>IFERROR(INDEX('Historical Data'!$A$2:$A$1068,MATCH($A202,'Historical Data'!$BE$2:$BE$1068,0)),"")</f>
        <v/>
      </c>
      <c r="C202" s="291">
        <f>IFERROR(INDEX('Historical Data'!$B$2:$B$1068,MATCH($A202,'Historical Data'!$BE$2:$BE$1068,0)),"")</f>
        <v/>
      </c>
      <c r="D202" s="291">
        <f>IFERROR(INDEX('Historical Data'!$D$2:$D$1068,MATCH($A202,'Historical Data'!$BE$2:$BE$1068,0)),"")</f>
        <v/>
      </c>
      <c r="E202" s="292">
        <f>IFERROR(INDEX('Historical Data'!$E$2:$E$1068,MATCH($A202,'Historical Data'!$BE$2:$BE$1068,0)),"")</f>
        <v/>
      </c>
      <c r="F202" s="291">
        <f>IFERROR(INDEX('Historical Data'!$G$2:$G$1068,MATCH($A202,'Historical Data'!$BE$2:$BE$1068,0)),"")</f>
        <v/>
      </c>
      <c r="G202" s="291">
        <f>IFERROR(INDEX('Historical Data'!$Y$2:$Y$1068,MATCH($A202,'Historical Data'!$BE$2:$BE$1068,0)),"")</f>
        <v/>
      </c>
      <c r="H202" s="291">
        <f>IFERROR(INDEX('Historical Data'!$K$2:$K$1068,MATCH($A202,'Historical Data'!$BE$2:$BE$1068,0)),"")</f>
        <v/>
      </c>
      <c r="I202" s="291">
        <f>IFERROR(INDEX('Historical Data'!$J$2:$J$1068,MATCH($A202,'Historical Data'!$BE$2:$BE$1068,0)),"")</f>
        <v/>
      </c>
      <c r="J202" s="291">
        <f>IFERROR(INDEX('Historical Data'!$L$2:$L$1068,MATCH($A202,'Historical Data'!$BE$2:$BE$1068,0)),"")</f>
        <v/>
      </c>
      <c r="K202" s="293">
        <f>IFERROR(INDEX('Historical Data'!$M$2:$M$1068,MATCH($A202,'Historical Data'!$BE$2:$BE$1068,0)),"")</f>
        <v/>
      </c>
      <c r="L202" s="294">
        <f>IFERROR(INDEX('Historical Data'!$N$2:$N$1068,MATCH($A202,'Historical Data'!$BE$2:$BE$1068,0)),"")</f>
        <v/>
      </c>
      <c r="M202" s="294">
        <f>IFERROR(INDEX('Historical Data'!$Q$2:$Q$1068,MATCH($A202,'Historical Data'!$BE$2:$BE$1068,0)),"")</f>
        <v/>
      </c>
      <c r="N202" s="295">
        <f>IFERROR(INDEX('Historical Data'!$S$2:$S$1068,MATCH($A202,'Historical Data'!$BE$2:$BE$1068,0)),"")</f>
        <v/>
      </c>
      <c r="O202" s="294">
        <f>IFERROR(INDEX('Historical Data'!$AJ$2:$AJ$1068,MATCH($A202,'Historical Data'!$BE$2:$BE$1068,0)),"")</f>
        <v/>
      </c>
      <c r="P202" s="294">
        <f>IFERROR(INDEX('Historical Data'!$AK$2:$AK$1068,MATCH($A202,'Historical Data'!$BE$2:$BE$1068,0)),"")</f>
        <v/>
      </c>
      <c r="Q202" s="291">
        <f>IFERROR(INDEX('Historical Data'!$AA$2:$AA$1068,MATCH($A202,'Historical Data'!$BE$2:$BE$1068,0)),"")</f>
        <v/>
      </c>
      <c r="R202" s="291">
        <f>IFERROR(INDEX('Historical Data'!$AB$2:$AB$1068,MATCH($A202,'Historical Data'!$BE$2:$BE$1068,0)),"")</f>
        <v/>
      </c>
      <c r="S202" s="291">
        <f>IFERROR(INDEX('Historical Data'!$AN$2:$AN$1068,MATCH($A202,'Historical Data'!$BE$2:$BE$1068,0)),"")</f>
        <v/>
      </c>
      <c r="T202" s="291">
        <f>IFERROR(INDEX('Historical Data'!$AC$2:$AC$1068,MATCH($A202,'Historical Data'!$BE$2:$BE$1068,0)),"")</f>
        <v/>
      </c>
      <c r="U202" s="291">
        <f>IFERROR(INDEX('Historical Data'!$AE$2:$AE$1068,MATCH($A202,'Historical Data'!$BE$2:$BE$1068,0)),"")</f>
        <v/>
      </c>
      <c r="V202" s="291">
        <f>IFERROR(INDEX('Historical Data'!$AH$2:$AH$1068,MATCH($A202,'Historical Data'!$BE$2:$BE$1068,0)),"")</f>
        <v/>
      </c>
      <c r="W202" s="291">
        <f>IFERROR(INDEX('Historical Data'!$BC$2:$BC$1068,MATCH($A202,'Historical Data'!$BE$2:$BE$1068,0)),"")</f>
        <v/>
      </c>
      <c r="X202" s="290">
        <f>IF(B202="","",IF(W202=1,"NR + industry + position",IF(W202=2,"NR + ISO + position",IF(W202=3,"NR + industry",IF(W202=4,"NR + ISO",IF(W202=5,"NR + position",IF(W202=6,"NR only","book baseline"))))))&amp;"  ["&amp;IF(T202=1,"seasoned","unseasoned")&amp;IF(U202=1,", defaulted","")&amp;IF(V202=1,", open","")&amp;"]")</f>
        <v/>
      </c>
    </row>
    <row r="203">
      <c r="A203" s="290" t="n">
        <v>199</v>
      </c>
      <c r="B203" s="291">
        <f>IFERROR(INDEX('Historical Data'!$A$2:$A$1068,MATCH($A203,'Historical Data'!$BE$2:$BE$1068,0)),"")</f>
        <v/>
      </c>
      <c r="C203" s="291">
        <f>IFERROR(INDEX('Historical Data'!$B$2:$B$1068,MATCH($A203,'Historical Data'!$BE$2:$BE$1068,0)),"")</f>
        <v/>
      </c>
      <c r="D203" s="291">
        <f>IFERROR(INDEX('Historical Data'!$D$2:$D$1068,MATCH($A203,'Historical Data'!$BE$2:$BE$1068,0)),"")</f>
        <v/>
      </c>
      <c r="E203" s="292">
        <f>IFERROR(INDEX('Historical Data'!$E$2:$E$1068,MATCH($A203,'Historical Data'!$BE$2:$BE$1068,0)),"")</f>
        <v/>
      </c>
      <c r="F203" s="291">
        <f>IFERROR(INDEX('Historical Data'!$G$2:$G$1068,MATCH($A203,'Historical Data'!$BE$2:$BE$1068,0)),"")</f>
        <v/>
      </c>
      <c r="G203" s="291">
        <f>IFERROR(INDEX('Historical Data'!$Y$2:$Y$1068,MATCH($A203,'Historical Data'!$BE$2:$BE$1068,0)),"")</f>
        <v/>
      </c>
      <c r="H203" s="291">
        <f>IFERROR(INDEX('Historical Data'!$K$2:$K$1068,MATCH($A203,'Historical Data'!$BE$2:$BE$1068,0)),"")</f>
        <v/>
      </c>
      <c r="I203" s="291">
        <f>IFERROR(INDEX('Historical Data'!$J$2:$J$1068,MATCH($A203,'Historical Data'!$BE$2:$BE$1068,0)),"")</f>
        <v/>
      </c>
      <c r="J203" s="291">
        <f>IFERROR(INDEX('Historical Data'!$L$2:$L$1068,MATCH($A203,'Historical Data'!$BE$2:$BE$1068,0)),"")</f>
        <v/>
      </c>
      <c r="K203" s="293">
        <f>IFERROR(INDEX('Historical Data'!$M$2:$M$1068,MATCH($A203,'Historical Data'!$BE$2:$BE$1068,0)),"")</f>
        <v/>
      </c>
      <c r="L203" s="294">
        <f>IFERROR(INDEX('Historical Data'!$N$2:$N$1068,MATCH($A203,'Historical Data'!$BE$2:$BE$1068,0)),"")</f>
        <v/>
      </c>
      <c r="M203" s="294">
        <f>IFERROR(INDEX('Historical Data'!$Q$2:$Q$1068,MATCH($A203,'Historical Data'!$BE$2:$BE$1068,0)),"")</f>
        <v/>
      </c>
      <c r="N203" s="295">
        <f>IFERROR(INDEX('Historical Data'!$S$2:$S$1068,MATCH($A203,'Historical Data'!$BE$2:$BE$1068,0)),"")</f>
        <v/>
      </c>
      <c r="O203" s="294">
        <f>IFERROR(INDEX('Historical Data'!$AJ$2:$AJ$1068,MATCH($A203,'Historical Data'!$BE$2:$BE$1068,0)),"")</f>
        <v/>
      </c>
      <c r="P203" s="294">
        <f>IFERROR(INDEX('Historical Data'!$AK$2:$AK$1068,MATCH($A203,'Historical Data'!$BE$2:$BE$1068,0)),"")</f>
        <v/>
      </c>
      <c r="Q203" s="291">
        <f>IFERROR(INDEX('Historical Data'!$AA$2:$AA$1068,MATCH($A203,'Historical Data'!$BE$2:$BE$1068,0)),"")</f>
        <v/>
      </c>
      <c r="R203" s="291">
        <f>IFERROR(INDEX('Historical Data'!$AB$2:$AB$1068,MATCH($A203,'Historical Data'!$BE$2:$BE$1068,0)),"")</f>
        <v/>
      </c>
      <c r="S203" s="291">
        <f>IFERROR(INDEX('Historical Data'!$AN$2:$AN$1068,MATCH($A203,'Historical Data'!$BE$2:$BE$1068,0)),"")</f>
        <v/>
      </c>
      <c r="T203" s="291">
        <f>IFERROR(INDEX('Historical Data'!$AC$2:$AC$1068,MATCH($A203,'Historical Data'!$BE$2:$BE$1068,0)),"")</f>
        <v/>
      </c>
      <c r="U203" s="291">
        <f>IFERROR(INDEX('Historical Data'!$AE$2:$AE$1068,MATCH($A203,'Historical Data'!$BE$2:$BE$1068,0)),"")</f>
        <v/>
      </c>
      <c r="V203" s="291">
        <f>IFERROR(INDEX('Historical Data'!$AH$2:$AH$1068,MATCH($A203,'Historical Data'!$BE$2:$BE$1068,0)),"")</f>
        <v/>
      </c>
      <c r="W203" s="291">
        <f>IFERROR(INDEX('Historical Data'!$BC$2:$BC$1068,MATCH($A203,'Historical Data'!$BE$2:$BE$1068,0)),"")</f>
        <v/>
      </c>
      <c r="X203" s="290">
        <f>IF(B203="","",IF(W203=1,"NR + industry + position",IF(W203=2,"NR + ISO + position",IF(W203=3,"NR + industry",IF(W203=4,"NR + ISO",IF(W203=5,"NR + position",IF(W203=6,"NR only","book baseline"))))))&amp;"  ["&amp;IF(T203=1,"seasoned","unseasoned")&amp;IF(U203=1,", defaulted","")&amp;IF(V203=1,", open","")&amp;"]")</f>
        <v/>
      </c>
    </row>
    <row r="204">
      <c r="A204" s="290" t="n">
        <v>200</v>
      </c>
      <c r="B204" s="291">
        <f>IFERROR(INDEX('Historical Data'!$A$2:$A$1068,MATCH($A204,'Historical Data'!$BE$2:$BE$1068,0)),"")</f>
        <v/>
      </c>
      <c r="C204" s="291">
        <f>IFERROR(INDEX('Historical Data'!$B$2:$B$1068,MATCH($A204,'Historical Data'!$BE$2:$BE$1068,0)),"")</f>
        <v/>
      </c>
      <c r="D204" s="291">
        <f>IFERROR(INDEX('Historical Data'!$D$2:$D$1068,MATCH($A204,'Historical Data'!$BE$2:$BE$1068,0)),"")</f>
        <v/>
      </c>
      <c r="E204" s="292">
        <f>IFERROR(INDEX('Historical Data'!$E$2:$E$1068,MATCH($A204,'Historical Data'!$BE$2:$BE$1068,0)),"")</f>
        <v/>
      </c>
      <c r="F204" s="291">
        <f>IFERROR(INDEX('Historical Data'!$G$2:$G$1068,MATCH($A204,'Historical Data'!$BE$2:$BE$1068,0)),"")</f>
        <v/>
      </c>
      <c r="G204" s="291">
        <f>IFERROR(INDEX('Historical Data'!$Y$2:$Y$1068,MATCH($A204,'Historical Data'!$BE$2:$BE$1068,0)),"")</f>
        <v/>
      </c>
      <c r="H204" s="291">
        <f>IFERROR(INDEX('Historical Data'!$K$2:$K$1068,MATCH($A204,'Historical Data'!$BE$2:$BE$1068,0)),"")</f>
        <v/>
      </c>
      <c r="I204" s="291">
        <f>IFERROR(INDEX('Historical Data'!$J$2:$J$1068,MATCH($A204,'Historical Data'!$BE$2:$BE$1068,0)),"")</f>
        <v/>
      </c>
      <c r="J204" s="291">
        <f>IFERROR(INDEX('Historical Data'!$L$2:$L$1068,MATCH($A204,'Historical Data'!$BE$2:$BE$1068,0)),"")</f>
        <v/>
      </c>
      <c r="K204" s="293">
        <f>IFERROR(INDEX('Historical Data'!$M$2:$M$1068,MATCH($A204,'Historical Data'!$BE$2:$BE$1068,0)),"")</f>
        <v/>
      </c>
      <c r="L204" s="294">
        <f>IFERROR(INDEX('Historical Data'!$N$2:$N$1068,MATCH($A204,'Historical Data'!$BE$2:$BE$1068,0)),"")</f>
        <v/>
      </c>
      <c r="M204" s="294">
        <f>IFERROR(INDEX('Historical Data'!$Q$2:$Q$1068,MATCH($A204,'Historical Data'!$BE$2:$BE$1068,0)),"")</f>
        <v/>
      </c>
      <c r="N204" s="295">
        <f>IFERROR(INDEX('Historical Data'!$S$2:$S$1068,MATCH($A204,'Historical Data'!$BE$2:$BE$1068,0)),"")</f>
        <v/>
      </c>
      <c r="O204" s="294">
        <f>IFERROR(INDEX('Historical Data'!$AJ$2:$AJ$1068,MATCH($A204,'Historical Data'!$BE$2:$BE$1068,0)),"")</f>
        <v/>
      </c>
      <c r="P204" s="294">
        <f>IFERROR(INDEX('Historical Data'!$AK$2:$AK$1068,MATCH($A204,'Historical Data'!$BE$2:$BE$1068,0)),"")</f>
        <v/>
      </c>
      <c r="Q204" s="291">
        <f>IFERROR(INDEX('Historical Data'!$AA$2:$AA$1068,MATCH($A204,'Historical Data'!$BE$2:$BE$1068,0)),"")</f>
        <v/>
      </c>
      <c r="R204" s="291">
        <f>IFERROR(INDEX('Historical Data'!$AB$2:$AB$1068,MATCH($A204,'Historical Data'!$BE$2:$BE$1068,0)),"")</f>
        <v/>
      </c>
      <c r="S204" s="291">
        <f>IFERROR(INDEX('Historical Data'!$AN$2:$AN$1068,MATCH($A204,'Historical Data'!$BE$2:$BE$1068,0)),"")</f>
        <v/>
      </c>
      <c r="T204" s="291">
        <f>IFERROR(INDEX('Historical Data'!$AC$2:$AC$1068,MATCH($A204,'Historical Data'!$BE$2:$BE$1068,0)),"")</f>
        <v/>
      </c>
      <c r="U204" s="291">
        <f>IFERROR(INDEX('Historical Data'!$AE$2:$AE$1068,MATCH($A204,'Historical Data'!$BE$2:$BE$1068,0)),"")</f>
        <v/>
      </c>
      <c r="V204" s="291">
        <f>IFERROR(INDEX('Historical Data'!$AH$2:$AH$1068,MATCH($A204,'Historical Data'!$BE$2:$BE$1068,0)),"")</f>
        <v/>
      </c>
      <c r="W204" s="291">
        <f>IFERROR(INDEX('Historical Data'!$BC$2:$BC$1068,MATCH($A204,'Historical Data'!$BE$2:$BE$1068,0)),"")</f>
        <v/>
      </c>
      <c r="X204" s="290">
        <f>IF(B204="","",IF(W204=1,"NR + industry + position",IF(W204=2,"NR + ISO + position",IF(W204=3,"NR + industry",IF(W204=4,"NR + ISO",IF(W204=5,"NR + position",IF(W204=6,"NR only","book baseline"))))))&amp;"  ["&amp;IF(T204=1,"seasoned","unseasoned")&amp;IF(U204=1,", defaulted","")&amp;IF(V204=1,", open","")&amp;"]")</f>
        <v/>
      </c>
    </row>
    <row r="205">
      <c r="A205" s="290" t="n">
        <v>201</v>
      </c>
      <c r="B205" s="291">
        <f>IFERROR(INDEX('Historical Data'!$A$2:$A$1068,MATCH($A205,'Historical Data'!$BE$2:$BE$1068,0)),"")</f>
        <v/>
      </c>
      <c r="C205" s="291">
        <f>IFERROR(INDEX('Historical Data'!$B$2:$B$1068,MATCH($A205,'Historical Data'!$BE$2:$BE$1068,0)),"")</f>
        <v/>
      </c>
      <c r="D205" s="291">
        <f>IFERROR(INDEX('Historical Data'!$D$2:$D$1068,MATCH($A205,'Historical Data'!$BE$2:$BE$1068,0)),"")</f>
        <v/>
      </c>
      <c r="E205" s="292">
        <f>IFERROR(INDEX('Historical Data'!$E$2:$E$1068,MATCH($A205,'Historical Data'!$BE$2:$BE$1068,0)),"")</f>
        <v/>
      </c>
      <c r="F205" s="291">
        <f>IFERROR(INDEX('Historical Data'!$G$2:$G$1068,MATCH($A205,'Historical Data'!$BE$2:$BE$1068,0)),"")</f>
        <v/>
      </c>
      <c r="G205" s="291">
        <f>IFERROR(INDEX('Historical Data'!$Y$2:$Y$1068,MATCH($A205,'Historical Data'!$BE$2:$BE$1068,0)),"")</f>
        <v/>
      </c>
      <c r="H205" s="291">
        <f>IFERROR(INDEX('Historical Data'!$K$2:$K$1068,MATCH($A205,'Historical Data'!$BE$2:$BE$1068,0)),"")</f>
        <v/>
      </c>
      <c r="I205" s="291">
        <f>IFERROR(INDEX('Historical Data'!$J$2:$J$1068,MATCH($A205,'Historical Data'!$BE$2:$BE$1068,0)),"")</f>
        <v/>
      </c>
      <c r="J205" s="291">
        <f>IFERROR(INDEX('Historical Data'!$L$2:$L$1068,MATCH($A205,'Historical Data'!$BE$2:$BE$1068,0)),"")</f>
        <v/>
      </c>
      <c r="K205" s="293">
        <f>IFERROR(INDEX('Historical Data'!$M$2:$M$1068,MATCH($A205,'Historical Data'!$BE$2:$BE$1068,0)),"")</f>
        <v/>
      </c>
      <c r="L205" s="294">
        <f>IFERROR(INDEX('Historical Data'!$N$2:$N$1068,MATCH($A205,'Historical Data'!$BE$2:$BE$1068,0)),"")</f>
        <v/>
      </c>
      <c r="M205" s="294">
        <f>IFERROR(INDEX('Historical Data'!$Q$2:$Q$1068,MATCH($A205,'Historical Data'!$BE$2:$BE$1068,0)),"")</f>
        <v/>
      </c>
      <c r="N205" s="295">
        <f>IFERROR(INDEX('Historical Data'!$S$2:$S$1068,MATCH($A205,'Historical Data'!$BE$2:$BE$1068,0)),"")</f>
        <v/>
      </c>
      <c r="O205" s="294">
        <f>IFERROR(INDEX('Historical Data'!$AJ$2:$AJ$1068,MATCH($A205,'Historical Data'!$BE$2:$BE$1068,0)),"")</f>
        <v/>
      </c>
      <c r="P205" s="294">
        <f>IFERROR(INDEX('Historical Data'!$AK$2:$AK$1068,MATCH($A205,'Historical Data'!$BE$2:$BE$1068,0)),"")</f>
        <v/>
      </c>
      <c r="Q205" s="291">
        <f>IFERROR(INDEX('Historical Data'!$AA$2:$AA$1068,MATCH($A205,'Historical Data'!$BE$2:$BE$1068,0)),"")</f>
        <v/>
      </c>
      <c r="R205" s="291">
        <f>IFERROR(INDEX('Historical Data'!$AB$2:$AB$1068,MATCH($A205,'Historical Data'!$BE$2:$BE$1068,0)),"")</f>
        <v/>
      </c>
      <c r="S205" s="291">
        <f>IFERROR(INDEX('Historical Data'!$AN$2:$AN$1068,MATCH($A205,'Historical Data'!$BE$2:$BE$1068,0)),"")</f>
        <v/>
      </c>
      <c r="T205" s="291">
        <f>IFERROR(INDEX('Historical Data'!$AC$2:$AC$1068,MATCH($A205,'Historical Data'!$BE$2:$BE$1068,0)),"")</f>
        <v/>
      </c>
      <c r="U205" s="291">
        <f>IFERROR(INDEX('Historical Data'!$AE$2:$AE$1068,MATCH($A205,'Historical Data'!$BE$2:$BE$1068,0)),"")</f>
        <v/>
      </c>
      <c r="V205" s="291">
        <f>IFERROR(INDEX('Historical Data'!$AH$2:$AH$1068,MATCH($A205,'Historical Data'!$BE$2:$BE$1068,0)),"")</f>
        <v/>
      </c>
      <c r="W205" s="291">
        <f>IFERROR(INDEX('Historical Data'!$BC$2:$BC$1068,MATCH($A205,'Historical Data'!$BE$2:$BE$1068,0)),"")</f>
        <v/>
      </c>
      <c r="X205" s="290">
        <f>IF(B205="","",IF(W205=1,"NR + industry + position",IF(W205=2,"NR + ISO + position",IF(W205=3,"NR + industry",IF(W205=4,"NR + ISO",IF(W205=5,"NR + position",IF(W205=6,"NR only","book baseline"))))))&amp;"  ["&amp;IF(T205=1,"seasoned","unseasoned")&amp;IF(U205=1,", defaulted","")&amp;IF(V205=1,", open","")&amp;"]")</f>
        <v/>
      </c>
    </row>
    <row r="206">
      <c r="A206" s="290" t="n">
        <v>202</v>
      </c>
      <c r="B206" s="291">
        <f>IFERROR(INDEX('Historical Data'!$A$2:$A$1068,MATCH($A206,'Historical Data'!$BE$2:$BE$1068,0)),"")</f>
        <v/>
      </c>
      <c r="C206" s="291">
        <f>IFERROR(INDEX('Historical Data'!$B$2:$B$1068,MATCH($A206,'Historical Data'!$BE$2:$BE$1068,0)),"")</f>
        <v/>
      </c>
      <c r="D206" s="291">
        <f>IFERROR(INDEX('Historical Data'!$D$2:$D$1068,MATCH($A206,'Historical Data'!$BE$2:$BE$1068,0)),"")</f>
        <v/>
      </c>
      <c r="E206" s="292">
        <f>IFERROR(INDEX('Historical Data'!$E$2:$E$1068,MATCH($A206,'Historical Data'!$BE$2:$BE$1068,0)),"")</f>
        <v/>
      </c>
      <c r="F206" s="291">
        <f>IFERROR(INDEX('Historical Data'!$G$2:$G$1068,MATCH($A206,'Historical Data'!$BE$2:$BE$1068,0)),"")</f>
        <v/>
      </c>
      <c r="G206" s="291">
        <f>IFERROR(INDEX('Historical Data'!$Y$2:$Y$1068,MATCH($A206,'Historical Data'!$BE$2:$BE$1068,0)),"")</f>
        <v/>
      </c>
      <c r="H206" s="291">
        <f>IFERROR(INDEX('Historical Data'!$K$2:$K$1068,MATCH($A206,'Historical Data'!$BE$2:$BE$1068,0)),"")</f>
        <v/>
      </c>
      <c r="I206" s="291">
        <f>IFERROR(INDEX('Historical Data'!$J$2:$J$1068,MATCH($A206,'Historical Data'!$BE$2:$BE$1068,0)),"")</f>
        <v/>
      </c>
      <c r="J206" s="291">
        <f>IFERROR(INDEX('Historical Data'!$L$2:$L$1068,MATCH($A206,'Historical Data'!$BE$2:$BE$1068,0)),"")</f>
        <v/>
      </c>
      <c r="K206" s="293">
        <f>IFERROR(INDEX('Historical Data'!$M$2:$M$1068,MATCH($A206,'Historical Data'!$BE$2:$BE$1068,0)),"")</f>
        <v/>
      </c>
      <c r="L206" s="294">
        <f>IFERROR(INDEX('Historical Data'!$N$2:$N$1068,MATCH($A206,'Historical Data'!$BE$2:$BE$1068,0)),"")</f>
        <v/>
      </c>
      <c r="M206" s="294">
        <f>IFERROR(INDEX('Historical Data'!$Q$2:$Q$1068,MATCH($A206,'Historical Data'!$BE$2:$BE$1068,0)),"")</f>
        <v/>
      </c>
      <c r="N206" s="295">
        <f>IFERROR(INDEX('Historical Data'!$S$2:$S$1068,MATCH($A206,'Historical Data'!$BE$2:$BE$1068,0)),"")</f>
        <v/>
      </c>
      <c r="O206" s="294">
        <f>IFERROR(INDEX('Historical Data'!$AJ$2:$AJ$1068,MATCH($A206,'Historical Data'!$BE$2:$BE$1068,0)),"")</f>
        <v/>
      </c>
      <c r="P206" s="294">
        <f>IFERROR(INDEX('Historical Data'!$AK$2:$AK$1068,MATCH($A206,'Historical Data'!$BE$2:$BE$1068,0)),"")</f>
        <v/>
      </c>
      <c r="Q206" s="291">
        <f>IFERROR(INDEX('Historical Data'!$AA$2:$AA$1068,MATCH($A206,'Historical Data'!$BE$2:$BE$1068,0)),"")</f>
        <v/>
      </c>
      <c r="R206" s="291">
        <f>IFERROR(INDEX('Historical Data'!$AB$2:$AB$1068,MATCH($A206,'Historical Data'!$BE$2:$BE$1068,0)),"")</f>
        <v/>
      </c>
      <c r="S206" s="291">
        <f>IFERROR(INDEX('Historical Data'!$AN$2:$AN$1068,MATCH($A206,'Historical Data'!$BE$2:$BE$1068,0)),"")</f>
        <v/>
      </c>
      <c r="T206" s="291">
        <f>IFERROR(INDEX('Historical Data'!$AC$2:$AC$1068,MATCH($A206,'Historical Data'!$BE$2:$BE$1068,0)),"")</f>
        <v/>
      </c>
      <c r="U206" s="291">
        <f>IFERROR(INDEX('Historical Data'!$AE$2:$AE$1068,MATCH($A206,'Historical Data'!$BE$2:$BE$1068,0)),"")</f>
        <v/>
      </c>
      <c r="V206" s="291">
        <f>IFERROR(INDEX('Historical Data'!$AH$2:$AH$1068,MATCH($A206,'Historical Data'!$BE$2:$BE$1068,0)),"")</f>
        <v/>
      </c>
      <c r="W206" s="291">
        <f>IFERROR(INDEX('Historical Data'!$BC$2:$BC$1068,MATCH($A206,'Historical Data'!$BE$2:$BE$1068,0)),"")</f>
        <v/>
      </c>
      <c r="X206" s="290">
        <f>IF(B206="","",IF(W206=1,"NR + industry + position",IF(W206=2,"NR + ISO + position",IF(W206=3,"NR + industry",IF(W206=4,"NR + ISO",IF(W206=5,"NR + position",IF(W206=6,"NR only","book baseline"))))))&amp;"  ["&amp;IF(T206=1,"seasoned","unseasoned")&amp;IF(U206=1,", defaulted","")&amp;IF(V206=1,", open","")&amp;"]")</f>
        <v/>
      </c>
    </row>
    <row r="207">
      <c r="A207" s="290" t="n">
        <v>203</v>
      </c>
      <c r="B207" s="291">
        <f>IFERROR(INDEX('Historical Data'!$A$2:$A$1068,MATCH($A207,'Historical Data'!$BE$2:$BE$1068,0)),"")</f>
        <v/>
      </c>
      <c r="C207" s="291">
        <f>IFERROR(INDEX('Historical Data'!$B$2:$B$1068,MATCH($A207,'Historical Data'!$BE$2:$BE$1068,0)),"")</f>
        <v/>
      </c>
      <c r="D207" s="291">
        <f>IFERROR(INDEX('Historical Data'!$D$2:$D$1068,MATCH($A207,'Historical Data'!$BE$2:$BE$1068,0)),"")</f>
        <v/>
      </c>
      <c r="E207" s="292">
        <f>IFERROR(INDEX('Historical Data'!$E$2:$E$1068,MATCH($A207,'Historical Data'!$BE$2:$BE$1068,0)),"")</f>
        <v/>
      </c>
      <c r="F207" s="291">
        <f>IFERROR(INDEX('Historical Data'!$G$2:$G$1068,MATCH($A207,'Historical Data'!$BE$2:$BE$1068,0)),"")</f>
        <v/>
      </c>
      <c r="G207" s="291">
        <f>IFERROR(INDEX('Historical Data'!$Y$2:$Y$1068,MATCH($A207,'Historical Data'!$BE$2:$BE$1068,0)),"")</f>
        <v/>
      </c>
      <c r="H207" s="291">
        <f>IFERROR(INDEX('Historical Data'!$K$2:$K$1068,MATCH($A207,'Historical Data'!$BE$2:$BE$1068,0)),"")</f>
        <v/>
      </c>
      <c r="I207" s="291">
        <f>IFERROR(INDEX('Historical Data'!$J$2:$J$1068,MATCH($A207,'Historical Data'!$BE$2:$BE$1068,0)),"")</f>
        <v/>
      </c>
      <c r="J207" s="291">
        <f>IFERROR(INDEX('Historical Data'!$L$2:$L$1068,MATCH($A207,'Historical Data'!$BE$2:$BE$1068,0)),"")</f>
        <v/>
      </c>
      <c r="K207" s="293">
        <f>IFERROR(INDEX('Historical Data'!$M$2:$M$1068,MATCH($A207,'Historical Data'!$BE$2:$BE$1068,0)),"")</f>
        <v/>
      </c>
      <c r="L207" s="294">
        <f>IFERROR(INDEX('Historical Data'!$N$2:$N$1068,MATCH($A207,'Historical Data'!$BE$2:$BE$1068,0)),"")</f>
        <v/>
      </c>
      <c r="M207" s="294">
        <f>IFERROR(INDEX('Historical Data'!$Q$2:$Q$1068,MATCH($A207,'Historical Data'!$BE$2:$BE$1068,0)),"")</f>
        <v/>
      </c>
      <c r="N207" s="295">
        <f>IFERROR(INDEX('Historical Data'!$S$2:$S$1068,MATCH($A207,'Historical Data'!$BE$2:$BE$1068,0)),"")</f>
        <v/>
      </c>
      <c r="O207" s="294">
        <f>IFERROR(INDEX('Historical Data'!$AJ$2:$AJ$1068,MATCH($A207,'Historical Data'!$BE$2:$BE$1068,0)),"")</f>
        <v/>
      </c>
      <c r="P207" s="294">
        <f>IFERROR(INDEX('Historical Data'!$AK$2:$AK$1068,MATCH($A207,'Historical Data'!$BE$2:$BE$1068,0)),"")</f>
        <v/>
      </c>
      <c r="Q207" s="291">
        <f>IFERROR(INDEX('Historical Data'!$AA$2:$AA$1068,MATCH($A207,'Historical Data'!$BE$2:$BE$1068,0)),"")</f>
        <v/>
      </c>
      <c r="R207" s="291">
        <f>IFERROR(INDEX('Historical Data'!$AB$2:$AB$1068,MATCH($A207,'Historical Data'!$BE$2:$BE$1068,0)),"")</f>
        <v/>
      </c>
      <c r="S207" s="291">
        <f>IFERROR(INDEX('Historical Data'!$AN$2:$AN$1068,MATCH($A207,'Historical Data'!$BE$2:$BE$1068,0)),"")</f>
        <v/>
      </c>
      <c r="T207" s="291">
        <f>IFERROR(INDEX('Historical Data'!$AC$2:$AC$1068,MATCH($A207,'Historical Data'!$BE$2:$BE$1068,0)),"")</f>
        <v/>
      </c>
      <c r="U207" s="291">
        <f>IFERROR(INDEX('Historical Data'!$AE$2:$AE$1068,MATCH($A207,'Historical Data'!$BE$2:$BE$1068,0)),"")</f>
        <v/>
      </c>
      <c r="V207" s="291">
        <f>IFERROR(INDEX('Historical Data'!$AH$2:$AH$1068,MATCH($A207,'Historical Data'!$BE$2:$BE$1068,0)),"")</f>
        <v/>
      </c>
      <c r="W207" s="291">
        <f>IFERROR(INDEX('Historical Data'!$BC$2:$BC$1068,MATCH($A207,'Historical Data'!$BE$2:$BE$1068,0)),"")</f>
        <v/>
      </c>
      <c r="X207" s="290">
        <f>IF(B207="","",IF(W207=1,"NR + industry + position",IF(W207=2,"NR + ISO + position",IF(W207=3,"NR + industry",IF(W207=4,"NR + ISO",IF(W207=5,"NR + position",IF(W207=6,"NR only","book baseline"))))))&amp;"  ["&amp;IF(T207=1,"seasoned","unseasoned")&amp;IF(U207=1,", defaulted","")&amp;IF(V207=1,", open","")&amp;"]")</f>
        <v/>
      </c>
    </row>
    <row r="208">
      <c r="A208" s="290" t="n">
        <v>204</v>
      </c>
      <c r="B208" s="291">
        <f>IFERROR(INDEX('Historical Data'!$A$2:$A$1068,MATCH($A208,'Historical Data'!$BE$2:$BE$1068,0)),"")</f>
        <v/>
      </c>
      <c r="C208" s="291">
        <f>IFERROR(INDEX('Historical Data'!$B$2:$B$1068,MATCH($A208,'Historical Data'!$BE$2:$BE$1068,0)),"")</f>
        <v/>
      </c>
      <c r="D208" s="291">
        <f>IFERROR(INDEX('Historical Data'!$D$2:$D$1068,MATCH($A208,'Historical Data'!$BE$2:$BE$1068,0)),"")</f>
        <v/>
      </c>
      <c r="E208" s="292">
        <f>IFERROR(INDEX('Historical Data'!$E$2:$E$1068,MATCH($A208,'Historical Data'!$BE$2:$BE$1068,0)),"")</f>
        <v/>
      </c>
      <c r="F208" s="291">
        <f>IFERROR(INDEX('Historical Data'!$G$2:$G$1068,MATCH($A208,'Historical Data'!$BE$2:$BE$1068,0)),"")</f>
        <v/>
      </c>
      <c r="G208" s="291">
        <f>IFERROR(INDEX('Historical Data'!$Y$2:$Y$1068,MATCH($A208,'Historical Data'!$BE$2:$BE$1068,0)),"")</f>
        <v/>
      </c>
      <c r="H208" s="291">
        <f>IFERROR(INDEX('Historical Data'!$K$2:$K$1068,MATCH($A208,'Historical Data'!$BE$2:$BE$1068,0)),"")</f>
        <v/>
      </c>
      <c r="I208" s="291">
        <f>IFERROR(INDEX('Historical Data'!$J$2:$J$1068,MATCH($A208,'Historical Data'!$BE$2:$BE$1068,0)),"")</f>
        <v/>
      </c>
      <c r="J208" s="291">
        <f>IFERROR(INDEX('Historical Data'!$L$2:$L$1068,MATCH($A208,'Historical Data'!$BE$2:$BE$1068,0)),"")</f>
        <v/>
      </c>
      <c r="K208" s="293">
        <f>IFERROR(INDEX('Historical Data'!$M$2:$M$1068,MATCH($A208,'Historical Data'!$BE$2:$BE$1068,0)),"")</f>
        <v/>
      </c>
      <c r="L208" s="294">
        <f>IFERROR(INDEX('Historical Data'!$N$2:$N$1068,MATCH($A208,'Historical Data'!$BE$2:$BE$1068,0)),"")</f>
        <v/>
      </c>
      <c r="M208" s="294">
        <f>IFERROR(INDEX('Historical Data'!$Q$2:$Q$1068,MATCH($A208,'Historical Data'!$BE$2:$BE$1068,0)),"")</f>
        <v/>
      </c>
      <c r="N208" s="295">
        <f>IFERROR(INDEX('Historical Data'!$S$2:$S$1068,MATCH($A208,'Historical Data'!$BE$2:$BE$1068,0)),"")</f>
        <v/>
      </c>
      <c r="O208" s="294">
        <f>IFERROR(INDEX('Historical Data'!$AJ$2:$AJ$1068,MATCH($A208,'Historical Data'!$BE$2:$BE$1068,0)),"")</f>
        <v/>
      </c>
      <c r="P208" s="294">
        <f>IFERROR(INDEX('Historical Data'!$AK$2:$AK$1068,MATCH($A208,'Historical Data'!$BE$2:$BE$1068,0)),"")</f>
        <v/>
      </c>
      <c r="Q208" s="291">
        <f>IFERROR(INDEX('Historical Data'!$AA$2:$AA$1068,MATCH($A208,'Historical Data'!$BE$2:$BE$1068,0)),"")</f>
        <v/>
      </c>
      <c r="R208" s="291">
        <f>IFERROR(INDEX('Historical Data'!$AB$2:$AB$1068,MATCH($A208,'Historical Data'!$BE$2:$BE$1068,0)),"")</f>
        <v/>
      </c>
      <c r="S208" s="291">
        <f>IFERROR(INDEX('Historical Data'!$AN$2:$AN$1068,MATCH($A208,'Historical Data'!$BE$2:$BE$1068,0)),"")</f>
        <v/>
      </c>
      <c r="T208" s="291">
        <f>IFERROR(INDEX('Historical Data'!$AC$2:$AC$1068,MATCH($A208,'Historical Data'!$BE$2:$BE$1068,0)),"")</f>
        <v/>
      </c>
      <c r="U208" s="291">
        <f>IFERROR(INDEX('Historical Data'!$AE$2:$AE$1068,MATCH($A208,'Historical Data'!$BE$2:$BE$1068,0)),"")</f>
        <v/>
      </c>
      <c r="V208" s="291">
        <f>IFERROR(INDEX('Historical Data'!$AH$2:$AH$1068,MATCH($A208,'Historical Data'!$BE$2:$BE$1068,0)),"")</f>
        <v/>
      </c>
      <c r="W208" s="291">
        <f>IFERROR(INDEX('Historical Data'!$BC$2:$BC$1068,MATCH($A208,'Historical Data'!$BE$2:$BE$1068,0)),"")</f>
        <v/>
      </c>
      <c r="X208" s="290">
        <f>IF(B208="","",IF(W208=1,"NR + industry + position",IF(W208=2,"NR + ISO + position",IF(W208=3,"NR + industry",IF(W208=4,"NR + ISO",IF(W208=5,"NR + position",IF(W208=6,"NR only","book baseline"))))))&amp;"  ["&amp;IF(T208=1,"seasoned","unseasoned")&amp;IF(U208=1,", defaulted","")&amp;IF(V208=1,", open","")&amp;"]")</f>
        <v/>
      </c>
    </row>
    <row r="209">
      <c r="A209" s="290" t="n">
        <v>205</v>
      </c>
      <c r="B209" s="291">
        <f>IFERROR(INDEX('Historical Data'!$A$2:$A$1068,MATCH($A209,'Historical Data'!$BE$2:$BE$1068,0)),"")</f>
        <v/>
      </c>
      <c r="C209" s="291">
        <f>IFERROR(INDEX('Historical Data'!$B$2:$B$1068,MATCH($A209,'Historical Data'!$BE$2:$BE$1068,0)),"")</f>
        <v/>
      </c>
      <c r="D209" s="291">
        <f>IFERROR(INDEX('Historical Data'!$D$2:$D$1068,MATCH($A209,'Historical Data'!$BE$2:$BE$1068,0)),"")</f>
        <v/>
      </c>
      <c r="E209" s="292">
        <f>IFERROR(INDEX('Historical Data'!$E$2:$E$1068,MATCH($A209,'Historical Data'!$BE$2:$BE$1068,0)),"")</f>
        <v/>
      </c>
      <c r="F209" s="291">
        <f>IFERROR(INDEX('Historical Data'!$G$2:$G$1068,MATCH($A209,'Historical Data'!$BE$2:$BE$1068,0)),"")</f>
        <v/>
      </c>
      <c r="G209" s="291">
        <f>IFERROR(INDEX('Historical Data'!$Y$2:$Y$1068,MATCH($A209,'Historical Data'!$BE$2:$BE$1068,0)),"")</f>
        <v/>
      </c>
      <c r="H209" s="291">
        <f>IFERROR(INDEX('Historical Data'!$K$2:$K$1068,MATCH($A209,'Historical Data'!$BE$2:$BE$1068,0)),"")</f>
        <v/>
      </c>
      <c r="I209" s="291">
        <f>IFERROR(INDEX('Historical Data'!$J$2:$J$1068,MATCH($A209,'Historical Data'!$BE$2:$BE$1068,0)),"")</f>
        <v/>
      </c>
      <c r="J209" s="291">
        <f>IFERROR(INDEX('Historical Data'!$L$2:$L$1068,MATCH($A209,'Historical Data'!$BE$2:$BE$1068,0)),"")</f>
        <v/>
      </c>
      <c r="K209" s="293">
        <f>IFERROR(INDEX('Historical Data'!$M$2:$M$1068,MATCH($A209,'Historical Data'!$BE$2:$BE$1068,0)),"")</f>
        <v/>
      </c>
      <c r="L209" s="294">
        <f>IFERROR(INDEX('Historical Data'!$N$2:$N$1068,MATCH($A209,'Historical Data'!$BE$2:$BE$1068,0)),"")</f>
        <v/>
      </c>
      <c r="M209" s="294">
        <f>IFERROR(INDEX('Historical Data'!$Q$2:$Q$1068,MATCH($A209,'Historical Data'!$BE$2:$BE$1068,0)),"")</f>
        <v/>
      </c>
      <c r="N209" s="295">
        <f>IFERROR(INDEX('Historical Data'!$S$2:$S$1068,MATCH($A209,'Historical Data'!$BE$2:$BE$1068,0)),"")</f>
        <v/>
      </c>
      <c r="O209" s="294">
        <f>IFERROR(INDEX('Historical Data'!$AJ$2:$AJ$1068,MATCH($A209,'Historical Data'!$BE$2:$BE$1068,0)),"")</f>
        <v/>
      </c>
      <c r="P209" s="294">
        <f>IFERROR(INDEX('Historical Data'!$AK$2:$AK$1068,MATCH($A209,'Historical Data'!$BE$2:$BE$1068,0)),"")</f>
        <v/>
      </c>
      <c r="Q209" s="291">
        <f>IFERROR(INDEX('Historical Data'!$AA$2:$AA$1068,MATCH($A209,'Historical Data'!$BE$2:$BE$1068,0)),"")</f>
        <v/>
      </c>
      <c r="R209" s="291">
        <f>IFERROR(INDEX('Historical Data'!$AB$2:$AB$1068,MATCH($A209,'Historical Data'!$BE$2:$BE$1068,0)),"")</f>
        <v/>
      </c>
      <c r="S209" s="291">
        <f>IFERROR(INDEX('Historical Data'!$AN$2:$AN$1068,MATCH($A209,'Historical Data'!$BE$2:$BE$1068,0)),"")</f>
        <v/>
      </c>
      <c r="T209" s="291">
        <f>IFERROR(INDEX('Historical Data'!$AC$2:$AC$1068,MATCH($A209,'Historical Data'!$BE$2:$BE$1068,0)),"")</f>
        <v/>
      </c>
      <c r="U209" s="291">
        <f>IFERROR(INDEX('Historical Data'!$AE$2:$AE$1068,MATCH($A209,'Historical Data'!$BE$2:$BE$1068,0)),"")</f>
        <v/>
      </c>
      <c r="V209" s="291">
        <f>IFERROR(INDEX('Historical Data'!$AH$2:$AH$1068,MATCH($A209,'Historical Data'!$BE$2:$BE$1068,0)),"")</f>
        <v/>
      </c>
      <c r="W209" s="291">
        <f>IFERROR(INDEX('Historical Data'!$BC$2:$BC$1068,MATCH($A209,'Historical Data'!$BE$2:$BE$1068,0)),"")</f>
        <v/>
      </c>
      <c r="X209" s="290">
        <f>IF(B209="","",IF(W209=1,"NR + industry + position",IF(W209=2,"NR + ISO + position",IF(W209=3,"NR + industry",IF(W209=4,"NR + ISO",IF(W209=5,"NR + position",IF(W209=6,"NR only","book baseline"))))))&amp;"  ["&amp;IF(T209=1,"seasoned","unseasoned")&amp;IF(U209=1,", defaulted","")&amp;IF(V209=1,", open","")&amp;"]")</f>
        <v/>
      </c>
    </row>
    <row r="210">
      <c r="A210" s="290" t="n">
        <v>206</v>
      </c>
      <c r="B210" s="291">
        <f>IFERROR(INDEX('Historical Data'!$A$2:$A$1068,MATCH($A210,'Historical Data'!$BE$2:$BE$1068,0)),"")</f>
        <v/>
      </c>
      <c r="C210" s="291">
        <f>IFERROR(INDEX('Historical Data'!$B$2:$B$1068,MATCH($A210,'Historical Data'!$BE$2:$BE$1068,0)),"")</f>
        <v/>
      </c>
      <c r="D210" s="291">
        <f>IFERROR(INDEX('Historical Data'!$D$2:$D$1068,MATCH($A210,'Historical Data'!$BE$2:$BE$1068,0)),"")</f>
        <v/>
      </c>
      <c r="E210" s="292">
        <f>IFERROR(INDEX('Historical Data'!$E$2:$E$1068,MATCH($A210,'Historical Data'!$BE$2:$BE$1068,0)),"")</f>
        <v/>
      </c>
      <c r="F210" s="291">
        <f>IFERROR(INDEX('Historical Data'!$G$2:$G$1068,MATCH($A210,'Historical Data'!$BE$2:$BE$1068,0)),"")</f>
        <v/>
      </c>
      <c r="G210" s="291">
        <f>IFERROR(INDEX('Historical Data'!$Y$2:$Y$1068,MATCH($A210,'Historical Data'!$BE$2:$BE$1068,0)),"")</f>
        <v/>
      </c>
      <c r="H210" s="291">
        <f>IFERROR(INDEX('Historical Data'!$K$2:$K$1068,MATCH($A210,'Historical Data'!$BE$2:$BE$1068,0)),"")</f>
        <v/>
      </c>
      <c r="I210" s="291">
        <f>IFERROR(INDEX('Historical Data'!$J$2:$J$1068,MATCH($A210,'Historical Data'!$BE$2:$BE$1068,0)),"")</f>
        <v/>
      </c>
      <c r="J210" s="291">
        <f>IFERROR(INDEX('Historical Data'!$L$2:$L$1068,MATCH($A210,'Historical Data'!$BE$2:$BE$1068,0)),"")</f>
        <v/>
      </c>
      <c r="K210" s="293">
        <f>IFERROR(INDEX('Historical Data'!$M$2:$M$1068,MATCH($A210,'Historical Data'!$BE$2:$BE$1068,0)),"")</f>
        <v/>
      </c>
      <c r="L210" s="294">
        <f>IFERROR(INDEX('Historical Data'!$N$2:$N$1068,MATCH($A210,'Historical Data'!$BE$2:$BE$1068,0)),"")</f>
        <v/>
      </c>
      <c r="M210" s="294">
        <f>IFERROR(INDEX('Historical Data'!$Q$2:$Q$1068,MATCH($A210,'Historical Data'!$BE$2:$BE$1068,0)),"")</f>
        <v/>
      </c>
      <c r="N210" s="295">
        <f>IFERROR(INDEX('Historical Data'!$S$2:$S$1068,MATCH($A210,'Historical Data'!$BE$2:$BE$1068,0)),"")</f>
        <v/>
      </c>
      <c r="O210" s="294">
        <f>IFERROR(INDEX('Historical Data'!$AJ$2:$AJ$1068,MATCH($A210,'Historical Data'!$BE$2:$BE$1068,0)),"")</f>
        <v/>
      </c>
      <c r="P210" s="294">
        <f>IFERROR(INDEX('Historical Data'!$AK$2:$AK$1068,MATCH($A210,'Historical Data'!$BE$2:$BE$1068,0)),"")</f>
        <v/>
      </c>
      <c r="Q210" s="291">
        <f>IFERROR(INDEX('Historical Data'!$AA$2:$AA$1068,MATCH($A210,'Historical Data'!$BE$2:$BE$1068,0)),"")</f>
        <v/>
      </c>
      <c r="R210" s="291">
        <f>IFERROR(INDEX('Historical Data'!$AB$2:$AB$1068,MATCH($A210,'Historical Data'!$BE$2:$BE$1068,0)),"")</f>
        <v/>
      </c>
      <c r="S210" s="291">
        <f>IFERROR(INDEX('Historical Data'!$AN$2:$AN$1068,MATCH($A210,'Historical Data'!$BE$2:$BE$1068,0)),"")</f>
        <v/>
      </c>
      <c r="T210" s="291">
        <f>IFERROR(INDEX('Historical Data'!$AC$2:$AC$1068,MATCH($A210,'Historical Data'!$BE$2:$BE$1068,0)),"")</f>
        <v/>
      </c>
      <c r="U210" s="291">
        <f>IFERROR(INDEX('Historical Data'!$AE$2:$AE$1068,MATCH($A210,'Historical Data'!$BE$2:$BE$1068,0)),"")</f>
        <v/>
      </c>
      <c r="V210" s="291">
        <f>IFERROR(INDEX('Historical Data'!$AH$2:$AH$1068,MATCH($A210,'Historical Data'!$BE$2:$BE$1068,0)),"")</f>
        <v/>
      </c>
      <c r="W210" s="291">
        <f>IFERROR(INDEX('Historical Data'!$BC$2:$BC$1068,MATCH($A210,'Historical Data'!$BE$2:$BE$1068,0)),"")</f>
        <v/>
      </c>
      <c r="X210" s="290">
        <f>IF(B210="","",IF(W210=1,"NR + industry + position",IF(W210=2,"NR + ISO + position",IF(W210=3,"NR + industry",IF(W210=4,"NR + ISO",IF(W210=5,"NR + position",IF(W210=6,"NR only","book baseline"))))))&amp;"  ["&amp;IF(T210=1,"seasoned","unseasoned")&amp;IF(U210=1,", defaulted","")&amp;IF(V210=1,", open","")&amp;"]")</f>
        <v/>
      </c>
    </row>
    <row r="211">
      <c r="A211" s="290" t="n">
        <v>207</v>
      </c>
      <c r="B211" s="291">
        <f>IFERROR(INDEX('Historical Data'!$A$2:$A$1068,MATCH($A211,'Historical Data'!$BE$2:$BE$1068,0)),"")</f>
        <v/>
      </c>
      <c r="C211" s="291">
        <f>IFERROR(INDEX('Historical Data'!$B$2:$B$1068,MATCH($A211,'Historical Data'!$BE$2:$BE$1068,0)),"")</f>
        <v/>
      </c>
      <c r="D211" s="291">
        <f>IFERROR(INDEX('Historical Data'!$D$2:$D$1068,MATCH($A211,'Historical Data'!$BE$2:$BE$1068,0)),"")</f>
        <v/>
      </c>
      <c r="E211" s="292">
        <f>IFERROR(INDEX('Historical Data'!$E$2:$E$1068,MATCH($A211,'Historical Data'!$BE$2:$BE$1068,0)),"")</f>
        <v/>
      </c>
      <c r="F211" s="291">
        <f>IFERROR(INDEX('Historical Data'!$G$2:$G$1068,MATCH($A211,'Historical Data'!$BE$2:$BE$1068,0)),"")</f>
        <v/>
      </c>
      <c r="G211" s="291">
        <f>IFERROR(INDEX('Historical Data'!$Y$2:$Y$1068,MATCH($A211,'Historical Data'!$BE$2:$BE$1068,0)),"")</f>
        <v/>
      </c>
      <c r="H211" s="291">
        <f>IFERROR(INDEX('Historical Data'!$K$2:$K$1068,MATCH($A211,'Historical Data'!$BE$2:$BE$1068,0)),"")</f>
        <v/>
      </c>
      <c r="I211" s="291">
        <f>IFERROR(INDEX('Historical Data'!$J$2:$J$1068,MATCH($A211,'Historical Data'!$BE$2:$BE$1068,0)),"")</f>
        <v/>
      </c>
      <c r="J211" s="291">
        <f>IFERROR(INDEX('Historical Data'!$L$2:$L$1068,MATCH($A211,'Historical Data'!$BE$2:$BE$1068,0)),"")</f>
        <v/>
      </c>
      <c r="K211" s="293">
        <f>IFERROR(INDEX('Historical Data'!$M$2:$M$1068,MATCH($A211,'Historical Data'!$BE$2:$BE$1068,0)),"")</f>
        <v/>
      </c>
      <c r="L211" s="294">
        <f>IFERROR(INDEX('Historical Data'!$N$2:$N$1068,MATCH($A211,'Historical Data'!$BE$2:$BE$1068,0)),"")</f>
        <v/>
      </c>
      <c r="M211" s="294">
        <f>IFERROR(INDEX('Historical Data'!$Q$2:$Q$1068,MATCH($A211,'Historical Data'!$BE$2:$BE$1068,0)),"")</f>
        <v/>
      </c>
      <c r="N211" s="295">
        <f>IFERROR(INDEX('Historical Data'!$S$2:$S$1068,MATCH($A211,'Historical Data'!$BE$2:$BE$1068,0)),"")</f>
        <v/>
      </c>
      <c r="O211" s="294">
        <f>IFERROR(INDEX('Historical Data'!$AJ$2:$AJ$1068,MATCH($A211,'Historical Data'!$BE$2:$BE$1068,0)),"")</f>
        <v/>
      </c>
      <c r="P211" s="294">
        <f>IFERROR(INDEX('Historical Data'!$AK$2:$AK$1068,MATCH($A211,'Historical Data'!$BE$2:$BE$1068,0)),"")</f>
        <v/>
      </c>
      <c r="Q211" s="291">
        <f>IFERROR(INDEX('Historical Data'!$AA$2:$AA$1068,MATCH($A211,'Historical Data'!$BE$2:$BE$1068,0)),"")</f>
        <v/>
      </c>
      <c r="R211" s="291">
        <f>IFERROR(INDEX('Historical Data'!$AB$2:$AB$1068,MATCH($A211,'Historical Data'!$BE$2:$BE$1068,0)),"")</f>
        <v/>
      </c>
      <c r="S211" s="291">
        <f>IFERROR(INDEX('Historical Data'!$AN$2:$AN$1068,MATCH($A211,'Historical Data'!$BE$2:$BE$1068,0)),"")</f>
        <v/>
      </c>
      <c r="T211" s="291">
        <f>IFERROR(INDEX('Historical Data'!$AC$2:$AC$1068,MATCH($A211,'Historical Data'!$BE$2:$BE$1068,0)),"")</f>
        <v/>
      </c>
      <c r="U211" s="291">
        <f>IFERROR(INDEX('Historical Data'!$AE$2:$AE$1068,MATCH($A211,'Historical Data'!$BE$2:$BE$1068,0)),"")</f>
        <v/>
      </c>
      <c r="V211" s="291">
        <f>IFERROR(INDEX('Historical Data'!$AH$2:$AH$1068,MATCH($A211,'Historical Data'!$BE$2:$BE$1068,0)),"")</f>
        <v/>
      </c>
      <c r="W211" s="291">
        <f>IFERROR(INDEX('Historical Data'!$BC$2:$BC$1068,MATCH($A211,'Historical Data'!$BE$2:$BE$1068,0)),"")</f>
        <v/>
      </c>
      <c r="X211" s="290">
        <f>IF(B211="","",IF(W211=1,"NR + industry + position",IF(W211=2,"NR + ISO + position",IF(W211=3,"NR + industry",IF(W211=4,"NR + ISO",IF(W211=5,"NR + position",IF(W211=6,"NR only","book baseline"))))))&amp;"  ["&amp;IF(T211=1,"seasoned","unseasoned")&amp;IF(U211=1,", defaulted","")&amp;IF(V211=1,", open","")&amp;"]")</f>
        <v/>
      </c>
    </row>
    <row r="212">
      <c r="A212" s="290" t="n">
        <v>208</v>
      </c>
      <c r="B212" s="291">
        <f>IFERROR(INDEX('Historical Data'!$A$2:$A$1068,MATCH($A212,'Historical Data'!$BE$2:$BE$1068,0)),"")</f>
        <v/>
      </c>
      <c r="C212" s="291">
        <f>IFERROR(INDEX('Historical Data'!$B$2:$B$1068,MATCH($A212,'Historical Data'!$BE$2:$BE$1068,0)),"")</f>
        <v/>
      </c>
      <c r="D212" s="291">
        <f>IFERROR(INDEX('Historical Data'!$D$2:$D$1068,MATCH($A212,'Historical Data'!$BE$2:$BE$1068,0)),"")</f>
        <v/>
      </c>
      <c r="E212" s="292">
        <f>IFERROR(INDEX('Historical Data'!$E$2:$E$1068,MATCH($A212,'Historical Data'!$BE$2:$BE$1068,0)),"")</f>
        <v/>
      </c>
      <c r="F212" s="291">
        <f>IFERROR(INDEX('Historical Data'!$G$2:$G$1068,MATCH($A212,'Historical Data'!$BE$2:$BE$1068,0)),"")</f>
        <v/>
      </c>
      <c r="G212" s="291">
        <f>IFERROR(INDEX('Historical Data'!$Y$2:$Y$1068,MATCH($A212,'Historical Data'!$BE$2:$BE$1068,0)),"")</f>
        <v/>
      </c>
      <c r="H212" s="291">
        <f>IFERROR(INDEX('Historical Data'!$K$2:$K$1068,MATCH($A212,'Historical Data'!$BE$2:$BE$1068,0)),"")</f>
        <v/>
      </c>
      <c r="I212" s="291">
        <f>IFERROR(INDEX('Historical Data'!$J$2:$J$1068,MATCH($A212,'Historical Data'!$BE$2:$BE$1068,0)),"")</f>
        <v/>
      </c>
      <c r="J212" s="291">
        <f>IFERROR(INDEX('Historical Data'!$L$2:$L$1068,MATCH($A212,'Historical Data'!$BE$2:$BE$1068,0)),"")</f>
        <v/>
      </c>
      <c r="K212" s="293">
        <f>IFERROR(INDEX('Historical Data'!$M$2:$M$1068,MATCH($A212,'Historical Data'!$BE$2:$BE$1068,0)),"")</f>
        <v/>
      </c>
      <c r="L212" s="294">
        <f>IFERROR(INDEX('Historical Data'!$N$2:$N$1068,MATCH($A212,'Historical Data'!$BE$2:$BE$1068,0)),"")</f>
        <v/>
      </c>
      <c r="M212" s="294">
        <f>IFERROR(INDEX('Historical Data'!$Q$2:$Q$1068,MATCH($A212,'Historical Data'!$BE$2:$BE$1068,0)),"")</f>
        <v/>
      </c>
      <c r="N212" s="295">
        <f>IFERROR(INDEX('Historical Data'!$S$2:$S$1068,MATCH($A212,'Historical Data'!$BE$2:$BE$1068,0)),"")</f>
        <v/>
      </c>
      <c r="O212" s="294">
        <f>IFERROR(INDEX('Historical Data'!$AJ$2:$AJ$1068,MATCH($A212,'Historical Data'!$BE$2:$BE$1068,0)),"")</f>
        <v/>
      </c>
      <c r="P212" s="294">
        <f>IFERROR(INDEX('Historical Data'!$AK$2:$AK$1068,MATCH($A212,'Historical Data'!$BE$2:$BE$1068,0)),"")</f>
        <v/>
      </c>
      <c r="Q212" s="291">
        <f>IFERROR(INDEX('Historical Data'!$AA$2:$AA$1068,MATCH($A212,'Historical Data'!$BE$2:$BE$1068,0)),"")</f>
        <v/>
      </c>
      <c r="R212" s="291">
        <f>IFERROR(INDEX('Historical Data'!$AB$2:$AB$1068,MATCH($A212,'Historical Data'!$BE$2:$BE$1068,0)),"")</f>
        <v/>
      </c>
      <c r="S212" s="291">
        <f>IFERROR(INDEX('Historical Data'!$AN$2:$AN$1068,MATCH($A212,'Historical Data'!$BE$2:$BE$1068,0)),"")</f>
        <v/>
      </c>
      <c r="T212" s="291">
        <f>IFERROR(INDEX('Historical Data'!$AC$2:$AC$1068,MATCH($A212,'Historical Data'!$BE$2:$BE$1068,0)),"")</f>
        <v/>
      </c>
      <c r="U212" s="291">
        <f>IFERROR(INDEX('Historical Data'!$AE$2:$AE$1068,MATCH($A212,'Historical Data'!$BE$2:$BE$1068,0)),"")</f>
        <v/>
      </c>
      <c r="V212" s="291">
        <f>IFERROR(INDEX('Historical Data'!$AH$2:$AH$1068,MATCH($A212,'Historical Data'!$BE$2:$BE$1068,0)),"")</f>
        <v/>
      </c>
      <c r="W212" s="291">
        <f>IFERROR(INDEX('Historical Data'!$BC$2:$BC$1068,MATCH($A212,'Historical Data'!$BE$2:$BE$1068,0)),"")</f>
        <v/>
      </c>
      <c r="X212" s="290">
        <f>IF(B212="","",IF(W212=1,"NR + industry + position",IF(W212=2,"NR + ISO + position",IF(W212=3,"NR + industry",IF(W212=4,"NR + ISO",IF(W212=5,"NR + position",IF(W212=6,"NR only","book baseline"))))))&amp;"  ["&amp;IF(T212=1,"seasoned","unseasoned")&amp;IF(U212=1,", defaulted","")&amp;IF(V212=1,", open","")&amp;"]")</f>
        <v/>
      </c>
    </row>
    <row r="213">
      <c r="A213" s="290" t="n">
        <v>209</v>
      </c>
      <c r="B213" s="291">
        <f>IFERROR(INDEX('Historical Data'!$A$2:$A$1068,MATCH($A213,'Historical Data'!$BE$2:$BE$1068,0)),"")</f>
        <v/>
      </c>
      <c r="C213" s="291">
        <f>IFERROR(INDEX('Historical Data'!$B$2:$B$1068,MATCH($A213,'Historical Data'!$BE$2:$BE$1068,0)),"")</f>
        <v/>
      </c>
      <c r="D213" s="291">
        <f>IFERROR(INDEX('Historical Data'!$D$2:$D$1068,MATCH($A213,'Historical Data'!$BE$2:$BE$1068,0)),"")</f>
        <v/>
      </c>
      <c r="E213" s="292">
        <f>IFERROR(INDEX('Historical Data'!$E$2:$E$1068,MATCH($A213,'Historical Data'!$BE$2:$BE$1068,0)),"")</f>
        <v/>
      </c>
      <c r="F213" s="291">
        <f>IFERROR(INDEX('Historical Data'!$G$2:$G$1068,MATCH($A213,'Historical Data'!$BE$2:$BE$1068,0)),"")</f>
        <v/>
      </c>
      <c r="G213" s="291">
        <f>IFERROR(INDEX('Historical Data'!$Y$2:$Y$1068,MATCH($A213,'Historical Data'!$BE$2:$BE$1068,0)),"")</f>
        <v/>
      </c>
      <c r="H213" s="291">
        <f>IFERROR(INDEX('Historical Data'!$K$2:$K$1068,MATCH($A213,'Historical Data'!$BE$2:$BE$1068,0)),"")</f>
        <v/>
      </c>
      <c r="I213" s="291">
        <f>IFERROR(INDEX('Historical Data'!$J$2:$J$1068,MATCH($A213,'Historical Data'!$BE$2:$BE$1068,0)),"")</f>
        <v/>
      </c>
      <c r="J213" s="291">
        <f>IFERROR(INDEX('Historical Data'!$L$2:$L$1068,MATCH($A213,'Historical Data'!$BE$2:$BE$1068,0)),"")</f>
        <v/>
      </c>
      <c r="K213" s="293">
        <f>IFERROR(INDEX('Historical Data'!$M$2:$M$1068,MATCH($A213,'Historical Data'!$BE$2:$BE$1068,0)),"")</f>
        <v/>
      </c>
      <c r="L213" s="294">
        <f>IFERROR(INDEX('Historical Data'!$N$2:$N$1068,MATCH($A213,'Historical Data'!$BE$2:$BE$1068,0)),"")</f>
        <v/>
      </c>
      <c r="M213" s="294">
        <f>IFERROR(INDEX('Historical Data'!$Q$2:$Q$1068,MATCH($A213,'Historical Data'!$BE$2:$BE$1068,0)),"")</f>
        <v/>
      </c>
      <c r="N213" s="295">
        <f>IFERROR(INDEX('Historical Data'!$S$2:$S$1068,MATCH($A213,'Historical Data'!$BE$2:$BE$1068,0)),"")</f>
        <v/>
      </c>
      <c r="O213" s="294">
        <f>IFERROR(INDEX('Historical Data'!$AJ$2:$AJ$1068,MATCH($A213,'Historical Data'!$BE$2:$BE$1068,0)),"")</f>
        <v/>
      </c>
      <c r="P213" s="294">
        <f>IFERROR(INDEX('Historical Data'!$AK$2:$AK$1068,MATCH($A213,'Historical Data'!$BE$2:$BE$1068,0)),"")</f>
        <v/>
      </c>
      <c r="Q213" s="291">
        <f>IFERROR(INDEX('Historical Data'!$AA$2:$AA$1068,MATCH($A213,'Historical Data'!$BE$2:$BE$1068,0)),"")</f>
        <v/>
      </c>
      <c r="R213" s="291">
        <f>IFERROR(INDEX('Historical Data'!$AB$2:$AB$1068,MATCH($A213,'Historical Data'!$BE$2:$BE$1068,0)),"")</f>
        <v/>
      </c>
      <c r="S213" s="291">
        <f>IFERROR(INDEX('Historical Data'!$AN$2:$AN$1068,MATCH($A213,'Historical Data'!$BE$2:$BE$1068,0)),"")</f>
        <v/>
      </c>
      <c r="T213" s="291">
        <f>IFERROR(INDEX('Historical Data'!$AC$2:$AC$1068,MATCH($A213,'Historical Data'!$BE$2:$BE$1068,0)),"")</f>
        <v/>
      </c>
      <c r="U213" s="291">
        <f>IFERROR(INDEX('Historical Data'!$AE$2:$AE$1068,MATCH($A213,'Historical Data'!$BE$2:$BE$1068,0)),"")</f>
        <v/>
      </c>
      <c r="V213" s="291">
        <f>IFERROR(INDEX('Historical Data'!$AH$2:$AH$1068,MATCH($A213,'Historical Data'!$BE$2:$BE$1068,0)),"")</f>
        <v/>
      </c>
      <c r="W213" s="291">
        <f>IFERROR(INDEX('Historical Data'!$BC$2:$BC$1068,MATCH($A213,'Historical Data'!$BE$2:$BE$1068,0)),"")</f>
        <v/>
      </c>
      <c r="X213" s="290">
        <f>IF(B213="","",IF(W213=1,"NR + industry + position",IF(W213=2,"NR + ISO + position",IF(W213=3,"NR + industry",IF(W213=4,"NR + ISO",IF(W213=5,"NR + position",IF(W213=6,"NR only","book baseline"))))))&amp;"  ["&amp;IF(T213=1,"seasoned","unseasoned")&amp;IF(U213=1,", defaulted","")&amp;IF(V213=1,", open","")&amp;"]")</f>
        <v/>
      </c>
    </row>
    <row r="214">
      <c r="A214" s="290" t="n">
        <v>210</v>
      </c>
      <c r="B214" s="291">
        <f>IFERROR(INDEX('Historical Data'!$A$2:$A$1068,MATCH($A214,'Historical Data'!$BE$2:$BE$1068,0)),"")</f>
        <v/>
      </c>
      <c r="C214" s="291">
        <f>IFERROR(INDEX('Historical Data'!$B$2:$B$1068,MATCH($A214,'Historical Data'!$BE$2:$BE$1068,0)),"")</f>
        <v/>
      </c>
      <c r="D214" s="291">
        <f>IFERROR(INDEX('Historical Data'!$D$2:$D$1068,MATCH($A214,'Historical Data'!$BE$2:$BE$1068,0)),"")</f>
        <v/>
      </c>
      <c r="E214" s="292">
        <f>IFERROR(INDEX('Historical Data'!$E$2:$E$1068,MATCH($A214,'Historical Data'!$BE$2:$BE$1068,0)),"")</f>
        <v/>
      </c>
      <c r="F214" s="291">
        <f>IFERROR(INDEX('Historical Data'!$G$2:$G$1068,MATCH($A214,'Historical Data'!$BE$2:$BE$1068,0)),"")</f>
        <v/>
      </c>
      <c r="G214" s="291">
        <f>IFERROR(INDEX('Historical Data'!$Y$2:$Y$1068,MATCH($A214,'Historical Data'!$BE$2:$BE$1068,0)),"")</f>
        <v/>
      </c>
      <c r="H214" s="291">
        <f>IFERROR(INDEX('Historical Data'!$K$2:$K$1068,MATCH($A214,'Historical Data'!$BE$2:$BE$1068,0)),"")</f>
        <v/>
      </c>
      <c r="I214" s="291">
        <f>IFERROR(INDEX('Historical Data'!$J$2:$J$1068,MATCH($A214,'Historical Data'!$BE$2:$BE$1068,0)),"")</f>
        <v/>
      </c>
      <c r="J214" s="291">
        <f>IFERROR(INDEX('Historical Data'!$L$2:$L$1068,MATCH($A214,'Historical Data'!$BE$2:$BE$1068,0)),"")</f>
        <v/>
      </c>
      <c r="K214" s="293">
        <f>IFERROR(INDEX('Historical Data'!$M$2:$M$1068,MATCH($A214,'Historical Data'!$BE$2:$BE$1068,0)),"")</f>
        <v/>
      </c>
      <c r="L214" s="294">
        <f>IFERROR(INDEX('Historical Data'!$N$2:$N$1068,MATCH($A214,'Historical Data'!$BE$2:$BE$1068,0)),"")</f>
        <v/>
      </c>
      <c r="M214" s="294">
        <f>IFERROR(INDEX('Historical Data'!$Q$2:$Q$1068,MATCH($A214,'Historical Data'!$BE$2:$BE$1068,0)),"")</f>
        <v/>
      </c>
      <c r="N214" s="295">
        <f>IFERROR(INDEX('Historical Data'!$S$2:$S$1068,MATCH($A214,'Historical Data'!$BE$2:$BE$1068,0)),"")</f>
        <v/>
      </c>
      <c r="O214" s="294">
        <f>IFERROR(INDEX('Historical Data'!$AJ$2:$AJ$1068,MATCH($A214,'Historical Data'!$BE$2:$BE$1068,0)),"")</f>
        <v/>
      </c>
      <c r="P214" s="294">
        <f>IFERROR(INDEX('Historical Data'!$AK$2:$AK$1068,MATCH($A214,'Historical Data'!$BE$2:$BE$1068,0)),"")</f>
        <v/>
      </c>
      <c r="Q214" s="291">
        <f>IFERROR(INDEX('Historical Data'!$AA$2:$AA$1068,MATCH($A214,'Historical Data'!$BE$2:$BE$1068,0)),"")</f>
        <v/>
      </c>
      <c r="R214" s="291">
        <f>IFERROR(INDEX('Historical Data'!$AB$2:$AB$1068,MATCH($A214,'Historical Data'!$BE$2:$BE$1068,0)),"")</f>
        <v/>
      </c>
      <c r="S214" s="291">
        <f>IFERROR(INDEX('Historical Data'!$AN$2:$AN$1068,MATCH($A214,'Historical Data'!$BE$2:$BE$1068,0)),"")</f>
        <v/>
      </c>
      <c r="T214" s="291">
        <f>IFERROR(INDEX('Historical Data'!$AC$2:$AC$1068,MATCH($A214,'Historical Data'!$BE$2:$BE$1068,0)),"")</f>
        <v/>
      </c>
      <c r="U214" s="291">
        <f>IFERROR(INDEX('Historical Data'!$AE$2:$AE$1068,MATCH($A214,'Historical Data'!$BE$2:$BE$1068,0)),"")</f>
        <v/>
      </c>
      <c r="V214" s="291">
        <f>IFERROR(INDEX('Historical Data'!$AH$2:$AH$1068,MATCH($A214,'Historical Data'!$BE$2:$BE$1068,0)),"")</f>
        <v/>
      </c>
      <c r="W214" s="291">
        <f>IFERROR(INDEX('Historical Data'!$BC$2:$BC$1068,MATCH($A214,'Historical Data'!$BE$2:$BE$1068,0)),"")</f>
        <v/>
      </c>
      <c r="X214" s="290">
        <f>IF(B214="","",IF(W214=1,"NR + industry + position",IF(W214=2,"NR + ISO + position",IF(W214=3,"NR + industry",IF(W214=4,"NR + ISO",IF(W214=5,"NR + position",IF(W214=6,"NR only","book baseline"))))))&amp;"  ["&amp;IF(T214=1,"seasoned","unseasoned")&amp;IF(U214=1,", defaulted","")&amp;IF(V214=1,", open","")&amp;"]")</f>
        <v/>
      </c>
    </row>
    <row r="215">
      <c r="A215" s="290" t="n">
        <v>211</v>
      </c>
      <c r="B215" s="291">
        <f>IFERROR(INDEX('Historical Data'!$A$2:$A$1068,MATCH($A215,'Historical Data'!$BE$2:$BE$1068,0)),"")</f>
        <v/>
      </c>
      <c r="C215" s="291">
        <f>IFERROR(INDEX('Historical Data'!$B$2:$B$1068,MATCH($A215,'Historical Data'!$BE$2:$BE$1068,0)),"")</f>
        <v/>
      </c>
      <c r="D215" s="291">
        <f>IFERROR(INDEX('Historical Data'!$D$2:$D$1068,MATCH($A215,'Historical Data'!$BE$2:$BE$1068,0)),"")</f>
        <v/>
      </c>
      <c r="E215" s="292">
        <f>IFERROR(INDEX('Historical Data'!$E$2:$E$1068,MATCH($A215,'Historical Data'!$BE$2:$BE$1068,0)),"")</f>
        <v/>
      </c>
      <c r="F215" s="291">
        <f>IFERROR(INDEX('Historical Data'!$G$2:$G$1068,MATCH($A215,'Historical Data'!$BE$2:$BE$1068,0)),"")</f>
        <v/>
      </c>
      <c r="G215" s="291">
        <f>IFERROR(INDEX('Historical Data'!$Y$2:$Y$1068,MATCH($A215,'Historical Data'!$BE$2:$BE$1068,0)),"")</f>
        <v/>
      </c>
      <c r="H215" s="291">
        <f>IFERROR(INDEX('Historical Data'!$K$2:$K$1068,MATCH($A215,'Historical Data'!$BE$2:$BE$1068,0)),"")</f>
        <v/>
      </c>
      <c r="I215" s="291">
        <f>IFERROR(INDEX('Historical Data'!$J$2:$J$1068,MATCH($A215,'Historical Data'!$BE$2:$BE$1068,0)),"")</f>
        <v/>
      </c>
      <c r="J215" s="291">
        <f>IFERROR(INDEX('Historical Data'!$L$2:$L$1068,MATCH($A215,'Historical Data'!$BE$2:$BE$1068,0)),"")</f>
        <v/>
      </c>
      <c r="K215" s="293">
        <f>IFERROR(INDEX('Historical Data'!$M$2:$M$1068,MATCH($A215,'Historical Data'!$BE$2:$BE$1068,0)),"")</f>
        <v/>
      </c>
      <c r="L215" s="294">
        <f>IFERROR(INDEX('Historical Data'!$N$2:$N$1068,MATCH($A215,'Historical Data'!$BE$2:$BE$1068,0)),"")</f>
        <v/>
      </c>
      <c r="M215" s="294">
        <f>IFERROR(INDEX('Historical Data'!$Q$2:$Q$1068,MATCH($A215,'Historical Data'!$BE$2:$BE$1068,0)),"")</f>
        <v/>
      </c>
      <c r="N215" s="295">
        <f>IFERROR(INDEX('Historical Data'!$S$2:$S$1068,MATCH($A215,'Historical Data'!$BE$2:$BE$1068,0)),"")</f>
        <v/>
      </c>
      <c r="O215" s="294">
        <f>IFERROR(INDEX('Historical Data'!$AJ$2:$AJ$1068,MATCH($A215,'Historical Data'!$BE$2:$BE$1068,0)),"")</f>
        <v/>
      </c>
      <c r="P215" s="294">
        <f>IFERROR(INDEX('Historical Data'!$AK$2:$AK$1068,MATCH($A215,'Historical Data'!$BE$2:$BE$1068,0)),"")</f>
        <v/>
      </c>
      <c r="Q215" s="291">
        <f>IFERROR(INDEX('Historical Data'!$AA$2:$AA$1068,MATCH($A215,'Historical Data'!$BE$2:$BE$1068,0)),"")</f>
        <v/>
      </c>
      <c r="R215" s="291">
        <f>IFERROR(INDEX('Historical Data'!$AB$2:$AB$1068,MATCH($A215,'Historical Data'!$BE$2:$BE$1068,0)),"")</f>
        <v/>
      </c>
      <c r="S215" s="291">
        <f>IFERROR(INDEX('Historical Data'!$AN$2:$AN$1068,MATCH($A215,'Historical Data'!$BE$2:$BE$1068,0)),"")</f>
        <v/>
      </c>
      <c r="T215" s="291">
        <f>IFERROR(INDEX('Historical Data'!$AC$2:$AC$1068,MATCH($A215,'Historical Data'!$BE$2:$BE$1068,0)),"")</f>
        <v/>
      </c>
      <c r="U215" s="291">
        <f>IFERROR(INDEX('Historical Data'!$AE$2:$AE$1068,MATCH($A215,'Historical Data'!$BE$2:$BE$1068,0)),"")</f>
        <v/>
      </c>
      <c r="V215" s="291">
        <f>IFERROR(INDEX('Historical Data'!$AH$2:$AH$1068,MATCH($A215,'Historical Data'!$BE$2:$BE$1068,0)),"")</f>
        <v/>
      </c>
      <c r="W215" s="291">
        <f>IFERROR(INDEX('Historical Data'!$BC$2:$BC$1068,MATCH($A215,'Historical Data'!$BE$2:$BE$1068,0)),"")</f>
        <v/>
      </c>
      <c r="X215" s="290">
        <f>IF(B215="","",IF(W215=1,"NR + industry + position",IF(W215=2,"NR + ISO + position",IF(W215=3,"NR + industry",IF(W215=4,"NR + ISO",IF(W215=5,"NR + position",IF(W215=6,"NR only","book baseline"))))))&amp;"  ["&amp;IF(T215=1,"seasoned","unseasoned")&amp;IF(U215=1,", defaulted","")&amp;IF(V215=1,", open","")&amp;"]")</f>
        <v/>
      </c>
    </row>
    <row r="216">
      <c r="A216" s="290" t="n">
        <v>212</v>
      </c>
      <c r="B216" s="291">
        <f>IFERROR(INDEX('Historical Data'!$A$2:$A$1068,MATCH($A216,'Historical Data'!$BE$2:$BE$1068,0)),"")</f>
        <v/>
      </c>
      <c r="C216" s="291">
        <f>IFERROR(INDEX('Historical Data'!$B$2:$B$1068,MATCH($A216,'Historical Data'!$BE$2:$BE$1068,0)),"")</f>
        <v/>
      </c>
      <c r="D216" s="291">
        <f>IFERROR(INDEX('Historical Data'!$D$2:$D$1068,MATCH($A216,'Historical Data'!$BE$2:$BE$1068,0)),"")</f>
        <v/>
      </c>
      <c r="E216" s="292">
        <f>IFERROR(INDEX('Historical Data'!$E$2:$E$1068,MATCH($A216,'Historical Data'!$BE$2:$BE$1068,0)),"")</f>
        <v/>
      </c>
      <c r="F216" s="291">
        <f>IFERROR(INDEX('Historical Data'!$G$2:$G$1068,MATCH($A216,'Historical Data'!$BE$2:$BE$1068,0)),"")</f>
        <v/>
      </c>
      <c r="G216" s="291">
        <f>IFERROR(INDEX('Historical Data'!$Y$2:$Y$1068,MATCH($A216,'Historical Data'!$BE$2:$BE$1068,0)),"")</f>
        <v/>
      </c>
      <c r="H216" s="291">
        <f>IFERROR(INDEX('Historical Data'!$K$2:$K$1068,MATCH($A216,'Historical Data'!$BE$2:$BE$1068,0)),"")</f>
        <v/>
      </c>
      <c r="I216" s="291">
        <f>IFERROR(INDEX('Historical Data'!$J$2:$J$1068,MATCH($A216,'Historical Data'!$BE$2:$BE$1068,0)),"")</f>
        <v/>
      </c>
      <c r="J216" s="291">
        <f>IFERROR(INDEX('Historical Data'!$L$2:$L$1068,MATCH($A216,'Historical Data'!$BE$2:$BE$1068,0)),"")</f>
        <v/>
      </c>
      <c r="K216" s="293">
        <f>IFERROR(INDEX('Historical Data'!$M$2:$M$1068,MATCH($A216,'Historical Data'!$BE$2:$BE$1068,0)),"")</f>
        <v/>
      </c>
      <c r="L216" s="294">
        <f>IFERROR(INDEX('Historical Data'!$N$2:$N$1068,MATCH($A216,'Historical Data'!$BE$2:$BE$1068,0)),"")</f>
        <v/>
      </c>
      <c r="M216" s="294">
        <f>IFERROR(INDEX('Historical Data'!$Q$2:$Q$1068,MATCH($A216,'Historical Data'!$BE$2:$BE$1068,0)),"")</f>
        <v/>
      </c>
      <c r="N216" s="295">
        <f>IFERROR(INDEX('Historical Data'!$S$2:$S$1068,MATCH($A216,'Historical Data'!$BE$2:$BE$1068,0)),"")</f>
        <v/>
      </c>
      <c r="O216" s="294">
        <f>IFERROR(INDEX('Historical Data'!$AJ$2:$AJ$1068,MATCH($A216,'Historical Data'!$BE$2:$BE$1068,0)),"")</f>
        <v/>
      </c>
      <c r="P216" s="294">
        <f>IFERROR(INDEX('Historical Data'!$AK$2:$AK$1068,MATCH($A216,'Historical Data'!$BE$2:$BE$1068,0)),"")</f>
        <v/>
      </c>
      <c r="Q216" s="291">
        <f>IFERROR(INDEX('Historical Data'!$AA$2:$AA$1068,MATCH($A216,'Historical Data'!$BE$2:$BE$1068,0)),"")</f>
        <v/>
      </c>
      <c r="R216" s="291">
        <f>IFERROR(INDEX('Historical Data'!$AB$2:$AB$1068,MATCH($A216,'Historical Data'!$BE$2:$BE$1068,0)),"")</f>
        <v/>
      </c>
      <c r="S216" s="291">
        <f>IFERROR(INDEX('Historical Data'!$AN$2:$AN$1068,MATCH($A216,'Historical Data'!$BE$2:$BE$1068,0)),"")</f>
        <v/>
      </c>
      <c r="T216" s="291">
        <f>IFERROR(INDEX('Historical Data'!$AC$2:$AC$1068,MATCH($A216,'Historical Data'!$BE$2:$BE$1068,0)),"")</f>
        <v/>
      </c>
      <c r="U216" s="291">
        <f>IFERROR(INDEX('Historical Data'!$AE$2:$AE$1068,MATCH($A216,'Historical Data'!$BE$2:$BE$1068,0)),"")</f>
        <v/>
      </c>
      <c r="V216" s="291">
        <f>IFERROR(INDEX('Historical Data'!$AH$2:$AH$1068,MATCH($A216,'Historical Data'!$BE$2:$BE$1068,0)),"")</f>
        <v/>
      </c>
      <c r="W216" s="291">
        <f>IFERROR(INDEX('Historical Data'!$BC$2:$BC$1068,MATCH($A216,'Historical Data'!$BE$2:$BE$1068,0)),"")</f>
        <v/>
      </c>
      <c r="X216" s="290">
        <f>IF(B216="","",IF(W216=1,"NR + industry + position",IF(W216=2,"NR + ISO + position",IF(W216=3,"NR + industry",IF(W216=4,"NR + ISO",IF(W216=5,"NR + position",IF(W216=6,"NR only","book baseline"))))))&amp;"  ["&amp;IF(T216=1,"seasoned","unseasoned")&amp;IF(U216=1,", defaulted","")&amp;IF(V216=1,", open","")&amp;"]")</f>
        <v/>
      </c>
    </row>
    <row r="217">
      <c r="A217" s="290" t="n">
        <v>213</v>
      </c>
      <c r="B217" s="291">
        <f>IFERROR(INDEX('Historical Data'!$A$2:$A$1068,MATCH($A217,'Historical Data'!$BE$2:$BE$1068,0)),"")</f>
        <v/>
      </c>
      <c r="C217" s="291">
        <f>IFERROR(INDEX('Historical Data'!$B$2:$B$1068,MATCH($A217,'Historical Data'!$BE$2:$BE$1068,0)),"")</f>
        <v/>
      </c>
      <c r="D217" s="291">
        <f>IFERROR(INDEX('Historical Data'!$D$2:$D$1068,MATCH($A217,'Historical Data'!$BE$2:$BE$1068,0)),"")</f>
        <v/>
      </c>
      <c r="E217" s="292">
        <f>IFERROR(INDEX('Historical Data'!$E$2:$E$1068,MATCH($A217,'Historical Data'!$BE$2:$BE$1068,0)),"")</f>
        <v/>
      </c>
      <c r="F217" s="291">
        <f>IFERROR(INDEX('Historical Data'!$G$2:$G$1068,MATCH($A217,'Historical Data'!$BE$2:$BE$1068,0)),"")</f>
        <v/>
      </c>
      <c r="G217" s="291">
        <f>IFERROR(INDEX('Historical Data'!$Y$2:$Y$1068,MATCH($A217,'Historical Data'!$BE$2:$BE$1068,0)),"")</f>
        <v/>
      </c>
      <c r="H217" s="291">
        <f>IFERROR(INDEX('Historical Data'!$K$2:$K$1068,MATCH($A217,'Historical Data'!$BE$2:$BE$1068,0)),"")</f>
        <v/>
      </c>
      <c r="I217" s="291">
        <f>IFERROR(INDEX('Historical Data'!$J$2:$J$1068,MATCH($A217,'Historical Data'!$BE$2:$BE$1068,0)),"")</f>
        <v/>
      </c>
      <c r="J217" s="291">
        <f>IFERROR(INDEX('Historical Data'!$L$2:$L$1068,MATCH($A217,'Historical Data'!$BE$2:$BE$1068,0)),"")</f>
        <v/>
      </c>
      <c r="K217" s="293">
        <f>IFERROR(INDEX('Historical Data'!$M$2:$M$1068,MATCH($A217,'Historical Data'!$BE$2:$BE$1068,0)),"")</f>
        <v/>
      </c>
      <c r="L217" s="294">
        <f>IFERROR(INDEX('Historical Data'!$N$2:$N$1068,MATCH($A217,'Historical Data'!$BE$2:$BE$1068,0)),"")</f>
        <v/>
      </c>
      <c r="M217" s="294">
        <f>IFERROR(INDEX('Historical Data'!$Q$2:$Q$1068,MATCH($A217,'Historical Data'!$BE$2:$BE$1068,0)),"")</f>
        <v/>
      </c>
      <c r="N217" s="295">
        <f>IFERROR(INDEX('Historical Data'!$S$2:$S$1068,MATCH($A217,'Historical Data'!$BE$2:$BE$1068,0)),"")</f>
        <v/>
      </c>
      <c r="O217" s="294">
        <f>IFERROR(INDEX('Historical Data'!$AJ$2:$AJ$1068,MATCH($A217,'Historical Data'!$BE$2:$BE$1068,0)),"")</f>
        <v/>
      </c>
      <c r="P217" s="294">
        <f>IFERROR(INDEX('Historical Data'!$AK$2:$AK$1068,MATCH($A217,'Historical Data'!$BE$2:$BE$1068,0)),"")</f>
        <v/>
      </c>
      <c r="Q217" s="291">
        <f>IFERROR(INDEX('Historical Data'!$AA$2:$AA$1068,MATCH($A217,'Historical Data'!$BE$2:$BE$1068,0)),"")</f>
        <v/>
      </c>
      <c r="R217" s="291">
        <f>IFERROR(INDEX('Historical Data'!$AB$2:$AB$1068,MATCH($A217,'Historical Data'!$BE$2:$BE$1068,0)),"")</f>
        <v/>
      </c>
      <c r="S217" s="291">
        <f>IFERROR(INDEX('Historical Data'!$AN$2:$AN$1068,MATCH($A217,'Historical Data'!$BE$2:$BE$1068,0)),"")</f>
        <v/>
      </c>
      <c r="T217" s="291">
        <f>IFERROR(INDEX('Historical Data'!$AC$2:$AC$1068,MATCH($A217,'Historical Data'!$BE$2:$BE$1068,0)),"")</f>
        <v/>
      </c>
      <c r="U217" s="291">
        <f>IFERROR(INDEX('Historical Data'!$AE$2:$AE$1068,MATCH($A217,'Historical Data'!$BE$2:$BE$1068,0)),"")</f>
        <v/>
      </c>
      <c r="V217" s="291">
        <f>IFERROR(INDEX('Historical Data'!$AH$2:$AH$1068,MATCH($A217,'Historical Data'!$BE$2:$BE$1068,0)),"")</f>
        <v/>
      </c>
      <c r="W217" s="291">
        <f>IFERROR(INDEX('Historical Data'!$BC$2:$BC$1068,MATCH($A217,'Historical Data'!$BE$2:$BE$1068,0)),"")</f>
        <v/>
      </c>
      <c r="X217" s="290">
        <f>IF(B217="","",IF(W217=1,"NR + industry + position",IF(W217=2,"NR + ISO + position",IF(W217=3,"NR + industry",IF(W217=4,"NR + ISO",IF(W217=5,"NR + position",IF(W217=6,"NR only","book baseline"))))))&amp;"  ["&amp;IF(T217=1,"seasoned","unseasoned")&amp;IF(U217=1,", defaulted","")&amp;IF(V217=1,", open","")&amp;"]")</f>
        <v/>
      </c>
    </row>
    <row r="218">
      <c r="A218" s="290" t="n">
        <v>214</v>
      </c>
      <c r="B218" s="291">
        <f>IFERROR(INDEX('Historical Data'!$A$2:$A$1068,MATCH($A218,'Historical Data'!$BE$2:$BE$1068,0)),"")</f>
        <v/>
      </c>
      <c r="C218" s="291">
        <f>IFERROR(INDEX('Historical Data'!$B$2:$B$1068,MATCH($A218,'Historical Data'!$BE$2:$BE$1068,0)),"")</f>
        <v/>
      </c>
      <c r="D218" s="291">
        <f>IFERROR(INDEX('Historical Data'!$D$2:$D$1068,MATCH($A218,'Historical Data'!$BE$2:$BE$1068,0)),"")</f>
        <v/>
      </c>
      <c r="E218" s="292">
        <f>IFERROR(INDEX('Historical Data'!$E$2:$E$1068,MATCH($A218,'Historical Data'!$BE$2:$BE$1068,0)),"")</f>
        <v/>
      </c>
      <c r="F218" s="291">
        <f>IFERROR(INDEX('Historical Data'!$G$2:$G$1068,MATCH($A218,'Historical Data'!$BE$2:$BE$1068,0)),"")</f>
        <v/>
      </c>
      <c r="G218" s="291">
        <f>IFERROR(INDEX('Historical Data'!$Y$2:$Y$1068,MATCH($A218,'Historical Data'!$BE$2:$BE$1068,0)),"")</f>
        <v/>
      </c>
      <c r="H218" s="291">
        <f>IFERROR(INDEX('Historical Data'!$K$2:$K$1068,MATCH($A218,'Historical Data'!$BE$2:$BE$1068,0)),"")</f>
        <v/>
      </c>
      <c r="I218" s="291">
        <f>IFERROR(INDEX('Historical Data'!$J$2:$J$1068,MATCH($A218,'Historical Data'!$BE$2:$BE$1068,0)),"")</f>
        <v/>
      </c>
      <c r="J218" s="291">
        <f>IFERROR(INDEX('Historical Data'!$L$2:$L$1068,MATCH($A218,'Historical Data'!$BE$2:$BE$1068,0)),"")</f>
        <v/>
      </c>
      <c r="K218" s="293">
        <f>IFERROR(INDEX('Historical Data'!$M$2:$M$1068,MATCH($A218,'Historical Data'!$BE$2:$BE$1068,0)),"")</f>
        <v/>
      </c>
      <c r="L218" s="294">
        <f>IFERROR(INDEX('Historical Data'!$N$2:$N$1068,MATCH($A218,'Historical Data'!$BE$2:$BE$1068,0)),"")</f>
        <v/>
      </c>
      <c r="M218" s="294">
        <f>IFERROR(INDEX('Historical Data'!$Q$2:$Q$1068,MATCH($A218,'Historical Data'!$BE$2:$BE$1068,0)),"")</f>
        <v/>
      </c>
      <c r="N218" s="295">
        <f>IFERROR(INDEX('Historical Data'!$S$2:$S$1068,MATCH($A218,'Historical Data'!$BE$2:$BE$1068,0)),"")</f>
        <v/>
      </c>
      <c r="O218" s="294">
        <f>IFERROR(INDEX('Historical Data'!$AJ$2:$AJ$1068,MATCH($A218,'Historical Data'!$BE$2:$BE$1068,0)),"")</f>
        <v/>
      </c>
      <c r="P218" s="294">
        <f>IFERROR(INDEX('Historical Data'!$AK$2:$AK$1068,MATCH($A218,'Historical Data'!$BE$2:$BE$1068,0)),"")</f>
        <v/>
      </c>
      <c r="Q218" s="291">
        <f>IFERROR(INDEX('Historical Data'!$AA$2:$AA$1068,MATCH($A218,'Historical Data'!$BE$2:$BE$1068,0)),"")</f>
        <v/>
      </c>
      <c r="R218" s="291">
        <f>IFERROR(INDEX('Historical Data'!$AB$2:$AB$1068,MATCH($A218,'Historical Data'!$BE$2:$BE$1068,0)),"")</f>
        <v/>
      </c>
      <c r="S218" s="291">
        <f>IFERROR(INDEX('Historical Data'!$AN$2:$AN$1068,MATCH($A218,'Historical Data'!$BE$2:$BE$1068,0)),"")</f>
        <v/>
      </c>
      <c r="T218" s="291">
        <f>IFERROR(INDEX('Historical Data'!$AC$2:$AC$1068,MATCH($A218,'Historical Data'!$BE$2:$BE$1068,0)),"")</f>
        <v/>
      </c>
      <c r="U218" s="291">
        <f>IFERROR(INDEX('Historical Data'!$AE$2:$AE$1068,MATCH($A218,'Historical Data'!$BE$2:$BE$1068,0)),"")</f>
        <v/>
      </c>
      <c r="V218" s="291">
        <f>IFERROR(INDEX('Historical Data'!$AH$2:$AH$1068,MATCH($A218,'Historical Data'!$BE$2:$BE$1068,0)),"")</f>
        <v/>
      </c>
      <c r="W218" s="291">
        <f>IFERROR(INDEX('Historical Data'!$BC$2:$BC$1068,MATCH($A218,'Historical Data'!$BE$2:$BE$1068,0)),"")</f>
        <v/>
      </c>
      <c r="X218" s="290">
        <f>IF(B218="","",IF(W218=1,"NR + industry + position",IF(W218=2,"NR + ISO + position",IF(W218=3,"NR + industry",IF(W218=4,"NR + ISO",IF(W218=5,"NR + position",IF(W218=6,"NR only","book baseline"))))))&amp;"  ["&amp;IF(T218=1,"seasoned","unseasoned")&amp;IF(U218=1,", defaulted","")&amp;IF(V218=1,", open","")&amp;"]")</f>
        <v/>
      </c>
    </row>
    <row r="219">
      <c r="A219" s="290" t="n">
        <v>215</v>
      </c>
      <c r="B219" s="291">
        <f>IFERROR(INDEX('Historical Data'!$A$2:$A$1068,MATCH($A219,'Historical Data'!$BE$2:$BE$1068,0)),"")</f>
        <v/>
      </c>
      <c r="C219" s="291">
        <f>IFERROR(INDEX('Historical Data'!$B$2:$B$1068,MATCH($A219,'Historical Data'!$BE$2:$BE$1068,0)),"")</f>
        <v/>
      </c>
      <c r="D219" s="291">
        <f>IFERROR(INDEX('Historical Data'!$D$2:$D$1068,MATCH($A219,'Historical Data'!$BE$2:$BE$1068,0)),"")</f>
        <v/>
      </c>
      <c r="E219" s="292">
        <f>IFERROR(INDEX('Historical Data'!$E$2:$E$1068,MATCH($A219,'Historical Data'!$BE$2:$BE$1068,0)),"")</f>
        <v/>
      </c>
      <c r="F219" s="291">
        <f>IFERROR(INDEX('Historical Data'!$G$2:$G$1068,MATCH($A219,'Historical Data'!$BE$2:$BE$1068,0)),"")</f>
        <v/>
      </c>
      <c r="G219" s="291">
        <f>IFERROR(INDEX('Historical Data'!$Y$2:$Y$1068,MATCH($A219,'Historical Data'!$BE$2:$BE$1068,0)),"")</f>
        <v/>
      </c>
      <c r="H219" s="291">
        <f>IFERROR(INDEX('Historical Data'!$K$2:$K$1068,MATCH($A219,'Historical Data'!$BE$2:$BE$1068,0)),"")</f>
        <v/>
      </c>
      <c r="I219" s="291">
        <f>IFERROR(INDEX('Historical Data'!$J$2:$J$1068,MATCH($A219,'Historical Data'!$BE$2:$BE$1068,0)),"")</f>
        <v/>
      </c>
      <c r="J219" s="291">
        <f>IFERROR(INDEX('Historical Data'!$L$2:$L$1068,MATCH($A219,'Historical Data'!$BE$2:$BE$1068,0)),"")</f>
        <v/>
      </c>
      <c r="K219" s="293">
        <f>IFERROR(INDEX('Historical Data'!$M$2:$M$1068,MATCH($A219,'Historical Data'!$BE$2:$BE$1068,0)),"")</f>
        <v/>
      </c>
      <c r="L219" s="294">
        <f>IFERROR(INDEX('Historical Data'!$N$2:$N$1068,MATCH($A219,'Historical Data'!$BE$2:$BE$1068,0)),"")</f>
        <v/>
      </c>
      <c r="M219" s="294">
        <f>IFERROR(INDEX('Historical Data'!$Q$2:$Q$1068,MATCH($A219,'Historical Data'!$BE$2:$BE$1068,0)),"")</f>
        <v/>
      </c>
      <c r="N219" s="295">
        <f>IFERROR(INDEX('Historical Data'!$S$2:$S$1068,MATCH($A219,'Historical Data'!$BE$2:$BE$1068,0)),"")</f>
        <v/>
      </c>
      <c r="O219" s="294">
        <f>IFERROR(INDEX('Historical Data'!$AJ$2:$AJ$1068,MATCH($A219,'Historical Data'!$BE$2:$BE$1068,0)),"")</f>
        <v/>
      </c>
      <c r="P219" s="294">
        <f>IFERROR(INDEX('Historical Data'!$AK$2:$AK$1068,MATCH($A219,'Historical Data'!$BE$2:$BE$1068,0)),"")</f>
        <v/>
      </c>
      <c r="Q219" s="291">
        <f>IFERROR(INDEX('Historical Data'!$AA$2:$AA$1068,MATCH($A219,'Historical Data'!$BE$2:$BE$1068,0)),"")</f>
        <v/>
      </c>
      <c r="R219" s="291">
        <f>IFERROR(INDEX('Historical Data'!$AB$2:$AB$1068,MATCH($A219,'Historical Data'!$BE$2:$BE$1068,0)),"")</f>
        <v/>
      </c>
      <c r="S219" s="291">
        <f>IFERROR(INDEX('Historical Data'!$AN$2:$AN$1068,MATCH($A219,'Historical Data'!$BE$2:$BE$1068,0)),"")</f>
        <v/>
      </c>
      <c r="T219" s="291">
        <f>IFERROR(INDEX('Historical Data'!$AC$2:$AC$1068,MATCH($A219,'Historical Data'!$BE$2:$BE$1068,0)),"")</f>
        <v/>
      </c>
      <c r="U219" s="291">
        <f>IFERROR(INDEX('Historical Data'!$AE$2:$AE$1068,MATCH($A219,'Historical Data'!$BE$2:$BE$1068,0)),"")</f>
        <v/>
      </c>
      <c r="V219" s="291">
        <f>IFERROR(INDEX('Historical Data'!$AH$2:$AH$1068,MATCH($A219,'Historical Data'!$BE$2:$BE$1068,0)),"")</f>
        <v/>
      </c>
      <c r="W219" s="291">
        <f>IFERROR(INDEX('Historical Data'!$BC$2:$BC$1068,MATCH($A219,'Historical Data'!$BE$2:$BE$1068,0)),"")</f>
        <v/>
      </c>
      <c r="X219" s="290">
        <f>IF(B219="","",IF(W219=1,"NR + industry + position",IF(W219=2,"NR + ISO + position",IF(W219=3,"NR + industry",IF(W219=4,"NR + ISO",IF(W219=5,"NR + position",IF(W219=6,"NR only","book baseline"))))))&amp;"  ["&amp;IF(T219=1,"seasoned","unseasoned")&amp;IF(U219=1,", defaulted","")&amp;IF(V219=1,", open","")&amp;"]")</f>
        <v/>
      </c>
    </row>
    <row r="220">
      <c r="A220" s="290" t="n">
        <v>216</v>
      </c>
      <c r="B220" s="291">
        <f>IFERROR(INDEX('Historical Data'!$A$2:$A$1068,MATCH($A220,'Historical Data'!$BE$2:$BE$1068,0)),"")</f>
        <v/>
      </c>
      <c r="C220" s="291">
        <f>IFERROR(INDEX('Historical Data'!$B$2:$B$1068,MATCH($A220,'Historical Data'!$BE$2:$BE$1068,0)),"")</f>
        <v/>
      </c>
      <c r="D220" s="291">
        <f>IFERROR(INDEX('Historical Data'!$D$2:$D$1068,MATCH($A220,'Historical Data'!$BE$2:$BE$1068,0)),"")</f>
        <v/>
      </c>
      <c r="E220" s="292">
        <f>IFERROR(INDEX('Historical Data'!$E$2:$E$1068,MATCH($A220,'Historical Data'!$BE$2:$BE$1068,0)),"")</f>
        <v/>
      </c>
      <c r="F220" s="291">
        <f>IFERROR(INDEX('Historical Data'!$G$2:$G$1068,MATCH($A220,'Historical Data'!$BE$2:$BE$1068,0)),"")</f>
        <v/>
      </c>
      <c r="G220" s="291">
        <f>IFERROR(INDEX('Historical Data'!$Y$2:$Y$1068,MATCH($A220,'Historical Data'!$BE$2:$BE$1068,0)),"")</f>
        <v/>
      </c>
      <c r="H220" s="291">
        <f>IFERROR(INDEX('Historical Data'!$K$2:$K$1068,MATCH($A220,'Historical Data'!$BE$2:$BE$1068,0)),"")</f>
        <v/>
      </c>
      <c r="I220" s="291">
        <f>IFERROR(INDEX('Historical Data'!$J$2:$J$1068,MATCH($A220,'Historical Data'!$BE$2:$BE$1068,0)),"")</f>
        <v/>
      </c>
      <c r="J220" s="291">
        <f>IFERROR(INDEX('Historical Data'!$L$2:$L$1068,MATCH($A220,'Historical Data'!$BE$2:$BE$1068,0)),"")</f>
        <v/>
      </c>
      <c r="K220" s="293">
        <f>IFERROR(INDEX('Historical Data'!$M$2:$M$1068,MATCH($A220,'Historical Data'!$BE$2:$BE$1068,0)),"")</f>
        <v/>
      </c>
      <c r="L220" s="294">
        <f>IFERROR(INDEX('Historical Data'!$N$2:$N$1068,MATCH($A220,'Historical Data'!$BE$2:$BE$1068,0)),"")</f>
        <v/>
      </c>
      <c r="M220" s="294">
        <f>IFERROR(INDEX('Historical Data'!$Q$2:$Q$1068,MATCH($A220,'Historical Data'!$BE$2:$BE$1068,0)),"")</f>
        <v/>
      </c>
      <c r="N220" s="295">
        <f>IFERROR(INDEX('Historical Data'!$S$2:$S$1068,MATCH($A220,'Historical Data'!$BE$2:$BE$1068,0)),"")</f>
        <v/>
      </c>
      <c r="O220" s="294">
        <f>IFERROR(INDEX('Historical Data'!$AJ$2:$AJ$1068,MATCH($A220,'Historical Data'!$BE$2:$BE$1068,0)),"")</f>
        <v/>
      </c>
      <c r="P220" s="294">
        <f>IFERROR(INDEX('Historical Data'!$AK$2:$AK$1068,MATCH($A220,'Historical Data'!$BE$2:$BE$1068,0)),"")</f>
        <v/>
      </c>
      <c r="Q220" s="291">
        <f>IFERROR(INDEX('Historical Data'!$AA$2:$AA$1068,MATCH($A220,'Historical Data'!$BE$2:$BE$1068,0)),"")</f>
        <v/>
      </c>
      <c r="R220" s="291">
        <f>IFERROR(INDEX('Historical Data'!$AB$2:$AB$1068,MATCH($A220,'Historical Data'!$BE$2:$BE$1068,0)),"")</f>
        <v/>
      </c>
      <c r="S220" s="291">
        <f>IFERROR(INDEX('Historical Data'!$AN$2:$AN$1068,MATCH($A220,'Historical Data'!$BE$2:$BE$1068,0)),"")</f>
        <v/>
      </c>
      <c r="T220" s="291">
        <f>IFERROR(INDEX('Historical Data'!$AC$2:$AC$1068,MATCH($A220,'Historical Data'!$BE$2:$BE$1068,0)),"")</f>
        <v/>
      </c>
      <c r="U220" s="291">
        <f>IFERROR(INDEX('Historical Data'!$AE$2:$AE$1068,MATCH($A220,'Historical Data'!$BE$2:$BE$1068,0)),"")</f>
        <v/>
      </c>
      <c r="V220" s="291">
        <f>IFERROR(INDEX('Historical Data'!$AH$2:$AH$1068,MATCH($A220,'Historical Data'!$BE$2:$BE$1068,0)),"")</f>
        <v/>
      </c>
      <c r="W220" s="291">
        <f>IFERROR(INDEX('Historical Data'!$BC$2:$BC$1068,MATCH($A220,'Historical Data'!$BE$2:$BE$1068,0)),"")</f>
        <v/>
      </c>
      <c r="X220" s="290">
        <f>IF(B220="","",IF(W220=1,"NR + industry + position",IF(W220=2,"NR + ISO + position",IF(W220=3,"NR + industry",IF(W220=4,"NR + ISO",IF(W220=5,"NR + position",IF(W220=6,"NR only","book baseline"))))))&amp;"  ["&amp;IF(T220=1,"seasoned","unseasoned")&amp;IF(U220=1,", defaulted","")&amp;IF(V220=1,", open","")&amp;"]")</f>
        <v/>
      </c>
    </row>
    <row r="221">
      <c r="A221" s="290" t="n">
        <v>217</v>
      </c>
      <c r="B221" s="291">
        <f>IFERROR(INDEX('Historical Data'!$A$2:$A$1068,MATCH($A221,'Historical Data'!$BE$2:$BE$1068,0)),"")</f>
        <v/>
      </c>
      <c r="C221" s="291">
        <f>IFERROR(INDEX('Historical Data'!$B$2:$B$1068,MATCH($A221,'Historical Data'!$BE$2:$BE$1068,0)),"")</f>
        <v/>
      </c>
      <c r="D221" s="291">
        <f>IFERROR(INDEX('Historical Data'!$D$2:$D$1068,MATCH($A221,'Historical Data'!$BE$2:$BE$1068,0)),"")</f>
        <v/>
      </c>
      <c r="E221" s="292">
        <f>IFERROR(INDEX('Historical Data'!$E$2:$E$1068,MATCH($A221,'Historical Data'!$BE$2:$BE$1068,0)),"")</f>
        <v/>
      </c>
      <c r="F221" s="291">
        <f>IFERROR(INDEX('Historical Data'!$G$2:$G$1068,MATCH($A221,'Historical Data'!$BE$2:$BE$1068,0)),"")</f>
        <v/>
      </c>
      <c r="G221" s="291">
        <f>IFERROR(INDEX('Historical Data'!$Y$2:$Y$1068,MATCH($A221,'Historical Data'!$BE$2:$BE$1068,0)),"")</f>
        <v/>
      </c>
      <c r="H221" s="291">
        <f>IFERROR(INDEX('Historical Data'!$K$2:$K$1068,MATCH($A221,'Historical Data'!$BE$2:$BE$1068,0)),"")</f>
        <v/>
      </c>
      <c r="I221" s="291">
        <f>IFERROR(INDEX('Historical Data'!$J$2:$J$1068,MATCH($A221,'Historical Data'!$BE$2:$BE$1068,0)),"")</f>
        <v/>
      </c>
      <c r="J221" s="291">
        <f>IFERROR(INDEX('Historical Data'!$L$2:$L$1068,MATCH($A221,'Historical Data'!$BE$2:$BE$1068,0)),"")</f>
        <v/>
      </c>
      <c r="K221" s="293">
        <f>IFERROR(INDEX('Historical Data'!$M$2:$M$1068,MATCH($A221,'Historical Data'!$BE$2:$BE$1068,0)),"")</f>
        <v/>
      </c>
      <c r="L221" s="294">
        <f>IFERROR(INDEX('Historical Data'!$N$2:$N$1068,MATCH($A221,'Historical Data'!$BE$2:$BE$1068,0)),"")</f>
        <v/>
      </c>
      <c r="M221" s="294">
        <f>IFERROR(INDEX('Historical Data'!$Q$2:$Q$1068,MATCH($A221,'Historical Data'!$BE$2:$BE$1068,0)),"")</f>
        <v/>
      </c>
      <c r="N221" s="295">
        <f>IFERROR(INDEX('Historical Data'!$S$2:$S$1068,MATCH($A221,'Historical Data'!$BE$2:$BE$1068,0)),"")</f>
        <v/>
      </c>
      <c r="O221" s="294">
        <f>IFERROR(INDEX('Historical Data'!$AJ$2:$AJ$1068,MATCH($A221,'Historical Data'!$BE$2:$BE$1068,0)),"")</f>
        <v/>
      </c>
      <c r="P221" s="294">
        <f>IFERROR(INDEX('Historical Data'!$AK$2:$AK$1068,MATCH($A221,'Historical Data'!$BE$2:$BE$1068,0)),"")</f>
        <v/>
      </c>
      <c r="Q221" s="291">
        <f>IFERROR(INDEX('Historical Data'!$AA$2:$AA$1068,MATCH($A221,'Historical Data'!$BE$2:$BE$1068,0)),"")</f>
        <v/>
      </c>
      <c r="R221" s="291">
        <f>IFERROR(INDEX('Historical Data'!$AB$2:$AB$1068,MATCH($A221,'Historical Data'!$BE$2:$BE$1068,0)),"")</f>
        <v/>
      </c>
      <c r="S221" s="291">
        <f>IFERROR(INDEX('Historical Data'!$AN$2:$AN$1068,MATCH($A221,'Historical Data'!$BE$2:$BE$1068,0)),"")</f>
        <v/>
      </c>
      <c r="T221" s="291">
        <f>IFERROR(INDEX('Historical Data'!$AC$2:$AC$1068,MATCH($A221,'Historical Data'!$BE$2:$BE$1068,0)),"")</f>
        <v/>
      </c>
      <c r="U221" s="291">
        <f>IFERROR(INDEX('Historical Data'!$AE$2:$AE$1068,MATCH($A221,'Historical Data'!$BE$2:$BE$1068,0)),"")</f>
        <v/>
      </c>
      <c r="V221" s="291">
        <f>IFERROR(INDEX('Historical Data'!$AH$2:$AH$1068,MATCH($A221,'Historical Data'!$BE$2:$BE$1068,0)),"")</f>
        <v/>
      </c>
      <c r="W221" s="291">
        <f>IFERROR(INDEX('Historical Data'!$BC$2:$BC$1068,MATCH($A221,'Historical Data'!$BE$2:$BE$1068,0)),"")</f>
        <v/>
      </c>
      <c r="X221" s="290">
        <f>IF(B221="","",IF(W221=1,"NR + industry + position",IF(W221=2,"NR + ISO + position",IF(W221=3,"NR + industry",IF(W221=4,"NR + ISO",IF(W221=5,"NR + position",IF(W221=6,"NR only","book baseline"))))))&amp;"  ["&amp;IF(T221=1,"seasoned","unseasoned")&amp;IF(U221=1,", defaulted","")&amp;IF(V221=1,", open","")&amp;"]")</f>
        <v/>
      </c>
    </row>
    <row r="222">
      <c r="A222" s="290" t="n">
        <v>218</v>
      </c>
      <c r="B222" s="291">
        <f>IFERROR(INDEX('Historical Data'!$A$2:$A$1068,MATCH($A222,'Historical Data'!$BE$2:$BE$1068,0)),"")</f>
        <v/>
      </c>
      <c r="C222" s="291">
        <f>IFERROR(INDEX('Historical Data'!$B$2:$B$1068,MATCH($A222,'Historical Data'!$BE$2:$BE$1068,0)),"")</f>
        <v/>
      </c>
      <c r="D222" s="291">
        <f>IFERROR(INDEX('Historical Data'!$D$2:$D$1068,MATCH($A222,'Historical Data'!$BE$2:$BE$1068,0)),"")</f>
        <v/>
      </c>
      <c r="E222" s="292">
        <f>IFERROR(INDEX('Historical Data'!$E$2:$E$1068,MATCH($A222,'Historical Data'!$BE$2:$BE$1068,0)),"")</f>
        <v/>
      </c>
      <c r="F222" s="291">
        <f>IFERROR(INDEX('Historical Data'!$G$2:$G$1068,MATCH($A222,'Historical Data'!$BE$2:$BE$1068,0)),"")</f>
        <v/>
      </c>
      <c r="G222" s="291">
        <f>IFERROR(INDEX('Historical Data'!$Y$2:$Y$1068,MATCH($A222,'Historical Data'!$BE$2:$BE$1068,0)),"")</f>
        <v/>
      </c>
      <c r="H222" s="291">
        <f>IFERROR(INDEX('Historical Data'!$K$2:$K$1068,MATCH($A222,'Historical Data'!$BE$2:$BE$1068,0)),"")</f>
        <v/>
      </c>
      <c r="I222" s="291">
        <f>IFERROR(INDEX('Historical Data'!$J$2:$J$1068,MATCH($A222,'Historical Data'!$BE$2:$BE$1068,0)),"")</f>
        <v/>
      </c>
      <c r="J222" s="291">
        <f>IFERROR(INDEX('Historical Data'!$L$2:$L$1068,MATCH($A222,'Historical Data'!$BE$2:$BE$1068,0)),"")</f>
        <v/>
      </c>
      <c r="K222" s="293">
        <f>IFERROR(INDEX('Historical Data'!$M$2:$M$1068,MATCH($A222,'Historical Data'!$BE$2:$BE$1068,0)),"")</f>
        <v/>
      </c>
      <c r="L222" s="294">
        <f>IFERROR(INDEX('Historical Data'!$N$2:$N$1068,MATCH($A222,'Historical Data'!$BE$2:$BE$1068,0)),"")</f>
        <v/>
      </c>
      <c r="M222" s="294">
        <f>IFERROR(INDEX('Historical Data'!$Q$2:$Q$1068,MATCH($A222,'Historical Data'!$BE$2:$BE$1068,0)),"")</f>
        <v/>
      </c>
      <c r="N222" s="295">
        <f>IFERROR(INDEX('Historical Data'!$S$2:$S$1068,MATCH($A222,'Historical Data'!$BE$2:$BE$1068,0)),"")</f>
        <v/>
      </c>
      <c r="O222" s="294">
        <f>IFERROR(INDEX('Historical Data'!$AJ$2:$AJ$1068,MATCH($A222,'Historical Data'!$BE$2:$BE$1068,0)),"")</f>
        <v/>
      </c>
      <c r="P222" s="294">
        <f>IFERROR(INDEX('Historical Data'!$AK$2:$AK$1068,MATCH($A222,'Historical Data'!$BE$2:$BE$1068,0)),"")</f>
        <v/>
      </c>
      <c r="Q222" s="291">
        <f>IFERROR(INDEX('Historical Data'!$AA$2:$AA$1068,MATCH($A222,'Historical Data'!$BE$2:$BE$1068,0)),"")</f>
        <v/>
      </c>
      <c r="R222" s="291">
        <f>IFERROR(INDEX('Historical Data'!$AB$2:$AB$1068,MATCH($A222,'Historical Data'!$BE$2:$BE$1068,0)),"")</f>
        <v/>
      </c>
      <c r="S222" s="291">
        <f>IFERROR(INDEX('Historical Data'!$AN$2:$AN$1068,MATCH($A222,'Historical Data'!$BE$2:$BE$1068,0)),"")</f>
        <v/>
      </c>
      <c r="T222" s="291">
        <f>IFERROR(INDEX('Historical Data'!$AC$2:$AC$1068,MATCH($A222,'Historical Data'!$BE$2:$BE$1068,0)),"")</f>
        <v/>
      </c>
      <c r="U222" s="291">
        <f>IFERROR(INDEX('Historical Data'!$AE$2:$AE$1068,MATCH($A222,'Historical Data'!$BE$2:$BE$1068,0)),"")</f>
        <v/>
      </c>
      <c r="V222" s="291">
        <f>IFERROR(INDEX('Historical Data'!$AH$2:$AH$1068,MATCH($A222,'Historical Data'!$BE$2:$BE$1068,0)),"")</f>
        <v/>
      </c>
      <c r="W222" s="291">
        <f>IFERROR(INDEX('Historical Data'!$BC$2:$BC$1068,MATCH($A222,'Historical Data'!$BE$2:$BE$1068,0)),"")</f>
        <v/>
      </c>
      <c r="X222" s="290">
        <f>IF(B222="","",IF(W222=1,"NR + industry + position",IF(W222=2,"NR + ISO + position",IF(W222=3,"NR + industry",IF(W222=4,"NR + ISO",IF(W222=5,"NR + position",IF(W222=6,"NR only","book baseline"))))))&amp;"  ["&amp;IF(T222=1,"seasoned","unseasoned")&amp;IF(U222=1,", defaulted","")&amp;IF(V222=1,", open","")&amp;"]")</f>
        <v/>
      </c>
    </row>
    <row r="223">
      <c r="A223" s="290" t="n">
        <v>219</v>
      </c>
      <c r="B223" s="291">
        <f>IFERROR(INDEX('Historical Data'!$A$2:$A$1068,MATCH($A223,'Historical Data'!$BE$2:$BE$1068,0)),"")</f>
        <v/>
      </c>
      <c r="C223" s="291">
        <f>IFERROR(INDEX('Historical Data'!$B$2:$B$1068,MATCH($A223,'Historical Data'!$BE$2:$BE$1068,0)),"")</f>
        <v/>
      </c>
      <c r="D223" s="291">
        <f>IFERROR(INDEX('Historical Data'!$D$2:$D$1068,MATCH($A223,'Historical Data'!$BE$2:$BE$1068,0)),"")</f>
        <v/>
      </c>
      <c r="E223" s="292">
        <f>IFERROR(INDEX('Historical Data'!$E$2:$E$1068,MATCH($A223,'Historical Data'!$BE$2:$BE$1068,0)),"")</f>
        <v/>
      </c>
      <c r="F223" s="291">
        <f>IFERROR(INDEX('Historical Data'!$G$2:$G$1068,MATCH($A223,'Historical Data'!$BE$2:$BE$1068,0)),"")</f>
        <v/>
      </c>
      <c r="G223" s="291">
        <f>IFERROR(INDEX('Historical Data'!$Y$2:$Y$1068,MATCH($A223,'Historical Data'!$BE$2:$BE$1068,0)),"")</f>
        <v/>
      </c>
      <c r="H223" s="291">
        <f>IFERROR(INDEX('Historical Data'!$K$2:$K$1068,MATCH($A223,'Historical Data'!$BE$2:$BE$1068,0)),"")</f>
        <v/>
      </c>
      <c r="I223" s="291">
        <f>IFERROR(INDEX('Historical Data'!$J$2:$J$1068,MATCH($A223,'Historical Data'!$BE$2:$BE$1068,0)),"")</f>
        <v/>
      </c>
      <c r="J223" s="291">
        <f>IFERROR(INDEX('Historical Data'!$L$2:$L$1068,MATCH($A223,'Historical Data'!$BE$2:$BE$1068,0)),"")</f>
        <v/>
      </c>
      <c r="K223" s="293">
        <f>IFERROR(INDEX('Historical Data'!$M$2:$M$1068,MATCH($A223,'Historical Data'!$BE$2:$BE$1068,0)),"")</f>
        <v/>
      </c>
      <c r="L223" s="294">
        <f>IFERROR(INDEX('Historical Data'!$N$2:$N$1068,MATCH($A223,'Historical Data'!$BE$2:$BE$1068,0)),"")</f>
        <v/>
      </c>
      <c r="M223" s="294">
        <f>IFERROR(INDEX('Historical Data'!$Q$2:$Q$1068,MATCH($A223,'Historical Data'!$BE$2:$BE$1068,0)),"")</f>
        <v/>
      </c>
      <c r="N223" s="295">
        <f>IFERROR(INDEX('Historical Data'!$S$2:$S$1068,MATCH($A223,'Historical Data'!$BE$2:$BE$1068,0)),"")</f>
        <v/>
      </c>
      <c r="O223" s="294">
        <f>IFERROR(INDEX('Historical Data'!$AJ$2:$AJ$1068,MATCH($A223,'Historical Data'!$BE$2:$BE$1068,0)),"")</f>
        <v/>
      </c>
      <c r="P223" s="294">
        <f>IFERROR(INDEX('Historical Data'!$AK$2:$AK$1068,MATCH($A223,'Historical Data'!$BE$2:$BE$1068,0)),"")</f>
        <v/>
      </c>
      <c r="Q223" s="291">
        <f>IFERROR(INDEX('Historical Data'!$AA$2:$AA$1068,MATCH($A223,'Historical Data'!$BE$2:$BE$1068,0)),"")</f>
        <v/>
      </c>
      <c r="R223" s="291">
        <f>IFERROR(INDEX('Historical Data'!$AB$2:$AB$1068,MATCH($A223,'Historical Data'!$BE$2:$BE$1068,0)),"")</f>
        <v/>
      </c>
      <c r="S223" s="291">
        <f>IFERROR(INDEX('Historical Data'!$AN$2:$AN$1068,MATCH($A223,'Historical Data'!$BE$2:$BE$1068,0)),"")</f>
        <v/>
      </c>
      <c r="T223" s="291">
        <f>IFERROR(INDEX('Historical Data'!$AC$2:$AC$1068,MATCH($A223,'Historical Data'!$BE$2:$BE$1068,0)),"")</f>
        <v/>
      </c>
      <c r="U223" s="291">
        <f>IFERROR(INDEX('Historical Data'!$AE$2:$AE$1068,MATCH($A223,'Historical Data'!$BE$2:$BE$1068,0)),"")</f>
        <v/>
      </c>
      <c r="V223" s="291">
        <f>IFERROR(INDEX('Historical Data'!$AH$2:$AH$1068,MATCH($A223,'Historical Data'!$BE$2:$BE$1068,0)),"")</f>
        <v/>
      </c>
      <c r="W223" s="291">
        <f>IFERROR(INDEX('Historical Data'!$BC$2:$BC$1068,MATCH($A223,'Historical Data'!$BE$2:$BE$1068,0)),"")</f>
        <v/>
      </c>
      <c r="X223" s="290">
        <f>IF(B223="","",IF(W223=1,"NR + industry + position",IF(W223=2,"NR + ISO + position",IF(W223=3,"NR + industry",IF(W223=4,"NR + ISO",IF(W223=5,"NR + position",IF(W223=6,"NR only","book baseline"))))))&amp;"  ["&amp;IF(T223=1,"seasoned","unseasoned")&amp;IF(U223=1,", defaulted","")&amp;IF(V223=1,", open","")&amp;"]")</f>
        <v/>
      </c>
    </row>
    <row r="224">
      <c r="A224" s="290" t="n">
        <v>220</v>
      </c>
      <c r="B224" s="291">
        <f>IFERROR(INDEX('Historical Data'!$A$2:$A$1068,MATCH($A224,'Historical Data'!$BE$2:$BE$1068,0)),"")</f>
        <v/>
      </c>
      <c r="C224" s="291">
        <f>IFERROR(INDEX('Historical Data'!$B$2:$B$1068,MATCH($A224,'Historical Data'!$BE$2:$BE$1068,0)),"")</f>
        <v/>
      </c>
      <c r="D224" s="291">
        <f>IFERROR(INDEX('Historical Data'!$D$2:$D$1068,MATCH($A224,'Historical Data'!$BE$2:$BE$1068,0)),"")</f>
        <v/>
      </c>
      <c r="E224" s="292">
        <f>IFERROR(INDEX('Historical Data'!$E$2:$E$1068,MATCH($A224,'Historical Data'!$BE$2:$BE$1068,0)),"")</f>
        <v/>
      </c>
      <c r="F224" s="291">
        <f>IFERROR(INDEX('Historical Data'!$G$2:$G$1068,MATCH($A224,'Historical Data'!$BE$2:$BE$1068,0)),"")</f>
        <v/>
      </c>
      <c r="G224" s="291">
        <f>IFERROR(INDEX('Historical Data'!$Y$2:$Y$1068,MATCH($A224,'Historical Data'!$BE$2:$BE$1068,0)),"")</f>
        <v/>
      </c>
      <c r="H224" s="291">
        <f>IFERROR(INDEX('Historical Data'!$K$2:$K$1068,MATCH($A224,'Historical Data'!$BE$2:$BE$1068,0)),"")</f>
        <v/>
      </c>
      <c r="I224" s="291">
        <f>IFERROR(INDEX('Historical Data'!$J$2:$J$1068,MATCH($A224,'Historical Data'!$BE$2:$BE$1068,0)),"")</f>
        <v/>
      </c>
      <c r="J224" s="291">
        <f>IFERROR(INDEX('Historical Data'!$L$2:$L$1068,MATCH($A224,'Historical Data'!$BE$2:$BE$1068,0)),"")</f>
        <v/>
      </c>
      <c r="K224" s="293">
        <f>IFERROR(INDEX('Historical Data'!$M$2:$M$1068,MATCH($A224,'Historical Data'!$BE$2:$BE$1068,0)),"")</f>
        <v/>
      </c>
      <c r="L224" s="294">
        <f>IFERROR(INDEX('Historical Data'!$N$2:$N$1068,MATCH($A224,'Historical Data'!$BE$2:$BE$1068,0)),"")</f>
        <v/>
      </c>
      <c r="M224" s="294">
        <f>IFERROR(INDEX('Historical Data'!$Q$2:$Q$1068,MATCH($A224,'Historical Data'!$BE$2:$BE$1068,0)),"")</f>
        <v/>
      </c>
      <c r="N224" s="295">
        <f>IFERROR(INDEX('Historical Data'!$S$2:$S$1068,MATCH($A224,'Historical Data'!$BE$2:$BE$1068,0)),"")</f>
        <v/>
      </c>
      <c r="O224" s="294">
        <f>IFERROR(INDEX('Historical Data'!$AJ$2:$AJ$1068,MATCH($A224,'Historical Data'!$BE$2:$BE$1068,0)),"")</f>
        <v/>
      </c>
      <c r="P224" s="294">
        <f>IFERROR(INDEX('Historical Data'!$AK$2:$AK$1068,MATCH($A224,'Historical Data'!$BE$2:$BE$1068,0)),"")</f>
        <v/>
      </c>
      <c r="Q224" s="291">
        <f>IFERROR(INDEX('Historical Data'!$AA$2:$AA$1068,MATCH($A224,'Historical Data'!$BE$2:$BE$1068,0)),"")</f>
        <v/>
      </c>
      <c r="R224" s="291">
        <f>IFERROR(INDEX('Historical Data'!$AB$2:$AB$1068,MATCH($A224,'Historical Data'!$BE$2:$BE$1068,0)),"")</f>
        <v/>
      </c>
      <c r="S224" s="291">
        <f>IFERROR(INDEX('Historical Data'!$AN$2:$AN$1068,MATCH($A224,'Historical Data'!$BE$2:$BE$1068,0)),"")</f>
        <v/>
      </c>
      <c r="T224" s="291">
        <f>IFERROR(INDEX('Historical Data'!$AC$2:$AC$1068,MATCH($A224,'Historical Data'!$BE$2:$BE$1068,0)),"")</f>
        <v/>
      </c>
      <c r="U224" s="291">
        <f>IFERROR(INDEX('Historical Data'!$AE$2:$AE$1068,MATCH($A224,'Historical Data'!$BE$2:$BE$1068,0)),"")</f>
        <v/>
      </c>
      <c r="V224" s="291">
        <f>IFERROR(INDEX('Historical Data'!$AH$2:$AH$1068,MATCH($A224,'Historical Data'!$BE$2:$BE$1068,0)),"")</f>
        <v/>
      </c>
      <c r="W224" s="291">
        <f>IFERROR(INDEX('Historical Data'!$BC$2:$BC$1068,MATCH($A224,'Historical Data'!$BE$2:$BE$1068,0)),"")</f>
        <v/>
      </c>
      <c r="X224" s="290">
        <f>IF(B224="","",IF(W224=1,"NR + industry + position",IF(W224=2,"NR + ISO + position",IF(W224=3,"NR + industry",IF(W224=4,"NR + ISO",IF(W224=5,"NR + position",IF(W224=6,"NR only","book baseline"))))))&amp;"  ["&amp;IF(T224=1,"seasoned","unseasoned")&amp;IF(U224=1,", defaulted","")&amp;IF(V224=1,", open","")&amp;"]")</f>
        <v/>
      </c>
    </row>
    <row r="225">
      <c r="A225" s="290" t="n">
        <v>221</v>
      </c>
      <c r="B225" s="291">
        <f>IFERROR(INDEX('Historical Data'!$A$2:$A$1068,MATCH($A225,'Historical Data'!$BE$2:$BE$1068,0)),"")</f>
        <v/>
      </c>
      <c r="C225" s="291">
        <f>IFERROR(INDEX('Historical Data'!$B$2:$B$1068,MATCH($A225,'Historical Data'!$BE$2:$BE$1068,0)),"")</f>
        <v/>
      </c>
      <c r="D225" s="291">
        <f>IFERROR(INDEX('Historical Data'!$D$2:$D$1068,MATCH($A225,'Historical Data'!$BE$2:$BE$1068,0)),"")</f>
        <v/>
      </c>
      <c r="E225" s="292">
        <f>IFERROR(INDEX('Historical Data'!$E$2:$E$1068,MATCH($A225,'Historical Data'!$BE$2:$BE$1068,0)),"")</f>
        <v/>
      </c>
      <c r="F225" s="291">
        <f>IFERROR(INDEX('Historical Data'!$G$2:$G$1068,MATCH($A225,'Historical Data'!$BE$2:$BE$1068,0)),"")</f>
        <v/>
      </c>
      <c r="G225" s="291">
        <f>IFERROR(INDEX('Historical Data'!$Y$2:$Y$1068,MATCH($A225,'Historical Data'!$BE$2:$BE$1068,0)),"")</f>
        <v/>
      </c>
      <c r="H225" s="291">
        <f>IFERROR(INDEX('Historical Data'!$K$2:$K$1068,MATCH($A225,'Historical Data'!$BE$2:$BE$1068,0)),"")</f>
        <v/>
      </c>
      <c r="I225" s="291">
        <f>IFERROR(INDEX('Historical Data'!$J$2:$J$1068,MATCH($A225,'Historical Data'!$BE$2:$BE$1068,0)),"")</f>
        <v/>
      </c>
      <c r="J225" s="291">
        <f>IFERROR(INDEX('Historical Data'!$L$2:$L$1068,MATCH($A225,'Historical Data'!$BE$2:$BE$1068,0)),"")</f>
        <v/>
      </c>
      <c r="K225" s="293">
        <f>IFERROR(INDEX('Historical Data'!$M$2:$M$1068,MATCH($A225,'Historical Data'!$BE$2:$BE$1068,0)),"")</f>
        <v/>
      </c>
      <c r="L225" s="294">
        <f>IFERROR(INDEX('Historical Data'!$N$2:$N$1068,MATCH($A225,'Historical Data'!$BE$2:$BE$1068,0)),"")</f>
        <v/>
      </c>
      <c r="M225" s="294">
        <f>IFERROR(INDEX('Historical Data'!$Q$2:$Q$1068,MATCH($A225,'Historical Data'!$BE$2:$BE$1068,0)),"")</f>
        <v/>
      </c>
      <c r="N225" s="295">
        <f>IFERROR(INDEX('Historical Data'!$S$2:$S$1068,MATCH($A225,'Historical Data'!$BE$2:$BE$1068,0)),"")</f>
        <v/>
      </c>
      <c r="O225" s="294">
        <f>IFERROR(INDEX('Historical Data'!$AJ$2:$AJ$1068,MATCH($A225,'Historical Data'!$BE$2:$BE$1068,0)),"")</f>
        <v/>
      </c>
      <c r="P225" s="294">
        <f>IFERROR(INDEX('Historical Data'!$AK$2:$AK$1068,MATCH($A225,'Historical Data'!$BE$2:$BE$1068,0)),"")</f>
        <v/>
      </c>
      <c r="Q225" s="291">
        <f>IFERROR(INDEX('Historical Data'!$AA$2:$AA$1068,MATCH($A225,'Historical Data'!$BE$2:$BE$1068,0)),"")</f>
        <v/>
      </c>
      <c r="R225" s="291">
        <f>IFERROR(INDEX('Historical Data'!$AB$2:$AB$1068,MATCH($A225,'Historical Data'!$BE$2:$BE$1068,0)),"")</f>
        <v/>
      </c>
      <c r="S225" s="291">
        <f>IFERROR(INDEX('Historical Data'!$AN$2:$AN$1068,MATCH($A225,'Historical Data'!$BE$2:$BE$1068,0)),"")</f>
        <v/>
      </c>
      <c r="T225" s="291">
        <f>IFERROR(INDEX('Historical Data'!$AC$2:$AC$1068,MATCH($A225,'Historical Data'!$BE$2:$BE$1068,0)),"")</f>
        <v/>
      </c>
      <c r="U225" s="291">
        <f>IFERROR(INDEX('Historical Data'!$AE$2:$AE$1068,MATCH($A225,'Historical Data'!$BE$2:$BE$1068,0)),"")</f>
        <v/>
      </c>
      <c r="V225" s="291">
        <f>IFERROR(INDEX('Historical Data'!$AH$2:$AH$1068,MATCH($A225,'Historical Data'!$BE$2:$BE$1068,0)),"")</f>
        <v/>
      </c>
      <c r="W225" s="291">
        <f>IFERROR(INDEX('Historical Data'!$BC$2:$BC$1068,MATCH($A225,'Historical Data'!$BE$2:$BE$1068,0)),"")</f>
        <v/>
      </c>
      <c r="X225" s="290">
        <f>IF(B225="","",IF(W225=1,"NR + industry + position",IF(W225=2,"NR + ISO + position",IF(W225=3,"NR + industry",IF(W225=4,"NR + ISO",IF(W225=5,"NR + position",IF(W225=6,"NR only","book baseline"))))))&amp;"  ["&amp;IF(T225=1,"seasoned","unseasoned")&amp;IF(U225=1,", defaulted","")&amp;IF(V225=1,", open","")&amp;"]")</f>
        <v/>
      </c>
    </row>
    <row r="226">
      <c r="A226" s="290" t="n">
        <v>222</v>
      </c>
      <c r="B226" s="291">
        <f>IFERROR(INDEX('Historical Data'!$A$2:$A$1068,MATCH($A226,'Historical Data'!$BE$2:$BE$1068,0)),"")</f>
        <v/>
      </c>
      <c r="C226" s="291">
        <f>IFERROR(INDEX('Historical Data'!$B$2:$B$1068,MATCH($A226,'Historical Data'!$BE$2:$BE$1068,0)),"")</f>
        <v/>
      </c>
      <c r="D226" s="291">
        <f>IFERROR(INDEX('Historical Data'!$D$2:$D$1068,MATCH($A226,'Historical Data'!$BE$2:$BE$1068,0)),"")</f>
        <v/>
      </c>
      <c r="E226" s="292">
        <f>IFERROR(INDEX('Historical Data'!$E$2:$E$1068,MATCH($A226,'Historical Data'!$BE$2:$BE$1068,0)),"")</f>
        <v/>
      </c>
      <c r="F226" s="291">
        <f>IFERROR(INDEX('Historical Data'!$G$2:$G$1068,MATCH($A226,'Historical Data'!$BE$2:$BE$1068,0)),"")</f>
        <v/>
      </c>
      <c r="G226" s="291">
        <f>IFERROR(INDEX('Historical Data'!$Y$2:$Y$1068,MATCH($A226,'Historical Data'!$BE$2:$BE$1068,0)),"")</f>
        <v/>
      </c>
      <c r="H226" s="291">
        <f>IFERROR(INDEX('Historical Data'!$K$2:$K$1068,MATCH($A226,'Historical Data'!$BE$2:$BE$1068,0)),"")</f>
        <v/>
      </c>
      <c r="I226" s="291">
        <f>IFERROR(INDEX('Historical Data'!$J$2:$J$1068,MATCH($A226,'Historical Data'!$BE$2:$BE$1068,0)),"")</f>
        <v/>
      </c>
      <c r="J226" s="291">
        <f>IFERROR(INDEX('Historical Data'!$L$2:$L$1068,MATCH($A226,'Historical Data'!$BE$2:$BE$1068,0)),"")</f>
        <v/>
      </c>
      <c r="K226" s="293">
        <f>IFERROR(INDEX('Historical Data'!$M$2:$M$1068,MATCH($A226,'Historical Data'!$BE$2:$BE$1068,0)),"")</f>
        <v/>
      </c>
      <c r="L226" s="294">
        <f>IFERROR(INDEX('Historical Data'!$N$2:$N$1068,MATCH($A226,'Historical Data'!$BE$2:$BE$1068,0)),"")</f>
        <v/>
      </c>
      <c r="M226" s="294">
        <f>IFERROR(INDEX('Historical Data'!$Q$2:$Q$1068,MATCH($A226,'Historical Data'!$BE$2:$BE$1068,0)),"")</f>
        <v/>
      </c>
      <c r="N226" s="295">
        <f>IFERROR(INDEX('Historical Data'!$S$2:$S$1068,MATCH($A226,'Historical Data'!$BE$2:$BE$1068,0)),"")</f>
        <v/>
      </c>
      <c r="O226" s="294">
        <f>IFERROR(INDEX('Historical Data'!$AJ$2:$AJ$1068,MATCH($A226,'Historical Data'!$BE$2:$BE$1068,0)),"")</f>
        <v/>
      </c>
      <c r="P226" s="294">
        <f>IFERROR(INDEX('Historical Data'!$AK$2:$AK$1068,MATCH($A226,'Historical Data'!$BE$2:$BE$1068,0)),"")</f>
        <v/>
      </c>
      <c r="Q226" s="291">
        <f>IFERROR(INDEX('Historical Data'!$AA$2:$AA$1068,MATCH($A226,'Historical Data'!$BE$2:$BE$1068,0)),"")</f>
        <v/>
      </c>
      <c r="R226" s="291">
        <f>IFERROR(INDEX('Historical Data'!$AB$2:$AB$1068,MATCH($A226,'Historical Data'!$BE$2:$BE$1068,0)),"")</f>
        <v/>
      </c>
      <c r="S226" s="291">
        <f>IFERROR(INDEX('Historical Data'!$AN$2:$AN$1068,MATCH($A226,'Historical Data'!$BE$2:$BE$1068,0)),"")</f>
        <v/>
      </c>
      <c r="T226" s="291">
        <f>IFERROR(INDEX('Historical Data'!$AC$2:$AC$1068,MATCH($A226,'Historical Data'!$BE$2:$BE$1068,0)),"")</f>
        <v/>
      </c>
      <c r="U226" s="291">
        <f>IFERROR(INDEX('Historical Data'!$AE$2:$AE$1068,MATCH($A226,'Historical Data'!$BE$2:$BE$1068,0)),"")</f>
        <v/>
      </c>
      <c r="V226" s="291">
        <f>IFERROR(INDEX('Historical Data'!$AH$2:$AH$1068,MATCH($A226,'Historical Data'!$BE$2:$BE$1068,0)),"")</f>
        <v/>
      </c>
      <c r="W226" s="291">
        <f>IFERROR(INDEX('Historical Data'!$BC$2:$BC$1068,MATCH($A226,'Historical Data'!$BE$2:$BE$1068,0)),"")</f>
        <v/>
      </c>
      <c r="X226" s="290">
        <f>IF(B226="","",IF(W226=1,"NR + industry + position",IF(W226=2,"NR + ISO + position",IF(W226=3,"NR + industry",IF(W226=4,"NR + ISO",IF(W226=5,"NR + position",IF(W226=6,"NR only","book baseline"))))))&amp;"  ["&amp;IF(T226=1,"seasoned","unseasoned")&amp;IF(U226=1,", defaulted","")&amp;IF(V226=1,", open","")&amp;"]")</f>
        <v/>
      </c>
    </row>
    <row r="227">
      <c r="A227" s="290" t="n">
        <v>223</v>
      </c>
      <c r="B227" s="291">
        <f>IFERROR(INDEX('Historical Data'!$A$2:$A$1068,MATCH($A227,'Historical Data'!$BE$2:$BE$1068,0)),"")</f>
        <v/>
      </c>
      <c r="C227" s="291">
        <f>IFERROR(INDEX('Historical Data'!$B$2:$B$1068,MATCH($A227,'Historical Data'!$BE$2:$BE$1068,0)),"")</f>
        <v/>
      </c>
      <c r="D227" s="291">
        <f>IFERROR(INDEX('Historical Data'!$D$2:$D$1068,MATCH($A227,'Historical Data'!$BE$2:$BE$1068,0)),"")</f>
        <v/>
      </c>
      <c r="E227" s="292">
        <f>IFERROR(INDEX('Historical Data'!$E$2:$E$1068,MATCH($A227,'Historical Data'!$BE$2:$BE$1068,0)),"")</f>
        <v/>
      </c>
      <c r="F227" s="291">
        <f>IFERROR(INDEX('Historical Data'!$G$2:$G$1068,MATCH($A227,'Historical Data'!$BE$2:$BE$1068,0)),"")</f>
        <v/>
      </c>
      <c r="G227" s="291">
        <f>IFERROR(INDEX('Historical Data'!$Y$2:$Y$1068,MATCH($A227,'Historical Data'!$BE$2:$BE$1068,0)),"")</f>
        <v/>
      </c>
      <c r="H227" s="291">
        <f>IFERROR(INDEX('Historical Data'!$K$2:$K$1068,MATCH($A227,'Historical Data'!$BE$2:$BE$1068,0)),"")</f>
        <v/>
      </c>
      <c r="I227" s="291">
        <f>IFERROR(INDEX('Historical Data'!$J$2:$J$1068,MATCH($A227,'Historical Data'!$BE$2:$BE$1068,0)),"")</f>
        <v/>
      </c>
      <c r="J227" s="291">
        <f>IFERROR(INDEX('Historical Data'!$L$2:$L$1068,MATCH($A227,'Historical Data'!$BE$2:$BE$1068,0)),"")</f>
        <v/>
      </c>
      <c r="K227" s="293">
        <f>IFERROR(INDEX('Historical Data'!$M$2:$M$1068,MATCH($A227,'Historical Data'!$BE$2:$BE$1068,0)),"")</f>
        <v/>
      </c>
      <c r="L227" s="294">
        <f>IFERROR(INDEX('Historical Data'!$N$2:$N$1068,MATCH($A227,'Historical Data'!$BE$2:$BE$1068,0)),"")</f>
        <v/>
      </c>
      <c r="M227" s="294">
        <f>IFERROR(INDEX('Historical Data'!$Q$2:$Q$1068,MATCH($A227,'Historical Data'!$BE$2:$BE$1068,0)),"")</f>
        <v/>
      </c>
      <c r="N227" s="295">
        <f>IFERROR(INDEX('Historical Data'!$S$2:$S$1068,MATCH($A227,'Historical Data'!$BE$2:$BE$1068,0)),"")</f>
        <v/>
      </c>
      <c r="O227" s="294">
        <f>IFERROR(INDEX('Historical Data'!$AJ$2:$AJ$1068,MATCH($A227,'Historical Data'!$BE$2:$BE$1068,0)),"")</f>
        <v/>
      </c>
      <c r="P227" s="294">
        <f>IFERROR(INDEX('Historical Data'!$AK$2:$AK$1068,MATCH($A227,'Historical Data'!$BE$2:$BE$1068,0)),"")</f>
        <v/>
      </c>
      <c r="Q227" s="291">
        <f>IFERROR(INDEX('Historical Data'!$AA$2:$AA$1068,MATCH($A227,'Historical Data'!$BE$2:$BE$1068,0)),"")</f>
        <v/>
      </c>
      <c r="R227" s="291">
        <f>IFERROR(INDEX('Historical Data'!$AB$2:$AB$1068,MATCH($A227,'Historical Data'!$BE$2:$BE$1068,0)),"")</f>
        <v/>
      </c>
      <c r="S227" s="291">
        <f>IFERROR(INDEX('Historical Data'!$AN$2:$AN$1068,MATCH($A227,'Historical Data'!$BE$2:$BE$1068,0)),"")</f>
        <v/>
      </c>
      <c r="T227" s="291">
        <f>IFERROR(INDEX('Historical Data'!$AC$2:$AC$1068,MATCH($A227,'Historical Data'!$BE$2:$BE$1068,0)),"")</f>
        <v/>
      </c>
      <c r="U227" s="291">
        <f>IFERROR(INDEX('Historical Data'!$AE$2:$AE$1068,MATCH($A227,'Historical Data'!$BE$2:$BE$1068,0)),"")</f>
        <v/>
      </c>
      <c r="V227" s="291">
        <f>IFERROR(INDEX('Historical Data'!$AH$2:$AH$1068,MATCH($A227,'Historical Data'!$BE$2:$BE$1068,0)),"")</f>
        <v/>
      </c>
      <c r="W227" s="291">
        <f>IFERROR(INDEX('Historical Data'!$BC$2:$BC$1068,MATCH($A227,'Historical Data'!$BE$2:$BE$1068,0)),"")</f>
        <v/>
      </c>
      <c r="X227" s="290">
        <f>IF(B227="","",IF(W227=1,"NR + industry + position",IF(W227=2,"NR + ISO + position",IF(W227=3,"NR + industry",IF(W227=4,"NR + ISO",IF(W227=5,"NR + position",IF(W227=6,"NR only","book baseline"))))))&amp;"  ["&amp;IF(T227=1,"seasoned","unseasoned")&amp;IF(U227=1,", defaulted","")&amp;IF(V227=1,", open","")&amp;"]")</f>
        <v/>
      </c>
    </row>
    <row r="228">
      <c r="A228" s="290" t="n">
        <v>224</v>
      </c>
      <c r="B228" s="291">
        <f>IFERROR(INDEX('Historical Data'!$A$2:$A$1068,MATCH($A228,'Historical Data'!$BE$2:$BE$1068,0)),"")</f>
        <v/>
      </c>
      <c r="C228" s="291">
        <f>IFERROR(INDEX('Historical Data'!$B$2:$B$1068,MATCH($A228,'Historical Data'!$BE$2:$BE$1068,0)),"")</f>
        <v/>
      </c>
      <c r="D228" s="291">
        <f>IFERROR(INDEX('Historical Data'!$D$2:$D$1068,MATCH($A228,'Historical Data'!$BE$2:$BE$1068,0)),"")</f>
        <v/>
      </c>
      <c r="E228" s="292">
        <f>IFERROR(INDEX('Historical Data'!$E$2:$E$1068,MATCH($A228,'Historical Data'!$BE$2:$BE$1068,0)),"")</f>
        <v/>
      </c>
      <c r="F228" s="291">
        <f>IFERROR(INDEX('Historical Data'!$G$2:$G$1068,MATCH($A228,'Historical Data'!$BE$2:$BE$1068,0)),"")</f>
        <v/>
      </c>
      <c r="G228" s="291">
        <f>IFERROR(INDEX('Historical Data'!$Y$2:$Y$1068,MATCH($A228,'Historical Data'!$BE$2:$BE$1068,0)),"")</f>
        <v/>
      </c>
      <c r="H228" s="291">
        <f>IFERROR(INDEX('Historical Data'!$K$2:$K$1068,MATCH($A228,'Historical Data'!$BE$2:$BE$1068,0)),"")</f>
        <v/>
      </c>
      <c r="I228" s="291">
        <f>IFERROR(INDEX('Historical Data'!$J$2:$J$1068,MATCH($A228,'Historical Data'!$BE$2:$BE$1068,0)),"")</f>
        <v/>
      </c>
      <c r="J228" s="291">
        <f>IFERROR(INDEX('Historical Data'!$L$2:$L$1068,MATCH($A228,'Historical Data'!$BE$2:$BE$1068,0)),"")</f>
        <v/>
      </c>
      <c r="K228" s="293">
        <f>IFERROR(INDEX('Historical Data'!$M$2:$M$1068,MATCH($A228,'Historical Data'!$BE$2:$BE$1068,0)),"")</f>
        <v/>
      </c>
      <c r="L228" s="294">
        <f>IFERROR(INDEX('Historical Data'!$N$2:$N$1068,MATCH($A228,'Historical Data'!$BE$2:$BE$1068,0)),"")</f>
        <v/>
      </c>
      <c r="M228" s="294">
        <f>IFERROR(INDEX('Historical Data'!$Q$2:$Q$1068,MATCH($A228,'Historical Data'!$BE$2:$BE$1068,0)),"")</f>
        <v/>
      </c>
      <c r="N228" s="295">
        <f>IFERROR(INDEX('Historical Data'!$S$2:$S$1068,MATCH($A228,'Historical Data'!$BE$2:$BE$1068,0)),"")</f>
        <v/>
      </c>
      <c r="O228" s="294">
        <f>IFERROR(INDEX('Historical Data'!$AJ$2:$AJ$1068,MATCH($A228,'Historical Data'!$BE$2:$BE$1068,0)),"")</f>
        <v/>
      </c>
      <c r="P228" s="294">
        <f>IFERROR(INDEX('Historical Data'!$AK$2:$AK$1068,MATCH($A228,'Historical Data'!$BE$2:$BE$1068,0)),"")</f>
        <v/>
      </c>
      <c r="Q228" s="291">
        <f>IFERROR(INDEX('Historical Data'!$AA$2:$AA$1068,MATCH($A228,'Historical Data'!$BE$2:$BE$1068,0)),"")</f>
        <v/>
      </c>
      <c r="R228" s="291">
        <f>IFERROR(INDEX('Historical Data'!$AB$2:$AB$1068,MATCH($A228,'Historical Data'!$BE$2:$BE$1068,0)),"")</f>
        <v/>
      </c>
      <c r="S228" s="291">
        <f>IFERROR(INDEX('Historical Data'!$AN$2:$AN$1068,MATCH($A228,'Historical Data'!$BE$2:$BE$1068,0)),"")</f>
        <v/>
      </c>
      <c r="T228" s="291">
        <f>IFERROR(INDEX('Historical Data'!$AC$2:$AC$1068,MATCH($A228,'Historical Data'!$BE$2:$BE$1068,0)),"")</f>
        <v/>
      </c>
      <c r="U228" s="291">
        <f>IFERROR(INDEX('Historical Data'!$AE$2:$AE$1068,MATCH($A228,'Historical Data'!$BE$2:$BE$1068,0)),"")</f>
        <v/>
      </c>
      <c r="V228" s="291">
        <f>IFERROR(INDEX('Historical Data'!$AH$2:$AH$1068,MATCH($A228,'Historical Data'!$BE$2:$BE$1068,0)),"")</f>
        <v/>
      </c>
      <c r="W228" s="291">
        <f>IFERROR(INDEX('Historical Data'!$BC$2:$BC$1068,MATCH($A228,'Historical Data'!$BE$2:$BE$1068,0)),"")</f>
        <v/>
      </c>
      <c r="X228" s="290">
        <f>IF(B228="","",IF(W228=1,"NR + industry + position",IF(W228=2,"NR + ISO + position",IF(W228=3,"NR + industry",IF(W228=4,"NR + ISO",IF(W228=5,"NR + position",IF(W228=6,"NR only","book baseline"))))))&amp;"  ["&amp;IF(T228=1,"seasoned","unseasoned")&amp;IF(U228=1,", defaulted","")&amp;IF(V228=1,", open","")&amp;"]")</f>
        <v/>
      </c>
    </row>
    <row r="229">
      <c r="A229" s="290" t="n">
        <v>225</v>
      </c>
      <c r="B229" s="291">
        <f>IFERROR(INDEX('Historical Data'!$A$2:$A$1068,MATCH($A229,'Historical Data'!$BE$2:$BE$1068,0)),"")</f>
        <v/>
      </c>
      <c r="C229" s="291">
        <f>IFERROR(INDEX('Historical Data'!$B$2:$B$1068,MATCH($A229,'Historical Data'!$BE$2:$BE$1068,0)),"")</f>
        <v/>
      </c>
      <c r="D229" s="291">
        <f>IFERROR(INDEX('Historical Data'!$D$2:$D$1068,MATCH($A229,'Historical Data'!$BE$2:$BE$1068,0)),"")</f>
        <v/>
      </c>
      <c r="E229" s="292">
        <f>IFERROR(INDEX('Historical Data'!$E$2:$E$1068,MATCH($A229,'Historical Data'!$BE$2:$BE$1068,0)),"")</f>
        <v/>
      </c>
      <c r="F229" s="291">
        <f>IFERROR(INDEX('Historical Data'!$G$2:$G$1068,MATCH($A229,'Historical Data'!$BE$2:$BE$1068,0)),"")</f>
        <v/>
      </c>
      <c r="G229" s="291">
        <f>IFERROR(INDEX('Historical Data'!$Y$2:$Y$1068,MATCH($A229,'Historical Data'!$BE$2:$BE$1068,0)),"")</f>
        <v/>
      </c>
      <c r="H229" s="291">
        <f>IFERROR(INDEX('Historical Data'!$K$2:$K$1068,MATCH($A229,'Historical Data'!$BE$2:$BE$1068,0)),"")</f>
        <v/>
      </c>
      <c r="I229" s="291">
        <f>IFERROR(INDEX('Historical Data'!$J$2:$J$1068,MATCH($A229,'Historical Data'!$BE$2:$BE$1068,0)),"")</f>
        <v/>
      </c>
      <c r="J229" s="291">
        <f>IFERROR(INDEX('Historical Data'!$L$2:$L$1068,MATCH($A229,'Historical Data'!$BE$2:$BE$1068,0)),"")</f>
        <v/>
      </c>
      <c r="K229" s="293">
        <f>IFERROR(INDEX('Historical Data'!$M$2:$M$1068,MATCH($A229,'Historical Data'!$BE$2:$BE$1068,0)),"")</f>
        <v/>
      </c>
      <c r="L229" s="294">
        <f>IFERROR(INDEX('Historical Data'!$N$2:$N$1068,MATCH($A229,'Historical Data'!$BE$2:$BE$1068,0)),"")</f>
        <v/>
      </c>
      <c r="M229" s="294">
        <f>IFERROR(INDEX('Historical Data'!$Q$2:$Q$1068,MATCH($A229,'Historical Data'!$BE$2:$BE$1068,0)),"")</f>
        <v/>
      </c>
      <c r="N229" s="295">
        <f>IFERROR(INDEX('Historical Data'!$S$2:$S$1068,MATCH($A229,'Historical Data'!$BE$2:$BE$1068,0)),"")</f>
        <v/>
      </c>
      <c r="O229" s="294">
        <f>IFERROR(INDEX('Historical Data'!$AJ$2:$AJ$1068,MATCH($A229,'Historical Data'!$BE$2:$BE$1068,0)),"")</f>
        <v/>
      </c>
      <c r="P229" s="294">
        <f>IFERROR(INDEX('Historical Data'!$AK$2:$AK$1068,MATCH($A229,'Historical Data'!$BE$2:$BE$1068,0)),"")</f>
        <v/>
      </c>
      <c r="Q229" s="291">
        <f>IFERROR(INDEX('Historical Data'!$AA$2:$AA$1068,MATCH($A229,'Historical Data'!$BE$2:$BE$1068,0)),"")</f>
        <v/>
      </c>
      <c r="R229" s="291">
        <f>IFERROR(INDEX('Historical Data'!$AB$2:$AB$1068,MATCH($A229,'Historical Data'!$BE$2:$BE$1068,0)),"")</f>
        <v/>
      </c>
      <c r="S229" s="291">
        <f>IFERROR(INDEX('Historical Data'!$AN$2:$AN$1068,MATCH($A229,'Historical Data'!$BE$2:$BE$1068,0)),"")</f>
        <v/>
      </c>
      <c r="T229" s="291">
        <f>IFERROR(INDEX('Historical Data'!$AC$2:$AC$1068,MATCH($A229,'Historical Data'!$BE$2:$BE$1068,0)),"")</f>
        <v/>
      </c>
      <c r="U229" s="291">
        <f>IFERROR(INDEX('Historical Data'!$AE$2:$AE$1068,MATCH($A229,'Historical Data'!$BE$2:$BE$1068,0)),"")</f>
        <v/>
      </c>
      <c r="V229" s="291">
        <f>IFERROR(INDEX('Historical Data'!$AH$2:$AH$1068,MATCH($A229,'Historical Data'!$BE$2:$BE$1068,0)),"")</f>
        <v/>
      </c>
      <c r="W229" s="291">
        <f>IFERROR(INDEX('Historical Data'!$BC$2:$BC$1068,MATCH($A229,'Historical Data'!$BE$2:$BE$1068,0)),"")</f>
        <v/>
      </c>
      <c r="X229" s="290">
        <f>IF(B229="","",IF(W229=1,"NR + industry + position",IF(W229=2,"NR + ISO + position",IF(W229=3,"NR + industry",IF(W229=4,"NR + ISO",IF(W229=5,"NR + position",IF(W229=6,"NR only","book baseline"))))))&amp;"  ["&amp;IF(T229=1,"seasoned","unseasoned")&amp;IF(U229=1,", defaulted","")&amp;IF(V229=1,", open","")&amp;"]")</f>
        <v/>
      </c>
    </row>
    <row r="230">
      <c r="A230" s="290" t="n">
        <v>226</v>
      </c>
      <c r="B230" s="291">
        <f>IFERROR(INDEX('Historical Data'!$A$2:$A$1068,MATCH($A230,'Historical Data'!$BE$2:$BE$1068,0)),"")</f>
        <v/>
      </c>
      <c r="C230" s="291">
        <f>IFERROR(INDEX('Historical Data'!$B$2:$B$1068,MATCH($A230,'Historical Data'!$BE$2:$BE$1068,0)),"")</f>
        <v/>
      </c>
      <c r="D230" s="291">
        <f>IFERROR(INDEX('Historical Data'!$D$2:$D$1068,MATCH($A230,'Historical Data'!$BE$2:$BE$1068,0)),"")</f>
        <v/>
      </c>
      <c r="E230" s="292">
        <f>IFERROR(INDEX('Historical Data'!$E$2:$E$1068,MATCH($A230,'Historical Data'!$BE$2:$BE$1068,0)),"")</f>
        <v/>
      </c>
      <c r="F230" s="291">
        <f>IFERROR(INDEX('Historical Data'!$G$2:$G$1068,MATCH($A230,'Historical Data'!$BE$2:$BE$1068,0)),"")</f>
        <v/>
      </c>
      <c r="G230" s="291">
        <f>IFERROR(INDEX('Historical Data'!$Y$2:$Y$1068,MATCH($A230,'Historical Data'!$BE$2:$BE$1068,0)),"")</f>
        <v/>
      </c>
      <c r="H230" s="291">
        <f>IFERROR(INDEX('Historical Data'!$K$2:$K$1068,MATCH($A230,'Historical Data'!$BE$2:$BE$1068,0)),"")</f>
        <v/>
      </c>
      <c r="I230" s="291">
        <f>IFERROR(INDEX('Historical Data'!$J$2:$J$1068,MATCH($A230,'Historical Data'!$BE$2:$BE$1068,0)),"")</f>
        <v/>
      </c>
      <c r="J230" s="291">
        <f>IFERROR(INDEX('Historical Data'!$L$2:$L$1068,MATCH($A230,'Historical Data'!$BE$2:$BE$1068,0)),"")</f>
        <v/>
      </c>
      <c r="K230" s="293">
        <f>IFERROR(INDEX('Historical Data'!$M$2:$M$1068,MATCH($A230,'Historical Data'!$BE$2:$BE$1068,0)),"")</f>
        <v/>
      </c>
      <c r="L230" s="294">
        <f>IFERROR(INDEX('Historical Data'!$N$2:$N$1068,MATCH($A230,'Historical Data'!$BE$2:$BE$1068,0)),"")</f>
        <v/>
      </c>
      <c r="M230" s="294">
        <f>IFERROR(INDEX('Historical Data'!$Q$2:$Q$1068,MATCH($A230,'Historical Data'!$BE$2:$BE$1068,0)),"")</f>
        <v/>
      </c>
      <c r="N230" s="295">
        <f>IFERROR(INDEX('Historical Data'!$S$2:$S$1068,MATCH($A230,'Historical Data'!$BE$2:$BE$1068,0)),"")</f>
        <v/>
      </c>
      <c r="O230" s="294">
        <f>IFERROR(INDEX('Historical Data'!$AJ$2:$AJ$1068,MATCH($A230,'Historical Data'!$BE$2:$BE$1068,0)),"")</f>
        <v/>
      </c>
      <c r="P230" s="294">
        <f>IFERROR(INDEX('Historical Data'!$AK$2:$AK$1068,MATCH($A230,'Historical Data'!$BE$2:$BE$1068,0)),"")</f>
        <v/>
      </c>
      <c r="Q230" s="291">
        <f>IFERROR(INDEX('Historical Data'!$AA$2:$AA$1068,MATCH($A230,'Historical Data'!$BE$2:$BE$1068,0)),"")</f>
        <v/>
      </c>
      <c r="R230" s="291">
        <f>IFERROR(INDEX('Historical Data'!$AB$2:$AB$1068,MATCH($A230,'Historical Data'!$BE$2:$BE$1068,0)),"")</f>
        <v/>
      </c>
      <c r="S230" s="291">
        <f>IFERROR(INDEX('Historical Data'!$AN$2:$AN$1068,MATCH($A230,'Historical Data'!$BE$2:$BE$1068,0)),"")</f>
        <v/>
      </c>
      <c r="T230" s="291">
        <f>IFERROR(INDEX('Historical Data'!$AC$2:$AC$1068,MATCH($A230,'Historical Data'!$BE$2:$BE$1068,0)),"")</f>
        <v/>
      </c>
      <c r="U230" s="291">
        <f>IFERROR(INDEX('Historical Data'!$AE$2:$AE$1068,MATCH($A230,'Historical Data'!$BE$2:$BE$1068,0)),"")</f>
        <v/>
      </c>
      <c r="V230" s="291">
        <f>IFERROR(INDEX('Historical Data'!$AH$2:$AH$1068,MATCH($A230,'Historical Data'!$BE$2:$BE$1068,0)),"")</f>
        <v/>
      </c>
      <c r="W230" s="291">
        <f>IFERROR(INDEX('Historical Data'!$BC$2:$BC$1068,MATCH($A230,'Historical Data'!$BE$2:$BE$1068,0)),"")</f>
        <v/>
      </c>
      <c r="X230" s="290">
        <f>IF(B230="","",IF(W230=1,"NR + industry + position",IF(W230=2,"NR + ISO + position",IF(W230=3,"NR + industry",IF(W230=4,"NR + ISO",IF(W230=5,"NR + position",IF(W230=6,"NR only","book baseline"))))))&amp;"  ["&amp;IF(T230=1,"seasoned","unseasoned")&amp;IF(U230=1,", defaulted","")&amp;IF(V230=1,", open","")&amp;"]")</f>
        <v/>
      </c>
    </row>
    <row r="231">
      <c r="A231" s="290" t="n">
        <v>227</v>
      </c>
      <c r="B231" s="291">
        <f>IFERROR(INDEX('Historical Data'!$A$2:$A$1068,MATCH($A231,'Historical Data'!$BE$2:$BE$1068,0)),"")</f>
        <v/>
      </c>
      <c r="C231" s="291">
        <f>IFERROR(INDEX('Historical Data'!$B$2:$B$1068,MATCH($A231,'Historical Data'!$BE$2:$BE$1068,0)),"")</f>
        <v/>
      </c>
      <c r="D231" s="291">
        <f>IFERROR(INDEX('Historical Data'!$D$2:$D$1068,MATCH($A231,'Historical Data'!$BE$2:$BE$1068,0)),"")</f>
        <v/>
      </c>
      <c r="E231" s="292">
        <f>IFERROR(INDEX('Historical Data'!$E$2:$E$1068,MATCH($A231,'Historical Data'!$BE$2:$BE$1068,0)),"")</f>
        <v/>
      </c>
      <c r="F231" s="291">
        <f>IFERROR(INDEX('Historical Data'!$G$2:$G$1068,MATCH($A231,'Historical Data'!$BE$2:$BE$1068,0)),"")</f>
        <v/>
      </c>
      <c r="G231" s="291">
        <f>IFERROR(INDEX('Historical Data'!$Y$2:$Y$1068,MATCH($A231,'Historical Data'!$BE$2:$BE$1068,0)),"")</f>
        <v/>
      </c>
      <c r="H231" s="291">
        <f>IFERROR(INDEX('Historical Data'!$K$2:$K$1068,MATCH($A231,'Historical Data'!$BE$2:$BE$1068,0)),"")</f>
        <v/>
      </c>
      <c r="I231" s="291">
        <f>IFERROR(INDEX('Historical Data'!$J$2:$J$1068,MATCH($A231,'Historical Data'!$BE$2:$BE$1068,0)),"")</f>
        <v/>
      </c>
      <c r="J231" s="291">
        <f>IFERROR(INDEX('Historical Data'!$L$2:$L$1068,MATCH($A231,'Historical Data'!$BE$2:$BE$1068,0)),"")</f>
        <v/>
      </c>
      <c r="K231" s="293">
        <f>IFERROR(INDEX('Historical Data'!$M$2:$M$1068,MATCH($A231,'Historical Data'!$BE$2:$BE$1068,0)),"")</f>
        <v/>
      </c>
      <c r="L231" s="294">
        <f>IFERROR(INDEX('Historical Data'!$N$2:$N$1068,MATCH($A231,'Historical Data'!$BE$2:$BE$1068,0)),"")</f>
        <v/>
      </c>
      <c r="M231" s="294">
        <f>IFERROR(INDEX('Historical Data'!$Q$2:$Q$1068,MATCH($A231,'Historical Data'!$BE$2:$BE$1068,0)),"")</f>
        <v/>
      </c>
      <c r="N231" s="295">
        <f>IFERROR(INDEX('Historical Data'!$S$2:$S$1068,MATCH($A231,'Historical Data'!$BE$2:$BE$1068,0)),"")</f>
        <v/>
      </c>
      <c r="O231" s="294">
        <f>IFERROR(INDEX('Historical Data'!$AJ$2:$AJ$1068,MATCH($A231,'Historical Data'!$BE$2:$BE$1068,0)),"")</f>
        <v/>
      </c>
      <c r="P231" s="294">
        <f>IFERROR(INDEX('Historical Data'!$AK$2:$AK$1068,MATCH($A231,'Historical Data'!$BE$2:$BE$1068,0)),"")</f>
        <v/>
      </c>
      <c r="Q231" s="291">
        <f>IFERROR(INDEX('Historical Data'!$AA$2:$AA$1068,MATCH($A231,'Historical Data'!$BE$2:$BE$1068,0)),"")</f>
        <v/>
      </c>
      <c r="R231" s="291">
        <f>IFERROR(INDEX('Historical Data'!$AB$2:$AB$1068,MATCH($A231,'Historical Data'!$BE$2:$BE$1068,0)),"")</f>
        <v/>
      </c>
      <c r="S231" s="291">
        <f>IFERROR(INDEX('Historical Data'!$AN$2:$AN$1068,MATCH($A231,'Historical Data'!$BE$2:$BE$1068,0)),"")</f>
        <v/>
      </c>
      <c r="T231" s="291">
        <f>IFERROR(INDEX('Historical Data'!$AC$2:$AC$1068,MATCH($A231,'Historical Data'!$BE$2:$BE$1068,0)),"")</f>
        <v/>
      </c>
      <c r="U231" s="291">
        <f>IFERROR(INDEX('Historical Data'!$AE$2:$AE$1068,MATCH($A231,'Historical Data'!$BE$2:$BE$1068,0)),"")</f>
        <v/>
      </c>
      <c r="V231" s="291">
        <f>IFERROR(INDEX('Historical Data'!$AH$2:$AH$1068,MATCH($A231,'Historical Data'!$BE$2:$BE$1068,0)),"")</f>
        <v/>
      </c>
      <c r="W231" s="291">
        <f>IFERROR(INDEX('Historical Data'!$BC$2:$BC$1068,MATCH($A231,'Historical Data'!$BE$2:$BE$1068,0)),"")</f>
        <v/>
      </c>
      <c r="X231" s="290">
        <f>IF(B231="","",IF(W231=1,"NR + industry + position",IF(W231=2,"NR + ISO + position",IF(W231=3,"NR + industry",IF(W231=4,"NR + ISO",IF(W231=5,"NR + position",IF(W231=6,"NR only","book baseline"))))))&amp;"  ["&amp;IF(T231=1,"seasoned","unseasoned")&amp;IF(U231=1,", defaulted","")&amp;IF(V231=1,", open","")&amp;"]")</f>
        <v/>
      </c>
    </row>
    <row r="232">
      <c r="A232" s="290" t="n">
        <v>228</v>
      </c>
      <c r="B232" s="291">
        <f>IFERROR(INDEX('Historical Data'!$A$2:$A$1068,MATCH($A232,'Historical Data'!$BE$2:$BE$1068,0)),"")</f>
        <v/>
      </c>
      <c r="C232" s="291">
        <f>IFERROR(INDEX('Historical Data'!$B$2:$B$1068,MATCH($A232,'Historical Data'!$BE$2:$BE$1068,0)),"")</f>
        <v/>
      </c>
      <c r="D232" s="291">
        <f>IFERROR(INDEX('Historical Data'!$D$2:$D$1068,MATCH($A232,'Historical Data'!$BE$2:$BE$1068,0)),"")</f>
        <v/>
      </c>
      <c r="E232" s="292">
        <f>IFERROR(INDEX('Historical Data'!$E$2:$E$1068,MATCH($A232,'Historical Data'!$BE$2:$BE$1068,0)),"")</f>
        <v/>
      </c>
      <c r="F232" s="291">
        <f>IFERROR(INDEX('Historical Data'!$G$2:$G$1068,MATCH($A232,'Historical Data'!$BE$2:$BE$1068,0)),"")</f>
        <v/>
      </c>
      <c r="G232" s="291">
        <f>IFERROR(INDEX('Historical Data'!$Y$2:$Y$1068,MATCH($A232,'Historical Data'!$BE$2:$BE$1068,0)),"")</f>
        <v/>
      </c>
      <c r="H232" s="291">
        <f>IFERROR(INDEX('Historical Data'!$K$2:$K$1068,MATCH($A232,'Historical Data'!$BE$2:$BE$1068,0)),"")</f>
        <v/>
      </c>
      <c r="I232" s="291">
        <f>IFERROR(INDEX('Historical Data'!$J$2:$J$1068,MATCH($A232,'Historical Data'!$BE$2:$BE$1068,0)),"")</f>
        <v/>
      </c>
      <c r="J232" s="291">
        <f>IFERROR(INDEX('Historical Data'!$L$2:$L$1068,MATCH($A232,'Historical Data'!$BE$2:$BE$1068,0)),"")</f>
        <v/>
      </c>
      <c r="K232" s="293">
        <f>IFERROR(INDEX('Historical Data'!$M$2:$M$1068,MATCH($A232,'Historical Data'!$BE$2:$BE$1068,0)),"")</f>
        <v/>
      </c>
      <c r="L232" s="294">
        <f>IFERROR(INDEX('Historical Data'!$N$2:$N$1068,MATCH($A232,'Historical Data'!$BE$2:$BE$1068,0)),"")</f>
        <v/>
      </c>
      <c r="M232" s="294">
        <f>IFERROR(INDEX('Historical Data'!$Q$2:$Q$1068,MATCH($A232,'Historical Data'!$BE$2:$BE$1068,0)),"")</f>
        <v/>
      </c>
      <c r="N232" s="295">
        <f>IFERROR(INDEX('Historical Data'!$S$2:$S$1068,MATCH($A232,'Historical Data'!$BE$2:$BE$1068,0)),"")</f>
        <v/>
      </c>
      <c r="O232" s="294">
        <f>IFERROR(INDEX('Historical Data'!$AJ$2:$AJ$1068,MATCH($A232,'Historical Data'!$BE$2:$BE$1068,0)),"")</f>
        <v/>
      </c>
      <c r="P232" s="294">
        <f>IFERROR(INDEX('Historical Data'!$AK$2:$AK$1068,MATCH($A232,'Historical Data'!$BE$2:$BE$1068,0)),"")</f>
        <v/>
      </c>
      <c r="Q232" s="291">
        <f>IFERROR(INDEX('Historical Data'!$AA$2:$AA$1068,MATCH($A232,'Historical Data'!$BE$2:$BE$1068,0)),"")</f>
        <v/>
      </c>
      <c r="R232" s="291">
        <f>IFERROR(INDEX('Historical Data'!$AB$2:$AB$1068,MATCH($A232,'Historical Data'!$BE$2:$BE$1068,0)),"")</f>
        <v/>
      </c>
      <c r="S232" s="291">
        <f>IFERROR(INDEX('Historical Data'!$AN$2:$AN$1068,MATCH($A232,'Historical Data'!$BE$2:$BE$1068,0)),"")</f>
        <v/>
      </c>
      <c r="T232" s="291">
        <f>IFERROR(INDEX('Historical Data'!$AC$2:$AC$1068,MATCH($A232,'Historical Data'!$BE$2:$BE$1068,0)),"")</f>
        <v/>
      </c>
      <c r="U232" s="291">
        <f>IFERROR(INDEX('Historical Data'!$AE$2:$AE$1068,MATCH($A232,'Historical Data'!$BE$2:$BE$1068,0)),"")</f>
        <v/>
      </c>
      <c r="V232" s="291">
        <f>IFERROR(INDEX('Historical Data'!$AH$2:$AH$1068,MATCH($A232,'Historical Data'!$BE$2:$BE$1068,0)),"")</f>
        <v/>
      </c>
      <c r="W232" s="291">
        <f>IFERROR(INDEX('Historical Data'!$BC$2:$BC$1068,MATCH($A232,'Historical Data'!$BE$2:$BE$1068,0)),"")</f>
        <v/>
      </c>
      <c r="X232" s="290">
        <f>IF(B232="","",IF(W232=1,"NR + industry + position",IF(W232=2,"NR + ISO + position",IF(W232=3,"NR + industry",IF(W232=4,"NR + ISO",IF(W232=5,"NR + position",IF(W232=6,"NR only","book baseline"))))))&amp;"  ["&amp;IF(T232=1,"seasoned","unseasoned")&amp;IF(U232=1,", defaulted","")&amp;IF(V232=1,", open","")&amp;"]")</f>
        <v/>
      </c>
    </row>
    <row r="233">
      <c r="A233" s="290" t="n">
        <v>229</v>
      </c>
      <c r="B233" s="291">
        <f>IFERROR(INDEX('Historical Data'!$A$2:$A$1068,MATCH($A233,'Historical Data'!$BE$2:$BE$1068,0)),"")</f>
        <v/>
      </c>
      <c r="C233" s="291">
        <f>IFERROR(INDEX('Historical Data'!$B$2:$B$1068,MATCH($A233,'Historical Data'!$BE$2:$BE$1068,0)),"")</f>
        <v/>
      </c>
      <c r="D233" s="291">
        <f>IFERROR(INDEX('Historical Data'!$D$2:$D$1068,MATCH($A233,'Historical Data'!$BE$2:$BE$1068,0)),"")</f>
        <v/>
      </c>
      <c r="E233" s="292">
        <f>IFERROR(INDEX('Historical Data'!$E$2:$E$1068,MATCH($A233,'Historical Data'!$BE$2:$BE$1068,0)),"")</f>
        <v/>
      </c>
      <c r="F233" s="291">
        <f>IFERROR(INDEX('Historical Data'!$G$2:$G$1068,MATCH($A233,'Historical Data'!$BE$2:$BE$1068,0)),"")</f>
        <v/>
      </c>
      <c r="G233" s="291">
        <f>IFERROR(INDEX('Historical Data'!$Y$2:$Y$1068,MATCH($A233,'Historical Data'!$BE$2:$BE$1068,0)),"")</f>
        <v/>
      </c>
      <c r="H233" s="291">
        <f>IFERROR(INDEX('Historical Data'!$K$2:$K$1068,MATCH($A233,'Historical Data'!$BE$2:$BE$1068,0)),"")</f>
        <v/>
      </c>
      <c r="I233" s="291">
        <f>IFERROR(INDEX('Historical Data'!$J$2:$J$1068,MATCH($A233,'Historical Data'!$BE$2:$BE$1068,0)),"")</f>
        <v/>
      </c>
      <c r="J233" s="291">
        <f>IFERROR(INDEX('Historical Data'!$L$2:$L$1068,MATCH($A233,'Historical Data'!$BE$2:$BE$1068,0)),"")</f>
        <v/>
      </c>
      <c r="K233" s="293">
        <f>IFERROR(INDEX('Historical Data'!$M$2:$M$1068,MATCH($A233,'Historical Data'!$BE$2:$BE$1068,0)),"")</f>
        <v/>
      </c>
      <c r="L233" s="294">
        <f>IFERROR(INDEX('Historical Data'!$N$2:$N$1068,MATCH($A233,'Historical Data'!$BE$2:$BE$1068,0)),"")</f>
        <v/>
      </c>
      <c r="M233" s="294">
        <f>IFERROR(INDEX('Historical Data'!$Q$2:$Q$1068,MATCH($A233,'Historical Data'!$BE$2:$BE$1068,0)),"")</f>
        <v/>
      </c>
      <c r="N233" s="295">
        <f>IFERROR(INDEX('Historical Data'!$S$2:$S$1068,MATCH($A233,'Historical Data'!$BE$2:$BE$1068,0)),"")</f>
        <v/>
      </c>
      <c r="O233" s="294">
        <f>IFERROR(INDEX('Historical Data'!$AJ$2:$AJ$1068,MATCH($A233,'Historical Data'!$BE$2:$BE$1068,0)),"")</f>
        <v/>
      </c>
      <c r="P233" s="294">
        <f>IFERROR(INDEX('Historical Data'!$AK$2:$AK$1068,MATCH($A233,'Historical Data'!$BE$2:$BE$1068,0)),"")</f>
        <v/>
      </c>
      <c r="Q233" s="291">
        <f>IFERROR(INDEX('Historical Data'!$AA$2:$AA$1068,MATCH($A233,'Historical Data'!$BE$2:$BE$1068,0)),"")</f>
        <v/>
      </c>
      <c r="R233" s="291">
        <f>IFERROR(INDEX('Historical Data'!$AB$2:$AB$1068,MATCH($A233,'Historical Data'!$BE$2:$BE$1068,0)),"")</f>
        <v/>
      </c>
      <c r="S233" s="291">
        <f>IFERROR(INDEX('Historical Data'!$AN$2:$AN$1068,MATCH($A233,'Historical Data'!$BE$2:$BE$1068,0)),"")</f>
        <v/>
      </c>
      <c r="T233" s="291">
        <f>IFERROR(INDEX('Historical Data'!$AC$2:$AC$1068,MATCH($A233,'Historical Data'!$BE$2:$BE$1068,0)),"")</f>
        <v/>
      </c>
      <c r="U233" s="291">
        <f>IFERROR(INDEX('Historical Data'!$AE$2:$AE$1068,MATCH($A233,'Historical Data'!$BE$2:$BE$1068,0)),"")</f>
        <v/>
      </c>
      <c r="V233" s="291">
        <f>IFERROR(INDEX('Historical Data'!$AH$2:$AH$1068,MATCH($A233,'Historical Data'!$BE$2:$BE$1068,0)),"")</f>
        <v/>
      </c>
      <c r="W233" s="291">
        <f>IFERROR(INDEX('Historical Data'!$BC$2:$BC$1068,MATCH($A233,'Historical Data'!$BE$2:$BE$1068,0)),"")</f>
        <v/>
      </c>
      <c r="X233" s="290">
        <f>IF(B233="","",IF(W233=1,"NR + industry + position",IF(W233=2,"NR + ISO + position",IF(W233=3,"NR + industry",IF(W233=4,"NR + ISO",IF(W233=5,"NR + position",IF(W233=6,"NR only","book baseline"))))))&amp;"  ["&amp;IF(T233=1,"seasoned","unseasoned")&amp;IF(U233=1,", defaulted","")&amp;IF(V233=1,", open","")&amp;"]")</f>
        <v/>
      </c>
    </row>
    <row r="234">
      <c r="A234" s="290" t="n">
        <v>230</v>
      </c>
      <c r="B234" s="291">
        <f>IFERROR(INDEX('Historical Data'!$A$2:$A$1068,MATCH($A234,'Historical Data'!$BE$2:$BE$1068,0)),"")</f>
        <v/>
      </c>
      <c r="C234" s="291">
        <f>IFERROR(INDEX('Historical Data'!$B$2:$B$1068,MATCH($A234,'Historical Data'!$BE$2:$BE$1068,0)),"")</f>
        <v/>
      </c>
      <c r="D234" s="291">
        <f>IFERROR(INDEX('Historical Data'!$D$2:$D$1068,MATCH($A234,'Historical Data'!$BE$2:$BE$1068,0)),"")</f>
        <v/>
      </c>
      <c r="E234" s="292">
        <f>IFERROR(INDEX('Historical Data'!$E$2:$E$1068,MATCH($A234,'Historical Data'!$BE$2:$BE$1068,0)),"")</f>
        <v/>
      </c>
      <c r="F234" s="291">
        <f>IFERROR(INDEX('Historical Data'!$G$2:$G$1068,MATCH($A234,'Historical Data'!$BE$2:$BE$1068,0)),"")</f>
        <v/>
      </c>
      <c r="G234" s="291">
        <f>IFERROR(INDEX('Historical Data'!$Y$2:$Y$1068,MATCH($A234,'Historical Data'!$BE$2:$BE$1068,0)),"")</f>
        <v/>
      </c>
      <c r="H234" s="291">
        <f>IFERROR(INDEX('Historical Data'!$K$2:$K$1068,MATCH($A234,'Historical Data'!$BE$2:$BE$1068,0)),"")</f>
        <v/>
      </c>
      <c r="I234" s="291">
        <f>IFERROR(INDEX('Historical Data'!$J$2:$J$1068,MATCH($A234,'Historical Data'!$BE$2:$BE$1068,0)),"")</f>
        <v/>
      </c>
      <c r="J234" s="291">
        <f>IFERROR(INDEX('Historical Data'!$L$2:$L$1068,MATCH($A234,'Historical Data'!$BE$2:$BE$1068,0)),"")</f>
        <v/>
      </c>
      <c r="K234" s="293">
        <f>IFERROR(INDEX('Historical Data'!$M$2:$M$1068,MATCH($A234,'Historical Data'!$BE$2:$BE$1068,0)),"")</f>
        <v/>
      </c>
      <c r="L234" s="294">
        <f>IFERROR(INDEX('Historical Data'!$N$2:$N$1068,MATCH($A234,'Historical Data'!$BE$2:$BE$1068,0)),"")</f>
        <v/>
      </c>
      <c r="M234" s="294">
        <f>IFERROR(INDEX('Historical Data'!$Q$2:$Q$1068,MATCH($A234,'Historical Data'!$BE$2:$BE$1068,0)),"")</f>
        <v/>
      </c>
      <c r="N234" s="295">
        <f>IFERROR(INDEX('Historical Data'!$S$2:$S$1068,MATCH($A234,'Historical Data'!$BE$2:$BE$1068,0)),"")</f>
        <v/>
      </c>
      <c r="O234" s="294">
        <f>IFERROR(INDEX('Historical Data'!$AJ$2:$AJ$1068,MATCH($A234,'Historical Data'!$BE$2:$BE$1068,0)),"")</f>
        <v/>
      </c>
      <c r="P234" s="294">
        <f>IFERROR(INDEX('Historical Data'!$AK$2:$AK$1068,MATCH($A234,'Historical Data'!$BE$2:$BE$1068,0)),"")</f>
        <v/>
      </c>
      <c r="Q234" s="291">
        <f>IFERROR(INDEX('Historical Data'!$AA$2:$AA$1068,MATCH($A234,'Historical Data'!$BE$2:$BE$1068,0)),"")</f>
        <v/>
      </c>
      <c r="R234" s="291">
        <f>IFERROR(INDEX('Historical Data'!$AB$2:$AB$1068,MATCH($A234,'Historical Data'!$BE$2:$BE$1068,0)),"")</f>
        <v/>
      </c>
      <c r="S234" s="291">
        <f>IFERROR(INDEX('Historical Data'!$AN$2:$AN$1068,MATCH($A234,'Historical Data'!$BE$2:$BE$1068,0)),"")</f>
        <v/>
      </c>
      <c r="T234" s="291">
        <f>IFERROR(INDEX('Historical Data'!$AC$2:$AC$1068,MATCH($A234,'Historical Data'!$BE$2:$BE$1068,0)),"")</f>
        <v/>
      </c>
      <c r="U234" s="291">
        <f>IFERROR(INDEX('Historical Data'!$AE$2:$AE$1068,MATCH($A234,'Historical Data'!$BE$2:$BE$1068,0)),"")</f>
        <v/>
      </c>
      <c r="V234" s="291">
        <f>IFERROR(INDEX('Historical Data'!$AH$2:$AH$1068,MATCH($A234,'Historical Data'!$BE$2:$BE$1068,0)),"")</f>
        <v/>
      </c>
      <c r="W234" s="291">
        <f>IFERROR(INDEX('Historical Data'!$BC$2:$BC$1068,MATCH($A234,'Historical Data'!$BE$2:$BE$1068,0)),"")</f>
        <v/>
      </c>
      <c r="X234" s="290">
        <f>IF(B234="","",IF(W234=1,"NR + industry + position",IF(W234=2,"NR + ISO + position",IF(W234=3,"NR + industry",IF(W234=4,"NR + ISO",IF(W234=5,"NR + position",IF(W234=6,"NR only","book baseline"))))))&amp;"  ["&amp;IF(T234=1,"seasoned","unseasoned")&amp;IF(U234=1,", defaulted","")&amp;IF(V234=1,", open","")&amp;"]")</f>
        <v/>
      </c>
    </row>
    <row r="235">
      <c r="A235" s="290" t="n">
        <v>231</v>
      </c>
      <c r="B235" s="291">
        <f>IFERROR(INDEX('Historical Data'!$A$2:$A$1068,MATCH($A235,'Historical Data'!$BE$2:$BE$1068,0)),"")</f>
        <v/>
      </c>
      <c r="C235" s="291">
        <f>IFERROR(INDEX('Historical Data'!$B$2:$B$1068,MATCH($A235,'Historical Data'!$BE$2:$BE$1068,0)),"")</f>
        <v/>
      </c>
      <c r="D235" s="291">
        <f>IFERROR(INDEX('Historical Data'!$D$2:$D$1068,MATCH($A235,'Historical Data'!$BE$2:$BE$1068,0)),"")</f>
        <v/>
      </c>
      <c r="E235" s="292">
        <f>IFERROR(INDEX('Historical Data'!$E$2:$E$1068,MATCH($A235,'Historical Data'!$BE$2:$BE$1068,0)),"")</f>
        <v/>
      </c>
      <c r="F235" s="291">
        <f>IFERROR(INDEX('Historical Data'!$G$2:$G$1068,MATCH($A235,'Historical Data'!$BE$2:$BE$1068,0)),"")</f>
        <v/>
      </c>
      <c r="G235" s="291">
        <f>IFERROR(INDEX('Historical Data'!$Y$2:$Y$1068,MATCH($A235,'Historical Data'!$BE$2:$BE$1068,0)),"")</f>
        <v/>
      </c>
      <c r="H235" s="291">
        <f>IFERROR(INDEX('Historical Data'!$K$2:$K$1068,MATCH($A235,'Historical Data'!$BE$2:$BE$1068,0)),"")</f>
        <v/>
      </c>
      <c r="I235" s="291">
        <f>IFERROR(INDEX('Historical Data'!$J$2:$J$1068,MATCH($A235,'Historical Data'!$BE$2:$BE$1068,0)),"")</f>
        <v/>
      </c>
      <c r="J235" s="291">
        <f>IFERROR(INDEX('Historical Data'!$L$2:$L$1068,MATCH($A235,'Historical Data'!$BE$2:$BE$1068,0)),"")</f>
        <v/>
      </c>
      <c r="K235" s="293">
        <f>IFERROR(INDEX('Historical Data'!$M$2:$M$1068,MATCH($A235,'Historical Data'!$BE$2:$BE$1068,0)),"")</f>
        <v/>
      </c>
      <c r="L235" s="294">
        <f>IFERROR(INDEX('Historical Data'!$N$2:$N$1068,MATCH($A235,'Historical Data'!$BE$2:$BE$1068,0)),"")</f>
        <v/>
      </c>
      <c r="M235" s="294">
        <f>IFERROR(INDEX('Historical Data'!$Q$2:$Q$1068,MATCH($A235,'Historical Data'!$BE$2:$BE$1068,0)),"")</f>
        <v/>
      </c>
      <c r="N235" s="295">
        <f>IFERROR(INDEX('Historical Data'!$S$2:$S$1068,MATCH($A235,'Historical Data'!$BE$2:$BE$1068,0)),"")</f>
        <v/>
      </c>
      <c r="O235" s="294">
        <f>IFERROR(INDEX('Historical Data'!$AJ$2:$AJ$1068,MATCH($A235,'Historical Data'!$BE$2:$BE$1068,0)),"")</f>
        <v/>
      </c>
      <c r="P235" s="294">
        <f>IFERROR(INDEX('Historical Data'!$AK$2:$AK$1068,MATCH($A235,'Historical Data'!$BE$2:$BE$1068,0)),"")</f>
        <v/>
      </c>
      <c r="Q235" s="291">
        <f>IFERROR(INDEX('Historical Data'!$AA$2:$AA$1068,MATCH($A235,'Historical Data'!$BE$2:$BE$1068,0)),"")</f>
        <v/>
      </c>
      <c r="R235" s="291">
        <f>IFERROR(INDEX('Historical Data'!$AB$2:$AB$1068,MATCH($A235,'Historical Data'!$BE$2:$BE$1068,0)),"")</f>
        <v/>
      </c>
      <c r="S235" s="291">
        <f>IFERROR(INDEX('Historical Data'!$AN$2:$AN$1068,MATCH($A235,'Historical Data'!$BE$2:$BE$1068,0)),"")</f>
        <v/>
      </c>
      <c r="T235" s="291">
        <f>IFERROR(INDEX('Historical Data'!$AC$2:$AC$1068,MATCH($A235,'Historical Data'!$BE$2:$BE$1068,0)),"")</f>
        <v/>
      </c>
      <c r="U235" s="291">
        <f>IFERROR(INDEX('Historical Data'!$AE$2:$AE$1068,MATCH($A235,'Historical Data'!$BE$2:$BE$1068,0)),"")</f>
        <v/>
      </c>
      <c r="V235" s="291">
        <f>IFERROR(INDEX('Historical Data'!$AH$2:$AH$1068,MATCH($A235,'Historical Data'!$BE$2:$BE$1068,0)),"")</f>
        <v/>
      </c>
      <c r="W235" s="291">
        <f>IFERROR(INDEX('Historical Data'!$BC$2:$BC$1068,MATCH($A235,'Historical Data'!$BE$2:$BE$1068,0)),"")</f>
        <v/>
      </c>
      <c r="X235" s="290">
        <f>IF(B235="","",IF(W235=1,"NR + industry + position",IF(W235=2,"NR + ISO + position",IF(W235=3,"NR + industry",IF(W235=4,"NR + ISO",IF(W235=5,"NR + position",IF(W235=6,"NR only","book baseline"))))))&amp;"  ["&amp;IF(T235=1,"seasoned","unseasoned")&amp;IF(U235=1,", defaulted","")&amp;IF(V235=1,", open","")&amp;"]")</f>
        <v/>
      </c>
    </row>
    <row r="236">
      <c r="A236" s="290" t="n">
        <v>232</v>
      </c>
      <c r="B236" s="291">
        <f>IFERROR(INDEX('Historical Data'!$A$2:$A$1068,MATCH($A236,'Historical Data'!$BE$2:$BE$1068,0)),"")</f>
        <v/>
      </c>
      <c r="C236" s="291">
        <f>IFERROR(INDEX('Historical Data'!$B$2:$B$1068,MATCH($A236,'Historical Data'!$BE$2:$BE$1068,0)),"")</f>
        <v/>
      </c>
      <c r="D236" s="291">
        <f>IFERROR(INDEX('Historical Data'!$D$2:$D$1068,MATCH($A236,'Historical Data'!$BE$2:$BE$1068,0)),"")</f>
        <v/>
      </c>
      <c r="E236" s="292">
        <f>IFERROR(INDEX('Historical Data'!$E$2:$E$1068,MATCH($A236,'Historical Data'!$BE$2:$BE$1068,0)),"")</f>
        <v/>
      </c>
      <c r="F236" s="291">
        <f>IFERROR(INDEX('Historical Data'!$G$2:$G$1068,MATCH($A236,'Historical Data'!$BE$2:$BE$1068,0)),"")</f>
        <v/>
      </c>
      <c r="G236" s="291">
        <f>IFERROR(INDEX('Historical Data'!$Y$2:$Y$1068,MATCH($A236,'Historical Data'!$BE$2:$BE$1068,0)),"")</f>
        <v/>
      </c>
      <c r="H236" s="291">
        <f>IFERROR(INDEX('Historical Data'!$K$2:$K$1068,MATCH($A236,'Historical Data'!$BE$2:$BE$1068,0)),"")</f>
        <v/>
      </c>
      <c r="I236" s="291">
        <f>IFERROR(INDEX('Historical Data'!$J$2:$J$1068,MATCH($A236,'Historical Data'!$BE$2:$BE$1068,0)),"")</f>
        <v/>
      </c>
      <c r="J236" s="291">
        <f>IFERROR(INDEX('Historical Data'!$L$2:$L$1068,MATCH($A236,'Historical Data'!$BE$2:$BE$1068,0)),"")</f>
        <v/>
      </c>
      <c r="K236" s="293">
        <f>IFERROR(INDEX('Historical Data'!$M$2:$M$1068,MATCH($A236,'Historical Data'!$BE$2:$BE$1068,0)),"")</f>
        <v/>
      </c>
      <c r="L236" s="294">
        <f>IFERROR(INDEX('Historical Data'!$N$2:$N$1068,MATCH($A236,'Historical Data'!$BE$2:$BE$1068,0)),"")</f>
        <v/>
      </c>
      <c r="M236" s="294">
        <f>IFERROR(INDEX('Historical Data'!$Q$2:$Q$1068,MATCH($A236,'Historical Data'!$BE$2:$BE$1068,0)),"")</f>
        <v/>
      </c>
      <c r="N236" s="295">
        <f>IFERROR(INDEX('Historical Data'!$S$2:$S$1068,MATCH($A236,'Historical Data'!$BE$2:$BE$1068,0)),"")</f>
        <v/>
      </c>
      <c r="O236" s="294">
        <f>IFERROR(INDEX('Historical Data'!$AJ$2:$AJ$1068,MATCH($A236,'Historical Data'!$BE$2:$BE$1068,0)),"")</f>
        <v/>
      </c>
      <c r="P236" s="294">
        <f>IFERROR(INDEX('Historical Data'!$AK$2:$AK$1068,MATCH($A236,'Historical Data'!$BE$2:$BE$1068,0)),"")</f>
        <v/>
      </c>
      <c r="Q236" s="291">
        <f>IFERROR(INDEX('Historical Data'!$AA$2:$AA$1068,MATCH($A236,'Historical Data'!$BE$2:$BE$1068,0)),"")</f>
        <v/>
      </c>
      <c r="R236" s="291">
        <f>IFERROR(INDEX('Historical Data'!$AB$2:$AB$1068,MATCH($A236,'Historical Data'!$BE$2:$BE$1068,0)),"")</f>
        <v/>
      </c>
      <c r="S236" s="291">
        <f>IFERROR(INDEX('Historical Data'!$AN$2:$AN$1068,MATCH($A236,'Historical Data'!$BE$2:$BE$1068,0)),"")</f>
        <v/>
      </c>
      <c r="T236" s="291">
        <f>IFERROR(INDEX('Historical Data'!$AC$2:$AC$1068,MATCH($A236,'Historical Data'!$BE$2:$BE$1068,0)),"")</f>
        <v/>
      </c>
      <c r="U236" s="291">
        <f>IFERROR(INDEX('Historical Data'!$AE$2:$AE$1068,MATCH($A236,'Historical Data'!$BE$2:$BE$1068,0)),"")</f>
        <v/>
      </c>
      <c r="V236" s="291">
        <f>IFERROR(INDEX('Historical Data'!$AH$2:$AH$1068,MATCH($A236,'Historical Data'!$BE$2:$BE$1068,0)),"")</f>
        <v/>
      </c>
      <c r="W236" s="291">
        <f>IFERROR(INDEX('Historical Data'!$BC$2:$BC$1068,MATCH($A236,'Historical Data'!$BE$2:$BE$1068,0)),"")</f>
        <v/>
      </c>
      <c r="X236" s="290">
        <f>IF(B236="","",IF(W236=1,"NR + industry + position",IF(W236=2,"NR + ISO + position",IF(W236=3,"NR + industry",IF(W236=4,"NR + ISO",IF(W236=5,"NR + position",IF(W236=6,"NR only","book baseline"))))))&amp;"  ["&amp;IF(T236=1,"seasoned","unseasoned")&amp;IF(U236=1,", defaulted","")&amp;IF(V236=1,", open","")&amp;"]")</f>
        <v/>
      </c>
    </row>
    <row r="237">
      <c r="A237" s="290" t="n">
        <v>233</v>
      </c>
      <c r="B237" s="291">
        <f>IFERROR(INDEX('Historical Data'!$A$2:$A$1068,MATCH($A237,'Historical Data'!$BE$2:$BE$1068,0)),"")</f>
        <v/>
      </c>
      <c r="C237" s="291">
        <f>IFERROR(INDEX('Historical Data'!$B$2:$B$1068,MATCH($A237,'Historical Data'!$BE$2:$BE$1068,0)),"")</f>
        <v/>
      </c>
      <c r="D237" s="291">
        <f>IFERROR(INDEX('Historical Data'!$D$2:$D$1068,MATCH($A237,'Historical Data'!$BE$2:$BE$1068,0)),"")</f>
        <v/>
      </c>
      <c r="E237" s="292">
        <f>IFERROR(INDEX('Historical Data'!$E$2:$E$1068,MATCH($A237,'Historical Data'!$BE$2:$BE$1068,0)),"")</f>
        <v/>
      </c>
      <c r="F237" s="291">
        <f>IFERROR(INDEX('Historical Data'!$G$2:$G$1068,MATCH($A237,'Historical Data'!$BE$2:$BE$1068,0)),"")</f>
        <v/>
      </c>
      <c r="G237" s="291">
        <f>IFERROR(INDEX('Historical Data'!$Y$2:$Y$1068,MATCH($A237,'Historical Data'!$BE$2:$BE$1068,0)),"")</f>
        <v/>
      </c>
      <c r="H237" s="291">
        <f>IFERROR(INDEX('Historical Data'!$K$2:$K$1068,MATCH($A237,'Historical Data'!$BE$2:$BE$1068,0)),"")</f>
        <v/>
      </c>
      <c r="I237" s="291">
        <f>IFERROR(INDEX('Historical Data'!$J$2:$J$1068,MATCH($A237,'Historical Data'!$BE$2:$BE$1068,0)),"")</f>
        <v/>
      </c>
      <c r="J237" s="291">
        <f>IFERROR(INDEX('Historical Data'!$L$2:$L$1068,MATCH($A237,'Historical Data'!$BE$2:$BE$1068,0)),"")</f>
        <v/>
      </c>
      <c r="K237" s="293">
        <f>IFERROR(INDEX('Historical Data'!$M$2:$M$1068,MATCH($A237,'Historical Data'!$BE$2:$BE$1068,0)),"")</f>
        <v/>
      </c>
      <c r="L237" s="294">
        <f>IFERROR(INDEX('Historical Data'!$N$2:$N$1068,MATCH($A237,'Historical Data'!$BE$2:$BE$1068,0)),"")</f>
        <v/>
      </c>
      <c r="M237" s="294">
        <f>IFERROR(INDEX('Historical Data'!$Q$2:$Q$1068,MATCH($A237,'Historical Data'!$BE$2:$BE$1068,0)),"")</f>
        <v/>
      </c>
      <c r="N237" s="295">
        <f>IFERROR(INDEX('Historical Data'!$S$2:$S$1068,MATCH($A237,'Historical Data'!$BE$2:$BE$1068,0)),"")</f>
        <v/>
      </c>
      <c r="O237" s="294">
        <f>IFERROR(INDEX('Historical Data'!$AJ$2:$AJ$1068,MATCH($A237,'Historical Data'!$BE$2:$BE$1068,0)),"")</f>
        <v/>
      </c>
      <c r="P237" s="294">
        <f>IFERROR(INDEX('Historical Data'!$AK$2:$AK$1068,MATCH($A237,'Historical Data'!$BE$2:$BE$1068,0)),"")</f>
        <v/>
      </c>
      <c r="Q237" s="291">
        <f>IFERROR(INDEX('Historical Data'!$AA$2:$AA$1068,MATCH($A237,'Historical Data'!$BE$2:$BE$1068,0)),"")</f>
        <v/>
      </c>
      <c r="R237" s="291">
        <f>IFERROR(INDEX('Historical Data'!$AB$2:$AB$1068,MATCH($A237,'Historical Data'!$BE$2:$BE$1068,0)),"")</f>
        <v/>
      </c>
      <c r="S237" s="291">
        <f>IFERROR(INDEX('Historical Data'!$AN$2:$AN$1068,MATCH($A237,'Historical Data'!$BE$2:$BE$1068,0)),"")</f>
        <v/>
      </c>
      <c r="T237" s="291">
        <f>IFERROR(INDEX('Historical Data'!$AC$2:$AC$1068,MATCH($A237,'Historical Data'!$BE$2:$BE$1068,0)),"")</f>
        <v/>
      </c>
      <c r="U237" s="291">
        <f>IFERROR(INDEX('Historical Data'!$AE$2:$AE$1068,MATCH($A237,'Historical Data'!$BE$2:$BE$1068,0)),"")</f>
        <v/>
      </c>
      <c r="V237" s="291">
        <f>IFERROR(INDEX('Historical Data'!$AH$2:$AH$1068,MATCH($A237,'Historical Data'!$BE$2:$BE$1068,0)),"")</f>
        <v/>
      </c>
      <c r="W237" s="291">
        <f>IFERROR(INDEX('Historical Data'!$BC$2:$BC$1068,MATCH($A237,'Historical Data'!$BE$2:$BE$1068,0)),"")</f>
        <v/>
      </c>
      <c r="X237" s="290">
        <f>IF(B237="","",IF(W237=1,"NR + industry + position",IF(W237=2,"NR + ISO + position",IF(W237=3,"NR + industry",IF(W237=4,"NR + ISO",IF(W237=5,"NR + position",IF(W237=6,"NR only","book baseline"))))))&amp;"  ["&amp;IF(T237=1,"seasoned","unseasoned")&amp;IF(U237=1,", defaulted","")&amp;IF(V237=1,", open","")&amp;"]")</f>
        <v/>
      </c>
    </row>
    <row r="238">
      <c r="A238" s="290" t="n">
        <v>234</v>
      </c>
      <c r="B238" s="291">
        <f>IFERROR(INDEX('Historical Data'!$A$2:$A$1068,MATCH($A238,'Historical Data'!$BE$2:$BE$1068,0)),"")</f>
        <v/>
      </c>
      <c r="C238" s="291">
        <f>IFERROR(INDEX('Historical Data'!$B$2:$B$1068,MATCH($A238,'Historical Data'!$BE$2:$BE$1068,0)),"")</f>
        <v/>
      </c>
      <c r="D238" s="291">
        <f>IFERROR(INDEX('Historical Data'!$D$2:$D$1068,MATCH($A238,'Historical Data'!$BE$2:$BE$1068,0)),"")</f>
        <v/>
      </c>
      <c r="E238" s="292">
        <f>IFERROR(INDEX('Historical Data'!$E$2:$E$1068,MATCH($A238,'Historical Data'!$BE$2:$BE$1068,0)),"")</f>
        <v/>
      </c>
      <c r="F238" s="291">
        <f>IFERROR(INDEX('Historical Data'!$G$2:$G$1068,MATCH($A238,'Historical Data'!$BE$2:$BE$1068,0)),"")</f>
        <v/>
      </c>
      <c r="G238" s="291">
        <f>IFERROR(INDEX('Historical Data'!$Y$2:$Y$1068,MATCH($A238,'Historical Data'!$BE$2:$BE$1068,0)),"")</f>
        <v/>
      </c>
      <c r="H238" s="291">
        <f>IFERROR(INDEX('Historical Data'!$K$2:$K$1068,MATCH($A238,'Historical Data'!$BE$2:$BE$1068,0)),"")</f>
        <v/>
      </c>
      <c r="I238" s="291">
        <f>IFERROR(INDEX('Historical Data'!$J$2:$J$1068,MATCH($A238,'Historical Data'!$BE$2:$BE$1068,0)),"")</f>
        <v/>
      </c>
      <c r="J238" s="291">
        <f>IFERROR(INDEX('Historical Data'!$L$2:$L$1068,MATCH($A238,'Historical Data'!$BE$2:$BE$1068,0)),"")</f>
        <v/>
      </c>
      <c r="K238" s="293">
        <f>IFERROR(INDEX('Historical Data'!$M$2:$M$1068,MATCH($A238,'Historical Data'!$BE$2:$BE$1068,0)),"")</f>
        <v/>
      </c>
      <c r="L238" s="294">
        <f>IFERROR(INDEX('Historical Data'!$N$2:$N$1068,MATCH($A238,'Historical Data'!$BE$2:$BE$1068,0)),"")</f>
        <v/>
      </c>
      <c r="M238" s="294">
        <f>IFERROR(INDEX('Historical Data'!$Q$2:$Q$1068,MATCH($A238,'Historical Data'!$BE$2:$BE$1068,0)),"")</f>
        <v/>
      </c>
      <c r="N238" s="295">
        <f>IFERROR(INDEX('Historical Data'!$S$2:$S$1068,MATCH($A238,'Historical Data'!$BE$2:$BE$1068,0)),"")</f>
        <v/>
      </c>
      <c r="O238" s="294">
        <f>IFERROR(INDEX('Historical Data'!$AJ$2:$AJ$1068,MATCH($A238,'Historical Data'!$BE$2:$BE$1068,0)),"")</f>
        <v/>
      </c>
      <c r="P238" s="294">
        <f>IFERROR(INDEX('Historical Data'!$AK$2:$AK$1068,MATCH($A238,'Historical Data'!$BE$2:$BE$1068,0)),"")</f>
        <v/>
      </c>
      <c r="Q238" s="291">
        <f>IFERROR(INDEX('Historical Data'!$AA$2:$AA$1068,MATCH($A238,'Historical Data'!$BE$2:$BE$1068,0)),"")</f>
        <v/>
      </c>
      <c r="R238" s="291">
        <f>IFERROR(INDEX('Historical Data'!$AB$2:$AB$1068,MATCH($A238,'Historical Data'!$BE$2:$BE$1068,0)),"")</f>
        <v/>
      </c>
      <c r="S238" s="291">
        <f>IFERROR(INDEX('Historical Data'!$AN$2:$AN$1068,MATCH($A238,'Historical Data'!$BE$2:$BE$1068,0)),"")</f>
        <v/>
      </c>
      <c r="T238" s="291">
        <f>IFERROR(INDEX('Historical Data'!$AC$2:$AC$1068,MATCH($A238,'Historical Data'!$BE$2:$BE$1068,0)),"")</f>
        <v/>
      </c>
      <c r="U238" s="291">
        <f>IFERROR(INDEX('Historical Data'!$AE$2:$AE$1068,MATCH($A238,'Historical Data'!$BE$2:$BE$1068,0)),"")</f>
        <v/>
      </c>
      <c r="V238" s="291">
        <f>IFERROR(INDEX('Historical Data'!$AH$2:$AH$1068,MATCH($A238,'Historical Data'!$BE$2:$BE$1068,0)),"")</f>
        <v/>
      </c>
      <c r="W238" s="291">
        <f>IFERROR(INDEX('Historical Data'!$BC$2:$BC$1068,MATCH($A238,'Historical Data'!$BE$2:$BE$1068,0)),"")</f>
        <v/>
      </c>
      <c r="X238" s="290">
        <f>IF(B238="","",IF(W238=1,"NR + industry + position",IF(W238=2,"NR + ISO + position",IF(W238=3,"NR + industry",IF(W238=4,"NR + ISO",IF(W238=5,"NR + position",IF(W238=6,"NR only","book baseline"))))))&amp;"  ["&amp;IF(T238=1,"seasoned","unseasoned")&amp;IF(U238=1,", defaulted","")&amp;IF(V238=1,", open","")&amp;"]")</f>
        <v/>
      </c>
    </row>
    <row r="239">
      <c r="A239" s="290" t="n">
        <v>235</v>
      </c>
      <c r="B239" s="291">
        <f>IFERROR(INDEX('Historical Data'!$A$2:$A$1068,MATCH($A239,'Historical Data'!$BE$2:$BE$1068,0)),"")</f>
        <v/>
      </c>
      <c r="C239" s="291">
        <f>IFERROR(INDEX('Historical Data'!$B$2:$B$1068,MATCH($A239,'Historical Data'!$BE$2:$BE$1068,0)),"")</f>
        <v/>
      </c>
      <c r="D239" s="291">
        <f>IFERROR(INDEX('Historical Data'!$D$2:$D$1068,MATCH($A239,'Historical Data'!$BE$2:$BE$1068,0)),"")</f>
        <v/>
      </c>
      <c r="E239" s="292">
        <f>IFERROR(INDEX('Historical Data'!$E$2:$E$1068,MATCH($A239,'Historical Data'!$BE$2:$BE$1068,0)),"")</f>
        <v/>
      </c>
      <c r="F239" s="291">
        <f>IFERROR(INDEX('Historical Data'!$G$2:$G$1068,MATCH($A239,'Historical Data'!$BE$2:$BE$1068,0)),"")</f>
        <v/>
      </c>
      <c r="G239" s="291">
        <f>IFERROR(INDEX('Historical Data'!$Y$2:$Y$1068,MATCH($A239,'Historical Data'!$BE$2:$BE$1068,0)),"")</f>
        <v/>
      </c>
      <c r="H239" s="291">
        <f>IFERROR(INDEX('Historical Data'!$K$2:$K$1068,MATCH($A239,'Historical Data'!$BE$2:$BE$1068,0)),"")</f>
        <v/>
      </c>
      <c r="I239" s="291">
        <f>IFERROR(INDEX('Historical Data'!$J$2:$J$1068,MATCH($A239,'Historical Data'!$BE$2:$BE$1068,0)),"")</f>
        <v/>
      </c>
      <c r="J239" s="291">
        <f>IFERROR(INDEX('Historical Data'!$L$2:$L$1068,MATCH($A239,'Historical Data'!$BE$2:$BE$1068,0)),"")</f>
        <v/>
      </c>
      <c r="K239" s="293">
        <f>IFERROR(INDEX('Historical Data'!$M$2:$M$1068,MATCH($A239,'Historical Data'!$BE$2:$BE$1068,0)),"")</f>
        <v/>
      </c>
      <c r="L239" s="294">
        <f>IFERROR(INDEX('Historical Data'!$N$2:$N$1068,MATCH($A239,'Historical Data'!$BE$2:$BE$1068,0)),"")</f>
        <v/>
      </c>
      <c r="M239" s="294">
        <f>IFERROR(INDEX('Historical Data'!$Q$2:$Q$1068,MATCH($A239,'Historical Data'!$BE$2:$BE$1068,0)),"")</f>
        <v/>
      </c>
      <c r="N239" s="295">
        <f>IFERROR(INDEX('Historical Data'!$S$2:$S$1068,MATCH($A239,'Historical Data'!$BE$2:$BE$1068,0)),"")</f>
        <v/>
      </c>
      <c r="O239" s="294">
        <f>IFERROR(INDEX('Historical Data'!$AJ$2:$AJ$1068,MATCH($A239,'Historical Data'!$BE$2:$BE$1068,0)),"")</f>
        <v/>
      </c>
      <c r="P239" s="294">
        <f>IFERROR(INDEX('Historical Data'!$AK$2:$AK$1068,MATCH($A239,'Historical Data'!$BE$2:$BE$1068,0)),"")</f>
        <v/>
      </c>
      <c r="Q239" s="291">
        <f>IFERROR(INDEX('Historical Data'!$AA$2:$AA$1068,MATCH($A239,'Historical Data'!$BE$2:$BE$1068,0)),"")</f>
        <v/>
      </c>
      <c r="R239" s="291">
        <f>IFERROR(INDEX('Historical Data'!$AB$2:$AB$1068,MATCH($A239,'Historical Data'!$BE$2:$BE$1068,0)),"")</f>
        <v/>
      </c>
      <c r="S239" s="291">
        <f>IFERROR(INDEX('Historical Data'!$AN$2:$AN$1068,MATCH($A239,'Historical Data'!$BE$2:$BE$1068,0)),"")</f>
        <v/>
      </c>
      <c r="T239" s="291">
        <f>IFERROR(INDEX('Historical Data'!$AC$2:$AC$1068,MATCH($A239,'Historical Data'!$BE$2:$BE$1068,0)),"")</f>
        <v/>
      </c>
      <c r="U239" s="291">
        <f>IFERROR(INDEX('Historical Data'!$AE$2:$AE$1068,MATCH($A239,'Historical Data'!$BE$2:$BE$1068,0)),"")</f>
        <v/>
      </c>
      <c r="V239" s="291">
        <f>IFERROR(INDEX('Historical Data'!$AH$2:$AH$1068,MATCH($A239,'Historical Data'!$BE$2:$BE$1068,0)),"")</f>
        <v/>
      </c>
      <c r="W239" s="291">
        <f>IFERROR(INDEX('Historical Data'!$BC$2:$BC$1068,MATCH($A239,'Historical Data'!$BE$2:$BE$1068,0)),"")</f>
        <v/>
      </c>
      <c r="X239" s="290">
        <f>IF(B239="","",IF(W239=1,"NR + industry + position",IF(W239=2,"NR + ISO + position",IF(W239=3,"NR + industry",IF(W239=4,"NR + ISO",IF(W239=5,"NR + position",IF(W239=6,"NR only","book baseline"))))))&amp;"  ["&amp;IF(T239=1,"seasoned","unseasoned")&amp;IF(U239=1,", defaulted","")&amp;IF(V239=1,", open","")&amp;"]")</f>
        <v/>
      </c>
    </row>
    <row r="240">
      <c r="A240" s="290" t="n">
        <v>236</v>
      </c>
      <c r="B240" s="291">
        <f>IFERROR(INDEX('Historical Data'!$A$2:$A$1068,MATCH($A240,'Historical Data'!$BE$2:$BE$1068,0)),"")</f>
        <v/>
      </c>
      <c r="C240" s="291">
        <f>IFERROR(INDEX('Historical Data'!$B$2:$B$1068,MATCH($A240,'Historical Data'!$BE$2:$BE$1068,0)),"")</f>
        <v/>
      </c>
      <c r="D240" s="291">
        <f>IFERROR(INDEX('Historical Data'!$D$2:$D$1068,MATCH($A240,'Historical Data'!$BE$2:$BE$1068,0)),"")</f>
        <v/>
      </c>
      <c r="E240" s="292">
        <f>IFERROR(INDEX('Historical Data'!$E$2:$E$1068,MATCH($A240,'Historical Data'!$BE$2:$BE$1068,0)),"")</f>
        <v/>
      </c>
      <c r="F240" s="291">
        <f>IFERROR(INDEX('Historical Data'!$G$2:$G$1068,MATCH($A240,'Historical Data'!$BE$2:$BE$1068,0)),"")</f>
        <v/>
      </c>
      <c r="G240" s="291">
        <f>IFERROR(INDEX('Historical Data'!$Y$2:$Y$1068,MATCH($A240,'Historical Data'!$BE$2:$BE$1068,0)),"")</f>
        <v/>
      </c>
      <c r="H240" s="291">
        <f>IFERROR(INDEX('Historical Data'!$K$2:$K$1068,MATCH($A240,'Historical Data'!$BE$2:$BE$1068,0)),"")</f>
        <v/>
      </c>
      <c r="I240" s="291">
        <f>IFERROR(INDEX('Historical Data'!$J$2:$J$1068,MATCH($A240,'Historical Data'!$BE$2:$BE$1068,0)),"")</f>
        <v/>
      </c>
      <c r="J240" s="291">
        <f>IFERROR(INDEX('Historical Data'!$L$2:$L$1068,MATCH($A240,'Historical Data'!$BE$2:$BE$1068,0)),"")</f>
        <v/>
      </c>
      <c r="K240" s="293">
        <f>IFERROR(INDEX('Historical Data'!$M$2:$M$1068,MATCH($A240,'Historical Data'!$BE$2:$BE$1068,0)),"")</f>
        <v/>
      </c>
      <c r="L240" s="294">
        <f>IFERROR(INDEX('Historical Data'!$N$2:$N$1068,MATCH($A240,'Historical Data'!$BE$2:$BE$1068,0)),"")</f>
        <v/>
      </c>
      <c r="M240" s="294">
        <f>IFERROR(INDEX('Historical Data'!$Q$2:$Q$1068,MATCH($A240,'Historical Data'!$BE$2:$BE$1068,0)),"")</f>
        <v/>
      </c>
      <c r="N240" s="295">
        <f>IFERROR(INDEX('Historical Data'!$S$2:$S$1068,MATCH($A240,'Historical Data'!$BE$2:$BE$1068,0)),"")</f>
        <v/>
      </c>
      <c r="O240" s="294">
        <f>IFERROR(INDEX('Historical Data'!$AJ$2:$AJ$1068,MATCH($A240,'Historical Data'!$BE$2:$BE$1068,0)),"")</f>
        <v/>
      </c>
      <c r="P240" s="294">
        <f>IFERROR(INDEX('Historical Data'!$AK$2:$AK$1068,MATCH($A240,'Historical Data'!$BE$2:$BE$1068,0)),"")</f>
        <v/>
      </c>
      <c r="Q240" s="291">
        <f>IFERROR(INDEX('Historical Data'!$AA$2:$AA$1068,MATCH($A240,'Historical Data'!$BE$2:$BE$1068,0)),"")</f>
        <v/>
      </c>
      <c r="R240" s="291">
        <f>IFERROR(INDEX('Historical Data'!$AB$2:$AB$1068,MATCH($A240,'Historical Data'!$BE$2:$BE$1068,0)),"")</f>
        <v/>
      </c>
      <c r="S240" s="291">
        <f>IFERROR(INDEX('Historical Data'!$AN$2:$AN$1068,MATCH($A240,'Historical Data'!$BE$2:$BE$1068,0)),"")</f>
        <v/>
      </c>
      <c r="T240" s="291">
        <f>IFERROR(INDEX('Historical Data'!$AC$2:$AC$1068,MATCH($A240,'Historical Data'!$BE$2:$BE$1068,0)),"")</f>
        <v/>
      </c>
      <c r="U240" s="291">
        <f>IFERROR(INDEX('Historical Data'!$AE$2:$AE$1068,MATCH($A240,'Historical Data'!$BE$2:$BE$1068,0)),"")</f>
        <v/>
      </c>
      <c r="V240" s="291">
        <f>IFERROR(INDEX('Historical Data'!$AH$2:$AH$1068,MATCH($A240,'Historical Data'!$BE$2:$BE$1068,0)),"")</f>
        <v/>
      </c>
      <c r="W240" s="291">
        <f>IFERROR(INDEX('Historical Data'!$BC$2:$BC$1068,MATCH($A240,'Historical Data'!$BE$2:$BE$1068,0)),"")</f>
        <v/>
      </c>
      <c r="X240" s="290">
        <f>IF(B240="","",IF(W240=1,"NR + industry + position",IF(W240=2,"NR + ISO + position",IF(W240=3,"NR + industry",IF(W240=4,"NR + ISO",IF(W240=5,"NR + position",IF(W240=6,"NR only","book baseline"))))))&amp;"  ["&amp;IF(T240=1,"seasoned","unseasoned")&amp;IF(U240=1,", defaulted","")&amp;IF(V240=1,", open","")&amp;"]")</f>
        <v/>
      </c>
    </row>
    <row r="241">
      <c r="A241" s="290" t="n">
        <v>237</v>
      </c>
      <c r="B241" s="291">
        <f>IFERROR(INDEX('Historical Data'!$A$2:$A$1068,MATCH($A241,'Historical Data'!$BE$2:$BE$1068,0)),"")</f>
        <v/>
      </c>
      <c r="C241" s="291">
        <f>IFERROR(INDEX('Historical Data'!$B$2:$B$1068,MATCH($A241,'Historical Data'!$BE$2:$BE$1068,0)),"")</f>
        <v/>
      </c>
      <c r="D241" s="291">
        <f>IFERROR(INDEX('Historical Data'!$D$2:$D$1068,MATCH($A241,'Historical Data'!$BE$2:$BE$1068,0)),"")</f>
        <v/>
      </c>
      <c r="E241" s="292">
        <f>IFERROR(INDEX('Historical Data'!$E$2:$E$1068,MATCH($A241,'Historical Data'!$BE$2:$BE$1068,0)),"")</f>
        <v/>
      </c>
      <c r="F241" s="291">
        <f>IFERROR(INDEX('Historical Data'!$G$2:$G$1068,MATCH($A241,'Historical Data'!$BE$2:$BE$1068,0)),"")</f>
        <v/>
      </c>
      <c r="G241" s="291">
        <f>IFERROR(INDEX('Historical Data'!$Y$2:$Y$1068,MATCH($A241,'Historical Data'!$BE$2:$BE$1068,0)),"")</f>
        <v/>
      </c>
      <c r="H241" s="291">
        <f>IFERROR(INDEX('Historical Data'!$K$2:$K$1068,MATCH($A241,'Historical Data'!$BE$2:$BE$1068,0)),"")</f>
        <v/>
      </c>
      <c r="I241" s="291">
        <f>IFERROR(INDEX('Historical Data'!$J$2:$J$1068,MATCH($A241,'Historical Data'!$BE$2:$BE$1068,0)),"")</f>
        <v/>
      </c>
      <c r="J241" s="291">
        <f>IFERROR(INDEX('Historical Data'!$L$2:$L$1068,MATCH($A241,'Historical Data'!$BE$2:$BE$1068,0)),"")</f>
        <v/>
      </c>
      <c r="K241" s="293">
        <f>IFERROR(INDEX('Historical Data'!$M$2:$M$1068,MATCH($A241,'Historical Data'!$BE$2:$BE$1068,0)),"")</f>
        <v/>
      </c>
      <c r="L241" s="294">
        <f>IFERROR(INDEX('Historical Data'!$N$2:$N$1068,MATCH($A241,'Historical Data'!$BE$2:$BE$1068,0)),"")</f>
        <v/>
      </c>
      <c r="M241" s="294">
        <f>IFERROR(INDEX('Historical Data'!$Q$2:$Q$1068,MATCH($A241,'Historical Data'!$BE$2:$BE$1068,0)),"")</f>
        <v/>
      </c>
      <c r="N241" s="295">
        <f>IFERROR(INDEX('Historical Data'!$S$2:$S$1068,MATCH($A241,'Historical Data'!$BE$2:$BE$1068,0)),"")</f>
        <v/>
      </c>
      <c r="O241" s="294">
        <f>IFERROR(INDEX('Historical Data'!$AJ$2:$AJ$1068,MATCH($A241,'Historical Data'!$BE$2:$BE$1068,0)),"")</f>
        <v/>
      </c>
      <c r="P241" s="294">
        <f>IFERROR(INDEX('Historical Data'!$AK$2:$AK$1068,MATCH($A241,'Historical Data'!$BE$2:$BE$1068,0)),"")</f>
        <v/>
      </c>
      <c r="Q241" s="291">
        <f>IFERROR(INDEX('Historical Data'!$AA$2:$AA$1068,MATCH($A241,'Historical Data'!$BE$2:$BE$1068,0)),"")</f>
        <v/>
      </c>
      <c r="R241" s="291">
        <f>IFERROR(INDEX('Historical Data'!$AB$2:$AB$1068,MATCH($A241,'Historical Data'!$BE$2:$BE$1068,0)),"")</f>
        <v/>
      </c>
      <c r="S241" s="291">
        <f>IFERROR(INDEX('Historical Data'!$AN$2:$AN$1068,MATCH($A241,'Historical Data'!$BE$2:$BE$1068,0)),"")</f>
        <v/>
      </c>
      <c r="T241" s="291">
        <f>IFERROR(INDEX('Historical Data'!$AC$2:$AC$1068,MATCH($A241,'Historical Data'!$BE$2:$BE$1068,0)),"")</f>
        <v/>
      </c>
      <c r="U241" s="291">
        <f>IFERROR(INDEX('Historical Data'!$AE$2:$AE$1068,MATCH($A241,'Historical Data'!$BE$2:$BE$1068,0)),"")</f>
        <v/>
      </c>
      <c r="V241" s="291">
        <f>IFERROR(INDEX('Historical Data'!$AH$2:$AH$1068,MATCH($A241,'Historical Data'!$BE$2:$BE$1068,0)),"")</f>
        <v/>
      </c>
      <c r="W241" s="291">
        <f>IFERROR(INDEX('Historical Data'!$BC$2:$BC$1068,MATCH($A241,'Historical Data'!$BE$2:$BE$1068,0)),"")</f>
        <v/>
      </c>
      <c r="X241" s="290">
        <f>IF(B241="","",IF(W241=1,"NR + industry + position",IF(W241=2,"NR + ISO + position",IF(W241=3,"NR + industry",IF(W241=4,"NR + ISO",IF(W241=5,"NR + position",IF(W241=6,"NR only","book baseline"))))))&amp;"  ["&amp;IF(T241=1,"seasoned","unseasoned")&amp;IF(U241=1,", defaulted","")&amp;IF(V241=1,", open","")&amp;"]")</f>
        <v/>
      </c>
    </row>
    <row r="242">
      <c r="A242" s="290" t="n">
        <v>238</v>
      </c>
      <c r="B242" s="291">
        <f>IFERROR(INDEX('Historical Data'!$A$2:$A$1068,MATCH($A242,'Historical Data'!$BE$2:$BE$1068,0)),"")</f>
        <v/>
      </c>
      <c r="C242" s="291">
        <f>IFERROR(INDEX('Historical Data'!$B$2:$B$1068,MATCH($A242,'Historical Data'!$BE$2:$BE$1068,0)),"")</f>
        <v/>
      </c>
      <c r="D242" s="291">
        <f>IFERROR(INDEX('Historical Data'!$D$2:$D$1068,MATCH($A242,'Historical Data'!$BE$2:$BE$1068,0)),"")</f>
        <v/>
      </c>
      <c r="E242" s="292">
        <f>IFERROR(INDEX('Historical Data'!$E$2:$E$1068,MATCH($A242,'Historical Data'!$BE$2:$BE$1068,0)),"")</f>
        <v/>
      </c>
      <c r="F242" s="291">
        <f>IFERROR(INDEX('Historical Data'!$G$2:$G$1068,MATCH($A242,'Historical Data'!$BE$2:$BE$1068,0)),"")</f>
        <v/>
      </c>
      <c r="G242" s="291">
        <f>IFERROR(INDEX('Historical Data'!$Y$2:$Y$1068,MATCH($A242,'Historical Data'!$BE$2:$BE$1068,0)),"")</f>
        <v/>
      </c>
      <c r="H242" s="291">
        <f>IFERROR(INDEX('Historical Data'!$K$2:$K$1068,MATCH($A242,'Historical Data'!$BE$2:$BE$1068,0)),"")</f>
        <v/>
      </c>
      <c r="I242" s="291">
        <f>IFERROR(INDEX('Historical Data'!$J$2:$J$1068,MATCH($A242,'Historical Data'!$BE$2:$BE$1068,0)),"")</f>
        <v/>
      </c>
      <c r="J242" s="291">
        <f>IFERROR(INDEX('Historical Data'!$L$2:$L$1068,MATCH($A242,'Historical Data'!$BE$2:$BE$1068,0)),"")</f>
        <v/>
      </c>
      <c r="K242" s="293">
        <f>IFERROR(INDEX('Historical Data'!$M$2:$M$1068,MATCH($A242,'Historical Data'!$BE$2:$BE$1068,0)),"")</f>
        <v/>
      </c>
      <c r="L242" s="294">
        <f>IFERROR(INDEX('Historical Data'!$N$2:$N$1068,MATCH($A242,'Historical Data'!$BE$2:$BE$1068,0)),"")</f>
        <v/>
      </c>
      <c r="M242" s="294">
        <f>IFERROR(INDEX('Historical Data'!$Q$2:$Q$1068,MATCH($A242,'Historical Data'!$BE$2:$BE$1068,0)),"")</f>
        <v/>
      </c>
      <c r="N242" s="295">
        <f>IFERROR(INDEX('Historical Data'!$S$2:$S$1068,MATCH($A242,'Historical Data'!$BE$2:$BE$1068,0)),"")</f>
        <v/>
      </c>
      <c r="O242" s="294">
        <f>IFERROR(INDEX('Historical Data'!$AJ$2:$AJ$1068,MATCH($A242,'Historical Data'!$BE$2:$BE$1068,0)),"")</f>
        <v/>
      </c>
      <c r="P242" s="294">
        <f>IFERROR(INDEX('Historical Data'!$AK$2:$AK$1068,MATCH($A242,'Historical Data'!$BE$2:$BE$1068,0)),"")</f>
        <v/>
      </c>
      <c r="Q242" s="291">
        <f>IFERROR(INDEX('Historical Data'!$AA$2:$AA$1068,MATCH($A242,'Historical Data'!$BE$2:$BE$1068,0)),"")</f>
        <v/>
      </c>
      <c r="R242" s="291">
        <f>IFERROR(INDEX('Historical Data'!$AB$2:$AB$1068,MATCH($A242,'Historical Data'!$BE$2:$BE$1068,0)),"")</f>
        <v/>
      </c>
      <c r="S242" s="291">
        <f>IFERROR(INDEX('Historical Data'!$AN$2:$AN$1068,MATCH($A242,'Historical Data'!$BE$2:$BE$1068,0)),"")</f>
        <v/>
      </c>
      <c r="T242" s="291">
        <f>IFERROR(INDEX('Historical Data'!$AC$2:$AC$1068,MATCH($A242,'Historical Data'!$BE$2:$BE$1068,0)),"")</f>
        <v/>
      </c>
      <c r="U242" s="291">
        <f>IFERROR(INDEX('Historical Data'!$AE$2:$AE$1068,MATCH($A242,'Historical Data'!$BE$2:$BE$1068,0)),"")</f>
        <v/>
      </c>
      <c r="V242" s="291">
        <f>IFERROR(INDEX('Historical Data'!$AH$2:$AH$1068,MATCH($A242,'Historical Data'!$BE$2:$BE$1068,0)),"")</f>
        <v/>
      </c>
      <c r="W242" s="291">
        <f>IFERROR(INDEX('Historical Data'!$BC$2:$BC$1068,MATCH($A242,'Historical Data'!$BE$2:$BE$1068,0)),"")</f>
        <v/>
      </c>
      <c r="X242" s="290">
        <f>IF(B242="","",IF(W242=1,"NR + industry + position",IF(W242=2,"NR + ISO + position",IF(W242=3,"NR + industry",IF(W242=4,"NR + ISO",IF(W242=5,"NR + position",IF(W242=6,"NR only","book baseline"))))))&amp;"  ["&amp;IF(T242=1,"seasoned","unseasoned")&amp;IF(U242=1,", defaulted","")&amp;IF(V242=1,", open","")&amp;"]")</f>
        <v/>
      </c>
    </row>
    <row r="243">
      <c r="A243" s="290" t="n">
        <v>239</v>
      </c>
      <c r="B243" s="291">
        <f>IFERROR(INDEX('Historical Data'!$A$2:$A$1068,MATCH($A243,'Historical Data'!$BE$2:$BE$1068,0)),"")</f>
        <v/>
      </c>
      <c r="C243" s="291">
        <f>IFERROR(INDEX('Historical Data'!$B$2:$B$1068,MATCH($A243,'Historical Data'!$BE$2:$BE$1068,0)),"")</f>
        <v/>
      </c>
      <c r="D243" s="291">
        <f>IFERROR(INDEX('Historical Data'!$D$2:$D$1068,MATCH($A243,'Historical Data'!$BE$2:$BE$1068,0)),"")</f>
        <v/>
      </c>
      <c r="E243" s="292">
        <f>IFERROR(INDEX('Historical Data'!$E$2:$E$1068,MATCH($A243,'Historical Data'!$BE$2:$BE$1068,0)),"")</f>
        <v/>
      </c>
      <c r="F243" s="291">
        <f>IFERROR(INDEX('Historical Data'!$G$2:$G$1068,MATCH($A243,'Historical Data'!$BE$2:$BE$1068,0)),"")</f>
        <v/>
      </c>
      <c r="G243" s="291">
        <f>IFERROR(INDEX('Historical Data'!$Y$2:$Y$1068,MATCH($A243,'Historical Data'!$BE$2:$BE$1068,0)),"")</f>
        <v/>
      </c>
      <c r="H243" s="291">
        <f>IFERROR(INDEX('Historical Data'!$K$2:$K$1068,MATCH($A243,'Historical Data'!$BE$2:$BE$1068,0)),"")</f>
        <v/>
      </c>
      <c r="I243" s="291">
        <f>IFERROR(INDEX('Historical Data'!$J$2:$J$1068,MATCH($A243,'Historical Data'!$BE$2:$BE$1068,0)),"")</f>
        <v/>
      </c>
      <c r="J243" s="291">
        <f>IFERROR(INDEX('Historical Data'!$L$2:$L$1068,MATCH($A243,'Historical Data'!$BE$2:$BE$1068,0)),"")</f>
        <v/>
      </c>
      <c r="K243" s="293">
        <f>IFERROR(INDEX('Historical Data'!$M$2:$M$1068,MATCH($A243,'Historical Data'!$BE$2:$BE$1068,0)),"")</f>
        <v/>
      </c>
      <c r="L243" s="294">
        <f>IFERROR(INDEX('Historical Data'!$N$2:$N$1068,MATCH($A243,'Historical Data'!$BE$2:$BE$1068,0)),"")</f>
        <v/>
      </c>
      <c r="M243" s="294">
        <f>IFERROR(INDEX('Historical Data'!$Q$2:$Q$1068,MATCH($A243,'Historical Data'!$BE$2:$BE$1068,0)),"")</f>
        <v/>
      </c>
      <c r="N243" s="295">
        <f>IFERROR(INDEX('Historical Data'!$S$2:$S$1068,MATCH($A243,'Historical Data'!$BE$2:$BE$1068,0)),"")</f>
        <v/>
      </c>
      <c r="O243" s="294">
        <f>IFERROR(INDEX('Historical Data'!$AJ$2:$AJ$1068,MATCH($A243,'Historical Data'!$BE$2:$BE$1068,0)),"")</f>
        <v/>
      </c>
      <c r="P243" s="294">
        <f>IFERROR(INDEX('Historical Data'!$AK$2:$AK$1068,MATCH($A243,'Historical Data'!$BE$2:$BE$1068,0)),"")</f>
        <v/>
      </c>
      <c r="Q243" s="291">
        <f>IFERROR(INDEX('Historical Data'!$AA$2:$AA$1068,MATCH($A243,'Historical Data'!$BE$2:$BE$1068,0)),"")</f>
        <v/>
      </c>
      <c r="R243" s="291">
        <f>IFERROR(INDEX('Historical Data'!$AB$2:$AB$1068,MATCH($A243,'Historical Data'!$BE$2:$BE$1068,0)),"")</f>
        <v/>
      </c>
      <c r="S243" s="291">
        <f>IFERROR(INDEX('Historical Data'!$AN$2:$AN$1068,MATCH($A243,'Historical Data'!$BE$2:$BE$1068,0)),"")</f>
        <v/>
      </c>
      <c r="T243" s="291">
        <f>IFERROR(INDEX('Historical Data'!$AC$2:$AC$1068,MATCH($A243,'Historical Data'!$BE$2:$BE$1068,0)),"")</f>
        <v/>
      </c>
      <c r="U243" s="291">
        <f>IFERROR(INDEX('Historical Data'!$AE$2:$AE$1068,MATCH($A243,'Historical Data'!$BE$2:$BE$1068,0)),"")</f>
        <v/>
      </c>
      <c r="V243" s="291">
        <f>IFERROR(INDEX('Historical Data'!$AH$2:$AH$1068,MATCH($A243,'Historical Data'!$BE$2:$BE$1068,0)),"")</f>
        <v/>
      </c>
      <c r="W243" s="291">
        <f>IFERROR(INDEX('Historical Data'!$BC$2:$BC$1068,MATCH($A243,'Historical Data'!$BE$2:$BE$1068,0)),"")</f>
        <v/>
      </c>
      <c r="X243" s="290">
        <f>IF(B243="","",IF(W243=1,"NR + industry + position",IF(W243=2,"NR + ISO + position",IF(W243=3,"NR + industry",IF(W243=4,"NR + ISO",IF(W243=5,"NR + position",IF(W243=6,"NR only","book baseline"))))))&amp;"  ["&amp;IF(T243=1,"seasoned","unseasoned")&amp;IF(U243=1,", defaulted","")&amp;IF(V243=1,", open","")&amp;"]")</f>
        <v/>
      </c>
    </row>
    <row r="244">
      <c r="A244" s="290" t="n">
        <v>240</v>
      </c>
      <c r="B244" s="291">
        <f>IFERROR(INDEX('Historical Data'!$A$2:$A$1068,MATCH($A244,'Historical Data'!$BE$2:$BE$1068,0)),"")</f>
        <v/>
      </c>
      <c r="C244" s="291">
        <f>IFERROR(INDEX('Historical Data'!$B$2:$B$1068,MATCH($A244,'Historical Data'!$BE$2:$BE$1068,0)),"")</f>
        <v/>
      </c>
      <c r="D244" s="291">
        <f>IFERROR(INDEX('Historical Data'!$D$2:$D$1068,MATCH($A244,'Historical Data'!$BE$2:$BE$1068,0)),"")</f>
        <v/>
      </c>
      <c r="E244" s="292">
        <f>IFERROR(INDEX('Historical Data'!$E$2:$E$1068,MATCH($A244,'Historical Data'!$BE$2:$BE$1068,0)),"")</f>
        <v/>
      </c>
      <c r="F244" s="291">
        <f>IFERROR(INDEX('Historical Data'!$G$2:$G$1068,MATCH($A244,'Historical Data'!$BE$2:$BE$1068,0)),"")</f>
        <v/>
      </c>
      <c r="G244" s="291">
        <f>IFERROR(INDEX('Historical Data'!$Y$2:$Y$1068,MATCH($A244,'Historical Data'!$BE$2:$BE$1068,0)),"")</f>
        <v/>
      </c>
      <c r="H244" s="291">
        <f>IFERROR(INDEX('Historical Data'!$K$2:$K$1068,MATCH($A244,'Historical Data'!$BE$2:$BE$1068,0)),"")</f>
        <v/>
      </c>
      <c r="I244" s="291">
        <f>IFERROR(INDEX('Historical Data'!$J$2:$J$1068,MATCH($A244,'Historical Data'!$BE$2:$BE$1068,0)),"")</f>
        <v/>
      </c>
      <c r="J244" s="291">
        <f>IFERROR(INDEX('Historical Data'!$L$2:$L$1068,MATCH($A244,'Historical Data'!$BE$2:$BE$1068,0)),"")</f>
        <v/>
      </c>
      <c r="K244" s="293">
        <f>IFERROR(INDEX('Historical Data'!$M$2:$M$1068,MATCH($A244,'Historical Data'!$BE$2:$BE$1068,0)),"")</f>
        <v/>
      </c>
      <c r="L244" s="294">
        <f>IFERROR(INDEX('Historical Data'!$N$2:$N$1068,MATCH($A244,'Historical Data'!$BE$2:$BE$1068,0)),"")</f>
        <v/>
      </c>
      <c r="M244" s="294">
        <f>IFERROR(INDEX('Historical Data'!$Q$2:$Q$1068,MATCH($A244,'Historical Data'!$BE$2:$BE$1068,0)),"")</f>
        <v/>
      </c>
      <c r="N244" s="295">
        <f>IFERROR(INDEX('Historical Data'!$S$2:$S$1068,MATCH($A244,'Historical Data'!$BE$2:$BE$1068,0)),"")</f>
        <v/>
      </c>
      <c r="O244" s="294">
        <f>IFERROR(INDEX('Historical Data'!$AJ$2:$AJ$1068,MATCH($A244,'Historical Data'!$BE$2:$BE$1068,0)),"")</f>
        <v/>
      </c>
      <c r="P244" s="294">
        <f>IFERROR(INDEX('Historical Data'!$AK$2:$AK$1068,MATCH($A244,'Historical Data'!$BE$2:$BE$1068,0)),"")</f>
        <v/>
      </c>
      <c r="Q244" s="291">
        <f>IFERROR(INDEX('Historical Data'!$AA$2:$AA$1068,MATCH($A244,'Historical Data'!$BE$2:$BE$1068,0)),"")</f>
        <v/>
      </c>
      <c r="R244" s="291">
        <f>IFERROR(INDEX('Historical Data'!$AB$2:$AB$1068,MATCH($A244,'Historical Data'!$BE$2:$BE$1068,0)),"")</f>
        <v/>
      </c>
      <c r="S244" s="291">
        <f>IFERROR(INDEX('Historical Data'!$AN$2:$AN$1068,MATCH($A244,'Historical Data'!$BE$2:$BE$1068,0)),"")</f>
        <v/>
      </c>
      <c r="T244" s="291">
        <f>IFERROR(INDEX('Historical Data'!$AC$2:$AC$1068,MATCH($A244,'Historical Data'!$BE$2:$BE$1068,0)),"")</f>
        <v/>
      </c>
      <c r="U244" s="291">
        <f>IFERROR(INDEX('Historical Data'!$AE$2:$AE$1068,MATCH($A244,'Historical Data'!$BE$2:$BE$1068,0)),"")</f>
        <v/>
      </c>
      <c r="V244" s="291">
        <f>IFERROR(INDEX('Historical Data'!$AH$2:$AH$1068,MATCH($A244,'Historical Data'!$BE$2:$BE$1068,0)),"")</f>
        <v/>
      </c>
      <c r="W244" s="291">
        <f>IFERROR(INDEX('Historical Data'!$BC$2:$BC$1068,MATCH($A244,'Historical Data'!$BE$2:$BE$1068,0)),"")</f>
        <v/>
      </c>
      <c r="X244" s="290">
        <f>IF(B244="","",IF(W244=1,"NR + industry + position",IF(W244=2,"NR + ISO + position",IF(W244=3,"NR + industry",IF(W244=4,"NR + ISO",IF(W244=5,"NR + position",IF(W244=6,"NR only","book baseline"))))))&amp;"  ["&amp;IF(T244=1,"seasoned","unseasoned")&amp;IF(U244=1,", defaulted","")&amp;IF(V244=1,", open","")&amp;"]")</f>
        <v/>
      </c>
    </row>
    <row r="245">
      <c r="A245" s="290" t="n">
        <v>241</v>
      </c>
      <c r="B245" s="291">
        <f>IFERROR(INDEX('Historical Data'!$A$2:$A$1068,MATCH($A245,'Historical Data'!$BE$2:$BE$1068,0)),"")</f>
        <v/>
      </c>
      <c r="C245" s="291">
        <f>IFERROR(INDEX('Historical Data'!$B$2:$B$1068,MATCH($A245,'Historical Data'!$BE$2:$BE$1068,0)),"")</f>
        <v/>
      </c>
      <c r="D245" s="291">
        <f>IFERROR(INDEX('Historical Data'!$D$2:$D$1068,MATCH($A245,'Historical Data'!$BE$2:$BE$1068,0)),"")</f>
        <v/>
      </c>
      <c r="E245" s="292">
        <f>IFERROR(INDEX('Historical Data'!$E$2:$E$1068,MATCH($A245,'Historical Data'!$BE$2:$BE$1068,0)),"")</f>
        <v/>
      </c>
      <c r="F245" s="291">
        <f>IFERROR(INDEX('Historical Data'!$G$2:$G$1068,MATCH($A245,'Historical Data'!$BE$2:$BE$1068,0)),"")</f>
        <v/>
      </c>
      <c r="G245" s="291">
        <f>IFERROR(INDEX('Historical Data'!$Y$2:$Y$1068,MATCH($A245,'Historical Data'!$BE$2:$BE$1068,0)),"")</f>
        <v/>
      </c>
      <c r="H245" s="291">
        <f>IFERROR(INDEX('Historical Data'!$K$2:$K$1068,MATCH($A245,'Historical Data'!$BE$2:$BE$1068,0)),"")</f>
        <v/>
      </c>
      <c r="I245" s="291">
        <f>IFERROR(INDEX('Historical Data'!$J$2:$J$1068,MATCH($A245,'Historical Data'!$BE$2:$BE$1068,0)),"")</f>
        <v/>
      </c>
      <c r="J245" s="291">
        <f>IFERROR(INDEX('Historical Data'!$L$2:$L$1068,MATCH($A245,'Historical Data'!$BE$2:$BE$1068,0)),"")</f>
        <v/>
      </c>
      <c r="K245" s="293">
        <f>IFERROR(INDEX('Historical Data'!$M$2:$M$1068,MATCH($A245,'Historical Data'!$BE$2:$BE$1068,0)),"")</f>
        <v/>
      </c>
      <c r="L245" s="294">
        <f>IFERROR(INDEX('Historical Data'!$N$2:$N$1068,MATCH($A245,'Historical Data'!$BE$2:$BE$1068,0)),"")</f>
        <v/>
      </c>
      <c r="M245" s="294">
        <f>IFERROR(INDEX('Historical Data'!$Q$2:$Q$1068,MATCH($A245,'Historical Data'!$BE$2:$BE$1068,0)),"")</f>
        <v/>
      </c>
      <c r="N245" s="295">
        <f>IFERROR(INDEX('Historical Data'!$S$2:$S$1068,MATCH($A245,'Historical Data'!$BE$2:$BE$1068,0)),"")</f>
        <v/>
      </c>
      <c r="O245" s="294">
        <f>IFERROR(INDEX('Historical Data'!$AJ$2:$AJ$1068,MATCH($A245,'Historical Data'!$BE$2:$BE$1068,0)),"")</f>
        <v/>
      </c>
      <c r="P245" s="294">
        <f>IFERROR(INDEX('Historical Data'!$AK$2:$AK$1068,MATCH($A245,'Historical Data'!$BE$2:$BE$1068,0)),"")</f>
        <v/>
      </c>
      <c r="Q245" s="291">
        <f>IFERROR(INDEX('Historical Data'!$AA$2:$AA$1068,MATCH($A245,'Historical Data'!$BE$2:$BE$1068,0)),"")</f>
        <v/>
      </c>
      <c r="R245" s="291">
        <f>IFERROR(INDEX('Historical Data'!$AB$2:$AB$1068,MATCH($A245,'Historical Data'!$BE$2:$BE$1068,0)),"")</f>
        <v/>
      </c>
      <c r="S245" s="291">
        <f>IFERROR(INDEX('Historical Data'!$AN$2:$AN$1068,MATCH($A245,'Historical Data'!$BE$2:$BE$1068,0)),"")</f>
        <v/>
      </c>
      <c r="T245" s="291">
        <f>IFERROR(INDEX('Historical Data'!$AC$2:$AC$1068,MATCH($A245,'Historical Data'!$BE$2:$BE$1068,0)),"")</f>
        <v/>
      </c>
      <c r="U245" s="291">
        <f>IFERROR(INDEX('Historical Data'!$AE$2:$AE$1068,MATCH($A245,'Historical Data'!$BE$2:$BE$1068,0)),"")</f>
        <v/>
      </c>
      <c r="V245" s="291">
        <f>IFERROR(INDEX('Historical Data'!$AH$2:$AH$1068,MATCH($A245,'Historical Data'!$BE$2:$BE$1068,0)),"")</f>
        <v/>
      </c>
      <c r="W245" s="291">
        <f>IFERROR(INDEX('Historical Data'!$BC$2:$BC$1068,MATCH($A245,'Historical Data'!$BE$2:$BE$1068,0)),"")</f>
        <v/>
      </c>
      <c r="X245" s="290">
        <f>IF(B245="","",IF(W245=1,"NR + industry + position",IF(W245=2,"NR + ISO + position",IF(W245=3,"NR + industry",IF(W245=4,"NR + ISO",IF(W245=5,"NR + position",IF(W245=6,"NR only","book baseline"))))))&amp;"  ["&amp;IF(T245=1,"seasoned","unseasoned")&amp;IF(U245=1,", defaulted","")&amp;IF(V245=1,", open","")&amp;"]")</f>
        <v/>
      </c>
    </row>
    <row r="246">
      <c r="A246" s="290" t="n">
        <v>242</v>
      </c>
      <c r="B246" s="291">
        <f>IFERROR(INDEX('Historical Data'!$A$2:$A$1068,MATCH($A246,'Historical Data'!$BE$2:$BE$1068,0)),"")</f>
        <v/>
      </c>
      <c r="C246" s="291">
        <f>IFERROR(INDEX('Historical Data'!$B$2:$B$1068,MATCH($A246,'Historical Data'!$BE$2:$BE$1068,0)),"")</f>
        <v/>
      </c>
      <c r="D246" s="291">
        <f>IFERROR(INDEX('Historical Data'!$D$2:$D$1068,MATCH($A246,'Historical Data'!$BE$2:$BE$1068,0)),"")</f>
        <v/>
      </c>
      <c r="E246" s="292">
        <f>IFERROR(INDEX('Historical Data'!$E$2:$E$1068,MATCH($A246,'Historical Data'!$BE$2:$BE$1068,0)),"")</f>
        <v/>
      </c>
      <c r="F246" s="291">
        <f>IFERROR(INDEX('Historical Data'!$G$2:$G$1068,MATCH($A246,'Historical Data'!$BE$2:$BE$1068,0)),"")</f>
        <v/>
      </c>
      <c r="G246" s="291">
        <f>IFERROR(INDEX('Historical Data'!$Y$2:$Y$1068,MATCH($A246,'Historical Data'!$BE$2:$BE$1068,0)),"")</f>
        <v/>
      </c>
      <c r="H246" s="291">
        <f>IFERROR(INDEX('Historical Data'!$K$2:$K$1068,MATCH($A246,'Historical Data'!$BE$2:$BE$1068,0)),"")</f>
        <v/>
      </c>
      <c r="I246" s="291">
        <f>IFERROR(INDEX('Historical Data'!$J$2:$J$1068,MATCH($A246,'Historical Data'!$BE$2:$BE$1068,0)),"")</f>
        <v/>
      </c>
      <c r="J246" s="291">
        <f>IFERROR(INDEX('Historical Data'!$L$2:$L$1068,MATCH($A246,'Historical Data'!$BE$2:$BE$1068,0)),"")</f>
        <v/>
      </c>
      <c r="K246" s="293">
        <f>IFERROR(INDEX('Historical Data'!$M$2:$M$1068,MATCH($A246,'Historical Data'!$BE$2:$BE$1068,0)),"")</f>
        <v/>
      </c>
      <c r="L246" s="294">
        <f>IFERROR(INDEX('Historical Data'!$N$2:$N$1068,MATCH($A246,'Historical Data'!$BE$2:$BE$1068,0)),"")</f>
        <v/>
      </c>
      <c r="M246" s="294">
        <f>IFERROR(INDEX('Historical Data'!$Q$2:$Q$1068,MATCH($A246,'Historical Data'!$BE$2:$BE$1068,0)),"")</f>
        <v/>
      </c>
      <c r="N246" s="295">
        <f>IFERROR(INDEX('Historical Data'!$S$2:$S$1068,MATCH($A246,'Historical Data'!$BE$2:$BE$1068,0)),"")</f>
        <v/>
      </c>
      <c r="O246" s="294">
        <f>IFERROR(INDEX('Historical Data'!$AJ$2:$AJ$1068,MATCH($A246,'Historical Data'!$BE$2:$BE$1068,0)),"")</f>
        <v/>
      </c>
      <c r="P246" s="294">
        <f>IFERROR(INDEX('Historical Data'!$AK$2:$AK$1068,MATCH($A246,'Historical Data'!$BE$2:$BE$1068,0)),"")</f>
        <v/>
      </c>
      <c r="Q246" s="291">
        <f>IFERROR(INDEX('Historical Data'!$AA$2:$AA$1068,MATCH($A246,'Historical Data'!$BE$2:$BE$1068,0)),"")</f>
        <v/>
      </c>
      <c r="R246" s="291">
        <f>IFERROR(INDEX('Historical Data'!$AB$2:$AB$1068,MATCH($A246,'Historical Data'!$BE$2:$BE$1068,0)),"")</f>
        <v/>
      </c>
      <c r="S246" s="291">
        <f>IFERROR(INDEX('Historical Data'!$AN$2:$AN$1068,MATCH($A246,'Historical Data'!$BE$2:$BE$1068,0)),"")</f>
        <v/>
      </c>
      <c r="T246" s="291">
        <f>IFERROR(INDEX('Historical Data'!$AC$2:$AC$1068,MATCH($A246,'Historical Data'!$BE$2:$BE$1068,0)),"")</f>
        <v/>
      </c>
      <c r="U246" s="291">
        <f>IFERROR(INDEX('Historical Data'!$AE$2:$AE$1068,MATCH($A246,'Historical Data'!$BE$2:$BE$1068,0)),"")</f>
        <v/>
      </c>
      <c r="V246" s="291">
        <f>IFERROR(INDEX('Historical Data'!$AH$2:$AH$1068,MATCH($A246,'Historical Data'!$BE$2:$BE$1068,0)),"")</f>
        <v/>
      </c>
      <c r="W246" s="291">
        <f>IFERROR(INDEX('Historical Data'!$BC$2:$BC$1068,MATCH($A246,'Historical Data'!$BE$2:$BE$1068,0)),"")</f>
        <v/>
      </c>
      <c r="X246" s="290">
        <f>IF(B246="","",IF(W246=1,"NR + industry + position",IF(W246=2,"NR + ISO + position",IF(W246=3,"NR + industry",IF(W246=4,"NR + ISO",IF(W246=5,"NR + position",IF(W246=6,"NR only","book baseline"))))))&amp;"  ["&amp;IF(T246=1,"seasoned","unseasoned")&amp;IF(U246=1,", defaulted","")&amp;IF(V246=1,", open","")&amp;"]")</f>
        <v/>
      </c>
    </row>
    <row r="247">
      <c r="A247" s="290" t="n">
        <v>243</v>
      </c>
      <c r="B247" s="291">
        <f>IFERROR(INDEX('Historical Data'!$A$2:$A$1068,MATCH($A247,'Historical Data'!$BE$2:$BE$1068,0)),"")</f>
        <v/>
      </c>
      <c r="C247" s="291">
        <f>IFERROR(INDEX('Historical Data'!$B$2:$B$1068,MATCH($A247,'Historical Data'!$BE$2:$BE$1068,0)),"")</f>
        <v/>
      </c>
      <c r="D247" s="291">
        <f>IFERROR(INDEX('Historical Data'!$D$2:$D$1068,MATCH($A247,'Historical Data'!$BE$2:$BE$1068,0)),"")</f>
        <v/>
      </c>
      <c r="E247" s="292">
        <f>IFERROR(INDEX('Historical Data'!$E$2:$E$1068,MATCH($A247,'Historical Data'!$BE$2:$BE$1068,0)),"")</f>
        <v/>
      </c>
      <c r="F247" s="291">
        <f>IFERROR(INDEX('Historical Data'!$G$2:$G$1068,MATCH($A247,'Historical Data'!$BE$2:$BE$1068,0)),"")</f>
        <v/>
      </c>
      <c r="G247" s="291">
        <f>IFERROR(INDEX('Historical Data'!$Y$2:$Y$1068,MATCH($A247,'Historical Data'!$BE$2:$BE$1068,0)),"")</f>
        <v/>
      </c>
      <c r="H247" s="291">
        <f>IFERROR(INDEX('Historical Data'!$K$2:$K$1068,MATCH($A247,'Historical Data'!$BE$2:$BE$1068,0)),"")</f>
        <v/>
      </c>
      <c r="I247" s="291">
        <f>IFERROR(INDEX('Historical Data'!$J$2:$J$1068,MATCH($A247,'Historical Data'!$BE$2:$BE$1068,0)),"")</f>
        <v/>
      </c>
      <c r="J247" s="291">
        <f>IFERROR(INDEX('Historical Data'!$L$2:$L$1068,MATCH($A247,'Historical Data'!$BE$2:$BE$1068,0)),"")</f>
        <v/>
      </c>
      <c r="K247" s="293">
        <f>IFERROR(INDEX('Historical Data'!$M$2:$M$1068,MATCH($A247,'Historical Data'!$BE$2:$BE$1068,0)),"")</f>
        <v/>
      </c>
      <c r="L247" s="294">
        <f>IFERROR(INDEX('Historical Data'!$N$2:$N$1068,MATCH($A247,'Historical Data'!$BE$2:$BE$1068,0)),"")</f>
        <v/>
      </c>
      <c r="M247" s="294">
        <f>IFERROR(INDEX('Historical Data'!$Q$2:$Q$1068,MATCH($A247,'Historical Data'!$BE$2:$BE$1068,0)),"")</f>
        <v/>
      </c>
      <c r="N247" s="295">
        <f>IFERROR(INDEX('Historical Data'!$S$2:$S$1068,MATCH($A247,'Historical Data'!$BE$2:$BE$1068,0)),"")</f>
        <v/>
      </c>
      <c r="O247" s="294">
        <f>IFERROR(INDEX('Historical Data'!$AJ$2:$AJ$1068,MATCH($A247,'Historical Data'!$BE$2:$BE$1068,0)),"")</f>
        <v/>
      </c>
      <c r="P247" s="294">
        <f>IFERROR(INDEX('Historical Data'!$AK$2:$AK$1068,MATCH($A247,'Historical Data'!$BE$2:$BE$1068,0)),"")</f>
        <v/>
      </c>
      <c r="Q247" s="291">
        <f>IFERROR(INDEX('Historical Data'!$AA$2:$AA$1068,MATCH($A247,'Historical Data'!$BE$2:$BE$1068,0)),"")</f>
        <v/>
      </c>
      <c r="R247" s="291">
        <f>IFERROR(INDEX('Historical Data'!$AB$2:$AB$1068,MATCH($A247,'Historical Data'!$BE$2:$BE$1068,0)),"")</f>
        <v/>
      </c>
      <c r="S247" s="291">
        <f>IFERROR(INDEX('Historical Data'!$AN$2:$AN$1068,MATCH($A247,'Historical Data'!$BE$2:$BE$1068,0)),"")</f>
        <v/>
      </c>
      <c r="T247" s="291">
        <f>IFERROR(INDEX('Historical Data'!$AC$2:$AC$1068,MATCH($A247,'Historical Data'!$BE$2:$BE$1068,0)),"")</f>
        <v/>
      </c>
      <c r="U247" s="291">
        <f>IFERROR(INDEX('Historical Data'!$AE$2:$AE$1068,MATCH($A247,'Historical Data'!$BE$2:$BE$1068,0)),"")</f>
        <v/>
      </c>
      <c r="V247" s="291">
        <f>IFERROR(INDEX('Historical Data'!$AH$2:$AH$1068,MATCH($A247,'Historical Data'!$BE$2:$BE$1068,0)),"")</f>
        <v/>
      </c>
      <c r="W247" s="291">
        <f>IFERROR(INDEX('Historical Data'!$BC$2:$BC$1068,MATCH($A247,'Historical Data'!$BE$2:$BE$1068,0)),"")</f>
        <v/>
      </c>
      <c r="X247" s="290">
        <f>IF(B247="","",IF(W247=1,"NR + industry + position",IF(W247=2,"NR + ISO + position",IF(W247=3,"NR + industry",IF(W247=4,"NR + ISO",IF(W247=5,"NR + position",IF(W247=6,"NR only","book baseline"))))))&amp;"  ["&amp;IF(T247=1,"seasoned","unseasoned")&amp;IF(U247=1,", defaulted","")&amp;IF(V247=1,", open","")&amp;"]")</f>
        <v/>
      </c>
    </row>
    <row r="248">
      <c r="A248" s="290" t="n">
        <v>244</v>
      </c>
      <c r="B248" s="291">
        <f>IFERROR(INDEX('Historical Data'!$A$2:$A$1068,MATCH($A248,'Historical Data'!$BE$2:$BE$1068,0)),"")</f>
        <v/>
      </c>
      <c r="C248" s="291">
        <f>IFERROR(INDEX('Historical Data'!$B$2:$B$1068,MATCH($A248,'Historical Data'!$BE$2:$BE$1068,0)),"")</f>
        <v/>
      </c>
      <c r="D248" s="291">
        <f>IFERROR(INDEX('Historical Data'!$D$2:$D$1068,MATCH($A248,'Historical Data'!$BE$2:$BE$1068,0)),"")</f>
        <v/>
      </c>
      <c r="E248" s="292">
        <f>IFERROR(INDEX('Historical Data'!$E$2:$E$1068,MATCH($A248,'Historical Data'!$BE$2:$BE$1068,0)),"")</f>
        <v/>
      </c>
      <c r="F248" s="291">
        <f>IFERROR(INDEX('Historical Data'!$G$2:$G$1068,MATCH($A248,'Historical Data'!$BE$2:$BE$1068,0)),"")</f>
        <v/>
      </c>
      <c r="G248" s="291">
        <f>IFERROR(INDEX('Historical Data'!$Y$2:$Y$1068,MATCH($A248,'Historical Data'!$BE$2:$BE$1068,0)),"")</f>
        <v/>
      </c>
      <c r="H248" s="291">
        <f>IFERROR(INDEX('Historical Data'!$K$2:$K$1068,MATCH($A248,'Historical Data'!$BE$2:$BE$1068,0)),"")</f>
        <v/>
      </c>
      <c r="I248" s="291">
        <f>IFERROR(INDEX('Historical Data'!$J$2:$J$1068,MATCH($A248,'Historical Data'!$BE$2:$BE$1068,0)),"")</f>
        <v/>
      </c>
      <c r="J248" s="291">
        <f>IFERROR(INDEX('Historical Data'!$L$2:$L$1068,MATCH($A248,'Historical Data'!$BE$2:$BE$1068,0)),"")</f>
        <v/>
      </c>
      <c r="K248" s="293">
        <f>IFERROR(INDEX('Historical Data'!$M$2:$M$1068,MATCH($A248,'Historical Data'!$BE$2:$BE$1068,0)),"")</f>
        <v/>
      </c>
      <c r="L248" s="294">
        <f>IFERROR(INDEX('Historical Data'!$N$2:$N$1068,MATCH($A248,'Historical Data'!$BE$2:$BE$1068,0)),"")</f>
        <v/>
      </c>
      <c r="M248" s="294">
        <f>IFERROR(INDEX('Historical Data'!$Q$2:$Q$1068,MATCH($A248,'Historical Data'!$BE$2:$BE$1068,0)),"")</f>
        <v/>
      </c>
      <c r="N248" s="295">
        <f>IFERROR(INDEX('Historical Data'!$S$2:$S$1068,MATCH($A248,'Historical Data'!$BE$2:$BE$1068,0)),"")</f>
        <v/>
      </c>
      <c r="O248" s="294">
        <f>IFERROR(INDEX('Historical Data'!$AJ$2:$AJ$1068,MATCH($A248,'Historical Data'!$BE$2:$BE$1068,0)),"")</f>
        <v/>
      </c>
      <c r="P248" s="294">
        <f>IFERROR(INDEX('Historical Data'!$AK$2:$AK$1068,MATCH($A248,'Historical Data'!$BE$2:$BE$1068,0)),"")</f>
        <v/>
      </c>
      <c r="Q248" s="291">
        <f>IFERROR(INDEX('Historical Data'!$AA$2:$AA$1068,MATCH($A248,'Historical Data'!$BE$2:$BE$1068,0)),"")</f>
        <v/>
      </c>
      <c r="R248" s="291">
        <f>IFERROR(INDEX('Historical Data'!$AB$2:$AB$1068,MATCH($A248,'Historical Data'!$BE$2:$BE$1068,0)),"")</f>
        <v/>
      </c>
      <c r="S248" s="291">
        <f>IFERROR(INDEX('Historical Data'!$AN$2:$AN$1068,MATCH($A248,'Historical Data'!$BE$2:$BE$1068,0)),"")</f>
        <v/>
      </c>
      <c r="T248" s="291">
        <f>IFERROR(INDEX('Historical Data'!$AC$2:$AC$1068,MATCH($A248,'Historical Data'!$BE$2:$BE$1068,0)),"")</f>
        <v/>
      </c>
      <c r="U248" s="291">
        <f>IFERROR(INDEX('Historical Data'!$AE$2:$AE$1068,MATCH($A248,'Historical Data'!$BE$2:$BE$1068,0)),"")</f>
        <v/>
      </c>
      <c r="V248" s="291">
        <f>IFERROR(INDEX('Historical Data'!$AH$2:$AH$1068,MATCH($A248,'Historical Data'!$BE$2:$BE$1068,0)),"")</f>
        <v/>
      </c>
      <c r="W248" s="291">
        <f>IFERROR(INDEX('Historical Data'!$BC$2:$BC$1068,MATCH($A248,'Historical Data'!$BE$2:$BE$1068,0)),"")</f>
        <v/>
      </c>
      <c r="X248" s="290">
        <f>IF(B248="","",IF(W248=1,"NR + industry + position",IF(W248=2,"NR + ISO + position",IF(W248=3,"NR + industry",IF(W248=4,"NR + ISO",IF(W248=5,"NR + position",IF(W248=6,"NR only","book baseline"))))))&amp;"  ["&amp;IF(T248=1,"seasoned","unseasoned")&amp;IF(U248=1,", defaulted","")&amp;IF(V248=1,", open","")&amp;"]")</f>
        <v/>
      </c>
    </row>
    <row r="249">
      <c r="A249" s="290" t="n">
        <v>245</v>
      </c>
      <c r="B249" s="291">
        <f>IFERROR(INDEX('Historical Data'!$A$2:$A$1068,MATCH($A249,'Historical Data'!$BE$2:$BE$1068,0)),"")</f>
        <v/>
      </c>
      <c r="C249" s="291">
        <f>IFERROR(INDEX('Historical Data'!$B$2:$B$1068,MATCH($A249,'Historical Data'!$BE$2:$BE$1068,0)),"")</f>
        <v/>
      </c>
      <c r="D249" s="291">
        <f>IFERROR(INDEX('Historical Data'!$D$2:$D$1068,MATCH($A249,'Historical Data'!$BE$2:$BE$1068,0)),"")</f>
        <v/>
      </c>
      <c r="E249" s="292">
        <f>IFERROR(INDEX('Historical Data'!$E$2:$E$1068,MATCH($A249,'Historical Data'!$BE$2:$BE$1068,0)),"")</f>
        <v/>
      </c>
      <c r="F249" s="291">
        <f>IFERROR(INDEX('Historical Data'!$G$2:$G$1068,MATCH($A249,'Historical Data'!$BE$2:$BE$1068,0)),"")</f>
        <v/>
      </c>
      <c r="G249" s="291">
        <f>IFERROR(INDEX('Historical Data'!$Y$2:$Y$1068,MATCH($A249,'Historical Data'!$BE$2:$BE$1068,0)),"")</f>
        <v/>
      </c>
      <c r="H249" s="291">
        <f>IFERROR(INDEX('Historical Data'!$K$2:$K$1068,MATCH($A249,'Historical Data'!$BE$2:$BE$1068,0)),"")</f>
        <v/>
      </c>
      <c r="I249" s="291">
        <f>IFERROR(INDEX('Historical Data'!$J$2:$J$1068,MATCH($A249,'Historical Data'!$BE$2:$BE$1068,0)),"")</f>
        <v/>
      </c>
      <c r="J249" s="291">
        <f>IFERROR(INDEX('Historical Data'!$L$2:$L$1068,MATCH($A249,'Historical Data'!$BE$2:$BE$1068,0)),"")</f>
        <v/>
      </c>
      <c r="K249" s="293">
        <f>IFERROR(INDEX('Historical Data'!$M$2:$M$1068,MATCH($A249,'Historical Data'!$BE$2:$BE$1068,0)),"")</f>
        <v/>
      </c>
      <c r="L249" s="294">
        <f>IFERROR(INDEX('Historical Data'!$N$2:$N$1068,MATCH($A249,'Historical Data'!$BE$2:$BE$1068,0)),"")</f>
        <v/>
      </c>
      <c r="M249" s="294">
        <f>IFERROR(INDEX('Historical Data'!$Q$2:$Q$1068,MATCH($A249,'Historical Data'!$BE$2:$BE$1068,0)),"")</f>
        <v/>
      </c>
      <c r="N249" s="295">
        <f>IFERROR(INDEX('Historical Data'!$S$2:$S$1068,MATCH($A249,'Historical Data'!$BE$2:$BE$1068,0)),"")</f>
        <v/>
      </c>
      <c r="O249" s="294">
        <f>IFERROR(INDEX('Historical Data'!$AJ$2:$AJ$1068,MATCH($A249,'Historical Data'!$BE$2:$BE$1068,0)),"")</f>
        <v/>
      </c>
      <c r="P249" s="294">
        <f>IFERROR(INDEX('Historical Data'!$AK$2:$AK$1068,MATCH($A249,'Historical Data'!$BE$2:$BE$1068,0)),"")</f>
        <v/>
      </c>
      <c r="Q249" s="291">
        <f>IFERROR(INDEX('Historical Data'!$AA$2:$AA$1068,MATCH($A249,'Historical Data'!$BE$2:$BE$1068,0)),"")</f>
        <v/>
      </c>
      <c r="R249" s="291">
        <f>IFERROR(INDEX('Historical Data'!$AB$2:$AB$1068,MATCH($A249,'Historical Data'!$BE$2:$BE$1068,0)),"")</f>
        <v/>
      </c>
      <c r="S249" s="291">
        <f>IFERROR(INDEX('Historical Data'!$AN$2:$AN$1068,MATCH($A249,'Historical Data'!$BE$2:$BE$1068,0)),"")</f>
        <v/>
      </c>
      <c r="T249" s="291">
        <f>IFERROR(INDEX('Historical Data'!$AC$2:$AC$1068,MATCH($A249,'Historical Data'!$BE$2:$BE$1068,0)),"")</f>
        <v/>
      </c>
      <c r="U249" s="291">
        <f>IFERROR(INDEX('Historical Data'!$AE$2:$AE$1068,MATCH($A249,'Historical Data'!$BE$2:$BE$1068,0)),"")</f>
        <v/>
      </c>
      <c r="V249" s="291">
        <f>IFERROR(INDEX('Historical Data'!$AH$2:$AH$1068,MATCH($A249,'Historical Data'!$BE$2:$BE$1068,0)),"")</f>
        <v/>
      </c>
      <c r="W249" s="291">
        <f>IFERROR(INDEX('Historical Data'!$BC$2:$BC$1068,MATCH($A249,'Historical Data'!$BE$2:$BE$1068,0)),"")</f>
        <v/>
      </c>
      <c r="X249" s="290">
        <f>IF(B249="","",IF(W249=1,"NR + industry + position",IF(W249=2,"NR + ISO + position",IF(W249=3,"NR + industry",IF(W249=4,"NR + ISO",IF(W249=5,"NR + position",IF(W249=6,"NR only","book baseline"))))))&amp;"  ["&amp;IF(T249=1,"seasoned","unseasoned")&amp;IF(U249=1,", defaulted","")&amp;IF(V249=1,", open","")&amp;"]")</f>
        <v/>
      </c>
    </row>
    <row r="250">
      <c r="A250" s="290" t="n">
        <v>246</v>
      </c>
      <c r="B250" s="291">
        <f>IFERROR(INDEX('Historical Data'!$A$2:$A$1068,MATCH($A250,'Historical Data'!$BE$2:$BE$1068,0)),"")</f>
        <v/>
      </c>
      <c r="C250" s="291">
        <f>IFERROR(INDEX('Historical Data'!$B$2:$B$1068,MATCH($A250,'Historical Data'!$BE$2:$BE$1068,0)),"")</f>
        <v/>
      </c>
      <c r="D250" s="291">
        <f>IFERROR(INDEX('Historical Data'!$D$2:$D$1068,MATCH($A250,'Historical Data'!$BE$2:$BE$1068,0)),"")</f>
        <v/>
      </c>
      <c r="E250" s="292">
        <f>IFERROR(INDEX('Historical Data'!$E$2:$E$1068,MATCH($A250,'Historical Data'!$BE$2:$BE$1068,0)),"")</f>
        <v/>
      </c>
      <c r="F250" s="291">
        <f>IFERROR(INDEX('Historical Data'!$G$2:$G$1068,MATCH($A250,'Historical Data'!$BE$2:$BE$1068,0)),"")</f>
        <v/>
      </c>
      <c r="G250" s="291">
        <f>IFERROR(INDEX('Historical Data'!$Y$2:$Y$1068,MATCH($A250,'Historical Data'!$BE$2:$BE$1068,0)),"")</f>
        <v/>
      </c>
      <c r="H250" s="291">
        <f>IFERROR(INDEX('Historical Data'!$K$2:$K$1068,MATCH($A250,'Historical Data'!$BE$2:$BE$1068,0)),"")</f>
        <v/>
      </c>
      <c r="I250" s="291">
        <f>IFERROR(INDEX('Historical Data'!$J$2:$J$1068,MATCH($A250,'Historical Data'!$BE$2:$BE$1068,0)),"")</f>
        <v/>
      </c>
      <c r="J250" s="291">
        <f>IFERROR(INDEX('Historical Data'!$L$2:$L$1068,MATCH($A250,'Historical Data'!$BE$2:$BE$1068,0)),"")</f>
        <v/>
      </c>
      <c r="K250" s="293">
        <f>IFERROR(INDEX('Historical Data'!$M$2:$M$1068,MATCH($A250,'Historical Data'!$BE$2:$BE$1068,0)),"")</f>
        <v/>
      </c>
      <c r="L250" s="294">
        <f>IFERROR(INDEX('Historical Data'!$N$2:$N$1068,MATCH($A250,'Historical Data'!$BE$2:$BE$1068,0)),"")</f>
        <v/>
      </c>
      <c r="M250" s="294">
        <f>IFERROR(INDEX('Historical Data'!$Q$2:$Q$1068,MATCH($A250,'Historical Data'!$BE$2:$BE$1068,0)),"")</f>
        <v/>
      </c>
      <c r="N250" s="295">
        <f>IFERROR(INDEX('Historical Data'!$S$2:$S$1068,MATCH($A250,'Historical Data'!$BE$2:$BE$1068,0)),"")</f>
        <v/>
      </c>
      <c r="O250" s="294">
        <f>IFERROR(INDEX('Historical Data'!$AJ$2:$AJ$1068,MATCH($A250,'Historical Data'!$BE$2:$BE$1068,0)),"")</f>
        <v/>
      </c>
      <c r="P250" s="294">
        <f>IFERROR(INDEX('Historical Data'!$AK$2:$AK$1068,MATCH($A250,'Historical Data'!$BE$2:$BE$1068,0)),"")</f>
        <v/>
      </c>
      <c r="Q250" s="291">
        <f>IFERROR(INDEX('Historical Data'!$AA$2:$AA$1068,MATCH($A250,'Historical Data'!$BE$2:$BE$1068,0)),"")</f>
        <v/>
      </c>
      <c r="R250" s="291">
        <f>IFERROR(INDEX('Historical Data'!$AB$2:$AB$1068,MATCH($A250,'Historical Data'!$BE$2:$BE$1068,0)),"")</f>
        <v/>
      </c>
      <c r="S250" s="291">
        <f>IFERROR(INDEX('Historical Data'!$AN$2:$AN$1068,MATCH($A250,'Historical Data'!$BE$2:$BE$1068,0)),"")</f>
        <v/>
      </c>
      <c r="T250" s="291">
        <f>IFERROR(INDEX('Historical Data'!$AC$2:$AC$1068,MATCH($A250,'Historical Data'!$BE$2:$BE$1068,0)),"")</f>
        <v/>
      </c>
      <c r="U250" s="291">
        <f>IFERROR(INDEX('Historical Data'!$AE$2:$AE$1068,MATCH($A250,'Historical Data'!$BE$2:$BE$1068,0)),"")</f>
        <v/>
      </c>
      <c r="V250" s="291">
        <f>IFERROR(INDEX('Historical Data'!$AH$2:$AH$1068,MATCH($A250,'Historical Data'!$BE$2:$BE$1068,0)),"")</f>
        <v/>
      </c>
      <c r="W250" s="291">
        <f>IFERROR(INDEX('Historical Data'!$BC$2:$BC$1068,MATCH($A250,'Historical Data'!$BE$2:$BE$1068,0)),"")</f>
        <v/>
      </c>
      <c r="X250" s="290">
        <f>IF(B250="","",IF(W250=1,"NR + industry + position",IF(W250=2,"NR + ISO + position",IF(W250=3,"NR + industry",IF(W250=4,"NR + ISO",IF(W250=5,"NR + position",IF(W250=6,"NR only","book baseline"))))))&amp;"  ["&amp;IF(T250=1,"seasoned","unseasoned")&amp;IF(U250=1,", defaulted","")&amp;IF(V250=1,", open","")&amp;"]")</f>
        <v/>
      </c>
    </row>
    <row r="251">
      <c r="A251" s="290" t="n">
        <v>247</v>
      </c>
      <c r="B251" s="291">
        <f>IFERROR(INDEX('Historical Data'!$A$2:$A$1068,MATCH($A251,'Historical Data'!$BE$2:$BE$1068,0)),"")</f>
        <v/>
      </c>
      <c r="C251" s="291">
        <f>IFERROR(INDEX('Historical Data'!$B$2:$B$1068,MATCH($A251,'Historical Data'!$BE$2:$BE$1068,0)),"")</f>
        <v/>
      </c>
      <c r="D251" s="291">
        <f>IFERROR(INDEX('Historical Data'!$D$2:$D$1068,MATCH($A251,'Historical Data'!$BE$2:$BE$1068,0)),"")</f>
        <v/>
      </c>
      <c r="E251" s="292">
        <f>IFERROR(INDEX('Historical Data'!$E$2:$E$1068,MATCH($A251,'Historical Data'!$BE$2:$BE$1068,0)),"")</f>
        <v/>
      </c>
      <c r="F251" s="291">
        <f>IFERROR(INDEX('Historical Data'!$G$2:$G$1068,MATCH($A251,'Historical Data'!$BE$2:$BE$1068,0)),"")</f>
        <v/>
      </c>
      <c r="G251" s="291">
        <f>IFERROR(INDEX('Historical Data'!$Y$2:$Y$1068,MATCH($A251,'Historical Data'!$BE$2:$BE$1068,0)),"")</f>
        <v/>
      </c>
      <c r="H251" s="291">
        <f>IFERROR(INDEX('Historical Data'!$K$2:$K$1068,MATCH($A251,'Historical Data'!$BE$2:$BE$1068,0)),"")</f>
        <v/>
      </c>
      <c r="I251" s="291">
        <f>IFERROR(INDEX('Historical Data'!$J$2:$J$1068,MATCH($A251,'Historical Data'!$BE$2:$BE$1068,0)),"")</f>
        <v/>
      </c>
      <c r="J251" s="291">
        <f>IFERROR(INDEX('Historical Data'!$L$2:$L$1068,MATCH($A251,'Historical Data'!$BE$2:$BE$1068,0)),"")</f>
        <v/>
      </c>
      <c r="K251" s="293">
        <f>IFERROR(INDEX('Historical Data'!$M$2:$M$1068,MATCH($A251,'Historical Data'!$BE$2:$BE$1068,0)),"")</f>
        <v/>
      </c>
      <c r="L251" s="294">
        <f>IFERROR(INDEX('Historical Data'!$N$2:$N$1068,MATCH($A251,'Historical Data'!$BE$2:$BE$1068,0)),"")</f>
        <v/>
      </c>
      <c r="M251" s="294">
        <f>IFERROR(INDEX('Historical Data'!$Q$2:$Q$1068,MATCH($A251,'Historical Data'!$BE$2:$BE$1068,0)),"")</f>
        <v/>
      </c>
      <c r="N251" s="295">
        <f>IFERROR(INDEX('Historical Data'!$S$2:$S$1068,MATCH($A251,'Historical Data'!$BE$2:$BE$1068,0)),"")</f>
        <v/>
      </c>
      <c r="O251" s="294">
        <f>IFERROR(INDEX('Historical Data'!$AJ$2:$AJ$1068,MATCH($A251,'Historical Data'!$BE$2:$BE$1068,0)),"")</f>
        <v/>
      </c>
      <c r="P251" s="294">
        <f>IFERROR(INDEX('Historical Data'!$AK$2:$AK$1068,MATCH($A251,'Historical Data'!$BE$2:$BE$1068,0)),"")</f>
        <v/>
      </c>
      <c r="Q251" s="291">
        <f>IFERROR(INDEX('Historical Data'!$AA$2:$AA$1068,MATCH($A251,'Historical Data'!$BE$2:$BE$1068,0)),"")</f>
        <v/>
      </c>
      <c r="R251" s="291">
        <f>IFERROR(INDEX('Historical Data'!$AB$2:$AB$1068,MATCH($A251,'Historical Data'!$BE$2:$BE$1068,0)),"")</f>
        <v/>
      </c>
      <c r="S251" s="291">
        <f>IFERROR(INDEX('Historical Data'!$AN$2:$AN$1068,MATCH($A251,'Historical Data'!$BE$2:$BE$1068,0)),"")</f>
        <v/>
      </c>
      <c r="T251" s="291">
        <f>IFERROR(INDEX('Historical Data'!$AC$2:$AC$1068,MATCH($A251,'Historical Data'!$BE$2:$BE$1068,0)),"")</f>
        <v/>
      </c>
      <c r="U251" s="291">
        <f>IFERROR(INDEX('Historical Data'!$AE$2:$AE$1068,MATCH($A251,'Historical Data'!$BE$2:$BE$1068,0)),"")</f>
        <v/>
      </c>
      <c r="V251" s="291">
        <f>IFERROR(INDEX('Historical Data'!$AH$2:$AH$1068,MATCH($A251,'Historical Data'!$BE$2:$BE$1068,0)),"")</f>
        <v/>
      </c>
      <c r="W251" s="291">
        <f>IFERROR(INDEX('Historical Data'!$BC$2:$BC$1068,MATCH($A251,'Historical Data'!$BE$2:$BE$1068,0)),"")</f>
        <v/>
      </c>
      <c r="X251" s="290">
        <f>IF(B251="","",IF(W251=1,"NR + industry + position",IF(W251=2,"NR + ISO + position",IF(W251=3,"NR + industry",IF(W251=4,"NR + ISO",IF(W251=5,"NR + position",IF(W251=6,"NR only","book baseline"))))))&amp;"  ["&amp;IF(T251=1,"seasoned","unseasoned")&amp;IF(U251=1,", defaulted","")&amp;IF(V251=1,", open","")&amp;"]")</f>
        <v/>
      </c>
    </row>
    <row r="252">
      <c r="A252" s="290" t="n">
        <v>248</v>
      </c>
      <c r="B252" s="291">
        <f>IFERROR(INDEX('Historical Data'!$A$2:$A$1068,MATCH($A252,'Historical Data'!$BE$2:$BE$1068,0)),"")</f>
        <v/>
      </c>
      <c r="C252" s="291">
        <f>IFERROR(INDEX('Historical Data'!$B$2:$B$1068,MATCH($A252,'Historical Data'!$BE$2:$BE$1068,0)),"")</f>
        <v/>
      </c>
      <c r="D252" s="291">
        <f>IFERROR(INDEX('Historical Data'!$D$2:$D$1068,MATCH($A252,'Historical Data'!$BE$2:$BE$1068,0)),"")</f>
        <v/>
      </c>
      <c r="E252" s="292">
        <f>IFERROR(INDEX('Historical Data'!$E$2:$E$1068,MATCH($A252,'Historical Data'!$BE$2:$BE$1068,0)),"")</f>
        <v/>
      </c>
      <c r="F252" s="291">
        <f>IFERROR(INDEX('Historical Data'!$G$2:$G$1068,MATCH($A252,'Historical Data'!$BE$2:$BE$1068,0)),"")</f>
        <v/>
      </c>
      <c r="G252" s="291">
        <f>IFERROR(INDEX('Historical Data'!$Y$2:$Y$1068,MATCH($A252,'Historical Data'!$BE$2:$BE$1068,0)),"")</f>
        <v/>
      </c>
      <c r="H252" s="291">
        <f>IFERROR(INDEX('Historical Data'!$K$2:$K$1068,MATCH($A252,'Historical Data'!$BE$2:$BE$1068,0)),"")</f>
        <v/>
      </c>
      <c r="I252" s="291">
        <f>IFERROR(INDEX('Historical Data'!$J$2:$J$1068,MATCH($A252,'Historical Data'!$BE$2:$BE$1068,0)),"")</f>
        <v/>
      </c>
      <c r="J252" s="291">
        <f>IFERROR(INDEX('Historical Data'!$L$2:$L$1068,MATCH($A252,'Historical Data'!$BE$2:$BE$1068,0)),"")</f>
        <v/>
      </c>
      <c r="K252" s="293">
        <f>IFERROR(INDEX('Historical Data'!$M$2:$M$1068,MATCH($A252,'Historical Data'!$BE$2:$BE$1068,0)),"")</f>
        <v/>
      </c>
      <c r="L252" s="294">
        <f>IFERROR(INDEX('Historical Data'!$N$2:$N$1068,MATCH($A252,'Historical Data'!$BE$2:$BE$1068,0)),"")</f>
        <v/>
      </c>
      <c r="M252" s="294">
        <f>IFERROR(INDEX('Historical Data'!$Q$2:$Q$1068,MATCH($A252,'Historical Data'!$BE$2:$BE$1068,0)),"")</f>
        <v/>
      </c>
      <c r="N252" s="295">
        <f>IFERROR(INDEX('Historical Data'!$S$2:$S$1068,MATCH($A252,'Historical Data'!$BE$2:$BE$1068,0)),"")</f>
        <v/>
      </c>
      <c r="O252" s="294">
        <f>IFERROR(INDEX('Historical Data'!$AJ$2:$AJ$1068,MATCH($A252,'Historical Data'!$BE$2:$BE$1068,0)),"")</f>
        <v/>
      </c>
      <c r="P252" s="294">
        <f>IFERROR(INDEX('Historical Data'!$AK$2:$AK$1068,MATCH($A252,'Historical Data'!$BE$2:$BE$1068,0)),"")</f>
        <v/>
      </c>
      <c r="Q252" s="291">
        <f>IFERROR(INDEX('Historical Data'!$AA$2:$AA$1068,MATCH($A252,'Historical Data'!$BE$2:$BE$1068,0)),"")</f>
        <v/>
      </c>
      <c r="R252" s="291">
        <f>IFERROR(INDEX('Historical Data'!$AB$2:$AB$1068,MATCH($A252,'Historical Data'!$BE$2:$BE$1068,0)),"")</f>
        <v/>
      </c>
      <c r="S252" s="291">
        <f>IFERROR(INDEX('Historical Data'!$AN$2:$AN$1068,MATCH($A252,'Historical Data'!$BE$2:$BE$1068,0)),"")</f>
        <v/>
      </c>
      <c r="T252" s="291">
        <f>IFERROR(INDEX('Historical Data'!$AC$2:$AC$1068,MATCH($A252,'Historical Data'!$BE$2:$BE$1068,0)),"")</f>
        <v/>
      </c>
      <c r="U252" s="291">
        <f>IFERROR(INDEX('Historical Data'!$AE$2:$AE$1068,MATCH($A252,'Historical Data'!$BE$2:$BE$1068,0)),"")</f>
        <v/>
      </c>
      <c r="V252" s="291">
        <f>IFERROR(INDEX('Historical Data'!$AH$2:$AH$1068,MATCH($A252,'Historical Data'!$BE$2:$BE$1068,0)),"")</f>
        <v/>
      </c>
      <c r="W252" s="291">
        <f>IFERROR(INDEX('Historical Data'!$BC$2:$BC$1068,MATCH($A252,'Historical Data'!$BE$2:$BE$1068,0)),"")</f>
        <v/>
      </c>
      <c r="X252" s="290">
        <f>IF(B252="","",IF(W252=1,"NR + industry + position",IF(W252=2,"NR + ISO + position",IF(W252=3,"NR + industry",IF(W252=4,"NR + ISO",IF(W252=5,"NR + position",IF(W252=6,"NR only","book baseline"))))))&amp;"  ["&amp;IF(T252=1,"seasoned","unseasoned")&amp;IF(U252=1,", defaulted","")&amp;IF(V252=1,", open","")&amp;"]")</f>
        <v/>
      </c>
    </row>
    <row r="253">
      <c r="A253" s="290" t="n">
        <v>249</v>
      </c>
      <c r="B253" s="291">
        <f>IFERROR(INDEX('Historical Data'!$A$2:$A$1068,MATCH($A253,'Historical Data'!$BE$2:$BE$1068,0)),"")</f>
        <v/>
      </c>
      <c r="C253" s="291">
        <f>IFERROR(INDEX('Historical Data'!$B$2:$B$1068,MATCH($A253,'Historical Data'!$BE$2:$BE$1068,0)),"")</f>
        <v/>
      </c>
      <c r="D253" s="291">
        <f>IFERROR(INDEX('Historical Data'!$D$2:$D$1068,MATCH($A253,'Historical Data'!$BE$2:$BE$1068,0)),"")</f>
        <v/>
      </c>
      <c r="E253" s="292">
        <f>IFERROR(INDEX('Historical Data'!$E$2:$E$1068,MATCH($A253,'Historical Data'!$BE$2:$BE$1068,0)),"")</f>
        <v/>
      </c>
      <c r="F253" s="291">
        <f>IFERROR(INDEX('Historical Data'!$G$2:$G$1068,MATCH($A253,'Historical Data'!$BE$2:$BE$1068,0)),"")</f>
        <v/>
      </c>
      <c r="G253" s="291">
        <f>IFERROR(INDEX('Historical Data'!$Y$2:$Y$1068,MATCH($A253,'Historical Data'!$BE$2:$BE$1068,0)),"")</f>
        <v/>
      </c>
      <c r="H253" s="291">
        <f>IFERROR(INDEX('Historical Data'!$K$2:$K$1068,MATCH($A253,'Historical Data'!$BE$2:$BE$1068,0)),"")</f>
        <v/>
      </c>
      <c r="I253" s="291">
        <f>IFERROR(INDEX('Historical Data'!$J$2:$J$1068,MATCH($A253,'Historical Data'!$BE$2:$BE$1068,0)),"")</f>
        <v/>
      </c>
      <c r="J253" s="291">
        <f>IFERROR(INDEX('Historical Data'!$L$2:$L$1068,MATCH($A253,'Historical Data'!$BE$2:$BE$1068,0)),"")</f>
        <v/>
      </c>
      <c r="K253" s="293">
        <f>IFERROR(INDEX('Historical Data'!$M$2:$M$1068,MATCH($A253,'Historical Data'!$BE$2:$BE$1068,0)),"")</f>
        <v/>
      </c>
      <c r="L253" s="294">
        <f>IFERROR(INDEX('Historical Data'!$N$2:$N$1068,MATCH($A253,'Historical Data'!$BE$2:$BE$1068,0)),"")</f>
        <v/>
      </c>
      <c r="M253" s="294">
        <f>IFERROR(INDEX('Historical Data'!$Q$2:$Q$1068,MATCH($A253,'Historical Data'!$BE$2:$BE$1068,0)),"")</f>
        <v/>
      </c>
      <c r="N253" s="295">
        <f>IFERROR(INDEX('Historical Data'!$S$2:$S$1068,MATCH($A253,'Historical Data'!$BE$2:$BE$1068,0)),"")</f>
        <v/>
      </c>
      <c r="O253" s="294">
        <f>IFERROR(INDEX('Historical Data'!$AJ$2:$AJ$1068,MATCH($A253,'Historical Data'!$BE$2:$BE$1068,0)),"")</f>
        <v/>
      </c>
      <c r="P253" s="294">
        <f>IFERROR(INDEX('Historical Data'!$AK$2:$AK$1068,MATCH($A253,'Historical Data'!$BE$2:$BE$1068,0)),"")</f>
        <v/>
      </c>
      <c r="Q253" s="291">
        <f>IFERROR(INDEX('Historical Data'!$AA$2:$AA$1068,MATCH($A253,'Historical Data'!$BE$2:$BE$1068,0)),"")</f>
        <v/>
      </c>
      <c r="R253" s="291">
        <f>IFERROR(INDEX('Historical Data'!$AB$2:$AB$1068,MATCH($A253,'Historical Data'!$BE$2:$BE$1068,0)),"")</f>
        <v/>
      </c>
      <c r="S253" s="291">
        <f>IFERROR(INDEX('Historical Data'!$AN$2:$AN$1068,MATCH($A253,'Historical Data'!$BE$2:$BE$1068,0)),"")</f>
        <v/>
      </c>
      <c r="T253" s="291">
        <f>IFERROR(INDEX('Historical Data'!$AC$2:$AC$1068,MATCH($A253,'Historical Data'!$BE$2:$BE$1068,0)),"")</f>
        <v/>
      </c>
      <c r="U253" s="291">
        <f>IFERROR(INDEX('Historical Data'!$AE$2:$AE$1068,MATCH($A253,'Historical Data'!$BE$2:$BE$1068,0)),"")</f>
        <v/>
      </c>
      <c r="V253" s="291">
        <f>IFERROR(INDEX('Historical Data'!$AH$2:$AH$1068,MATCH($A253,'Historical Data'!$BE$2:$BE$1068,0)),"")</f>
        <v/>
      </c>
      <c r="W253" s="291">
        <f>IFERROR(INDEX('Historical Data'!$BC$2:$BC$1068,MATCH($A253,'Historical Data'!$BE$2:$BE$1068,0)),"")</f>
        <v/>
      </c>
      <c r="X253" s="290">
        <f>IF(B253="","",IF(W253=1,"NR + industry + position",IF(W253=2,"NR + ISO + position",IF(W253=3,"NR + industry",IF(W253=4,"NR + ISO",IF(W253=5,"NR + position",IF(W253=6,"NR only","book baseline"))))))&amp;"  ["&amp;IF(T253=1,"seasoned","unseasoned")&amp;IF(U253=1,", defaulted","")&amp;IF(V253=1,", open","")&amp;"]")</f>
        <v/>
      </c>
    </row>
    <row r="254">
      <c r="A254" s="290" t="n">
        <v>250</v>
      </c>
      <c r="B254" s="291">
        <f>IFERROR(INDEX('Historical Data'!$A$2:$A$1068,MATCH($A254,'Historical Data'!$BE$2:$BE$1068,0)),"")</f>
        <v/>
      </c>
      <c r="C254" s="291">
        <f>IFERROR(INDEX('Historical Data'!$B$2:$B$1068,MATCH($A254,'Historical Data'!$BE$2:$BE$1068,0)),"")</f>
        <v/>
      </c>
      <c r="D254" s="291">
        <f>IFERROR(INDEX('Historical Data'!$D$2:$D$1068,MATCH($A254,'Historical Data'!$BE$2:$BE$1068,0)),"")</f>
        <v/>
      </c>
      <c r="E254" s="292">
        <f>IFERROR(INDEX('Historical Data'!$E$2:$E$1068,MATCH($A254,'Historical Data'!$BE$2:$BE$1068,0)),"")</f>
        <v/>
      </c>
      <c r="F254" s="291">
        <f>IFERROR(INDEX('Historical Data'!$G$2:$G$1068,MATCH($A254,'Historical Data'!$BE$2:$BE$1068,0)),"")</f>
        <v/>
      </c>
      <c r="G254" s="291">
        <f>IFERROR(INDEX('Historical Data'!$Y$2:$Y$1068,MATCH($A254,'Historical Data'!$BE$2:$BE$1068,0)),"")</f>
        <v/>
      </c>
      <c r="H254" s="291">
        <f>IFERROR(INDEX('Historical Data'!$K$2:$K$1068,MATCH($A254,'Historical Data'!$BE$2:$BE$1068,0)),"")</f>
        <v/>
      </c>
      <c r="I254" s="291">
        <f>IFERROR(INDEX('Historical Data'!$J$2:$J$1068,MATCH($A254,'Historical Data'!$BE$2:$BE$1068,0)),"")</f>
        <v/>
      </c>
      <c r="J254" s="291">
        <f>IFERROR(INDEX('Historical Data'!$L$2:$L$1068,MATCH($A254,'Historical Data'!$BE$2:$BE$1068,0)),"")</f>
        <v/>
      </c>
      <c r="K254" s="293">
        <f>IFERROR(INDEX('Historical Data'!$M$2:$M$1068,MATCH($A254,'Historical Data'!$BE$2:$BE$1068,0)),"")</f>
        <v/>
      </c>
      <c r="L254" s="294">
        <f>IFERROR(INDEX('Historical Data'!$N$2:$N$1068,MATCH($A254,'Historical Data'!$BE$2:$BE$1068,0)),"")</f>
        <v/>
      </c>
      <c r="M254" s="294">
        <f>IFERROR(INDEX('Historical Data'!$Q$2:$Q$1068,MATCH($A254,'Historical Data'!$BE$2:$BE$1068,0)),"")</f>
        <v/>
      </c>
      <c r="N254" s="295">
        <f>IFERROR(INDEX('Historical Data'!$S$2:$S$1068,MATCH($A254,'Historical Data'!$BE$2:$BE$1068,0)),"")</f>
        <v/>
      </c>
      <c r="O254" s="294">
        <f>IFERROR(INDEX('Historical Data'!$AJ$2:$AJ$1068,MATCH($A254,'Historical Data'!$BE$2:$BE$1068,0)),"")</f>
        <v/>
      </c>
      <c r="P254" s="294">
        <f>IFERROR(INDEX('Historical Data'!$AK$2:$AK$1068,MATCH($A254,'Historical Data'!$BE$2:$BE$1068,0)),"")</f>
        <v/>
      </c>
      <c r="Q254" s="291">
        <f>IFERROR(INDEX('Historical Data'!$AA$2:$AA$1068,MATCH($A254,'Historical Data'!$BE$2:$BE$1068,0)),"")</f>
        <v/>
      </c>
      <c r="R254" s="291">
        <f>IFERROR(INDEX('Historical Data'!$AB$2:$AB$1068,MATCH($A254,'Historical Data'!$BE$2:$BE$1068,0)),"")</f>
        <v/>
      </c>
      <c r="S254" s="291">
        <f>IFERROR(INDEX('Historical Data'!$AN$2:$AN$1068,MATCH($A254,'Historical Data'!$BE$2:$BE$1068,0)),"")</f>
        <v/>
      </c>
      <c r="T254" s="291">
        <f>IFERROR(INDEX('Historical Data'!$AC$2:$AC$1068,MATCH($A254,'Historical Data'!$BE$2:$BE$1068,0)),"")</f>
        <v/>
      </c>
      <c r="U254" s="291">
        <f>IFERROR(INDEX('Historical Data'!$AE$2:$AE$1068,MATCH($A254,'Historical Data'!$BE$2:$BE$1068,0)),"")</f>
        <v/>
      </c>
      <c r="V254" s="291">
        <f>IFERROR(INDEX('Historical Data'!$AH$2:$AH$1068,MATCH($A254,'Historical Data'!$BE$2:$BE$1068,0)),"")</f>
        <v/>
      </c>
      <c r="W254" s="291">
        <f>IFERROR(INDEX('Historical Data'!$BC$2:$BC$1068,MATCH($A254,'Historical Data'!$BE$2:$BE$1068,0)),"")</f>
        <v/>
      </c>
      <c r="X254" s="290">
        <f>IF(B254="","",IF(W254=1,"NR + industry + position",IF(W254=2,"NR + ISO + position",IF(W254=3,"NR + industry",IF(W254=4,"NR + ISO",IF(W254=5,"NR + position",IF(W254=6,"NR only","book baseline"))))))&amp;"  ["&amp;IF(T254=1,"seasoned","unseasoned")&amp;IF(U254=1,", defaulted","")&amp;IF(V254=1,", open","")&amp;"]")</f>
        <v/>
      </c>
    </row>
    <row r="255">
      <c r="A255" s="290" t="n">
        <v>251</v>
      </c>
      <c r="B255" s="291">
        <f>IFERROR(INDEX('Historical Data'!$A$2:$A$1068,MATCH($A255,'Historical Data'!$BE$2:$BE$1068,0)),"")</f>
        <v/>
      </c>
      <c r="C255" s="291">
        <f>IFERROR(INDEX('Historical Data'!$B$2:$B$1068,MATCH($A255,'Historical Data'!$BE$2:$BE$1068,0)),"")</f>
        <v/>
      </c>
      <c r="D255" s="291">
        <f>IFERROR(INDEX('Historical Data'!$D$2:$D$1068,MATCH($A255,'Historical Data'!$BE$2:$BE$1068,0)),"")</f>
        <v/>
      </c>
      <c r="E255" s="292">
        <f>IFERROR(INDEX('Historical Data'!$E$2:$E$1068,MATCH($A255,'Historical Data'!$BE$2:$BE$1068,0)),"")</f>
        <v/>
      </c>
      <c r="F255" s="291">
        <f>IFERROR(INDEX('Historical Data'!$G$2:$G$1068,MATCH($A255,'Historical Data'!$BE$2:$BE$1068,0)),"")</f>
        <v/>
      </c>
      <c r="G255" s="291">
        <f>IFERROR(INDEX('Historical Data'!$Y$2:$Y$1068,MATCH($A255,'Historical Data'!$BE$2:$BE$1068,0)),"")</f>
        <v/>
      </c>
      <c r="H255" s="291">
        <f>IFERROR(INDEX('Historical Data'!$K$2:$K$1068,MATCH($A255,'Historical Data'!$BE$2:$BE$1068,0)),"")</f>
        <v/>
      </c>
      <c r="I255" s="291">
        <f>IFERROR(INDEX('Historical Data'!$J$2:$J$1068,MATCH($A255,'Historical Data'!$BE$2:$BE$1068,0)),"")</f>
        <v/>
      </c>
      <c r="J255" s="291">
        <f>IFERROR(INDEX('Historical Data'!$L$2:$L$1068,MATCH($A255,'Historical Data'!$BE$2:$BE$1068,0)),"")</f>
        <v/>
      </c>
      <c r="K255" s="293">
        <f>IFERROR(INDEX('Historical Data'!$M$2:$M$1068,MATCH($A255,'Historical Data'!$BE$2:$BE$1068,0)),"")</f>
        <v/>
      </c>
      <c r="L255" s="294">
        <f>IFERROR(INDEX('Historical Data'!$N$2:$N$1068,MATCH($A255,'Historical Data'!$BE$2:$BE$1068,0)),"")</f>
        <v/>
      </c>
      <c r="M255" s="294">
        <f>IFERROR(INDEX('Historical Data'!$Q$2:$Q$1068,MATCH($A255,'Historical Data'!$BE$2:$BE$1068,0)),"")</f>
        <v/>
      </c>
      <c r="N255" s="295">
        <f>IFERROR(INDEX('Historical Data'!$S$2:$S$1068,MATCH($A255,'Historical Data'!$BE$2:$BE$1068,0)),"")</f>
        <v/>
      </c>
      <c r="O255" s="294">
        <f>IFERROR(INDEX('Historical Data'!$AJ$2:$AJ$1068,MATCH($A255,'Historical Data'!$BE$2:$BE$1068,0)),"")</f>
        <v/>
      </c>
      <c r="P255" s="294">
        <f>IFERROR(INDEX('Historical Data'!$AK$2:$AK$1068,MATCH($A255,'Historical Data'!$BE$2:$BE$1068,0)),"")</f>
        <v/>
      </c>
      <c r="Q255" s="291">
        <f>IFERROR(INDEX('Historical Data'!$AA$2:$AA$1068,MATCH($A255,'Historical Data'!$BE$2:$BE$1068,0)),"")</f>
        <v/>
      </c>
      <c r="R255" s="291">
        <f>IFERROR(INDEX('Historical Data'!$AB$2:$AB$1068,MATCH($A255,'Historical Data'!$BE$2:$BE$1068,0)),"")</f>
        <v/>
      </c>
      <c r="S255" s="291">
        <f>IFERROR(INDEX('Historical Data'!$AN$2:$AN$1068,MATCH($A255,'Historical Data'!$BE$2:$BE$1068,0)),"")</f>
        <v/>
      </c>
      <c r="T255" s="291">
        <f>IFERROR(INDEX('Historical Data'!$AC$2:$AC$1068,MATCH($A255,'Historical Data'!$BE$2:$BE$1068,0)),"")</f>
        <v/>
      </c>
      <c r="U255" s="291">
        <f>IFERROR(INDEX('Historical Data'!$AE$2:$AE$1068,MATCH($A255,'Historical Data'!$BE$2:$BE$1068,0)),"")</f>
        <v/>
      </c>
      <c r="V255" s="291">
        <f>IFERROR(INDEX('Historical Data'!$AH$2:$AH$1068,MATCH($A255,'Historical Data'!$BE$2:$BE$1068,0)),"")</f>
        <v/>
      </c>
      <c r="W255" s="291">
        <f>IFERROR(INDEX('Historical Data'!$BC$2:$BC$1068,MATCH($A255,'Historical Data'!$BE$2:$BE$1068,0)),"")</f>
        <v/>
      </c>
      <c r="X255" s="290">
        <f>IF(B255="","",IF(W255=1,"NR + industry + position",IF(W255=2,"NR + ISO + position",IF(W255=3,"NR + industry",IF(W255=4,"NR + ISO",IF(W255=5,"NR + position",IF(W255=6,"NR only","book baseline"))))))&amp;"  ["&amp;IF(T255=1,"seasoned","unseasoned")&amp;IF(U255=1,", defaulted","")&amp;IF(V255=1,", open","")&amp;"]")</f>
        <v/>
      </c>
    </row>
    <row r="256">
      <c r="A256" s="290" t="n">
        <v>252</v>
      </c>
      <c r="B256" s="291">
        <f>IFERROR(INDEX('Historical Data'!$A$2:$A$1068,MATCH($A256,'Historical Data'!$BE$2:$BE$1068,0)),"")</f>
        <v/>
      </c>
      <c r="C256" s="291">
        <f>IFERROR(INDEX('Historical Data'!$B$2:$B$1068,MATCH($A256,'Historical Data'!$BE$2:$BE$1068,0)),"")</f>
        <v/>
      </c>
      <c r="D256" s="291">
        <f>IFERROR(INDEX('Historical Data'!$D$2:$D$1068,MATCH($A256,'Historical Data'!$BE$2:$BE$1068,0)),"")</f>
        <v/>
      </c>
      <c r="E256" s="292">
        <f>IFERROR(INDEX('Historical Data'!$E$2:$E$1068,MATCH($A256,'Historical Data'!$BE$2:$BE$1068,0)),"")</f>
        <v/>
      </c>
      <c r="F256" s="291">
        <f>IFERROR(INDEX('Historical Data'!$G$2:$G$1068,MATCH($A256,'Historical Data'!$BE$2:$BE$1068,0)),"")</f>
        <v/>
      </c>
      <c r="G256" s="291">
        <f>IFERROR(INDEX('Historical Data'!$Y$2:$Y$1068,MATCH($A256,'Historical Data'!$BE$2:$BE$1068,0)),"")</f>
        <v/>
      </c>
      <c r="H256" s="291">
        <f>IFERROR(INDEX('Historical Data'!$K$2:$K$1068,MATCH($A256,'Historical Data'!$BE$2:$BE$1068,0)),"")</f>
        <v/>
      </c>
      <c r="I256" s="291">
        <f>IFERROR(INDEX('Historical Data'!$J$2:$J$1068,MATCH($A256,'Historical Data'!$BE$2:$BE$1068,0)),"")</f>
        <v/>
      </c>
      <c r="J256" s="291">
        <f>IFERROR(INDEX('Historical Data'!$L$2:$L$1068,MATCH($A256,'Historical Data'!$BE$2:$BE$1068,0)),"")</f>
        <v/>
      </c>
      <c r="K256" s="293">
        <f>IFERROR(INDEX('Historical Data'!$M$2:$M$1068,MATCH($A256,'Historical Data'!$BE$2:$BE$1068,0)),"")</f>
        <v/>
      </c>
      <c r="L256" s="294">
        <f>IFERROR(INDEX('Historical Data'!$N$2:$N$1068,MATCH($A256,'Historical Data'!$BE$2:$BE$1068,0)),"")</f>
        <v/>
      </c>
      <c r="M256" s="294">
        <f>IFERROR(INDEX('Historical Data'!$Q$2:$Q$1068,MATCH($A256,'Historical Data'!$BE$2:$BE$1068,0)),"")</f>
        <v/>
      </c>
      <c r="N256" s="295">
        <f>IFERROR(INDEX('Historical Data'!$S$2:$S$1068,MATCH($A256,'Historical Data'!$BE$2:$BE$1068,0)),"")</f>
        <v/>
      </c>
      <c r="O256" s="294">
        <f>IFERROR(INDEX('Historical Data'!$AJ$2:$AJ$1068,MATCH($A256,'Historical Data'!$BE$2:$BE$1068,0)),"")</f>
        <v/>
      </c>
      <c r="P256" s="294">
        <f>IFERROR(INDEX('Historical Data'!$AK$2:$AK$1068,MATCH($A256,'Historical Data'!$BE$2:$BE$1068,0)),"")</f>
        <v/>
      </c>
      <c r="Q256" s="291">
        <f>IFERROR(INDEX('Historical Data'!$AA$2:$AA$1068,MATCH($A256,'Historical Data'!$BE$2:$BE$1068,0)),"")</f>
        <v/>
      </c>
      <c r="R256" s="291">
        <f>IFERROR(INDEX('Historical Data'!$AB$2:$AB$1068,MATCH($A256,'Historical Data'!$BE$2:$BE$1068,0)),"")</f>
        <v/>
      </c>
      <c r="S256" s="291">
        <f>IFERROR(INDEX('Historical Data'!$AN$2:$AN$1068,MATCH($A256,'Historical Data'!$BE$2:$BE$1068,0)),"")</f>
        <v/>
      </c>
      <c r="T256" s="291">
        <f>IFERROR(INDEX('Historical Data'!$AC$2:$AC$1068,MATCH($A256,'Historical Data'!$BE$2:$BE$1068,0)),"")</f>
        <v/>
      </c>
      <c r="U256" s="291">
        <f>IFERROR(INDEX('Historical Data'!$AE$2:$AE$1068,MATCH($A256,'Historical Data'!$BE$2:$BE$1068,0)),"")</f>
        <v/>
      </c>
      <c r="V256" s="291">
        <f>IFERROR(INDEX('Historical Data'!$AH$2:$AH$1068,MATCH($A256,'Historical Data'!$BE$2:$BE$1068,0)),"")</f>
        <v/>
      </c>
      <c r="W256" s="291">
        <f>IFERROR(INDEX('Historical Data'!$BC$2:$BC$1068,MATCH($A256,'Historical Data'!$BE$2:$BE$1068,0)),"")</f>
        <v/>
      </c>
      <c r="X256" s="290">
        <f>IF(B256="","",IF(W256=1,"NR + industry + position",IF(W256=2,"NR + ISO + position",IF(W256=3,"NR + industry",IF(W256=4,"NR + ISO",IF(W256=5,"NR + position",IF(W256=6,"NR only","book baseline"))))))&amp;"  ["&amp;IF(T256=1,"seasoned","unseasoned")&amp;IF(U256=1,", defaulted","")&amp;IF(V256=1,", open","")&amp;"]")</f>
        <v/>
      </c>
    </row>
    <row r="257">
      <c r="A257" s="290" t="n">
        <v>253</v>
      </c>
      <c r="B257" s="291">
        <f>IFERROR(INDEX('Historical Data'!$A$2:$A$1068,MATCH($A257,'Historical Data'!$BE$2:$BE$1068,0)),"")</f>
        <v/>
      </c>
      <c r="C257" s="291">
        <f>IFERROR(INDEX('Historical Data'!$B$2:$B$1068,MATCH($A257,'Historical Data'!$BE$2:$BE$1068,0)),"")</f>
        <v/>
      </c>
      <c r="D257" s="291">
        <f>IFERROR(INDEX('Historical Data'!$D$2:$D$1068,MATCH($A257,'Historical Data'!$BE$2:$BE$1068,0)),"")</f>
        <v/>
      </c>
      <c r="E257" s="292">
        <f>IFERROR(INDEX('Historical Data'!$E$2:$E$1068,MATCH($A257,'Historical Data'!$BE$2:$BE$1068,0)),"")</f>
        <v/>
      </c>
      <c r="F257" s="291">
        <f>IFERROR(INDEX('Historical Data'!$G$2:$G$1068,MATCH($A257,'Historical Data'!$BE$2:$BE$1068,0)),"")</f>
        <v/>
      </c>
      <c r="G257" s="291">
        <f>IFERROR(INDEX('Historical Data'!$Y$2:$Y$1068,MATCH($A257,'Historical Data'!$BE$2:$BE$1068,0)),"")</f>
        <v/>
      </c>
      <c r="H257" s="291">
        <f>IFERROR(INDEX('Historical Data'!$K$2:$K$1068,MATCH($A257,'Historical Data'!$BE$2:$BE$1068,0)),"")</f>
        <v/>
      </c>
      <c r="I257" s="291">
        <f>IFERROR(INDEX('Historical Data'!$J$2:$J$1068,MATCH($A257,'Historical Data'!$BE$2:$BE$1068,0)),"")</f>
        <v/>
      </c>
      <c r="J257" s="291">
        <f>IFERROR(INDEX('Historical Data'!$L$2:$L$1068,MATCH($A257,'Historical Data'!$BE$2:$BE$1068,0)),"")</f>
        <v/>
      </c>
      <c r="K257" s="293">
        <f>IFERROR(INDEX('Historical Data'!$M$2:$M$1068,MATCH($A257,'Historical Data'!$BE$2:$BE$1068,0)),"")</f>
        <v/>
      </c>
      <c r="L257" s="294">
        <f>IFERROR(INDEX('Historical Data'!$N$2:$N$1068,MATCH($A257,'Historical Data'!$BE$2:$BE$1068,0)),"")</f>
        <v/>
      </c>
      <c r="M257" s="294">
        <f>IFERROR(INDEX('Historical Data'!$Q$2:$Q$1068,MATCH($A257,'Historical Data'!$BE$2:$BE$1068,0)),"")</f>
        <v/>
      </c>
      <c r="N257" s="295">
        <f>IFERROR(INDEX('Historical Data'!$S$2:$S$1068,MATCH($A257,'Historical Data'!$BE$2:$BE$1068,0)),"")</f>
        <v/>
      </c>
      <c r="O257" s="294">
        <f>IFERROR(INDEX('Historical Data'!$AJ$2:$AJ$1068,MATCH($A257,'Historical Data'!$BE$2:$BE$1068,0)),"")</f>
        <v/>
      </c>
      <c r="P257" s="294">
        <f>IFERROR(INDEX('Historical Data'!$AK$2:$AK$1068,MATCH($A257,'Historical Data'!$BE$2:$BE$1068,0)),"")</f>
        <v/>
      </c>
      <c r="Q257" s="291">
        <f>IFERROR(INDEX('Historical Data'!$AA$2:$AA$1068,MATCH($A257,'Historical Data'!$BE$2:$BE$1068,0)),"")</f>
        <v/>
      </c>
      <c r="R257" s="291">
        <f>IFERROR(INDEX('Historical Data'!$AB$2:$AB$1068,MATCH($A257,'Historical Data'!$BE$2:$BE$1068,0)),"")</f>
        <v/>
      </c>
      <c r="S257" s="291">
        <f>IFERROR(INDEX('Historical Data'!$AN$2:$AN$1068,MATCH($A257,'Historical Data'!$BE$2:$BE$1068,0)),"")</f>
        <v/>
      </c>
      <c r="T257" s="291">
        <f>IFERROR(INDEX('Historical Data'!$AC$2:$AC$1068,MATCH($A257,'Historical Data'!$BE$2:$BE$1068,0)),"")</f>
        <v/>
      </c>
      <c r="U257" s="291">
        <f>IFERROR(INDEX('Historical Data'!$AE$2:$AE$1068,MATCH($A257,'Historical Data'!$BE$2:$BE$1068,0)),"")</f>
        <v/>
      </c>
      <c r="V257" s="291">
        <f>IFERROR(INDEX('Historical Data'!$AH$2:$AH$1068,MATCH($A257,'Historical Data'!$BE$2:$BE$1068,0)),"")</f>
        <v/>
      </c>
      <c r="W257" s="291">
        <f>IFERROR(INDEX('Historical Data'!$BC$2:$BC$1068,MATCH($A257,'Historical Data'!$BE$2:$BE$1068,0)),"")</f>
        <v/>
      </c>
      <c r="X257" s="290">
        <f>IF(B257="","",IF(W257=1,"NR + industry + position",IF(W257=2,"NR + ISO + position",IF(W257=3,"NR + industry",IF(W257=4,"NR + ISO",IF(W257=5,"NR + position",IF(W257=6,"NR only","book baseline"))))))&amp;"  ["&amp;IF(T257=1,"seasoned","unseasoned")&amp;IF(U257=1,", defaulted","")&amp;IF(V257=1,", open","")&amp;"]")</f>
        <v/>
      </c>
    </row>
    <row r="258">
      <c r="A258" s="290" t="n">
        <v>254</v>
      </c>
      <c r="B258" s="291">
        <f>IFERROR(INDEX('Historical Data'!$A$2:$A$1068,MATCH($A258,'Historical Data'!$BE$2:$BE$1068,0)),"")</f>
        <v/>
      </c>
      <c r="C258" s="291">
        <f>IFERROR(INDEX('Historical Data'!$B$2:$B$1068,MATCH($A258,'Historical Data'!$BE$2:$BE$1068,0)),"")</f>
        <v/>
      </c>
      <c r="D258" s="291">
        <f>IFERROR(INDEX('Historical Data'!$D$2:$D$1068,MATCH($A258,'Historical Data'!$BE$2:$BE$1068,0)),"")</f>
        <v/>
      </c>
      <c r="E258" s="292">
        <f>IFERROR(INDEX('Historical Data'!$E$2:$E$1068,MATCH($A258,'Historical Data'!$BE$2:$BE$1068,0)),"")</f>
        <v/>
      </c>
      <c r="F258" s="291">
        <f>IFERROR(INDEX('Historical Data'!$G$2:$G$1068,MATCH($A258,'Historical Data'!$BE$2:$BE$1068,0)),"")</f>
        <v/>
      </c>
      <c r="G258" s="291">
        <f>IFERROR(INDEX('Historical Data'!$Y$2:$Y$1068,MATCH($A258,'Historical Data'!$BE$2:$BE$1068,0)),"")</f>
        <v/>
      </c>
      <c r="H258" s="291">
        <f>IFERROR(INDEX('Historical Data'!$K$2:$K$1068,MATCH($A258,'Historical Data'!$BE$2:$BE$1068,0)),"")</f>
        <v/>
      </c>
      <c r="I258" s="291">
        <f>IFERROR(INDEX('Historical Data'!$J$2:$J$1068,MATCH($A258,'Historical Data'!$BE$2:$BE$1068,0)),"")</f>
        <v/>
      </c>
      <c r="J258" s="291">
        <f>IFERROR(INDEX('Historical Data'!$L$2:$L$1068,MATCH($A258,'Historical Data'!$BE$2:$BE$1068,0)),"")</f>
        <v/>
      </c>
      <c r="K258" s="293">
        <f>IFERROR(INDEX('Historical Data'!$M$2:$M$1068,MATCH($A258,'Historical Data'!$BE$2:$BE$1068,0)),"")</f>
        <v/>
      </c>
      <c r="L258" s="294">
        <f>IFERROR(INDEX('Historical Data'!$N$2:$N$1068,MATCH($A258,'Historical Data'!$BE$2:$BE$1068,0)),"")</f>
        <v/>
      </c>
      <c r="M258" s="294">
        <f>IFERROR(INDEX('Historical Data'!$Q$2:$Q$1068,MATCH($A258,'Historical Data'!$BE$2:$BE$1068,0)),"")</f>
        <v/>
      </c>
      <c r="N258" s="295">
        <f>IFERROR(INDEX('Historical Data'!$S$2:$S$1068,MATCH($A258,'Historical Data'!$BE$2:$BE$1068,0)),"")</f>
        <v/>
      </c>
      <c r="O258" s="294">
        <f>IFERROR(INDEX('Historical Data'!$AJ$2:$AJ$1068,MATCH($A258,'Historical Data'!$BE$2:$BE$1068,0)),"")</f>
        <v/>
      </c>
      <c r="P258" s="294">
        <f>IFERROR(INDEX('Historical Data'!$AK$2:$AK$1068,MATCH($A258,'Historical Data'!$BE$2:$BE$1068,0)),"")</f>
        <v/>
      </c>
      <c r="Q258" s="291">
        <f>IFERROR(INDEX('Historical Data'!$AA$2:$AA$1068,MATCH($A258,'Historical Data'!$BE$2:$BE$1068,0)),"")</f>
        <v/>
      </c>
      <c r="R258" s="291">
        <f>IFERROR(INDEX('Historical Data'!$AB$2:$AB$1068,MATCH($A258,'Historical Data'!$BE$2:$BE$1068,0)),"")</f>
        <v/>
      </c>
      <c r="S258" s="291">
        <f>IFERROR(INDEX('Historical Data'!$AN$2:$AN$1068,MATCH($A258,'Historical Data'!$BE$2:$BE$1068,0)),"")</f>
        <v/>
      </c>
      <c r="T258" s="291">
        <f>IFERROR(INDEX('Historical Data'!$AC$2:$AC$1068,MATCH($A258,'Historical Data'!$BE$2:$BE$1068,0)),"")</f>
        <v/>
      </c>
      <c r="U258" s="291">
        <f>IFERROR(INDEX('Historical Data'!$AE$2:$AE$1068,MATCH($A258,'Historical Data'!$BE$2:$BE$1068,0)),"")</f>
        <v/>
      </c>
      <c r="V258" s="291">
        <f>IFERROR(INDEX('Historical Data'!$AH$2:$AH$1068,MATCH($A258,'Historical Data'!$BE$2:$BE$1068,0)),"")</f>
        <v/>
      </c>
      <c r="W258" s="291">
        <f>IFERROR(INDEX('Historical Data'!$BC$2:$BC$1068,MATCH($A258,'Historical Data'!$BE$2:$BE$1068,0)),"")</f>
        <v/>
      </c>
      <c r="X258" s="290">
        <f>IF(B258="","",IF(W258=1,"NR + industry + position",IF(W258=2,"NR + ISO + position",IF(W258=3,"NR + industry",IF(W258=4,"NR + ISO",IF(W258=5,"NR + position",IF(W258=6,"NR only","book baseline"))))))&amp;"  ["&amp;IF(T258=1,"seasoned","unseasoned")&amp;IF(U258=1,", defaulted","")&amp;IF(V258=1,", open","")&amp;"]")</f>
        <v/>
      </c>
    </row>
    <row r="259">
      <c r="A259" s="290" t="n">
        <v>255</v>
      </c>
      <c r="B259" s="291">
        <f>IFERROR(INDEX('Historical Data'!$A$2:$A$1068,MATCH($A259,'Historical Data'!$BE$2:$BE$1068,0)),"")</f>
        <v/>
      </c>
      <c r="C259" s="291">
        <f>IFERROR(INDEX('Historical Data'!$B$2:$B$1068,MATCH($A259,'Historical Data'!$BE$2:$BE$1068,0)),"")</f>
        <v/>
      </c>
      <c r="D259" s="291">
        <f>IFERROR(INDEX('Historical Data'!$D$2:$D$1068,MATCH($A259,'Historical Data'!$BE$2:$BE$1068,0)),"")</f>
        <v/>
      </c>
      <c r="E259" s="292">
        <f>IFERROR(INDEX('Historical Data'!$E$2:$E$1068,MATCH($A259,'Historical Data'!$BE$2:$BE$1068,0)),"")</f>
        <v/>
      </c>
      <c r="F259" s="291">
        <f>IFERROR(INDEX('Historical Data'!$G$2:$G$1068,MATCH($A259,'Historical Data'!$BE$2:$BE$1068,0)),"")</f>
        <v/>
      </c>
      <c r="G259" s="291">
        <f>IFERROR(INDEX('Historical Data'!$Y$2:$Y$1068,MATCH($A259,'Historical Data'!$BE$2:$BE$1068,0)),"")</f>
        <v/>
      </c>
      <c r="H259" s="291">
        <f>IFERROR(INDEX('Historical Data'!$K$2:$K$1068,MATCH($A259,'Historical Data'!$BE$2:$BE$1068,0)),"")</f>
        <v/>
      </c>
      <c r="I259" s="291">
        <f>IFERROR(INDEX('Historical Data'!$J$2:$J$1068,MATCH($A259,'Historical Data'!$BE$2:$BE$1068,0)),"")</f>
        <v/>
      </c>
      <c r="J259" s="291">
        <f>IFERROR(INDEX('Historical Data'!$L$2:$L$1068,MATCH($A259,'Historical Data'!$BE$2:$BE$1068,0)),"")</f>
        <v/>
      </c>
      <c r="K259" s="293">
        <f>IFERROR(INDEX('Historical Data'!$M$2:$M$1068,MATCH($A259,'Historical Data'!$BE$2:$BE$1068,0)),"")</f>
        <v/>
      </c>
      <c r="L259" s="294">
        <f>IFERROR(INDEX('Historical Data'!$N$2:$N$1068,MATCH($A259,'Historical Data'!$BE$2:$BE$1068,0)),"")</f>
        <v/>
      </c>
      <c r="M259" s="294">
        <f>IFERROR(INDEX('Historical Data'!$Q$2:$Q$1068,MATCH($A259,'Historical Data'!$BE$2:$BE$1068,0)),"")</f>
        <v/>
      </c>
      <c r="N259" s="295">
        <f>IFERROR(INDEX('Historical Data'!$S$2:$S$1068,MATCH($A259,'Historical Data'!$BE$2:$BE$1068,0)),"")</f>
        <v/>
      </c>
      <c r="O259" s="294">
        <f>IFERROR(INDEX('Historical Data'!$AJ$2:$AJ$1068,MATCH($A259,'Historical Data'!$BE$2:$BE$1068,0)),"")</f>
        <v/>
      </c>
      <c r="P259" s="294">
        <f>IFERROR(INDEX('Historical Data'!$AK$2:$AK$1068,MATCH($A259,'Historical Data'!$BE$2:$BE$1068,0)),"")</f>
        <v/>
      </c>
      <c r="Q259" s="291">
        <f>IFERROR(INDEX('Historical Data'!$AA$2:$AA$1068,MATCH($A259,'Historical Data'!$BE$2:$BE$1068,0)),"")</f>
        <v/>
      </c>
      <c r="R259" s="291">
        <f>IFERROR(INDEX('Historical Data'!$AB$2:$AB$1068,MATCH($A259,'Historical Data'!$BE$2:$BE$1068,0)),"")</f>
        <v/>
      </c>
      <c r="S259" s="291">
        <f>IFERROR(INDEX('Historical Data'!$AN$2:$AN$1068,MATCH($A259,'Historical Data'!$BE$2:$BE$1068,0)),"")</f>
        <v/>
      </c>
      <c r="T259" s="291">
        <f>IFERROR(INDEX('Historical Data'!$AC$2:$AC$1068,MATCH($A259,'Historical Data'!$BE$2:$BE$1068,0)),"")</f>
        <v/>
      </c>
      <c r="U259" s="291">
        <f>IFERROR(INDEX('Historical Data'!$AE$2:$AE$1068,MATCH($A259,'Historical Data'!$BE$2:$BE$1068,0)),"")</f>
        <v/>
      </c>
      <c r="V259" s="291">
        <f>IFERROR(INDEX('Historical Data'!$AH$2:$AH$1068,MATCH($A259,'Historical Data'!$BE$2:$BE$1068,0)),"")</f>
        <v/>
      </c>
      <c r="W259" s="291">
        <f>IFERROR(INDEX('Historical Data'!$BC$2:$BC$1068,MATCH($A259,'Historical Data'!$BE$2:$BE$1068,0)),"")</f>
        <v/>
      </c>
      <c r="X259" s="290">
        <f>IF(B259="","",IF(W259=1,"NR + industry + position",IF(W259=2,"NR + ISO + position",IF(W259=3,"NR + industry",IF(W259=4,"NR + ISO",IF(W259=5,"NR + position",IF(W259=6,"NR only","book baseline"))))))&amp;"  ["&amp;IF(T259=1,"seasoned","unseasoned")&amp;IF(U259=1,", defaulted","")&amp;IF(V259=1,", open","")&amp;"]")</f>
        <v/>
      </c>
    </row>
    <row r="260">
      <c r="A260" s="290" t="n">
        <v>256</v>
      </c>
      <c r="B260" s="291">
        <f>IFERROR(INDEX('Historical Data'!$A$2:$A$1068,MATCH($A260,'Historical Data'!$BE$2:$BE$1068,0)),"")</f>
        <v/>
      </c>
      <c r="C260" s="291">
        <f>IFERROR(INDEX('Historical Data'!$B$2:$B$1068,MATCH($A260,'Historical Data'!$BE$2:$BE$1068,0)),"")</f>
        <v/>
      </c>
      <c r="D260" s="291">
        <f>IFERROR(INDEX('Historical Data'!$D$2:$D$1068,MATCH($A260,'Historical Data'!$BE$2:$BE$1068,0)),"")</f>
        <v/>
      </c>
      <c r="E260" s="292">
        <f>IFERROR(INDEX('Historical Data'!$E$2:$E$1068,MATCH($A260,'Historical Data'!$BE$2:$BE$1068,0)),"")</f>
        <v/>
      </c>
      <c r="F260" s="291">
        <f>IFERROR(INDEX('Historical Data'!$G$2:$G$1068,MATCH($A260,'Historical Data'!$BE$2:$BE$1068,0)),"")</f>
        <v/>
      </c>
      <c r="G260" s="291">
        <f>IFERROR(INDEX('Historical Data'!$Y$2:$Y$1068,MATCH($A260,'Historical Data'!$BE$2:$BE$1068,0)),"")</f>
        <v/>
      </c>
      <c r="H260" s="291">
        <f>IFERROR(INDEX('Historical Data'!$K$2:$K$1068,MATCH($A260,'Historical Data'!$BE$2:$BE$1068,0)),"")</f>
        <v/>
      </c>
      <c r="I260" s="291">
        <f>IFERROR(INDEX('Historical Data'!$J$2:$J$1068,MATCH($A260,'Historical Data'!$BE$2:$BE$1068,0)),"")</f>
        <v/>
      </c>
      <c r="J260" s="291">
        <f>IFERROR(INDEX('Historical Data'!$L$2:$L$1068,MATCH($A260,'Historical Data'!$BE$2:$BE$1068,0)),"")</f>
        <v/>
      </c>
      <c r="K260" s="293">
        <f>IFERROR(INDEX('Historical Data'!$M$2:$M$1068,MATCH($A260,'Historical Data'!$BE$2:$BE$1068,0)),"")</f>
        <v/>
      </c>
      <c r="L260" s="294">
        <f>IFERROR(INDEX('Historical Data'!$N$2:$N$1068,MATCH($A260,'Historical Data'!$BE$2:$BE$1068,0)),"")</f>
        <v/>
      </c>
      <c r="M260" s="294">
        <f>IFERROR(INDEX('Historical Data'!$Q$2:$Q$1068,MATCH($A260,'Historical Data'!$BE$2:$BE$1068,0)),"")</f>
        <v/>
      </c>
      <c r="N260" s="295">
        <f>IFERROR(INDEX('Historical Data'!$S$2:$S$1068,MATCH($A260,'Historical Data'!$BE$2:$BE$1068,0)),"")</f>
        <v/>
      </c>
      <c r="O260" s="294">
        <f>IFERROR(INDEX('Historical Data'!$AJ$2:$AJ$1068,MATCH($A260,'Historical Data'!$BE$2:$BE$1068,0)),"")</f>
        <v/>
      </c>
      <c r="P260" s="294">
        <f>IFERROR(INDEX('Historical Data'!$AK$2:$AK$1068,MATCH($A260,'Historical Data'!$BE$2:$BE$1068,0)),"")</f>
        <v/>
      </c>
      <c r="Q260" s="291">
        <f>IFERROR(INDEX('Historical Data'!$AA$2:$AA$1068,MATCH($A260,'Historical Data'!$BE$2:$BE$1068,0)),"")</f>
        <v/>
      </c>
      <c r="R260" s="291">
        <f>IFERROR(INDEX('Historical Data'!$AB$2:$AB$1068,MATCH($A260,'Historical Data'!$BE$2:$BE$1068,0)),"")</f>
        <v/>
      </c>
      <c r="S260" s="291">
        <f>IFERROR(INDEX('Historical Data'!$AN$2:$AN$1068,MATCH($A260,'Historical Data'!$BE$2:$BE$1068,0)),"")</f>
        <v/>
      </c>
      <c r="T260" s="291">
        <f>IFERROR(INDEX('Historical Data'!$AC$2:$AC$1068,MATCH($A260,'Historical Data'!$BE$2:$BE$1068,0)),"")</f>
        <v/>
      </c>
      <c r="U260" s="291">
        <f>IFERROR(INDEX('Historical Data'!$AE$2:$AE$1068,MATCH($A260,'Historical Data'!$BE$2:$BE$1068,0)),"")</f>
        <v/>
      </c>
      <c r="V260" s="291">
        <f>IFERROR(INDEX('Historical Data'!$AH$2:$AH$1068,MATCH($A260,'Historical Data'!$BE$2:$BE$1068,0)),"")</f>
        <v/>
      </c>
      <c r="W260" s="291">
        <f>IFERROR(INDEX('Historical Data'!$BC$2:$BC$1068,MATCH($A260,'Historical Data'!$BE$2:$BE$1068,0)),"")</f>
        <v/>
      </c>
      <c r="X260" s="290">
        <f>IF(B260="","",IF(W260=1,"NR + industry + position",IF(W260=2,"NR + ISO + position",IF(W260=3,"NR + industry",IF(W260=4,"NR + ISO",IF(W260=5,"NR + position",IF(W260=6,"NR only","book baseline"))))))&amp;"  ["&amp;IF(T260=1,"seasoned","unseasoned")&amp;IF(U260=1,", defaulted","")&amp;IF(V260=1,", open","")&amp;"]")</f>
        <v/>
      </c>
    </row>
    <row r="261">
      <c r="A261" s="290" t="n">
        <v>257</v>
      </c>
      <c r="B261" s="291">
        <f>IFERROR(INDEX('Historical Data'!$A$2:$A$1068,MATCH($A261,'Historical Data'!$BE$2:$BE$1068,0)),"")</f>
        <v/>
      </c>
      <c r="C261" s="291">
        <f>IFERROR(INDEX('Historical Data'!$B$2:$B$1068,MATCH($A261,'Historical Data'!$BE$2:$BE$1068,0)),"")</f>
        <v/>
      </c>
      <c r="D261" s="291">
        <f>IFERROR(INDEX('Historical Data'!$D$2:$D$1068,MATCH($A261,'Historical Data'!$BE$2:$BE$1068,0)),"")</f>
        <v/>
      </c>
      <c r="E261" s="292">
        <f>IFERROR(INDEX('Historical Data'!$E$2:$E$1068,MATCH($A261,'Historical Data'!$BE$2:$BE$1068,0)),"")</f>
        <v/>
      </c>
      <c r="F261" s="291">
        <f>IFERROR(INDEX('Historical Data'!$G$2:$G$1068,MATCH($A261,'Historical Data'!$BE$2:$BE$1068,0)),"")</f>
        <v/>
      </c>
      <c r="G261" s="291">
        <f>IFERROR(INDEX('Historical Data'!$Y$2:$Y$1068,MATCH($A261,'Historical Data'!$BE$2:$BE$1068,0)),"")</f>
        <v/>
      </c>
      <c r="H261" s="291">
        <f>IFERROR(INDEX('Historical Data'!$K$2:$K$1068,MATCH($A261,'Historical Data'!$BE$2:$BE$1068,0)),"")</f>
        <v/>
      </c>
      <c r="I261" s="291">
        <f>IFERROR(INDEX('Historical Data'!$J$2:$J$1068,MATCH($A261,'Historical Data'!$BE$2:$BE$1068,0)),"")</f>
        <v/>
      </c>
      <c r="J261" s="291">
        <f>IFERROR(INDEX('Historical Data'!$L$2:$L$1068,MATCH($A261,'Historical Data'!$BE$2:$BE$1068,0)),"")</f>
        <v/>
      </c>
      <c r="K261" s="293">
        <f>IFERROR(INDEX('Historical Data'!$M$2:$M$1068,MATCH($A261,'Historical Data'!$BE$2:$BE$1068,0)),"")</f>
        <v/>
      </c>
      <c r="L261" s="294">
        <f>IFERROR(INDEX('Historical Data'!$N$2:$N$1068,MATCH($A261,'Historical Data'!$BE$2:$BE$1068,0)),"")</f>
        <v/>
      </c>
      <c r="M261" s="294">
        <f>IFERROR(INDEX('Historical Data'!$Q$2:$Q$1068,MATCH($A261,'Historical Data'!$BE$2:$BE$1068,0)),"")</f>
        <v/>
      </c>
      <c r="N261" s="295">
        <f>IFERROR(INDEX('Historical Data'!$S$2:$S$1068,MATCH($A261,'Historical Data'!$BE$2:$BE$1068,0)),"")</f>
        <v/>
      </c>
      <c r="O261" s="294">
        <f>IFERROR(INDEX('Historical Data'!$AJ$2:$AJ$1068,MATCH($A261,'Historical Data'!$BE$2:$BE$1068,0)),"")</f>
        <v/>
      </c>
      <c r="P261" s="294">
        <f>IFERROR(INDEX('Historical Data'!$AK$2:$AK$1068,MATCH($A261,'Historical Data'!$BE$2:$BE$1068,0)),"")</f>
        <v/>
      </c>
      <c r="Q261" s="291">
        <f>IFERROR(INDEX('Historical Data'!$AA$2:$AA$1068,MATCH($A261,'Historical Data'!$BE$2:$BE$1068,0)),"")</f>
        <v/>
      </c>
      <c r="R261" s="291">
        <f>IFERROR(INDEX('Historical Data'!$AB$2:$AB$1068,MATCH($A261,'Historical Data'!$BE$2:$BE$1068,0)),"")</f>
        <v/>
      </c>
      <c r="S261" s="291">
        <f>IFERROR(INDEX('Historical Data'!$AN$2:$AN$1068,MATCH($A261,'Historical Data'!$BE$2:$BE$1068,0)),"")</f>
        <v/>
      </c>
      <c r="T261" s="291">
        <f>IFERROR(INDEX('Historical Data'!$AC$2:$AC$1068,MATCH($A261,'Historical Data'!$BE$2:$BE$1068,0)),"")</f>
        <v/>
      </c>
      <c r="U261" s="291">
        <f>IFERROR(INDEX('Historical Data'!$AE$2:$AE$1068,MATCH($A261,'Historical Data'!$BE$2:$BE$1068,0)),"")</f>
        <v/>
      </c>
      <c r="V261" s="291">
        <f>IFERROR(INDEX('Historical Data'!$AH$2:$AH$1068,MATCH($A261,'Historical Data'!$BE$2:$BE$1068,0)),"")</f>
        <v/>
      </c>
      <c r="W261" s="291">
        <f>IFERROR(INDEX('Historical Data'!$BC$2:$BC$1068,MATCH($A261,'Historical Data'!$BE$2:$BE$1068,0)),"")</f>
        <v/>
      </c>
      <c r="X261" s="290">
        <f>IF(B261="","",IF(W261=1,"NR + industry + position",IF(W261=2,"NR + ISO + position",IF(W261=3,"NR + industry",IF(W261=4,"NR + ISO",IF(W261=5,"NR + position",IF(W261=6,"NR only","book baseline"))))))&amp;"  ["&amp;IF(T261=1,"seasoned","unseasoned")&amp;IF(U261=1,", defaulted","")&amp;IF(V261=1,", open","")&amp;"]")</f>
        <v/>
      </c>
    </row>
    <row r="262">
      <c r="A262" s="290" t="n">
        <v>258</v>
      </c>
      <c r="B262" s="291">
        <f>IFERROR(INDEX('Historical Data'!$A$2:$A$1068,MATCH($A262,'Historical Data'!$BE$2:$BE$1068,0)),"")</f>
        <v/>
      </c>
      <c r="C262" s="291">
        <f>IFERROR(INDEX('Historical Data'!$B$2:$B$1068,MATCH($A262,'Historical Data'!$BE$2:$BE$1068,0)),"")</f>
        <v/>
      </c>
      <c r="D262" s="291">
        <f>IFERROR(INDEX('Historical Data'!$D$2:$D$1068,MATCH($A262,'Historical Data'!$BE$2:$BE$1068,0)),"")</f>
        <v/>
      </c>
      <c r="E262" s="292">
        <f>IFERROR(INDEX('Historical Data'!$E$2:$E$1068,MATCH($A262,'Historical Data'!$BE$2:$BE$1068,0)),"")</f>
        <v/>
      </c>
      <c r="F262" s="291">
        <f>IFERROR(INDEX('Historical Data'!$G$2:$G$1068,MATCH($A262,'Historical Data'!$BE$2:$BE$1068,0)),"")</f>
        <v/>
      </c>
      <c r="G262" s="291">
        <f>IFERROR(INDEX('Historical Data'!$Y$2:$Y$1068,MATCH($A262,'Historical Data'!$BE$2:$BE$1068,0)),"")</f>
        <v/>
      </c>
      <c r="H262" s="291">
        <f>IFERROR(INDEX('Historical Data'!$K$2:$K$1068,MATCH($A262,'Historical Data'!$BE$2:$BE$1068,0)),"")</f>
        <v/>
      </c>
      <c r="I262" s="291">
        <f>IFERROR(INDEX('Historical Data'!$J$2:$J$1068,MATCH($A262,'Historical Data'!$BE$2:$BE$1068,0)),"")</f>
        <v/>
      </c>
      <c r="J262" s="291">
        <f>IFERROR(INDEX('Historical Data'!$L$2:$L$1068,MATCH($A262,'Historical Data'!$BE$2:$BE$1068,0)),"")</f>
        <v/>
      </c>
      <c r="K262" s="293">
        <f>IFERROR(INDEX('Historical Data'!$M$2:$M$1068,MATCH($A262,'Historical Data'!$BE$2:$BE$1068,0)),"")</f>
        <v/>
      </c>
      <c r="L262" s="294">
        <f>IFERROR(INDEX('Historical Data'!$N$2:$N$1068,MATCH($A262,'Historical Data'!$BE$2:$BE$1068,0)),"")</f>
        <v/>
      </c>
      <c r="M262" s="294">
        <f>IFERROR(INDEX('Historical Data'!$Q$2:$Q$1068,MATCH($A262,'Historical Data'!$BE$2:$BE$1068,0)),"")</f>
        <v/>
      </c>
      <c r="N262" s="295">
        <f>IFERROR(INDEX('Historical Data'!$S$2:$S$1068,MATCH($A262,'Historical Data'!$BE$2:$BE$1068,0)),"")</f>
        <v/>
      </c>
      <c r="O262" s="294">
        <f>IFERROR(INDEX('Historical Data'!$AJ$2:$AJ$1068,MATCH($A262,'Historical Data'!$BE$2:$BE$1068,0)),"")</f>
        <v/>
      </c>
      <c r="P262" s="294">
        <f>IFERROR(INDEX('Historical Data'!$AK$2:$AK$1068,MATCH($A262,'Historical Data'!$BE$2:$BE$1068,0)),"")</f>
        <v/>
      </c>
      <c r="Q262" s="291">
        <f>IFERROR(INDEX('Historical Data'!$AA$2:$AA$1068,MATCH($A262,'Historical Data'!$BE$2:$BE$1068,0)),"")</f>
        <v/>
      </c>
      <c r="R262" s="291">
        <f>IFERROR(INDEX('Historical Data'!$AB$2:$AB$1068,MATCH($A262,'Historical Data'!$BE$2:$BE$1068,0)),"")</f>
        <v/>
      </c>
      <c r="S262" s="291">
        <f>IFERROR(INDEX('Historical Data'!$AN$2:$AN$1068,MATCH($A262,'Historical Data'!$BE$2:$BE$1068,0)),"")</f>
        <v/>
      </c>
      <c r="T262" s="291">
        <f>IFERROR(INDEX('Historical Data'!$AC$2:$AC$1068,MATCH($A262,'Historical Data'!$BE$2:$BE$1068,0)),"")</f>
        <v/>
      </c>
      <c r="U262" s="291">
        <f>IFERROR(INDEX('Historical Data'!$AE$2:$AE$1068,MATCH($A262,'Historical Data'!$BE$2:$BE$1068,0)),"")</f>
        <v/>
      </c>
      <c r="V262" s="291">
        <f>IFERROR(INDEX('Historical Data'!$AH$2:$AH$1068,MATCH($A262,'Historical Data'!$BE$2:$BE$1068,0)),"")</f>
        <v/>
      </c>
      <c r="W262" s="291">
        <f>IFERROR(INDEX('Historical Data'!$BC$2:$BC$1068,MATCH($A262,'Historical Data'!$BE$2:$BE$1068,0)),"")</f>
        <v/>
      </c>
      <c r="X262" s="290">
        <f>IF(B262="","",IF(W262=1,"NR + industry + position",IF(W262=2,"NR + ISO + position",IF(W262=3,"NR + industry",IF(W262=4,"NR + ISO",IF(W262=5,"NR + position",IF(W262=6,"NR only","book baseline"))))))&amp;"  ["&amp;IF(T262=1,"seasoned","unseasoned")&amp;IF(U262=1,", defaulted","")&amp;IF(V262=1,", open","")&amp;"]")</f>
        <v/>
      </c>
    </row>
    <row r="263">
      <c r="A263" s="290" t="n">
        <v>259</v>
      </c>
      <c r="B263" s="291">
        <f>IFERROR(INDEX('Historical Data'!$A$2:$A$1068,MATCH($A263,'Historical Data'!$BE$2:$BE$1068,0)),"")</f>
        <v/>
      </c>
      <c r="C263" s="291">
        <f>IFERROR(INDEX('Historical Data'!$B$2:$B$1068,MATCH($A263,'Historical Data'!$BE$2:$BE$1068,0)),"")</f>
        <v/>
      </c>
      <c r="D263" s="291">
        <f>IFERROR(INDEX('Historical Data'!$D$2:$D$1068,MATCH($A263,'Historical Data'!$BE$2:$BE$1068,0)),"")</f>
        <v/>
      </c>
      <c r="E263" s="292">
        <f>IFERROR(INDEX('Historical Data'!$E$2:$E$1068,MATCH($A263,'Historical Data'!$BE$2:$BE$1068,0)),"")</f>
        <v/>
      </c>
      <c r="F263" s="291">
        <f>IFERROR(INDEX('Historical Data'!$G$2:$G$1068,MATCH($A263,'Historical Data'!$BE$2:$BE$1068,0)),"")</f>
        <v/>
      </c>
      <c r="G263" s="291">
        <f>IFERROR(INDEX('Historical Data'!$Y$2:$Y$1068,MATCH($A263,'Historical Data'!$BE$2:$BE$1068,0)),"")</f>
        <v/>
      </c>
      <c r="H263" s="291">
        <f>IFERROR(INDEX('Historical Data'!$K$2:$K$1068,MATCH($A263,'Historical Data'!$BE$2:$BE$1068,0)),"")</f>
        <v/>
      </c>
      <c r="I263" s="291">
        <f>IFERROR(INDEX('Historical Data'!$J$2:$J$1068,MATCH($A263,'Historical Data'!$BE$2:$BE$1068,0)),"")</f>
        <v/>
      </c>
      <c r="J263" s="291">
        <f>IFERROR(INDEX('Historical Data'!$L$2:$L$1068,MATCH($A263,'Historical Data'!$BE$2:$BE$1068,0)),"")</f>
        <v/>
      </c>
      <c r="K263" s="293">
        <f>IFERROR(INDEX('Historical Data'!$M$2:$M$1068,MATCH($A263,'Historical Data'!$BE$2:$BE$1068,0)),"")</f>
        <v/>
      </c>
      <c r="L263" s="294">
        <f>IFERROR(INDEX('Historical Data'!$N$2:$N$1068,MATCH($A263,'Historical Data'!$BE$2:$BE$1068,0)),"")</f>
        <v/>
      </c>
      <c r="M263" s="294">
        <f>IFERROR(INDEX('Historical Data'!$Q$2:$Q$1068,MATCH($A263,'Historical Data'!$BE$2:$BE$1068,0)),"")</f>
        <v/>
      </c>
      <c r="N263" s="295">
        <f>IFERROR(INDEX('Historical Data'!$S$2:$S$1068,MATCH($A263,'Historical Data'!$BE$2:$BE$1068,0)),"")</f>
        <v/>
      </c>
      <c r="O263" s="294">
        <f>IFERROR(INDEX('Historical Data'!$AJ$2:$AJ$1068,MATCH($A263,'Historical Data'!$BE$2:$BE$1068,0)),"")</f>
        <v/>
      </c>
      <c r="P263" s="294">
        <f>IFERROR(INDEX('Historical Data'!$AK$2:$AK$1068,MATCH($A263,'Historical Data'!$BE$2:$BE$1068,0)),"")</f>
        <v/>
      </c>
      <c r="Q263" s="291">
        <f>IFERROR(INDEX('Historical Data'!$AA$2:$AA$1068,MATCH($A263,'Historical Data'!$BE$2:$BE$1068,0)),"")</f>
        <v/>
      </c>
      <c r="R263" s="291">
        <f>IFERROR(INDEX('Historical Data'!$AB$2:$AB$1068,MATCH($A263,'Historical Data'!$BE$2:$BE$1068,0)),"")</f>
        <v/>
      </c>
      <c r="S263" s="291">
        <f>IFERROR(INDEX('Historical Data'!$AN$2:$AN$1068,MATCH($A263,'Historical Data'!$BE$2:$BE$1068,0)),"")</f>
        <v/>
      </c>
      <c r="T263" s="291">
        <f>IFERROR(INDEX('Historical Data'!$AC$2:$AC$1068,MATCH($A263,'Historical Data'!$BE$2:$BE$1068,0)),"")</f>
        <v/>
      </c>
      <c r="U263" s="291">
        <f>IFERROR(INDEX('Historical Data'!$AE$2:$AE$1068,MATCH($A263,'Historical Data'!$BE$2:$BE$1068,0)),"")</f>
        <v/>
      </c>
      <c r="V263" s="291">
        <f>IFERROR(INDEX('Historical Data'!$AH$2:$AH$1068,MATCH($A263,'Historical Data'!$BE$2:$BE$1068,0)),"")</f>
        <v/>
      </c>
      <c r="W263" s="291">
        <f>IFERROR(INDEX('Historical Data'!$BC$2:$BC$1068,MATCH($A263,'Historical Data'!$BE$2:$BE$1068,0)),"")</f>
        <v/>
      </c>
      <c r="X263" s="290">
        <f>IF(B263="","",IF(W263=1,"NR + industry + position",IF(W263=2,"NR + ISO + position",IF(W263=3,"NR + industry",IF(W263=4,"NR + ISO",IF(W263=5,"NR + position",IF(W263=6,"NR only","book baseline"))))))&amp;"  ["&amp;IF(T263=1,"seasoned","unseasoned")&amp;IF(U263=1,", defaulted","")&amp;IF(V263=1,", open","")&amp;"]")</f>
        <v/>
      </c>
    </row>
    <row r="264">
      <c r="A264" s="290" t="n">
        <v>260</v>
      </c>
      <c r="B264" s="291">
        <f>IFERROR(INDEX('Historical Data'!$A$2:$A$1068,MATCH($A264,'Historical Data'!$BE$2:$BE$1068,0)),"")</f>
        <v/>
      </c>
      <c r="C264" s="291">
        <f>IFERROR(INDEX('Historical Data'!$B$2:$B$1068,MATCH($A264,'Historical Data'!$BE$2:$BE$1068,0)),"")</f>
        <v/>
      </c>
      <c r="D264" s="291">
        <f>IFERROR(INDEX('Historical Data'!$D$2:$D$1068,MATCH($A264,'Historical Data'!$BE$2:$BE$1068,0)),"")</f>
        <v/>
      </c>
      <c r="E264" s="292">
        <f>IFERROR(INDEX('Historical Data'!$E$2:$E$1068,MATCH($A264,'Historical Data'!$BE$2:$BE$1068,0)),"")</f>
        <v/>
      </c>
      <c r="F264" s="291">
        <f>IFERROR(INDEX('Historical Data'!$G$2:$G$1068,MATCH($A264,'Historical Data'!$BE$2:$BE$1068,0)),"")</f>
        <v/>
      </c>
      <c r="G264" s="291">
        <f>IFERROR(INDEX('Historical Data'!$Y$2:$Y$1068,MATCH($A264,'Historical Data'!$BE$2:$BE$1068,0)),"")</f>
        <v/>
      </c>
      <c r="H264" s="291">
        <f>IFERROR(INDEX('Historical Data'!$K$2:$K$1068,MATCH($A264,'Historical Data'!$BE$2:$BE$1068,0)),"")</f>
        <v/>
      </c>
      <c r="I264" s="291">
        <f>IFERROR(INDEX('Historical Data'!$J$2:$J$1068,MATCH($A264,'Historical Data'!$BE$2:$BE$1068,0)),"")</f>
        <v/>
      </c>
      <c r="J264" s="291">
        <f>IFERROR(INDEX('Historical Data'!$L$2:$L$1068,MATCH($A264,'Historical Data'!$BE$2:$BE$1068,0)),"")</f>
        <v/>
      </c>
      <c r="K264" s="293">
        <f>IFERROR(INDEX('Historical Data'!$M$2:$M$1068,MATCH($A264,'Historical Data'!$BE$2:$BE$1068,0)),"")</f>
        <v/>
      </c>
      <c r="L264" s="294">
        <f>IFERROR(INDEX('Historical Data'!$N$2:$N$1068,MATCH($A264,'Historical Data'!$BE$2:$BE$1068,0)),"")</f>
        <v/>
      </c>
      <c r="M264" s="294">
        <f>IFERROR(INDEX('Historical Data'!$Q$2:$Q$1068,MATCH($A264,'Historical Data'!$BE$2:$BE$1068,0)),"")</f>
        <v/>
      </c>
      <c r="N264" s="295">
        <f>IFERROR(INDEX('Historical Data'!$S$2:$S$1068,MATCH($A264,'Historical Data'!$BE$2:$BE$1068,0)),"")</f>
        <v/>
      </c>
      <c r="O264" s="294">
        <f>IFERROR(INDEX('Historical Data'!$AJ$2:$AJ$1068,MATCH($A264,'Historical Data'!$BE$2:$BE$1068,0)),"")</f>
        <v/>
      </c>
      <c r="P264" s="294">
        <f>IFERROR(INDEX('Historical Data'!$AK$2:$AK$1068,MATCH($A264,'Historical Data'!$BE$2:$BE$1068,0)),"")</f>
        <v/>
      </c>
      <c r="Q264" s="291">
        <f>IFERROR(INDEX('Historical Data'!$AA$2:$AA$1068,MATCH($A264,'Historical Data'!$BE$2:$BE$1068,0)),"")</f>
        <v/>
      </c>
      <c r="R264" s="291">
        <f>IFERROR(INDEX('Historical Data'!$AB$2:$AB$1068,MATCH($A264,'Historical Data'!$BE$2:$BE$1068,0)),"")</f>
        <v/>
      </c>
      <c r="S264" s="291">
        <f>IFERROR(INDEX('Historical Data'!$AN$2:$AN$1068,MATCH($A264,'Historical Data'!$BE$2:$BE$1068,0)),"")</f>
        <v/>
      </c>
      <c r="T264" s="291">
        <f>IFERROR(INDEX('Historical Data'!$AC$2:$AC$1068,MATCH($A264,'Historical Data'!$BE$2:$BE$1068,0)),"")</f>
        <v/>
      </c>
      <c r="U264" s="291">
        <f>IFERROR(INDEX('Historical Data'!$AE$2:$AE$1068,MATCH($A264,'Historical Data'!$BE$2:$BE$1068,0)),"")</f>
        <v/>
      </c>
      <c r="V264" s="291">
        <f>IFERROR(INDEX('Historical Data'!$AH$2:$AH$1068,MATCH($A264,'Historical Data'!$BE$2:$BE$1068,0)),"")</f>
        <v/>
      </c>
      <c r="W264" s="291">
        <f>IFERROR(INDEX('Historical Data'!$BC$2:$BC$1068,MATCH($A264,'Historical Data'!$BE$2:$BE$1068,0)),"")</f>
        <v/>
      </c>
      <c r="X264" s="290">
        <f>IF(B264="","",IF(W264=1,"NR + industry + position",IF(W264=2,"NR + ISO + position",IF(W264=3,"NR + industry",IF(W264=4,"NR + ISO",IF(W264=5,"NR + position",IF(W264=6,"NR only","book baseline"))))))&amp;"  ["&amp;IF(T264=1,"seasoned","unseasoned")&amp;IF(U264=1,", defaulted","")&amp;IF(V264=1,", open","")&amp;"]")</f>
        <v/>
      </c>
    </row>
    <row r="265">
      <c r="A265" s="290" t="n">
        <v>261</v>
      </c>
      <c r="B265" s="291">
        <f>IFERROR(INDEX('Historical Data'!$A$2:$A$1068,MATCH($A265,'Historical Data'!$BE$2:$BE$1068,0)),"")</f>
        <v/>
      </c>
      <c r="C265" s="291">
        <f>IFERROR(INDEX('Historical Data'!$B$2:$B$1068,MATCH($A265,'Historical Data'!$BE$2:$BE$1068,0)),"")</f>
        <v/>
      </c>
      <c r="D265" s="291">
        <f>IFERROR(INDEX('Historical Data'!$D$2:$D$1068,MATCH($A265,'Historical Data'!$BE$2:$BE$1068,0)),"")</f>
        <v/>
      </c>
      <c r="E265" s="292">
        <f>IFERROR(INDEX('Historical Data'!$E$2:$E$1068,MATCH($A265,'Historical Data'!$BE$2:$BE$1068,0)),"")</f>
        <v/>
      </c>
      <c r="F265" s="291">
        <f>IFERROR(INDEX('Historical Data'!$G$2:$G$1068,MATCH($A265,'Historical Data'!$BE$2:$BE$1068,0)),"")</f>
        <v/>
      </c>
      <c r="G265" s="291">
        <f>IFERROR(INDEX('Historical Data'!$Y$2:$Y$1068,MATCH($A265,'Historical Data'!$BE$2:$BE$1068,0)),"")</f>
        <v/>
      </c>
      <c r="H265" s="291">
        <f>IFERROR(INDEX('Historical Data'!$K$2:$K$1068,MATCH($A265,'Historical Data'!$BE$2:$BE$1068,0)),"")</f>
        <v/>
      </c>
      <c r="I265" s="291">
        <f>IFERROR(INDEX('Historical Data'!$J$2:$J$1068,MATCH($A265,'Historical Data'!$BE$2:$BE$1068,0)),"")</f>
        <v/>
      </c>
      <c r="J265" s="291">
        <f>IFERROR(INDEX('Historical Data'!$L$2:$L$1068,MATCH($A265,'Historical Data'!$BE$2:$BE$1068,0)),"")</f>
        <v/>
      </c>
      <c r="K265" s="293">
        <f>IFERROR(INDEX('Historical Data'!$M$2:$M$1068,MATCH($A265,'Historical Data'!$BE$2:$BE$1068,0)),"")</f>
        <v/>
      </c>
      <c r="L265" s="294">
        <f>IFERROR(INDEX('Historical Data'!$N$2:$N$1068,MATCH($A265,'Historical Data'!$BE$2:$BE$1068,0)),"")</f>
        <v/>
      </c>
      <c r="M265" s="294">
        <f>IFERROR(INDEX('Historical Data'!$Q$2:$Q$1068,MATCH($A265,'Historical Data'!$BE$2:$BE$1068,0)),"")</f>
        <v/>
      </c>
      <c r="N265" s="295">
        <f>IFERROR(INDEX('Historical Data'!$S$2:$S$1068,MATCH($A265,'Historical Data'!$BE$2:$BE$1068,0)),"")</f>
        <v/>
      </c>
      <c r="O265" s="294">
        <f>IFERROR(INDEX('Historical Data'!$AJ$2:$AJ$1068,MATCH($A265,'Historical Data'!$BE$2:$BE$1068,0)),"")</f>
        <v/>
      </c>
      <c r="P265" s="294">
        <f>IFERROR(INDEX('Historical Data'!$AK$2:$AK$1068,MATCH($A265,'Historical Data'!$BE$2:$BE$1068,0)),"")</f>
        <v/>
      </c>
      <c r="Q265" s="291">
        <f>IFERROR(INDEX('Historical Data'!$AA$2:$AA$1068,MATCH($A265,'Historical Data'!$BE$2:$BE$1068,0)),"")</f>
        <v/>
      </c>
      <c r="R265" s="291">
        <f>IFERROR(INDEX('Historical Data'!$AB$2:$AB$1068,MATCH($A265,'Historical Data'!$BE$2:$BE$1068,0)),"")</f>
        <v/>
      </c>
      <c r="S265" s="291">
        <f>IFERROR(INDEX('Historical Data'!$AN$2:$AN$1068,MATCH($A265,'Historical Data'!$BE$2:$BE$1068,0)),"")</f>
        <v/>
      </c>
      <c r="T265" s="291">
        <f>IFERROR(INDEX('Historical Data'!$AC$2:$AC$1068,MATCH($A265,'Historical Data'!$BE$2:$BE$1068,0)),"")</f>
        <v/>
      </c>
      <c r="U265" s="291">
        <f>IFERROR(INDEX('Historical Data'!$AE$2:$AE$1068,MATCH($A265,'Historical Data'!$BE$2:$BE$1068,0)),"")</f>
        <v/>
      </c>
      <c r="V265" s="291">
        <f>IFERROR(INDEX('Historical Data'!$AH$2:$AH$1068,MATCH($A265,'Historical Data'!$BE$2:$BE$1068,0)),"")</f>
        <v/>
      </c>
      <c r="W265" s="291">
        <f>IFERROR(INDEX('Historical Data'!$BC$2:$BC$1068,MATCH($A265,'Historical Data'!$BE$2:$BE$1068,0)),"")</f>
        <v/>
      </c>
      <c r="X265" s="290">
        <f>IF(B265="","",IF(W265=1,"NR + industry + position",IF(W265=2,"NR + ISO + position",IF(W265=3,"NR + industry",IF(W265=4,"NR + ISO",IF(W265=5,"NR + position",IF(W265=6,"NR only","book baseline"))))))&amp;"  ["&amp;IF(T265=1,"seasoned","unseasoned")&amp;IF(U265=1,", defaulted","")&amp;IF(V265=1,", open","")&amp;"]")</f>
        <v/>
      </c>
    </row>
    <row r="266">
      <c r="A266" s="290" t="n">
        <v>262</v>
      </c>
      <c r="B266" s="291">
        <f>IFERROR(INDEX('Historical Data'!$A$2:$A$1068,MATCH($A266,'Historical Data'!$BE$2:$BE$1068,0)),"")</f>
        <v/>
      </c>
      <c r="C266" s="291">
        <f>IFERROR(INDEX('Historical Data'!$B$2:$B$1068,MATCH($A266,'Historical Data'!$BE$2:$BE$1068,0)),"")</f>
        <v/>
      </c>
      <c r="D266" s="291">
        <f>IFERROR(INDEX('Historical Data'!$D$2:$D$1068,MATCH($A266,'Historical Data'!$BE$2:$BE$1068,0)),"")</f>
        <v/>
      </c>
      <c r="E266" s="292">
        <f>IFERROR(INDEX('Historical Data'!$E$2:$E$1068,MATCH($A266,'Historical Data'!$BE$2:$BE$1068,0)),"")</f>
        <v/>
      </c>
      <c r="F266" s="291">
        <f>IFERROR(INDEX('Historical Data'!$G$2:$G$1068,MATCH($A266,'Historical Data'!$BE$2:$BE$1068,0)),"")</f>
        <v/>
      </c>
      <c r="G266" s="291">
        <f>IFERROR(INDEX('Historical Data'!$Y$2:$Y$1068,MATCH($A266,'Historical Data'!$BE$2:$BE$1068,0)),"")</f>
        <v/>
      </c>
      <c r="H266" s="291">
        <f>IFERROR(INDEX('Historical Data'!$K$2:$K$1068,MATCH($A266,'Historical Data'!$BE$2:$BE$1068,0)),"")</f>
        <v/>
      </c>
      <c r="I266" s="291">
        <f>IFERROR(INDEX('Historical Data'!$J$2:$J$1068,MATCH($A266,'Historical Data'!$BE$2:$BE$1068,0)),"")</f>
        <v/>
      </c>
      <c r="J266" s="291">
        <f>IFERROR(INDEX('Historical Data'!$L$2:$L$1068,MATCH($A266,'Historical Data'!$BE$2:$BE$1068,0)),"")</f>
        <v/>
      </c>
      <c r="K266" s="293">
        <f>IFERROR(INDEX('Historical Data'!$M$2:$M$1068,MATCH($A266,'Historical Data'!$BE$2:$BE$1068,0)),"")</f>
        <v/>
      </c>
      <c r="L266" s="294">
        <f>IFERROR(INDEX('Historical Data'!$N$2:$N$1068,MATCH($A266,'Historical Data'!$BE$2:$BE$1068,0)),"")</f>
        <v/>
      </c>
      <c r="M266" s="294">
        <f>IFERROR(INDEX('Historical Data'!$Q$2:$Q$1068,MATCH($A266,'Historical Data'!$BE$2:$BE$1068,0)),"")</f>
        <v/>
      </c>
      <c r="N266" s="295">
        <f>IFERROR(INDEX('Historical Data'!$S$2:$S$1068,MATCH($A266,'Historical Data'!$BE$2:$BE$1068,0)),"")</f>
        <v/>
      </c>
      <c r="O266" s="294">
        <f>IFERROR(INDEX('Historical Data'!$AJ$2:$AJ$1068,MATCH($A266,'Historical Data'!$BE$2:$BE$1068,0)),"")</f>
        <v/>
      </c>
      <c r="P266" s="294">
        <f>IFERROR(INDEX('Historical Data'!$AK$2:$AK$1068,MATCH($A266,'Historical Data'!$BE$2:$BE$1068,0)),"")</f>
        <v/>
      </c>
      <c r="Q266" s="291">
        <f>IFERROR(INDEX('Historical Data'!$AA$2:$AA$1068,MATCH($A266,'Historical Data'!$BE$2:$BE$1068,0)),"")</f>
        <v/>
      </c>
      <c r="R266" s="291">
        <f>IFERROR(INDEX('Historical Data'!$AB$2:$AB$1068,MATCH($A266,'Historical Data'!$BE$2:$BE$1068,0)),"")</f>
        <v/>
      </c>
      <c r="S266" s="291">
        <f>IFERROR(INDEX('Historical Data'!$AN$2:$AN$1068,MATCH($A266,'Historical Data'!$BE$2:$BE$1068,0)),"")</f>
        <v/>
      </c>
      <c r="T266" s="291">
        <f>IFERROR(INDEX('Historical Data'!$AC$2:$AC$1068,MATCH($A266,'Historical Data'!$BE$2:$BE$1068,0)),"")</f>
        <v/>
      </c>
      <c r="U266" s="291">
        <f>IFERROR(INDEX('Historical Data'!$AE$2:$AE$1068,MATCH($A266,'Historical Data'!$BE$2:$BE$1068,0)),"")</f>
        <v/>
      </c>
      <c r="V266" s="291">
        <f>IFERROR(INDEX('Historical Data'!$AH$2:$AH$1068,MATCH($A266,'Historical Data'!$BE$2:$BE$1068,0)),"")</f>
        <v/>
      </c>
      <c r="W266" s="291">
        <f>IFERROR(INDEX('Historical Data'!$BC$2:$BC$1068,MATCH($A266,'Historical Data'!$BE$2:$BE$1068,0)),"")</f>
        <v/>
      </c>
      <c r="X266" s="290">
        <f>IF(B266="","",IF(W266=1,"NR + industry + position",IF(W266=2,"NR + ISO + position",IF(W266=3,"NR + industry",IF(W266=4,"NR + ISO",IF(W266=5,"NR + position",IF(W266=6,"NR only","book baseline"))))))&amp;"  ["&amp;IF(T266=1,"seasoned","unseasoned")&amp;IF(U266=1,", defaulted","")&amp;IF(V266=1,", open","")&amp;"]")</f>
        <v/>
      </c>
    </row>
    <row r="267">
      <c r="A267" s="290" t="n">
        <v>263</v>
      </c>
      <c r="B267" s="291">
        <f>IFERROR(INDEX('Historical Data'!$A$2:$A$1068,MATCH($A267,'Historical Data'!$BE$2:$BE$1068,0)),"")</f>
        <v/>
      </c>
      <c r="C267" s="291">
        <f>IFERROR(INDEX('Historical Data'!$B$2:$B$1068,MATCH($A267,'Historical Data'!$BE$2:$BE$1068,0)),"")</f>
        <v/>
      </c>
      <c r="D267" s="291">
        <f>IFERROR(INDEX('Historical Data'!$D$2:$D$1068,MATCH($A267,'Historical Data'!$BE$2:$BE$1068,0)),"")</f>
        <v/>
      </c>
      <c r="E267" s="292">
        <f>IFERROR(INDEX('Historical Data'!$E$2:$E$1068,MATCH($A267,'Historical Data'!$BE$2:$BE$1068,0)),"")</f>
        <v/>
      </c>
      <c r="F267" s="291">
        <f>IFERROR(INDEX('Historical Data'!$G$2:$G$1068,MATCH($A267,'Historical Data'!$BE$2:$BE$1068,0)),"")</f>
        <v/>
      </c>
      <c r="G267" s="291">
        <f>IFERROR(INDEX('Historical Data'!$Y$2:$Y$1068,MATCH($A267,'Historical Data'!$BE$2:$BE$1068,0)),"")</f>
        <v/>
      </c>
      <c r="H267" s="291">
        <f>IFERROR(INDEX('Historical Data'!$K$2:$K$1068,MATCH($A267,'Historical Data'!$BE$2:$BE$1068,0)),"")</f>
        <v/>
      </c>
      <c r="I267" s="291">
        <f>IFERROR(INDEX('Historical Data'!$J$2:$J$1068,MATCH($A267,'Historical Data'!$BE$2:$BE$1068,0)),"")</f>
        <v/>
      </c>
      <c r="J267" s="291">
        <f>IFERROR(INDEX('Historical Data'!$L$2:$L$1068,MATCH($A267,'Historical Data'!$BE$2:$BE$1068,0)),"")</f>
        <v/>
      </c>
      <c r="K267" s="293">
        <f>IFERROR(INDEX('Historical Data'!$M$2:$M$1068,MATCH($A267,'Historical Data'!$BE$2:$BE$1068,0)),"")</f>
        <v/>
      </c>
      <c r="L267" s="294">
        <f>IFERROR(INDEX('Historical Data'!$N$2:$N$1068,MATCH($A267,'Historical Data'!$BE$2:$BE$1068,0)),"")</f>
        <v/>
      </c>
      <c r="M267" s="294">
        <f>IFERROR(INDEX('Historical Data'!$Q$2:$Q$1068,MATCH($A267,'Historical Data'!$BE$2:$BE$1068,0)),"")</f>
        <v/>
      </c>
      <c r="N267" s="295">
        <f>IFERROR(INDEX('Historical Data'!$S$2:$S$1068,MATCH($A267,'Historical Data'!$BE$2:$BE$1068,0)),"")</f>
        <v/>
      </c>
      <c r="O267" s="294">
        <f>IFERROR(INDEX('Historical Data'!$AJ$2:$AJ$1068,MATCH($A267,'Historical Data'!$BE$2:$BE$1068,0)),"")</f>
        <v/>
      </c>
      <c r="P267" s="294">
        <f>IFERROR(INDEX('Historical Data'!$AK$2:$AK$1068,MATCH($A267,'Historical Data'!$BE$2:$BE$1068,0)),"")</f>
        <v/>
      </c>
      <c r="Q267" s="291">
        <f>IFERROR(INDEX('Historical Data'!$AA$2:$AA$1068,MATCH($A267,'Historical Data'!$BE$2:$BE$1068,0)),"")</f>
        <v/>
      </c>
      <c r="R267" s="291">
        <f>IFERROR(INDEX('Historical Data'!$AB$2:$AB$1068,MATCH($A267,'Historical Data'!$BE$2:$BE$1068,0)),"")</f>
        <v/>
      </c>
      <c r="S267" s="291">
        <f>IFERROR(INDEX('Historical Data'!$AN$2:$AN$1068,MATCH($A267,'Historical Data'!$BE$2:$BE$1068,0)),"")</f>
        <v/>
      </c>
      <c r="T267" s="291">
        <f>IFERROR(INDEX('Historical Data'!$AC$2:$AC$1068,MATCH($A267,'Historical Data'!$BE$2:$BE$1068,0)),"")</f>
        <v/>
      </c>
      <c r="U267" s="291">
        <f>IFERROR(INDEX('Historical Data'!$AE$2:$AE$1068,MATCH($A267,'Historical Data'!$BE$2:$BE$1068,0)),"")</f>
        <v/>
      </c>
      <c r="V267" s="291">
        <f>IFERROR(INDEX('Historical Data'!$AH$2:$AH$1068,MATCH($A267,'Historical Data'!$BE$2:$BE$1068,0)),"")</f>
        <v/>
      </c>
      <c r="W267" s="291">
        <f>IFERROR(INDEX('Historical Data'!$BC$2:$BC$1068,MATCH($A267,'Historical Data'!$BE$2:$BE$1068,0)),"")</f>
        <v/>
      </c>
      <c r="X267" s="290">
        <f>IF(B267="","",IF(W267=1,"NR + industry + position",IF(W267=2,"NR + ISO + position",IF(W267=3,"NR + industry",IF(W267=4,"NR + ISO",IF(W267=5,"NR + position",IF(W267=6,"NR only","book baseline"))))))&amp;"  ["&amp;IF(T267=1,"seasoned","unseasoned")&amp;IF(U267=1,", defaulted","")&amp;IF(V267=1,", open","")&amp;"]")</f>
        <v/>
      </c>
    </row>
    <row r="268">
      <c r="A268" s="290" t="n">
        <v>264</v>
      </c>
      <c r="B268" s="291">
        <f>IFERROR(INDEX('Historical Data'!$A$2:$A$1068,MATCH($A268,'Historical Data'!$BE$2:$BE$1068,0)),"")</f>
        <v/>
      </c>
      <c r="C268" s="291">
        <f>IFERROR(INDEX('Historical Data'!$B$2:$B$1068,MATCH($A268,'Historical Data'!$BE$2:$BE$1068,0)),"")</f>
        <v/>
      </c>
      <c r="D268" s="291">
        <f>IFERROR(INDEX('Historical Data'!$D$2:$D$1068,MATCH($A268,'Historical Data'!$BE$2:$BE$1068,0)),"")</f>
        <v/>
      </c>
      <c r="E268" s="292">
        <f>IFERROR(INDEX('Historical Data'!$E$2:$E$1068,MATCH($A268,'Historical Data'!$BE$2:$BE$1068,0)),"")</f>
        <v/>
      </c>
      <c r="F268" s="291">
        <f>IFERROR(INDEX('Historical Data'!$G$2:$G$1068,MATCH($A268,'Historical Data'!$BE$2:$BE$1068,0)),"")</f>
        <v/>
      </c>
      <c r="G268" s="291">
        <f>IFERROR(INDEX('Historical Data'!$Y$2:$Y$1068,MATCH($A268,'Historical Data'!$BE$2:$BE$1068,0)),"")</f>
        <v/>
      </c>
      <c r="H268" s="291">
        <f>IFERROR(INDEX('Historical Data'!$K$2:$K$1068,MATCH($A268,'Historical Data'!$BE$2:$BE$1068,0)),"")</f>
        <v/>
      </c>
      <c r="I268" s="291">
        <f>IFERROR(INDEX('Historical Data'!$J$2:$J$1068,MATCH($A268,'Historical Data'!$BE$2:$BE$1068,0)),"")</f>
        <v/>
      </c>
      <c r="J268" s="291">
        <f>IFERROR(INDEX('Historical Data'!$L$2:$L$1068,MATCH($A268,'Historical Data'!$BE$2:$BE$1068,0)),"")</f>
        <v/>
      </c>
      <c r="K268" s="293">
        <f>IFERROR(INDEX('Historical Data'!$M$2:$M$1068,MATCH($A268,'Historical Data'!$BE$2:$BE$1068,0)),"")</f>
        <v/>
      </c>
      <c r="L268" s="294">
        <f>IFERROR(INDEX('Historical Data'!$N$2:$N$1068,MATCH($A268,'Historical Data'!$BE$2:$BE$1068,0)),"")</f>
        <v/>
      </c>
      <c r="M268" s="294">
        <f>IFERROR(INDEX('Historical Data'!$Q$2:$Q$1068,MATCH($A268,'Historical Data'!$BE$2:$BE$1068,0)),"")</f>
        <v/>
      </c>
      <c r="N268" s="295">
        <f>IFERROR(INDEX('Historical Data'!$S$2:$S$1068,MATCH($A268,'Historical Data'!$BE$2:$BE$1068,0)),"")</f>
        <v/>
      </c>
      <c r="O268" s="294">
        <f>IFERROR(INDEX('Historical Data'!$AJ$2:$AJ$1068,MATCH($A268,'Historical Data'!$BE$2:$BE$1068,0)),"")</f>
        <v/>
      </c>
      <c r="P268" s="294">
        <f>IFERROR(INDEX('Historical Data'!$AK$2:$AK$1068,MATCH($A268,'Historical Data'!$BE$2:$BE$1068,0)),"")</f>
        <v/>
      </c>
      <c r="Q268" s="291">
        <f>IFERROR(INDEX('Historical Data'!$AA$2:$AA$1068,MATCH($A268,'Historical Data'!$BE$2:$BE$1068,0)),"")</f>
        <v/>
      </c>
      <c r="R268" s="291">
        <f>IFERROR(INDEX('Historical Data'!$AB$2:$AB$1068,MATCH($A268,'Historical Data'!$BE$2:$BE$1068,0)),"")</f>
        <v/>
      </c>
      <c r="S268" s="291">
        <f>IFERROR(INDEX('Historical Data'!$AN$2:$AN$1068,MATCH($A268,'Historical Data'!$BE$2:$BE$1068,0)),"")</f>
        <v/>
      </c>
      <c r="T268" s="291">
        <f>IFERROR(INDEX('Historical Data'!$AC$2:$AC$1068,MATCH($A268,'Historical Data'!$BE$2:$BE$1068,0)),"")</f>
        <v/>
      </c>
      <c r="U268" s="291">
        <f>IFERROR(INDEX('Historical Data'!$AE$2:$AE$1068,MATCH($A268,'Historical Data'!$BE$2:$BE$1068,0)),"")</f>
        <v/>
      </c>
      <c r="V268" s="291">
        <f>IFERROR(INDEX('Historical Data'!$AH$2:$AH$1068,MATCH($A268,'Historical Data'!$BE$2:$BE$1068,0)),"")</f>
        <v/>
      </c>
      <c r="W268" s="291">
        <f>IFERROR(INDEX('Historical Data'!$BC$2:$BC$1068,MATCH($A268,'Historical Data'!$BE$2:$BE$1068,0)),"")</f>
        <v/>
      </c>
      <c r="X268" s="290">
        <f>IF(B268="","",IF(W268=1,"NR + industry + position",IF(W268=2,"NR + ISO + position",IF(W268=3,"NR + industry",IF(W268=4,"NR + ISO",IF(W268=5,"NR + position",IF(W268=6,"NR only","book baseline"))))))&amp;"  ["&amp;IF(T268=1,"seasoned","unseasoned")&amp;IF(U268=1,", defaulted","")&amp;IF(V268=1,", open","")&amp;"]")</f>
        <v/>
      </c>
    </row>
    <row r="269">
      <c r="A269" s="290" t="n">
        <v>265</v>
      </c>
      <c r="B269" s="291">
        <f>IFERROR(INDEX('Historical Data'!$A$2:$A$1068,MATCH($A269,'Historical Data'!$BE$2:$BE$1068,0)),"")</f>
        <v/>
      </c>
      <c r="C269" s="291">
        <f>IFERROR(INDEX('Historical Data'!$B$2:$B$1068,MATCH($A269,'Historical Data'!$BE$2:$BE$1068,0)),"")</f>
        <v/>
      </c>
      <c r="D269" s="291">
        <f>IFERROR(INDEX('Historical Data'!$D$2:$D$1068,MATCH($A269,'Historical Data'!$BE$2:$BE$1068,0)),"")</f>
        <v/>
      </c>
      <c r="E269" s="292">
        <f>IFERROR(INDEX('Historical Data'!$E$2:$E$1068,MATCH($A269,'Historical Data'!$BE$2:$BE$1068,0)),"")</f>
        <v/>
      </c>
      <c r="F269" s="291">
        <f>IFERROR(INDEX('Historical Data'!$G$2:$G$1068,MATCH($A269,'Historical Data'!$BE$2:$BE$1068,0)),"")</f>
        <v/>
      </c>
      <c r="G269" s="291">
        <f>IFERROR(INDEX('Historical Data'!$Y$2:$Y$1068,MATCH($A269,'Historical Data'!$BE$2:$BE$1068,0)),"")</f>
        <v/>
      </c>
      <c r="H269" s="291">
        <f>IFERROR(INDEX('Historical Data'!$K$2:$K$1068,MATCH($A269,'Historical Data'!$BE$2:$BE$1068,0)),"")</f>
        <v/>
      </c>
      <c r="I269" s="291">
        <f>IFERROR(INDEX('Historical Data'!$J$2:$J$1068,MATCH($A269,'Historical Data'!$BE$2:$BE$1068,0)),"")</f>
        <v/>
      </c>
      <c r="J269" s="291">
        <f>IFERROR(INDEX('Historical Data'!$L$2:$L$1068,MATCH($A269,'Historical Data'!$BE$2:$BE$1068,0)),"")</f>
        <v/>
      </c>
      <c r="K269" s="293">
        <f>IFERROR(INDEX('Historical Data'!$M$2:$M$1068,MATCH($A269,'Historical Data'!$BE$2:$BE$1068,0)),"")</f>
        <v/>
      </c>
      <c r="L269" s="294">
        <f>IFERROR(INDEX('Historical Data'!$N$2:$N$1068,MATCH($A269,'Historical Data'!$BE$2:$BE$1068,0)),"")</f>
        <v/>
      </c>
      <c r="M269" s="294">
        <f>IFERROR(INDEX('Historical Data'!$Q$2:$Q$1068,MATCH($A269,'Historical Data'!$BE$2:$BE$1068,0)),"")</f>
        <v/>
      </c>
      <c r="N269" s="295">
        <f>IFERROR(INDEX('Historical Data'!$S$2:$S$1068,MATCH($A269,'Historical Data'!$BE$2:$BE$1068,0)),"")</f>
        <v/>
      </c>
      <c r="O269" s="294">
        <f>IFERROR(INDEX('Historical Data'!$AJ$2:$AJ$1068,MATCH($A269,'Historical Data'!$BE$2:$BE$1068,0)),"")</f>
        <v/>
      </c>
      <c r="P269" s="294">
        <f>IFERROR(INDEX('Historical Data'!$AK$2:$AK$1068,MATCH($A269,'Historical Data'!$BE$2:$BE$1068,0)),"")</f>
        <v/>
      </c>
      <c r="Q269" s="291">
        <f>IFERROR(INDEX('Historical Data'!$AA$2:$AA$1068,MATCH($A269,'Historical Data'!$BE$2:$BE$1068,0)),"")</f>
        <v/>
      </c>
      <c r="R269" s="291">
        <f>IFERROR(INDEX('Historical Data'!$AB$2:$AB$1068,MATCH($A269,'Historical Data'!$BE$2:$BE$1068,0)),"")</f>
        <v/>
      </c>
      <c r="S269" s="291">
        <f>IFERROR(INDEX('Historical Data'!$AN$2:$AN$1068,MATCH($A269,'Historical Data'!$BE$2:$BE$1068,0)),"")</f>
        <v/>
      </c>
      <c r="T269" s="291">
        <f>IFERROR(INDEX('Historical Data'!$AC$2:$AC$1068,MATCH($A269,'Historical Data'!$BE$2:$BE$1068,0)),"")</f>
        <v/>
      </c>
      <c r="U269" s="291">
        <f>IFERROR(INDEX('Historical Data'!$AE$2:$AE$1068,MATCH($A269,'Historical Data'!$BE$2:$BE$1068,0)),"")</f>
        <v/>
      </c>
      <c r="V269" s="291">
        <f>IFERROR(INDEX('Historical Data'!$AH$2:$AH$1068,MATCH($A269,'Historical Data'!$BE$2:$BE$1068,0)),"")</f>
        <v/>
      </c>
      <c r="W269" s="291">
        <f>IFERROR(INDEX('Historical Data'!$BC$2:$BC$1068,MATCH($A269,'Historical Data'!$BE$2:$BE$1068,0)),"")</f>
        <v/>
      </c>
      <c r="X269" s="290">
        <f>IF(B269="","",IF(W269=1,"NR + industry + position",IF(W269=2,"NR + ISO + position",IF(W269=3,"NR + industry",IF(W269=4,"NR + ISO",IF(W269=5,"NR + position",IF(W269=6,"NR only","book baseline"))))))&amp;"  ["&amp;IF(T269=1,"seasoned","unseasoned")&amp;IF(U269=1,", defaulted","")&amp;IF(V269=1,", open","")&amp;"]")</f>
        <v/>
      </c>
    </row>
    <row r="270">
      <c r="A270" s="290" t="n">
        <v>266</v>
      </c>
      <c r="B270" s="291">
        <f>IFERROR(INDEX('Historical Data'!$A$2:$A$1068,MATCH($A270,'Historical Data'!$BE$2:$BE$1068,0)),"")</f>
        <v/>
      </c>
      <c r="C270" s="291">
        <f>IFERROR(INDEX('Historical Data'!$B$2:$B$1068,MATCH($A270,'Historical Data'!$BE$2:$BE$1068,0)),"")</f>
        <v/>
      </c>
      <c r="D270" s="291">
        <f>IFERROR(INDEX('Historical Data'!$D$2:$D$1068,MATCH($A270,'Historical Data'!$BE$2:$BE$1068,0)),"")</f>
        <v/>
      </c>
      <c r="E270" s="292">
        <f>IFERROR(INDEX('Historical Data'!$E$2:$E$1068,MATCH($A270,'Historical Data'!$BE$2:$BE$1068,0)),"")</f>
        <v/>
      </c>
      <c r="F270" s="291">
        <f>IFERROR(INDEX('Historical Data'!$G$2:$G$1068,MATCH($A270,'Historical Data'!$BE$2:$BE$1068,0)),"")</f>
        <v/>
      </c>
      <c r="G270" s="291">
        <f>IFERROR(INDEX('Historical Data'!$Y$2:$Y$1068,MATCH($A270,'Historical Data'!$BE$2:$BE$1068,0)),"")</f>
        <v/>
      </c>
      <c r="H270" s="291">
        <f>IFERROR(INDEX('Historical Data'!$K$2:$K$1068,MATCH($A270,'Historical Data'!$BE$2:$BE$1068,0)),"")</f>
        <v/>
      </c>
      <c r="I270" s="291">
        <f>IFERROR(INDEX('Historical Data'!$J$2:$J$1068,MATCH($A270,'Historical Data'!$BE$2:$BE$1068,0)),"")</f>
        <v/>
      </c>
      <c r="J270" s="291">
        <f>IFERROR(INDEX('Historical Data'!$L$2:$L$1068,MATCH($A270,'Historical Data'!$BE$2:$BE$1068,0)),"")</f>
        <v/>
      </c>
      <c r="K270" s="293">
        <f>IFERROR(INDEX('Historical Data'!$M$2:$M$1068,MATCH($A270,'Historical Data'!$BE$2:$BE$1068,0)),"")</f>
        <v/>
      </c>
      <c r="L270" s="294">
        <f>IFERROR(INDEX('Historical Data'!$N$2:$N$1068,MATCH($A270,'Historical Data'!$BE$2:$BE$1068,0)),"")</f>
        <v/>
      </c>
      <c r="M270" s="294">
        <f>IFERROR(INDEX('Historical Data'!$Q$2:$Q$1068,MATCH($A270,'Historical Data'!$BE$2:$BE$1068,0)),"")</f>
        <v/>
      </c>
      <c r="N270" s="295">
        <f>IFERROR(INDEX('Historical Data'!$S$2:$S$1068,MATCH($A270,'Historical Data'!$BE$2:$BE$1068,0)),"")</f>
        <v/>
      </c>
      <c r="O270" s="294">
        <f>IFERROR(INDEX('Historical Data'!$AJ$2:$AJ$1068,MATCH($A270,'Historical Data'!$BE$2:$BE$1068,0)),"")</f>
        <v/>
      </c>
      <c r="P270" s="294">
        <f>IFERROR(INDEX('Historical Data'!$AK$2:$AK$1068,MATCH($A270,'Historical Data'!$BE$2:$BE$1068,0)),"")</f>
        <v/>
      </c>
      <c r="Q270" s="291">
        <f>IFERROR(INDEX('Historical Data'!$AA$2:$AA$1068,MATCH($A270,'Historical Data'!$BE$2:$BE$1068,0)),"")</f>
        <v/>
      </c>
      <c r="R270" s="291">
        <f>IFERROR(INDEX('Historical Data'!$AB$2:$AB$1068,MATCH($A270,'Historical Data'!$BE$2:$BE$1068,0)),"")</f>
        <v/>
      </c>
      <c r="S270" s="291">
        <f>IFERROR(INDEX('Historical Data'!$AN$2:$AN$1068,MATCH($A270,'Historical Data'!$BE$2:$BE$1068,0)),"")</f>
        <v/>
      </c>
      <c r="T270" s="291">
        <f>IFERROR(INDEX('Historical Data'!$AC$2:$AC$1068,MATCH($A270,'Historical Data'!$BE$2:$BE$1068,0)),"")</f>
        <v/>
      </c>
      <c r="U270" s="291">
        <f>IFERROR(INDEX('Historical Data'!$AE$2:$AE$1068,MATCH($A270,'Historical Data'!$BE$2:$BE$1068,0)),"")</f>
        <v/>
      </c>
      <c r="V270" s="291">
        <f>IFERROR(INDEX('Historical Data'!$AH$2:$AH$1068,MATCH($A270,'Historical Data'!$BE$2:$BE$1068,0)),"")</f>
        <v/>
      </c>
      <c r="W270" s="291">
        <f>IFERROR(INDEX('Historical Data'!$BC$2:$BC$1068,MATCH($A270,'Historical Data'!$BE$2:$BE$1068,0)),"")</f>
        <v/>
      </c>
      <c r="X270" s="290">
        <f>IF(B270="","",IF(W270=1,"NR + industry + position",IF(W270=2,"NR + ISO + position",IF(W270=3,"NR + industry",IF(W270=4,"NR + ISO",IF(W270=5,"NR + position",IF(W270=6,"NR only","book baseline"))))))&amp;"  ["&amp;IF(T270=1,"seasoned","unseasoned")&amp;IF(U270=1,", defaulted","")&amp;IF(V270=1,", open","")&amp;"]")</f>
        <v/>
      </c>
    </row>
    <row r="271">
      <c r="A271" s="290" t="n">
        <v>267</v>
      </c>
      <c r="B271" s="291">
        <f>IFERROR(INDEX('Historical Data'!$A$2:$A$1068,MATCH($A271,'Historical Data'!$BE$2:$BE$1068,0)),"")</f>
        <v/>
      </c>
      <c r="C271" s="291">
        <f>IFERROR(INDEX('Historical Data'!$B$2:$B$1068,MATCH($A271,'Historical Data'!$BE$2:$BE$1068,0)),"")</f>
        <v/>
      </c>
      <c r="D271" s="291">
        <f>IFERROR(INDEX('Historical Data'!$D$2:$D$1068,MATCH($A271,'Historical Data'!$BE$2:$BE$1068,0)),"")</f>
        <v/>
      </c>
      <c r="E271" s="292">
        <f>IFERROR(INDEX('Historical Data'!$E$2:$E$1068,MATCH($A271,'Historical Data'!$BE$2:$BE$1068,0)),"")</f>
        <v/>
      </c>
      <c r="F271" s="291">
        <f>IFERROR(INDEX('Historical Data'!$G$2:$G$1068,MATCH($A271,'Historical Data'!$BE$2:$BE$1068,0)),"")</f>
        <v/>
      </c>
      <c r="G271" s="291">
        <f>IFERROR(INDEX('Historical Data'!$Y$2:$Y$1068,MATCH($A271,'Historical Data'!$BE$2:$BE$1068,0)),"")</f>
        <v/>
      </c>
      <c r="H271" s="291">
        <f>IFERROR(INDEX('Historical Data'!$K$2:$K$1068,MATCH($A271,'Historical Data'!$BE$2:$BE$1068,0)),"")</f>
        <v/>
      </c>
      <c r="I271" s="291">
        <f>IFERROR(INDEX('Historical Data'!$J$2:$J$1068,MATCH($A271,'Historical Data'!$BE$2:$BE$1068,0)),"")</f>
        <v/>
      </c>
      <c r="J271" s="291">
        <f>IFERROR(INDEX('Historical Data'!$L$2:$L$1068,MATCH($A271,'Historical Data'!$BE$2:$BE$1068,0)),"")</f>
        <v/>
      </c>
      <c r="K271" s="293">
        <f>IFERROR(INDEX('Historical Data'!$M$2:$M$1068,MATCH($A271,'Historical Data'!$BE$2:$BE$1068,0)),"")</f>
        <v/>
      </c>
      <c r="L271" s="294">
        <f>IFERROR(INDEX('Historical Data'!$N$2:$N$1068,MATCH($A271,'Historical Data'!$BE$2:$BE$1068,0)),"")</f>
        <v/>
      </c>
      <c r="M271" s="294">
        <f>IFERROR(INDEX('Historical Data'!$Q$2:$Q$1068,MATCH($A271,'Historical Data'!$BE$2:$BE$1068,0)),"")</f>
        <v/>
      </c>
      <c r="N271" s="295">
        <f>IFERROR(INDEX('Historical Data'!$S$2:$S$1068,MATCH($A271,'Historical Data'!$BE$2:$BE$1068,0)),"")</f>
        <v/>
      </c>
      <c r="O271" s="294">
        <f>IFERROR(INDEX('Historical Data'!$AJ$2:$AJ$1068,MATCH($A271,'Historical Data'!$BE$2:$BE$1068,0)),"")</f>
        <v/>
      </c>
      <c r="P271" s="294">
        <f>IFERROR(INDEX('Historical Data'!$AK$2:$AK$1068,MATCH($A271,'Historical Data'!$BE$2:$BE$1068,0)),"")</f>
        <v/>
      </c>
      <c r="Q271" s="291">
        <f>IFERROR(INDEX('Historical Data'!$AA$2:$AA$1068,MATCH($A271,'Historical Data'!$BE$2:$BE$1068,0)),"")</f>
        <v/>
      </c>
      <c r="R271" s="291">
        <f>IFERROR(INDEX('Historical Data'!$AB$2:$AB$1068,MATCH($A271,'Historical Data'!$BE$2:$BE$1068,0)),"")</f>
        <v/>
      </c>
      <c r="S271" s="291">
        <f>IFERROR(INDEX('Historical Data'!$AN$2:$AN$1068,MATCH($A271,'Historical Data'!$BE$2:$BE$1068,0)),"")</f>
        <v/>
      </c>
      <c r="T271" s="291">
        <f>IFERROR(INDEX('Historical Data'!$AC$2:$AC$1068,MATCH($A271,'Historical Data'!$BE$2:$BE$1068,0)),"")</f>
        <v/>
      </c>
      <c r="U271" s="291">
        <f>IFERROR(INDEX('Historical Data'!$AE$2:$AE$1068,MATCH($A271,'Historical Data'!$BE$2:$BE$1068,0)),"")</f>
        <v/>
      </c>
      <c r="V271" s="291">
        <f>IFERROR(INDEX('Historical Data'!$AH$2:$AH$1068,MATCH($A271,'Historical Data'!$BE$2:$BE$1068,0)),"")</f>
        <v/>
      </c>
      <c r="W271" s="291">
        <f>IFERROR(INDEX('Historical Data'!$BC$2:$BC$1068,MATCH($A271,'Historical Data'!$BE$2:$BE$1068,0)),"")</f>
        <v/>
      </c>
      <c r="X271" s="290">
        <f>IF(B271="","",IF(W271=1,"NR + industry + position",IF(W271=2,"NR + ISO + position",IF(W271=3,"NR + industry",IF(W271=4,"NR + ISO",IF(W271=5,"NR + position",IF(W271=6,"NR only","book baseline"))))))&amp;"  ["&amp;IF(T271=1,"seasoned","unseasoned")&amp;IF(U271=1,", defaulted","")&amp;IF(V271=1,", open","")&amp;"]")</f>
        <v/>
      </c>
    </row>
    <row r="272">
      <c r="A272" s="290" t="n">
        <v>268</v>
      </c>
      <c r="B272" s="291">
        <f>IFERROR(INDEX('Historical Data'!$A$2:$A$1068,MATCH($A272,'Historical Data'!$BE$2:$BE$1068,0)),"")</f>
        <v/>
      </c>
      <c r="C272" s="291">
        <f>IFERROR(INDEX('Historical Data'!$B$2:$B$1068,MATCH($A272,'Historical Data'!$BE$2:$BE$1068,0)),"")</f>
        <v/>
      </c>
      <c r="D272" s="291">
        <f>IFERROR(INDEX('Historical Data'!$D$2:$D$1068,MATCH($A272,'Historical Data'!$BE$2:$BE$1068,0)),"")</f>
        <v/>
      </c>
      <c r="E272" s="292">
        <f>IFERROR(INDEX('Historical Data'!$E$2:$E$1068,MATCH($A272,'Historical Data'!$BE$2:$BE$1068,0)),"")</f>
        <v/>
      </c>
      <c r="F272" s="291">
        <f>IFERROR(INDEX('Historical Data'!$G$2:$G$1068,MATCH($A272,'Historical Data'!$BE$2:$BE$1068,0)),"")</f>
        <v/>
      </c>
      <c r="G272" s="291">
        <f>IFERROR(INDEX('Historical Data'!$Y$2:$Y$1068,MATCH($A272,'Historical Data'!$BE$2:$BE$1068,0)),"")</f>
        <v/>
      </c>
      <c r="H272" s="291">
        <f>IFERROR(INDEX('Historical Data'!$K$2:$K$1068,MATCH($A272,'Historical Data'!$BE$2:$BE$1068,0)),"")</f>
        <v/>
      </c>
      <c r="I272" s="291">
        <f>IFERROR(INDEX('Historical Data'!$J$2:$J$1068,MATCH($A272,'Historical Data'!$BE$2:$BE$1068,0)),"")</f>
        <v/>
      </c>
      <c r="J272" s="291">
        <f>IFERROR(INDEX('Historical Data'!$L$2:$L$1068,MATCH($A272,'Historical Data'!$BE$2:$BE$1068,0)),"")</f>
        <v/>
      </c>
      <c r="K272" s="293">
        <f>IFERROR(INDEX('Historical Data'!$M$2:$M$1068,MATCH($A272,'Historical Data'!$BE$2:$BE$1068,0)),"")</f>
        <v/>
      </c>
      <c r="L272" s="294">
        <f>IFERROR(INDEX('Historical Data'!$N$2:$N$1068,MATCH($A272,'Historical Data'!$BE$2:$BE$1068,0)),"")</f>
        <v/>
      </c>
      <c r="M272" s="294">
        <f>IFERROR(INDEX('Historical Data'!$Q$2:$Q$1068,MATCH($A272,'Historical Data'!$BE$2:$BE$1068,0)),"")</f>
        <v/>
      </c>
      <c r="N272" s="295">
        <f>IFERROR(INDEX('Historical Data'!$S$2:$S$1068,MATCH($A272,'Historical Data'!$BE$2:$BE$1068,0)),"")</f>
        <v/>
      </c>
      <c r="O272" s="294">
        <f>IFERROR(INDEX('Historical Data'!$AJ$2:$AJ$1068,MATCH($A272,'Historical Data'!$BE$2:$BE$1068,0)),"")</f>
        <v/>
      </c>
      <c r="P272" s="294">
        <f>IFERROR(INDEX('Historical Data'!$AK$2:$AK$1068,MATCH($A272,'Historical Data'!$BE$2:$BE$1068,0)),"")</f>
        <v/>
      </c>
      <c r="Q272" s="291">
        <f>IFERROR(INDEX('Historical Data'!$AA$2:$AA$1068,MATCH($A272,'Historical Data'!$BE$2:$BE$1068,0)),"")</f>
        <v/>
      </c>
      <c r="R272" s="291">
        <f>IFERROR(INDEX('Historical Data'!$AB$2:$AB$1068,MATCH($A272,'Historical Data'!$BE$2:$BE$1068,0)),"")</f>
        <v/>
      </c>
      <c r="S272" s="291">
        <f>IFERROR(INDEX('Historical Data'!$AN$2:$AN$1068,MATCH($A272,'Historical Data'!$BE$2:$BE$1068,0)),"")</f>
        <v/>
      </c>
      <c r="T272" s="291">
        <f>IFERROR(INDEX('Historical Data'!$AC$2:$AC$1068,MATCH($A272,'Historical Data'!$BE$2:$BE$1068,0)),"")</f>
        <v/>
      </c>
      <c r="U272" s="291">
        <f>IFERROR(INDEX('Historical Data'!$AE$2:$AE$1068,MATCH($A272,'Historical Data'!$BE$2:$BE$1068,0)),"")</f>
        <v/>
      </c>
      <c r="V272" s="291">
        <f>IFERROR(INDEX('Historical Data'!$AH$2:$AH$1068,MATCH($A272,'Historical Data'!$BE$2:$BE$1068,0)),"")</f>
        <v/>
      </c>
      <c r="W272" s="291">
        <f>IFERROR(INDEX('Historical Data'!$BC$2:$BC$1068,MATCH($A272,'Historical Data'!$BE$2:$BE$1068,0)),"")</f>
        <v/>
      </c>
      <c r="X272" s="290">
        <f>IF(B272="","",IF(W272=1,"NR + industry + position",IF(W272=2,"NR + ISO + position",IF(W272=3,"NR + industry",IF(W272=4,"NR + ISO",IF(W272=5,"NR + position",IF(W272=6,"NR only","book baseline"))))))&amp;"  ["&amp;IF(T272=1,"seasoned","unseasoned")&amp;IF(U272=1,", defaulted","")&amp;IF(V272=1,", open","")&amp;"]")</f>
        <v/>
      </c>
    </row>
    <row r="273">
      <c r="A273" s="290" t="n">
        <v>269</v>
      </c>
      <c r="B273" s="291">
        <f>IFERROR(INDEX('Historical Data'!$A$2:$A$1068,MATCH($A273,'Historical Data'!$BE$2:$BE$1068,0)),"")</f>
        <v/>
      </c>
      <c r="C273" s="291">
        <f>IFERROR(INDEX('Historical Data'!$B$2:$B$1068,MATCH($A273,'Historical Data'!$BE$2:$BE$1068,0)),"")</f>
        <v/>
      </c>
      <c r="D273" s="291">
        <f>IFERROR(INDEX('Historical Data'!$D$2:$D$1068,MATCH($A273,'Historical Data'!$BE$2:$BE$1068,0)),"")</f>
        <v/>
      </c>
      <c r="E273" s="292">
        <f>IFERROR(INDEX('Historical Data'!$E$2:$E$1068,MATCH($A273,'Historical Data'!$BE$2:$BE$1068,0)),"")</f>
        <v/>
      </c>
      <c r="F273" s="291">
        <f>IFERROR(INDEX('Historical Data'!$G$2:$G$1068,MATCH($A273,'Historical Data'!$BE$2:$BE$1068,0)),"")</f>
        <v/>
      </c>
      <c r="G273" s="291">
        <f>IFERROR(INDEX('Historical Data'!$Y$2:$Y$1068,MATCH($A273,'Historical Data'!$BE$2:$BE$1068,0)),"")</f>
        <v/>
      </c>
      <c r="H273" s="291">
        <f>IFERROR(INDEX('Historical Data'!$K$2:$K$1068,MATCH($A273,'Historical Data'!$BE$2:$BE$1068,0)),"")</f>
        <v/>
      </c>
      <c r="I273" s="291">
        <f>IFERROR(INDEX('Historical Data'!$J$2:$J$1068,MATCH($A273,'Historical Data'!$BE$2:$BE$1068,0)),"")</f>
        <v/>
      </c>
      <c r="J273" s="291">
        <f>IFERROR(INDEX('Historical Data'!$L$2:$L$1068,MATCH($A273,'Historical Data'!$BE$2:$BE$1068,0)),"")</f>
        <v/>
      </c>
      <c r="K273" s="293">
        <f>IFERROR(INDEX('Historical Data'!$M$2:$M$1068,MATCH($A273,'Historical Data'!$BE$2:$BE$1068,0)),"")</f>
        <v/>
      </c>
      <c r="L273" s="294">
        <f>IFERROR(INDEX('Historical Data'!$N$2:$N$1068,MATCH($A273,'Historical Data'!$BE$2:$BE$1068,0)),"")</f>
        <v/>
      </c>
      <c r="M273" s="294">
        <f>IFERROR(INDEX('Historical Data'!$Q$2:$Q$1068,MATCH($A273,'Historical Data'!$BE$2:$BE$1068,0)),"")</f>
        <v/>
      </c>
      <c r="N273" s="295">
        <f>IFERROR(INDEX('Historical Data'!$S$2:$S$1068,MATCH($A273,'Historical Data'!$BE$2:$BE$1068,0)),"")</f>
        <v/>
      </c>
      <c r="O273" s="294">
        <f>IFERROR(INDEX('Historical Data'!$AJ$2:$AJ$1068,MATCH($A273,'Historical Data'!$BE$2:$BE$1068,0)),"")</f>
        <v/>
      </c>
      <c r="P273" s="294">
        <f>IFERROR(INDEX('Historical Data'!$AK$2:$AK$1068,MATCH($A273,'Historical Data'!$BE$2:$BE$1068,0)),"")</f>
        <v/>
      </c>
      <c r="Q273" s="291">
        <f>IFERROR(INDEX('Historical Data'!$AA$2:$AA$1068,MATCH($A273,'Historical Data'!$BE$2:$BE$1068,0)),"")</f>
        <v/>
      </c>
      <c r="R273" s="291">
        <f>IFERROR(INDEX('Historical Data'!$AB$2:$AB$1068,MATCH($A273,'Historical Data'!$BE$2:$BE$1068,0)),"")</f>
        <v/>
      </c>
      <c r="S273" s="291">
        <f>IFERROR(INDEX('Historical Data'!$AN$2:$AN$1068,MATCH($A273,'Historical Data'!$BE$2:$BE$1068,0)),"")</f>
        <v/>
      </c>
      <c r="T273" s="291">
        <f>IFERROR(INDEX('Historical Data'!$AC$2:$AC$1068,MATCH($A273,'Historical Data'!$BE$2:$BE$1068,0)),"")</f>
        <v/>
      </c>
      <c r="U273" s="291">
        <f>IFERROR(INDEX('Historical Data'!$AE$2:$AE$1068,MATCH($A273,'Historical Data'!$BE$2:$BE$1068,0)),"")</f>
        <v/>
      </c>
      <c r="V273" s="291">
        <f>IFERROR(INDEX('Historical Data'!$AH$2:$AH$1068,MATCH($A273,'Historical Data'!$BE$2:$BE$1068,0)),"")</f>
        <v/>
      </c>
      <c r="W273" s="291">
        <f>IFERROR(INDEX('Historical Data'!$BC$2:$BC$1068,MATCH($A273,'Historical Data'!$BE$2:$BE$1068,0)),"")</f>
        <v/>
      </c>
      <c r="X273" s="290">
        <f>IF(B273="","",IF(W273=1,"NR + industry + position",IF(W273=2,"NR + ISO + position",IF(W273=3,"NR + industry",IF(W273=4,"NR + ISO",IF(W273=5,"NR + position",IF(W273=6,"NR only","book baseline"))))))&amp;"  ["&amp;IF(T273=1,"seasoned","unseasoned")&amp;IF(U273=1,", defaulted","")&amp;IF(V273=1,", open","")&amp;"]")</f>
        <v/>
      </c>
    </row>
    <row r="274">
      <c r="A274" s="290" t="n">
        <v>270</v>
      </c>
      <c r="B274" s="291">
        <f>IFERROR(INDEX('Historical Data'!$A$2:$A$1068,MATCH($A274,'Historical Data'!$BE$2:$BE$1068,0)),"")</f>
        <v/>
      </c>
      <c r="C274" s="291">
        <f>IFERROR(INDEX('Historical Data'!$B$2:$B$1068,MATCH($A274,'Historical Data'!$BE$2:$BE$1068,0)),"")</f>
        <v/>
      </c>
      <c r="D274" s="291">
        <f>IFERROR(INDEX('Historical Data'!$D$2:$D$1068,MATCH($A274,'Historical Data'!$BE$2:$BE$1068,0)),"")</f>
        <v/>
      </c>
      <c r="E274" s="292">
        <f>IFERROR(INDEX('Historical Data'!$E$2:$E$1068,MATCH($A274,'Historical Data'!$BE$2:$BE$1068,0)),"")</f>
        <v/>
      </c>
      <c r="F274" s="291">
        <f>IFERROR(INDEX('Historical Data'!$G$2:$G$1068,MATCH($A274,'Historical Data'!$BE$2:$BE$1068,0)),"")</f>
        <v/>
      </c>
      <c r="G274" s="291">
        <f>IFERROR(INDEX('Historical Data'!$Y$2:$Y$1068,MATCH($A274,'Historical Data'!$BE$2:$BE$1068,0)),"")</f>
        <v/>
      </c>
      <c r="H274" s="291">
        <f>IFERROR(INDEX('Historical Data'!$K$2:$K$1068,MATCH($A274,'Historical Data'!$BE$2:$BE$1068,0)),"")</f>
        <v/>
      </c>
      <c r="I274" s="291">
        <f>IFERROR(INDEX('Historical Data'!$J$2:$J$1068,MATCH($A274,'Historical Data'!$BE$2:$BE$1068,0)),"")</f>
        <v/>
      </c>
      <c r="J274" s="291">
        <f>IFERROR(INDEX('Historical Data'!$L$2:$L$1068,MATCH($A274,'Historical Data'!$BE$2:$BE$1068,0)),"")</f>
        <v/>
      </c>
      <c r="K274" s="293">
        <f>IFERROR(INDEX('Historical Data'!$M$2:$M$1068,MATCH($A274,'Historical Data'!$BE$2:$BE$1068,0)),"")</f>
        <v/>
      </c>
      <c r="L274" s="294">
        <f>IFERROR(INDEX('Historical Data'!$N$2:$N$1068,MATCH($A274,'Historical Data'!$BE$2:$BE$1068,0)),"")</f>
        <v/>
      </c>
      <c r="M274" s="294">
        <f>IFERROR(INDEX('Historical Data'!$Q$2:$Q$1068,MATCH($A274,'Historical Data'!$BE$2:$BE$1068,0)),"")</f>
        <v/>
      </c>
      <c r="N274" s="295">
        <f>IFERROR(INDEX('Historical Data'!$S$2:$S$1068,MATCH($A274,'Historical Data'!$BE$2:$BE$1068,0)),"")</f>
        <v/>
      </c>
      <c r="O274" s="294">
        <f>IFERROR(INDEX('Historical Data'!$AJ$2:$AJ$1068,MATCH($A274,'Historical Data'!$BE$2:$BE$1068,0)),"")</f>
        <v/>
      </c>
      <c r="P274" s="294">
        <f>IFERROR(INDEX('Historical Data'!$AK$2:$AK$1068,MATCH($A274,'Historical Data'!$BE$2:$BE$1068,0)),"")</f>
        <v/>
      </c>
      <c r="Q274" s="291">
        <f>IFERROR(INDEX('Historical Data'!$AA$2:$AA$1068,MATCH($A274,'Historical Data'!$BE$2:$BE$1068,0)),"")</f>
        <v/>
      </c>
      <c r="R274" s="291">
        <f>IFERROR(INDEX('Historical Data'!$AB$2:$AB$1068,MATCH($A274,'Historical Data'!$BE$2:$BE$1068,0)),"")</f>
        <v/>
      </c>
      <c r="S274" s="291">
        <f>IFERROR(INDEX('Historical Data'!$AN$2:$AN$1068,MATCH($A274,'Historical Data'!$BE$2:$BE$1068,0)),"")</f>
        <v/>
      </c>
      <c r="T274" s="291">
        <f>IFERROR(INDEX('Historical Data'!$AC$2:$AC$1068,MATCH($A274,'Historical Data'!$BE$2:$BE$1068,0)),"")</f>
        <v/>
      </c>
      <c r="U274" s="291">
        <f>IFERROR(INDEX('Historical Data'!$AE$2:$AE$1068,MATCH($A274,'Historical Data'!$BE$2:$BE$1068,0)),"")</f>
        <v/>
      </c>
      <c r="V274" s="291">
        <f>IFERROR(INDEX('Historical Data'!$AH$2:$AH$1068,MATCH($A274,'Historical Data'!$BE$2:$BE$1068,0)),"")</f>
        <v/>
      </c>
      <c r="W274" s="291">
        <f>IFERROR(INDEX('Historical Data'!$BC$2:$BC$1068,MATCH($A274,'Historical Data'!$BE$2:$BE$1068,0)),"")</f>
        <v/>
      </c>
      <c r="X274" s="290">
        <f>IF(B274="","",IF(W274=1,"NR + industry + position",IF(W274=2,"NR + ISO + position",IF(W274=3,"NR + industry",IF(W274=4,"NR + ISO",IF(W274=5,"NR + position",IF(W274=6,"NR only","book baseline"))))))&amp;"  ["&amp;IF(T274=1,"seasoned","unseasoned")&amp;IF(U274=1,", defaulted","")&amp;IF(V274=1,", open","")&amp;"]")</f>
        <v/>
      </c>
    </row>
    <row r="275">
      <c r="A275" s="290" t="n">
        <v>271</v>
      </c>
      <c r="B275" s="291">
        <f>IFERROR(INDEX('Historical Data'!$A$2:$A$1068,MATCH($A275,'Historical Data'!$BE$2:$BE$1068,0)),"")</f>
        <v/>
      </c>
      <c r="C275" s="291">
        <f>IFERROR(INDEX('Historical Data'!$B$2:$B$1068,MATCH($A275,'Historical Data'!$BE$2:$BE$1068,0)),"")</f>
        <v/>
      </c>
      <c r="D275" s="291">
        <f>IFERROR(INDEX('Historical Data'!$D$2:$D$1068,MATCH($A275,'Historical Data'!$BE$2:$BE$1068,0)),"")</f>
        <v/>
      </c>
      <c r="E275" s="292">
        <f>IFERROR(INDEX('Historical Data'!$E$2:$E$1068,MATCH($A275,'Historical Data'!$BE$2:$BE$1068,0)),"")</f>
        <v/>
      </c>
      <c r="F275" s="291">
        <f>IFERROR(INDEX('Historical Data'!$G$2:$G$1068,MATCH($A275,'Historical Data'!$BE$2:$BE$1068,0)),"")</f>
        <v/>
      </c>
      <c r="G275" s="291">
        <f>IFERROR(INDEX('Historical Data'!$Y$2:$Y$1068,MATCH($A275,'Historical Data'!$BE$2:$BE$1068,0)),"")</f>
        <v/>
      </c>
      <c r="H275" s="291">
        <f>IFERROR(INDEX('Historical Data'!$K$2:$K$1068,MATCH($A275,'Historical Data'!$BE$2:$BE$1068,0)),"")</f>
        <v/>
      </c>
      <c r="I275" s="291">
        <f>IFERROR(INDEX('Historical Data'!$J$2:$J$1068,MATCH($A275,'Historical Data'!$BE$2:$BE$1068,0)),"")</f>
        <v/>
      </c>
      <c r="J275" s="291">
        <f>IFERROR(INDEX('Historical Data'!$L$2:$L$1068,MATCH($A275,'Historical Data'!$BE$2:$BE$1068,0)),"")</f>
        <v/>
      </c>
      <c r="K275" s="293">
        <f>IFERROR(INDEX('Historical Data'!$M$2:$M$1068,MATCH($A275,'Historical Data'!$BE$2:$BE$1068,0)),"")</f>
        <v/>
      </c>
      <c r="L275" s="294">
        <f>IFERROR(INDEX('Historical Data'!$N$2:$N$1068,MATCH($A275,'Historical Data'!$BE$2:$BE$1068,0)),"")</f>
        <v/>
      </c>
      <c r="M275" s="294">
        <f>IFERROR(INDEX('Historical Data'!$Q$2:$Q$1068,MATCH($A275,'Historical Data'!$BE$2:$BE$1068,0)),"")</f>
        <v/>
      </c>
      <c r="N275" s="295">
        <f>IFERROR(INDEX('Historical Data'!$S$2:$S$1068,MATCH($A275,'Historical Data'!$BE$2:$BE$1068,0)),"")</f>
        <v/>
      </c>
      <c r="O275" s="294">
        <f>IFERROR(INDEX('Historical Data'!$AJ$2:$AJ$1068,MATCH($A275,'Historical Data'!$BE$2:$BE$1068,0)),"")</f>
        <v/>
      </c>
      <c r="P275" s="294">
        <f>IFERROR(INDEX('Historical Data'!$AK$2:$AK$1068,MATCH($A275,'Historical Data'!$BE$2:$BE$1068,0)),"")</f>
        <v/>
      </c>
      <c r="Q275" s="291">
        <f>IFERROR(INDEX('Historical Data'!$AA$2:$AA$1068,MATCH($A275,'Historical Data'!$BE$2:$BE$1068,0)),"")</f>
        <v/>
      </c>
      <c r="R275" s="291">
        <f>IFERROR(INDEX('Historical Data'!$AB$2:$AB$1068,MATCH($A275,'Historical Data'!$BE$2:$BE$1068,0)),"")</f>
        <v/>
      </c>
      <c r="S275" s="291">
        <f>IFERROR(INDEX('Historical Data'!$AN$2:$AN$1068,MATCH($A275,'Historical Data'!$BE$2:$BE$1068,0)),"")</f>
        <v/>
      </c>
      <c r="T275" s="291">
        <f>IFERROR(INDEX('Historical Data'!$AC$2:$AC$1068,MATCH($A275,'Historical Data'!$BE$2:$BE$1068,0)),"")</f>
        <v/>
      </c>
      <c r="U275" s="291">
        <f>IFERROR(INDEX('Historical Data'!$AE$2:$AE$1068,MATCH($A275,'Historical Data'!$BE$2:$BE$1068,0)),"")</f>
        <v/>
      </c>
      <c r="V275" s="291">
        <f>IFERROR(INDEX('Historical Data'!$AH$2:$AH$1068,MATCH($A275,'Historical Data'!$BE$2:$BE$1068,0)),"")</f>
        <v/>
      </c>
      <c r="W275" s="291">
        <f>IFERROR(INDEX('Historical Data'!$BC$2:$BC$1068,MATCH($A275,'Historical Data'!$BE$2:$BE$1068,0)),"")</f>
        <v/>
      </c>
      <c r="X275" s="290">
        <f>IF(B275="","",IF(W275=1,"NR + industry + position",IF(W275=2,"NR + ISO + position",IF(W275=3,"NR + industry",IF(W275=4,"NR + ISO",IF(W275=5,"NR + position",IF(W275=6,"NR only","book baseline"))))))&amp;"  ["&amp;IF(T275=1,"seasoned","unseasoned")&amp;IF(U275=1,", defaulted","")&amp;IF(V275=1,", open","")&amp;"]")</f>
        <v/>
      </c>
    </row>
    <row r="276">
      <c r="A276" s="290" t="n">
        <v>272</v>
      </c>
      <c r="B276" s="291">
        <f>IFERROR(INDEX('Historical Data'!$A$2:$A$1068,MATCH($A276,'Historical Data'!$BE$2:$BE$1068,0)),"")</f>
        <v/>
      </c>
      <c r="C276" s="291">
        <f>IFERROR(INDEX('Historical Data'!$B$2:$B$1068,MATCH($A276,'Historical Data'!$BE$2:$BE$1068,0)),"")</f>
        <v/>
      </c>
      <c r="D276" s="291">
        <f>IFERROR(INDEX('Historical Data'!$D$2:$D$1068,MATCH($A276,'Historical Data'!$BE$2:$BE$1068,0)),"")</f>
        <v/>
      </c>
      <c r="E276" s="292">
        <f>IFERROR(INDEX('Historical Data'!$E$2:$E$1068,MATCH($A276,'Historical Data'!$BE$2:$BE$1068,0)),"")</f>
        <v/>
      </c>
      <c r="F276" s="291">
        <f>IFERROR(INDEX('Historical Data'!$G$2:$G$1068,MATCH($A276,'Historical Data'!$BE$2:$BE$1068,0)),"")</f>
        <v/>
      </c>
      <c r="G276" s="291">
        <f>IFERROR(INDEX('Historical Data'!$Y$2:$Y$1068,MATCH($A276,'Historical Data'!$BE$2:$BE$1068,0)),"")</f>
        <v/>
      </c>
      <c r="H276" s="291">
        <f>IFERROR(INDEX('Historical Data'!$K$2:$K$1068,MATCH($A276,'Historical Data'!$BE$2:$BE$1068,0)),"")</f>
        <v/>
      </c>
      <c r="I276" s="291">
        <f>IFERROR(INDEX('Historical Data'!$J$2:$J$1068,MATCH($A276,'Historical Data'!$BE$2:$BE$1068,0)),"")</f>
        <v/>
      </c>
      <c r="J276" s="291">
        <f>IFERROR(INDEX('Historical Data'!$L$2:$L$1068,MATCH($A276,'Historical Data'!$BE$2:$BE$1068,0)),"")</f>
        <v/>
      </c>
      <c r="K276" s="293">
        <f>IFERROR(INDEX('Historical Data'!$M$2:$M$1068,MATCH($A276,'Historical Data'!$BE$2:$BE$1068,0)),"")</f>
        <v/>
      </c>
      <c r="L276" s="294">
        <f>IFERROR(INDEX('Historical Data'!$N$2:$N$1068,MATCH($A276,'Historical Data'!$BE$2:$BE$1068,0)),"")</f>
        <v/>
      </c>
      <c r="M276" s="294">
        <f>IFERROR(INDEX('Historical Data'!$Q$2:$Q$1068,MATCH($A276,'Historical Data'!$BE$2:$BE$1068,0)),"")</f>
        <v/>
      </c>
      <c r="N276" s="295">
        <f>IFERROR(INDEX('Historical Data'!$S$2:$S$1068,MATCH($A276,'Historical Data'!$BE$2:$BE$1068,0)),"")</f>
        <v/>
      </c>
      <c r="O276" s="294">
        <f>IFERROR(INDEX('Historical Data'!$AJ$2:$AJ$1068,MATCH($A276,'Historical Data'!$BE$2:$BE$1068,0)),"")</f>
        <v/>
      </c>
      <c r="P276" s="294">
        <f>IFERROR(INDEX('Historical Data'!$AK$2:$AK$1068,MATCH($A276,'Historical Data'!$BE$2:$BE$1068,0)),"")</f>
        <v/>
      </c>
      <c r="Q276" s="291">
        <f>IFERROR(INDEX('Historical Data'!$AA$2:$AA$1068,MATCH($A276,'Historical Data'!$BE$2:$BE$1068,0)),"")</f>
        <v/>
      </c>
      <c r="R276" s="291">
        <f>IFERROR(INDEX('Historical Data'!$AB$2:$AB$1068,MATCH($A276,'Historical Data'!$BE$2:$BE$1068,0)),"")</f>
        <v/>
      </c>
      <c r="S276" s="291">
        <f>IFERROR(INDEX('Historical Data'!$AN$2:$AN$1068,MATCH($A276,'Historical Data'!$BE$2:$BE$1068,0)),"")</f>
        <v/>
      </c>
      <c r="T276" s="291">
        <f>IFERROR(INDEX('Historical Data'!$AC$2:$AC$1068,MATCH($A276,'Historical Data'!$BE$2:$BE$1068,0)),"")</f>
        <v/>
      </c>
      <c r="U276" s="291">
        <f>IFERROR(INDEX('Historical Data'!$AE$2:$AE$1068,MATCH($A276,'Historical Data'!$BE$2:$BE$1068,0)),"")</f>
        <v/>
      </c>
      <c r="V276" s="291">
        <f>IFERROR(INDEX('Historical Data'!$AH$2:$AH$1068,MATCH($A276,'Historical Data'!$BE$2:$BE$1068,0)),"")</f>
        <v/>
      </c>
      <c r="W276" s="291">
        <f>IFERROR(INDEX('Historical Data'!$BC$2:$BC$1068,MATCH($A276,'Historical Data'!$BE$2:$BE$1068,0)),"")</f>
        <v/>
      </c>
      <c r="X276" s="290">
        <f>IF(B276="","",IF(W276=1,"NR + industry + position",IF(W276=2,"NR + ISO + position",IF(W276=3,"NR + industry",IF(W276=4,"NR + ISO",IF(W276=5,"NR + position",IF(W276=6,"NR only","book baseline"))))))&amp;"  ["&amp;IF(T276=1,"seasoned","unseasoned")&amp;IF(U276=1,", defaulted","")&amp;IF(V276=1,", open","")&amp;"]")</f>
        <v/>
      </c>
    </row>
    <row r="277">
      <c r="A277" s="290" t="n">
        <v>273</v>
      </c>
      <c r="B277" s="291">
        <f>IFERROR(INDEX('Historical Data'!$A$2:$A$1068,MATCH($A277,'Historical Data'!$BE$2:$BE$1068,0)),"")</f>
        <v/>
      </c>
      <c r="C277" s="291">
        <f>IFERROR(INDEX('Historical Data'!$B$2:$B$1068,MATCH($A277,'Historical Data'!$BE$2:$BE$1068,0)),"")</f>
        <v/>
      </c>
      <c r="D277" s="291">
        <f>IFERROR(INDEX('Historical Data'!$D$2:$D$1068,MATCH($A277,'Historical Data'!$BE$2:$BE$1068,0)),"")</f>
        <v/>
      </c>
      <c r="E277" s="292">
        <f>IFERROR(INDEX('Historical Data'!$E$2:$E$1068,MATCH($A277,'Historical Data'!$BE$2:$BE$1068,0)),"")</f>
        <v/>
      </c>
      <c r="F277" s="291">
        <f>IFERROR(INDEX('Historical Data'!$G$2:$G$1068,MATCH($A277,'Historical Data'!$BE$2:$BE$1068,0)),"")</f>
        <v/>
      </c>
      <c r="G277" s="291">
        <f>IFERROR(INDEX('Historical Data'!$Y$2:$Y$1068,MATCH($A277,'Historical Data'!$BE$2:$BE$1068,0)),"")</f>
        <v/>
      </c>
      <c r="H277" s="291">
        <f>IFERROR(INDEX('Historical Data'!$K$2:$K$1068,MATCH($A277,'Historical Data'!$BE$2:$BE$1068,0)),"")</f>
        <v/>
      </c>
      <c r="I277" s="291">
        <f>IFERROR(INDEX('Historical Data'!$J$2:$J$1068,MATCH($A277,'Historical Data'!$BE$2:$BE$1068,0)),"")</f>
        <v/>
      </c>
      <c r="J277" s="291">
        <f>IFERROR(INDEX('Historical Data'!$L$2:$L$1068,MATCH($A277,'Historical Data'!$BE$2:$BE$1068,0)),"")</f>
        <v/>
      </c>
      <c r="K277" s="293">
        <f>IFERROR(INDEX('Historical Data'!$M$2:$M$1068,MATCH($A277,'Historical Data'!$BE$2:$BE$1068,0)),"")</f>
        <v/>
      </c>
      <c r="L277" s="294">
        <f>IFERROR(INDEX('Historical Data'!$N$2:$N$1068,MATCH($A277,'Historical Data'!$BE$2:$BE$1068,0)),"")</f>
        <v/>
      </c>
      <c r="M277" s="294">
        <f>IFERROR(INDEX('Historical Data'!$Q$2:$Q$1068,MATCH($A277,'Historical Data'!$BE$2:$BE$1068,0)),"")</f>
        <v/>
      </c>
      <c r="N277" s="295">
        <f>IFERROR(INDEX('Historical Data'!$S$2:$S$1068,MATCH($A277,'Historical Data'!$BE$2:$BE$1068,0)),"")</f>
        <v/>
      </c>
      <c r="O277" s="294">
        <f>IFERROR(INDEX('Historical Data'!$AJ$2:$AJ$1068,MATCH($A277,'Historical Data'!$BE$2:$BE$1068,0)),"")</f>
        <v/>
      </c>
      <c r="P277" s="294">
        <f>IFERROR(INDEX('Historical Data'!$AK$2:$AK$1068,MATCH($A277,'Historical Data'!$BE$2:$BE$1068,0)),"")</f>
        <v/>
      </c>
      <c r="Q277" s="291">
        <f>IFERROR(INDEX('Historical Data'!$AA$2:$AA$1068,MATCH($A277,'Historical Data'!$BE$2:$BE$1068,0)),"")</f>
        <v/>
      </c>
      <c r="R277" s="291">
        <f>IFERROR(INDEX('Historical Data'!$AB$2:$AB$1068,MATCH($A277,'Historical Data'!$BE$2:$BE$1068,0)),"")</f>
        <v/>
      </c>
      <c r="S277" s="291">
        <f>IFERROR(INDEX('Historical Data'!$AN$2:$AN$1068,MATCH($A277,'Historical Data'!$BE$2:$BE$1068,0)),"")</f>
        <v/>
      </c>
      <c r="T277" s="291">
        <f>IFERROR(INDEX('Historical Data'!$AC$2:$AC$1068,MATCH($A277,'Historical Data'!$BE$2:$BE$1068,0)),"")</f>
        <v/>
      </c>
      <c r="U277" s="291">
        <f>IFERROR(INDEX('Historical Data'!$AE$2:$AE$1068,MATCH($A277,'Historical Data'!$BE$2:$BE$1068,0)),"")</f>
        <v/>
      </c>
      <c r="V277" s="291">
        <f>IFERROR(INDEX('Historical Data'!$AH$2:$AH$1068,MATCH($A277,'Historical Data'!$BE$2:$BE$1068,0)),"")</f>
        <v/>
      </c>
      <c r="W277" s="291">
        <f>IFERROR(INDEX('Historical Data'!$BC$2:$BC$1068,MATCH($A277,'Historical Data'!$BE$2:$BE$1068,0)),"")</f>
        <v/>
      </c>
      <c r="X277" s="290">
        <f>IF(B277="","",IF(W277=1,"NR + industry + position",IF(W277=2,"NR + ISO + position",IF(W277=3,"NR + industry",IF(W277=4,"NR + ISO",IF(W277=5,"NR + position",IF(W277=6,"NR only","book baseline"))))))&amp;"  ["&amp;IF(T277=1,"seasoned","unseasoned")&amp;IF(U277=1,", defaulted","")&amp;IF(V277=1,", open","")&amp;"]")</f>
        <v/>
      </c>
    </row>
    <row r="278">
      <c r="A278" s="290" t="n">
        <v>274</v>
      </c>
      <c r="B278" s="291">
        <f>IFERROR(INDEX('Historical Data'!$A$2:$A$1068,MATCH($A278,'Historical Data'!$BE$2:$BE$1068,0)),"")</f>
        <v/>
      </c>
      <c r="C278" s="291">
        <f>IFERROR(INDEX('Historical Data'!$B$2:$B$1068,MATCH($A278,'Historical Data'!$BE$2:$BE$1068,0)),"")</f>
        <v/>
      </c>
      <c r="D278" s="291">
        <f>IFERROR(INDEX('Historical Data'!$D$2:$D$1068,MATCH($A278,'Historical Data'!$BE$2:$BE$1068,0)),"")</f>
        <v/>
      </c>
      <c r="E278" s="292">
        <f>IFERROR(INDEX('Historical Data'!$E$2:$E$1068,MATCH($A278,'Historical Data'!$BE$2:$BE$1068,0)),"")</f>
        <v/>
      </c>
      <c r="F278" s="291">
        <f>IFERROR(INDEX('Historical Data'!$G$2:$G$1068,MATCH($A278,'Historical Data'!$BE$2:$BE$1068,0)),"")</f>
        <v/>
      </c>
      <c r="G278" s="291">
        <f>IFERROR(INDEX('Historical Data'!$Y$2:$Y$1068,MATCH($A278,'Historical Data'!$BE$2:$BE$1068,0)),"")</f>
        <v/>
      </c>
      <c r="H278" s="291">
        <f>IFERROR(INDEX('Historical Data'!$K$2:$K$1068,MATCH($A278,'Historical Data'!$BE$2:$BE$1068,0)),"")</f>
        <v/>
      </c>
      <c r="I278" s="291">
        <f>IFERROR(INDEX('Historical Data'!$J$2:$J$1068,MATCH($A278,'Historical Data'!$BE$2:$BE$1068,0)),"")</f>
        <v/>
      </c>
      <c r="J278" s="291">
        <f>IFERROR(INDEX('Historical Data'!$L$2:$L$1068,MATCH($A278,'Historical Data'!$BE$2:$BE$1068,0)),"")</f>
        <v/>
      </c>
      <c r="K278" s="293">
        <f>IFERROR(INDEX('Historical Data'!$M$2:$M$1068,MATCH($A278,'Historical Data'!$BE$2:$BE$1068,0)),"")</f>
        <v/>
      </c>
      <c r="L278" s="294">
        <f>IFERROR(INDEX('Historical Data'!$N$2:$N$1068,MATCH($A278,'Historical Data'!$BE$2:$BE$1068,0)),"")</f>
        <v/>
      </c>
      <c r="M278" s="294">
        <f>IFERROR(INDEX('Historical Data'!$Q$2:$Q$1068,MATCH($A278,'Historical Data'!$BE$2:$BE$1068,0)),"")</f>
        <v/>
      </c>
      <c r="N278" s="295">
        <f>IFERROR(INDEX('Historical Data'!$S$2:$S$1068,MATCH($A278,'Historical Data'!$BE$2:$BE$1068,0)),"")</f>
        <v/>
      </c>
      <c r="O278" s="294">
        <f>IFERROR(INDEX('Historical Data'!$AJ$2:$AJ$1068,MATCH($A278,'Historical Data'!$BE$2:$BE$1068,0)),"")</f>
        <v/>
      </c>
      <c r="P278" s="294">
        <f>IFERROR(INDEX('Historical Data'!$AK$2:$AK$1068,MATCH($A278,'Historical Data'!$BE$2:$BE$1068,0)),"")</f>
        <v/>
      </c>
      <c r="Q278" s="291">
        <f>IFERROR(INDEX('Historical Data'!$AA$2:$AA$1068,MATCH($A278,'Historical Data'!$BE$2:$BE$1068,0)),"")</f>
        <v/>
      </c>
      <c r="R278" s="291">
        <f>IFERROR(INDEX('Historical Data'!$AB$2:$AB$1068,MATCH($A278,'Historical Data'!$BE$2:$BE$1068,0)),"")</f>
        <v/>
      </c>
      <c r="S278" s="291">
        <f>IFERROR(INDEX('Historical Data'!$AN$2:$AN$1068,MATCH($A278,'Historical Data'!$BE$2:$BE$1068,0)),"")</f>
        <v/>
      </c>
      <c r="T278" s="291">
        <f>IFERROR(INDEX('Historical Data'!$AC$2:$AC$1068,MATCH($A278,'Historical Data'!$BE$2:$BE$1068,0)),"")</f>
        <v/>
      </c>
      <c r="U278" s="291">
        <f>IFERROR(INDEX('Historical Data'!$AE$2:$AE$1068,MATCH($A278,'Historical Data'!$BE$2:$BE$1068,0)),"")</f>
        <v/>
      </c>
      <c r="V278" s="291">
        <f>IFERROR(INDEX('Historical Data'!$AH$2:$AH$1068,MATCH($A278,'Historical Data'!$BE$2:$BE$1068,0)),"")</f>
        <v/>
      </c>
      <c r="W278" s="291">
        <f>IFERROR(INDEX('Historical Data'!$BC$2:$BC$1068,MATCH($A278,'Historical Data'!$BE$2:$BE$1068,0)),"")</f>
        <v/>
      </c>
      <c r="X278" s="290">
        <f>IF(B278="","",IF(W278=1,"NR + industry + position",IF(W278=2,"NR + ISO + position",IF(W278=3,"NR + industry",IF(W278=4,"NR + ISO",IF(W278=5,"NR + position",IF(W278=6,"NR only","book baseline"))))))&amp;"  ["&amp;IF(T278=1,"seasoned","unseasoned")&amp;IF(U278=1,", defaulted","")&amp;IF(V278=1,", open","")&amp;"]")</f>
        <v/>
      </c>
    </row>
    <row r="279">
      <c r="A279" s="290" t="n">
        <v>275</v>
      </c>
      <c r="B279" s="291">
        <f>IFERROR(INDEX('Historical Data'!$A$2:$A$1068,MATCH($A279,'Historical Data'!$BE$2:$BE$1068,0)),"")</f>
        <v/>
      </c>
      <c r="C279" s="291">
        <f>IFERROR(INDEX('Historical Data'!$B$2:$B$1068,MATCH($A279,'Historical Data'!$BE$2:$BE$1068,0)),"")</f>
        <v/>
      </c>
      <c r="D279" s="291">
        <f>IFERROR(INDEX('Historical Data'!$D$2:$D$1068,MATCH($A279,'Historical Data'!$BE$2:$BE$1068,0)),"")</f>
        <v/>
      </c>
      <c r="E279" s="292">
        <f>IFERROR(INDEX('Historical Data'!$E$2:$E$1068,MATCH($A279,'Historical Data'!$BE$2:$BE$1068,0)),"")</f>
        <v/>
      </c>
      <c r="F279" s="291">
        <f>IFERROR(INDEX('Historical Data'!$G$2:$G$1068,MATCH($A279,'Historical Data'!$BE$2:$BE$1068,0)),"")</f>
        <v/>
      </c>
      <c r="G279" s="291">
        <f>IFERROR(INDEX('Historical Data'!$Y$2:$Y$1068,MATCH($A279,'Historical Data'!$BE$2:$BE$1068,0)),"")</f>
        <v/>
      </c>
      <c r="H279" s="291">
        <f>IFERROR(INDEX('Historical Data'!$K$2:$K$1068,MATCH($A279,'Historical Data'!$BE$2:$BE$1068,0)),"")</f>
        <v/>
      </c>
      <c r="I279" s="291">
        <f>IFERROR(INDEX('Historical Data'!$J$2:$J$1068,MATCH($A279,'Historical Data'!$BE$2:$BE$1068,0)),"")</f>
        <v/>
      </c>
      <c r="J279" s="291">
        <f>IFERROR(INDEX('Historical Data'!$L$2:$L$1068,MATCH($A279,'Historical Data'!$BE$2:$BE$1068,0)),"")</f>
        <v/>
      </c>
      <c r="K279" s="293">
        <f>IFERROR(INDEX('Historical Data'!$M$2:$M$1068,MATCH($A279,'Historical Data'!$BE$2:$BE$1068,0)),"")</f>
        <v/>
      </c>
      <c r="L279" s="294">
        <f>IFERROR(INDEX('Historical Data'!$N$2:$N$1068,MATCH($A279,'Historical Data'!$BE$2:$BE$1068,0)),"")</f>
        <v/>
      </c>
      <c r="M279" s="294">
        <f>IFERROR(INDEX('Historical Data'!$Q$2:$Q$1068,MATCH($A279,'Historical Data'!$BE$2:$BE$1068,0)),"")</f>
        <v/>
      </c>
      <c r="N279" s="295">
        <f>IFERROR(INDEX('Historical Data'!$S$2:$S$1068,MATCH($A279,'Historical Data'!$BE$2:$BE$1068,0)),"")</f>
        <v/>
      </c>
      <c r="O279" s="294">
        <f>IFERROR(INDEX('Historical Data'!$AJ$2:$AJ$1068,MATCH($A279,'Historical Data'!$BE$2:$BE$1068,0)),"")</f>
        <v/>
      </c>
      <c r="P279" s="294">
        <f>IFERROR(INDEX('Historical Data'!$AK$2:$AK$1068,MATCH($A279,'Historical Data'!$BE$2:$BE$1068,0)),"")</f>
        <v/>
      </c>
      <c r="Q279" s="291">
        <f>IFERROR(INDEX('Historical Data'!$AA$2:$AA$1068,MATCH($A279,'Historical Data'!$BE$2:$BE$1068,0)),"")</f>
        <v/>
      </c>
      <c r="R279" s="291">
        <f>IFERROR(INDEX('Historical Data'!$AB$2:$AB$1068,MATCH($A279,'Historical Data'!$BE$2:$BE$1068,0)),"")</f>
        <v/>
      </c>
      <c r="S279" s="291">
        <f>IFERROR(INDEX('Historical Data'!$AN$2:$AN$1068,MATCH($A279,'Historical Data'!$BE$2:$BE$1068,0)),"")</f>
        <v/>
      </c>
      <c r="T279" s="291">
        <f>IFERROR(INDEX('Historical Data'!$AC$2:$AC$1068,MATCH($A279,'Historical Data'!$BE$2:$BE$1068,0)),"")</f>
        <v/>
      </c>
      <c r="U279" s="291">
        <f>IFERROR(INDEX('Historical Data'!$AE$2:$AE$1068,MATCH($A279,'Historical Data'!$BE$2:$BE$1068,0)),"")</f>
        <v/>
      </c>
      <c r="V279" s="291">
        <f>IFERROR(INDEX('Historical Data'!$AH$2:$AH$1068,MATCH($A279,'Historical Data'!$BE$2:$BE$1068,0)),"")</f>
        <v/>
      </c>
      <c r="W279" s="291">
        <f>IFERROR(INDEX('Historical Data'!$BC$2:$BC$1068,MATCH($A279,'Historical Data'!$BE$2:$BE$1068,0)),"")</f>
        <v/>
      </c>
      <c r="X279" s="290">
        <f>IF(B279="","",IF(W279=1,"NR + industry + position",IF(W279=2,"NR + ISO + position",IF(W279=3,"NR + industry",IF(W279=4,"NR + ISO",IF(W279=5,"NR + position",IF(W279=6,"NR only","book baseline"))))))&amp;"  ["&amp;IF(T279=1,"seasoned","unseasoned")&amp;IF(U279=1,", defaulted","")&amp;IF(V279=1,", open","")&amp;"]")</f>
        <v/>
      </c>
    </row>
    <row r="280">
      <c r="A280" s="290" t="n">
        <v>276</v>
      </c>
      <c r="B280" s="291">
        <f>IFERROR(INDEX('Historical Data'!$A$2:$A$1068,MATCH($A280,'Historical Data'!$BE$2:$BE$1068,0)),"")</f>
        <v/>
      </c>
      <c r="C280" s="291">
        <f>IFERROR(INDEX('Historical Data'!$B$2:$B$1068,MATCH($A280,'Historical Data'!$BE$2:$BE$1068,0)),"")</f>
        <v/>
      </c>
      <c r="D280" s="291">
        <f>IFERROR(INDEX('Historical Data'!$D$2:$D$1068,MATCH($A280,'Historical Data'!$BE$2:$BE$1068,0)),"")</f>
        <v/>
      </c>
      <c r="E280" s="292">
        <f>IFERROR(INDEX('Historical Data'!$E$2:$E$1068,MATCH($A280,'Historical Data'!$BE$2:$BE$1068,0)),"")</f>
        <v/>
      </c>
      <c r="F280" s="291">
        <f>IFERROR(INDEX('Historical Data'!$G$2:$G$1068,MATCH($A280,'Historical Data'!$BE$2:$BE$1068,0)),"")</f>
        <v/>
      </c>
      <c r="G280" s="291">
        <f>IFERROR(INDEX('Historical Data'!$Y$2:$Y$1068,MATCH($A280,'Historical Data'!$BE$2:$BE$1068,0)),"")</f>
        <v/>
      </c>
      <c r="H280" s="291">
        <f>IFERROR(INDEX('Historical Data'!$K$2:$K$1068,MATCH($A280,'Historical Data'!$BE$2:$BE$1068,0)),"")</f>
        <v/>
      </c>
      <c r="I280" s="291">
        <f>IFERROR(INDEX('Historical Data'!$J$2:$J$1068,MATCH($A280,'Historical Data'!$BE$2:$BE$1068,0)),"")</f>
        <v/>
      </c>
      <c r="J280" s="291">
        <f>IFERROR(INDEX('Historical Data'!$L$2:$L$1068,MATCH($A280,'Historical Data'!$BE$2:$BE$1068,0)),"")</f>
        <v/>
      </c>
      <c r="K280" s="293">
        <f>IFERROR(INDEX('Historical Data'!$M$2:$M$1068,MATCH($A280,'Historical Data'!$BE$2:$BE$1068,0)),"")</f>
        <v/>
      </c>
      <c r="L280" s="294">
        <f>IFERROR(INDEX('Historical Data'!$N$2:$N$1068,MATCH($A280,'Historical Data'!$BE$2:$BE$1068,0)),"")</f>
        <v/>
      </c>
      <c r="M280" s="294">
        <f>IFERROR(INDEX('Historical Data'!$Q$2:$Q$1068,MATCH($A280,'Historical Data'!$BE$2:$BE$1068,0)),"")</f>
        <v/>
      </c>
      <c r="N280" s="295">
        <f>IFERROR(INDEX('Historical Data'!$S$2:$S$1068,MATCH($A280,'Historical Data'!$BE$2:$BE$1068,0)),"")</f>
        <v/>
      </c>
      <c r="O280" s="294">
        <f>IFERROR(INDEX('Historical Data'!$AJ$2:$AJ$1068,MATCH($A280,'Historical Data'!$BE$2:$BE$1068,0)),"")</f>
        <v/>
      </c>
      <c r="P280" s="294">
        <f>IFERROR(INDEX('Historical Data'!$AK$2:$AK$1068,MATCH($A280,'Historical Data'!$BE$2:$BE$1068,0)),"")</f>
        <v/>
      </c>
      <c r="Q280" s="291">
        <f>IFERROR(INDEX('Historical Data'!$AA$2:$AA$1068,MATCH($A280,'Historical Data'!$BE$2:$BE$1068,0)),"")</f>
        <v/>
      </c>
      <c r="R280" s="291">
        <f>IFERROR(INDEX('Historical Data'!$AB$2:$AB$1068,MATCH($A280,'Historical Data'!$BE$2:$BE$1068,0)),"")</f>
        <v/>
      </c>
      <c r="S280" s="291">
        <f>IFERROR(INDEX('Historical Data'!$AN$2:$AN$1068,MATCH($A280,'Historical Data'!$BE$2:$BE$1068,0)),"")</f>
        <v/>
      </c>
      <c r="T280" s="291">
        <f>IFERROR(INDEX('Historical Data'!$AC$2:$AC$1068,MATCH($A280,'Historical Data'!$BE$2:$BE$1068,0)),"")</f>
        <v/>
      </c>
      <c r="U280" s="291">
        <f>IFERROR(INDEX('Historical Data'!$AE$2:$AE$1068,MATCH($A280,'Historical Data'!$BE$2:$BE$1068,0)),"")</f>
        <v/>
      </c>
      <c r="V280" s="291">
        <f>IFERROR(INDEX('Historical Data'!$AH$2:$AH$1068,MATCH($A280,'Historical Data'!$BE$2:$BE$1068,0)),"")</f>
        <v/>
      </c>
      <c r="W280" s="291">
        <f>IFERROR(INDEX('Historical Data'!$BC$2:$BC$1068,MATCH($A280,'Historical Data'!$BE$2:$BE$1068,0)),"")</f>
        <v/>
      </c>
      <c r="X280" s="290">
        <f>IF(B280="","",IF(W280=1,"NR + industry + position",IF(W280=2,"NR + ISO + position",IF(W280=3,"NR + industry",IF(W280=4,"NR + ISO",IF(W280=5,"NR + position",IF(W280=6,"NR only","book baseline"))))))&amp;"  ["&amp;IF(T280=1,"seasoned","unseasoned")&amp;IF(U280=1,", defaulted","")&amp;IF(V280=1,", open","")&amp;"]")</f>
        <v/>
      </c>
    </row>
    <row r="281">
      <c r="A281" s="290" t="n">
        <v>277</v>
      </c>
      <c r="B281" s="291">
        <f>IFERROR(INDEX('Historical Data'!$A$2:$A$1068,MATCH($A281,'Historical Data'!$BE$2:$BE$1068,0)),"")</f>
        <v/>
      </c>
      <c r="C281" s="291">
        <f>IFERROR(INDEX('Historical Data'!$B$2:$B$1068,MATCH($A281,'Historical Data'!$BE$2:$BE$1068,0)),"")</f>
        <v/>
      </c>
      <c r="D281" s="291">
        <f>IFERROR(INDEX('Historical Data'!$D$2:$D$1068,MATCH($A281,'Historical Data'!$BE$2:$BE$1068,0)),"")</f>
        <v/>
      </c>
      <c r="E281" s="292">
        <f>IFERROR(INDEX('Historical Data'!$E$2:$E$1068,MATCH($A281,'Historical Data'!$BE$2:$BE$1068,0)),"")</f>
        <v/>
      </c>
      <c r="F281" s="291">
        <f>IFERROR(INDEX('Historical Data'!$G$2:$G$1068,MATCH($A281,'Historical Data'!$BE$2:$BE$1068,0)),"")</f>
        <v/>
      </c>
      <c r="G281" s="291">
        <f>IFERROR(INDEX('Historical Data'!$Y$2:$Y$1068,MATCH($A281,'Historical Data'!$BE$2:$BE$1068,0)),"")</f>
        <v/>
      </c>
      <c r="H281" s="291">
        <f>IFERROR(INDEX('Historical Data'!$K$2:$K$1068,MATCH($A281,'Historical Data'!$BE$2:$BE$1068,0)),"")</f>
        <v/>
      </c>
      <c r="I281" s="291">
        <f>IFERROR(INDEX('Historical Data'!$J$2:$J$1068,MATCH($A281,'Historical Data'!$BE$2:$BE$1068,0)),"")</f>
        <v/>
      </c>
      <c r="J281" s="291">
        <f>IFERROR(INDEX('Historical Data'!$L$2:$L$1068,MATCH($A281,'Historical Data'!$BE$2:$BE$1068,0)),"")</f>
        <v/>
      </c>
      <c r="K281" s="293">
        <f>IFERROR(INDEX('Historical Data'!$M$2:$M$1068,MATCH($A281,'Historical Data'!$BE$2:$BE$1068,0)),"")</f>
        <v/>
      </c>
      <c r="L281" s="294">
        <f>IFERROR(INDEX('Historical Data'!$N$2:$N$1068,MATCH($A281,'Historical Data'!$BE$2:$BE$1068,0)),"")</f>
        <v/>
      </c>
      <c r="M281" s="294">
        <f>IFERROR(INDEX('Historical Data'!$Q$2:$Q$1068,MATCH($A281,'Historical Data'!$BE$2:$BE$1068,0)),"")</f>
        <v/>
      </c>
      <c r="N281" s="295">
        <f>IFERROR(INDEX('Historical Data'!$S$2:$S$1068,MATCH($A281,'Historical Data'!$BE$2:$BE$1068,0)),"")</f>
        <v/>
      </c>
      <c r="O281" s="294">
        <f>IFERROR(INDEX('Historical Data'!$AJ$2:$AJ$1068,MATCH($A281,'Historical Data'!$BE$2:$BE$1068,0)),"")</f>
        <v/>
      </c>
      <c r="P281" s="294">
        <f>IFERROR(INDEX('Historical Data'!$AK$2:$AK$1068,MATCH($A281,'Historical Data'!$BE$2:$BE$1068,0)),"")</f>
        <v/>
      </c>
      <c r="Q281" s="291">
        <f>IFERROR(INDEX('Historical Data'!$AA$2:$AA$1068,MATCH($A281,'Historical Data'!$BE$2:$BE$1068,0)),"")</f>
        <v/>
      </c>
      <c r="R281" s="291">
        <f>IFERROR(INDEX('Historical Data'!$AB$2:$AB$1068,MATCH($A281,'Historical Data'!$BE$2:$BE$1068,0)),"")</f>
        <v/>
      </c>
      <c r="S281" s="291">
        <f>IFERROR(INDEX('Historical Data'!$AN$2:$AN$1068,MATCH($A281,'Historical Data'!$BE$2:$BE$1068,0)),"")</f>
        <v/>
      </c>
      <c r="T281" s="291">
        <f>IFERROR(INDEX('Historical Data'!$AC$2:$AC$1068,MATCH($A281,'Historical Data'!$BE$2:$BE$1068,0)),"")</f>
        <v/>
      </c>
      <c r="U281" s="291">
        <f>IFERROR(INDEX('Historical Data'!$AE$2:$AE$1068,MATCH($A281,'Historical Data'!$BE$2:$BE$1068,0)),"")</f>
        <v/>
      </c>
      <c r="V281" s="291">
        <f>IFERROR(INDEX('Historical Data'!$AH$2:$AH$1068,MATCH($A281,'Historical Data'!$BE$2:$BE$1068,0)),"")</f>
        <v/>
      </c>
      <c r="W281" s="291">
        <f>IFERROR(INDEX('Historical Data'!$BC$2:$BC$1068,MATCH($A281,'Historical Data'!$BE$2:$BE$1068,0)),"")</f>
        <v/>
      </c>
      <c r="X281" s="290">
        <f>IF(B281="","",IF(W281=1,"NR + industry + position",IF(W281=2,"NR + ISO + position",IF(W281=3,"NR + industry",IF(W281=4,"NR + ISO",IF(W281=5,"NR + position",IF(W281=6,"NR only","book baseline"))))))&amp;"  ["&amp;IF(T281=1,"seasoned","unseasoned")&amp;IF(U281=1,", defaulted","")&amp;IF(V281=1,", open","")&amp;"]")</f>
        <v/>
      </c>
    </row>
    <row r="282">
      <c r="A282" s="290" t="n">
        <v>278</v>
      </c>
      <c r="B282" s="291">
        <f>IFERROR(INDEX('Historical Data'!$A$2:$A$1068,MATCH($A282,'Historical Data'!$BE$2:$BE$1068,0)),"")</f>
        <v/>
      </c>
      <c r="C282" s="291">
        <f>IFERROR(INDEX('Historical Data'!$B$2:$B$1068,MATCH($A282,'Historical Data'!$BE$2:$BE$1068,0)),"")</f>
        <v/>
      </c>
      <c r="D282" s="291">
        <f>IFERROR(INDEX('Historical Data'!$D$2:$D$1068,MATCH($A282,'Historical Data'!$BE$2:$BE$1068,0)),"")</f>
        <v/>
      </c>
      <c r="E282" s="292">
        <f>IFERROR(INDEX('Historical Data'!$E$2:$E$1068,MATCH($A282,'Historical Data'!$BE$2:$BE$1068,0)),"")</f>
        <v/>
      </c>
      <c r="F282" s="291">
        <f>IFERROR(INDEX('Historical Data'!$G$2:$G$1068,MATCH($A282,'Historical Data'!$BE$2:$BE$1068,0)),"")</f>
        <v/>
      </c>
      <c r="G282" s="291">
        <f>IFERROR(INDEX('Historical Data'!$Y$2:$Y$1068,MATCH($A282,'Historical Data'!$BE$2:$BE$1068,0)),"")</f>
        <v/>
      </c>
      <c r="H282" s="291">
        <f>IFERROR(INDEX('Historical Data'!$K$2:$K$1068,MATCH($A282,'Historical Data'!$BE$2:$BE$1068,0)),"")</f>
        <v/>
      </c>
      <c r="I282" s="291">
        <f>IFERROR(INDEX('Historical Data'!$J$2:$J$1068,MATCH($A282,'Historical Data'!$BE$2:$BE$1068,0)),"")</f>
        <v/>
      </c>
      <c r="J282" s="291">
        <f>IFERROR(INDEX('Historical Data'!$L$2:$L$1068,MATCH($A282,'Historical Data'!$BE$2:$BE$1068,0)),"")</f>
        <v/>
      </c>
      <c r="K282" s="293">
        <f>IFERROR(INDEX('Historical Data'!$M$2:$M$1068,MATCH($A282,'Historical Data'!$BE$2:$BE$1068,0)),"")</f>
        <v/>
      </c>
      <c r="L282" s="294">
        <f>IFERROR(INDEX('Historical Data'!$N$2:$N$1068,MATCH($A282,'Historical Data'!$BE$2:$BE$1068,0)),"")</f>
        <v/>
      </c>
      <c r="M282" s="294">
        <f>IFERROR(INDEX('Historical Data'!$Q$2:$Q$1068,MATCH($A282,'Historical Data'!$BE$2:$BE$1068,0)),"")</f>
        <v/>
      </c>
      <c r="N282" s="295">
        <f>IFERROR(INDEX('Historical Data'!$S$2:$S$1068,MATCH($A282,'Historical Data'!$BE$2:$BE$1068,0)),"")</f>
        <v/>
      </c>
      <c r="O282" s="294">
        <f>IFERROR(INDEX('Historical Data'!$AJ$2:$AJ$1068,MATCH($A282,'Historical Data'!$BE$2:$BE$1068,0)),"")</f>
        <v/>
      </c>
      <c r="P282" s="294">
        <f>IFERROR(INDEX('Historical Data'!$AK$2:$AK$1068,MATCH($A282,'Historical Data'!$BE$2:$BE$1068,0)),"")</f>
        <v/>
      </c>
      <c r="Q282" s="291">
        <f>IFERROR(INDEX('Historical Data'!$AA$2:$AA$1068,MATCH($A282,'Historical Data'!$BE$2:$BE$1068,0)),"")</f>
        <v/>
      </c>
      <c r="R282" s="291">
        <f>IFERROR(INDEX('Historical Data'!$AB$2:$AB$1068,MATCH($A282,'Historical Data'!$BE$2:$BE$1068,0)),"")</f>
        <v/>
      </c>
      <c r="S282" s="291">
        <f>IFERROR(INDEX('Historical Data'!$AN$2:$AN$1068,MATCH($A282,'Historical Data'!$BE$2:$BE$1068,0)),"")</f>
        <v/>
      </c>
      <c r="T282" s="291">
        <f>IFERROR(INDEX('Historical Data'!$AC$2:$AC$1068,MATCH($A282,'Historical Data'!$BE$2:$BE$1068,0)),"")</f>
        <v/>
      </c>
      <c r="U282" s="291">
        <f>IFERROR(INDEX('Historical Data'!$AE$2:$AE$1068,MATCH($A282,'Historical Data'!$BE$2:$BE$1068,0)),"")</f>
        <v/>
      </c>
      <c r="V282" s="291">
        <f>IFERROR(INDEX('Historical Data'!$AH$2:$AH$1068,MATCH($A282,'Historical Data'!$BE$2:$BE$1068,0)),"")</f>
        <v/>
      </c>
      <c r="W282" s="291">
        <f>IFERROR(INDEX('Historical Data'!$BC$2:$BC$1068,MATCH($A282,'Historical Data'!$BE$2:$BE$1068,0)),"")</f>
        <v/>
      </c>
      <c r="X282" s="290">
        <f>IF(B282="","",IF(W282=1,"NR + industry + position",IF(W282=2,"NR + ISO + position",IF(W282=3,"NR + industry",IF(W282=4,"NR + ISO",IF(W282=5,"NR + position",IF(W282=6,"NR only","book baseline"))))))&amp;"  ["&amp;IF(T282=1,"seasoned","unseasoned")&amp;IF(U282=1,", defaulted","")&amp;IF(V282=1,", open","")&amp;"]")</f>
        <v/>
      </c>
    </row>
    <row r="283">
      <c r="A283" s="290" t="n">
        <v>279</v>
      </c>
      <c r="B283" s="291">
        <f>IFERROR(INDEX('Historical Data'!$A$2:$A$1068,MATCH($A283,'Historical Data'!$BE$2:$BE$1068,0)),"")</f>
        <v/>
      </c>
      <c r="C283" s="291">
        <f>IFERROR(INDEX('Historical Data'!$B$2:$B$1068,MATCH($A283,'Historical Data'!$BE$2:$BE$1068,0)),"")</f>
        <v/>
      </c>
      <c r="D283" s="291">
        <f>IFERROR(INDEX('Historical Data'!$D$2:$D$1068,MATCH($A283,'Historical Data'!$BE$2:$BE$1068,0)),"")</f>
        <v/>
      </c>
      <c r="E283" s="292">
        <f>IFERROR(INDEX('Historical Data'!$E$2:$E$1068,MATCH($A283,'Historical Data'!$BE$2:$BE$1068,0)),"")</f>
        <v/>
      </c>
      <c r="F283" s="291">
        <f>IFERROR(INDEX('Historical Data'!$G$2:$G$1068,MATCH($A283,'Historical Data'!$BE$2:$BE$1068,0)),"")</f>
        <v/>
      </c>
      <c r="G283" s="291">
        <f>IFERROR(INDEX('Historical Data'!$Y$2:$Y$1068,MATCH($A283,'Historical Data'!$BE$2:$BE$1068,0)),"")</f>
        <v/>
      </c>
      <c r="H283" s="291">
        <f>IFERROR(INDEX('Historical Data'!$K$2:$K$1068,MATCH($A283,'Historical Data'!$BE$2:$BE$1068,0)),"")</f>
        <v/>
      </c>
      <c r="I283" s="291">
        <f>IFERROR(INDEX('Historical Data'!$J$2:$J$1068,MATCH($A283,'Historical Data'!$BE$2:$BE$1068,0)),"")</f>
        <v/>
      </c>
      <c r="J283" s="291">
        <f>IFERROR(INDEX('Historical Data'!$L$2:$L$1068,MATCH($A283,'Historical Data'!$BE$2:$BE$1068,0)),"")</f>
        <v/>
      </c>
      <c r="K283" s="293">
        <f>IFERROR(INDEX('Historical Data'!$M$2:$M$1068,MATCH($A283,'Historical Data'!$BE$2:$BE$1068,0)),"")</f>
        <v/>
      </c>
      <c r="L283" s="294">
        <f>IFERROR(INDEX('Historical Data'!$N$2:$N$1068,MATCH($A283,'Historical Data'!$BE$2:$BE$1068,0)),"")</f>
        <v/>
      </c>
      <c r="M283" s="294">
        <f>IFERROR(INDEX('Historical Data'!$Q$2:$Q$1068,MATCH($A283,'Historical Data'!$BE$2:$BE$1068,0)),"")</f>
        <v/>
      </c>
      <c r="N283" s="295">
        <f>IFERROR(INDEX('Historical Data'!$S$2:$S$1068,MATCH($A283,'Historical Data'!$BE$2:$BE$1068,0)),"")</f>
        <v/>
      </c>
      <c r="O283" s="294">
        <f>IFERROR(INDEX('Historical Data'!$AJ$2:$AJ$1068,MATCH($A283,'Historical Data'!$BE$2:$BE$1068,0)),"")</f>
        <v/>
      </c>
      <c r="P283" s="294">
        <f>IFERROR(INDEX('Historical Data'!$AK$2:$AK$1068,MATCH($A283,'Historical Data'!$BE$2:$BE$1068,0)),"")</f>
        <v/>
      </c>
      <c r="Q283" s="291">
        <f>IFERROR(INDEX('Historical Data'!$AA$2:$AA$1068,MATCH($A283,'Historical Data'!$BE$2:$BE$1068,0)),"")</f>
        <v/>
      </c>
      <c r="R283" s="291">
        <f>IFERROR(INDEX('Historical Data'!$AB$2:$AB$1068,MATCH($A283,'Historical Data'!$BE$2:$BE$1068,0)),"")</f>
        <v/>
      </c>
      <c r="S283" s="291">
        <f>IFERROR(INDEX('Historical Data'!$AN$2:$AN$1068,MATCH($A283,'Historical Data'!$BE$2:$BE$1068,0)),"")</f>
        <v/>
      </c>
      <c r="T283" s="291">
        <f>IFERROR(INDEX('Historical Data'!$AC$2:$AC$1068,MATCH($A283,'Historical Data'!$BE$2:$BE$1068,0)),"")</f>
        <v/>
      </c>
      <c r="U283" s="291">
        <f>IFERROR(INDEX('Historical Data'!$AE$2:$AE$1068,MATCH($A283,'Historical Data'!$BE$2:$BE$1068,0)),"")</f>
        <v/>
      </c>
      <c r="V283" s="291">
        <f>IFERROR(INDEX('Historical Data'!$AH$2:$AH$1068,MATCH($A283,'Historical Data'!$BE$2:$BE$1068,0)),"")</f>
        <v/>
      </c>
      <c r="W283" s="291">
        <f>IFERROR(INDEX('Historical Data'!$BC$2:$BC$1068,MATCH($A283,'Historical Data'!$BE$2:$BE$1068,0)),"")</f>
        <v/>
      </c>
      <c r="X283" s="290">
        <f>IF(B283="","",IF(W283=1,"NR + industry + position",IF(W283=2,"NR + ISO + position",IF(W283=3,"NR + industry",IF(W283=4,"NR + ISO",IF(W283=5,"NR + position",IF(W283=6,"NR only","book baseline"))))))&amp;"  ["&amp;IF(T283=1,"seasoned","unseasoned")&amp;IF(U283=1,", defaulted","")&amp;IF(V283=1,", open","")&amp;"]")</f>
        <v/>
      </c>
    </row>
    <row r="284">
      <c r="A284" s="290" t="n">
        <v>280</v>
      </c>
      <c r="B284" s="291">
        <f>IFERROR(INDEX('Historical Data'!$A$2:$A$1068,MATCH($A284,'Historical Data'!$BE$2:$BE$1068,0)),"")</f>
        <v/>
      </c>
      <c r="C284" s="291">
        <f>IFERROR(INDEX('Historical Data'!$B$2:$B$1068,MATCH($A284,'Historical Data'!$BE$2:$BE$1068,0)),"")</f>
        <v/>
      </c>
      <c r="D284" s="291">
        <f>IFERROR(INDEX('Historical Data'!$D$2:$D$1068,MATCH($A284,'Historical Data'!$BE$2:$BE$1068,0)),"")</f>
        <v/>
      </c>
      <c r="E284" s="292">
        <f>IFERROR(INDEX('Historical Data'!$E$2:$E$1068,MATCH($A284,'Historical Data'!$BE$2:$BE$1068,0)),"")</f>
        <v/>
      </c>
      <c r="F284" s="291">
        <f>IFERROR(INDEX('Historical Data'!$G$2:$G$1068,MATCH($A284,'Historical Data'!$BE$2:$BE$1068,0)),"")</f>
        <v/>
      </c>
      <c r="G284" s="291">
        <f>IFERROR(INDEX('Historical Data'!$Y$2:$Y$1068,MATCH($A284,'Historical Data'!$BE$2:$BE$1068,0)),"")</f>
        <v/>
      </c>
      <c r="H284" s="291">
        <f>IFERROR(INDEX('Historical Data'!$K$2:$K$1068,MATCH($A284,'Historical Data'!$BE$2:$BE$1068,0)),"")</f>
        <v/>
      </c>
      <c r="I284" s="291">
        <f>IFERROR(INDEX('Historical Data'!$J$2:$J$1068,MATCH($A284,'Historical Data'!$BE$2:$BE$1068,0)),"")</f>
        <v/>
      </c>
      <c r="J284" s="291">
        <f>IFERROR(INDEX('Historical Data'!$L$2:$L$1068,MATCH($A284,'Historical Data'!$BE$2:$BE$1068,0)),"")</f>
        <v/>
      </c>
      <c r="K284" s="293">
        <f>IFERROR(INDEX('Historical Data'!$M$2:$M$1068,MATCH($A284,'Historical Data'!$BE$2:$BE$1068,0)),"")</f>
        <v/>
      </c>
      <c r="L284" s="294">
        <f>IFERROR(INDEX('Historical Data'!$N$2:$N$1068,MATCH($A284,'Historical Data'!$BE$2:$BE$1068,0)),"")</f>
        <v/>
      </c>
      <c r="M284" s="294">
        <f>IFERROR(INDEX('Historical Data'!$Q$2:$Q$1068,MATCH($A284,'Historical Data'!$BE$2:$BE$1068,0)),"")</f>
        <v/>
      </c>
      <c r="N284" s="295">
        <f>IFERROR(INDEX('Historical Data'!$S$2:$S$1068,MATCH($A284,'Historical Data'!$BE$2:$BE$1068,0)),"")</f>
        <v/>
      </c>
      <c r="O284" s="294">
        <f>IFERROR(INDEX('Historical Data'!$AJ$2:$AJ$1068,MATCH($A284,'Historical Data'!$BE$2:$BE$1068,0)),"")</f>
        <v/>
      </c>
      <c r="P284" s="294">
        <f>IFERROR(INDEX('Historical Data'!$AK$2:$AK$1068,MATCH($A284,'Historical Data'!$BE$2:$BE$1068,0)),"")</f>
        <v/>
      </c>
      <c r="Q284" s="291">
        <f>IFERROR(INDEX('Historical Data'!$AA$2:$AA$1068,MATCH($A284,'Historical Data'!$BE$2:$BE$1068,0)),"")</f>
        <v/>
      </c>
      <c r="R284" s="291">
        <f>IFERROR(INDEX('Historical Data'!$AB$2:$AB$1068,MATCH($A284,'Historical Data'!$BE$2:$BE$1068,0)),"")</f>
        <v/>
      </c>
      <c r="S284" s="291">
        <f>IFERROR(INDEX('Historical Data'!$AN$2:$AN$1068,MATCH($A284,'Historical Data'!$BE$2:$BE$1068,0)),"")</f>
        <v/>
      </c>
      <c r="T284" s="291">
        <f>IFERROR(INDEX('Historical Data'!$AC$2:$AC$1068,MATCH($A284,'Historical Data'!$BE$2:$BE$1068,0)),"")</f>
        <v/>
      </c>
      <c r="U284" s="291">
        <f>IFERROR(INDEX('Historical Data'!$AE$2:$AE$1068,MATCH($A284,'Historical Data'!$BE$2:$BE$1068,0)),"")</f>
        <v/>
      </c>
      <c r="V284" s="291">
        <f>IFERROR(INDEX('Historical Data'!$AH$2:$AH$1068,MATCH($A284,'Historical Data'!$BE$2:$BE$1068,0)),"")</f>
        <v/>
      </c>
      <c r="W284" s="291">
        <f>IFERROR(INDEX('Historical Data'!$BC$2:$BC$1068,MATCH($A284,'Historical Data'!$BE$2:$BE$1068,0)),"")</f>
        <v/>
      </c>
      <c r="X284" s="290">
        <f>IF(B284="","",IF(W284=1,"NR + industry + position",IF(W284=2,"NR + ISO + position",IF(W284=3,"NR + industry",IF(W284=4,"NR + ISO",IF(W284=5,"NR + position",IF(W284=6,"NR only","book baseline"))))))&amp;"  ["&amp;IF(T284=1,"seasoned","unseasoned")&amp;IF(U284=1,", defaulted","")&amp;IF(V284=1,", open","")&amp;"]")</f>
        <v/>
      </c>
    </row>
    <row r="285">
      <c r="A285" s="290" t="n">
        <v>281</v>
      </c>
      <c r="B285" s="291">
        <f>IFERROR(INDEX('Historical Data'!$A$2:$A$1068,MATCH($A285,'Historical Data'!$BE$2:$BE$1068,0)),"")</f>
        <v/>
      </c>
      <c r="C285" s="291">
        <f>IFERROR(INDEX('Historical Data'!$B$2:$B$1068,MATCH($A285,'Historical Data'!$BE$2:$BE$1068,0)),"")</f>
        <v/>
      </c>
      <c r="D285" s="291">
        <f>IFERROR(INDEX('Historical Data'!$D$2:$D$1068,MATCH($A285,'Historical Data'!$BE$2:$BE$1068,0)),"")</f>
        <v/>
      </c>
      <c r="E285" s="292">
        <f>IFERROR(INDEX('Historical Data'!$E$2:$E$1068,MATCH($A285,'Historical Data'!$BE$2:$BE$1068,0)),"")</f>
        <v/>
      </c>
      <c r="F285" s="291">
        <f>IFERROR(INDEX('Historical Data'!$G$2:$G$1068,MATCH($A285,'Historical Data'!$BE$2:$BE$1068,0)),"")</f>
        <v/>
      </c>
      <c r="G285" s="291">
        <f>IFERROR(INDEX('Historical Data'!$Y$2:$Y$1068,MATCH($A285,'Historical Data'!$BE$2:$BE$1068,0)),"")</f>
        <v/>
      </c>
      <c r="H285" s="291">
        <f>IFERROR(INDEX('Historical Data'!$K$2:$K$1068,MATCH($A285,'Historical Data'!$BE$2:$BE$1068,0)),"")</f>
        <v/>
      </c>
      <c r="I285" s="291">
        <f>IFERROR(INDEX('Historical Data'!$J$2:$J$1068,MATCH($A285,'Historical Data'!$BE$2:$BE$1068,0)),"")</f>
        <v/>
      </c>
      <c r="J285" s="291">
        <f>IFERROR(INDEX('Historical Data'!$L$2:$L$1068,MATCH($A285,'Historical Data'!$BE$2:$BE$1068,0)),"")</f>
        <v/>
      </c>
      <c r="K285" s="293">
        <f>IFERROR(INDEX('Historical Data'!$M$2:$M$1068,MATCH($A285,'Historical Data'!$BE$2:$BE$1068,0)),"")</f>
        <v/>
      </c>
      <c r="L285" s="294">
        <f>IFERROR(INDEX('Historical Data'!$N$2:$N$1068,MATCH($A285,'Historical Data'!$BE$2:$BE$1068,0)),"")</f>
        <v/>
      </c>
      <c r="M285" s="294">
        <f>IFERROR(INDEX('Historical Data'!$Q$2:$Q$1068,MATCH($A285,'Historical Data'!$BE$2:$BE$1068,0)),"")</f>
        <v/>
      </c>
      <c r="N285" s="295">
        <f>IFERROR(INDEX('Historical Data'!$S$2:$S$1068,MATCH($A285,'Historical Data'!$BE$2:$BE$1068,0)),"")</f>
        <v/>
      </c>
      <c r="O285" s="294">
        <f>IFERROR(INDEX('Historical Data'!$AJ$2:$AJ$1068,MATCH($A285,'Historical Data'!$BE$2:$BE$1068,0)),"")</f>
        <v/>
      </c>
      <c r="P285" s="294">
        <f>IFERROR(INDEX('Historical Data'!$AK$2:$AK$1068,MATCH($A285,'Historical Data'!$BE$2:$BE$1068,0)),"")</f>
        <v/>
      </c>
      <c r="Q285" s="291">
        <f>IFERROR(INDEX('Historical Data'!$AA$2:$AA$1068,MATCH($A285,'Historical Data'!$BE$2:$BE$1068,0)),"")</f>
        <v/>
      </c>
      <c r="R285" s="291">
        <f>IFERROR(INDEX('Historical Data'!$AB$2:$AB$1068,MATCH($A285,'Historical Data'!$BE$2:$BE$1068,0)),"")</f>
        <v/>
      </c>
      <c r="S285" s="291">
        <f>IFERROR(INDEX('Historical Data'!$AN$2:$AN$1068,MATCH($A285,'Historical Data'!$BE$2:$BE$1068,0)),"")</f>
        <v/>
      </c>
      <c r="T285" s="291">
        <f>IFERROR(INDEX('Historical Data'!$AC$2:$AC$1068,MATCH($A285,'Historical Data'!$BE$2:$BE$1068,0)),"")</f>
        <v/>
      </c>
      <c r="U285" s="291">
        <f>IFERROR(INDEX('Historical Data'!$AE$2:$AE$1068,MATCH($A285,'Historical Data'!$BE$2:$BE$1068,0)),"")</f>
        <v/>
      </c>
      <c r="V285" s="291">
        <f>IFERROR(INDEX('Historical Data'!$AH$2:$AH$1068,MATCH($A285,'Historical Data'!$BE$2:$BE$1068,0)),"")</f>
        <v/>
      </c>
      <c r="W285" s="291">
        <f>IFERROR(INDEX('Historical Data'!$BC$2:$BC$1068,MATCH($A285,'Historical Data'!$BE$2:$BE$1068,0)),"")</f>
        <v/>
      </c>
      <c r="X285" s="290">
        <f>IF(B285="","",IF(W285=1,"NR + industry + position",IF(W285=2,"NR + ISO + position",IF(W285=3,"NR + industry",IF(W285=4,"NR + ISO",IF(W285=5,"NR + position",IF(W285=6,"NR only","book baseline"))))))&amp;"  ["&amp;IF(T285=1,"seasoned","unseasoned")&amp;IF(U285=1,", defaulted","")&amp;IF(V285=1,", open","")&amp;"]")</f>
        <v/>
      </c>
    </row>
    <row r="286">
      <c r="A286" s="290" t="n">
        <v>282</v>
      </c>
      <c r="B286" s="291">
        <f>IFERROR(INDEX('Historical Data'!$A$2:$A$1068,MATCH($A286,'Historical Data'!$BE$2:$BE$1068,0)),"")</f>
        <v/>
      </c>
      <c r="C286" s="291">
        <f>IFERROR(INDEX('Historical Data'!$B$2:$B$1068,MATCH($A286,'Historical Data'!$BE$2:$BE$1068,0)),"")</f>
        <v/>
      </c>
      <c r="D286" s="291">
        <f>IFERROR(INDEX('Historical Data'!$D$2:$D$1068,MATCH($A286,'Historical Data'!$BE$2:$BE$1068,0)),"")</f>
        <v/>
      </c>
      <c r="E286" s="292">
        <f>IFERROR(INDEX('Historical Data'!$E$2:$E$1068,MATCH($A286,'Historical Data'!$BE$2:$BE$1068,0)),"")</f>
        <v/>
      </c>
      <c r="F286" s="291">
        <f>IFERROR(INDEX('Historical Data'!$G$2:$G$1068,MATCH($A286,'Historical Data'!$BE$2:$BE$1068,0)),"")</f>
        <v/>
      </c>
      <c r="G286" s="291">
        <f>IFERROR(INDEX('Historical Data'!$Y$2:$Y$1068,MATCH($A286,'Historical Data'!$BE$2:$BE$1068,0)),"")</f>
        <v/>
      </c>
      <c r="H286" s="291">
        <f>IFERROR(INDEX('Historical Data'!$K$2:$K$1068,MATCH($A286,'Historical Data'!$BE$2:$BE$1068,0)),"")</f>
        <v/>
      </c>
      <c r="I286" s="291">
        <f>IFERROR(INDEX('Historical Data'!$J$2:$J$1068,MATCH($A286,'Historical Data'!$BE$2:$BE$1068,0)),"")</f>
        <v/>
      </c>
      <c r="J286" s="291">
        <f>IFERROR(INDEX('Historical Data'!$L$2:$L$1068,MATCH($A286,'Historical Data'!$BE$2:$BE$1068,0)),"")</f>
        <v/>
      </c>
      <c r="K286" s="293">
        <f>IFERROR(INDEX('Historical Data'!$M$2:$M$1068,MATCH($A286,'Historical Data'!$BE$2:$BE$1068,0)),"")</f>
        <v/>
      </c>
      <c r="L286" s="294">
        <f>IFERROR(INDEX('Historical Data'!$N$2:$N$1068,MATCH($A286,'Historical Data'!$BE$2:$BE$1068,0)),"")</f>
        <v/>
      </c>
      <c r="M286" s="294">
        <f>IFERROR(INDEX('Historical Data'!$Q$2:$Q$1068,MATCH($A286,'Historical Data'!$BE$2:$BE$1068,0)),"")</f>
        <v/>
      </c>
      <c r="N286" s="295">
        <f>IFERROR(INDEX('Historical Data'!$S$2:$S$1068,MATCH($A286,'Historical Data'!$BE$2:$BE$1068,0)),"")</f>
        <v/>
      </c>
      <c r="O286" s="294">
        <f>IFERROR(INDEX('Historical Data'!$AJ$2:$AJ$1068,MATCH($A286,'Historical Data'!$BE$2:$BE$1068,0)),"")</f>
        <v/>
      </c>
      <c r="P286" s="294">
        <f>IFERROR(INDEX('Historical Data'!$AK$2:$AK$1068,MATCH($A286,'Historical Data'!$BE$2:$BE$1068,0)),"")</f>
        <v/>
      </c>
      <c r="Q286" s="291">
        <f>IFERROR(INDEX('Historical Data'!$AA$2:$AA$1068,MATCH($A286,'Historical Data'!$BE$2:$BE$1068,0)),"")</f>
        <v/>
      </c>
      <c r="R286" s="291">
        <f>IFERROR(INDEX('Historical Data'!$AB$2:$AB$1068,MATCH($A286,'Historical Data'!$BE$2:$BE$1068,0)),"")</f>
        <v/>
      </c>
      <c r="S286" s="291">
        <f>IFERROR(INDEX('Historical Data'!$AN$2:$AN$1068,MATCH($A286,'Historical Data'!$BE$2:$BE$1068,0)),"")</f>
        <v/>
      </c>
      <c r="T286" s="291">
        <f>IFERROR(INDEX('Historical Data'!$AC$2:$AC$1068,MATCH($A286,'Historical Data'!$BE$2:$BE$1068,0)),"")</f>
        <v/>
      </c>
      <c r="U286" s="291">
        <f>IFERROR(INDEX('Historical Data'!$AE$2:$AE$1068,MATCH($A286,'Historical Data'!$BE$2:$BE$1068,0)),"")</f>
        <v/>
      </c>
      <c r="V286" s="291">
        <f>IFERROR(INDEX('Historical Data'!$AH$2:$AH$1068,MATCH($A286,'Historical Data'!$BE$2:$BE$1068,0)),"")</f>
        <v/>
      </c>
      <c r="W286" s="291">
        <f>IFERROR(INDEX('Historical Data'!$BC$2:$BC$1068,MATCH($A286,'Historical Data'!$BE$2:$BE$1068,0)),"")</f>
        <v/>
      </c>
      <c r="X286" s="290">
        <f>IF(B286="","",IF(W286=1,"NR + industry + position",IF(W286=2,"NR + ISO + position",IF(W286=3,"NR + industry",IF(W286=4,"NR + ISO",IF(W286=5,"NR + position",IF(W286=6,"NR only","book baseline"))))))&amp;"  ["&amp;IF(T286=1,"seasoned","unseasoned")&amp;IF(U286=1,", defaulted","")&amp;IF(V286=1,", open","")&amp;"]")</f>
        <v/>
      </c>
    </row>
    <row r="287">
      <c r="A287" s="290" t="n">
        <v>283</v>
      </c>
      <c r="B287" s="291">
        <f>IFERROR(INDEX('Historical Data'!$A$2:$A$1068,MATCH($A287,'Historical Data'!$BE$2:$BE$1068,0)),"")</f>
        <v/>
      </c>
      <c r="C287" s="291">
        <f>IFERROR(INDEX('Historical Data'!$B$2:$B$1068,MATCH($A287,'Historical Data'!$BE$2:$BE$1068,0)),"")</f>
        <v/>
      </c>
      <c r="D287" s="291">
        <f>IFERROR(INDEX('Historical Data'!$D$2:$D$1068,MATCH($A287,'Historical Data'!$BE$2:$BE$1068,0)),"")</f>
        <v/>
      </c>
      <c r="E287" s="292">
        <f>IFERROR(INDEX('Historical Data'!$E$2:$E$1068,MATCH($A287,'Historical Data'!$BE$2:$BE$1068,0)),"")</f>
        <v/>
      </c>
      <c r="F287" s="291">
        <f>IFERROR(INDEX('Historical Data'!$G$2:$G$1068,MATCH($A287,'Historical Data'!$BE$2:$BE$1068,0)),"")</f>
        <v/>
      </c>
      <c r="G287" s="291">
        <f>IFERROR(INDEX('Historical Data'!$Y$2:$Y$1068,MATCH($A287,'Historical Data'!$BE$2:$BE$1068,0)),"")</f>
        <v/>
      </c>
      <c r="H287" s="291">
        <f>IFERROR(INDEX('Historical Data'!$K$2:$K$1068,MATCH($A287,'Historical Data'!$BE$2:$BE$1068,0)),"")</f>
        <v/>
      </c>
      <c r="I287" s="291">
        <f>IFERROR(INDEX('Historical Data'!$J$2:$J$1068,MATCH($A287,'Historical Data'!$BE$2:$BE$1068,0)),"")</f>
        <v/>
      </c>
      <c r="J287" s="291">
        <f>IFERROR(INDEX('Historical Data'!$L$2:$L$1068,MATCH($A287,'Historical Data'!$BE$2:$BE$1068,0)),"")</f>
        <v/>
      </c>
      <c r="K287" s="293">
        <f>IFERROR(INDEX('Historical Data'!$M$2:$M$1068,MATCH($A287,'Historical Data'!$BE$2:$BE$1068,0)),"")</f>
        <v/>
      </c>
      <c r="L287" s="294">
        <f>IFERROR(INDEX('Historical Data'!$N$2:$N$1068,MATCH($A287,'Historical Data'!$BE$2:$BE$1068,0)),"")</f>
        <v/>
      </c>
      <c r="M287" s="294">
        <f>IFERROR(INDEX('Historical Data'!$Q$2:$Q$1068,MATCH($A287,'Historical Data'!$BE$2:$BE$1068,0)),"")</f>
        <v/>
      </c>
      <c r="N287" s="295">
        <f>IFERROR(INDEX('Historical Data'!$S$2:$S$1068,MATCH($A287,'Historical Data'!$BE$2:$BE$1068,0)),"")</f>
        <v/>
      </c>
      <c r="O287" s="294">
        <f>IFERROR(INDEX('Historical Data'!$AJ$2:$AJ$1068,MATCH($A287,'Historical Data'!$BE$2:$BE$1068,0)),"")</f>
        <v/>
      </c>
      <c r="P287" s="294">
        <f>IFERROR(INDEX('Historical Data'!$AK$2:$AK$1068,MATCH($A287,'Historical Data'!$BE$2:$BE$1068,0)),"")</f>
        <v/>
      </c>
      <c r="Q287" s="291">
        <f>IFERROR(INDEX('Historical Data'!$AA$2:$AA$1068,MATCH($A287,'Historical Data'!$BE$2:$BE$1068,0)),"")</f>
        <v/>
      </c>
      <c r="R287" s="291">
        <f>IFERROR(INDEX('Historical Data'!$AB$2:$AB$1068,MATCH($A287,'Historical Data'!$BE$2:$BE$1068,0)),"")</f>
        <v/>
      </c>
      <c r="S287" s="291">
        <f>IFERROR(INDEX('Historical Data'!$AN$2:$AN$1068,MATCH($A287,'Historical Data'!$BE$2:$BE$1068,0)),"")</f>
        <v/>
      </c>
      <c r="T287" s="291">
        <f>IFERROR(INDEX('Historical Data'!$AC$2:$AC$1068,MATCH($A287,'Historical Data'!$BE$2:$BE$1068,0)),"")</f>
        <v/>
      </c>
      <c r="U287" s="291">
        <f>IFERROR(INDEX('Historical Data'!$AE$2:$AE$1068,MATCH($A287,'Historical Data'!$BE$2:$BE$1068,0)),"")</f>
        <v/>
      </c>
      <c r="V287" s="291">
        <f>IFERROR(INDEX('Historical Data'!$AH$2:$AH$1068,MATCH($A287,'Historical Data'!$BE$2:$BE$1068,0)),"")</f>
        <v/>
      </c>
      <c r="W287" s="291">
        <f>IFERROR(INDEX('Historical Data'!$BC$2:$BC$1068,MATCH($A287,'Historical Data'!$BE$2:$BE$1068,0)),"")</f>
        <v/>
      </c>
      <c r="X287" s="290">
        <f>IF(B287="","",IF(W287=1,"NR + industry + position",IF(W287=2,"NR + ISO + position",IF(W287=3,"NR + industry",IF(W287=4,"NR + ISO",IF(W287=5,"NR + position",IF(W287=6,"NR only","book baseline"))))))&amp;"  ["&amp;IF(T287=1,"seasoned","unseasoned")&amp;IF(U287=1,", defaulted","")&amp;IF(V287=1,", open","")&amp;"]")</f>
        <v/>
      </c>
    </row>
    <row r="288">
      <c r="A288" s="290" t="n">
        <v>284</v>
      </c>
      <c r="B288" s="291">
        <f>IFERROR(INDEX('Historical Data'!$A$2:$A$1068,MATCH($A288,'Historical Data'!$BE$2:$BE$1068,0)),"")</f>
        <v/>
      </c>
      <c r="C288" s="291">
        <f>IFERROR(INDEX('Historical Data'!$B$2:$B$1068,MATCH($A288,'Historical Data'!$BE$2:$BE$1068,0)),"")</f>
        <v/>
      </c>
      <c r="D288" s="291">
        <f>IFERROR(INDEX('Historical Data'!$D$2:$D$1068,MATCH($A288,'Historical Data'!$BE$2:$BE$1068,0)),"")</f>
        <v/>
      </c>
      <c r="E288" s="292">
        <f>IFERROR(INDEX('Historical Data'!$E$2:$E$1068,MATCH($A288,'Historical Data'!$BE$2:$BE$1068,0)),"")</f>
        <v/>
      </c>
      <c r="F288" s="291">
        <f>IFERROR(INDEX('Historical Data'!$G$2:$G$1068,MATCH($A288,'Historical Data'!$BE$2:$BE$1068,0)),"")</f>
        <v/>
      </c>
      <c r="G288" s="291">
        <f>IFERROR(INDEX('Historical Data'!$Y$2:$Y$1068,MATCH($A288,'Historical Data'!$BE$2:$BE$1068,0)),"")</f>
        <v/>
      </c>
      <c r="H288" s="291">
        <f>IFERROR(INDEX('Historical Data'!$K$2:$K$1068,MATCH($A288,'Historical Data'!$BE$2:$BE$1068,0)),"")</f>
        <v/>
      </c>
      <c r="I288" s="291">
        <f>IFERROR(INDEX('Historical Data'!$J$2:$J$1068,MATCH($A288,'Historical Data'!$BE$2:$BE$1068,0)),"")</f>
        <v/>
      </c>
      <c r="J288" s="291">
        <f>IFERROR(INDEX('Historical Data'!$L$2:$L$1068,MATCH($A288,'Historical Data'!$BE$2:$BE$1068,0)),"")</f>
        <v/>
      </c>
      <c r="K288" s="293">
        <f>IFERROR(INDEX('Historical Data'!$M$2:$M$1068,MATCH($A288,'Historical Data'!$BE$2:$BE$1068,0)),"")</f>
        <v/>
      </c>
      <c r="L288" s="294">
        <f>IFERROR(INDEX('Historical Data'!$N$2:$N$1068,MATCH($A288,'Historical Data'!$BE$2:$BE$1068,0)),"")</f>
        <v/>
      </c>
      <c r="M288" s="294">
        <f>IFERROR(INDEX('Historical Data'!$Q$2:$Q$1068,MATCH($A288,'Historical Data'!$BE$2:$BE$1068,0)),"")</f>
        <v/>
      </c>
      <c r="N288" s="295">
        <f>IFERROR(INDEX('Historical Data'!$S$2:$S$1068,MATCH($A288,'Historical Data'!$BE$2:$BE$1068,0)),"")</f>
        <v/>
      </c>
      <c r="O288" s="294">
        <f>IFERROR(INDEX('Historical Data'!$AJ$2:$AJ$1068,MATCH($A288,'Historical Data'!$BE$2:$BE$1068,0)),"")</f>
        <v/>
      </c>
      <c r="P288" s="294">
        <f>IFERROR(INDEX('Historical Data'!$AK$2:$AK$1068,MATCH($A288,'Historical Data'!$BE$2:$BE$1068,0)),"")</f>
        <v/>
      </c>
      <c r="Q288" s="291">
        <f>IFERROR(INDEX('Historical Data'!$AA$2:$AA$1068,MATCH($A288,'Historical Data'!$BE$2:$BE$1068,0)),"")</f>
        <v/>
      </c>
      <c r="R288" s="291">
        <f>IFERROR(INDEX('Historical Data'!$AB$2:$AB$1068,MATCH($A288,'Historical Data'!$BE$2:$BE$1068,0)),"")</f>
        <v/>
      </c>
      <c r="S288" s="291">
        <f>IFERROR(INDEX('Historical Data'!$AN$2:$AN$1068,MATCH($A288,'Historical Data'!$BE$2:$BE$1068,0)),"")</f>
        <v/>
      </c>
      <c r="T288" s="291">
        <f>IFERROR(INDEX('Historical Data'!$AC$2:$AC$1068,MATCH($A288,'Historical Data'!$BE$2:$BE$1068,0)),"")</f>
        <v/>
      </c>
      <c r="U288" s="291">
        <f>IFERROR(INDEX('Historical Data'!$AE$2:$AE$1068,MATCH($A288,'Historical Data'!$BE$2:$BE$1068,0)),"")</f>
        <v/>
      </c>
      <c r="V288" s="291">
        <f>IFERROR(INDEX('Historical Data'!$AH$2:$AH$1068,MATCH($A288,'Historical Data'!$BE$2:$BE$1068,0)),"")</f>
        <v/>
      </c>
      <c r="W288" s="291">
        <f>IFERROR(INDEX('Historical Data'!$BC$2:$BC$1068,MATCH($A288,'Historical Data'!$BE$2:$BE$1068,0)),"")</f>
        <v/>
      </c>
      <c r="X288" s="290">
        <f>IF(B288="","",IF(W288=1,"NR + industry + position",IF(W288=2,"NR + ISO + position",IF(W288=3,"NR + industry",IF(W288=4,"NR + ISO",IF(W288=5,"NR + position",IF(W288=6,"NR only","book baseline"))))))&amp;"  ["&amp;IF(T288=1,"seasoned","unseasoned")&amp;IF(U288=1,", defaulted","")&amp;IF(V288=1,", open","")&amp;"]")</f>
        <v/>
      </c>
    </row>
    <row r="289">
      <c r="A289" s="290" t="n">
        <v>285</v>
      </c>
      <c r="B289" s="291">
        <f>IFERROR(INDEX('Historical Data'!$A$2:$A$1068,MATCH($A289,'Historical Data'!$BE$2:$BE$1068,0)),"")</f>
        <v/>
      </c>
      <c r="C289" s="291">
        <f>IFERROR(INDEX('Historical Data'!$B$2:$B$1068,MATCH($A289,'Historical Data'!$BE$2:$BE$1068,0)),"")</f>
        <v/>
      </c>
      <c r="D289" s="291">
        <f>IFERROR(INDEX('Historical Data'!$D$2:$D$1068,MATCH($A289,'Historical Data'!$BE$2:$BE$1068,0)),"")</f>
        <v/>
      </c>
      <c r="E289" s="292">
        <f>IFERROR(INDEX('Historical Data'!$E$2:$E$1068,MATCH($A289,'Historical Data'!$BE$2:$BE$1068,0)),"")</f>
        <v/>
      </c>
      <c r="F289" s="291">
        <f>IFERROR(INDEX('Historical Data'!$G$2:$G$1068,MATCH($A289,'Historical Data'!$BE$2:$BE$1068,0)),"")</f>
        <v/>
      </c>
      <c r="G289" s="291">
        <f>IFERROR(INDEX('Historical Data'!$Y$2:$Y$1068,MATCH($A289,'Historical Data'!$BE$2:$BE$1068,0)),"")</f>
        <v/>
      </c>
      <c r="H289" s="291">
        <f>IFERROR(INDEX('Historical Data'!$K$2:$K$1068,MATCH($A289,'Historical Data'!$BE$2:$BE$1068,0)),"")</f>
        <v/>
      </c>
      <c r="I289" s="291">
        <f>IFERROR(INDEX('Historical Data'!$J$2:$J$1068,MATCH($A289,'Historical Data'!$BE$2:$BE$1068,0)),"")</f>
        <v/>
      </c>
      <c r="J289" s="291">
        <f>IFERROR(INDEX('Historical Data'!$L$2:$L$1068,MATCH($A289,'Historical Data'!$BE$2:$BE$1068,0)),"")</f>
        <v/>
      </c>
      <c r="K289" s="293">
        <f>IFERROR(INDEX('Historical Data'!$M$2:$M$1068,MATCH($A289,'Historical Data'!$BE$2:$BE$1068,0)),"")</f>
        <v/>
      </c>
      <c r="L289" s="294">
        <f>IFERROR(INDEX('Historical Data'!$N$2:$N$1068,MATCH($A289,'Historical Data'!$BE$2:$BE$1068,0)),"")</f>
        <v/>
      </c>
      <c r="M289" s="294">
        <f>IFERROR(INDEX('Historical Data'!$Q$2:$Q$1068,MATCH($A289,'Historical Data'!$BE$2:$BE$1068,0)),"")</f>
        <v/>
      </c>
      <c r="N289" s="295">
        <f>IFERROR(INDEX('Historical Data'!$S$2:$S$1068,MATCH($A289,'Historical Data'!$BE$2:$BE$1068,0)),"")</f>
        <v/>
      </c>
      <c r="O289" s="294">
        <f>IFERROR(INDEX('Historical Data'!$AJ$2:$AJ$1068,MATCH($A289,'Historical Data'!$BE$2:$BE$1068,0)),"")</f>
        <v/>
      </c>
      <c r="P289" s="294">
        <f>IFERROR(INDEX('Historical Data'!$AK$2:$AK$1068,MATCH($A289,'Historical Data'!$BE$2:$BE$1068,0)),"")</f>
        <v/>
      </c>
      <c r="Q289" s="291">
        <f>IFERROR(INDEX('Historical Data'!$AA$2:$AA$1068,MATCH($A289,'Historical Data'!$BE$2:$BE$1068,0)),"")</f>
        <v/>
      </c>
      <c r="R289" s="291">
        <f>IFERROR(INDEX('Historical Data'!$AB$2:$AB$1068,MATCH($A289,'Historical Data'!$BE$2:$BE$1068,0)),"")</f>
        <v/>
      </c>
      <c r="S289" s="291">
        <f>IFERROR(INDEX('Historical Data'!$AN$2:$AN$1068,MATCH($A289,'Historical Data'!$BE$2:$BE$1068,0)),"")</f>
        <v/>
      </c>
      <c r="T289" s="291">
        <f>IFERROR(INDEX('Historical Data'!$AC$2:$AC$1068,MATCH($A289,'Historical Data'!$BE$2:$BE$1068,0)),"")</f>
        <v/>
      </c>
      <c r="U289" s="291">
        <f>IFERROR(INDEX('Historical Data'!$AE$2:$AE$1068,MATCH($A289,'Historical Data'!$BE$2:$BE$1068,0)),"")</f>
        <v/>
      </c>
      <c r="V289" s="291">
        <f>IFERROR(INDEX('Historical Data'!$AH$2:$AH$1068,MATCH($A289,'Historical Data'!$BE$2:$BE$1068,0)),"")</f>
        <v/>
      </c>
      <c r="W289" s="291">
        <f>IFERROR(INDEX('Historical Data'!$BC$2:$BC$1068,MATCH($A289,'Historical Data'!$BE$2:$BE$1068,0)),"")</f>
        <v/>
      </c>
      <c r="X289" s="290">
        <f>IF(B289="","",IF(W289=1,"NR + industry + position",IF(W289=2,"NR + ISO + position",IF(W289=3,"NR + industry",IF(W289=4,"NR + ISO",IF(W289=5,"NR + position",IF(W289=6,"NR only","book baseline"))))))&amp;"  ["&amp;IF(T289=1,"seasoned","unseasoned")&amp;IF(U289=1,", defaulted","")&amp;IF(V289=1,", open","")&amp;"]")</f>
        <v/>
      </c>
    </row>
    <row r="290">
      <c r="A290" s="290" t="n">
        <v>286</v>
      </c>
      <c r="B290" s="291">
        <f>IFERROR(INDEX('Historical Data'!$A$2:$A$1068,MATCH($A290,'Historical Data'!$BE$2:$BE$1068,0)),"")</f>
        <v/>
      </c>
      <c r="C290" s="291">
        <f>IFERROR(INDEX('Historical Data'!$B$2:$B$1068,MATCH($A290,'Historical Data'!$BE$2:$BE$1068,0)),"")</f>
        <v/>
      </c>
      <c r="D290" s="291">
        <f>IFERROR(INDEX('Historical Data'!$D$2:$D$1068,MATCH($A290,'Historical Data'!$BE$2:$BE$1068,0)),"")</f>
        <v/>
      </c>
      <c r="E290" s="292">
        <f>IFERROR(INDEX('Historical Data'!$E$2:$E$1068,MATCH($A290,'Historical Data'!$BE$2:$BE$1068,0)),"")</f>
        <v/>
      </c>
      <c r="F290" s="291">
        <f>IFERROR(INDEX('Historical Data'!$G$2:$G$1068,MATCH($A290,'Historical Data'!$BE$2:$BE$1068,0)),"")</f>
        <v/>
      </c>
      <c r="G290" s="291">
        <f>IFERROR(INDEX('Historical Data'!$Y$2:$Y$1068,MATCH($A290,'Historical Data'!$BE$2:$BE$1068,0)),"")</f>
        <v/>
      </c>
      <c r="H290" s="291">
        <f>IFERROR(INDEX('Historical Data'!$K$2:$K$1068,MATCH($A290,'Historical Data'!$BE$2:$BE$1068,0)),"")</f>
        <v/>
      </c>
      <c r="I290" s="291">
        <f>IFERROR(INDEX('Historical Data'!$J$2:$J$1068,MATCH($A290,'Historical Data'!$BE$2:$BE$1068,0)),"")</f>
        <v/>
      </c>
      <c r="J290" s="291">
        <f>IFERROR(INDEX('Historical Data'!$L$2:$L$1068,MATCH($A290,'Historical Data'!$BE$2:$BE$1068,0)),"")</f>
        <v/>
      </c>
      <c r="K290" s="293">
        <f>IFERROR(INDEX('Historical Data'!$M$2:$M$1068,MATCH($A290,'Historical Data'!$BE$2:$BE$1068,0)),"")</f>
        <v/>
      </c>
      <c r="L290" s="294">
        <f>IFERROR(INDEX('Historical Data'!$N$2:$N$1068,MATCH($A290,'Historical Data'!$BE$2:$BE$1068,0)),"")</f>
        <v/>
      </c>
      <c r="M290" s="294">
        <f>IFERROR(INDEX('Historical Data'!$Q$2:$Q$1068,MATCH($A290,'Historical Data'!$BE$2:$BE$1068,0)),"")</f>
        <v/>
      </c>
      <c r="N290" s="295">
        <f>IFERROR(INDEX('Historical Data'!$S$2:$S$1068,MATCH($A290,'Historical Data'!$BE$2:$BE$1068,0)),"")</f>
        <v/>
      </c>
      <c r="O290" s="294">
        <f>IFERROR(INDEX('Historical Data'!$AJ$2:$AJ$1068,MATCH($A290,'Historical Data'!$BE$2:$BE$1068,0)),"")</f>
        <v/>
      </c>
      <c r="P290" s="294">
        <f>IFERROR(INDEX('Historical Data'!$AK$2:$AK$1068,MATCH($A290,'Historical Data'!$BE$2:$BE$1068,0)),"")</f>
        <v/>
      </c>
      <c r="Q290" s="291">
        <f>IFERROR(INDEX('Historical Data'!$AA$2:$AA$1068,MATCH($A290,'Historical Data'!$BE$2:$BE$1068,0)),"")</f>
        <v/>
      </c>
      <c r="R290" s="291">
        <f>IFERROR(INDEX('Historical Data'!$AB$2:$AB$1068,MATCH($A290,'Historical Data'!$BE$2:$BE$1068,0)),"")</f>
        <v/>
      </c>
      <c r="S290" s="291">
        <f>IFERROR(INDEX('Historical Data'!$AN$2:$AN$1068,MATCH($A290,'Historical Data'!$BE$2:$BE$1068,0)),"")</f>
        <v/>
      </c>
      <c r="T290" s="291">
        <f>IFERROR(INDEX('Historical Data'!$AC$2:$AC$1068,MATCH($A290,'Historical Data'!$BE$2:$BE$1068,0)),"")</f>
        <v/>
      </c>
      <c r="U290" s="291">
        <f>IFERROR(INDEX('Historical Data'!$AE$2:$AE$1068,MATCH($A290,'Historical Data'!$BE$2:$BE$1068,0)),"")</f>
        <v/>
      </c>
      <c r="V290" s="291">
        <f>IFERROR(INDEX('Historical Data'!$AH$2:$AH$1068,MATCH($A290,'Historical Data'!$BE$2:$BE$1068,0)),"")</f>
        <v/>
      </c>
      <c r="W290" s="291">
        <f>IFERROR(INDEX('Historical Data'!$BC$2:$BC$1068,MATCH($A290,'Historical Data'!$BE$2:$BE$1068,0)),"")</f>
        <v/>
      </c>
      <c r="X290" s="290">
        <f>IF(B290="","",IF(W290=1,"NR + industry + position",IF(W290=2,"NR + ISO + position",IF(W290=3,"NR + industry",IF(W290=4,"NR + ISO",IF(W290=5,"NR + position",IF(W290=6,"NR only","book baseline"))))))&amp;"  ["&amp;IF(T290=1,"seasoned","unseasoned")&amp;IF(U290=1,", defaulted","")&amp;IF(V290=1,", open","")&amp;"]")</f>
        <v/>
      </c>
    </row>
    <row r="291">
      <c r="A291" s="290" t="n">
        <v>287</v>
      </c>
      <c r="B291" s="291">
        <f>IFERROR(INDEX('Historical Data'!$A$2:$A$1068,MATCH($A291,'Historical Data'!$BE$2:$BE$1068,0)),"")</f>
        <v/>
      </c>
      <c r="C291" s="291">
        <f>IFERROR(INDEX('Historical Data'!$B$2:$B$1068,MATCH($A291,'Historical Data'!$BE$2:$BE$1068,0)),"")</f>
        <v/>
      </c>
      <c r="D291" s="291">
        <f>IFERROR(INDEX('Historical Data'!$D$2:$D$1068,MATCH($A291,'Historical Data'!$BE$2:$BE$1068,0)),"")</f>
        <v/>
      </c>
      <c r="E291" s="292">
        <f>IFERROR(INDEX('Historical Data'!$E$2:$E$1068,MATCH($A291,'Historical Data'!$BE$2:$BE$1068,0)),"")</f>
        <v/>
      </c>
      <c r="F291" s="291">
        <f>IFERROR(INDEX('Historical Data'!$G$2:$G$1068,MATCH($A291,'Historical Data'!$BE$2:$BE$1068,0)),"")</f>
        <v/>
      </c>
      <c r="G291" s="291">
        <f>IFERROR(INDEX('Historical Data'!$Y$2:$Y$1068,MATCH($A291,'Historical Data'!$BE$2:$BE$1068,0)),"")</f>
        <v/>
      </c>
      <c r="H291" s="291">
        <f>IFERROR(INDEX('Historical Data'!$K$2:$K$1068,MATCH($A291,'Historical Data'!$BE$2:$BE$1068,0)),"")</f>
        <v/>
      </c>
      <c r="I291" s="291">
        <f>IFERROR(INDEX('Historical Data'!$J$2:$J$1068,MATCH($A291,'Historical Data'!$BE$2:$BE$1068,0)),"")</f>
        <v/>
      </c>
      <c r="J291" s="291">
        <f>IFERROR(INDEX('Historical Data'!$L$2:$L$1068,MATCH($A291,'Historical Data'!$BE$2:$BE$1068,0)),"")</f>
        <v/>
      </c>
      <c r="K291" s="293">
        <f>IFERROR(INDEX('Historical Data'!$M$2:$M$1068,MATCH($A291,'Historical Data'!$BE$2:$BE$1068,0)),"")</f>
        <v/>
      </c>
      <c r="L291" s="294">
        <f>IFERROR(INDEX('Historical Data'!$N$2:$N$1068,MATCH($A291,'Historical Data'!$BE$2:$BE$1068,0)),"")</f>
        <v/>
      </c>
      <c r="M291" s="294">
        <f>IFERROR(INDEX('Historical Data'!$Q$2:$Q$1068,MATCH($A291,'Historical Data'!$BE$2:$BE$1068,0)),"")</f>
        <v/>
      </c>
      <c r="N291" s="295">
        <f>IFERROR(INDEX('Historical Data'!$S$2:$S$1068,MATCH($A291,'Historical Data'!$BE$2:$BE$1068,0)),"")</f>
        <v/>
      </c>
      <c r="O291" s="294">
        <f>IFERROR(INDEX('Historical Data'!$AJ$2:$AJ$1068,MATCH($A291,'Historical Data'!$BE$2:$BE$1068,0)),"")</f>
        <v/>
      </c>
      <c r="P291" s="294">
        <f>IFERROR(INDEX('Historical Data'!$AK$2:$AK$1068,MATCH($A291,'Historical Data'!$BE$2:$BE$1068,0)),"")</f>
        <v/>
      </c>
      <c r="Q291" s="291">
        <f>IFERROR(INDEX('Historical Data'!$AA$2:$AA$1068,MATCH($A291,'Historical Data'!$BE$2:$BE$1068,0)),"")</f>
        <v/>
      </c>
      <c r="R291" s="291">
        <f>IFERROR(INDEX('Historical Data'!$AB$2:$AB$1068,MATCH($A291,'Historical Data'!$BE$2:$BE$1068,0)),"")</f>
        <v/>
      </c>
      <c r="S291" s="291">
        <f>IFERROR(INDEX('Historical Data'!$AN$2:$AN$1068,MATCH($A291,'Historical Data'!$BE$2:$BE$1068,0)),"")</f>
        <v/>
      </c>
      <c r="T291" s="291">
        <f>IFERROR(INDEX('Historical Data'!$AC$2:$AC$1068,MATCH($A291,'Historical Data'!$BE$2:$BE$1068,0)),"")</f>
        <v/>
      </c>
      <c r="U291" s="291">
        <f>IFERROR(INDEX('Historical Data'!$AE$2:$AE$1068,MATCH($A291,'Historical Data'!$BE$2:$BE$1068,0)),"")</f>
        <v/>
      </c>
      <c r="V291" s="291">
        <f>IFERROR(INDEX('Historical Data'!$AH$2:$AH$1068,MATCH($A291,'Historical Data'!$BE$2:$BE$1068,0)),"")</f>
        <v/>
      </c>
      <c r="W291" s="291">
        <f>IFERROR(INDEX('Historical Data'!$BC$2:$BC$1068,MATCH($A291,'Historical Data'!$BE$2:$BE$1068,0)),"")</f>
        <v/>
      </c>
      <c r="X291" s="290">
        <f>IF(B291="","",IF(W291=1,"NR + industry + position",IF(W291=2,"NR + ISO + position",IF(W291=3,"NR + industry",IF(W291=4,"NR + ISO",IF(W291=5,"NR + position",IF(W291=6,"NR only","book baseline"))))))&amp;"  ["&amp;IF(T291=1,"seasoned","unseasoned")&amp;IF(U291=1,", defaulted","")&amp;IF(V291=1,", open","")&amp;"]")</f>
        <v/>
      </c>
    </row>
    <row r="292">
      <c r="A292" s="290" t="n">
        <v>288</v>
      </c>
      <c r="B292" s="291">
        <f>IFERROR(INDEX('Historical Data'!$A$2:$A$1068,MATCH($A292,'Historical Data'!$BE$2:$BE$1068,0)),"")</f>
        <v/>
      </c>
      <c r="C292" s="291">
        <f>IFERROR(INDEX('Historical Data'!$B$2:$B$1068,MATCH($A292,'Historical Data'!$BE$2:$BE$1068,0)),"")</f>
        <v/>
      </c>
      <c r="D292" s="291">
        <f>IFERROR(INDEX('Historical Data'!$D$2:$D$1068,MATCH($A292,'Historical Data'!$BE$2:$BE$1068,0)),"")</f>
        <v/>
      </c>
      <c r="E292" s="292">
        <f>IFERROR(INDEX('Historical Data'!$E$2:$E$1068,MATCH($A292,'Historical Data'!$BE$2:$BE$1068,0)),"")</f>
        <v/>
      </c>
      <c r="F292" s="291">
        <f>IFERROR(INDEX('Historical Data'!$G$2:$G$1068,MATCH($A292,'Historical Data'!$BE$2:$BE$1068,0)),"")</f>
        <v/>
      </c>
      <c r="G292" s="291">
        <f>IFERROR(INDEX('Historical Data'!$Y$2:$Y$1068,MATCH($A292,'Historical Data'!$BE$2:$BE$1068,0)),"")</f>
        <v/>
      </c>
      <c r="H292" s="291">
        <f>IFERROR(INDEX('Historical Data'!$K$2:$K$1068,MATCH($A292,'Historical Data'!$BE$2:$BE$1068,0)),"")</f>
        <v/>
      </c>
      <c r="I292" s="291">
        <f>IFERROR(INDEX('Historical Data'!$J$2:$J$1068,MATCH($A292,'Historical Data'!$BE$2:$BE$1068,0)),"")</f>
        <v/>
      </c>
      <c r="J292" s="291">
        <f>IFERROR(INDEX('Historical Data'!$L$2:$L$1068,MATCH($A292,'Historical Data'!$BE$2:$BE$1068,0)),"")</f>
        <v/>
      </c>
      <c r="K292" s="293">
        <f>IFERROR(INDEX('Historical Data'!$M$2:$M$1068,MATCH($A292,'Historical Data'!$BE$2:$BE$1068,0)),"")</f>
        <v/>
      </c>
      <c r="L292" s="294">
        <f>IFERROR(INDEX('Historical Data'!$N$2:$N$1068,MATCH($A292,'Historical Data'!$BE$2:$BE$1068,0)),"")</f>
        <v/>
      </c>
      <c r="M292" s="294">
        <f>IFERROR(INDEX('Historical Data'!$Q$2:$Q$1068,MATCH($A292,'Historical Data'!$BE$2:$BE$1068,0)),"")</f>
        <v/>
      </c>
      <c r="N292" s="295">
        <f>IFERROR(INDEX('Historical Data'!$S$2:$S$1068,MATCH($A292,'Historical Data'!$BE$2:$BE$1068,0)),"")</f>
        <v/>
      </c>
      <c r="O292" s="294">
        <f>IFERROR(INDEX('Historical Data'!$AJ$2:$AJ$1068,MATCH($A292,'Historical Data'!$BE$2:$BE$1068,0)),"")</f>
        <v/>
      </c>
      <c r="P292" s="294">
        <f>IFERROR(INDEX('Historical Data'!$AK$2:$AK$1068,MATCH($A292,'Historical Data'!$BE$2:$BE$1068,0)),"")</f>
        <v/>
      </c>
      <c r="Q292" s="291">
        <f>IFERROR(INDEX('Historical Data'!$AA$2:$AA$1068,MATCH($A292,'Historical Data'!$BE$2:$BE$1068,0)),"")</f>
        <v/>
      </c>
      <c r="R292" s="291">
        <f>IFERROR(INDEX('Historical Data'!$AB$2:$AB$1068,MATCH($A292,'Historical Data'!$BE$2:$BE$1068,0)),"")</f>
        <v/>
      </c>
      <c r="S292" s="291">
        <f>IFERROR(INDEX('Historical Data'!$AN$2:$AN$1068,MATCH($A292,'Historical Data'!$BE$2:$BE$1068,0)),"")</f>
        <v/>
      </c>
      <c r="T292" s="291">
        <f>IFERROR(INDEX('Historical Data'!$AC$2:$AC$1068,MATCH($A292,'Historical Data'!$BE$2:$BE$1068,0)),"")</f>
        <v/>
      </c>
      <c r="U292" s="291">
        <f>IFERROR(INDEX('Historical Data'!$AE$2:$AE$1068,MATCH($A292,'Historical Data'!$BE$2:$BE$1068,0)),"")</f>
        <v/>
      </c>
      <c r="V292" s="291">
        <f>IFERROR(INDEX('Historical Data'!$AH$2:$AH$1068,MATCH($A292,'Historical Data'!$BE$2:$BE$1068,0)),"")</f>
        <v/>
      </c>
      <c r="W292" s="291">
        <f>IFERROR(INDEX('Historical Data'!$BC$2:$BC$1068,MATCH($A292,'Historical Data'!$BE$2:$BE$1068,0)),"")</f>
        <v/>
      </c>
      <c r="X292" s="290">
        <f>IF(B292="","",IF(W292=1,"NR + industry + position",IF(W292=2,"NR + ISO + position",IF(W292=3,"NR + industry",IF(W292=4,"NR + ISO",IF(W292=5,"NR + position",IF(W292=6,"NR only","book baseline"))))))&amp;"  ["&amp;IF(T292=1,"seasoned","unseasoned")&amp;IF(U292=1,", defaulted","")&amp;IF(V292=1,", open","")&amp;"]")</f>
        <v/>
      </c>
    </row>
    <row r="293">
      <c r="A293" s="290" t="n">
        <v>289</v>
      </c>
      <c r="B293" s="291">
        <f>IFERROR(INDEX('Historical Data'!$A$2:$A$1068,MATCH($A293,'Historical Data'!$BE$2:$BE$1068,0)),"")</f>
        <v/>
      </c>
      <c r="C293" s="291">
        <f>IFERROR(INDEX('Historical Data'!$B$2:$B$1068,MATCH($A293,'Historical Data'!$BE$2:$BE$1068,0)),"")</f>
        <v/>
      </c>
      <c r="D293" s="291">
        <f>IFERROR(INDEX('Historical Data'!$D$2:$D$1068,MATCH($A293,'Historical Data'!$BE$2:$BE$1068,0)),"")</f>
        <v/>
      </c>
      <c r="E293" s="292">
        <f>IFERROR(INDEX('Historical Data'!$E$2:$E$1068,MATCH($A293,'Historical Data'!$BE$2:$BE$1068,0)),"")</f>
        <v/>
      </c>
      <c r="F293" s="291">
        <f>IFERROR(INDEX('Historical Data'!$G$2:$G$1068,MATCH($A293,'Historical Data'!$BE$2:$BE$1068,0)),"")</f>
        <v/>
      </c>
      <c r="G293" s="291">
        <f>IFERROR(INDEX('Historical Data'!$Y$2:$Y$1068,MATCH($A293,'Historical Data'!$BE$2:$BE$1068,0)),"")</f>
        <v/>
      </c>
      <c r="H293" s="291">
        <f>IFERROR(INDEX('Historical Data'!$K$2:$K$1068,MATCH($A293,'Historical Data'!$BE$2:$BE$1068,0)),"")</f>
        <v/>
      </c>
      <c r="I293" s="291">
        <f>IFERROR(INDEX('Historical Data'!$J$2:$J$1068,MATCH($A293,'Historical Data'!$BE$2:$BE$1068,0)),"")</f>
        <v/>
      </c>
      <c r="J293" s="291">
        <f>IFERROR(INDEX('Historical Data'!$L$2:$L$1068,MATCH($A293,'Historical Data'!$BE$2:$BE$1068,0)),"")</f>
        <v/>
      </c>
      <c r="K293" s="293">
        <f>IFERROR(INDEX('Historical Data'!$M$2:$M$1068,MATCH($A293,'Historical Data'!$BE$2:$BE$1068,0)),"")</f>
        <v/>
      </c>
      <c r="L293" s="294">
        <f>IFERROR(INDEX('Historical Data'!$N$2:$N$1068,MATCH($A293,'Historical Data'!$BE$2:$BE$1068,0)),"")</f>
        <v/>
      </c>
      <c r="M293" s="294">
        <f>IFERROR(INDEX('Historical Data'!$Q$2:$Q$1068,MATCH($A293,'Historical Data'!$BE$2:$BE$1068,0)),"")</f>
        <v/>
      </c>
      <c r="N293" s="295">
        <f>IFERROR(INDEX('Historical Data'!$S$2:$S$1068,MATCH($A293,'Historical Data'!$BE$2:$BE$1068,0)),"")</f>
        <v/>
      </c>
      <c r="O293" s="294">
        <f>IFERROR(INDEX('Historical Data'!$AJ$2:$AJ$1068,MATCH($A293,'Historical Data'!$BE$2:$BE$1068,0)),"")</f>
        <v/>
      </c>
      <c r="P293" s="294">
        <f>IFERROR(INDEX('Historical Data'!$AK$2:$AK$1068,MATCH($A293,'Historical Data'!$BE$2:$BE$1068,0)),"")</f>
        <v/>
      </c>
      <c r="Q293" s="291">
        <f>IFERROR(INDEX('Historical Data'!$AA$2:$AA$1068,MATCH($A293,'Historical Data'!$BE$2:$BE$1068,0)),"")</f>
        <v/>
      </c>
      <c r="R293" s="291">
        <f>IFERROR(INDEX('Historical Data'!$AB$2:$AB$1068,MATCH($A293,'Historical Data'!$BE$2:$BE$1068,0)),"")</f>
        <v/>
      </c>
      <c r="S293" s="291">
        <f>IFERROR(INDEX('Historical Data'!$AN$2:$AN$1068,MATCH($A293,'Historical Data'!$BE$2:$BE$1068,0)),"")</f>
        <v/>
      </c>
      <c r="T293" s="291">
        <f>IFERROR(INDEX('Historical Data'!$AC$2:$AC$1068,MATCH($A293,'Historical Data'!$BE$2:$BE$1068,0)),"")</f>
        <v/>
      </c>
      <c r="U293" s="291">
        <f>IFERROR(INDEX('Historical Data'!$AE$2:$AE$1068,MATCH($A293,'Historical Data'!$BE$2:$BE$1068,0)),"")</f>
        <v/>
      </c>
      <c r="V293" s="291">
        <f>IFERROR(INDEX('Historical Data'!$AH$2:$AH$1068,MATCH($A293,'Historical Data'!$BE$2:$BE$1068,0)),"")</f>
        <v/>
      </c>
      <c r="W293" s="291">
        <f>IFERROR(INDEX('Historical Data'!$BC$2:$BC$1068,MATCH($A293,'Historical Data'!$BE$2:$BE$1068,0)),"")</f>
        <v/>
      </c>
      <c r="X293" s="290">
        <f>IF(B293="","",IF(W293=1,"NR + industry + position",IF(W293=2,"NR + ISO + position",IF(W293=3,"NR + industry",IF(W293=4,"NR + ISO",IF(W293=5,"NR + position",IF(W293=6,"NR only","book baseline"))))))&amp;"  ["&amp;IF(T293=1,"seasoned","unseasoned")&amp;IF(U293=1,", defaulted","")&amp;IF(V293=1,", open","")&amp;"]")</f>
        <v/>
      </c>
    </row>
    <row r="294">
      <c r="A294" s="290" t="n">
        <v>290</v>
      </c>
      <c r="B294" s="291">
        <f>IFERROR(INDEX('Historical Data'!$A$2:$A$1068,MATCH($A294,'Historical Data'!$BE$2:$BE$1068,0)),"")</f>
        <v/>
      </c>
      <c r="C294" s="291">
        <f>IFERROR(INDEX('Historical Data'!$B$2:$B$1068,MATCH($A294,'Historical Data'!$BE$2:$BE$1068,0)),"")</f>
        <v/>
      </c>
      <c r="D294" s="291">
        <f>IFERROR(INDEX('Historical Data'!$D$2:$D$1068,MATCH($A294,'Historical Data'!$BE$2:$BE$1068,0)),"")</f>
        <v/>
      </c>
      <c r="E294" s="292">
        <f>IFERROR(INDEX('Historical Data'!$E$2:$E$1068,MATCH($A294,'Historical Data'!$BE$2:$BE$1068,0)),"")</f>
        <v/>
      </c>
      <c r="F294" s="291">
        <f>IFERROR(INDEX('Historical Data'!$G$2:$G$1068,MATCH($A294,'Historical Data'!$BE$2:$BE$1068,0)),"")</f>
        <v/>
      </c>
      <c r="G294" s="291">
        <f>IFERROR(INDEX('Historical Data'!$Y$2:$Y$1068,MATCH($A294,'Historical Data'!$BE$2:$BE$1068,0)),"")</f>
        <v/>
      </c>
      <c r="H294" s="291">
        <f>IFERROR(INDEX('Historical Data'!$K$2:$K$1068,MATCH($A294,'Historical Data'!$BE$2:$BE$1068,0)),"")</f>
        <v/>
      </c>
      <c r="I294" s="291">
        <f>IFERROR(INDEX('Historical Data'!$J$2:$J$1068,MATCH($A294,'Historical Data'!$BE$2:$BE$1068,0)),"")</f>
        <v/>
      </c>
      <c r="J294" s="291">
        <f>IFERROR(INDEX('Historical Data'!$L$2:$L$1068,MATCH($A294,'Historical Data'!$BE$2:$BE$1068,0)),"")</f>
        <v/>
      </c>
      <c r="K294" s="293">
        <f>IFERROR(INDEX('Historical Data'!$M$2:$M$1068,MATCH($A294,'Historical Data'!$BE$2:$BE$1068,0)),"")</f>
        <v/>
      </c>
      <c r="L294" s="294">
        <f>IFERROR(INDEX('Historical Data'!$N$2:$N$1068,MATCH($A294,'Historical Data'!$BE$2:$BE$1068,0)),"")</f>
        <v/>
      </c>
      <c r="M294" s="294">
        <f>IFERROR(INDEX('Historical Data'!$Q$2:$Q$1068,MATCH($A294,'Historical Data'!$BE$2:$BE$1068,0)),"")</f>
        <v/>
      </c>
      <c r="N294" s="295">
        <f>IFERROR(INDEX('Historical Data'!$S$2:$S$1068,MATCH($A294,'Historical Data'!$BE$2:$BE$1068,0)),"")</f>
        <v/>
      </c>
      <c r="O294" s="294">
        <f>IFERROR(INDEX('Historical Data'!$AJ$2:$AJ$1068,MATCH($A294,'Historical Data'!$BE$2:$BE$1068,0)),"")</f>
        <v/>
      </c>
      <c r="P294" s="294">
        <f>IFERROR(INDEX('Historical Data'!$AK$2:$AK$1068,MATCH($A294,'Historical Data'!$BE$2:$BE$1068,0)),"")</f>
        <v/>
      </c>
      <c r="Q294" s="291">
        <f>IFERROR(INDEX('Historical Data'!$AA$2:$AA$1068,MATCH($A294,'Historical Data'!$BE$2:$BE$1068,0)),"")</f>
        <v/>
      </c>
      <c r="R294" s="291">
        <f>IFERROR(INDEX('Historical Data'!$AB$2:$AB$1068,MATCH($A294,'Historical Data'!$BE$2:$BE$1068,0)),"")</f>
        <v/>
      </c>
      <c r="S294" s="291">
        <f>IFERROR(INDEX('Historical Data'!$AN$2:$AN$1068,MATCH($A294,'Historical Data'!$BE$2:$BE$1068,0)),"")</f>
        <v/>
      </c>
      <c r="T294" s="291">
        <f>IFERROR(INDEX('Historical Data'!$AC$2:$AC$1068,MATCH($A294,'Historical Data'!$BE$2:$BE$1068,0)),"")</f>
        <v/>
      </c>
      <c r="U294" s="291">
        <f>IFERROR(INDEX('Historical Data'!$AE$2:$AE$1068,MATCH($A294,'Historical Data'!$BE$2:$BE$1068,0)),"")</f>
        <v/>
      </c>
      <c r="V294" s="291">
        <f>IFERROR(INDEX('Historical Data'!$AH$2:$AH$1068,MATCH($A294,'Historical Data'!$BE$2:$BE$1068,0)),"")</f>
        <v/>
      </c>
      <c r="W294" s="291">
        <f>IFERROR(INDEX('Historical Data'!$BC$2:$BC$1068,MATCH($A294,'Historical Data'!$BE$2:$BE$1068,0)),"")</f>
        <v/>
      </c>
      <c r="X294" s="290">
        <f>IF(B294="","",IF(W294=1,"NR + industry + position",IF(W294=2,"NR + ISO + position",IF(W294=3,"NR + industry",IF(W294=4,"NR + ISO",IF(W294=5,"NR + position",IF(W294=6,"NR only","book baseline"))))))&amp;"  ["&amp;IF(T294=1,"seasoned","unseasoned")&amp;IF(U294=1,", defaulted","")&amp;IF(V294=1,", open","")&amp;"]")</f>
        <v/>
      </c>
    </row>
    <row r="295">
      <c r="A295" s="290" t="n">
        <v>291</v>
      </c>
      <c r="B295" s="291">
        <f>IFERROR(INDEX('Historical Data'!$A$2:$A$1068,MATCH($A295,'Historical Data'!$BE$2:$BE$1068,0)),"")</f>
        <v/>
      </c>
      <c r="C295" s="291">
        <f>IFERROR(INDEX('Historical Data'!$B$2:$B$1068,MATCH($A295,'Historical Data'!$BE$2:$BE$1068,0)),"")</f>
        <v/>
      </c>
      <c r="D295" s="291">
        <f>IFERROR(INDEX('Historical Data'!$D$2:$D$1068,MATCH($A295,'Historical Data'!$BE$2:$BE$1068,0)),"")</f>
        <v/>
      </c>
      <c r="E295" s="292">
        <f>IFERROR(INDEX('Historical Data'!$E$2:$E$1068,MATCH($A295,'Historical Data'!$BE$2:$BE$1068,0)),"")</f>
        <v/>
      </c>
      <c r="F295" s="291">
        <f>IFERROR(INDEX('Historical Data'!$G$2:$G$1068,MATCH($A295,'Historical Data'!$BE$2:$BE$1068,0)),"")</f>
        <v/>
      </c>
      <c r="G295" s="291">
        <f>IFERROR(INDEX('Historical Data'!$Y$2:$Y$1068,MATCH($A295,'Historical Data'!$BE$2:$BE$1068,0)),"")</f>
        <v/>
      </c>
      <c r="H295" s="291">
        <f>IFERROR(INDEX('Historical Data'!$K$2:$K$1068,MATCH($A295,'Historical Data'!$BE$2:$BE$1068,0)),"")</f>
        <v/>
      </c>
      <c r="I295" s="291">
        <f>IFERROR(INDEX('Historical Data'!$J$2:$J$1068,MATCH($A295,'Historical Data'!$BE$2:$BE$1068,0)),"")</f>
        <v/>
      </c>
      <c r="J295" s="291">
        <f>IFERROR(INDEX('Historical Data'!$L$2:$L$1068,MATCH($A295,'Historical Data'!$BE$2:$BE$1068,0)),"")</f>
        <v/>
      </c>
      <c r="K295" s="293">
        <f>IFERROR(INDEX('Historical Data'!$M$2:$M$1068,MATCH($A295,'Historical Data'!$BE$2:$BE$1068,0)),"")</f>
        <v/>
      </c>
      <c r="L295" s="294">
        <f>IFERROR(INDEX('Historical Data'!$N$2:$N$1068,MATCH($A295,'Historical Data'!$BE$2:$BE$1068,0)),"")</f>
        <v/>
      </c>
      <c r="M295" s="294">
        <f>IFERROR(INDEX('Historical Data'!$Q$2:$Q$1068,MATCH($A295,'Historical Data'!$BE$2:$BE$1068,0)),"")</f>
        <v/>
      </c>
      <c r="N295" s="295">
        <f>IFERROR(INDEX('Historical Data'!$S$2:$S$1068,MATCH($A295,'Historical Data'!$BE$2:$BE$1068,0)),"")</f>
        <v/>
      </c>
      <c r="O295" s="294">
        <f>IFERROR(INDEX('Historical Data'!$AJ$2:$AJ$1068,MATCH($A295,'Historical Data'!$BE$2:$BE$1068,0)),"")</f>
        <v/>
      </c>
      <c r="P295" s="294">
        <f>IFERROR(INDEX('Historical Data'!$AK$2:$AK$1068,MATCH($A295,'Historical Data'!$BE$2:$BE$1068,0)),"")</f>
        <v/>
      </c>
      <c r="Q295" s="291">
        <f>IFERROR(INDEX('Historical Data'!$AA$2:$AA$1068,MATCH($A295,'Historical Data'!$BE$2:$BE$1068,0)),"")</f>
        <v/>
      </c>
      <c r="R295" s="291">
        <f>IFERROR(INDEX('Historical Data'!$AB$2:$AB$1068,MATCH($A295,'Historical Data'!$BE$2:$BE$1068,0)),"")</f>
        <v/>
      </c>
      <c r="S295" s="291">
        <f>IFERROR(INDEX('Historical Data'!$AN$2:$AN$1068,MATCH($A295,'Historical Data'!$BE$2:$BE$1068,0)),"")</f>
        <v/>
      </c>
      <c r="T295" s="291">
        <f>IFERROR(INDEX('Historical Data'!$AC$2:$AC$1068,MATCH($A295,'Historical Data'!$BE$2:$BE$1068,0)),"")</f>
        <v/>
      </c>
      <c r="U295" s="291">
        <f>IFERROR(INDEX('Historical Data'!$AE$2:$AE$1068,MATCH($A295,'Historical Data'!$BE$2:$BE$1068,0)),"")</f>
        <v/>
      </c>
      <c r="V295" s="291">
        <f>IFERROR(INDEX('Historical Data'!$AH$2:$AH$1068,MATCH($A295,'Historical Data'!$BE$2:$BE$1068,0)),"")</f>
        <v/>
      </c>
      <c r="W295" s="291">
        <f>IFERROR(INDEX('Historical Data'!$BC$2:$BC$1068,MATCH($A295,'Historical Data'!$BE$2:$BE$1068,0)),"")</f>
        <v/>
      </c>
      <c r="X295" s="290">
        <f>IF(B295="","",IF(W295=1,"NR + industry + position",IF(W295=2,"NR + ISO + position",IF(W295=3,"NR + industry",IF(W295=4,"NR + ISO",IF(W295=5,"NR + position",IF(W295=6,"NR only","book baseline"))))))&amp;"  ["&amp;IF(T295=1,"seasoned","unseasoned")&amp;IF(U295=1,", defaulted","")&amp;IF(V295=1,", open","")&amp;"]")</f>
        <v/>
      </c>
    </row>
    <row r="296">
      <c r="A296" s="290" t="n">
        <v>292</v>
      </c>
      <c r="B296" s="291">
        <f>IFERROR(INDEX('Historical Data'!$A$2:$A$1068,MATCH($A296,'Historical Data'!$BE$2:$BE$1068,0)),"")</f>
        <v/>
      </c>
      <c r="C296" s="291">
        <f>IFERROR(INDEX('Historical Data'!$B$2:$B$1068,MATCH($A296,'Historical Data'!$BE$2:$BE$1068,0)),"")</f>
        <v/>
      </c>
      <c r="D296" s="291">
        <f>IFERROR(INDEX('Historical Data'!$D$2:$D$1068,MATCH($A296,'Historical Data'!$BE$2:$BE$1068,0)),"")</f>
        <v/>
      </c>
      <c r="E296" s="292">
        <f>IFERROR(INDEX('Historical Data'!$E$2:$E$1068,MATCH($A296,'Historical Data'!$BE$2:$BE$1068,0)),"")</f>
        <v/>
      </c>
      <c r="F296" s="291">
        <f>IFERROR(INDEX('Historical Data'!$G$2:$G$1068,MATCH($A296,'Historical Data'!$BE$2:$BE$1068,0)),"")</f>
        <v/>
      </c>
      <c r="G296" s="291">
        <f>IFERROR(INDEX('Historical Data'!$Y$2:$Y$1068,MATCH($A296,'Historical Data'!$BE$2:$BE$1068,0)),"")</f>
        <v/>
      </c>
      <c r="H296" s="291">
        <f>IFERROR(INDEX('Historical Data'!$K$2:$K$1068,MATCH($A296,'Historical Data'!$BE$2:$BE$1068,0)),"")</f>
        <v/>
      </c>
      <c r="I296" s="291">
        <f>IFERROR(INDEX('Historical Data'!$J$2:$J$1068,MATCH($A296,'Historical Data'!$BE$2:$BE$1068,0)),"")</f>
        <v/>
      </c>
      <c r="J296" s="291">
        <f>IFERROR(INDEX('Historical Data'!$L$2:$L$1068,MATCH($A296,'Historical Data'!$BE$2:$BE$1068,0)),"")</f>
        <v/>
      </c>
      <c r="K296" s="293">
        <f>IFERROR(INDEX('Historical Data'!$M$2:$M$1068,MATCH($A296,'Historical Data'!$BE$2:$BE$1068,0)),"")</f>
        <v/>
      </c>
      <c r="L296" s="294">
        <f>IFERROR(INDEX('Historical Data'!$N$2:$N$1068,MATCH($A296,'Historical Data'!$BE$2:$BE$1068,0)),"")</f>
        <v/>
      </c>
      <c r="M296" s="294">
        <f>IFERROR(INDEX('Historical Data'!$Q$2:$Q$1068,MATCH($A296,'Historical Data'!$BE$2:$BE$1068,0)),"")</f>
        <v/>
      </c>
      <c r="N296" s="295">
        <f>IFERROR(INDEX('Historical Data'!$S$2:$S$1068,MATCH($A296,'Historical Data'!$BE$2:$BE$1068,0)),"")</f>
        <v/>
      </c>
      <c r="O296" s="294">
        <f>IFERROR(INDEX('Historical Data'!$AJ$2:$AJ$1068,MATCH($A296,'Historical Data'!$BE$2:$BE$1068,0)),"")</f>
        <v/>
      </c>
      <c r="P296" s="294">
        <f>IFERROR(INDEX('Historical Data'!$AK$2:$AK$1068,MATCH($A296,'Historical Data'!$BE$2:$BE$1068,0)),"")</f>
        <v/>
      </c>
      <c r="Q296" s="291">
        <f>IFERROR(INDEX('Historical Data'!$AA$2:$AA$1068,MATCH($A296,'Historical Data'!$BE$2:$BE$1068,0)),"")</f>
        <v/>
      </c>
      <c r="R296" s="291">
        <f>IFERROR(INDEX('Historical Data'!$AB$2:$AB$1068,MATCH($A296,'Historical Data'!$BE$2:$BE$1068,0)),"")</f>
        <v/>
      </c>
      <c r="S296" s="291">
        <f>IFERROR(INDEX('Historical Data'!$AN$2:$AN$1068,MATCH($A296,'Historical Data'!$BE$2:$BE$1068,0)),"")</f>
        <v/>
      </c>
      <c r="T296" s="291">
        <f>IFERROR(INDEX('Historical Data'!$AC$2:$AC$1068,MATCH($A296,'Historical Data'!$BE$2:$BE$1068,0)),"")</f>
        <v/>
      </c>
      <c r="U296" s="291">
        <f>IFERROR(INDEX('Historical Data'!$AE$2:$AE$1068,MATCH($A296,'Historical Data'!$BE$2:$BE$1068,0)),"")</f>
        <v/>
      </c>
      <c r="V296" s="291">
        <f>IFERROR(INDEX('Historical Data'!$AH$2:$AH$1068,MATCH($A296,'Historical Data'!$BE$2:$BE$1068,0)),"")</f>
        <v/>
      </c>
      <c r="W296" s="291">
        <f>IFERROR(INDEX('Historical Data'!$BC$2:$BC$1068,MATCH($A296,'Historical Data'!$BE$2:$BE$1068,0)),"")</f>
        <v/>
      </c>
      <c r="X296" s="290">
        <f>IF(B296="","",IF(W296=1,"NR + industry + position",IF(W296=2,"NR + ISO + position",IF(W296=3,"NR + industry",IF(W296=4,"NR + ISO",IF(W296=5,"NR + position",IF(W296=6,"NR only","book baseline"))))))&amp;"  ["&amp;IF(T296=1,"seasoned","unseasoned")&amp;IF(U296=1,", defaulted","")&amp;IF(V296=1,", open","")&amp;"]")</f>
        <v/>
      </c>
    </row>
    <row r="297">
      <c r="A297" s="290" t="n">
        <v>293</v>
      </c>
      <c r="B297" s="291">
        <f>IFERROR(INDEX('Historical Data'!$A$2:$A$1068,MATCH($A297,'Historical Data'!$BE$2:$BE$1068,0)),"")</f>
        <v/>
      </c>
      <c r="C297" s="291">
        <f>IFERROR(INDEX('Historical Data'!$B$2:$B$1068,MATCH($A297,'Historical Data'!$BE$2:$BE$1068,0)),"")</f>
        <v/>
      </c>
      <c r="D297" s="291">
        <f>IFERROR(INDEX('Historical Data'!$D$2:$D$1068,MATCH($A297,'Historical Data'!$BE$2:$BE$1068,0)),"")</f>
        <v/>
      </c>
      <c r="E297" s="292">
        <f>IFERROR(INDEX('Historical Data'!$E$2:$E$1068,MATCH($A297,'Historical Data'!$BE$2:$BE$1068,0)),"")</f>
        <v/>
      </c>
      <c r="F297" s="291">
        <f>IFERROR(INDEX('Historical Data'!$G$2:$G$1068,MATCH($A297,'Historical Data'!$BE$2:$BE$1068,0)),"")</f>
        <v/>
      </c>
      <c r="G297" s="291">
        <f>IFERROR(INDEX('Historical Data'!$Y$2:$Y$1068,MATCH($A297,'Historical Data'!$BE$2:$BE$1068,0)),"")</f>
        <v/>
      </c>
      <c r="H297" s="291">
        <f>IFERROR(INDEX('Historical Data'!$K$2:$K$1068,MATCH($A297,'Historical Data'!$BE$2:$BE$1068,0)),"")</f>
        <v/>
      </c>
      <c r="I297" s="291">
        <f>IFERROR(INDEX('Historical Data'!$J$2:$J$1068,MATCH($A297,'Historical Data'!$BE$2:$BE$1068,0)),"")</f>
        <v/>
      </c>
      <c r="J297" s="291">
        <f>IFERROR(INDEX('Historical Data'!$L$2:$L$1068,MATCH($A297,'Historical Data'!$BE$2:$BE$1068,0)),"")</f>
        <v/>
      </c>
      <c r="K297" s="293">
        <f>IFERROR(INDEX('Historical Data'!$M$2:$M$1068,MATCH($A297,'Historical Data'!$BE$2:$BE$1068,0)),"")</f>
        <v/>
      </c>
      <c r="L297" s="294">
        <f>IFERROR(INDEX('Historical Data'!$N$2:$N$1068,MATCH($A297,'Historical Data'!$BE$2:$BE$1068,0)),"")</f>
        <v/>
      </c>
      <c r="M297" s="294">
        <f>IFERROR(INDEX('Historical Data'!$Q$2:$Q$1068,MATCH($A297,'Historical Data'!$BE$2:$BE$1068,0)),"")</f>
        <v/>
      </c>
      <c r="N297" s="295">
        <f>IFERROR(INDEX('Historical Data'!$S$2:$S$1068,MATCH($A297,'Historical Data'!$BE$2:$BE$1068,0)),"")</f>
        <v/>
      </c>
      <c r="O297" s="294">
        <f>IFERROR(INDEX('Historical Data'!$AJ$2:$AJ$1068,MATCH($A297,'Historical Data'!$BE$2:$BE$1068,0)),"")</f>
        <v/>
      </c>
      <c r="P297" s="294">
        <f>IFERROR(INDEX('Historical Data'!$AK$2:$AK$1068,MATCH($A297,'Historical Data'!$BE$2:$BE$1068,0)),"")</f>
        <v/>
      </c>
      <c r="Q297" s="291">
        <f>IFERROR(INDEX('Historical Data'!$AA$2:$AA$1068,MATCH($A297,'Historical Data'!$BE$2:$BE$1068,0)),"")</f>
        <v/>
      </c>
      <c r="R297" s="291">
        <f>IFERROR(INDEX('Historical Data'!$AB$2:$AB$1068,MATCH($A297,'Historical Data'!$BE$2:$BE$1068,0)),"")</f>
        <v/>
      </c>
      <c r="S297" s="291">
        <f>IFERROR(INDEX('Historical Data'!$AN$2:$AN$1068,MATCH($A297,'Historical Data'!$BE$2:$BE$1068,0)),"")</f>
        <v/>
      </c>
      <c r="T297" s="291">
        <f>IFERROR(INDEX('Historical Data'!$AC$2:$AC$1068,MATCH($A297,'Historical Data'!$BE$2:$BE$1068,0)),"")</f>
        <v/>
      </c>
      <c r="U297" s="291">
        <f>IFERROR(INDEX('Historical Data'!$AE$2:$AE$1068,MATCH($A297,'Historical Data'!$BE$2:$BE$1068,0)),"")</f>
        <v/>
      </c>
      <c r="V297" s="291">
        <f>IFERROR(INDEX('Historical Data'!$AH$2:$AH$1068,MATCH($A297,'Historical Data'!$BE$2:$BE$1068,0)),"")</f>
        <v/>
      </c>
      <c r="W297" s="291">
        <f>IFERROR(INDEX('Historical Data'!$BC$2:$BC$1068,MATCH($A297,'Historical Data'!$BE$2:$BE$1068,0)),"")</f>
        <v/>
      </c>
      <c r="X297" s="290">
        <f>IF(B297="","",IF(W297=1,"NR + industry + position",IF(W297=2,"NR + ISO + position",IF(W297=3,"NR + industry",IF(W297=4,"NR + ISO",IF(W297=5,"NR + position",IF(W297=6,"NR only","book baseline"))))))&amp;"  ["&amp;IF(T297=1,"seasoned","unseasoned")&amp;IF(U297=1,", defaulted","")&amp;IF(V297=1,", open","")&amp;"]")</f>
        <v/>
      </c>
    </row>
    <row r="298">
      <c r="A298" s="290" t="n">
        <v>294</v>
      </c>
      <c r="B298" s="291">
        <f>IFERROR(INDEX('Historical Data'!$A$2:$A$1068,MATCH($A298,'Historical Data'!$BE$2:$BE$1068,0)),"")</f>
        <v/>
      </c>
      <c r="C298" s="291">
        <f>IFERROR(INDEX('Historical Data'!$B$2:$B$1068,MATCH($A298,'Historical Data'!$BE$2:$BE$1068,0)),"")</f>
        <v/>
      </c>
      <c r="D298" s="291">
        <f>IFERROR(INDEX('Historical Data'!$D$2:$D$1068,MATCH($A298,'Historical Data'!$BE$2:$BE$1068,0)),"")</f>
        <v/>
      </c>
      <c r="E298" s="292">
        <f>IFERROR(INDEX('Historical Data'!$E$2:$E$1068,MATCH($A298,'Historical Data'!$BE$2:$BE$1068,0)),"")</f>
        <v/>
      </c>
      <c r="F298" s="291">
        <f>IFERROR(INDEX('Historical Data'!$G$2:$G$1068,MATCH($A298,'Historical Data'!$BE$2:$BE$1068,0)),"")</f>
        <v/>
      </c>
      <c r="G298" s="291">
        <f>IFERROR(INDEX('Historical Data'!$Y$2:$Y$1068,MATCH($A298,'Historical Data'!$BE$2:$BE$1068,0)),"")</f>
        <v/>
      </c>
      <c r="H298" s="291">
        <f>IFERROR(INDEX('Historical Data'!$K$2:$K$1068,MATCH($A298,'Historical Data'!$BE$2:$BE$1068,0)),"")</f>
        <v/>
      </c>
      <c r="I298" s="291">
        <f>IFERROR(INDEX('Historical Data'!$J$2:$J$1068,MATCH($A298,'Historical Data'!$BE$2:$BE$1068,0)),"")</f>
        <v/>
      </c>
      <c r="J298" s="291">
        <f>IFERROR(INDEX('Historical Data'!$L$2:$L$1068,MATCH($A298,'Historical Data'!$BE$2:$BE$1068,0)),"")</f>
        <v/>
      </c>
      <c r="K298" s="293">
        <f>IFERROR(INDEX('Historical Data'!$M$2:$M$1068,MATCH($A298,'Historical Data'!$BE$2:$BE$1068,0)),"")</f>
        <v/>
      </c>
      <c r="L298" s="294">
        <f>IFERROR(INDEX('Historical Data'!$N$2:$N$1068,MATCH($A298,'Historical Data'!$BE$2:$BE$1068,0)),"")</f>
        <v/>
      </c>
      <c r="M298" s="294">
        <f>IFERROR(INDEX('Historical Data'!$Q$2:$Q$1068,MATCH($A298,'Historical Data'!$BE$2:$BE$1068,0)),"")</f>
        <v/>
      </c>
      <c r="N298" s="295">
        <f>IFERROR(INDEX('Historical Data'!$S$2:$S$1068,MATCH($A298,'Historical Data'!$BE$2:$BE$1068,0)),"")</f>
        <v/>
      </c>
      <c r="O298" s="294">
        <f>IFERROR(INDEX('Historical Data'!$AJ$2:$AJ$1068,MATCH($A298,'Historical Data'!$BE$2:$BE$1068,0)),"")</f>
        <v/>
      </c>
      <c r="P298" s="294">
        <f>IFERROR(INDEX('Historical Data'!$AK$2:$AK$1068,MATCH($A298,'Historical Data'!$BE$2:$BE$1068,0)),"")</f>
        <v/>
      </c>
      <c r="Q298" s="291">
        <f>IFERROR(INDEX('Historical Data'!$AA$2:$AA$1068,MATCH($A298,'Historical Data'!$BE$2:$BE$1068,0)),"")</f>
        <v/>
      </c>
      <c r="R298" s="291">
        <f>IFERROR(INDEX('Historical Data'!$AB$2:$AB$1068,MATCH($A298,'Historical Data'!$BE$2:$BE$1068,0)),"")</f>
        <v/>
      </c>
      <c r="S298" s="291">
        <f>IFERROR(INDEX('Historical Data'!$AN$2:$AN$1068,MATCH($A298,'Historical Data'!$BE$2:$BE$1068,0)),"")</f>
        <v/>
      </c>
      <c r="T298" s="291">
        <f>IFERROR(INDEX('Historical Data'!$AC$2:$AC$1068,MATCH($A298,'Historical Data'!$BE$2:$BE$1068,0)),"")</f>
        <v/>
      </c>
      <c r="U298" s="291">
        <f>IFERROR(INDEX('Historical Data'!$AE$2:$AE$1068,MATCH($A298,'Historical Data'!$BE$2:$BE$1068,0)),"")</f>
        <v/>
      </c>
      <c r="V298" s="291">
        <f>IFERROR(INDEX('Historical Data'!$AH$2:$AH$1068,MATCH($A298,'Historical Data'!$BE$2:$BE$1068,0)),"")</f>
        <v/>
      </c>
      <c r="W298" s="291">
        <f>IFERROR(INDEX('Historical Data'!$BC$2:$BC$1068,MATCH($A298,'Historical Data'!$BE$2:$BE$1068,0)),"")</f>
        <v/>
      </c>
      <c r="X298" s="290">
        <f>IF(B298="","",IF(W298=1,"NR + industry + position",IF(W298=2,"NR + ISO + position",IF(W298=3,"NR + industry",IF(W298=4,"NR + ISO",IF(W298=5,"NR + position",IF(W298=6,"NR only","book baseline"))))))&amp;"  ["&amp;IF(T298=1,"seasoned","unseasoned")&amp;IF(U298=1,", defaulted","")&amp;IF(V298=1,", open","")&amp;"]")</f>
        <v/>
      </c>
    </row>
    <row r="299">
      <c r="A299" s="290" t="n">
        <v>295</v>
      </c>
      <c r="B299" s="291">
        <f>IFERROR(INDEX('Historical Data'!$A$2:$A$1068,MATCH($A299,'Historical Data'!$BE$2:$BE$1068,0)),"")</f>
        <v/>
      </c>
      <c r="C299" s="291">
        <f>IFERROR(INDEX('Historical Data'!$B$2:$B$1068,MATCH($A299,'Historical Data'!$BE$2:$BE$1068,0)),"")</f>
        <v/>
      </c>
      <c r="D299" s="291">
        <f>IFERROR(INDEX('Historical Data'!$D$2:$D$1068,MATCH($A299,'Historical Data'!$BE$2:$BE$1068,0)),"")</f>
        <v/>
      </c>
      <c r="E299" s="292">
        <f>IFERROR(INDEX('Historical Data'!$E$2:$E$1068,MATCH($A299,'Historical Data'!$BE$2:$BE$1068,0)),"")</f>
        <v/>
      </c>
      <c r="F299" s="291">
        <f>IFERROR(INDEX('Historical Data'!$G$2:$G$1068,MATCH($A299,'Historical Data'!$BE$2:$BE$1068,0)),"")</f>
        <v/>
      </c>
      <c r="G299" s="291">
        <f>IFERROR(INDEX('Historical Data'!$Y$2:$Y$1068,MATCH($A299,'Historical Data'!$BE$2:$BE$1068,0)),"")</f>
        <v/>
      </c>
      <c r="H299" s="291">
        <f>IFERROR(INDEX('Historical Data'!$K$2:$K$1068,MATCH($A299,'Historical Data'!$BE$2:$BE$1068,0)),"")</f>
        <v/>
      </c>
      <c r="I299" s="291">
        <f>IFERROR(INDEX('Historical Data'!$J$2:$J$1068,MATCH($A299,'Historical Data'!$BE$2:$BE$1068,0)),"")</f>
        <v/>
      </c>
      <c r="J299" s="291">
        <f>IFERROR(INDEX('Historical Data'!$L$2:$L$1068,MATCH($A299,'Historical Data'!$BE$2:$BE$1068,0)),"")</f>
        <v/>
      </c>
      <c r="K299" s="293">
        <f>IFERROR(INDEX('Historical Data'!$M$2:$M$1068,MATCH($A299,'Historical Data'!$BE$2:$BE$1068,0)),"")</f>
        <v/>
      </c>
      <c r="L299" s="294">
        <f>IFERROR(INDEX('Historical Data'!$N$2:$N$1068,MATCH($A299,'Historical Data'!$BE$2:$BE$1068,0)),"")</f>
        <v/>
      </c>
      <c r="M299" s="294">
        <f>IFERROR(INDEX('Historical Data'!$Q$2:$Q$1068,MATCH($A299,'Historical Data'!$BE$2:$BE$1068,0)),"")</f>
        <v/>
      </c>
      <c r="N299" s="295">
        <f>IFERROR(INDEX('Historical Data'!$S$2:$S$1068,MATCH($A299,'Historical Data'!$BE$2:$BE$1068,0)),"")</f>
        <v/>
      </c>
      <c r="O299" s="294">
        <f>IFERROR(INDEX('Historical Data'!$AJ$2:$AJ$1068,MATCH($A299,'Historical Data'!$BE$2:$BE$1068,0)),"")</f>
        <v/>
      </c>
      <c r="P299" s="294">
        <f>IFERROR(INDEX('Historical Data'!$AK$2:$AK$1068,MATCH($A299,'Historical Data'!$BE$2:$BE$1068,0)),"")</f>
        <v/>
      </c>
      <c r="Q299" s="291">
        <f>IFERROR(INDEX('Historical Data'!$AA$2:$AA$1068,MATCH($A299,'Historical Data'!$BE$2:$BE$1068,0)),"")</f>
        <v/>
      </c>
      <c r="R299" s="291">
        <f>IFERROR(INDEX('Historical Data'!$AB$2:$AB$1068,MATCH($A299,'Historical Data'!$BE$2:$BE$1068,0)),"")</f>
        <v/>
      </c>
      <c r="S299" s="291">
        <f>IFERROR(INDEX('Historical Data'!$AN$2:$AN$1068,MATCH($A299,'Historical Data'!$BE$2:$BE$1068,0)),"")</f>
        <v/>
      </c>
      <c r="T299" s="291">
        <f>IFERROR(INDEX('Historical Data'!$AC$2:$AC$1068,MATCH($A299,'Historical Data'!$BE$2:$BE$1068,0)),"")</f>
        <v/>
      </c>
      <c r="U299" s="291">
        <f>IFERROR(INDEX('Historical Data'!$AE$2:$AE$1068,MATCH($A299,'Historical Data'!$BE$2:$BE$1068,0)),"")</f>
        <v/>
      </c>
      <c r="V299" s="291">
        <f>IFERROR(INDEX('Historical Data'!$AH$2:$AH$1068,MATCH($A299,'Historical Data'!$BE$2:$BE$1068,0)),"")</f>
        <v/>
      </c>
      <c r="W299" s="291">
        <f>IFERROR(INDEX('Historical Data'!$BC$2:$BC$1068,MATCH($A299,'Historical Data'!$BE$2:$BE$1068,0)),"")</f>
        <v/>
      </c>
      <c r="X299" s="290">
        <f>IF(B299="","",IF(W299=1,"NR + industry + position",IF(W299=2,"NR + ISO + position",IF(W299=3,"NR + industry",IF(W299=4,"NR + ISO",IF(W299=5,"NR + position",IF(W299=6,"NR only","book baseline"))))))&amp;"  ["&amp;IF(T299=1,"seasoned","unseasoned")&amp;IF(U299=1,", defaulted","")&amp;IF(V299=1,", open","")&amp;"]")</f>
        <v/>
      </c>
    </row>
    <row r="300">
      <c r="A300" s="290" t="n">
        <v>296</v>
      </c>
      <c r="B300" s="291">
        <f>IFERROR(INDEX('Historical Data'!$A$2:$A$1068,MATCH($A300,'Historical Data'!$BE$2:$BE$1068,0)),"")</f>
        <v/>
      </c>
      <c r="C300" s="291">
        <f>IFERROR(INDEX('Historical Data'!$B$2:$B$1068,MATCH($A300,'Historical Data'!$BE$2:$BE$1068,0)),"")</f>
        <v/>
      </c>
      <c r="D300" s="291">
        <f>IFERROR(INDEX('Historical Data'!$D$2:$D$1068,MATCH($A300,'Historical Data'!$BE$2:$BE$1068,0)),"")</f>
        <v/>
      </c>
      <c r="E300" s="292">
        <f>IFERROR(INDEX('Historical Data'!$E$2:$E$1068,MATCH($A300,'Historical Data'!$BE$2:$BE$1068,0)),"")</f>
        <v/>
      </c>
      <c r="F300" s="291">
        <f>IFERROR(INDEX('Historical Data'!$G$2:$G$1068,MATCH($A300,'Historical Data'!$BE$2:$BE$1068,0)),"")</f>
        <v/>
      </c>
      <c r="G300" s="291">
        <f>IFERROR(INDEX('Historical Data'!$Y$2:$Y$1068,MATCH($A300,'Historical Data'!$BE$2:$BE$1068,0)),"")</f>
        <v/>
      </c>
      <c r="H300" s="291">
        <f>IFERROR(INDEX('Historical Data'!$K$2:$K$1068,MATCH($A300,'Historical Data'!$BE$2:$BE$1068,0)),"")</f>
        <v/>
      </c>
      <c r="I300" s="291">
        <f>IFERROR(INDEX('Historical Data'!$J$2:$J$1068,MATCH($A300,'Historical Data'!$BE$2:$BE$1068,0)),"")</f>
        <v/>
      </c>
      <c r="J300" s="291">
        <f>IFERROR(INDEX('Historical Data'!$L$2:$L$1068,MATCH($A300,'Historical Data'!$BE$2:$BE$1068,0)),"")</f>
        <v/>
      </c>
      <c r="K300" s="293">
        <f>IFERROR(INDEX('Historical Data'!$M$2:$M$1068,MATCH($A300,'Historical Data'!$BE$2:$BE$1068,0)),"")</f>
        <v/>
      </c>
      <c r="L300" s="294">
        <f>IFERROR(INDEX('Historical Data'!$N$2:$N$1068,MATCH($A300,'Historical Data'!$BE$2:$BE$1068,0)),"")</f>
        <v/>
      </c>
      <c r="M300" s="294">
        <f>IFERROR(INDEX('Historical Data'!$Q$2:$Q$1068,MATCH($A300,'Historical Data'!$BE$2:$BE$1068,0)),"")</f>
        <v/>
      </c>
      <c r="N300" s="295">
        <f>IFERROR(INDEX('Historical Data'!$S$2:$S$1068,MATCH($A300,'Historical Data'!$BE$2:$BE$1068,0)),"")</f>
        <v/>
      </c>
      <c r="O300" s="294">
        <f>IFERROR(INDEX('Historical Data'!$AJ$2:$AJ$1068,MATCH($A300,'Historical Data'!$BE$2:$BE$1068,0)),"")</f>
        <v/>
      </c>
      <c r="P300" s="294">
        <f>IFERROR(INDEX('Historical Data'!$AK$2:$AK$1068,MATCH($A300,'Historical Data'!$BE$2:$BE$1068,0)),"")</f>
        <v/>
      </c>
      <c r="Q300" s="291">
        <f>IFERROR(INDEX('Historical Data'!$AA$2:$AA$1068,MATCH($A300,'Historical Data'!$BE$2:$BE$1068,0)),"")</f>
        <v/>
      </c>
      <c r="R300" s="291">
        <f>IFERROR(INDEX('Historical Data'!$AB$2:$AB$1068,MATCH($A300,'Historical Data'!$BE$2:$BE$1068,0)),"")</f>
        <v/>
      </c>
      <c r="S300" s="291">
        <f>IFERROR(INDEX('Historical Data'!$AN$2:$AN$1068,MATCH($A300,'Historical Data'!$BE$2:$BE$1068,0)),"")</f>
        <v/>
      </c>
      <c r="T300" s="291">
        <f>IFERROR(INDEX('Historical Data'!$AC$2:$AC$1068,MATCH($A300,'Historical Data'!$BE$2:$BE$1068,0)),"")</f>
        <v/>
      </c>
      <c r="U300" s="291">
        <f>IFERROR(INDEX('Historical Data'!$AE$2:$AE$1068,MATCH($A300,'Historical Data'!$BE$2:$BE$1068,0)),"")</f>
        <v/>
      </c>
      <c r="V300" s="291">
        <f>IFERROR(INDEX('Historical Data'!$AH$2:$AH$1068,MATCH($A300,'Historical Data'!$BE$2:$BE$1068,0)),"")</f>
        <v/>
      </c>
      <c r="W300" s="291">
        <f>IFERROR(INDEX('Historical Data'!$BC$2:$BC$1068,MATCH($A300,'Historical Data'!$BE$2:$BE$1068,0)),"")</f>
        <v/>
      </c>
      <c r="X300" s="290">
        <f>IF(B300="","",IF(W300=1,"NR + industry + position",IF(W300=2,"NR + ISO + position",IF(W300=3,"NR + industry",IF(W300=4,"NR + ISO",IF(W300=5,"NR + position",IF(W300=6,"NR only","book baseline"))))))&amp;"  ["&amp;IF(T300=1,"seasoned","unseasoned")&amp;IF(U300=1,", defaulted","")&amp;IF(V300=1,", open","")&amp;"]")</f>
        <v/>
      </c>
    </row>
    <row r="301">
      <c r="A301" s="290" t="n">
        <v>297</v>
      </c>
      <c r="B301" s="291">
        <f>IFERROR(INDEX('Historical Data'!$A$2:$A$1068,MATCH($A301,'Historical Data'!$BE$2:$BE$1068,0)),"")</f>
        <v/>
      </c>
      <c r="C301" s="291">
        <f>IFERROR(INDEX('Historical Data'!$B$2:$B$1068,MATCH($A301,'Historical Data'!$BE$2:$BE$1068,0)),"")</f>
        <v/>
      </c>
      <c r="D301" s="291">
        <f>IFERROR(INDEX('Historical Data'!$D$2:$D$1068,MATCH($A301,'Historical Data'!$BE$2:$BE$1068,0)),"")</f>
        <v/>
      </c>
      <c r="E301" s="292">
        <f>IFERROR(INDEX('Historical Data'!$E$2:$E$1068,MATCH($A301,'Historical Data'!$BE$2:$BE$1068,0)),"")</f>
        <v/>
      </c>
      <c r="F301" s="291">
        <f>IFERROR(INDEX('Historical Data'!$G$2:$G$1068,MATCH($A301,'Historical Data'!$BE$2:$BE$1068,0)),"")</f>
        <v/>
      </c>
      <c r="G301" s="291">
        <f>IFERROR(INDEX('Historical Data'!$Y$2:$Y$1068,MATCH($A301,'Historical Data'!$BE$2:$BE$1068,0)),"")</f>
        <v/>
      </c>
      <c r="H301" s="291">
        <f>IFERROR(INDEX('Historical Data'!$K$2:$K$1068,MATCH($A301,'Historical Data'!$BE$2:$BE$1068,0)),"")</f>
        <v/>
      </c>
      <c r="I301" s="291">
        <f>IFERROR(INDEX('Historical Data'!$J$2:$J$1068,MATCH($A301,'Historical Data'!$BE$2:$BE$1068,0)),"")</f>
        <v/>
      </c>
      <c r="J301" s="291">
        <f>IFERROR(INDEX('Historical Data'!$L$2:$L$1068,MATCH($A301,'Historical Data'!$BE$2:$BE$1068,0)),"")</f>
        <v/>
      </c>
      <c r="K301" s="293">
        <f>IFERROR(INDEX('Historical Data'!$M$2:$M$1068,MATCH($A301,'Historical Data'!$BE$2:$BE$1068,0)),"")</f>
        <v/>
      </c>
      <c r="L301" s="294">
        <f>IFERROR(INDEX('Historical Data'!$N$2:$N$1068,MATCH($A301,'Historical Data'!$BE$2:$BE$1068,0)),"")</f>
        <v/>
      </c>
      <c r="M301" s="294">
        <f>IFERROR(INDEX('Historical Data'!$Q$2:$Q$1068,MATCH($A301,'Historical Data'!$BE$2:$BE$1068,0)),"")</f>
        <v/>
      </c>
      <c r="N301" s="295">
        <f>IFERROR(INDEX('Historical Data'!$S$2:$S$1068,MATCH($A301,'Historical Data'!$BE$2:$BE$1068,0)),"")</f>
        <v/>
      </c>
      <c r="O301" s="294">
        <f>IFERROR(INDEX('Historical Data'!$AJ$2:$AJ$1068,MATCH($A301,'Historical Data'!$BE$2:$BE$1068,0)),"")</f>
        <v/>
      </c>
      <c r="P301" s="294">
        <f>IFERROR(INDEX('Historical Data'!$AK$2:$AK$1068,MATCH($A301,'Historical Data'!$BE$2:$BE$1068,0)),"")</f>
        <v/>
      </c>
      <c r="Q301" s="291">
        <f>IFERROR(INDEX('Historical Data'!$AA$2:$AA$1068,MATCH($A301,'Historical Data'!$BE$2:$BE$1068,0)),"")</f>
        <v/>
      </c>
      <c r="R301" s="291">
        <f>IFERROR(INDEX('Historical Data'!$AB$2:$AB$1068,MATCH($A301,'Historical Data'!$BE$2:$BE$1068,0)),"")</f>
        <v/>
      </c>
      <c r="S301" s="291">
        <f>IFERROR(INDEX('Historical Data'!$AN$2:$AN$1068,MATCH($A301,'Historical Data'!$BE$2:$BE$1068,0)),"")</f>
        <v/>
      </c>
      <c r="T301" s="291">
        <f>IFERROR(INDEX('Historical Data'!$AC$2:$AC$1068,MATCH($A301,'Historical Data'!$BE$2:$BE$1068,0)),"")</f>
        <v/>
      </c>
      <c r="U301" s="291">
        <f>IFERROR(INDEX('Historical Data'!$AE$2:$AE$1068,MATCH($A301,'Historical Data'!$BE$2:$BE$1068,0)),"")</f>
        <v/>
      </c>
      <c r="V301" s="291">
        <f>IFERROR(INDEX('Historical Data'!$AH$2:$AH$1068,MATCH($A301,'Historical Data'!$BE$2:$BE$1068,0)),"")</f>
        <v/>
      </c>
      <c r="W301" s="291">
        <f>IFERROR(INDEX('Historical Data'!$BC$2:$BC$1068,MATCH($A301,'Historical Data'!$BE$2:$BE$1068,0)),"")</f>
        <v/>
      </c>
      <c r="X301" s="290">
        <f>IF(B301="","",IF(W301=1,"NR + industry + position",IF(W301=2,"NR + ISO + position",IF(W301=3,"NR + industry",IF(W301=4,"NR + ISO",IF(W301=5,"NR + position",IF(W301=6,"NR only","book baseline"))))))&amp;"  ["&amp;IF(T301=1,"seasoned","unseasoned")&amp;IF(U301=1,", defaulted","")&amp;IF(V301=1,", open","")&amp;"]")</f>
        <v/>
      </c>
    </row>
    <row r="302">
      <c r="A302" s="290" t="n">
        <v>298</v>
      </c>
      <c r="B302" s="291">
        <f>IFERROR(INDEX('Historical Data'!$A$2:$A$1068,MATCH($A302,'Historical Data'!$BE$2:$BE$1068,0)),"")</f>
        <v/>
      </c>
      <c r="C302" s="291">
        <f>IFERROR(INDEX('Historical Data'!$B$2:$B$1068,MATCH($A302,'Historical Data'!$BE$2:$BE$1068,0)),"")</f>
        <v/>
      </c>
      <c r="D302" s="291">
        <f>IFERROR(INDEX('Historical Data'!$D$2:$D$1068,MATCH($A302,'Historical Data'!$BE$2:$BE$1068,0)),"")</f>
        <v/>
      </c>
      <c r="E302" s="292">
        <f>IFERROR(INDEX('Historical Data'!$E$2:$E$1068,MATCH($A302,'Historical Data'!$BE$2:$BE$1068,0)),"")</f>
        <v/>
      </c>
      <c r="F302" s="291">
        <f>IFERROR(INDEX('Historical Data'!$G$2:$G$1068,MATCH($A302,'Historical Data'!$BE$2:$BE$1068,0)),"")</f>
        <v/>
      </c>
      <c r="G302" s="291">
        <f>IFERROR(INDEX('Historical Data'!$Y$2:$Y$1068,MATCH($A302,'Historical Data'!$BE$2:$BE$1068,0)),"")</f>
        <v/>
      </c>
      <c r="H302" s="291">
        <f>IFERROR(INDEX('Historical Data'!$K$2:$K$1068,MATCH($A302,'Historical Data'!$BE$2:$BE$1068,0)),"")</f>
        <v/>
      </c>
      <c r="I302" s="291">
        <f>IFERROR(INDEX('Historical Data'!$J$2:$J$1068,MATCH($A302,'Historical Data'!$BE$2:$BE$1068,0)),"")</f>
        <v/>
      </c>
      <c r="J302" s="291">
        <f>IFERROR(INDEX('Historical Data'!$L$2:$L$1068,MATCH($A302,'Historical Data'!$BE$2:$BE$1068,0)),"")</f>
        <v/>
      </c>
      <c r="K302" s="293">
        <f>IFERROR(INDEX('Historical Data'!$M$2:$M$1068,MATCH($A302,'Historical Data'!$BE$2:$BE$1068,0)),"")</f>
        <v/>
      </c>
      <c r="L302" s="294">
        <f>IFERROR(INDEX('Historical Data'!$N$2:$N$1068,MATCH($A302,'Historical Data'!$BE$2:$BE$1068,0)),"")</f>
        <v/>
      </c>
      <c r="M302" s="294">
        <f>IFERROR(INDEX('Historical Data'!$Q$2:$Q$1068,MATCH($A302,'Historical Data'!$BE$2:$BE$1068,0)),"")</f>
        <v/>
      </c>
      <c r="N302" s="295">
        <f>IFERROR(INDEX('Historical Data'!$S$2:$S$1068,MATCH($A302,'Historical Data'!$BE$2:$BE$1068,0)),"")</f>
        <v/>
      </c>
      <c r="O302" s="294">
        <f>IFERROR(INDEX('Historical Data'!$AJ$2:$AJ$1068,MATCH($A302,'Historical Data'!$BE$2:$BE$1068,0)),"")</f>
        <v/>
      </c>
      <c r="P302" s="294">
        <f>IFERROR(INDEX('Historical Data'!$AK$2:$AK$1068,MATCH($A302,'Historical Data'!$BE$2:$BE$1068,0)),"")</f>
        <v/>
      </c>
      <c r="Q302" s="291">
        <f>IFERROR(INDEX('Historical Data'!$AA$2:$AA$1068,MATCH($A302,'Historical Data'!$BE$2:$BE$1068,0)),"")</f>
        <v/>
      </c>
      <c r="R302" s="291">
        <f>IFERROR(INDEX('Historical Data'!$AB$2:$AB$1068,MATCH($A302,'Historical Data'!$BE$2:$BE$1068,0)),"")</f>
        <v/>
      </c>
      <c r="S302" s="291">
        <f>IFERROR(INDEX('Historical Data'!$AN$2:$AN$1068,MATCH($A302,'Historical Data'!$BE$2:$BE$1068,0)),"")</f>
        <v/>
      </c>
      <c r="T302" s="291">
        <f>IFERROR(INDEX('Historical Data'!$AC$2:$AC$1068,MATCH($A302,'Historical Data'!$BE$2:$BE$1068,0)),"")</f>
        <v/>
      </c>
      <c r="U302" s="291">
        <f>IFERROR(INDEX('Historical Data'!$AE$2:$AE$1068,MATCH($A302,'Historical Data'!$BE$2:$BE$1068,0)),"")</f>
        <v/>
      </c>
      <c r="V302" s="291">
        <f>IFERROR(INDEX('Historical Data'!$AH$2:$AH$1068,MATCH($A302,'Historical Data'!$BE$2:$BE$1068,0)),"")</f>
        <v/>
      </c>
      <c r="W302" s="291">
        <f>IFERROR(INDEX('Historical Data'!$BC$2:$BC$1068,MATCH($A302,'Historical Data'!$BE$2:$BE$1068,0)),"")</f>
        <v/>
      </c>
      <c r="X302" s="290">
        <f>IF(B302="","",IF(W302=1,"NR + industry + position",IF(W302=2,"NR + ISO + position",IF(W302=3,"NR + industry",IF(W302=4,"NR + ISO",IF(W302=5,"NR + position",IF(W302=6,"NR only","book baseline"))))))&amp;"  ["&amp;IF(T302=1,"seasoned","unseasoned")&amp;IF(U302=1,", defaulted","")&amp;IF(V302=1,", open","")&amp;"]")</f>
        <v/>
      </c>
    </row>
    <row r="303">
      <c r="A303" s="290" t="n">
        <v>299</v>
      </c>
      <c r="B303" s="291">
        <f>IFERROR(INDEX('Historical Data'!$A$2:$A$1068,MATCH($A303,'Historical Data'!$BE$2:$BE$1068,0)),"")</f>
        <v/>
      </c>
      <c r="C303" s="291">
        <f>IFERROR(INDEX('Historical Data'!$B$2:$B$1068,MATCH($A303,'Historical Data'!$BE$2:$BE$1068,0)),"")</f>
        <v/>
      </c>
      <c r="D303" s="291">
        <f>IFERROR(INDEX('Historical Data'!$D$2:$D$1068,MATCH($A303,'Historical Data'!$BE$2:$BE$1068,0)),"")</f>
        <v/>
      </c>
      <c r="E303" s="292">
        <f>IFERROR(INDEX('Historical Data'!$E$2:$E$1068,MATCH($A303,'Historical Data'!$BE$2:$BE$1068,0)),"")</f>
        <v/>
      </c>
      <c r="F303" s="291">
        <f>IFERROR(INDEX('Historical Data'!$G$2:$G$1068,MATCH($A303,'Historical Data'!$BE$2:$BE$1068,0)),"")</f>
        <v/>
      </c>
      <c r="G303" s="291">
        <f>IFERROR(INDEX('Historical Data'!$Y$2:$Y$1068,MATCH($A303,'Historical Data'!$BE$2:$BE$1068,0)),"")</f>
        <v/>
      </c>
      <c r="H303" s="291">
        <f>IFERROR(INDEX('Historical Data'!$K$2:$K$1068,MATCH($A303,'Historical Data'!$BE$2:$BE$1068,0)),"")</f>
        <v/>
      </c>
      <c r="I303" s="291">
        <f>IFERROR(INDEX('Historical Data'!$J$2:$J$1068,MATCH($A303,'Historical Data'!$BE$2:$BE$1068,0)),"")</f>
        <v/>
      </c>
      <c r="J303" s="291">
        <f>IFERROR(INDEX('Historical Data'!$L$2:$L$1068,MATCH($A303,'Historical Data'!$BE$2:$BE$1068,0)),"")</f>
        <v/>
      </c>
      <c r="K303" s="293">
        <f>IFERROR(INDEX('Historical Data'!$M$2:$M$1068,MATCH($A303,'Historical Data'!$BE$2:$BE$1068,0)),"")</f>
        <v/>
      </c>
      <c r="L303" s="294">
        <f>IFERROR(INDEX('Historical Data'!$N$2:$N$1068,MATCH($A303,'Historical Data'!$BE$2:$BE$1068,0)),"")</f>
        <v/>
      </c>
      <c r="M303" s="294">
        <f>IFERROR(INDEX('Historical Data'!$Q$2:$Q$1068,MATCH($A303,'Historical Data'!$BE$2:$BE$1068,0)),"")</f>
        <v/>
      </c>
      <c r="N303" s="295">
        <f>IFERROR(INDEX('Historical Data'!$S$2:$S$1068,MATCH($A303,'Historical Data'!$BE$2:$BE$1068,0)),"")</f>
        <v/>
      </c>
      <c r="O303" s="294">
        <f>IFERROR(INDEX('Historical Data'!$AJ$2:$AJ$1068,MATCH($A303,'Historical Data'!$BE$2:$BE$1068,0)),"")</f>
        <v/>
      </c>
      <c r="P303" s="294">
        <f>IFERROR(INDEX('Historical Data'!$AK$2:$AK$1068,MATCH($A303,'Historical Data'!$BE$2:$BE$1068,0)),"")</f>
        <v/>
      </c>
      <c r="Q303" s="291">
        <f>IFERROR(INDEX('Historical Data'!$AA$2:$AA$1068,MATCH($A303,'Historical Data'!$BE$2:$BE$1068,0)),"")</f>
        <v/>
      </c>
      <c r="R303" s="291">
        <f>IFERROR(INDEX('Historical Data'!$AB$2:$AB$1068,MATCH($A303,'Historical Data'!$BE$2:$BE$1068,0)),"")</f>
        <v/>
      </c>
      <c r="S303" s="291">
        <f>IFERROR(INDEX('Historical Data'!$AN$2:$AN$1068,MATCH($A303,'Historical Data'!$BE$2:$BE$1068,0)),"")</f>
        <v/>
      </c>
      <c r="T303" s="291">
        <f>IFERROR(INDEX('Historical Data'!$AC$2:$AC$1068,MATCH($A303,'Historical Data'!$BE$2:$BE$1068,0)),"")</f>
        <v/>
      </c>
      <c r="U303" s="291">
        <f>IFERROR(INDEX('Historical Data'!$AE$2:$AE$1068,MATCH($A303,'Historical Data'!$BE$2:$BE$1068,0)),"")</f>
        <v/>
      </c>
      <c r="V303" s="291">
        <f>IFERROR(INDEX('Historical Data'!$AH$2:$AH$1068,MATCH($A303,'Historical Data'!$BE$2:$BE$1068,0)),"")</f>
        <v/>
      </c>
      <c r="W303" s="291">
        <f>IFERROR(INDEX('Historical Data'!$BC$2:$BC$1068,MATCH($A303,'Historical Data'!$BE$2:$BE$1068,0)),"")</f>
        <v/>
      </c>
      <c r="X303" s="290">
        <f>IF(B303="","",IF(W303=1,"NR + industry + position",IF(W303=2,"NR + ISO + position",IF(W303=3,"NR + industry",IF(W303=4,"NR + ISO",IF(W303=5,"NR + position",IF(W303=6,"NR only","book baseline"))))))&amp;"  ["&amp;IF(T303=1,"seasoned","unseasoned")&amp;IF(U303=1,", defaulted","")&amp;IF(V303=1,", open","")&amp;"]")</f>
        <v/>
      </c>
    </row>
    <row r="304">
      <c r="A304" s="290" t="n">
        <v>300</v>
      </c>
      <c r="B304" s="291">
        <f>IFERROR(INDEX('Historical Data'!$A$2:$A$1068,MATCH($A304,'Historical Data'!$BE$2:$BE$1068,0)),"")</f>
        <v/>
      </c>
      <c r="C304" s="291">
        <f>IFERROR(INDEX('Historical Data'!$B$2:$B$1068,MATCH($A304,'Historical Data'!$BE$2:$BE$1068,0)),"")</f>
        <v/>
      </c>
      <c r="D304" s="291">
        <f>IFERROR(INDEX('Historical Data'!$D$2:$D$1068,MATCH($A304,'Historical Data'!$BE$2:$BE$1068,0)),"")</f>
        <v/>
      </c>
      <c r="E304" s="292">
        <f>IFERROR(INDEX('Historical Data'!$E$2:$E$1068,MATCH($A304,'Historical Data'!$BE$2:$BE$1068,0)),"")</f>
        <v/>
      </c>
      <c r="F304" s="291">
        <f>IFERROR(INDEX('Historical Data'!$G$2:$G$1068,MATCH($A304,'Historical Data'!$BE$2:$BE$1068,0)),"")</f>
        <v/>
      </c>
      <c r="G304" s="291">
        <f>IFERROR(INDEX('Historical Data'!$Y$2:$Y$1068,MATCH($A304,'Historical Data'!$BE$2:$BE$1068,0)),"")</f>
        <v/>
      </c>
      <c r="H304" s="291">
        <f>IFERROR(INDEX('Historical Data'!$K$2:$K$1068,MATCH($A304,'Historical Data'!$BE$2:$BE$1068,0)),"")</f>
        <v/>
      </c>
      <c r="I304" s="291">
        <f>IFERROR(INDEX('Historical Data'!$J$2:$J$1068,MATCH($A304,'Historical Data'!$BE$2:$BE$1068,0)),"")</f>
        <v/>
      </c>
      <c r="J304" s="291">
        <f>IFERROR(INDEX('Historical Data'!$L$2:$L$1068,MATCH($A304,'Historical Data'!$BE$2:$BE$1068,0)),"")</f>
        <v/>
      </c>
      <c r="K304" s="293">
        <f>IFERROR(INDEX('Historical Data'!$M$2:$M$1068,MATCH($A304,'Historical Data'!$BE$2:$BE$1068,0)),"")</f>
        <v/>
      </c>
      <c r="L304" s="294">
        <f>IFERROR(INDEX('Historical Data'!$N$2:$N$1068,MATCH($A304,'Historical Data'!$BE$2:$BE$1068,0)),"")</f>
        <v/>
      </c>
      <c r="M304" s="294">
        <f>IFERROR(INDEX('Historical Data'!$Q$2:$Q$1068,MATCH($A304,'Historical Data'!$BE$2:$BE$1068,0)),"")</f>
        <v/>
      </c>
      <c r="N304" s="295">
        <f>IFERROR(INDEX('Historical Data'!$S$2:$S$1068,MATCH($A304,'Historical Data'!$BE$2:$BE$1068,0)),"")</f>
        <v/>
      </c>
      <c r="O304" s="294">
        <f>IFERROR(INDEX('Historical Data'!$AJ$2:$AJ$1068,MATCH($A304,'Historical Data'!$BE$2:$BE$1068,0)),"")</f>
        <v/>
      </c>
      <c r="P304" s="294">
        <f>IFERROR(INDEX('Historical Data'!$AK$2:$AK$1068,MATCH($A304,'Historical Data'!$BE$2:$BE$1068,0)),"")</f>
        <v/>
      </c>
      <c r="Q304" s="291">
        <f>IFERROR(INDEX('Historical Data'!$AA$2:$AA$1068,MATCH($A304,'Historical Data'!$BE$2:$BE$1068,0)),"")</f>
        <v/>
      </c>
      <c r="R304" s="291">
        <f>IFERROR(INDEX('Historical Data'!$AB$2:$AB$1068,MATCH($A304,'Historical Data'!$BE$2:$BE$1068,0)),"")</f>
        <v/>
      </c>
      <c r="S304" s="291">
        <f>IFERROR(INDEX('Historical Data'!$AN$2:$AN$1068,MATCH($A304,'Historical Data'!$BE$2:$BE$1068,0)),"")</f>
        <v/>
      </c>
      <c r="T304" s="291">
        <f>IFERROR(INDEX('Historical Data'!$AC$2:$AC$1068,MATCH($A304,'Historical Data'!$BE$2:$BE$1068,0)),"")</f>
        <v/>
      </c>
      <c r="U304" s="291">
        <f>IFERROR(INDEX('Historical Data'!$AE$2:$AE$1068,MATCH($A304,'Historical Data'!$BE$2:$BE$1068,0)),"")</f>
        <v/>
      </c>
      <c r="V304" s="291">
        <f>IFERROR(INDEX('Historical Data'!$AH$2:$AH$1068,MATCH($A304,'Historical Data'!$BE$2:$BE$1068,0)),"")</f>
        <v/>
      </c>
      <c r="W304" s="291">
        <f>IFERROR(INDEX('Historical Data'!$BC$2:$BC$1068,MATCH($A304,'Historical Data'!$BE$2:$BE$1068,0)),"")</f>
        <v/>
      </c>
      <c r="X304" s="290">
        <f>IF(B304="","",IF(W304=1,"NR + industry + position",IF(W304=2,"NR + ISO + position",IF(W304=3,"NR + industry",IF(W304=4,"NR + ISO",IF(W304=5,"NR + position",IF(W304=6,"NR only","book baseline"))))))&amp;"  ["&amp;IF(T304=1,"seasoned","unseasoned")&amp;IF(U304=1,", defaulted","")&amp;IF(V304=1,", open","")&amp;"]")</f>
        <v/>
      </c>
    </row>
    <row r="305">
      <c r="A305" s="290" t="n">
        <v>301</v>
      </c>
      <c r="B305" s="291">
        <f>IFERROR(INDEX('Historical Data'!$A$2:$A$1068,MATCH($A305,'Historical Data'!$BE$2:$BE$1068,0)),"")</f>
        <v/>
      </c>
      <c r="C305" s="291">
        <f>IFERROR(INDEX('Historical Data'!$B$2:$B$1068,MATCH($A305,'Historical Data'!$BE$2:$BE$1068,0)),"")</f>
        <v/>
      </c>
      <c r="D305" s="291">
        <f>IFERROR(INDEX('Historical Data'!$D$2:$D$1068,MATCH($A305,'Historical Data'!$BE$2:$BE$1068,0)),"")</f>
        <v/>
      </c>
      <c r="E305" s="292">
        <f>IFERROR(INDEX('Historical Data'!$E$2:$E$1068,MATCH($A305,'Historical Data'!$BE$2:$BE$1068,0)),"")</f>
        <v/>
      </c>
      <c r="F305" s="291">
        <f>IFERROR(INDEX('Historical Data'!$G$2:$G$1068,MATCH($A305,'Historical Data'!$BE$2:$BE$1068,0)),"")</f>
        <v/>
      </c>
      <c r="G305" s="291">
        <f>IFERROR(INDEX('Historical Data'!$Y$2:$Y$1068,MATCH($A305,'Historical Data'!$BE$2:$BE$1068,0)),"")</f>
        <v/>
      </c>
      <c r="H305" s="291">
        <f>IFERROR(INDEX('Historical Data'!$K$2:$K$1068,MATCH($A305,'Historical Data'!$BE$2:$BE$1068,0)),"")</f>
        <v/>
      </c>
      <c r="I305" s="291">
        <f>IFERROR(INDEX('Historical Data'!$J$2:$J$1068,MATCH($A305,'Historical Data'!$BE$2:$BE$1068,0)),"")</f>
        <v/>
      </c>
      <c r="J305" s="291">
        <f>IFERROR(INDEX('Historical Data'!$L$2:$L$1068,MATCH($A305,'Historical Data'!$BE$2:$BE$1068,0)),"")</f>
        <v/>
      </c>
      <c r="K305" s="293">
        <f>IFERROR(INDEX('Historical Data'!$M$2:$M$1068,MATCH($A305,'Historical Data'!$BE$2:$BE$1068,0)),"")</f>
        <v/>
      </c>
      <c r="L305" s="294">
        <f>IFERROR(INDEX('Historical Data'!$N$2:$N$1068,MATCH($A305,'Historical Data'!$BE$2:$BE$1068,0)),"")</f>
        <v/>
      </c>
      <c r="M305" s="294">
        <f>IFERROR(INDEX('Historical Data'!$Q$2:$Q$1068,MATCH($A305,'Historical Data'!$BE$2:$BE$1068,0)),"")</f>
        <v/>
      </c>
      <c r="N305" s="295">
        <f>IFERROR(INDEX('Historical Data'!$S$2:$S$1068,MATCH($A305,'Historical Data'!$BE$2:$BE$1068,0)),"")</f>
        <v/>
      </c>
      <c r="O305" s="294">
        <f>IFERROR(INDEX('Historical Data'!$AJ$2:$AJ$1068,MATCH($A305,'Historical Data'!$BE$2:$BE$1068,0)),"")</f>
        <v/>
      </c>
      <c r="P305" s="294">
        <f>IFERROR(INDEX('Historical Data'!$AK$2:$AK$1068,MATCH($A305,'Historical Data'!$BE$2:$BE$1068,0)),"")</f>
        <v/>
      </c>
      <c r="Q305" s="291">
        <f>IFERROR(INDEX('Historical Data'!$AA$2:$AA$1068,MATCH($A305,'Historical Data'!$BE$2:$BE$1068,0)),"")</f>
        <v/>
      </c>
      <c r="R305" s="291">
        <f>IFERROR(INDEX('Historical Data'!$AB$2:$AB$1068,MATCH($A305,'Historical Data'!$BE$2:$BE$1068,0)),"")</f>
        <v/>
      </c>
      <c r="S305" s="291">
        <f>IFERROR(INDEX('Historical Data'!$AN$2:$AN$1068,MATCH($A305,'Historical Data'!$BE$2:$BE$1068,0)),"")</f>
        <v/>
      </c>
      <c r="T305" s="291">
        <f>IFERROR(INDEX('Historical Data'!$AC$2:$AC$1068,MATCH($A305,'Historical Data'!$BE$2:$BE$1068,0)),"")</f>
        <v/>
      </c>
      <c r="U305" s="291">
        <f>IFERROR(INDEX('Historical Data'!$AE$2:$AE$1068,MATCH($A305,'Historical Data'!$BE$2:$BE$1068,0)),"")</f>
        <v/>
      </c>
      <c r="V305" s="291">
        <f>IFERROR(INDEX('Historical Data'!$AH$2:$AH$1068,MATCH($A305,'Historical Data'!$BE$2:$BE$1068,0)),"")</f>
        <v/>
      </c>
      <c r="W305" s="291">
        <f>IFERROR(INDEX('Historical Data'!$BC$2:$BC$1068,MATCH($A305,'Historical Data'!$BE$2:$BE$1068,0)),"")</f>
        <v/>
      </c>
      <c r="X305" s="290">
        <f>IF(B305="","",IF(W305=1,"NR + industry + position",IF(W305=2,"NR + ISO + position",IF(W305=3,"NR + industry",IF(W305=4,"NR + ISO",IF(W305=5,"NR + position",IF(W305=6,"NR only","book baseline"))))))&amp;"  ["&amp;IF(T305=1,"seasoned","unseasoned")&amp;IF(U305=1,", defaulted","")&amp;IF(V305=1,", open","")&amp;"]")</f>
        <v/>
      </c>
    </row>
    <row r="306">
      <c r="A306" s="290" t="n">
        <v>302</v>
      </c>
      <c r="B306" s="291">
        <f>IFERROR(INDEX('Historical Data'!$A$2:$A$1068,MATCH($A306,'Historical Data'!$BE$2:$BE$1068,0)),"")</f>
        <v/>
      </c>
      <c r="C306" s="291">
        <f>IFERROR(INDEX('Historical Data'!$B$2:$B$1068,MATCH($A306,'Historical Data'!$BE$2:$BE$1068,0)),"")</f>
        <v/>
      </c>
      <c r="D306" s="291">
        <f>IFERROR(INDEX('Historical Data'!$D$2:$D$1068,MATCH($A306,'Historical Data'!$BE$2:$BE$1068,0)),"")</f>
        <v/>
      </c>
      <c r="E306" s="292">
        <f>IFERROR(INDEX('Historical Data'!$E$2:$E$1068,MATCH($A306,'Historical Data'!$BE$2:$BE$1068,0)),"")</f>
        <v/>
      </c>
      <c r="F306" s="291">
        <f>IFERROR(INDEX('Historical Data'!$G$2:$G$1068,MATCH($A306,'Historical Data'!$BE$2:$BE$1068,0)),"")</f>
        <v/>
      </c>
      <c r="G306" s="291">
        <f>IFERROR(INDEX('Historical Data'!$Y$2:$Y$1068,MATCH($A306,'Historical Data'!$BE$2:$BE$1068,0)),"")</f>
        <v/>
      </c>
      <c r="H306" s="291">
        <f>IFERROR(INDEX('Historical Data'!$K$2:$K$1068,MATCH($A306,'Historical Data'!$BE$2:$BE$1068,0)),"")</f>
        <v/>
      </c>
      <c r="I306" s="291">
        <f>IFERROR(INDEX('Historical Data'!$J$2:$J$1068,MATCH($A306,'Historical Data'!$BE$2:$BE$1068,0)),"")</f>
        <v/>
      </c>
      <c r="J306" s="291">
        <f>IFERROR(INDEX('Historical Data'!$L$2:$L$1068,MATCH($A306,'Historical Data'!$BE$2:$BE$1068,0)),"")</f>
        <v/>
      </c>
      <c r="K306" s="293">
        <f>IFERROR(INDEX('Historical Data'!$M$2:$M$1068,MATCH($A306,'Historical Data'!$BE$2:$BE$1068,0)),"")</f>
        <v/>
      </c>
      <c r="L306" s="294">
        <f>IFERROR(INDEX('Historical Data'!$N$2:$N$1068,MATCH($A306,'Historical Data'!$BE$2:$BE$1068,0)),"")</f>
        <v/>
      </c>
      <c r="M306" s="294">
        <f>IFERROR(INDEX('Historical Data'!$Q$2:$Q$1068,MATCH($A306,'Historical Data'!$BE$2:$BE$1068,0)),"")</f>
        <v/>
      </c>
      <c r="N306" s="295">
        <f>IFERROR(INDEX('Historical Data'!$S$2:$S$1068,MATCH($A306,'Historical Data'!$BE$2:$BE$1068,0)),"")</f>
        <v/>
      </c>
      <c r="O306" s="294">
        <f>IFERROR(INDEX('Historical Data'!$AJ$2:$AJ$1068,MATCH($A306,'Historical Data'!$BE$2:$BE$1068,0)),"")</f>
        <v/>
      </c>
      <c r="P306" s="294">
        <f>IFERROR(INDEX('Historical Data'!$AK$2:$AK$1068,MATCH($A306,'Historical Data'!$BE$2:$BE$1068,0)),"")</f>
        <v/>
      </c>
      <c r="Q306" s="291">
        <f>IFERROR(INDEX('Historical Data'!$AA$2:$AA$1068,MATCH($A306,'Historical Data'!$BE$2:$BE$1068,0)),"")</f>
        <v/>
      </c>
      <c r="R306" s="291">
        <f>IFERROR(INDEX('Historical Data'!$AB$2:$AB$1068,MATCH($A306,'Historical Data'!$BE$2:$BE$1068,0)),"")</f>
        <v/>
      </c>
      <c r="S306" s="291">
        <f>IFERROR(INDEX('Historical Data'!$AN$2:$AN$1068,MATCH($A306,'Historical Data'!$BE$2:$BE$1068,0)),"")</f>
        <v/>
      </c>
      <c r="T306" s="291">
        <f>IFERROR(INDEX('Historical Data'!$AC$2:$AC$1068,MATCH($A306,'Historical Data'!$BE$2:$BE$1068,0)),"")</f>
        <v/>
      </c>
      <c r="U306" s="291">
        <f>IFERROR(INDEX('Historical Data'!$AE$2:$AE$1068,MATCH($A306,'Historical Data'!$BE$2:$BE$1068,0)),"")</f>
        <v/>
      </c>
      <c r="V306" s="291">
        <f>IFERROR(INDEX('Historical Data'!$AH$2:$AH$1068,MATCH($A306,'Historical Data'!$BE$2:$BE$1068,0)),"")</f>
        <v/>
      </c>
      <c r="W306" s="291">
        <f>IFERROR(INDEX('Historical Data'!$BC$2:$BC$1068,MATCH($A306,'Historical Data'!$BE$2:$BE$1068,0)),"")</f>
        <v/>
      </c>
      <c r="X306" s="290">
        <f>IF(B306="","",IF(W306=1,"NR + industry + position",IF(W306=2,"NR + ISO + position",IF(W306=3,"NR + industry",IF(W306=4,"NR + ISO",IF(W306=5,"NR + position",IF(W306=6,"NR only","book baseline"))))))&amp;"  ["&amp;IF(T306=1,"seasoned","unseasoned")&amp;IF(U306=1,", defaulted","")&amp;IF(V306=1,", open","")&amp;"]")</f>
        <v/>
      </c>
    </row>
    <row r="307">
      <c r="A307" s="290" t="n">
        <v>303</v>
      </c>
      <c r="B307" s="291">
        <f>IFERROR(INDEX('Historical Data'!$A$2:$A$1068,MATCH($A307,'Historical Data'!$BE$2:$BE$1068,0)),"")</f>
        <v/>
      </c>
      <c r="C307" s="291">
        <f>IFERROR(INDEX('Historical Data'!$B$2:$B$1068,MATCH($A307,'Historical Data'!$BE$2:$BE$1068,0)),"")</f>
        <v/>
      </c>
      <c r="D307" s="291">
        <f>IFERROR(INDEX('Historical Data'!$D$2:$D$1068,MATCH($A307,'Historical Data'!$BE$2:$BE$1068,0)),"")</f>
        <v/>
      </c>
      <c r="E307" s="292">
        <f>IFERROR(INDEX('Historical Data'!$E$2:$E$1068,MATCH($A307,'Historical Data'!$BE$2:$BE$1068,0)),"")</f>
        <v/>
      </c>
      <c r="F307" s="291">
        <f>IFERROR(INDEX('Historical Data'!$G$2:$G$1068,MATCH($A307,'Historical Data'!$BE$2:$BE$1068,0)),"")</f>
        <v/>
      </c>
      <c r="G307" s="291">
        <f>IFERROR(INDEX('Historical Data'!$Y$2:$Y$1068,MATCH($A307,'Historical Data'!$BE$2:$BE$1068,0)),"")</f>
        <v/>
      </c>
      <c r="H307" s="291">
        <f>IFERROR(INDEX('Historical Data'!$K$2:$K$1068,MATCH($A307,'Historical Data'!$BE$2:$BE$1068,0)),"")</f>
        <v/>
      </c>
      <c r="I307" s="291">
        <f>IFERROR(INDEX('Historical Data'!$J$2:$J$1068,MATCH($A307,'Historical Data'!$BE$2:$BE$1068,0)),"")</f>
        <v/>
      </c>
      <c r="J307" s="291">
        <f>IFERROR(INDEX('Historical Data'!$L$2:$L$1068,MATCH($A307,'Historical Data'!$BE$2:$BE$1068,0)),"")</f>
        <v/>
      </c>
      <c r="K307" s="293">
        <f>IFERROR(INDEX('Historical Data'!$M$2:$M$1068,MATCH($A307,'Historical Data'!$BE$2:$BE$1068,0)),"")</f>
        <v/>
      </c>
      <c r="L307" s="294">
        <f>IFERROR(INDEX('Historical Data'!$N$2:$N$1068,MATCH($A307,'Historical Data'!$BE$2:$BE$1068,0)),"")</f>
        <v/>
      </c>
      <c r="M307" s="294">
        <f>IFERROR(INDEX('Historical Data'!$Q$2:$Q$1068,MATCH($A307,'Historical Data'!$BE$2:$BE$1068,0)),"")</f>
        <v/>
      </c>
      <c r="N307" s="295">
        <f>IFERROR(INDEX('Historical Data'!$S$2:$S$1068,MATCH($A307,'Historical Data'!$BE$2:$BE$1068,0)),"")</f>
        <v/>
      </c>
      <c r="O307" s="294">
        <f>IFERROR(INDEX('Historical Data'!$AJ$2:$AJ$1068,MATCH($A307,'Historical Data'!$BE$2:$BE$1068,0)),"")</f>
        <v/>
      </c>
      <c r="P307" s="294">
        <f>IFERROR(INDEX('Historical Data'!$AK$2:$AK$1068,MATCH($A307,'Historical Data'!$BE$2:$BE$1068,0)),"")</f>
        <v/>
      </c>
      <c r="Q307" s="291">
        <f>IFERROR(INDEX('Historical Data'!$AA$2:$AA$1068,MATCH($A307,'Historical Data'!$BE$2:$BE$1068,0)),"")</f>
        <v/>
      </c>
      <c r="R307" s="291">
        <f>IFERROR(INDEX('Historical Data'!$AB$2:$AB$1068,MATCH($A307,'Historical Data'!$BE$2:$BE$1068,0)),"")</f>
        <v/>
      </c>
      <c r="S307" s="291">
        <f>IFERROR(INDEX('Historical Data'!$AN$2:$AN$1068,MATCH($A307,'Historical Data'!$BE$2:$BE$1068,0)),"")</f>
        <v/>
      </c>
      <c r="T307" s="291">
        <f>IFERROR(INDEX('Historical Data'!$AC$2:$AC$1068,MATCH($A307,'Historical Data'!$BE$2:$BE$1068,0)),"")</f>
        <v/>
      </c>
      <c r="U307" s="291">
        <f>IFERROR(INDEX('Historical Data'!$AE$2:$AE$1068,MATCH($A307,'Historical Data'!$BE$2:$BE$1068,0)),"")</f>
        <v/>
      </c>
      <c r="V307" s="291">
        <f>IFERROR(INDEX('Historical Data'!$AH$2:$AH$1068,MATCH($A307,'Historical Data'!$BE$2:$BE$1068,0)),"")</f>
        <v/>
      </c>
      <c r="W307" s="291">
        <f>IFERROR(INDEX('Historical Data'!$BC$2:$BC$1068,MATCH($A307,'Historical Data'!$BE$2:$BE$1068,0)),"")</f>
        <v/>
      </c>
      <c r="X307" s="290">
        <f>IF(B307="","",IF(W307=1,"NR + industry + position",IF(W307=2,"NR + ISO + position",IF(W307=3,"NR + industry",IF(W307=4,"NR + ISO",IF(W307=5,"NR + position",IF(W307=6,"NR only","book baseline"))))))&amp;"  ["&amp;IF(T307=1,"seasoned","unseasoned")&amp;IF(U307=1,", defaulted","")&amp;IF(V307=1,", open","")&amp;"]")</f>
        <v/>
      </c>
    </row>
    <row r="308">
      <c r="A308" s="290" t="n">
        <v>304</v>
      </c>
      <c r="B308" s="291">
        <f>IFERROR(INDEX('Historical Data'!$A$2:$A$1068,MATCH($A308,'Historical Data'!$BE$2:$BE$1068,0)),"")</f>
        <v/>
      </c>
      <c r="C308" s="291">
        <f>IFERROR(INDEX('Historical Data'!$B$2:$B$1068,MATCH($A308,'Historical Data'!$BE$2:$BE$1068,0)),"")</f>
        <v/>
      </c>
      <c r="D308" s="291">
        <f>IFERROR(INDEX('Historical Data'!$D$2:$D$1068,MATCH($A308,'Historical Data'!$BE$2:$BE$1068,0)),"")</f>
        <v/>
      </c>
      <c r="E308" s="292">
        <f>IFERROR(INDEX('Historical Data'!$E$2:$E$1068,MATCH($A308,'Historical Data'!$BE$2:$BE$1068,0)),"")</f>
        <v/>
      </c>
      <c r="F308" s="291">
        <f>IFERROR(INDEX('Historical Data'!$G$2:$G$1068,MATCH($A308,'Historical Data'!$BE$2:$BE$1068,0)),"")</f>
        <v/>
      </c>
      <c r="G308" s="291">
        <f>IFERROR(INDEX('Historical Data'!$Y$2:$Y$1068,MATCH($A308,'Historical Data'!$BE$2:$BE$1068,0)),"")</f>
        <v/>
      </c>
      <c r="H308" s="291">
        <f>IFERROR(INDEX('Historical Data'!$K$2:$K$1068,MATCH($A308,'Historical Data'!$BE$2:$BE$1068,0)),"")</f>
        <v/>
      </c>
      <c r="I308" s="291">
        <f>IFERROR(INDEX('Historical Data'!$J$2:$J$1068,MATCH($A308,'Historical Data'!$BE$2:$BE$1068,0)),"")</f>
        <v/>
      </c>
      <c r="J308" s="291">
        <f>IFERROR(INDEX('Historical Data'!$L$2:$L$1068,MATCH($A308,'Historical Data'!$BE$2:$BE$1068,0)),"")</f>
        <v/>
      </c>
      <c r="K308" s="293">
        <f>IFERROR(INDEX('Historical Data'!$M$2:$M$1068,MATCH($A308,'Historical Data'!$BE$2:$BE$1068,0)),"")</f>
        <v/>
      </c>
      <c r="L308" s="294">
        <f>IFERROR(INDEX('Historical Data'!$N$2:$N$1068,MATCH($A308,'Historical Data'!$BE$2:$BE$1068,0)),"")</f>
        <v/>
      </c>
      <c r="M308" s="294">
        <f>IFERROR(INDEX('Historical Data'!$Q$2:$Q$1068,MATCH($A308,'Historical Data'!$BE$2:$BE$1068,0)),"")</f>
        <v/>
      </c>
      <c r="N308" s="295">
        <f>IFERROR(INDEX('Historical Data'!$S$2:$S$1068,MATCH($A308,'Historical Data'!$BE$2:$BE$1068,0)),"")</f>
        <v/>
      </c>
      <c r="O308" s="294">
        <f>IFERROR(INDEX('Historical Data'!$AJ$2:$AJ$1068,MATCH($A308,'Historical Data'!$BE$2:$BE$1068,0)),"")</f>
        <v/>
      </c>
      <c r="P308" s="294">
        <f>IFERROR(INDEX('Historical Data'!$AK$2:$AK$1068,MATCH($A308,'Historical Data'!$BE$2:$BE$1068,0)),"")</f>
        <v/>
      </c>
      <c r="Q308" s="291">
        <f>IFERROR(INDEX('Historical Data'!$AA$2:$AA$1068,MATCH($A308,'Historical Data'!$BE$2:$BE$1068,0)),"")</f>
        <v/>
      </c>
      <c r="R308" s="291">
        <f>IFERROR(INDEX('Historical Data'!$AB$2:$AB$1068,MATCH($A308,'Historical Data'!$BE$2:$BE$1068,0)),"")</f>
        <v/>
      </c>
      <c r="S308" s="291">
        <f>IFERROR(INDEX('Historical Data'!$AN$2:$AN$1068,MATCH($A308,'Historical Data'!$BE$2:$BE$1068,0)),"")</f>
        <v/>
      </c>
      <c r="T308" s="291">
        <f>IFERROR(INDEX('Historical Data'!$AC$2:$AC$1068,MATCH($A308,'Historical Data'!$BE$2:$BE$1068,0)),"")</f>
        <v/>
      </c>
      <c r="U308" s="291">
        <f>IFERROR(INDEX('Historical Data'!$AE$2:$AE$1068,MATCH($A308,'Historical Data'!$BE$2:$BE$1068,0)),"")</f>
        <v/>
      </c>
      <c r="V308" s="291">
        <f>IFERROR(INDEX('Historical Data'!$AH$2:$AH$1068,MATCH($A308,'Historical Data'!$BE$2:$BE$1068,0)),"")</f>
        <v/>
      </c>
      <c r="W308" s="291">
        <f>IFERROR(INDEX('Historical Data'!$BC$2:$BC$1068,MATCH($A308,'Historical Data'!$BE$2:$BE$1068,0)),"")</f>
        <v/>
      </c>
      <c r="X308" s="290">
        <f>IF(B308="","",IF(W308=1,"NR + industry + position",IF(W308=2,"NR + ISO + position",IF(W308=3,"NR + industry",IF(W308=4,"NR + ISO",IF(W308=5,"NR + position",IF(W308=6,"NR only","book baseline"))))))&amp;"  ["&amp;IF(T308=1,"seasoned","unseasoned")&amp;IF(U308=1,", defaulted","")&amp;IF(V308=1,", open","")&amp;"]")</f>
        <v/>
      </c>
    </row>
    <row r="309">
      <c r="A309" s="290" t="n">
        <v>305</v>
      </c>
      <c r="B309" s="291">
        <f>IFERROR(INDEX('Historical Data'!$A$2:$A$1068,MATCH($A309,'Historical Data'!$BE$2:$BE$1068,0)),"")</f>
        <v/>
      </c>
      <c r="C309" s="291">
        <f>IFERROR(INDEX('Historical Data'!$B$2:$B$1068,MATCH($A309,'Historical Data'!$BE$2:$BE$1068,0)),"")</f>
        <v/>
      </c>
      <c r="D309" s="291">
        <f>IFERROR(INDEX('Historical Data'!$D$2:$D$1068,MATCH($A309,'Historical Data'!$BE$2:$BE$1068,0)),"")</f>
        <v/>
      </c>
      <c r="E309" s="292">
        <f>IFERROR(INDEX('Historical Data'!$E$2:$E$1068,MATCH($A309,'Historical Data'!$BE$2:$BE$1068,0)),"")</f>
        <v/>
      </c>
      <c r="F309" s="291">
        <f>IFERROR(INDEX('Historical Data'!$G$2:$G$1068,MATCH($A309,'Historical Data'!$BE$2:$BE$1068,0)),"")</f>
        <v/>
      </c>
      <c r="G309" s="291">
        <f>IFERROR(INDEX('Historical Data'!$Y$2:$Y$1068,MATCH($A309,'Historical Data'!$BE$2:$BE$1068,0)),"")</f>
        <v/>
      </c>
      <c r="H309" s="291">
        <f>IFERROR(INDEX('Historical Data'!$K$2:$K$1068,MATCH($A309,'Historical Data'!$BE$2:$BE$1068,0)),"")</f>
        <v/>
      </c>
      <c r="I309" s="291">
        <f>IFERROR(INDEX('Historical Data'!$J$2:$J$1068,MATCH($A309,'Historical Data'!$BE$2:$BE$1068,0)),"")</f>
        <v/>
      </c>
      <c r="J309" s="291">
        <f>IFERROR(INDEX('Historical Data'!$L$2:$L$1068,MATCH($A309,'Historical Data'!$BE$2:$BE$1068,0)),"")</f>
        <v/>
      </c>
      <c r="K309" s="293">
        <f>IFERROR(INDEX('Historical Data'!$M$2:$M$1068,MATCH($A309,'Historical Data'!$BE$2:$BE$1068,0)),"")</f>
        <v/>
      </c>
      <c r="L309" s="294">
        <f>IFERROR(INDEX('Historical Data'!$N$2:$N$1068,MATCH($A309,'Historical Data'!$BE$2:$BE$1068,0)),"")</f>
        <v/>
      </c>
      <c r="M309" s="294">
        <f>IFERROR(INDEX('Historical Data'!$Q$2:$Q$1068,MATCH($A309,'Historical Data'!$BE$2:$BE$1068,0)),"")</f>
        <v/>
      </c>
      <c r="N309" s="295">
        <f>IFERROR(INDEX('Historical Data'!$S$2:$S$1068,MATCH($A309,'Historical Data'!$BE$2:$BE$1068,0)),"")</f>
        <v/>
      </c>
      <c r="O309" s="294">
        <f>IFERROR(INDEX('Historical Data'!$AJ$2:$AJ$1068,MATCH($A309,'Historical Data'!$BE$2:$BE$1068,0)),"")</f>
        <v/>
      </c>
      <c r="P309" s="294">
        <f>IFERROR(INDEX('Historical Data'!$AK$2:$AK$1068,MATCH($A309,'Historical Data'!$BE$2:$BE$1068,0)),"")</f>
        <v/>
      </c>
      <c r="Q309" s="291">
        <f>IFERROR(INDEX('Historical Data'!$AA$2:$AA$1068,MATCH($A309,'Historical Data'!$BE$2:$BE$1068,0)),"")</f>
        <v/>
      </c>
      <c r="R309" s="291">
        <f>IFERROR(INDEX('Historical Data'!$AB$2:$AB$1068,MATCH($A309,'Historical Data'!$BE$2:$BE$1068,0)),"")</f>
        <v/>
      </c>
      <c r="S309" s="291">
        <f>IFERROR(INDEX('Historical Data'!$AN$2:$AN$1068,MATCH($A309,'Historical Data'!$BE$2:$BE$1068,0)),"")</f>
        <v/>
      </c>
      <c r="T309" s="291">
        <f>IFERROR(INDEX('Historical Data'!$AC$2:$AC$1068,MATCH($A309,'Historical Data'!$BE$2:$BE$1068,0)),"")</f>
        <v/>
      </c>
      <c r="U309" s="291">
        <f>IFERROR(INDEX('Historical Data'!$AE$2:$AE$1068,MATCH($A309,'Historical Data'!$BE$2:$BE$1068,0)),"")</f>
        <v/>
      </c>
      <c r="V309" s="291">
        <f>IFERROR(INDEX('Historical Data'!$AH$2:$AH$1068,MATCH($A309,'Historical Data'!$BE$2:$BE$1068,0)),"")</f>
        <v/>
      </c>
      <c r="W309" s="291">
        <f>IFERROR(INDEX('Historical Data'!$BC$2:$BC$1068,MATCH($A309,'Historical Data'!$BE$2:$BE$1068,0)),"")</f>
        <v/>
      </c>
      <c r="X309" s="290">
        <f>IF(B309="","",IF(W309=1,"NR + industry + position",IF(W309=2,"NR + ISO + position",IF(W309=3,"NR + industry",IF(W309=4,"NR + ISO",IF(W309=5,"NR + position",IF(W309=6,"NR only","book baseline"))))))&amp;"  ["&amp;IF(T309=1,"seasoned","unseasoned")&amp;IF(U309=1,", defaulted","")&amp;IF(V309=1,", open","")&amp;"]")</f>
        <v/>
      </c>
    </row>
    <row r="310">
      <c r="A310" s="290" t="n">
        <v>306</v>
      </c>
      <c r="B310" s="291">
        <f>IFERROR(INDEX('Historical Data'!$A$2:$A$1068,MATCH($A310,'Historical Data'!$BE$2:$BE$1068,0)),"")</f>
        <v/>
      </c>
      <c r="C310" s="291">
        <f>IFERROR(INDEX('Historical Data'!$B$2:$B$1068,MATCH($A310,'Historical Data'!$BE$2:$BE$1068,0)),"")</f>
        <v/>
      </c>
      <c r="D310" s="291">
        <f>IFERROR(INDEX('Historical Data'!$D$2:$D$1068,MATCH($A310,'Historical Data'!$BE$2:$BE$1068,0)),"")</f>
        <v/>
      </c>
      <c r="E310" s="292">
        <f>IFERROR(INDEX('Historical Data'!$E$2:$E$1068,MATCH($A310,'Historical Data'!$BE$2:$BE$1068,0)),"")</f>
        <v/>
      </c>
      <c r="F310" s="291">
        <f>IFERROR(INDEX('Historical Data'!$G$2:$G$1068,MATCH($A310,'Historical Data'!$BE$2:$BE$1068,0)),"")</f>
        <v/>
      </c>
      <c r="G310" s="291">
        <f>IFERROR(INDEX('Historical Data'!$Y$2:$Y$1068,MATCH($A310,'Historical Data'!$BE$2:$BE$1068,0)),"")</f>
        <v/>
      </c>
      <c r="H310" s="291">
        <f>IFERROR(INDEX('Historical Data'!$K$2:$K$1068,MATCH($A310,'Historical Data'!$BE$2:$BE$1068,0)),"")</f>
        <v/>
      </c>
      <c r="I310" s="291">
        <f>IFERROR(INDEX('Historical Data'!$J$2:$J$1068,MATCH($A310,'Historical Data'!$BE$2:$BE$1068,0)),"")</f>
        <v/>
      </c>
      <c r="J310" s="291">
        <f>IFERROR(INDEX('Historical Data'!$L$2:$L$1068,MATCH($A310,'Historical Data'!$BE$2:$BE$1068,0)),"")</f>
        <v/>
      </c>
      <c r="K310" s="293">
        <f>IFERROR(INDEX('Historical Data'!$M$2:$M$1068,MATCH($A310,'Historical Data'!$BE$2:$BE$1068,0)),"")</f>
        <v/>
      </c>
      <c r="L310" s="294">
        <f>IFERROR(INDEX('Historical Data'!$N$2:$N$1068,MATCH($A310,'Historical Data'!$BE$2:$BE$1068,0)),"")</f>
        <v/>
      </c>
      <c r="M310" s="294">
        <f>IFERROR(INDEX('Historical Data'!$Q$2:$Q$1068,MATCH($A310,'Historical Data'!$BE$2:$BE$1068,0)),"")</f>
        <v/>
      </c>
      <c r="N310" s="295">
        <f>IFERROR(INDEX('Historical Data'!$S$2:$S$1068,MATCH($A310,'Historical Data'!$BE$2:$BE$1068,0)),"")</f>
        <v/>
      </c>
      <c r="O310" s="294">
        <f>IFERROR(INDEX('Historical Data'!$AJ$2:$AJ$1068,MATCH($A310,'Historical Data'!$BE$2:$BE$1068,0)),"")</f>
        <v/>
      </c>
      <c r="P310" s="294">
        <f>IFERROR(INDEX('Historical Data'!$AK$2:$AK$1068,MATCH($A310,'Historical Data'!$BE$2:$BE$1068,0)),"")</f>
        <v/>
      </c>
      <c r="Q310" s="291">
        <f>IFERROR(INDEX('Historical Data'!$AA$2:$AA$1068,MATCH($A310,'Historical Data'!$BE$2:$BE$1068,0)),"")</f>
        <v/>
      </c>
      <c r="R310" s="291">
        <f>IFERROR(INDEX('Historical Data'!$AB$2:$AB$1068,MATCH($A310,'Historical Data'!$BE$2:$BE$1068,0)),"")</f>
        <v/>
      </c>
      <c r="S310" s="291">
        <f>IFERROR(INDEX('Historical Data'!$AN$2:$AN$1068,MATCH($A310,'Historical Data'!$BE$2:$BE$1068,0)),"")</f>
        <v/>
      </c>
      <c r="T310" s="291">
        <f>IFERROR(INDEX('Historical Data'!$AC$2:$AC$1068,MATCH($A310,'Historical Data'!$BE$2:$BE$1068,0)),"")</f>
        <v/>
      </c>
      <c r="U310" s="291">
        <f>IFERROR(INDEX('Historical Data'!$AE$2:$AE$1068,MATCH($A310,'Historical Data'!$BE$2:$BE$1068,0)),"")</f>
        <v/>
      </c>
      <c r="V310" s="291">
        <f>IFERROR(INDEX('Historical Data'!$AH$2:$AH$1068,MATCH($A310,'Historical Data'!$BE$2:$BE$1068,0)),"")</f>
        <v/>
      </c>
      <c r="W310" s="291">
        <f>IFERROR(INDEX('Historical Data'!$BC$2:$BC$1068,MATCH($A310,'Historical Data'!$BE$2:$BE$1068,0)),"")</f>
        <v/>
      </c>
      <c r="X310" s="290">
        <f>IF(B310="","",IF(W310=1,"NR + industry + position",IF(W310=2,"NR + ISO + position",IF(W310=3,"NR + industry",IF(W310=4,"NR + ISO",IF(W310=5,"NR + position",IF(W310=6,"NR only","book baseline"))))))&amp;"  ["&amp;IF(T310=1,"seasoned","unseasoned")&amp;IF(U310=1,", defaulted","")&amp;IF(V310=1,", open","")&amp;"]")</f>
        <v/>
      </c>
    </row>
    <row r="311">
      <c r="A311" s="290" t="n">
        <v>307</v>
      </c>
      <c r="B311" s="291">
        <f>IFERROR(INDEX('Historical Data'!$A$2:$A$1068,MATCH($A311,'Historical Data'!$BE$2:$BE$1068,0)),"")</f>
        <v/>
      </c>
      <c r="C311" s="291">
        <f>IFERROR(INDEX('Historical Data'!$B$2:$B$1068,MATCH($A311,'Historical Data'!$BE$2:$BE$1068,0)),"")</f>
        <v/>
      </c>
      <c r="D311" s="291">
        <f>IFERROR(INDEX('Historical Data'!$D$2:$D$1068,MATCH($A311,'Historical Data'!$BE$2:$BE$1068,0)),"")</f>
        <v/>
      </c>
      <c r="E311" s="292">
        <f>IFERROR(INDEX('Historical Data'!$E$2:$E$1068,MATCH($A311,'Historical Data'!$BE$2:$BE$1068,0)),"")</f>
        <v/>
      </c>
      <c r="F311" s="291">
        <f>IFERROR(INDEX('Historical Data'!$G$2:$G$1068,MATCH($A311,'Historical Data'!$BE$2:$BE$1068,0)),"")</f>
        <v/>
      </c>
      <c r="G311" s="291">
        <f>IFERROR(INDEX('Historical Data'!$Y$2:$Y$1068,MATCH($A311,'Historical Data'!$BE$2:$BE$1068,0)),"")</f>
        <v/>
      </c>
      <c r="H311" s="291">
        <f>IFERROR(INDEX('Historical Data'!$K$2:$K$1068,MATCH($A311,'Historical Data'!$BE$2:$BE$1068,0)),"")</f>
        <v/>
      </c>
      <c r="I311" s="291">
        <f>IFERROR(INDEX('Historical Data'!$J$2:$J$1068,MATCH($A311,'Historical Data'!$BE$2:$BE$1068,0)),"")</f>
        <v/>
      </c>
      <c r="J311" s="291">
        <f>IFERROR(INDEX('Historical Data'!$L$2:$L$1068,MATCH($A311,'Historical Data'!$BE$2:$BE$1068,0)),"")</f>
        <v/>
      </c>
      <c r="K311" s="293">
        <f>IFERROR(INDEX('Historical Data'!$M$2:$M$1068,MATCH($A311,'Historical Data'!$BE$2:$BE$1068,0)),"")</f>
        <v/>
      </c>
      <c r="L311" s="294">
        <f>IFERROR(INDEX('Historical Data'!$N$2:$N$1068,MATCH($A311,'Historical Data'!$BE$2:$BE$1068,0)),"")</f>
        <v/>
      </c>
      <c r="M311" s="294">
        <f>IFERROR(INDEX('Historical Data'!$Q$2:$Q$1068,MATCH($A311,'Historical Data'!$BE$2:$BE$1068,0)),"")</f>
        <v/>
      </c>
      <c r="N311" s="295">
        <f>IFERROR(INDEX('Historical Data'!$S$2:$S$1068,MATCH($A311,'Historical Data'!$BE$2:$BE$1068,0)),"")</f>
        <v/>
      </c>
      <c r="O311" s="294">
        <f>IFERROR(INDEX('Historical Data'!$AJ$2:$AJ$1068,MATCH($A311,'Historical Data'!$BE$2:$BE$1068,0)),"")</f>
        <v/>
      </c>
      <c r="P311" s="294">
        <f>IFERROR(INDEX('Historical Data'!$AK$2:$AK$1068,MATCH($A311,'Historical Data'!$BE$2:$BE$1068,0)),"")</f>
        <v/>
      </c>
      <c r="Q311" s="291">
        <f>IFERROR(INDEX('Historical Data'!$AA$2:$AA$1068,MATCH($A311,'Historical Data'!$BE$2:$BE$1068,0)),"")</f>
        <v/>
      </c>
      <c r="R311" s="291">
        <f>IFERROR(INDEX('Historical Data'!$AB$2:$AB$1068,MATCH($A311,'Historical Data'!$BE$2:$BE$1068,0)),"")</f>
        <v/>
      </c>
      <c r="S311" s="291">
        <f>IFERROR(INDEX('Historical Data'!$AN$2:$AN$1068,MATCH($A311,'Historical Data'!$BE$2:$BE$1068,0)),"")</f>
        <v/>
      </c>
      <c r="T311" s="291">
        <f>IFERROR(INDEX('Historical Data'!$AC$2:$AC$1068,MATCH($A311,'Historical Data'!$BE$2:$BE$1068,0)),"")</f>
        <v/>
      </c>
      <c r="U311" s="291">
        <f>IFERROR(INDEX('Historical Data'!$AE$2:$AE$1068,MATCH($A311,'Historical Data'!$BE$2:$BE$1068,0)),"")</f>
        <v/>
      </c>
      <c r="V311" s="291">
        <f>IFERROR(INDEX('Historical Data'!$AH$2:$AH$1068,MATCH($A311,'Historical Data'!$BE$2:$BE$1068,0)),"")</f>
        <v/>
      </c>
      <c r="W311" s="291">
        <f>IFERROR(INDEX('Historical Data'!$BC$2:$BC$1068,MATCH($A311,'Historical Data'!$BE$2:$BE$1068,0)),"")</f>
        <v/>
      </c>
      <c r="X311" s="290">
        <f>IF(B311="","",IF(W311=1,"NR + industry + position",IF(W311=2,"NR + ISO + position",IF(W311=3,"NR + industry",IF(W311=4,"NR + ISO",IF(W311=5,"NR + position",IF(W311=6,"NR only","book baseline"))))))&amp;"  ["&amp;IF(T311=1,"seasoned","unseasoned")&amp;IF(U311=1,", defaulted","")&amp;IF(V311=1,", open","")&amp;"]")</f>
        <v/>
      </c>
    </row>
    <row r="312">
      <c r="A312" s="290" t="n">
        <v>308</v>
      </c>
      <c r="B312" s="291">
        <f>IFERROR(INDEX('Historical Data'!$A$2:$A$1068,MATCH($A312,'Historical Data'!$BE$2:$BE$1068,0)),"")</f>
        <v/>
      </c>
      <c r="C312" s="291">
        <f>IFERROR(INDEX('Historical Data'!$B$2:$B$1068,MATCH($A312,'Historical Data'!$BE$2:$BE$1068,0)),"")</f>
        <v/>
      </c>
      <c r="D312" s="291">
        <f>IFERROR(INDEX('Historical Data'!$D$2:$D$1068,MATCH($A312,'Historical Data'!$BE$2:$BE$1068,0)),"")</f>
        <v/>
      </c>
      <c r="E312" s="292">
        <f>IFERROR(INDEX('Historical Data'!$E$2:$E$1068,MATCH($A312,'Historical Data'!$BE$2:$BE$1068,0)),"")</f>
        <v/>
      </c>
      <c r="F312" s="291">
        <f>IFERROR(INDEX('Historical Data'!$G$2:$G$1068,MATCH($A312,'Historical Data'!$BE$2:$BE$1068,0)),"")</f>
        <v/>
      </c>
      <c r="G312" s="291">
        <f>IFERROR(INDEX('Historical Data'!$Y$2:$Y$1068,MATCH($A312,'Historical Data'!$BE$2:$BE$1068,0)),"")</f>
        <v/>
      </c>
      <c r="H312" s="291">
        <f>IFERROR(INDEX('Historical Data'!$K$2:$K$1068,MATCH($A312,'Historical Data'!$BE$2:$BE$1068,0)),"")</f>
        <v/>
      </c>
      <c r="I312" s="291">
        <f>IFERROR(INDEX('Historical Data'!$J$2:$J$1068,MATCH($A312,'Historical Data'!$BE$2:$BE$1068,0)),"")</f>
        <v/>
      </c>
      <c r="J312" s="291">
        <f>IFERROR(INDEX('Historical Data'!$L$2:$L$1068,MATCH($A312,'Historical Data'!$BE$2:$BE$1068,0)),"")</f>
        <v/>
      </c>
      <c r="K312" s="293">
        <f>IFERROR(INDEX('Historical Data'!$M$2:$M$1068,MATCH($A312,'Historical Data'!$BE$2:$BE$1068,0)),"")</f>
        <v/>
      </c>
      <c r="L312" s="294">
        <f>IFERROR(INDEX('Historical Data'!$N$2:$N$1068,MATCH($A312,'Historical Data'!$BE$2:$BE$1068,0)),"")</f>
        <v/>
      </c>
      <c r="M312" s="294">
        <f>IFERROR(INDEX('Historical Data'!$Q$2:$Q$1068,MATCH($A312,'Historical Data'!$BE$2:$BE$1068,0)),"")</f>
        <v/>
      </c>
      <c r="N312" s="295">
        <f>IFERROR(INDEX('Historical Data'!$S$2:$S$1068,MATCH($A312,'Historical Data'!$BE$2:$BE$1068,0)),"")</f>
        <v/>
      </c>
      <c r="O312" s="294">
        <f>IFERROR(INDEX('Historical Data'!$AJ$2:$AJ$1068,MATCH($A312,'Historical Data'!$BE$2:$BE$1068,0)),"")</f>
        <v/>
      </c>
      <c r="P312" s="294">
        <f>IFERROR(INDEX('Historical Data'!$AK$2:$AK$1068,MATCH($A312,'Historical Data'!$BE$2:$BE$1068,0)),"")</f>
        <v/>
      </c>
      <c r="Q312" s="291">
        <f>IFERROR(INDEX('Historical Data'!$AA$2:$AA$1068,MATCH($A312,'Historical Data'!$BE$2:$BE$1068,0)),"")</f>
        <v/>
      </c>
      <c r="R312" s="291">
        <f>IFERROR(INDEX('Historical Data'!$AB$2:$AB$1068,MATCH($A312,'Historical Data'!$BE$2:$BE$1068,0)),"")</f>
        <v/>
      </c>
      <c r="S312" s="291">
        <f>IFERROR(INDEX('Historical Data'!$AN$2:$AN$1068,MATCH($A312,'Historical Data'!$BE$2:$BE$1068,0)),"")</f>
        <v/>
      </c>
      <c r="T312" s="291">
        <f>IFERROR(INDEX('Historical Data'!$AC$2:$AC$1068,MATCH($A312,'Historical Data'!$BE$2:$BE$1068,0)),"")</f>
        <v/>
      </c>
      <c r="U312" s="291">
        <f>IFERROR(INDEX('Historical Data'!$AE$2:$AE$1068,MATCH($A312,'Historical Data'!$BE$2:$BE$1068,0)),"")</f>
        <v/>
      </c>
      <c r="V312" s="291">
        <f>IFERROR(INDEX('Historical Data'!$AH$2:$AH$1068,MATCH($A312,'Historical Data'!$BE$2:$BE$1068,0)),"")</f>
        <v/>
      </c>
      <c r="W312" s="291">
        <f>IFERROR(INDEX('Historical Data'!$BC$2:$BC$1068,MATCH($A312,'Historical Data'!$BE$2:$BE$1068,0)),"")</f>
        <v/>
      </c>
      <c r="X312" s="290">
        <f>IF(B312="","",IF(W312=1,"NR + industry + position",IF(W312=2,"NR + ISO + position",IF(W312=3,"NR + industry",IF(W312=4,"NR + ISO",IF(W312=5,"NR + position",IF(W312=6,"NR only","book baseline"))))))&amp;"  ["&amp;IF(T312=1,"seasoned","unseasoned")&amp;IF(U312=1,", defaulted","")&amp;IF(V312=1,", open","")&amp;"]")</f>
        <v/>
      </c>
    </row>
    <row r="313">
      <c r="A313" s="290" t="n">
        <v>309</v>
      </c>
      <c r="B313" s="291">
        <f>IFERROR(INDEX('Historical Data'!$A$2:$A$1068,MATCH($A313,'Historical Data'!$BE$2:$BE$1068,0)),"")</f>
        <v/>
      </c>
      <c r="C313" s="291">
        <f>IFERROR(INDEX('Historical Data'!$B$2:$B$1068,MATCH($A313,'Historical Data'!$BE$2:$BE$1068,0)),"")</f>
        <v/>
      </c>
      <c r="D313" s="291">
        <f>IFERROR(INDEX('Historical Data'!$D$2:$D$1068,MATCH($A313,'Historical Data'!$BE$2:$BE$1068,0)),"")</f>
        <v/>
      </c>
      <c r="E313" s="292">
        <f>IFERROR(INDEX('Historical Data'!$E$2:$E$1068,MATCH($A313,'Historical Data'!$BE$2:$BE$1068,0)),"")</f>
        <v/>
      </c>
      <c r="F313" s="291">
        <f>IFERROR(INDEX('Historical Data'!$G$2:$G$1068,MATCH($A313,'Historical Data'!$BE$2:$BE$1068,0)),"")</f>
        <v/>
      </c>
      <c r="G313" s="291">
        <f>IFERROR(INDEX('Historical Data'!$Y$2:$Y$1068,MATCH($A313,'Historical Data'!$BE$2:$BE$1068,0)),"")</f>
        <v/>
      </c>
      <c r="H313" s="291">
        <f>IFERROR(INDEX('Historical Data'!$K$2:$K$1068,MATCH($A313,'Historical Data'!$BE$2:$BE$1068,0)),"")</f>
        <v/>
      </c>
      <c r="I313" s="291">
        <f>IFERROR(INDEX('Historical Data'!$J$2:$J$1068,MATCH($A313,'Historical Data'!$BE$2:$BE$1068,0)),"")</f>
        <v/>
      </c>
      <c r="J313" s="291">
        <f>IFERROR(INDEX('Historical Data'!$L$2:$L$1068,MATCH($A313,'Historical Data'!$BE$2:$BE$1068,0)),"")</f>
        <v/>
      </c>
      <c r="K313" s="293">
        <f>IFERROR(INDEX('Historical Data'!$M$2:$M$1068,MATCH($A313,'Historical Data'!$BE$2:$BE$1068,0)),"")</f>
        <v/>
      </c>
      <c r="L313" s="294">
        <f>IFERROR(INDEX('Historical Data'!$N$2:$N$1068,MATCH($A313,'Historical Data'!$BE$2:$BE$1068,0)),"")</f>
        <v/>
      </c>
      <c r="M313" s="294">
        <f>IFERROR(INDEX('Historical Data'!$Q$2:$Q$1068,MATCH($A313,'Historical Data'!$BE$2:$BE$1068,0)),"")</f>
        <v/>
      </c>
      <c r="N313" s="295">
        <f>IFERROR(INDEX('Historical Data'!$S$2:$S$1068,MATCH($A313,'Historical Data'!$BE$2:$BE$1068,0)),"")</f>
        <v/>
      </c>
      <c r="O313" s="294">
        <f>IFERROR(INDEX('Historical Data'!$AJ$2:$AJ$1068,MATCH($A313,'Historical Data'!$BE$2:$BE$1068,0)),"")</f>
        <v/>
      </c>
      <c r="P313" s="294">
        <f>IFERROR(INDEX('Historical Data'!$AK$2:$AK$1068,MATCH($A313,'Historical Data'!$BE$2:$BE$1068,0)),"")</f>
        <v/>
      </c>
      <c r="Q313" s="291">
        <f>IFERROR(INDEX('Historical Data'!$AA$2:$AA$1068,MATCH($A313,'Historical Data'!$BE$2:$BE$1068,0)),"")</f>
        <v/>
      </c>
      <c r="R313" s="291">
        <f>IFERROR(INDEX('Historical Data'!$AB$2:$AB$1068,MATCH($A313,'Historical Data'!$BE$2:$BE$1068,0)),"")</f>
        <v/>
      </c>
      <c r="S313" s="291">
        <f>IFERROR(INDEX('Historical Data'!$AN$2:$AN$1068,MATCH($A313,'Historical Data'!$BE$2:$BE$1068,0)),"")</f>
        <v/>
      </c>
      <c r="T313" s="291">
        <f>IFERROR(INDEX('Historical Data'!$AC$2:$AC$1068,MATCH($A313,'Historical Data'!$BE$2:$BE$1068,0)),"")</f>
        <v/>
      </c>
      <c r="U313" s="291">
        <f>IFERROR(INDEX('Historical Data'!$AE$2:$AE$1068,MATCH($A313,'Historical Data'!$BE$2:$BE$1068,0)),"")</f>
        <v/>
      </c>
      <c r="V313" s="291">
        <f>IFERROR(INDEX('Historical Data'!$AH$2:$AH$1068,MATCH($A313,'Historical Data'!$BE$2:$BE$1068,0)),"")</f>
        <v/>
      </c>
      <c r="W313" s="291">
        <f>IFERROR(INDEX('Historical Data'!$BC$2:$BC$1068,MATCH($A313,'Historical Data'!$BE$2:$BE$1068,0)),"")</f>
        <v/>
      </c>
      <c r="X313" s="290">
        <f>IF(B313="","",IF(W313=1,"NR + industry + position",IF(W313=2,"NR + ISO + position",IF(W313=3,"NR + industry",IF(W313=4,"NR + ISO",IF(W313=5,"NR + position",IF(W313=6,"NR only","book baseline"))))))&amp;"  ["&amp;IF(T313=1,"seasoned","unseasoned")&amp;IF(U313=1,", defaulted","")&amp;IF(V313=1,", open","")&amp;"]")</f>
        <v/>
      </c>
    </row>
    <row r="314">
      <c r="A314" s="290" t="n">
        <v>310</v>
      </c>
      <c r="B314" s="291">
        <f>IFERROR(INDEX('Historical Data'!$A$2:$A$1068,MATCH($A314,'Historical Data'!$BE$2:$BE$1068,0)),"")</f>
        <v/>
      </c>
      <c r="C314" s="291">
        <f>IFERROR(INDEX('Historical Data'!$B$2:$B$1068,MATCH($A314,'Historical Data'!$BE$2:$BE$1068,0)),"")</f>
        <v/>
      </c>
      <c r="D314" s="291">
        <f>IFERROR(INDEX('Historical Data'!$D$2:$D$1068,MATCH($A314,'Historical Data'!$BE$2:$BE$1068,0)),"")</f>
        <v/>
      </c>
      <c r="E314" s="292">
        <f>IFERROR(INDEX('Historical Data'!$E$2:$E$1068,MATCH($A314,'Historical Data'!$BE$2:$BE$1068,0)),"")</f>
        <v/>
      </c>
      <c r="F314" s="291">
        <f>IFERROR(INDEX('Historical Data'!$G$2:$G$1068,MATCH($A314,'Historical Data'!$BE$2:$BE$1068,0)),"")</f>
        <v/>
      </c>
      <c r="G314" s="291">
        <f>IFERROR(INDEX('Historical Data'!$Y$2:$Y$1068,MATCH($A314,'Historical Data'!$BE$2:$BE$1068,0)),"")</f>
        <v/>
      </c>
      <c r="H314" s="291">
        <f>IFERROR(INDEX('Historical Data'!$K$2:$K$1068,MATCH($A314,'Historical Data'!$BE$2:$BE$1068,0)),"")</f>
        <v/>
      </c>
      <c r="I314" s="291">
        <f>IFERROR(INDEX('Historical Data'!$J$2:$J$1068,MATCH($A314,'Historical Data'!$BE$2:$BE$1068,0)),"")</f>
        <v/>
      </c>
      <c r="J314" s="291">
        <f>IFERROR(INDEX('Historical Data'!$L$2:$L$1068,MATCH($A314,'Historical Data'!$BE$2:$BE$1068,0)),"")</f>
        <v/>
      </c>
      <c r="K314" s="293">
        <f>IFERROR(INDEX('Historical Data'!$M$2:$M$1068,MATCH($A314,'Historical Data'!$BE$2:$BE$1068,0)),"")</f>
        <v/>
      </c>
      <c r="L314" s="294">
        <f>IFERROR(INDEX('Historical Data'!$N$2:$N$1068,MATCH($A314,'Historical Data'!$BE$2:$BE$1068,0)),"")</f>
        <v/>
      </c>
      <c r="M314" s="294">
        <f>IFERROR(INDEX('Historical Data'!$Q$2:$Q$1068,MATCH($A314,'Historical Data'!$BE$2:$BE$1068,0)),"")</f>
        <v/>
      </c>
      <c r="N314" s="295">
        <f>IFERROR(INDEX('Historical Data'!$S$2:$S$1068,MATCH($A314,'Historical Data'!$BE$2:$BE$1068,0)),"")</f>
        <v/>
      </c>
      <c r="O314" s="294">
        <f>IFERROR(INDEX('Historical Data'!$AJ$2:$AJ$1068,MATCH($A314,'Historical Data'!$BE$2:$BE$1068,0)),"")</f>
        <v/>
      </c>
      <c r="P314" s="294">
        <f>IFERROR(INDEX('Historical Data'!$AK$2:$AK$1068,MATCH($A314,'Historical Data'!$BE$2:$BE$1068,0)),"")</f>
        <v/>
      </c>
      <c r="Q314" s="291">
        <f>IFERROR(INDEX('Historical Data'!$AA$2:$AA$1068,MATCH($A314,'Historical Data'!$BE$2:$BE$1068,0)),"")</f>
        <v/>
      </c>
      <c r="R314" s="291">
        <f>IFERROR(INDEX('Historical Data'!$AB$2:$AB$1068,MATCH($A314,'Historical Data'!$BE$2:$BE$1068,0)),"")</f>
        <v/>
      </c>
      <c r="S314" s="291">
        <f>IFERROR(INDEX('Historical Data'!$AN$2:$AN$1068,MATCH($A314,'Historical Data'!$BE$2:$BE$1068,0)),"")</f>
        <v/>
      </c>
      <c r="T314" s="291">
        <f>IFERROR(INDEX('Historical Data'!$AC$2:$AC$1068,MATCH($A314,'Historical Data'!$BE$2:$BE$1068,0)),"")</f>
        <v/>
      </c>
      <c r="U314" s="291">
        <f>IFERROR(INDEX('Historical Data'!$AE$2:$AE$1068,MATCH($A314,'Historical Data'!$BE$2:$BE$1068,0)),"")</f>
        <v/>
      </c>
      <c r="V314" s="291">
        <f>IFERROR(INDEX('Historical Data'!$AH$2:$AH$1068,MATCH($A314,'Historical Data'!$BE$2:$BE$1068,0)),"")</f>
        <v/>
      </c>
      <c r="W314" s="291">
        <f>IFERROR(INDEX('Historical Data'!$BC$2:$BC$1068,MATCH($A314,'Historical Data'!$BE$2:$BE$1068,0)),"")</f>
        <v/>
      </c>
      <c r="X314" s="290">
        <f>IF(B314="","",IF(W314=1,"NR + industry + position",IF(W314=2,"NR + ISO + position",IF(W314=3,"NR + industry",IF(W314=4,"NR + ISO",IF(W314=5,"NR + position",IF(W314=6,"NR only","book baseline"))))))&amp;"  ["&amp;IF(T314=1,"seasoned","unseasoned")&amp;IF(U314=1,", defaulted","")&amp;IF(V314=1,", open","")&amp;"]")</f>
        <v/>
      </c>
    </row>
    <row r="315">
      <c r="A315" s="290" t="n">
        <v>311</v>
      </c>
      <c r="B315" s="291">
        <f>IFERROR(INDEX('Historical Data'!$A$2:$A$1068,MATCH($A315,'Historical Data'!$BE$2:$BE$1068,0)),"")</f>
        <v/>
      </c>
      <c r="C315" s="291">
        <f>IFERROR(INDEX('Historical Data'!$B$2:$B$1068,MATCH($A315,'Historical Data'!$BE$2:$BE$1068,0)),"")</f>
        <v/>
      </c>
      <c r="D315" s="291">
        <f>IFERROR(INDEX('Historical Data'!$D$2:$D$1068,MATCH($A315,'Historical Data'!$BE$2:$BE$1068,0)),"")</f>
        <v/>
      </c>
      <c r="E315" s="292">
        <f>IFERROR(INDEX('Historical Data'!$E$2:$E$1068,MATCH($A315,'Historical Data'!$BE$2:$BE$1068,0)),"")</f>
        <v/>
      </c>
      <c r="F315" s="291">
        <f>IFERROR(INDEX('Historical Data'!$G$2:$G$1068,MATCH($A315,'Historical Data'!$BE$2:$BE$1068,0)),"")</f>
        <v/>
      </c>
      <c r="G315" s="291">
        <f>IFERROR(INDEX('Historical Data'!$Y$2:$Y$1068,MATCH($A315,'Historical Data'!$BE$2:$BE$1068,0)),"")</f>
        <v/>
      </c>
      <c r="H315" s="291">
        <f>IFERROR(INDEX('Historical Data'!$K$2:$K$1068,MATCH($A315,'Historical Data'!$BE$2:$BE$1068,0)),"")</f>
        <v/>
      </c>
      <c r="I315" s="291">
        <f>IFERROR(INDEX('Historical Data'!$J$2:$J$1068,MATCH($A315,'Historical Data'!$BE$2:$BE$1068,0)),"")</f>
        <v/>
      </c>
      <c r="J315" s="291">
        <f>IFERROR(INDEX('Historical Data'!$L$2:$L$1068,MATCH($A315,'Historical Data'!$BE$2:$BE$1068,0)),"")</f>
        <v/>
      </c>
      <c r="K315" s="293">
        <f>IFERROR(INDEX('Historical Data'!$M$2:$M$1068,MATCH($A315,'Historical Data'!$BE$2:$BE$1068,0)),"")</f>
        <v/>
      </c>
      <c r="L315" s="294">
        <f>IFERROR(INDEX('Historical Data'!$N$2:$N$1068,MATCH($A315,'Historical Data'!$BE$2:$BE$1068,0)),"")</f>
        <v/>
      </c>
      <c r="M315" s="294">
        <f>IFERROR(INDEX('Historical Data'!$Q$2:$Q$1068,MATCH($A315,'Historical Data'!$BE$2:$BE$1068,0)),"")</f>
        <v/>
      </c>
      <c r="N315" s="295">
        <f>IFERROR(INDEX('Historical Data'!$S$2:$S$1068,MATCH($A315,'Historical Data'!$BE$2:$BE$1068,0)),"")</f>
        <v/>
      </c>
      <c r="O315" s="294">
        <f>IFERROR(INDEX('Historical Data'!$AJ$2:$AJ$1068,MATCH($A315,'Historical Data'!$BE$2:$BE$1068,0)),"")</f>
        <v/>
      </c>
      <c r="P315" s="294">
        <f>IFERROR(INDEX('Historical Data'!$AK$2:$AK$1068,MATCH($A315,'Historical Data'!$BE$2:$BE$1068,0)),"")</f>
        <v/>
      </c>
      <c r="Q315" s="291">
        <f>IFERROR(INDEX('Historical Data'!$AA$2:$AA$1068,MATCH($A315,'Historical Data'!$BE$2:$BE$1068,0)),"")</f>
        <v/>
      </c>
      <c r="R315" s="291">
        <f>IFERROR(INDEX('Historical Data'!$AB$2:$AB$1068,MATCH($A315,'Historical Data'!$BE$2:$BE$1068,0)),"")</f>
        <v/>
      </c>
      <c r="S315" s="291">
        <f>IFERROR(INDEX('Historical Data'!$AN$2:$AN$1068,MATCH($A315,'Historical Data'!$BE$2:$BE$1068,0)),"")</f>
        <v/>
      </c>
      <c r="T315" s="291">
        <f>IFERROR(INDEX('Historical Data'!$AC$2:$AC$1068,MATCH($A315,'Historical Data'!$BE$2:$BE$1068,0)),"")</f>
        <v/>
      </c>
      <c r="U315" s="291">
        <f>IFERROR(INDEX('Historical Data'!$AE$2:$AE$1068,MATCH($A315,'Historical Data'!$BE$2:$BE$1068,0)),"")</f>
        <v/>
      </c>
      <c r="V315" s="291">
        <f>IFERROR(INDEX('Historical Data'!$AH$2:$AH$1068,MATCH($A315,'Historical Data'!$BE$2:$BE$1068,0)),"")</f>
        <v/>
      </c>
      <c r="W315" s="291">
        <f>IFERROR(INDEX('Historical Data'!$BC$2:$BC$1068,MATCH($A315,'Historical Data'!$BE$2:$BE$1068,0)),"")</f>
        <v/>
      </c>
      <c r="X315" s="290">
        <f>IF(B315="","",IF(W315=1,"NR + industry + position",IF(W315=2,"NR + ISO + position",IF(W315=3,"NR + industry",IF(W315=4,"NR + ISO",IF(W315=5,"NR + position",IF(W315=6,"NR only","book baseline"))))))&amp;"  ["&amp;IF(T315=1,"seasoned","unseasoned")&amp;IF(U315=1,", defaulted","")&amp;IF(V315=1,", open","")&amp;"]")</f>
        <v/>
      </c>
    </row>
    <row r="316">
      <c r="A316" s="290" t="n">
        <v>312</v>
      </c>
      <c r="B316" s="291">
        <f>IFERROR(INDEX('Historical Data'!$A$2:$A$1068,MATCH($A316,'Historical Data'!$BE$2:$BE$1068,0)),"")</f>
        <v/>
      </c>
      <c r="C316" s="291">
        <f>IFERROR(INDEX('Historical Data'!$B$2:$B$1068,MATCH($A316,'Historical Data'!$BE$2:$BE$1068,0)),"")</f>
        <v/>
      </c>
      <c r="D316" s="291">
        <f>IFERROR(INDEX('Historical Data'!$D$2:$D$1068,MATCH($A316,'Historical Data'!$BE$2:$BE$1068,0)),"")</f>
        <v/>
      </c>
      <c r="E316" s="292">
        <f>IFERROR(INDEX('Historical Data'!$E$2:$E$1068,MATCH($A316,'Historical Data'!$BE$2:$BE$1068,0)),"")</f>
        <v/>
      </c>
      <c r="F316" s="291">
        <f>IFERROR(INDEX('Historical Data'!$G$2:$G$1068,MATCH($A316,'Historical Data'!$BE$2:$BE$1068,0)),"")</f>
        <v/>
      </c>
      <c r="G316" s="291">
        <f>IFERROR(INDEX('Historical Data'!$Y$2:$Y$1068,MATCH($A316,'Historical Data'!$BE$2:$BE$1068,0)),"")</f>
        <v/>
      </c>
      <c r="H316" s="291">
        <f>IFERROR(INDEX('Historical Data'!$K$2:$K$1068,MATCH($A316,'Historical Data'!$BE$2:$BE$1068,0)),"")</f>
        <v/>
      </c>
      <c r="I316" s="291">
        <f>IFERROR(INDEX('Historical Data'!$J$2:$J$1068,MATCH($A316,'Historical Data'!$BE$2:$BE$1068,0)),"")</f>
        <v/>
      </c>
      <c r="J316" s="291">
        <f>IFERROR(INDEX('Historical Data'!$L$2:$L$1068,MATCH($A316,'Historical Data'!$BE$2:$BE$1068,0)),"")</f>
        <v/>
      </c>
      <c r="K316" s="293">
        <f>IFERROR(INDEX('Historical Data'!$M$2:$M$1068,MATCH($A316,'Historical Data'!$BE$2:$BE$1068,0)),"")</f>
        <v/>
      </c>
      <c r="L316" s="294">
        <f>IFERROR(INDEX('Historical Data'!$N$2:$N$1068,MATCH($A316,'Historical Data'!$BE$2:$BE$1068,0)),"")</f>
        <v/>
      </c>
      <c r="M316" s="294">
        <f>IFERROR(INDEX('Historical Data'!$Q$2:$Q$1068,MATCH($A316,'Historical Data'!$BE$2:$BE$1068,0)),"")</f>
        <v/>
      </c>
      <c r="N316" s="295">
        <f>IFERROR(INDEX('Historical Data'!$S$2:$S$1068,MATCH($A316,'Historical Data'!$BE$2:$BE$1068,0)),"")</f>
        <v/>
      </c>
      <c r="O316" s="294">
        <f>IFERROR(INDEX('Historical Data'!$AJ$2:$AJ$1068,MATCH($A316,'Historical Data'!$BE$2:$BE$1068,0)),"")</f>
        <v/>
      </c>
      <c r="P316" s="294">
        <f>IFERROR(INDEX('Historical Data'!$AK$2:$AK$1068,MATCH($A316,'Historical Data'!$BE$2:$BE$1068,0)),"")</f>
        <v/>
      </c>
      <c r="Q316" s="291">
        <f>IFERROR(INDEX('Historical Data'!$AA$2:$AA$1068,MATCH($A316,'Historical Data'!$BE$2:$BE$1068,0)),"")</f>
        <v/>
      </c>
      <c r="R316" s="291">
        <f>IFERROR(INDEX('Historical Data'!$AB$2:$AB$1068,MATCH($A316,'Historical Data'!$BE$2:$BE$1068,0)),"")</f>
        <v/>
      </c>
      <c r="S316" s="291">
        <f>IFERROR(INDEX('Historical Data'!$AN$2:$AN$1068,MATCH($A316,'Historical Data'!$BE$2:$BE$1068,0)),"")</f>
        <v/>
      </c>
      <c r="T316" s="291">
        <f>IFERROR(INDEX('Historical Data'!$AC$2:$AC$1068,MATCH($A316,'Historical Data'!$BE$2:$BE$1068,0)),"")</f>
        <v/>
      </c>
      <c r="U316" s="291">
        <f>IFERROR(INDEX('Historical Data'!$AE$2:$AE$1068,MATCH($A316,'Historical Data'!$BE$2:$BE$1068,0)),"")</f>
        <v/>
      </c>
      <c r="V316" s="291">
        <f>IFERROR(INDEX('Historical Data'!$AH$2:$AH$1068,MATCH($A316,'Historical Data'!$BE$2:$BE$1068,0)),"")</f>
        <v/>
      </c>
      <c r="W316" s="291">
        <f>IFERROR(INDEX('Historical Data'!$BC$2:$BC$1068,MATCH($A316,'Historical Data'!$BE$2:$BE$1068,0)),"")</f>
        <v/>
      </c>
      <c r="X316" s="290">
        <f>IF(B316="","",IF(W316=1,"NR + industry + position",IF(W316=2,"NR + ISO + position",IF(W316=3,"NR + industry",IF(W316=4,"NR + ISO",IF(W316=5,"NR + position",IF(W316=6,"NR only","book baseline"))))))&amp;"  ["&amp;IF(T316=1,"seasoned","unseasoned")&amp;IF(U316=1,", defaulted","")&amp;IF(V316=1,", open","")&amp;"]")</f>
        <v/>
      </c>
    </row>
    <row r="317">
      <c r="A317" s="290" t="n">
        <v>313</v>
      </c>
      <c r="B317" s="291">
        <f>IFERROR(INDEX('Historical Data'!$A$2:$A$1068,MATCH($A317,'Historical Data'!$BE$2:$BE$1068,0)),"")</f>
        <v/>
      </c>
      <c r="C317" s="291">
        <f>IFERROR(INDEX('Historical Data'!$B$2:$B$1068,MATCH($A317,'Historical Data'!$BE$2:$BE$1068,0)),"")</f>
        <v/>
      </c>
      <c r="D317" s="291">
        <f>IFERROR(INDEX('Historical Data'!$D$2:$D$1068,MATCH($A317,'Historical Data'!$BE$2:$BE$1068,0)),"")</f>
        <v/>
      </c>
      <c r="E317" s="292">
        <f>IFERROR(INDEX('Historical Data'!$E$2:$E$1068,MATCH($A317,'Historical Data'!$BE$2:$BE$1068,0)),"")</f>
        <v/>
      </c>
      <c r="F317" s="291">
        <f>IFERROR(INDEX('Historical Data'!$G$2:$G$1068,MATCH($A317,'Historical Data'!$BE$2:$BE$1068,0)),"")</f>
        <v/>
      </c>
      <c r="G317" s="291">
        <f>IFERROR(INDEX('Historical Data'!$Y$2:$Y$1068,MATCH($A317,'Historical Data'!$BE$2:$BE$1068,0)),"")</f>
        <v/>
      </c>
      <c r="H317" s="291">
        <f>IFERROR(INDEX('Historical Data'!$K$2:$K$1068,MATCH($A317,'Historical Data'!$BE$2:$BE$1068,0)),"")</f>
        <v/>
      </c>
      <c r="I317" s="291">
        <f>IFERROR(INDEX('Historical Data'!$J$2:$J$1068,MATCH($A317,'Historical Data'!$BE$2:$BE$1068,0)),"")</f>
        <v/>
      </c>
      <c r="J317" s="291">
        <f>IFERROR(INDEX('Historical Data'!$L$2:$L$1068,MATCH($A317,'Historical Data'!$BE$2:$BE$1068,0)),"")</f>
        <v/>
      </c>
      <c r="K317" s="293">
        <f>IFERROR(INDEX('Historical Data'!$M$2:$M$1068,MATCH($A317,'Historical Data'!$BE$2:$BE$1068,0)),"")</f>
        <v/>
      </c>
      <c r="L317" s="294">
        <f>IFERROR(INDEX('Historical Data'!$N$2:$N$1068,MATCH($A317,'Historical Data'!$BE$2:$BE$1068,0)),"")</f>
        <v/>
      </c>
      <c r="M317" s="294">
        <f>IFERROR(INDEX('Historical Data'!$Q$2:$Q$1068,MATCH($A317,'Historical Data'!$BE$2:$BE$1068,0)),"")</f>
        <v/>
      </c>
      <c r="N317" s="295">
        <f>IFERROR(INDEX('Historical Data'!$S$2:$S$1068,MATCH($A317,'Historical Data'!$BE$2:$BE$1068,0)),"")</f>
        <v/>
      </c>
      <c r="O317" s="294">
        <f>IFERROR(INDEX('Historical Data'!$AJ$2:$AJ$1068,MATCH($A317,'Historical Data'!$BE$2:$BE$1068,0)),"")</f>
        <v/>
      </c>
      <c r="P317" s="294">
        <f>IFERROR(INDEX('Historical Data'!$AK$2:$AK$1068,MATCH($A317,'Historical Data'!$BE$2:$BE$1068,0)),"")</f>
        <v/>
      </c>
      <c r="Q317" s="291">
        <f>IFERROR(INDEX('Historical Data'!$AA$2:$AA$1068,MATCH($A317,'Historical Data'!$BE$2:$BE$1068,0)),"")</f>
        <v/>
      </c>
      <c r="R317" s="291">
        <f>IFERROR(INDEX('Historical Data'!$AB$2:$AB$1068,MATCH($A317,'Historical Data'!$BE$2:$BE$1068,0)),"")</f>
        <v/>
      </c>
      <c r="S317" s="291">
        <f>IFERROR(INDEX('Historical Data'!$AN$2:$AN$1068,MATCH($A317,'Historical Data'!$BE$2:$BE$1068,0)),"")</f>
        <v/>
      </c>
      <c r="T317" s="291">
        <f>IFERROR(INDEX('Historical Data'!$AC$2:$AC$1068,MATCH($A317,'Historical Data'!$BE$2:$BE$1068,0)),"")</f>
        <v/>
      </c>
      <c r="U317" s="291">
        <f>IFERROR(INDEX('Historical Data'!$AE$2:$AE$1068,MATCH($A317,'Historical Data'!$BE$2:$BE$1068,0)),"")</f>
        <v/>
      </c>
      <c r="V317" s="291">
        <f>IFERROR(INDEX('Historical Data'!$AH$2:$AH$1068,MATCH($A317,'Historical Data'!$BE$2:$BE$1068,0)),"")</f>
        <v/>
      </c>
      <c r="W317" s="291">
        <f>IFERROR(INDEX('Historical Data'!$BC$2:$BC$1068,MATCH($A317,'Historical Data'!$BE$2:$BE$1068,0)),"")</f>
        <v/>
      </c>
      <c r="X317" s="290">
        <f>IF(B317="","",IF(W317=1,"NR + industry + position",IF(W317=2,"NR + ISO + position",IF(W317=3,"NR + industry",IF(W317=4,"NR + ISO",IF(W317=5,"NR + position",IF(W317=6,"NR only","book baseline"))))))&amp;"  ["&amp;IF(T317=1,"seasoned","unseasoned")&amp;IF(U317=1,", defaulted","")&amp;IF(V317=1,", open","")&amp;"]")</f>
        <v/>
      </c>
    </row>
    <row r="318">
      <c r="A318" s="290" t="n">
        <v>314</v>
      </c>
      <c r="B318" s="291">
        <f>IFERROR(INDEX('Historical Data'!$A$2:$A$1068,MATCH($A318,'Historical Data'!$BE$2:$BE$1068,0)),"")</f>
        <v/>
      </c>
      <c r="C318" s="291">
        <f>IFERROR(INDEX('Historical Data'!$B$2:$B$1068,MATCH($A318,'Historical Data'!$BE$2:$BE$1068,0)),"")</f>
        <v/>
      </c>
      <c r="D318" s="291">
        <f>IFERROR(INDEX('Historical Data'!$D$2:$D$1068,MATCH($A318,'Historical Data'!$BE$2:$BE$1068,0)),"")</f>
        <v/>
      </c>
      <c r="E318" s="292">
        <f>IFERROR(INDEX('Historical Data'!$E$2:$E$1068,MATCH($A318,'Historical Data'!$BE$2:$BE$1068,0)),"")</f>
        <v/>
      </c>
      <c r="F318" s="291">
        <f>IFERROR(INDEX('Historical Data'!$G$2:$G$1068,MATCH($A318,'Historical Data'!$BE$2:$BE$1068,0)),"")</f>
        <v/>
      </c>
      <c r="G318" s="291">
        <f>IFERROR(INDEX('Historical Data'!$Y$2:$Y$1068,MATCH($A318,'Historical Data'!$BE$2:$BE$1068,0)),"")</f>
        <v/>
      </c>
      <c r="H318" s="291">
        <f>IFERROR(INDEX('Historical Data'!$K$2:$K$1068,MATCH($A318,'Historical Data'!$BE$2:$BE$1068,0)),"")</f>
        <v/>
      </c>
      <c r="I318" s="291">
        <f>IFERROR(INDEX('Historical Data'!$J$2:$J$1068,MATCH($A318,'Historical Data'!$BE$2:$BE$1068,0)),"")</f>
        <v/>
      </c>
      <c r="J318" s="291">
        <f>IFERROR(INDEX('Historical Data'!$L$2:$L$1068,MATCH($A318,'Historical Data'!$BE$2:$BE$1068,0)),"")</f>
        <v/>
      </c>
      <c r="K318" s="293">
        <f>IFERROR(INDEX('Historical Data'!$M$2:$M$1068,MATCH($A318,'Historical Data'!$BE$2:$BE$1068,0)),"")</f>
        <v/>
      </c>
      <c r="L318" s="294">
        <f>IFERROR(INDEX('Historical Data'!$N$2:$N$1068,MATCH($A318,'Historical Data'!$BE$2:$BE$1068,0)),"")</f>
        <v/>
      </c>
      <c r="M318" s="294">
        <f>IFERROR(INDEX('Historical Data'!$Q$2:$Q$1068,MATCH($A318,'Historical Data'!$BE$2:$BE$1068,0)),"")</f>
        <v/>
      </c>
      <c r="N318" s="295">
        <f>IFERROR(INDEX('Historical Data'!$S$2:$S$1068,MATCH($A318,'Historical Data'!$BE$2:$BE$1068,0)),"")</f>
        <v/>
      </c>
      <c r="O318" s="294">
        <f>IFERROR(INDEX('Historical Data'!$AJ$2:$AJ$1068,MATCH($A318,'Historical Data'!$BE$2:$BE$1068,0)),"")</f>
        <v/>
      </c>
      <c r="P318" s="294">
        <f>IFERROR(INDEX('Historical Data'!$AK$2:$AK$1068,MATCH($A318,'Historical Data'!$BE$2:$BE$1068,0)),"")</f>
        <v/>
      </c>
      <c r="Q318" s="291">
        <f>IFERROR(INDEX('Historical Data'!$AA$2:$AA$1068,MATCH($A318,'Historical Data'!$BE$2:$BE$1068,0)),"")</f>
        <v/>
      </c>
      <c r="R318" s="291">
        <f>IFERROR(INDEX('Historical Data'!$AB$2:$AB$1068,MATCH($A318,'Historical Data'!$BE$2:$BE$1068,0)),"")</f>
        <v/>
      </c>
      <c r="S318" s="291">
        <f>IFERROR(INDEX('Historical Data'!$AN$2:$AN$1068,MATCH($A318,'Historical Data'!$BE$2:$BE$1068,0)),"")</f>
        <v/>
      </c>
      <c r="T318" s="291">
        <f>IFERROR(INDEX('Historical Data'!$AC$2:$AC$1068,MATCH($A318,'Historical Data'!$BE$2:$BE$1068,0)),"")</f>
        <v/>
      </c>
      <c r="U318" s="291">
        <f>IFERROR(INDEX('Historical Data'!$AE$2:$AE$1068,MATCH($A318,'Historical Data'!$BE$2:$BE$1068,0)),"")</f>
        <v/>
      </c>
      <c r="V318" s="291">
        <f>IFERROR(INDEX('Historical Data'!$AH$2:$AH$1068,MATCH($A318,'Historical Data'!$BE$2:$BE$1068,0)),"")</f>
        <v/>
      </c>
      <c r="W318" s="291">
        <f>IFERROR(INDEX('Historical Data'!$BC$2:$BC$1068,MATCH($A318,'Historical Data'!$BE$2:$BE$1068,0)),"")</f>
        <v/>
      </c>
      <c r="X318" s="290">
        <f>IF(B318="","",IF(W318=1,"NR + industry + position",IF(W318=2,"NR + ISO + position",IF(W318=3,"NR + industry",IF(W318=4,"NR + ISO",IF(W318=5,"NR + position",IF(W318=6,"NR only","book baseline"))))))&amp;"  ["&amp;IF(T318=1,"seasoned","unseasoned")&amp;IF(U318=1,", defaulted","")&amp;IF(V318=1,", open","")&amp;"]")</f>
        <v/>
      </c>
    </row>
    <row r="319">
      <c r="A319" s="290" t="n">
        <v>315</v>
      </c>
      <c r="B319" s="291">
        <f>IFERROR(INDEX('Historical Data'!$A$2:$A$1068,MATCH($A319,'Historical Data'!$BE$2:$BE$1068,0)),"")</f>
        <v/>
      </c>
      <c r="C319" s="291">
        <f>IFERROR(INDEX('Historical Data'!$B$2:$B$1068,MATCH($A319,'Historical Data'!$BE$2:$BE$1068,0)),"")</f>
        <v/>
      </c>
      <c r="D319" s="291">
        <f>IFERROR(INDEX('Historical Data'!$D$2:$D$1068,MATCH($A319,'Historical Data'!$BE$2:$BE$1068,0)),"")</f>
        <v/>
      </c>
      <c r="E319" s="292">
        <f>IFERROR(INDEX('Historical Data'!$E$2:$E$1068,MATCH($A319,'Historical Data'!$BE$2:$BE$1068,0)),"")</f>
        <v/>
      </c>
      <c r="F319" s="291">
        <f>IFERROR(INDEX('Historical Data'!$G$2:$G$1068,MATCH($A319,'Historical Data'!$BE$2:$BE$1068,0)),"")</f>
        <v/>
      </c>
      <c r="G319" s="291">
        <f>IFERROR(INDEX('Historical Data'!$Y$2:$Y$1068,MATCH($A319,'Historical Data'!$BE$2:$BE$1068,0)),"")</f>
        <v/>
      </c>
      <c r="H319" s="291">
        <f>IFERROR(INDEX('Historical Data'!$K$2:$K$1068,MATCH($A319,'Historical Data'!$BE$2:$BE$1068,0)),"")</f>
        <v/>
      </c>
      <c r="I319" s="291">
        <f>IFERROR(INDEX('Historical Data'!$J$2:$J$1068,MATCH($A319,'Historical Data'!$BE$2:$BE$1068,0)),"")</f>
        <v/>
      </c>
      <c r="J319" s="291">
        <f>IFERROR(INDEX('Historical Data'!$L$2:$L$1068,MATCH($A319,'Historical Data'!$BE$2:$BE$1068,0)),"")</f>
        <v/>
      </c>
      <c r="K319" s="293">
        <f>IFERROR(INDEX('Historical Data'!$M$2:$M$1068,MATCH($A319,'Historical Data'!$BE$2:$BE$1068,0)),"")</f>
        <v/>
      </c>
      <c r="L319" s="294">
        <f>IFERROR(INDEX('Historical Data'!$N$2:$N$1068,MATCH($A319,'Historical Data'!$BE$2:$BE$1068,0)),"")</f>
        <v/>
      </c>
      <c r="M319" s="294">
        <f>IFERROR(INDEX('Historical Data'!$Q$2:$Q$1068,MATCH($A319,'Historical Data'!$BE$2:$BE$1068,0)),"")</f>
        <v/>
      </c>
      <c r="N319" s="295">
        <f>IFERROR(INDEX('Historical Data'!$S$2:$S$1068,MATCH($A319,'Historical Data'!$BE$2:$BE$1068,0)),"")</f>
        <v/>
      </c>
      <c r="O319" s="294">
        <f>IFERROR(INDEX('Historical Data'!$AJ$2:$AJ$1068,MATCH($A319,'Historical Data'!$BE$2:$BE$1068,0)),"")</f>
        <v/>
      </c>
      <c r="P319" s="294">
        <f>IFERROR(INDEX('Historical Data'!$AK$2:$AK$1068,MATCH($A319,'Historical Data'!$BE$2:$BE$1068,0)),"")</f>
        <v/>
      </c>
      <c r="Q319" s="291">
        <f>IFERROR(INDEX('Historical Data'!$AA$2:$AA$1068,MATCH($A319,'Historical Data'!$BE$2:$BE$1068,0)),"")</f>
        <v/>
      </c>
      <c r="R319" s="291">
        <f>IFERROR(INDEX('Historical Data'!$AB$2:$AB$1068,MATCH($A319,'Historical Data'!$BE$2:$BE$1068,0)),"")</f>
        <v/>
      </c>
      <c r="S319" s="291">
        <f>IFERROR(INDEX('Historical Data'!$AN$2:$AN$1068,MATCH($A319,'Historical Data'!$BE$2:$BE$1068,0)),"")</f>
        <v/>
      </c>
      <c r="T319" s="291">
        <f>IFERROR(INDEX('Historical Data'!$AC$2:$AC$1068,MATCH($A319,'Historical Data'!$BE$2:$BE$1068,0)),"")</f>
        <v/>
      </c>
      <c r="U319" s="291">
        <f>IFERROR(INDEX('Historical Data'!$AE$2:$AE$1068,MATCH($A319,'Historical Data'!$BE$2:$BE$1068,0)),"")</f>
        <v/>
      </c>
      <c r="V319" s="291">
        <f>IFERROR(INDEX('Historical Data'!$AH$2:$AH$1068,MATCH($A319,'Historical Data'!$BE$2:$BE$1068,0)),"")</f>
        <v/>
      </c>
      <c r="W319" s="291">
        <f>IFERROR(INDEX('Historical Data'!$BC$2:$BC$1068,MATCH($A319,'Historical Data'!$BE$2:$BE$1068,0)),"")</f>
        <v/>
      </c>
      <c r="X319" s="290">
        <f>IF(B319="","",IF(W319=1,"NR + industry + position",IF(W319=2,"NR + ISO + position",IF(W319=3,"NR + industry",IF(W319=4,"NR + ISO",IF(W319=5,"NR + position",IF(W319=6,"NR only","book baseline"))))))&amp;"  ["&amp;IF(T319=1,"seasoned","unseasoned")&amp;IF(U319=1,", defaulted","")&amp;IF(V319=1,", open","")&amp;"]")</f>
        <v/>
      </c>
    </row>
    <row r="320">
      <c r="A320" s="290" t="n">
        <v>316</v>
      </c>
      <c r="B320" s="291">
        <f>IFERROR(INDEX('Historical Data'!$A$2:$A$1068,MATCH($A320,'Historical Data'!$BE$2:$BE$1068,0)),"")</f>
        <v/>
      </c>
      <c r="C320" s="291">
        <f>IFERROR(INDEX('Historical Data'!$B$2:$B$1068,MATCH($A320,'Historical Data'!$BE$2:$BE$1068,0)),"")</f>
        <v/>
      </c>
      <c r="D320" s="291">
        <f>IFERROR(INDEX('Historical Data'!$D$2:$D$1068,MATCH($A320,'Historical Data'!$BE$2:$BE$1068,0)),"")</f>
        <v/>
      </c>
      <c r="E320" s="292">
        <f>IFERROR(INDEX('Historical Data'!$E$2:$E$1068,MATCH($A320,'Historical Data'!$BE$2:$BE$1068,0)),"")</f>
        <v/>
      </c>
      <c r="F320" s="291">
        <f>IFERROR(INDEX('Historical Data'!$G$2:$G$1068,MATCH($A320,'Historical Data'!$BE$2:$BE$1068,0)),"")</f>
        <v/>
      </c>
      <c r="G320" s="291">
        <f>IFERROR(INDEX('Historical Data'!$Y$2:$Y$1068,MATCH($A320,'Historical Data'!$BE$2:$BE$1068,0)),"")</f>
        <v/>
      </c>
      <c r="H320" s="291">
        <f>IFERROR(INDEX('Historical Data'!$K$2:$K$1068,MATCH($A320,'Historical Data'!$BE$2:$BE$1068,0)),"")</f>
        <v/>
      </c>
      <c r="I320" s="291">
        <f>IFERROR(INDEX('Historical Data'!$J$2:$J$1068,MATCH($A320,'Historical Data'!$BE$2:$BE$1068,0)),"")</f>
        <v/>
      </c>
      <c r="J320" s="291">
        <f>IFERROR(INDEX('Historical Data'!$L$2:$L$1068,MATCH($A320,'Historical Data'!$BE$2:$BE$1068,0)),"")</f>
        <v/>
      </c>
      <c r="K320" s="293">
        <f>IFERROR(INDEX('Historical Data'!$M$2:$M$1068,MATCH($A320,'Historical Data'!$BE$2:$BE$1068,0)),"")</f>
        <v/>
      </c>
      <c r="L320" s="294">
        <f>IFERROR(INDEX('Historical Data'!$N$2:$N$1068,MATCH($A320,'Historical Data'!$BE$2:$BE$1068,0)),"")</f>
        <v/>
      </c>
      <c r="M320" s="294">
        <f>IFERROR(INDEX('Historical Data'!$Q$2:$Q$1068,MATCH($A320,'Historical Data'!$BE$2:$BE$1068,0)),"")</f>
        <v/>
      </c>
      <c r="N320" s="295">
        <f>IFERROR(INDEX('Historical Data'!$S$2:$S$1068,MATCH($A320,'Historical Data'!$BE$2:$BE$1068,0)),"")</f>
        <v/>
      </c>
      <c r="O320" s="294">
        <f>IFERROR(INDEX('Historical Data'!$AJ$2:$AJ$1068,MATCH($A320,'Historical Data'!$BE$2:$BE$1068,0)),"")</f>
        <v/>
      </c>
      <c r="P320" s="294">
        <f>IFERROR(INDEX('Historical Data'!$AK$2:$AK$1068,MATCH($A320,'Historical Data'!$BE$2:$BE$1068,0)),"")</f>
        <v/>
      </c>
      <c r="Q320" s="291">
        <f>IFERROR(INDEX('Historical Data'!$AA$2:$AA$1068,MATCH($A320,'Historical Data'!$BE$2:$BE$1068,0)),"")</f>
        <v/>
      </c>
      <c r="R320" s="291">
        <f>IFERROR(INDEX('Historical Data'!$AB$2:$AB$1068,MATCH($A320,'Historical Data'!$BE$2:$BE$1068,0)),"")</f>
        <v/>
      </c>
      <c r="S320" s="291">
        <f>IFERROR(INDEX('Historical Data'!$AN$2:$AN$1068,MATCH($A320,'Historical Data'!$BE$2:$BE$1068,0)),"")</f>
        <v/>
      </c>
      <c r="T320" s="291">
        <f>IFERROR(INDEX('Historical Data'!$AC$2:$AC$1068,MATCH($A320,'Historical Data'!$BE$2:$BE$1068,0)),"")</f>
        <v/>
      </c>
      <c r="U320" s="291">
        <f>IFERROR(INDEX('Historical Data'!$AE$2:$AE$1068,MATCH($A320,'Historical Data'!$BE$2:$BE$1068,0)),"")</f>
        <v/>
      </c>
      <c r="V320" s="291">
        <f>IFERROR(INDEX('Historical Data'!$AH$2:$AH$1068,MATCH($A320,'Historical Data'!$BE$2:$BE$1068,0)),"")</f>
        <v/>
      </c>
      <c r="W320" s="291">
        <f>IFERROR(INDEX('Historical Data'!$BC$2:$BC$1068,MATCH($A320,'Historical Data'!$BE$2:$BE$1068,0)),"")</f>
        <v/>
      </c>
      <c r="X320" s="290">
        <f>IF(B320="","",IF(W320=1,"NR + industry + position",IF(W320=2,"NR + ISO + position",IF(W320=3,"NR + industry",IF(W320=4,"NR + ISO",IF(W320=5,"NR + position",IF(W320=6,"NR only","book baseline"))))))&amp;"  ["&amp;IF(T320=1,"seasoned","unseasoned")&amp;IF(U320=1,", defaulted","")&amp;IF(V320=1,", open","")&amp;"]")</f>
        <v/>
      </c>
    </row>
    <row r="321">
      <c r="A321" s="290" t="n">
        <v>317</v>
      </c>
      <c r="B321" s="291">
        <f>IFERROR(INDEX('Historical Data'!$A$2:$A$1068,MATCH($A321,'Historical Data'!$BE$2:$BE$1068,0)),"")</f>
        <v/>
      </c>
      <c r="C321" s="291">
        <f>IFERROR(INDEX('Historical Data'!$B$2:$B$1068,MATCH($A321,'Historical Data'!$BE$2:$BE$1068,0)),"")</f>
        <v/>
      </c>
      <c r="D321" s="291">
        <f>IFERROR(INDEX('Historical Data'!$D$2:$D$1068,MATCH($A321,'Historical Data'!$BE$2:$BE$1068,0)),"")</f>
        <v/>
      </c>
      <c r="E321" s="292">
        <f>IFERROR(INDEX('Historical Data'!$E$2:$E$1068,MATCH($A321,'Historical Data'!$BE$2:$BE$1068,0)),"")</f>
        <v/>
      </c>
      <c r="F321" s="291">
        <f>IFERROR(INDEX('Historical Data'!$G$2:$G$1068,MATCH($A321,'Historical Data'!$BE$2:$BE$1068,0)),"")</f>
        <v/>
      </c>
      <c r="G321" s="291">
        <f>IFERROR(INDEX('Historical Data'!$Y$2:$Y$1068,MATCH($A321,'Historical Data'!$BE$2:$BE$1068,0)),"")</f>
        <v/>
      </c>
      <c r="H321" s="291">
        <f>IFERROR(INDEX('Historical Data'!$K$2:$K$1068,MATCH($A321,'Historical Data'!$BE$2:$BE$1068,0)),"")</f>
        <v/>
      </c>
      <c r="I321" s="291">
        <f>IFERROR(INDEX('Historical Data'!$J$2:$J$1068,MATCH($A321,'Historical Data'!$BE$2:$BE$1068,0)),"")</f>
        <v/>
      </c>
      <c r="J321" s="291">
        <f>IFERROR(INDEX('Historical Data'!$L$2:$L$1068,MATCH($A321,'Historical Data'!$BE$2:$BE$1068,0)),"")</f>
        <v/>
      </c>
      <c r="K321" s="293">
        <f>IFERROR(INDEX('Historical Data'!$M$2:$M$1068,MATCH($A321,'Historical Data'!$BE$2:$BE$1068,0)),"")</f>
        <v/>
      </c>
      <c r="L321" s="294">
        <f>IFERROR(INDEX('Historical Data'!$N$2:$N$1068,MATCH($A321,'Historical Data'!$BE$2:$BE$1068,0)),"")</f>
        <v/>
      </c>
      <c r="M321" s="294">
        <f>IFERROR(INDEX('Historical Data'!$Q$2:$Q$1068,MATCH($A321,'Historical Data'!$BE$2:$BE$1068,0)),"")</f>
        <v/>
      </c>
      <c r="N321" s="295">
        <f>IFERROR(INDEX('Historical Data'!$S$2:$S$1068,MATCH($A321,'Historical Data'!$BE$2:$BE$1068,0)),"")</f>
        <v/>
      </c>
      <c r="O321" s="294">
        <f>IFERROR(INDEX('Historical Data'!$AJ$2:$AJ$1068,MATCH($A321,'Historical Data'!$BE$2:$BE$1068,0)),"")</f>
        <v/>
      </c>
      <c r="P321" s="294">
        <f>IFERROR(INDEX('Historical Data'!$AK$2:$AK$1068,MATCH($A321,'Historical Data'!$BE$2:$BE$1068,0)),"")</f>
        <v/>
      </c>
      <c r="Q321" s="291">
        <f>IFERROR(INDEX('Historical Data'!$AA$2:$AA$1068,MATCH($A321,'Historical Data'!$BE$2:$BE$1068,0)),"")</f>
        <v/>
      </c>
      <c r="R321" s="291">
        <f>IFERROR(INDEX('Historical Data'!$AB$2:$AB$1068,MATCH($A321,'Historical Data'!$BE$2:$BE$1068,0)),"")</f>
        <v/>
      </c>
      <c r="S321" s="291">
        <f>IFERROR(INDEX('Historical Data'!$AN$2:$AN$1068,MATCH($A321,'Historical Data'!$BE$2:$BE$1068,0)),"")</f>
        <v/>
      </c>
      <c r="T321" s="291">
        <f>IFERROR(INDEX('Historical Data'!$AC$2:$AC$1068,MATCH($A321,'Historical Data'!$BE$2:$BE$1068,0)),"")</f>
        <v/>
      </c>
      <c r="U321" s="291">
        <f>IFERROR(INDEX('Historical Data'!$AE$2:$AE$1068,MATCH($A321,'Historical Data'!$BE$2:$BE$1068,0)),"")</f>
        <v/>
      </c>
      <c r="V321" s="291">
        <f>IFERROR(INDEX('Historical Data'!$AH$2:$AH$1068,MATCH($A321,'Historical Data'!$BE$2:$BE$1068,0)),"")</f>
        <v/>
      </c>
      <c r="W321" s="291">
        <f>IFERROR(INDEX('Historical Data'!$BC$2:$BC$1068,MATCH($A321,'Historical Data'!$BE$2:$BE$1068,0)),"")</f>
        <v/>
      </c>
      <c r="X321" s="290">
        <f>IF(B321="","",IF(W321=1,"NR + industry + position",IF(W321=2,"NR + ISO + position",IF(W321=3,"NR + industry",IF(W321=4,"NR + ISO",IF(W321=5,"NR + position",IF(W321=6,"NR only","book baseline"))))))&amp;"  ["&amp;IF(T321=1,"seasoned","unseasoned")&amp;IF(U321=1,", defaulted","")&amp;IF(V321=1,", open","")&amp;"]")</f>
        <v/>
      </c>
    </row>
    <row r="322">
      <c r="A322" s="290" t="n">
        <v>318</v>
      </c>
      <c r="B322" s="291">
        <f>IFERROR(INDEX('Historical Data'!$A$2:$A$1068,MATCH($A322,'Historical Data'!$BE$2:$BE$1068,0)),"")</f>
        <v/>
      </c>
      <c r="C322" s="291">
        <f>IFERROR(INDEX('Historical Data'!$B$2:$B$1068,MATCH($A322,'Historical Data'!$BE$2:$BE$1068,0)),"")</f>
        <v/>
      </c>
      <c r="D322" s="291">
        <f>IFERROR(INDEX('Historical Data'!$D$2:$D$1068,MATCH($A322,'Historical Data'!$BE$2:$BE$1068,0)),"")</f>
        <v/>
      </c>
      <c r="E322" s="292">
        <f>IFERROR(INDEX('Historical Data'!$E$2:$E$1068,MATCH($A322,'Historical Data'!$BE$2:$BE$1068,0)),"")</f>
        <v/>
      </c>
      <c r="F322" s="291">
        <f>IFERROR(INDEX('Historical Data'!$G$2:$G$1068,MATCH($A322,'Historical Data'!$BE$2:$BE$1068,0)),"")</f>
        <v/>
      </c>
      <c r="G322" s="291">
        <f>IFERROR(INDEX('Historical Data'!$Y$2:$Y$1068,MATCH($A322,'Historical Data'!$BE$2:$BE$1068,0)),"")</f>
        <v/>
      </c>
      <c r="H322" s="291">
        <f>IFERROR(INDEX('Historical Data'!$K$2:$K$1068,MATCH($A322,'Historical Data'!$BE$2:$BE$1068,0)),"")</f>
        <v/>
      </c>
      <c r="I322" s="291">
        <f>IFERROR(INDEX('Historical Data'!$J$2:$J$1068,MATCH($A322,'Historical Data'!$BE$2:$BE$1068,0)),"")</f>
        <v/>
      </c>
      <c r="J322" s="291">
        <f>IFERROR(INDEX('Historical Data'!$L$2:$L$1068,MATCH($A322,'Historical Data'!$BE$2:$BE$1068,0)),"")</f>
        <v/>
      </c>
      <c r="K322" s="293">
        <f>IFERROR(INDEX('Historical Data'!$M$2:$M$1068,MATCH($A322,'Historical Data'!$BE$2:$BE$1068,0)),"")</f>
        <v/>
      </c>
      <c r="L322" s="294">
        <f>IFERROR(INDEX('Historical Data'!$N$2:$N$1068,MATCH($A322,'Historical Data'!$BE$2:$BE$1068,0)),"")</f>
        <v/>
      </c>
      <c r="M322" s="294">
        <f>IFERROR(INDEX('Historical Data'!$Q$2:$Q$1068,MATCH($A322,'Historical Data'!$BE$2:$BE$1068,0)),"")</f>
        <v/>
      </c>
      <c r="N322" s="295">
        <f>IFERROR(INDEX('Historical Data'!$S$2:$S$1068,MATCH($A322,'Historical Data'!$BE$2:$BE$1068,0)),"")</f>
        <v/>
      </c>
      <c r="O322" s="294">
        <f>IFERROR(INDEX('Historical Data'!$AJ$2:$AJ$1068,MATCH($A322,'Historical Data'!$BE$2:$BE$1068,0)),"")</f>
        <v/>
      </c>
      <c r="P322" s="294">
        <f>IFERROR(INDEX('Historical Data'!$AK$2:$AK$1068,MATCH($A322,'Historical Data'!$BE$2:$BE$1068,0)),"")</f>
        <v/>
      </c>
      <c r="Q322" s="291">
        <f>IFERROR(INDEX('Historical Data'!$AA$2:$AA$1068,MATCH($A322,'Historical Data'!$BE$2:$BE$1068,0)),"")</f>
        <v/>
      </c>
      <c r="R322" s="291">
        <f>IFERROR(INDEX('Historical Data'!$AB$2:$AB$1068,MATCH($A322,'Historical Data'!$BE$2:$BE$1068,0)),"")</f>
        <v/>
      </c>
      <c r="S322" s="291">
        <f>IFERROR(INDEX('Historical Data'!$AN$2:$AN$1068,MATCH($A322,'Historical Data'!$BE$2:$BE$1068,0)),"")</f>
        <v/>
      </c>
      <c r="T322" s="291">
        <f>IFERROR(INDEX('Historical Data'!$AC$2:$AC$1068,MATCH($A322,'Historical Data'!$BE$2:$BE$1068,0)),"")</f>
        <v/>
      </c>
      <c r="U322" s="291">
        <f>IFERROR(INDEX('Historical Data'!$AE$2:$AE$1068,MATCH($A322,'Historical Data'!$BE$2:$BE$1068,0)),"")</f>
        <v/>
      </c>
      <c r="V322" s="291">
        <f>IFERROR(INDEX('Historical Data'!$AH$2:$AH$1068,MATCH($A322,'Historical Data'!$BE$2:$BE$1068,0)),"")</f>
        <v/>
      </c>
      <c r="W322" s="291">
        <f>IFERROR(INDEX('Historical Data'!$BC$2:$BC$1068,MATCH($A322,'Historical Data'!$BE$2:$BE$1068,0)),"")</f>
        <v/>
      </c>
      <c r="X322" s="290">
        <f>IF(B322="","",IF(W322=1,"NR + industry + position",IF(W322=2,"NR + ISO + position",IF(W322=3,"NR + industry",IF(W322=4,"NR + ISO",IF(W322=5,"NR + position",IF(W322=6,"NR only","book baseline"))))))&amp;"  ["&amp;IF(T322=1,"seasoned","unseasoned")&amp;IF(U322=1,", defaulted","")&amp;IF(V322=1,", open","")&amp;"]")</f>
        <v/>
      </c>
    </row>
    <row r="323">
      <c r="A323" s="290" t="n">
        <v>319</v>
      </c>
      <c r="B323" s="291">
        <f>IFERROR(INDEX('Historical Data'!$A$2:$A$1068,MATCH($A323,'Historical Data'!$BE$2:$BE$1068,0)),"")</f>
        <v/>
      </c>
      <c r="C323" s="291">
        <f>IFERROR(INDEX('Historical Data'!$B$2:$B$1068,MATCH($A323,'Historical Data'!$BE$2:$BE$1068,0)),"")</f>
        <v/>
      </c>
      <c r="D323" s="291">
        <f>IFERROR(INDEX('Historical Data'!$D$2:$D$1068,MATCH($A323,'Historical Data'!$BE$2:$BE$1068,0)),"")</f>
        <v/>
      </c>
      <c r="E323" s="292">
        <f>IFERROR(INDEX('Historical Data'!$E$2:$E$1068,MATCH($A323,'Historical Data'!$BE$2:$BE$1068,0)),"")</f>
        <v/>
      </c>
      <c r="F323" s="291">
        <f>IFERROR(INDEX('Historical Data'!$G$2:$G$1068,MATCH($A323,'Historical Data'!$BE$2:$BE$1068,0)),"")</f>
        <v/>
      </c>
      <c r="G323" s="291">
        <f>IFERROR(INDEX('Historical Data'!$Y$2:$Y$1068,MATCH($A323,'Historical Data'!$BE$2:$BE$1068,0)),"")</f>
        <v/>
      </c>
      <c r="H323" s="291">
        <f>IFERROR(INDEX('Historical Data'!$K$2:$K$1068,MATCH($A323,'Historical Data'!$BE$2:$BE$1068,0)),"")</f>
        <v/>
      </c>
      <c r="I323" s="291">
        <f>IFERROR(INDEX('Historical Data'!$J$2:$J$1068,MATCH($A323,'Historical Data'!$BE$2:$BE$1068,0)),"")</f>
        <v/>
      </c>
      <c r="J323" s="291">
        <f>IFERROR(INDEX('Historical Data'!$L$2:$L$1068,MATCH($A323,'Historical Data'!$BE$2:$BE$1068,0)),"")</f>
        <v/>
      </c>
      <c r="K323" s="293">
        <f>IFERROR(INDEX('Historical Data'!$M$2:$M$1068,MATCH($A323,'Historical Data'!$BE$2:$BE$1068,0)),"")</f>
        <v/>
      </c>
      <c r="L323" s="294">
        <f>IFERROR(INDEX('Historical Data'!$N$2:$N$1068,MATCH($A323,'Historical Data'!$BE$2:$BE$1068,0)),"")</f>
        <v/>
      </c>
      <c r="M323" s="294">
        <f>IFERROR(INDEX('Historical Data'!$Q$2:$Q$1068,MATCH($A323,'Historical Data'!$BE$2:$BE$1068,0)),"")</f>
        <v/>
      </c>
      <c r="N323" s="295">
        <f>IFERROR(INDEX('Historical Data'!$S$2:$S$1068,MATCH($A323,'Historical Data'!$BE$2:$BE$1068,0)),"")</f>
        <v/>
      </c>
      <c r="O323" s="294">
        <f>IFERROR(INDEX('Historical Data'!$AJ$2:$AJ$1068,MATCH($A323,'Historical Data'!$BE$2:$BE$1068,0)),"")</f>
        <v/>
      </c>
      <c r="P323" s="294">
        <f>IFERROR(INDEX('Historical Data'!$AK$2:$AK$1068,MATCH($A323,'Historical Data'!$BE$2:$BE$1068,0)),"")</f>
        <v/>
      </c>
      <c r="Q323" s="291">
        <f>IFERROR(INDEX('Historical Data'!$AA$2:$AA$1068,MATCH($A323,'Historical Data'!$BE$2:$BE$1068,0)),"")</f>
        <v/>
      </c>
      <c r="R323" s="291">
        <f>IFERROR(INDEX('Historical Data'!$AB$2:$AB$1068,MATCH($A323,'Historical Data'!$BE$2:$BE$1068,0)),"")</f>
        <v/>
      </c>
      <c r="S323" s="291">
        <f>IFERROR(INDEX('Historical Data'!$AN$2:$AN$1068,MATCH($A323,'Historical Data'!$BE$2:$BE$1068,0)),"")</f>
        <v/>
      </c>
      <c r="T323" s="291">
        <f>IFERROR(INDEX('Historical Data'!$AC$2:$AC$1068,MATCH($A323,'Historical Data'!$BE$2:$BE$1068,0)),"")</f>
        <v/>
      </c>
      <c r="U323" s="291">
        <f>IFERROR(INDEX('Historical Data'!$AE$2:$AE$1068,MATCH($A323,'Historical Data'!$BE$2:$BE$1068,0)),"")</f>
        <v/>
      </c>
      <c r="V323" s="291">
        <f>IFERROR(INDEX('Historical Data'!$AH$2:$AH$1068,MATCH($A323,'Historical Data'!$BE$2:$BE$1068,0)),"")</f>
        <v/>
      </c>
      <c r="W323" s="291">
        <f>IFERROR(INDEX('Historical Data'!$BC$2:$BC$1068,MATCH($A323,'Historical Data'!$BE$2:$BE$1068,0)),"")</f>
        <v/>
      </c>
      <c r="X323" s="290">
        <f>IF(B323="","",IF(W323=1,"NR + industry + position",IF(W323=2,"NR + ISO + position",IF(W323=3,"NR + industry",IF(W323=4,"NR + ISO",IF(W323=5,"NR + position",IF(W323=6,"NR only","book baseline"))))))&amp;"  ["&amp;IF(T323=1,"seasoned","unseasoned")&amp;IF(U323=1,", defaulted","")&amp;IF(V323=1,", open","")&amp;"]")</f>
        <v/>
      </c>
    </row>
    <row r="324">
      <c r="A324" s="290" t="n">
        <v>320</v>
      </c>
      <c r="B324" s="291">
        <f>IFERROR(INDEX('Historical Data'!$A$2:$A$1068,MATCH($A324,'Historical Data'!$BE$2:$BE$1068,0)),"")</f>
        <v/>
      </c>
      <c r="C324" s="291">
        <f>IFERROR(INDEX('Historical Data'!$B$2:$B$1068,MATCH($A324,'Historical Data'!$BE$2:$BE$1068,0)),"")</f>
        <v/>
      </c>
      <c r="D324" s="291">
        <f>IFERROR(INDEX('Historical Data'!$D$2:$D$1068,MATCH($A324,'Historical Data'!$BE$2:$BE$1068,0)),"")</f>
        <v/>
      </c>
      <c r="E324" s="292">
        <f>IFERROR(INDEX('Historical Data'!$E$2:$E$1068,MATCH($A324,'Historical Data'!$BE$2:$BE$1068,0)),"")</f>
        <v/>
      </c>
      <c r="F324" s="291">
        <f>IFERROR(INDEX('Historical Data'!$G$2:$G$1068,MATCH($A324,'Historical Data'!$BE$2:$BE$1068,0)),"")</f>
        <v/>
      </c>
      <c r="G324" s="291">
        <f>IFERROR(INDEX('Historical Data'!$Y$2:$Y$1068,MATCH($A324,'Historical Data'!$BE$2:$BE$1068,0)),"")</f>
        <v/>
      </c>
      <c r="H324" s="291">
        <f>IFERROR(INDEX('Historical Data'!$K$2:$K$1068,MATCH($A324,'Historical Data'!$BE$2:$BE$1068,0)),"")</f>
        <v/>
      </c>
      <c r="I324" s="291">
        <f>IFERROR(INDEX('Historical Data'!$J$2:$J$1068,MATCH($A324,'Historical Data'!$BE$2:$BE$1068,0)),"")</f>
        <v/>
      </c>
      <c r="J324" s="291">
        <f>IFERROR(INDEX('Historical Data'!$L$2:$L$1068,MATCH($A324,'Historical Data'!$BE$2:$BE$1068,0)),"")</f>
        <v/>
      </c>
      <c r="K324" s="293">
        <f>IFERROR(INDEX('Historical Data'!$M$2:$M$1068,MATCH($A324,'Historical Data'!$BE$2:$BE$1068,0)),"")</f>
        <v/>
      </c>
      <c r="L324" s="294">
        <f>IFERROR(INDEX('Historical Data'!$N$2:$N$1068,MATCH($A324,'Historical Data'!$BE$2:$BE$1068,0)),"")</f>
        <v/>
      </c>
      <c r="M324" s="294">
        <f>IFERROR(INDEX('Historical Data'!$Q$2:$Q$1068,MATCH($A324,'Historical Data'!$BE$2:$BE$1068,0)),"")</f>
        <v/>
      </c>
      <c r="N324" s="295">
        <f>IFERROR(INDEX('Historical Data'!$S$2:$S$1068,MATCH($A324,'Historical Data'!$BE$2:$BE$1068,0)),"")</f>
        <v/>
      </c>
      <c r="O324" s="294">
        <f>IFERROR(INDEX('Historical Data'!$AJ$2:$AJ$1068,MATCH($A324,'Historical Data'!$BE$2:$BE$1068,0)),"")</f>
        <v/>
      </c>
      <c r="P324" s="294">
        <f>IFERROR(INDEX('Historical Data'!$AK$2:$AK$1068,MATCH($A324,'Historical Data'!$BE$2:$BE$1068,0)),"")</f>
        <v/>
      </c>
      <c r="Q324" s="291">
        <f>IFERROR(INDEX('Historical Data'!$AA$2:$AA$1068,MATCH($A324,'Historical Data'!$BE$2:$BE$1068,0)),"")</f>
        <v/>
      </c>
      <c r="R324" s="291">
        <f>IFERROR(INDEX('Historical Data'!$AB$2:$AB$1068,MATCH($A324,'Historical Data'!$BE$2:$BE$1068,0)),"")</f>
        <v/>
      </c>
      <c r="S324" s="291">
        <f>IFERROR(INDEX('Historical Data'!$AN$2:$AN$1068,MATCH($A324,'Historical Data'!$BE$2:$BE$1068,0)),"")</f>
        <v/>
      </c>
      <c r="T324" s="291">
        <f>IFERROR(INDEX('Historical Data'!$AC$2:$AC$1068,MATCH($A324,'Historical Data'!$BE$2:$BE$1068,0)),"")</f>
        <v/>
      </c>
      <c r="U324" s="291">
        <f>IFERROR(INDEX('Historical Data'!$AE$2:$AE$1068,MATCH($A324,'Historical Data'!$BE$2:$BE$1068,0)),"")</f>
        <v/>
      </c>
      <c r="V324" s="291">
        <f>IFERROR(INDEX('Historical Data'!$AH$2:$AH$1068,MATCH($A324,'Historical Data'!$BE$2:$BE$1068,0)),"")</f>
        <v/>
      </c>
      <c r="W324" s="291">
        <f>IFERROR(INDEX('Historical Data'!$BC$2:$BC$1068,MATCH($A324,'Historical Data'!$BE$2:$BE$1068,0)),"")</f>
        <v/>
      </c>
      <c r="X324" s="290">
        <f>IF(B324="","",IF(W324=1,"NR + industry + position",IF(W324=2,"NR + ISO + position",IF(W324=3,"NR + industry",IF(W324=4,"NR + ISO",IF(W324=5,"NR + position",IF(W324=6,"NR only","book baseline"))))))&amp;"  ["&amp;IF(T324=1,"seasoned","unseasoned")&amp;IF(U324=1,", defaulted","")&amp;IF(V324=1,", open","")&amp;"]")</f>
        <v/>
      </c>
    </row>
    <row r="325">
      <c r="A325" s="290" t="n">
        <v>321</v>
      </c>
      <c r="B325" s="291">
        <f>IFERROR(INDEX('Historical Data'!$A$2:$A$1068,MATCH($A325,'Historical Data'!$BE$2:$BE$1068,0)),"")</f>
        <v/>
      </c>
      <c r="C325" s="291">
        <f>IFERROR(INDEX('Historical Data'!$B$2:$B$1068,MATCH($A325,'Historical Data'!$BE$2:$BE$1068,0)),"")</f>
        <v/>
      </c>
      <c r="D325" s="291">
        <f>IFERROR(INDEX('Historical Data'!$D$2:$D$1068,MATCH($A325,'Historical Data'!$BE$2:$BE$1068,0)),"")</f>
        <v/>
      </c>
      <c r="E325" s="292">
        <f>IFERROR(INDEX('Historical Data'!$E$2:$E$1068,MATCH($A325,'Historical Data'!$BE$2:$BE$1068,0)),"")</f>
        <v/>
      </c>
      <c r="F325" s="291">
        <f>IFERROR(INDEX('Historical Data'!$G$2:$G$1068,MATCH($A325,'Historical Data'!$BE$2:$BE$1068,0)),"")</f>
        <v/>
      </c>
      <c r="G325" s="291">
        <f>IFERROR(INDEX('Historical Data'!$Y$2:$Y$1068,MATCH($A325,'Historical Data'!$BE$2:$BE$1068,0)),"")</f>
        <v/>
      </c>
      <c r="H325" s="291">
        <f>IFERROR(INDEX('Historical Data'!$K$2:$K$1068,MATCH($A325,'Historical Data'!$BE$2:$BE$1068,0)),"")</f>
        <v/>
      </c>
      <c r="I325" s="291">
        <f>IFERROR(INDEX('Historical Data'!$J$2:$J$1068,MATCH($A325,'Historical Data'!$BE$2:$BE$1068,0)),"")</f>
        <v/>
      </c>
      <c r="J325" s="291">
        <f>IFERROR(INDEX('Historical Data'!$L$2:$L$1068,MATCH($A325,'Historical Data'!$BE$2:$BE$1068,0)),"")</f>
        <v/>
      </c>
      <c r="K325" s="293">
        <f>IFERROR(INDEX('Historical Data'!$M$2:$M$1068,MATCH($A325,'Historical Data'!$BE$2:$BE$1068,0)),"")</f>
        <v/>
      </c>
      <c r="L325" s="294">
        <f>IFERROR(INDEX('Historical Data'!$N$2:$N$1068,MATCH($A325,'Historical Data'!$BE$2:$BE$1068,0)),"")</f>
        <v/>
      </c>
      <c r="M325" s="294">
        <f>IFERROR(INDEX('Historical Data'!$Q$2:$Q$1068,MATCH($A325,'Historical Data'!$BE$2:$BE$1068,0)),"")</f>
        <v/>
      </c>
      <c r="N325" s="295">
        <f>IFERROR(INDEX('Historical Data'!$S$2:$S$1068,MATCH($A325,'Historical Data'!$BE$2:$BE$1068,0)),"")</f>
        <v/>
      </c>
      <c r="O325" s="294">
        <f>IFERROR(INDEX('Historical Data'!$AJ$2:$AJ$1068,MATCH($A325,'Historical Data'!$BE$2:$BE$1068,0)),"")</f>
        <v/>
      </c>
      <c r="P325" s="294">
        <f>IFERROR(INDEX('Historical Data'!$AK$2:$AK$1068,MATCH($A325,'Historical Data'!$BE$2:$BE$1068,0)),"")</f>
        <v/>
      </c>
      <c r="Q325" s="291">
        <f>IFERROR(INDEX('Historical Data'!$AA$2:$AA$1068,MATCH($A325,'Historical Data'!$BE$2:$BE$1068,0)),"")</f>
        <v/>
      </c>
      <c r="R325" s="291">
        <f>IFERROR(INDEX('Historical Data'!$AB$2:$AB$1068,MATCH($A325,'Historical Data'!$BE$2:$BE$1068,0)),"")</f>
        <v/>
      </c>
      <c r="S325" s="291">
        <f>IFERROR(INDEX('Historical Data'!$AN$2:$AN$1068,MATCH($A325,'Historical Data'!$BE$2:$BE$1068,0)),"")</f>
        <v/>
      </c>
      <c r="T325" s="291">
        <f>IFERROR(INDEX('Historical Data'!$AC$2:$AC$1068,MATCH($A325,'Historical Data'!$BE$2:$BE$1068,0)),"")</f>
        <v/>
      </c>
      <c r="U325" s="291">
        <f>IFERROR(INDEX('Historical Data'!$AE$2:$AE$1068,MATCH($A325,'Historical Data'!$BE$2:$BE$1068,0)),"")</f>
        <v/>
      </c>
      <c r="V325" s="291">
        <f>IFERROR(INDEX('Historical Data'!$AH$2:$AH$1068,MATCH($A325,'Historical Data'!$BE$2:$BE$1068,0)),"")</f>
        <v/>
      </c>
      <c r="W325" s="291">
        <f>IFERROR(INDEX('Historical Data'!$BC$2:$BC$1068,MATCH($A325,'Historical Data'!$BE$2:$BE$1068,0)),"")</f>
        <v/>
      </c>
      <c r="X325" s="290">
        <f>IF(B325="","",IF(W325=1,"NR + industry + position",IF(W325=2,"NR + ISO + position",IF(W325=3,"NR + industry",IF(W325=4,"NR + ISO",IF(W325=5,"NR + position",IF(W325=6,"NR only","book baseline"))))))&amp;"  ["&amp;IF(T325=1,"seasoned","unseasoned")&amp;IF(U325=1,", defaulted","")&amp;IF(V325=1,", open","")&amp;"]")</f>
        <v/>
      </c>
    </row>
    <row r="326">
      <c r="A326" s="290" t="n">
        <v>322</v>
      </c>
      <c r="B326" s="291">
        <f>IFERROR(INDEX('Historical Data'!$A$2:$A$1068,MATCH($A326,'Historical Data'!$BE$2:$BE$1068,0)),"")</f>
        <v/>
      </c>
      <c r="C326" s="291">
        <f>IFERROR(INDEX('Historical Data'!$B$2:$B$1068,MATCH($A326,'Historical Data'!$BE$2:$BE$1068,0)),"")</f>
        <v/>
      </c>
      <c r="D326" s="291">
        <f>IFERROR(INDEX('Historical Data'!$D$2:$D$1068,MATCH($A326,'Historical Data'!$BE$2:$BE$1068,0)),"")</f>
        <v/>
      </c>
      <c r="E326" s="292">
        <f>IFERROR(INDEX('Historical Data'!$E$2:$E$1068,MATCH($A326,'Historical Data'!$BE$2:$BE$1068,0)),"")</f>
        <v/>
      </c>
      <c r="F326" s="291">
        <f>IFERROR(INDEX('Historical Data'!$G$2:$G$1068,MATCH($A326,'Historical Data'!$BE$2:$BE$1068,0)),"")</f>
        <v/>
      </c>
      <c r="G326" s="291">
        <f>IFERROR(INDEX('Historical Data'!$Y$2:$Y$1068,MATCH($A326,'Historical Data'!$BE$2:$BE$1068,0)),"")</f>
        <v/>
      </c>
      <c r="H326" s="291">
        <f>IFERROR(INDEX('Historical Data'!$K$2:$K$1068,MATCH($A326,'Historical Data'!$BE$2:$BE$1068,0)),"")</f>
        <v/>
      </c>
      <c r="I326" s="291">
        <f>IFERROR(INDEX('Historical Data'!$J$2:$J$1068,MATCH($A326,'Historical Data'!$BE$2:$BE$1068,0)),"")</f>
        <v/>
      </c>
      <c r="J326" s="291">
        <f>IFERROR(INDEX('Historical Data'!$L$2:$L$1068,MATCH($A326,'Historical Data'!$BE$2:$BE$1068,0)),"")</f>
        <v/>
      </c>
      <c r="K326" s="293">
        <f>IFERROR(INDEX('Historical Data'!$M$2:$M$1068,MATCH($A326,'Historical Data'!$BE$2:$BE$1068,0)),"")</f>
        <v/>
      </c>
      <c r="L326" s="294">
        <f>IFERROR(INDEX('Historical Data'!$N$2:$N$1068,MATCH($A326,'Historical Data'!$BE$2:$BE$1068,0)),"")</f>
        <v/>
      </c>
      <c r="M326" s="294">
        <f>IFERROR(INDEX('Historical Data'!$Q$2:$Q$1068,MATCH($A326,'Historical Data'!$BE$2:$BE$1068,0)),"")</f>
        <v/>
      </c>
      <c r="N326" s="295">
        <f>IFERROR(INDEX('Historical Data'!$S$2:$S$1068,MATCH($A326,'Historical Data'!$BE$2:$BE$1068,0)),"")</f>
        <v/>
      </c>
      <c r="O326" s="294">
        <f>IFERROR(INDEX('Historical Data'!$AJ$2:$AJ$1068,MATCH($A326,'Historical Data'!$BE$2:$BE$1068,0)),"")</f>
        <v/>
      </c>
      <c r="P326" s="294">
        <f>IFERROR(INDEX('Historical Data'!$AK$2:$AK$1068,MATCH($A326,'Historical Data'!$BE$2:$BE$1068,0)),"")</f>
        <v/>
      </c>
      <c r="Q326" s="291">
        <f>IFERROR(INDEX('Historical Data'!$AA$2:$AA$1068,MATCH($A326,'Historical Data'!$BE$2:$BE$1068,0)),"")</f>
        <v/>
      </c>
      <c r="R326" s="291">
        <f>IFERROR(INDEX('Historical Data'!$AB$2:$AB$1068,MATCH($A326,'Historical Data'!$BE$2:$BE$1068,0)),"")</f>
        <v/>
      </c>
      <c r="S326" s="291">
        <f>IFERROR(INDEX('Historical Data'!$AN$2:$AN$1068,MATCH($A326,'Historical Data'!$BE$2:$BE$1068,0)),"")</f>
        <v/>
      </c>
      <c r="T326" s="291">
        <f>IFERROR(INDEX('Historical Data'!$AC$2:$AC$1068,MATCH($A326,'Historical Data'!$BE$2:$BE$1068,0)),"")</f>
        <v/>
      </c>
      <c r="U326" s="291">
        <f>IFERROR(INDEX('Historical Data'!$AE$2:$AE$1068,MATCH($A326,'Historical Data'!$BE$2:$BE$1068,0)),"")</f>
        <v/>
      </c>
      <c r="V326" s="291">
        <f>IFERROR(INDEX('Historical Data'!$AH$2:$AH$1068,MATCH($A326,'Historical Data'!$BE$2:$BE$1068,0)),"")</f>
        <v/>
      </c>
      <c r="W326" s="291">
        <f>IFERROR(INDEX('Historical Data'!$BC$2:$BC$1068,MATCH($A326,'Historical Data'!$BE$2:$BE$1068,0)),"")</f>
        <v/>
      </c>
      <c r="X326" s="290">
        <f>IF(B326="","",IF(W326=1,"NR + industry + position",IF(W326=2,"NR + ISO + position",IF(W326=3,"NR + industry",IF(W326=4,"NR + ISO",IF(W326=5,"NR + position",IF(W326=6,"NR only","book baseline"))))))&amp;"  ["&amp;IF(T326=1,"seasoned","unseasoned")&amp;IF(U326=1,", defaulted","")&amp;IF(V326=1,", open","")&amp;"]")</f>
        <v/>
      </c>
    </row>
    <row r="327">
      <c r="A327" s="290" t="n">
        <v>323</v>
      </c>
      <c r="B327" s="291">
        <f>IFERROR(INDEX('Historical Data'!$A$2:$A$1068,MATCH($A327,'Historical Data'!$BE$2:$BE$1068,0)),"")</f>
        <v/>
      </c>
      <c r="C327" s="291">
        <f>IFERROR(INDEX('Historical Data'!$B$2:$B$1068,MATCH($A327,'Historical Data'!$BE$2:$BE$1068,0)),"")</f>
        <v/>
      </c>
      <c r="D327" s="291">
        <f>IFERROR(INDEX('Historical Data'!$D$2:$D$1068,MATCH($A327,'Historical Data'!$BE$2:$BE$1068,0)),"")</f>
        <v/>
      </c>
      <c r="E327" s="292">
        <f>IFERROR(INDEX('Historical Data'!$E$2:$E$1068,MATCH($A327,'Historical Data'!$BE$2:$BE$1068,0)),"")</f>
        <v/>
      </c>
      <c r="F327" s="291">
        <f>IFERROR(INDEX('Historical Data'!$G$2:$G$1068,MATCH($A327,'Historical Data'!$BE$2:$BE$1068,0)),"")</f>
        <v/>
      </c>
      <c r="G327" s="291">
        <f>IFERROR(INDEX('Historical Data'!$Y$2:$Y$1068,MATCH($A327,'Historical Data'!$BE$2:$BE$1068,0)),"")</f>
        <v/>
      </c>
      <c r="H327" s="291">
        <f>IFERROR(INDEX('Historical Data'!$K$2:$K$1068,MATCH($A327,'Historical Data'!$BE$2:$BE$1068,0)),"")</f>
        <v/>
      </c>
      <c r="I327" s="291">
        <f>IFERROR(INDEX('Historical Data'!$J$2:$J$1068,MATCH($A327,'Historical Data'!$BE$2:$BE$1068,0)),"")</f>
        <v/>
      </c>
      <c r="J327" s="291">
        <f>IFERROR(INDEX('Historical Data'!$L$2:$L$1068,MATCH($A327,'Historical Data'!$BE$2:$BE$1068,0)),"")</f>
        <v/>
      </c>
      <c r="K327" s="293">
        <f>IFERROR(INDEX('Historical Data'!$M$2:$M$1068,MATCH($A327,'Historical Data'!$BE$2:$BE$1068,0)),"")</f>
        <v/>
      </c>
      <c r="L327" s="294">
        <f>IFERROR(INDEX('Historical Data'!$N$2:$N$1068,MATCH($A327,'Historical Data'!$BE$2:$BE$1068,0)),"")</f>
        <v/>
      </c>
      <c r="M327" s="294">
        <f>IFERROR(INDEX('Historical Data'!$Q$2:$Q$1068,MATCH($A327,'Historical Data'!$BE$2:$BE$1068,0)),"")</f>
        <v/>
      </c>
      <c r="N327" s="295">
        <f>IFERROR(INDEX('Historical Data'!$S$2:$S$1068,MATCH($A327,'Historical Data'!$BE$2:$BE$1068,0)),"")</f>
        <v/>
      </c>
      <c r="O327" s="294">
        <f>IFERROR(INDEX('Historical Data'!$AJ$2:$AJ$1068,MATCH($A327,'Historical Data'!$BE$2:$BE$1068,0)),"")</f>
        <v/>
      </c>
      <c r="P327" s="294">
        <f>IFERROR(INDEX('Historical Data'!$AK$2:$AK$1068,MATCH($A327,'Historical Data'!$BE$2:$BE$1068,0)),"")</f>
        <v/>
      </c>
      <c r="Q327" s="291">
        <f>IFERROR(INDEX('Historical Data'!$AA$2:$AA$1068,MATCH($A327,'Historical Data'!$BE$2:$BE$1068,0)),"")</f>
        <v/>
      </c>
      <c r="R327" s="291">
        <f>IFERROR(INDEX('Historical Data'!$AB$2:$AB$1068,MATCH($A327,'Historical Data'!$BE$2:$BE$1068,0)),"")</f>
        <v/>
      </c>
      <c r="S327" s="291">
        <f>IFERROR(INDEX('Historical Data'!$AN$2:$AN$1068,MATCH($A327,'Historical Data'!$BE$2:$BE$1068,0)),"")</f>
        <v/>
      </c>
      <c r="T327" s="291">
        <f>IFERROR(INDEX('Historical Data'!$AC$2:$AC$1068,MATCH($A327,'Historical Data'!$BE$2:$BE$1068,0)),"")</f>
        <v/>
      </c>
      <c r="U327" s="291">
        <f>IFERROR(INDEX('Historical Data'!$AE$2:$AE$1068,MATCH($A327,'Historical Data'!$BE$2:$BE$1068,0)),"")</f>
        <v/>
      </c>
      <c r="V327" s="291">
        <f>IFERROR(INDEX('Historical Data'!$AH$2:$AH$1068,MATCH($A327,'Historical Data'!$BE$2:$BE$1068,0)),"")</f>
        <v/>
      </c>
      <c r="W327" s="291">
        <f>IFERROR(INDEX('Historical Data'!$BC$2:$BC$1068,MATCH($A327,'Historical Data'!$BE$2:$BE$1068,0)),"")</f>
        <v/>
      </c>
      <c r="X327" s="290">
        <f>IF(B327="","",IF(W327=1,"NR + industry + position",IF(W327=2,"NR + ISO + position",IF(W327=3,"NR + industry",IF(W327=4,"NR + ISO",IF(W327=5,"NR + position",IF(W327=6,"NR only","book baseline"))))))&amp;"  ["&amp;IF(T327=1,"seasoned","unseasoned")&amp;IF(U327=1,", defaulted","")&amp;IF(V327=1,", open","")&amp;"]")</f>
        <v/>
      </c>
    </row>
    <row r="328">
      <c r="A328" s="290" t="n">
        <v>324</v>
      </c>
      <c r="B328" s="291">
        <f>IFERROR(INDEX('Historical Data'!$A$2:$A$1068,MATCH($A328,'Historical Data'!$BE$2:$BE$1068,0)),"")</f>
        <v/>
      </c>
      <c r="C328" s="291">
        <f>IFERROR(INDEX('Historical Data'!$B$2:$B$1068,MATCH($A328,'Historical Data'!$BE$2:$BE$1068,0)),"")</f>
        <v/>
      </c>
      <c r="D328" s="291">
        <f>IFERROR(INDEX('Historical Data'!$D$2:$D$1068,MATCH($A328,'Historical Data'!$BE$2:$BE$1068,0)),"")</f>
        <v/>
      </c>
      <c r="E328" s="292">
        <f>IFERROR(INDEX('Historical Data'!$E$2:$E$1068,MATCH($A328,'Historical Data'!$BE$2:$BE$1068,0)),"")</f>
        <v/>
      </c>
      <c r="F328" s="291">
        <f>IFERROR(INDEX('Historical Data'!$G$2:$G$1068,MATCH($A328,'Historical Data'!$BE$2:$BE$1068,0)),"")</f>
        <v/>
      </c>
      <c r="G328" s="291">
        <f>IFERROR(INDEX('Historical Data'!$Y$2:$Y$1068,MATCH($A328,'Historical Data'!$BE$2:$BE$1068,0)),"")</f>
        <v/>
      </c>
      <c r="H328" s="291">
        <f>IFERROR(INDEX('Historical Data'!$K$2:$K$1068,MATCH($A328,'Historical Data'!$BE$2:$BE$1068,0)),"")</f>
        <v/>
      </c>
      <c r="I328" s="291">
        <f>IFERROR(INDEX('Historical Data'!$J$2:$J$1068,MATCH($A328,'Historical Data'!$BE$2:$BE$1068,0)),"")</f>
        <v/>
      </c>
      <c r="J328" s="291">
        <f>IFERROR(INDEX('Historical Data'!$L$2:$L$1068,MATCH($A328,'Historical Data'!$BE$2:$BE$1068,0)),"")</f>
        <v/>
      </c>
      <c r="K328" s="293">
        <f>IFERROR(INDEX('Historical Data'!$M$2:$M$1068,MATCH($A328,'Historical Data'!$BE$2:$BE$1068,0)),"")</f>
        <v/>
      </c>
      <c r="L328" s="294">
        <f>IFERROR(INDEX('Historical Data'!$N$2:$N$1068,MATCH($A328,'Historical Data'!$BE$2:$BE$1068,0)),"")</f>
        <v/>
      </c>
      <c r="M328" s="294">
        <f>IFERROR(INDEX('Historical Data'!$Q$2:$Q$1068,MATCH($A328,'Historical Data'!$BE$2:$BE$1068,0)),"")</f>
        <v/>
      </c>
      <c r="N328" s="295">
        <f>IFERROR(INDEX('Historical Data'!$S$2:$S$1068,MATCH($A328,'Historical Data'!$BE$2:$BE$1068,0)),"")</f>
        <v/>
      </c>
      <c r="O328" s="294">
        <f>IFERROR(INDEX('Historical Data'!$AJ$2:$AJ$1068,MATCH($A328,'Historical Data'!$BE$2:$BE$1068,0)),"")</f>
        <v/>
      </c>
      <c r="P328" s="294">
        <f>IFERROR(INDEX('Historical Data'!$AK$2:$AK$1068,MATCH($A328,'Historical Data'!$BE$2:$BE$1068,0)),"")</f>
        <v/>
      </c>
      <c r="Q328" s="291">
        <f>IFERROR(INDEX('Historical Data'!$AA$2:$AA$1068,MATCH($A328,'Historical Data'!$BE$2:$BE$1068,0)),"")</f>
        <v/>
      </c>
      <c r="R328" s="291">
        <f>IFERROR(INDEX('Historical Data'!$AB$2:$AB$1068,MATCH($A328,'Historical Data'!$BE$2:$BE$1068,0)),"")</f>
        <v/>
      </c>
      <c r="S328" s="291">
        <f>IFERROR(INDEX('Historical Data'!$AN$2:$AN$1068,MATCH($A328,'Historical Data'!$BE$2:$BE$1068,0)),"")</f>
        <v/>
      </c>
      <c r="T328" s="291">
        <f>IFERROR(INDEX('Historical Data'!$AC$2:$AC$1068,MATCH($A328,'Historical Data'!$BE$2:$BE$1068,0)),"")</f>
        <v/>
      </c>
      <c r="U328" s="291">
        <f>IFERROR(INDEX('Historical Data'!$AE$2:$AE$1068,MATCH($A328,'Historical Data'!$BE$2:$BE$1068,0)),"")</f>
        <v/>
      </c>
      <c r="V328" s="291">
        <f>IFERROR(INDEX('Historical Data'!$AH$2:$AH$1068,MATCH($A328,'Historical Data'!$BE$2:$BE$1068,0)),"")</f>
        <v/>
      </c>
      <c r="W328" s="291">
        <f>IFERROR(INDEX('Historical Data'!$BC$2:$BC$1068,MATCH($A328,'Historical Data'!$BE$2:$BE$1068,0)),"")</f>
        <v/>
      </c>
      <c r="X328" s="290">
        <f>IF(B328="","",IF(W328=1,"NR + industry + position",IF(W328=2,"NR + ISO + position",IF(W328=3,"NR + industry",IF(W328=4,"NR + ISO",IF(W328=5,"NR + position",IF(W328=6,"NR only","book baseline"))))))&amp;"  ["&amp;IF(T328=1,"seasoned","unseasoned")&amp;IF(U328=1,", defaulted","")&amp;IF(V328=1,", open","")&amp;"]")</f>
        <v/>
      </c>
    </row>
    <row r="329">
      <c r="A329" s="290" t="n">
        <v>325</v>
      </c>
      <c r="B329" s="291">
        <f>IFERROR(INDEX('Historical Data'!$A$2:$A$1068,MATCH($A329,'Historical Data'!$BE$2:$BE$1068,0)),"")</f>
        <v/>
      </c>
      <c r="C329" s="291">
        <f>IFERROR(INDEX('Historical Data'!$B$2:$B$1068,MATCH($A329,'Historical Data'!$BE$2:$BE$1068,0)),"")</f>
        <v/>
      </c>
      <c r="D329" s="291">
        <f>IFERROR(INDEX('Historical Data'!$D$2:$D$1068,MATCH($A329,'Historical Data'!$BE$2:$BE$1068,0)),"")</f>
        <v/>
      </c>
      <c r="E329" s="292">
        <f>IFERROR(INDEX('Historical Data'!$E$2:$E$1068,MATCH($A329,'Historical Data'!$BE$2:$BE$1068,0)),"")</f>
        <v/>
      </c>
      <c r="F329" s="291">
        <f>IFERROR(INDEX('Historical Data'!$G$2:$G$1068,MATCH($A329,'Historical Data'!$BE$2:$BE$1068,0)),"")</f>
        <v/>
      </c>
      <c r="G329" s="291">
        <f>IFERROR(INDEX('Historical Data'!$Y$2:$Y$1068,MATCH($A329,'Historical Data'!$BE$2:$BE$1068,0)),"")</f>
        <v/>
      </c>
      <c r="H329" s="291">
        <f>IFERROR(INDEX('Historical Data'!$K$2:$K$1068,MATCH($A329,'Historical Data'!$BE$2:$BE$1068,0)),"")</f>
        <v/>
      </c>
      <c r="I329" s="291">
        <f>IFERROR(INDEX('Historical Data'!$J$2:$J$1068,MATCH($A329,'Historical Data'!$BE$2:$BE$1068,0)),"")</f>
        <v/>
      </c>
      <c r="J329" s="291">
        <f>IFERROR(INDEX('Historical Data'!$L$2:$L$1068,MATCH($A329,'Historical Data'!$BE$2:$BE$1068,0)),"")</f>
        <v/>
      </c>
      <c r="K329" s="293">
        <f>IFERROR(INDEX('Historical Data'!$M$2:$M$1068,MATCH($A329,'Historical Data'!$BE$2:$BE$1068,0)),"")</f>
        <v/>
      </c>
      <c r="L329" s="294">
        <f>IFERROR(INDEX('Historical Data'!$N$2:$N$1068,MATCH($A329,'Historical Data'!$BE$2:$BE$1068,0)),"")</f>
        <v/>
      </c>
      <c r="M329" s="294">
        <f>IFERROR(INDEX('Historical Data'!$Q$2:$Q$1068,MATCH($A329,'Historical Data'!$BE$2:$BE$1068,0)),"")</f>
        <v/>
      </c>
      <c r="N329" s="295">
        <f>IFERROR(INDEX('Historical Data'!$S$2:$S$1068,MATCH($A329,'Historical Data'!$BE$2:$BE$1068,0)),"")</f>
        <v/>
      </c>
      <c r="O329" s="294">
        <f>IFERROR(INDEX('Historical Data'!$AJ$2:$AJ$1068,MATCH($A329,'Historical Data'!$BE$2:$BE$1068,0)),"")</f>
        <v/>
      </c>
      <c r="P329" s="294">
        <f>IFERROR(INDEX('Historical Data'!$AK$2:$AK$1068,MATCH($A329,'Historical Data'!$BE$2:$BE$1068,0)),"")</f>
        <v/>
      </c>
      <c r="Q329" s="291">
        <f>IFERROR(INDEX('Historical Data'!$AA$2:$AA$1068,MATCH($A329,'Historical Data'!$BE$2:$BE$1068,0)),"")</f>
        <v/>
      </c>
      <c r="R329" s="291">
        <f>IFERROR(INDEX('Historical Data'!$AB$2:$AB$1068,MATCH($A329,'Historical Data'!$BE$2:$BE$1068,0)),"")</f>
        <v/>
      </c>
      <c r="S329" s="291">
        <f>IFERROR(INDEX('Historical Data'!$AN$2:$AN$1068,MATCH($A329,'Historical Data'!$BE$2:$BE$1068,0)),"")</f>
        <v/>
      </c>
      <c r="T329" s="291">
        <f>IFERROR(INDEX('Historical Data'!$AC$2:$AC$1068,MATCH($A329,'Historical Data'!$BE$2:$BE$1068,0)),"")</f>
        <v/>
      </c>
      <c r="U329" s="291">
        <f>IFERROR(INDEX('Historical Data'!$AE$2:$AE$1068,MATCH($A329,'Historical Data'!$BE$2:$BE$1068,0)),"")</f>
        <v/>
      </c>
      <c r="V329" s="291">
        <f>IFERROR(INDEX('Historical Data'!$AH$2:$AH$1068,MATCH($A329,'Historical Data'!$BE$2:$BE$1068,0)),"")</f>
        <v/>
      </c>
      <c r="W329" s="291">
        <f>IFERROR(INDEX('Historical Data'!$BC$2:$BC$1068,MATCH($A329,'Historical Data'!$BE$2:$BE$1068,0)),"")</f>
        <v/>
      </c>
      <c r="X329" s="290">
        <f>IF(B329="","",IF(W329=1,"NR + industry + position",IF(W329=2,"NR + ISO + position",IF(W329=3,"NR + industry",IF(W329=4,"NR + ISO",IF(W329=5,"NR + position",IF(W329=6,"NR only","book baseline"))))))&amp;"  ["&amp;IF(T329=1,"seasoned","unseasoned")&amp;IF(U329=1,", defaulted","")&amp;IF(V329=1,", open","")&amp;"]")</f>
        <v/>
      </c>
    </row>
    <row r="330">
      <c r="A330" s="290" t="n">
        <v>326</v>
      </c>
      <c r="B330" s="291">
        <f>IFERROR(INDEX('Historical Data'!$A$2:$A$1068,MATCH($A330,'Historical Data'!$BE$2:$BE$1068,0)),"")</f>
        <v/>
      </c>
      <c r="C330" s="291">
        <f>IFERROR(INDEX('Historical Data'!$B$2:$B$1068,MATCH($A330,'Historical Data'!$BE$2:$BE$1068,0)),"")</f>
        <v/>
      </c>
      <c r="D330" s="291">
        <f>IFERROR(INDEX('Historical Data'!$D$2:$D$1068,MATCH($A330,'Historical Data'!$BE$2:$BE$1068,0)),"")</f>
        <v/>
      </c>
      <c r="E330" s="292">
        <f>IFERROR(INDEX('Historical Data'!$E$2:$E$1068,MATCH($A330,'Historical Data'!$BE$2:$BE$1068,0)),"")</f>
        <v/>
      </c>
      <c r="F330" s="291">
        <f>IFERROR(INDEX('Historical Data'!$G$2:$G$1068,MATCH($A330,'Historical Data'!$BE$2:$BE$1068,0)),"")</f>
        <v/>
      </c>
      <c r="G330" s="291">
        <f>IFERROR(INDEX('Historical Data'!$Y$2:$Y$1068,MATCH($A330,'Historical Data'!$BE$2:$BE$1068,0)),"")</f>
        <v/>
      </c>
      <c r="H330" s="291">
        <f>IFERROR(INDEX('Historical Data'!$K$2:$K$1068,MATCH($A330,'Historical Data'!$BE$2:$BE$1068,0)),"")</f>
        <v/>
      </c>
      <c r="I330" s="291">
        <f>IFERROR(INDEX('Historical Data'!$J$2:$J$1068,MATCH($A330,'Historical Data'!$BE$2:$BE$1068,0)),"")</f>
        <v/>
      </c>
      <c r="J330" s="291">
        <f>IFERROR(INDEX('Historical Data'!$L$2:$L$1068,MATCH($A330,'Historical Data'!$BE$2:$BE$1068,0)),"")</f>
        <v/>
      </c>
      <c r="K330" s="293">
        <f>IFERROR(INDEX('Historical Data'!$M$2:$M$1068,MATCH($A330,'Historical Data'!$BE$2:$BE$1068,0)),"")</f>
        <v/>
      </c>
      <c r="L330" s="294">
        <f>IFERROR(INDEX('Historical Data'!$N$2:$N$1068,MATCH($A330,'Historical Data'!$BE$2:$BE$1068,0)),"")</f>
        <v/>
      </c>
      <c r="M330" s="294">
        <f>IFERROR(INDEX('Historical Data'!$Q$2:$Q$1068,MATCH($A330,'Historical Data'!$BE$2:$BE$1068,0)),"")</f>
        <v/>
      </c>
      <c r="N330" s="295">
        <f>IFERROR(INDEX('Historical Data'!$S$2:$S$1068,MATCH($A330,'Historical Data'!$BE$2:$BE$1068,0)),"")</f>
        <v/>
      </c>
      <c r="O330" s="294">
        <f>IFERROR(INDEX('Historical Data'!$AJ$2:$AJ$1068,MATCH($A330,'Historical Data'!$BE$2:$BE$1068,0)),"")</f>
        <v/>
      </c>
      <c r="P330" s="294">
        <f>IFERROR(INDEX('Historical Data'!$AK$2:$AK$1068,MATCH($A330,'Historical Data'!$BE$2:$BE$1068,0)),"")</f>
        <v/>
      </c>
      <c r="Q330" s="291">
        <f>IFERROR(INDEX('Historical Data'!$AA$2:$AA$1068,MATCH($A330,'Historical Data'!$BE$2:$BE$1068,0)),"")</f>
        <v/>
      </c>
      <c r="R330" s="291">
        <f>IFERROR(INDEX('Historical Data'!$AB$2:$AB$1068,MATCH($A330,'Historical Data'!$BE$2:$BE$1068,0)),"")</f>
        <v/>
      </c>
      <c r="S330" s="291">
        <f>IFERROR(INDEX('Historical Data'!$AN$2:$AN$1068,MATCH($A330,'Historical Data'!$BE$2:$BE$1068,0)),"")</f>
        <v/>
      </c>
      <c r="T330" s="291">
        <f>IFERROR(INDEX('Historical Data'!$AC$2:$AC$1068,MATCH($A330,'Historical Data'!$BE$2:$BE$1068,0)),"")</f>
        <v/>
      </c>
      <c r="U330" s="291">
        <f>IFERROR(INDEX('Historical Data'!$AE$2:$AE$1068,MATCH($A330,'Historical Data'!$BE$2:$BE$1068,0)),"")</f>
        <v/>
      </c>
      <c r="V330" s="291">
        <f>IFERROR(INDEX('Historical Data'!$AH$2:$AH$1068,MATCH($A330,'Historical Data'!$BE$2:$BE$1068,0)),"")</f>
        <v/>
      </c>
      <c r="W330" s="291">
        <f>IFERROR(INDEX('Historical Data'!$BC$2:$BC$1068,MATCH($A330,'Historical Data'!$BE$2:$BE$1068,0)),"")</f>
        <v/>
      </c>
      <c r="X330" s="290">
        <f>IF(B330="","",IF(W330=1,"NR + industry + position",IF(W330=2,"NR + ISO + position",IF(W330=3,"NR + industry",IF(W330=4,"NR + ISO",IF(W330=5,"NR + position",IF(W330=6,"NR only","book baseline"))))))&amp;"  ["&amp;IF(T330=1,"seasoned","unseasoned")&amp;IF(U330=1,", defaulted","")&amp;IF(V330=1,", open","")&amp;"]")</f>
        <v/>
      </c>
    </row>
    <row r="331">
      <c r="A331" s="290" t="n">
        <v>327</v>
      </c>
      <c r="B331" s="291">
        <f>IFERROR(INDEX('Historical Data'!$A$2:$A$1068,MATCH($A331,'Historical Data'!$BE$2:$BE$1068,0)),"")</f>
        <v/>
      </c>
      <c r="C331" s="291">
        <f>IFERROR(INDEX('Historical Data'!$B$2:$B$1068,MATCH($A331,'Historical Data'!$BE$2:$BE$1068,0)),"")</f>
        <v/>
      </c>
      <c r="D331" s="291">
        <f>IFERROR(INDEX('Historical Data'!$D$2:$D$1068,MATCH($A331,'Historical Data'!$BE$2:$BE$1068,0)),"")</f>
        <v/>
      </c>
      <c r="E331" s="292">
        <f>IFERROR(INDEX('Historical Data'!$E$2:$E$1068,MATCH($A331,'Historical Data'!$BE$2:$BE$1068,0)),"")</f>
        <v/>
      </c>
      <c r="F331" s="291">
        <f>IFERROR(INDEX('Historical Data'!$G$2:$G$1068,MATCH($A331,'Historical Data'!$BE$2:$BE$1068,0)),"")</f>
        <v/>
      </c>
      <c r="G331" s="291">
        <f>IFERROR(INDEX('Historical Data'!$Y$2:$Y$1068,MATCH($A331,'Historical Data'!$BE$2:$BE$1068,0)),"")</f>
        <v/>
      </c>
      <c r="H331" s="291">
        <f>IFERROR(INDEX('Historical Data'!$K$2:$K$1068,MATCH($A331,'Historical Data'!$BE$2:$BE$1068,0)),"")</f>
        <v/>
      </c>
      <c r="I331" s="291">
        <f>IFERROR(INDEX('Historical Data'!$J$2:$J$1068,MATCH($A331,'Historical Data'!$BE$2:$BE$1068,0)),"")</f>
        <v/>
      </c>
      <c r="J331" s="291">
        <f>IFERROR(INDEX('Historical Data'!$L$2:$L$1068,MATCH($A331,'Historical Data'!$BE$2:$BE$1068,0)),"")</f>
        <v/>
      </c>
      <c r="K331" s="293">
        <f>IFERROR(INDEX('Historical Data'!$M$2:$M$1068,MATCH($A331,'Historical Data'!$BE$2:$BE$1068,0)),"")</f>
        <v/>
      </c>
      <c r="L331" s="294">
        <f>IFERROR(INDEX('Historical Data'!$N$2:$N$1068,MATCH($A331,'Historical Data'!$BE$2:$BE$1068,0)),"")</f>
        <v/>
      </c>
      <c r="M331" s="294">
        <f>IFERROR(INDEX('Historical Data'!$Q$2:$Q$1068,MATCH($A331,'Historical Data'!$BE$2:$BE$1068,0)),"")</f>
        <v/>
      </c>
      <c r="N331" s="295">
        <f>IFERROR(INDEX('Historical Data'!$S$2:$S$1068,MATCH($A331,'Historical Data'!$BE$2:$BE$1068,0)),"")</f>
        <v/>
      </c>
      <c r="O331" s="294">
        <f>IFERROR(INDEX('Historical Data'!$AJ$2:$AJ$1068,MATCH($A331,'Historical Data'!$BE$2:$BE$1068,0)),"")</f>
        <v/>
      </c>
      <c r="P331" s="294">
        <f>IFERROR(INDEX('Historical Data'!$AK$2:$AK$1068,MATCH($A331,'Historical Data'!$BE$2:$BE$1068,0)),"")</f>
        <v/>
      </c>
      <c r="Q331" s="291">
        <f>IFERROR(INDEX('Historical Data'!$AA$2:$AA$1068,MATCH($A331,'Historical Data'!$BE$2:$BE$1068,0)),"")</f>
        <v/>
      </c>
      <c r="R331" s="291">
        <f>IFERROR(INDEX('Historical Data'!$AB$2:$AB$1068,MATCH($A331,'Historical Data'!$BE$2:$BE$1068,0)),"")</f>
        <v/>
      </c>
      <c r="S331" s="291">
        <f>IFERROR(INDEX('Historical Data'!$AN$2:$AN$1068,MATCH($A331,'Historical Data'!$BE$2:$BE$1068,0)),"")</f>
        <v/>
      </c>
      <c r="T331" s="291">
        <f>IFERROR(INDEX('Historical Data'!$AC$2:$AC$1068,MATCH($A331,'Historical Data'!$BE$2:$BE$1068,0)),"")</f>
        <v/>
      </c>
      <c r="U331" s="291">
        <f>IFERROR(INDEX('Historical Data'!$AE$2:$AE$1068,MATCH($A331,'Historical Data'!$BE$2:$BE$1068,0)),"")</f>
        <v/>
      </c>
      <c r="V331" s="291">
        <f>IFERROR(INDEX('Historical Data'!$AH$2:$AH$1068,MATCH($A331,'Historical Data'!$BE$2:$BE$1068,0)),"")</f>
        <v/>
      </c>
      <c r="W331" s="291">
        <f>IFERROR(INDEX('Historical Data'!$BC$2:$BC$1068,MATCH($A331,'Historical Data'!$BE$2:$BE$1068,0)),"")</f>
        <v/>
      </c>
      <c r="X331" s="290">
        <f>IF(B331="","",IF(W331=1,"NR + industry + position",IF(W331=2,"NR + ISO + position",IF(W331=3,"NR + industry",IF(W331=4,"NR + ISO",IF(W331=5,"NR + position",IF(W331=6,"NR only","book baseline"))))))&amp;"  ["&amp;IF(T331=1,"seasoned","unseasoned")&amp;IF(U331=1,", defaulted","")&amp;IF(V331=1,", open","")&amp;"]")</f>
        <v/>
      </c>
    </row>
    <row r="332">
      <c r="A332" s="290" t="n">
        <v>328</v>
      </c>
      <c r="B332" s="291">
        <f>IFERROR(INDEX('Historical Data'!$A$2:$A$1068,MATCH($A332,'Historical Data'!$BE$2:$BE$1068,0)),"")</f>
        <v/>
      </c>
      <c r="C332" s="291">
        <f>IFERROR(INDEX('Historical Data'!$B$2:$B$1068,MATCH($A332,'Historical Data'!$BE$2:$BE$1068,0)),"")</f>
        <v/>
      </c>
      <c r="D332" s="291">
        <f>IFERROR(INDEX('Historical Data'!$D$2:$D$1068,MATCH($A332,'Historical Data'!$BE$2:$BE$1068,0)),"")</f>
        <v/>
      </c>
      <c r="E332" s="292">
        <f>IFERROR(INDEX('Historical Data'!$E$2:$E$1068,MATCH($A332,'Historical Data'!$BE$2:$BE$1068,0)),"")</f>
        <v/>
      </c>
      <c r="F332" s="291">
        <f>IFERROR(INDEX('Historical Data'!$G$2:$G$1068,MATCH($A332,'Historical Data'!$BE$2:$BE$1068,0)),"")</f>
        <v/>
      </c>
      <c r="G332" s="291">
        <f>IFERROR(INDEX('Historical Data'!$Y$2:$Y$1068,MATCH($A332,'Historical Data'!$BE$2:$BE$1068,0)),"")</f>
        <v/>
      </c>
      <c r="H332" s="291">
        <f>IFERROR(INDEX('Historical Data'!$K$2:$K$1068,MATCH($A332,'Historical Data'!$BE$2:$BE$1068,0)),"")</f>
        <v/>
      </c>
      <c r="I332" s="291">
        <f>IFERROR(INDEX('Historical Data'!$J$2:$J$1068,MATCH($A332,'Historical Data'!$BE$2:$BE$1068,0)),"")</f>
        <v/>
      </c>
      <c r="J332" s="291">
        <f>IFERROR(INDEX('Historical Data'!$L$2:$L$1068,MATCH($A332,'Historical Data'!$BE$2:$BE$1068,0)),"")</f>
        <v/>
      </c>
      <c r="K332" s="293">
        <f>IFERROR(INDEX('Historical Data'!$M$2:$M$1068,MATCH($A332,'Historical Data'!$BE$2:$BE$1068,0)),"")</f>
        <v/>
      </c>
      <c r="L332" s="294">
        <f>IFERROR(INDEX('Historical Data'!$N$2:$N$1068,MATCH($A332,'Historical Data'!$BE$2:$BE$1068,0)),"")</f>
        <v/>
      </c>
      <c r="M332" s="294">
        <f>IFERROR(INDEX('Historical Data'!$Q$2:$Q$1068,MATCH($A332,'Historical Data'!$BE$2:$BE$1068,0)),"")</f>
        <v/>
      </c>
      <c r="N332" s="295">
        <f>IFERROR(INDEX('Historical Data'!$S$2:$S$1068,MATCH($A332,'Historical Data'!$BE$2:$BE$1068,0)),"")</f>
        <v/>
      </c>
      <c r="O332" s="294">
        <f>IFERROR(INDEX('Historical Data'!$AJ$2:$AJ$1068,MATCH($A332,'Historical Data'!$BE$2:$BE$1068,0)),"")</f>
        <v/>
      </c>
      <c r="P332" s="294">
        <f>IFERROR(INDEX('Historical Data'!$AK$2:$AK$1068,MATCH($A332,'Historical Data'!$BE$2:$BE$1068,0)),"")</f>
        <v/>
      </c>
      <c r="Q332" s="291">
        <f>IFERROR(INDEX('Historical Data'!$AA$2:$AA$1068,MATCH($A332,'Historical Data'!$BE$2:$BE$1068,0)),"")</f>
        <v/>
      </c>
      <c r="R332" s="291">
        <f>IFERROR(INDEX('Historical Data'!$AB$2:$AB$1068,MATCH($A332,'Historical Data'!$BE$2:$BE$1068,0)),"")</f>
        <v/>
      </c>
      <c r="S332" s="291">
        <f>IFERROR(INDEX('Historical Data'!$AN$2:$AN$1068,MATCH($A332,'Historical Data'!$BE$2:$BE$1068,0)),"")</f>
        <v/>
      </c>
      <c r="T332" s="291">
        <f>IFERROR(INDEX('Historical Data'!$AC$2:$AC$1068,MATCH($A332,'Historical Data'!$BE$2:$BE$1068,0)),"")</f>
        <v/>
      </c>
      <c r="U332" s="291">
        <f>IFERROR(INDEX('Historical Data'!$AE$2:$AE$1068,MATCH($A332,'Historical Data'!$BE$2:$BE$1068,0)),"")</f>
        <v/>
      </c>
      <c r="V332" s="291">
        <f>IFERROR(INDEX('Historical Data'!$AH$2:$AH$1068,MATCH($A332,'Historical Data'!$BE$2:$BE$1068,0)),"")</f>
        <v/>
      </c>
      <c r="W332" s="291">
        <f>IFERROR(INDEX('Historical Data'!$BC$2:$BC$1068,MATCH($A332,'Historical Data'!$BE$2:$BE$1068,0)),"")</f>
        <v/>
      </c>
      <c r="X332" s="290">
        <f>IF(B332="","",IF(W332=1,"NR + industry + position",IF(W332=2,"NR + ISO + position",IF(W332=3,"NR + industry",IF(W332=4,"NR + ISO",IF(W332=5,"NR + position",IF(W332=6,"NR only","book baseline"))))))&amp;"  ["&amp;IF(T332=1,"seasoned","unseasoned")&amp;IF(U332=1,", defaulted","")&amp;IF(V332=1,", open","")&amp;"]")</f>
        <v/>
      </c>
    </row>
    <row r="333">
      <c r="A333" s="290" t="n">
        <v>329</v>
      </c>
      <c r="B333" s="291">
        <f>IFERROR(INDEX('Historical Data'!$A$2:$A$1068,MATCH($A333,'Historical Data'!$BE$2:$BE$1068,0)),"")</f>
        <v/>
      </c>
      <c r="C333" s="291">
        <f>IFERROR(INDEX('Historical Data'!$B$2:$B$1068,MATCH($A333,'Historical Data'!$BE$2:$BE$1068,0)),"")</f>
        <v/>
      </c>
      <c r="D333" s="291">
        <f>IFERROR(INDEX('Historical Data'!$D$2:$D$1068,MATCH($A333,'Historical Data'!$BE$2:$BE$1068,0)),"")</f>
        <v/>
      </c>
      <c r="E333" s="292">
        <f>IFERROR(INDEX('Historical Data'!$E$2:$E$1068,MATCH($A333,'Historical Data'!$BE$2:$BE$1068,0)),"")</f>
        <v/>
      </c>
      <c r="F333" s="291">
        <f>IFERROR(INDEX('Historical Data'!$G$2:$G$1068,MATCH($A333,'Historical Data'!$BE$2:$BE$1068,0)),"")</f>
        <v/>
      </c>
      <c r="G333" s="291">
        <f>IFERROR(INDEX('Historical Data'!$Y$2:$Y$1068,MATCH($A333,'Historical Data'!$BE$2:$BE$1068,0)),"")</f>
        <v/>
      </c>
      <c r="H333" s="291">
        <f>IFERROR(INDEX('Historical Data'!$K$2:$K$1068,MATCH($A333,'Historical Data'!$BE$2:$BE$1068,0)),"")</f>
        <v/>
      </c>
      <c r="I333" s="291">
        <f>IFERROR(INDEX('Historical Data'!$J$2:$J$1068,MATCH($A333,'Historical Data'!$BE$2:$BE$1068,0)),"")</f>
        <v/>
      </c>
      <c r="J333" s="291">
        <f>IFERROR(INDEX('Historical Data'!$L$2:$L$1068,MATCH($A333,'Historical Data'!$BE$2:$BE$1068,0)),"")</f>
        <v/>
      </c>
      <c r="K333" s="293">
        <f>IFERROR(INDEX('Historical Data'!$M$2:$M$1068,MATCH($A333,'Historical Data'!$BE$2:$BE$1068,0)),"")</f>
        <v/>
      </c>
      <c r="L333" s="294">
        <f>IFERROR(INDEX('Historical Data'!$N$2:$N$1068,MATCH($A333,'Historical Data'!$BE$2:$BE$1068,0)),"")</f>
        <v/>
      </c>
      <c r="M333" s="294">
        <f>IFERROR(INDEX('Historical Data'!$Q$2:$Q$1068,MATCH($A333,'Historical Data'!$BE$2:$BE$1068,0)),"")</f>
        <v/>
      </c>
      <c r="N333" s="295">
        <f>IFERROR(INDEX('Historical Data'!$S$2:$S$1068,MATCH($A333,'Historical Data'!$BE$2:$BE$1068,0)),"")</f>
        <v/>
      </c>
      <c r="O333" s="294">
        <f>IFERROR(INDEX('Historical Data'!$AJ$2:$AJ$1068,MATCH($A333,'Historical Data'!$BE$2:$BE$1068,0)),"")</f>
        <v/>
      </c>
      <c r="P333" s="294">
        <f>IFERROR(INDEX('Historical Data'!$AK$2:$AK$1068,MATCH($A333,'Historical Data'!$BE$2:$BE$1068,0)),"")</f>
        <v/>
      </c>
      <c r="Q333" s="291">
        <f>IFERROR(INDEX('Historical Data'!$AA$2:$AA$1068,MATCH($A333,'Historical Data'!$BE$2:$BE$1068,0)),"")</f>
        <v/>
      </c>
      <c r="R333" s="291">
        <f>IFERROR(INDEX('Historical Data'!$AB$2:$AB$1068,MATCH($A333,'Historical Data'!$BE$2:$BE$1068,0)),"")</f>
        <v/>
      </c>
      <c r="S333" s="291">
        <f>IFERROR(INDEX('Historical Data'!$AN$2:$AN$1068,MATCH($A333,'Historical Data'!$BE$2:$BE$1068,0)),"")</f>
        <v/>
      </c>
      <c r="T333" s="291">
        <f>IFERROR(INDEX('Historical Data'!$AC$2:$AC$1068,MATCH($A333,'Historical Data'!$BE$2:$BE$1068,0)),"")</f>
        <v/>
      </c>
      <c r="U333" s="291">
        <f>IFERROR(INDEX('Historical Data'!$AE$2:$AE$1068,MATCH($A333,'Historical Data'!$BE$2:$BE$1068,0)),"")</f>
        <v/>
      </c>
      <c r="V333" s="291">
        <f>IFERROR(INDEX('Historical Data'!$AH$2:$AH$1068,MATCH($A333,'Historical Data'!$BE$2:$BE$1068,0)),"")</f>
        <v/>
      </c>
      <c r="W333" s="291">
        <f>IFERROR(INDEX('Historical Data'!$BC$2:$BC$1068,MATCH($A333,'Historical Data'!$BE$2:$BE$1068,0)),"")</f>
        <v/>
      </c>
      <c r="X333" s="290">
        <f>IF(B333="","",IF(W333=1,"NR + industry + position",IF(W333=2,"NR + ISO + position",IF(W333=3,"NR + industry",IF(W333=4,"NR + ISO",IF(W333=5,"NR + position",IF(W333=6,"NR only","book baseline"))))))&amp;"  ["&amp;IF(T333=1,"seasoned","unseasoned")&amp;IF(U333=1,", defaulted","")&amp;IF(V333=1,", open","")&amp;"]")</f>
        <v/>
      </c>
    </row>
    <row r="334">
      <c r="A334" s="290" t="n">
        <v>330</v>
      </c>
      <c r="B334" s="291">
        <f>IFERROR(INDEX('Historical Data'!$A$2:$A$1068,MATCH($A334,'Historical Data'!$BE$2:$BE$1068,0)),"")</f>
        <v/>
      </c>
      <c r="C334" s="291">
        <f>IFERROR(INDEX('Historical Data'!$B$2:$B$1068,MATCH($A334,'Historical Data'!$BE$2:$BE$1068,0)),"")</f>
        <v/>
      </c>
      <c r="D334" s="291">
        <f>IFERROR(INDEX('Historical Data'!$D$2:$D$1068,MATCH($A334,'Historical Data'!$BE$2:$BE$1068,0)),"")</f>
        <v/>
      </c>
      <c r="E334" s="292">
        <f>IFERROR(INDEX('Historical Data'!$E$2:$E$1068,MATCH($A334,'Historical Data'!$BE$2:$BE$1068,0)),"")</f>
        <v/>
      </c>
      <c r="F334" s="291">
        <f>IFERROR(INDEX('Historical Data'!$G$2:$G$1068,MATCH($A334,'Historical Data'!$BE$2:$BE$1068,0)),"")</f>
        <v/>
      </c>
      <c r="G334" s="291">
        <f>IFERROR(INDEX('Historical Data'!$Y$2:$Y$1068,MATCH($A334,'Historical Data'!$BE$2:$BE$1068,0)),"")</f>
        <v/>
      </c>
      <c r="H334" s="291">
        <f>IFERROR(INDEX('Historical Data'!$K$2:$K$1068,MATCH($A334,'Historical Data'!$BE$2:$BE$1068,0)),"")</f>
        <v/>
      </c>
      <c r="I334" s="291">
        <f>IFERROR(INDEX('Historical Data'!$J$2:$J$1068,MATCH($A334,'Historical Data'!$BE$2:$BE$1068,0)),"")</f>
        <v/>
      </c>
      <c r="J334" s="291">
        <f>IFERROR(INDEX('Historical Data'!$L$2:$L$1068,MATCH($A334,'Historical Data'!$BE$2:$BE$1068,0)),"")</f>
        <v/>
      </c>
      <c r="K334" s="293">
        <f>IFERROR(INDEX('Historical Data'!$M$2:$M$1068,MATCH($A334,'Historical Data'!$BE$2:$BE$1068,0)),"")</f>
        <v/>
      </c>
      <c r="L334" s="294">
        <f>IFERROR(INDEX('Historical Data'!$N$2:$N$1068,MATCH($A334,'Historical Data'!$BE$2:$BE$1068,0)),"")</f>
        <v/>
      </c>
      <c r="M334" s="294">
        <f>IFERROR(INDEX('Historical Data'!$Q$2:$Q$1068,MATCH($A334,'Historical Data'!$BE$2:$BE$1068,0)),"")</f>
        <v/>
      </c>
      <c r="N334" s="295">
        <f>IFERROR(INDEX('Historical Data'!$S$2:$S$1068,MATCH($A334,'Historical Data'!$BE$2:$BE$1068,0)),"")</f>
        <v/>
      </c>
      <c r="O334" s="294">
        <f>IFERROR(INDEX('Historical Data'!$AJ$2:$AJ$1068,MATCH($A334,'Historical Data'!$BE$2:$BE$1068,0)),"")</f>
        <v/>
      </c>
      <c r="P334" s="294">
        <f>IFERROR(INDEX('Historical Data'!$AK$2:$AK$1068,MATCH($A334,'Historical Data'!$BE$2:$BE$1068,0)),"")</f>
        <v/>
      </c>
      <c r="Q334" s="291">
        <f>IFERROR(INDEX('Historical Data'!$AA$2:$AA$1068,MATCH($A334,'Historical Data'!$BE$2:$BE$1068,0)),"")</f>
        <v/>
      </c>
      <c r="R334" s="291">
        <f>IFERROR(INDEX('Historical Data'!$AB$2:$AB$1068,MATCH($A334,'Historical Data'!$BE$2:$BE$1068,0)),"")</f>
        <v/>
      </c>
      <c r="S334" s="291">
        <f>IFERROR(INDEX('Historical Data'!$AN$2:$AN$1068,MATCH($A334,'Historical Data'!$BE$2:$BE$1068,0)),"")</f>
        <v/>
      </c>
      <c r="T334" s="291">
        <f>IFERROR(INDEX('Historical Data'!$AC$2:$AC$1068,MATCH($A334,'Historical Data'!$BE$2:$BE$1068,0)),"")</f>
        <v/>
      </c>
      <c r="U334" s="291">
        <f>IFERROR(INDEX('Historical Data'!$AE$2:$AE$1068,MATCH($A334,'Historical Data'!$BE$2:$BE$1068,0)),"")</f>
        <v/>
      </c>
      <c r="V334" s="291">
        <f>IFERROR(INDEX('Historical Data'!$AH$2:$AH$1068,MATCH($A334,'Historical Data'!$BE$2:$BE$1068,0)),"")</f>
        <v/>
      </c>
      <c r="W334" s="291">
        <f>IFERROR(INDEX('Historical Data'!$BC$2:$BC$1068,MATCH($A334,'Historical Data'!$BE$2:$BE$1068,0)),"")</f>
        <v/>
      </c>
      <c r="X334" s="290">
        <f>IF(B334="","",IF(W334=1,"NR + industry + position",IF(W334=2,"NR + ISO + position",IF(W334=3,"NR + industry",IF(W334=4,"NR + ISO",IF(W334=5,"NR + position",IF(W334=6,"NR only","book baseline"))))))&amp;"  ["&amp;IF(T334=1,"seasoned","unseasoned")&amp;IF(U334=1,", defaulted","")&amp;IF(V334=1,", open","")&amp;"]")</f>
        <v/>
      </c>
    </row>
    <row r="335">
      <c r="A335" s="290" t="n">
        <v>331</v>
      </c>
      <c r="B335" s="291">
        <f>IFERROR(INDEX('Historical Data'!$A$2:$A$1068,MATCH($A335,'Historical Data'!$BE$2:$BE$1068,0)),"")</f>
        <v/>
      </c>
      <c r="C335" s="291">
        <f>IFERROR(INDEX('Historical Data'!$B$2:$B$1068,MATCH($A335,'Historical Data'!$BE$2:$BE$1068,0)),"")</f>
        <v/>
      </c>
      <c r="D335" s="291">
        <f>IFERROR(INDEX('Historical Data'!$D$2:$D$1068,MATCH($A335,'Historical Data'!$BE$2:$BE$1068,0)),"")</f>
        <v/>
      </c>
      <c r="E335" s="292">
        <f>IFERROR(INDEX('Historical Data'!$E$2:$E$1068,MATCH($A335,'Historical Data'!$BE$2:$BE$1068,0)),"")</f>
        <v/>
      </c>
      <c r="F335" s="291">
        <f>IFERROR(INDEX('Historical Data'!$G$2:$G$1068,MATCH($A335,'Historical Data'!$BE$2:$BE$1068,0)),"")</f>
        <v/>
      </c>
      <c r="G335" s="291">
        <f>IFERROR(INDEX('Historical Data'!$Y$2:$Y$1068,MATCH($A335,'Historical Data'!$BE$2:$BE$1068,0)),"")</f>
        <v/>
      </c>
      <c r="H335" s="291">
        <f>IFERROR(INDEX('Historical Data'!$K$2:$K$1068,MATCH($A335,'Historical Data'!$BE$2:$BE$1068,0)),"")</f>
        <v/>
      </c>
      <c r="I335" s="291">
        <f>IFERROR(INDEX('Historical Data'!$J$2:$J$1068,MATCH($A335,'Historical Data'!$BE$2:$BE$1068,0)),"")</f>
        <v/>
      </c>
      <c r="J335" s="291">
        <f>IFERROR(INDEX('Historical Data'!$L$2:$L$1068,MATCH($A335,'Historical Data'!$BE$2:$BE$1068,0)),"")</f>
        <v/>
      </c>
      <c r="K335" s="293">
        <f>IFERROR(INDEX('Historical Data'!$M$2:$M$1068,MATCH($A335,'Historical Data'!$BE$2:$BE$1068,0)),"")</f>
        <v/>
      </c>
      <c r="L335" s="294">
        <f>IFERROR(INDEX('Historical Data'!$N$2:$N$1068,MATCH($A335,'Historical Data'!$BE$2:$BE$1068,0)),"")</f>
        <v/>
      </c>
      <c r="M335" s="294">
        <f>IFERROR(INDEX('Historical Data'!$Q$2:$Q$1068,MATCH($A335,'Historical Data'!$BE$2:$BE$1068,0)),"")</f>
        <v/>
      </c>
      <c r="N335" s="295">
        <f>IFERROR(INDEX('Historical Data'!$S$2:$S$1068,MATCH($A335,'Historical Data'!$BE$2:$BE$1068,0)),"")</f>
        <v/>
      </c>
      <c r="O335" s="294">
        <f>IFERROR(INDEX('Historical Data'!$AJ$2:$AJ$1068,MATCH($A335,'Historical Data'!$BE$2:$BE$1068,0)),"")</f>
        <v/>
      </c>
      <c r="P335" s="294">
        <f>IFERROR(INDEX('Historical Data'!$AK$2:$AK$1068,MATCH($A335,'Historical Data'!$BE$2:$BE$1068,0)),"")</f>
        <v/>
      </c>
      <c r="Q335" s="291">
        <f>IFERROR(INDEX('Historical Data'!$AA$2:$AA$1068,MATCH($A335,'Historical Data'!$BE$2:$BE$1068,0)),"")</f>
        <v/>
      </c>
      <c r="R335" s="291">
        <f>IFERROR(INDEX('Historical Data'!$AB$2:$AB$1068,MATCH($A335,'Historical Data'!$BE$2:$BE$1068,0)),"")</f>
        <v/>
      </c>
      <c r="S335" s="291">
        <f>IFERROR(INDEX('Historical Data'!$AN$2:$AN$1068,MATCH($A335,'Historical Data'!$BE$2:$BE$1068,0)),"")</f>
        <v/>
      </c>
      <c r="T335" s="291">
        <f>IFERROR(INDEX('Historical Data'!$AC$2:$AC$1068,MATCH($A335,'Historical Data'!$BE$2:$BE$1068,0)),"")</f>
        <v/>
      </c>
      <c r="U335" s="291">
        <f>IFERROR(INDEX('Historical Data'!$AE$2:$AE$1068,MATCH($A335,'Historical Data'!$BE$2:$BE$1068,0)),"")</f>
        <v/>
      </c>
      <c r="V335" s="291">
        <f>IFERROR(INDEX('Historical Data'!$AH$2:$AH$1068,MATCH($A335,'Historical Data'!$BE$2:$BE$1068,0)),"")</f>
        <v/>
      </c>
      <c r="W335" s="291">
        <f>IFERROR(INDEX('Historical Data'!$BC$2:$BC$1068,MATCH($A335,'Historical Data'!$BE$2:$BE$1068,0)),"")</f>
        <v/>
      </c>
      <c r="X335" s="290">
        <f>IF(B335="","",IF(W335=1,"NR + industry + position",IF(W335=2,"NR + ISO + position",IF(W335=3,"NR + industry",IF(W335=4,"NR + ISO",IF(W335=5,"NR + position",IF(W335=6,"NR only","book baseline"))))))&amp;"  ["&amp;IF(T335=1,"seasoned","unseasoned")&amp;IF(U335=1,", defaulted","")&amp;IF(V335=1,", open","")&amp;"]")</f>
        <v/>
      </c>
    </row>
    <row r="336">
      <c r="A336" s="290" t="n">
        <v>332</v>
      </c>
      <c r="B336" s="291">
        <f>IFERROR(INDEX('Historical Data'!$A$2:$A$1068,MATCH($A336,'Historical Data'!$BE$2:$BE$1068,0)),"")</f>
        <v/>
      </c>
      <c r="C336" s="291">
        <f>IFERROR(INDEX('Historical Data'!$B$2:$B$1068,MATCH($A336,'Historical Data'!$BE$2:$BE$1068,0)),"")</f>
        <v/>
      </c>
      <c r="D336" s="291">
        <f>IFERROR(INDEX('Historical Data'!$D$2:$D$1068,MATCH($A336,'Historical Data'!$BE$2:$BE$1068,0)),"")</f>
        <v/>
      </c>
      <c r="E336" s="292">
        <f>IFERROR(INDEX('Historical Data'!$E$2:$E$1068,MATCH($A336,'Historical Data'!$BE$2:$BE$1068,0)),"")</f>
        <v/>
      </c>
      <c r="F336" s="291">
        <f>IFERROR(INDEX('Historical Data'!$G$2:$G$1068,MATCH($A336,'Historical Data'!$BE$2:$BE$1068,0)),"")</f>
        <v/>
      </c>
      <c r="G336" s="291">
        <f>IFERROR(INDEX('Historical Data'!$Y$2:$Y$1068,MATCH($A336,'Historical Data'!$BE$2:$BE$1068,0)),"")</f>
        <v/>
      </c>
      <c r="H336" s="291">
        <f>IFERROR(INDEX('Historical Data'!$K$2:$K$1068,MATCH($A336,'Historical Data'!$BE$2:$BE$1068,0)),"")</f>
        <v/>
      </c>
      <c r="I336" s="291">
        <f>IFERROR(INDEX('Historical Data'!$J$2:$J$1068,MATCH($A336,'Historical Data'!$BE$2:$BE$1068,0)),"")</f>
        <v/>
      </c>
      <c r="J336" s="291">
        <f>IFERROR(INDEX('Historical Data'!$L$2:$L$1068,MATCH($A336,'Historical Data'!$BE$2:$BE$1068,0)),"")</f>
        <v/>
      </c>
      <c r="K336" s="293">
        <f>IFERROR(INDEX('Historical Data'!$M$2:$M$1068,MATCH($A336,'Historical Data'!$BE$2:$BE$1068,0)),"")</f>
        <v/>
      </c>
      <c r="L336" s="294">
        <f>IFERROR(INDEX('Historical Data'!$N$2:$N$1068,MATCH($A336,'Historical Data'!$BE$2:$BE$1068,0)),"")</f>
        <v/>
      </c>
      <c r="M336" s="294">
        <f>IFERROR(INDEX('Historical Data'!$Q$2:$Q$1068,MATCH($A336,'Historical Data'!$BE$2:$BE$1068,0)),"")</f>
        <v/>
      </c>
      <c r="N336" s="295">
        <f>IFERROR(INDEX('Historical Data'!$S$2:$S$1068,MATCH($A336,'Historical Data'!$BE$2:$BE$1068,0)),"")</f>
        <v/>
      </c>
      <c r="O336" s="294">
        <f>IFERROR(INDEX('Historical Data'!$AJ$2:$AJ$1068,MATCH($A336,'Historical Data'!$BE$2:$BE$1068,0)),"")</f>
        <v/>
      </c>
      <c r="P336" s="294">
        <f>IFERROR(INDEX('Historical Data'!$AK$2:$AK$1068,MATCH($A336,'Historical Data'!$BE$2:$BE$1068,0)),"")</f>
        <v/>
      </c>
      <c r="Q336" s="291">
        <f>IFERROR(INDEX('Historical Data'!$AA$2:$AA$1068,MATCH($A336,'Historical Data'!$BE$2:$BE$1068,0)),"")</f>
        <v/>
      </c>
      <c r="R336" s="291">
        <f>IFERROR(INDEX('Historical Data'!$AB$2:$AB$1068,MATCH($A336,'Historical Data'!$BE$2:$BE$1068,0)),"")</f>
        <v/>
      </c>
      <c r="S336" s="291">
        <f>IFERROR(INDEX('Historical Data'!$AN$2:$AN$1068,MATCH($A336,'Historical Data'!$BE$2:$BE$1068,0)),"")</f>
        <v/>
      </c>
      <c r="T336" s="291">
        <f>IFERROR(INDEX('Historical Data'!$AC$2:$AC$1068,MATCH($A336,'Historical Data'!$BE$2:$BE$1068,0)),"")</f>
        <v/>
      </c>
      <c r="U336" s="291">
        <f>IFERROR(INDEX('Historical Data'!$AE$2:$AE$1068,MATCH($A336,'Historical Data'!$BE$2:$BE$1068,0)),"")</f>
        <v/>
      </c>
      <c r="V336" s="291">
        <f>IFERROR(INDEX('Historical Data'!$AH$2:$AH$1068,MATCH($A336,'Historical Data'!$BE$2:$BE$1068,0)),"")</f>
        <v/>
      </c>
      <c r="W336" s="291">
        <f>IFERROR(INDEX('Historical Data'!$BC$2:$BC$1068,MATCH($A336,'Historical Data'!$BE$2:$BE$1068,0)),"")</f>
        <v/>
      </c>
      <c r="X336" s="290">
        <f>IF(B336="","",IF(W336=1,"NR + industry + position",IF(W336=2,"NR + ISO + position",IF(W336=3,"NR + industry",IF(W336=4,"NR + ISO",IF(W336=5,"NR + position",IF(W336=6,"NR only","book baseline"))))))&amp;"  ["&amp;IF(T336=1,"seasoned","unseasoned")&amp;IF(U336=1,", defaulted","")&amp;IF(V336=1,", open","")&amp;"]")</f>
        <v/>
      </c>
    </row>
    <row r="337">
      <c r="A337" s="290" t="n">
        <v>333</v>
      </c>
      <c r="B337" s="291">
        <f>IFERROR(INDEX('Historical Data'!$A$2:$A$1068,MATCH($A337,'Historical Data'!$BE$2:$BE$1068,0)),"")</f>
        <v/>
      </c>
      <c r="C337" s="291">
        <f>IFERROR(INDEX('Historical Data'!$B$2:$B$1068,MATCH($A337,'Historical Data'!$BE$2:$BE$1068,0)),"")</f>
        <v/>
      </c>
      <c r="D337" s="291">
        <f>IFERROR(INDEX('Historical Data'!$D$2:$D$1068,MATCH($A337,'Historical Data'!$BE$2:$BE$1068,0)),"")</f>
        <v/>
      </c>
      <c r="E337" s="292">
        <f>IFERROR(INDEX('Historical Data'!$E$2:$E$1068,MATCH($A337,'Historical Data'!$BE$2:$BE$1068,0)),"")</f>
        <v/>
      </c>
      <c r="F337" s="291">
        <f>IFERROR(INDEX('Historical Data'!$G$2:$G$1068,MATCH($A337,'Historical Data'!$BE$2:$BE$1068,0)),"")</f>
        <v/>
      </c>
      <c r="G337" s="291">
        <f>IFERROR(INDEX('Historical Data'!$Y$2:$Y$1068,MATCH($A337,'Historical Data'!$BE$2:$BE$1068,0)),"")</f>
        <v/>
      </c>
      <c r="H337" s="291">
        <f>IFERROR(INDEX('Historical Data'!$K$2:$K$1068,MATCH($A337,'Historical Data'!$BE$2:$BE$1068,0)),"")</f>
        <v/>
      </c>
      <c r="I337" s="291">
        <f>IFERROR(INDEX('Historical Data'!$J$2:$J$1068,MATCH($A337,'Historical Data'!$BE$2:$BE$1068,0)),"")</f>
        <v/>
      </c>
      <c r="J337" s="291">
        <f>IFERROR(INDEX('Historical Data'!$L$2:$L$1068,MATCH($A337,'Historical Data'!$BE$2:$BE$1068,0)),"")</f>
        <v/>
      </c>
      <c r="K337" s="293">
        <f>IFERROR(INDEX('Historical Data'!$M$2:$M$1068,MATCH($A337,'Historical Data'!$BE$2:$BE$1068,0)),"")</f>
        <v/>
      </c>
      <c r="L337" s="294">
        <f>IFERROR(INDEX('Historical Data'!$N$2:$N$1068,MATCH($A337,'Historical Data'!$BE$2:$BE$1068,0)),"")</f>
        <v/>
      </c>
      <c r="M337" s="294">
        <f>IFERROR(INDEX('Historical Data'!$Q$2:$Q$1068,MATCH($A337,'Historical Data'!$BE$2:$BE$1068,0)),"")</f>
        <v/>
      </c>
      <c r="N337" s="295">
        <f>IFERROR(INDEX('Historical Data'!$S$2:$S$1068,MATCH($A337,'Historical Data'!$BE$2:$BE$1068,0)),"")</f>
        <v/>
      </c>
      <c r="O337" s="294">
        <f>IFERROR(INDEX('Historical Data'!$AJ$2:$AJ$1068,MATCH($A337,'Historical Data'!$BE$2:$BE$1068,0)),"")</f>
        <v/>
      </c>
      <c r="P337" s="294">
        <f>IFERROR(INDEX('Historical Data'!$AK$2:$AK$1068,MATCH($A337,'Historical Data'!$BE$2:$BE$1068,0)),"")</f>
        <v/>
      </c>
      <c r="Q337" s="291">
        <f>IFERROR(INDEX('Historical Data'!$AA$2:$AA$1068,MATCH($A337,'Historical Data'!$BE$2:$BE$1068,0)),"")</f>
        <v/>
      </c>
      <c r="R337" s="291">
        <f>IFERROR(INDEX('Historical Data'!$AB$2:$AB$1068,MATCH($A337,'Historical Data'!$BE$2:$BE$1068,0)),"")</f>
        <v/>
      </c>
      <c r="S337" s="291">
        <f>IFERROR(INDEX('Historical Data'!$AN$2:$AN$1068,MATCH($A337,'Historical Data'!$BE$2:$BE$1068,0)),"")</f>
        <v/>
      </c>
      <c r="T337" s="291">
        <f>IFERROR(INDEX('Historical Data'!$AC$2:$AC$1068,MATCH($A337,'Historical Data'!$BE$2:$BE$1068,0)),"")</f>
        <v/>
      </c>
      <c r="U337" s="291">
        <f>IFERROR(INDEX('Historical Data'!$AE$2:$AE$1068,MATCH($A337,'Historical Data'!$BE$2:$BE$1068,0)),"")</f>
        <v/>
      </c>
      <c r="V337" s="291">
        <f>IFERROR(INDEX('Historical Data'!$AH$2:$AH$1068,MATCH($A337,'Historical Data'!$BE$2:$BE$1068,0)),"")</f>
        <v/>
      </c>
      <c r="W337" s="291">
        <f>IFERROR(INDEX('Historical Data'!$BC$2:$BC$1068,MATCH($A337,'Historical Data'!$BE$2:$BE$1068,0)),"")</f>
        <v/>
      </c>
      <c r="X337" s="290">
        <f>IF(B337="","",IF(W337=1,"NR + industry + position",IF(W337=2,"NR + ISO + position",IF(W337=3,"NR + industry",IF(W337=4,"NR + ISO",IF(W337=5,"NR + position",IF(W337=6,"NR only","book baseline"))))))&amp;"  ["&amp;IF(T337=1,"seasoned","unseasoned")&amp;IF(U337=1,", defaulted","")&amp;IF(V337=1,", open","")&amp;"]")</f>
        <v/>
      </c>
    </row>
    <row r="338">
      <c r="A338" s="290" t="n">
        <v>334</v>
      </c>
      <c r="B338" s="291">
        <f>IFERROR(INDEX('Historical Data'!$A$2:$A$1068,MATCH($A338,'Historical Data'!$BE$2:$BE$1068,0)),"")</f>
        <v/>
      </c>
      <c r="C338" s="291">
        <f>IFERROR(INDEX('Historical Data'!$B$2:$B$1068,MATCH($A338,'Historical Data'!$BE$2:$BE$1068,0)),"")</f>
        <v/>
      </c>
      <c r="D338" s="291">
        <f>IFERROR(INDEX('Historical Data'!$D$2:$D$1068,MATCH($A338,'Historical Data'!$BE$2:$BE$1068,0)),"")</f>
        <v/>
      </c>
      <c r="E338" s="292">
        <f>IFERROR(INDEX('Historical Data'!$E$2:$E$1068,MATCH($A338,'Historical Data'!$BE$2:$BE$1068,0)),"")</f>
        <v/>
      </c>
      <c r="F338" s="291">
        <f>IFERROR(INDEX('Historical Data'!$G$2:$G$1068,MATCH($A338,'Historical Data'!$BE$2:$BE$1068,0)),"")</f>
        <v/>
      </c>
      <c r="G338" s="291">
        <f>IFERROR(INDEX('Historical Data'!$Y$2:$Y$1068,MATCH($A338,'Historical Data'!$BE$2:$BE$1068,0)),"")</f>
        <v/>
      </c>
      <c r="H338" s="291">
        <f>IFERROR(INDEX('Historical Data'!$K$2:$K$1068,MATCH($A338,'Historical Data'!$BE$2:$BE$1068,0)),"")</f>
        <v/>
      </c>
      <c r="I338" s="291">
        <f>IFERROR(INDEX('Historical Data'!$J$2:$J$1068,MATCH($A338,'Historical Data'!$BE$2:$BE$1068,0)),"")</f>
        <v/>
      </c>
      <c r="J338" s="291">
        <f>IFERROR(INDEX('Historical Data'!$L$2:$L$1068,MATCH($A338,'Historical Data'!$BE$2:$BE$1068,0)),"")</f>
        <v/>
      </c>
      <c r="K338" s="293">
        <f>IFERROR(INDEX('Historical Data'!$M$2:$M$1068,MATCH($A338,'Historical Data'!$BE$2:$BE$1068,0)),"")</f>
        <v/>
      </c>
      <c r="L338" s="294">
        <f>IFERROR(INDEX('Historical Data'!$N$2:$N$1068,MATCH($A338,'Historical Data'!$BE$2:$BE$1068,0)),"")</f>
        <v/>
      </c>
      <c r="M338" s="294">
        <f>IFERROR(INDEX('Historical Data'!$Q$2:$Q$1068,MATCH($A338,'Historical Data'!$BE$2:$BE$1068,0)),"")</f>
        <v/>
      </c>
      <c r="N338" s="295">
        <f>IFERROR(INDEX('Historical Data'!$S$2:$S$1068,MATCH($A338,'Historical Data'!$BE$2:$BE$1068,0)),"")</f>
        <v/>
      </c>
      <c r="O338" s="294">
        <f>IFERROR(INDEX('Historical Data'!$AJ$2:$AJ$1068,MATCH($A338,'Historical Data'!$BE$2:$BE$1068,0)),"")</f>
        <v/>
      </c>
      <c r="P338" s="294">
        <f>IFERROR(INDEX('Historical Data'!$AK$2:$AK$1068,MATCH($A338,'Historical Data'!$BE$2:$BE$1068,0)),"")</f>
        <v/>
      </c>
      <c r="Q338" s="291">
        <f>IFERROR(INDEX('Historical Data'!$AA$2:$AA$1068,MATCH($A338,'Historical Data'!$BE$2:$BE$1068,0)),"")</f>
        <v/>
      </c>
      <c r="R338" s="291">
        <f>IFERROR(INDEX('Historical Data'!$AB$2:$AB$1068,MATCH($A338,'Historical Data'!$BE$2:$BE$1068,0)),"")</f>
        <v/>
      </c>
      <c r="S338" s="291">
        <f>IFERROR(INDEX('Historical Data'!$AN$2:$AN$1068,MATCH($A338,'Historical Data'!$BE$2:$BE$1068,0)),"")</f>
        <v/>
      </c>
      <c r="T338" s="291">
        <f>IFERROR(INDEX('Historical Data'!$AC$2:$AC$1068,MATCH($A338,'Historical Data'!$BE$2:$BE$1068,0)),"")</f>
        <v/>
      </c>
      <c r="U338" s="291">
        <f>IFERROR(INDEX('Historical Data'!$AE$2:$AE$1068,MATCH($A338,'Historical Data'!$BE$2:$BE$1068,0)),"")</f>
        <v/>
      </c>
      <c r="V338" s="291">
        <f>IFERROR(INDEX('Historical Data'!$AH$2:$AH$1068,MATCH($A338,'Historical Data'!$BE$2:$BE$1068,0)),"")</f>
        <v/>
      </c>
      <c r="W338" s="291">
        <f>IFERROR(INDEX('Historical Data'!$BC$2:$BC$1068,MATCH($A338,'Historical Data'!$BE$2:$BE$1068,0)),"")</f>
        <v/>
      </c>
      <c r="X338" s="290">
        <f>IF(B338="","",IF(W338=1,"NR + industry + position",IF(W338=2,"NR + ISO + position",IF(W338=3,"NR + industry",IF(W338=4,"NR + ISO",IF(W338=5,"NR + position",IF(W338=6,"NR only","book baseline"))))))&amp;"  ["&amp;IF(T338=1,"seasoned","unseasoned")&amp;IF(U338=1,", defaulted","")&amp;IF(V338=1,", open","")&amp;"]")</f>
        <v/>
      </c>
    </row>
    <row r="339">
      <c r="A339" s="290" t="n">
        <v>335</v>
      </c>
      <c r="B339" s="291">
        <f>IFERROR(INDEX('Historical Data'!$A$2:$A$1068,MATCH($A339,'Historical Data'!$BE$2:$BE$1068,0)),"")</f>
        <v/>
      </c>
      <c r="C339" s="291">
        <f>IFERROR(INDEX('Historical Data'!$B$2:$B$1068,MATCH($A339,'Historical Data'!$BE$2:$BE$1068,0)),"")</f>
        <v/>
      </c>
      <c r="D339" s="291">
        <f>IFERROR(INDEX('Historical Data'!$D$2:$D$1068,MATCH($A339,'Historical Data'!$BE$2:$BE$1068,0)),"")</f>
        <v/>
      </c>
      <c r="E339" s="292">
        <f>IFERROR(INDEX('Historical Data'!$E$2:$E$1068,MATCH($A339,'Historical Data'!$BE$2:$BE$1068,0)),"")</f>
        <v/>
      </c>
      <c r="F339" s="291">
        <f>IFERROR(INDEX('Historical Data'!$G$2:$G$1068,MATCH($A339,'Historical Data'!$BE$2:$BE$1068,0)),"")</f>
        <v/>
      </c>
      <c r="G339" s="291">
        <f>IFERROR(INDEX('Historical Data'!$Y$2:$Y$1068,MATCH($A339,'Historical Data'!$BE$2:$BE$1068,0)),"")</f>
        <v/>
      </c>
      <c r="H339" s="291">
        <f>IFERROR(INDEX('Historical Data'!$K$2:$K$1068,MATCH($A339,'Historical Data'!$BE$2:$BE$1068,0)),"")</f>
        <v/>
      </c>
      <c r="I339" s="291">
        <f>IFERROR(INDEX('Historical Data'!$J$2:$J$1068,MATCH($A339,'Historical Data'!$BE$2:$BE$1068,0)),"")</f>
        <v/>
      </c>
      <c r="J339" s="291">
        <f>IFERROR(INDEX('Historical Data'!$L$2:$L$1068,MATCH($A339,'Historical Data'!$BE$2:$BE$1068,0)),"")</f>
        <v/>
      </c>
      <c r="K339" s="293">
        <f>IFERROR(INDEX('Historical Data'!$M$2:$M$1068,MATCH($A339,'Historical Data'!$BE$2:$BE$1068,0)),"")</f>
        <v/>
      </c>
      <c r="L339" s="294">
        <f>IFERROR(INDEX('Historical Data'!$N$2:$N$1068,MATCH($A339,'Historical Data'!$BE$2:$BE$1068,0)),"")</f>
        <v/>
      </c>
      <c r="M339" s="294">
        <f>IFERROR(INDEX('Historical Data'!$Q$2:$Q$1068,MATCH($A339,'Historical Data'!$BE$2:$BE$1068,0)),"")</f>
        <v/>
      </c>
      <c r="N339" s="295">
        <f>IFERROR(INDEX('Historical Data'!$S$2:$S$1068,MATCH($A339,'Historical Data'!$BE$2:$BE$1068,0)),"")</f>
        <v/>
      </c>
      <c r="O339" s="294">
        <f>IFERROR(INDEX('Historical Data'!$AJ$2:$AJ$1068,MATCH($A339,'Historical Data'!$BE$2:$BE$1068,0)),"")</f>
        <v/>
      </c>
      <c r="P339" s="294">
        <f>IFERROR(INDEX('Historical Data'!$AK$2:$AK$1068,MATCH($A339,'Historical Data'!$BE$2:$BE$1068,0)),"")</f>
        <v/>
      </c>
      <c r="Q339" s="291">
        <f>IFERROR(INDEX('Historical Data'!$AA$2:$AA$1068,MATCH($A339,'Historical Data'!$BE$2:$BE$1068,0)),"")</f>
        <v/>
      </c>
      <c r="R339" s="291">
        <f>IFERROR(INDEX('Historical Data'!$AB$2:$AB$1068,MATCH($A339,'Historical Data'!$BE$2:$BE$1068,0)),"")</f>
        <v/>
      </c>
      <c r="S339" s="291">
        <f>IFERROR(INDEX('Historical Data'!$AN$2:$AN$1068,MATCH($A339,'Historical Data'!$BE$2:$BE$1068,0)),"")</f>
        <v/>
      </c>
      <c r="T339" s="291">
        <f>IFERROR(INDEX('Historical Data'!$AC$2:$AC$1068,MATCH($A339,'Historical Data'!$BE$2:$BE$1068,0)),"")</f>
        <v/>
      </c>
      <c r="U339" s="291">
        <f>IFERROR(INDEX('Historical Data'!$AE$2:$AE$1068,MATCH($A339,'Historical Data'!$BE$2:$BE$1068,0)),"")</f>
        <v/>
      </c>
      <c r="V339" s="291">
        <f>IFERROR(INDEX('Historical Data'!$AH$2:$AH$1068,MATCH($A339,'Historical Data'!$BE$2:$BE$1068,0)),"")</f>
        <v/>
      </c>
      <c r="W339" s="291">
        <f>IFERROR(INDEX('Historical Data'!$BC$2:$BC$1068,MATCH($A339,'Historical Data'!$BE$2:$BE$1068,0)),"")</f>
        <v/>
      </c>
      <c r="X339" s="290">
        <f>IF(B339="","",IF(W339=1,"NR + industry + position",IF(W339=2,"NR + ISO + position",IF(W339=3,"NR + industry",IF(W339=4,"NR + ISO",IF(W339=5,"NR + position",IF(W339=6,"NR only","book baseline"))))))&amp;"  ["&amp;IF(T339=1,"seasoned","unseasoned")&amp;IF(U339=1,", defaulted","")&amp;IF(V339=1,", open","")&amp;"]")</f>
        <v/>
      </c>
    </row>
    <row r="340">
      <c r="A340" s="290" t="n">
        <v>336</v>
      </c>
      <c r="B340" s="291">
        <f>IFERROR(INDEX('Historical Data'!$A$2:$A$1068,MATCH($A340,'Historical Data'!$BE$2:$BE$1068,0)),"")</f>
        <v/>
      </c>
      <c r="C340" s="291">
        <f>IFERROR(INDEX('Historical Data'!$B$2:$B$1068,MATCH($A340,'Historical Data'!$BE$2:$BE$1068,0)),"")</f>
        <v/>
      </c>
      <c r="D340" s="291">
        <f>IFERROR(INDEX('Historical Data'!$D$2:$D$1068,MATCH($A340,'Historical Data'!$BE$2:$BE$1068,0)),"")</f>
        <v/>
      </c>
      <c r="E340" s="292">
        <f>IFERROR(INDEX('Historical Data'!$E$2:$E$1068,MATCH($A340,'Historical Data'!$BE$2:$BE$1068,0)),"")</f>
        <v/>
      </c>
      <c r="F340" s="291">
        <f>IFERROR(INDEX('Historical Data'!$G$2:$G$1068,MATCH($A340,'Historical Data'!$BE$2:$BE$1068,0)),"")</f>
        <v/>
      </c>
      <c r="G340" s="291">
        <f>IFERROR(INDEX('Historical Data'!$Y$2:$Y$1068,MATCH($A340,'Historical Data'!$BE$2:$BE$1068,0)),"")</f>
        <v/>
      </c>
      <c r="H340" s="291">
        <f>IFERROR(INDEX('Historical Data'!$K$2:$K$1068,MATCH($A340,'Historical Data'!$BE$2:$BE$1068,0)),"")</f>
        <v/>
      </c>
      <c r="I340" s="291">
        <f>IFERROR(INDEX('Historical Data'!$J$2:$J$1068,MATCH($A340,'Historical Data'!$BE$2:$BE$1068,0)),"")</f>
        <v/>
      </c>
      <c r="J340" s="291">
        <f>IFERROR(INDEX('Historical Data'!$L$2:$L$1068,MATCH($A340,'Historical Data'!$BE$2:$BE$1068,0)),"")</f>
        <v/>
      </c>
      <c r="K340" s="293">
        <f>IFERROR(INDEX('Historical Data'!$M$2:$M$1068,MATCH($A340,'Historical Data'!$BE$2:$BE$1068,0)),"")</f>
        <v/>
      </c>
      <c r="L340" s="294">
        <f>IFERROR(INDEX('Historical Data'!$N$2:$N$1068,MATCH($A340,'Historical Data'!$BE$2:$BE$1068,0)),"")</f>
        <v/>
      </c>
      <c r="M340" s="294">
        <f>IFERROR(INDEX('Historical Data'!$Q$2:$Q$1068,MATCH($A340,'Historical Data'!$BE$2:$BE$1068,0)),"")</f>
        <v/>
      </c>
      <c r="N340" s="295">
        <f>IFERROR(INDEX('Historical Data'!$S$2:$S$1068,MATCH($A340,'Historical Data'!$BE$2:$BE$1068,0)),"")</f>
        <v/>
      </c>
      <c r="O340" s="294">
        <f>IFERROR(INDEX('Historical Data'!$AJ$2:$AJ$1068,MATCH($A340,'Historical Data'!$BE$2:$BE$1068,0)),"")</f>
        <v/>
      </c>
      <c r="P340" s="294">
        <f>IFERROR(INDEX('Historical Data'!$AK$2:$AK$1068,MATCH($A340,'Historical Data'!$BE$2:$BE$1068,0)),"")</f>
        <v/>
      </c>
      <c r="Q340" s="291">
        <f>IFERROR(INDEX('Historical Data'!$AA$2:$AA$1068,MATCH($A340,'Historical Data'!$BE$2:$BE$1068,0)),"")</f>
        <v/>
      </c>
      <c r="R340" s="291">
        <f>IFERROR(INDEX('Historical Data'!$AB$2:$AB$1068,MATCH($A340,'Historical Data'!$BE$2:$BE$1068,0)),"")</f>
        <v/>
      </c>
      <c r="S340" s="291">
        <f>IFERROR(INDEX('Historical Data'!$AN$2:$AN$1068,MATCH($A340,'Historical Data'!$BE$2:$BE$1068,0)),"")</f>
        <v/>
      </c>
      <c r="T340" s="291">
        <f>IFERROR(INDEX('Historical Data'!$AC$2:$AC$1068,MATCH($A340,'Historical Data'!$BE$2:$BE$1068,0)),"")</f>
        <v/>
      </c>
      <c r="U340" s="291">
        <f>IFERROR(INDEX('Historical Data'!$AE$2:$AE$1068,MATCH($A340,'Historical Data'!$BE$2:$BE$1068,0)),"")</f>
        <v/>
      </c>
      <c r="V340" s="291">
        <f>IFERROR(INDEX('Historical Data'!$AH$2:$AH$1068,MATCH($A340,'Historical Data'!$BE$2:$BE$1068,0)),"")</f>
        <v/>
      </c>
      <c r="W340" s="291">
        <f>IFERROR(INDEX('Historical Data'!$BC$2:$BC$1068,MATCH($A340,'Historical Data'!$BE$2:$BE$1068,0)),"")</f>
        <v/>
      </c>
      <c r="X340" s="290">
        <f>IF(B340="","",IF(W340=1,"NR + industry + position",IF(W340=2,"NR + ISO + position",IF(W340=3,"NR + industry",IF(W340=4,"NR + ISO",IF(W340=5,"NR + position",IF(W340=6,"NR only","book baseline"))))))&amp;"  ["&amp;IF(T340=1,"seasoned","unseasoned")&amp;IF(U340=1,", defaulted","")&amp;IF(V340=1,", open","")&amp;"]")</f>
        <v/>
      </c>
    </row>
    <row r="341">
      <c r="A341" s="290" t="n">
        <v>337</v>
      </c>
      <c r="B341" s="291">
        <f>IFERROR(INDEX('Historical Data'!$A$2:$A$1068,MATCH($A341,'Historical Data'!$BE$2:$BE$1068,0)),"")</f>
        <v/>
      </c>
      <c r="C341" s="291">
        <f>IFERROR(INDEX('Historical Data'!$B$2:$B$1068,MATCH($A341,'Historical Data'!$BE$2:$BE$1068,0)),"")</f>
        <v/>
      </c>
      <c r="D341" s="291">
        <f>IFERROR(INDEX('Historical Data'!$D$2:$D$1068,MATCH($A341,'Historical Data'!$BE$2:$BE$1068,0)),"")</f>
        <v/>
      </c>
      <c r="E341" s="292">
        <f>IFERROR(INDEX('Historical Data'!$E$2:$E$1068,MATCH($A341,'Historical Data'!$BE$2:$BE$1068,0)),"")</f>
        <v/>
      </c>
      <c r="F341" s="291">
        <f>IFERROR(INDEX('Historical Data'!$G$2:$G$1068,MATCH($A341,'Historical Data'!$BE$2:$BE$1068,0)),"")</f>
        <v/>
      </c>
      <c r="G341" s="291">
        <f>IFERROR(INDEX('Historical Data'!$Y$2:$Y$1068,MATCH($A341,'Historical Data'!$BE$2:$BE$1068,0)),"")</f>
        <v/>
      </c>
      <c r="H341" s="291">
        <f>IFERROR(INDEX('Historical Data'!$K$2:$K$1068,MATCH($A341,'Historical Data'!$BE$2:$BE$1068,0)),"")</f>
        <v/>
      </c>
      <c r="I341" s="291">
        <f>IFERROR(INDEX('Historical Data'!$J$2:$J$1068,MATCH($A341,'Historical Data'!$BE$2:$BE$1068,0)),"")</f>
        <v/>
      </c>
      <c r="J341" s="291">
        <f>IFERROR(INDEX('Historical Data'!$L$2:$L$1068,MATCH($A341,'Historical Data'!$BE$2:$BE$1068,0)),"")</f>
        <v/>
      </c>
      <c r="K341" s="293">
        <f>IFERROR(INDEX('Historical Data'!$M$2:$M$1068,MATCH($A341,'Historical Data'!$BE$2:$BE$1068,0)),"")</f>
        <v/>
      </c>
      <c r="L341" s="294">
        <f>IFERROR(INDEX('Historical Data'!$N$2:$N$1068,MATCH($A341,'Historical Data'!$BE$2:$BE$1068,0)),"")</f>
        <v/>
      </c>
      <c r="M341" s="294">
        <f>IFERROR(INDEX('Historical Data'!$Q$2:$Q$1068,MATCH($A341,'Historical Data'!$BE$2:$BE$1068,0)),"")</f>
        <v/>
      </c>
      <c r="N341" s="295">
        <f>IFERROR(INDEX('Historical Data'!$S$2:$S$1068,MATCH($A341,'Historical Data'!$BE$2:$BE$1068,0)),"")</f>
        <v/>
      </c>
      <c r="O341" s="294">
        <f>IFERROR(INDEX('Historical Data'!$AJ$2:$AJ$1068,MATCH($A341,'Historical Data'!$BE$2:$BE$1068,0)),"")</f>
        <v/>
      </c>
      <c r="P341" s="294">
        <f>IFERROR(INDEX('Historical Data'!$AK$2:$AK$1068,MATCH($A341,'Historical Data'!$BE$2:$BE$1068,0)),"")</f>
        <v/>
      </c>
      <c r="Q341" s="291">
        <f>IFERROR(INDEX('Historical Data'!$AA$2:$AA$1068,MATCH($A341,'Historical Data'!$BE$2:$BE$1068,0)),"")</f>
        <v/>
      </c>
      <c r="R341" s="291">
        <f>IFERROR(INDEX('Historical Data'!$AB$2:$AB$1068,MATCH($A341,'Historical Data'!$BE$2:$BE$1068,0)),"")</f>
        <v/>
      </c>
      <c r="S341" s="291">
        <f>IFERROR(INDEX('Historical Data'!$AN$2:$AN$1068,MATCH($A341,'Historical Data'!$BE$2:$BE$1068,0)),"")</f>
        <v/>
      </c>
      <c r="T341" s="291">
        <f>IFERROR(INDEX('Historical Data'!$AC$2:$AC$1068,MATCH($A341,'Historical Data'!$BE$2:$BE$1068,0)),"")</f>
        <v/>
      </c>
      <c r="U341" s="291">
        <f>IFERROR(INDEX('Historical Data'!$AE$2:$AE$1068,MATCH($A341,'Historical Data'!$BE$2:$BE$1068,0)),"")</f>
        <v/>
      </c>
      <c r="V341" s="291">
        <f>IFERROR(INDEX('Historical Data'!$AH$2:$AH$1068,MATCH($A341,'Historical Data'!$BE$2:$BE$1068,0)),"")</f>
        <v/>
      </c>
      <c r="W341" s="291">
        <f>IFERROR(INDEX('Historical Data'!$BC$2:$BC$1068,MATCH($A341,'Historical Data'!$BE$2:$BE$1068,0)),"")</f>
        <v/>
      </c>
      <c r="X341" s="290">
        <f>IF(B341="","",IF(W341=1,"NR + industry + position",IF(W341=2,"NR + ISO + position",IF(W341=3,"NR + industry",IF(W341=4,"NR + ISO",IF(W341=5,"NR + position",IF(W341=6,"NR only","book baseline"))))))&amp;"  ["&amp;IF(T341=1,"seasoned","unseasoned")&amp;IF(U341=1,", defaulted","")&amp;IF(V341=1,", open","")&amp;"]")</f>
        <v/>
      </c>
    </row>
    <row r="342">
      <c r="A342" s="290" t="n">
        <v>338</v>
      </c>
      <c r="B342" s="291">
        <f>IFERROR(INDEX('Historical Data'!$A$2:$A$1068,MATCH($A342,'Historical Data'!$BE$2:$BE$1068,0)),"")</f>
        <v/>
      </c>
      <c r="C342" s="291">
        <f>IFERROR(INDEX('Historical Data'!$B$2:$B$1068,MATCH($A342,'Historical Data'!$BE$2:$BE$1068,0)),"")</f>
        <v/>
      </c>
      <c r="D342" s="291">
        <f>IFERROR(INDEX('Historical Data'!$D$2:$D$1068,MATCH($A342,'Historical Data'!$BE$2:$BE$1068,0)),"")</f>
        <v/>
      </c>
      <c r="E342" s="292">
        <f>IFERROR(INDEX('Historical Data'!$E$2:$E$1068,MATCH($A342,'Historical Data'!$BE$2:$BE$1068,0)),"")</f>
        <v/>
      </c>
      <c r="F342" s="291">
        <f>IFERROR(INDEX('Historical Data'!$G$2:$G$1068,MATCH($A342,'Historical Data'!$BE$2:$BE$1068,0)),"")</f>
        <v/>
      </c>
      <c r="G342" s="291">
        <f>IFERROR(INDEX('Historical Data'!$Y$2:$Y$1068,MATCH($A342,'Historical Data'!$BE$2:$BE$1068,0)),"")</f>
        <v/>
      </c>
      <c r="H342" s="291">
        <f>IFERROR(INDEX('Historical Data'!$K$2:$K$1068,MATCH($A342,'Historical Data'!$BE$2:$BE$1068,0)),"")</f>
        <v/>
      </c>
      <c r="I342" s="291">
        <f>IFERROR(INDEX('Historical Data'!$J$2:$J$1068,MATCH($A342,'Historical Data'!$BE$2:$BE$1068,0)),"")</f>
        <v/>
      </c>
      <c r="J342" s="291">
        <f>IFERROR(INDEX('Historical Data'!$L$2:$L$1068,MATCH($A342,'Historical Data'!$BE$2:$BE$1068,0)),"")</f>
        <v/>
      </c>
      <c r="K342" s="293">
        <f>IFERROR(INDEX('Historical Data'!$M$2:$M$1068,MATCH($A342,'Historical Data'!$BE$2:$BE$1068,0)),"")</f>
        <v/>
      </c>
      <c r="L342" s="294">
        <f>IFERROR(INDEX('Historical Data'!$N$2:$N$1068,MATCH($A342,'Historical Data'!$BE$2:$BE$1068,0)),"")</f>
        <v/>
      </c>
      <c r="M342" s="294">
        <f>IFERROR(INDEX('Historical Data'!$Q$2:$Q$1068,MATCH($A342,'Historical Data'!$BE$2:$BE$1068,0)),"")</f>
        <v/>
      </c>
      <c r="N342" s="295">
        <f>IFERROR(INDEX('Historical Data'!$S$2:$S$1068,MATCH($A342,'Historical Data'!$BE$2:$BE$1068,0)),"")</f>
        <v/>
      </c>
      <c r="O342" s="294">
        <f>IFERROR(INDEX('Historical Data'!$AJ$2:$AJ$1068,MATCH($A342,'Historical Data'!$BE$2:$BE$1068,0)),"")</f>
        <v/>
      </c>
      <c r="P342" s="294">
        <f>IFERROR(INDEX('Historical Data'!$AK$2:$AK$1068,MATCH($A342,'Historical Data'!$BE$2:$BE$1068,0)),"")</f>
        <v/>
      </c>
      <c r="Q342" s="291">
        <f>IFERROR(INDEX('Historical Data'!$AA$2:$AA$1068,MATCH($A342,'Historical Data'!$BE$2:$BE$1068,0)),"")</f>
        <v/>
      </c>
      <c r="R342" s="291">
        <f>IFERROR(INDEX('Historical Data'!$AB$2:$AB$1068,MATCH($A342,'Historical Data'!$BE$2:$BE$1068,0)),"")</f>
        <v/>
      </c>
      <c r="S342" s="291">
        <f>IFERROR(INDEX('Historical Data'!$AN$2:$AN$1068,MATCH($A342,'Historical Data'!$BE$2:$BE$1068,0)),"")</f>
        <v/>
      </c>
      <c r="T342" s="291">
        <f>IFERROR(INDEX('Historical Data'!$AC$2:$AC$1068,MATCH($A342,'Historical Data'!$BE$2:$BE$1068,0)),"")</f>
        <v/>
      </c>
      <c r="U342" s="291">
        <f>IFERROR(INDEX('Historical Data'!$AE$2:$AE$1068,MATCH($A342,'Historical Data'!$BE$2:$BE$1068,0)),"")</f>
        <v/>
      </c>
      <c r="V342" s="291">
        <f>IFERROR(INDEX('Historical Data'!$AH$2:$AH$1068,MATCH($A342,'Historical Data'!$BE$2:$BE$1068,0)),"")</f>
        <v/>
      </c>
      <c r="W342" s="291">
        <f>IFERROR(INDEX('Historical Data'!$BC$2:$BC$1068,MATCH($A342,'Historical Data'!$BE$2:$BE$1068,0)),"")</f>
        <v/>
      </c>
      <c r="X342" s="290">
        <f>IF(B342="","",IF(W342=1,"NR + industry + position",IF(W342=2,"NR + ISO + position",IF(W342=3,"NR + industry",IF(W342=4,"NR + ISO",IF(W342=5,"NR + position",IF(W342=6,"NR only","book baseline"))))))&amp;"  ["&amp;IF(T342=1,"seasoned","unseasoned")&amp;IF(U342=1,", defaulted","")&amp;IF(V342=1,", open","")&amp;"]")</f>
        <v/>
      </c>
    </row>
    <row r="343">
      <c r="A343" s="290" t="n">
        <v>339</v>
      </c>
      <c r="B343" s="291">
        <f>IFERROR(INDEX('Historical Data'!$A$2:$A$1068,MATCH($A343,'Historical Data'!$BE$2:$BE$1068,0)),"")</f>
        <v/>
      </c>
      <c r="C343" s="291">
        <f>IFERROR(INDEX('Historical Data'!$B$2:$B$1068,MATCH($A343,'Historical Data'!$BE$2:$BE$1068,0)),"")</f>
        <v/>
      </c>
      <c r="D343" s="291">
        <f>IFERROR(INDEX('Historical Data'!$D$2:$D$1068,MATCH($A343,'Historical Data'!$BE$2:$BE$1068,0)),"")</f>
        <v/>
      </c>
      <c r="E343" s="292">
        <f>IFERROR(INDEX('Historical Data'!$E$2:$E$1068,MATCH($A343,'Historical Data'!$BE$2:$BE$1068,0)),"")</f>
        <v/>
      </c>
      <c r="F343" s="291">
        <f>IFERROR(INDEX('Historical Data'!$G$2:$G$1068,MATCH($A343,'Historical Data'!$BE$2:$BE$1068,0)),"")</f>
        <v/>
      </c>
      <c r="G343" s="291">
        <f>IFERROR(INDEX('Historical Data'!$Y$2:$Y$1068,MATCH($A343,'Historical Data'!$BE$2:$BE$1068,0)),"")</f>
        <v/>
      </c>
      <c r="H343" s="291">
        <f>IFERROR(INDEX('Historical Data'!$K$2:$K$1068,MATCH($A343,'Historical Data'!$BE$2:$BE$1068,0)),"")</f>
        <v/>
      </c>
      <c r="I343" s="291">
        <f>IFERROR(INDEX('Historical Data'!$J$2:$J$1068,MATCH($A343,'Historical Data'!$BE$2:$BE$1068,0)),"")</f>
        <v/>
      </c>
      <c r="J343" s="291">
        <f>IFERROR(INDEX('Historical Data'!$L$2:$L$1068,MATCH($A343,'Historical Data'!$BE$2:$BE$1068,0)),"")</f>
        <v/>
      </c>
      <c r="K343" s="293">
        <f>IFERROR(INDEX('Historical Data'!$M$2:$M$1068,MATCH($A343,'Historical Data'!$BE$2:$BE$1068,0)),"")</f>
        <v/>
      </c>
      <c r="L343" s="294">
        <f>IFERROR(INDEX('Historical Data'!$N$2:$N$1068,MATCH($A343,'Historical Data'!$BE$2:$BE$1068,0)),"")</f>
        <v/>
      </c>
      <c r="M343" s="294">
        <f>IFERROR(INDEX('Historical Data'!$Q$2:$Q$1068,MATCH($A343,'Historical Data'!$BE$2:$BE$1068,0)),"")</f>
        <v/>
      </c>
      <c r="N343" s="295">
        <f>IFERROR(INDEX('Historical Data'!$S$2:$S$1068,MATCH($A343,'Historical Data'!$BE$2:$BE$1068,0)),"")</f>
        <v/>
      </c>
      <c r="O343" s="294">
        <f>IFERROR(INDEX('Historical Data'!$AJ$2:$AJ$1068,MATCH($A343,'Historical Data'!$BE$2:$BE$1068,0)),"")</f>
        <v/>
      </c>
      <c r="P343" s="294">
        <f>IFERROR(INDEX('Historical Data'!$AK$2:$AK$1068,MATCH($A343,'Historical Data'!$BE$2:$BE$1068,0)),"")</f>
        <v/>
      </c>
      <c r="Q343" s="291">
        <f>IFERROR(INDEX('Historical Data'!$AA$2:$AA$1068,MATCH($A343,'Historical Data'!$BE$2:$BE$1068,0)),"")</f>
        <v/>
      </c>
      <c r="R343" s="291">
        <f>IFERROR(INDEX('Historical Data'!$AB$2:$AB$1068,MATCH($A343,'Historical Data'!$BE$2:$BE$1068,0)),"")</f>
        <v/>
      </c>
      <c r="S343" s="291">
        <f>IFERROR(INDEX('Historical Data'!$AN$2:$AN$1068,MATCH($A343,'Historical Data'!$BE$2:$BE$1068,0)),"")</f>
        <v/>
      </c>
      <c r="T343" s="291">
        <f>IFERROR(INDEX('Historical Data'!$AC$2:$AC$1068,MATCH($A343,'Historical Data'!$BE$2:$BE$1068,0)),"")</f>
        <v/>
      </c>
      <c r="U343" s="291">
        <f>IFERROR(INDEX('Historical Data'!$AE$2:$AE$1068,MATCH($A343,'Historical Data'!$BE$2:$BE$1068,0)),"")</f>
        <v/>
      </c>
      <c r="V343" s="291">
        <f>IFERROR(INDEX('Historical Data'!$AH$2:$AH$1068,MATCH($A343,'Historical Data'!$BE$2:$BE$1068,0)),"")</f>
        <v/>
      </c>
      <c r="W343" s="291">
        <f>IFERROR(INDEX('Historical Data'!$BC$2:$BC$1068,MATCH($A343,'Historical Data'!$BE$2:$BE$1068,0)),"")</f>
        <v/>
      </c>
      <c r="X343" s="290">
        <f>IF(B343="","",IF(W343=1,"NR + industry + position",IF(W343=2,"NR + ISO + position",IF(W343=3,"NR + industry",IF(W343=4,"NR + ISO",IF(W343=5,"NR + position",IF(W343=6,"NR only","book baseline"))))))&amp;"  ["&amp;IF(T343=1,"seasoned","unseasoned")&amp;IF(U343=1,", defaulted","")&amp;IF(V343=1,", open","")&amp;"]")</f>
        <v/>
      </c>
    </row>
    <row r="344">
      <c r="A344" s="290" t="n">
        <v>340</v>
      </c>
      <c r="B344" s="291">
        <f>IFERROR(INDEX('Historical Data'!$A$2:$A$1068,MATCH($A344,'Historical Data'!$BE$2:$BE$1068,0)),"")</f>
        <v/>
      </c>
      <c r="C344" s="291">
        <f>IFERROR(INDEX('Historical Data'!$B$2:$B$1068,MATCH($A344,'Historical Data'!$BE$2:$BE$1068,0)),"")</f>
        <v/>
      </c>
      <c r="D344" s="291">
        <f>IFERROR(INDEX('Historical Data'!$D$2:$D$1068,MATCH($A344,'Historical Data'!$BE$2:$BE$1068,0)),"")</f>
        <v/>
      </c>
      <c r="E344" s="292">
        <f>IFERROR(INDEX('Historical Data'!$E$2:$E$1068,MATCH($A344,'Historical Data'!$BE$2:$BE$1068,0)),"")</f>
        <v/>
      </c>
      <c r="F344" s="291">
        <f>IFERROR(INDEX('Historical Data'!$G$2:$G$1068,MATCH($A344,'Historical Data'!$BE$2:$BE$1068,0)),"")</f>
        <v/>
      </c>
      <c r="G344" s="291">
        <f>IFERROR(INDEX('Historical Data'!$Y$2:$Y$1068,MATCH($A344,'Historical Data'!$BE$2:$BE$1068,0)),"")</f>
        <v/>
      </c>
      <c r="H344" s="291">
        <f>IFERROR(INDEX('Historical Data'!$K$2:$K$1068,MATCH($A344,'Historical Data'!$BE$2:$BE$1068,0)),"")</f>
        <v/>
      </c>
      <c r="I344" s="291">
        <f>IFERROR(INDEX('Historical Data'!$J$2:$J$1068,MATCH($A344,'Historical Data'!$BE$2:$BE$1068,0)),"")</f>
        <v/>
      </c>
      <c r="J344" s="291">
        <f>IFERROR(INDEX('Historical Data'!$L$2:$L$1068,MATCH($A344,'Historical Data'!$BE$2:$BE$1068,0)),"")</f>
        <v/>
      </c>
      <c r="K344" s="293">
        <f>IFERROR(INDEX('Historical Data'!$M$2:$M$1068,MATCH($A344,'Historical Data'!$BE$2:$BE$1068,0)),"")</f>
        <v/>
      </c>
      <c r="L344" s="294">
        <f>IFERROR(INDEX('Historical Data'!$N$2:$N$1068,MATCH($A344,'Historical Data'!$BE$2:$BE$1068,0)),"")</f>
        <v/>
      </c>
      <c r="M344" s="294">
        <f>IFERROR(INDEX('Historical Data'!$Q$2:$Q$1068,MATCH($A344,'Historical Data'!$BE$2:$BE$1068,0)),"")</f>
        <v/>
      </c>
      <c r="N344" s="295">
        <f>IFERROR(INDEX('Historical Data'!$S$2:$S$1068,MATCH($A344,'Historical Data'!$BE$2:$BE$1068,0)),"")</f>
        <v/>
      </c>
      <c r="O344" s="294">
        <f>IFERROR(INDEX('Historical Data'!$AJ$2:$AJ$1068,MATCH($A344,'Historical Data'!$BE$2:$BE$1068,0)),"")</f>
        <v/>
      </c>
      <c r="P344" s="294">
        <f>IFERROR(INDEX('Historical Data'!$AK$2:$AK$1068,MATCH($A344,'Historical Data'!$BE$2:$BE$1068,0)),"")</f>
        <v/>
      </c>
      <c r="Q344" s="291">
        <f>IFERROR(INDEX('Historical Data'!$AA$2:$AA$1068,MATCH($A344,'Historical Data'!$BE$2:$BE$1068,0)),"")</f>
        <v/>
      </c>
      <c r="R344" s="291">
        <f>IFERROR(INDEX('Historical Data'!$AB$2:$AB$1068,MATCH($A344,'Historical Data'!$BE$2:$BE$1068,0)),"")</f>
        <v/>
      </c>
      <c r="S344" s="291">
        <f>IFERROR(INDEX('Historical Data'!$AN$2:$AN$1068,MATCH($A344,'Historical Data'!$BE$2:$BE$1068,0)),"")</f>
        <v/>
      </c>
      <c r="T344" s="291">
        <f>IFERROR(INDEX('Historical Data'!$AC$2:$AC$1068,MATCH($A344,'Historical Data'!$BE$2:$BE$1068,0)),"")</f>
        <v/>
      </c>
      <c r="U344" s="291">
        <f>IFERROR(INDEX('Historical Data'!$AE$2:$AE$1068,MATCH($A344,'Historical Data'!$BE$2:$BE$1068,0)),"")</f>
        <v/>
      </c>
      <c r="V344" s="291">
        <f>IFERROR(INDEX('Historical Data'!$AH$2:$AH$1068,MATCH($A344,'Historical Data'!$BE$2:$BE$1068,0)),"")</f>
        <v/>
      </c>
      <c r="W344" s="291">
        <f>IFERROR(INDEX('Historical Data'!$BC$2:$BC$1068,MATCH($A344,'Historical Data'!$BE$2:$BE$1068,0)),"")</f>
        <v/>
      </c>
      <c r="X344" s="290">
        <f>IF(B344="","",IF(W344=1,"NR + industry + position",IF(W344=2,"NR + ISO + position",IF(W344=3,"NR + industry",IF(W344=4,"NR + ISO",IF(W344=5,"NR + position",IF(W344=6,"NR only","book baseline"))))))&amp;"  ["&amp;IF(T344=1,"seasoned","unseasoned")&amp;IF(U344=1,", defaulted","")&amp;IF(V344=1,", open","")&amp;"]")</f>
        <v/>
      </c>
    </row>
    <row r="345">
      <c r="A345" s="290" t="n">
        <v>341</v>
      </c>
      <c r="B345" s="291">
        <f>IFERROR(INDEX('Historical Data'!$A$2:$A$1068,MATCH($A345,'Historical Data'!$BE$2:$BE$1068,0)),"")</f>
        <v/>
      </c>
      <c r="C345" s="291">
        <f>IFERROR(INDEX('Historical Data'!$B$2:$B$1068,MATCH($A345,'Historical Data'!$BE$2:$BE$1068,0)),"")</f>
        <v/>
      </c>
      <c r="D345" s="291">
        <f>IFERROR(INDEX('Historical Data'!$D$2:$D$1068,MATCH($A345,'Historical Data'!$BE$2:$BE$1068,0)),"")</f>
        <v/>
      </c>
      <c r="E345" s="292">
        <f>IFERROR(INDEX('Historical Data'!$E$2:$E$1068,MATCH($A345,'Historical Data'!$BE$2:$BE$1068,0)),"")</f>
        <v/>
      </c>
      <c r="F345" s="291">
        <f>IFERROR(INDEX('Historical Data'!$G$2:$G$1068,MATCH($A345,'Historical Data'!$BE$2:$BE$1068,0)),"")</f>
        <v/>
      </c>
      <c r="G345" s="291">
        <f>IFERROR(INDEX('Historical Data'!$Y$2:$Y$1068,MATCH($A345,'Historical Data'!$BE$2:$BE$1068,0)),"")</f>
        <v/>
      </c>
      <c r="H345" s="291">
        <f>IFERROR(INDEX('Historical Data'!$K$2:$K$1068,MATCH($A345,'Historical Data'!$BE$2:$BE$1068,0)),"")</f>
        <v/>
      </c>
      <c r="I345" s="291">
        <f>IFERROR(INDEX('Historical Data'!$J$2:$J$1068,MATCH($A345,'Historical Data'!$BE$2:$BE$1068,0)),"")</f>
        <v/>
      </c>
      <c r="J345" s="291">
        <f>IFERROR(INDEX('Historical Data'!$L$2:$L$1068,MATCH($A345,'Historical Data'!$BE$2:$BE$1068,0)),"")</f>
        <v/>
      </c>
      <c r="K345" s="293">
        <f>IFERROR(INDEX('Historical Data'!$M$2:$M$1068,MATCH($A345,'Historical Data'!$BE$2:$BE$1068,0)),"")</f>
        <v/>
      </c>
      <c r="L345" s="294">
        <f>IFERROR(INDEX('Historical Data'!$N$2:$N$1068,MATCH($A345,'Historical Data'!$BE$2:$BE$1068,0)),"")</f>
        <v/>
      </c>
      <c r="M345" s="294">
        <f>IFERROR(INDEX('Historical Data'!$Q$2:$Q$1068,MATCH($A345,'Historical Data'!$BE$2:$BE$1068,0)),"")</f>
        <v/>
      </c>
      <c r="N345" s="295">
        <f>IFERROR(INDEX('Historical Data'!$S$2:$S$1068,MATCH($A345,'Historical Data'!$BE$2:$BE$1068,0)),"")</f>
        <v/>
      </c>
      <c r="O345" s="294">
        <f>IFERROR(INDEX('Historical Data'!$AJ$2:$AJ$1068,MATCH($A345,'Historical Data'!$BE$2:$BE$1068,0)),"")</f>
        <v/>
      </c>
      <c r="P345" s="294">
        <f>IFERROR(INDEX('Historical Data'!$AK$2:$AK$1068,MATCH($A345,'Historical Data'!$BE$2:$BE$1068,0)),"")</f>
        <v/>
      </c>
      <c r="Q345" s="291">
        <f>IFERROR(INDEX('Historical Data'!$AA$2:$AA$1068,MATCH($A345,'Historical Data'!$BE$2:$BE$1068,0)),"")</f>
        <v/>
      </c>
      <c r="R345" s="291">
        <f>IFERROR(INDEX('Historical Data'!$AB$2:$AB$1068,MATCH($A345,'Historical Data'!$BE$2:$BE$1068,0)),"")</f>
        <v/>
      </c>
      <c r="S345" s="291">
        <f>IFERROR(INDEX('Historical Data'!$AN$2:$AN$1068,MATCH($A345,'Historical Data'!$BE$2:$BE$1068,0)),"")</f>
        <v/>
      </c>
      <c r="T345" s="291">
        <f>IFERROR(INDEX('Historical Data'!$AC$2:$AC$1068,MATCH($A345,'Historical Data'!$BE$2:$BE$1068,0)),"")</f>
        <v/>
      </c>
      <c r="U345" s="291">
        <f>IFERROR(INDEX('Historical Data'!$AE$2:$AE$1068,MATCH($A345,'Historical Data'!$BE$2:$BE$1068,0)),"")</f>
        <v/>
      </c>
      <c r="V345" s="291">
        <f>IFERROR(INDEX('Historical Data'!$AH$2:$AH$1068,MATCH($A345,'Historical Data'!$BE$2:$BE$1068,0)),"")</f>
        <v/>
      </c>
      <c r="W345" s="291">
        <f>IFERROR(INDEX('Historical Data'!$BC$2:$BC$1068,MATCH($A345,'Historical Data'!$BE$2:$BE$1068,0)),"")</f>
        <v/>
      </c>
      <c r="X345" s="290">
        <f>IF(B345="","",IF(W345=1,"NR + industry + position",IF(W345=2,"NR + ISO + position",IF(W345=3,"NR + industry",IF(W345=4,"NR + ISO",IF(W345=5,"NR + position",IF(W345=6,"NR only","book baseline"))))))&amp;"  ["&amp;IF(T345=1,"seasoned","unseasoned")&amp;IF(U345=1,", defaulted","")&amp;IF(V345=1,", open","")&amp;"]")</f>
        <v/>
      </c>
    </row>
    <row r="346">
      <c r="A346" s="290" t="n">
        <v>342</v>
      </c>
      <c r="B346" s="291">
        <f>IFERROR(INDEX('Historical Data'!$A$2:$A$1068,MATCH($A346,'Historical Data'!$BE$2:$BE$1068,0)),"")</f>
        <v/>
      </c>
      <c r="C346" s="291">
        <f>IFERROR(INDEX('Historical Data'!$B$2:$B$1068,MATCH($A346,'Historical Data'!$BE$2:$BE$1068,0)),"")</f>
        <v/>
      </c>
      <c r="D346" s="291">
        <f>IFERROR(INDEX('Historical Data'!$D$2:$D$1068,MATCH($A346,'Historical Data'!$BE$2:$BE$1068,0)),"")</f>
        <v/>
      </c>
      <c r="E346" s="292">
        <f>IFERROR(INDEX('Historical Data'!$E$2:$E$1068,MATCH($A346,'Historical Data'!$BE$2:$BE$1068,0)),"")</f>
        <v/>
      </c>
      <c r="F346" s="291">
        <f>IFERROR(INDEX('Historical Data'!$G$2:$G$1068,MATCH($A346,'Historical Data'!$BE$2:$BE$1068,0)),"")</f>
        <v/>
      </c>
      <c r="G346" s="291">
        <f>IFERROR(INDEX('Historical Data'!$Y$2:$Y$1068,MATCH($A346,'Historical Data'!$BE$2:$BE$1068,0)),"")</f>
        <v/>
      </c>
      <c r="H346" s="291">
        <f>IFERROR(INDEX('Historical Data'!$K$2:$K$1068,MATCH($A346,'Historical Data'!$BE$2:$BE$1068,0)),"")</f>
        <v/>
      </c>
      <c r="I346" s="291">
        <f>IFERROR(INDEX('Historical Data'!$J$2:$J$1068,MATCH($A346,'Historical Data'!$BE$2:$BE$1068,0)),"")</f>
        <v/>
      </c>
      <c r="J346" s="291">
        <f>IFERROR(INDEX('Historical Data'!$L$2:$L$1068,MATCH($A346,'Historical Data'!$BE$2:$BE$1068,0)),"")</f>
        <v/>
      </c>
      <c r="K346" s="293">
        <f>IFERROR(INDEX('Historical Data'!$M$2:$M$1068,MATCH($A346,'Historical Data'!$BE$2:$BE$1068,0)),"")</f>
        <v/>
      </c>
      <c r="L346" s="294">
        <f>IFERROR(INDEX('Historical Data'!$N$2:$N$1068,MATCH($A346,'Historical Data'!$BE$2:$BE$1068,0)),"")</f>
        <v/>
      </c>
      <c r="M346" s="294">
        <f>IFERROR(INDEX('Historical Data'!$Q$2:$Q$1068,MATCH($A346,'Historical Data'!$BE$2:$BE$1068,0)),"")</f>
        <v/>
      </c>
      <c r="N346" s="295">
        <f>IFERROR(INDEX('Historical Data'!$S$2:$S$1068,MATCH($A346,'Historical Data'!$BE$2:$BE$1068,0)),"")</f>
        <v/>
      </c>
      <c r="O346" s="294">
        <f>IFERROR(INDEX('Historical Data'!$AJ$2:$AJ$1068,MATCH($A346,'Historical Data'!$BE$2:$BE$1068,0)),"")</f>
        <v/>
      </c>
      <c r="P346" s="294">
        <f>IFERROR(INDEX('Historical Data'!$AK$2:$AK$1068,MATCH($A346,'Historical Data'!$BE$2:$BE$1068,0)),"")</f>
        <v/>
      </c>
      <c r="Q346" s="291">
        <f>IFERROR(INDEX('Historical Data'!$AA$2:$AA$1068,MATCH($A346,'Historical Data'!$BE$2:$BE$1068,0)),"")</f>
        <v/>
      </c>
      <c r="R346" s="291">
        <f>IFERROR(INDEX('Historical Data'!$AB$2:$AB$1068,MATCH($A346,'Historical Data'!$BE$2:$BE$1068,0)),"")</f>
        <v/>
      </c>
      <c r="S346" s="291">
        <f>IFERROR(INDEX('Historical Data'!$AN$2:$AN$1068,MATCH($A346,'Historical Data'!$BE$2:$BE$1068,0)),"")</f>
        <v/>
      </c>
      <c r="T346" s="291">
        <f>IFERROR(INDEX('Historical Data'!$AC$2:$AC$1068,MATCH($A346,'Historical Data'!$BE$2:$BE$1068,0)),"")</f>
        <v/>
      </c>
      <c r="U346" s="291">
        <f>IFERROR(INDEX('Historical Data'!$AE$2:$AE$1068,MATCH($A346,'Historical Data'!$BE$2:$BE$1068,0)),"")</f>
        <v/>
      </c>
      <c r="V346" s="291">
        <f>IFERROR(INDEX('Historical Data'!$AH$2:$AH$1068,MATCH($A346,'Historical Data'!$BE$2:$BE$1068,0)),"")</f>
        <v/>
      </c>
      <c r="W346" s="291">
        <f>IFERROR(INDEX('Historical Data'!$BC$2:$BC$1068,MATCH($A346,'Historical Data'!$BE$2:$BE$1068,0)),"")</f>
        <v/>
      </c>
      <c r="X346" s="290">
        <f>IF(B346="","",IF(W346=1,"NR + industry + position",IF(W346=2,"NR + ISO + position",IF(W346=3,"NR + industry",IF(W346=4,"NR + ISO",IF(W346=5,"NR + position",IF(W346=6,"NR only","book baseline"))))))&amp;"  ["&amp;IF(T346=1,"seasoned","unseasoned")&amp;IF(U346=1,", defaulted","")&amp;IF(V346=1,", open","")&amp;"]")</f>
        <v/>
      </c>
    </row>
    <row r="347">
      <c r="A347" s="290" t="n">
        <v>343</v>
      </c>
      <c r="B347" s="291">
        <f>IFERROR(INDEX('Historical Data'!$A$2:$A$1068,MATCH($A347,'Historical Data'!$BE$2:$BE$1068,0)),"")</f>
        <v/>
      </c>
      <c r="C347" s="291">
        <f>IFERROR(INDEX('Historical Data'!$B$2:$B$1068,MATCH($A347,'Historical Data'!$BE$2:$BE$1068,0)),"")</f>
        <v/>
      </c>
      <c r="D347" s="291">
        <f>IFERROR(INDEX('Historical Data'!$D$2:$D$1068,MATCH($A347,'Historical Data'!$BE$2:$BE$1068,0)),"")</f>
        <v/>
      </c>
      <c r="E347" s="292">
        <f>IFERROR(INDEX('Historical Data'!$E$2:$E$1068,MATCH($A347,'Historical Data'!$BE$2:$BE$1068,0)),"")</f>
        <v/>
      </c>
      <c r="F347" s="291">
        <f>IFERROR(INDEX('Historical Data'!$G$2:$G$1068,MATCH($A347,'Historical Data'!$BE$2:$BE$1068,0)),"")</f>
        <v/>
      </c>
      <c r="G347" s="291">
        <f>IFERROR(INDEX('Historical Data'!$Y$2:$Y$1068,MATCH($A347,'Historical Data'!$BE$2:$BE$1068,0)),"")</f>
        <v/>
      </c>
      <c r="H347" s="291">
        <f>IFERROR(INDEX('Historical Data'!$K$2:$K$1068,MATCH($A347,'Historical Data'!$BE$2:$BE$1068,0)),"")</f>
        <v/>
      </c>
      <c r="I347" s="291">
        <f>IFERROR(INDEX('Historical Data'!$J$2:$J$1068,MATCH($A347,'Historical Data'!$BE$2:$BE$1068,0)),"")</f>
        <v/>
      </c>
      <c r="J347" s="291">
        <f>IFERROR(INDEX('Historical Data'!$L$2:$L$1068,MATCH($A347,'Historical Data'!$BE$2:$BE$1068,0)),"")</f>
        <v/>
      </c>
      <c r="K347" s="293">
        <f>IFERROR(INDEX('Historical Data'!$M$2:$M$1068,MATCH($A347,'Historical Data'!$BE$2:$BE$1068,0)),"")</f>
        <v/>
      </c>
      <c r="L347" s="294">
        <f>IFERROR(INDEX('Historical Data'!$N$2:$N$1068,MATCH($A347,'Historical Data'!$BE$2:$BE$1068,0)),"")</f>
        <v/>
      </c>
      <c r="M347" s="294">
        <f>IFERROR(INDEX('Historical Data'!$Q$2:$Q$1068,MATCH($A347,'Historical Data'!$BE$2:$BE$1068,0)),"")</f>
        <v/>
      </c>
      <c r="N347" s="295">
        <f>IFERROR(INDEX('Historical Data'!$S$2:$S$1068,MATCH($A347,'Historical Data'!$BE$2:$BE$1068,0)),"")</f>
        <v/>
      </c>
      <c r="O347" s="294">
        <f>IFERROR(INDEX('Historical Data'!$AJ$2:$AJ$1068,MATCH($A347,'Historical Data'!$BE$2:$BE$1068,0)),"")</f>
        <v/>
      </c>
      <c r="P347" s="294">
        <f>IFERROR(INDEX('Historical Data'!$AK$2:$AK$1068,MATCH($A347,'Historical Data'!$BE$2:$BE$1068,0)),"")</f>
        <v/>
      </c>
      <c r="Q347" s="291">
        <f>IFERROR(INDEX('Historical Data'!$AA$2:$AA$1068,MATCH($A347,'Historical Data'!$BE$2:$BE$1068,0)),"")</f>
        <v/>
      </c>
      <c r="R347" s="291">
        <f>IFERROR(INDEX('Historical Data'!$AB$2:$AB$1068,MATCH($A347,'Historical Data'!$BE$2:$BE$1068,0)),"")</f>
        <v/>
      </c>
      <c r="S347" s="291">
        <f>IFERROR(INDEX('Historical Data'!$AN$2:$AN$1068,MATCH($A347,'Historical Data'!$BE$2:$BE$1068,0)),"")</f>
        <v/>
      </c>
      <c r="T347" s="291">
        <f>IFERROR(INDEX('Historical Data'!$AC$2:$AC$1068,MATCH($A347,'Historical Data'!$BE$2:$BE$1068,0)),"")</f>
        <v/>
      </c>
      <c r="U347" s="291">
        <f>IFERROR(INDEX('Historical Data'!$AE$2:$AE$1068,MATCH($A347,'Historical Data'!$BE$2:$BE$1068,0)),"")</f>
        <v/>
      </c>
      <c r="V347" s="291">
        <f>IFERROR(INDEX('Historical Data'!$AH$2:$AH$1068,MATCH($A347,'Historical Data'!$BE$2:$BE$1068,0)),"")</f>
        <v/>
      </c>
      <c r="W347" s="291">
        <f>IFERROR(INDEX('Historical Data'!$BC$2:$BC$1068,MATCH($A347,'Historical Data'!$BE$2:$BE$1068,0)),"")</f>
        <v/>
      </c>
      <c r="X347" s="290">
        <f>IF(B347="","",IF(W347=1,"NR + industry + position",IF(W347=2,"NR + ISO + position",IF(W347=3,"NR + industry",IF(W347=4,"NR + ISO",IF(W347=5,"NR + position",IF(W347=6,"NR only","book baseline"))))))&amp;"  ["&amp;IF(T347=1,"seasoned","unseasoned")&amp;IF(U347=1,", defaulted","")&amp;IF(V347=1,", open","")&amp;"]")</f>
        <v/>
      </c>
    </row>
    <row r="348">
      <c r="A348" s="290" t="n">
        <v>344</v>
      </c>
      <c r="B348" s="291">
        <f>IFERROR(INDEX('Historical Data'!$A$2:$A$1068,MATCH($A348,'Historical Data'!$BE$2:$BE$1068,0)),"")</f>
        <v/>
      </c>
      <c r="C348" s="291">
        <f>IFERROR(INDEX('Historical Data'!$B$2:$B$1068,MATCH($A348,'Historical Data'!$BE$2:$BE$1068,0)),"")</f>
        <v/>
      </c>
      <c r="D348" s="291">
        <f>IFERROR(INDEX('Historical Data'!$D$2:$D$1068,MATCH($A348,'Historical Data'!$BE$2:$BE$1068,0)),"")</f>
        <v/>
      </c>
      <c r="E348" s="292">
        <f>IFERROR(INDEX('Historical Data'!$E$2:$E$1068,MATCH($A348,'Historical Data'!$BE$2:$BE$1068,0)),"")</f>
        <v/>
      </c>
      <c r="F348" s="291">
        <f>IFERROR(INDEX('Historical Data'!$G$2:$G$1068,MATCH($A348,'Historical Data'!$BE$2:$BE$1068,0)),"")</f>
        <v/>
      </c>
      <c r="G348" s="291">
        <f>IFERROR(INDEX('Historical Data'!$Y$2:$Y$1068,MATCH($A348,'Historical Data'!$BE$2:$BE$1068,0)),"")</f>
        <v/>
      </c>
      <c r="H348" s="291">
        <f>IFERROR(INDEX('Historical Data'!$K$2:$K$1068,MATCH($A348,'Historical Data'!$BE$2:$BE$1068,0)),"")</f>
        <v/>
      </c>
      <c r="I348" s="291">
        <f>IFERROR(INDEX('Historical Data'!$J$2:$J$1068,MATCH($A348,'Historical Data'!$BE$2:$BE$1068,0)),"")</f>
        <v/>
      </c>
      <c r="J348" s="291">
        <f>IFERROR(INDEX('Historical Data'!$L$2:$L$1068,MATCH($A348,'Historical Data'!$BE$2:$BE$1068,0)),"")</f>
        <v/>
      </c>
      <c r="K348" s="293">
        <f>IFERROR(INDEX('Historical Data'!$M$2:$M$1068,MATCH($A348,'Historical Data'!$BE$2:$BE$1068,0)),"")</f>
        <v/>
      </c>
      <c r="L348" s="294">
        <f>IFERROR(INDEX('Historical Data'!$N$2:$N$1068,MATCH($A348,'Historical Data'!$BE$2:$BE$1068,0)),"")</f>
        <v/>
      </c>
      <c r="M348" s="294">
        <f>IFERROR(INDEX('Historical Data'!$Q$2:$Q$1068,MATCH($A348,'Historical Data'!$BE$2:$BE$1068,0)),"")</f>
        <v/>
      </c>
      <c r="N348" s="295">
        <f>IFERROR(INDEX('Historical Data'!$S$2:$S$1068,MATCH($A348,'Historical Data'!$BE$2:$BE$1068,0)),"")</f>
        <v/>
      </c>
      <c r="O348" s="294">
        <f>IFERROR(INDEX('Historical Data'!$AJ$2:$AJ$1068,MATCH($A348,'Historical Data'!$BE$2:$BE$1068,0)),"")</f>
        <v/>
      </c>
      <c r="P348" s="294">
        <f>IFERROR(INDEX('Historical Data'!$AK$2:$AK$1068,MATCH($A348,'Historical Data'!$BE$2:$BE$1068,0)),"")</f>
        <v/>
      </c>
      <c r="Q348" s="291">
        <f>IFERROR(INDEX('Historical Data'!$AA$2:$AA$1068,MATCH($A348,'Historical Data'!$BE$2:$BE$1068,0)),"")</f>
        <v/>
      </c>
      <c r="R348" s="291">
        <f>IFERROR(INDEX('Historical Data'!$AB$2:$AB$1068,MATCH($A348,'Historical Data'!$BE$2:$BE$1068,0)),"")</f>
        <v/>
      </c>
      <c r="S348" s="291">
        <f>IFERROR(INDEX('Historical Data'!$AN$2:$AN$1068,MATCH($A348,'Historical Data'!$BE$2:$BE$1068,0)),"")</f>
        <v/>
      </c>
      <c r="T348" s="291">
        <f>IFERROR(INDEX('Historical Data'!$AC$2:$AC$1068,MATCH($A348,'Historical Data'!$BE$2:$BE$1068,0)),"")</f>
        <v/>
      </c>
      <c r="U348" s="291">
        <f>IFERROR(INDEX('Historical Data'!$AE$2:$AE$1068,MATCH($A348,'Historical Data'!$BE$2:$BE$1068,0)),"")</f>
        <v/>
      </c>
      <c r="V348" s="291">
        <f>IFERROR(INDEX('Historical Data'!$AH$2:$AH$1068,MATCH($A348,'Historical Data'!$BE$2:$BE$1068,0)),"")</f>
        <v/>
      </c>
      <c r="W348" s="291">
        <f>IFERROR(INDEX('Historical Data'!$BC$2:$BC$1068,MATCH($A348,'Historical Data'!$BE$2:$BE$1068,0)),"")</f>
        <v/>
      </c>
      <c r="X348" s="290">
        <f>IF(B348="","",IF(W348=1,"NR + industry + position",IF(W348=2,"NR + ISO + position",IF(W348=3,"NR + industry",IF(W348=4,"NR + ISO",IF(W348=5,"NR + position",IF(W348=6,"NR only","book baseline"))))))&amp;"  ["&amp;IF(T348=1,"seasoned","unseasoned")&amp;IF(U348=1,", defaulted","")&amp;IF(V348=1,", open","")&amp;"]")</f>
        <v/>
      </c>
    </row>
    <row r="349">
      <c r="A349" s="290" t="n">
        <v>345</v>
      </c>
      <c r="B349" s="291">
        <f>IFERROR(INDEX('Historical Data'!$A$2:$A$1068,MATCH($A349,'Historical Data'!$BE$2:$BE$1068,0)),"")</f>
        <v/>
      </c>
      <c r="C349" s="291">
        <f>IFERROR(INDEX('Historical Data'!$B$2:$B$1068,MATCH($A349,'Historical Data'!$BE$2:$BE$1068,0)),"")</f>
        <v/>
      </c>
      <c r="D349" s="291">
        <f>IFERROR(INDEX('Historical Data'!$D$2:$D$1068,MATCH($A349,'Historical Data'!$BE$2:$BE$1068,0)),"")</f>
        <v/>
      </c>
      <c r="E349" s="292">
        <f>IFERROR(INDEX('Historical Data'!$E$2:$E$1068,MATCH($A349,'Historical Data'!$BE$2:$BE$1068,0)),"")</f>
        <v/>
      </c>
      <c r="F349" s="291">
        <f>IFERROR(INDEX('Historical Data'!$G$2:$G$1068,MATCH($A349,'Historical Data'!$BE$2:$BE$1068,0)),"")</f>
        <v/>
      </c>
      <c r="G349" s="291">
        <f>IFERROR(INDEX('Historical Data'!$Y$2:$Y$1068,MATCH($A349,'Historical Data'!$BE$2:$BE$1068,0)),"")</f>
        <v/>
      </c>
      <c r="H349" s="291">
        <f>IFERROR(INDEX('Historical Data'!$K$2:$K$1068,MATCH($A349,'Historical Data'!$BE$2:$BE$1068,0)),"")</f>
        <v/>
      </c>
      <c r="I349" s="291">
        <f>IFERROR(INDEX('Historical Data'!$J$2:$J$1068,MATCH($A349,'Historical Data'!$BE$2:$BE$1068,0)),"")</f>
        <v/>
      </c>
      <c r="J349" s="291">
        <f>IFERROR(INDEX('Historical Data'!$L$2:$L$1068,MATCH($A349,'Historical Data'!$BE$2:$BE$1068,0)),"")</f>
        <v/>
      </c>
      <c r="K349" s="293">
        <f>IFERROR(INDEX('Historical Data'!$M$2:$M$1068,MATCH($A349,'Historical Data'!$BE$2:$BE$1068,0)),"")</f>
        <v/>
      </c>
      <c r="L349" s="294">
        <f>IFERROR(INDEX('Historical Data'!$N$2:$N$1068,MATCH($A349,'Historical Data'!$BE$2:$BE$1068,0)),"")</f>
        <v/>
      </c>
      <c r="M349" s="294">
        <f>IFERROR(INDEX('Historical Data'!$Q$2:$Q$1068,MATCH($A349,'Historical Data'!$BE$2:$BE$1068,0)),"")</f>
        <v/>
      </c>
      <c r="N349" s="295">
        <f>IFERROR(INDEX('Historical Data'!$S$2:$S$1068,MATCH($A349,'Historical Data'!$BE$2:$BE$1068,0)),"")</f>
        <v/>
      </c>
      <c r="O349" s="294">
        <f>IFERROR(INDEX('Historical Data'!$AJ$2:$AJ$1068,MATCH($A349,'Historical Data'!$BE$2:$BE$1068,0)),"")</f>
        <v/>
      </c>
      <c r="P349" s="294">
        <f>IFERROR(INDEX('Historical Data'!$AK$2:$AK$1068,MATCH($A349,'Historical Data'!$BE$2:$BE$1068,0)),"")</f>
        <v/>
      </c>
      <c r="Q349" s="291">
        <f>IFERROR(INDEX('Historical Data'!$AA$2:$AA$1068,MATCH($A349,'Historical Data'!$BE$2:$BE$1068,0)),"")</f>
        <v/>
      </c>
      <c r="R349" s="291">
        <f>IFERROR(INDEX('Historical Data'!$AB$2:$AB$1068,MATCH($A349,'Historical Data'!$BE$2:$BE$1068,0)),"")</f>
        <v/>
      </c>
      <c r="S349" s="291">
        <f>IFERROR(INDEX('Historical Data'!$AN$2:$AN$1068,MATCH($A349,'Historical Data'!$BE$2:$BE$1068,0)),"")</f>
        <v/>
      </c>
      <c r="T349" s="291">
        <f>IFERROR(INDEX('Historical Data'!$AC$2:$AC$1068,MATCH($A349,'Historical Data'!$BE$2:$BE$1068,0)),"")</f>
        <v/>
      </c>
      <c r="U349" s="291">
        <f>IFERROR(INDEX('Historical Data'!$AE$2:$AE$1068,MATCH($A349,'Historical Data'!$BE$2:$BE$1068,0)),"")</f>
        <v/>
      </c>
      <c r="V349" s="291">
        <f>IFERROR(INDEX('Historical Data'!$AH$2:$AH$1068,MATCH($A349,'Historical Data'!$BE$2:$BE$1068,0)),"")</f>
        <v/>
      </c>
      <c r="W349" s="291">
        <f>IFERROR(INDEX('Historical Data'!$BC$2:$BC$1068,MATCH($A349,'Historical Data'!$BE$2:$BE$1068,0)),"")</f>
        <v/>
      </c>
      <c r="X349" s="290">
        <f>IF(B349="","",IF(W349=1,"NR + industry + position",IF(W349=2,"NR + ISO + position",IF(W349=3,"NR + industry",IF(W349=4,"NR + ISO",IF(W349=5,"NR + position",IF(W349=6,"NR only","book baseline"))))))&amp;"  ["&amp;IF(T349=1,"seasoned","unseasoned")&amp;IF(U349=1,", defaulted","")&amp;IF(V349=1,", open","")&amp;"]")</f>
        <v/>
      </c>
    </row>
    <row r="350">
      <c r="A350" s="290" t="n">
        <v>346</v>
      </c>
      <c r="B350" s="291">
        <f>IFERROR(INDEX('Historical Data'!$A$2:$A$1068,MATCH($A350,'Historical Data'!$BE$2:$BE$1068,0)),"")</f>
        <v/>
      </c>
      <c r="C350" s="291">
        <f>IFERROR(INDEX('Historical Data'!$B$2:$B$1068,MATCH($A350,'Historical Data'!$BE$2:$BE$1068,0)),"")</f>
        <v/>
      </c>
      <c r="D350" s="291">
        <f>IFERROR(INDEX('Historical Data'!$D$2:$D$1068,MATCH($A350,'Historical Data'!$BE$2:$BE$1068,0)),"")</f>
        <v/>
      </c>
      <c r="E350" s="292">
        <f>IFERROR(INDEX('Historical Data'!$E$2:$E$1068,MATCH($A350,'Historical Data'!$BE$2:$BE$1068,0)),"")</f>
        <v/>
      </c>
      <c r="F350" s="291">
        <f>IFERROR(INDEX('Historical Data'!$G$2:$G$1068,MATCH($A350,'Historical Data'!$BE$2:$BE$1068,0)),"")</f>
        <v/>
      </c>
      <c r="G350" s="291">
        <f>IFERROR(INDEX('Historical Data'!$Y$2:$Y$1068,MATCH($A350,'Historical Data'!$BE$2:$BE$1068,0)),"")</f>
        <v/>
      </c>
      <c r="H350" s="291">
        <f>IFERROR(INDEX('Historical Data'!$K$2:$K$1068,MATCH($A350,'Historical Data'!$BE$2:$BE$1068,0)),"")</f>
        <v/>
      </c>
      <c r="I350" s="291">
        <f>IFERROR(INDEX('Historical Data'!$J$2:$J$1068,MATCH($A350,'Historical Data'!$BE$2:$BE$1068,0)),"")</f>
        <v/>
      </c>
      <c r="J350" s="291">
        <f>IFERROR(INDEX('Historical Data'!$L$2:$L$1068,MATCH($A350,'Historical Data'!$BE$2:$BE$1068,0)),"")</f>
        <v/>
      </c>
      <c r="K350" s="293">
        <f>IFERROR(INDEX('Historical Data'!$M$2:$M$1068,MATCH($A350,'Historical Data'!$BE$2:$BE$1068,0)),"")</f>
        <v/>
      </c>
      <c r="L350" s="294">
        <f>IFERROR(INDEX('Historical Data'!$N$2:$N$1068,MATCH($A350,'Historical Data'!$BE$2:$BE$1068,0)),"")</f>
        <v/>
      </c>
      <c r="M350" s="294">
        <f>IFERROR(INDEX('Historical Data'!$Q$2:$Q$1068,MATCH($A350,'Historical Data'!$BE$2:$BE$1068,0)),"")</f>
        <v/>
      </c>
      <c r="N350" s="295">
        <f>IFERROR(INDEX('Historical Data'!$S$2:$S$1068,MATCH($A350,'Historical Data'!$BE$2:$BE$1068,0)),"")</f>
        <v/>
      </c>
      <c r="O350" s="294">
        <f>IFERROR(INDEX('Historical Data'!$AJ$2:$AJ$1068,MATCH($A350,'Historical Data'!$BE$2:$BE$1068,0)),"")</f>
        <v/>
      </c>
      <c r="P350" s="294">
        <f>IFERROR(INDEX('Historical Data'!$AK$2:$AK$1068,MATCH($A350,'Historical Data'!$BE$2:$BE$1068,0)),"")</f>
        <v/>
      </c>
      <c r="Q350" s="291">
        <f>IFERROR(INDEX('Historical Data'!$AA$2:$AA$1068,MATCH($A350,'Historical Data'!$BE$2:$BE$1068,0)),"")</f>
        <v/>
      </c>
      <c r="R350" s="291">
        <f>IFERROR(INDEX('Historical Data'!$AB$2:$AB$1068,MATCH($A350,'Historical Data'!$BE$2:$BE$1068,0)),"")</f>
        <v/>
      </c>
      <c r="S350" s="291">
        <f>IFERROR(INDEX('Historical Data'!$AN$2:$AN$1068,MATCH($A350,'Historical Data'!$BE$2:$BE$1068,0)),"")</f>
        <v/>
      </c>
      <c r="T350" s="291">
        <f>IFERROR(INDEX('Historical Data'!$AC$2:$AC$1068,MATCH($A350,'Historical Data'!$BE$2:$BE$1068,0)),"")</f>
        <v/>
      </c>
      <c r="U350" s="291">
        <f>IFERROR(INDEX('Historical Data'!$AE$2:$AE$1068,MATCH($A350,'Historical Data'!$BE$2:$BE$1068,0)),"")</f>
        <v/>
      </c>
      <c r="V350" s="291">
        <f>IFERROR(INDEX('Historical Data'!$AH$2:$AH$1068,MATCH($A350,'Historical Data'!$BE$2:$BE$1068,0)),"")</f>
        <v/>
      </c>
      <c r="W350" s="291">
        <f>IFERROR(INDEX('Historical Data'!$BC$2:$BC$1068,MATCH($A350,'Historical Data'!$BE$2:$BE$1068,0)),"")</f>
        <v/>
      </c>
      <c r="X350" s="290">
        <f>IF(B350="","",IF(W350=1,"NR + industry + position",IF(W350=2,"NR + ISO + position",IF(W350=3,"NR + industry",IF(W350=4,"NR + ISO",IF(W350=5,"NR + position",IF(W350=6,"NR only","book baseline"))))))&amp;"  ["&amp;IF(T350=1,"seasoned","unseasoned")&amp;IF(U350=1,", defaulted","")&amp;IF(V350=1,", open","")&amp;"]")</f>
        <v/>
      </c>
    </row>
    <row r="351">
      <c r="A351" s="290" t="n">
        <v>347</v>
      </c>
      <c r="B351" s="291">
        <f>IFERROR(INDEX('Historical Data'!$A$2:$A$1068,MATCH($A351,'Historical Data'!$BE$2:$BE$1068,0)),"")</f>
        <v/>
      </c>
      <c r="C351" s="291">
        <f>IFERROR(INDEX('Historical Data'!$B$2:$B$1068,MATCH($A351,'Historical Data'!$BE$2:$BE$1068,0)),"")</f>
        <v/>
      </c>
      <c r="D351" s="291">
        <f>IFERROR(INDEX('Historical Data'!$D$2:$D$1068,MATCH($A351,'Historical Data'!$BE$2:$BE$1068,0)),"")</f>
        <v/>
      </c>
      <c r="E351" s="292">
        <f>IFERROR(INDEX('Historical Data'!$E$2:$E$1068,MATCH($A351,'Historical Data'!$BE$2:$BE$1068,0)),"")</f>
        <v/>
      </c>
      <c r="F351" s="291">
        <f>IFERROR(INDEX('Historical Data'!$G$2:$G$1068,MATCH($A351,'Historical Data'!$BE$2:$BE$1068,0)),"")</f>
        <v/>
      </c>
      <c r="G351" s="291">
        <f>IFERROR(INDEX('Historical Data'!$Y$2:$Y$1068,MATCH($A351,'Historical Data'!$BE$2:$BE$1068,0)),"")</f>
        <v/>
      </c>
      <c r="H351" s="291">
        <f>IFERROR(INDEX('Historical Data'!$K$2:$K$1068,MATCH($A351,'Historical Data'!$BE$2:$BE$1068,0)),"")</f>
        <v/>
      </c>
      <c r="I351" s="291">
        <f>IFERROR(INDEX('Historical Data'!$J$2:$J$1068,MATCH($A351,'Historical Data'!$BE$2:$BE$1068,0)),"")</f>
        <v/>
      </c>
      <c r="J351" s="291">
        <f>IFERROR(INDEX('Historical Data'!$L$2:$L$1068,MATCH($A351,'Historical Data'!$BE$2:$BE$1068,0)),"")</f>
        <v/>
      </c>
      <c r="K351" s="293">
        <f>IFERROR(INDEX('Historical Data'!$M$2:$M$1068,MATCH($A351,'Historical Data'!$BE$2:$BE$1068,0)),"")</f>
        <v/>
      </c>
      <c r="L351" s="294">
        <f>IFERROR(INDEX('Historical Data'!$N$2:$N$1068,MATCH($A351,'Historical Data'!$BE$2:$BE$1068,0)),"")</f>
        <v/>
      </c>
      <c r="M351" s="294">
        <f>IFERROR(INDEX('Historical Data'!$Q$2:$Q$1068,MATCH($A351,'Historical Data'!$BE$2:$BE$1068,0)),"")</f>
        <v/>
      </c>
      <c r="N351" s="295">
        <f>IFERROR(INDEX('Historical Data'!$S$2:$S$1068,MATCH($A351,'Historical Data'!$BE$2:$BE$1068,0)),"")</f>
        <v/>
      </c>
      <c r="O351" s="294">
        <f>IFERROR(INDEX('Historical Data'!$AJ$2:$AJ$1068,MATCH($A351,'Historical Data'!$BE$2:$BE$1068,0)),"")</f>
        <v/>
      </c>
      <c r="P351" s="294">
        <f>IFERROR(INDEX('Historical Data'!$AK$2:$AK$1068,MATCH($A351,'Historical Data'!$BE$2:$BE$1068,0)),"")</f>
        <v/>
      </c>
      <c r="Q351" s="291">
        <f>IFERROR(INDEX('Historical Data'!$AA$2:$AA$1068,MATCH($A351,'Historical Data'!$BE$2:$BE$1068,0)),"")</f>
        <v/>
      </c>
      <c r="R351" s="291">
        <f>IFERROR(INDEX('Historical Data'!$AB$2:$AB$1068,MATCH($A351,'Historical Data'!$BE$2:$BE$1068,0)),"")</f>
        <v/>
      </c>
      <c r="S351" s="291">
        <f>IFERROR(INDEX('Historical Data'!$AN$2:$AN$1068,MATCH($A351,'Historical Data'!$BE$2:$BE$1068,0)),"")</f>
        <v/>
      </c>
      <c r="T351" s="291">
        <f>IFERROR(INDEX('Historical Data'!$AC$2:$AC$1068,MATCH($A351,'Historical Data'!$BE$2:$BE$1068,0)),"")</f>
        <v/>
      </c>
      <c r="U351" s="291">
        <f>IFERROR(INDEX('Historical Data'!$AE$2:$AE$1068,MATCH($A351,'Historical Data'!$BE$2:$BE$1068,0)),"")</f>
        <v/>
      </c>
      <c r="V351" s="291">
        <f>IFERROR(INDEX('Historical Data'!$AH$2:$AH$1068,MATCH($A351,'Historical Data'!$BE$2:$BE$1068,0)),"")</f>
        <v/>
      </c>
      <c r="W351" s="291">
        <f>IFERROR(INDEX('Historical Data'!$BC$2:$BC$1068,MATCH($A351,'Historical Data'!$BE$2:$BE$1068,0)),"")</f>
        <v/>
      </c>
      <c r="X351" s="290">
        <f>IF(B351="","",IF(W351=1,"NR + industry + position",IF(W351=2,"NR + ISO + position",IF(W351=3,"NR + industry",IF(W351=4,"NR + ISO",IF(W351=5,"NR + position",IF(W351=6,"NR only","book baseline"))))))&amp;"  ["&amp;IF(T351=1,"seasoned","unseasoned")&amp;IF(U351=1,", defaulted","")&amp;IF(V351=1,", open","")&amp;"]")</f>
        <v/>
      </c>
    </row>
    <row r="352">
      <c r="A352" s="290" t="n">
        <v>348</v>
      </c>
      <c r="B352" s="291">
        <f>IFERROR(INDEX('Historical Data'!$A$2:$A$1068,MATCH($A352,'Historical Data'!$BE$2:$BE$1068,0)),"")</f>
        <v/>
      </c>
      <c r="C352" s="291">
        <f>IFERROR(INDEX('Historical Data'!$B$2:$B$1068,MATCH($A352,'Historical Data'!$BE$2:$BE$1068,0)),"")</f>
        <v/>
      </c>
      <c r="D352" s="291">
        <f>IFERROR(INDEX('Historical Data'!$D$2:$D$1068,MATCH($A352,'Historical Data'!$BE$2:$BE$1068,0)),"")</f>
        <v/>
      </c>
      <c r="E352" s="292">
        <f>IFERROR(INDEX('Historical Data'!$E$2:$E$1068,MATCH($A352,'Historical Data'!$BE$2:$BE$1068,0)),"")</f>
        <v/>
      </c>
      <c r="F352" s="291">
        <f>IFERROR(INDEX('Historical Data'!$G$2:$G$1068,MATCH($A352,'Historical Data'!$BE$2:$BE$1068,0)),"")</f>
        <v/>
      </c>
      <c r="G352" s="291">
        <f>IFERROR(INDEX('Historical Data'!$Y$2:$Y$1068,MATCH($A352,'Historical Data'!$BE$2:$BE$1068,0)),"")</f>
        <v/>
      </c>
      <c r="H352" s="291">
        <f>IFERROR(INDEX('Historical Data'!$K$2:$K$1068,MATCH($A352,'Historical Data'!$BE$2:$BE$1068,0)),"")</f>
        <v/>
      </c>
      <c r="I352" s="291">
        <f>IFERROR(INDEX('Historical Data'!$J$2:$J$1068,MATCH($A352,'Historical Data'!$BE$2:$BE$1068,0)),"")</f>
        <v/>
      </c>
      <c r="J352" s="291">
        <f>IFERROR(INDEX('Historical Data'!$L$2:$L$1068,MATCH($A352,'Historical Data'!$BE$2:$BE$1068,0)),"")</f>
        <v/>
      </c>
      <c r="K352" s="293">
        <f>IFERROR(INDEX('Historical Data'!$M$2:$M$1068,MATCH($A352,'Historical Data'!$BE$2:$BE$1068,0)),"")</f>
        <v/>
      </c>
      <c r="L352" s="294">
        <f>IFERROR(INDEX('Historical Data'!$N$2:$N$1068,MATCH($A352,'Historical Data'!$BE$2:$BE$1068,0)),"")</f>
        <v/>
      </c>
      <c r="M352" s="294">
        <f>IFERROR(INDEX('Historical Data'!$Q$2:$Q$1068,MATCH($A352,'Historical Data'!$BE$2:$BE$1068,0)),"")</f>
        <v/>
      </c>
      <c r="N352" s="295">
        <f>IFERROR(INDEX('Historical Data'!$S$2:$S$1068,MATCH($A352,'Historical Data'!$BE$2:$BE$1068,0)),"")</f>
        <v/>
      </c>
      <c r="O352" s="294">
        <f>IFERROR(INDEX('Historical Data'!$AJ$2:$AJ$1068,MATCH($A352,'Historical Data'!$BE$2:$BE$1068,0)),"")</f>
        <v/>
      </c>
      <c r="P352" s="294">
        <f>IFERROR(INDEX('Historical Data'!$AK$2:$AK$1068,MATCH($A352,'Historical Data'!$BE$2:$BE$1068,0)),"")</f>
        <v/>
      </c>
      <c r="Q352" s="291">
        <f>IFERROR(INDEX('Historical Data'!$AA$2:$AA$1068,MATCH($A352,'Historical Data'!$BE$2:$BE$1068,0)),"")</f>
        <v/>
      </c>
      <c r="R352" s="291">
        <f>IFERROR(INDEX('Historical Data'!$AB$2:$AB$1068,MATCH($A352,'Historical Data'!$BE$2:$BE$1068,0)),"")</f>
        <v/>
      </c>
      <c r="S352" s="291">
        <f>IFERROR(INDEX('Historical Data'!$AN$2:$AN$1068,MATCH($A352,'Historical Data'!$BE$2:$BE$1068,0)),"")</f>
        <v/>
      </c>
      <c r="T352" s="291">
        <f>IFERROR(INDEX('Historical Data'!$AC$2:$AC$1068,MATCH($A352,'Historical Data'!$BE$2:$BE$1068,0)),"")</f>
        <v/>
      </c>
      <c r="U352" s="291">
        <f>IFERROR(INDEX('Historical Data'!$AE$2:$AE$1068,MATCH($A352,'Historical Data'!$BE$2:$BE$1068,0)),"")</f>
        <v/>
      </c>
      <c r="V352" s="291">
        <f>IFERROR(INDEX('Historical Data'!$AH$2:$AH$1068,MATCH($A352,'Historical Data'!$BE$2:$BE$1068,0)),"")</f>
        <v/>
      </c>
      <c r="W352" s="291">
        <f>IFERROR(INDEX('Historical Data'!$BC$2:$BC$1068,MATCH($A352,'Historical Data'!$BE$2:$BE$1068,0)),"")</f>
        <v/>
      </c>
      <c r="X352" s="290">
        <f>IF(B352="","",IF(W352=1,"NR + industry + position",IF(W352=2,"NR + ISO + position",IF(W352=3,"NR + industry",IF(W352=4,"NR + ISO",IF(W352=5,"NR + position",IF(W352=6,"NR only","book baseline"))))))&amp;"  ["&amp;IF(T352=1,"seasoned","unseasoned")&amp;IF(U352=1,", defaulted","")&amp;IF(V352=1,", open","")&amp;"]")</f>
        <v/>
      </c>
    </row>
    <row r="353">
      <c r="A353" s="290" t="n">
        <v>349</v>
      </c>
      <c r="B353" s="291">
        <f>IFERROR(INDEX('Historical Data'!$A$2:$A$1068,MATCH($A353,'Historical Data'!$BE$2:$BE$1068,0)),"")</f>
        <v/>
      </c>
      <c r="C353" s="291">
        <f>IFERROR(INDEX('Historical Data'!$B$2:$B$1068,MATCH($A353,'Historical Data'!$BE$2:$BE$1068,0)),"")</f>
        <v/>
      </c>
      <c r="D353" s="291">
        <f>IFERROR(INDEX('Historical Data'!$D$2:$D$1068,MATCH($A353,'Historical Data'!$BE$2:$BE$1068,0)),"")</f>
        <v/>
      </c>
      <c r="E353" s="292">
        <f>IFERROR(INDEX('Historical Data'!$E$2:$E$1068,MATCH($A353,'Historical Data'!$BE$2:$BE$1068,0)),"")</f>
        <v/>
      </c>
      <c r="F353" s="291">
        <f>IFERROR(INDEX('Historical Data'!$G$2:$G$1068,MATCH($A353,'Historical Data'!$BE$2:$BE$1068,0)),"")</f>
        <v/>
      </c>
      <c r="G353" s="291">
        <f>IFERROR(INDEX('Historical Data'!$Y$2:$Y$1068,MATCH($A353,'Historical Data'!$BE$2:$BE$1068,0)),"")</f>
        <v/>
      </c>
      <c r="H353" s="291">
        <f>IFERROR(INDEX('Historical Data'!$K$2:$K$1068,MATCH($A353,'Historical Data'!$BE$2:$BE$1068,0)),"")</f>
        <v/>
      </c>
      <c r="I353" s="291">
        <f>IFERROR(INDEX('Historical Data'!$J$2:$J$1068,MATCH($A353,'Historical Data'!$BE$2:$BE$1068,0)),"")</f>
        <v/>
      </c>
      <c r="J353" s="291">
        <f>IFERROR(INDEX('Historical Data'!$L$2:$L$1068,MATCH($A353,'Historical Data'!$BE$2:$BE$1068,0)),"")</f>
        <v/>
      </c>
      <c r="K353" s="293">
        <f>IFERROR(INDEX('Historical Data'!$M$2:$M$1068,MATCH($A353,'Historical Data'!$BE$2:$BE$1068,0)),"")</f>
        <v/>
      </c>
      <c r="L353" s="294">
        <f>IFERROR(INDEX('Historical Data'!$N$2:$N$1068,MATCH($A353,'Historical Data'!$BE$2:$BE$1068,0)),"")</f>
        <v/>
      </c>
      <c r="M353" s="294">
        <f>IFERROR(INDEX('Historical Data'!$Q$2:$Q$1068,MATCH($A353,'Historical Data'!$BE$2:$BE$1068,0)),"")</f>
        <v/>
      </c>
      <c r="N353" s="295">
        <f>IFERROR(INDEX('Historical Data'!$S$2:$S$1068,MATCH($A353,'Historical Data'!$BE$2:$BE$1068,0)),"")</f>
        <v/>
      </c>
      <c r="O353" s="294">
        <f>IFERROR(INDEX('Historical Data'!$AJ$2:$AJ$1068,MATCH($A353,'Historical Data'!$BE$2:$BE$1068,0)),"")</f>
        <v/>
      </c>
      <c r="P353" s="294">
        <f>IFERROR(INDEX('Historical Data'!$AK$2:$AK$1068,MATCH($A353,'Historical Data'!$BE$2:$BE$1068,0)),"")</f>
        <v/>
      </c>
      <c r="Q353" s="291">
        <f>IFERROR(INDEX('Historical Data'!$AA$2:$AA$1068,MATCH($A353,'Historical Data'!$BE$2:$BE$1068,0)),"")</f>
        <v/>
      </c>
      <c r="R353" s="291">
        <f>IFERROR(INDEX('Historical Data'!$AB$2:$AB$1068,MATCH($A353,'Historical Data'!$BE$2:$BE$1068,0)),"")</f>
        <v/>
      </c>
      <c r="S353" s="291">
        <f>IFERROR(INDEX('Historical Data'!$AN$2:$AN$1068,MATCH($A353,'Historical Data'!$BE$2:$BE$1068,0)),"")</f>
        <v/>
      </c>
      <c r="T353" s="291">
        <f>IFERROR(INDEX('Historical Data'!$AC$2:$AC$1068,MATCH($A353,'Historical Data'!$BE$2:$BE$1068,0)),"")</f>
        <v/>
      </c>
      <c r="U353" s="291">
        <f>IFERROR(INDEX('Historical Data'!$AE$2:$AE$1068,MATCH($A353,'Historical Data'!$BE$2:$BE$1068,0)),"")</f>
        <v/>
      </c>
      <c r="V353" s="291">
        <f>IFERROR(INDEX('Historical Data'!$AH$2:$AH$1068,MATCH($A353,'Historical Data'!$BE$2:$BE$1068,0)),"")</f>
        <v/>
      </c>
      <c r="W353" s="291">
        <f>IFERROR(INDEX('Historical Data'!$BC$2:$BC$1068,MATCH($A353,'Historical Data'!$BE$2:$BE$1068,0)),"")</f>
        <v/>
      </c>
      <c r="X353" s="290">
        <f>IF(B353="","",IF(W353=1,"NR + industry + position",IF(W353=2,"NR + ISO + position",IF(W353=3,"NR + industry",IF(W353=4,"NR + ISO",IF(W353=5,"NR + position",IF(W353=6,"NR only","book baseline"))))))&amp;"  ["&amp;IF(T353=1,"seasoned","unseasoned")&amp;IF(U353=1,", defaulted","")&amp;IF(V353=1,", open","")&amp;"]")</f>
        <v/>
      </c>
    </row>
    <row r="354">
      <c r="A354" s="290" t="n">
        <v>350</v>
      </c>
      <c r="B354" s="291">
        <f>IFERROR(INDEX('Historical Data'!$A$2:$A$1068,MATCH($A354,'Historical Data'!$BE$2:$BE$1068,0)),"")</f>
        <v/>
      </c>
      <c r="C354" s="291">
        <f>IFERROR(INDEX('Historical Data'!$B$2:$B$1068,MATCH($A354,'Historical Data'!$BE$2:$BE$1068,0)),"")</f>
        <v/>
      </c>
      <c r="D354" s="291">
        <f>IFERROR(INDEX('Historical Data'!$D$2:$D$1068,MATCH($A354,'Historical Data'!$BE$2:$BE$1068,0)),"")</f>
        <v/>
      </c>
      <c r="E354" s="292">
        <f>IFERROR(INDEX('Historical Data'!$E$2:$E$1068,MATCH($A354,'Historical Data'!$BE$2:$BE$1068,0)),"")</f>
        <v/>
      </c>
      <c r="F354" s="291">
        <f>IFERROR(INDEX('Historical Data'!$G$2:$G$1068,MATCH($A354,'Historical Data'!$BE$2:$BE$1068,0)),"")</f>
        <v/>
      </c>
      <c r="G354" s="291">
        <f>IFERROR(INDEX('Historical Data'!$Y$2:$Y$1068,MATCH($A354,'Historical Data'!$BE$2:$BE$1068,0)),"")</f>
        <v/>
      </c>
      <c r="H354" s="291">
        <f>IFERROR(INDEX('Historical Data'!$K$2:$K$1068,MATCH($A354,'Historical Data'!$BE$2:$BE$1068,0)),"")</f>
        <v/>
      </c>
      <c r="I354" s="291">
        <f>IFERROR(INDEX('Historical Data'!$J$2:$J$1068,MATCH($A354,'Historical Data'!$BE$2:$BE$1068,0)),"")</f>
        <v/>
      </c>
      <c r="J354" s="291">
        <f>IFERROR(INDEX('Historical Data'!$L$2:$L$1068,MATCH($A354,'Historical Data'!$BE$2:$BE$1068,0)),"")</f>
        <v/>
      </c>
      <c r="K354" s="293">
        <f>IFERROR(INDEX('Historical Data'!$M$2:$M$1068,MATCH($A354,'Historical Data'!$BE$2:$BE$1068,0)),"")</f>
        <v/>
      </c>
      <c r="L354" s="294">
        <f>IFERROR(INDEX('Historical Data'!$N$2:$N$1068,MATCH($A354,'Historical Data'!$BE$2:$BE$1068,0)),"")</f>
        <v/>
      </c>
      <c r="M354" s="294">
        <f>IFERROR(INDEX('Historical Data'!$Q$2:$Q$1068,MATCH($A354,'Historical Data'!$BE$2:$BE$1068,0)),"")</f>
        <v/>
      </c>
      <c r="N354" s="295">
        <f>IFERROR(INDEX('Historical Data'!$S$2:$S$1068,MATCH($A354,'Historical Data'!$BE$2:$BE$1068,0)),"")</f>
        <v/>
      </c>
      <c r="O354" s="294">
        <f>IFERROR(INDEX('Historical Data'!$AJ$2:$AJ$1068,MATCH($A354,'Historical Data'!$BE$2:$BE$1068,0)),"")</f>
        <v/>
      </c>
      <c r="P354" s="294">
        <f>IFERROR(INDEX('Historical Data'!$AK$2:$AK$1068,MATCH($A354,'Historical Data'!$BE$2:$BE$1068,0)),"")</f>
        <v/>
      </c>
      <c r="Q354" s="291">
        <f>IFERROR(INDEX('Historical Data'!$AA$2:$AA$1068,MATCH($A354,'Historical Data'!$BE$2:$BE$1068,0)),"")</f>
        <v/>
      </c>
      <c r="R354" s="291">
        <f>IFERROR(INDEX('Historical Data'!$AB$2:$AB$1068,MATCH($A354,'Historical Data'!$BE$2:$BE$1068,0)),"")</f>
        <v/>
      </c>
      <c r="S354" s="291">
        <f>IFERROR(INDEX('Historical Data'!$AN$2:$AN$1068,MATCH($A354,'Historical Data'!$BE$2:$BE$1068,0)),"")</f>
        <v/>
      </c>
      <c r="T354" s="291">
        <f>IFERROR(INDEX('Historical Data'!$AC$2:$AC$1068,MATCH($A354,'Historical Data'!$BE$2:$BE$1068,0)),"")</f>
        <v/>
      </c>
      <c r="U354" s="291">
        <f>IFERROR(INDEX('Historical Data'!$AE$2:$AE$1068,MATCH($A354,'Historical Data'!$BE$2:$BE$1068,0)),"")</f>
        <v/>
      </c>
      <c r="V354" s="291">
        <f>IFERROR(INDEX('Historical Data'!$AH$2:$AH$1068,MATCH($A354,'Historical Data'!$BE$2:$BE$1068,0)),"")</f>
        <v/>
      </c>
      <c r="W354" s="291">
        <f>IFERROR(INDEX('Historical Data'!$BC$2:$BC$1068,MATCH($A354,'Historical Data'!$BE$2:$BE$1068,0)),"")</f>
        <v/>
      </c>
      <c r="X354" s="290">
        <f>IF(B354="","",IF(W354=1,"NR + industry + position",IF(W354=2,"NR + ISO + position",IF(W354=3,"NR + industry",IF(W354=4,"NR + ISO",IF(W354=5,"NR + position",IF(W354=6,"NR only","book baseline"))))))&amp;"  ["&amp;IF(T354=1,"seasoned","unseasoned")&amp;IF(U354=1,", defaulted","")&amp;IF(V354=1,", open","")&amp;"]")</f>
        <v/>
      </c>
    </row>
    <row r="355">
      <c r="A355" s="290" t="n">
        <v>351</v>
      </c>
      <c r="B355" s="291">
        <f>IFERROR(INDEX('Historical Data'!$A$2:$A$1068,MATCH($A355,'Historical Data'!$BE$2:$BE$1068,0)),"")</f>
        <v/>
      </c>
      <c r="C355" s="291">
        <f>IFERROR(INDEX('Historical Data'!$B$2:$B$1068,MATCH($A355,'Historical Data'!$BE$2:$BE$1068,0)),"")</f>
        <v/>
      </c>
      <c r="D355" s="291">
        <f>IFERROR(INDEX('Historical Data'!$D$2:$D$1068,MATCH($A355,'Historical Data'!$BE$2:$BE$1068,0)),"")</f>
        <v/>
      </c>
      <c r="E355" s="292">
        <f>IFERROR(INDEX('Historical Data'!$E$2:$E$1068,MATCH($A355,'Historical Data'!$BE$2:$BE$1068,0)),"")</f>
        <v/>
      </c>
      <c r="F355" s="291">
        <f>IFERROR(INDEX('Historical Data'!$G$2:$G$1068,MATCH($A355,'Historical Data'!$BE$2:$BE$1068,0)),"")</f>
        <v/>
      </c>
      <c r="G355" s="291">
        <f>IFERROR(INDEX('Historical Data'!$Y$2:$Y$1068,MATCH($A355,'Historical Data'!$BE$2:$BE$1068,0)),"")</f>
        <v/>
      </c>
      <c r="H355" s="291">
        <f>IFERROR(INDEX('Historical Data'!$K$2:$K$1068,MATCH($A355,'Historical Data'!$BE$2:$BE$1068,0)),"")</f>
        <v/>
      </c>
      <c r="I355" s="291">
        <f>IFERROR(INDEX('Historical Data'!$J$2:$J$1068,MATCH($A355,'Historical Data'!$BE$2:$BE$1068,0)),"")</f>
        <v/>
      </c>
      <c r="J355" s="291">
        <f>IFERROR(INDEX('Historical Data'!$L$2:$L$1068,MATCH($A355,'Historical Data'!$BE$2:$BE$1068,0)),"")</f>
        <v/>
      </c>
      <c r="K355" s="293">
        <f>IFERROR(INDEX('Historical Data'!$M$2:$M$1068,MATCH($A355,'Historical Data'!$BE$2:$BE$1068,0)),"")</f>
        <v/>
      </c>
      <c r="L355" s="294">
        <f>IFERROR(INDEX('Historical Data'!$N$2:$N$1068,MATCH($A355,'Historical Data'!$BE$2:$BE$1068,0)),"")</f>
        <v/>
      </c>
      <c r="M355" s="294">
        <f>IFERROR(INDEX('Historical Data'!$Q$2:$Q$1068,MATCH($A355,'Historical Data'!$BE$2:$BE$1068,0)),"")</f>
        <v/>
      </c>
      <c r="N355" s="295">
        <f>IFERROR(INDEX('Historical Data'!$S$2:$S$1068,MATCH($A355,'Historical Data'!$BE$2:$BE$1068,0)),"")</f>
        <v/>
      </c>
      <c r="O355" s="294">
        <f>IFERROR(INDEX('Historical Data'!$AJ$2:$AJ$1068,MATCH($A355,'Historical Data'!$BE$2:$BE$1068,0)),"")</f>
        <v/>
      </c>
      <c r="P355" s="294">
        <f>IFERROR(INDEX('Historical Data'!$AK$2:$AK$1068,MATCH($A355,'Historical Data'!$BE$2:$BE$1068,0)),"")</f>
        <v/>
      </c>
      <c r="Q355" s="291">
        <f>IFERROR(INDEX('Historical Data'!$AA$2:$AA$1068,MATCH($A355,'Historical Data'!$BE$2:$BE$1068,0)),"")</f>
        <v/>
      </c>
      <c r="R355" s="291">
        <f>IFERROR(INDEX('Historical Data'!$AB$2:$AB$1068,MATCH($A355,'Historical Data'!$BE$2:$BE$1068,0)),"")</f>
        <v/>
      </c>
      <c r="S355" s="291">
        <f>IFERROR(INDEX('Historical Data'!$AN$2:$AN$1068,MATCH($A355,'Historical Data'!$BE$2:$BE$1068,0)),"")</f>
        <v/>
      </c>
      <c r="T355" s="291">
        <f>IFERROR(INDEX('Historical Data'!$AC$2:$AC$1068,MATCH($A355,'Historical Data'!$BE$2:$BE$1068,0)),"")</f>
        <v/>
      </c>
      <c r="U355" s="291">
        <f>IFERROR(INDEX('Historical Data'!$AE$2:$AE$1068,MATCH($A355,'Historical Data'!$BE$2:$BE$1068,0)),"")</f>
        <v/>
      </c>
      <c r="V355" s="291">
        <f>IFERROR(INDEX('Historical Data'!$AH$2:$AH$1068,MATCH($A355,'Historical Data'!$BE$2:$BE$1068,0)),"")</f>
        <v/>
      </c>
      <c r="W355" s="291">
        <f>IFERROR(INDEX('Historical Data'!$BC$2:$BC$1068,MATCH($A355,'Historical Data'!$BE$2:$BE$1068,0)),"")</f>
        <v/>
      </c>
      <c r="X355" s="290">
        <f>IF(B355="","",IF(W355=1,"NR + industry + position",IF(W355=2,"NR + ISO + position",IF(W355=3,"NR + industry",IF(W355=4,"NR + ISO",IF(W355=5,"NR + position",IF(W355=6,"NR only","book baseline"))))))&amp;"  ["&amp;IF(T355=1,"seasoned","unseasoned")&amp;IF(U355=1,", defaulted","")&amp;IF(V355=1,", open","")&amp;"]")</f>
        <v/>
      </c>
    </row>
    <row r="356">
      <c r="A356" s="290" t="n">
        <v>352</v>
      </c>
      <c r="B356" s="291">
        <f>IFERROR(INDEX('Historical Data'!$A$2:$A$1068,MATCH($A356,'Historical Data'!$BE$2:$BE$1068,0)),"")</f>
        <v/>
      </c>
      <c r="C356" s="291">
        <f>IFERROR(INDEX('Historical Data'!$B$2:$B$1068,MATCH($A356,'Historical Data'!$BE$2:$BE$1068,0)),"")</f>
        <v/>
      </c>
      <c r="D356" s="291">
        <f>IFERROR(INDEX('Historical Data'!$D$2:$D$1068,MATCH($A356,'Historical Data'!$BE$2:$BE$1068,0)),"")</f>
        <v/>
      </c>
      <c r="E356" s="292">
        <f>IFERROR(INDEX('Historical Data'!$E$2:$E$1068,MATCH($A356,'Historical Data'!$BE$2:$BE$1068,0)),"")</f>
        <v/>
      </c>
      <c r="F356" s="291">
        <f>IFERROR(INDEX('Historical Data'!$G$2:$G$1068,MATCH($A356,'Historical Data'!$BE$2:$BE$1068,0)),"")</f>
        <v/>
      </c>
      <c r="G356" s="291">
        <f>IFERROR(INDEX('Historical Data'!$Y$2:$Y$1068,MATCH($A356,'Historical Data'!$BE$2:$BE$1068,0)),"")</f>
        <v/>
      </c>
      <c r="H356" s="291">
        <f>IFERROR(INDEX('Historical Data'!$K$2:$K$1068,MATCH($A356,'Historical Data'!$BE$2:$BE$1068,0)),"")</f>
        <v/>
      </c>
      <c r="I356" s="291">
        <f>IFERROR(INDEX('Historical Data'!$J$2:$J$1068,MATCH($A356,'Historical Data'!$BE$2:$BE$1068,0)),"")</f>
        <v/>
      </c>
      <c r="J356" s="291">
        <f>IFERROR(INDEX('Historical Data'!$L$2:$L$1068,MATCH($A356,'Historical Data'!$BE$2:$BE$1068,0)),"")</f>
        <v/>
      </c>
      <c r="K356" s="293">
        <f>IFERROR(INDEX('Historical Data'!$M$2:$M$1068,MATCH($A356,'Historical Data'!$BE$2:$BE$1068,0)),"")</f>
        <v/>
      </c>
      <c r="L356" s="294">
        <f>IFERROR(INDEX('Historical Data'!$N$2:$N$1068,MATCH($A356,'Historical Data'!$BE$2:$BE$1068,0)),"")</f>
        <v/>
      </c>
      <c r="M356" s="294">
        <f>IFERROR(INDEX('Historical Data'!$Q$2:$Q$1068,MATCH($A356,'Historical Data'!$BE$2:$BE$1068,0)),"")</f>
        <v/>
      </c>
      <c r="N356" s="295">
        <f>IFERROR(INDEX('Historical Data'!$S$2:$S$1068,MATCH($A356,'Historical Data'!$BE$2:$BE$1068,0)),"")</f>
        <v/>
      </c>
      <c r="O356" s="294">
        <f>IFERROR(INDEX('Historical Data'!$AJ$2:$AJ$1068,MATCH($A356,'Historical Data'!$BE$2:$BE$1068,0)),"")</f>
        <v/>
      </c>
      <c r="P356" s="294">
        <f>IFERROR(INDEX('Historical Data'!$AK$2:$AK$1068,MATCH($A356,'Historical Data'!$BE$2:$BE$1068,0)),"")</f>
        <v/>
      </c>
      <c r="Q356" s="291">
        <f>IFERROR(INDEX('Historical Data'!$AA$2:$AA$1068,MATCH($A356,'Historical Data'!$BE$2:$BE$1068,0)),"")</f>
        <v/>
      </c>
      <c r="R356" s="291">
        <f>IFERROR(INDEX('Historical Data'!$AB$2:$AB$1068,MATCH($A356,'Historical Data'!$BE$2:$BE$1068,0)),"")</f>
        <v/>
      </c>
      <c r="S356" s="291">
        <f>IFERROR(INDEX('Historical Data'!$AN$2:$AN$1068,MATCH($A356,'Historical Data'!$BE$2:$BE$1068,0)),"")</f>
        <v/>
      </c>
      <c r="T356" s="291">
        <f>IFERROR(INDEX('Historical Data'!$AC$2:$AC$1068,MATCH($A356,'Historical Data'!$BE$2:$BE$1068,0)),"")</f>
        <v/>
      </c>
      <c r="U356" s="291">
        <f>IFERROR(INDEX('Historical Data'!$AE$2:$AE$1068,MATCH($A356,'Historical Data'!$BE$2:$BE$1068,0)),"")</f>
        <v/>
      </c>
      <c r="V356" s="291">
        <f>IFERROR(INDEX('Historical Data'!$AH$2:$AH$1068,MATCH($A356,'Historical Data'!$BE$2:$BE$1068,0)),"")</f>
        <v/>
      </c>
      <c r="W356" s="291">
        <f>IFERROR(INDEX('Historical Data'!$BC$2:$BC$1068,MATCH($A356,'Historical Data'!$BE$2:$BE$1068,0)),"")</f>
        <v/>
      </c>
      <c r="X356" s="290">
        <f>IF(B356="","",IF(W356=1,"NR + industry + position",IF(W356=2,"NR + ISO + position",IF(W356=3,"NR + industry",IF(W356=4,"NR + ISO",IF(W356=5,"NR + position",IF(W356=6,"NR only","book baseline"))))))&amp;"  ["&amp;IF(T356=1,"seasoned","unseasoned")&amp;IF(U356=1,", defaulted","")&amp;IF(V356=1,", open","")&amp;"]")</f>
        <v/>
      </c>
    </row>
    <row r="357">
      <c r="A357" s="290" t="n">
        <v>353</v>
      </c>
      <c r="B357" s="291">
        <f>IFERROR(INDEX('Historical Data'!$A$2:$A$1068,MATCH($A357,'Historical Data'!$BE$2:$BE$1068,0)),"")</f>
        <v/>
      </c>
      <c r="C357" s="291">
        <f>IFERROR(INDEX('Historical Data'!$B$2:$B$1068,MATCH($A357,'Historical Data'!$BE$2:$BE$1068,0)),"")</f>
        <v/>
      </c>
      <c r="D357" s="291">
        <f>IFERROR(INDEX('Historical Data'!$D$2:$D$1068,MATCH($A357,'Historical Data'!$BE$2:$BE$1068,0)),"")</f>
        <v/>
      </c>
      <c r="E357" s="292">
        <f>IFERROR(INDEX('Historical Data'!$E$2:$E$1068,MATCH($A357,'Historical Data'!$BE$2:$BE$1068,0)),"")</f>
        <v/>
      </c>
      <c r="F357" s="291">
        <f>IFERROR(INDEX('Historical Data'!$G$2:$G$1068,MATCH($A357,'Historical Data'!$BE$2:$BE$1068,0)),"")</f>
        <v/>
      </c>
      <c r="G357" s="291">
        <f>IFERROR(INDEX('Historical Data'!$Y$2:$Y$1068,MATCH($A357,'Historical Data'!$BE$2:$BE$1068,0)),"")</f>
        <v/>
      </c>
      <c r="H357" s="291">
        <f>IFERROR(INDEX('Historical Data'!$K$2:$K$1068,MATCH($A357,'Historical Data'!$BE$2:$BE$1068,0)),"")</f>
        <v/>
      </c>
      <c r="I357" s="291">
        <f>IFERROR(INDEX('Historical Data'!$J$2:$J$1068,MATCH($A357,'Historical Data'!$BE$2:$BE$1068,0)),"")</f>
        <v/>
      </c>
      <c r="J357" s="291">
        <f>IFERROR(INDEX('Historical Data'!$L$2:$L$1068,MATCH($A357,'Historical Data'!$BE$2:$BE$1068,0)),"")</f>
        <v/>
      </c>
      <c r="K357" s="293">
        <f>IFERROR(INDEX('Historical Data'!$M$2:$M$1068,MATCH($A357,'Historical Data'!$BE$2:$BE$1068,0)),"")</f>
        <v/>
      </c>
      <c r="L357" s="294">
        <f>IFERROR(INDEX('Historical Data'!$N$2:$N$1068,MATCH($A357,'Historical Data'!$BE$2:$BE$1068,0)),"")</f>
        <v/>
      </c>
      <c r="M357" s="294">
        <f>IFERROR(INDEX('Historical Data'!$Q$2:$Q$1068,MATCH($A357,'Historical Data'!$BE$2:$BE$1068,0)),"")</f>
        <v/>
      </c>
      <c r="N357" s="295">
        <f>IFERROR(INDEX('Historical Data'!$S$2:$S$1068,MATCH($A357,'Historical Data'!$BE$2:$BE$1068,0)),"")</f>
        <v/>
      </c>
      <c r="O357" s="294">
        <f>IFERROR(INDEX('Historical Data'!$AJ$2:$AJ$1068,MATCH($A357,'Historical Data'!$BE$2:$BE$1068,0)),"")</f>
        <v/>
      </c>
      <c r="P357" s="294">
        <f>IFERROR(INDEX('Historical Data'!$AK$2:$AK$1068,MATCH($A357,'Historical Data'!$BE$2:$BE$1068,0)),"")</f>
        <v/>
      </c>
      <c r="Q357" s="291">
        <f>IFERROR(INDEX('Historical Data'!$AA$2:$AA$1068,MATCH($A357,'Historical Data'!$BE$2:$BE$1068,0)),"")</f>
        <v/>
      </c>
      <c r="R357" s="291">
        <f>IFERROR(INDEX('Historical Data'!$AB$2:$AB$1068,MATCH($A357,'Historical Data'!$BE$2:$BE$1068,0)),"")</f>
        <v/>
      </c>
      <c r="S357" s="291">
        <f>IFERROR(INDEX('Historical Data'!$AN$2:$AN$1068,MATCH($A357,'Historical Data'!$BE$2:$BE$1068,0)),"")</f>
        <v/>
      </c>
      <c r="T357" s="291">
        <f>IFERROR(INDEX('Historical Data'!$AC$2:$AC$1068,MATCH($A357,'Historical Data'!$BE$2:$BE$1068,0)),"")</f>
        <v/>
      </c>
      <c r="U357" s="291">
        <f>IFERROR(INDEX('Historical Data'!$AE$2:$AE$1068,MATCH($A357,'Historical Data'!$BE$2:$BE$1068,0)),"")</f>
        <v/>
      </c>
      <c r="V357" s="291">
        <f>IFERROR(INDEX('Historical Data'!$AH$2:$AH$1068,MATCH($A357,'Historical Data'!$BE$2:$BE$1068,0)),"")</f>
        <v/>
      </c>
      <c r="W357" s="291">
        <f>IFERROR(INDEX('Historical Data'!$BC$2:$BC$1068,MATCH($A357,'Historical Data'!$BE$2:$BE$1068,0)),"")</f>
        <v/>
      </c>
      <c r="X357" s="290">
        <f>IF(B357="","",IF(W357=1,"NR + industry + position",IF(W357=2,"NR + ISO + position",IF(W357=3,"NR + industry",IF(W357=4,"NR + ISO",IF(W357=5,"NR + position",IF(W357=6,"NR only","book baseline"))))))&amp;"  ["&amp;IF(T357=1,"seasoned","unseasoned")&amp;IF(U357=1,", defaulted","")&amp;IF(V357=1,", open","")&amp;"]")</f>
        <v/>
      </c>
    </row>
    <row r="358">
      <c r="A358" s="290" t="n">
        <v>354</v>
      </c>
      <c r="B358" s="291">
        <f>IFERROR(INDEX('Historical Data'!$A$2:$A$1068,MATCH($A358,'Historical Data'!$BE$2:$BE$1068,0)),"")</f>
        <v/>
      </c>
      <c r="C358" s="291">
        <f>IFERROR(INDEX('Historical Data'!$B$2:$B$1068,MATCH($A358,'Historical Data'!$BE$2:$BE$1068,0)),"")</f>
        <v/>
      </c>
      <c r="D358" s="291">
        <f>IFERROR(INDEX('Historical Data'!$D$2:$D$1068,MATCH($A358,'Historical Data'!$BE$2:$BE$1068,0)),"")</f>
        <v/>
      </c>
      <c r="E358" s="292">
        <f>IFERROR(INDEX('Historical Data'!$E$2:$E$1068,MATCH($A358,'Historical Data'!$BE$2:$BE$1068,0)),"")</f>
        <v/>
      </c>
      <c r="F358" s="291">
        <f>IFERROR(INDEX('Historical Data'!$G$2:$G$1068,MATCH($A358,'Historical Data'!$BE$2:$BE$1068,0)),"")</f>
        <v/>
      </c>
      <c r="G358" s="291">
        <f>IFERROR(INDEX('Historical Data'!$Y$2:$Y$1068,MATCH($A358,'Historical Data'!$BE$2:$BE$1068,0)),"")</f>
        <v/>
      </c>
      <c r="H358" s="291">
        <f>IFERROR(INDEX('Historical Data'!$K$2:$K$1068,MATCH($A358,'Historical Data'!$BE$2:$BE$1068,0)),"")</f>
        <v/>
      </c>
      <c r="I358" s="291">
        <f>IFERROR(INDEX('Historical Data'!$J$2:$J$1068,MATCH($A358,'Historical Data'!$BE$2:$BE$1068,0)),"")</f>
        <v/>
      </c>
      <c r="J358" s="291">
        <f>IFERROR(INDEX('Historical Data'!$L$2:$L$1068,MATCH($A358,'Historical Data'!$BE$2:$BE$1068,0)),"")</f>
        <v/>
      </c>
      <c r="K358" s="293">
        <f>IFERROR(INDEX('Historical Data'!$M$2:$M$1068,MATCH($A358,'Historical Data'!$BE$2:$BE$1068,0)),"")</f>
        <v/>
      </c>
      <c r="L358" s="294">
        <f>IFERROR(INDEX('Historical Data'!$N$2:$N$1068,MATCH($A358,'Historical Data'!$BE$2:$BE$1068,0)),"")</f>
        <v/>
      </c>
      <c r="M358" s="294">
        <f>IFERROR(INDEX('Historical Data'!$Q$2:$Q$1068,MATCH($A358,'Historical Data'!$BE$2:$BE$1068,0)),"")</f>
        <v/>
      </c>
      <c r="N358" s="295">
        <f>IFERROR(INDEX('Historical Data'!$S$2:$S$1068,MATCH($A358,'Historical Data'!$BE$2:$BE$1068,0)),"")</f>
        <v/>
      </c>
      <c r="O358" s="294">
        <f>IFERROR(INDEX('Historical Data'!$AJ$2:$AJ$1068,MATCH($A358,'Historical Data'!$BE$2:$BE$1068,0)),"")</f>
        <v/>
      </c>
      <c r="P358" s="294">
        <f>IFERROR(INDEX('Historical Data'!$AK$2:$AK$1068,MATCH($A358,'Historical Data'!$BE$2:$BE$1068,0)),"")</f>
        <v/>
      </c>
      <c r="Q358" s="291">
        <f>IFERROR(INDEX('Historical Data'!$AA$2:$AA$1068,MATCH($A358,'Historical Data'!$BE$2:$BE$1068,0)),"")</f>
        <v/>
      </c>
      <c r="R358" s="291">
        <f>IFERROR(INDEX('Historical Data'!$AB$2:$AB$1068,MATCH($A358,'Historical Data'!$BE$2:$BE$1068,0)),"")</f>
        <v/>
      </c>
      <c r="S358" s="291">
        <f>IFERROR(INDEX('Historical Data'!$AN$2:$AN$1068,MATCH($A358,'Historical Data'!$BE$2:$BE$1068,0)),"")</f>
        <v/>
      </c>
      <c r="T358" s="291">
        <f>IFERROR(INDEX('Historical Data'!$AC$2:$AC$1068,MATCH($A358,'Historical Data'!$BE$2:$BE$1068,0)),"")</f>
        <v/>
      </c>
      <c r="U358" s="291">
        <f>IFERROR(INDEX('Historical Data'!$AE$2:$AE$1068,MATCH($A358,'Historical Data'!$BE$2:$BE$1068,0)),"")</f>
        <v/>
      </c>
      <c r="V358" s="291">
        <f>IFERROR(INDEX('Historical Data'!$AH$2:$AH$1068,MATCH($A358,'Historical Data'!$BE$2:$BE$1068,0)),"")</f>
        <v/>
      </c>
      <c r="W358" s="291">
        <f>IFERROR(INDEX('Historical Data'!$BC$2:$BC$1068,MATCH($A358,'Historical Data'!$BE$2:$BE$1068,0)),"")</f>
        <v/>
      </c>
      <c r="X358" s="290">
        <f>IF(B358="","",IF(W358=1,"NR + industry + position",IF(W358=2,"NR + ISO + position",IF(W358=3,"NR + industry",IF(W358=4,"NR + ISO",IF(W358=5,"NR + position",IF(W358=6,"NR only","book baseline"))))))&amp;"  ["&amp;IF(T358=1,"seasoned","unseasoned")&amp;IF(U358=1,", defaulted","")&amp;IF(V358=1,", open","")&amp;"]")</f>
        <v/>
      </c>
    </row>
    <row r="359">
      <c r="A359" s="290" t="n">
        <v>355</v>
      </c>
      <c r="B359" s="291">
        <f>IFERROR(INDEX('Historical Data'!$A$2:$A$1068,MATCH($A359,'Historical Data'!$BE$2:$BE$1068,0)),"")</f>
        <v/>
      </c>
      <c r="C359" s="291">
        <f>IFERROR(INDEX('Historical Data'!$B$2:$B$1068,MATCH($A359,'Historical Data'!$BE$2:$BE$1068,0)),"")</f>
        <v/>
      </c>
      <c r="D359" s="291">
        <f>IFERROR(INDEX('Historical Data'!$D$2:$D$1068,MATCH($A359,'Historical Data'!$BE$2:$BE$1068,0)),"")</f>
        <v/>
      </c>
      <c r="E359" s="292">
        <f>IFERROR(INDEX('Historical Data'!$E$2:$E$1068,MATCH($A359,'Historical Data'!$BE$2:$BE$1068,0)),"")</f>
        <v/>
      </c>
      <c r="F359" s="291">
        <f>IFERROR(INDEX('Historical Data'!$G$2:$G$1068,MATCH($A359,'Historical Data'!$BE$2:$BE$1068,0)),"")</f>
        <v/>
      </c>
      <c r="G359" s="291">
        <f>IFERROR(INDEX('Historical Data'!$Y$2:$Y$1068,MATCH($A359,'Historical Data'!$BE$2:$BE$1068,0)),"")</f>
        <v/>
      </c>
      <c r="H359" s="291">
        <f>IFERROR(INDEX('Historical Data'!$K$2:$K$1068,MATCH($A359,'Historical Data'!$BE$2:$BE$1068,0)),"")</f>
        <v/>
      </c>
      <c r="I359" s="291">
        <f>IFERROR(INDEX('Historical Data'!$J$2:$J$1068,MATCH($A359,'Historical Data'!$BE$2:$BE$1068,0)),"")</f>
        <v/>
      </c>
      <c r="J359" s="291">
        <f>IFERROR(INDEX('Historical Data'!$L$2:$L$1068,MATCH($A359,'Historical Data'!$BE$2:$BE$1068,0)),"")</f>
        <v/>
      </c>
      <c r="K359" s="293">
        <f>IFERROR(INDEX('Historical Data'!$M$2:$M$1068,MATCH($A359,'Historical Data'!$BE$2:$BE$1068,0)),"")</f>
        <v/>
      </c>
      <c r="L359" s="294">
        <f>IFERROR(INDEX('Historical Data'!$N$2:$N$1068,MATCH($A359,'Historical Data'!$BE$2:$BE$1068,0)),"")</f>
        <v/>
      </c>
      <c r="M359" s="294">
        <f>IFERROR(INDEX('Historical Data'!$Q$2:$Q$1068,MATCH($A359,'Historical Data'!$BE$2:$BE$1068,0)),"")</f>
        <v/>
      </c>
      <c r="N359" s="295">
        <f>IFERROR(INDEX('Historical Data'!$S$2:$S$1068,MATCH($A359,'Historical Data'!$BE$2:$BE$1068,0)),"")</f>
        <v/>
      </c>
      <c r="O359" s="294">
        <f>IFERROR(INDEX('Historical Data'!$AJ$2:$AJ$1068,MATCH($A359,'Historical Data'!$BE$2:$BE$1068,0)),"")</f>
        <v/>
      </c>
      <c r="P359" s="294">
        <f>IFERROR(INDEX('Historical Data'!$AK$2:$AK$1068,MATCH($A359,'Historical Data'!$BE$2:$BE$1068,0)),"")</f>
        <v/>
      </c>
      <c r="Q359" s="291">
        <f>IFERROR(INDEX('Historical Data'!$AA$2:$AA$1068,MATCH($A359,'Historical Data'!$BE$2:$BE$1068,0)),"")</f>
        <v/>
      </c>
      <c r="R359" s="291">
        <f>IFERROR(INDEX('Historical Data'!$AB$2:$AB$1068,MATCH($A359,'Historical Data'!$BE$2:$BE$1068,0)),"")</f>
        <v/>
      </c>
      <c r="S359" s="291">
        <f>IFERROR(INDEX('Historical Data'!$AN$2:$AN$1068,MATCH($A359,'Historical Data'!$BE$2:$BE$1068,0)),"")</f>
        <v/>
      </c>
      <c r="T359" s="291">
        <f>IFERROR(INDEX('Historical Data'!$AC$2:$AC$1068,MATCH($A359,'Historical Data'!$BE$2:$BE$1068,0)),"")</f>
        <v/>
      </c>
      <c r="U359" s="291">
        <f>IFERROR(INDEX('Historical Data'!$AE$2:$AE$1068,MATCH($A359,'Historical Data'!$BE$2:$BE$1068,0)),"")</f>
        <v/>
      </c>
      <c r="V359" s="291">
        <f>IFERROR(INDEX('Historical Data'!$AH$2:$AH$1068,MATCH($A359,'Historical Data'!$BE$2:$BE$1068,0)),"")</f>
        <v/>
      </c>
      <c r="W359" s="291">
        <f>IFERROR(INDEX('Historical Data'!$BC$2:$BC$1068,MATCH($A359,'Historical Data'!$BE$2:$BE$1068,0)),"")</f>
        <v/>
      </c>
      <c r="X359" s="290">
        <f>IF(B359="","",IF(W359=1,"NR + industry + position",IF(W359=2,"NR + ISO + position",IF(W359=3,"NR + industry",IF(W359=4,"NR + ISO",IF(W359=5,"NR + position",IF(W359=6,"NR only","book baseline"))))))&amp;"  ["&amp;IF(T359=1,"seasoned","unseasoned")&amp;IF(U359=1,", defaulted","")&amp;IF(V359=1,", open","")&amp;"]")</f>
        <v/>
      </c>
    </row>
    <row r="360">
      <c r="A360" s="290" t="n">
        <v>356</v>
      </c>
      <c r="B360" s="291">
        <f>IFERROR(INDEX('Historical Data'!$A$2:$A$1068,MATCH($A360,'Historical Data'!$BE$2:$BE$1068,0)),"")</f>
        <v/>
      </c>
      <c r="C360" s="291">
        <f>IFERROR(INDEX('Historical Data'!$B$2:$B$1068,MATCH($A360,'Historical Data'!$BE$2:$BE$1068,0)),"")</f>
        <v/>
      </c>
      <c r="D360" s="291">
        <f>IFERROR(INDEX('Historical Data'!$D$2:$D$1068,MATCH($A360,'Historical Data'!$BE$2:$BE$1068,0)),"")</f>
        <v/>
      </c>
      <c r="E360" s="292">
        <f>IFERROR(INDEX('Historical Data'!$E$2:$E$1068,MATCH($A360,'Historical Data'!$BE$2:$BE$1068,0)),"")</f>
        <v/>
      </c>
      <c r="F360" s="291">
        <f>IFERROR(INDEX('Historical Data'!$G$2:$G$1068,MATCH($A360,'Historical Data'!$BE$2:$BE$1068,0)),"")</f>
        <v/>
      </c>
      <c r="G360" s="291">
        <f>IFERROR(INDEX('Historical Data'!$Y$2:$Y$1068,MATCH($A360,'Historical Data'!$BE$2:$BE$1068,0)),"")</f>
        <v/>
      </c>
      <c r="H360" s="291">
        <f>IFERROR(INDEX('Historical Data'!$K$2:$K$1068,MATCH($A360,'Historical Data'!$BE$2:$BE$1068,0)),"")</f>
        <v/>
      </c>
      <c r="I360" s="291">
        <f>IFERROR(INDEX('Historical Data'!$J$2:$J$1068,MATCH($A360,'Historical Data'!$BE$2:$BE$1068,0)),"")</f>
        <v/>
      </c>
      <c r="J360" s="291">
        <f>IFERROR(INDEX('Historical Data'!$L$2:$L$1068,MATCH($A360,'Historical Data'!$BE$2:$BE$1068,0)),"")</f>
        <v/>
      </c>
      <c r="K360" s="293">
        <f>IFERROR(INDEX('Historical Data'!$M$2:$M$1068,MATCH($A360,'Historical Data'!$BE$2:$BE$1068,0)),"")</f>
        <v/>
      </c>
      <c r="L360" s="294">
        <f>IFERROR(INDEX('Historical Data'!$N$2:$N$1068,MATCH($A360,'Historical Data'!$BE$2:$BE$1068,0)),"")</f>
        <v/>
      </c>
      <c r="M360" s="294">
        <f>IFERROR(INDEX('Historical Data'!$Q$2:$Q$1068,MATCH($A360,'Historical Data'!$BE$2:$BE$1068,0)),"")</f>
        <v/>
      </c>
      <c r="N360" s="295">
        <f>IFERROR(INDEX('Historical Data'!$S$2:$S$1068,MATCH($A360,'Historical Data'!$BE$2:$BE$1068,0)),"")</f>
        <v/>
      </c>
      <c r="O360" s="294">
        <f>IFERROR(INDEX('Historical Data'!$AJ$2:$AJ$1068,MATCH($A360,'Historical Data'!$BE$2:$BE$1068,0)),"")</f>
        <v/>
      </c>
      <c r="P360" s="294">
        <f>IFERROR(INDEX('Historical Data'!$AK$2:$AK$1068,MATCH($A360,'Historical Data'!$BE$2:$BE$1068,0)),"")</f>
        <v/>
      </c>
      <c r="Q360" s="291">
        <f>IFERROR(INDEX('Historical Data'!$AA$2:$AA$1068,MATCH($A360,'Historical Data'!$BE$2:$BE$1068,0)),"")</f>
        <v/>
      </c>
      <c r="R360" s="291">
        <f>IFERROR(INDEX('Historical Data'!$AB$2:$AB$1068,MATCH($A360,'Historical Data'!$BE$2:$BE$1068,0)),"")</f>
        <v/>
      </c>
      <c r="S360" s="291">
        <f>IFERROR(INDEX('Historical Data'!$AN$2:$AN$1068,MATCH($A360,'Historical Data'!$BE$2:$BE$1068,0)),"")</f>
        <v/>
      </c>
      <c r="T360" s="291">
        <f>IFERROR(INDEX('Historical Data'!$AC$2:$AC$1068,MATCH($A360,'Historical Data'!$BE$2:$BE$1068,0)),"")</f>
        <v/>
      </c>
      <c r="U360" s="291">
        <f>IFERROR(INDEX('Historical Data'!$AE$2:$AE$1068,MATCH($A360,'Historical Data'!$BE$2:$BE$1068,0)),"")</f>
        <v/>
      </c>
      <c r="V360" s="291">
        <f>IFERROR(INDEX('Historical Data'!$AH$2:$AH$1068,MATCH($A360,'Historical Data'!$BE$2:$BE$1068,0)),"")</f>
        <v/>
      </c>
      <c r="W360" s="291">
        <f>IFERROR(INDEX('Historical Data'!$BC$2:$BC$1068,MATCH($A360,'Historical Data'!$BE$2:$BE$1068,0)),"")</f>
        <v/>
      </c>
      <c r="X360" s="290">
        <f>IF(B360="","",IF(W360=1,"NR + industry + position",IF(W360=2,"NR + ISO + position",IF(W360=3,"NR + industry",IF(W360=4,"NR + ISO",IF(W360=5,"NR + position",IF(W360=6,"NR only","book baseline"))))))&amp;"  ["&amp;IF(T360=1,"seasoned","unseasoned")&amp;IF(U360=1,", defaulted","")&amp;IF(V360=1,", open","")&amp;"]")</f>
        <v/>
      </c>
    </row>
    <row r="361">
      <c r="A361" s="290" t="n">
        <v>357</v>
      </c>
      <c r="B361" s="291">
        <f>IFERROR(INDEX('Historical Data'!$A$2:$A$1068,MATCH($A361,'Historical Data'!$BE$2:$BE$1068,0)),"")</f>
        <v/>
      </c>
      <c r="C361" s="291">
        <f>IFERROR(INDEX('Historical Data'!$B$2:$B$1068,MATCH($A361,'Historical Data'!$BE$2:$BE$1068,0)),"")</f>
        <v/>
      </c>
      <c r="D361" s="291">
        <f>IFERROR(INDEX('Historical Data'!$D$2:$D$1068,MATCH($A361,'Historical Data'!$BE$2:$BE$1068,0)),"")</f>
        <v/>
      </c>
      <c r="E361" s="292">
        <f>IFERROR(INDEX('Historical Data'!$E$2:$E$1068,MATCH($A361,'Historical Data'!$BE$2:$BE$1068,0)),"")</f>
        <v/>
      </c>
      <c r="F361" s="291">
        <f>IFERROR(INDEX('Historical Data'!$G$2:$G$1068,MATCH($A361,'Historical Data'!$BE$2:$BE$1068,0)),"")</f>
        <v/>
      </c>
      <c r="G361" s="291">
        <f>IFERROR(INDEX('Historical Data'!$Y$2:$Y$1068,MATCH($A361,'Historical Data'!$BE$2:$BE$1068,0)),"")</f>
        <v/>
      </c>
      <c r="H361" s="291">
        <f>IFERROR(INDEX('Historical Data'!$K$2:$K$1068,MATCH($A361,'Historical Data'!$BE$2:$BE$1068,0)),"")</f>
        <v/>
      </c>
      <c r="I361" s="291">
        <f>IFERROR(INDEX('Historical Data'!$J$2:$J$1068,MATCH($A361,'Historical Data'!$BE$2:$BE$1068,0)),"")</f>
        <v/>
      </c>
      <c r="J361" s="291">
        <f>IFERROR(INDEX('Historical Data'!$L$2:$L$1068,MATCH($A361,'Historical Data'!$BE$2:$BE$1068,0)),"")</f>
        <v/>
      </c>
      <c r="K361" s="293">
        <f>IFERROR(INDEX('Historical Data'!$M$2:$M$1068,MATCH($A361,'Historical Data'!$BE$2:$BE$1068,0)),"")</f>
        <v/>
      </c>
      <c r="L361" s="294">
        <f>IFERROR(INDEX('Historical Data'!$N$2:$N$1068,MATCH($A361,'Historical Data'!$BE$2:$BE$1068,0)),"")</f>
        <v/>
      </c>
      <c r="M361" s="294">
        <f>IFERROR(INDEX('Historical Data'!$Q$2:$Q$1068,MATCH($A361,'Historical Data'!$BE$2:$BE$1068,0)),"")</f>
        <v/>
      </c>
      <c r="N361" s="295">
        <f>IFERROR(INDEX('Historical Data'!$S$2:$S$1068,MATCH($A361,'Historical Data'!$BE$2:$BE$1068,0)),"")</f>
        <v/>
      </c>
      <c r="O361" s="294">
        <f>IFERROR(INDEX('Historical Data'!$AJ$2:$AJ$1068,MATCH($A361,'Historical Data'!$BE$2:$BE$1068,0)),"")</f>
        <v/>
      </c>
      <c r="P361" s="294">
        <f>IFERROR(INDEX('Historical Data'!$AK$2:$AK$1068,MATCH($A361,'Historical Data'!$BE$2:$BE$1068,0)),"")</f>
        <v/>
      </c>
      <c r="Q361" s="291">
        <f>IFERROR(INDEX('Historical Data'!$AA$2:$AA$1068,MATCH($A361,'Historical Data'!$BE$2:$BE$1068,0)),"")</f>
        <v/>
      </c>
      <c r="R361" s="291">
        <f>IFERROR(INDEX('Historical Data'!$AB$2:$AB$1068,MATCH($A361,'Historical Data'!$BE$2:$BE$1068,0)),"")</f>
        <v/>
      </c>
      <c r="S361" s="291">
        <f>IFERROR(INDEX('Historical Data'!$AN$2:$AN$1068,MATCH($A361,'Historical Data'!$BE$2:$BE$1068,0)),"")</f>
        <v/>
      </c>
      <c r="T361" s="291">
        <f>IFERROR(INDEX('Historical Data'!$AC$2:$AC$1068,MATCH($A361,'Historical Data'!$BE$2:$BE$1068,0)),"")</f>
        <v/>
      </c>
      <c r="U361" s="291">
        <f>IFERROR(INDEX('Historical Data'!$AE$2:$AE$1068,MATCH($A361,'Historical Data'!$BE$2:$BE$1068,0)),"")</f>
        <v/>
      </c>
      <c r="V361" s="291">
        <f>IFERROR(INDEX('Historical Data'!$AH$2:$AH$1068,MATCH($A361,'Historical Data'!$BE$2:$BE$1068,0)),"")</f>
        <v/>
      </c>
      <c r="W361" s="291">
        <f>IFERROR(INDEX('Historical Data'!$BC$2:$BC$1068,MATCH($A361,'Historical Data'!$BE$2:$BE$1068,0)),"")</f>
        <v/>
      </c>
      <c r="X361" s="290">
        <f>IF(B361="","",IF(W361=1,"NR + industry + position",IF(W361=2,"NR + ISO + position",IF(W361=3,"NR + industry",IF(W361=4,"NR + ISO",IF(W361=5,"NR + position",IF(W361=6,"NR only","book baseline"))))))&amp;"  ["&amp;IF(T361=1,"seasoned","unseasoned")&amp;IF(U361=1,", defaulted","")&amp;IF(V361=1,", open","")&amp;"]")</f>
        <v/>
      </c>
    </row>
    <row r="362">
      <c r="A362" s="290" t="n">
        <v>358</v>
      </c>
      <c r="B362" s="291">
        <f>IFERROR(INDEX('Historical Data'!$A$2:$A$1068,MATCH($A362,'Historical Data'!$BE$2:$BE$1068,0)),"")</f>
        <v/>
      </c>
      <c r="C362" s="291">
        <f>IFERROR(INDEX('Historical Data'!$B$2:$B$1068,MATCH($A362,'Historical Data'!$BE$2:$BE$1068,0)),"")</f>
        <v/>
      </c>
      <c r="D362" s="291">
        <f>IFERROR(INDEX('Historical Data'!$D$2:$D$1068,MATCH($A362,'Historical Data'!$BE$2:$BE$1068,0)),"")</f>
        <v/>
      </c>
      <c r="E362" s="292">
        <f>IFERROR(INDEX('Historical Data'!$E$2:$E$1068,MATCH($A362,'Historical Data'!$BE$2:$BE$1068,0)),"")</f>
        <v/>
      </c>
      <c r="F362" s="291">
        <f>IFERROR(INDEX('Historical Data'!$G$2:$G$1068,MATCH($A362,'Historical Data'!$BE$2:$BE$1068,0)),"")</f>
        <v/>
      </c>
      <c r="G362" s="291">
        <f>IFERROR(INDEX('Historical Data'!$Y$2:$Y$1068,MATCH($A362,'Historical Data'!$BE$2:$BE$1068,0)),"")</f>
        <v/>
      </c>
      <c r="H362" s="291">
        <f>IFERROR(INDEX('Historical Data'!$K$2:$K$1068,MATCH($A362,'Historical Data'!$BE$2:$BE$1068,0)),"")</f>
        <v/>
      </c>
      <c r="I362" s="291">
        <f>IFERROR(INDEX('Historical Data'!$J$2:$J$1068,MATCH($A362,'Historical Data'!$BE$2:$BE$1068,0)),"")</f>
        <v/>
      </c>
      <c r="J362" s="291">
        <f>IFERROR(INDEX('Historical Data'!$L$2:$L$1068,MATCH($A362,'Historical Data'!$BE$2:$BE$1068,0)),"")</f>
        <v/>
      </c>
      <c r="K362" s="293">
        <f>IFERROR(INDEX('Historical Data'!$M$2:$M$1068,MATCH($A362,'Historical Data'!$BE$2:$BE$1068,0)),"")</f>
        <v/>
      </c>
      <c r="L362" s="294">
        <f>IFERROR(INDEX('Historical Data'!$N$2:$N$1068,MATCH($A362,'Historical Data'!$BE$2:$BE$1068,0)),"")</f>
        <v/>
      </c>
      <c r="M362" s="294">
        <f>IFERROR(INDEX('Historical Data'!$Q$2:$Q$1068,MATCH($A362,'Historical Data'!$BE$2:$BE$1068,0)),"")</f>
        <v/>
      </c>
      <c r="N362" s="295">
        <f>IFERROR(INDEX('Historical Data'!$S$2:$S$1068,MATCH($A362,'Historical Data'!$BE$2:$BE$1068,0)),"")</f>
        <v/>
      </c>
      <c r="O362" s="294">
        <f>IFERROR(INDEX('Historical Data'!$AJ$2:$AJ$1068,MATCH($A362,'Historical Data'!$BE$2:$BE$1068,0)),"")</f>
        <v/>
      </c>
      <c r="P362" s="294">
        <f>IFERROR(INDEX('Historical Data'!$AK$2:$AK$1068,MATCH($A362,'Historical Data'!$BE$2:$BE$1068,0)),"")</f>
        <v/>
      </c>
      <c r="Q362" s="291">
        <f>IFERROR(INDEX('Historical Data'!$AA$2:$AA$1068,MATCH($A362,'Historical Data'!$BE$2:$BE$1068,0)),"")</f>
        <v/>
      </c>
      <c r="R362" s="291">
        <f>IFERROR(INDEX('Historical Data'!$AB$2:$AB$1068,MATCH($A362,'Historical Data'!$BE$2:$BE$1068,0)),"")</f>
        <v/>
      </c>
      <c r="S362" s="291">
        <f>IFERROR(INDEX('Historical Data'!$AN$2:$AN$1068,MATCH($A362,'Historical Data'!$BE$2:$BE$1068,0)),"")</f>
        <v/>
      </c>
      <c r="T362" s="291">
        <f>IFERROR(INDEX('Historical Data'!$AC$2:$AC$1068,MATCH($A362,'Historical Data'!$BE$2:$BE$1068,0)),"")</f>
        <v/>
      </c>
      <c r="U362" s="291">
        <f>IFERROR(INDEX('Historical Data'!$AE$2:$AE$1068,MATCH($A362,'Historical Data'!$BE$2:$BE$1068,0)),"")</f>
        <v/>
      </c>
      <c r="V362" s="291">
        <f>IFERROR(INDEX('Historical Data'!$AH$2:$AH$1068,MATCH($A362,'Historical Data'!$BE$2:$BE$1068,0)),"")</f>
        <v/>
      </c>
      <c r="W362" s="291">
        <f>IFERROR(INDEX('Historical Data'!$BC$2:$BC$1068,MATCH($A362,'Historical Data'!$BE$2:$BE$1068,0)),"")</f>
        <v/>
      </c>
      <c r="X362" s="290">
        <f>IF(B362="","",IF(W362=1,"NR + industry + position",IF(W362=2,"NR + ISO + position",IF(W362=3,"NR + industry",IF(W362=4,"NR + ISO",IF(W362=5,"NR + position",IF(W362=6,"NR only","book baseline"))))))&amp;"  ["&amp;IF(T362=1,"seasoned","unseasoned")&amp;IF(U362=1,", defaulted","")&amp;IF(V362=1,", open","")&amp;"]")</f>
        <v/>
      </c>
    </row>
    <row r="363">
      <c r="A363" s="290" t="n">
        <v>359</v>
      </c>
      <c r="B363" s="291">
        <f>IFERROR(INDEX('Historical Data'!$A$2:$A$1068,MATCH($A363,'Historical Data'!$BE$2:$BE$1068,0)),"")</f>
        <v/>
      </c>
      <c r="C363" s="291">
        <f>IFERROR(INDEX('Historical Data'!$B$2:$B$1068,MATCH($A363,'Historical Data'!$BE$2:$BE$1068,0)),"")</f>
        <v/>
      </c>
      <c r="D363" s="291">
        <f>IFERROR(INDEX('Historical Data'!$D$2:$D$1068,MATCH($A363,'Historical Data'!$BE$2:$BE$1068,0)),"")</f>
        <v/>
      </c>
      <c r="E363" s="292">
        <f>IFERROR(INDEX('Historical Data'!$E$2:$E$1068,MATCH($A363,'Historical Data'!$BE$2:$BE$1068,0)),"")</f>
        <v/>
      </c>
      <c r="F363" s="291">
        <f>IFERROR(INDEX('Historical Data'!$G$2:$G$1068,MATCH($A363,'Historical Data'!$BE$2:$BE$1068,0)),"")</f>
        <v/>
      </c>
      <c r="G363" s="291">
        <f>IFERROR(INDEX('Historical Data'!$Y$2:$Y$1068,MATCH($A363,'Historical Data'!$BE$2:$BE$1068,0)),"")</f>
        <v/>
      </c>
      <c r="H363" s="291">
        <f>IFERROR(INDEX('Historical Data'!$K$2:$K$1068,MATCH($A363,'Historical Data'!$BE$2:$BE$1068,0)),"")</f>
        <v/>
      </c>
      <c r="I363" s="291">
        <f>IFERROR(INDEX('Historical Data'!$J$2:$J$1068,MATCH($A363,'Historical Data'!$BE$2:$BE$1068,0)),"")</f>
        <v/>
      </c>
      <c r="J363" s="291">
        <f>IFERROR(INDEX('Historical Data'!$L$2:$L$1068,MATCH($A363,'Historical Data'!$BE$2:$BE$1068,0)),"")</f>
        <v/>
      </c>
      <c r="K363" s="293">
        <f>IFERROR(INDEX('Historical Data'!$M$2:$M$1068,MATCH($A363,'Historical Data'!$BE$2:$BE$1068,0)),"")</f>
        <v/>
      </c>
      <c r="L363" s="294">
        <f>IFERROR(INDEX('Historical Data'!$N$2:$N$1068,MATCH($A363,'Historical Data'!$BE$2:$BE$1068,0)),"")</f>
        <v/>
      </c>
      <c r="M363" s="294">
        <f>IFERROR(INDEX('Historical Data'!$Q$2:$Q$1068,MATCH($A363,'Historical Data'!$BE$2:$BE$1068,0)),"")</f>
        <v/>
      </c>
      <c r="N363" s="295">
        <f>IFERROR(INDEX('Historical Data'!$S$2:$S$1068,MATCH($A363,'Historical Data'!$BE$2:$BE$1068,0)),"")</f>
        <v/>
      </c>
      <c r="O363" s="294">
        <f>IFERROR(INDEX('Historical Data'!$AJ$2:$AJ$1068,MATCH($A363,'Historical Data'!$BE$2:$BE$1068,0)),"")</f>
        <v/>
      </c>
      <c r="P363" s="294">
        <f>IFERROR(INDEX('Historical Data'!$AK$2:$AK$1068,MATCH($A363,'Historical Data'!$BE$2:$BE$1068,0)),"")</f>
        <v/>
      </c>
      <c r="Q363" s="291">
        <f>IFERROR(INDEX('Historical Data'!$AA$2:$AA$1068,MATCH($A363,'Historical Data'!$BE$2:$BE$1068,0)),"")</f>
        <v/>
      </c>
      <c r="R363" s="291">
        <f>IFERROR(INDEX('Historical Data'!$AB$2:$AB$1068,MATCH($A363,'Historical Data'!$BE$2:$BE$1068,0)),"")</f>
        <v/>
      </c>
      <c r="S363" s="291">
        <f>IFERROR(INDEX('Historical Data'!$AN$2:$AN$1068,MATCH($A363,'Historical Data'!$BE$2:$BE$1068,0)),"")</f>
        <v/>
      </c>
      <c r="T363" s="291">
        <f>IFERROR(INDEX('Historical Data'!$AC$2:$AC$1068,MATCH($A363,'Historical Data'!$BE$2:$BE$1068,0)),"")</f>
        <v/>
      </c>
      <c r="U363" s="291">
        <f>IFERROR(INDEX('Historical Data'!$AE$2:$AE$1068,MATCH($A363,'Historical Data'!$BE$2:$BE$1068,0)),"")</f>
        <v/>
      </c>
      <c r="V363" s="291">
        <f>IFERROR(INDEX('Historical Data'!$AH$2:$AH$1068,MATCH($A363,'Historical Data'!$BE$2:$BE$1068,0)),"")</f>
        <v/>
      </c>
      <c r="W363" s="291">
        <f>IFERROR(INDEX('Historical Data'!$BC$2:$BC$1068,MATCH($A363,'Historical Data'!$BE$2:$BE$1068,0)),"")</f>
        <v/>
      </c>
      <c r="X363" s="290">
        <f>IF(B363="","",IF(W363=1,"NR + industry + position",IF(W363=2,"NR + ISO + position",IF(W363=3,"NR + industry",IF(W363=4,"NR + ISO",IF(W363=5,"NR + position",IF(W363=6,"NR only","book baseline"))))))&amp;"  ["&amp;IF(T363=1,"seasoned","unseasoned")&amp;IF(U363=1,", defaulted","")&amp;IF(V363=1,", open","")&amp;"]")</f>
        <v/>
      </c>
    </row>
    <row r="364">
      <c r="A364" s="290" t="n">
        <v>360</v>
      </c>
      <c r="B364" s="291">
        <f>IFERROR(INDEX('Historical Data'!$A$2:$A$1068,MATCH($A364,'Historical Data'!$BE$2:$BE$1068,0)),"")</f>
        <v/>
      </c>
      <c r="C364" s="291">
        <f>IFERROR(INDEX('Historical Data'!$B$2:$B$1068,MATCH($A364,'Historical Data'!$BE$2:$BE$1068,0)),"")</f>
        <v/>
      </c>
      <c r="D364" s="291">
        <f>IFERROR(INDEX('Historical Data'!$D$2:$D$1068,MATCH($A364,'Historical Data'!$BE$2:$BE$1068,0)),"")</f>
        <v/>
      </c>
      <c r="E364" s="292">
        <f>IFERROR(INDEX('Historical Data'!$E$2:$E$1068,MATCH($A364,'Historical Data'!$BE$2:$BE$1068,0)),"")</f>
        <v/>
      </c>
      <c r="F364" s="291">
        <f>IFERROR(INDEX('Historical Data'!$G$2:$G$1068,MATCH($A364,'Historical Data'!$BE$2:$BE$1068,0)),"")</f>
        <v/>
      </c>
      <c r="G364" s="291">
        <f>IFERROR(INDEX('Historical Data'!$Y$2:$Y$1068,MATCH($A364,'Historical Data'!$BE$2:$BE$1068,0)),"")</f>
        <v/>
      </c>
      <c r="H364" s="291">
        <f>IFERROR(INDEX('Historical Data'!$K$2:$K$1068,MATCH($A364,'Historical Data'!$BE$2:$BE$1068,0)),"")</f>
        <v/>
      </c>
      <c r="I364" s="291">
        <f>IFERROR(INDEX('Historical Data'!$J$2:$J$1068,MATCH($A364,'Historical Data'!$BE$2:$BE$1068,0)),"")</f>
        <v/>
      </c>
      <c r="J364" s="291">
        <f>IFERROR(INDEX('Historical Data'!$L$2:$L$1068,MATCH($A364,'Historical Data'!$BE$2:$BE$1068,0)),"")</f>
        <v/>
      </c>
      <c r="K364" s="293">
        <f>IFERROR(INDEX('Historical Data'!$M$2:$M$1068,MATCH($A364,'Historical Data'!$BE$2:$BE$1068,0)),"")</f>
        <v/>
      </c>
      <c r="L364" s="294">
        <f>IFERROR(INDEX('Historical Data'!$N$2:$N$1068,MATCH($A364,'Historical Data'!$BE$2:$BE$1068,0)),"")</f>
        <v/>
      </c>
      <c r="M364" s="294">
        <f>IFERROR(INDEX('Historical Data'!$Q$2:$Q$1068,MATCH($A364,'Historical Data'!$BE$2:$BE$1068,0)),"")</f>
        <v/>
      </c>
      <c r="N364" s="295">
        <f>IFERROR(INDEX('Historical Data'!$S$2:$S$1068,MATCH($A364,'Historical Data'!$BE$2:$BE$1068,0)),"")</f>
        <v/>
      </c>
      <c r="O364" s="294">
        <f>IFERROR(INDEX('Historical Data'!$AJ$2:$AJ$1068,MATCH($A364,'Historical Data'!$BE$2:$BE$1068,0)),"")</f>
        <v/>
      </c>
      <c r="P364" s="294">
        <f>IFERROR(INDEX('Historical Data'!$AK$2:$AK$1068,MATCH($A364,'Historical Data'!$BE$2:$BE$1068,0)),"")</f>
        <v/>
      </c>
      <c r="Q364" s="291">
        <f>IFERROR(INDEX('Historical Data'!$AA$2:$AA$1068,MATCH($A364,'Historical Data'!$BE$2:$BE$1068,0)),"")</f>
        <v/>
      </c>
      <c r="R364" s="291">
        <f>IFERROR(INDEX('Historical Data'!$AB$2:$AB$1068,MATCH($A364,'Historical Data'!$BE$2:$BE$1068,0)),"")</f>
        <v/>
      </c>
      <c r="S364" s="291">
        <f>IFERROR(INDEX('Historical Data'!$AN$2:$AN$1068,MATCH($A364,'Historical Data'!$BE$2:$BE$1068,0)),"")</f>
        <v/>
      </c>
      <c r="T364" s="291">
        <f>IFERROR(INDEX('Historical Data'!$AC$2:$AC$1068,MATCH($A364,'Historical Data'!$BE$2:$BE$1068,0)),"")</f>
        <v/>
      </c>
      <c r="U364" s="291">
        <f>IFERROR(INDEX('Historical Data'!$AE$2:$AE$1068,MATCH($A364,'Historical Data'!$BE$2:$BE$1068,0)),"")</f>
        <v/>
      </c>
      <c r="V364" s="291">
        <f>IFERROR(INDEX('Historical Data'!$AH$2:$AH$1068,MATCH($A364,'Historical Data'!$BE$2:$BE$1068,0)),"")</f>
        <v/>
      </c>
      <c r="W364" s="291">
        <f>IFERROR(INDEX('Historical Data'!$BC$2:$BC$1068,MATCH($A364,'Historical Data'!$BE$2:$BE$1068,0)),"")</f>
        <v/>
      </c>
      <c r="X364" s="290">
        <f>IF(B364="","",IF(W364=1,"NR + industry + position",IF(W364=2,"NR + ISO + position",IF(W364=3,"NR + industry",IF(W364=4,"NR + ISO",IF(W364=5,"NR + position",IF(W364=6,"NR only","book baseline"))))))&amp;"  ["&amp;IF(T364=1,"seasoned","unseasoned")&amp;IF(U364=1,", defaulted","")&amp;IF(V364=1,", open","")&amp;"]")</f>
        <v/>
      </c>
    </row>
    <row r="365">
      <c r="A365" s="290" t="n">
        <v>361</v>
      </c>
      <c r="B365" s="291">
        <f>IFERROR(INDEX('Historical Data'!$A$2:$A$1068,MATCH($A365,'Historical Data'!$BE$2:$BE$1068,0)),"")</f>
        <v/>
      </c>
      <c r="C365" s="291">
        <f>IFERROR(INDEX('Historical Data'!$B$2:$B$1068,MATCH($A365,'Historical Data'!$BE$2:$BE$1068,0)),"")</f>
        <v/>
      </c>
      <c r="D365" s="291">
        <f>IFERROR(INDEX('Historical Data'!$D$2:$D$1068,MATCH($A365,'Historical Data'!$BE$2:$BE$1068,0)),"")</f>
        <v/>
      </c>
      <c r="E365" s="292">
        <f>IFERROR(INDEX('Historical Data'!$E$2:$E$1068,MATCH($A365,'Historical Data'!$BE$2:$BE$1068,0)),"")</f>
        <v/>
      </c>
      <c r="F365" s="291">
        <f>IFERROR(INDEX('Historical Data'!$G$2:$G$1068,MATCH($A365,'Historical Data'!$BE$2:$BE$1068,0)),"")</f>
        <v/>
      </c>
      <c r="G365" s="291">
        <f>IFERROR(INDEX('Historical Data'!$Y$2:$Y$1068,MATCH($A365,'Historical Data'!$BE$2:$BE$1068,0)),"")</f>
        <v/>
      </c>
      <c r="H365" s="291">
        <f>IFERROR(INDEX('Historical Data'!$K$2:$K$1068,MATCH($A365,'Historical Data'!$BE$2:$BE$1068,0)),"")</f>
        <v/>
      </c>
      <c r="I365" s="291">
        <f>IFERROR(INDEX('Historical Data'!$J$2:$J$1068,MATCH($A365,'Historical Data'!$BE$2:$BE$1068,0)),"")</f>
        <v/>
      </c>
      <c r="J365" s="291">
        <f>IFERROR(INDEX('Historical Data'!$L$2:$L$1068,MATCH($A365,'Historical Data'!$BE$2:$BE$1068,0)),"")</f>
        <v/>
      </c>
      <c r="K365" s="293">
        <f>IFERROR(INDEX('Historical Data'!$M$2:$M$1068,MATCH($A365,'Historical Data'!$BE$2:$BE$1068,0)),"")</f>
        <v/>
      </c>
      <c r="L365" s="294">
        <f>IFERROR(INDEX('Historical Data'!$N$2:$N$1068,MATCH($A365,'Historical Data'!$BE$2:$BE$1068,0)),"")</f>
        <v/>
      </c>
      <c r="M365" s="294">
        <f>IFERROR(INDEX('Historical Data'!$Q$2:$Q$1068,MATCH($A365,'Historical Data'!$BE$2:$BE$1068,0)),"")</f>
        <v/>
      </c>
      <c r="N365" s="295">
        <f>IFERROR(INDEX('Historical Data'!$S$2:$S$1068,MATCH($A365,'Historical Data'!$BE$2:$BE$1068,0)),"")</f>
        <v/>
      </c>
      <c r="O365" s="294">
        <f>IFERROR(INDEX('Historical Data'!$AJ$2:$AJ$1068,MATCH($A365,'Historical Data'!$BE$2:$BE$1068,0)),"")</f>
        <v/>
      </c>
      <c r="P365" s="294">
        <f>IFERROR(INDEX('Historical Data'!$AK$2:$AK$1068,MATCH($A365,'Historical Data'!$BE$2:$BE$1068,0)),"")</f>
        <v/>
      </c>
      <c r="Q365" s="291">
        <f>IFERROR(INDEX('Historical Data'!$AA$2:$AA$1068,MATCH($A365,'Historical Data'!$BE$2:$BE$1068,0)),"")</f>
        <v/>
      </c>
      <c r="R365" s="291">
        <f>IFERROR(INDEX('Historical Data'!$AB$2:$AB$1068,MATCH($A365,'Historical Data'!$BE$2:$BE$1068,0)),"")</f>
        <v/>
      </c>
      <c r="S365" s="291">
        <f>IFERROR(INDEX('Historical Data'!$AN$2:$AN$1068,MATCH($A365,'Historical Data'!$BE$2:$BE$1068,0)),"")</f>
        <v/>
      </c>
      <c r="T365" s="291">
        <f>IFERROR(INDEX('Historical Data'!$AC$2:$AC$1068,MATCH($A365,'Historical Data'!$BE$2:$BE$1068,0)),"")</f>
        <v/>
      </c>
      <c r="U365" s="291">
        <f>IFERROR(INDEX('Historical Data'!$AE$2:$AE$1068,MATCH($A365,'Historical Data'!$BE$2:$BE$1068,0)),"")</f>
        <v/>
      </c>
      <c r="V365" s="291">
        <f>IFERROR(INDEX('Historical Data'!$AH$2:$AH$1068,MATCH($A365,'Historical Data'!$BE$2:$BE$1068,0)),"")</f>
        <v/>
      </c>
      <c r="W365" s="291">
        <f>IFERROR(INDEX('Historical Data'!$BC$2:$BC$1068,MATCH($A365,'Historical Data'!$BE$2:$BE$1068,0)),"")</f>
        <v/>
      </c>
      <c r="X365" s="290">
        <f>IF(B365="","",IF(W365=1,"NR + industry + position",IF(W365=2,"NR + ISO + position",IF(W365=3,"NR + industry",IF(W365=4,"NR + ISO",IF(W365=5,"NR + position",IF(W365=6,"NR only","book baseline"))))))&amp;"  ["&amp;IF(T365=1,"seasoned","unseasoned")&amp;IF(U365=1,", defaulted","")&amp;IF(V365=1,", open","")&amp;"]")</f>
        <v/>
      </c>
    </row>
    <row r="366">
      <c r="A366" s="290" t="n">
        <v>362</v>
      </c>
      <c r="B366" s="291">
        <f>IFERROR(INDEX('Historical Data'!$A$2:$A$1068,MATCH($A366,'Historical Data'!$BE$2:$BE$1068,0)),"")</f>
        <v/>
      </c>
      <c r="C366" s="291">
        <f>IFERROR(INDEX('Historical Data'!$B$2:$B$1068,MATCH($A366,'Historical Data'!$BE$2:$BE$1068,0)),"")</f>
        <v/>
      </c>
      <c r="D366" s="291">
        <f>IFERROR(INDEX('Historical Data'!$D$2:$D$1068,MATCH($A366,'Historical Data'!$BE$2:$BE$1068,0)),"")</f>
        <v/>
      </c>
      <c r="E366" s="292">
        <f>IFERROR(INDEX('Historical Data'!$E$2:$E$1068,MATCH($A366,'Historical Data'!$BE$2:$BE$1068,0)),"")</f>
        <v/>
      </c>
      <c r="F366" s="291">
        <f>IFERROR(INDEX('Historical Data'!$G$2:$G$1068,MATCH($A366,'Historical Data'!$BE$2:$BE$1068,0)),"")</f>
        <v/>
      </c>
      <c r="G366" s="291">
        <f>IFERROR(INDEX('Historical Data'!$Y$2:$Y$1068,MATCH($A366,'Historical Data'!$BE$2:$BE$1068,0)),"")</f>
        <v/>
      </c>
      <c r="H366" s="291">
        <f>IFERROR(INDEX('Historical Data'!$K$2:$K$1068,MATCH($A366,'Historical Data'!$BE$2:$BE$1068,0)),"")</f>
        <v/>
      </c>
      <c r="I366" s="291">
        <f>IFERROR(INDEX('Historical Data'!$J$2:$J$1068,MATCH($A366,'Historical Data'!$BE$2:$BE$1068,0)),"")</f>
        <v/>
      </c>
      <c r="J366" s="291">
        <f>IFERROR(INDEX('Historical Data'!$L$2:$L$1068,MATCH($A366,'Historical Data'!$BE$2:$BE$1068,0)),"")</f>
        <v/>
      </c>
      <c r="K366" s="293">
        <f>IFERROR(INDEX('Historical Data'!$M$2:$M$1068,MATCH($A366,'Historical Data'!$BE$2:$BE$1068,0)),"")</f>
        <v/>
      </c>
      <c r="L366" s="294">
        <f>IFERROR(INDEX('Historical Data'!$N$2:$N$1068,MATCH($A366,'Historical Data'!$BE$2:$BE$1068,0)),"")</f>
        <v/>
      </c>
      <c r="M366" s="294">
        <f>IFERROR(INDEX('Historical Data'!$Q$2:$Q$1068,MATCH($A366,'Historical Data'!$BE$2:$BE$1068,0)),"")</f>
        <v/>
      </c>
      <c r="N366" s="295">
        <f>IFERROR(INDEX('Historical Data'!$S$2:$S$1068,MATCH($A366,'Historical Data'!$BE$2:$BE$1068,0)),"")</f>
        <v/>
      </c>
      <c r="O366" s="294">
        <f>IFERROR(INDEX('Historical Data'!$AJ$2:$AJ$1068,MATCH($A366,'Historical Data'!$BE$2:$BE$1068,0)),"")</f>
        <v/>
      </c>
      <c r="P366" s="294">
        <f>IFERROR(INDEX('Historical Data'!$AK$2:$AK$1068,MATCH($A366,'Historical Data'!$BE$2:$BE$1068,0)),"")</f>
        <v/>
      </c>
      <c r="Q366" s="291">
        <f>IFERROR(INDEX('Historical Data'!$AA$2:$AA$1068,MATCH($A366,'Historical Data'!$BE$2:$BE$1068,0)),"")</f>
        <v/>
      </c>
      <c r="R366" s="291">
        <f>IFERROR(INDEX('Historical Data'!$AB$2:$AB$1068,MATCH($A366,'Historical Data'!$BE$2:$BE$1068,0)),"")</f>
        <v/>
      </c>
      <c r="S366" s="291">
        <f>IFERROR(INDEX('Historical Data'!$AN$2:$AN$1068,MATCH($A366,'Historical Data'!$BE$2:$BE$1068,0)),"")</f>
        <v/>
      </c>
      <c r="T366" s="291">
        <f>IFERROR(INDEX('Historical Data'!$AC$2:$AC$1068,MATCH($A366,'Historical Data'!$BE$2:$BE$1068,0)),"")</f>
        <v/>
      </c>
      <c r="U366" s="291">
        <f>IFERROR(INDEX('Historical Data'!$AE$2:$AE$1068,MATCH($A366,'Historical Data'!$BE$2:$BE$1068,0)),"")</f>
        <v/>
      </c>
      <c r="V366" s="291">
        <f>IFERROR(INDEX('Historical Data'!$AH$2:$AH$1068,MATCH($A366,'Historical Data'!$BE$2:$BE$1068,0)),"")</f>
        <v/>
      </c>
      <c r="W366" s="291">
        <f>IFERROR(INDEX('Historical Data'!$BC$2:$BC$1068,MATCH($A366,'Historical Data'!$BE$2:$BE$1068,0)),"")</f>
        <v/>
      </c>
      <c r="X366" s="290">
        <f>IF(B366="","",IF(W366=1,"NR + industry + position",IF(W366=2,"NR + ISO + position",IF(W366=3,"NR + industry",IF(W366=4,"NR + ISO",IF(W366=5,"NR + position",IF(W366=6,"NR only","book baseline"))))))&amp;"  ["&amp;IF(T366=1,"seasoned","unseasoned")&amp;IF(U366=1,", defaulted","")&amp;IF(V366=1,", open","")&amp;"]")</f>
        <v/>
      </c>
    </row>
    <row r="367">
      <c r="A367" s="290" t="n">
        <v>363</v>
      </c>
      <c r="B367" s="291">
        <f>IFERROR(INDEX('Historical Data'!$A$2:$A$1068,MATCH($A367,'Historical Data'!$BE$2:$BE$1068,0)),"")</f>
        <v/>
      </c>
      <c r="C367" s="291">
        <f>IFERROR(INDEX('Historical Data'!$B$2:$B$1068,MATCH($A367,'Historical Data'!$BE$2:$BE$1068,0)),"")</f>
        <v/>
      </c>
      <c r="D367" s="291">
        <f>IFERROR(INDEX('Historical Data'!$D$2:$D$1068,MATCH($A367,'Historical Data'!$BE$2:$BE$1068,0)),"")</f>
        <v/>
      </c>
      <c r="E367" s="292">
        <f>IFERROR(INDEX('Historical Data'!$E$2:$E$1068,MATCH($A367,'Historical Data'!$BE$2:$BE$1068,0)),"")</f>
        <v/>
      </c>
      <c r="F367" s="291">
        <f>IFERROR(INDEX('Historical Data'!$G$2:$G$1068,MATCH($A367,'Historical Data'!$BE$2:$BE$1068,0)),"")</f>
        <v/>
      </c>
      <c r="G367" s="291">
        <f>IFERROR(INDEX('Historical Data'!$Y$2:$Y$1068,MATCH($A367,'Historical Data'!$BE$2:$BE$1068,0)),"")</f>
        <v/>
      </c>
      <c r="H367" s="291">
        <f>IFERROR(INDEX('Historical Data'!$K$2:$K$1068,MATCH($A367,'Historical Data'!$BE$2:$BE$1068,0)),"")</f>
        <v/>
      </c>
      <c r="I367" s="291">
        <f>IFERROR(INDEX('Historical Data'!$J$2:$J$1068,MATCH($A367,'Historical Data'!$BE$2:$BE$1068,0)),"")</f>
        <v/>
      </c>
      <c r="J367" s="291">
        <f>IFERROR(INDEX('Historical Data'!$L$2:$L$1068,MATCH($A367,'Historical Data'!$BE$2:$BE$1068,0)),"")</f>
        <v/>
      </c>
      <c r="K367" s="293">
        <f>IFERROR(INDEX('Historical Data'!$M$2:$M$1068,MATCH($A367,'Historical Data'!$BE$2:$BE$1068,0)),"")</f>
        <v/>
      </c>
      <c r="L367" s="294">
        <f>IFERROR(INDEX('Historical Data'!$N$2:$N$1068,MATCH($A367,'Historical Data'!$BE$2:$BE$1068,0)),"")</f>
        <v/>
      </c>
      <c r="M367" s="294">
        <f>IFERROR(INDEX('Historical Data'!$Q$2:$Q$1068,MATCH($A367,'Historical Data'!$BE$2:$BE$1068,0)),"")</f>
        <v/>
      </c>
      <c r="N367" s="295">
        <f>IFERROR(INDEX('Historical Data'!$S$2:$S$1068,MATCH($A367,'Historical Data'!$BE$2:$BE$1068,0)),"")</f>
        <v/>
      </c>
      <c r="O367" s="294">
        <f>IFERROR(INDEX('Historical Data'!$AJ$2:$AJ$1068,MATCH($A367,'Historical Data'!$BE$2:$BE$1068,0)),"")</f>
        <v/>
      </c>
      <c r="P367" s="294">
        <f>IFERROR(INDEX('Historical Data'!$AK$2:$AK$1068,MATCH($A367,'Historical Data'!$BE$2:$BE$1068,0)),"")</f>
        <v/>
      </c>
      <c r="Q367" s="291">
        <f>IFERROR(INDEX('Historical Data'!$AA$2:$AA$1068,MATCH($A367,'Historical Data'!$BE$2:$BE$1068,0)),"")</f>
        <v/>
      </c>
      <c r="R367" s="291">
        <f>IFERROR(INDEX('Historical Data'!$AB$2:$AB$1068,MATCH($A367,'Historical Data'!$BE$2:$BE$1068,0)),"")</f>
        <v/>
      </c>
      <c r="S367" s="291">
        <f>IFERROR(INDEX('Historical Data'!$AN$2:$AN$1068,MATCH($A367,'Historical Data'!$BE$2:$BE$1068,0)),"")</f>
        <v/>
      </c>
      <c r="T367" s="291">
        <f>IFERROR(INDEX('Historical Data'!$AC$2:$AC$1068,MATCH($A367,'Historical Data'!$BE$2:$BE$1068,0)),"")</f>
        <v/>
      </c>
      <c r="U367" s="291">
        <f>IFERROR(INDEX('Historical Data'!$AE$2:$AE$1068,MATCH($A367,'Historical Data'!$BE$2:$BE$1068,0)),"")</f>
        <v/>
      </c>
      <c r="V367" s="291">
        <f>IFERROR(INDEX('Historical Data'!$AH$2:$AH$1068,MATCH($A367,'Historical Data'!$BE$2:$BE$1068,0)),"")</f>
        <v/>
      </c>
      <c r="W367" s="291">
        <f>IFERROR(INDEX('Historical Data'!$BC$2:$BC$1068,MATCH($A367,'Historical Data'!$BE$2:$BE$1068,0)),"")</f>
        <v/>
      </c>
      <c r="X367" s="290">
        <f>IF(B367="","",IF(W367=1,"NR + industry + position",IF(W367=2,"NR + ISO + position",IF(W367=3,"NR + industry",IF(W367=4,"NR + ISO",IF(W367=5,"NR + position",IF(W367=6,"NR only","book baseline"))))))&amp;"  ["&amp;IF(T367=1,"seasoned","unseasoned")&amp;IF(U367=1,", defaulted","")&amp;IF(V367=1,", open","")&amp;"]")</f>
        <v/>
      </c>
    </row>
    <row r="368">
      <c r="A368" s="290" t="n">
        <v>364</v>
      </c>
      <c r="B368" s="291">
        <f>IFERROR(INDEX('Historical Data'!$A$2:$A$1068,MATCH($A368,'Historical Data'!$BE$2:$BE$1068,0)),"")</f>
        <v/>
      </c>
      <c r="C368" s="291">
        <f>IFERROR(INDEX('Historical Data'!$B$2:$B$1068,MATCH($A368,'Historical Data'!$BE$2:$BE$1068,0)),"")</f>
        <v/>
      </c>
      <c r="D368" s="291">
        <f>IFERROR(INDEX('Historical Data'!$D$2:$D$1068,MATCH($A368,'Historical Data'!$BE$2:$BE$1068,0)),"")</f>
        <v/>
      </c>
      <c r="E368" s="292">
        <f>IFERROR(INDEX('Historical Data'!$E$2:$E$1068,MATCH($A368,'Historical Data'!$BE$2:$BE$1068,0)),"")</f>
        <v/>
      </c>
      <c r="F368" s="291">
        <f>IFERROR(INDEX('Historical Data'!$G$2:$G$1068,MATCH($A368,'Historical Data'!$BE$2:$BE$1068,0)),"")</f>
        <v/>
      </c>
      <c r="G368" s="291">
        <f>IFERROR(INDEX('Historical Data'!$Y$2:$Y$1068,MATCH($A368,'Historical Data'!$BE$2:$BE$1068,0)),"")</f>
        <v/>
      </c>
      <c r="H368" s="291">
        <f>IFERROR(INDEX('Historical Data'!$K$2:$K$1068,MATCH($A368,'Historical Data'!$BE$2:$BE$1068,0)),"")</f>
        <v/>
      </c>
      <c r="I368" s="291">
        <f>IFERROR(INDEX('Historical Data'!$J$2:$J$1068,MATCH($A368,'Historical Data'!$BE$2:$BE$1068,0)),"")</f>
        <v/>
      </c>
      <c r="J368" s="291">
        <f>IFERROR(INDEX('Historical Data'!$L$2:$L$1068,MATCH($A368,'Historical Data'!$BE$2:$BE$1068,0)),"")</f>
        <v/>
      </c>
      <c r="K368" s="293">
        <f>IFERROR(INDEX('Historical Data'!$M$2:$M$1068,MATCH($A368,'Historical Data'!$BE$2:$BE$1068,0)),"")</f>
        <v/>
      </c>
      <c r="L368" s="294">
        <f>IFERROR(INDEX('Historical Data'!$N$2:$N$1068,MATCH($A368,'Historical Data'!$BE$2:$BE$1068,0)),"")</f>
        <v/>
      </c>
      <c r="M368" s="294">
        <f>IFERROR(INDEX('Historical Data'!$Q$2:$Q$1068,MATCH($A368,'Historical Data'!$BE$2:$BE$1068,0)),"")</f>
        <v/>
      </c>
      <c r="N368" s="295">
        <f>IFERROR(INDEX('Historical Data'!$S$2:$S$1068,MATCH($A368,'Historical Data'!$BE$2:$BE$1068,0)),"")</f>
        <v/>
      </c>
      <c r="O368" s="294">
        <f>IFERROR(INDEX('Historical Data'!$AJ$2:$AJ$1068,MATCH($A368,'Historical Data'!$BE$2:$BE$1068,0)),"")</f>
        <v/>
      </c>
      <c r="P368" s="294">
        <f>IFERROR(INDEX('Historical Data'!$AK$2:$AK$1068,MATCH($A368,'Historical Data'!$BE$2:$BE$1068,0)),"")</f>
        <v/>
      </c>
      <c r="Q368" s="291">
        <f>IFERROR(INDEX('Historical Data'!$AA$2:$AA$1068,MATCH($A368,'Historical Data'!$BE$2:$BE$1068,0)),"")</f>
        <v/>
      </c>
      <c r="R368" s="291">
        <f>IFERROR(INDEX('Historical Data'!$AB$2:$AB$1068,MATCH($A368,'Historical Data'!$BE$2:$BE$1068,0)),"")</f>
        <v/>
      </c>
      <c r="S368" s="291">
        <f>IFERROR(INDEX('Historical Data'!$AN$2:$AN$1068,MATCH($A368,'Historical Data'!$BE$2:$BE$1068,0)),"")</f>
        <v/>
      </c>
      <c r="T368" s="291">
        <f>IFERROR(INDEX('Historical Data'!$AC$2:$AC$1068,MATCH($A368,'Historical Data'!$BE$2:$BE$1068,0)),"")</f>
        <v/>
      </c>
      <c r="U368" s="291">
        <f>IFERROR(INDEX('Historical Data'!$AE$2:$AE$1068,MATCH($A368,'Historical Data'!$BE$2:$BE$1068,0)),"")</f>
        <v/>
      </c>
      <c r="V368" s="291">
        <f>IFERROR(INDEX('Historical Data'!$AH$2:$AH$1068,MATCH($A368,'Historical Data'!$BE$2:$BE$1068,0)),"")</f>
        <v/>
      </c>
      <c r="W368" s="291">
        <f>IFERROR(INDEX('Historical Data'!$BC$2:$BC$1068,MATCH($A368,'Historical Data'!$BE$2:$BE$1068,0)),"")</f>
        <v/>
      </c>
      <c r="X368" s="290">
        <f>IF(B368="","",IF(W368=1,"NR + industry + position",IF(W368=2,"NR + ISO + position",IF(W368=3,"NR + industry",IF(W368=4,"NR + ISO",IF(W368=5,"NR + position",IF(W368=6,"NR only","book baseline"))))))&amp;"  ["&amp;IF(T368=1,"seasoned","unseasoned")&amp;IF(U368=1,", defaulted","")&amp;IF(V368=1,", open","")&amp;"]")</f>
        <v/>
      </c>
    </row>
    <row r="369">
      <c r="A369" s="290" t="n">
        <v>365</v>
      </c>
      <c r="B369" s="291">
        <f>IFERROR(INDEX('Historical Data'!$A$2:$A$1068,MATCH($A369,'Historical Data'!$BE$2:$BE$1068,0)),"")</f>
        <v/>
      </c>
      <c r="C369" s="291">
        <f>IFERROR(INDEX('Historical Data'!$B$2:$B$1068,MATCH($A369,'Historical Data'!$BE$2:$BE$1068,0)),"")</f>
        <v/>
      </c>
      <c r="D369" s="291">
        <f>IFERROR(INDEX('Historical Data'!$D$2:$D$1068,MATCH($A369,'Historical Data'!$BE$2:$BE$1068,0)),"")</f>
        <v/>
      </c>
      <c r="E369" s="292">
        <f>IFERROR(INDEX('Historical Data'!$E$2:$E$1068,MATCH($A369,'Historical Data'!$BE$2:$BE$1068,0)),"")</f>
        <v/>
      </c>
      <c r="F369" s="291">
        <f>IFERROR(INDEX('Historical Data'!$G$2:$G$1068,MATCH($A369,'Historical Data'!$BE$2:$BE$1068,0)),"")</f>
        <v/>
      </c>
      <c r="G369" s="291">
        <f>IFERROR(INDEX('Historical Data'!$Y$2:$Y$1068,MATCH($A369,'Historical Data'!$BE$2:$BE$1068,0)),"")</f>
        <v/>
      </c>
      <c r="H369" s="291">
        <f>IFERROR(INDEX('Historical Data'!$K$2:$K$1068,MATCH($A369,'Historical Data'!$BE$2:$BE$1068,0)),"")</f>
        <v/>
      </c>
      <c r="I369" s="291">
        <f>IFERROR(INDEX('Historical Data'!$J$2:$J$1068,MATCH($A369,'Historical Data'!$BE$2:$BE$1068,0)),"")</f>
        <v/>
      </c>
      <c r="J369" s="291">
        <f>IFERROR(INDEX('Historical Data'!$L$2:$L$1068,MATCH($A369,'Historical Data'!$BE$2:$BE$1068,0)),"")</f>
        <v/>
      </c>
      <c r="K369" s="293">
        <f>IFERROR(INDEX('Historical Data'!$M$2:$M$1068,MATCH($A369,'Historical Data'!$BE$2:$BE$1068,0)),"")</f>
        <v/>
      </c>
      <c r="L369" s="294">
        <f>IFERROR(INDEX('Historical Data'!$N$2:$N$1068,MATCH($A369,'Historical Data'!$BE$2:$BE$1068,0)),"")</f>
        <v/>
      </c>
      <c r="M369" s="294">
        <f>IFERROR(INDEX('Historical Data'!$Q$2:$Q$1068,MATCH($A369,'Historical Data'!$BE$2:$BE$1068,0)),"")</f>
        <v/>
      </c>
      <c r="N369" s="295">
        <f>IFERROR(INDEX('Historical Data'!$S$2:$S$1068,MATCH($A369,'Historical Data'!$BE$2:$BE$1068,0)),"")</f>
        <v/>
      </c>
      <c r="O369" s="294">
        <f>IFERROR(INDEX('Historical Data'!$AJ$2:$AJ$1068,MATCH($A369,'Historical Data'!$BE$2:$BE$1068,0)),"")</f>
        <v/>
      </c>
      <c r="P369" s="294">
        <f>IFERROR(INDEX('Historical Data'!$AK$2:$AK$1068,MATCH($A369,'Historical Data'!$BE$2:$BE$1068,0)),"")</f>
        <v/>
      </c>
      <c r="Q369" s="291">
        <f>IFERROR(INDEX('Historical Data'!$AA$2:$AA$1068,MATCH($A369,'Historical Data'!$BE$2:$BE$1068,0)),"")</f>
        <v/>
      </c>
      <c r="R369" s="291">
        <f>IFERROR(INDEX('Historical Data'!$AB$2:$AB$1068,MATCH($A369,'Historical Data'!$BE$2:$BE$1068,0)),"")</f>
        <v/>
      </c>
      <c r="S369" s="291">
        <f>IFERROR(INDEX('Historical Data'!$AN$2:$AN$1068,MATCH($A369,'Historical Data'!$BE$2:$BE$1068,0)),"")</f>
        <v/>
      </c>
      <c r="T369" s="291">
        <f>IFERROR(INDEX('Historical Data'!$AC$2:$AC$1068,MATCH($A369,'Historical Data'!$BE$2:$BE$1068,0)),"")</f>
        <v/>
      </c>
      <c r="U369" s="291">
        <f>IFERROR(INDEX('Historical Data'!$AE$2:$AE$1068,MATCH($A369,'Historical Data'!$BE$2:$BE$1068,0)),"")</f>
        <v/>
      </c>
      <c r="V369" s="291">
        <f>IFERROR(INDEX('Historical Data'!$AH$2:$AH$1068,MATCH($A369,'Historical Data'!$BE$2:$BE$1068,0)),"")</f>
        <v/>
      </c>
      <c r="W369" s="291">
        <f>IFERROR(INDEX('Historical Data'!$BC$2:$BC$1068,MATCH($A369,'Historical Data'!$BE$2:$BE$1068,0)),"")</f>
        <v/>
      </c>
      <c r="X369" s="290">
        <f>IF(B369="","",IF(W369=1,"NR + industry + position",IF(W369=2,"NR + ISO + position",IF(W369=3,"NR + industry",IF(W369=4,"NR + ISO",IF(W369=5,"NR + position",IF(W369=6,"NR only","book baseline"))))))&amp;"  ["&amp;IF(T369=1,"seasoned","unseasoned")&amp;IF(U369=1,", defaulted","")&amp;IF(V369=1,", open","")&amp;"]")</f>
        <v/>
      </c>
    </row>
    <row r="370">
      <c r="A370" s="290" t="n">
        <v>366</v>
      </c>
      <c r="B370" s="291">
        <f>IFERROR(INDEX('Historical Data'!$A$2:$A$1068,MATCH($A370,'Historical Data'!$BE$2:$BE$1068,0)),"")</f>
        <v/>
      </c>
      <c r="C370" s="291">
        <f>IFERROR(INDEX('Historical Data'!$B$2:$B$1068,MATCH($A370,'Historical Data'!$BE$2:$BE$1068,0)),"")</f>
        <v/>
      </c>
      <c r="D370" s="291">
        <f>IFERROR(INDEX('Historical Data'!$D$2:$D$1068,MATCH($A370,'Historical Data'!$BE$2:$BE$1068,0)),"")</f>
        <v/>
      </c>
      <c r="E370" s="292">
        <f>IFERROR(INDEX('Historical Data'!$E$2:$E$1068,MATCH($A370,'Historical Data'!$BE$2:$BE$1068,0)),"")</f>
        <v/>
      </c>
      <c r="F370" s="291">
        <f>IFERROR(INDEX('Historical Data'!$G$2:$G$1068,MATCH($A370,'Historical Data'!$BE$2:$BE$1068,0)),"")</f>
        <v/>
      </c>
      <c r="G370" s="291">
        <f>IFERROR(INDEX('Historical Data'!$Y$2:$Y$1068,MATCH($A370,'Historical Data'!$BE$2:$BE$1068,0)),"")</f>
        <v/>
      </c>
      <c r="H370" s="291">
        <f>IFERROR(INDEX('Historical Data'!$K$2:$K$1068,MATCH($A370,'Historical Data'!$BE$2:$BE$1068,0)),"")</f>
        <v/>
      </c>
      <c r="I370" s="291">
        <f>IFERROR(INDEX('Historical Data'!$J$2:$J$1068,MATCH($A370,'Historical Data'!$BE$2:$BE$1068,0)),"")</f>
        <v/>
      </c>
      <c r="J370" s="291">
        <f>IFERROR(INDEX('Historical Data'!$L$2:$L$1068,MATCH($A370,'Historical Data'!$BE$2:$BE$1068,0)),"")</f>
        <v/>
      </c>
      <c r="K370" s="293">
        <f>IFERROR(INDEX('Historical Data'!$M$2:$M$1068,MATCH($A370,'Historical Data'!$BE$2:$BE$1068,0)),"")</f>
        <v/>
      </c>
      <c r="L370" s="294">
        <f>IFERROR(INDEX('Historical Data'!$N$2:$N$1068,MATCH($A370,'Historical Data'!$BE$2:$BE$1068,0)),"")</f>
        <v/>
      </c>
      <c r="M370" s="294">
        <f>IFERROR(INDEX('Historical Data'!$Q$2:$Q$1068,MATCH($A370,'Historical Data'!$BE$2:$BE$1068,0)),"")</f>
        <v/>
      </c>
      <c r="N370" s="295">
        <f>IFERROR(INDEX('Historical Data'!$S$2:$S$1068,MATCH($A370,'Historical Data'!$BE$2:$BE$1068,0)),"")</f>
        <v/>
      </c>
      <c r="O370" s="294">
        <f>IFERROR(INDEX('Historical Data'!$AJ$2:$AJ$1068,MATCH($A370,'Historical Data'!$BE$2:$BE$1068,0)),"")</f>
        <v/>
      </c>
      <c r="P370" s="294">
        <f>IFERROR(INDEX('Historical Data'!$AK$2:$AK$1068,MATCH($A370,'Historical Data'!$BE$2:$BE$1068,0)),"")</f>
        <v/>
      </c>
      <c r="Q370" s="291">
        <f>IFERROR(INDEX('Historical Data'!$AA$2:$AA$1068,MATCH($A370,'Historical Data'!$BE$2:$BE$1068,0)),"")</f>
        <v/>
      </c>
      <c r="R370" s="291">
        <f>IFERROR(INDEX('Historical Data'!$AB$2:$AB$1068,MATCH($A370,'Historical Data'!$BE$2:$BE$1068,0)),"")</f>
        <v/>
      </c>
      <c r="S370" s="291">
        <f>IFERROR(INDEX('Historical Data'!$AN$2:$AN$1068,MATCH($A370,'Historical Data'!$BE$2:$BE$1068,0)),"")</f>
        <v/>
      </c>
      <c r="T370" s="291">
        <f>IFERROR(INDEX('Historical Data'!$AC$2:$AC$1068,MATCH($A370,'Historical Data'!$BE$2:$BE$1068,0)),"")</f>
        <v/>
      </c>
      <c r="U370" s="291">
        <f>IFERROR(INDEX('Historical Data'!$AE$2:$AE$1068,MATCH($A370,'Historical Data'!$BE$2:$BE$1068,0)),"")</f>
        <v/>
      </c>
      <c r="V370" s="291">
        <f>IFERROR(INDEX('Historical Data'!$AH$2:$AH$1068,MATCH($A370,'Historical Data'!$BE$2:$BE$1068,0)),"")</f>
        <v/>
      </c>
      <c r="W370" s="291">
        <f>IFERROR(INDEX('Historical Data'!$BC$2:$BC$1068,MATCH($A370,'Historical Data'!$BE$2:$BE$1068,0)),"")</f>
        <v/>
      </c>
      <c r="X370" s="290">
        <f>IF(B370="","",IF(W370=1,"NR + industry + position",IF(W370=2,"NR + ISO + position",IF(W370=3,"NR + industry",IF(W370=4,"NR + ISO",IF(W370=5,"NR + position",IF(W370=6,"NR only","book baseline"))))))&amp;"  ["&amp;IF(T370=1,"seasoned","unseasoned")&amp;IF(U370=1,", defaulted","")&amp;IF(V370=1,", open","")&amp;"]")</f>
        <v/>
      </c>
    </row>
    <row r="371">
      <c r="A371" s="290" t="n">
        <v>367</v>
      </c>
      <c r="B371" s="291">
        <f>IFERROR(INDEX('Historical Data'!$A$2:$A$1068,MATCH($A371,'Historical Data'!$BE$2:$BE$1068,0)),"")</f>
        <v/>
      </c>
      <c r="C371" s="291">
        <f>IFERROR(INDEX('Historical Data'!$B$2:$B$1068,MATCH($A371,'Historical Data'!$BE$2:$BE$1068,0)),"")</f>
        <v/>
      </c>
      <c r="D371" s="291">
        <f>IFERROR(INDEX('Historical Data'!$D$2:$D$1068,MATCH($A371,'Historical Data'!$BE$2:$BE$1068,0)),"")</f>
        <v/>
      </c>
      <c r="E371" s="292">
        <f>IFERROR(INDEX('Historical Data'!$E$2:$E$1068,MATCH($A371,'Historical Data'!$BE$2:$BE$1068,0)),"")</f>
        <v/>
      </c>
      <c r="F371" s="291">
        <f>IFERROR(INDEX('Historical Data'!$G$2:$G$1068,MATCH($A371,'Historical Data'!$BE$2:$BE$1068,0)),"")</f>
        <v/>
      </c>
      <c r="G371" s="291">
        <f>IFERROR(INDEX('Historical Data'!$Y$2:$Y$1068,MATCH($A371,'Historical Data'!$BE$2:$BE$1068,0)),"")</f>
        <v/>
      </c>
      <c r="H371" s="291">
        <f>IFERROR(INDEX('Historical Data'!$K$2:$K$1068,MATCH($A371,'Historical Data'!$BE$2:$BE$1068,0)),"")</f>
        <v/>
      </c>
      <c r="I371" s="291">
        <f>IFERROR(INDEX('Historical Data'!$J$2:$J$1068,MATCH($A371,'Historical Data'!$BE$2:$BE$1068,0)),"")</f>
        <v/>
      </c>
      <c r="J371" s="291">
        <f>IFERROR(INDEX('Historical Data'!$L$2:$L$1068,MATCH($A371,'Historical Data'!$BE$2:$BE$1068,0)),"")</f>
        <v/>
      </c>
      <c r="K371" s="293">
        <f>IFERROR(INDEX('Historical Data'!$M$2:$M$1068,MATCH($A371,'Historical Data'!$BE$2:$BE$1068,0)),"")</f>
        <v/>
      </c>
      <c r="L371" s="294">
        <f>IFERROR(INDEX('Historical Data'!$N$2:$N$1068,MATCH($A371,'Historical Data'!$BE$2:$BE$1068,0)),"")</f>
        <v/>
      </c>
      <c r="M371" s="294">
        <f>IFERROR(INDEX('Historical Data'!$Q$2:$Q$1068,MATCH($A371,'Historical Data'!$BE$2:$BE$1068,0)),"")</f>
        <v/>
      </c>
      <c r="N371" s="295">
        <f>IFERROR(INDEX('Historical Data'!$S$2:$S$1068,MATCH($A371,'Historical Data'!$BE$2:$BE$1068,0)),"")</f>
        <v/>
      </c>
      <c r="O371" s="294">
        <f>IFERROR(INDEX('Historical Data'!$AJ$2:$AJ$1068,MATCH($A371,'Historical Data'!$BE$2:$BE$1068,0)),"")</f>
        <v/>
      </c>
      <c r="P371" s="294">
        <f>IFERROR(INDEX('Historical Data'!$AK$2:$AK$1068,MATCH($A371,'Historical Data'!$BE$2:$BE$1068,0)),"")</f>
        <v/>
      </c>
      <c r="Q371" s="291">
        <f>IFERROR(INDEX('Historical Data'!$AA$2:$AA$1068,MATCH($A371,'Historical Data'!$BE$2:$BE$1068,0)),"")</f>
        <v/>
      </c>
      <c r="R371" s="291">
        <f>IFERROR(INDEX('Historical Data'!$AB$2:$AB$1068,MATCH($A371,'Historical Data'!$BE$2:$BE$1068,0)),"")</f>
        <v/>
      </c>
      <c r="S371" s="291">
        <f>IFERROR(INDEX('Historical Data'!$AN$2:$AN$1068,MATCH($A371,'Historical Data'!$BE$2:$BE$1068,0)),"")</f>
        <v/>
      </c>
      <c r="T371" s="291">
        <f>IFERROR(INDEX('Historical Data'!$AC$2:$AC$1068,MATCH($A371,'Historical Data'!$BE$2:$BE$1068,0)),"")</f>
        <v/>
      </c>
      <c r="U371" s="291">
        <f>IFERROR(INDEX('Historical Data'!$AE$2:$AE$1068,MATCH($A371,'Historical Data'!$BE$2:$BE$1068,0)),"")</f>
        <v/>
      </c>
      <c r="V371" s="291">
        <f>IFERROR(INDEX('Historical Data'!$AH$2:$AH$1068,MATCH($A371,'Historical Data'!$BE$2:$BE$1068,0)),"")</f>
        <v/>
      </c>
      <c r="W371" s="291">
        <f>IFERROR(INDEX('Historical Data'!$BC$2:$BC$1068,MATCH($A371,'Historical Data'!$BE$2:$BE$1068,0)),"")</f>
        <v/>
      </c>
      <c r="X371" s="290">
        <f>IF(B371="","",IF(W371=1,"NR + industry + position",IF(W371=2,"NR + ISO + position",IF(W371=3,"NR + industry",IF(W371=4,"NR + ISO",IF(W371=5,"NR + position",IF(W371=6,"NR only","book baseline"))))))&amp;"  ["&amp;IF(T371=1,"seasoned","unseasoned")&amp;IF(U371=1,", defaulted","")&amp;IF(V371=1,", open","")&amp;"]")</f>
        <v/>
      </c>
    </row>
    <row r="372">
      <c r="A372" s="290" t="n">
        <v>368</v>
      </c>
      <c r="B372" s="291">
        <f>IFERROR(INDEX('Historical Data'!$A$2:$A$1068,MATCH($A372,'Historical Data'!$BE$2:$BE$1068,0)),"")</f>
        <v/>
      </c>
      <c r="C372" s="291">
        <f>IFERROR(INDEX('Historical Data'!$B$2:$B$1068,MATCH($A372,'Historical Data'!$BE$2:$BE$1068,0)),"")</f>
        <v/>
      </c>
      <c r="D372" s="291">
        <f>IFERROR(INDEX('Historical Data'!$D$2:$D$1068,MATCH($A372,'Historical Data'!$BE$2:$BE$1068,0)),"")</f>
        <v/>
      </c>
      <c r="E372" s="292">
        <f>IFERROR(INDEX('Historical Data'!$E$2:$E$1068,MATCH($A372,'Historical Data'!$BE$2:$BE$1068,0)),"")</f>
        <v/>
      </c>
      <c r="F372" s="291">
        <f>IFERROR(INDEX('Historical Data'!$G$2:$G$1068,MATCH($A372,'Historical Data'!$BE$2:$BE$1068,0)),"")</f>
        <v/>
      </c>
      <c r="G372" s="291">
        <f>IFERROR(INDEX('Historical Data'!$Y$2:$Y$1068,MATCH($A372,'Historical Data'!$BE$2:$BE$1068,0)),"")</f>
        <v/>
      </c>
      <c r="H372" s="291">
        <f>IFERROR(INDEX('Historical Data'!$K$2:$K$1068,MATCH($A372,'Historical Data'!$BE$2:$BE$1068,0)),"")</f>
        <v/>
      </c>
      <c r="I372" s="291">
        <f>IFERROR(INDEX('Historical Data'!$J$2:$J$1068,MATCH($A372,'Historical Data'!$BE$2:$BE$1068,0)),"")</f>
        <v/>
      </c>
      <c r="J372" s="291">
        <f>IFERROR(INDEX('Historical Data'!$L$2:$L$1068,MATCH($A372,'Historical Data'!$BE$2:$BE$1068,0)),"")</f>
        <v/>
      </c>
      <c r="K372" s="293">
        <f>IFERROR(INDEX('Historical Data'!$M$2:$M$1068,MATCH($A372,'Historical Data'!$BE$2:$BE$1068,0)),"")</f>
        <v/>
      </c>
      <c r="L372" s="294">
        <f>IFERROR(INDEX('Historical Data'!$N$2:$N$1068,MATCH($A372,'Historical Data'!$BE$2:$BE$1068,0)),"")</f>
        <v/>
      </c>
      <c r="M372" s="294">
        <f>IFERROR(INDEX('Historical Data'!$Q$2:$Q$1068,MATCH($A372,'Historical Data'!$BE$2:$BE$1068,0)),"")</f>
        <v/>
      </c>
      <c r="N372" s="295">
        <f>IFERROR(INDEX('Historical Data'!$S$2:$S$1068,MATCH($A372,'Historical Data'!$BE$2:$BE$1068,0)),"")</f>
        <v/>
      </c>
      <c r="O372" s="294">
        <f>IFERROR(INDEX('Historical Data'!$AJ$2:$AJ$1068,MATCH($A372,'Historical Data'!$BE$2:$BE$1068,0)),"")</f>
        <v/>
      </c>
      <c r="P372" s="294">
        <f>IFERROR(INDEX('Historical Data'!$AK$2:$AK$1068,MATCH($A372,'Historical Data'!$BE$2:$BE$1068,0)),"")</f>
        <v/>
      </c>
      <c r="Q372" s="291">
        <f>IFERROR(INDEX('Historical Data'!$AA$2:$AA$1068,MATCH($A372,'Historical Data'!$BE$2:$BE$1068,0)),"")</f>
        <v/>
      </c>
      <c r="R372" s="291">
        <f>IFERROR(INDEX('Historical Data'!$AB$2:$AB$1068,MATCH($A372,'Historical Data'!$BE$2:$BE$1068,0)),"")</f>
        <v/>
      </c>
      <c r="S372" s="291">
        <f>IFERROR(INDEX('Historical Data'!$AN$2:$AN$1068,MATCH($A372,'Historical Data'!$BE$2:$BE$1068,0)),"")</f>
        <v/>
      </c>
      <c r="T372" s="291">
        <f>IFERROR(INDEX('Historical Data'!$AC$2:$AC$1068,MATCH($A372,'Historical Data'!$BE$2:$BE$1068,0)),"")</f>
        <v/>
      </c>
      <c r="U372" s="291">
        <f>IFERROR(INDEX('Historical Data'!$AE$2:$AE$1068,MATCH($A372,'Historical Data'!$BE$2:$BE$1068,0)),"")</f>
        <v/>
      </c>
      <c r="V372" s="291">
        <f>IFERROR(INDEX('Historical Data'!$AH$2:$AH$1068,MATCH($A372,'Historical Data'!$BE$2:$BE$1068,0)),"")</f>
        <v/>
      </c>
      <c r="W372" s="291">
        <f>IFERROR(INDEX('Historical Data'!$BC$2:$BC$1068,MATCH($A372,'Historical Data'!$BE$2:$BE$1068,0)),"")</f>
        <v/>
      </c>
      <c r="X372" s="290">
        <f>IF(B372="","",IF(W372=1,"NR + industry + position",IF(W372=2,"NR + ISO + position",IF(W372=3,"NR + industry",IF(W372=4,"NR + ISO",IF(W372=5,"NR + position",IF(W372=6,"NR only","book baseline"))))))&amp;"  ["&amp;IF(T372=1,"seasoned","unseasoned")&amp;IF(U372=1,", defaulted","")&amp;IF(V372=1,", open","")&amp;"]")</f>
        <v/>
      </c>
    </row>
    <row r="373">
      <c r="A373" s="290" t="n">
        <v>369</v>
      </c>
      <c r="B373" s="291">
        <f>IFERROR(INDEX('Historical Data'!$A$2:$A$1068,MATCH($A373,'Historical Data'!$BE$2:$BE$1068,0)),"")</f>
        <v/>
      </c>
      <c r="C373" s="291">
        <f>IFERROR(INDEX('Historical Data'!$B$2:$B$1068,MATCH($A373,'Historical Data'!$BE$2:$BE$1068,0)),"")</f>
        <v/>
      </c>
      <c r="D373" s="291">
        <f>IFERROR(INDEX('Historical Data'!$D$2:$D$1068,MATCH($A373,'Historical Data'!$BE$2:$BE$1068,0)),"")</f>
        <v/>
      </c>
      <c r="E373" s="292">
        <f>IFERROR(INDEX('Historical Data'!$E$2:$E$1068,MATCH($A373,'Historical Data'!$BE$2:$BE$1068,0)),"")</f>
        <v/>
      </c>
      <c r="F373" s="291">
        <f>IFERROR(INDEX('Historical Data'!$G$2:$G$1068,MATCH($A373,'Historical Data'!$BE$2:$BE$1068,0)),"")</f>
        <v/>
      </c>
      <c r="G373" s="291">
        <f>IFERROR(INDEX('Historical Data'!$Y$2:$Y$1068,MATCH($A373,'Historical Data'!$BE$2:$BE$1068,0)),"")</f>
        <v/>
      </c>
      <c r="H373" s="291">
        <f>IFERROR(INDEX('Historical Data'!$K$2:$K$1068,MATCH($A373,'Historical Data'!$BE$2:$BE$1068,0)),"")</f>
        <v/>
      </c>
      <c r="I373" s="291">
        <f>IFERROR(INDEX('Historical Data'!$J$2:$J$1068,MATCH($A373,'Historical Data'!$BE$2:$BE$1068,0)),"")</f>
        <v/>
      </c>
      <c r="J373" s="291">
        <f>IFERROR(INDEX('Historical Data'!$L$2:$L$1068,MATCH($A373,'Historical Data'!$BE$2:$BE$1068,0)),"")</f>
        <v/>
      </c>
      <c r="K373" s="293">
        <f>IFERROR(INDEX('Historical Data'!$M$2:$M$1068,MATCH($A373,'Historical Data'!$BE$2:$BE$1068,0)),"")</f>
        <v/>
      </c>
      <c r="L373" s="294">
        <f>IFERROR(INDEX('Historical Data'!$N$2:$N$1068,MATCH($A373,'Historical Data'!$BE$2:$BE$1068,0)),"")</f>
        <v/>
      </c>
      <c r="M373" s="294">
        <f>IFERROR(INDEX('Historical Data'!$Q$2:$Q$1068,MATCH($A373,'Historical Data'!$BE$2:$BE$1068,0)),"")</f>
        <v/>
      </c>
      <c r="N373" s="295">
        <f>IFERROR(INDEX('Historical Data'!$S$2:$S$1068,MATCH($A373,'Historical Data'!$BE$2:$BE$1068,0)),"")</f>
        <v/>
      </c>
      <c r="O373" s="294">
        <f>IFERROR(INDEX('Historical Data'!$AJ$2:$AJ$1068,MATCH($A373,'Historical Data'!$BE$2:$BE$1068,0)),"")</f>
        <v/>
      </c>
      <c r="P373" s="294">
        <f>IFERROR(INDEX('Historical Data'!$AK$2:$AK$1068,MATCH($A373,'Historical Data'!$BE$2:$BE$1068,0)),"")</f>
        <v/>
      </c>
      <c r="Q373" s="291">
        <f>IFERROR(INDEX('Historical Data'!$AA$2:$AA$1068,MATCH($A373,'Historical Data'!$BE$2:$BE$1068,0)),"")</f>
        <v/>
      </c>
      <c r="R373" s="291">
        <f>IFERROR(INDEX('Historical Data'!$AB$2:$AB$1068,MATCH($A373,'Historical Data'!$BE$2:$BE$1068,0)),"")</f>
        <v/>
      </c>
      <c r="S373" s="291">
        <f>IFERROR(INDEX('Historical Data'!$AN$2:$AN$1068,MATCH($A373,'Historical Data'!$BE$2:$BE$1068,0)),"")</f>
        <v/>
      </c>
      <c r="T373" s="291">
        <f>IFERROR(INDEX('Historical Data'!$AC$2:$AC$1068,MATCH($A373,'Historical Data'!$BE$2:$BE$1068,0)),"")</f>
        <v/>
      </c>
      <c r="U373" s="291">
        <f>IFERROR(INDEX('Historical Data'!$AE$2:$AE$1068,MATCH($A373,'Historical Data'!$BE$2:$BE$1068,0)),"")</f>
        <v/>
      </c>
      <c r="V373" s="291">
        <f>IFERROR(INDEX('Historical Data'!$AH$2:$AH$1068,MATCH($A373,'Historical Data'!$BE$2:$BE$1068,0)),"")</f>
        <v/>
      </c>
      <c r="W373" s="291">
        <f>IFERROR(INDEX('Historical Data'!$BC$2:$BC$1068,MATCH($A373,'Historical Data'!$BE$2:$BE$1068,0)),"")</f>
        <v/>
      </c>
      <c r="X373" s="290">
        <f>IF(B373="","",IF(W373=1,"NR + industry + position",IF(W373=2,"NR + ISO + position",IF(W373=3,"NR + industry",IF(W373=4,"NR + ISO",IF(W373=5,"NR + position",IF(W373=6,"NR only","book baseline"))))))&amp;"  ["&amp;IF(T373=1,"seasoned","unseasoned")&amp;IF(U373=1,", defaulted","")&amp;IF(V373=1,", open","")&amp;"]")</f>
        <v/>
      </c>
    </row>
    <row r="374">
      <c r="A374" s="290" t="n">
        <v>370</v>
      </c>
      <c r="B374" s="291">
        <f>IFERROR(INDEX('Historical Data'!$A$2:$A$1068,MATCH($A374,'Historical Data'!$BE$2:$BE$1068,0)),"")</f>
        <v/>
      </c>
      <c r="C374" s="291">
        <f>IFERROR(INDEX('Historical Data'!$B$2:$B$1068,MATCH($A374,'Historical Data'!$BE$2:$BE$1068,0)),"")</f>
        <v/>
      </c>
      <c r="D374" s="291">
        <f>IFERROR(INDEX('Historical Data'!$D$2:$D$1068,MATCH($A374,'Historical Data'!$BE$2:$BE$1068,0)),"")</f>
        <v/>
      </c>
      <c r="E374" s="292">
        <f>IFERROR(INDEX('Historical Data'!$E$2:$E$1068,MATCH($A374,'Historical Data'!$BE$2:$BE$1068,0)),"")</f>
        <v/>
      </c>
      <c r="F374" s="291">
        <f>IFERROR(INDEX('Historical Data'!$G$2:$G$1068,MATCH($A374,'Historical Data'!$BE$2:$BE$1068,0)),"")</f>
        <v/>
      </c>
      <c r="G374" s="291">
        <f>IFERROR(INDEX('Historical Data'!$Y$2:$Y$1068,MATCH($A374,'Historical Data'!$BE$2:$BE$1068,0)),"")</f>
        <v/>
      </c>
      <c r="H374" s="291">
        <f>IFERROR(INDEX('Historical Data'!$K$2:$K$1068,MATCH($A374,'Historical Data'!$BE$2:$BE$1068,0)),"")</f>
        <v/>
      </c>
      <c r="I374" s="291">
        <f>IFERROR(INDEX('Historical Data'!$J$2:$J$1068,MATCH($A374,'Historical Data'!$BE$2:$BE$1068,0)),"")</f>
        <v/>
      </c>
      <c r="J374" s="291">
        <f>IFERROR(INDEX('Historical Data'!$L$2:$L$1068,MATCH($A374,'Historical Data'!$BE$2:$BE$1068,0)),"")</f>
        <v/>
      </c>
      <c r="K374" s="293">
        <f>IFERROR(INDEX('Historical Data'!$M$2:$M$1068,MATCH($A374,'Historical Data'!$BE$2:$BE$1068,0)),"")</f>
        <v/>
      </c>
      <c r="L374" s="294">
        <f>IFERROR(INDEX('Historical Data'!$N$2:$N$1068,MATCH($A374,'Historical Data'!$BE$2:$BE$1068,0)),"")</f>
        <v/>
      </c>
      <c r="M374" s="294">
        <f>IFERROR(INDEX('Historical Data'!$Q$2:$Q$1068,MATCH($A374,'Historical Data'!$BE$2:$BE$1068,0)),"")</f>
        <v/>
      </c>
      <c r="N374" s="295">
        <f>IFERROR(INDEX('Historical Data'!$S$2:$S$1068,MATCH($A374,'Historical Data'!$BE$2:$BE$1068,0)),"")</f>
        <v/>
      </c>
      <c r="O374" s="294">
        <f>IFERROR(INDEX('Historical Data'!$AJ$2:$AJ$1068,MATCH($A374,'Historical Data'!$BE$2:$BE$1068,0)),"")</f>
        <v/>
      </c>
      <c r="P374" s="294">
        <f>IFERROR(INDEX('Historical Data'!$AK$2:$AK$1068,MATCH($A374,'Historical Data'!$BE$2:$BE$1068,0)),"")</f>
        <v/>
      </c>
      <c r="Q374" s="291">
        <f>IFERROR(INDEX('Historical Data'!$AA$2:$AA$1068,MATCH($A374,'Historical Data'!$BE$2:$BE$1068,0)),"")</f>
        <v/>
      </c>
      <c r="R374" s="291">
        <f>IFERROR(INDEX('Historical Data'!$AB$2:$AB$1068,MATCH($A374,'Historical Data'!$BE$2:$BE$1068,0)),"")</f>
        <v/>
      </c>
      <c r="S374" s="291">
        <f>IFERROR(INDEX('Historical Data'!$AN$2:$AN$1068,MATCH($A374,'Historical Data'!$BE$2:$BE$1068,0)),"")</f>
        <v/>
      </c>
      <c r="T374" s="291">
        <f>IFERROR(INDEX('Historical Data'!$AC$2:$AC$1068,MATCH($A374,'Historical Data'!$BE$2:$BE$1068,0)),"")</f>
        <v/>
      </c>
      <c r="U374" s="291">
        <f>IFERROR(INDEX('Historical Data'!$AE$2:$AE$1068,MATCH($A374,'Historical Data'!$BE$2:$BE$1068,0)),"")</f>
        <v/>
      </c>
      <c r="V374" s="291">
        <f>IFERROR(INDEX('Historical Data'!$AH$2:$AH$1068,MATCH($A374,'Historical Data'!$BE$2:$BE$1068,0)),"")</f>
        <v/>
      </c>
      <c r="W374" s="291">
        <f>IFERROR(INDEX('Historical Data'!$BC$2:$BC$1068,MATCH($A374,'Historical Data'!$BE$2:$BE$1068,0)),"")</f>
        <v/>
      </c>
      <c r="X374" s="290">
        <f>IF(B374="","",IF(W374=1,"NR + industry + position",IF(W374=2,"NR + ISO + position",IF(W374=3,"NR + industry",IF(W374=4,"NR + ISO",IF(W374=5,"NR + position",IF(W374=6,"NR only","book baseline"))))))&amp;"  ["&amp;IF(T374=1,"seasoned","unseasoned")&amp;IF(U374=1,", defaulted","")&amp;IF(V374=1,", open","")&amp;"]")</f>
        <v/>
      </c>
    </row>
    <row r="375">
      <c r="A375" s="290" t="n">
        <v>371</v>
      </c>
      <c r="B375" s="291">
        <f>IFERROR(INDEX('Historical Data'!$A$2:$A$1068,MATCH($A375,'Historical Data'!$BE$2:$BE$1068,0)),"")</f>
        <v/>
      </c>
      <c r="C375" s="291">
        <f>IFERROR(INDEX('Historical Data'!$B$2:$B$1068,MATCH($A375,'Historical Data'!$BE$2:$BE$1068,0)),"")</f>
        <v/>
      </c>
      <c r="D375" s="291">
        <f>IFERROR(INDEX('Historical Data'!$D$2:$D$1068,MATCH($A375,'Historical Data'!$BE$2:$BE$1068,0)),"")</f>
        <v/>
      </c>
      <c r="E375" s="292">
        <f>IFERROR(INDEX('Historical Data'!$E$2:$E$1068,MATCH($A375,'Historical Data'!$BE$2:$BE$1068,0)),"")</f>
        <v/>
      </c>
      <c r="F375" s="291">
        <f>IFERROR(INDEX('Historical Data'!$G$2:$G$1068,MATCH($A375,'Historical Data'!$BE$2:$BE$1068,0)),"")</f>
        <v/>
      </c>
      <c r="G375" s="291">
        <f>IFERROR(INDEX('Historical Data'!$Y$2:$Y$1068,MATCH($A375,'Historical Data'!$BE$2:$BE$1068,0)),"")</f>
        <v/>
      </c>
      <c r="H375" s="291">
        <f>IFERROR(INDEX('Historical Data'!$K$2:$K$1068,MATCH($A375,'Historical Data'!$BE$2:$BE$1068,0)),"")</f>
        <v/>
      </c>
      <c r="I375" s="291">
        <f>IFERROR(INDEX('Historical Data'!$J$2:$J$1068,MATCH($A375,'Historical Data'!$BE$2:$BE$1068,0)),"")</f>
        <v/>
      </c>
      <c r="J375" s="291">
        <f>IFERROR(INDEX('Historical Data'!$L$2:$L$1068,MATCH($A375,'Historical Data'!$BE$2:$BE$1068,0)),"")</f>
        <v/>
      </c>
      <c r="K375" s="293">
        <f>IFERROR(INDEX('Historical Data'!$M$2:$M$1068,MATCH($A375,'Historical Data'!$BE$2:$BE$1068,0)),"")</f>
        <v/>
      </c>
      <c r="L375" s="294">
        <f>IFERROR(INDEX('Historical Data'!$N$2:$N$1068,MATCH($A375,'Historical Data'!$BE$2:$BE$1068,0)),"")</f>
        <v/>
      </c>
      <c r="M375" s="294">
        <f>IFERROR(INDEX('Historical Data'!$Q$2:$Q$1068,MATCH($A375,'Historical Data'!$BE$2:$BE$1068,0)),"")</f>
        <v/>
      </c>
      <c r="N375" s="295">
        <f>IFERROR(INDEX('Historical Data'!$S$2:$S$1068,MATCH($A375,'Historical Data'!$BE$2:$BE$1068,0)),"")</f>
        <v/>
      </c>
      <c r="O375" s="294">
        <f>IFERROR(INDEX('Historical Data'!$AJ$2:$AJ$1068,MATCH($A375,'Historical Data'!$BE$2:$BE$1068,0)),"")</f>
        <v/>
      </c>
      <c r="P375" s="294">
        <f>IFERROR(INDEX('Historical Data'!$AK$2:$AK$1068,MATCH($A375,'Historical Data'!$BE$2:$BE$1068,0)),"")</f>
        <v/>
      </c>
      <c r="Q375" s="291">
        <f>IFERROR(INDEX('Historical Data'!$AA$2:$AA$1068,MATCH($A375,'Historical Data'!$BE$2:$BE$1068,0)),"")</f>
        <v/>
      </c>
      <c r="R375" s="291">
        <f>IFERROR(INDEX('Historical Data'!$AB$2:$AB$1068,MATCH($A375,'Historical Data'!$BE$2:$BE$1068,0)),"")</f>
        <v/>
      </c>
      <c r="S375" s="291">
        <f>IFERROR(INDEX('Historical Data'!$AN$2:$AN$1068,MATCH($A375,'Historical Data'!$BE$2:$BE$1068,0)),"")</f>
        <v/>
      </c>
      <c r="T375" s="291">
        <f>IFERROR(INDEX('Historical Data'!$AC$2:$AC$1068,MATCH($A375,'Historical Data'!$BE$2:$BE$1068,0)),"")</f>
        <v/>
      </c>
      <c r="U375" s="291">
        <f>IFERROR(INDEX('Historical Data'!$AE$2:$AE$1068,MATCH($A375,'Historical Data'!$BE$2:$BE$1068,0)),"")</f>
        <v/>
      </c>
      <c r="V375" s="291">
        <f>IFERROR(INDEX('Historical Data'!$AH$2:$AH$1068,MATCH($A375,'Historical Data'!$BE$2:$BE$1068,0)),"")</f>
        <v/>
      </c>
      <c r="W375" s="291">
        <f>IFERROR(INDEX('Historical Data'!$BC$2:$BC$1068,MATCH($A375,'Historical Data'!$BE$2:$BE$1068,0)),"")</f>
        <v/>
      </c>
      <c r="X375" s="290">
        <f>IF(B375="","",IF(W375=1,"NR + industry + position",IF(W375=2,"NR + ISO + position",IF(W375=3,"NR + industry",IF(W375=4,"NR + ISO",IF(W375=5,"NR + position",IF(W375=6,"NR only","book baseline"))))))&amp;"  ["&amp;IF(T375=1,"seasoned","unseasoned")&amp;IF(U375=1,", defaulted","")&amp;IF(V375=1,", open","")&amp;"]")</f>
        <v/>
      </c>
    </row>
    <row r="376">
      <c r="A376" s="290" t="n">
        <v>372</v>
      </c>
      <c r="B376" s="291">
        <f>IFERROR(INDEX('Historical Data'!$A$2:$A$1068,MATCH($A376,'Historical Data'!$BE$2:$BE$1068,0)),"")</f>
        <v/>
      </c>
      <c r="C376" s="291">
        <f>IFERROR(INDEX('Historical Data'!$B$2:$B$1068,MATCH($A376,'Historical Data'!$BE$2:$BE$1068,0)),"")</f>
        <v/>
      </c>
      <c r="D376" s="291">
        <f>IFERROR(INDEX('Historical Data'!$D$2:$D$1068,MATCH($A376,'Historical Data'!$BE$2:$BE$1068,0)),"")</f>
        <v/>
      </c>
      <c r="E376" s="292">
        <f>IFERROR(INDEX('Historical Data'!$E$2:$E$1068,MATCH($A376,'Historical Data'!$BE$2:$BE$1068,0)),"")</f>
        <v/>
      </c>
      <c r="F376" s="291">
        <f>IFERROR(INDEX('Historical Data'!$G$2:$G$1068,MATCH($A376,'Historical Data'!$BE$2:$BE$1068,0)),"")</f>
        <v/>
      </c>
      <c r="G376" s="291">
        <f>IFERROR(INDEX('Historical Data'!$Y$2:$Y$1068,MATCH($A376,'Historical Data'!$BE$2:$BE$1068,0)),"")</f>
        <v/>
      </c>
      <c r="H376" s="291">
        <f>IFERROR(INDEX('Historical Data'!$K$2:$K$1068,MATCH($A376,'Historical Data'!$BE$2:$BE$1068,0)),"")</f>
        <v/>
      </c>
      <c r="I376" s="291">
        <f>IFERROR(INDEX('Historical Data'!$J$2:$J$1068,MATCH($A376,'Historical Data'!$BE$2:$BE$1068,0)),"")</f>
        <v/>
      </c>
      <c r="J376" s="291">
        <f>IFERROR(INDEX('Historical Data'!$L$2:$L$1068,MATCH($A376,'Historical Data'!$BE$2:$BE$1068,0)),"")</f>
        <v/>
      </c>
      <c r="K376" s="293">
        <f>IFERROR(INDEX('Historical Data'!$M$2:$M$1068,MATCH($A376,'Historical Data'!$BE$2:$BE$1068,0)),"")</f>
        <v/>
      </c>
      <c r="L376" s="294">
        <f>IFERROR(INDEX('Historical Data'!$N$2:$N$1068,MATCH($A376,'Historical Data'!$BE$2:$BE$1068,0)),"")</f>
        <v/>
      </c>
      <c r="M376" s="294">
        <f>IFERROR(INDEX('Historical Data'!$Q$2:$Q$1068,MATCH($A376,'Historical Data'!$BE$2:$BE$1068,0)),"")</f>
        <v/>
      </c>
      <c r="N376" s="295">
        <f>IFERROR(INDEX('Historical Data'!$S$2:$S$1068,MATCH($A376,'Historical Data'!$BE$2:$BE$1068,0)),"")</f>
        <v/>
      </c>
      <c r="O376" s="294">
        <f>IFERROR(INDEX('Historical Data'!$AJ$2:$AJ$1068,MATCH($A376,'Historical Data'!$BE$2:$BE$1068,0)),"")</f>
        <v/>
      </c>
      <c r="P376" s="294">
        <f>IFERROR(INDEX('Historical Data'!$AK$2:$AK$1068,MATCH($A376,'Historical Data'!$BE$2:$BE$1068,0)),"")</f>
        <v/>
      </c>
      <c r="Q376" s="291">
        <f>IFERROR(INDEX('Historical Data'!$AA$2:$AA$1068,MATCH($A376,'Historical Data'!$BE$2:$BE$1068,0)),"")</f>
        <v/>
      </c>
      <c r="R376" s="291">
        <f>IFERROR(INDEX('Historical Data'!$AB$2:$AB$1068,MATCH($A376,'Historical Data'!$BE$2:$BE$1068,0)),"")</f>
        <v/>
      </c>
      <c r="S376" s="291">
        <f>IFERROR(INDEX('Historical Data'!$AN$2:$AN$1068,MATCH($A376,'Historical Data'!$BE$2:$BE$1068,0)),"")</f>
        <v/>
      </c>
      <c r="T376" s="291">
        <f>IFERROR(INDEX('Historical Data'!$AC$2:$AC$1068,MATCH($A376,'Historical Data'!$BE$2:$BE$1068,0)),"")</f>
        <v/>
      </c>
      <c r="U376" s="291">
        <f>IFERROR(INDEX('Historical Data'!$AE$2:$AE$1068,MATCH($A376,'Historical Data'!$BE$2:$BE$1068,0)),"")</f>
        <v/>
      </c>
      <c r="V376" s="291">
        <f>IFERROR(INDEX('Historical Data'!$AH$2:$AH$1068,MATCH($A376,'Historical Data'!$BE$2:$BE$1068,0)),"")</f>
        <v/>
      </c>
      <c r="W376" s="291">
        <f>IFERROR(INDEX('Historical Data'!$BC$2:$BC$1068,MATCH($A376,'Historical Data'!$BE$2:$BE$1068,0)),"")</f>
        <v/>
      </c>
      <c r="X376" s="290">
        <f>IF(B376="","",IF(W376=1,"NR + industry + position",IF(W376=2,"NR + ISO + position",IF(W376=3,"NR + industry",IF(W376=4,"NR + ISO",IF(W376=5,"NR + position",IF(W376=6,"NR only","book baseline"))))))&amp;"  ["&amp;IF(T376=1,"seasoned","unseasoned")&amp;IF(U376=1,", defaulted","")&amp;IF(V376=1,", open","")&amp;"]")</f>
        <v/>
      </c>
    </row>
    <row r="377">
      <c r="A377" s="290" t="n">
        <v>373</v>
      </c>
      <c r="B377" s="291">
        <f>IFERROR(INDEX('Historical Data'!$A$2:$A$1068,MATCH($A377,'Historical Data'!$BE$2:$BE$1068,0)),"")</f>
        <v/>
      </c>
      <c r="C377" s="291">
        <f>IFERROR(INDEX('Historical Data'!$B$2:$B$1068,MATCH($A377,'Historical Data'!$BE$2:$BE$1068,0)),"")</f>
        <v/>
      </c>
      <c r="D377" s="291">
        <f>IFERROR(INDEX('Historical Data'!$D$2:$D$1068,MATCH($A377,'Historical Data'!$BE$2:$BE$1068,0)),"")</f>
        <v/>
      </c>
      <c r="E377" s="292">
        <f>IFERROR(INDEX('Historical Data'!$E$2:$E$1068,MATCH($A377,'Historical Data'!$BE$2:$BE$1068,0)),"")</f>
        <v/>
      </c>
      <c r="F377" s="291">
        <f>IFERROR(INDEX('Historical Data'!$G$2:$G$1068,MATCH($A377,'Historical Data'!$BE$2:$BE$1068,0)),"")</f>
        <v/>
      </c>
      <c r="G377" s="291">
        <f>IFERROR(INDEX('Historical Data'!$Y$2:$Y$1068,MATCH($A377,'Historical Data'!$BE$2:$BE$1068,0)),"")</f>
        <v/>
      </c>
      <c r="H377" s="291">
        <f>IFERROR(INDEX('Historical Data'!$K$2:$K$1068,MATCH($A377,'Historical Data'!$BE$2:$BE$1068,0)),"")</f>
        <v/>
      </c>
      <c r="I377" s="291">
        <f>IFERROR(INDEX('Historical Data'!$J$2:$J$1068,MATCH($A377,'Historical Data'!$BE$2:$BE$1068,0)),"")</f>
        <v/>
      </c>
      <c r="J377" s="291">
        <f>IFERROR(INDEX('Historical Data'!$L$2:$L$1068,MATCH($A377,'Historical Data'!$BE$2:$BE$1068,0)),"")</f>
        <v/>
      </c>
      <c r="K377" s="293">
        <f>IFERROR(INDEX('Historical Data'!$M$2:$M$1068,MATCH($A377,'Historical Data'!$BE$2:$BE$1068,0)),"")</f>
        <v/>
      </c>
      <c r="L377" s="294">
        <f>IFERROR(INDEX('Historical Data'!$N$2:$N$1068,MATCH($A377,'Historical Data'!$BE$2:$BE$1068,0)),"")</f>
        <v/>
      </c>
      <c r="M377" s="294">
        <f>IFERROR(INDEX('Historical Data'!$Q$2:$Q$1068,MATCH($A377,'Historical Data'!$BE$2:$BE$1068,0)),"")</f>
        <v/>
      </c>
      <c r="N377" s="295">
        <f>IFERROR(INDEX('Historical Data'!$S$2:$S$1068,MATCH($A377,'Historical Data'!$BE$2:$BE$1068,0)),"")</f>
        <v/>
      </c>
      <c r="O377" s="294">
        <f>IFERROR(INDEX('Historical Data'!$AJ$2:$AJ$1068,MATCH($A377,'Historical Data'!$BE$2:$BE$1068,0)),"")</f>
        <v/>
      </c>
      <c r="P377" s="294">
        <f>IFERROR(INDEX('Historical Data'!$AK$2:$AK$1068,MATCH($A377,'Historical Data'!$BE$2:$BE$1068,0)),"")</f>
        <v/>
      </c>
      <c r="Q377" s="291">
        <f>IFERROR(INDEX('Historical Data'!$AA$2:$AA$1068,MATCH($A377,'Historical Data'!$BE$2:$BE$1068,0)),"")</f>
        <v/>
      </c>
      <c r="R377" s="291">
        <f>IFERROR(INDEX('Historical Data'!$AB$2:$AB$1068,MATCH($A377,'Historical Data'!$BE$2:$BE$1068,0)),"")</f>
        <v/>
      </c>
      <c r="S377" s="291">
        <f>IFERROR(INDEX('Historical Data'!$AN$2:$AN$1068,MATCH($A377,'Historical Data'!$BE$2:$BE$1068,0)),"")</f>
        <v/>
      </c>
      <c r="T377" s="291">
        <f>IFERROR(INDEX('Historical Data'!$AC$2:$AC$1068,MATCH($A377,'Historical Data'!$BE$2:$BE$1068,0)),"")</f>
        <v/>
      </c>
      <c r="U377" s="291">
        <f>IFERROR(INDEX('Historical Data'!$AE$2:$AE$1068,MATCH($A377,'Historical Data'!$BE$2:$BE$1068,0)),"")</f>
        <v/>
      </c>
      <c r="V377" s="291">
        <f>IFERROR(INDEX('Historical Data'!$AH$2:$AH$1068,MATCH($A377,'Historical Data'!$BE$2:$BE$1068,0)),"")</f>
        <v/>
      </c>
      <c r="W377" s="291">
        <f>IFERROR(INDEX('Historical Data'!$BC$2:$BC$1068,MATCH($A377,'Historical Data'!$BE$2:$BE$1068,0)),"")</f>
        <v/>
      </c>
      <c r="X377" s="290">
        <f>IF(B377="","",IF(W377=1,"NR + industry + position",IF(W377=2,"NR + ISO + position",IF(W377=3,"NR + industry",IF(W377=4,"NR + ISO",IF(W377=5,"NR + position",IF(W377=6,"NR only","book baseline"))))))&amp;"  ["&amp;IF(T377=1,"seasoned","unseasoned")&amp;IF(U377=1,", defaulted","")&amp;IF(V377=1,", open","")&amp;"]")</f>
        <v/>
      </c>
    </row>
    <row r="378">
      <c r="A378" s="290" t="n">
        <v>374</v>
      </c>
      <c r="B378" s="291">
        <f>IFERROR(INDEX('Historical Data'!$A$2:$A$1068,MATCH($A378,'Historical Data'!$BE$2:$BE$1068,0)),"")</f>
        <v/>
      </c>
      <c r="C378" s="291">
        <f>IFERROR(INDEX('Historical Data'!$B$2:$B$1068,MATCH($A378,'Historical Data'!$BE$2:$BE$1068,0)),"")</f>
        <v/>
      </c>
      <c r="D378" s="291">
        <f>IFERROR(INDEX('Historical Data'!$D$2:$D$1068,MATCH($A378,'Historical Data'!$BE$2:$BE$1068,0)),"")</f>
        <v/>
      </c>
      <c r="E378" s="292">
        <f>IFERROR(INDEX('Historical Data'!$E$2:$E$1068,MATCH($A378,'Historical Data'!$BE$2:$BE$1068,0)),"")</f>
        <v/>
      </c>
      <c r="F378" s="291">
        <f>IFERROR(INDEX('Historical Data'!$G$2:$G$1068,MATCH($A378,'Historical Data'!$BE$2:$BE$1068,0)),"")</f>
        <v/>
      </c>
      <c r="G378" s="291">
        <f>IFERROR(INDEX('Historical Data'!$Y$2:$Y$1068,MATCH($A378,'Historical Data'!$BE$2:$BE$1068,0)),"")</f>
        <v/>
      </c>
      <c r="H378" s="291">
        <f>IFERROR(INDEX('Historical Data'!$K$2:$K$1068,MATCH($A378,'Historical Data'!$BE$2:$BE$1068,0)),"")</f>
        <v/>
      </c>
      <c r="I378" s="291">
        <f>IFERROR(INDEX('Historical Data'!$J$2:$J$1068,MATCH($A378,'Historical Data'!$BE$2:$BE$1068,0)),"")</f>
        <v/>
      </c>
      <c r="J378" s="291">
        <f>IFERROR(INDEX('Historical Data'!$L$2:$L$1068,MATCH($A378,'Historical Data'!$BE$2:$BE$1068,0)),"")</f>
        <v/>
      </c>
      <c r="K378" s="293">
        <f>IFERROR(INDEX('Historical Data'!$M$2:$M$1068,MATCH($A378,'Historical Data'!$BE$2:$BE$1068,0)),"")</f>
        <v/>
      </c>
      <c r="L378" s="294">
        <f>IFERROR(INDEX('Historical Data'!$N$2:$N$1068,MATCH($A378,'Historical Data'!$BE$2:$BE$1068,0)),"")</f>
        <v/>
      </c>
      <c r="M378" s="294">
        <f>IFERROR(INDEX('Historical Data'!$Q$2:$Q$1068,MATCH($A378,'Historical Data'!$BE$2:$BE$1068,0)),"")</f>
        <v/>
      </c>
      <c r="N378" s="295">
        <f>IFERROR(INDEX('Historical Data'!$S$2:$S$1068,MATCH($A378,'Historical Data'!$BE$2:$BE$1068,0)),"")</f>
        <v/>
      </c>
      <c r="O378" s="294">
        <f>IFERROR(INDEX('Historical Data'!$AJ$2:$AJ$1068,MATCH($A378,'Historical Data'!$BE$2:$BE$1068,0)),"")</f>
        <v/>
      </c>
      <c r="P378" s="294">
        <f>IFERROR(INDEX('Historical Data'!$AK$2:$AK$1068,MATCH($A378,'Historical Data'!$BE$2:$BE$1068,0)),"")</f>
        <v/>
      </c>
      <c r="Q378" s="291">
        <f>IFERROR(INDEX('Historical Data'!$AA$2:$AA$1068,MATCH($A378,'Historical Data'!$BE$2:$BE$1068,0)),"")</f>
        <v/>
      </c>
      <c r="R378" s="291">
        <f>IFERROR(INDEX('Historical Data'!$AB$2:$AB$1068,MATCH($A378,'Historical Data'!$BE$2:$BE$1068,0)),"")</f>
        <v/>
      </c>
      <c r="S378" s="291">
        <f>IFERROR(INDEX('Historical Data'!$AN$2:$AN$1068,MATCH($A378,'Historical Data'!$BE$2:$BE$1068,0)),"")</f>
        <v/>
      </c>
      <c r="T378" s="291">
        <f>IFERROR(INDEX('Historical Data'!$AC$2:$AC$1068,MATCH($A378,'Historical Data'!$BE$2:$BE$1068,0)),"")</f>
        <v/>
      </c>
      <c r="U378" s="291">
        <f>IFERROR(INDEX('Historical Data'!$AE$2:$AE$1068,MATCH($A378,'Historical Data'!$BE$2:$BE$1068,0)),"")</f>
        <v/>
      </c>
      <c r="V378" s="291">
        <f>IFERROR(INDEX('Historical Data'!$AH$2:$AH$1068,MATCH($A378,'Historical Data'!$BE$2:$BE$1068,0)),"")</f>
        <v/>
      </c>
      <c r="W378" s="291">
        <f>IFERROR(INDEX('Historical Data'!$BC$2:$BC$1068,MATCH($A378,'Historical Data'!$BE$2:$BE$1068,0)),"")</f>
        <v/>
      </c>
      <c r="X378" s="290">
        <f>IF(B378="","",IF(W378=1,"NR + industry + position",IF(W378=2,"NR + ISO + position",IF(W378=3,"NR + industry",IF(W378=4,"NR + ISO",IF(W378=5,"NR + position",IF(W378=6,"NR only","book baseline"))))))&amp;"  ["&amp;IF(T378=1,"seasoned","unseasoned")&amp;IF(U378=1,", defaulted","")&amp;IF(V378=1,", open","")&amp;"]")</f>
        <v/>
      </c>
    </row>
    <row r="379">
      <c r="A379" s="290" t="n">
        <v>375</v>
      </c>
      <c r="B379" s="291">
        <f>IFERROR(INDEX('Historical Data'!$A$2:$A$1068,MATCH($A379,'Historical Data'!$BE$2:$BE$1068,0)),"")</f>
        <v/>
      </c>
      <c r="C379" s="291">
        <f>IFERROR(INDEX('Historical Data'!$B$2:$B$1068,MATCH($A379,'Historical Data'!$BE$2:$BE$1068,0)),"")</f>
        <v/>
      </c>
      <c r="D379" s="291">
        <f>IFERROR(INDEX('Historical Data'!$D$2:$D$1068,MATCH($A379,'Historical Data'!$BE$2:$BE$1068,0)),"")</f>
        <v/>
      </c>
      <c r="E379" s="292">
        <f>IFERROR(INDEX('Historical Data'!$E$2:$E$1068,MATCH($A379,'Historical Data'!$BE$2:$BE$1068,0)),"")</f>
        <v/>
      </c>
      <c r="F379" s="291">
        <f>IFERROR(INDEX('Historical Data'!$G$2:$G$1068,MATCH($A379,'Historical Data'!$BE$2:$BE$1068,0)),"")</f>
        <v/>
      </c>
      <c r="G379" s="291">
        <f>IFERROR(INDEX('Historical Data'!$Y$2:$Y$1068,MATCH($A379,'Historical Data'!$BE$2:$BE$1068,0)),"")</f>
        <v/>
      </c>
      <c r="H379" s="291">
        <f>IFERROR(INDEX('Historical Data'!$K$2:$K$1068,MATCH($A379,'Historical Data'!$BE$2:$BE$1068,0)),"")</f>
        <v/>
      </c>
      <c r="I379" s="291">
        <f>IFERROR(INDEX('Historical Data'!$J$2:$J$1068,MATCH($A379,'Historical Data'!$BE$2:$BE$1068,0)),"")</f>
        <v/>
      </c>
      <c r="J379" s="291">
        <f>IFERROR(INDEX('Historical Data'!$L$2:$L$1068,MATCH($A379,'Historical Data'!$BE$2:$BE$1068,0)),"")</f>
        <v/>
      </c>
      <c r="K379" s="293">
        <f>IFERROR(INDEX('Historical Data'!$M$2:$M$1068,MATCH($A379,'Historical Data'!$BE$2:$BE$1068,0)),"")</f>
        <v/>
      </c>
      <c r="L379" s="294">
        <f>IFERROR(INDEX('Historical Data'!$N$2:$N$1068,MATCH($A379,'Historical Data'!$BE$2:$BE$1068,0)),"")</f>
        <v/>
      </c>
      <c r="M379" s="294">
        <f>IFERROR(INDEX('Historical Data'!$Q$2:$Q$1068,MATCH($A379,'Historical Data'!$BE$2:$BE$1068,0)),"")</f>
        <v/>
      </c>
      <c r="N379" s="295">
        <f>IFERROR(INDEX('Historical Data'!$S$2:$S$1068,MATCH($A379,'Historical Data'!$BE$2:$BE$1068,0)),"")</f>
        <v/>
      </c>
      <c r="O379" s="294">
        <f>IFERROR(INDEX('Historical Data'!$AJ$2:$AJ$1068,MATCH($A379,'Historical Data'!$BE$2:$BE$1068,0)),"")</f>
        <v/>
      </c>
      <c r="P379" s="294">
        <f>IFERROR(INDEX('Historical Data'!$AK$2:$AK$1068,MATCH($A379,'Historical Data'!$BE$2:$BE$1068,0)),"")</f>
        <v/>
      </c>
      <c r="Q379" s="291">
        <f>IFERROR(INDEX('Historical Data'!$AA$2:$AA$1068,MATCH($A379,'Historical Data'!$BE$2:$BE$1068,0)),"")</f>
        <v/>
      </c>
      <c r="R379" s="291">
        <f>IFERROR(INDEX('Historical Data'!$AB$2:$AB$1068,MATCH($A379,'Historical Data'!$BE$2:$BE$1068,0)),"")</f>
        <v/>
      </c>
      <c r="S379" s="291">
        <f>IFERROR(INDEX('Historical Data'!$AN$2:$AN$1068,MATCH($A379,'Historical Data'!$BE$2:$BE$1068,0)),"")</f>
        <v/>
      </c>
      <c r="T379" s="291">
        <f>IFERROR(INDEX('Historical Data'!$AC$2:$AC$1068,MATCH($A379,'Historical Data'!$BE$2:$BE$1068,0)),"")</f>
        <v/>
      </c>
      <c r="U379" s="291">
        <f>IFERROR(INDEX('Historical Data'!$AE$2:$AE$1068,MATCH($A379,'Historical Data'!$BE$2:$BE$1068,0)),"")</f>
        <v/>
      </c>
      <c r="V379" s="291">
        <f>IFERROR(INDEX('Historical Data'!$AH$2:$AH$1068,MATCH($A379,'Historical Data'!$BE$2:$BE$1068,0)),"")</f>
        <v/>
      </c>
      <c r="W379" s="291">
        <f>IFERROR(INDEX('Historical Data'!$BC$2:$BC$1068,MATCH($A379,'Historical Data'!$BE$2:$BE$1068,0)),"")</f>
        <v/>
      </c>
      <c r="X379" s="290">
        <f>IF(B379="","",IF(W379=1,"NR + industry + position",IF(W379=2,"NR + ISO + position",IF(W379=3,"NR + industry",IF(W379=4,"NR + ISO",IF(W379=5,"NR + position",IF(W379=6,"NR only","book baseline"))))))&amp;"  ["&amp;IF(T379=1,"seasoned","unseasoned")&amp;IF(U379=1,", defaulted","")&amp;IF(V379=1,", open","")&amp;"]")</f>
        <v/>
      </c>
    </row>
    <row r="380">
      <c r="A380" s="290" t="n">
        <v>376</v>
      </c>
      <c r="B380" s="291">
        <f>IFERROR(INDEX('Historical Data'!$A$2:$A$1068,MATCH($A380,'Historical Data'!$BE$2:$BE$1068,0)),"")</f>
        <v/>
      </c>
      <c r="C380" s="291">
        <f>IFERROR(INDEX('Historical Data'!$B$2:$B$1068,MATCH($A380,'Historical Data'!$BE$2:$BE$1068,0)),"")</f>
        <v/>
      </c>
      <c r="D380" s="291">
        <f>IFERROR(INDEX('Historical Data'!$D$2:$D$1068,MATCH($A380,'Historical Data'!$BE$2:$BE$1068,0)),"")</f>
        <v/>
      </c>
      <c r="E380" s="292">
        <f>IFERROR(INDEX('Historical Data'!$E$2:$E$1068,MATCH($A380,'Historical Data'!$BE$2:$BE$1068,0)),"")</f>
        <v/>
      </c>
      <c r="F380" s="291">
        <f>IFERROR(INDEX('Historical Data'!$G$2:$G$1068,MATCH($A380,'Historical Data'!$BE$2:$BE$1068,0)),"")</f>
        <v/>
      </c>
      <c r="G380" s="291">
        <f>IFERROR(INDEX('Historical Data'!$Y$2:$Y$1068,MATCH($A380,'Historical Data'!$BE$2:$BE$1068,0)),"")</f>
        <v/>
      </c>
      <c r="H380" s="291">
        <f>IFERROR(INDEX('Historical Data'!$K$2:$K$1068,MATCH($A380,'Historical Data'!$BE$2:$BE$1068,0)),"")</f>
        <v/>
      </c>
      <c r="I380" s="291">
        <f>IFERROR(INDEX('Historical Data'!$J$2:$J$1068,MATCH($A380,'Historical Data'!$BE$2:$BE$1068,0)),"")</f>
        <v/>
      </c>
      <c r="J380" s="291">
        <f>IFERROR(INDEX('Historical Data'!$L$2:$L$1068,MATCH($A380,'Historical Data'!$BE$2:$BE$1068,0)),"")</f>
        <v/>
      </c>
      <c r="K380" s="293">
        <f>IFERROR(INDEX('Historical Data'!$M$2:$M$1068,MATCH($A380,'Historical Data'!$BE$2:$BE$1068,0)),"")</f>
        <v/>
      </c>
      <c r="L380" s="294">
        <f>IFERROR(INDEX('Historical Data'!$N$2:$N$1068,MATCH($A380,'Historical Data'!$BE$2:$BE$1068,0)),"")</f>
        <v/>
      </c>
      <c r="M380" s="294">
        <f>IFERROR(INDEX('Historical Data'!$Q$2:$Q$1068,MATCH($A380,'Historical Data'!$BE$2:$BE$1068,0)),"")</f>
        <v/>
      </c>
      <c r="N380" s="295">
        <f>IFERROR(INDEX('Historical Data'!$S$2:$S$1068,MATCH($A380,'Historical Data'!$BE$2:$BE$1068,0)),"")</f>
        <v/>
      </c>
      <c r="O380" s="294">
        <f>IFERROR(INDEX('Historical Data'!$AJ$2:$AJ$1068,MATCH($A380,'Historical Data'!$BE$2:$BE$1068,0)),"")</f>
        <v/>
      </c>
      <c r="P380" s="294">
        <f>IFERROR(INDEX('Historical Data'!$AK$2:$AK$1068,MATCH($A380,'Historical Data'!$BE$2:$BE$1068,0)),"")</f>
        <v/>
      </c>
      <c r="Q380" s="291">
        <f>IFERROR(INDEX('Historical Data'!$AA$2:$AA$1068,MATCH($A380,'Historical Data'!$BE$2:$BE$1068,0)),"")</f>
        <v/>
      </c>
      <c r="R380" s="291">
        <f>IFERROR(INDEX('Historical Data'!$AB$2:$AB$1068,MATCH($A380,'Historical Data'!$BE$2:$BE$1068,0)),"")</f>
        <v/>
      </c>
      <c r="S380" s="291">
        <f>IFERROR(INDEX('Historical Data'!$AN$2:$AN$1068,MATCH($A380,'Historical Data'!$BE$2:$BE$1068,0)),"")</f>
        <v/>
      </c>
      <c r="T380" s="291">
        <f>IFERROR(INDEX('Historical Data'!$AC$2:$AC$1068,MATCH($A380,'Historical Data'!$BE$2:$BE$1068,0)),"")</f>
        <v/>
      </c>
      <c r="U380" s="291">
        <f>IFERROR(INDEX('Historical Data'!$AE$2:$AE$1068,MATCH($A380,'Historical Data'!$BE$2:$BE$1068,0)),"")</f>
        <v/>
      </c>
      <c r="V380" s="291">
        <f>IFERROR(INDEX('Historical Data'!$AH$2:$AH$1068,MATCH($A380,'Historical Data'!$BE$2:$BE$1068,0)),"")</f>
        <v/>
      </c>
      <c r="W380" s="291">
        <f>IFERROR(INDEX('Historical Data'!$BC$2:$BC$1068,MATCH($A380,'Historical Data'!$BE$2:$BE$1068,0)),"")</f>
        <v/>
      </c>
      <c r="X380" s="290">
        <f>IF(B380="","",IF(W380=1,"NR + industry + position",IF(W380=2,"NR + ISO + position",IF(W380=3,"NR + industry",IF(W380=4,"NR + ISO",IF(W380=5,"NR + position",IF(W380=6,"NR only","book baseline"))))))&amp;"  ["&amp;IF(T380=1,"seasoned","unseasoned")&amp;IF(U380=1,", defaulted","")&amp;IF(V380=1,", open","")&amp;"]")</f>
        <v/>
      </c>
    </row>
    <row r="381">
      <c r="A381" s="290" t="n">
        <v>377</v>
      </c>
      <c r="B381" s="291">
        <f>IFERROR(INDEX('Historical Data'!$A$2:$A$1068,MATCH($A381,'Historical Data'!$BE$2:$BE$1068,0)),"")</f>
        <v/>
      </c>
      <c r="C381" s="291">
        <f>IFERROR(INDEX('Historical Data'!$B$2:$B$1068,MATCH($A381,'Historical Data'!$BE$2:$BE$1068,0)),"")</f>
        <v/>
      </c>
      <c r="D381" s="291">
        <f>IFERROR(INDEX('Historical Data'!$D$2:$D$1068,MATCH($A381,'Historical Data'!$BE$2:$BE$1068,0)),"")</f>
        <v/>
      </c>
      <c r="E381" s="292">
        <f>IFERROR(INDEX('Historical Data'!$E$2:$E$1068,MATCH($A381,'Historical Data'!$BE$2:$BE$1068,0)),"")</f>
        <v/>
      </c>
      <c r="F381" s="291">
        <f>IFERROR(INDEX('Historical Data'!$G$2:$G$1068,MATCH($A381,'Historical Data'!$BE$2:$BE$1068,0)),"")</f>
        <v/>
      </c>
      <c r="G381" s="291">
        <f>IFERROR(INDEX('Historical Data'!$Y$2:$Y$1068,MATCH($A381,'Historical Data'!$BE$2:$BE$1068,0)),"")</f>
        <v/>
      </c>
      <c r="H381" s="291">
        <f>IFERROR(INDEX('Historical Data'!$K$2:$K$1068,MATCH($A381,'Historical Data'!$BE$2:$BE$1068,0)),"")</f>
        <v/>
      </c>
      <c r="I381" s="291">
        <f>IFERROR(INDEX('Historical Data'!$J$2:$J$1068,MATCH($A381,'Historical Data'!$BE$2:$BE$1068,0)),"")</f>
        <v/>
      </c>
      <c r="J381" s="291">
        <f>IFERROR(INDEX('Historical Data'!$L$2:$L$1068,MATCH($A381,'Historical Data'!$BE$2:$BE$1068,0)),"")</f>
        <v/>
      </c>
      <c r="K381" s="293">
        <f>IFERROR(INDEX('Historical Data'!$M$2:$M$1068,MATCH($A381,'Historical Data'!$BE$2:$BE$1068,0)),"")</f>
        <v/>
      </c>
      <c r="L381" s="294">
        <f>IFERROR(INDEX('Historical Data'!$N$2:$N$1068,MATCH($A381,'Historical Data'!$BE$2:$BE$1068,0)),"")</f>
        <v/>
      </c>
      <c r="M381" s="294">
        <f>IFERROR(INDEX('Historical Data'!$Q$2:$Q$1068,MATCH($A381,'Historical Data'!$BE$2:$BE$1068,0)),"")</f>
        <v/>
      </c>
      <c r="N381" s="295">
        <f>IFERROR(INDEX('Historical Data'!$S$2:$S$1068,MATCH($A381,'Historical Data'!$BE$2:$BE$1068,0)),"")</f>
        <v/>
      </c>
      <c r="O381" s="294">
        <f>IFERROR(INDEX('Historical Data'!$AJ$2:$AJ$1068,MATCH($A381,'Historical Data'!$BE$2:$BE$1068,0)),"")</f>
        <v/>
      </c>
      <c r="P381" s="294">
        <f>IFERROR(INDEX('Historical Data'!$AK$2:$AK$1068,MATCH($A381,'Historical Data'!$BE$2:$BE$1068,0)),"")</f>
        <v/>
      </c>
      <c r="Q381" s="291">
        <f>IFERROR(INDEX('Historical Data'!$AA$2:$AA$1068,MATCH($A381,'Historical Data'!$BE$2:$BE$1068,0)),"")</f>
        <v/>
      </c>
      <c r="R381" s="291">
        <f>IFERROR(INDEX('Historical Data'!$AB$2:$AB$1068,MATCH($A381,'Historical Data'!$BE$2:$BE$1068,0)),"")</f>
        <v/>
      </c>
      <c r="S381" s="291">
        <f>IFERROR(INDEX('Historical Data'!$AN$2:$AN$1068,MATCH($A381,'Historical Data'!$BE$2:$BE$1068,0)),"")</f>
        <v/>
      </c>
      <c r="T381" s="291">
        <f>IFERROR(INDEX('Historical Data'!$AC$2:$AC$1068,MATCH($A381,'Historical Data'!$BE$2:$BE$1068,0)),"")</f>
        <v/>
      </c>
      <c r="U381" s="291">
        <f>IFERROR(INDEX('Historical Data'!$AE$2:$AE$1068,MATCH($A381,'Historical Data'!$BE$2:$BE$1068,0)),"")</f>
        <v/>
      </c>
      <c r="V381" s="291">
        <f>IFERROR(INDEX('Historical Data'!$AH$2:$AH$1068,MATCH($A381,'Historical Data'!$BE$2:$BE$1068,0)),"")</f>
        <v/>
      </c>
      <c r="W381" s="291">
        <f>IFERROR(INDEX('Historical Data'!$BC$2:$BC$1068,MATCH($A381,'Historical Data'!$BE$2:$BE$1068,0)),"")</f>
        <v/>
      </c>
      <c r="X381" s="290">
        <f>IF(B381="","",IF(W381=1,"NR + industry + position",IF(W381=2,"NR + ISO + position",IF(W381=3,"NR + industry",IF(W381=4,"NR + ISO",IF(W381=5,"NR + position",IF(W381=6,"NR only","book baseline"))))))&amp;"  ["&amp;IF(T381=1,"seasoned","unseasoned")&amp;IF(U381=1,", defaulted","")&amp;IF(V381=1,", open","")&amp;"]")</f>
        <v/>
      </c>
    </row>
    <row r="382">
      <c r="A382" s="290" t="n">
        <v>378</v>
      </c>
      <c r="B382" s="291">
        <f>IFERROR(INDEX('Historical Data'!$A$2:$A$1068,MATCH($A382,'Historical Data'!$BE$2:$BE$1068,0)),"")</f>
        <v/>
      </c>
      <c r="C382" s="291">
        <f>IFERROR(INDEX('Historical Data'!$B$2:$B$1068,MATCH($A382,'Historical Data'!$BE$2:$BE$1068,0)),"")</f>
        <v/>
      </c>
      <c r="D382" s="291">
        <f>IFERROR(INDEX('Historical Data'!$D$2:$D$1068,MATCH($A382,'Historical Data'!$BE$2:$BE$1068,0)),"")</f>
        <v/>
      </c>
      <c r="E382" s="292">
        <f>IFERROR(INDEX('Historical Data'!$E$2:$E$1068,MATCH($A382,'Historical Data'!$BE$2:$BE$1068,0)),"")</f>
        <v/>
      </c>
      <c r="F382" s="291">
        <f>IFERROR(INDEX('Historical Data'!$G$2:$G$1068,MATCH($A382,'Historical Data'!$BE$2:$BE$1068,0)),"")</f>
        <v/>
      </c>
      <c r="G382" s="291">
        <f>IFERROR(INDEX('Historical Data'!$Y$2:$Y$1068,MATCH($A382,'Historical Data'!$BE$2:$BE$1068,0)),"")</f>
        <v/>
      </c>
      <c r="H382" s="291">
        <f>IFERROR(INDEX('Historical Data'!$K$2:$K$1068,MATCH($A382,'Historical Data'!$BE$2:$BE$1068,0)),"")</f>
        <v/>
      </c>
      <c r="I382" s="291">
        <f>IFERROR(INDEX('Historical Data'!$J$2:$J$1068,MATCH($A382,'Historical Data'!$BE$2:$BE$1068,0)),"")</f>
        <v/>
      </c>
      <c r="J382" s="291">
        <f>IFERROR(INDEX('Historical Data'!$L$2:$L$1068,MATCH($A382,'Historical Data'!$BE$2:$BE$1068,0)),"")</f>
        <v/>
      </c>
      <c r="K382" s="293">
        <f>IFERROR(INDEX('Historical Data'!$M$2:$M$1068,MATCH($A382,'Historical Data'!$BE$2:$BE$1068,0)),"")</f>
        <v/>
      </c>
      <c r="L382" s="294">
        <f>IFERROR(INDEX('Historical Data'!$N$2:$N$1068,MATCH($A382,'Historical Data'!$BE$2:$BE$1068,0)),"")</f>
        <v/>
      </c>
      <c r="M382" s="294">
        <f>IFERROR(INDEX('Historical Data'!$Q$2:$Q$1068,MATCH($A382,'Historical Data'!$BE$2:$BE$1068,0)),"")</f>
        <v/>
      </c>
      <c r="N382" s="295">
        <f>IFERROR(INDEX('Historical Data'!$S$2:$S$1068,MATCH($A382,'Historical Data'!$BE$2:$BE$1068,0)),"")</f>
        <v/>
      </c>
      <c r="O382" s="294">
        <f>IFERROR(INDEX('Historical Data'!$AJ$2:$AJ$1068,MATCH($A382,'Historical Data'!$BE$2:$BE$1068,0)),"")</f>
        <v/>
      </c>
      <c r="P382" s="294">
        <f>IFERROR(INDEX('Historical Data'!$AK$2:$AK$1068,MATCH($A382,'Historical Data'!$BE$2:$BE$1068,0)),"")</f>
        <v/>
      </c>
      <c r="Q382" s="291">
        <f>IFERROR(INDEX('Historical Data'!$AA$2:$AA$1068,MATCH($A382,'Historical Data'!$BE$2:$BE$1068,0)),"")</f>
        <v/>
      </c>
      <c r="R382" s="291">
        <f>IFERROR(INDEX('Historical Data'!$AB$2:$AB$1068,MATCH($A382,'Historical Data'!$BE$2:$BE$1068,0)),"")</f>
        <v/>
      </c>
      <c r="S382" s="291">
        <f>IFERROR(INDEX('Historical Data'!$AN$2:$AN$1068,MATCH($A382,'Historical Data'!$BE$2:$BE$1068,0)),"")</f>
        <v/>
      </c>
      <c r="T382" s="291">
        <f>IFERROR(INDEX('Historical Data'!$AC$2:$AC$1068,MATCH($A382,'Historical Data'!$BE$2:$BE$1068,0)),"")</f>
        <v/>
      </c>
      <c r="U382" s="291">
        <f>IFERROR(INDEX('Historical Data'!$AE$2:$AE$1068,MATCH($A382,'Historical Data'!$BE$2:$BE$1068,0)),"")</f>
        <v/>
      </c>
      <c r="V382" s="291">
        <f>IFERROR(INDEX('Historical Data'!$AH$2:$AH$1068,MATCH($A382,'Historical Data'!$BE$2:$BE$1068,0)),"")</f>
        <v/>
      </c>
      <c r="W382" s="291">
        <f>IFERROR(INDEX('Historical Data'!$BC$2:$BC$1068,MATCH($A382,'Historical Data'!$BE$2:$BE$1068,0)),"")</f>
        <v/>
      </c>
      <c r="X382" s="290">
        <f>IF(B382="","",IF(W382=1,"NR + industry + position",IF(W382=2,"NR + ISO + position",IF(W382=3,"NR + industry",IF(W382=4,"NR + ISO",IF(W382=5,"NR + position",IF(W382=6,"NR only","book baseline"))))))&amp;"  ["&amp;IF(T382=1,"seasoned","unseasoned")&amp;IF(U382=1,", defaulted","")&amp;IF(V382=1,", open","")&amp;"]")</f>
        <v/>
      </c>
    </row>
    <row r="383">
      <c r="A383" s="290" t="n">
        <v>379</v>
      </c>
      <c r="B383" s="291">
        <f>IFERROR(INDEX('Historical Data'!$A$2:$A$1068,MATCH($A383,'Historical Data'!$BE$2:$BE$1068,0)),"")</f>
        <v/>
      </c>
      <c r="C383" s="291">
        <f>IFERROR(INDEX('Historical Data'!$B$2:$B$1068,MATCH($A383,'Historical Data'!$BE$2:$BE$1068,0)),"")</f>
        <v/>
      </c>
      <c r="D383" s="291">
        <f>IFERROR(INDEX('Historical Data'!$D$2:$D$1068,MATCH($A383,'Historical Data'!$BE$2:$BE$1068,0)),"")</f>
        <v/>
      </c>
      <c r="E383" s="292">
        <f>IFERROR(INDEX('Historical Data'!$E$2:$E$1068,MATCH($A383,'Historical Data'!$BE$2:$BE$1068,0)),"")</f>
        <v/>
      </c>
      <c r="F383" s="291">
        <f>IFERROR(INDEX('Historical Data'!$G$2:$G$1068,MATCH($A383,'Historical Data'!$BE$2:$BE$1068,0)),"")</f>
        <v/>
      </c>
      <c r="G383" s="291">
        <f>IFERROR(INDEX('Historical Data'!$Y$2:$Y$1068,MATCH($A383,'Historical Data'!$BE$2:$BE$1068,0)),"")</f>
        <v/>
      </c>
      <c r="H383" s="291">
        <f>IFERROR(INDEX('Historical Data'!$K$2:$K$1068,MATCH($A383,'Historical Data'!$BE$2:$BE$1068,0)),"")</f>
        <v/>
      </c>
      <c r="I383" s="291">
        <f>IFERROR(INDEX('Historical Data'!$J$2:$J$1068,MATCH($A383,'Historical Data'!$BE$2:$BE$1068,0)),"")</f>
        <v/>
      </c>
      <c r="J383" s="291">
        <f>IFERROR(INDEX('Historical Data'!$L$2:$L$1068,MATCH($A383,'Historical Data'!$BE$2:$BE$1068,0)),"")</f>
        <v/>
      </c>
      <c r="K383" s="293">
        <f>IFERROR(INDEX('Historical Data'!$M$2:$M$1068,MATCH($A383,'Historical Data'!$BE$2:$BE$1068,0)),"")</f>
        <v/>
      </c>
      <c r="L383" s="294">
        <f>IFERROR(INDEX('Historical Data'!$N$2:$N$1068,MATCH($A383,'Historical Data'!$BE$2:$BE$1068,0)),"")</f>
        <v/>
      </c>
      <c r="M383" s="294">
        <f>IFERROR(INDEX('Historical Data'!$Q$2:$Q$1068,MATCH($A383,'Historical Data'!$BE$2:$BE$1068,0)),"")</f>
        <v/>
      </c>
      <c r="N383" s="295">
        <f>IFERROR(INDEX('Historical Data'!$S$2:$S$1068,MATCH($A383,'Historical Data'!$BE$2:$BE$1068,0)),"")</f>
        <v/>
      </c>
      <c r="O383" s="294">
        <f>IFERROR(INDEX('Historical Data'!$AJ$2:$AJ$1068,MATCH($A383,'Historical Data'!$BE$2:$BE$1068,0)),"")</f>
        <v/>
      </c>
      <c r="P383" s="294">
        <f>IFERROR(INDEX('Historical Data'!$AK$2:$AK$1068,MATCH($A383,'Historical Data'!$BE$2:$BE$1068,0)),"")</f>
        <v/>
      </c>
      <c r="Q383" s="291">
        <f>IFERROR(INDEX('Historical Data'!$AA$2:$AA$1068,MATCH($A383,'Historical Data'!$BE$2:$BE$1068,0)),"")</f>
        <v/>
      </c>
      <c r="R383" s="291">
        <f>IFERROR(INDEX('Historical Data'!$AB$2:$AB$1068,MATCH($A383,'Historical Data'!$BE$2:$BE$1068,0)),"")</f>
        <v/>
      </c>
      <c r="S383" s="291">
        <f>IFERROR(INDEX('Historical Data'!$AN$2:$AN$1068,MATCH($A383,'Historical Data'!$BE$2:$BE$1068,0)),"")</f>
        <v/>
      </c>
      <c r="T383" s="291">
        <f>IFERROR(INDEX('Historical Data'!$AC$2:$AC$1068,MATCH($A383,'Historical Data'!$BE$2:$BE$1068,0)),"")</f>
        <v/>
      </c>
      <c r="U383" s="291">
        <f>IFERROR(INDEX('Historical Data'!$AE$2:$AE$1068,MATCH($A383,'Historical Data'!$BE$2:$BE$1068,0)),"")</f>
        <v/>
      </c>
      <c r="V383" s="291">
        <f>IFERROR(INDEX('Historical Data'!$AH$2:$AH$1068,MATCH($A383,'Historical Data'!$BE$2:$BE$1068,0)),"")</f>
        <v/>
      </c>
      <c r="W383" s="291">
        <f>IFERROR(INDEX('Historical Data'!$BC$2:$BC$1068,MATCH($A383,'Historical Data'!$BE$2:$BE$1068,0)),"")</f>
        <v/>
      </c>
      <c r="X383" s="290">
        <f>IF(B383="","",IF(W383=1,"NR + industry + position",IF(W383=2,"NR + ISO + position",IF(W383=3,"NR + industry",IF(W383=4,"NR + ISO",IF(W383=5,"NR + position",IF(W383=6,"NR only","book baseline"))))))&amp;"  ["&amp;IF(T383=1,"seasoned","unseasoned")&amp;IF(U383=1,", defaulted","")&amp;IF(V383=1,", open","")&amp;"]")</f>
        <v/>
      </c>
    </row>
    <row r="384">
      <c r="A384" s="290" t="n">
        <v>380</v>
      </c>
      <c r="B384" s="291">
        <f>IFERROR(INDEX('Historical Data'!$A$2:$A$1068,MATCH($A384,'Historical Data'!$BE$2:$BE$1068,0)),"")</f>
        <v/>
      </c>
      <c r="C384" s="291">
        <f>IFERROR(INDEX('Historical Data'!$B$2:$B$1068,MATCH($A384,'Historical Data'!$BE$2:$BE$1068,0)),"")</f>
        <v/>
      </c>
      <c r="D384" s="291">
        <f>IFERROR(INDEX('Historical Data'!$D$2:$D$1068,MATCH($A384,'Historical Data'!$BE$2:$BE$1068,0)),"")</f>
        <v/>
      </c>
      <c r="E384" s="292">
        <f>IFERROR(INDEX('Historical Data'!$E$2:$E$1068,MATCH($A384,'Historical Data'!$BE$2:$BE$1068,0)),"")</f>
        <v/>
      </c>
      <c r="F384" s="291">
        <f>IFERROR(INDEX('Historical Data'!$G$2:$G$1068,MATCH($A384,'Historical Data'!$BE$2:$BE$1068,0)),"")</f>
        <v/>
      </c>
      <c r="G384" s="291">
        <f>IFERROR(INDEX('Historical Data'!$Y$2:$Y$1068,MATCH($A384,'Historical Data'!$BE$2:$BE$1068,0)),"")</f>
        <v/>
      </c>
      <c r="H384" s="291">
        <f>IFERROR(INDEX('Historical Data'!$K$2:$K$1068,MATCH($A384,'Historical Data'!$BE$2:$BE$1068,0)),"")</f>
        <v/>
      </c>
      <c r="I384" s="291">
        <f>IFERROR(INDEX('Historical Data'!$J$2:$J$1068,MATCH($A384,'Historical Data'!$BE$2:$BE$1068,0)),"")</f>
        <v/>
      </c>
      <c r="J384" s="291">
        <f>IFERROR(INDEX('Historical Data'!$L$2:$L$1068,MATCH($A384,'Historical Data'!$BE$2:$BE$1068,0)),"")</f>
        <v/>
      </c>
      <c r="K384" s="293">
        <f>IFERROR(INDEX('Historical Data'!$M$2:$M$1068,MATCH($A384,'Historical Data'!$BE$2:$BE$1068,0)),"")</f>
        <v/>
      </c>
      <c r="L384" s="294">
        <f>IFERROR(INDEX('Historical Data'!$N$2:$N$1068,MATCH($A384,'Historical Data'!$BE$2:$BE$1068,0)),"")</f>
        <v/>
      </c>
      <c r="M384" s="294">
        <f>IFERROR(INDEX('Historical Data'!$Q$2:$Q$1068,MATCH($A384,'Historical Data'!$BE$2:$BE$1068,0)),"")</f>
        <v/>
      </c>
      <c r="N384" s="295">
        <f>IFERROR(INDEX('Historical Data'!$S$2:$S$1068,MATCH($A384,'Historical Data'!$BE$2:$BE$1068,0)),"")</f>
        <v/>
      </c>
      <c r="O384" s="294">
        <f>IFERROR(INDEX('Historical Data'!$AJ$2:$AJ$1068,MATCH($A384,'Historical Data'!$BE$2:$BE$1068,0)),"")</f>
        <v/>
      </c>
      <c r="P384" s="294">
        <f>IFERROR(INDEX('Historical Data'!$AK$2:$AK$1068,MATCH($A384,'Historical Data'!$BE$2:$BE$1068,0)),"")</f>
        <v/>
      </c>
      <c r="Q384" s="291">
        <f>IFERROR(INDEX('Historical Data'!$AA$2:$AA$1068,MATCH($A384,'Historical Data'!$BE$2:$BE$1068,0)),"")</f>
        <v/>
      </c>
      <c r="R384" s="291">
        <f>IFERROR(INDEX('Historical Data'!$AB$2:$AB$1068,MATCH($A384,'Historical Data'!$BE$2:$BE$1068,0)),"")</f>
        <v/>
      </c>
      <c r="S384" s="291">
        <f>IFERROR(INDEX('Historical Data'!$AN$2:$AN$1068,MATCH($A384,'Historical Data'!$BE$2:$BE$1068,0)),"")</f>
        <v/>
      </c>
      <c r="T384" s="291">
        <f>IFERROR(INDEX('Historical Data'!$AC$2:$AC$1068,MATCH($A384,'Historical Data'!$BE$2:$BE$1068,0)),"")</f>
        <v/>
      </c>
      <c r="U384" s="291">
        <f>IFERROR(INDEX('Historical Data'!$AE$2:$AE$1068,MATCH($A384,'Historical Data'!$BE$2:$BE$1068,0)),"")</f>
        <v/>
      </c>
      <c r="V384" s="291">
        <f>IFERROR(INDEX('Historical Data'!$AH$2:$AH$1068,MATCH($A384,'Historical Data'!$BE$2:$BE$1068,0)),"")</f>
        <v/>
      </c>
      <c r="W384" s="291">
        <f>IFERROR(INDEX('Historical Data'!$BC$2:$BC$1068,MATCH($A384,'Historical Data'!$BE$2:$BE$1068,0)),"")</f>
        <v/>
      </c>
      <c r="X384" s="290">
        <f>IF(B384="","",IF(W384=1,"NR + industry + position",IF(W384=2,"NR + ISO + position",IF(W384=3,"NR + industry",IF(W384=4,"NR + ISO",IF(W384=5,"NR + position",IF(W384=6,"NR only","book baseline"))))))&amp;"  ["&amp;IF(T384=1,"seasoned","unseasoned")&amp;IF(U384=1,", defaulted","")&amp;IF(V384=1,", open","")&amp;"]")</f>
        <v/>
      </c>
    </row>
    <row r="385">
      <c r="A385" s="290" t="n">
        <v>381</v>
      </c>
      <c r="B385" s="291">
        <f>IFERROR(INDEX('Historical Data'!$A$2:$A$1068,MATCH($A385,'Historical Data'!$BE$2:$BE$1068,0)),"")</f>
        <v/>
      </c>
      <c r="C385" s="291">
        <f>IFERROR(INDEX('Historical Data'!$B$2:$B$1068,MATCH($A385,'Historical Data'!$BE$2:$BE$1068,0)),"")</f>
        <v/>
      </c>
      <c r="D385" s="291">
        <f>IFERROR(INDEX('Historical Data'!$D$2:$D$1068,MATCH($A385,'Historical Data'!$BE$2:$BE$1068,0)),"")</f>
        <v/>
      </c>
      <c r="E385" s="292">
        <f>IFERROR(INDEX('Historical Data'!$E$2:$E$1068,MATCH($A385,'Historical Data'!$BE$2:$BE$1068,0)),"")</f>
        <v/>
      </c>
      <c r="F385" s="291">
        <f>IFERROR(INDEX('Historical Data'!$G$2:$G$1068,MATCH($A385,'Historical Data'!$BE$2:$BE$1068,0)),"")</f>
        <v/>
      </c>
      <c r="G385" s="291">
        <f>IFERROR(INDEX('Historical Data'!$Y$2:$Y$1068,MATCH($A385,'Historical Data'!$BE$2:$BE$1068,0)),"")</f>
        <v/>
      </c>
      <c r="H385" s="291">
        <f>IFERROR(INDEX('Historical Data'!$K$2:$K$1068,MATCH($A385,'Historical Data'!$BE$2:$BE$1068,0)),"")</f>
        <v/>
      </c>
      <c r="I385" s="291">
        <f>IFERROR(INDEX('Historical Data'!$J$2:$J$1068,MATCH($A385,'Historical Data'!$BE$2:$BE$1068,0)),"")</f>
        <v/>
      </c>
      <c r="J385" s="291">
        <f>IFERROR(INDEX('Historical Data'!$L$2:$L$1068,MATCH($A385,'Historical Data'!$BE$2:$BE$1068,0)),"")</f>
        <v/>
      </c>
      <c r="K385" s="293">
        <f>IFERROR(INDEX('Historical Data'!$M$2:$M$1068,MATCH($A385,'Historical Data'!$BE$2:$BE$1068,0)),"")</f>
        <v/>
      </c>
      <c r="L385" s="294">
        <f>IFERROR(INDEX('Historical Data'!$N$2:$N$1068,MATCH($A385,'Historical Data'!$BE$2:$BE$1068,0)),"")</f>
        <v/>
      </c>
      <c r="M385" s="294">
        <f>IFERROR(INDEX('Historical Data'!$Q$2:$Q$1068,MATCH($A385,'Historical Data'!$BE$2:$BE$1068,0)),"")</f>
        <v/>
      </c>
      <c r="N385" s="295">
        <f>IFERROR(INDEX('Historical Data'!$S$2:$S$1068,MATCH($A385,'Historical Data'!$BE$2:$BE$1068,0)),"")</f>
        <v/>
      </c>
      <c r="O385" s="294">
        <f>IFERROR(INDEX('Historical Data'!$AJ$2:$AJ$1068,MATCH($A385,'Historical Data'!$BE$2:$BE$1068,0)),"")</f>
        <v/>
      </c>
      <c r="P385" s="294">
        <f>IFERROR(INDEX('Historical Data'!$AK$2:$AK$1068,MATCH($A385,'Historical Data'!$BE$2:$BE$1068,0)),"")</f>
        <v/>
      </c>
      <c r="Q385" s="291">
        <f>IFERROR(INDEX('Historical Data'!$AA$2:$AA$1068,MATCH($A385,'Historical Data'!$BE$2:$BE$1068,0)),"")</f>
        <v/>
      </c>
      <c r="R385" s="291">
        <f>IFERROR(INDEX('Historical Data'!$AB$2:$AB$1068,MATCH($A385,'Historical Data'!$BE$2:$BE$1068,0)),"")</f>
        <v/>
      </c>
      <c r="S385" s="291">
        <f>IFERROR(INDEX('Historical Data'!$AN$2:$AN$1068,MATCH($A385,'Historical Data'!$BE$2:$BE$1068,0)),"")</f>
        <v/>
      </c>
      <c r="T385" s="291">
        <f>IFERROR(INDEX('Historical Data'!$AC$2:$AC$1068,MATCH($A385,'Historical Data'!$BE$2:$BE$1068,0)),"")</f>
        <v/>
      </c>
      <c r="U385" s="291">
        <f>IFERROR(INDEX('Historical Data'!$AE$2:$AE$1068,MATCH($A385,'Historical Data'!$BE$2:$BE$1068,0)),"")</f>
        <v/>
      </c>
      <c r="V385" s="291">
        <f>IFERROR(INDEX('Historical Data'!$AH$2:$AH$1068,MATCH($A385,'Historical Data'!$BE$2:$BE$1068,0)),"")</f>
        <v/>
      </c>
      <c r="W385" s="291">
        <f>IFERROR(INDEX('Historical Data'!$BC$2:$BC$1068,MATCH($A385,'Historical Data'!$BE$2:$BE$1068,0)),"")</f>
        <v/>
      </c>
      <c r="X385" s="290">
        <f>IF(B385="","",IF(W385=1,"NR + industry + position",IF(W385=2,"NR + ISO + position",IF(W385=3,"NR + industry",IF(W385=4,"NR + ISO",IF(W385=5,"NR + position",IF(W385=6,"NR only","book baseline"))))))&amp;"  ["&amp;IF(T385=1,"seasoned","unseasoned")&amp;IF(U385=1,", defaulted","")&amp;IF(V385=1,", open","")&amp;"]")</f>
        <v/>
      </c>
    </row>
    <row r="386">
      <c r="A386" s="290" t="n">
        <v>382</v>
      </c>
      <c r="B386" s="291">
        <f>IFERROR(INDEX('Historical Data'!$A$2:$A$1068,MATCH($A386,'Historical Data'!$BE$2:$BE$1068,0)),"")</f>
        <v/>
      </c>
      <c r="C386" s="291">
        <f>IFERROR(INDEX('Historical Data'!$B$2:$B$1068,MATCH($A386,'Historical Data'!$BE$2:$BE$1068,0)),"")</f>
        <v/>
      </c>
      <c r="D386" s="291">
        <f>IFERROR(INDEX('Historical Data'!$D$2:$D$1068,MATCH($A386,'Historical Data'!$BE$2:$BE$1068,0)),"")</f>
        <v/>
      </c>
      <c r="E386" s="292">
        <f>IFERROR(INDEX('Historical Data'!$E$2:$E$1068,MATCH($A386,'Historical Data'!$BE$2:$BE$1068,0)),"")</f>
        <v/>
      </c>
      <c r="F386" s="291">
        <f>IFERROR(INDEX('Historical Data'!$G$2:$G$1068,MATCH($A386,'Historical Data'!$BE$2:$BE$1068,0)),"")</f>
        <v/>
      </c>
      <c r="G386" s="291">
        <f>IFERROR(INDEX('Historical Data'!$Y$2:$Y$1068,MATCH($A386,'Historical Data'!$BE$2:$BE$1068,0)),"")</f>
        <v/>
      </c>
      <c r="H386" s="291">
        <f>IFERROR(INDEX('Historical Data'!$K$2:$K$1068,MATCH($A386,'Historical Data'!$BE$2:$BE$1068,0)),"")</f>
        <v/>
      </c>
      <c r="I386" s="291">
        <f>IFERROR(INDEX('Historical Data'!$J$2:$J$1068,MATCH($A386,'Historical Data'!$BE$2:$BE$1068,0)),"")</f>
        <v/>
      </c>
      <c r="J386" s="291">
        <f>IFERROR(INDEX('Historical Data'!$L$2:$L$1068,MATCH($A386,'Historical Data'!$BE$2:$BE$1068,0)),"")</f>
        <v/>
      </c>
      <c r="K386" s="293">
        <f>IFERROR(INDEX('Historical Data'!$M$2:$M$1068,MATCH($A386,'Historical Data'!$BE$2:$BE$1068,0)),"")</f>
        <v/>
      </c>
      <c r="L386" s="294">
        <f>IFERROR(INDEX('Historical Data'!$N$2:$N$1068,MATCH($A386,'Historical Data'!$BE$2:$BE$1068,0)),"")</f>
        <v/>
      </c>
      <c r="M386" s="294">
        <f>IFERROR(INDEX('Historical Data'!$Q$2:$Q$1068,MATCH($A386,'Historical Data'!$BE$2:$BE$1068,0)),"")</f>
        <v/>
      </c>
      <c r="N386" s="295">
        <f>IFERROR(INDEX('Historical Data'!$S$2:$S$1068,MATCH($A386,'Historical Data'!$BE$2:$BE$1068,0)),"")</f>
        <v/>
      </c>
      <c r="O386" s="294">
        <f>IFERROR(INDEX('Historical Data'!$AJ$2:$AJ$1068,MATCH($A386,'Historical Data'!$BE$2:$BE$1068,0)),"")</f>
        <v/>
      </c>
      <c r="P386" s="294">
        <f>IFERROR(INDEX('Historical Data'!$AK$2:$AK$1068,MATCH($A386,'Historical Data'!$BE$2:$BE$1068,0)),"")</f>
        <v/>
      </c>
      <c r="Q386" s="291">
        <f>IFERROR(INDEX('Historical Data'!$AA$2:$AA$1068,MATCH($A386,'Historical Data'!$BE$2:$BE$1068,0)),"")</f>
        <v/>
      </c>
      <c r="R386" s="291">
        <f>IFERROR(INDEX('Historical Data'!$AB$2:$AB$1068,MATCH($A386,'Historical Data'!$BE$2:$BE$1068,0)),"")</f>
        <v/>
      </c>
      <c r="S386" s="291">
        <f>IFERROR(INDEX('Historical Data'!$AN$2:$AN$1068,MATCH($A386,'Historical Data'!$BE$2:$BE$1068,0)),"")</f>
        <v/>
      </c>
      <c r="T386" s="291">
        <f>IFERROR(INDEX('Historical Data'!$AC$2:$AC$1068,MATCH($A386,'Historical Data'!$BE$2:$BE$1068,0)),"")</f>
        <v/>
      </c>
      <c r="U386" s="291">
        <f>IFERROR(INDEX('Historical Data'!$AE$2:$AE$1068,MATCH($A386,'Historical Data'!$BE$2:$BE$1068,0)),"")</f>
        <v/>
      </c>
      <c r="V386" s="291">
        <f>IFERROR(INDEX('Historical Data'!$AH$2:$AH$1068,MATCH($A386,'Historical Data'!$BE$2:$BE$1068,0)),"")</f>
        <v/>
      </c>
      <c r="W386" s="291">
        <f>IFERROR(INDEX('Historical Data'!$BC$2:$BC$1068,MATCH($A386,'Historical Data'!$BE$2:$BE$1068,0)),"")</f>
        <v/>
      </c>
      <c r="X386" s="290">
        <f>IF(B386="","",IF(W386=1,"NR + industry + position",IF(W386=2,"NR + ISO + position",IF(W386=3,"NR + industry",IF(W386=4,"NR + ISO",IF(W386=5,"NR + position",IF(W386=6,"NR only","book baseline"))))))&amp;"  ["&amp;IF(T386=1,"seasoned","unseasoned")&amp;IF(U386=1,", defaulted","")&amp;IF(V386=1,", open","")&amp;"]")</f>
        <v/>
      </c>
    </row>
    <row r="387">
      <c r="A387" s="290" t="n">
        <v>383</v>
      </c>
      <c r="B387" s="291">
        <f>IFERROR(INDEX('Historical Data'!$A$2:$A$1068,MATCH($A387,'Historical Data'!$BE$2:$BE$1068,0)),"")</f>
        <v/>
      </c>
      <c r="C387" s="291">
        <f>IFERROR(INDEX('Historical Data'!$B$2:$B$1068,MATCH($A387,'Historical Data'!$BE$2:$BE$1068,0)),"")</f>
        <v/>
      </c>
      <c r="D387" s="291">
        <f>IFERROR(INDEX('Historical Data'!$D$2:$D$1068,MATCH($A387,'Historical Data'!$BE$2:$BE$1068,0)),"")</f>
        <v/>
      </c>
      <c r="E387" s="292">
        <f>IFERROR(INDEX('Historical Data'!$E$2:$E$1068,MATCH($A387,'Historical Data'!$BE$2:$BE$1068,0)),"")</f>
        <v/>
      </c>
      <c r="F387" s="291">
        <f>IFERROR(INDEX('Historical Data'!$G$2:$G$1068,MATCH($A387,'Historical Data'!$BE$2:$BE$1068,0)),"")</f>
        <v/>
      </c>
      <c r="G387" s="291">
        <f>IFERROR(INDEX('Historical Data'!$Y$2:$Y$1068,MATCH($A387,'Historical Data'!$BE$2:$BE$1068,0)),"")</f>
        <v/>
      </c>
      <c r="H387" s="291">
        <f>IFERROR(INDEX('Historical Data'!$K$2:$K$1068,MATCH($A387,'Historical Data'!$BE$2:$BE$1068,0)),"")</f>
        <v/>
      </c>
      <c r="I387" s="291">
        <f>IFERROR(INDEX('Historical Data'!$J$2:$J$1068,MATCH($A387,'Historical Data'!$BE$2:$BE$1068,0)),"")</f>
        <v/>
      </c>
      <c r="J387" s="291">
        <f>IFERROR(INDEX('Historical Data'!$L$2:$L$1068,MATCH($A387,'Historical Data'!$BE$2:$BE$1068,0)),"")</f>
        <v/>
      </c>
      <c r="K387" s="293">
        <f>IFERROR(INDEX('Historical Data'!$M$2:$M$1068,MATCH($A387,'Historical Data'!$BE$2:$BE$1068,0)),"")</f>
        <v/>
      </c>
      <c r="L387" s="294">
        <f>IFERROR(INDEX('Historical Data'!$N$2:$N$1068,MATCH($A387,'Historical Data'!$BE$2:$BE$1068,0)),"")</f>
        <v/>
      </c>
      <c r="M387" s="294">
        <f>IFERROR(INDEX('Historical Data'!$Q$2:$Q$1068,MATCH($A387,'Historical Data'!$BE$2:$BE$1068,0)),"")</f>
        <v/>
      </c>
      <c r="N387" s="295">
        <f>IFERROR(INDEX('Historical Data'!$S$2:$S$1068,MATCH($A387,'Historical Data'!$BE$2:$BE$1068,0)),"")</f>
        <v/>
      </c>
      <c r="O387" s="294">
        <f>IFERROR(INDEX('Historical Data'!$AJ$2:$AJ$1068,MATCH($A387,'Historical Data'!$BE$2:$BE$1068,0)),"")</f>
        <v/>
      </c>
      <c r="P387" s="294">
        <f>IFERROR(INDEX('Historical Data'!$AK$2:$AK$1068,MATCH($A387,'Historical Data'!$BE$2:$BE$1068,0)),"")</f>
        <v/>
      </c>
      <c r="Q387" s="291">
        <f>IFERROR(INDEX('Historical Data'!$AA$2:$AA$1068,MATCH($A387,'Historical Data'!$BE$2:$BE$1068,0)),"")</f>
        <v/>
      </c>
      <c r="R387" s="291">
        <f>IFERROR(INDEX('Historical Data'!$AB$2:$AB$1068,MATCH($A387,'Historical Data'!$BE$2:$BE$1068,0)),"")</f>
        <v/>
      </c>
      <c r="S387" s="291">
        <f>IFERROR(INDEX('Historical Data'!$AN$2:$AN$1068,MATCH($A387,'Historical Data'!$BE$2:$BE$1068,0)),"")</f>
        <v/>
      </c>
      <c r="T387" s="291">
        <f>IFERROR(INDEX('Historical Data'!$AC$2:$AC$1068,MATCH($A387,'Historical Data'!$BE$2:$BE$1068,0)),"")</f>
        <v/>
      </c>
      <c r="U387" s="291">
        <f>IFERROR(INDEX('Historical Data'!$AE$2:$AE$1068,MATCH($A387,'Historical Data'!$BE$2:$BE$1068,0)),"")</f>
        <v/>
      </c>
      <c r="V387" s="291">
        <f>IFERROR(INDEX('Historical Data'!$AH$2:$AH$1068,MATCH($A387,'Historical Data'!$BE$2:$BE$1068,0)),"")</f>
        <v/>
      </c>
      <c r="W387" s="291">
        <f>IFERROR(INDEX('Historical Data'!$BC$2:$BC$1068,MATCH($A387,'Historical Data'!$BE$2:$BE$1068,0)),"")</f>
        <v/>
      </c>
      <c r="X387" s="290">
        <f>IF(B387="","",IF(W387=1,"NR + industry + position",IF(W387=2,"NR + ISO + position",IF(W387=3,"NR + industry",IF(W387=4,"NR + ISO",IF(W387=5,"NR + position",IF(W387=6,"NR only","book baseline"))))))&amp;"  ["&amp;IF(T387=1,"seasoned","unseasoned")&amp;IF(U387=1,", defaulted","")&amp;IF(V387=1,", open","")&amp;"]")</f>
        <v/>
      </c>
    </row>
    <row r="388">
      <c r="A388" s="290" t="n">
        <v>384</v>
      </c>
      <c r="B388" s="291">
        <f>IFERROR(INDEX('Historical Data'!$A$2:$A$1068,MATCH($A388,'Historical Data'!$BE$2:$BE$1068,0)),"")</f>
        <v/>
      </c>
      <c r="C388" s="291">
        <f>IFERROR(INDEX('Historical Data'!$B$2:$B$1068,MATCH($A388,'Historical Data'!$BE$2:$BE$1068,0)),"")</f>
        <v/>
      </c>
      <c r="D388" s="291">
        <f>IFERROR(INDEX('Historical Data'!$D$2:$D$1068,MATCH($A388,'Historical Data'!$BE$2:$BE$1068,0)),"")</f>
        <v/>
      </c>
      <c r="E388" s="292">
        <f>IFERROR(INDEX('Historical Data'!$E$2:$E$1068,MATCH($A388,'Historical Data'!$BE$2:$BE$1068,0)),"")</f>
        <v/>
      </c>
      <c r="F388" s="291">
        <f>IFERROR(INDEX('Historical Data'!$G$2:$G$1068,MATCH($A388,'Historical Data'!$BE$2:$BE$1068,0)),"")</f>
        <v/>
      </c>
      <c r="G388" s="291">
        <f>IFERROR(INDEX('Historical Data'!$Y$2:$Y$1068,MATCH($A388,'Historical Data'!$BE$2:$BE$1068,0)),"")</f>
        <v/>
      </c>
      <c r="H388" s="291">
        <f>IFERROR(INDEX('Historical Data'!$K$2:$K$1068,MATCH($A388,'Historical Data'!$BE$2:$BE$1068,0)),"")</f>
        <v/>
      </c>
      <c r="I388" s="291">
        <f>IFERROR(INDEX('Historical Data'!$J$2:$J$1068,MATCH($A388,'Historical Data'!$BE$2:$BE$1068,0)),"")</f>
        <v/>
      </c>
      <c r="J388" s="291">
        <f>IFERROR(INDEX('Historical Data'!$L$2:$L$1068,MATCH($A388,'Historical Data'!$BE$2:$BE$1068,0)),"")</f>
        <v/>
      </c>
      <c r="K388" s="293">
        <f>IFERROR(INDEX('Historical Data'!$M$2:$M$1068,MATCH($A388,'Historical Data'!$BE$2:$BE$1068,0)),"")</f>
        <v/>
      </c>
      <c r="L388" s="294">
        <f>IFERROR(INDEX('Historical Data'!$N$2:$N$1068,MATCH($A388,'Historical Data'!$BE$2:$BE$1068,0)),"")</f>
        <v/>
      </c>
      <c r="M388" s="294">
        <f>IFERROR(INDEX('Historical Data'!$Q$2:$Q$1068,MATCH($A388,'Historical Data'!$BE$2:$BE$1068,0)),"")</f>
        <v/>
      </c>
      <c r="N388" s="295">
        <f>IFERROR(INDEX('Historical Data'!$S$2:$S$1068,MATCH($A388,'Historical Data'!$BE$2:$BE$1068,0)),"")</f>
        <v/>
      </c>
      <c r="O388" s="294">
        <f>IFERROR(INDEX('Historical Data'!$AJ$2:$AJ$1068,MATCH($A388,'Historical Data'!$BE$2:$BE$1068,0)),"")</f>
        <v/>
      </c>
      <c r="P388" s="294">
        <f>IFERROR(INDEX('Historical Data'!$AK$2:$AK$1068,MATCH($A388,'Historical Data'!$BE$2:$BE$1068,0)),"")</f>
        <v/>
      </c>
      <c r="Q388" s="291">
        <f>IFERROR(INDEX('Historical Data'!$AA$2:$AA$1068,MATCH($A388,'Historical Data'!$BE$2:$BE$1068,0)),"")</f>
        <v/>
      </c>
      <c r="R388" s="291">
        <f>IFERROR(INDEX('Historical Data'!$AB$2:$AB$1068,MATCH($A388,'Historical Data'!$BE$2:$BE$1068,0)),"")</f>
        <v/>
      </c>
      <c r="S388" s="291">
        <f>IFERROR(INDEX('Historical Data'!$AN$2:$AN$1068,MATCH($A388,'Historical Data'!$BE$2:$BE$1068,0)),"")</f>
        <v/>
      </c>
      <c r="T388" s="291">
        <f>IFERROR(INDEX('Historical Data'!$AC$2:$AC$1068,MATCH($A388,'Historical Data'!$BE$2:$BE$1068,0)),"")</f>
        <v/>
      </c>
      <c r="U388" s="291">
        <f>IFERROR(INDEX('Historical Data'!$AE$2:$AE$1068,MATCH($A388,'Historical Data'!$BE$2:$BE$1068,0)),"")</f>
        <v/>
      </c>
      <c r="V388" s="291">
        <f>IFERROR(INDEX('Historical Data'!$AH$2:$AH$1068,MATCH($A388,'Historical Data'!$BE$2:$BE$1068,0)),"")</f>
        <v/>
      </c>
      <c r="W388" s="291">
        <f>IFERROR(INDEX('Historical Data'!$BC$2:$BC$1068,MATCH($A388,'Historical Data'!$BE$2:$BE$1068,0)),"")</f>
        <v/>
      </c>
      <c r="X388" s="290">
        <f>IF(B388="","",IF(W388=1,"NR + industry + position",IF(W388=2,"NR + ISO + position",IF(W388=3,"NR + industry",IF(W388=4,"NR + ISO",IF(W388=5,"NR + position",IF(W388=6,"NR only","book baseline"))))))&amp;"  ["&amp;IF(T388=1,"seasoned","unseasoned")&amp;IF(U388=1,", defaulted","")&amp;IF(V388=1,", open","")&amp;"]")</f>
        <v/>
      </c>
    </row>
    <row r="389">
      <c r="A389" s="290" t="n">
        <v>385</v>
      </c>
      <c r="B389" s="291">
        <f>IFERROR(INDEX('Historical Data'!$A$2:$A$1068,MATCH($A389,'Historical Data'!$BE$2:$BE$1068,0)),"")</f>
        <v/>
      </c>
      <c r="C389" s="291">
        <f>IFERROR(INDEX('Historical Data'!$B$2:$B$1068,MATCH($A389,'Historical Data'!$BE$2:$BE$1068,0)),"")</f>
        <v/>
      </c>
      <c r="D389" s="291">
        <f>IFERROR(INDEX('Historical Data'!$D$2:$D$1068,MATCH($A389,'Historical Data'!$BE$2:$BE$1068,0)),"")</f>
        <v/>
      </c>
      <c r="E389" s="292">
        <f>IFERROR(INDEX('Historical Data'!$E$2:$E$1068,MATCH($A389,'Historical Data'!$BE$2:$BE$1068,0)),"")</f>
        <v/>
      </c>
      <c r="F389" s="291">
        <f>IFERROR(INDEX('Historical Data'!$G$2:$G$1068,MATCH($A389,'Historical Data'!$BE$2:$BE$1068,0)),"")</f>
        <v/>
      </c>
      <c r="G389" s="291">
        <f>IFERROR(INDEX('Historical Data'!$Y$2:$Y$1068,MATCH($A389,'Historical Data'!$BE$2:$BE$1068,0)),"")</f>
        <v/>
      </c>
      <c r="H389" s="291">
        <f>IFERROR(INDEX('Historical Data'!$K$2:$K$1068,MATCH($A389,'Historical Data'!$BE$2:$BE$1068,0)),"")</f>
        <v/>
      </c>
      <c r="I389" s="291">
        <f>IFERROR(INDEX('Historical Data'!$J$2:$J$1068,MATCH($A389,'Historical Data'!$BE$2:$BE$1068,0)),"")</f>
        <v/>
      </c>
      <c r="J389" s="291">
        <f>IFERROR(INDEX('Historical Data'!$L$2:$L$1068,MATCH($A389,'Historical Data'!$BE$2:$BE$1068,0)),"")</f>
        <v/>
      </c>
      <c r="K389" s="293">
        <f>IFERROR(INDEX('Historical Data'!$M$2:$M$1068,MATCH($A389,'Historical Data'!$BE$2:$BE$1068,0)),"")</f>
        <v/>
      </c>
      <c r="L389" s="294">
        <f>IFERROR(INDEX('Historical Data'!$N$2:$N$1068,MATCH($A389,'Historical Data'!$BE$2:$BE$1068,0)),"")</f>
        <v/>
      </c>
      <c r="M389" s="294">
        <f>IFERROR(INDEX('Historical Data'!$Q$2:$Q$1068,MATCH($A389,'Historical Data'!$BE$2:$BE$1068,0)),"")</f>
        <v/>
      </c>
      <c r="N389" s="295">
        <f>IFERROR(INDEX('Historical Data'!$S$2:$S$1068,MATCH($A389,'Historical Data'!$BE$2:$BE$1068,0)),"")</f>
        <v/>
      </c>
      <c r="O389" s="294">
        <f>IFERROR(INDEX('Historical Data'!$AJ$2:$AJ$1068,MATCH($A389,'Historical Data'!$BE$2:$BE$1068,0)),"")</f>
        <v/>
      </c>
      <c r="P389" s="294">
        <f>IFERROR(INDEX('Historical Data'!$AK$2:$AK$1068,MATCH($A389,'Historical Data'!$BE$2:$BE$1068,0)),"")</f>
        <v/>
      </c>
      <c r="Q389" s="291">
        <f>IFERROR(INDEX('Historical Data'!$AA$2:$AA$1068,MATCH($A389,'Historical Data'!$BE$2:$BE$1068,0)),"")</f>
        <v/>
      </c>
      <c r="R389" s="291">
        <f>IFERROR(INDEX('Historical Data'!$AB$2:$AB$1068,MATCH($A389,'Historical Data'!$BE$2:$BE$1068,0)),"")</f>
        <v/>
      </c>
      <c r="S389" s="291">
        <f>IFERROR(INDEX('Historical Data'!$AN$2:$AN$1068,MATCH($A389,'Historical Data'!$BE$2:$BE$1068,0)),"")</f>
        <v/>
      </c>
      <c r="T389" s="291">
        <f>IFERROR(INDEX('Historical Data'!$AC$2:$AC$1068,MATCH($A389,'Historical Data'!$BE$2:$BE$1068,0)),"")</f>
        <v/>
      </c>
      <c r="U389" s="291">
        <f>IFERROR(INDEX('Historical Data'!$AE$2:$AE$1068,MATCH($A389,'Historical Data'!$BE$2:$BE$1068,0)),"")</f>
        <v/>
      </c>
      <c r="V389" s="291">
        <f>IFERROR(INDEX('Historical Data'!$AH$2:$AH$1068,MATCH($A389,'Historical Data'!$BE$2:$BE$1068,0)),"")</f>
        <v/>
      </c>
      <c r="W389" s="291">
        <f>IFERROR(INDEX('Historical Data'!$BC$2:$BC$1068,MATCH($A389,'Historical Data'!$BE$2:$BE$1068,0)),"")</f>
        <v/>
      </c>
      <c r="X389" s="290">
        <f>IF(B389="","",IF(W389=1,"NR + industry + position",IF(W389=2,"NR + ISO + position",IF(W389=3,"NR + industry",IF(W389=4,"NR + ISO",IF(W389=5,"NR + position",IF(W389=6,"NR only","book baseline"))))))&amp;"  ["&amp;IF(T389=1,"seasoned","unseasoned")&amp;IF(U389=1,", defaulted","")&amp;IF(V389=1,", open","")&amp;"]")</f>
        <v/>
      </c>
    </row>
    <row r="390">
      <c r="A390" s="290" t="n">
        <v>386</v>
      </c>
      <c r="B390" s="291">
        <f>IFERROR(INDEX('Historical Data'!$A$2:$A$1068,MATCH($A390,'Historical Data'!$BE$2:$BE$1068,0)),"")</f>
        <v/>
      </c>
      <c r="C390" s="291">
        <f>IFERROR(INDEX('Historical Data'!$B$2:$B$1068,MATCH($A390,'Historical Data'!$BE$2:$BE$1068,0)),"")</f>
        <v/>
      </c>
      <c r="D390" s="291">
        <f>IFERROR(INDEX('Historical Data'!$D$2:$D$1068,MATCH($A390,'Historical Data'!$BE$2:$BE$1068,0)),"")</f>
        <v/>
      </c>
      <c r="E390" s="292">
        <f>IFERROR(INDEX('Historical Data'!$E$2:$E$1068,MATCH($A390,'Historical Data'!$BE$2:$BE$1068,0)),"")</f>
        <v/>
      </c>
      <c r="F390" s="291">
        <f>IFERROR(INDEX('Historical Data'!$G$2:$G$1068,MATCH($A390,'Historical Data'!$BE$2:$BE$1068,0)),"")</f>
        <v/>
      </c>
      <c r="G390" s="291">
        <f>IFERROR(INDEX('Historical Data'!$Y$2:$Y$1068,MATCH($A390,'Historical Data'!$BE$2:$BE$1068,0)),"")</f>
        <v/>
      </c>
      <c r="H390" s="291">
        <f>IFERROR(INDEX('Historical Data'!$K$2:$K$1068,MATCH($A390,'Historical Data'!$BE$2:$BE$1068,0)),"")</f>
        <v/>
      </c>
      <c r="I390" s="291">
        <f>IFERROR(INDEX('Historical Data'!$J$2:$J$1068,MATCH($A390,'Historical Data'!$BE$2:$BE$1068,0)),"")</f>
        <v/>
      </c>
      <c r="J390" s="291">
        <f>IFERROR(INDEX('Historical Data'!$L$2:$L$1068,MATCH($A390,'Historical Data'!$BE$2:$BE$1068,0)),"")</f>
        <v/>
      </c>
      <c r="K390" s="293">
        <f>IFERROR(INDEX('Historical Data'!$M$2:$M$1068,MATCH($A390,'Historical Data'!$BE$2:$BE$1068,0)),"")</f>
        <v/>
      </c>
      <c r="L390" s="294">
        <f>IFERROR(INDEX('Historical Data'!$N$2:$N$1068,MATCH($A390,'Historical Data'!$BE$2:$BE$1068,0)),"")</f>
        <v/>
      </c>
      <c r="M390" s="294">
        <f>IFERROR(INDEX('Historical Data'!$Q$2:$Q$1068,MATCH($A390,'Historical Data'!$BE$2:$BE$1068,0)),"")</f>
        <v/>
      </c>
      <c r="N390" s="295">
        <f>IFERROR(INDEX('Historical Data'!$S$2:$S$1068,MATCH($A390,'Historical Data'!$BE$2:$BE$1068,0)),"")</f>
        <v/>
      </c>
      <c r="O390" s="294">
        <f>IFERROR(INDEX('Historical Data'!$AJ$2:$AJ$1068,MATCH($A390,'Historical Data'!$BE$2:$BE$1068,0)),"")</f>
        <v/>
      </c>
      <c r="P390" s="294">
        <f>IFERROR(INDEX('Historical Data'!$AK$2:$AK$1068,MATCH($A390,'Historical Data'!$BE$2:$BE$1068,0)),"")</f>
        <v/>
      </c>
      <c r="Q390" s="291">
        <f>IFERROR(INDEX('Historical Data'!$AA$2:$AA$1068,MATCH($A390,'Historical Data'!$BE$2:$BE$1068,0)),"")</f>
        <v/>
      </c>
      <c r="R390" s="291">
        <f>IFERROR(INDEX('Historical Data'!$AB$2:$AB$1068,MATCH($A390,'Historical Data'!$BE$2:$BE$1068,0)),"")</f>
        <v/>
      </c>
      <c r="S390" s="291">
        <f>IFERROR(INDEX('Historical Data'!$AN$2:$AN$1068,MATCH($A390,'Historical Data'!$BE$2:$BE$1068,0)),"")</f>
        <v/>
      </c>
      <c r="T390" s="291">
        <f>IFERROR(INDEX('Historical Data'!$AC$2:$AC$1068,MATCH($A390,'Historical Data'!$BE$2:$BE$1068,0)),"")</f>
        <v/>
      </c>
      <c r="U390" s="291">
        <f>IFERROR(INDEX('Historical Data'!$AE$2:$AE$1068,MATCH($A390,'Historical Data'!$BE$2:$BE$1068,0)),"")</f>
        <v/>
      </c>
      <c r="V390" s="291">
        <f>IFERROR(INDEX('Historical Data'!$AH$2:$AH$1068,MATCH($A390,'Historical Data'!$BE$2:$BE$1068,0)),"")</f>
        <v/>
      </c>
      <c r="W390" s="291">
        <f>IFERROR(INDEX('Historical Data'!$BC$2:$BC$1068,MATCH($A390,'Historical Data'!$BE$2:$BE$1068,0)),"")</f>
        <v/>
      </c>
      <c r="X390" s="290">
        <f>IF(B390="","",IF(W390=1,"NR + industry + position",IF(W390=2,"NR + ISO + position",IF(W390=3,"NR + industry",IF(W390=4,"NR + ISO",IF(W390=5,"NR + position",IF(W390=6,"NR only","book baseline"))))))&amp;"  ["&amp;IF(T390=1,"seasoned","unseasoned")&amp;IF(U390=1,", defaulted","")&amp;IF(V390=1,", open","")&amp;"]")</f>
        <v/>
      </c>
    </row>
    <row r="391">
      <c r="A391" s="290" t="n">
        <v>387</v>
      </c>
      <c r="B391" s="291">
        <f>IFERROR(INDEX('Historical Data'!$A$2:$A$1068,MATCH($A391,'Historical Data'!$BE$2:$BE$1068,0)),"")</f>
        <v/>
      </c>
      <c r="C391" s="291">
        <f>IFERROR(INDEX('Historical Data'!$B$2:$B$1068,MATCH($A391,'Historical Data'!$BE$2:$BE$1068,0)),"")</f>
        <v/>
      </c>
      <c r="D391" s="291">
        <f>IFERROR(INDEX('Historical Data'!$D$2:$D$1068,MATCH($A391,'Historical Data'!$BE$2:$BE$1068,0)),"")</f>
        <v/>
      </c>
      <c r="E391" s="292">
        <f>IFERROR(INDEX('Historical Data'!$E$2:$E$1068,MATCH($A391,'Historical Data'!$BE$2:$BE$1068,0)),"")</f>
        <v/>
      </c>
      <c r="F391" s="291">
        <f>IFERROR(INDEX('Historical Data'!$G$2:$G$1068,MATCH($A391,'Historical Data'!$BE$2:$BE$1068,0)),"")</f>
        <v/>
      </c>
      <c r="G391" s="291">
        <f>IFERROR(INDEX('Historical Data'!$Y$2:$Y$1068,MATCH($A391,'Historical Data'!$BE$2:$BE$1068,0)),"")</f>
        <v/>
      </c>
      <c r="H391" s="291">
        <f>IFERROR(INDEX('Historical Data'!$K$2:$K$1068,MATCH($A391,'Historical Data'!$BE$2:$BE$1068,0)),"")</f>
        <v/>
      </c>
      <c r="I391" s="291">
        <f>IFERROR(INDEX('Historical Data'!$J$2:$J$1068,MATCH($A391,'Historical Data'!$BE$2:$BE$1068,0)),"")</f>
        <v/>
      </c>
      <c r="J391" s="291">
        <f>IFERROR(INDEX('Historical Data'!$L$2:$L$1068,MATCH($A391,'Historical Data'!$BE$2:$BE$1068,0)),"")</f>
        <v/>
      </c>
      <c r="K391" s="293">
        <f>IFERROR(INDEX('Historical Data'!$M$2:$M$1068,MATCH($A391,'Historical Data'!$BE$2:$BE$1068,0)),"")</f>
        <v/>
      </c>
      <c r="L391" s="294">
        <f>IFERROR(INDEX('Historical Data'!$N$2:$N$1068,MATCH($A391,'Historical Data'!$BE$2:$BE$1068,0)),"")</f>
        <v/>
      </c>
      <c r="M391" s="294">
        <f>IFERROR(INDEX('Historical Data'!$Q$2:$Q$1068,MATCH($A391,'Historical Data'!$BE$2:$BE$1068,0)),"")</f>
        <v/>
      </c>
      <c r="N391" s="295">
        <f>IFERROR(INDEX('Historical Data'!$S$2:$S$1068,MATCH($A391,'Historical Data'!$BE$2:$BE$1068,0)),"")</f>
        <v/>
      </c>
      <c r="O391" s="294">
        <f>IFERROR(INDEX('Historical Data'!$AJ$2:$AJ$1068,MATCH($A391,'Historical Data'!$BE$2:$BE$1068,0)),"")</f>
        <v/>
      </c>
      <c r="P391" s="294">
        <f>IFERROR(INDEX('Historical Data'!$AK$2:$AK$1068,MATCH($A391,'Historical Data'!$BE$2:$BE$1068,0)),"")</f>
        <v/>
      </c>
      <c r="Q391" s="291">
        <f>IFERROR(INDEX('Historical Data'!$AA$2:$AA$1068,MATCH($A391,'Historical Data'!$BE$2:$BE$1068,0)),"")</f>
        <v/>
      </c>
      <c r="R391" s="291">
        <f>IFERROR(INDEX('Historical Data'!$AB$2:$AB$1068,MATCH($A391,'Historical Data'!$BE$2:$BE$1068,0)),"")</f>
        <v/>
      </c>
      <c r="S391" s="291">
        <f>IFERROR(INDEX('Historical Data'!$AN$2:$AN$1068,MATCH($A391,'Historical Data'!$BE$2:$BE$1068,0)),"")</f>
        <v/>
      </c>
      <c r="T391" s="291">
        <f>IFERROR(INDEX('Historical Data'!$AC$2:$AC$1068,MATCH($A391,'Historical Data'!$BE$2:$BE$1068,0)),"")</f>
        <v/>
      </c>
      <c r="U391" s="291">
        <f>IFERROR(INDEX('Historical Data'!$AE$2:$AE$1068,MATCH($A391,'Historical Data'!$BE$2:$BE$1068,0)),"")</f>
        <v/>
      </c>
      <c r="V391" s="291">
        <f>IFERROR(INDEX('Historical Data'!$AH$2:$AH$1068,MATCH($A391,'Historical Data'!$BE$2:$BE$1068,0)),"")</f>
        <v/>
      </c>
      <c r="W391" s="291">
        <f>IFERROR(INDEX('Historical Data'!$BC$2:$BC$1068,MATCH($A391,'Historical Data'!$BE$2:$BE$1068,0)),"")</f>
        <v/>
      </c>
      <c r="X391" s="290">
        <f>IF(B391="","",IF(W391=1,"NR + industry + position",IF(W391=2,"NR + ISO + position",IF(W391=3,"NR + industry",IF(W391=4,"NR + ISO",IF(W391=5,"NR + position",IF(W391=6,"NR only","book baseline"))))))&amp;"  ["&amp;IF(T391=1,"seasoned","unseasoned")&amp;IF(U391=1,", defaulted","")&amp;IF(V391=1,", open","")&amp;"]")</f>
        <v/>
      </c>
    </row>
    <row r="392">
      <c r="A392" s="290" t="n">
        <v>388</v>
      </c>
      <c r="B392" s="291">
        <f>IFERROR(INDEX('Historical Data'!$A$2:$A$1068,MATCH($A392,'Historical Data'!$BE$2:$BE$1068,0)),"")</f>
        <v/>
      </c>
      <c r="C392" s="291">
        <f>IFERROR(INDEX('Historical Data'!$B$2:$B$1068,MATCH($A392,'Historical Data'!$BE$2:$BE$1068,0)),"")</f>
        <v/>
      </c>
      <c r="D392" s="291">
        <f>IFERROR(INDEX('Historical Data'!$D$2:$D$1068,MATCH($A392,'Historical Data'!$BE$2:$BE$1068,0)),"")</f>
        <v/>
      </c>
      <c r="E392" s="292">
        <f>IFERROR(INDEX('Historical Data'!$E$2:$E$1068,MATCH($A392,'Historical Data'!$BE$2:$BE$1068,0)),"")</f>
        <v/>
      </c>
      <c r="F392" s="291">
        <f>IFERROR(INDEX('Historical Data'!$G$2:$G$1068,MATCH($A392,'Historical Data'!$BE$2:$BE$1068,0)),"")</f>
        <v/>
      </c>
      <c r="G392" s="291">
        <f>IFERROR(INDEX('Historical Data'!$Y$2:$Y$1068,MATCH($A392,'Historical Data'!$BE$2:$BE$1068,0)),"")</f>
        <v/>
      </c>
      <c r="H392" s="291">
        <f>IFERROR(INDEX('Historical Data'!$K$2:$K$1068,MATCH($A392,'Historical Data'!$BE$2:$BE$1068,0)),"")</f>
        <v/>
      </c>
      <c r="I392" s="291">
        <f>IFERROR(INDEX('Historical Data'!$J$2:$J$1068,MATCH($A392,'Historical Data'!$BE$2:$BE$1068,0)),"")</f>
        <v/>
      </c>
      <c r="J392" s="291">
        <f>IFERROR(INDEX('Historical Data'!$L$2:$L$1068,MATCH($A392,'Historical Data'!$BE$2:$BE$1068,0)),"")</f>
        <v/>
      </c>
      <c r="K392" s="293">
        <f>IFERROR(INDEX('Historical Data'!$M$2:$M$1068,MATCH($A392,'Historical Data'!$BE$2:$BE$1068,0)),"")</f>
        <v/>
      </c>
      <c r="L392" s="294">
        <f>IFERROR(INDEX('Historical Data'!$N$2:$N$1068,MATCH($A392,'Historical Data'!$BE$2:$BE$1068,0)),"")</f>
        <v/>
      </c>
      <c r="M392" s="294">
        <f>IFERROR(INDEX('Historical Data'!$Q$2:$Q$1068,MATCH($A392,'Historical Data'!$BE$2:$BE$1068,0)),"")</f>
        <v/>
      </c>
      <c r="N392" s="295">
        <f>IFERROR(INDEX('Historical Data'!$S$2:$S$1068,MATCH($A392,'Historical Data'!$BE$2:$BE$1068,0)),"")</f>
        <v/>
      </c>
      <c r="O392" s="294">
        <f>IFERROR(INDEX('Historical Data'!$AJ$2:$AJ$1068,MATCH($A392,'Historical Data'!$BE$2:$BE$1068,0)),"")</f>
        <v/>
      </c>
      <c r="P392" s="294">
        <f>IFERROR(INDEX('Historical Data'!$AK$2:$AK$1068,MATCH($A392,'Historical Data'!$BE$2:$BE$1068,0)),"")</f>
        <v/>
      </c>
      <c r="Q392" s="291">
        <f>IFERROR(INDEX('Historical Data'!$AA$2:$AA$1068,MATCH($A392,'Historical Data'!$BE$2:$BE$1068,0)),"")</f>
        <v/>
      </c>
      <c r="R392" s="291">
        <f>IFERROR(INDEX('Historical Data'!$AB$2:$AB$1068,MATCH($A392,'Historical Data'!$BE$2:$BE$1068,0)),"")</f>
        <v/>
      </c>
      <c r="S392" s="291">
        <f>IFERROR(INDEX('Historical Data'!$AN$2:$AN$1068,MATCH($A392,'Historical Data'!$BE$2:$BE$1068,0)),"")</f>
        <v/>
      </c>
      <c r="T392" s="291">
        <f>IFERROR(INDEX('Historical Data'!$AC$2:$AC$1068,MATCH($A392,'Historical Data'!$BE$2:$BE$1068,0)),"")</f>
        <v/>
      </c>
      <c r="U392" s="291">
        <f>IFERROR(INDEX('Historical Data'!$AE$2:$AE$1068,MATCH($A392,'Historical Data'!$BE$2:$BE$1068,0)),"")</f>
        <v/>
      </c>
      <c r="V392" s="291">
        <f>IFERROR(INDEX('Historical Data'!$AH$2:$AH$1068,MATCH($A392,'Historical Data'!$BE$2:$BE$1068,0)),"")</f>
        <v/>
      </c>
      <c r="W392" s="291">
        <f>IFERROR(INDEX('Historical Data'!$BC$2:$BC$1068,MATCH($A392,'Historical Data'!$BE$2:$BE$1068,0)),"")</f>
        <v/>
      </c>
      <c r="X392" s="290">
        <f>IF(B392="","",IF(W392=1,"NR + industry + position",IF(W392=2,"NR + ISO + position",IF(W392=3,"NR + industry",IF(W392=4,"NR + ISO",IF(W392=5,"NR + position",IF(W392=6,"NR only","book baseline"))))))&amp;"  ["&amp;IF(T392=1,"seasoned","unseasoned")&amp;IF(U392=1,", defaulted","")&amp;IF(V392=1,", open","")&amp;"]")</f>
        <v/>
      </c>
    </row>
    <row r="393">
      <c r="A393" s="290" t="n">
        <v>389</v>
      </c>
      <c r="B393" s="291">
        <f>IFERROR(INDEX('Historical Data'!$A$2:$A$1068,MATCH($A393,'Historical Data'!$BE$2:$BE$1068,0)),"")</f>
        <v/>
      </c>
      <c r="C393" s="291">
        <f>IFERROR(INDEX('Historical Data'!$B$2:$B$1068,MATCH($A393,'Historical Data'!$BE$2:$BE$1068,0)),"")</f>
        <v/>
      </c>
      <c r="D393" s="291">
        <f>IFERROR(INDEX('Historical Data'!$D$2:$D$1068,MATCH($A393,'Historical Data'!$BE$2:$BE$1068,0)),"")</f>
        <v/>
      </c>
      <c r="E393" s="292">
        <f>IFERROR(INDEX('Historical Data'!$E$2:$E$1068,MATCH($A393,'Historical Data'!$BE$2:$BE$1068,0)),"")</f>
        <v/>
      </c>
      <c r="F393" s="291">
        <f>IFERROR(INDEX('Historical Data'!$G$2:$G$1068,MATCH($A393,'Historical Data'!$BE$2:$BE$1068,0)),"")</f>
        <v/>
      </c>
      <c r="G393" s="291">
        <f>IFERROR(INDEX('Historical Data'!$Y$2:$Y$1068,MATCH($A393,'Historical Data'!$BE$2:$BE$1068,0)),"")</f>
        <v/>
      </c>
      <c r="H393" s="291">
        <f>IFERROR(INDEX('Historical Data'!$K$2:$K$1068,MATCH($A393,'Historical Data'!$BE$2:$BE$1068,0)),"")</f>
        <v/>
      </c>
      <c r="I393" s="291">
        <f>IFERROR(INDEX('Historical Data'!$J$2:$J$1068,MATCH($A393,'Historical Data'!$BE$2:$BE$1068,0)),"")</f>
        <v/>
      </c>
      <c r="J393" s="291">
        <f>IFERROR(INDEX('Historical Data'!$L$2:$L$1068,MATCH($A393,'Historical Data'!$BE$2:$BE$1068,0)),"")</f>
        <v/>
      </c>
      <c r="K393" s="293">
        <f>IFERROR(INDEX('Historical Data'!$M$2:$M$1068,MATCH($A393,'Historical Data'!$BE$2:$BE$1068,0)),"")</f>
        <v/>
      </c>
      <c r="L393" s="294">
        <f>IFERROR(INDEX('Historical Data'!$N$2:$N$1068,MATCH($A393,'Historical Data'!$BE$2:$BE$1068,0)),"")</f>
        <v/>
      </c>
      <c r="M393" s="294">
        <f>IFERROR(INDEX('Historical Data'!$Q$2:$Q$1068,MATCH($A393,'Historical Data'!$BE$2:$BE$1068,0)),"")</f>
        <v/>
      </c>
      <c r="N393" s="295">
        <f>IFERROR(INDEX('Historical Data'!$S$2:$S$1068,MATCH($A393,'Historical Data'!$BE$2:$BE$1068,0)),"")</f>
        <v/>
      </c>
      <c r="O393" s="294">
        <f>IFERROR(INDEX('Historical Data'!$AJ$2:$AJ$1068,MATCH($A393,'Historical Data'!$BE$2:$BE$1068,0)),"")</f>
        <v/>
      </c>
      <c r="P393" s="294">
        <f>IFERROR(INDEX('Historical Data'!$AK$2:$AK$1068,MATCH($A393,'Historical Data'!$BE$2:$BE$1068,0)),"")</f>
        <v/>
      </c>
      <c r="Q393" s="291">
        <f>IFERROR(INDEX('Historical Data'!$AA$2:$AA$1068,MATCH($A393,'Historical Data'!$BE$2:$BE$1068,0)),"")</f>
        <v/>
      </c>
      <c r="R393" s="291">
        <f>IFERROR(INDEX('Historical Data'!$AB$2:$AB$1068,MATCH($A393,'Historical Data'!$BE$2:$BE$1068,0)),"")</f>
        <v/>
      </c>
      <c r="S393" s="291">
        <f>IFERROR(INDEX('Historical Data'!$AN$2:$AN$1068,MATCH($A393,'Historical Data'!$BE$2:$BE$1068,0)),"")</f>
        <v/>
      </c>
      <c r="T393" s="291">
        <f>IFERROR(INDEX('Historical Data'!$AC$2:$AC$1068,MATCH($A393,'Historical Data'!$BE$2:$BE$1068,0)),"")</f>
        <v/>
      </c>
      <c r="U393" s="291">
        <f>IFERROR(INDEX('Historical Data'!$AE$2:$AE$1068,MATCH($A393,'Historical Data'!$BE$2:$BE$1068,0)),"")</f>
        <v/>
      </c>
      <c r="V393" s="291">
        <f>IFERROR(INDEX('Historical Data'!$AH$2:$AH$1068,MATCH($A393,'Historical Data'!$BE$2:$BE$1068,0)),"")</f>
        <v/>
      </c>
      <c r="W393" s="291">
        <f>IFERROR(INDEX('Historical Data'!$BC$2:$BC$1068,MATCH($A393,'Historical Data'!$BE$2:$BE$1068,0)),"")</f>
        <v/>
      </c>
      <c r="X393" s="290">
        <f>IF(B393="","",IF(W393=1,"NR + industry + position",IF(W393=2,"NR + ISO + position",IF(W393=3,"NR + industry",IF(W393=4,"NR + ISO",IF(W393=5,"NR + position",IF(W393=6,"NR only","book baseline"))))))&amp;"  ["&amp;IF(T393=1,"seasoned","unseasoned")&amp;IF(U393=1,", defaulted","")&amp;IF(V393=1,", open","")&amp;"]")</f>
        <v/>
      </c>
    </row>
    <row r="394">
      <c r="A394" s="290" t="n">
        <v>390</v>
      </c>
      <c r="B394" s="291">
        <f>IFERROR(INDEX('Historical Data'!$A$2:$A$1068,MATCH($A394,'Historical Data'!$BE$2:$BE$1068,0)),"")</f>
        <v/>
      </c>
      <c r="C394" s="291">
        <f>IFERROR(INDEX('Historical Data'!$B$2:$B$1068,MATCH($A394,'Historical Data'!$BE$2:$BE$1068,0)),"")</f>
        <v/>
      </c>
      <c r="D394" s="291">
        <f>IFERROR(INDEX('Historical Data'!$D$2:$D$1068,MATCH($A394,'Historical Data'!$BE$2:$BE$1068,0)),"")</f>
        <v/>
      </c>
      <c r="E394" s="292">
        <f>IFERROR(INDEX('Historical Data'!$E$2:$E$1068,MATCH($A394,'Historical Data'!$BE$2:$BE$1068,0)),"")</f>
        <v/>
      </c>
      <c r="F394" s="291">
        <f>IFERROR(INDEX('Historical Data'!$G$2:$G$1068,MATCH($A394,'Historical Data'!$BE$2:$BE$1068,0)),"")</f>
        <v/>
      </c>
      <c r="G394" s="291">
        <f>IFERROR(INDEX('Historical Data'!$Y$2:$Y$1068,MATCH($A394,'Historical Data'!$BE$2:$BE$1068,0)),"")</f>
        <v/>
      </c>
      <c r="H394" s="291">
        <f>IFERROR(INDEX('Historical Data'!$K$2:$K$1068,MATCH($A394,'Historical Data'!$BE$2:$BE$1068,0)),"")</f>
        <v/>
      </c>
      <c r="I394" s="291">
        <f>IFERROR(INDEX('Historical Data'!$J$2:$J$1068,MATCH($A394,'Historical Data'!$BE$2:$BE$1068,0)),"")</f>
        <v/>
      </c>
      <c r="J394" s="291">
        <f>IFERROR(INDEX('Historical Data'!$L$2:$L$1068,MATCH($A394,'Historical Data'!$BE$2:$BE$1068,0)),"")</f>
        <v/>
      </c>
      <c r="K394" s="293">
        <f>IFERROR(INDEX('Historical Data'!$M$2:$M$1068,MATCH($A394,'Historical Data'!$BE$2:$BE$1068,0)),"")</f>
        <v/>
      </c>
      <c r="L394" s="294">
        <f>IFERROR(INDEX('Historical Data'!$N$2:$N$1068,MATCH($A394,'Historical Data'!$BE$2:$BE$1068,0)),"")</f>
        <v/>
      </c>
      <c r="M394" s="294">
        <f>IFERROR(INDEX('Historical Data'!$Q$2:$Q$1068,MATCH($A394,'Historical Data'!$BE$2:$BE$1068,0)),"")</f>
        <v/>
      </c>
      <c r="N394" s="295">
        <f>IFERROR(INDEX('Historical Data'!$S$2:$S$1068,MATCH($A394,'Historical Data'!$BE$2:$BE$1068,0)),"")</f>
        <v/>
      </c>
      <c r="O394" s="294">
        <f>IFERROR(INDEX('Historical Data'!$AJ$2:$AJ$1068,MATCH($A394,'Historical Data'!$BE$2:$BE$1068,0)),"")</f>
        <v/>
      </c>
      <c r="P394" s="294">
        <f>IFERROR(INDEX('Historical Data'!$AK$2:$AK$1068,MATCH($A394,'Historical Data'!$BE$2:$BE$1068,0)),"")</f>
        <v/>
      </c>
      <c r="Q394" s="291">
        <f>IFERROR(INDEX('Historical Data'!$AA$2:$AA$1068,MATCH($A394,'Historical Data'!$BE$2:$BE$1068,0)),"")</f>
        <v/>
      </c>
      <c r="R394" s="291">
        <f>IFERROR(INDEX('Historical Data'!$AB$2:$AB$1068,MATCH($A394,'Historical Data'!$BE$2:$BE$1068,0)),"")</f>
        <v/>
      </c>
      <c r="S394" s="291">
        <f>IFERROR(INDEX('Historical Data'!$AN$2:$AN$1068,MATCH($A394,'Historical Data'!$BE$2:$BE$1068,0)),"")</f>
        <v/>
      </c>
      <c r="T394" s="291">
        <f>IFERROR(INDEX('Historical Data'!$AC$2:$AC$1068,MATCH($A394,'Historical Data'!$BE$2:$BE$1068,0)),"")</f>
        <v/>
      </c>
      <c r="U394" s="291">
        <f>IFERROR(INDEX('Historical Data'!$AE$2:$AE$1068,MATCH($A394,'Historical Data'!$BE$2:$BE$1068,0)),"")</f>
        <v/>
      </c>
      <c r="V394" s="291">
        <f>IFERROR(INDEX('Historical Data'!$AH$2:$AH$1068,MATCH($A394,'Historical Data'!$BE$2:$BE$1068,0)),"")</f>
        <v/>
      </c>
      <c r="W394" s="291">
        <f>IFERROR(INDEX('Historical Data'!$BC$2:$BC$1068,MATCH($A394,'Historical Data'!$BE$2:$BE$1068,0)),"")</f>
        <v/>
      </c>
      <c r="X394" s="290">
        <f>IF(B394="","",IF(W394=1,"NR + industry + position",IF(W394=2,"NR + ISO + position",IF(W394=3,"NR + industry",IF(W394=4,"NR + ISO",IF(W394=5,"NR + position",IF(W394=6,"NR only","book baseline"))))))&amp;"  ["&amp;IF(T394=1,"seasoned","unseasoned")&amp;IF(U394=1,", defaulted","")&amp;IF(V394=1,", open","")&amp;"]")</f>
        <v/>
      </c>
    </row>
    <row r="395">
      <c r="A395" s="290" t="n">
        <v>391</v>
      </c>
      <c r="B395" s="291">
        <f>IFERROR(INDEX('Historical Data'!$A$2:$A$1068,MATCH($A395,'Historical Data'!$BE$2:$BE$1068,0)),"")</f>
        <v/>
      </c>
      <c r="C395" s="291">
        <f>IFERROR(INDEX('Historical Data'!$B$2:$B$1068,MATCH($A395,'Historical Data'!$BE$2:$BE$1068,0)),"")</f>
        <v/>
      </c>
      <c r="D395" s="291">
        <f>IFERROR(INDEX('Historical Data'!$D$2:$D$1068,MATCH($A395,'Historical Data'!$BE$2:$BE$1068,0)),"")</f>
        <v/>
      </c>
      <c r="E395" s="292">
        <f>IFERROR(INDEX('Historical Data'!$E$2:$E$1068,MATCH($A395,'Historical Data'!$BE$2:$BE$1068,0)),"")</f>
        <v/>
      </c>
      <c r="F395" s="291">
        <f>IFERROR(INDEX('Historical Data'!$G$2:$G$1068,MATCH($A395,'Historical Data'!$BE$2:$BE$1068,0)),"")</f>
        <v/>
      </c>
      <c r="G395" s="291">
        <f>IFERROR(INDEX('Historical Data'!$Y$2:$Y$1068,MATCH($A395,'Historical Data'!$BE$2:$BE$1068,0)),"")</f>
        <v/>
      </c>
      <c r="H395" s="291">
        <f>IFERROR(INDEX('Historical Data'!$K$2:$K$1068,MATCH($A395,'Historical Data'!$BE$2:$BE$1068,0)),"")</f>
        <v/>
      </c>
      <c r="I395" s="291">
        <f>IFERROR(INDEX('Historical Data'!$J$2:$J$1068,MATCH($A395,'Historical Data'!$BE$2:$BE$1068,0)),"")</f>
        <v/>
      </c>
      <c r="J395" s="291">
        <f>IFERROR(INDEX('Historical Data'!$L$2:$L$1068,MATCH($A395,'Historical Data'!$BE$2:$BE$1068,0)),"")</f>
        <v/>
      </c>
      <c r="K395" s="293">
        <f>IFERROR(INDEX('Historical Data'!$M$2:$M$1068,MATCH($A395,'Historical Data'!$BE$2:$BE$1068,0)),"")</f>
        <v/>
      </c>
      <c r="L395" s="294">
        <f>IFERROR(INDEX('Historical Data'!$N$2:$N$1068,MATCH($A395,'Historical Data'!$BE$2:$BE$1068,0)),"")</f>
        <v/>
      </c>
      <c r="M395" s="294">
        <f>IFERROR(INDEX('Historical Data'!$Q$2:$Q$1068,MATCH($A395,'Historical Data'!$BE$2:$BE$1068,0)),"")</f>
        <v/>
      </c>
      <c r="N395" s="295">
        <f>IFERROR(INDEX('Historical Data'!$S$2:$S$1068,MATCH($A395,'Historical Data'!$BE$2:$BE$1068,0)),"")</f>
        <v/>
      </c>
      <c r="O395" s="294">
        <f>IFERROR(INDEX('Historical Data'!$AJ$2:$AJ$1068,MATCH($A395,'Historical Data'!$BE$2:$BE$1068,0)),"")</f>
        <v/>
      </c>
      <c r="P395" s="294">
        <f>IFERROR(INDEX('Historical Data'!$AK$2:$AK$1068,MATCH($A395,'Historical Data'!$BE$2:$BE$1068,0)),"")</f>
        <v/>
      </c>
      <c r="Q395" s="291">
        <f>IFERROR(INDEX('Historical Data'!$AA$2:$AA$1068,MATCH($A395,'Historical Data'!$BE$2:$BE$1068,0)),"")</f>
        <v/>
      </c>
      <c r="R395" s="291">
        <f>IFERROR(INDEX('Historical Data'!$AB$2:$AB$1068,MATCH($A395,'Historical Data'!$BE$2:$BE$1068,0)),"")</f>
        <v/>
      </c>
      <c r="S395" s="291">
        <f>IFERROR(INDEX('Historical Data'!$AN$2:$AN$1068,MATCH($A395,'Historical Data'!$BE$2:$BE$1068,0)),"")</f>
        <v/>
      </c>
      <c r="T395" s="291">
        <f>IFERROR(INDEX('Historical Data'!$AC$2:$AC$1068,MATCH($A395,'Historical Data'!$BE$2:$BE$1068,0)),"")</f>
        <v/>
      </c>
      <c r="U395" s="291">
        <f>IFERROR(INDEX('Historical Data'!$AE$2:$AE$1068,MATCH($A395,'Historical Data'!$BE$2:$BE$1068,0)),"")</f>
        <v/>
      </c>
      <c r="V395" s="291">
        <f>IFERROR(INDEX('Historical Data'!$AH$2:$AH$1068,MATCH($A395,'Historical Data'!$BE$2:$BE$1068,0)),"")</f>
        <v/>
      </c>
      <c r="W395" s="291">
        <f>IFERROR(INDEX('Historical Data'!$BC$2:$BC$1068,MATCH($A395,'Historical Data'!$BE$2:$BE$1068,0)),"")</f>
        <v/>
      </c>
      <c r="X395" s="290">
        <f>IF(B395="","",IF(W395=1,"NR + industry + position",IF(W395=2,"NR + ISO + position",IF(W395=3,"NR + industry",IF(W395=4,"NR + ISO",IF(W395=5,"NR + position",IF(W395=6,"NR only","book baseline"))))))&amp;"  ["&amp;IF(T395=1,"seasoned","unseasoned")&amp;IF(U395=1,", defaulted","")&amp;IF(V395=1,", open","")&amp;"]")</f>
        <v/>
      </c>
    </row>
    <row r="396">
      <c r="A396" s="290" t="n">
        <v>392</v>
      </c>
      <c r="B396" s="291">
        <f>IFERROR(INDEX('Historical Data'!$A$2:$A$1068,MATCH($A396,'Historical Data'!$BE$2:$BE$1068,0)),"")</f>
        <v/>
      </c>
      <c r="C396" s="291">
        <f>IFERROR(INDEX('Historical Data'!$B$2:$B$1068,MATCH($A396,'Historical Data'!$BE$2:$BE$1068,0)),"")</f>
        <v/>
      </c>
      <c r="D396" s="291">
        <f>IFERROR(INDEX('Historical Data'!$D$2:$D$1068,MATCH($A396,'Historical Data'!$BE$2:$BE$1068,0)),"")</f>
        <v/>
      </c>
      <c r="E396" s="292">
        <f>IFERROR(INDEX('Historical Data'!$E$2:$E$1068,MATCH($A396,'Historical Data'!$BE$2:$BE$1068,0)),"")</f>
        <v/>
      </c>
      <c r="F396" s="291">
        <f>IFERROR(INDEX('Historical Data'!$G$2:$G$1068,MATCH($A396,'Historical Data'!$BE$2:$BE$1068,0)),"")</f>
        <v/>
      </c>
      <c r="G396" s="291">
        <f>IFERROR(INDEX('Historical Data'!$Y$2:$Y$1068,MATCH($A396,'Historical Data'!$BE$2:$BE$1068,0)),"")</f>
        <v/>
      </c>
      <c r="H396" s="291">
        <f>IFERROR(INDEX('Historical Data'!$K$2:$K$1068,MATCH($A396,'Historical Data'!$BE$2:$BE$1068,0)),"")</f>
        <v/>
      </c>
      <c r="I396" s="291">
        <f>IFERROR(INDEX('Historical Data'!$J$2:$J$1068,MATCH($A396,'Historical Data'!$BE$2:$BE$1068,0)),"")</f>
        <v/>
      </c>
      <c r="J396" s="291">
        <f>IFERROR(INDEX('Historical Data'!$L$2:$L$1068,MATCH($A396,'Historical Data'!$BE$2:$BE$1068,0)),"")</f>
        <v/>
      </c>
      <c r="K396" s="293">
        <f>IFERROR(INDEX('Historical Data'!$M$2:$M$1068,MATCH($A396,'Historical Data'!$BE$2:$BE$1068,0)),"")</f>
        <v/>
      </c>
      <c r="L396" s="294">
        <f>IFERROR(INDEX('Historical Data'!$N$2:$N$1068,MATCH($A396,'Historical Data'!$BE$2:$BE$1068,0)),"")</f>
        <v/>
      </c>
      <c r="M396" s="294">
        <f>IFERROR(INDEX('Historical Data'!$Q$2:$Q$1068,MATCH($A396,'Historical Data'!$BE$2:$BE$1068,0)),"")</f>
        <v/>
      </c>
      <c r="N396" s="295">
        <f>IFERROR(INDEX('Historical Data'!$S$2:$S$1068,MATCH($A396,'Historical Data'!$BE$2:$BE$1068,0)),"")</f>
        <v/>
      </c>
      <c r="O396" s="294">
        <f>IFERROR(INDEX('Historical Data'!$AJ$2:$AJ$1068,MATCH($A396,'Historical Data'!$BE$2:$BE$1068,0)),"")</f>
        <v/>
      </c>
      <c r="P396" s="294">
        <f>IFERROR(INDEX('Historical Data'!$AK$2:$AK$1068,MATCH($A396,'Historical Data'!$BE$2:$BE$1068,0)),"")</f>
        <v/>
      </c>
      <c r="Q396" s="291">
        <f>IFERROR(INDEX('Historical Data'!$AA$2:$AA$1068,MATCH($A396,'Historical Data'!$BE$2:$BE$1068,0)),"")</f>
        <v/>
      </c>
      <c r="R396" s="291">
        <f>IFERROR(INDEX('Historical Data'!$AB$2:$AB$1068,MATCH($A396,'Historical Data'!$BE$2:$BE$1068,0)),"")</f>
        <v/>
      </c>
      <c r="S396" s="291">
        <f>IFERROR(INDEX('Historical Data'!$AN$2:$AN$1068,MATCH($A396,'Historical Data'!$BE$2:$BE$1068,0)),"")</f>
        <v/>
      </c>
      <c r="T396" s="291">
        <f>IFERROR(INDEX('Historical Data'!$AC$2:$AC$1068,MATCH($A396,'Historical Data'!$BE$2:$BE$1068,0)),"")</f>
        <v/>
      </c>
      <c r="U396" s="291">
        <f>IFERROR(INDEX('Historical Data'!$AE$2:$AE$1068,MATCH($A396,'Historical Data'!$BE$2:$BE$1068,0)),"")</f>
        <v/>
      </c>
      <c r="V396" s="291">
        <f>IFERROR(INDEX('Historical Data'!$AH$2:$AH$1068,MATCH($A396,'Historical Data'!$BE$2:$BE$1068,0)),"")</f>
        <v/>
      </c>
      <c r="W396" s="291">
        <f>IFERROR(INDEX('Historical Data'!$BC$2:$BC$1068,MATCH($A396,'Historical Data'!$BE$2:$BE$1068,0)),"")</f>
        <v/>
      </c>
      <c r="X396" s="290">
        <f>IF(B396="","",IF(W396=1,"NR + industry + position",IF(W396=2,"NR + ISO + position",IF(W396=3,"NR + industry",IF(W396=4,"NR + ISO",IF(W396=5,"NR + position",IF(W396=6,"NR only","book baseline"))))))&amp;"  ["&amp;IF(T396=1,"seasoned","unseasoned")&amp;IF(U396=1,", defaulted","")&amp;IF(V396=1,", open","")&amp;"]")</f>
        <v/>
      </c>
    </row>
    <row r="397">
      <c r="A397" s="290" t="n">
        <v>393</v>
      </c>
      <c r="B397" s="291">
        <f>IFERROR(INDEX('Historical Data'!$A$2:$A$1068,MATCH($A397,'Historical Data'!$BE$2:$BE$1068,0)),"")</f>
        <v/>
      </c>
      <c r="C397" s="291">
        <f>IFERROR(INDEX('Historical Data'!$B$2:$B$1068,MATCH($A397,'Historical Data'!$BE$2:$BE$1068,0)),"")</f>
        <v/>
      </c>
      <c r="D397" s="291">
        <f>IFERROR(INDEX('Historical Data'!$D$2:$D$1068,MATCH($A397,'Historical Data'!$BE$2:$BE$1068,0)),"")</f>
        <v/>
      </c>
      <c r="E397" s="292">
        <f>IFERROR(INDEX('Historical Data'!$E$2:$E$1068,MATCH($A397,'Historical Data'!$BE$2:$BE$1068,0)),"")</f>
        <v/>
      </c>
      <c r="F397" s="291">
        <f>IFERROR(INDEX('Historical Data'!$G$2:$G$1068,MATCH($A397,'Historical Data'!$BE$2:$BE$1068,0)),"")</f>
        <v/>
      </c>
      <c r="G397" s="291">
        <f>IFERROR(INDEX('Historical Data'!$Y$2:$Y$1068,MATCH($A397,'Historical Data'!$BE$2:$BE$1068,0)),"")</f>
        <v/>
      </c>
      <c r="H397" s="291">
        <f>IFERROR(INDEX('Historical Data'!$K$2:$K$1068,MATCH($A397,'Historical Data'!$BE$2:$BE$1068,0)),"")</f>
        <v/>
      </c>
      <c r="I397" s="291">
        <f>IFERROR(INDEX('Historical Data'!$J$2:$J$1068,MATCH($A397,'Historical Data'!$BE$2:$BE$1068,0)),"")</f>
        <v/>
      </c>
      <c r="J397" s="291">
        <f>IFERROR(INDEX('Historical Data'!$L$2:$L$1068,MATCH($A397,'Historical Data'!$BE$2:$BE$1068,0)),"")</f>
        <v/>
      </c>
      <c r="K397" s="293">
        <f>IFERROR(INDEX('Historical Data'!$M$2:$M$1068,MATCH($A397,'Historical Data'!$BE$2:$BE$1068,0)),"")</f>
        <v/>
      </c>
      <c r="L397" s="294">
        <f>IFERROR(INDEX('Historical Data'!$N$2:$N$1068,MATCH($A397,'Historical Data'!$BE$2:$BE$1068,0)),"")</f>
        <v/>
      </c>
      <c r="M397" s="294">
        <f>IFERROR(INDEX('Historical Data'!$Q$2:$Q$1068,MATCH($A397,'Historical Data'!$BE$2:$BE$1068,0)),"")</f>
        <v/>
      </c>
      <c r="N397" s="295">
        <f>IFERROR(INDEX('Historical Data'!$S$2:$S$1068,MATCH($A397,'Historical Data'!$BE$2:$BE$1068,0)),"")</f>
        <v/>
      </c>
      <c r="O397" s="294">
        <f>IFERROR(INDEX('Historical Data'!$AJ$2:$AJ$1068,MATCH($A397,'Historical Data'!$BE$2:$BE$1068,0)),"")</f>
        <v/>
      </c>
      <c r="P397" s="294">
        <f>IFERROR(INDEX('Historical Data'!$AK$2:$AK$1068,MATCH($A397,'Historical Data'!$BE$2:$BE$1068,0)),"")</f>
        <v/>
      </c>
      <c r="Q397" s="291">
        <f>IFERROR(INDEX('Historical Data'!$AA$2:$AA$1068,MATCH($A397,'Historical Data'!$BE$2:$BE$1068,0)),"")</f>
        <v/>
      </c>
      <c r="R397" s="291">
        <f>IFERROR(INDEX('Historical Data'!$AB$2:$AB$1068,MATCH($A397,'Historical Data'!$BE$2:$BE$1068,0)),"")</f>
        <v/>
      </c>
      <c r="S397" s="291">
        <f>IFERROR(INDEX('Historical Data'!$AN$2:$AN$1068,MATCH($A397,'Historical Data'!$BE$2:$BE$1068,0)),"")</f>
        <v/>
      </c>
      <c r="T397" s="291">
        <f>IFERROR(INDEX('Historical Data'!$AC$2:$AC$1068,MATCH($A397,'Historical Data'!$BE$2:$BE$1068,0)),"")</f>
        <v/>
      </c>
      <c r="U397" s="291">
        <f>IFERROR(INDEX('Historical Data'!$AE$2:$AE$1068,MATCH($A397,'Historical Data'!$BE$2:$BE$1068,0)),"")</f>
        <v/>
      </c>
      <c r="V397" s="291">
        <f>IFERROR(INDEX('Historical Data'!$AH$2:$AH$1068,MATCH($A397,'Historical Data'!$BE$2:$BE$1068,0)),"")</f>
        <v/>
      </c>
      <c r="W397" s="291">
        <f>IFERROR(INDEX('Historical Data'!$BC$2:$BC$1068,MATCH($A397,'Historical Data'!$BE$2:$BE$1068,0)),"")</f>
        <v/>
      </c>
      <c r="X397" s="290">
        <f>IF(B397="","",IF(W397=1,"NR + industry + position",IF(W397=2,"NR + ISO + position",IF(W397=3,"NR + industry",IF(W397=4,"NR + ISO",IF(W397=5,"NR + position",IF(W397=6,"NR only","book baseline"))))))&amp;"  ["&amp;IF(T397=1,"seasoned","unseasoned")&amp;IF(U397=1,", defaulted","")&amp;IF(V397=1,", open","")&amp;"]")</f>
        <v/>
      </c>
    </row>
    <row r="398">
      <c r="A398" s="290" t="n">
        <v>394</v>
      </c>
      <c r="B398" s="291">
        <f>IFERROR(INDEX('Historical Data'!$A$2:$A$1068,MATCH($A398,'Historical Data'!$BE$2:$BE$1068,0)),"")</f>
        <v/>
      </c>
      <c r="C398" s="291">
        <f>IFERROR(INDEX('Historical Data'!$B$2:$B$1068,MATCH($A398,'Historical Data'!$BE$2:$BE$1068,0)),"")</f>
        <v/>
      </c>
      <c r="D398" s="291">
        <f>IFERROR(INDEX('Historical Data'!$D$2:$D$1068,MATCH($A398,'Historical Data'!$BE$2:$BE$1068,0)),"")</f>
        <v/>
      </c>
      <c r="E398" s="292">
        <f>IFERROR(INDEX('Historical Data'!$E$2:$E$1068,MATCH($A398,'Historical Data'!$BE$2:$BE$1068,0)),"")</f>
        <v/>
      </c>
      <c r="F398" s="291">
        <f>IFERROR(INDEX('Historical Data'!$G$2:$G$1068,MATCH($A398,'Historical Data'!$BE$2:$BE$1068,0)),"")</f>
        <v/>
      </c>
      <c r="G398" s="291">
        <f>IFERROR(INDEX('Historical Data'!$Y$2:$Y$1068,MATCH($A398,'Historical Data'!$BE$2:$BE$1068,0)),"")</f>
        <v/>
      </c>
      <c r="H398" s="291">
        <f>IFERROR(INDEX('Historical Data'!$K$2:$K$1068,MATCH($A398,'Historical Data'!$BE$2:$BE$1068,0)),"")</f>
        <v/>
      </c>
      <c r="I398" s="291">
        <f>IFERROR(INDEX('Historical Data'!$J$2:$J$1068,MATCH($A398,'Historical Data'!$BE$2:$BE$1068,0)),"")</f>
        <v/>
      </c>
      <c r="J398" s="291">
        <f>IFERROR(INDEX('Historical Data'!$L$2:$L$1068,MATCH($A398,'Historical Data'!$BE$2:$BE$1068,0)),"")</f>
        <v/>
      </c>
      <c r="K398" s="293">
        <f>IFERROR(INDEX('Historical Data'!$M$2:$M$1068,MATCH($A398,'Historical Data'!$BE$2:$BE$1068,0)),"")</f>
        <v/>
      </c>
      <c r="L398" s="294">
        <f>IFERROR(INDEX('Historical Data'!$N$2:$N$1068,MATCH($A398,'Historical Data'!$BE$2:$BE$1068,0)),"")</f>
        <v/>
      </c>
      <c r="M398" s="294">
        <f>IFERROR(INDEX('Historical Data'!$Q$2:$Q$1068,MATCH($A398,'Historical Data'!$BE$2:$BE$1068,0)),"")</f>
        <v/>
      </c>
      <c r="N398" s="295">
        <f>IFERROR(INDEX('Historical Data'!$S$2:$S$1068,MATCH($A398,'Historical Data'!$BE$2:$BE$1068,0)),"")</f>
        <v/>
      </c>
      <c r="O398" s="294">
        <f>IFERROR(INDEX('Historical Data'!$AJ$2:$AJ$1068,MATCH($A398,'Historical Data'!$BE$2:$BE$1068,0)),"")</f>
        <v/>
      </c>
      <c r="P398" s="294">
        <f>IFERROR(INDEX('Historical Data'!$AK$2:$AK$1068,MATCH($A398,'Historical Data'!$BE$2:$BE$1068,0)),"")</f>
        <v/>
      </c>
      <c r="Q398" s="291">
        <f>IFERROR(INDEX('Historical Data'!$AA$2:$AA$1068,MATCH($A398,'Historical Data'!$BE$2:$BE$1068,0)),"")</f>
        <v/>
      </c>
      <c r="R398" s="291">
        <f>IFERROR(INDEX('Historical Data'!$AB$2:$AB$1068,MATCH($A398,'Historical Data'!$BE$2:$BE$1068,0)),"")</f>
        <v/>
      </c>
      <c r="S398" s="291">
        <f>IFERROR(INDEX('Historical Data'!$AN$2:$AN$1068,MATCH($A398,'Historical Data'!$BE$2:$BE$1068,0)),"")</f>
        <v/>
      </c>
      <c r="T398" s="291">
        <f>IFERROR(INDEX('Historical Data'!$AC$2:$AC$1068,MATCH($A398,'Historical Data'!$BE$2:$BE$1068,0)),"")</f>
        <v/>
      </c>
      <c r="U398" s="291">
        <f>IFERROR(INDEX('Historical Data'!$AE$2:$AE$1068,MATCH($A398,'Historical Data'!$BE$2:$BE$1068,0)),"")</f>
        <v/>
      </c>
      <c r="V398" s="291">
        <f>IFERROR(INDEX('Historical Data'!$AH$2:$AH$1068,MATCH($A398,'Historical Data'!$BE$2:$BE$1068,0)),"")</f>
        <v/>
      </c>
      <c r="W398" s="291">
        <f>IFERROR(INDEX('Historical Data'!$BC$2:$BC$1068,MATCH($A398,'Historical Data'!$BE$2:$BE$1068,0)),"")</f>
        <v/>
      </c>
      <c r="X398" s="290">
        <f>IF(B398="","",IF(W398=1,"NR + industry + position",IF(W398=2,"NR + ISO + position",IF(W398=3,"NR + industry",IF(W398=4,"NR + ISO",IF(W398=5,"NR + position",IF(W398=6,"NR only","book baseline"))))))&amp;"  ["&amp;IF(T398=1,"seasoned","unseasoned")&amp;IF(U398=1,", defaulted","")&amp;IF(V398=1,", open","")&amp;"]")</f>
        <v/>
      </c>
    </row>
    <row r="399">
      <c r="A399" s="290" t="n">
        <v>395</v>
      </c>
      <c r="B399" s="291">
        <f>IFERROR(INDEX('Historical Data'!$A$2:$A$1068,MATCH($A399,'Historical Data'!$BE$2:$BE$1068,0)),"")</f>
        <v/>
      </c>
      <c r="C399" s="291">
        <f>IFERROR(INDEX('Historical Data'!$B$2:$B$1068,MATCH($A399,'Historical Data'!$BE$2:$BE$1068,0)),"")</f>
        <v/>
      </c>
      <c r="D399" s="291">
        <f>IFERROR(INDEX('Historical Data'!$D$2:$D$1068,MATCH($A399,'Historical Data'!$BE$2:$BE$1068,0)),"")</f>
        <v/>
      </c>
      <c r="E399" s="292">
        <f>IFERROR(INDEX('Historical Data'!$E$2:$E$1068,MATCH($A399,'Historical Data'!$BE$2:$BE$1068,0)),"")</f>
        <v/>
      </c>
      <c r="F399" s="291">
        <f>IFERROR(INDEX('Historical Data'!$G$2:$G$1068,MATCH($A399,'Historical Data'!$BE$2:$BE$1068,0)),"")</f>
        <v/>
      </c>
      <c r="G399" s="291">
        <f>IFERROR(INDEX('Historical Data'!$Y$2:$Y$1068,MATCH($A399,'Historical Data'!$BE$2:$BE$1068,0)),"")</f>
        <v/>
      </c>
      <c r="H399" s="291">
        <f>IFERROR(INDEX('Historical Data'!$K$2:$K$1068,MATCH($A399,'Historical Data'!$BE$2:$BE$1068,0)),"")</f>
        <v/>
      </c>
      <c r="I399" s="291">
        <f>IFERROR(INDEX('Historical Data'!$J$2:$J$1068,MATCH($A399,'Historical Data'!$BE$2:$BE$1068,0)),"")</f>
        <v/>
      </c>
      <c r="J399" s="291">
        <f>IFERROR(INDEX('Historical Data'!$L$2:$L$1068,MATCH($A399,'Historical Data'!$BE$2:$BE$1068,0)),"")</f>
        <v/>
      </c>
      <c r="K399" s="293">
        <f>IFERROR(INDEX('Historical Data'!$M$2:$M$1068,MATCH($A399,'Historical Data'!$BE$2:$BE$1068,0)),"")</f>
        <v/>
      </c>
      <c r="L399" s="294">
        <f>IFERROR(INDEX('Historical Data'!$N$2:$N$1068,MATCH($A399,'Historical Data'!$BE$2:$BE$1068,0)),"")</f>
        <v/>
      </c>
      <c r="M399" s="294">
        <f>IFERROR(INDEX('Historical Data'!$Q$2:$Q$1068,MATCH($A399,'Historical Data'!$BE$2:$BE$1068,0)),"")</f>
        <v/>
      </c>
      <c r="N399" s="295">
        <f>IFERROR(INDEX('Historical Data'!$S$2:$S$1068,MATCH($A399,'Historical Data'!$BE$2:$BE$1068,0)),"")</f>
        <v/>
      </c>
      <c r="O399" s="294">
        <f>IFERROR(INDEX('Historical Data'!$AJ$2:$AJ$1068,MATCH($A399,'Historical Data'!$BE$2:$BE$1068,0)),"")</f>
        <v/>
      </c>
      <c r="P399" s="294">
        <f>IFERROR(INDEX('Historical Data'!$AK$2:$AK$1068,MATCH($A399,'Historical Data'!$BE$2:$BE$1068,0)),"")</f>
        <v/>
      </c>
      <c r="Q399" s="291">
        <f>IFERROR(INDEX('Historical Data'!$AA$2:$AA$1068,MATCH($A399,'Historical Data'!$BE$2:$BE$1068,0)),"")</f>
        <v/>
      </c>
      <c r="R399" s="291">
        <f>IFERROR(INDEX('Historical Data'!$AB$2:$AB$1068,MATCH($A399,'Historical Data'!$BE$2:$BE$1068,0)),"")</f>
        <v/>
      </c>
      <c r="S399" s="291">
        <f>IFERROR(INDEX('Historical Data'!$AN$2:$AN$1068,MATCH($A399,'Historical Data'!$BE$2:$BE$1068,0)),"")</f>
        <v/>
      </c>
      <c r="T399" s="291">
        <f>IFERROR(INDEX('Historical Data'!$AC$2:$AC$1068,MATCH($A399,'Historical Data'!$BE$2:$BE$1068,0)),"")</f>
        <v/>
      </c>
      <c r="U399" s="291">
        <f>IFERROR(INDEX('Historical Data'!$AE$2:$AE$1068,MATCH($A399,'Historical Data'!$BE$2:$BE$1068,0)),"")</f>
        <v/>
      </c>
      <c r="V399" s="291">
        <f>IFERROR(INDEX('Historical Data'!$AH$2:$AH$1068,MATCH($A399,'Historical Data'!$BE$2:$BE$1068,0)),"")</f>
        <v/>
      </c>
      <c r="W399" s="291">
        <f>IFERROR(INDEX('Historical Data'!$BC$2:$BC$1068,MATCH($A399,'Historical Data'!$BE$2:$BE$1068,0)),"")</f>
        <v/>
      </c>
      <c r="X399" s="290">
        <f>IF(B399="","",IF(W399=1,"NR + industry + position",IF(W399=2,"NR + ISO + position",IF(W399=3,"NR + industry",IF(W399=4,"NR + ISO",IF(W399=5,"NR + position",IF(W399=6,"NR only","book baseline"))))))&amp;"  ["&amp;IF(T399=1,"seasoned","unseasoned")&amp;IF(U399=1,", defaulted","")&amp;IF(V399=1,", open","")&amp;"]")</f>
        <v/>
      </c>
    </row>
    <row r="400">
      <c r="A400" s="290" t="n">
        <v>396</v>
      </c>
      <c r="B400" s="291">
        <f>IFERROR(INDEX('Historical Data'!$A$2:$A$1068,MATCH($A400,'Historical Data'!$BE$2:$BE$1068,0)),"")</f>
        <v/>
      </c>
      <c r="C400" s="291">
        <f>IFERROR(INDEX('Historical Data'!$B$2:$B$1068,MATCH($A400,'Historical Data'!$BE$2:$BE$1068,0)),"")</f>
        <v/>
      </c>
      <c r="D400" s="291">
        <f>IFERROR(INDEX('Historical Data'!$D$2:$D$1068,MATCH($A400,'Historical Data'!$BE$2:$BE$1068,0)),"")</f>
        <v/>
      </c>
      <c r="E400" s="292">
        <f>IFERROR(INDEX('Historical Data'!$E$2:$E$1068,MATCH($A400,'Historical Data'!$BE$2:$BE$1068,0)),"")</f>
        <v/>
      </c>
      <c r="F400" s="291">
        <f>IFERROR(INDEX('Historical Data'!$G$2:$G$1068,MATCH($A400,'Historical Data'!$BE$2:$BE$1068,0)),"")</f>
        <v/>
      </c>
      <c r="G400" s="291">
        <f>IFERROR(INDEX('Historical Data'!$Y$2:$Y$1068,MATCH($A400,'Historical Data'!$BE$2:$BE$1068,0)),"")</f>
        <v/>
      </c>
      <c r="H400" s="291">
        <f>IFERROR(INDEX('Historical Data'!$K$2:$K$1068,MATCH($A400,'Historical Data'!$BE$2:$BE$1068,0)),"")</f>
        <v/>
      </c>
      <c r="I400" s="291">
        <f>IFERROR(INDEX('Historical Data'!$J$2:$J$1068,MATCH($A400,'Historical Data'!$BE$2:$BE$1068,0)),"")</f>
        <v/>
      </c>
      <c r="J400" s="291">
        <f>IFERROR(INDEX('Historical Data'!$L$2:$L$1068,MATCH($A400,'Historical Data'!$BE$2:$BE$1068,0)),"")</f>
        <v/>
      </c>
      <c r="K400" s="293">
        <f>IFERROR(INDEX('Historical Data'!$M$2:$M$1068,MATCH($A400,'Historical Data'!$BE$2:$BE$1068,0)),"")</f>
        <v/>
      </c>
      <c r="L400" s="294">
        <f>IFERROR(INDEX('Historical Data'!$N$2:$N$1068,MATCH($A400,'Historical Data'!$BE$2:$BE$1068,0)),"")</f>
        <v/>
      </c>
      <c r="M400" s="294">
        <f>IFERROR(INDEX('Historical Data'!$Q$2:$Q$1068,MATCH($A400,'Historical Data'!$BE$2:$BE$1068,0)),"")</f>
        <v/>
      </c>
      <c r="N400" s="295">
        <f>IFERROR(INDEX('Historical Data'!$S$2:$S$1068,MATCH($A400,'Historical Data'!$BE$2:$BE$1068,0)),"")</f>
        <v/>
      </c>
      <c r="O400" s="294">
        <f>IFERROR(INDEX('Historical Data'!$AJ$2:$AJ$1068,MATCH($A400,'Historical Data'!$BE$2:$BE$1068,0)),"")</f>
        <v/>
      </c>
      <c r="P400" s="294">
        <f>IFERROR(INDEX('Historical Data'!$AK$2:$AK$1068,MATCH($A400,'Historical Data'!$BE$2:$BE$1068,0)),"")</f>
        <v/>
      </c>
      <c r="Q400" s="291">
        <f>IFERROR(INDEX('Historical Data'!$AA$2:$AA$1068,MATCH($A400,'Historical Data'!$BE$2:$BE$1068,0)),"")</f>
        <v/>
      </c>
      <c r="R400" s="291">
        <f>IFERROR(INDEX('Historical Data'!$AB$2:$AB$1068,MATCH($A400,'Historical Data'!$BE$2:$BE$1068,0)),"")</f>
        <v/>
      </c>
      <c r="S400" s="291">
        <f>IFERROR(INDEX('Historical Data'!$AN$2:$AN$1068,MATCH($A400,'Historical Data'!$BE$2:$BE$1068,0)),"")</f>
        <v/>
      </c>
      <c r="T400" s="291">
        <f>IFERROR(INDEX('Historical Data'!$AC$2:$AC$1068,MATCH($A400,'Historical Data'!$BE$2:$BE$1068,0)),"")</f>
        <v/>
      </c>
      <c r="U400" s="291">
        <f>IFERROR(INDEX('Historical Data'!$AE$2:$AE$1068,MATCH($A400,'Historical Data'!$BE$2:$BE$1068,0)),"")</f>
        <v/>
      </c>
      <c r="V400" s="291">
        <f>IFERROR(INDEX('Historical Data'!$AH$2:$AH$1068,MATCH($A400,'Historical Data'!$BE$2:$BE$1068,0)),"")</f>
        <v/>
      </c>
      <c r="W400" s="291">
        <f>IFERROR(INDEX('Historical Data'!$BC$2:$BC$1068,MATCH($A400,'Historical Data'!$BE$2:$BE$1068,0)),"")</f>
        <v/>
      </c>
      <c r="X400" s="290">
        <f>IF(B400="","",IF(W400=1,"NR + industry + position",IF(W400=2,"NR + ISO + position",IF(W400=3,"NR + industry",IF(W400=4,"NR + ISO",IF(W400=5,"NR + position",IF(W400=6,"NR only","book baseline"))))))&amp;"  ["&amp;IF(T400=1,"seasoned","unseasoned")&amp;IF(U400=1,", defaulted","")&amp;IF(V400=1,", open","")&amp;"]")</f>
        <v/>
      </c>
    </row>
    <row r="401">
      <c r="A401" s="290" t="n">
        <v>397</v>
      </c>
      <c r="B401" s="291">
        <f>IFERROR(INDEX('Historical Data'!$A$2:$A$1068,MATCH($A401,'Historical Data'!$BE$2:$BE$1068,0)),"")</f>
        <v/>
      </c>
      <c r="C401" s="291">
        <f>IFERROR(INDEX('Historical Data'!$B$2:$B$1068,MATCH($A401,'Historical Data'!$BE$2:$BE$1068,0)),"")</f>
        <v/>
      </c>
      <c r="D401" s="291">
        <f>IFERROR(INDEX('Historical Data'!$D$2:$D$1068,MATCH($A401,'Historical Data'!$BE$2:$BE$1068,0)),"")</f>
        <v/>
      </c>
      <c r="E401" s="292">
        <f>IFERROR(INDEX('Historical Data'!$E$2:$E$1068,MATCH($A401,'Historical Data'!$BE$2:$BE$1068,0)),"")</f>
        <v/>
      </c>
      <c r="F401" s="291">
        <f>IFERROR(INDEX('Historical Data'!$G$2:$G$1068,MATCH($A401,'Historical Data'!$BE$2:$BE$1068,0)),"")</f>
        <v/>
      </c>
      <c r="G401" s="291">
        <f>IFERROR(INDEX('Historical Data'!$Y$2:$Y$1068,MATCH($A401,'Historical Data'!$BE$2:$BE$1068,0)),"")</f>
        <v/>
      </c>
      <c r="H401" s="291">
        <f>IFERROR(INDEX('Historical Data'!$K$2:$K$1068,MATCH($A401,'Historical Data'!$BE$2:$BE$1068,0)),"")</f>
        <v/>
      </c>
      <c r="I401" s="291">
        <f>IFERROR(INDEX('Historical Data'!$J$2:$J$1068,MATCH($A401,'Historical Data'!$BE$2:$BE$1068,0)),"")</f>
        <v/>
      </c>
      <c r="J401" s="291">
        <f>IFERROR(INDEX('Historical Data'!$L$2:$L$1068,MATCH($A401,'Historical Data'!$BE$2:$BE$1068,0)),"")</f>
        <v/>
      </c>
      <c r="K401" s="293">
        <f>IFERROR(INDEX('Historical Data'!$M$2:$M$1068,MATCH($A401,'Historical Data'!$BE$2:$BE$1068,0)),"")</f>
        <v/>
      </c>
      <c r="L401" s="294">
        <f>IFERROR(INDEX('Historical Data'!$N$2:$N$1068,MATCH($A401,'Historical Data'!$BE$2:$BE$1068,0)),"")</f>
        <v/>
      </c>
      <c r="M401" s="294">
        <f>IFERROR(INDEX('Historical Data'!$Q$2:$Q$1068,MATCH($A401,'Historical Data'!$BE$2:$BE$1068,0)),"")</f>
        <v/>
      </c>
      <c r="N401" s="295">
        <f>IFERROR(INDEX('Historical Data'!$S$2:$S$1068,MATCH($A401,'Historical Data'!$BE$2:$BE$1068,0)),"")</f>
        <v/>
      </c>
      <c r="O401" s="294">
        <f>IFERROR(INDEX('Historical Data'!$AJ$2:$AJ$1068,MATCH($A401,'Historical Data'!$BE$2:$BE$1068,0)),"")</f>
        <v/>
      </c>
      <c r="P401" s="294">
        <f>IFERROR(INDEX('Historical Data'!$AK$2:$AK$1068,MATCH($A401,'Historical Data'!$BE$2:$BE$1068,0)),"")</f>
        <v/>
      </c>
      <c r="Q401" s="291">
        <f>IFERROR(INDEX('Historical Data'!$AA$2:$AA$1068,MATCH($A401,'Historical Data'!$BE$2:$BE$1068,0)),"")</f>
        <v/>
      </c>
      <c r="R401" s="291">
        <f>IFERROR(INDEX('Historical Data'!$AB$2:$AB$1068,MATCH($A401,'Historical Data'!$BE$2:$BE$1068,0)),"")</f>
        <v/>
      </c>
      <c r="S401" s="291">
        <f>IFERROR(INDEX('Historical Data'!$AN$2:$AN$1068,MATCH($A401,'Historical Data'!$BE$2:$BE$1068,0)),"")</f>
        <v/>
      </c>
      <c r="T401" s="291">
        <f>IFERROR(INDEX('Historical Data'!$AC$2:$AC$1068,MATCH($A401,'Historical Data'!$BE$2:$BE$1068,0)),"")</f>
        <v/>
      </c>
      <c r="U401" s="291">
        <f>IFERROR(INDEX('Historical Data'!$AE$2:$AE$1068,MATCH($A401,'Historical Data'!$BE$2:$BE$1068,0)),"")</f>
        <v/>
      </c>
      <c r="V401" s="291">
        <f>IFERROR(INDEX('Historical Data'!$AH$2:$AH$1068,MATCH($A401,'Historical Data'!$BE$2:$BE$1068,0)),"")</f>
        <v/>
      </c>
      <c r="W401" s="291">
        <f>IFERROR(INDEX('Historical Data'!$BC$2:$BC$1068,MATCH($A401,'Historical Data'!$BE$2:$BE$1068,0)),"")</f>
        <v/>
      </c>
      <c r="X401" s="290">
        <f>IF(B401="","",IF(W401=1,"NR + industry + position",IF(W401=2,"NR + ISO + position",IF(W401=3,"NR + industry",IF(W401=4,"NR + ISO",IF(W401=5,"NR + position",IF(W401=6,"NR only","book baseline"))))))&amp;"  ["&amp;IF(T401=1,"seasoned","unseasoned")&amp;IF(U401=1,", defaulted","")&amp;IF(V401=1,", open","")&amp;"]")</f>
        <v/>
      </c>
    </row>
    <row r="402">
      <c r="A402" s="290" t="n">
        <v>398</v>
      </c>
      <c r="B402" s="291">
        <f>IFERROR(INDEX('Historical Data'!$A$2:$A$1068,MATCH($A402,'Historical Data'!$BE$2:$BE$1068,0)),"")</f>
        <v/>
      </c>
      <c r="C402" s="291">
        <f>IFERROR(INDEX('Historical Data'!$B$2:$B$1068,MATCH($A402,'Historical Data'!$BE$2:$BE$1068,0)),"")</f>
        <v/>
      </c>
      <c r="D402" s="291">
        <f>IFERROR(INDEX('Historical Data'!$D$2:$D$1068,MATCH($A402,'Historical Data'!$BE$2:$BE$1068,0)),"")</f>
        <v/>
      </c>
      <c r="E402" s="292">
        <f>IFERROR(INDEX('Historical Data'!$E$2:$E$1068,MATCH($A402,'Historical Data'!$BE$2:$BE$1068,0)),"")</f>
        <v/>
      </c>
      <c r="F402" s="291">
        <f>IFERROR(INDEX('Historical Data'!$G$2:$G$1068,MATCH($A402,'Historical Data'!$BE$2:$BE$1068,0)),"")</f>
        <v/>
      </c>
      <c r="G402" s="291">
        <f>IFERROR(INDEX('Historical Data'!$Y$2:$Y$1068,MATCH($A402,'Historical Data'!$BE$2:$BE$1068,0)),"")</f>
        <v/>
      </c>
      <c r="H402" s="291">
        <f>IFERROR(INDEX('Historical Data'!$K$2:$K$1068,MATCH($A402,'Historical Data'!$BE$2:$BE$1068,0)),"")</f>
        <v/>
      </c>
      <c r="I402" s="291">
        <f>IFERROR(INDEX('Historical Data'!$J$2:$J$1068,MATCH($A402,'Historical Data'!$BE$2:$BE$1068,0)),"")</f>
        <v/>
      </c>
      <c r="J402" s="291">
        <f>IFERROR(INDEX('Historical Data'!$L$2:$L$1068,MATCH($A402,'Historical Data'!$BE$2:$BE$1068,0)),"")</f>
        <v/>
      </c>
      <c r="K402" s="293">
        <f>IFERROR(INDEX('Historical Data'!$M$2:$M$1068,MATCH($A402,'Historical Data'!$BE$2:$BE$1068,0)),"")</f>
        <v/>
      </c>
      <c r="L402" s="294">
        <f>IFERROR(INDEX('Historical Data'!$N$2:$N$1068,MATCH($A402,'Historical Data'!$BE$2:$BE$1068,0)),"")</f>
        <v/>
      </c>
      <c r="M402" s="294">
        <f>IFERROR(INDEX('Historical Data'!$Q$2:$Q$1068,MATCH($A402,'Historical Data'!$BE$2:$BE$1068,0)),"")</f>
        <v/>
      </c>
      <c r="N402" s="295">
        <f>IFERROR(INDEX('Historical Data'!$S$2:$S$1068,MATCH($A402,'Historical Data'!$BE$2:$BE$1068,0)),"")</f>
        <v/>
      </c>
      <c r="O402" s="294">
        <f>IFERROR(INDEX('Historical Data'!$AJ$2:$AJ$1068,MATCH($A402,'Historical Data'!$BE$2:$BE$1068,0)),"")</f>
        <v/>
      </c>
      <c r="P402" s="294">
        <f>IFERROR(INDEX('Historical Data'!$AK$2:$AK$1068,MATCH($A402,'Historical Data'!$BE$2:$BE$1068,0)),"")</f>
        <v/>
      </c>
      <c r="Q402" s="291">
        <f>IFERROR(INDEX('Historical Data'!$AA$2:$AA$1068,MATCH($A402,'Historical Data'!$BE$2:$BE$1068,0)),"")</f>
        <v/>
      </c>
      <c r="R402" s="291">
        <f>IFERROR(INDEX('Historical Data'!$AB$2:$AB$1068,MATCH($A402,'Historical Data'!$BE$2:$BE$1068,0)),"")</f>
        <v/>
      </c>
      <c r="S402" s="291">
        <f>IFERROR(INDEX('Historical Data'!$AN$2:$AN$1068,MATCH($A402,'Historical Data'!$BE$2:$BE$1068,0)),"")</f>
        <v/>
      </c>
      <c r="T402" s="291">
        <f>IFERROR(INDEX('Historical Data'!$AC$2:$AC$1068,MATCH($A402,'Historical Data'!$BE$2:$BE$1068,0)),"")</f>
        <v/>
      </c>
      <c r="U402" s="291">
        <f>IFERROR(INDEX('Historical Data'!$AE$2:$AE$1068,MATCH($A402,'Historical Data'!$BE$2:$BE$1068,0)),"")</f>
        <v/>
      </c>
      <c r="V402" s="291">
        <f>IFERROR(INDEX('Historical Data'!$AH$2:$AH$1068,MATCH($A402,'Historical Data'!$BE$2:$BE$1068,0)),"")</f>
        <v/>
      </c>
      <c r="W402" s="291">
        <f>IFERROR(INDEX('Historical Data'!$BC$2:$BC$1068,MATCH($A402,'Historical Data'!$BE$2:$BE$1068,0)),"")</f>
        <v/>
      </c>
      <c r="X402" s="290">
        <f>IF(B402="","",IF(W402=1,"NR + industry + position",IF(W402=2,"NR + ISO + position",IF(W402=3,"NR + industry",IF(W402=4,"NR + ISO",IF(W402=5,"NR + position",IF(W402=6,"NR only","book baseline"))))))&amp;"  ["&amp;IF(T402=1,"seasoned","unseasoned")&amp;IF(U402=1,", defaulted","")&amp;IF(V402=1,", open","")&amp;"]")</f>
        <v/>
      </c>
    </row>
    <row r="403">
      <c r="A403" s="290" t="n">
        <v>399</v>
      </c>
      <c r="B403" s="291">
        <f>IFERROR(INDEX('Historical Data'!$A$2:$A$1068,MATCH($A403,'Historical Data'!$BE$2:$BE$1068,0)),"")</f>
        <v/>
      </c>
      <c r="C403" s="291">
        <f>IFERROR(INDEX('Historical Data'!$B$2:$B$1068,MATCH($A403,'Historical Data'!$BE$2:$BE$1068,0)),"")</f>
        <v/>
      </c>
      <c r="D403" s="291">
        <f>IFERROR(INDEX('Historical Data'!$D$2:$D$1068,MATCH($A403,'Historical Data'!$BE$2:$BE$1068,0)),"")</f>
        <v/>
      </c>
      <c r="E403" s="292">
        <f>IFERROR(INDEX('Historical Data'!$E$2:$E$1068,MATCH($A403,'Historical Data'!$BE$2:$BE$1068,0)),"")</f>
        <v/>
      </c>
      <c r="F403" s="291">
        <f>IFERROR(INDEX('Historical Data'!$G$2:$G$1068,MATCH($A403,'Historical Data'!$BE$2:$BE$1068,0)),"")</f>
        <v/>
      </c>
      <c r="G403" s="291">
        <f>IFERROR(INDEX('Historical Data'!$Y$2:$Y$1068,MATCH($A403,'Historical Data'!$BE$2:$BE$1068,0)),"")</f>
        <v/>
      </c>
      <c r="H403" s="291">
        <f>IFERROR(INDEX('Historical Data'!$K$2:$K$1068,MATCH($A403,'Historical Data'!$BE$2:$BE$1068,0)),"")</f>
        <v/>
      </c>
      <c r="I403" s="291">
        <f>IFERROR(INDEX('Historical Data'!$J$2:$J$1068,MATCH($A403,'Historical Data'!$BE$2:$BE$1068,0)),"")</f>
        <v/>
      </c>
      <c r="J403" s="291">
        <f>IFERROR(INDEX('Historical Data'!$L$2:$L$1068,MATCH($A403,'Historical Data'!$BE$2:$BE$1068,0)),"")</f>
        <v/>
      </c>
      <c r="K403" s="293">
        <f>IFERROR(INDEX('Historical Data'!$M$2:$M$1068,MATCH($A403,'Historical Data'!$BE$2:$BE$1068,0)),"")</f>
        <v/>
      </c>
      <c r="L403" s="294">
        <f>IFERROR(INDEX('Historical Data'!$N$2:$N$1068,MATCH($A403,'Historical Data'!$BE$2:$BE$1068,0)),"")</f>
        <v/>
      </c>
      <c r="M403" s="294">
        <f>IFERROR(INDEX('Historical Data'!$Q$2:$Q$1068,MATCH($A403,'Historical Data'!$BE$2:$BE$1068,0)),"")</f>
        <v/>
      </c>
      <c r="N403" s="295">
        <f>IFERROR(INDEX('Historical Data'!$S$2:$S$1068,MATCH($A403,'Historical Data'!$BE$2:$BE$1068,0)),"")</f>
        <v/>
      </c>
      <c r="O403" s="294">
        <f>IFERROR(INDEX('Historical Data'!$AJ$2:$AJ$1068,MATCH($A403,'Historical Data'!$BE$2:$BE$1068,0)),"")</f>
        <v/>
      </c>
      <c r="P403" s="294">
        <f>IFERROR(INDEX('Historical Data'!$AK$2:$AK$1068,MATCH($A403,'Historical Data'!$BE$2:$BE$1068,0)),"")</f>
        <v/>
      </c>
      <c r="Q403" s="291">
        <f>IFERROR(INDEX('Historical Data'!$AA$2:$AA$1068,MATCH($A403,'Historical Data'!$BE$2:$BE$1068,0)),"")</f>
        <v/>
      </c>
      <c r="R403" s="291">
        <f>IFERROR(INDEX('Historical Data'!$AB$2:$AB$1068,MATCH($A403,'Historical Data'!$BE$2:$BE$1068,0)),"")</f>
        <v/>
      </c>
      <c r="S403" s="291">
        <f>IFERROR(INDEX('Historical Data'!$AN$2:$AN$1068,MATCH($A403,'Historical Data'!$BE$2:$BE$1068,0)),"")</f>
        <v/>
      </c>
      <c r="T403" s="291">
        <f>IFERROR(INDEX('Historical Data'!$AC$2:$AC$1068,MATCH($A403,'Historical Data'!$BE$2:$BE$1068,0)),"")</f>
        <v/>
      </c>
      <c r="U403" s="291">
        <f>IFERROR(INDEX('Historical Data'!$AE$2:$AE$1068,MATCH($A403,'Historical Data'!$BE$2:$BE$1068,0)),"")</f>
        <v/>
      </c>
      <c r="V403" s="291">
        <f>IFERROR(INDEX('Historical Data'!$AH$2:$AH$1068,MATCH($A403,'Historical Data'!$BE$2:$BE$1068,0)),"")</f>
        <v/>
      </c>
      <c r="W403" s="291">
        <f>IFERROR(INDEX('Historical Data'!$BC$2:$BC$1068,MATCH($A403,'Historical Data'!$BE$2:$BE$1068,0)),"")</f>
        <v/>
      </c>
      <c r="X403" s="290">
        <f>IF(B403="","",IF(W403=1,"NR + industry + position",IF(W403=2,"NR + ISO + position",IF(W403=3,"NR + industry",IF(W403=4,"NR + ISO",IF(W403=5,"NR + position",IF(W403=6,"NR only","book baseline"))))))&amp;"  ["&amp;IF(T403=1,"seasoned","unseasoned")&amp;IF(U403=1,", defaulted","")&amp;IF(V403=1,", open","")&amp;"]")</f>
        <v/>
      </c>
    </row>
    <row r="404">
      <c r="A404" s="290" t="n">
        <v>400</v>
      </c>
      <c r="B404" s="291">
        <f>IFERROR(INDEX('Historical Data'!$A$2:$A$1068,MATCH($A404,'Historical Data'!$BE$2:$BE$1068,0)),"")</f>
        <v/>
      </c>
      <c r="C404" s="291">
        <f>IFERROR(INDEX('Historical Data'!$B$2:$B$1068,MATCH($A404,'Historical Data'!$BE$2:$BE$1068,0)),"")</f>
        <v/>
      </c>
      <c r="D404" s="291">
        <f>IFERROR(INDEX('Historical Data'!$D$2:$D$1068,MATCH($A404,'Historical Data'!$BE$2:$BE$1068,0)),"")</f>
        <v/>
      </c>
      <c r="E404" s="292">
        <f>IFERROR(INDEX('Historical Data'!$E$2:$E$1068,MATCH($A404,'Historical Data'!$BE$2:$BE$1068,0)),"")</f>
        <v/>
      </c>
      <c r="F404" s="291">
        <f>IFERROR(INDEX('Historical Data'!$G$2:$G$1068,MATCH($A404,'Historical Data'!$BE$2:$BE$1068,0)),"")</f>
        <v/>
      </c>
      <c r="G404" s="291">
        <f>IFERROR(INDEX('Historical Data'!$Y$2:$Y$1068,MATCH($A404,'Historical Data'!$BE$2:$BE$1068,0)),"")</f>
        <v/>
      </c>
      <c r="H404" s="291">
        <f>IFERROR(INDEX('Historical Data'!$K$2:$K$1068,MATCH($A404,'Historical Data'!$BE$2:$BE$1068,0)),"")</f>
        <v/>
      </c>
      <c r="I404" s="291">
        <f>IFERROR(INDEX('Historical Data'!$J$2:$J$1068,MATCH($A404,'Historical Data'!$BE$2:$BE$1068,0)),"")</f>
        <v/>
      </c>
      <c r="J404" s="291">
        <f>IFERROR(INDEX('Historical Data'!$L$2:$L$1068,MATCH($A404,'Historical Data'!$BE$2:$BE$1068,0)),"")</f>
        <v/>
      </c>
      <c r="K404" s="293">
        <f>IFERROR(INDEX('Historical Data'!$M$2:$M$1068,MATCH($A404,'Historical Data'!$BE$2:$BE$1068,0)),"")</f>
        <v/>
      </c>
      <c r="L404" s="294">
        <f>IFERROR(INDEX('Historical Data'!$N$2:$N$1068,MATCH($A404,'Historical Data'!$BE$2:$BE$1068,0)),"")</f>
        <v/>
      </c>
      <c r="M404" s="294">
        <f>IFERROR(INDEX('Historical Data'!$Q$2:$Q$1068,MATCH($A404,'Historical Data'!$BE$2:$BE$1068,0)),"")</f>
        <v/>
      </c>
      <c r="N404" s="295">
        <f>IFERROR(INDEX('Historical Data'!$S$2:$S$1068,MATCH($A404,'Historical Data'!$BE$2:$BE$1068,0)),"")</f>
        <v/>
      </c>
      <c r="O404" s="294">
        <f>IFERROR(INDEX('Historical Data'!$AJ$2:$AJ$1068,MATCH($A404,'Historical Data'!$BE$2:$BE$1068,0)),"")</f>
        <v/>
      </c>
      <c r="P404" s="294">
        <f>IFERROR(INDEX('Historical Data'!$AK$2:$AK$1068,MATCH($A404,'Historical Data'!$BE$2:$BE$1068,0)),"")</f>
        <v/>
      </c>
      <c r="Q404" s="291">
        <f>IFERROR(INDEX('Historical Data'!$AA$2:$AA$1068,MATCH($A404,'Historical Data'!$BE$2:$BE$1068,0)),"")</f>
        <v/>
      </c>
      <c r="R404" s="291">
        <f>IFERROR(INDEX('Historical Data'!$AB$2:$AB$1068,MATCH($A404,'Historical Data'!$BE$2:$BE$1068,0)),"")</f>
        <v/>
      </c>
      <c r="S404" s="291">
        <f>IFERROR(INDEX('Historical Data'!$AN$2:$AN$1068,MATCH($A404,'Historical Data'!$BE$2:$BE$1068,0)),"")</f>
        <v/>
      </c>
      <c r="T404" s="291">
        <f>IFERROR(INDEX('Historical Data'!$AC$2:$AC$1068,MATCH($A404,'Historical Data'!$BE$2:$BE$1068,0)),"")</f>
        <v/>
      </c>
      <c r="U404" s="291">
        <f>IFERROR(INDEX('Historical Data'!$AE$2:$AE$1068,MATCH($A404,'Historical Data'!$BE$2:$BE$1068,0)),"")</f>
        <v/>
      </c>
      <c r="V404" s="291">
        <f>IFERROR(INDEX('Historical Data'!$AH$2:$AH$1068,MATCH($A404,'Historical Data'!$BE$2:$BE$1068,0)),"")</f>
        <v/>
      </c>
      <c r="W404" s="291">
        <f>IFERROR(INDEX('Historical Data'!$BC$2:$BC$1068,MATCH($A404,'Historical Data'!$BE$2:$BE$1068,0)),"")</f>
        <v/>
      </c>
      <c r="X404" s="290">
        <f>IF(B404="","",IF(W404=1,"NR + industry + position",IF(W404=2,"NR + ISO + position",IF(W404=3,"NR + industry",IF(W404=4,"NR + ISO",IF(W404=5,"NR + position",IF(W404=6,"NR only","book baseline"))))))&amp;"  ["&amp;IF(T404=1,"seasoned","unseasoned")&amp;IF(U404=1,", defaulted","")&amp;IF(V404=1,", open","")&amp;"]")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E10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28" min="1" max="1"/>
    <col width="28" customWidth="1" style="228" min="2" max="2"/>
    <col width="28" customWidth="1" style="228" min="3" max="3"/>
    <col width="18" customWidth="1" style="228" min="4" max="4"/>
    <col width="24" customWidth="1" style="228" min="11" max="11"/>
    <col width="26" customWidth="1" style="228" min="25" max="25"/>
  </cols>
  <sheetData>
    <row r="1" ht="42" customHeight="1" s="228">
      <c r="A1" s="285" t="inlineStr">
        <is>
          <t>Contract ID</t>
        </is>
      </c>
      <c r="B1" s="285" t="inlineStr">
        <is>
          <t>DBA</t>
        </is>
      </c>
      <c r="C1" s="285" t="inlineStr">
        <is>
          <t>Legal name</t>
        </is>
      </c>
      <c r="D1" s="285" t="inlineStr">
        <is>
          <t>Status</t>
        </is>
      </c>
      <c r="E1" s="285" t="inlineStr">
        <is>
          <t>Start date</t>
        </is>
      </c>
      <c r="F1" s="285" t="inlineStr">
        <is>
          <t>Last active</t>
        </is>
      </c>
      <c r="G1" s="285" t="inlineStr">
        <is>
          <t>Position</t>
        </is>
      </c>
      <c r="H1" s="285" t="inlineStr">
        <is>
          <t>SIC</t>
        </is>
      </c>
      <c r="I1" s="285" t="inlineStr">
        <is>
          <t>SIC2</t>
        </is>
      </c>
      <c r="J1" s="285" t="inlineStr">
        <is>
          <t>State</t>
        </is>
      </c>
      <c r="K1" s="285" t="inlineStr">
        <is>
          <t>ISO</t>
        </is>
      </c>
      <c r="L1" s="285" t="inlineStr">
        <is>
          <t>New or renewal</t>
        </is>
      </c>
      <c r="M1" s="285" t="inlineStr">
        <is>
          <t>Factor</t>
        </is>
      </c>
      <c r="N1" s="285" t="inlineStr">
        <is>
          <t>Advance</t>
        </is>
      </c>
      <c r="O1" s="285" t="inlineStr">
        <is>
          <t>Commission</t>
        </is>
      </c>
      <c r="P1" s="285" t="inlineStr">
        <is>
          <t>Payback</t>
        </is>
      </c>
      <c r="Q1" s="285" t="inlineStr">
        <is>
          <t>Collected</t>
        </is>
      </c>
      <c r="R1" s="285" t="inlineStr">
        <is>
          <t>Balance</t>
        </is>
      </c>
      <c r="S1" s="285" t="inlineStr">
        <is>
          <t>% paid</t>
        </is>
      </c>
      <c r="T1" s="285" t="inlineStr">
        <is>
          <t>Exp dur (raw)</t>
        </is>
      </c>
      <c r="U1" s="285" t="inlineStr">
        <is>
          <t>NSF count</t>
        </is>
      </c>
      <c r="V1" s="285" t="inlineStr">
        <is>
          <t>Avg rev/mo</t>
        </is>
      </c>
      <c r="W1" s="285" t="inlineStr">
        <is>
          <t>Holdback %</t>
        </is>
      </c>
      <c r="X1" s="285" t="inlineStr">
        <is>
          <t>Biz start</t>
        </is>
      </c>
      <c r="Y1" s="296" t="inlineStr">
        <is>
          <t>Industry</t>
        </is>
      </c>
      <c r="Z1" s="296" t="inlineStr">
        <is>
          <t>Pay frequency</t>
        </is>
      </c>
      <c r="AA1" s="296" t="inlineStr">
        <is>
          <t>Term (bus. days)</t>
        </is>
      </c>
      <c r="AB1" s="296" t="inlineStr">
        <is>
          <t>Age at as-of (bus. days)</t>
        </is>
      </c>
      <c r="AC1" s="296" t="inlineStr">
        <is>
          <t>Seasoned</t>
        </is>
      </c>
      <c r="AD1" s="296" t="inlineStr">
        <is>
          <t>In window</t>
        </is>
      </c>
      <c r="AE1" s="296" t="inlineStr">
        <is>
          <t>Default</t>
        </is>
      </c>
      <c r="AF1" s="296" t="inlineStr">
        <is>
          <t>Resolved</t>
        </is>
      </c>
      <c r="AG1" s="296" t="inlineStr">
        <is>
          <t>Closed family</t>
        </is>
      </c>
      <c r="AH1" s="296" t="inlineStr">
        <is>
          <t>Open</t>
        </is>
      </c>
      <c r="AI1" s="296" t="inlineStr">
        <is>
          <t>Status valid</t>
        </is>
      </c>
      <c r="AJ1" s="296" t="inlineStr">
        <is>
          <t>Net cash</t>
        </is>
      </c>
      <c r="AK1" s="296" t="inlineStr">
        <is>
          <t>Principal lost</t>
        </is>
      </c>
      <c r="AL1" s="296" t="inlineStr">
        <is>
          <t>Adv / revenue</t>
        </is>
      </c>
      <c r="AM1" s="296" t="inlineStr">
        <is>
          <t>Has revenue</t>
        </is>
      </c>
      <c r="AN1" s="296" t="inlineStr">
        <is>
          <t>Days on book (bus.)</t>
        </is>
      </c>
      <c r="AO1" s="296" t="inlineStr">
        <is>
          <t>Renewal</t>
        </is>
      </c>
      <c r="AP1" s="296" t="inlineStr">
        <is>
          <t>Eligible (seasoned &amp; in window)</t>
        </is>
      </c>
      <c r="AQ1" s="296" t="inlineStr">
        <is>
          <t>m: position</t>
        </is>
      </c>
      <c r="AR1" s="296" t="inlineStr">
        <is>
          <t>m: new/renewal</t>
        </is>
      </c>
      <c r="AS1" s="296" t="inlineStr">
        <is>
          <t>m: industry</t>
        </is>
      </c>
      <c r="AT1" s="296" t="inlineStr">
        <is>
          <t>m: ISO</t>
        </is>
      </c>
      <c r="AU1" s="296" t="inlineStr">
        <is>
          <t>m: state</t>
        </is>
      </c>
      <c r="AV1" s="296" t="inlineStr">
        <is>
          <t>T1 NR+Ind+Pos</t>
        </is>
      </c>
      <c r="AW1" s="296" t="inlineStr">
        <is>
          <t>T2 NR+ISO+Pos</t>
        </is>
      </c>
      <c r="AX1" s="296" t="inlineStr">
        <is>
          <t>T3 NR+Ind</t>
        </is>
      </c>
      <c r="AY1" s="296" t="inlineStr">
        <is>
          <t>T4 NR+ISO</t>
        </is>
      </c>
      <c r="AZ1" s="296" t="inlineStr">
        <is>
          <t>T5 NR+Pos</t>
        </is>
      </c>
      <c r="BA1" s="296" t="inlineStr">
        <is>
          <t>T6 NR</t>
        </is>
      </c>
      <c r="BB1" s="296" t="inlineStr">
        <is>
          <t>T7 Book</t>
        </is>
      </c>
      <c r="BC1" s="296" t="inlineStr">
        <is>
          <t>Best tier</t>
        </is>
      </c>
      <c r="BD1" s="296" t="inlineStr">
        <is>
          <t>In primary cohort</t>
        </is>
      </c>
      <c r="BE1" s="296" t="inlineStr">
        <is>
          <t>Seq</t>
        </is>
      </c>
    </row>
    <row r="2">
      <c r="A2" t="inlineStr">
        <is>
          <t>5674142980</t>
        </is>
      </c>
      <c r="B2" t="inlineStr">
        <is>
          <t>The rustic charm bar and grill</t>
        </is>
      </c>
      <c r="C2" t="inlineStr">
        <is>
          <t>The rustic charm LLC</t>
        </is>
      </c>
      <c r="D2" t="inlineStr">
        <is>
          <t>Legal</t>
        </is>
      </c>
      <c r="E2" s="297" t="n">
        <v>45616</v>
      </c>
      <c r="F2" s="297" t="n">
        <v>46118</v>
      </c>
      <c r="G2" t="n">
        <v>1</v>
      </c>
      <c r="H2" t="inlineStr">
        <is>
          <t>5813</t>
        </is>
      </c>
      <c r="I2" t="inlineStr">
        <is>
          <t>58</t>
        </is>
      </c>
      <c r="J2" t="inlineStr">
        <is>
          <t>CO</t>
        </is>
      </c>
      <c r="K2" t="inlineStr">
        <is>
          <t>GREYSTONE</t>
        </is>
      </c>
      <c r="L2" t="inlineStr">
        <is>
          <t>New Deal</t>
        </is>
      </c>
      <c r="M2" s="298" t="n">
        <v>1.49</v>
      </c>
      <c r="N2" s="299" t="n">
        <v>15000</v>
      </c>
      <c r="O2" s="299" t="n">
        <v>2100</v>
      </c>
      <c r="P2" s="299" t="n">
        <v>22350</v>
      </c>
      <c r="Q2" s="299" t="n">
        <v>16835.64</v>
      </c>
      <c r="R2" s="299" t="n">
        <v>5514.36</v>
      </c>
      <c r="S2" s="300" t="n">
        <v>0.753272483221476</v>
      </c>
      <c r="T2" t="n">
        <v>2.754</v>
      </c>
      <c r="U2" t="n">
        <v>5</v>
      </c>
      <c r="W2" s="300" t="n">
        <v>0.05</v>
      </c>
      <c r="X2" s="297" t="n">
        <v>44701</v>
      </c>
      <c r="Y2">
        <f>IF(I2="","No SIC",IFERROR(VLOOKUP(I2,Ref!$A$2:$B$65,2,FALSE),"Unclassified"))</f>
        <v/>
      </c>
      <c r="Z2">
        <f>IF(T2="","",IF(T2&lt;12,"Daily","Weekly"))</f>
        <v/>
      </c>
      <c r="AA2">
        <f>IF(T2="",0,IF(T2&lt;12,T2*Controls!$B$29,T2*5))</f>
        <v/>
      </c>
      <c r="AB2">
        <f>IF(E2="",0,NETWORKDAYS(E2,Controls!$B$36,Ref!$K$2:$K$42))</f>
        <v/>
      </c>
      <c r="AC2">
        <f>IF(AND(AA2&gt;0,AB2&gt;=Controls!$B$39*AA2),1,0)</f>
        <v/>
      </c>
      <c r="AD2">
        <f>IF(AND(E2&lt;&gt;"",E2&gt;=Controls!$B$37,E2&lt;=Controls!$B$38),1,0)</f>
        <v/>
      </c>
      <c r="AE2">
        <f>IF(IFERROR(VLOOKUP(D2,Controls!$A$64:$E$74,2,FALSE),"No")="Yes",1,0)</f>
        <v/>
      </c>
      <c r="AF2">
        <f>IF(IFERROR(VLOOKUP(D2,Controls!$A$64:$E$74,3,FALSE),"No")="Yes",1,0)</f>
        <v/>
      </c>
      <c r="AG2">
        <f>IF(IFERROR(VLOOKUP(D2,Controls!$A$64:$E$74,4,FALSE),"No")="Yes",1,0)</f>
        <v/>
      </c>
      <c r="AH2">
        <f>IF(IFERROR(VLOOKUP(D2,Controls!$A$64:$E$74,5,FALSE),"No")="Yes",1,0)</f>
        <v/>
      </c>
      <c r="AI2">
        <f>IF(ISNUMBER(MATCH(D2,Controls!$A$64:$A$74,0)),1,0)</f>
        <v/>
      </c>
      <c r="AJ2">
        <f>Q2-N2</f>
        <v/>
      </c>
      <c r="AK2">
        <f>IF(AE2=1,MAX(0,N2-Q2),0)</f>
        <v/>
      </c>
      <c r="AL2">
        <f>IF(OR(V2="",V2=0),0,N2/V2)</f>
        <v/>
      </c>
      <c r="AM2">
        <f>IF(OR(V2="",V2=0),0,1)</f>
        <v/>
      </c>
      <c r="AN2">
        <f>IF(OR(E2="",F2=""),0,NETWORKDAYS(E2,F2,Ref!$K$2:$K$42))</f>
        <v/>
      </c>
      <c r="AO2">
        <f>IF(L2="Renewal",1,0)</f>
        <v/>
      </c>
      <c r="AP2">
        <f>AC2*AD2</f>
        <v/>
      </c>
      <c r="AQ2">
        <f>IF(AND(G2&lt;&gt;"",'Historical Score'!$C$6&lt;&gt;""),IF(G2='Historical Score'!$C$6,1,0),0)</f>
        <v/>
      </c>
      <c r="AR2">
        <f>IF(AND(L2&lt;&gt;"",'Historical Score'!$C$5&lt;&gt;""),IF(L2='Historical Score'!$C$5,1,0),0)</f>
        <v/>
      </c>
      <c r="AS2">
        <f>IF(AND(Y2&lt;&gt;"",'Historical Score'!$C$7&lt;&gt;""),IF(Y2='Historical Score'!$C$7,1,0),0)</f>
        <v/>
      </c>
      <c r="AT2">
        <f>IF(AND(K2&lt;&gt;"",'Historical Score'!$C$8&lt;&gt;""),IF(K2='Historical Score'!$C$8,1,0),0)</f>
        <v/>
      </c>
      <c r="AU2">
        <f>IF(AND(J2&lt;&gt;"",'Historical Score'!$C$9&lt;&gt;""),IF(J2='Historical Score'!$C$9,1,0),0)</f>
        <v/>
      </c>
      <c r="AV2">
        <f>AR2*AS2*AQ2</f>
        <v/>
      </c>
      <c r="AW2">
        <f>AR2*AT2*AQ2</f>
        <v/>
      </c>
      <c r="AX2">
        <f>AR2*AS2</f>
        <v/>
      </c>
      <c r="AY2">
        <f>AR2*AT2</f>
        <v/>
      </c>
      <c r="AZ2">
        <f>AR2*AQ2</f>
        <v/>
      </c>
      <c r="BA2">
        <f>AR2</f>
        <v/>
      </c>
      <c r="BB2">
        <f>1</f>
        <v/>
      </c>
      <c r="BC2">
        <f>IF(AV2=1,1,IF(AW2=1,2,IF(AX2=1,3,IF(AY2=1,4,IF(AZ2=1,5,IF(BA2=1,6,7))))))</f>
        <v/>
      </c>
      <c r="BD2">
        <f>IF(AD2=1,CHOOSE('Historical Score'!$C$29,AV2,AW2,AX2,AY2,AZ2,BA2,BB2),0)</f>
        <v/>
      </c>
      <c r="BE2">
        <f>IF(BD2=1,COUNTIF($BD$2:BD2,1),"")</f>
        <v/>
      </c>
    </row>
    <row r="3">
      <c r="A3" t="inlineStr">
        <is>
          <t>5674143732</t>
        </is>
      </c>
      <c r="B3" t="inlineStr">
        <is>
          <t>GUADALUPE CASTANEDA</t>
        </is>
      </c>
      <c r="C3" t="inlineStr">
        <is>
          <t>GUADALUPE CASTANEDA</t>
        </is>
      </c>
      <c r="D3" t="inlineStr">
        <is>
          <t>Written-Off</t>
        </is>
      </c>
      <c r="E3" s="297" t="n">
        <v>45625</v>
      </c>
      <c r="F3" s="297" t="n">
        <v>45786</v>
      </c>
      <c r="G3" t="n">
        <v>3</v>
      </c>
      <c r="H3" t="inlineStr">
        <is>
          <t>1442</t>
        </is>
      </c>
      <c r="I3" t="inlineStr">
        <is>
          <t>14</t>
        </is>
      </c>
      <c r="J3" t="inlineStr">
        <is>
          <t>CA</t>
        </is>
      </c>
      <c r="K3" t="inlineStr">
        <is>
          <t>BFA 3</t>
        </is>
      </c>
      <c r="L3" t="inlineStr">
        <is>
          <t>New Deal</t>
        </is>
      </c>
      <c r="M3" s="298" t="n">
        <v>1.49</v>
      </c>
      <c r="N3" s="299" t="n">
        <v>5000</v>
      </c>
      <c r="O3" s="299" t="n">
        <v>700</v>
      </c>
      <c r="P3" s="299" t="n">
        <v>7450</v>
      </c>
      <c r="Q3" s="299" t="n">
        <v>6305.98</v>
      </c>
      <c r="R3" s="299" t="n">
        <v>1144.02</v>
      </c>
      <c r="S3" s="300" t="n">
        <v>0.846440268456376</v>
      </c>
      <c r="T3" t="n">
        <v>2.623</v>
      </c>
      <c r="U3" t="n">
        <v>24</v>
      </c>
      <c r="W3" s="300" t="n">
        <v>0.12</v>
      </c>
      <c r="X3" s="297" t="n">
        <v>34575</v>
      </c>
      <c r="Y3">
        <f>IF(I3="","No SIC",IFERROR(VLOOKUP(I3,Ref!$A$2:$B$65,2,FALSE),"Unclassified"))</f>
        <v/>
      </c>
      <c r="Z3">
        <f>IF(T3="","",IF(T3&lt;12,"Daily","Weekly"))</f>
        <v/>
      </c>
      <c r="AA3">
        <f>IF(T3="",0,IF(T3&lt;12,T3*Controls!$B$29,T3*5))</f>
        <v/>
      </c>
      <c r="AB3">
        <f>IF(E3="",0,NETWORKDAYS(E3,Controls!$B$36,Ref!$K$2:$K$42))</f>
        <v/>
      </c>
      <c r="AC3">
        <f>IF(AND(AA3&gt;0,AB3&gt;=Controls!$B$39*AA3),1,0)</f>
        <v/>
      </c>
      <c r="AD3">
        <f>IF(AND(E3&lt;&gt;"",E3&gt;=Controls!$B$37,E3&lt;=Controls!$B$38),1,0)</f>
        <v/>
      </c>
      <c r="AE3">
        <f>IF(IFERROR(VLOOKUP(D3,Controls!$A$64:$E$74,2,FALSE),"No")="Yes",1,0)</f>
        <v/>
      </c>
      <c r="AF3">
        <f>IF(IFERROR(VLOOKUP(D3,Controls!$A$64:$E$74,3,FALSE),"No")="Yes",1,0)</f>
        <v/>
      </c>
      <c r="AG3">
        <f>IF(IFERROR(VLOOKUP(D3,Controls!$A$64:$E$74,4,FALSE),"No")="Yes",1,0)</f>
        <v/>
      </c>
      <c r="AH3">
        <f>IF(IFERROR(VLOOKUP(D3,Controls!$A$64:$E$74,5,FALSE),"No")="Yes",1,0)</f>
        <v/>
      </c>
      <c r="AI3">
        <f>IF(ISNUMBER(MATCH(D3,Controls!$A$64:$A$74,0)),1,0)</f>
        <v/>
      </c>
      <c r="AJ3">
        <f>Q3-N3</f>
        <v/>
      </c>
      <c r="AK3">
        <f>IF(AE3=1,MAX(0,N3-Q3),0)</f>
        <v/>
      </c>
      <c r="AL3">
        <f>IF(OR(V3="",V3=0),0,N3/V3)</f>
        <v/>
      </c>
      <c r="AM3">
        <f>IF(OR(V3="",V3=0),0,1)</f>
        <v/>
      </c>
      <c r="AN3">
        <f>IF(OR(E3="",F3=""),0,NETWORKDAYS(E3,F3,Ref!$K$2:$K$42))</f>
        <v/>
      </c>
      <c r="AO3">
        <f>IF(L3="Renewal",1,0)</f>
        <v/>
      </c>
      <c r="AP3">
        <f>AC3*AD3</f>
        <v/>
      </c>
      <c r="AQ3">
        <f>IF(AND(G3&lt;&gt;"",'Historical Score'!$C$6&lt;&gt;""),IF(G3='Historical Score'!$C$6,1,0),0)</f>
        <v/>
      </c>
      <c r="AR3">
        <f>IF(AND(L3&lt;&gt;"",'Historical Score'!$C$5&lt;&gt;""),IF(L3='Historical Score'!$C$5,1,0),0)</f>
        <v/>
      </c>
      <c r="AS3">
        <f>IF(AND(Y3&lt;&gt;"",'Historical Score'!$C$7&lt;&gt;""),IF(Y3='Historical Score'!$C$7,1,0),0)</f>
        <v/>
      </c>
      <c r="AT3">
        <f>IF(AND(K3&lt;&gt;"",'Historical Score'!$C$8&lt;&gt;""),IF(K3='Historical Score'!$C$8,1,0),0)</f>
        <v/>
      </c>
      <c r="AU3">
        <f>IF(AND(J3&lt;&gt;"",'Historical Score'!$C$9&lt;&gt;""),IF(J3='Historical Score'!$C$9,1,0),0)</f>
        <v/>
      </c>
      <c r="AV3">
        <f>AR3*AS3*AQ3</f>
        <v/>
      </c>
      <c r="AW3">
        <f>AR3*AT3*AQ3</f>
        <v/>
      </c>
      <c r="AX3">
        <f>AR3*AS3</f>
        <v/>
      </c>
      <c r="AY3">
        <f>AR3*AT3</f>
        <v/>
      </c>
      <c r="AZ3">
        <f>AR3*AQ3</f>
        <v/>
      </c>
      <c r="BA3">
        <f>AR3</f>
        <v/>
      </c>
      <c r="BB3">
        <f>1</f>
        <v/>
      </c>
      <c r="BC3">
        <f>IF(AV3=1,1,IF(AW3=1,2,IF(AX3=1,3,IF(AY3=1,4,IF(AZ3=1,5,IF(BA3=1,6,7))))))</f>
        <v/>
      </c>
      <c r="BD3">
        <f>IF(AD3=1,CHOOSE('Historical Score'!$C$29,AV3,AW3,AX3,AY3,AZ3,BA3,BB3),0)</f>
        <v/>
      </c>
      <c r="BE3">
        <f>IF(BD3=1,COUNTIF($BD$2:BD3,1),"")</f>
        <v/>
      </c>
    </row>
    <row r="4">
      <c r="A4" t="inlineStr">
        <is>
          <t>5674144092</t>
        </is>
      </c>
      <c r="B4" t="inlineStr">
        <is>
          <t>DALE JOHNSON SOLE MBR</t>
        </is>
      </c>
      <c r="C4" t="inlineStr">
        <is>
          <t>LEVEL 4 TRANSPORT LLC</t>
        </is>
      </c>
      <c r="D4" t="inlineStr">
        <is>
          <t>Legal</t>
        </is>
      </c>
      <c r="E4" s="297" t="n">
        <v>45630</v>
      </c>
      <c r="F4" s="297" t="n">
        <v>45666</v>
      </c>
      <c r="G4" t="n">
        <v>2</v>
      </c>
      <c r="H4" t="inlineStr">
        <is>
          <t>4213</t>
        </is>
      </c>
      <c r="I4" t="inlineStr">
        <is>
          <t>42</t>
        </is>
      </c>
      <c r="J4" t="inlineStr">
        <is>
          <t>CA</t>
        </is>
      </c>
      <c r="K4" t="inlineStr">
        <is>
          <t>Liberty Bell Capital</t>
        </is>
      </c>
      <c r="L4" t="inlineStr">
        <is>
          <t>New Deal</t>
        </is>
      </c>
      <c r="M4" s="298" t="n">
        <v>1.49</v>
      </c>
      <c r="N4" s="299" t="n">
        <v>10000</v>
      </c>
      <c r="O4" s="299" t="n">
        <v>0</v>
      </c>
      <c r="P4" s="299" t="n">
        <v>14900</v>
      </c>
      <c r="Q4" s="299" t="n">
        <v>2421.25</v>
      </c>
      <c r="R4" s="299" t="n">
        <v>12478.75</v>
      </c>
      <c r="S4" s="300" t="n">
        <v>0.1625</v>
      </c>
      <c r="T4" t="n">
        <v>2.623</v>
      </c>
      <c r="U4" t="n">
        <v>5</v>
      </c>
      <c r="W4" s="300" t="n">
        <v>0.07000000000000001</v>
      </c>
      <c r="X4" s="297" t="n">
        <v>43873</v>
      </c>
      <c r="Y4">
        <f>IF(I4="","No SIC",IFERROR(VLOOKUP(I4,Ref!$A$2:$B$65,2,FALSE),"Unclassified"))</f>
        <v/>
      </c>
      <c r="Z4">
        <f>IF(T4="","",IF(T4&lt;12,"Daily","Weekly"))</f>
        <v/>
      </c>
      <c r="AA4">
        <f>IF(T4="",0,IF(T4&lt;12,T4*Controls!$B$29,T4*5))</f>
        <v/>
      </c>
      <c r="AB4">
        <f>IF(E4="",0,NETWORKDAYS(E4,Controls!$B$36,Ref!$K$2:$K$42))</f>
        <v/>
      </c>
      <c r="AC4">
        <f>IF(AND(AA4&gt;0,AB4&gt;=Controls!$B$39*AA4),1,0)</f>
        <v/>
      </c>
      <c r="AD4">
        <f>IF(AND(E4&lt;&gt;"",E4&gt;=Controls!$B$37,E4&lt;=Controls!$B$38),1,0)</f>
        <v/>
      </c>
      <c r="AE4">
        <f>IF(IFERROR(VLOOKUP(D4,Controls!$A$64:$E$74,2,FALSE),"No")="Yes",1,0)</f>
        <v/>
      </c>
      <c r="AF4">
        <f>IF(IFERROR(VLOOKUP(D4,Controls!$A$64:$E$74,3,FALSE),"No")="Yes",1,0)</f>
        <v/>
      </c>
      <c r="AG4">
        <f>IF(IFERROR(VLOOKUP(D4,Controls!$A$64:$E$74,4,FALSE),"No")="Yes",1,0)</f>
        <v/>
      </c>
      <c r="AH4">
        <f>IF(IFERROR(VLOOKUP(D4,Controls!$A$64:$E$74,5,FALSE),"No")="Yes",1,0)</f>
        <v/>
      </c>
      <c r="AI4">
        <f>IF(ISNUMBER(MATCH(D4,Controls!$A$64:$A$74,0)),1,0)</f>
        <v/>
      </c>
      <c r="AJ4">
        <f>Q4-N4</f>
        <v/>
      </c>
      <c r="AK4">
        <f>IF(AE4=1,MAX(0,N4-Q4),0)</f>
        <v/>
      </c>
      <c r="AL4">
        <f>IF(OR(V4="",V4=0),0,N4/V4)</f>
        <v/>
      </c>
      <c r="AM4">
        <f>IF(OR(V4="",V4=0),0,1)</f>
        <v/>
      </c>
      <c r="AN4">
        <f>IF(OR(E4="",F4=""),0,NETWORKDAYS(E4,F4,Ref!$K$2:$K$42))</f>
        <v/>
      </c>
      <c r="AO4">
        <f>IF(L4="Renewal",1,0)</f>
        <v/>
      </c>
      <c r="AP4">
        <f>AC4*AD4</f>
        <v/>
      </c>
      <c r="AQ4">
        <f>IF(AND(G4&lt;&gt;"",'Historical Score'!$C$6&lt;&gt;""),IF(G4='Historical Score'!$C$6,1,0),0)</f>
        <v/>
      </c>
      <c r="AR4">
        <f>IF(AND(L4&lt;&gt;"",'Historical Score'!$C$5&lt;&gt;""),IF(L4='Historical Score'!$C$5,1,0),0)</f>
        <v/>
      </c>
      <c r="AS4">
        <f>IF(AND(Y4&lt;&gt;"",'Historical Score'!$C$7&lt;&gt;""),IF(Y4='Historical Score'!$C$7,1,0),0)</f>
        <v/>
      </c>
      <c r="AT4">
        <f>IF(AND(K4&lt;&gt;"",'Historical Score'!$C$8&lt;&gt;""),IF(K4='Historical Score'!$C$8,1,0),0)</f>
        <v/>
      </c>
      <c r="AU4">
        <f>IF(AND(J4&lt;&gt;"",'Historical Score'!$C$9&lt;&gt;""),IF(J4='Historical Score'!$C$9,1,0),0)</f>
        <v/>
      </c>
      <c r="AV4">
        <f>AR4*AS4*AQ4</f>
        <v/>
      </c>
      <c r="AW4">
        <f>AR4*AT4*AQ4</f>
        <v/>
      </c>
      <c r="AX4">
        <f>AR4*AS4</f>
        <v/>
      </c>
      <c r="AY4">
        <f>AR4*AT4</f>
        <v/>
      </c>
      <c r="AZ4">
        <f>AR4*AQ4</f>
        <v/>
      </c>
      <c r="BA4">
        <f>AR4</f>
        <v/>
      </c>
      <c r="BB4">
        <f>1</f>
        <v/>
      </c>
      <c r="BC4">
        <f>IF(AV4=1,1,IF(AW4=1,2,IF(AX4=1,3,IF(AY4=1,4,IF(AZ4=1,5,IF(BA4=1,6,7))))))</f>
        <v/>
      </c>
      <c r="BD4">
        <f>IF(AD4=1,CHOOSE('Historical Score'!$C$29,AV4,AW4,AX4,AY4,AZ4,BA4,BB4),0)</f>
        <v/>
      </c>
      <c r="BE4">
        <f>IF(BD4=1,COUNTIF($BD$2:BD4,1),"")</f>
        <v/>
      </c>
    </row>
    <row r="5">
      <c r="A5" t="inlineStr">
        <is>
          <t>5674144406</t>
        </is>
      </c>
      <c r="B5" t="inlineStr">
        <is>
          <t>Lupotec</t>
        </is>
      </c>
      <c r="C5" t="inlineStr">
        <is>
          <t>LUPOTEC INC</t>
        </is>
      </c>
      <c r="D5" t="inlineStr">
        <is>
          <t>Legal</t>
        </is>
      </c>
      <c r="E5" s="297" t="n">
        <v>45632</v>
      </c>
      <c r="F5" s="297" t="n">
        <v>45666</v>
      </c>
      <c r="G5" t="n">
        <v>2</v>
      </c>
      <c r="H5" t="inlineStr">
        <is>
          <t>2821</t>
        </is>
      </c>
      <c r="I5" t="inlineStr">
        <is>
          <t>28</t>
        </is>
      </c>
      <c r="J5" t="inlineStr">
        <is>
          <t>CA</t>
        </is>
      </c>
      <c r="K5" t="inlineStr">
        <is>
          <t>Fidelity Funding</t>
        </is>
      </c>
      <c r="L5" t="inlineStr">
        <is>
          <t>New Deal</t>
        </is>
      </c>
      <c r="M5" s="298" t="n">
        <v>1.49</v>
      </c>
      <c r="N5" s="299" t="n">
        <v>20000</v>
      </c>
      <c r="O5" s="299" t="n">
        <v>0</v>
      </c>
      <c r="P5" s="299" t="n">
        <v>29800</v>
      </c>
      <c r="Q5" s="299" t="n">
        <v>3140</v>
      </c>
      <c r="R5" s="299" t="n">
        <v>26660</v>
      </c>
      <c r="S5" s="300" t="n">
        <v>0.105369127516779</v>
      </c>
      <c r="T5" t="n">
        <v>3.279</v>
      </c>
      <c r="U5" t="n">
        <v>6</v>
      </c>
      <c r="W5" s="300" t="n">
        <v>0.09</v>
      </c>
      <c r="X5" s="297" t="n">
        <v>44539</v>
      </c>
      <c r="Y5">
        <f>IF(I5="","No SIC",IFERROR(VLOOKUP(I5,Ref!$A$2:$B$65,2,FALSE),"Unclassified"))</f>
        <v/>
      </c>
      <c r="Z5">
        <f>IF(T5="","",IF(T5&lt;12,"Daily","Weekly"))</f>
        <v/>
      </c>
      <c r="AA5">
        <f>IF(T5="",0,IF(T5&lt;12,T5*Controls!$B$29,T5*5))</f>
        <v/>
      </c>
      <c r="AB5">
        <f>IF(E5="",0,NETWORKDAYS(E5,Controls!$B$36,Ref!$K$2:$K$42))</f>
        <v/>
      </c>
      <c r="AC5">
        <f>IF(AND(AA5&gt;0,AB5&gt;=Controls!$B$39*AA5),1,0)</f>
        <v/>
      </c>
      <c r="AD5">
        <f>IF(AND(E5&lt;&gt;"",E5&gt;=Controls!$B$37,E5&lt;=Controls!$B$38),1,0)</f>
        <v/>
      </c>
      <c r="AE5">
        <f>IF(IFERROR(VLOOKUP(D5,Controls!$A$64:$E$74,2,FALSE),"No")="Yes",1,0)</f>
        <v/>
      </c>
      <c r="AF5">
        <f>IF(IFERROR(VLOOKUP(D5,Controls!$A$64:$E$74,3,FALSE),"No")="Yes",1,0)</f>
        <v/>
      </c>
      <c r="AG5">
        <f>IF(IFERROR(VLOOKUP(D5,Controls!$A$64:$E$74,4,FALSE),"No")="Yes",1,0)</f>
        <v/>
      </c>
      <c r="AH5">
        <f>IF(IFERROR(VLOOKUP(D5,Controls!$A$64:$E$74,5,FALSE),"No")="Yes",1,0)</f>
        <v/>
      </c>
      <c r="AI5">
        <f>IF(ISNUMBER(MATCH(D5,Controls!$A$64:$A$74,0)),1,0)</f>
        <v/>
      </c>
      <c r="AJ5">
        <f>Q5-N5</f>
        <v/>
      </c>
      <c r="AK5">
        <f>IF(AE5=1,MAX(0,N5-Q5),0)</f>
        <v/>
      </c>
      <c r="AL5">
        <f>IF(OR(V5="",V5=0),0,N5/V5)</f>
        <v/>
      </c>
      <c r="AM5">
        <f>IF(OR(V5="",V5=0),0,1)</f>
        <v/>
      </c>
      <c r="AN5">
        <f>IF(OR(E5="",F5=""),0,NETWORKDAYS(E5,F5,Ref!$K$2:$K$42))</f>
        <v/>
      </c>
      <c r="AO5">
        <f>IF(L5="Renewal",1,0)</f>
        <v/>
      </c>
      <c r="AP5">
        <f>AC5*AD5</f>
        <v/>
      </c>
      <c r="AQ5">
        <f>IF(AND(G5&lt;&gt;"",'Historical Score'!$C$6&lt;&gt;""),IF(G5='Historical Score'!$C$6,1,0),0)</f>
        <v/>
      </c>
      <c r="AR5">
        <f>IF(AND(L5&lt;&gt;"",'Historical Score'!$C$5&lt;&gt;""),IF(L5='Historical Score'!$C$5,1,0),0)</f>
        <v/>
      </c>
      <c r="AS5">
        <f>IF(AND(Y5&lt;&gt;"",'Historical Score'!$C$7&lt;&gt;""),IF(Y5='Historical Score'!$C$7,1,0),0)</f>
        <v/>
      </c>
      <c r="AT5">
        <f>IF(AND(K5&lt;&gt;"",'Historical Score'!$C$8&lt;&gt;""),IF(K5='Historical Score'!$C$8,1,0),0)</f>
        <v/>
      </c>
      <c r="AU5">
        <f>IF(AND(J5&lt;&gt;"",'Historical Score'!$C$9&lt;&gt;""),IF(J5='Historical Score'!$C$9,1,0),0)</f>
        <v/>
      </c>
      <c r="AV5">
        <f>AR5*AS5*AQ5</f>
        <v/>
      </c>
      <c r="AW5">
        <f>AR5*AT5*AQ5</f>
        <v/>
      </c>
      <c r="AX5">
        <f>AR5*AS5</f>
        <v/>
      </c>
      <c r="AY5">
        <f>AR5*AT5</f>
        <v/>
      </c>
      <c r="AZ5">
        <f>AR5*AQ5</f>
        <v/>
      </c>
      <c r="BA5">
        <f>AR5</f>
        <v/>
      </c>
      <c r="BB5">
        <f>1</f>
        <v/>
      </c>
      <c r="BC5">
        <f>IF(AV5=1,1,IF(AW5=1,2,IF(AX5=1,3,IF(AY5=1,4,IF(AZ5=1,5,IF(BA5=1,6,7))))))</f>
        <v/>
      </c>
      <c r="BD5">
        <f>IF(AD5=1,CHOOSE('Historical Score'!$C$29,AV5,AW5,AX5,AY5,AZ5,BA5,BB5),0)</f>
        <v/>
      </c>
      <c r="BE5">
        <f>IF(BD5=1,COUNTIF($BD$2:BD5,1),"")</f>
        <v/>
      </c>
    </row>
    <row r="6">
      <c r="A6" t="inlineStr">
        <is>
          <t>5674144409</t>
        </is>
      </c>
      <c r="B6" t="inlineStr">
        <is>
          <t>AWK ENGINEERING &amp; TRADING LLC</t>
        </is>
      </c>
      <c r="C6" t="inlineStr">
        <is>
          <t>AWK ENGINEERING &amp; TRADING LLC</t>
        </is>
      </c>
      <c r="D6" t="inlineStr">
        <is>
          <t>Legal</t>
        </is>
      </c>
      <c r="E6" s="297" t="n">
        <v>45632</v>
      </c>
      <c r="F6" s="297" t="n">
        <v>45707</v>
      </c>
      <c r="G6" t="n">
        <v>3</v>
      </c>
      <c r="H6" t="inlineStr">
        <is>
          <t>8711</t>
        </is>
      </c>
      <c r="I6" t="inlineStr">
        <is>
          <t>87</t>
        </is>
      </c>
      <c r="J6" t="inlineStr">
        <is>
          <t>CA</t>
        </is>
      </c>
      <c r="K6" t="inlineStr">
        <is>
          <t>J Capital Solutions</t>
        </is>
      </c>
      <c r="L6" t="inlineStr">
        <is>
          <t>New Deal</t>
        </is>
      </c>
      <c r="M6" s="298" t="n">
        <v>1.49</v>
      </c>
      <c r="N6" s="299" t="n">
        <v>6000</v>
      </c>
      <c r="O6" s="299" t="n">
        <v>840</v>
      </c>
      <c r="P6" s="299" t="n">
        <v>8940</v>
      </c>
      <c r="Q6" s="299" t="n">
        <v>2136.24</v>
      </c>
      <c r="R6" s="299" t="n">
        <v>6803.76</v>
      </c>
      <c r="S6" s="300" t="n">
        <v>0.238953020134228</v>
      </c>
      <c r="T6" t="n">
        <v>3.705</v>
      </c>
      <c r="U6" t="n">
        <v>12</v>
      </c>
      <c r="W6" s="300" t="n">
        <v>0.04</v>
      </c>
      <c r="X6" s="297" t="n">
        <v>44471</v>
      </c>
      <c r="Y6">
        <f>IF(I6="","No SIC",IFERROR(VLOOKUP(I6,Ref!$A$2:$B$65,2,FALSE),"Unclassified"))</f>
        <v/>
      </c>
      <c r="Z6">
        <f>IF(T6="","",IF(T6&lt;12,"Daily","Weekly"))</f>
        <v/>
      </c>
      <c r="AA6">
        <f>IF(T6="",0,IF(T6&lt;12,T6*Controls!$B$29,T6*5))</f>
        <v/>
      </c>
      <c r="AB6">
        <f>IF(E6="",0,NETWORKDAYS(E6,Controls!$B$36,Ref!$K$2:$K$42))</f>
        <v/>
      </c>
      <c r="AC6">
        <f>IF(AND(AA6&gt;0,AB6&gt;=Controls!$B$39*AA6),1,0)</f>
        <v/>
      </c>
      <c r="AD6">
        <f>IF(AND(E6&lt;&gt;"",E6&gt;=Controls!$B$37,E6&lt;=Controls!$B$38),1,0)</f>
        <v/>
      </c>
      <c r="AE6">
        <f>IF(IFERROR(VLOOKUP(D6,Controls!$A$64:$E$74,2,FALSE),"No")="Yes",1,0)</f>
        <v/>
      </c>
      <c r="AF6">
        <f>IF(IFERROR(VLOOKUP(D6,Controls!$A$64:$E$74,3,FALSE),"No")="Yes",1,0)</f>
        <v/>
      </c>
      <c r="AG6">
        <f>IF(IFERROR(VLOOKUP(D6,Controls!$A$64:$E$74,4,FALSE),"No")="Yes",1,0)</f>
        <v/>
      </c>
      <c r="AH6">
        <f>IF(IFERROR(VLOOKUP(D6,Controls!$A$64:$E$74,5,FALSE),"No")="Yes",1,0)</f>
        <v/>
      </c>
      <c r="AI6">
        <f>IF(ISNUMBER(MATCH(D6,Controls!$A$64:$A$74,0)),1,0)</f>
        <v/>
      </c>
      <c r="AJ6">
        <f>Q6-N6</f>
        <v/>
      </c>
      <c r="AK6">
        <f>IF(AE6=1,MAX(0,N6-Q6),0)</f>
        <v/>
      </c>
      <c r="AL6">
        <f>IF(OR(V6="",V6=0),0,N6/V6)</f>
        <v/>
      </c>
      <c r="AM6">
        <f>IF(OR(V6="",V6=0),0,1)</f>
        <v/>
      </c>
      <c r="AN6">
        <f>IF(OR(E6="",F6=""),0,NETWORKDAYS(E6,F6,Ref!$K$2:$K$42))</f>
        <v/>
      </c>
      <c r="AO6">
        <f>IF(L6="Renewal",1,0)</f>
        <v/>
      </c>
      <c r="AP6">
        <f>AC6*AD6</f>
        <v/>
      </c>
      <c r="AQ6">
        <f>IF(AND(G6&lt;&gt;"",'Historical Score'!$C$6&lt;&gt;""),IF(G6='Historical Score'!$C$6,1,0),0)</f>
        <v/>
      </c>
      <c r="AR6">
        <f>IF(AND(L6&lt;&gt;"",'Historical Score'!$C$5&lt;&gt;""),IF(L6='Historical Score'!$C$5,1,0),0)</f>
        <v/>
      </c>
      <c r="AS6">
        <f>IF(AND(Y6&lt;&gt;"",'Historical Score'!$C$7&lt;&gt;""),IF(Y6='Historical Score'!$C$7,1,0),0)</f>
        <v/>
      </c>
      <c r="AT6">
        <f>IF(AND(K6&lt;&gt;"",'Historical Score'!$C$8&lt;&gt;""),IF(K6='Historical Score'!$C$8,1,0),0)</f>
        <v/>
      </c>
      <c r="AU6">
        <f>IF(AND(J6&lt;&gt;"",'Historical Score'!$C$9&lt;&gt;""),IF(J6='Historical Score'!$C$9,1,0),0)</f>
        <v/>
      </c>
      <c r="AV6">
        <f>AR6*AS6*AQ6</f>
        <v/>
      </c>
      <c r="AW6">
        <f>AR6*AT6*AQ6</f>
        <v/>
      </c>
      <c r="AX6">
        <f>AR6*AS6</f>
        <v/>
      </c>
      <c r="AY6">
        <f>AR6*AT6</f>
        <v/>
      </c>
      <c r="AZ6">
        <f>AR6*AQ6</f>
        <v/>
      </c>
      <c r="BA6">
        <f>AR6</f>
        <v/>
      </c>
      <c r="BB6">
        <f>1</f>
        <v/>
      </c>
      <c r="BC6">
        <f>IF(AV6=1,1,IF(AW6=1,2,IF(AX6=1,3,IF(AY6=1,4,IF(AZ6=1,5,IF(BA6=1,6,7))))))</f>
        <v/>
      </c>
      <c r="BD6">
        <f>IF(AD6=1,CHOOSE('Historical Score'!$C$29,AV6,AW6,AX6,AY6,AZ6,BA6,BB6),0)</f>
        <v/>
      </c>
      <c r="BE6">
        <f>IF(BD6=1,COUNTIF($BD$2:BD6,1),"")</f>
        <v/>
      </c>
    </row>
    <row r="7">
      <c r="A7" t="inlineStr">
        <is>
          <t>5674145076</t>
        </is>
      </c>
      <c r="B7" t="inlineStr">
        <is>
          <t>GLOBAL RESEARCH CONSULTANTS, LLC</t>
        </is>
      </c>
      <c r="C7" t="inlineStr">
        <is>
          <t>GLOBAL RESEARCH CONSULTANTS, LLC</t>
        </is>
      </c>
      <c r="D7" t="inlineStr">
        <is>
          <t>Closed</t>
        </is>
      </c>
      <c r="E7" s="297" t="n">
        <v>45638</v>
      </c>
      <c r="F7" s="297" t="n">
        <v>45755</v>
      </c>
      <c r="G7" t="n">
        <v>2</v>
      </c>
      <c r="H7" t="inlineStr">
        <is>
          <t>8748</t>
        </is>
      </c>
      <c r="I7" t="inlineStr">
        <is>
          <t>87</t>
        </is>
      </c>
      <c r="J7" t="inlineStr">
        <is>
          <t>GA</t>
        </is>
      </c>
      <c r="K7" t="inlineStr">
        <is>
          <t>Secure Capital Solutions 7</t>
        </is>
      </c>
      <c r="L7" t="inlineStr">
        <is>
          <t>New Deal</t>
        </is>
      </c>
      <c r="M7" s="298" t="n">
        <v>1.49</v>
      </c>
      <c r="N7" s="299" t="n">
        <v>5000</v>
      </c>
      <c r="O7" s="299" t="n">
        <v>700</v>
      </c>
      <c r="P7" s="299" t="n">
        <v>7450</v>
      </c>
      <c r="Q7" s="299" t="n">
        <v>7450</v>
      </c>
      <c r="R7" s="299" t="n">
        <v>0</v>
      </c>
      <c r="S7" s="300" t="n">
        <v>1</v>
      </c>
      <c r="T7" t="n">
        <v>2.538</v>
      </c>
      <c r="U7" t="n">
        <v>0</v>
      </c>
      <c r="W7" s="300" t="n">
        <v>0.09</v>
      </c>
      <c r="X7" s="297" t="n"/>
      <c r="Y7">
        <f>IF(I7="","No SIC",IFERROR(VLOOKUP(I7,Ref!$A$2:$B$65,2,FALSE),"Unclassified"))</f>
        <v/>
      </c>
      <c r="Z7">
        <f>IF(T7="","",IF(T7&lt;12,"Daily","Weekly"))</f>
        <v/>
      </c>
      <c r="AA7">
        <f>IF(T7="",0,IF(T7&lt;12,T7*Controls!$B$29,T7*5))</f>
        <v/>
      </c>
      <c r="AB7">
        <f>IF(E7="",0,NETWORKDAYS(E7,Controls!$B$36,Ref!$K$2:$K$42))</f>
        <v/>
      </c>
      <c r="AC7">
        <f>IF(AND(AA7&gt;0,AB7&gt;=Controls!$B$39*AA7),1,0)</f>
        <v/>
      </c>
      <c r="AD7">
        <f>IF(AND(E7&lt;&gt;"",E7&gt;=Controls!$B$37,E7&lt;=Controls!$B$38),1,0)</f>
        <v/>
      </c>
      <c r="AE7">
        <f>IF(IFERROR(VLOOKUP(D7,Controls!$A$64:$E$74,2,FALSE),"No")="Yes",1,0)</f>
        <v/>
      </c>
      <c r="AF7">
        <f>IF(IFERROR(VLOOKUP(D7,Controls!$A$64:$E$74,3,FALSE),"No")="Yes",1,0)</f>
        <v/>
      </c>
      <c r="AG7">
        <f>IF(IFERROR(VLOOKUP(D7,Controls!$A$64:$E$74,4,FALSE),"No")="Yes",1,0)</f>
        <v/>
      </c>
      <c r="AH7">
        <f>IF(IFERROR(VLOOKUP(D7,Controls!$A$64:$E$74,5,FALSE),"No")="Yes",1,0)</f>
        <v/>
      </c>
      <c r="AI7">
        <f>IF(ISNUMBER(MATCH(D7,Controls!$A$64:$A$74,0)),1,0)</f>
        <v/>
      </c>
      <c r="AJ7">
        <f>Q7-N7</f>
        <v/>
      </c>
      <c r="AK7">
        <f>IF(AE7=1,MAX(0,N7-Q7),0)</f>
        <v/>
      </c>
      <c r="AL7">
        <f>IF(OR(V7="",V7=0),0,N7/V7)</f>
        <v/>
      </c>
      <c r="AM7">
        <f>IF(OR(V7="",V7=0),0,1)</f>
        <v/>
      </c>
      <c r="AN7">
        <f>IF(OR(E7="",F7=""),0,NETWORKDAYS(E7,F7,Ref!$K$2:$K$42))</f>
        <v/>
      </c>
      <c r="AO7">
        <f>IF(L7="Renewal",1,0)</f>
        <v/>
      </c>
      <c r="AP7">
        <f>AC7*AD7</f>
        <v/>
      </c>
      <c r="AQ7">
        <f>IF(AND(G7&lt;&gt;"",'Historical Score'!$C$6&lt;&gt;""),IF(G7='Historical Score'!$C$6,1,0),0)</f>
        <v/>
      </c>
      <c r="AR7">
        <f>IF(AND(L7&lt;&gt;"",'Historical Score'!$C$5&lt;&gt;""),IF(L7='Historical Score'!$C$5,1,0),0)</f>
        <v/>
      </c>
      <c r="AS7">
        <f>IF(AND(Y7&lt;&gt;"",'Historical Score'!$C$7&lt;&gt;""),IF(Y7='Historical Score'!$C$7,1,0),0)</f>
        <v/>
      </c>
      <c r="AT7">
        <f>IF(AND(K7&lt;&gt;"",'Historical Score'!$C$8&lt;&gt;""),IF(K7='Historical Score'!$C$8,1,0),0)</f>
        <v/>
      </c>
      <c r="AU7">
        <f>IF(AND(J7&lt;&gt;"",'Historical Score'!$C$9&lt;&gt;""),IF(J7='Historical Score'!$C$9,1,0),0)</f>
        <v/>
      </c>
      <c r="AV7">
        <f>AR7*AS7*AQ7</f>
        <v/>
      </c>
      <c r="AW7">
        <f>AR7*AT7*AQ7</f>
        <v/>
      </c>
      <c r="AX7">
        <f>AR7*AS7</f>
        <v/>
      </c>
      <c r="AY7">
        <f>AR7*AT7</f>
        <v/>
      </c>
      <c r="AZ7">
        <f>AR7*AQ7</f>
        <v/>
      </c>
      <c r="BA7">
        <f>AR7</f>
        <v/>
      </c>
      <c r="BB7">
        <f>1</f>
        <v/>
      </c>
      <c r="BC7">
        <f>IF(AV7=1,1,IF(AW7=1,2,IF(AX7=1,3,IF(AY7=1,4,IF(AZ7=1,5,IF(BA7=1,6,7))))))</f>
        <v/>
      </c>
      <c r="BD7">
        <f>IF(AD7=1,CHOOSE('Historical Score'!$C$29,AV7,AW7,AX7,AY7,AZ7,BA7,BB7),0)</f>
        <v/>
      </c>
      <c r="BE7">
        <f>IF(BD7=1,COUNTIF($BD$2:BD7,1),"")</f>
        <v/>
      </c>
    </row>
    <row r="8">
      <c r="A8" t="inlineStr">
        <is>
          <t>5674146645</t>
        </is>
      </c>
      <c r="B8" t="inlineStr">
        <is>
          <t>ELIZABETH CONVENIENT STORE &amp; HAIR BRAIDING</t>
        </is>
      </c>
      <c r="C8" t="inlineStr">
        <is>
          <t>ELIZABETH CONVENIENT STORE &amp; HAIR BRAIDING LLC</t>
        </is>
      </c>
      <c r="D8" t="inlineStr">
        <is>
          <t>Closed</t>
        </is>
      </c>
      <c r="E8" s="297" t="n">
        <v>45660</v>
      </c>
      <c r="F8" s="297" t="n">
        <v>45702</v>
      </c>
      <c r="G8" t="n">
        <v>5</v>
      </c>
      <c r="H8" t="inlineStr">
        <is>
          <t>5411</t>
        </is>
      </c>
      <c r="I8" t="inlineStr">
        <is>
          <t>54</t>
        </is>
      </c>
      <c r="J8" t="inlineStr">
        <is>
          <t>AZ</t>
        </is>
      </c>
      <c r="K8" t="inlineStr">
        <is>
          <t>ELITE FUNDING PARTNERS LLC 6</t>
        </is>
      </c>
      <c r="L8" t="inlineStr">
        <is>
          <t>Renewal</t>
        </is>
      </c>
      <c r="M8" s="298" t="n">
        <v>1.4575</v>
      </c>
      <c r="N8" s="299" t="n">
        <v>4000</v>
      </c>
      <c r="O8" s="299" t="n">
        <v>560</v>
      </c>
      <c r="P8" s="299" t="n">
        <v>5830</v>
      </c>
      <c r="Q8" s="299" t="n">
        <v>5830</v>
      </c>
      <c r="R8" s="299" t="n">
        <v>0</v>
      </c>
      <c r="S8" s="300" t="n">
        <v>1</v>
      </c>
      <c r="T8" t="n">
        <v>1.967</v>
      </c>
      <c r="U8" t="n">
        <v>2</v>
      </c>
      <c r="W8" s="300" t="n">
        <v>0.04</v>
      </c>
      <c r="X8" s="297" t="n">
        <v>41745</v>
      </c>
      <c r="Y8">
        <f>IF(I8="","No SIC",IFERROR(VLOOKUP(I8,Ref!$A$2:$B$65,2,FALSE),"Unclassified"))</f>
        <v/>
      </c>
      <c r="Z8">
        <f>IF(T8="","",IF(T8&lt;12,"Daily","Weekly"))</f>
        <v/>
      </c>
      <c r="AA8">
        <f>IF(T8="",0,IF(T8&lt;12,T8*Controls!$B$29,T8*5))</f>
        <v/>
      </c>
      <c r="AB8">
        <f>IF(E8="",0,NETWORKDAYS(E8,Controls!$B$36,Ref!$K$2:$K$42))</f>
        <v/>
      </c>
      <c r="AC8">
        <f>IF(AND(AA8&gt;0,AB8&gt;=Controls!$B$39*AA8),1,0)</f>
        <v/>
      </c>
      <c r="AD8">
        <f>IF(AND(E8&lt;&gt;"",E8&gt;=Controls!$B$37,E8&lt;=Controls!$B$38),1,0)</f>
        <v/>
      </c>
      <c r="AE8">
        <f>IF(IFERROR(VLOOKUP(D8,Controls!$A$64:$E$74,2,FALSE),"No")="Yes",1,0)</f>
        <v/>
      </c>
      <c r="AF8">
        <f>IF(IFERROR(VLOOKUP(D8,Controls!$A$64:$E$74,3,FALSE),"No")="Yes",1,0)</f>
        <v/>
      </c>
      <c r="AG8">
        <f>IF(IFERROR(VLOOKUP(D8,Controls!$A$64:$E$74,4,FALSE),"No")="Yes",1,0)</f>
        <v/>
      </c>
      <c r="AH8">
        <f>IF(IFERROR(VLOOKUP(D8,Controls!$A$64:$E$74,5,FALSE),"No")="Yes",1,0)</f>
        <v/>
      </c>
      <c r="AI8">
        <f>IF(ISNUMBER(MATCH(D8,Controls!$A$64:$A$74,0)),1,0)</f>
        <v/>
      </c>
      <c r="AJ8">
        <f>Q8-N8</f>
        <v/>
      </c>
      <c r="AK8">
        <f>IF(AE8=1,MAX(0,N8-Q8),0)</f>
        <v/>
      </c>
      <c r="AL8">
        <f>IF(OR(V8="",V8=0),0,N8/V8)</f>
        <v/>
      </c>
      <c r="AM8">
        <f>IF(OR(V8="",V8=0),0,1)</f>
        <v/>
      </c>
      <c r="AN8">
        <f>IF(OR(E8="",F8=""),0,NETWORKDAYS(E8,F8,Ref!$K$2:$K$42))</f>
        <v/>
      </c>
      <c r="AO8">
        <f>IF(L8="Renewal",1,0)</f>
        <v/>
      </c>
      <c r="AP8">
        <f>AC8*AD8</f>
        <v/>
      </c>
      <c r="AQ8">
        <f>IF(AND(G8&lt;&gt;"",'Historical Score'!$C$6&lt;&gt;""),IF(G8='Historical Score'!$C$6,1,0),0)</f>
        <v/>
      </c>
      <c r="AR8">
        <f>IF(AND(L8&lt;&gt;"",'Historical Score'!$C$5&lt;&gt;""),IF(L8='Historical Score'!$C$5,1,0),0)</f>
        <v/>
      </c>
      <c r="AS8">
        <f>IF(AND(Y8&lt;&gt;"",'Historical Score'!$C$7&lt;&gt;""),IF(Y8='Historical Score'!$C$7,1,0),0)</f>
        <v/>
      </c>
      <c r="AT8">
        <f>IF(AND(K8&lt;&gt;"",'Historical Score'!$C$8&lt;&gt;""),IF(K8='Historical Score'!$C$8,1,0),0)</f>
        <v/>
      </c>
      <c r="AU8">
        <f>IF(AND(J8&lt;&gt;"",'Historical Score'!$C$9&lt;&gt;""),IF(J8='Historical Score'!$C$9,1,0),0)</f>
        <v/>
      </c>
      <c r="AV8">
        <f>AR8*AS8*AQ8</f>
        <v/>
      </c>
      <c r="AW8">
        <f>AR8*AT8*AQ8</f>
        <v/>
      </c>
      <c r="AX8">
        <f>AR8*AS8</f>
        <v/>
      </c>
      <c r="AY8">
        <f>AR8*AT8</f>
        <v/>
      </c>
      <c r="AZ8">
        <f>AR8*AQ8</f>
        <v/>
      </c>
      <c r="BA8">
        <f>AR8</f>
        <v/>
      </c>
      <c r="BB8">
        <f>1</f>
        <v/>
      </c>
      <c r="BC8">
        <f>IF(AV8=1,1,IF(AW8=1,2,IF(AX8=1,3,IF(AY8=1,4,IF(AZ8=1,5,IF(BA8=1,6,7))))))</f>
        <v/>
      </c>
      <c r="BD8">
        <f>IF(AD8=1,CHOOSE('Historical Score'!$C$29,AV8,AW8,AX8,AY8,AZ8,BA8,BB8),0)</f>
        <v/>
      </c>
      <c r="BE8">
        <f>IF(BD8=1,COUNTIF($BD$2:BD8,1),"")</f>
        <v/>
      </c>
    </row>
    <row r="9">
      <c r="A9" t="inlineStr">
        <is>
          <t>5674147185</t>
        </is>
      </c>
      <c r="B9" t="inlineStr">
        <is>
          <t>Arete Gallery Inc</t>
        </is>
      </c>
      <c r="C9" t="inlineStr">
        <is>
          <t>Arete Gallery Inc</t>
        </is>
      </c>
      <c r="D9" t="inlineStr">
        <is>
          <t>Closed</t>
        </is>
      </c>
      <c r="E9" s="297" t="n">
        <v>45665</v>
      </c>
      <c r="F9" s="297" t="n">
        <v>45772</v>
      </c>
      <c r="G9" t="n">
        <v>4</v>
      </c>
      <c r="H9" t="inlineStr">
        <is>
          <t>8412</t>
        </is>
      </c>
      <c r="I9" t="inlineStr">
        <is>
          <t>84</t>
        </is>
      </c>
      <c r="J9" t="inlineStr">
        <is>
          <t>PA</t>
        </is>
      </c>
      <c r="K9" t="inlineStr">
        <is>
          <t>Pathway Catalyst</t>
        </is>
      </c>
      <c r="L9" t="inlineStr">
        <is>
          <t>New Deal</t>
        </is>
      </c>
      <c r="M9" s="298" t="n">
        <v>1.49</v>
      </c>
      <c r="N9" s="299" t="n">
        <v>3500</v>
      </c>
      <c r="O9" s="299" t="n">
        <v>490</v>
      </c>
      <c r="P9" s="299" t="n">
        <v>5215</v>
      </c>
      <c r="Q9" s="299" t="n">
        <v>5215</v>
      </c>
      <c r="R9" s="299" t="n">
        <v>0</v>
      </c>
      <c r="S9" s="300" t="n">
        <v>1</v>
      </c>
      <c r="T9" t="n">
        <v>1.937</v>
      </c>
      <c r="U9" t="n">
        <v>0</v>
      </c>
      <c r="W9" s="300" t="n">
        <v>0.15</v>
      </c>
      <c r="X9" s="297" t="n">
        <v>44105</v>
      </c>
      <c r="Y9">
        <f>IF(I9="","No SIC",IFERROR(VLOOKUP(I9,Ref!$A$2:$B$65,2,FALSE),"Unclassified"))</f>
        <v/>
      </c>
      <c r="Z9">
        <f>IF(T9="","",IF(T9&lt;12,"Daily","Weekly"))</f>
        <v/>
      </c>
      <c r="AA9">
        <f>IF(T9="",0,IF(T9&lt;12,T9*Controls!$B$29,T9*5))</f>
        <v/>
      </c>
      <c r="AB9">
        <f>IF(E9="",0,NETWORKDAYS(E9,Controls!$B$36,Ref!$K$2:$K$42))</f>
        <v/>
      </c>
      <c r="AC9">
        <f>IF(AND(AA9&gt;0,AB9&gt;=Controls!$B$39*AA9),1,0)</f>
        <v/>
      </c>
      <c r="AD9">
        <f>IF(AND(E9&lt;&gt;"",E9&gt;=Controls!$B$37,E9&lt;=Controls!$B$38),1,0)</f>
        <v/>
      </c>
      <c r="AE9">
        <f>IF(IFERROR(VLOOKUP(D9,Controls!$A$64:$E$74,2,FALSE),"No")="Yes",1,0)</f>
        <v/>
      </c>
      <c r="AF9">
        <f>IF(IFERROR(VLOOKUP(D9,Controls!$A$64:$E$74,3,FALSE),"No")="Yes",1,0)</f>
        <v/>
      </c>
      <c r="AG9">
        <f>IF(IFERROR(VLOOKUP(D9,Controls!$A$64:$E$74,4,FALSE),"No")="Yes",1,0)</f>
        <v/>
      </c>
      <c r="AH9">
        <f>IF(IFERROR(VLOOKUP(D9,Controls!$A$64:$E$74,5,FALSE),"No")="Yes",1,0)</f>
        <v/>
      </c>
      <c r="AI9">
        <f>IF(ISNUMBER(MATCH(D9,Controls!$A$64:$A$74,0)),1,0)</f>
        <v/>
      </c>
      <c r="AJ9">
        <f>Q9-N9</f>
        <v/>
      </c>
      <c r="AK9">
        <f>IF(AE9=1,MAX(0,N9-Q9),0)</f>
        <v/>
      </c>
      <c r="AL9">
        <f>IF(OR(V9="",V9=0),0,N9/V9)</f>
        <v/>
      </c>
      <c r="AM9">
        <f>IF(OR(V9="",V9=0),0,1)</f>
        <v/>
      </c>
      <c r="AN9">
        <f>IF(OR(E9="",F9=""),0,NETWORKDAYS(E9,F9,Ref!$K$2:$K$42))</f>
        <v/>
      </c>
      <c r="AO9">
        <f>IF(L9="Renewal",1,0)</f>
        <v/>
      </c>
      <c r="AP9">
        <f>AC9*AD9</f>
        <v/>
      </c>
      <c r="AQ9">
        <f>IF(AND(G9&lt;&gt;"",'Historical Score'!$C$6&lt;&gt;""),IF(G9='Historical Score'!$C$6,1,0),0)</f>
        <v/>
      </c>
      <c r="AR9">
        <f>IF(AND(L9&lt;&gt;"",'Historical Score'!$C$5&lt;&gt;""),IF(L9='Historical Score'!$C$5,1,0),0)</f>
        <v/>
      </c>
      <c r="AS9">
        <f>IF(AND(Y9&lt;&gt;"",'Historical Score'!$C$7&lt;&gt;""),IF(Y9='Historical Score'!$C$7,1,0),0)</f>
        <v/>
      </c>
      <c r="AT9">
        <f>IF(AND(K9&lt;&gt;"",'Historical Score'!$C$8&lt;&gt;""),IF(K9='Historical Score'!$C$8,1,0),0)</f>
        <v/>
      </c>
      <c r="AU9">
        <f>IF(AND(J9&lt;&gt;"",'Historical Score'!$C$9&lt;&gt;""),IF(J9='Historical Score'!$C$9,1,0),0)</f>
        <v/>
      </c>
      <c r="AV9">
        <f>AR9*AS9*AQ9</f>
        <v/>
      </c>
      <c r="AW9">
        <f>AR9*AT9*AQ9</f>
        <v/>
      </c>
      <c r="AX9">
        <f>AR9*AS9</f>
        <v/>
      </c>
      <c r="AY9">
        <f>AR9*AT9</f>
        <v/>
      </c>
      <c r="AZ9">
        <f>AR9*AQ9</f>
        <v/>
      </c>
      <c r="BA9">
        <f>AR9</f>
        <v/>
      </c>
      <c r="BB9">
        <f>1</f>
        <v/>
      </c>
      <c r="BC9">
        <f>IF(AV9=1,1,IF(AW9=1,2,IF(AX9=1,3,IF(AY9=1,4,IF(AZ9=1,5,IF(BA9=1,6,7))))))</f>
        <v/>
      </c>
      <c r="BD9">
        <f>IF(AD9=1,CHOOSE('Historical Score'!$C$29,AV9,AW9,AX9,AY9,AZ9,BA9,BB9),0)</f>
        <v/>
      </c>
      <c r="BE9">
        <f>IF(BD9=1,COUNTIF($BD$2:BD9,1),"")</f>
        <v/>
      </c>
    </row>
    <row r="10">
      <c r="A10" t="inlineStr">
        <is>
          <t>5674147188</t>
        </is>
      </c>
      <c r="B10" t="inlineStr">
        <is>
          <t>S&amp;E ENTERPRISE</t>
        </is>
      </c>
      <c r="C10" t="inlineStr">
        <is>
          <t>S&amp;E ENTERPRISE LLC</t>
        </is>
      </c>
      <c r="D10" t="inlineStr">
        <is>
          <t>Closed</t>
        </is>
      </c>
      <c r="E10" s="297" t="n">
        <v>45666</v>
      </c>
      <c r="F10" s="297" t="n">
        <v>45722</v>
      </c>
      <c r="G10" t="n">
        <v>2</v>
      </c>
      <c r="H10" t="inlineStr">
        <is>
          <t>6531</t>
        </is>
      </c>
      <c r="I10" t="inlineStr">
        <is>
          <t>65</t>
        </is>
      </c>
      <c r="J10" t="inlineStr">
        <is>
          <t>RI</t>
        </is>
      </c>
      <c r="K10" t="inlineStr">
        <is>
          <t>Triumph Cap Fund</t>
        </is>
      </c>
      <c r="L10" t="inlineStr">
        <is>
          <t>New Deal</t>
        </is>
      </c>
      <c r="M10" s="298" t="n">
        <v>1.49</v>
      </c>
      <c r="N10" s="299" t="n">
        <v>5000</v>
      </c>
      <c r="O10" s="299" t="n">
        <v>700</v>
      </c>
      <c r="P10" s="299" t="n">
        <v>7450</v>
      </c>
      <c r="Q10" s="299" t="n">
        <v>7450</v>
      </c>
      <c r="R10" s="299" t="n">
        <v>0</v>
      </c>
      <c r="S10" s="300" t="n">
        <v>1</v>
      </c>
      <c r="T10" t="n">
        <v>2.443</v>
      </c>
      <c r="U10" t="n">
        <v>0</v>
      </c>
      <c r="W10" s="300" t="n">
        <v>0.06</v>
      </c>
      <c r="X10" s="297" t="n">
        <v>45005</v>
      </c>
      <c r="Y10">
        <f>IF(I10="","No SIC",IFERROR(VLOOKUP(I10,Ref!$A$2:$B$65,2,FALSE),"Unclassified"))</f>
        <v/>
      </c>
      <c r="Z10">
        <f>IF(T10="","",IF(T10&lt;12,"Daily","Weekly"))</f>
        <v/>
      </c>
      <c r="AA10">
        <f>IF(T10="",0,IF(T10&lt;12,T10*Controls!$B$29,T10*5))</f>
        <v/>
      </c>
      <c r="AB10">
        <f>IF(E10="",0,NETWORKDAYS(E10,Controls!$B$36,Ref!$K$2:$K$42))</f>
        <v/>
      </c>
      <c r="AC10">
        <f>IF(AND(AA10&gt;0,AB10&gt;=Controls!$B$39*AA10),1,0)</f>
        <v/>
      </c>
      <c r="AD10">
        <f>IF(AND(E10&lt;&gt;"",E10&gt;=Controls!$B$37,E10&lt;=Controls!$B$38),1,0)</f>
        <v/>
      </c>
      <c r="AE10">
        <f>IF(IFERROR(VLOOKUP(D10,Controls!$A$64:$E$74,2,FALSE),"No")="Yes",1,0)</f>
        <v/>
      </c>
      <c r="AF10">
        <f>IF(IFERROR(VLOOKUP(D10,Controls!$A$64:$E$74,3,FALSE),"No")="Yes",1,0)</f>
        <v/>
      </c>
      <c r="AG10">
        <f>IF(IFERROR(VLOOKUP(D10,Controls!$A$64:$E$74,4,FALSE),"No")="Yes",1,0)</f>
        <v/>
      </c>
      <c r="AH10">
        <f>IF(IFERROR(VLOOKUP(D10,Controls!$A$64:$E$74,5,FALSE),"No")="Yes",1,0)</f>
        <v/>
      </c>
      <c r="AI10">
        <f>IF(ISNUMBER(MATCH(D10,Controls!$A$64:$A$74,0)),1,0)</f>
        <v/>
      </c>
      <c r="AJ10">
        <f>Q10-N10</f>
        <v/>
      </c>
      <c r="AK10">
        <f>IF(AE10=1,MAX(0,N10-Q10),0)</f>
        <v/>
      </c>
      <c r="AL10">
        <f>IF(OR(V10="",V10=0),0,N10/V10)</f>
        <v/>
      </c>
      <c r="AM10">
        <f>IF(OR(V10="",V10=0),0,1)</f>
        <v/>
      </c>
      <c r="AN10">
        <f>IF(OR(E10="",F10=""),0,NETWORKDAYS(E10,F10,Ref!$K$2:$K$42))</f>
        <v/>
      </c>
      <c r="AO10">
        <f>IF(L10="Renewal",1,0)</f>
        <v/>
      </c>
      <c r="AP10">
        <f>AC10*AD10</f>
        <v/>
      </c>
      <c r="AQ10">
        <f>IF(AND(G10&lt;&gt;"",'Historical Score'!$C$6&lt;&gt;""),IF(G10='Historical Score'!$C$6,1,0),0)</f>
        <v/>
      </c>
      <c r="AR10">
        <f>IF(AND(L10&lt;&gt;"",'Historical Score'!$C$5&lt;&gt;""),IF(L10='Historical Score'!$C$5,1,0),0)</f>
        <v/>
      </c>
      <c r="AS10">
        <f>IF(AND(Y10&lt;&gt;"",'Historical Score'!$C$7&lt;&gt;""),IF(Y10='Historical Score'!$C$7,1,0),0)</f>
        <v/>
      </c>
      <c r="AT10">
        <f>IF(AND(K10&lt;&gt;"",'Historical Score'!$C$8&lt;&gt;""),IF(K10='Historical Score'!$C$8,1,0),0)</f>
        <v/>
      </c>
      <c r="AU10">
        <f>IF(AND(J10&lt;&gt;"",'Historical Score'!$C$9&lt;&gt;""),IF(J10='Historical Score'!$C$9,1,0),0)</f>
        <v/>
      </c>
      <c r="AV10">
        <f>AR10*AS10*AQ10</f>
        <v/>
      </c>
      <c r="AW10">
        <f>AR10*AT10*AQ10</f>
        <v/>
      </c>
      <c r="AX10">
        <f>AR10*AS10</f>
        <v/>
      </c>
      <c r="AY10">
        <f>AR10*AT10</f>
        <v/>
      </c>
      <c r="AZ10">
        <f>AR10*AQ10</f>
        <v/>
      </c>
      <c r="BA10">
        <f>AR10</f>
        <v/>
      </c>
      <c r="BB10">
        <f>1</f>
        <v/>
      </c>
      <c r="BC10">
        <f>IF(AV10=1,1,IF(AW10=1,2,IF(AX10=1,3,IF(AY10=1,4,IF(AZ10=1,5,IF(BA10=1,6,7))))))</f>
        <v/>
      </c>
      <c r="BD10">
        <f>IF(AD10=1,CHOOSE('Historical Score'!$C$29,AV10,AW10,AX10,AY10,AZ10,BA10,BB10),0)</f>
        <v/>
      </c>
      <c r="BE10">
        <f>IF(BD10=1,COUNTIF($BD$2:BD10,1),"")</f>
        <v/>
      </c>
    </row>
    <row r="11">
      <c r="A11" t="inlineStr">
        <is>
          <t>5674147393</t>
        </is>
      </c>
      <c r="B11" t="inlineStr">
        <is>
          <t>Beeson Farms &amp; Hauling LLC</t>
        </is>
      </c>
      <c r="C11" t="inlineStr">
        <is>
          <t>Beeson Farms &amp; Hauling LLC</t>
        </is>
      </c>
      <c r="D11" t="inlineStr">
        <is>
          <t>Closed</t>
        </is>
      </c>
      <c r="E11" s="297" t="n">
        <v>45667</v>
      </c>
      <c r="F11" s="297" t="n">
        <v>45756</v>
      </c>
      <c r="G11" t="n">
        <v>5</v>
      </c>
      <c r="H11" t="inlineStr">
        <is>
          <t>0191</t>
        </is>
      </c>
      <c r="I11" t="inlineStr">
        <is>
          <t>01</t>
        </is>
      </c>
      <c r="J11" t="inlineStr">
        <is>
          <t>NC</t>
        </is>
      </c>
      <c r="K11" t="inlineStr">
        <is>
          <t>Key Capital Funding</t>
        </is>
      </c>
      <c r="L11" t="inlineStr">
        <is>
          <t>New Deal</t>
        </is>
      </c>
      <c r="M11" s="298" t="n">
        <v>1.49</v>
      </c>
      <c r="N11" s="299" t="n">
        <v>30000</v>
      </c>
      <c r="O11" s="299" t="n">
        <v>4200</v>
      </c>
      <c r="P11" s="299" t="n">
        <v>44700</v>
      </c>
      <c r="Q11" s="299" t="n">
        <v>44700</v>
      </c>
      <c r="R11" s="299" t="n">
        <v>0</v>
      </c>
      <c r="S11" s="300" t="n">
        <v>1</v>
      </c>
      <c r="T11" t="n">
        <v>20.19</v>
      </c>
      <c r="U11" t="n">
        <v>0</v>
      </c>
      <c r="W11" s="300" t="n">
        <v>0.05</v>
      </c>
      <c r="X11" s="297" t="n">
        <v>43579</v>
      </c>
      <c r="Y11">
        <f>IF(I11="","No SIC",IFERROR(VLOOKUP(I11,Ref!$A$2:$B$65,2,FALSE),"Unclassified"))</f>
        <v/>
      </c>
      <c r="Z11">
        <f>IF(T11="","",IF(T11&lt;12,"Daily","Weekly"))</f>
        <v/>
      </c>
      <c r="AA11">
        <f>IF(T11="",0,IF(T11&lt;12,T11*Controls!$B$29,T11*5))</f>
        <v/>
      </c>
      <c r="AB11">
        <f>IF(E11="",0,NETWORKDAYS(E11,Controls!$B$36,Ref!$K$2:$K$42))</f>
        <v/>
      </c>
      <c r="AC11">
        <f>IF(AND(AA11&gt;0,AB11&gt;=Controls!$B$39*AA11),1,0)</f>
        <v/>
      </c>
      <c r="AD11">
        <f>IF(AND(E11&lt;&gt;"",E11&gt;=Controls!$B$37,E11&lt;=Controls!$B$38),1,0)</f>
        <v/>
      </c>
      <c r="AE11">
        <f>IF(IFERROR(VLOOKUP(D11,Controls!$A$64:$E$74,2,FALSE),"No")="Yes",1,0)</f>
        <v/>
      </c>
      <c r="AF11">
        <f>IF(IFERROR(VLOOKUP(D11,Controls!$A$64:$E$74,3,FALSE),"No")="Yes",1,0)</f>
        <v/>
      </c>
      <c r="AG11">
        <f>IF(IFERROR(VLOOKUP(D11,Controls!$A$64:$E$74,4,FALSE),"No")="Yes",1,0)</f>
        <v/>
      </c>
      <c r="AH11">
        <f>IF(IFERROR(VLOOKUP(D11,Controls!$A$64:$E$74,5,FALSE),"No")="Yes",1,0)</f>
        <v/>
      </c>
      <c r="AI11">
        <f>IF(ISNUMBER(MATCH(D11,Controls!$A$64:$A$74,0)),1,0)</f>
        <v/>
      </c>
      <c r="AJ11">
        <f>Q11-N11</f>
        <v/>
      </c>
      <c r="AK11">
        <f>IF(AE11=1,MAX(0,N11-Q11),0)</f>
        <v/>
      </c>
      <c r="AL11">
        <f>IF(OR(V11="",V11=0),0,N11/V11)</f>
        <v/>
      </c>
      <c r="AM11">
        <f>IF(OR(V11="",V11=0),0,1)</f>
        <v/>
      </c>
      <c r="AN11">
        <f>IF(OR(E11="",F11=""),0,NETWORKDAYS(E11,F11,Ref!$K$2:$K$42))</f>
        <v/>
      </c>
      <c r="AO11">
        <f>IF(L11="Renewal",1,0)</f>
        <v/>
      </c>
      <c r="AP11">
        <f>AC11*AD11</f>
        <v/>
      </c>
      <c r="AQ11">
        <f>IF(AND(G11&lt;&gt;"",'Historical Score'!$C$6&lt;&gt;""),IF(G11='Historical Score'!$C$6,1,0),0)</f>
        <v/>
      </c>
      <c r="AR11">
        <f>IF(AND(L11&lt;&gt;"",'Historical Score'!$C$5&lt;&gt;""),IF(L11='Historical Score'!$C$5,1,0),0)</f>
        <v/>
      </c>
      <c r="AS11">
        <f>IF(AND(Y11&lt;&gt;"",'Historical Score'!$C$7&lt;&gt;""),IF(Y11='Historical Score'!$C$7,1,0),0)</f>
        <v/>
      </c>
      <c r="AT11">
        <f>IF(AND(K11&lt;&gt;"",'Historical Score'!$C$8&lt;&gt;""),IF(K11='Historical Score'!$C$8,1,0),0)</f>
        <v/>
      </c>
      <c r="AU11">
        <f>IF(AND(J11&lt;&gt;"",'Historical Score'!$C$9&lt;&gt;""),IF(J11='Historical Score'!$C$9,1,0),0)</f>
        <v/>
      </c>
      <c r="AV11">
        <f>AR11*AS11*AQ11</f>
        <v/>
      </c>
      <c r="AW11">
        <f>AR11*AT11*AQ11</f>
        <v/>
      </c>
      <c r="AX11">
        <f>AR11*AS11</f>
        <v/>
      </c>
      <c r="AY11">
        <f>AR11*AT11</f>
        <v/>
      </c>
      <c r="AZ11">
        <f>AR11*AQ11</f>
        <v/>
      </c>
      <c r="BA11">
        <f>AR11</f>
        <v/>
      </c>
      <c r="BB11">
        <f>1</f>
        <v/>
      </c>
      <c r="BC11">
        <f>IF(AV11=1,1,IF(AW11=1,2,IF(AX11=1,3,IF(AY11=1,4,IF(AZ11=1,5,IF(BA11=1,6,7))))))</f>
        <v/>
      </c>
      <c r="BD11">
        <f>IF(AD11=1,CHOOSE('Historical Score'!$C$29,AV11,AW11,AX11,AY11,AZ11,BA11,BB11),0)</f>
        <v/>
      </c>
      <c r="BE11">
        <f>IF(BD11=1,COUNTIF($BD$2:BD11,1),"")</f>
        <v/>
      </c>
    </row>
    <row r="12">
      <c r="A12" t="inlineStr">
        <is>
          <t>5674147441</t>
        </is>
      </c>
      <c r="B12" t="inlineStr">
        <is>
          <t>SJ HOSPICE SERVICES</t>
        </is>
      </c>
      <c r="C12" t="inlineStr">
        <is>
          <t>SJ HOSPICE SERVICES LLC</t>
        </is>
      </c>
      <c r="D12" t="inlineStr">
        <is>
          <t>Closed</t>
        </is>
      </c>
      <c r="E12" s="297" t="n">
        <v>45670</v>
      </c>
      <c r="F12" s="297" t="n">
        <v>45783</v>
      </c>
      <c r="G12" t="n">
        <v>2</v>
      </c>
      <c r="H12" t="inlineStr">
        <is>
          <t>8082</t>
        </is>
      </c>
      <c r="I12" t="inlineStr">
        <is>
          <t>80</t>
        </is>
      </c>
      <c r="J12" t="inlineStr">
        <is>
          <t>TX</t>
        </is>
      </c>
      <c r="K12" t="inlineStr">
        <is>
          <t>ICB FUNDING</t>
        </is>
      </c>
      <c r="L12" t="inlineStr">
        <is>
          <t>New Deal</t>
        </is>
      </c>
      <c r="M12" s="298" t="n">
        <v>1.39</v>
      </c>
      <c r="N12" s="299" t="n">
        <v>8500</v>
      </c>
      <c r="O12" s="299" t="n">
        <v>765</v>
      </c>
      <c r="P12" s="299" t="n">
        <v>11815</v>
      </c>
      <c r="Q12" s="299" t="n">
        <v>11815</v>
      </c>
      <c r="R12" s="299" t="n">
        <v>0</v>
      </c>
      <c r="S12" s="300" t="n">
        <v>1</v>
      </c>
      <c r="T12" t="n">
        <v>2.539</v>
      </c>
      <c r="U12" t="n">
        <v>0</v>
      </c>
      <c r="W12" s="300" t="n">
        <v>0.04</v>
      </c>
      <c r="X12" s="297" t="n">
        <v>42892</v>
      </c>
      <c r="Y12">
        <f>IF(I12="","No SIC",IFERROR(VLOOKUP(I12,Ref!$A$2:$B$65,2,FALSE),"Unclassified"))</f>
        <v/>
      </c>
      <c r="Z12">
        <f>IF(T12="","",IF(T12&lt;12,"Daily","Weekly"))</f>
        <v/>
      </c>
      <c r="AA12">
        <f>IF(T12="",0,IF(T12&lt;12,T12*Controls!$B$29,T12*5))</f>
        <v/>
      </c>
      <c r="AB12">
        <f>IF(E12="",0,NETWORKDAYS(E12,Controls!$B$36,Ref!$K$2:$K$42))</f>
        <v/>
      </c>
      <c r="AC12">
        <f>IF(AND(AA12&gt;0,AB12&gt;=Controls!$B$39*AA12),1,0)</f>
        <v/>
      </c>
      <c r="AD12">
        <f>IF(AND(E12&lt;&gt;"",E12&gt;=Controls!$B$37,E12&lt;=Controls!$B$38),1,0)</f>
        <v/>
      </c>
      <c r="AE12">
        <f>IF(IFERROR(VLOOKUP(D12,Controls!$A$64:$E$74,2,FALSE),"No")="Yes",1,0)</f>
        <v/>
      </c>
      <c r="AF12">
        <f>IF(IFERROR(VLOOKUP(D12,Controls!$A$64:$E$74,3,FALSE),"No")="Yes",1,0)</f>
        <v/>
      </c>
      <c r="AG12">
        <f>IF(IFERROR(VLOOKUP(D12,Controls!$A$64:$E$74,4,FALSE),"No")="Yes",1,0)</f>
        <v/>
      </c>
      <c r="AH12">
        <f>IF(IFERROR(VLOOKUP(D12,Controls!$A$64:$E$74,5,FALSE),"No")="Yes",1,0)</f>
        <v/>
      </c>
      <c r="AI12">
        <f>IF(ISNUMBER(MATCH(D12,Controls!$A$64:$A$74,0)),1,0)</f>
        <v/>
      </c>
      <c r="AJ12">
        <f>Q12-N12</f>
        <v/>
      </c>
      <c r="AK12">
        <f>IF(AE12=1,MAX(0,N12-Q12),0)</f>
        <v/>
      </c>
      <c r="AL12">
        <f>IF(OR(V12="",V12=0),0,N12/V12)</f>
        <v/>
      </c>
      <c r="AM12">
        <f>IF(OR(V12="",V12=0),0,1)</f>
        <v/>
      </c>
      <c r="AN12">
        <f>IF(OR(E12="",F12=""),0,NETWORKDAYS(E12,F12,Ref!$K$2:$K$42))</f>
        <v/>
      </c>
      <c r="AO12">
        <f>IF(L12="Renewal",1,0)</f>
        <v/>
      </c>
      <c r="AP12">
        <f>AC12*AD12</f>
        <v/>
      </c>
      <c r="AQ12">
        <f>IF(AND(G12&lt;&gt;"",'Historical Score'!$C$6&lt;&gt;""),IF(G12='Historical Score'!$C$6,1,0),0)</f>
        <v/>
      </c>
      <c r="AR12">
        <f>IF(AND(L12&lt;&gt;"",'Historical Score'!$C$5&lt;&gt;""),IF(L12='Historical Score'!$C$5,1,0),0)</f>
        <v/>
      </c>
      <c r="AS12">
        <f>IF(AND(Y12&lt;&gt;"",'Historical Score'!$C$7&lt;&gt;""),IF(Y12='Historical Score'!$C$7,1,0),0)</f>
        <v/>
      </c>
      <c r="AT12">
        <f>IF(AND(K12&lt;&gt;"",'Historical Score'!$C$8&lt;&gt;""),IF(K12='Historical Score'!$C$8,1,0),0)</f>
        <v/>
      </c>
      <c r="AU12">
        <f>IF(AND(J12&lt;&gt;"",'Historical Score'!$C$9&lt;&gt;""),IF(J12='Historical Score'!$C$9,1,0),0)</f>
        <v/>
      </c>
      <c r="AV12">
        <f>AR12*AS12*AQ12</f>
        <v/>
      </c>
      <c r="AW12">
        <f>AR12*AT12*AQ12</f>
        <v/>
      </c>
      <c r="AX12">
        <f>AR12*AS12</f>
        <v/>
      </c>
      <c r="AY12">
        <f>AR12*AT12</f>
        <v/>
      </c>
      <c r="AZ12">
        <f>AR12*AQ12</f>
        <v/>
      </c>
      <c r="BA12">
        <f>AR12</f>
        <v/>
      </c>
      <c r="BB12">
        <f>1</f>
        <v/>
      </c>
      <c r="BC12">
        <f>IF(AV12=1,1,IF(AW12=1,2,IF(AX12=1,3,IF(AY12=1,4,IF(AZ12=1,5,IF(BA12=1,6,7))))))</f>
        <v/>
      </c>
      <c r="BD12">
        <f>IF(AD12=1,CHOOSE('Historical Score'!$C$29,AV12,AW12,AX12,AY12,AZ12,BA12,BB12),0)</f>
        <v/>
      </c>
      <c r="BE12">
        <f>IF(BD12=1,COUNTIF($BD$2:BD12,1),"")</f>
        <v/>
      </c>
    </row>
    <row r="13">
      <c r="A13" t="inlineStr">
        <is>
          <t>5674147491</t>
        </is>
      </c>
      <c r="B13" t="inlineStr">
        <is>
          <t>ROPP JERSEY CHEESE LLC</t>
        </is>
      </c>
      <c r="C13" t="inlineStr">
        <is>
          <t>ROPP JERSEY CHEESE LLC</t>
        </is>
      </c>
      <c r="D13" t="inlineStr">
        <is>
          <t>Legal</t>
        </is>
      </c>
      <c r="E13" s="297" t="n">
        <v>45670</v>
      </c>
      <c r="F13" s="297" t="n">
        <v>46234</v>
      </c>
      <c r="G13" t="n">
        <v>1</v>
      </c>
      <c r="H13" t="inlineStr">
        <is>
          <t>5812</t>
        </is>
      </c>
      <c r="I13" t="inlineStr">
        <is>
          <t>58</t>
        </is>
      </c>
      <c r="J13" t="inlineStr">
        <is>
          <t>IL</t>
        </is>
      </c>
      <c r="K13" t="inlineStr">
        <is>
          <t>ROYAL FUNDING GROUP</t>
        </is>
      </c>
      <c r="L13" t="inlineStr">
        <is>
          <t>New Deal</t>
        </is>
      </c>
      <c r="M13" s="298" t="n">
        <v>1.49</v>
      </c>
      <c r="N13" s="299" t="n">
        <v>12000</v>
      </c>
      <c r="O13" s="299" t="n">
        <v>1680</v>
      </c>
      <c r="P13" s="299" t="n">
        <v>17880</v>
      </c>
      <c r="Q13" s="299" t="n">
        <v>9022</v>
      </c>
      <c r="R13" s="299" t="n">
        <v>8858</v>
      </c>
      <c r="S13" s="300" t="n">
        <v>0.504586129753915</v>
      </c>
      <c r="T13" t="n">
        <v>2.706</v>
      </c>
      <c r="U13" t="n">
        <v>12</v>
      </c>
      <c r="W13" s="300" t="n">
        <v>0.13</v>
      </c>
      <c r="X13" s="297" t="n">
        <v>38507</v>
      </c>
      <c r="Y13">
        <f>IF(I13="","No SIC",IFERROR(VLOOKUP(I13,Ref!$A$2:$B$65,2,FALSE),"Unclassified"))</f>
        <v/>
      </c>
      <c r="Z13">
        <f>IF(T13="","",IF(T13&lt;12,"Daily","Weekly"))</f>
        <v/>
      </c>
      <c r="AA13">
        <f>IF(T13="",0,IF(T13&lt;12,T13*Controls!$B$29,T13*5))</f>
        <v/>
      </c>
      <c r="AB13">
        <f>IF(E13="",0,NETWORKDAYS(E13,Controls!$B$36,Ref!$K$2:$K$42))</f>
        <v/>
      </c>
      <c r="AC13">
        <f>IF(AND(AA13&gt;0,AB13&gt;=Controls!$B$39*AA13),1,0)</f>
        <v/>
      </c>
      <c r="AD13">
        <f>IF(AND(E13&lt;&gt;"",E13&gt;=Controls!$B$37,E13&lt;=Controls!$B$38),1,0)</f>
        <v/>
      </c>
      <c r="AE13">
        <f>IF(IFERROR(VLOOKUP(D13,Controls!$A$64:$E$74,2,FALSE),"No")="Yes",1,0)</f>
        <v/>
      </c>
      <c r="AF13">
        <f>IF(IFERROR(VLOOKUP(D13,Controls!$A$64:$E$74,3,FALSE),"No")="Yes",1,0)</f>
        <v/>
      </c>
      <c r="AG13">
        <f>IF(IFERROR(VLOOKUP(D13,Controls!$A$64:$E$74,4,FALSE),"No")="Yes",1,0)</f>
        <v/>
      </c>
      <c r="AH13">
        <f>IF(IFERROR(VLOOKUP(D13,Controls!$A$64:$E$74,5,FALSE),"No")="Yes",1,0)</f>
        <v/>
      </c>
      <c r="AI13">
        <f>IF(ISNUMBER(MATCH(D13,Controls!$A$64:$A$74,0)),1,0)</f>
        <v/>
      </c>
      <c r="AJ13">
        <f>Q13-N13</f>
        <v/>
      </c>
      <c r="AK13">
        <f>IF(AE13=1,MAX(0,N13-Q13),0)</f>
        <v/>
      </c>
      <c r="AL13">
        <f>IF(OR(V13="",V13=0),0,N13/V13)</f>
        <v/>
      </c>
      <c r="AM13">
        <f>IF(OR(V13="",V13=0),0,1)</f>
        <v/>
      </c>
      <c r="AN13">
        <f>IF(OR(E13="",F13=""),0,NETWORKDAYS(E13,F13,Ref!$K$2:$K$42))</f>
        <v/>
      </c>
      <c r="AO13">
        <f>IF(L13="Renewal",1,0)</f>
        <v/>
      </c>
      <c r="AP13">
        <f>AC13*AD13</f>
        <v/>
      </c>
      <c r="AQ13">
        <f>IF(AND(G13&lt;&gt;"",'Historical Score'!$C$6&lt;&gt;""),IF(G13='Historical Score'!$C$6,1,0),0)</f>
        <v/>
      </c>
      <c r="AR13">
        <f>IF(AND(L13&lt;&gt;"",'Historical Score'!$C$5&lt;&gt;""),IF(L13='Historical Score'!$C$5,1,0),0)</f>
        <v/>
      </c>
      <c r="AS13">
        <f>IF(AND(Y13&lt;&gt;"",'Historical Score'!$C$7&lt;&gt;""),IF(Y13='Historical Score'!$C$7,1,0),0)</f>
        <v/>
      </c>
      <c r="AT13">
        <f>IF(AND(K13&lt;&gt;"",'Historical Score'!$C$8&lt;&gt;""),IF(K13='Historical Score'!$C$8,1,0),0)</f>
        <v/>
      </c>
      <c r="AU13">
        <f>IF(AND(J13&lt;&gt;"",'Historical Score'!$C$9&lt;&gt;""),IF(J13='Historical Score'!$C$9,1,0),0)</f>
        <v/>
      </c>
      <c r="AV13">
        <f>AR13*AS13*AQ13</f>
        <v/>
      </c>
      <c r="AW13">
        <f>AR13*AT13*AQ13</f>
        <v/>
      </c>
      <c r="AX13">
        <f>AR13*AS13</f>
        <v/>
      </c>
      <c r="AY13">
        <f>AR13*AT13</f>
        <v/>
      </c>
      <c r="AZ13">
        <f>AR13*AQ13</f>
        <v/>
      </c>
      <c r="BA13">
        <f>AR13</f>
        <v/>
      </c>
      <c r="BB13">
        <f>1</f>
        <v/>
      </c>
      <c r="BC13">
        <f>IF(AV13=1,1,IF(AW13=1,2,IF(AX13=1,3,IF(AY13=1,4,IF(AZ13=1,5,IF(BA13=1,6,7))))))</f>
        <v/>
      </c>
      <c r="BD13">
        <f>IF(AD13=1,CHOOSE('Historical Score'!$C$29,AV13,AW13,AX13,AY13,AZ13,BA13,BB13),0)</f>
        <v/>
      </c>
      <c r="BE13">
        <f>IF(BD13=1,COUNTIF($BD$2:BD13,1),"")</f>
        <v/>
      </c>
    </row>
    <row r="14">
      <c r="A14" t="inlineStr">
        <is>
          <t>5674147495</t>
        </is>
      </c>
      <c r="B14" t="inlineStr">
        <is>
          <t>ISHI MEDICAL EQUIPMENT &amp; SUPPLIES INC Calle Primera</t>
        </is>
      </c>
      <c r="C14" t="inlineStr">
        <is>
          <t>ISHI MEDICAL EQUIPMENT &amp; SUPPLIES INC Calle Primera</t>
        </is>
      </c>
      <c r="D14" t="inlineStr">
        <is>
          <t>Legal</t>
        </is>
      </c>
      <c r="E14" s="297" t="n">
        <v>45670</v>
      </c>
      <c r="F14" s="297" t="n">
        <v>45721</v>
      </c>
      <c r="G14" t="n">
        <v>3</v>
      </c>
      <c r="H14" t="inlineStr">
        <is>
          <t>5047</t>
        </is>
      </c>
      <c r="I14" t="inlineStr">
        <is>
          <t>50</t>
        </is>
      </c>
      <c r="J14" t="inlineStr">
        <is>
          <t>CA</t>
        </is>
      </c>
      <c r="K14" t="inlineStr">
        <is>
          <t>Key Capital Funding</t>
        </is>
      </c>
      <c r="L14" t="inlineStr">
        <is>
          <t>New Deal</t>
        </is>
      </c>
      <c r="M14" s="298" t="n">
        <v>1.49</v>
      </c>
      <c r="N14" s="299" t="n">
        <v>12000</v>
      </c>
      <c r="O14" s="299" t="n">
        <v>1680</v>
      </c>
      <c r="P14" s="299" t="n">
        <v>17880</v>
      </c>
      <c r="Q14" s="299" t="n">
        <v>3184</v>
      </c>
      <c r="R14" s="299" t="n">
        <v>14696</v>
      </c>
      <c r="S14" s="300" t="n">
        <v>0.178076062639821</v>
      </c>
      <c r="T14" t="n">
        <v>2.951</v>
      </c>
      <c r="U14" t="n">
        <v>15</v>
      </c>
      <c r="W14" s="300" t="n">
        <v>0.09</v>
      </c>
      <c r="X14" s="297" t="n">
        <v>38507</v>
      </c>
      <c r="Y14">
        <f>IF(I14="","No SIC",IFERROR(VLOOKUP(I14,Ref!$A$2:$B$65,2,FALSE),"Unclassified"))</f>
        <v/>
      </c>
      <c r="Z14">
        <f>IF(T14="","",IF(T14&lt;12,"Daily","Weekly"))</f>
        <v/>
      </c>
      <c r="AA14">
        <f>IF(T14="",0,IF(T14&lt;12,T14*Controls!$B$29,T14*5))</f>
        <v/>
      </c>
      <c r="AB14">
        <f>IF(E14="",0,NETWORKDAYS(E14,Controls!$B$36,Ref!$K$2:$K$42))</f>
        <v/>
      </c>
      <c r="AC14">
        <f>IF(AND(AA14&gt;0,AB14&gt;=Controls!$B$39*AA14),1,0)</f>
        <v/>
      </c>
      <c r="AD14">
        <f>IF(AND(E14&lt;&gt;"",E14&gt;=Controls!$B$37,E14&lt;=Controls!$B$38),1,0)</f>
        <v/>
      </c>
      <c r="AE14">
        <f>IF(IFERROR(VLOOKUP(D14,Controls!$A$64:$E$74,2,FALSE),"No")="Yes",1,0)</f>
        <v/>
      </c>
      <c r="AF14">
        <f>IF(IFERROR(VLOOKUP(D14,Controls!$A$64:$E$74,3,FALSE),"No")="Yes",1,0)</f>
        <v/>
      </c>
      <c r="AG14">
        <f>IF(IFERROR(VLOOKUP(D14,Controls!$A$64:$E$74,4,FALSE),"No")="Yes",1,0)</f>
        <v/>
      </c>
      <c r="AH14">
        <f>IF(IFERROR(VLOOKUP(D14,Controls!$A$64:$E$74,5,FALSE),"No")="Yes",1,0)</f>
        <v/>
      </c>
      <c r="AI14">
        <f>IF(ISNUMBER(MATCH(D14,Controls!$A$64:$A$74,0)),1,0)</f>
        <v/>
      </c>
      <c r="AJ14">
        <f>Q14-N14</f>
        <v/>
      </c>
      <c r="AK14">
        <f>IF(AE14=1,MAX(0,N14-Q14),0)</f>
        <v/>
      </c>
      <c r="AL14">
        <f>IF(OR(V14="",V14=0),0,N14/V14)</f>
        <v/>
      </c>
      <c r="AM14">
        <f>IF(OR(V14="",V14=0),0,1)</f>
        <v/>
      </c>
      <c r="AN14">
        <f>IF(OR(E14="",F14=""),0,NETWORKDAYS(E14,F14,Ref!$K$2:$K$42))</f>
        <v/>
      </c>
      <c r="AO14">
        <f>IF(L14="Renewal",1,0)</f>
        <v/>
      </c>
      <c r="AP14">
        <f>AC14*AD14</f>
        <v/>
      </c>
      <c r="AQ14">
        <f>IF(AND(G14&lt;&gt;"",'Historical Score'!$C$6&lt;&gt;""),IF(G14='Historical Score'!$C$6,1,0),0)</f>
        <v/>
      </c>
      <c r="AR14">
        <f>IF(AND(L14&lt;&gt;"",'Historical Score'!$C$5&lt;&gt;""),IF(L14='Historical Score'!$C$5,1,0),0)</f>
        <v/>
      </c>
      <c r="AS14">
        <f>IF(AND(Y14&lt;&gt;"",'Historical Score'!$C$7&lt;&gt;""),IF(Y14='Historical Score'!$C$7,1,0),0)</f>
        <v/>
      </c>
      <c r="AT14">
        <f>IF(AND(K14&lt;&gt;"",'Historical Score'!$C$8&lt;&gt;""),IF(K14='Historical Score'!$C$8,1,0),0)</f>
        <v/>
      </c>
      <c r="AU14">
        <f>IF(AND(J14&lt;&gt;"",'Historical Score'!$C$9&lt;&gt;""),IF(J14='Historical Score'!$C$9,1,0),0)</f>
        <v/>
      </c>
      <c r="AV14">
        <f>AR14*AS14*AQ14</f>
        <v/>
      </c>
      <c r="AW14">
        <f>AR14*AT14*AQ14</f>
        <v/>
      </c>
      <c r="AX14">
        <f>AR14*AS14</f>
        <v/>
      </c>
      <c r="AY14">
        <f>AR14*AT14</f>
        <v/>
      </c>
      <c r="AZ14">
        <f>AR14*AQ14</f>
        <v/>
      </c>
      <c r="BA14">
        <f>AR14</f>
        <v/>
      </c>
      <c r="BB14">
        <f>1</f>
        <v/>
      </c>
      <c r="BC14">
        <f>IF(AV14=1,1,IF(AW14=1,2,IF(AX14=1,3,IF(AY14=1,4,IF(AZ14=1,5,IF(BA14=1,6,7))))))</f>
        <v/>
      </c>
      <c r="BD14">
        <f>IF(AD14=1,CHOOSE('Historical Score'!$C$29,AV14,AW14,AX14,AY14,AZ14,BA14,BB14),0)</f>
        <v/>
      </c>
      <c r="BE14">
        <f>IF(BD14=1,COUNTIF($BD$2:BD14,1),"")</f>
        <v/>
      </c>
    </row>
    <row r="15">
      <c r="A15" t="inlineStr">
        <is>
          <t>5674147827</t>
        </is>
      </c>
      <c r="B15" t="inlineStr">
        <is>
          <t>Delta Security Services LLC</t>
        </is>
      </c>
      <c r="C15" t="inlineStr">
        <is>
          <t>Delta Security Services LLC</t>
        </is>
      </c>
      <c r="D15" t="inlineStr">
        <is>
          <t>Closed</t>
        </is>
      </c>
      <c r="E15" s="297" t="n">
        <v>45673</v>
      </c>
      <c r="F15" s="297" t="n">
        <v>45791</v>
      </c>
      <c r="G15" t="n">
        <v>1</v>
      </c>
      <c r="H15" t="inlineStr">
        <is>
          <t>7382</t>
        </is>
      </c>
      <c r="I15" t="inlineStr">
        <is>
          <t>73</t>
        </is>
      </c>
      <c r="J15" t="inlineStr">
        <is>
          <t>WA</t>
        </is>
      </c>
      <c r="K15" t="inlineStr">
        <is>
          <t>First Path Capital</t>
        </is>
      </c>
      <c r="L15" t="inlineStr">
        <is>
          <t>Renewal</t>
        </is>
      </c>
      <c r="M15" s="298" t="n">
        <v>1.49</v>
      </c>
      <c r="N15" s="299" t="n">
        <v>5000</v>
      </c>
      <c r="O15" s="299" t="n">
        <v>700</v>
      </c>
      <c r="P15" s="299" t="n">
        <v>7450</v>
      </c>
      <c r="Q15" s="299" t="n">
        <v>7450</v>
      </c>
      <c r="R15" s="299" t="n">
        <v>0</v>
      </c>
      <c r="S15" s="300" t="n">
        <v>1</v>
      </c>
      <c r="T15" t="n">
        <v>2.623</v>
      </c>
      <c r="U15" t="n">
        <v>0</v>
      </c>
      <c r="W15" s="300" t="n">
        <v>0.06</v>
      </c>
      <c r="X15" s="297" t="n"/>
      <c r="Y15">
        <f>IF(I15="","No SIC",IFERROR(VLOOKUP(I15,Ref!$A$2:$B$65,2,FALSE),"Unclassified"))</f>
        <v/>
      </c>
      <c r="Z15">
        <f>IF(T15="","",IF(T15&lt;12,"Daily","Weekly"))</f>
        <v/>
      </c>
      <c r="AA15">
        <f>IF(T15="",0,IF(T15&lt;12,T15*Controls!$B$29,T15*5))</f>
        <v/>
      </c>
      <c r="AB15">
        <f>IF(E15="",0,NETWORKDAYS(E15,Controls!$B$36,Ref!$K$2:$K$42))</f>
        <v/>
      </c>
      <c r="AC15">
        <f>IF(AND(AA15&gt;0,AB15&gt;=Controls!$B$39*AA15),1,0)</f>
        <v/>
      </c>
      <c r="AD15">
        <f>IF(AND(E15&lt;&gt;"",E15&gt;=Controls!$B$37,E15&lt;=Controls!$B$38),1,0)</f>
        <v/>
      </c>
      <c r="AE15">
        <f>IF(IFERROR(VLOOKUP(D15,Controls!$A$64:$E$74,2,FALSE),"No")="Yes",1,0)</f>
        <v/>
      </c>
      <c r="AF15">
        <f>IF(IFERROR(VLOOKUP(D15,Controls!$A$64:$E$74,3,FALSE),"No")="Yes",1,0)</f>
        <v/>
      </c>
      <c r="AG15">
        <f>IF(IFERROR(VLOOKUP(D15,Controls!$A$64:$E$74,4,FALSE),"No")="Yes",1,0)</f>
        <v/>
      </c>
      <c r="AH15">
        <f>IF(IFERROR(VLOOKUP(D15,Controls!$A$64:$E$74,5,FALSE),"No")="Yes",1,0)</f>
        <v/>
      </c>
      <c r="AI15">
        <f>IF(ISNUMBER(MATCH(D15,Controls!$A$64:$A$74,0)),1,0)</f>
        <v/>
      </c>
      <c r="AJ15">
        <f>Q15-N15</f>
        <v/>
      </c>
      <c r="AK15">
        <f>IF(AE15=1,MAX(0,N15-Q15),0)</f>
        <v/>
      </c>
      <c r="AL15">
        <f>IF(OR(V15="",V15=0),0,N15/V15)</f>
        <v/>
      </c>
      <c r="AM15">
        <f>IF(OR(V15="",V15=0),0,1)</f>
        <v/>
      </c>
      <c r="AN15">
        <f>IF(OR(E15="",F15=""),0,NETWORKDAYS(E15,F15,Ref!$K$2:$K$42))</f>
        <v/>
      </c>
      <c r="AO15">
        <f>IF(L15="Renewal",1,0)</f>
        <v/>
      </c>
      <c r="AP15">
        <f>AC15*AD15</f>
        <v/>
      </c>
      <c r="AQ15">
        <f>IF(AND(G15&lt;&gt;"",'Historical Score'!$C$6&lt;&gt;""),IF(G15='Historical Score'!$C$6,1,0),0)</f>
        <v/>
      </c>
      <c r="AR15">
        <f>IF(AND(L15&lt;&gt;"",'Historical Score'!$C$5&lt;&gt;""),IF(L15='Historical Score'!$C$5,1,0),0)</f>
        <v/>
      </c>
      <c r="AS15">
        <f>IF(AND(Y15&lt;&gt;"",'Historical Score'!$C$7&lt;&gt;""),IF(Y15='Historical Score'!$C$7,1,0),0)</f>
        <v/>
      </c>
      <c r="AT15">
        <f>IF(AND(K15&lt;&gt;"",'Historical Score'!$C$8&lt;&gt;""),IF(K15='Historical Score'!$C$8,1,0),0)</f>
        <v/>
      </c>
      <c r="AU15">
        <f>IF(AND(J15&lt;&gt;"",'Historical Score'!$C$9&lt;&gt;""),IF(J15='Historical Score'!$C$9,1,0),0)</f>
        <v/>
      </c>
      <c r="AV15">
        <f>AR15*AS15*AQ15</f>
        <v/>
      </c>
      <c r="AW15">
        <f>AR15*AT15*AQ15</f>
        <v/>
      </c>
      <c r="AX15">
        <f>AR15*AS15</f>
        <v/>
      </c>
      <c r="AY15">
        <f>AR15*AT15</f>
        <v/>
      </c>
      <c r="AZ15">
        <f>AR15*AQ15</f>
        <v/>
      </c>
      <c r="BA15">
        <f>AR15</f>
        <v/>
      </c>
      <c r="BB15">
        <f>1</f>
        <v/>
      </c>
      <c r="BC15">
        <f>IF(AV15=1,1,IF(AW15=1,2,IF(AX15=1,3,IF(AY15=1,4,IF(AZ15=1,5,IF(BA15=1,6,7))))))</f>
        <v/>
      </c>
      <c r="BD15">
        <f>IF(AD15=1,CHOOSE('Historical Score'!$C$29,AV15,AW15,AX15,AY15,AZ15,BA15,BB15),0)</f>
        <v/>
      </c>
      <c r="BE15">
        <f>IF(BD15=1,COUNTIF($BD$2:BD15,1),"")</f>
        <v/>
      </c>
    </row>
    <row r="16">
      <c r="A16" t="inlineStr">
        <is>
          <t>5674148218</t>
        </is>
      </c>
      <c r="B16" t="inlineStr">
        <is>
          <t>LTV EVENTS LLC</t>
        </is>
      </c>
      <c r="C16" t="inlineStr">
        <is>
          <t>LTV EVENTS LLC</t>
        </is>
      </c>
      <c r="D16" t="inlineStr">
        <is>
          <t>Closed</t>
        </is>
      </c>
      <c r="E16" s="297" t="n">
        <v>45679</v>
      </c>
      <c r="F16" s="297" t="n">
        <v>45768</v>
      </c>
      <c r="G16" t="n">
        <v>7</v>
      </c>
      <c r="H16" t="inlineStr">
        <is>
          <t>7299</t>
        </is>
      </c>
      <c r="I16" t="inlineStr">
        <is>
          <t>72</t>
        </is>
      </c>
      <c r="J16" t="inlineStr">
        <is>
          <t>IL</t>
        </is>
      </c>
      <c r="K16" t="inlineStr">
        <is>
          <t>Redline Capital</t>
        </is>
      </c>
      <c r="L16" t="inlineStr">
        <is>
          <t>New Deal</t>
        </is>
      </c>
      <c r="M16" s="298" t="n">
        <v>1.47</v>
      </c>
      <c r="N16" s="299" t="n">
        <v>4500</v>
      </c>
      <c r="O16" s="299" t="n">
        <v>630</v>
      </c>
      <c r="P16" s="299" t="n">
        <v>6615</v>
      </c>
      <c r="Q16" s="299" t="n">
        <v>6615</v>
      </c>
      <c r="R16" s="299" t="n">
        <v>0</v>
      </c>
      <c r="S16" s="300" t="n">
        <v>1</v>
      </c>
      <c r="T16" t="n">
        <v>1.928</v>
      </c>
      <c r="U16" t="n">
        <v>0</v>
      </c>
      <c r="W16" s="300" t="n">
        <v>0.083</v>
      </c>
      <c r="X16" s="297" t="n">
        <v>44256</v>
      </c>
      <c r="Y16">
        <f>IF(I16="","No SIC",IFERROR(VLOOKUP(I16,Ref!$A$2:$B$65,2,FALSE),"Unclassified"))</f>
        <v/>
      </c>
      <c r="Z16">
        <f>IF(T16="","",IF(T16&lt;12,"Daily","Weekly"))</f>
        <v/>
      </c>
      <c r="AA16">
        <f>IF(T16="",0,IF(T16&lt;12,T16*Controls!$B$29,T16*5))</f>
        <v/>
      </c>
      <c r="AB16">
        <f>IF(E16="",0,NETWORKDAYS(E16,Controls!$B$36,Ref!$K$2:$K$42))</f>
        <v/>
      </c>
      <c r="AC16">
        <f>IF(AND(AA16&gt;0,AB16&gt;=Controls!$B$39*AA16),1,0)</f>
        <v/>
      </c>
      <c r="AD16">
        <f>IF(AND(E16&lt;&gt;"",E16&gt;=Controls!$B$37,E16&lt;=Controls!$B$38),1,0)</f>
        <v/>
      </c>
      <c r="AE16">
        <f>IF(IFERROR(VLOOKUP(D16,Controls!$A$64:$E$74,2,FALSE),"No")="Yes",1,0)</f>
        <v/>
      </c>
      <c r="AF16">
        <f>IF(IFERROR(VLOOKUP(D16,Controls!$A$64:$E$74,3,FALSE),"No")="Yes",1,0)</f>
        <v/>
      </c>
      <c r="AG16">
        <f>IF(IFERROR(VLOOKUP(D16,Controls!$A$64:$E$74,4,FALSE),"No")="Yes",1,0)</f>
        <v/>
      </c>
      <c r="AH16">
        <f>IF(IFERROR(VLOOKUP(D16,Controls!$A$64:$E$74,5,FALSE),"No")="Yes",1,0)</f>
        <v/>
      </c>
      <c r="AI16">
        <f>IF(ISNUMBER(MATCH(D16,Controls!$A$64:$A$74,0)),1,0)</f>
        <v/>
      </c>
      <c r="AJ16">
        <f>Q16-N16</f>
        <v/>
      </c>
      <c r="AK16">
        <f>IF(AE16=1,MAX(0,N16-Q16),0)</f>
        <v/>
      </c>
      <c r="AL16">
        <f>IF(OR(V16="",V16=0),0,N16/V16)</f>
        <v/>
      </c>
      <c r="AM16">
        <f>IF(OR(V16="",V16=0),0,1)</f>
        <v/>
      </c>
      <c r="AN16">
        <f>IF(OR(E16="",F16=""),0,NETWORKDAYS(E16,F16,Ref!$K$2:$K$42))</f>
        <v/>
      </c>
      <c r="AO16">
        <f>IF(L16="Renewal",1,0)</f>
        <v/>
      </c>
      <c r="AP16">
        <f>AC16*AD16</f>
        <v/>
      </c>
      <c r="AQ16">
        <f>IF(AND(G16&lt;&gt;"",'Historical Score'!$C$6&lt;&gt;""),IF(G16='Historical Score'!$C$6,1,0),0)</f>
        <v/>
      </c>
      <c r="AR16">
        <f>IF(AND(L16&lt;&gt;"",'Historical Score'!$C$5&lt;&gt;""),IF(L16='Historical Score'!$C$5,1,0),0)</f>
        <v/>
      </c>
      <c r="AS16">
        <f>IF(AND(Y16&lt;&gt;"",'Historical Score'!$C$7&lt;&gt;""),IF(Y16='Historical Score'!$C$7,1,0),0)</f>
        <v/>
      </c>
      <c r="AT16">
        <f>IF(AND(K16&lt;&gt;"",'Historical Score'!$C$8&lt;&gt;""),IF(K16='Historical Score'!$C$8,1,0),0)</f>
        <v/>
      </c>
      <c r="AU16">
        <f>IF(AND(J16&lt;&gt;"",'Historical Score'!$C$9&lt;&gt;""),IF(J16='Historical Score'!$C$9,1,0),0)</f>
        <v/>
      </c>
      <c r="AV16">
        <f>AR16*AS16*AQ16</f>
        <v/>
      </c>
      <c r="AW16">
        <f>AR16*AT16*AQ16</f>
        <v/>
      </c>
      <c r="AX16">
        <f>AR16*AS16</f>
        <v/>
      </c>
      <c r="AY16">
        <f>AR16*AT16</f>
        <v/>
      </c>
      <c r="AZ16">
        <f>AR16*AQ16</f>
        <v/>
      </c>
      <c r="BA16">
        <f>AR16</f>
        <v/>
      </c>
      <c r="BB16">
        <f>1</f>
        <v/>
      </c>
      <c r="BC16">
        <f>IF(AV16=1,1,IF(AW16=1,2,IF(AX16=1,3,IF(AY16=1,4,IF(AZ16=1,5,IF(BA16=1,6,7))))))</f>
        <v/>
      </c>
      <c r="BD16">
        <f>IF(AD16=1,CHOOSE('Historical Score'!$C$29,AV16,AW16,AX16,AY16,AZ16,BA16,BB16),0)</f>
        <v/>
      </c>
      <c r="BE16">
        <f>IF(BD16=1,COUNTIF($BD$2:BD16,1),"")</f>
        <v/>
      </c>
    </row>
    <row r="17">
      <c r="A17" t="inlineStr">
        <is>
          <t>5674148220</t>
        </is>
      </c>
      <c r="B17" t="inlineStr">
        <is>
          <t>The Tailors</t>
        </is>
      </c>
      <c r="C17" t="inlineStr">
        <is>
          <t>Jojo's Sewing Co. LLC</t>
        </is>
      </c>
      <c r="D17" t="inlineStr">
        <is>
          <t>Legal</t>
        </is>
      </c>
      <c r="E17" s="297" t="n">
        <v>45679</v>
      </c>
      <c r="F17" s="297" t="n">
        <v>45735</v>
      </c>
      <c r="G17" t="n">
        <v>2</v>
      </c>
      <c r="H17" t="inlineStr">
        <is>
          <t>5699</t>
        </is>
      </c>
      <c r="I17" t="inlineStr">
        <is>
          <t>56</t>
        </is>
      </c>
      <c r="J17" t="inlineStr">
        <is>
          <t>MI</t>
        </is>
      </c>
      <c r="K17" t="inlineStr">
        <is>
          <t>Platform Funding</t>
        </is>
      </c>
      <c r="L17" t="inlineStr">
        <is>
          <t>New Deal</t>
        </is>
      </c>
      <c r="M17" s="298" t="n">
        <v>1.49</v>
      </c>
      <c r="N17" s="299" t="n">
        <v>4500</v>
      </c>
      <c r="O17" s="299" t="n">
        <v>630</v>
      </c>
      <c r="P17" s="299" t="n">
        <v>6705</v>
      </c>
      <c r="Q17" s="299" t="n">
        <v>2863.14</v>
      </c>
      <c r="R17" s="299" t="n">
        <v>3841.86</v>
      </c>
      <c r="S17" s="300" t="n">
        <v>0.427015659955257</v>
      </c>
      <c r="T17" t="n">
        <v>2.459</v>
      </c>
      <c r="U17" t="n">
        <v>7</v>
      </c>
      <c r="W17" s="300" t="n">
        <v>0.11</v>
      </c>
      <c r="X17" s="297" t="n">
        <v>44927</v>
      </c>
      <c r="Y17">
        <f>IF(I17="","No SIC",IFERROR(VLOOKUP(I17,Ref!$A$2:$B$65,2,FALSE),"Unclassified"))</f>
        <v/>
      </c>
      <c r="Z17">
        <f>IF(T17="","",IF(T17&lt;12,"Daily","Weekly"))</f>
        <v/>
      </c>
      <c r="AA17">
        <f>IF(T17="",0,IF(T17&lt;12,T17*Controls!$B$29,T17*5))</f>
        <v/>
      </c>
      <c r="AB17">
        <f>IF(E17="",0,NETWORKDAYS(E17,Controls!$B$36,Ref!$K$2:$K$42))</f>
        <v/>
      </c>
      <c r="AC17">
        <f>IF(AND(AA17&gt;0,AB17&gt;=Controls!$B$39*AA17),1,0)</f>
        <v/>
      </c>
      <c r="AD17">
        <f>IF(AND(E17&lt;&gt;"",E17&gt;=Controls!$B$37,E17&lt;=Controls!$B$38),1,0)</f>
        <v/>
      </c>
      <c r="AE17">
        <f>IF(IFERROR(VLOOKUP(D17,Controls!$A$64:$E$74,2,FALSE),"No")="Yes",1,0)</f>
        <v/>
      </c>
      <c r="AF17">
        <f>IF(IFERROR(VLOOKUP(D17,Controls!$A$64:$E$74,3,FALSE),"No")="Yes",1,0)</f>
        <v/>
      </c>
      <c r="AG17">
        <f>IF(IFERROR(VLOOKUP(D17,Controls!$A$64:$E$74,4,FALSE),"No")="Yes",1,0)</f>
        <v/>
      </c>
      <c r="AH17">
        <f>IF(IFERROR(VLOOKUP(D17,Controls!$A$64:$E$74,5,FALSE),"No")="Yes",1,0)</f>
        <v/>
      </c>
      <c r="AI17">
        <f>IF(ISNUMBER(MATCH(D17,Controls!$A$64:$A$74,0)),1,0)</f>
        <v/>
      </c>
      <c r="AJ17">
        <f>Q17-N17</f>
        <v/>
      </c>
      <c r="AK17">
        <f>IF(AE17=1,MAX(0,N17-Q17),0)</f>
        <v/>
      </c>
      <c r="AL17">
        <f>IF(OR(V17="",V17=0),0,N17/V17)</f>
        <v/>
      </c>
      <c r="AM17">
        <f>IF(OR(V17="",V17=0),0,1)</f>
        <v/>
      </c>
      <c r="AN17">
        <f>IF(OR(E17="",F17=""),0,NETWORKDAYS(E17,F17,Ref!$K$2:$K$42))</f>
        <v/>
      </c>
      <c r="AO17">
        <f>IF(L17="Renewal",1,0)</f>
        <v/>
      </c>
      <c r="AP17">
        <f>AC17*AD17</f>
        <v/>
      </c>
      <c r="AQ17">
        <f>IF(AND(G17&lt;&gt;"",'Historical Score'!$C$6&lt;&gt;""),IF(G17='Historical Score'!$C$6,1,0),0)</f>
        <v/>
      </c>
      <c r="AR17">
        <f>IF(AND(L17&lt;&gt;"",'Historical Score'!$C$5&lt;&gt;""),IF(L17='Historical Score'!$C$5,1,0),0)</f>
        <v/>
      </c>
      <c r="AS17">
        <f>IF(AND(Y17&lt;&gt;"",'Historical Score'!$C$7&lt;&gt;""),IF(Y17='Historical Score'!$C$7,1,0),0)</f>
        <v/>
      </c>
      <c r="AT17">
        <f>IF(AND(K17&lt;&gt;"",'Historical Score'!$C$8&lt;&gt;""),IF(K17='Historical Score'!$C$8,1,0),0)</f>
        <v/>
      </c>
      <c r="AU17">
        <f>IF(AND(J17&lt;&gt;"",'Historical Score'!$C$9&lt;&gt;""),IF(J17='Historical Score'!$C$9,1,0),0)</f>
        <v/>
      </c>
      <c r="AV17">
        <f>AR17*AS17*AQ17</f>
        <v/>
      </c>
      <c r="AW17">
        <f>AR17*AT17*AQ17</f>
        <v/>
      </c>
      <c r="AX17">
        <f>AR17*AS17</f>
        <v/>
      </c>
      <c r="AY17">
        <f>AR17*AT17</f>
        <v/>
      </c>
      <c r="AZ17">
        <f>AR17*AQ17</f>
        <v/>
      </c>
      <c r="BA17">
        <f>AR17</f>
        <v/>
      </c>
      <c r="BB17">
        <f>1</f>
        <v/>
      </c>
      <c r="BC17">
        <f>IF(AV17=1,1,IF(AW17=1,2,IF(AX17=1,3,IF(AY17=1,4,IF(AZ17=1,5,IF(BA17=1,6,7))))))</f>
        <v/>
      </c>
      <c r="BD17">
        <f>IF(AD17=1,CHOOSE('Historical Score'!$C$29,AV17,AW17,AX17,AY17,AZ17,BA17,BB17),0)</f>
        <v/>
      </c>
      <c r="BE17">
        <f>IF(BD17=1,COUNTIF($BD$2:BD17,1),"")</f>
        <v/>
      </c>
    </row>
    <row r="18">
      <c r="A18" t="inlineStr">
        <is>
          <t>5674149050</t>
        </is>
      </c>
      <c r="B18" t="inlineStr">
        <is>
          <t>Bright Future Academy</t>
        </is>
      </c>
      <c r="C18" t="inlineStr">
        <is>
          <t>Bright Future Academy</t>
        </is>
      </c>
      <c r="D18" t="inlineStr">
        <is>
          <t>Closed</t>
        </is>
      </c>
      <c r="E18" s="297" t="n">
        <v>45686</v>
      </c>
      <c r="F18" s="297" t="n">
        <v>45799</v>
      </c>
      <c r="G18" t="n">
        <v>4</v>
      </c>
      <c r="H18" t="inlineStr">
        <is>
          <t>8351</t>
        </is>
      </c>
      <c r="I18" t="inlineStr">
        <is>
          <t>83</t>
        </is>
      </c>
      <c r="J18" t="inlineStr">
        <is>
          <t>MN</t>
        </is>
      </c>
      <c r="K18" t="inlineStr">
        <is>
          <t>Key Capital Funding</t>
        </is>
      </c>
      <c r="L18" t="inlineStr">
        <is>
          <t>Renewal</t>
        </is>
      </c>
      <c r="M18" s="298" t="n">
        <v>1.41</v>
      </c>
      <c r="N18" s="299" t="n">
        <v>5000</v>
      </c>
      <c r="O18" s="299" t="n">
        <v>500</v>
      </c>
      <c r="P18" s="299" t="n">
        <v>7050</v>
      </c>
      <c r="Q18" s="299" t="n">
        <v>7050</v>
      </c>
      <c r="R18" s="299" t="n">
        <v>0</v>
      </c>
      <c r="S18" s="300" t="n">
        <v>1</v>
      </c>
      <c r="T18" t="n">
        <v>2.295</v>
      </c>
      <c r="U18" t="n">
        <v>4</v>
      </c>
      <c r="W18" s="300" t="n">
        <v>0.12</v>
      </c>
      <c r="X18" s="297" t="n">
        <v>43617</v>
      </c>
      <c r="Y18">
        <f>IF(I18="","No SIC",IFERROR(VLOOKUP(I18,Ref!$A$2:$B$65,2,FALSE),"Unclassified"))</f>
        <v/>
      </c>
      <c r="Z18">
        <f>IF(T18="","",IF(T18&lt;12,"Daily","Weekly"))</f>
        <v/>
      </c>
      <c r="AA18">
        <f>IF(T18="",0,IF(T18&lt;12,T18*Controls!$B$29,T18*5))</f>
        <v/>
      </c>
      <c r="AB18">
        <f>IF(E18="",0,NETWORKDAYS(E18,Controls!$B$36,Ref!$K$2:$K$42))</f>
        <v/>
      </c>
      <c r="AC18">
        <f>IF(AND(AA18&gt;0,AB18&gt;=Controls!$B$39*AA18),1,0)</f>
        <v/>
      </c>
      <c r="AD18">
        <f>IF(AND(E18&lt;&gt;"",E18&gt;=Controls!$B$37,E18&lt;=Controls!$B$38),1,0)</f>
        <v/>
      </c>
      <c r="AE18">
        <f>IF(IFERROR(VLOOKUP(D18,Controls!$A$64:$E$74,2,FALSE),"No")="Yes",1,0)</f>
        <v/>
      </c>
      <c r="AF18">
        <f>IF(IFERROR(VLOOKUP(D18,Controls!$A$64:$E$74,3,FALSE),"No")="Yes",1,0)</f>
        <v/>
      </c>
      <c r="AG18">
        <f>IF(IFERROR(VLOOKUP(D18,Controls!$A$64:$E$74,4,FALSE),"No")="Yes",1,0)</f>
        <v/>
      </c>
      <c r="AH18">
        <f>IF(IFERROR(VLOOKUP(D18,Controls!$A$64:$E$74,5,FALSE),"No")="Yes",1,0)</f>
        <v/>
      </c>
      <c r="AI18">
        <f>IF(ISNUMBER(MATCH(D18,Controls!$A$64:$A$74,0)),1,0)</f>
        <v/>
      </c>
      <c r="AJ18">
        <f>Q18-N18</f>
        <v/>
      </c>
      <c r="AK18">
        <f>IF(AE18=1,MAX(0,N18-Q18),0)</f>
        <v/>
      </c>
      <c r="AL18">
        <f>IF(OR(V18="",V18=0),0,N18/V18)</f>
        <v/>
      </c>
      <c r="AM18">
        <f>IF(OR(V18="",V18=0),0,1)</f>
        <v/>
      </c>
      <c r="AN18">
        <f>IF(OR(E18="",F18=""),0,NETWORKDAYS(E18,F18,Ref!$K$2:$K$42))</f>
        <v/>
      </c>
      <c r="AO18">
        <f>IF(L18="Renewal",1,0)</f>
        <v/>
      </c>
      <c r="AP18">
        <f>AC18*AD18</f>
        <v/>
      </c>
      <c r="AQ18">
        <f>IF(AND(G18&lt;&gt;"",'Historical Score'!$C$6&lt;&gt;""),IF(G18='Historical Score'!$C$6,1,0),0)</f>
        <v/>
      </c>
      <c r="AR18">
        <f>IF(AND(L18&lt;&gt;"",'Historical Score'!$C$5&lt;&gt;""),IF(L18='Historical Score'!$C$5,1,0),0)</f>
        <v/>
      </c>
      <c r="AS18">
        <f>IF(AND(Y18&lt;&gt;"",'Historical Score'!$C$7&lt;&gt;""),IF(Y18='Historical Score'!$C$7,1,0),0)</f>
        <v/>
      </c>
      <c r="AT18">
        <f>IF(AND(K18&lt;&gt;"",'Historical Score'!$C$8&lt;&gt;""),IF(K18='Historical Score'!$C$8,1,0),0)</f>
        <v/>
      </c>
      <c r="AU18">
        <f>IF(AND(J18&lt;&gt;"",'Historical Score'!$C$9&lt;&gt;""),IF(J18='Historical Score'!$C$9,1,0),0)</f>
        <v/>
      </c>
      <c r="AV18">
        <f>AR18*AS18*AQ18</f>
        <v/>
      </c>
      <c r="AW18">
        <f>AR18*AT18*AQ18</f>
        <v/>
      </c>
      <c r="AX18">
        <f>AR18*AS18</f>
        <v/>
      </c>
      <c r="AY18">
        <f>AR18*AT18</f>
        <v/>
      </c>
      <c r="AZ18">
        <f>AR18*AQ18</f>
        <v/>
      </c>
      <c r="BA18">
        <f>AR18</f>
        <v/>
      </c>
      <c r="BB18">
        <f>1</f>
        <v/>
      </c>
      <c r="BC18">
        <f>IF(AV18=1,1,IF(AW18=1,2,IF(AX18=1,3,IF(AY18=1,4,IF(AZ18=1,5,IF(BA18=1,6,7))))))</f>
        <v/>
      </c>
      <c r="BD18">
        <f>IF(AD18=1,CHOOSE('Historical Score'!$C$29,AV18,AW18,AX18,AY18,AZ18,BA18,BB18),0)</f>
        <v/>
      </c>
      <c r="BE18">
        <f>IF(BD18=1,COUNTIF($BD$2:BD18,1),"")</f>
        <v/>
      </c>
    </row>
    <row r="19">
      <c r="A19" t="inlineStr">
        <is>
          <t>5674149117</t>
        </is>
      </c>
      <c r="B19" t="inlineStr">
        <is>
          <t>PRADO SALES</t>
        </is>
      </c>
      <c r="C19" t="inlineStr">
        <is>
          <t>P &amp; F Family Construction</t>
        </is>
      </c>
      <c r="D19" t="inlineStr">
        <is>
          <t>Closed</t>
        </is>
      </c>
      <c r="E19" s="297" t="n">
        <v>45687</v>
      </c>
      <c r="F19" s="297" t="n">
        <v>45776</v>
      </c>
      <c r="G19" t="n">
        <v>6</v>
      </c>
      <c r="H19" t="inlineStr">
        <is>
          <t>1521</t>
        </is>
      </c>
      <c r="I19" t="inlineStr">
        <is>
          <t>15</t>
        </is>
      </c>
      <c r="J19" t="inlineStr">
        <is>
          <t>CA</t>
        </is>
      </c>
      <c r="K19" t="inlineStr">
        <is>
          <t>Merchant ReFi</t>
        </is>
      </c>
      <c r="L19" t="inlineStr">
        <is>
          <t>New Deal</t>
        </is>
      </c>
      <c r="M19" s="298" t="n">
        <v>1.49</v>
      </c>
      <c r="N19" s="299" t="n">
        <v>6000</v>
      </c>
      <c r="O19" s="299" t="n">
        <v>840</v>
      </c>
      <c r="P19" s="299" t="n">
        <v>8940</v>
      </c>
      <c r="Q19" s="299" t="n">
        <v>8940</v>
      </c>
      <c r="R19" s="299" t="n">
        <v>0</v>
      </c>
      <c r="S19" s="300" t="n">
        <v>1</v>
      </c>
      <c r="T19" t="n">
        <v>2.623</v>
      </c>
      <c r="U19" t="n">
        <v>0</v>
      </c>
      <c r="W19" s="300" t="n">
        <v>0.0835</v>
      </c>
      <c r="X19" s="297" t="n">
        <v>43739</v>
      </c>
      <c r="Y19">
        <f>IF(I19="","No SIC",IFERROR(VLOOKUP(I19,Ref!$A$2:$B$65,2,FALSE),"Unclassified"))</f>
        <v/>
      </c>
      <c r="Z19">
        <f>IF(T19="","",IF(T19&lt;12,"Daily","Weekly"))</f>
        <v/>
      </c>
      <c r="AA19">
        <f>IF(T19="",0,IF(T19&lt;12,T19*Controls!$B$29,T19*5))</f>
        <v/>
      </c>
      <c r="AB19">
        <f>IF(E19="",0,NETWORKDAYS(E19,Controls!$B$36,Ref!$K$2:$K$42))</f>
        <v/>
      </c>
      <c r="AC19">
        <f>IF(AND(AA19&gt;0,AB19&gt;=Controls!$B$39*AA19),1,0)</f>
        <v/>
      </c>
      <c r="AD19">
        <f>IF(AND(E19&lt;&gt;"",E19&gt;=Controls!$B$37,E19&lt;=Controls!$B$38),1,0)</f>
        <v/>
      </c>
      <c r="AE19">
        <f>IF(IFERROR(VLOOKUP(D19,Controls!$A$64:$E$74,2,FALSE),"No")="Yes",1,0)</f>
        <v/>
      </c>
      <c r="AF19">
        <f>IF(IFERROR(VLOOKUP(D19,Controls!$A$64:$E$74,3,FALSE),"No")="Yes",1,0)</f>
        <v/>
      </c>
      <c r="AG19">
        <f>IF(IFERROR(VLOOKUP(D19,Controls!$A$64:$E$74,4,FALSE),"No")="Yes",1,0)</f>
        <v/>
      </c>
      <c r="AH19">
        <f>IF(IFERROR(VLOOKUP(D19,Controls!$A$64:$E$74,5,FALSE),"No")="Yes",1,0)</f>
        <v/>
      </c>
      <c r="AI19">
        <f>IF(ISNUMBER(MATCH(D19,Controls!$A$64:$A$74,0)),1,0)</f>
        <v/>
      </c>
      <c r="AJ19">
        <f>Q19-N19</f>
        <v/>
      </c>
      <c r="AK19">
        <f>IF(AE19=1,MAX(0,N19-Q19),0)</f>
        <v/>
      </c>
      <c r="AL19">
        <f>IF(OR(V19="",V19=0),0,N19/V19)</f>
        <v/>
      </c>
      <c r="AM19">
        <f>IF(OR(V19="",V19=0),0,1)</f>
        <v/>
      </c>
      <c r="AN19">
        <f>IF(OR(E19="",F19=""),0,NETWORKDAYS(E19,F19,Ref!$K$2:$K$42))</f>
        <v/>
      </c>
      <c r="AO19">
        <f>IF(L19="Renewal",1,0)</f>
        <v/>
      </c>
      <c r="AP19">
        <f>AC19*AD19</f>
        <v/>
      </c>
      <c r="AQ19">
        <f>IF(AND(G19&lt;&gt;"",'Historical Score'!$C$6&lt;&gt;""),IF(G19='Historical Score'!$C$6,1,0),0)</f>
        <v/>
      </c>
      <c r="AR19">
        <f>IF(AND(L19&lt;&gt;"",'Historical Score'!$C$5&lt;&gt;""),IF(L19='Historical Score'!$C$5,1,0),0)</f>
        <v/>
      </c>
      <c r="AS19">
        <f>IF(AND(Y19&lt;&gt;"",'Historical Score'!$C$7&lt;&gt;""),IF(Y19='Historical Score'!$C$7,1,0),0)</f>
        <v/>
      </c>
      <c r="AT19">
        <f>IF(AND(K19&lt;&gt;"",'Historical Score'!$C$8&lt;&gt;""),IF(K19='Historical Score'!$C$8,1,0),0)</f>
        <v/>
      </c>
      <c r="AU19">
        <f>IF(AND(J19&lt;&gt;"",'Historical Score'!$C$9&lt;&gt;""),IF(J19='Historical Score'!$C$9,1,0),0)</f>
        <v/>
      </c>
      <c r="AV19">
        <f>AR19*AS19*AQ19</f>
        <v/>
      </c>
      <c r="AW19">
        <f>AR19*AT19*AQ19</f>
        <v/>
      </c>
      <c r="AX19">
        <f>AR19*AS19</f>
        <v/>
      </c>
      <c r="AY19">
        <f>AR19*AT19</f>
        <v/>
      </c>
      <c r="AZ19">
        <f>AR19*AQ19</f>
        <v/>
      </c>
      <c r="BA19">
        <f>AR19</f>
        <v/>
      </c>
      <c r="BB19">
        <f>1</f>
        <v/>
      </c>
      <c r="BC19">
        <f>IF(AV19=1,1,IF(AW19=1,2,IF(AX19=1,3,IF(AY19=1,4,IF(AZ19=1,5,IF(BA19=1,6,7))))))</f>
        <v/>
      </c>
      <c r="BD19">
        <f>IF(AD19=1,CHOOSE('Historical Score'!$C$29,AV19,AW19,AX19,AY19,AZ19,BA19,BB19),0)</f>
        <v/>
      </c>
      <c r="BE19">
        <f>IF(BD19=1,COUNTIF($BD$2:BD19,1),"")</f>
        <v/>
      </c>
    </row>
    <row r="20">
      <c r="A20" t="inlineStr">
        <is>
          <t>5674149282</t>
        </is>
      </c>
      <c r="B20" t="inlineStr">
        <is>
          <t>The Garrison</t>
        </is>
      </c>
      <c r="C20" t="inlineStr">
        <is>
          <t>Garrison Restaurant &amp; cocktail lounge llc</t>
        </is>
      </c>
      <c r="D20" t="inlineStr">
        <is>
          <t>Closed</t>
        </is>
      </c>
      <c r="E20" s="297" t="n">
        <v>45691</v>
      </c>
      <c r="F20" s="297" t="n">
        <v>45782</v>
      </c>
      <c r="G20" t="n">
        <v>1</v>
      </c>
      <c r="H20" t="inlineStr">
        <is>
          <t>5812</t>
        </is>
      </c>
      <c r="I20" t="inlineStr">
        <is>
          <t>58</t>
        </is>
      </c>
      <c r="J20" t="inlineStr">
        <is>
          <t>TX</t>
        </is>
      </c>
      <c r="K20" t="inlineStr">
        <is>
          <t>Platform Funding</t>
        </is>
      </c>
      <c r="L20" t="inlineStr">
        <is>
          <t>Renewal</t>
        </is>
      </c>
      <c r="M20" s="298" t="n">
        <v>1.35</v>
      </c>
      <c r="N20" s="299" t="n">
        <v>20000</v>
      </c>
      <c r="O20" s="299" t="n">
        <v>1400</v>
      </c>
      <c r="P20" s="299" t="n">
        <v>27000</v>
      </c>
      <c r="Q20" s="299" t="n">
        <v>27000</v>
      </c>
      <c r="R20" s="299" t="n">
        <v>0</v>
      </c>
      <c r="S20" s="300" t="n">
        <v>1</v>
      </c>
      <c r="T20" t="n">
        <v>2.623</v>
      </c>
      <c r="U20" t="n">
        <v>26</v>
      </c>
      <c r="W20" s="300" t="n">
        <v>0.0771</v>
      </c>
      <c r="X20" s="297" t="n">
        <v>44562</v>
      </c>
      <c r="Y20">
        <f>IF(I20="","No SIC",IFERROR(VLOOKUP(I20,Ref!$A$2:$B$65,2,FALSE),"Unclassified"))</f>
        <v/>
      </c>
      <c r="Z20">
        <f>IF(T20="","",IF(T20&lt;12,"Daily","Weekly"))</f>
        <v/>
      </c>
      <c r="AA20">
        <f>IF(T20="",0,IF(T20&lt;12,T20*Controls!$B$29,T20*5))</f>
        <v/>
      </c>
      <c r="AB20">
        <f>IF(E20="",0,NETWORKDAYS(E20,Controls!$B$36,Ref!$K$2:$K$42))</f>
        <v/>
      </c>
      <c r="AC20">
        <f>IF(AND(AA20&gt;0,AB20&gt;=Controls!$B$39*AA20),1,0)</f>
        <v/>
      </c>
      <c r="AD20">
        <f>IF(AND(E20&lt;&gt;"",E20&gt;=Controls!$B$37,E20&lt;=Controls!$B$38),1,0)</f>
        <v/>
      </c>
      <c r="AE20">
        <f>IF(IFERROR(VLOOKUP(D20,Controls!$A$64:$E$74,2,FALSE),"No")="Yes",1,0)</f>
        <v/>
      </c>
      <c r="AF20">
        <f>IF(IFERROR(VLOOKUP(D20,Controls!$A$64:$E$74,3,FALSE),"No")="Yes",1,0)</f>
        <v/>
      </c>
      <c r="AG20">
        <f>IF(IFERROR(VLOOKUP(D20,Controls!$A$64:$E$74,4,FALSE),"No")="Yes",1,0)</f>
        <v/>
      </c>
      <c r="AH20">
        <f>IF(IFERROR(VLOOKUP(D20,Controls!$A$64:$E$74,5,FALSE),"No")="Yes",1,0)</f>
        <v/>
      </c>
      <c r="AI20">
        <f>IF(ISNUMBER(MATCH(D20,Controls!$A$64:$A$74,0)),1,0)</f>
        <v/>
      </c>
      <c r="AJ20">
        <f>Q20-N20</f>
        <v/>
      </c>
      <c r="AK20">
        <f>IF(AE20=1,MAX(0,N20-Q20),0)</f>
        <v/>
      </c>
      <c r="AL20">
        <f>IF(OR(V20="",V20=0),0,N20/V20)</f>
        <v/>
      </c>
      <c r="AM20">
        <f>IF(OR(V20="",V20=0),0,1)</f>
        <v/>
      </c>
      <c r="AN20">
        <f>IF(OR(E20="",F20=""),0,NETWORKDAYS(E20,F20,Ref!$K$2:$K$42))</f>
        <v/>
      </c>
      <c r="AO20">
        <f>IF(L20="Renewal",1,0)</f>
        <v/>
      </c>
      <c r="AP20">
        <f>AC20*AD20</f>
        <v/>
      </c>
      <c r="AQ20">
        <f>IF(AND(G20&lt;&gt;"",'Historical Score'!$C$6&lt;&gt;""),IF(G20='Historical Score'!$C$6,1,0),0)</f>
        <v/>
      </c>
      <c r="AR20">
        <f>IF(AND(L20&lt;&gt;"",'Historical Score'!$C$5&lt;&gt;""),IF(L20='Historical Score'!$C$5,1,0),0)</f>
        <v/>
      </c>
      <c r="AS20">
        <f>IF(AND(Y20&lt;&gt;"",'Historical Score'!$C$7&lt;&gt;""),IF(Y20='Historical Score'!$C$7,1,0),0)</f>
        <v/>
      </c>
      <c r="AT20">
        <f>IF(AND(K20&lt;&gt;"",'Historical Score'!$C$8&lt;&gt;""),IF(K20='Historical Score'!$C$8,1,0),0)</f>
        <v/>
      </c>
      <c r="AU20">
        <f>IF(AND(J20&lt;&gt;"",'Historical Score'!$C$9&lt;&gt;""),IF(J20='Historical Score'!$C$9,1,0),0)</f>
        <v/>
      </c>
      <c r="AV20">
        <f>AR20*AS20*AQ20</f>
        <v/>
      </c>
      <c r="AW20">
        <f>AR20*AT20*AQ20</f>
        <v/>
      </c>
      <c r="AX20">
        <f>AR20*AS20</f>
        <v/>
      </c>
      <c r="AY20">
        <f>AR20*AT20</f>
        <v/>
      </c>
      <c r="AZ20">
        <f>AR20*AQ20</f>
        <v/>
      </c>
      <c r="BA20">
        <f>AR20</f>
        <v/>
      </c>
      <c r="BB20">
        <f>1</f>
        <v/>
      </c>
      <c r="BC20">
        <f>IF(AV20=1,1,IF(AW20=1,2,IF(AX20=1,3,IF(AY20=1,4,IF(AZ20=1,5,IF(BA20=1,6,7))))))</f>
        <v/>
      </c>
      <c r="BD20">
        <f>IF(AD20=1,CHOOSE('Historical Score'!$C$29,AV20,AW20,AX20,AY20,AZ20,BA20,BB20),0)</f>
        <v/>
      </c>
      <c r="BE20">
        <f>IF(BD20=1,COUNTIF($BD$2:BD20,1),"")</f>
        <v/>
      </c>
    </row>
    <row r="21">
      <c r="A21" t="inlineStr">
        <is>
          <t>5674149485</t>
        </is>
      </c>
      <c r="B21" t="inlineStr">
        <is>
          <t>Cloud IX salon</t>
        </is>
      </c>
      <c r="C21" t="inlineStr">
        <is>
          <t>IX llc</t>
        </is>
      </c>
      <c r="D21" t="inlineStr">
        <is>
          <t>Closed</t>
        </is>
      </c>
      <c r="E21" s="297" t="n">
        <v>45692</v>
      </c>
      <c r="F21" s="297" t="n">
        <v>45783</v>
      </c>
      <c r="G21" t="n">
        <v>4</v>
      </c>
      <c r="H21" t="inlineStr">
        <is>
          <t>7231</t>
        </is>
      </c>
      <c r="I21" t="inlineStr">
        <is>
          <t>72</t>
        </is>
      </c>
      <c r="J21" t="inlineStr">
        <is>
          <t>FL</t>
        </is>
      </c>
      <c r="K21" t="inlineStr">
        <is>
          <t>GREYSTONE</t>
        </is>
      </c>
      <c r="L21" t="inlineStr">
        <is>
          <t>Renewal</t>
        </is>
      </c>
      <c r="M21" s="298" t="n">
        <v>1.49</v>
      </c>
      <c r="N21" s="299" t="n">
        <v>15000</v>
      </c>
      <c r="O21" s="299" t="n">
        <v>2100</v>
      </c>
      <c r="P21" s="299" t="n">
        <v>22350</v>
      </c>
      <c r="Q21" s="299" t="n">
        <v>22350</v>
      </c>
      <c r="R21" s="299" t="n">
        <v>0</v>
      </c>
      <c r="S21" s="300" t="n">
        <v>1</v>
      </c>
      <c r="T21" t="n">
        <v>2.459</v>
      </c>
      <c r="U21" t="n">
        <v>1</v>
      </c>
      <c r="W21" s="300" t="n">
        <v>0.0553</v>
      </c>
      <c r="X21" s="297" t="n">
        <v>45402</v>
      </c>
      <c r="Y21">
        <f>IF(I21="","No SIC",IFERROR(VLOOKUP(I21,Ref!$A$2:$B$65,2,FALSE),"Unclassified"))</f>
        <v/>
      </c>
      <c r="Z21">
        <f>IF(T21="","",IF(T21&lt;12,"Daily","Weekly"))</f>
        <v/>
      </c>
      <c r="AA21">
        <f>IF(T21="",0,IF(T21&lt;12,T21*Controls!$B$29,T21*5))</f>
        <v/>
      </c>
      <c r="AB21">
        <f>IF(E21="",0,NETWORKDAYS(E21,Controls!$B$36,Ref!$K$2:$K$42))</f>
        <v/>
      </c>
      <c r="AC21">
        <f>IF(AND(AA21&gt;0,AB21&gt;=Controls!$B$39*AA21),1,0)</f>
        <v/>
      </c>
      <c r="AD21">
        <f>IF(AND(E21&lt;&gt;"",E21&gt;=Controls!$B$37,E21&lt;=Controls!$B$38),1,0)</f>
        <v/>
      </c>
      <c r="AE21">
        <f>IF(IFERROR(VLOOKUP(D21,Controls!$A$64:$E$74,2,FALSE),"No")="Yes",1,0)</f>
        <v/>
      </c>
      <c r="AF21">
        <f>IF(IFERROR(VLOOKUP(D21,Controls!$A$64:$E$74,3,FALSE),"No")="Yes",1,0)</f>
        <v/>
      </c>
      <c r="AG21">
        <f>IF(IFERROR(VLOOKUP(D21,Controls!$A$64:$E$74,4,FALSE),"No")="Yes",1,0)</f>
        <v/>
      </c>
      <c r="AH21">
        <f>IF(IFERROR(VLOOKUP(D21,Controls!$A$64:$E$74,5,FALSE),"No")="Yes",1,0)</f>
        <v/>
      </c>
      <c r="AI21">
        <f>IF(ISNUMBER(MATCH(D21,Controls!$A$64:$A$74,0)),1,0)</f>
        <v/>
      </c>
      <c r="AJ21">
        <f>Q21-N21</f>
        <v/>
      </c>
      <c r="AK21">
        <f>IF(AE21=1,MAX(0,N21-Q21),0)</f>
        <v/>
      </c>
      <c r="AL21">
        <f>IF(OR(V21="",V21=0),0,N21/V21)</f>
        <v/>
      </c>
      <c r="AM21">
        <f>IF(OR(V21="",V21=0),0,1)</f>
        <v/>
      </c>
      <c r="AN21">
        <f>IF(OR(E21="",F21=""),0,NETWORKDAYS(E21,F21,Ref!$K$2:$K$42))</f>
        <v/>
      </c>
      <c r="AO21">
        <f>IF(L21="Renewal",1,0)</f>
        <v/>
      </c>
      <c r="AP21">
        <f>AC21*AD21</f>
        <v/>
      </c>
      <c r="AQ21">
        <f>IF(AND(G21&lt;&gt;"",'Historical Score'!$C$6&lt;&gt;""),IF(G21='Historical Score'!$C$6,1,0),0)</f>
        <v/>
      </c>
      <c r="AR21">
        <f>IF(AND(L21&lt;&gt;"",'Historical Score'!$C$5&lt;&gt;""),IF(L21='Historical Score'!$C$5,1,0),0)</f>
        <v/>
      </c>
      <c r="AS21">
        <f>IF(AND(Y21&lt;&gt;"",'Historical Score'!$C$7&lt;&gt;""),IF(Y21='Historical Score'!$C$7,1,0),0)</f>
        <v/>
      </c>
      <c r="AT21">
        <f>IF(AND(K21&lt;&gt;"",'Historical Score'!$C$8&lt;&gt;""),IF(K21='Historical Score'!$C$8,1,0),0)</f>
        <v/>
      </c>
      <c r="AU21">
        <f>IF(AND(J21&lt;&gt;"",'Historical Score'!$C$9&lt;&gt;""),IF(J21='Historical Score'!$C$9,1,0),0)</f>
        <v/>
      </c>
      <c r="AV21">
        <f>AR21*AS21*AQ21</f>
        <v/>
      </c>
      <c r="AW21">
        <f>AR21*AT21*AQ21</f>
        <v/>
      </c>
      <c r="AX21">
        <f>AR21*AS21</f>
        <v/>
      </c>
      <c r="AY21">
        <f>AR21*AT21</f>
        <v/>
      </c>
      <c r="AZ21">
        <f>AR21*AQ21</f>
        <v/>
      </c>
      <c r="BA21">
        <f>AR21</f>
        <v/>
      </c>
      <c r="BB21">
        <f>1</f>
        <v/>
      </c>
      <c r="BC21">
        <f>IF(AV21=1,1,IF(AW21=1,2,IF(AX21=1,3,IF(AY21=1,4,IF(AZ21=1,5,IF(BA21=1,6,7))))))</f>
        <v/>
      </c>
      <c r="BD21">
        <f>IF(AD21=1,CHOOSE('Historical Score'!$C$29,AV21,AW21,AX21,AY21,AZ21,BA21,BB21),0)</f>
        <v/>
      </c>
      <c r="BE21">
        <f>IF(BD21=1,COUNTIF($BD$2:BD21,1),"")</f>
        <v/>
      </c>
    </row>
    <row r="22">
      <c r="A22" t="inlineStr">
        <is>
          <t>5674149599</t>
        </is>
      </c>
      <c r="B22" t="inlineStr">
        <is>
          <t>Robola Pizzeria</t>
        </is>
      </c>
      <c r="C22" t="inlineStr">
        <is>
          <t>AMC Fair Dealing</t>
        </is>
      </c>
      <c r="D22" t="inlineStr">
        <is>
          <t>Closed</t>
        </is>
      </c>
      <c r="E22" s="297" t="n">
        <v>45693</v>
      </c>
      <c r="F22" s="297" t="n">
        <v>45798</v>
      </c>
      <c r="G22" t="n">
        <v>6</v>
      </c>
      <c r="H22" t="inlineStr">
        <is>
          <t>5812</t>
        </is>
      </c>
      <c r="I22" t="inlineStr">
        <is>
          <t>58</t>
        </is>
      </c>
      <c r="J22" t="inlineStr">
        <is>
          <t>PA</t>
        </is>
      </c>
      <c r="K22" t="inlineStr">
        <is>
          <t>Splash</t>
        </is>
      </c>
      <c r="L22" t="inlineStr">
        <is>
          <t>Renewal</t>
        </is>
      </c>
      <c r="M22" s="298" t="n">
        <v>1.49</v>
      </c>
      <c r="N22" s="299" t="n">
        <v>5000</v>
      </c>
      <c r="O22" s="299" t="n">
        <v>700</v>
      </c>
      <c r="P22" s="299" t="n">
        <v>7450</v>
      </c>
      <c r="Q22" s="299" t="n">
        <v>7450</v>
      </c>
      <c r="R22" s="299" t="n">
        <v>0</v>
      </c>
      <c r="S22" s="300" t="n">
        <v>1</v>
      </c>
      <c r="T22" t="n">
        <v>2.459</v>
      </c>
      <c r="U22" t="n">
        <v>7</v>
      </c>
      <c r="W22" s="300" t="n">
        <v>0.12</v>
      </c>
      <c r="X22" s="297" t="n">
        <v>41030</v>
      </c>
      <c r="Y22">
        <f>IF(I22="","No SIC",IFERROR(VLOOKUP(I22,Ref!$A$2:$B$65,2,FALSE),"Unclassified"))</f>
        <v/>
      </c>
      <c r="Z22">
        <f>IF(T22="","",IF(T22&lt;12,"Daily","Weekly"))</f>
        <v/>
      </c>
      <c r="AA22">
        <f>IF(T22="",0,IF(T22&lt;12,T22*Controls!$B$29,T22*5))</f>
        <v/>
      </c>
      <c r="AB22">
        <f>IF(E22="",0,NETWORKDAYS(E22,Controls!$B$36,Ref!$K$2:$K$42))</f>
        <v/>
      </c>
      <c r="AC22">
        <f>IF(AND(AA22&gt;0,AB22&gt;=Controls!$B$39*AA22),1,0)</f>
        <v/>
      </c>
      <c r="AD22">
        <f>IF(AND(E22&lt;&gt;"",E22&gt;=Controls!$B$37,E22&lt;=Controls!$B$38),1,0)</f>
        <v/>
      </c>
      <c r="AE22">
        <f>IF(IFERROR(VLOOKUP(D22,Controls!$A$64:$E$74,2,FALSE),"No")="Yes",1,0)</f>
        <v/>
      </c>
      <c r="AF22">
        <f>IF(IFERROR(VLOOKUP(D22,Controls!$A$64:$E$74,3,FALSE),"No")="Yes",1,0)</f>
        <v/>
      </c>
      <c r="AG22">
        <f>IF(IFERROR(VLOOKUP(D22,Controls!$A$64:$E$74,4,FALSE),"No")="Yes",1,0)</f>
        <v/>
      </c>
      <c r="AH22">
        <f>IF(IFERROR(VLOOKUP(D22,Controls!$A$64:$E$74,5,FALSE),"No")="Yes",1,0)</f>
        <v/>
      </c>
      <c r="AI22">
        <f>IF(ISNUMBER(MATCH(D22,Controls!$A$64:$A$74,0)),1,0)</f>
        <v/>
      </c>
      <c r="AJ22">
        <f>Q22-N22</f>
        <v/>
      </c>
      <c r="AK22">
        <f>IF(AE22=1,MAX(0,N22-Q22),0)</f>
        <v/>
      </c>
      <c r="AL22">
        <f>IF(OR(V22="",V22=0),0,N22/V22)</f>
        <v/>
      </c>
      <c r="AM22">
        <f>IF(OR(V22="",V22=0),0,1)</f>
        <v/>
      </c>
      <c r="AN22">
        <f>IF(OR(E22="",F22=""),0,NETWORKDAYS(E22,F22,Ref!$K$2:$K$42))</f>
        <v/>
      </c>
      <c r="AO22">
        <f>IF(L22="Renewal",1,0)</f>
        <v/>
      </c>
      <c r="AP22">
        <f>AC22*AD22</f>
        <v/>
      </c>
      <c r="AQ22">
        <f>IF(AND(G22&lt;&gt;"",'Historical Score'!$C$6&lt;&gt;""),IF(G22='Historical Score'!$C$6,1,0),0)</f>
        <v/>
      </c>
      <c r="AR22">
        <f>IF(AND(L22&lt;&gt;"",'Historical Score'!$C$5&lt;&gt;""),IF(L22='Historical Score'!$C$5,1,0),0)</f>
        <v/>
      </c>
      <c r="AS22">
        <f>IF(AND(Y22&lt;&gt;"",'Historical Score'!$C$7&lt;&gt;""),IF(Y22='Historical Score'!$C$7,1,0),0)</f>
        <v/>
      </c>
      <c r="AT22">
        <f>IF(AND(K22&lt;&gt;"",'Historical Score'!$C$8&lt;&gt;""),IF(K22='Historical Score'!$C$8,1,0),0)</f>
        <v/>
      </c>
      <c r="AU22">
        <f>IF(AND(J22&lt;&gt;"",'Historical Score'!$C$9&lt;&gt;""),IF(J22='Historical Score'!$C$9,1,0),0)</f>
        <v/>
      </c>
      <c r="AV22">
        <f>AR22*AS22*AQ22</f>
        <v/>
      </c>
      <c r="AW22">
        <f>AR22*AT22*AQ22</f>
        <v/>
      </c>
      <c r="AX22">
        <f>AR22*AS22</f>
        <v/>
      </c>
      <c r="AY22">
        <f>AR22*AT22</f>
        <v/>
      </c>
      <c r="AZ22">
        <f>AR22*AQ22</f>
        <v/>
      </c>
      <c r="BA22">
        <f>AR22</f>
        <v/>
      </c>
      <c r="BB22">
        <f>1</f>
        <v/>
      </c>
      <c r="BC22">
        <f>IF(AV22=1,1,IF(AW22=1,2,IF(AX22=1,3,IF(AY22=1,4,IF(AZ22=1,5,IF(BA22=1,6,7))))))</f>
        <v/>
      </c>
      <c r="BD22">
        <f>IF(AD22=1,CHOOSE('Historical Score'!$C$29,AV22,AW22,AX22,AY22,AZ22,BA22,BB22),0)</f>
        <v/>
      </c>
      <c r="BE22">
        <f>IF(BD22=1,COUNTIF($BD$2:BD22,1),"")</f>
        <v/>
      </c>
    </row>
    <row r="23">
      <c r="A23" t="inlineStr">
        <is>
          <t>5674150031</t>
        </is>
      </c>
      <c r="B23" t="inlineStr">
        <is>
          <t>PLLC NA</t>
        </is>
      </c>
      <c r="C23" t="inlineStr">
        <is>
          <t>Living Tree New Braunfels</t>
        </is>
      </c>
      <c r="D23" t="inlineStr">
        <is>
          <t>Closed</t>
        </is>
      </c>
      <c r="E23" s="297" t="n">
        <v>45698</v>
      </c>
      <c r="F23" s="297" t="n">
        <v>45775</v>
      </c>
      <c r="G23" t="n">
        <v>4</v>
      </c>
      <c r="H23" t="inlineStr">
        <is>
          <t>8322</t>
        </is>
      </c>
      <c r="I23" t="inlineStr">
        <is>
          <t>83</t>
        </is>
      </c>
      <c r="J23" t="inlineStr">
        <is>
          <t>TX</t>
        </is>
      </c>
      <c r="K23" t="inlineStr">
        <is>
          <t>GREYSTONE</t>
        </is>
      </c>
      <c r="L23" t="inlineStr">
        <is>
          <t>New Deal</t>
        </is>
      </c>
      <c r="M23" s="298" t="n">
        <v>1.49</v>
      </c>
      <c r="N23" s="299" t="n">
        <v>10000</v>
      </c>
      <c r="O23" s="299" t="n">
        <v>1400</v>
      </c>
      <c r="P23" s="299" t="n">
        <v>14900</v>
      </c>
      <c r="Q23" s="299" t="n">
        <v>14900</v>
      </c>
      <c r="R23" s="299" t="n">
        <v>0</v>
      </c>
      <c r="S23" s="300" t="n">
        <v>1</v>
      </c>
      <c r="T23" t="n">
        <v>1.967</v>
      </c>
      <c r="U23" t="n">
        <v>0</v>
      </c>
      <c r="W23" s="300" t="n">
        <v>0.0696</v>
      </c>
      <c r="X23" s="297" t="n">
        <v>43525</v>
      </c>
      <c r="Y23">
        <f>IF(I23="","No SIC",IFERROR(VLOOKUP(I23,Ref!$A$2:$B$65,2,FALSE),"Unclassified"))</f>
        <v/>
      </c>
      <c r="Z23">
        <f>IF(T23="","",IF(T23&lt;12,"Daily","Weekly"))</f>
        <v/>
      </c>
      <c r="AA23">
        <f>IF(T23="",0,IF(T23&lt;12,T23*Controls!$B$29,T23*5))</f>
        <v/>
      </c>
      <c r="AB23">
        <f>IF(E23="",0,NETWORKDAYS(E23,Controls!$B$36,Ref!$K$2:$K$42))</f>
        <v/>
      </c>
      <c r="AC23">
        <f>IF(AND(AA23&gt;0,AB23&gt;=Controls!$B$39*AA23),1,0)</f>
        <v/>
      </c>
      <c r="AD23">
        <f>IF(AND(E23&lt;&gt;"",E23&gt;=Controls!$B$37,E23&lt;=Controls!$B$38),1,0)</f>
        <v/>
      </c>
      <c r="AE23">
        <f>IF(IFERROR(VLOOKUP(D23,Controls!$A$64:$E$74,2,FALSE),"No")="Yes",1,0)</f>
        <v/>
      </c>
      <c r="AF23">
        <f>IF(IFERROR(VLOOKUP(D23,Controls!$A$64:$E$74,3,FALSE),"No")="Yes",1,0)</f>
        <v/>
      </c>
      <c r="AG23">
        <f>IF(IFERROR(VLOOKUP(D23,Controls!$A$64:$E$74,4,FALSE),"No")="Yes",1,0)</f>
        <v/>
      </c>
      <c r="AH23">
        <f>IF(IFERROR(VLOOKUP(D23,Controls!$A$64:$E$74,5,FALSE),"No")="Yes",1,0)</f>
        <v/>
      </c>
      <c r="AI23">
        <f>IF(ISNUMBER(MATCH(D23,Controls!$A$64:$A$74,0)),1,0)</f>
        <v/>
      </c>
      <c r="AJ23">
        <f>Q23-N23</f>
        <v/>
      </c>
      <c r="AK23">
        <f>IF(AE23=1,MAX(0,N23-Q23),0)</f>
        <v/>
      </c>
      <c r="AL23">
        <f>IF(OR(V23="",V23=0),0,N23/V23)</f>
        <v/>
      </c>
      <c r="AM23">
        <f>IF(OR(V23="",V23=0),0,1)</f>
        <v/>
      </c>
      <c r="AN23">
        <f>IF(OR(E23="",F23=""),0,NETWORKDAYS(E23,F23,Ref!$K$2:$K$42))</f>
        <v/>
      </c>
      <c r="AO23">
        <f>IF(L23="Renewal",1,0)</f>
        <v/>
      </c>
      <c r="AP23">
        <f>AC23*AD23</f>
        <v/>
      </c>
      <c r="AQ23">
        <f>IF(AND(G23&lt;&gt;"",'Historical Score'!$C$6&lt;&gt;""),IF(G23='Historical Score'!$C$6,1,0),0)</f>
        <v/>
      </c>
      <c r="AR23">
        <f>IF(AND(L23&lt;&gt;"",'Historical Score'!$C$5&lt;&gt;""),IF(L23='Historical Score'!$C$5,1,0),0)</f>
        <v/>
      </c>
      <c r="AS23">
        <f>IF(AND(Y23&lt;&gt;"",'Historical Score'!$C$7&lt;&gt;""),IF(Y23='Historical Score'!$C$7,1,0),0)</f>
        <v/>
      </c>
      <c r="AT23">
        <f>IF(AND(K23&lt;&gt;"",'Historical Score'!$C$8&lt;&gt;""),IF(K23='Historical Score'!$C$8,1,0),0)</f>
        <v/>
      </c>
      <c r="AU23">
        <f>IF(AND(J23&lt;&gt;"",'Historical Score'!$C$9&lt;&gt;""),IF(J23='Historical Score'!$C$9,1,0),0)</f>
        <v/>
      </c>
      <c r="AV23">
        <f>AR23*AS23*AQ23</f>
        <v/>
      </c>
      <c r="AW23">
        <f>AR23*AT23*AQ23</f>
        <v/>
      </c>
      <c r="AX23">
        <f>AR23*AS23</f>
        <v/>
      </c>
      <c r="AY23">
        <f>AR23*AT23</f>
        <v/>
      </c>
      <c r="AZ23">
        <f>AR23*AQ23</f>
        <v/>
      </c>
      <c r="BA23">
        <f>AR23</f>
        <v/>
      </c>
      <c r="BB23">
        <f>1</f>
        <v/>
      </c>
      <c r="BC23">
        <f>IF(AV23=1,1,IF(AW23=1,2,IF(AX23=1,3,IF(AY23=1,4,IF(AZ23=1,5,IF(BA23=1,6,7))))))</f>
        <v/>
      </c>
      <c r="BD23">
        <f>IF(AD23=1,CHOOSE('Historical Score'!$C$29,AV23,AW23,AX23,AY23,AZ23,BA23,BB23),0)</f>
        <v/>
      </c>
      <c r="BE23">
        <f>IF(BD23=1,COUNTIF($BD$2:BD23,1),"")</f>
        <v/>
      </c>
    </row>
    <row r="24">
      <c r="A24" t="inlineStr">
        <is>
          <t>5674150191</t>
        </is>
      </c>
      <c r="B24" t="inlineStr">
        <is>
          <t>Miranda shine corp</t>
        </is>
      </c>
      <c r="C24" t="inlineStr">
        <is>
          <t>Miranda shine corp</t>
        </is>
      </c>
      <c r="D24" t="inlineStr">
        <is>
          <t>Closed</t>
        </is>
      </c>
      <c r="E24" s="297" t="n">
        <v>45700</v>
      </c>
      <c r="F24" s="297" t="n">
        <v>45772</v>
      </c>
      <c r="G24" t="n">
        <v>1</v>
      </c>
      <c r="H24" t="inlineStr">
        <is>
          <t>7349</t>
        </is>
      </c>
      <c r="I24" t="inlineStr">
        <is>
          <t>73</t>
        </is>
      </c>
      <c r="J24" t="inlineStr">
        <is>
          <t>MA</t>
        </is>
      </c>
      <c r="K24" t="inlineStr">
        <is>
          <t>Tip Top Capital</t>
        </is>
      </c>
      <c r="L24" t="inlineStr">
        <is>
          <t>New Deal</t>
        </is>
      </c>
      <c r="M24" s="298" t="n">
        <v>1.499</v>
      </c>
      <c r="N24" s="299" t="n">
        <v>5000</v>
      </c>
      <c r="O24" s="299" t="n">
        <v>700</v>
      </c>
      <c r="P24" s="299" t="n">
        <v>7495</v>
      </c>
      <c r="Q24" s="299" t="n">
        <v>7495</v>
      </c>
      <c r="R24" s="299" t="n">
        <v>9.09494701772928e-13</v>
      </c>
      <c r="S24" s="300" t="n">
        <v>1</v>
      </c>
      <c r="T24" t="n">
        <v>2.295</v>
      </c>
      <c r="U24" t="n">
        <v>1</v>
      </c>
      <c r="W24" s="300" t="n">
        <v>0.05</v>
      </c>
      <c r="X24" s="297" t="n">
        <v>45026</v>
      </c>
      <c r="Y24">
        <f>IF(I24="","No SIC",IFERROR(VLOOKUP(I24,Ref!$A$2:$B$65,2,FALSE),"Unclassified"))</f>
        <v/>
      </c>
      <c r="Z24">
        <f>IF(T24="","",IF(T24&lt;12,"Daily","Weekly"))</f>
        <v/>
      </c>
      <c r="AA24">
        <f>IF(T24="",0,IF(T24&lt;12,T24*Controls!$B$29,T24*5))</f>
        <v/>
      </c>
      <c r="AB24">
        <f>IF(E24="",0,NETWORKDAYS(E24,Controls!$B$36,Ref!$K$2:$K$42))</f>
        <v/>
      </c>
      <c r="AC24">
        <f>IF(AND(AA24&gt;0,AB24&gt;=Controls!$B$39*AA24),1,0)</f>
        <v/>
      </c>
      <c r="AD24">
        <f>IF(AND(E24&lt;&gt;"",E24&gt;=Controls!$B$37,E24&lt;=Controls!$B$38),1,0)</f>
        <v/>
      </c>
      <c r="AE24">
        <f>IF(IFERROR(VLOOKUP(D24,Controls!$A$64:$E$74,2,FALSE),"No")="Yes",1,0)</f>
        <v/>
      </c>
      <c r="AF24">
        <f>IF(IFERROR(VLOOKUP(D24,Controls!$A$64:$E$74,3,FALSE),"No")="Yes",1,0)</f>
        <v/>
      </c>
      <c r="AG24">
        <f>IF(IFERROR(VLOOKUP(D24,Controls!$A$64:$E$74,4,FALSE),"No")="Yes",1,0)</f>
        <v/>
      </c>
      <c r="AH24">
        <f>IF(IFERROR(VLOOKUP(D24,Controls!$A$64:$E$74,5,FALSE),"No")="Yes",1,0)</f>
        <v/>
      </c>
      <c r="AI24">
        <f>IF(ISNUMBER(MATCH(D24,Controls!$A$64:$A$74,0)),1,0)</f>
        <v/>
      </c>
      <c r="AJ24">
        <f>Q24-N24</f>
        <v/>
      </c>
      <c r="AK24">
        <f>IF(AE24=1,MAX(0,N24-Q24),0)</f>
        <v/>
      </c>
      <c r="AL24">
        <f>IF(OR(V24="",V24=0),0,N24/V24)</f>
        <v/>
      </c>
      <c r="AM24">
        <f>IF(OR(V24="",V24=0),0,1)</f>
        <v/>
      </c>
      <c r="AN24">
        <f>IF(OR(E24="",F24=""),0,NETWORKDAYS(E24,F24,Ref!$K$2:$K$42))</f>
        <v/>
      </c>
      <c r="AO24">
        <f>IF(L24="Renewal",1,0)</f>
        <v/>
      </c>
      <c r="AP24">
        <f>AC24*AD24</f>
        <v/>
      </c>
      <c r="AQ24">
        <f>IF(AND(G24&lt;&gt;"",'Historical Score'!$C$6&lt;&gt;""),IF(G24='Historical Score'!$C$6,1,0),0)</f>
        <v/>
      </c>
      <c r="AR24">
        <f>IF(AND(L24&lt;&gt;"",'Historical Score'!$C$5&lt;&gt;""),IF(L24='Historical Score'!$C$5,1,0),0)</f>
        <v/>
      </c>
      <c r="AS24">
        <f>IF(AND(Y24&lt;&gt;"",'Historical Score'!$C$7&lt;&gt;""),IF(Y24='Historical Score'!$C$7,1,0),0)</f>
        <v/>
      </c>
      <c r="AT24">
        <f>IF(AND(K24&lt;&gt;"",'Historical Score'!$C$8&lt;&gt;""),IF(K24='Historical Score'!$C$8,1,0),0)</f>
        <v/>
      </c>
      <c r="AU24">
        <f>IF(AND(J24&lt;&gt;"",'Historical Score'!$C$9&lt;&gt;""),IF(J24='Historical Score'!$C$9,1,0),0)</f>
        <v/>
      </c>
      <c r="AV24">
        <f>AR24*AS24*AQ24</f>
        <v/>
      </c>
      <c r="AW24">
        <f>AR24*AT24*AQ24</f>
        <v/>
      </c>
      <c r="AX24">
        <f>AR24*AS24</f>
        <v/>
      </c>
      <c r="AY24">
        <f>AR24*AT24</f>
        <v/>
      </c>
      <c r="AZ24">
        <f>AR24*AQ24</f>
        <v/>
      </c>
      <c r="BA24">
        <f>AR24</f>
        <v/>
      </c>
      <c r="BB24">
        <f>1</f>
        <v/>
      </c>
      <c r="BC24">
        <f>IF(AV24=1,1,IF(AW24=1,2,IF(AX24=1,3,IF(AY24=1,4,IF(AZ24=1,5,IF(BA24=1,6,7))))))</f>
        <v/>
      </c>
      <c r="BD24">
        <f>IF(AD24=1,CHOOSE('Historical Score'!$C$29,AV24,AW24,AX24,AY24,AZ24,BA24,BB24),0)</f>
        <v/>
      </c>
      <c r="BE24">
        <f>IF(BD24=1,COUNTIF($BD$2:BD24,1),"")</f>
        <v/>
      </c>
    </row>
    <row r="25">
      <c r="A25" t="inlineStr">
        <is>
          <t>5674150528</t>
        </is>
      </c>
      <c r="B25" t="inlineStr">
        <is>
          <t>Concrete Design Solutions</t>
        </is>
      </c>
      <c r="C25" t="inlineStr">
        <is>
          <t>Concrete Design Solutions</t>
        </is>
      </c>
      <c r="D25" t="inlineStr">
        <is>
          <t>Legal</t>
        </is>
      </c>
      <c r="E25" s="297" t="n">
        <v>45702</v>
      </c>
      <c r="F25" s="297" t="n">
        <v>45820</v>
      </c>
      <c r="G25" t="n">
        <v>3</v>
      </c>
      <c r="H25" t="inlineStr">
        <is>
          <t>1611</t>
        </is>
      </c>
      <c r="I25" t="inlineStr">
        <is>
          <t>16</t>
        </is>
      </c>
      <c r="J25" t="inlineStr">
        <is>
          <t>LA</t>
        </is>
      </c>
      <c r="K25" t="inlineStr">
        <is>
          <t>Splash</t>
        </is>
      </c>
      <c r="L25" t="inlineStr">
        <is>
          <t>Renewal</t>
        </is>
      </c>
      <c r="M25" s="298" t="n">
        <v>1.49</v>
      </c>
      <c r="N25" s="299" t="n">
        <v>22500</v>
      </c>
      <c r="O25" s="299" t="n">
        <v>3150</v>
      </c>
      <c r="P25" s="299" t="n">
        <v>33525</v>
      </c>
      <c r="Q25" s="299" t="n">
        <v>3924.41</v>
      </c>
      <c r="R25" s="299" t="n">
        <v>29600.59</v>
      </c>
      <c r="S25" s="300" t="n">
        <v>0.117059209545116</v>
      </c>
      <c r="T25" t="n">
        <v>28</v>
      </c>
      <c r="U25" t="n">
        <v>4</v>
      </c>
      <c r="W25" s="300" t="n">
        <v>0.1251</v>
      </c>
      <c r="X25" s="297" t="n">
        <v>39932</v>
      </c>
      <c r="Y25">
        <f>IF(I25="","No SIC",IFERROR(VLOOKUP(I25,Ref!$A$2:$B$65,2,FALSE),"Unclassified"))</f>
        <v/>
      </c>
      <c r="Z25">
        <f>IF(T25="","",IF(T25&lt;12,"Daily","Weekly"))</f>
        <v/>
      </c>
      <c r="AA25">
        <f>IF(T25="",0,IF(T25&lt;12,T25*Controls!$B$29,T25*5))</f>
        <v/>
      </c>
      <c r="AB25">
        <f>IF(E25="",0,NETWORKDAYS(E25,Controls!$B$36,Ref!$K$2:$K$42))</f>
        <v/>
      </c>
      <c r="AC25">
        <f>IF(AND(AA25&gt;0,AB25&gt;=Controls!$B$39*AA25),1,0)</f>
        <v/>
      </c>
      <c r="AD25">
        <f>IF(AND(E25&lt;&gt;"",E25&gt;=Controls!$B$37,E25&lt;=Controls!$B$38),1,0)</f>
        <v/>
      </c>
      <c r="AE25">
        <f>IF(IFERROR(VLOOKUP(D25,Controls!$A$64:$E$74,2,FALSE),"No")="Yes",1,0)</f>
        <v/>
      </c>
      <c r="AF25">
        <f>IF(IFERROR(VLOOKUP(D25,Controls!$A$64:$E$74,3,FALSE),"No")="Yes",1,0)</f>
        <v/>
      </c>
      <c r="AG25">
        <f>IF(IFERROR(VLOOKUP(D25,Controls!$A$64:$E$74,4,FALSE),"No")="Yes",1,0)</f>
        <v/>
      </c>
      <c r="AH25">
        <f>IF(IFERROR(VLOOKUP(D25,Controls!$A$64:$E$74,5,FALSE),"No")="Yes",1,0)</f>
        <v/>
      </c>
      <c r="AI25">
        <f>IF(ISNUMBER(MATCH(D25,Controls!$A$64:$A$74,0)),1,0)</f>
        <v/>
      </c>
      <c r="AJ25">
        <f>Q25-N25</f>
        <v/>
      </c>
      <c r="AK25">
        <f>IF(AE25=1,MAX(0,N25-Q25),0)</f>
        <v/>
      </c>
      <c r="AL25">
        <f>IF(OR(V25="",V25=0),0,N25/V25)</f>
        <v/>
      </c>
      <c r="AM25">
        <f>IF(OR(V25="",V25=0),0,1)</f>
        <v/>
      </c>
      <c r="AN25">
        <f>IF(OR(E25="",F25=""),0,NETWORKDAYS(E25,F25,Ref!$K$2:$K$42))</f>
        <v/>
      </c>
      <c r="AO25">
        <f>IF(L25="Renewal",1,0)</f>
        <v/>
      </c>
      <c r="AP25">
        <f>AC25*AD25</f>
        <v/>
      </c>
      <c r="AQ25">
        <f>IF(AND(G25&lt;&gt;"",'Historical Score'!$C$6&lt;&gt;""),IF(G25='Historical Score'!$C$6,1,0),0)</f>
        <v/>
      </c>
      <c r="AR25">
        <f>IF(AND(L25&lt;&gt;"",'Historical Score'!$C$5&lt;&gt;""),IF(L25='Historical Score'!$C$5,1,0),0)</f>
        <v/>
      </c>
      <c r="AS25">
        <f>IF(AND(Y25&lt;&gt;"",'Historical Score'!$C$7&lt;&gt;""),IF(Y25='Historical Score'!$C$7,1,0),0)</f>
        <v/>
      </c>
      <c r="AT25">
        <f>IF(AND(K25&lt;&gt;"",'Historical Score'!$C$8&lt;&gt;""),IF(K25='Historical Score'!$C$8,1,0),0)</f>
        <v/>
      </c>
      <c r="AU25">
        <f>IF(AND(J25&lt;&gt;"",'Historical Score'!$C$9&lt;&gt;""),IF(J25='Historical Score'!$C$9,1,0),0)</f>
        <v/>
      </c>
      <c r="AV25">
        <f>AR25*AS25*AQ25</f>
        <v/>
      </c>
      <c r="AW25">
        <f>AR25*AT25*AQ25</f>
        <v/>
      </c>
      <c r="AX25">
        <f>AR25*AS25</f>
        <v/>
      </c>
      <c r="AY25">
        <f>AR25*AT25</f>
        <v/>
      </c>
      <c r="AZ25">
        <f>AR25*AQ25</f>
        <v/>
      </c>
      <c r="BA25">
        <f>AR25</f>
        <v/>
      </c>
      <c r="BB25">
        <f>1</f>
        <v/>
      </c>
      <c r="BC25">
        <f>IF(AV25=1,1,IF(AW25=1,2,IF(AX25=1,3,IF(AY25=1,4,IF(AZ25=1,5,IF(BA25=1,6,7))))))</f>
        <v/>
      </c>
      <c r="BD25">
        <f>IF(AD25=1,CHOOSE('Historical Score'!$C$29,AV25,AW25,AX25,AY25,AZ25,BA25,BB25),0)</f>
        <v/>
      </c>
      <c r="BE25">
        <f>IF(BD25=1,COUNTIF($BD$2:BD25,1),"")</f>
        <v/>
      </c>
    </row>
    <row r="26">
      <c r="A26" t="inlineStr">
        <is>
          <t>5674150533</t>
        </is>
      </c>
      <c r="B26" t="inlineStr">
        <is>
          <t>SIMPLY BEDLINERS &amp; MINOR AUTO BODY REPAIR</t>
        </is>
      </c>
      <c r="C26" t="inlineStr">
        <is>
          <t>SIMPLY BEDLINERS &amp; MINOR AUTO BODY REPAIR L.L.P.</t>
        </is>
      </c>
      <c r="D26" t="inlineStr">
        <is>
          <t>Legal</t>
        </is>
      </c>
      <c r="E26" s="297" t="n">
        <v>45702</v>
      </c>
      <c r="F26" s="297" t="n">
        <v>45735</v>
      </c>
      <c r="G26" t="n">
        <v>4</v>
      </c>
      <c r="H26" t="inlineStr">
        <is>
          <t>7532</t>
        </is>
      </c>
      <c r="I26" t="inlineStr">
        <is>
          <t>75</t>
        </is>
      </c>
      <c r="J26" t="inlineStr">
        <is>
          <t>AZ</t>
        </is>
      </c>
      <c r="K26" t="inlineStr">
        <is>
          <t>The Funding Channel</t>
        </is>
      </c>
      <c r="L26" t="inlineStr">
        <is>
          <t>Renewal</t>
        </is>
      </c>
      <c r="M26" s="298" t="n">
        <v>1.49</v>
      </c>
      <c r="N26" s="299" t="n">
        <v>20000</v>
      </c>
      <c r="O26" s="299" t="n">
        <v>2800</v>
      </c>
      <c r="P26" s="299" t="n">
        <v>29800</v>
      </c>
      <c r="Q26" s="299" t="n">
        <v>5962.36</v>
      </c>
      <c r="R26" s="299" t="n">
        <v>23837.64</v>
      </c>
      <c r="S26" s="300" t="n">
        <v>0.200079194630873</v>
      </c>
      <c r="T26" t="n">
        <v>20</v>
      </c>
      <c r="U26" t="n">
        <v>1</v>
      </c>
      <c r="W26" s="300" t="n">
        <v>0.0964</v>
      </c>
      <c r="X26" s="297" t="n">
        <v>43617</v>
      </c>
      <c r="Y26">
        <f>IF(I26="","No SIC",IFERROR(VLOOKUP(I26,Ref!$A$2:$B$65,2,FALSE),"Unclassified"))</f>
        <v/>
      </c>
      <c r="Z26">
        <f>IF(T26="","",IF(T26&lt;12,"Daily","Weekly"))</f>
        <v/>
      </c>
      <c r="AA26">
        <f>IF(T26="",0,IF(T26&lt;12,T26*Controls!$B$29,T26*5))</f>
        <v/>
      </c>
      <c r="AB26">
        <f>IF(E26="",0,NETWORKDAYS(E26,Controls!$B$36,Ref!$K$2:$K$42))</f>
        <v/>
      </c>
      <c r="AC26">
        <f>IF(AND(AA26&gt;0,AB26&gt;=Controls!$B$39*AA26),1,0)</f>
        <v/>
      </c>
      <c r="AD26">
        <f>IF(AND(E26&lt;&gt;"",E26&gt;=Controls!$B$37,E26&lt;=Controls!$B$38),1,0)</f>
        <v/>
      </c>
      <c r="AE26">
        <f>IF(IFERROR(VLOOKUP(D26,Controls!$A$64:$E$74,2,FALSE),"No")="Yes",1,0)</f>
        <v/>
      </c>
      <c r="AF26">
        <f>IF(IFERROR(VLOOKUP(D26,Controls!$A$64:$E$74,3,FALSE),"No")="Yes",1,0)</f>
        <v/>
      </c>
      <c r="AG26">
        <f>IF(IFERROR(VLOOKUP(D26,Controls!$A$64:$E$74,4,FALSE),"No")="Yes",1,0)</f>
        <v/>
      </c>
      <c r="AH26">
        <f>IF(IFERROR(VLOOKUP(D26,Controls!$A$64:$E$74,5,FALSE),"No")="Yes",1,0)</f>
        <v/>
      </c>
      <c r="AI26">
        <f>IF(ISNUMBER(MATCH(D26,Controls!$A$64:$A$74,0)),1,0)</f>
        <v/>
      </c>
      <c r="AJ26">
        <f>Q26-N26</f>
        <v/>
      </c>
      <c r="AK26">
        <f>IF(AE26=1,MAX(0,N26-Q26),0)</f>
        <v/>
      </c>
      <c r="AL26">
        <f>IF(OR(V26="",V26=0),0,N26/V26)</f>
        <v/>
      </c>
      <c r="AM26">
        <f>IF(OR(V26="",V26=0),0,1)</f>
        <v/>
      </c>
      <c r="AN26">
        <f>IF(OR(E26="",F26=""),0,NETWORKDAYS(E26,F26,Ref!$K$2:$K$42))</f>
        <v/>
      </c>
      <c r="AO26">
        <f>IF(L26="Renewal",1,0)</f>
        <v/>
      </c>
      <c r="AP26">
        <f>AC26*AD26</f>
        <v/>
      </c>
      <c r="AQ26">
        <f>IF(AND(G26&lt;&gt;"",'Historical Score'!$C$6&lt;&gt;""),IF(G26='Historical Score'!$C$6,1,0),0)</f>
        <v/>
      </c>
      <c r="AR26">
        <f>IF(AND(L26&lt;&gt;"",'Historical Score'!$C$5&lt;&gt;""),IF(L26='Historical Score'!$C$5,1,0),0)</f>
        <v/>
      </c>
      <c r="AS26">
        <f>IF(AND(Y26&lt;&gt;"",'Historical Score'!$C$7&lt;&gt;""),IF(Y26='Historical Score'!$C$7,1,0),0)</f>
        <v/>
      </c>
      <c r="AT26">
        <f>IF(AND(K26&lt;&gt;"",'Historical Score'!$C$8&lt;&gt;""),IF(K26='Historical Score'!$C$8,1,0),0)</f>
        <v/>
      </c>
      <c r="AU26">
        <f>IF(AND(J26&lt;&gt;"",'Historical Score'!$C$9&lt;&gt;""),IF(J26='Historical Score'!$C$9,1,0),0)</f>
        <v/>
      </c>
      <c r="AV26">
        <f>AR26*AS26*AQ26</f>
        <v/>
      </c>
      <c r="AW26">
        <f>AR26*AT26*AQ26</f>
        <v/>
      </c>
      <c r="AX26">
        <f>AR26*AS26</f>
        <v/>
      </c>
      <c r="AY26">
        <f>AR26*AT26</f>
        <v/>
      </c>
      <c r="AZ26">
        <f>AR26*AQ26</f>
        <v/>
      </c>
      <c r="BA26">
        <f>AR26</f>
        <v/>
      </c>
      <c r="BB26">
        <f>1</f>
        <v/>
      </c>
      <c r="BC26">
        <f>IF(AV26=1,1,IF(AW26=1,2,IF(AX26=1,3,IF(AY26=1,4,IF(AZ26=1,5,IF(BA26=1,6,7))))))</f>
        <v/>
      </c>
      <c r="BD26">
        <f>IF(AD26=1,CHOOSE('Historical Score'!$C$29,AV26,AW26,AX26,AY26,AZ26,BA26,BB26),0)</f>
        <v/>
      </c>
      <c r="BE26">
        <f>IF(BD26=1,COUNTIF($BD$2:BD26,1),"")</f>
        <v/>
      </c>
    </row>
    <row r="27">
      <c r="A27" t="inlineStr">
        <is>
          <t>5674150572</t>
        </is>
      </c>
      <c r="B27" t="inlineStr">
        <is>
          <t>B &amp; G Trucking LLC</t>
        </is>
      </c>
      <c r="C27" t="inlineStr">
        <is>
          <t>B &amp; G Trucking LLC</t>
        </is>
      </c>
      <c r="D27" t="inlineStr">
        <is>
          <t>Legal</t>
        </is>
      </c>
      <c r="E27" s="297" t="n">
        <v>45702</v>
      </c>
      <c r="F27" s="297" t="n">
        <v>45715</v>
      </c>
      <c r="G27" t="n">
        <v>3</v>
      </c>
      <c r="H27" t="inlineStr">
        <is>
          <t>4212</t>
        </is>
      </c>
      <c r="I27" t="inlineStr">
        <is>
          <t>42</t>
        </is>
      </c>
      <c r="J27" t="inlineStr">
        <is>
          <t>IL</t>
        </is>
      </c>
      <c r="K27" t="inlineStr">
        <is>
          <t>Tip Top Capital</t>
        </is>
      </c>
      <c r="L27" t="inlineStr">
        <is>
          <t>New Deal</t>
        </is>
      </c>
      <c r="M27" s="298" t="n">
        <v>1.35</v>
      </c>
      <c r="N27" s="299" t="n">
        <v>10000</v>
      </c>
      <c r="O27" s="299" t="n">
        <v>0</v>
      </c>
      <c r="P27" s="299" t="n">
        <v>13500</v>
      </c>
      <c r="Q27" s="299" t="n">
        <v>843.2</v>
      </c>
      <c r="R27" s="299" t="n">
        <v>12656.8</v>
      </c>
      <c r="S27" s="300" t="n">
        <v>0.0624592592592593</v>
      </c>
      <c r="T27" t="n">
        <v>2.623</v>
      </c>
      <c r="U27" t="n">
        <v>3</v>
      </c>
      <c r="W27" s="300" t="n">
        <v>0.0689</v>
      </c>
      <c r="X27" s="297" t="n">
        <v>43894</v>
      </c>
      <c r="Y27">
        <f>IF(I27="","No SIC",IFERROR(VLOOKUP(I27,Ref!$A$2:$B$65,2,FALSE),"Unclassified"))</f>
        <v/>
      </c>
      <c r="Z27">
        <f>IF(T27="","",IF(T27&lt;12,"Daily","Weekly"))</f>
        <v/>
      </c>
      <c r="AA27">
        <f>IF(T27="",0,IF(T27&lt;12,T27*Controls!$B$29,T27*5))</f>
        <v/>
      </c>
      <c r="AB27">
        <f>IF(E27="",0,NETWORKDAYS(E27,Controls!$B$36,Ref!$K$2:$K$42))</f>
        <v/>
      </c>
      <c r="AC27">
        <f>IF(AND(AA27&gt;0,AB27&gt;=Controls!$B$39*AA27),1,0)</f>
        <v/>
      </c>
      <c r="AD27">
        <f>IF(AND(E27&lt;&gt;"",E27&gt;=Controls!$B$37,E27&lt;=Controls!$B$38),1,0)</f>
        <v/>
      </c>
      <c r="AE27">
        <f>IF(IFERROR(VLOOKUP(D27,Controls!$A$64:$E$74,2,FALSE),"No")="Yes",1,0)</f>
        <v/>
      </c>
      <c r="AF27">
        <f>IF(IFERROR(VLOOKUP(D27,Controls!$A$64:$E$74,3,FALSE),"No")="Yes",1,0)</f>
        <v/>
      </c>
      <c r="AG27">
        <f>IF(IFERROR(VLOOKUP(D27,Controls!$A$64:$E$74,4,FALSE),"No")="Yes",1,0)</f>
        <v/>
      </c>
      <c r="AH27">
        <f>IF(IFERROR(VLOOKUP(D27,Controls!$A$64:$E$74,5,FALSE),"No")="Yes",1,0)</f>
        <v/>
      </c>
      <c r="AI27">
        <f>IF(ISNUMBER(MATCH(D27,Controls!$A$64:$A$74,0)),1,0)</f>
        <v/>
      </c>
      <c r="AJ27">
        <f>Q27-N27</f>
        <v/>
      </c>
      <c r="AK27">
        <f>IF(AE27=1,MAX(0,N27-Q27),0)</f>
        <v/>
      </c>
      <c r="AL27">
        <f>IF(OR(V27="",V27=0),0,N27/V27)</f>
        <v/>
      </c>
      <c r="AM27">
        <f>IF(OR(V27="",V27=0),0,1)</f>
        <v/>
      </c>
      <c r="AN27">
        <f>IF(OR(E27="",F27=""),0,NETWORKDAYS(E27,F27,Ref!$K$2:$K$42))</f>
        <v/>
      </c>
      <c r="AO27">
        <f>IF(L27="Renewal",1,0)</f>
        <v/>
      </c>
      <c r="AP27">
        <f>AC27*AD27</f>
        <v/>
      </c>
      <c r="AQ27">
        <f>IF(AND(G27&lt;&gt;"",'Historical Score'!$C$6&lt;&gt;""),IF(G27='Historical Score'!$C$6,1,0),0)</f>
        <v/>
      </c>
      <c r="AR27">
        <f>IF(AND(L27&lt;&gt;"",'Historical Score'!$C$5&lt;&gt;""),IF(L27='Historical Score'!$C$5,1,0),0)</f>
        <v/>
      </c>
      <c r="AS27">
        <f>IF(AND(Y27&lt;&gt;"",'Historical Score'!$C$7&lt;&gt;""),IF(Y27='Historical Score'!$C$7,1,0),0)</f>
        <v/>
      </c>
      <c r="AT27">
        <f>IF(AND(K27&lt;&gt;"",'Historical Score'!$C$8&lt;&gt;""),IF(K27='Historical Score'!$C$8,1,0),0)</f>
        <v/>
      </c>
      <c r="AU27">
        <f>IF(AND(J27&lt;&gt;"",'Historical Score'!$C$9&lt;&gt;""),IF(J27='Historical Score'!$C$9,1,0),0)</f>
        <v/>
      </c>
      <c r="AV27">
        <f>AR27*AS27*AQ27</f>
        <v/>
      </c>
      <c r="AW27">
        <f>AR27*AT27*AQ27</f>
        <v/>
      </c>
      <c r="AX27">
        <f>AR27*AS27</f>
        <v/>
      </c>
      <c r="AY27">
        <f>AR27*AT27</f>
        <v/>
      </c>
      <c r="AZ27">
        <f>AR27*AQ27</f>
        <v/>
      </c>
      <c r="BA27">
        <f>AR27</f>
        <v/>
      </c>
      <c r="BB27">
        <f>1</f>
        <v/>
      </c>
      <c r="BC27">
        <f>IF(AV27=1,1,IF(AW27=1,2,IF(AX27=1,3,IF(AY27=1,4,IF(AZ27=1,5,IF(BA27=1,6,7))))))</f>
        <v/>
      </c>
      <c r="BD27">
        <f>IF(AD27=1,CHOOSE('Historical Score'!$C$29,AV27,AW27,AX27,AY27,AZ27,BA27,BB27),0)</f>
        <v/>
      </c>
      <c r="BE27">
        <f>IF(BD27=1,COUNTIF($BD$2:BD27,1),"")</f>
        <v/>
      </c>
    </row>
    <row r="28">
      <c r="A28" t="inlineStr">
        <is>
          <t>5674150646</t>
        </is>
      </c>
      <c r="B28" t="inlineStr">
        <is>
          <t>DY GARAGE DOORS</t>
        </is>
      </c>
      <c r="C28" t="inlineStr">
        <is>
          <t>DY GARAGE DOORS LLC</t>
        </is>
      </c>
      <c r="D28" t="inlineStr">
        <is>
          <t>Legal</t>
        </is>
      </c>
      <c r="E28" s="297" t="n">
        <v>45705</v>
      </c>
      <c r="F28" s="297" t="n">
        <v>45726</v>
      </c>
      <c r="G28" t="n">
        <v>6</v>
      </c>
      <c r="H28" t="inlineStr">
        <is>
          <t>1751</t>
        </is>
      </c>
      <c r="I28" t="inlineStr">
        <is>
          <t>17</t>
        </is>
      </c>
      <c r="J28" t="inlineStr">
        <is>
          <t>FL</t>
        </is>
      </c>
      <c r="K28" t="inlineStr">
        <is>
          <t>Tip Top Capital</t>
        </is>
      </c>
      <c r="L28" t="inlineStr">
        <is>
          <t>New Deal</t>
        </is>
      </c>
      <c r="M28" s="298" t="n">
        <v>1.49</v>
      </c>
      <c r="N28" s="299" t="n">
        <v>12000</v>
      </c>
      <c r="O28" s="299" t="n">
        <v>1440</v>
      </c>
      <c r="P28" s="299" t="n">
        <v>17880</v>
      </c>
      <c r="Q28" s="299" t="n">
        <v>2295</v>
      </c>
      <c r="R28" s="299" t="n">
        <v>15585</v>
      </c>
      <c r="S28" s="300" t="n">
        <v>0.128355704697987</v>
      </c>
      <c r="T28" t="n">
        <v>2.296</v>
      </c>
      <c r="U28" t="n">
        <v>5</v>
      </c>
      <c r="W28" s="300" t="n">
        <v>0.0493</v>
      </c>
      <c r="X28" s="297" t="n">
        <v>43069</v>
      </c>
      <c r="Y28">
        <f>IF(I28="","No SIC",IFERROR(VLOOKUP(I28,Ref!$A$2:$B$65,2,FALSE),"Unclassified"))</f>
        <v/>
      </c>
      <c r="Z28">
        <f>IF(T28="","",IF(T28&lt;12,"Daily","Weekly"))</f>
        <v/>
      </c>
      <c r="AA28">
        <f>IF(T28="",0,IF(T28&lt;12,T28*Controls!$B$29,T28*5))</f>
        <v/>
      </c>
      <c r="AB28">
        <f>IF(E28="",0,NETWORKDAYS(E28,Controls!$B$36,Ref!$K$2:$K$42))</f>
        <v/>
      </c>
      <c r="AC28">
        <f>IF(AND(AA28&gt;0,AB28&gt;=Controls!$B$39*AA28),1,0)</f>
        <v/>
      </c>
      <c r="AD28">
        <f>IF(AND(E28&lt;&gt;"",E28&gt;=Controls!$B$37,E28&lt;=Controls!$B$38),1,0)</f>
        <v/>
      </c>
      <c r="AE28">
        <f>IF(IFERROR(VLOOKUP(D28,Controls!$A$64:$E$74,2,FALSE),"No")="Yes",1,0)</f>
        <v/>
      </c>
      <c r="AF28">
        <f>IF(IFERROR(VLOOKUP(D28,Controls!$A$64:$E$74,3,FALSE),"No")="Yes",1,0)</f>
        <v/>
      </c>
      <c r="AG28">
        <f>IF(IFERROR(VLOOKUP(D28,Controls!$A$64:$E$74,4,FALSE),"No")="Yes",1,0)</f>
        <v/>
      </c>
      <c r="AH28">
        <f>IF(IFERROR(VLOOKUP(D28,Controls!$A$64:$E$74,5,FALSE),"No")="Yes",1,0)</f>
        <v/>
      </c>
      <c r="AI28">
        <f>IF(ISNUMBER(MATCH(D28,Controls!$A$64:$A$74,0)),1,0)</f>
        <v/>
      </c>
      <c r="AJ28">
        <f>Q28-N28</f>
        <v/>
      </c>
      <c r="AK28">
        <f>IF(AE28=1,MAX(0,N28-Q28),0)</f>
        <v/>
      </c>
      <c r="AL28">
        <f>IF(OR(V28="",V28=0),0,N28/V28)</f>
        <v/>
      </c>
      <c r="AM28">
        <f>IF(OR(V28="",V28=0),0,1)</f>
        <v/>
      </c>
      <c r="AN28">
        <f>IF(OR(E28="",F28=""),0,NETWORKDAYS(E28,F28,Ref!$K$2:$K$42))</f>
        <v/>
      </c>
      <c r="AO28">
        <f>IF(L28="Renewal",1,0)</f>
        <v/>
      </c>
      <c r="AP28">
        <f>AC28*AD28</f>
        <v/>
      </c>
      <c r="AQ28">
        <f>IF(AND(G28&lt;&gt;"",'Historical Score'!$C$6&lt;&gt;""),IF(G28='Historical Score'!$C$6,1,0),0)</f>
        <v/>
      </c>
      <c r="AR28">
        <f>IF(AND(L28&lt;&gt;"",'Historical Score'!$C$5&lt;&gt;""),IF(L28='Historical Score'!$C$5,1,0),0)</f>
        <v/>
      </c>
      <c r="AS28">
        <f>IF(AND(Y28&lt;&gt;"",'Historical Score'!$C$7&lt;&gt;""),IF(Y28='Historical Score'!$C$7,1,0),0)</f>
        <v/>
      </c>
      <c r="AT28">
        <f>IF(AND(K28&lt;&gt;"",'Historical Score'!$C$8&lt;&gt;""),IF(K28='Historical Score'!$C$8,1,0),0)</f>
        <v/>
      </c>
      <c r="AU28">
        <f>IF(AND(J28&lt;&gt;"",'Historical Score'!$C$9&lt;&gt;""),IF(J28='Historical Score'!$C$9,1,0),0)</f>
        <v/>
      </c>
      <c r="AV28">
        <f>AR28*AS28*AQ28</f>
        <v/>
      </c>
      <c r="AW28">
        <f>AR28*AT28*AQ28</f>
        <v/>
      </c>
      <c r="AX28">
        <f>AR28*AS28</f>
        <v/>
      </c>
      <c r="AY28">
        <f>AR28*AT28</f>
        <v/>
      </c>
      <c r="AZ28">
        <f>AR28*AQ28</f>
        <v/>
      </c>
      <c r="BA28">
        <f>AR28</f>
        <v/>
      </c>
      <c r="BB28">
        <f>1</f>
        <v/>
      </c>
      <c r="BC28">
        <f>IF(AV28=1,1,IF(AW28=1,2,IF(AX28=1,3,IF(AY28=1,4,IF(AZ28=1,5,IF(BA28=1,6,7))))))</f>
        <v/>
      </c>
      <c r="BD28">
        <f>IF(AD28=1,CHOOSE('Historical Score'!$C$29,AV28,AW28,AX28,AY28,AZ28,BA28,BB28),0)</f>
        <v/>
      </c>
      <c r="BE28">
        <f>IF(BD28=1,COUNTIF($BD$2:BD28,1),"")</f>
        <v/>
      </c>
    </row>
    <row r="29">
      <c r="A29" t="inlineStr">
        <is>
          <t>5674150664</t>
        </is>
      </c>
      <c r="B29" t="inlineStr">
        <is>
          <t>Wyatts Feed and Seed</t>
        </is>
      </c>
      <c r="C29" t="inlineStr">
        <is>
          <t>Wyatts Feed and Seed</t>
        </is>
      </c>
      <c r="D29" t="inlineStr">
        <is>
          <t>Legal</t>
        </is>
      </c>
      <c r="E29" s="297" t="n">
        <v>45706</v>
      </c>
      <c r="F29" s="297" t="n">
        <v>45812</v>
      </c>
      <c r="G29" t="n">
        <v>3</v>
      </c>
      <c r="H29" t="inlineStr">
        <is>
          <t>2048</t>
        </is>
      </c>
      <c r="I29" t="inlineStr">
        <is>
          <t>20</t>
        </is>
      </c>
      <c r="J29" t="inlineStr">
        <is>
          <t>AL</t>
        </is>
      </c>
      <c r="K29" t="inlineStr">
        <is>
          <t>Pathway Catalyst</t>
        </is>
      </c>
      <c r="L29" t="inlineStr">
        <is>
          <t>Renewal</t>
        </is>
      </c>
      <c r="M29" s="298" t="n">
        <v>1.49</v>
      </c>
      <c r="N29" s="299" t="n">
        <v>5000</v>
      </c>
      <c r="O29" s="299" t="n">
        <v>700</v>
      </c>
      <c r="P29" s="299" t="n">
        <v>7450</v>
      </c>
      <c r="Q29" s="299" t="n">
        <v>3339</v>
      </c>
      <c r="R29" s="299" t="n">
        <v>4111</v>
      </c>
      <c r="S29" s="300" t="n">
        <v>0.448187919463087</v>
      </c>
      <c r="T29" t="n">
        <v>2.295</v>
      </c>
      <c r="U29" t="n">
        <v>29</v>
      </c>
      <c r="W29" s="300" t="n">
        <v>0.0566</v>
      </c>
      <c r="X29" s="297" t="n"/>
      <c r="Y29">
        <f>IF(I29="","No SIC",IFERROR(VLOOKUP(I29,Ref!$A$2:$B$65,2,FALSE),"Unclassified"))</f>
        <v/>
      </c>
      <c r="Z29">
        <f>IF(T29="","",IF(T29&lt;12,"Daily","Weekly"))</f>
        <v/>
      </c>
      <c r="AA29">
        <f>IF(T29="",0,IF(T29&lt;12,T29*Controls!$B$29,T29*5))</f>
        <v/>
      </c>
      <c r="AB29">
        <f>IF(E29="",0,NETWORKDAYS(E29,Controls!$B$36,Ref!$K$2:$K$42))</f>
        <v/>
      </c>
      <c r="AC29">
        <f>IF(AND(AA29&gt;0,AB29&gt;=Controls!$B$39*AA29),1,0)</f>
        <v/>
      </c>
      <c r="AD29">
        <f>IF(AND(E29&lt;&gt;"",E29&gt;=Controls!$B$37,E29&lt;=Controls!$B$38),1,0)</f>
        <v/>
      </c>
      <c r="AE29">
        <f>IF(IFERROR(VLOOKUP(D29,Controls!$A$64:$E$74,2,FALSE),"No")="Yes",1,0)</f>
        <v/>
      </c>
      <c r="AF29">
        <f>IF(IFERROR(VLOOKUP(D29,Controls!$A$64:$E$74,3,FALSE),"No")="Yes",1,0)</f>
        <v/>
      </c>
      <c r="AG29">
        <f>IF(IFERROR(VLOOKUP(D29,Controls!$A$64:$E$74,4,FALSE),"No")="Yes",1,0)</f>
        <v/>
      </c>
      <c r="AH29">
        <f>IF(IFERROR(VLOOKUP(D29,Controls!$A$64:$E$74,5,FALSE),"No")="Yes",1,0)</f>
        <v/>
      </c>
      <c r="AI29">
        <f>IF(ISNUMBER(MATCH(D29,Controls!$A$64:$A$74,0)),1,0)</f>
        <v/>
      </c>
      <c r="AJ29">
        <f>Q29-N29</f>
        <v/>
      </c>
      <c r="AK29">
        <f>IF(AE29=1,MAX(0,N29-Q29),0)</f>
        <v/>
      </c>
      <c r="AL29">
        <f>IF(OR(V29="",V29=0),0,N29/V29)</f>
        <v/>
      </c>
      <c r="AM29">
        <f>IF(OR(V29="",V29=0),0,1)</f>
        <v/>
      </c>
      <c r="AN29">
        <f>IF(OR(E29="",F29=""),0,NETWORKDAYS(E29,F29,Ref!$K$2:$K$42))</f>
        <v/>
      </c>
      <c r="AO29">
        <f>IF(L29="Renewal",1,0)</f>
        <v/>
      </c>
      <c r="AP29">
        <f>AC29*AD29</f>
        <v/>
      </c>
      <c r="AQ29">
        <f>IF(AND(G29&lt;&gt;"",'Historical Score'!$C$6&lt;&gt;""),IF(G29='Historical Score'!$C$6,1,0),0)</f>
        <v/>
      </c>
      <c r="AR29">
        <f>IF(AND(L29&lt;&gt;"",'Historical Score'!$C$5&lt;&gt;""),IF(L29='Historical Score'!$C$5,1,0),0)</f>
        <v/>
      </c>
      <c r="AS29">
        <f>IF(AND(Y29&lt;&gt;"",'Historical Score'!$C$7&lt;&gt;""),IF(Y29='Historical Score'!$C$7,1,0),0)</f>
        <v/>
      </c>
      <c r="AT29">
        <f>IF(AND(K29&lt;&gt;"",'Historical Score'!$C$8&lt;&gt;""),IF(K29='Historical Score'!$C$8,1,0),0)</f>
        <v/>
      </c>
      <c r="AU29">
        <f>IF(AND(J29&lt;&gt;"",'Historical Score'!$C$9&lt;&gt;""),IF(J29='Historical Score'!$C$9,1,0),0)</f>
        <v/>
      </c>
      <c r="AV29">
        <f>AR29*AS29*AQ29</f>
        <v/>
      </c>
      <c r="AW29">
        <f>AR29*AT29*AQ29</f>
        <v/>
      </c>
      <c r="AX29">
        <f>AR29*AS29</f>
        <v/>
      </c>
      <c r="AY29">
        <f>AR29*AT29</f>
        <v/>
      </c>
      <c r="AZ29">
        <f>AR29*AQ29</f>
        <v/>
      </c>
      <c r="BA29">
        <f>AR29</f>
        <v/>
      </c>
      <c r="BB29">
        <f>1</f>
        <v/>
      </c>
      <c r="BC29">
        <f>IF(AV29=1,1,IF(AW29=1,2,IF(AX29=1,3,IF(AY29=1,4,IF(AZ29=1,5,IF(BA29=1,6,7))))))</f>
        <v/>
      </c>
      <c r="BD29">
        <f>IF(AD29=1,CHOOSE('Historical Score'!$C$29,AV29,AW29,AX29,AY29,AZ29,BA29,BB29),0)</f>
        <v/>
      </c>
      <c r="BE29">
        <f>IF(BD29=1,COUNTIF($BD$2:BD29,1),"")</f>
        <v/>
      </c>
    </row>
    <row r="30">
      <c r="A30" t="inlineStr">
        <is>
          <t>5674150667</t>
        </is>
      </c>
      <c r="B30" t="inlineStr">
        <is>
          <t>Casteen Property Maintenance</t>
        </is>
      </c>
      <c r="C30" t="inlineStr">
        <is>
          <t>Casteen Property Maintenance</t>
        </is>
      </c>
      <c r="D30" t="inlineStr">
        <is>
          <t>Legal</t>
        </is>
      </c>
      <c r="E30" s="297" t="n">
        <v>45706</v>
      </c>
      <c r="F30" s="297" t="n">
        <v>45713</v>
      </c>
      <c r="G30" t="n">
        <v>4</v>
      </c>
      <c r="H30" t="inlineStr">
        <is>
          <t>7349</t>
        </is>
      </c>
      <c r="I30" t="inlineStr">
        <is>
          <t>73</t>
        </is>
      </c>
      <c r="J30" t="inlineStr">
        <is>
          <t>NC</t>
        </is>
      </c>
      <c r="K30" t="inlineStr">
        <is>
          <t>Tip Top Capital</t>
        </is>
      </c>
      <c r="L30" t="inlineStr">
        <is>
          <t>New Deal</t>
        </is>
      </c>
      <c r="M30" s="298" t="n">
        <v>1.49</v>
      </c>
      <c r="N30" s="299" t="n">
        <v>4000</v>
      </c>
      <c r="O30" s="299" t="n">
        <v>0</v>
      </c>
      <c r="P30" s="299" t="n">
        <v>5960</v>
      </c>
      <c r="Q30" s="299" t="n">
        <v>119.18</v>
      </c>
      <c r="R30" s="299" t="n">
        <v>5840.82</v>
      </c>
      <c r="S30" s="300" t="n">
        <v>0.019996644295302</v>
      </c>
      <c r="T30" t="n">
        <v>1.64</v>
      </c>
      <c r="U30" t="n">
        <v>3</v>
      </c>
      <c r="W30" s="300" t="n">
        <v>0.09080000000000001</v>
      </c>
      <c r="X30" s="297" t="n">
        <v>43293</v>
      </c>
      <c r="Y30">
        <f>IF(I30="","No SIC",IFERROR(VLOOKUP(I30,Ref!$A$2:$B$65,2,FALSE),"Unclassified"))</f>
        <v/>
      </c>
      <c r="Z30">
        <f>IF(T30="","",IF(T30&lt;12,"Daily","Weekly"))</f>
        <v/>
      </c>
      <c r="AA30">
        <f>IF(T30="",0,IF(T30&lt;12,T30*Controls!$B$29,T30*5))</f>
        <v/>
      </c>
      <c r="AB30">
        <f>IF(E30="",0,NETWORKDAYS(E30,Controls!$B$36,Ref!$K$2:$K$42))</f>
        <v/>
      </c>
      <c r="AC30">
        <f>IF(AND(AA30&gt;0,AB30&gt;=Controls!$B$39*AA30),1,0)</f>
        <v/>
      </c>
      <c r="AD30">
        <f>IF(AND(E30&lt;&gt;"",E30&gt;=Controls!$B$37,E30&lt;=Controls!$B$38),1,0)</f>
        <v/>
      </c>
      <c r="AE30">
        <f>IF(IFERROR(VLOOKUP(D30,Controls!$A$64:$E$74,2,FALSE),"No")="Yes",1,0)</f>
        <v/>
      </c>
      <c r="AF30">
        <f>IF(IFERROR(VLOOKUP(D30,Controls!$A$64:$E$74,3,FALSE),"No")="Yes",1,0)</f>
        <v/>
      </c>
      <c r="AG30">
        <f>IF(IFERROR(VLOOKUP(D30,Controls!$A$64:$E$74,4,FALSE),"No")="Yes",1,0)</f>
        <v/>
      </c>
      <c r="AH30">
        <f>IF(IFERROR(VLOOKUP(D30,Controls!$A$64:$E$74,5,FALSE),"No")="Yes",1,0)</f>
        <v/>
      </c>
      <c r="AI30">
        <f>IF(ISNUMBER(MATCH(D30,Controls!$A$64:$A$74,0)),1,0)</f>
        <v/>
      </c>
      <c r="AJ30">
        <f>Q30-N30</f>
        <v/>
      </c>
      <c r="AK30">
        <f>IF(AE30=1,MAX(0,N30-Q30),0)</f>
        <v/>
      </c>
      <c r="AL30">
        <f>IF(OR(V30="",V30=0),0,N30/V30)</f>
        <v/>
      </c>
      <c r="AM30">
        <f>IF(OR(V30="",V30=0),0,1)</f>
        <v/>
      </c>
      <c r="AN30">
        <f>IF(OR(E30="",F30=""),0,NETWORKDAYS(E30,F30,Ref!$K$2:$K$42))</f>
        <v/>
      </c>
      <c r="AO30">
        <f>IF(L30="Renewal",1,0)</f>
        <v/>
      </c>
      <c r="AP30">
        <f>AC30*AD30</f>
        <v/>
      </c>
      <c r="AQ30">
        <f>IF(AND(G30&lt;&gt;"",'Historical Score'!$C$6&lt;&gt;""),IF(G30='Historical Score'!$C$6,1,0),0)</f>
        <v/>
      </c>
      <c r="AR30">
        <f>IF(AND(L30&lt;&gt;"",'Historical Score'!$C$5&lt;&gt;""),IF(L30='Historical Score'!$C$5,1,0),0)</f>
        <v/>
      </c>
      <c r="AS30">
        <f>IF(AND(Y30&lt;&gt;"",'Historical Score'!$C$7&lt;&gt;""),IF(Y30='Historical Score'!$C$7,1,0),0)</f>
        <v/>
      </c>
      <c r="AT30">
        <f>IF(AND(K30&lt;&gt;"",'Historical Score'!$C$8&lt;&gt;""),IF(K30='Historical Score'!$C$8,1,0),0)</f>
        <v/>
      </c>
      <c r="AU30">
        <f>IF(AND(J30&lt;&gt;"",'Historical Score'!$C$9&lt;&gt;""),IF(J30='Historical Score'!$C$9,1,0),0)</f>
        <v/>
      </c>
      <c r="AV30">
        <f>AR30*AS30*AQ30</f>
        <v/>
      </c>
      <c r="AW30">
        <f>AR30*AT30*AQ30</f>
        <v/>
      </c>
      <c r="AX30">
        <f>AR30*AS30</f>
        <v/>
      </c>
      <c r="AY30">
        <f>AR30*AT30</f>
        <v/>
      </c>
      <c r="AZ30">
        <f>AR30*AQ30</f>
        <v/>
      </c>
      <c r="BA30">
        <f>AR30</f>
        <v/>
      </c>
      <c r="BB30">
        <f>1</f>
        <v/>
      </c>
      <c r="BC30">
        <f>IF(AV30=1,1,IF(AW30=1,2,IF(AX30=1,3,IF(AY30=1,4,IF(AZ30=1,5,IF(BA30=1,6,7))))))</f>
        <v/>
      </c>
      <c r="BD30">
        <f>IF(AD30=1,CHOOSE('Historical Score'!$C$29,AV30,AW30,AX30,AY30,AZ30,BA30,BB30),0)</f>
        <v/>
      </c>
      <c r="BE30">
        <f>IF(BD30=1,COUNTIF($BD$2:BD30,1),"")</f>
        <v/>
      </c>
    </row>
    <row r="31">
      <c r="A31" t="inlineStr">
        <is>
          <t>5674150725</t>
        </is>
      </c>
      <c r="B31" t="inlineStr">
        <is>
          <t>Arkansas Climate Control</t>
        </is>
      </c>
      <c r="C31" t="inlineStr">
        <is>
          <t>Arkansas Climate Control</t>
        </is>
      </c>
      <c r="D31" t="inlineStr">
        <is>
          <t>Legal</t>
        </is>
      </c>
      <c r="E31" s="297" t="n">
        <v>45706</v>
      </c>
      <c r="F31" s="297" t="n">
        <v>45721</v>
      </c>
      <c r="G31" t="n">
        <v>2</v>
      </c>
      <c r="H31" t="inlineStr">
        <is>
          <t>1711</t>
        </is>
      </c>
      <c r="I31" t="inlineStr">
        <is>
          <t>17</t>
        </is>
      </c>
      <c r="J31" t="inlineStr">
        <is>
          <t>AR</t>
        </is>
      </c>
      <c r="K31" t="inlineStr">
        <is>
          <t>TRUSTFI</t>
        </is>
      </c>
      <c r="L31" t="inlineStr">
        <is>
          <t>New Deal</t>
        </is>
      </c>
      <c r="M31" s="298" t="n">
        <v>1.49</v>
      </c>
      <c r="N31" s="299" t="n">
        <v>8000</v>
      </c>
      <c r="O31" s="299" t="n">
        <v>0</v>
      </c>
      <c r="P31" s="299" t="n">
        <v>11920</v>
      </c>
      <c r="Q31" s="299" t="n">
        <v>681.36</v>
      </c>
      <c r="R31" s="299" t="n">
        <v>11238.64</v>
      </c>
      <c r="S31" s="300" t="n">
        <v>0.0571610738255034</v>
      </c>
      <c r="T31" t="n">
        <v>2.295</v>
      </c>
      <c r="U31" t="n">
        <v>7</v>
      </c>
      <c r="W31" s="300" t="n">
        <v>0.1561</v>
      </c>
      <c r="X31" s="297" t="n">
        <v>45505</v>
      </c>
      <c r="Y31">
        <f>IF(I31="","No SIC",IFERROR(VLOOKUP(I31,Ref!$A$2:$B$65,2,FALSE),"Unclassified"))</f>
        <v/>
      </c>
      <c r="Z31">
        <f>IF(T31="","",IF(T31&lt;12,"Daily","Weekly"))</f>
        <v/>
      </c>
      <c r="AA31">
        <f>IF(T31="",0,IF(T31&lt;12,T31*Controls!$B$29,T31*5))</f>
        <v/>
      </c>
      <c r="AB31">
        <f>IF(E31="",0,NETWORKDAYS(E31,Controls!$B$36,Ref!$K$2:$K$42))</f>
        <v/>
      </c>
      <c r="AC31">
        <f>IF(AND(AA31&gt;0,AB31&gt;=Controls!$B$39*AA31),1,0)</f>
        <v/>
      </c>
      <c r="AD31">
        <f>IF(AND(E31&lt;&gt;"",E31&gt;=Controls!$B$37,E31&lt;=Controls!$B$38),1,0)</f>
        <v/>
      </c>
      <c r="AE31">
        <f>IF(IFERROR(VLOOKUP(D31,Controls!$A$64:$E$74,2,FALSE),"No")="Yes",1,0)</f>
        <v/>
      </c>
      <c r="AF31">
        <f>IF(IFERROR(VLOOKUP(D31,Controls!$A$64:$E$74,3,FALSE),"No")="Yes",1,0)</f>
        <v/>
      </c>
      <c r="AG31">
        <f>IF(IFERROR(VLOOKUP(D31,Controls!$A$64:$E$74,4,FALSE),"No")="Yes",1,0)</f>
        <v/>
      </c>
      <c r="AH31">
        <f>IF(IFERROR(VLOOKUP(D31,Controls!$A$64:$E$74,5,FALSE),"No")="Yes",1,0)</f>
        <v/>
      </c>
      <c r="AI31">
        <f>IF(ISNUMBER(MATCH(D31,Controls!$A$64:$A$74,0)),1,0)</f>
        <v/>
      </c>
      <c r="AJ31">
        <f>Q31-N31</f>
        <v/>
      </c>
      <c r="AK31">
        <f>IF(AE31=1,MAX(0,N31-Q31),0)</f>
        <v/>
      </c>
      <c r="AL31">
        <f>IF(OR(V31="",V31=0),0,N31/V31)</f>
        <v/>
      </c>
      <c r="AM31">
        <f>IF(OR(V31="",V31=0),0,1)</f>
        <v/>
      </c>
      <c r="AN31">
        <f>IF(OR(E31="",F31=""),0,NETWORKDAYS(E31,F31,Ref!$K$2:$K$42))</f>
        <v/>
      </c>
      <c r="AO31">
        <f>IF(L31="Renewal",1,0)</f>
        <v/>
      </c>
      <c r="AP31">
        <f>AC31*AD31</f>
        <v/>
      </c>
      <c r="AQ31">
        <f>IF(AND(G31&lt;&gt;"",'Historical Score'!$C$6&lt;&gt;""),IF(G31='Historical Score'!$C$6,1,0),0)</f>
        <v/>
      </c>
      <c r="AR31">
        <f>IF(AND(L31&lt;&gt;"",'Historical Score'!$C$5&lt;&gt;""),IF(L31='Historical Score'!$C$5,1,0),0)</f>
        <v/>
      </c>
      <c r="AS31">
        <f>IF(AND(Y31&lt;&gt;"",'Historical Score'!$C$7&lt;&gt;""),IF(Y31='Historical Score'!$C$7,1,0),0)</f>
        <v/>
      </c>
      <c r="AT31">
        <f>IF(AND(K31&lt;&gt;"",'Historical Score'!$C$8&lt;&gt;""),IF(K31='Historical Score'!$C$8,1,0),0)</f>
        <v/>
      </c>
      <c r="AU31">
        <f>IF(AND(J31&lt;&gt;"",'Historical Score'!$C$9&lt;&gt;""),IF(J31='Historical Score'!$C$9,1,0),0)</f>
        <v/>
      </c>
      <c r="AV31">
        <f>AR31*AS31*AQ31</f>
        <v/>
      </c>
      <c r="AW31">
        <f>AR31*AT31*AQ31</f>
        <v/>
      </c>
      <c r="AX31">
        <f>AR31*AS31</f>
        <v/>
      </c>
      <c r="AY31">
        <f>AR31*AT31</f>
        <v/>
      </c>
      <c r="AZ31">
        <f>AR31*AQ31</f>
        <v/>
      </c>
      <c r="BA31">
        <f>AR31</f>
        <v/>
      </c>
      <c r="BB31">
        <f>1</f>
        <v/>
      </c>
      <c r="BC31">
        <f>IF(AV31=1,1,IF(AW31=1,2,IF(AX31=1,3,IF(AY31=1,4,IF(AZ31=1,5,IF(BA31=1,6,7))))))</f>
        <v/>
      </c>
      <c r="BD31">
        <f>IF(AD31=1,CHOOSE('Historical Score'!$C$29,AV31,AW31,AX31,AY31,AZ31,BA31,BB31),0)</f>
        <v/>
      </c>
      <c r="BE31">
        <f>IF(BD31=1,COUNTIF($BD$2:BD31,1),"")</f>
        <v/>
      </c>
    </row>
    <row r="32">
      <c r="A32" t="inlineStr">
        <is>
          <t>5674150820</t>
        </is>
      </c>
      <c r="B32" t="inlineStr">
        <is>
          <t>Brake Masters</t>
        </is>
      </c>
      <c r="C32" t="inlineStr">
        <is>
          <t>SLA BRAKE MASTERS LLC</t>
        </is>
      </c>
      <c r="D32" t="inlineStr">
        <is>
          <t>Closed</t>
        </is>
      </c>
      <c r="E32" s="297" t="n">
        <v>45707</v>
      </c>
      <c r="F32" s="297" t="n">
        <v>45841</v>
      </c>
      <c r="G32" t="n">
        <v>3</v>
      </c>
      <c r="H32" t="inlineStr">
        <is>
          <t>7538</t>
        </is>
      </c>
      <c r="I32" t="inlineStr">
        <is>
          <t>75</t>
        </is>
      </c>
      <c r="J32" t="inlineStr">
        <is>
          <t>CA</t>
        </is>
      </c>
      <c r="K32" t="inlineStr">
        <is>
          <t>Fundible</t>
        </is>
      </c>
      <c r="L32" t="inlineStr">
        <is>
          <t>New Deal</t>
        </is>
      </c>
      <c r="M32" s="298" t="n">
        <v>1.49</v>
      </c>
      <c r="N32" s="299" t="n">
        <v>10000</v>
      </c>
      <c r="O32" s="299" t="n">
        <v>1400</v>
      </c>
      <c r="P32" s="299" t="n">
        <v>14900</v>
      </c>
      <c r="Q32" s="299" t="n">
        <v>14900</v>
      </c>
      <c r="R32" s="299" t="n">
        <v>0</v>
      </c>
      <c r="S32" s="300" t="n">
        <v>1</v>
      </c>
      <c r="T32" t="n">
        <v>28</v>
      </c>
      <c r="U32" t="n">
        <v>0</v>
      </c>
      <c r="W32" s="300" t="n">
        <v>0.0702</v>
      </c>
      <c r="X32" s="297" t="n">
        <v>44866</v>
      </c>
      <c r="Y32">
        <f>IF(I32="","No SIC",IFERROR(VLOOKUP(I32,Ref!$A$2:$B$65,2,FALSE),"Unclassified"))</f>
        <v/>
      </c>
      <c r="Z32">
        <f>IF(T32="","",IF(T32&lt;12,"Daily","Weekly"))</f>
        <v/>
      </c>
      <c r="AA32">
        <f>IF(T32="",0,IF(T32&lt;12,T32*Controls!$B$29,T32*5))</f>
        <v/>
      </c>
      <c r="AB32">
        <f>IF(E32="",0,NETWORKDAYS(E32,Controls!$B$36,Ref!$K$2:$K$42))</f>
        <v/>
      </c>
      <c r="AC32">
        <f>IF(AND(AA32&gt;0,AB32&gt;=Controls!$B$39*AA32),1,0)</f>
        <v/>
      </c>
      <c r="AD32">
        <f>IF(AND(E32&lt;&gt;"",E32&gt;=Controls!$B$37,E32&lt;=Controls!$B$38),1,0)</f>
        <v/>
      </c>
      <c r="AE32">
        <f>IF(IFERROR(VLOOKUP(D32,Controls!$A$64:$E$74,2,FALSE),"No")="Yes",1,0)</f>
        <v/>
      </c>
      <c r="AF32">
        <f>IF(IFERROR(VLOOKUP(D32,Controls!$A$64:$E$74,3,FALSE),"No")="Yes",1,0)</f>
        <v/>
      </c>
      <c r="AG32">
        <f>IF(IFERROR(VLOOKUP(D32,Controls!$A$64:$E$74,4,FALSE),"No")="Yes",1,0)</f>
        <v/>
      </c>
      <c r="AH32">
        <f>IF(IFERROR(VLOOKUP(D32,Controls!$A$64:$E$74,5,FALSE),"No")="Yes",1,0)</f>
        <v/>
      </c>
      <c r="AI32">
        <f>IF(ISNUMBER(MATCH(D32,Controls!$A$64:$A$74,0)),1,0)</f>
        <v/>
      </c>
      <c r="AJ32">
        <f>Q32-N32</f>
        <v/>
      </c>
      <c r="AK32">
        <f>IF(AE32=1,MAX(0,N32-Q32),0)</f>
        <v/>
      </c>
      <c r="AL32">
        <f>IF(OR(V32="",V32=0),0,N32/V32)</f>
        <v/>
      </c>
      <c r="AM32">
        <f>IF(OR(V32="",V32=0),0,1)</f>
        <v/>
      </c>
      <c r="AN32">
        <f>IF(OR(E32="",F32=""),0,NETWORKDAYS(E32,F32,Ref!$K$2:$K$42))</f>
        <v/>
      </c>
      <c r="AO32">
        <f>IF(L32="Renewal",1,0)</f>
        <v/>
      </c>
      <c r="AP32">
        <f>AC32*AD32</f>
        <v/>
      </c>
      <c r="AQ32">
        <f>IF(AND(G32&lt;&gt;"",'Historical Score'!$C$6&lt;&gt;""),IF(G32='Historical Score'!$C$6,1,0),0)</f>
        <v/>
      </c>
      <c r="AR32">
        <f>IF(AND(L32&lt;&gt;"",'Historical Score'!$C$5&lt;&gt;""),IF(L32='Historical Score'!$C$5,1,0),0)</f>
        <v/>
      </c>
      <c r="AS32">
        <f>IF(AND(Y32&lt;&gt;"",'Historical Score'!$C$7&lt;&gt;""),IF(Y32='Historical Score'!$C$7,1,0),0)</f>
        <v/>
      </c>
      <c r="AT32">
        <f>IF(AND(K32&lt;&gt;"",'Historical Score'!$C$8&lt;&gt;""),IF(K32='Historical Score'!$C$8,1,0),0)</f>
        <v/>
      </c>
      <c r="AU32">
        <f>IF(AND(J32&lt;&gt;"",'Historical Score'!$C$9&lt;&gt;""),IF(J32='Historical Score'!$C$9,1,0),0)</f>
        <v/>
      </c>
      <c r="AV32">
        <f>AR32*AS32*AQ32</f>
        <v/>
      </c>
      <c r="AW32">
        <f>AR32*AT32*AQ32</f>
        <v/>
      </c>
      <c r="AX32">
        <f>AR32*AS32</f>
        <v/>
      </c>
      <c r="AY32">
        <f>AR32*AT32</f>
        <v/>
      </c>
      <c r="AZ32">
        <f>AR32*AQ32</f>
        <v/>
      </c>
      <c r="BA32">
        <f>AR32</f>
        <v/>
      </c>
      <c r="BB32">
        <f>1</f>
        <v/>
      </c>
      <c r="BC32">
        <f>IF(AV32=1,1,IF(AW32=1,2,IF(AX32=1,3,IF(AY32=1,4,IF(AZ32=1,5,IF(BA32=1,6,7))))))</f>
        <v/>
      </c>
      <c r="BD32">
        <f>IF(AD32=1,CHOOSE('Historical Score'!$C$29,AV32,AW32,AX32,AY32,AZ32,BA32,BB32),0)</f>
        <v/>
      </c>
      <c r="BE32">
        <f>IF(BD32=1,COUNTIF($BD$2:BD32,1),"")</f>
        <v/>
      </c>
    </row>
    <row r="33">
      <c r="A33" t="inlineStr">
        <is>
          <t>5674150864</t>
        </is>
      </c>
      <c r="B33" t="inlineStr">
        <is>
          <t>Rock Hard Flooring &amp; Land Clearing of Oklahoma</t>
        </is>
      </c>
      <c r="C33" t="inlineStr">
        <is>
          <t>AKH INVESTMENT LLC</t>
        </is>
      </c>
      <c r="D33" t="inlineStr">
        <is>
          <t>Legal</t>
        </is>
      </c>
      <c r="E33" s="297" t="n">
        <v>45709</v>
      </c>
      <c r="F33" s="297" t="n">
        <v>45922</v>
      </c>
      <c r="G33" t="n">
        <v>1</v>
      </c>
      <c r="H33" t="inlineStr">
        <is>
          <t>1629</t>
        </is>
      </c>
      <c r="I33" t="inlineStr">
        <is>
          <t>16</t>
        </is>
      </c>
      <c r="J33" t="inlineStr">
        <is>
          <t>OK</t>
        </is>
      </c>
      <c r="K33" t="inlineStr">
        <is>
          <t>PEACH STATE SOLUTIONS</t>
        </is>
      </c>
      <c r="L33" t="inlineStr">
        <is>
          <t>New Deal</t>
        </is>
      </c>
      <c r="M33" s="298" t="n">
        <v>1.49</v>
      </c>
      <c r="N33" s="299" t="n">
        <v>12000</v>
      </c>
      <c r="O33" s="299" t="n">
        <v>1680</v>
      </c>
      <c r="P33" s="299" t="n">
        <v>17880</v>
      </c>
      <c r="Q33" s="299" t="n">
        <v>3988.73</v>
      </c>
      <c r="R33" s="299" t="n">
        <v>13891.27</v>
      </c>
      <c r="S33" s="300" t="n">
        <v>0.223083333333333</v>
      </c>
      <c r="T33" t="n">
        <v>18</v>
      </c>
      <c r="U33" t="n">
        <v>6</v>
      </c>
      <c r="W33" s="300" t="n">
        <v>0.0653</v>
      </c>
      <c r="X33" s="297" t="n">
        <v>44367</v>
      </c>
      <c r="Y33">
        <f>IF(I33="","No SIC",IFERROR(VLOOKUP(I33,Ref!$A$2:$B$65,2,FALSE),"Unclassified"))</f>
        <v/>
      </c>
      <c r="Z33">
        <f>IF(T33="","",IF(T33&lt;12,"Daily","Weekly"))</f>
        <v/>
      </c>
      <c r="AA33">
        <f>IF(T33="",0,IF(T33&lt;12,T33*Controls!$B$29,T33*5))</f>
        <v/>
      </c>
      <c r="AB33">
        <f>IF(E33="",0,NETWORKDAYS(E33,Controls!$B$36,Ref!$K$2:$K$42))</f>
        <v/>
      </c>
      <c r="AC33">
        <f>IF(AND(AA33&gt;0,AB33&gt;=Controls!$B$39*AA33),1,0)</f>
        <v/>
      </c>
      <c r="AD33">
        <f>IF(AND(E33&lt;&gt;"",E33&gt;=Controls!$B$37,E33&lt;=Controls!$B$38),1,0)</f>
        <v/>
      </c>
      <c r="AE33">
        <f>IF(IFERROR(VLOOKUP(D33,Controls!$A$64:$E$74,2,FALSE),"No")="Yes",1,0)</f>
        <v/>
      </c>
      <c r="AF33">
        <f>IF(IFERROR(VLOOKUP(D33,Controls!$A$64:$E$74,3,FALSE),"No")="Yes",1,0)</f>
        <v/>
      </c>
      <c r="AG33">
        <f>IF(IFERROR(VLOOKUP(D33,Controls!$A$64:$E$74,4,FALSE),"No")="Yes",1,0)</f>
        <v/>
      </c>
      <c r="AH33">
        <f>IF(IFERROR(VLOOKUP(D33,Controls!$A$64:$E$74,5,FALSE),"No")="Yes",1,0)</f>
        <v/>
      </c>
      <c r="AI33">
        <f>IF(ISNUMBER(MATCH(D33,Controls!$A$64:$A$74,0)),1,0)</f>
        <v/>
      </c>
      <c r="AJ33">
        <f>Q33-N33</f>
        <v/>
      </c>
      <c r="AK33">
        <f>IF(AE33=1,MAX(0,N33-Q33),0)</f>
        <v/>
      </c>
      <c r="AL33">
        <f>IF(OR(V33="",V33=0),0,N33/V33)</f>
        <v/>
      </c>
      <c r="AM33">
        <f>IF(OR(V33="",V33=0),0,1)</f>
        <v/>
      </c>
      <c r="AN33">
        <f>IF(OR(E33="",F33=""),0,NETWORKDAYS(E33,F33,Ref!$K$2:$K$42))</f>
        <v/>
      </c>
      <c r="AO33">
        <f>IF(L33="Renewal",1,0)</f>
        <v/>
      </c>
      <c r="AP33">
        <f>AC33*AD33</f>
        <v/>
      </c>
      <c r="AQ33">
        <f>IF(AND(G33&lt;&gt;"",'Historical Score'!$C$6&lt;&gt;""),IF(G33='Historical Score'!$C$6,1,0),0)</f>
        <v/>
      </c>
      <c r="AR33">
        <f>IF(AND(L33&lt;&gt;"",'Historical Score'!$C$5&lt;&gt;""),IF(L33='Historical Score'!$C$5,1,0),0)</f>
        <v/>
      </c>
      <c r="AS33">
        <f>IF(AND(Y33&lt;&gt;"",'Historical Score'!$C$7&lt;&gt;""),IF(Y33='Historical Score'!$C$7,1,0),0)</f>
        <v/>
      </c>
      <c r="AT33">
        <f>IF(AND(K33&lt;&gt;"",'Historical Score'!$C$8&lt;&gt;""),IF(K33='Historical Score'!$C$8,1,0),0)</f>
        <v/>
      </c>
      <c r="AU33">
        <f>IF(AND(J33&lt;&gt;"",'Historical Score'!$C$9&lt;&gt;""),IF(J33='Historical Score'!$C$9,1,0),0)</f>
        <v/>
      </c>
      <c r="AV33">
        <f>AR33*AS33*AQ33</f>
        <v/>
      </c>
      <c r="AW33">
        <f>AR33*AT33*AQ33</f>
        <v/>
      </c>
      <c r="AX33">
        <f>AR33*AS33</f>
        <v/>
      </c>
      <c r="AY33">
        <f>AR33*AT33</f>
        <v/>
      </c>
      <c r="AZ33">
        <f>AR33*AQ33</f>
        <v/>
      </c>
      <c r="BA33">
        <f>AR33</f>
        <v/>
      </c>
      <c r="BB33">
        <f>1</f>
        <v/>
      </c>
      <c r="BC33">
        <f>IF(AV33=1,1,IF(AW33=1,2,IF(AX33=1,3,IF(AY33=1,4,IF(AZ33=1,5,IF(BA33=1,6,7))))))</f>
        <v/>
      </c>
      <c r="BD33">
        <f>IF(AD33=1,CHOOSE('Historical Score'!$C$29,AV33,AW33,AX33,AY33,AZ33,BA33,BB33),0)</f>
        <v/>
      </c>
      <c r="BE33">
        <f>IF(BD33=1,COUNTIF($BD$2:BD33,1),"")</f>
        <v/>
      </c>
    </row>
    <row r="34">
      <c r="A34" t="inlineStr">
        <is>
          <t>5674151205</t>
        </is>
      </c>
      <c r="B34" t="inlineStr">
        <is>
          <t>CRAVE WINGS LLC</t>
        </is>
      </c>
      <c r="C34" t="inlineStr">
        <is>
          <t>CRAVE WINGS LLC</t>
        </is>
      </c>
      <c r="D34" t="inlineStr">
        <is>
          <t>Legal</t>
        </is>
      </c>
      <c r="E34" s="297" t="n">
        <v>45713</v>
      </c>
      <c r="F34" s="297" t="n">
        <v>46051</v>
      </c>
      <c r="G34" t="n">
        <v>4</v>
      </c>
      <c r="H34" t="inlineStr">
        <is>
          <t>5812</t>
        </is>
      </c>
      <c r="I34" t="inlineStr">
        <is>
          <t>58</t>
        </is>
      </c>
      <c r="J34" t="inlineStr">
        <is>
          <t>TN</t>
        </is>
      </c>
      <c r="K34" t="inlineStr">
        <is>
          <t>United Secured Capital 8</t>
        </is>
      </c>
      <c r="L34" t="inlineStr">
        <is>
          <t>New Deal</t>
        </is>
      </c>
      <c r="M34" s="298" t="n">
        <v>1.49</v>
      </c>
      <c r="N34" s="299" t="n">
        <v>18000</v>
      </c>
      <c r="O34" s="299" t="n">
        <v>2520</v>
      </c>
      <c r="P34" s="299" t="n">
        <v>26820</v>
      </c>
      <c r="Q34" s="299" t="n">
        <v>23960.2</v>
      </c>
      <c r="R34" s="299" t="n">
        <v>2859.8</v>
      </c>
      <c r="S34" s="300" t="n">
        <v>0.893370618941089</v>
      </c>
      <c r="T34" t="n">
        <v>2.787</v>
      </c>
      <c r="U34" t="n">
        <v>0</v>
      </c>
      <c r="W34" s="300" t="n">
        <v>0.0922</v>
      </c>
      <c r="X34" s="297" t="n"/>
      <c r="Y34">
        <f>IF(I34="","No SIC",IFERROR(VLOOKUP(I34,Ref!$A$2:$B$65,2,FALSE),"Unclassified"))</f>
        <v/>
      </c>
      <c r="Z34">
        <f>IF(T34="","",IF(T34&lt;12,"Daily","Weekly"))</f>
        <v/>
      </c>
      <c r="AA34">
        <f>IF(T34="",0,IF(T34&lt;12,T34*Controls!$B$29,T34*5))</f>
        <v/>
      </c>
      <c r="AB34">
        <f>IF(E34="",0,NETWORKDAYS(E34,Controls!$B$36,Ref!$K$2:$K$42))</f>
        <v/>
      </c>
      <c r="AC34">
        <f>IF(AND(AA34&gt;0,AB34&gt;=Controls!$B$39*AA34),1,0)</f>
        <v/>
      </c>
      <c r="AD34">
        <f>IF(AND(E34&lt;&gt;"",E34&gt;=Controls!$B$37,E34&lt;=Controls!$B$38),1,0)</f>
        <v/>
      </c>
      <c r="AE34">
        <f>IF(IFERROR(VLOOKUP(D34,Controls!$A$64:$E$74,2,FALSE),"No")="Yes",1,0)</f>
        <v/>
      </c>
      <c r="AF34">
        <f>IF(IFERROR(VLOOKUP(D34,Controls!$A$64:$E$74,3,FALSE),"No")="Yes",1,0)</f>
        <v/>
      </c>
      <c r="AG34">
        <f>IF(IFERROR(VLOOKUP(D34,Controls!$A$64:$E$74,4,FALSE),"No")="Yes",1,0)</f>
        <v/>
      </c>
      <c r="AH34">
        <f>IF(IFERROR(VLOOKUP(D34,Controls!$A$64:$E$74,5,FALSE),"No")="Yes",1,0)</f>
        <v/>
      </c>
      <c r="AI34">
        <f>IF(ISNUMBER(MATCH(D34,Controls!$A$64:$A$74,0)),1,0)</f>
        <v/>
      </c>
      <c r="AJ34">
        <f>Q34-N34</f>
        <v/>
      </c>
      <c r="AK34">
        <f>IF(AE34=1,MAX(0,N34-Q34),0)</f>
        <v/>
      </c>
      <c r="AL34">
        <f>IF(OR(V34="",V34=0),0,N34/V34)</f>
        <v/>
      </c>
      <c r="AM34">
        <f>IF(OR(V34="",V34=0),0,1)</f>
        <v/>
      </c>
      <c r="AN34">
        <f>IF(OR(E34="",F34=""),0,NETWORKDAYS(E34,F34,Ref!$K$2:$K$42))</f>
        <v/>
      </c>
      <c r="AO34">
        <f>IF(L34="Renewal",1,0)</f>
        <v/>
      </c>
      <c r="AP34">
        <f>AC34*AD34</f>
        <v/>
      </c>
      <c r="AQ34">
        <f>IF(AND(G34&lt;&gt;"",'Historical Score'!$C$6&lt;&gt;""),IF(G34='Historical Score'!$C$6,1,0),0)</f>
        <v/>
      </c>
      <c r="AR34">
        <f>IF(AND(L34&lt;&gt;"",'Historical Score'!$C$5&lt;&gt;""),IF(L34='Historical Score'!$C$5,1,0),0)</f>
        <v/>
      </c>
      <c r="AS34">
        <f>IF(AND(Y34&lt;&gt;"",'Historical Score'!$C$7&lt;&gt;""),IF(Y34='Historical Score'!$C$7,1,0),0)</f>
        <v/>
      </c>
      <c r="AT34">
        <f>IF(AND(K34&lt;&gt;"",'Historical Score'!$C$8&lt;&gt;""),IF(K34='Historical Score'!$C$8,1,0),0)</f>
        <v/>
      </c>
      <c r="AU34">
        <f>IF(AND(J34&lt;&gt;"",'Historical Score'!$C$9&lt;&gt;""),IF(J34='Historical Score'!$C$9,1,0),0)</f>
        <v/>
      </c>
      <c r="AV34">
        <f>AR34*AS34*AQ34</f>
        <v/>
      </c>
      <c r="AW34">
        <f>AR34*AT34*AQ34</f>
        <v/>
      </c>
      <c r="AX34">
        <f>AR34*AS34</f>
        <v/>
      </c>
      <c r="AY34">
        <f>AR34*AT34</f>
        <v/>
      </c>
      <c r="AZ34">
        <f>AR34*AQ34</f>
        <v/>
      </c>
      <c r="BA34">
        <f>AR34</f>
        <v/>
      </c>
      <c r="BB34">
        <f>1</f>
        <v/>
      </c>
      <c r="BC34">
        <f>IF(AV34=1,1,IF(AW34=1,2,IF(AX34=1,3,IF(AY34=1,4,IF(AZ34=1,5,IF(BA34=1,6,7))))))</f>
        <v/>
      </c>
      <c r="BD34">
        <f>IF(AD34=1,CHOOSE('Historical Score'!$C$29,AV34,AW34,AX34,AY34,AZ34,BA34,BB34),0)</f>
        <v/>
      </c>
      <c r="BE34">
        <f>IF(BD34=1,COUNTIF($BD$2:BD34,1),"")</f>
        <v/>
      </c>
    </row>
    <row r="35">
      <c r="A35" t="inlineStr">
        <is>
          <t>5674151260</t>
        </is>
      </c>
      <c r="B35" t="inlineStr">
        <is>
          <t>NFB VENTURE SERVICES CORP</t>
        </is>
      </c>
      <c r="C35" t="inlineStr">
        <is>
          <t>NFB VENTURE SERVICES CORP</t>
        </is>
      </c>
      <c r="D35" t="inlineStr">
        <is>
          <t>Closed</t>
        </is>
      </c>
      <c r="E35" s="297" t="n">
        <v>45713</v>
      </c>
      <c r="F35" s="297" t="n">
        <v>45758</v>
      </c>
      <c r="G35" t="n">
        <v>2</v>
      </c>
      <c r="H35" t="inlineStr">
        <is>
          <t>7549</t>
        </is>
      </c>
      <c r="I35" t="inlineStr">
        <is>
          <t>75</t>
        </is>
      </c>
      <c r="J35" t="inlineStr">
        <is>
          <t>MA</t>
        </is>
      </c>
      <c r="K35" t="inlineStr">
        <is>
          <t>CARE FUNDING GROUP</t>
        </is>
      </c>
      <c r="L35" t="inlineStr">
        <is>
          <t>New Deal</t>
        </is>
      </c>
      <c r="M35" s="298" t="n">
        <v>1.49</v>
      </c>
      <c r="N35" s="299" t="n">
        <v>3500</v>
      </c>
      <c r="O35" s="299" t="n">
        <v>490</v>
      </c>
      <c r="P35" s="299" t="n">
        <v>5215</v>
      </c>
      <c r="Q35" s="299" t="n">
        <v>5215</v>
      </c>
      <c r="R35" s="299" t="n">
        <v>0</v>
      </c>
      <c r="S35" s="300" t="n">
        <v>1</v>
      </c>
      <c r="T35" t="n">
        <v>1.967</v>
      </c>
      <c r="U35" t="n">
        <v>0</v>
      </c>
      <c r="W35" s="300" t="n">
        <v>0.058</v>
      </c>
      <c r="X35" s="297" t="n">
        <v>45402</v>
      </c>
      <c r="Y35">
        <f>IF(I35="","No SIC",IFERROR(VLOOKUP(I35,Ref!$A$2:$B$65,2,FALSE),"Unclassified"))</f>
        <v/>
      </c>
      <c r="Z35">
        <f>IF(T35="","",IF(T35&lt;12,"Daily","Weekly"))</f>
        <v/>
      </c>
      <c r="AA35">
        <f>IF(T35="",0,IF(T35&lt;12,T35*Controls!$B$29,T35*5))</f>
        <v/>
      </c>
      <c r="AB35">
        <f>IF(E35="",0,NETWORKDAYS(E35,Controls!$B$36,Ref!$K$2:$K$42))</f>
        <v/>
      </c>
      <c r="AC35">
        <f>IF(AND(AA35&gt;0,AB35&gt;=Controls!$B$39*AA35),1,0)</f>
        <v/>
      </c>
      <c r="AD35">
        <f>IF(AND(E35&lt;&gt;"",E35&gt;=Controls!$B$37,E35&lt;=Controls!$B$38),1,0)</f>
        <v/>
      </c>
      <c r="AE35">
        <f>IF(IFERROR(VLOOKUP(D35,Controls!$A$64:$E$74,2,FALSE),"No")="Yes",1,0)</f>
        <v/>
      </c>
      <c r="AF35">
        <f>IF(IFERROR(VLOOKUP(D35,Controls!$A$64:$E$74,3,FALSE),"No")="Yes",1,0)</f>
        <v/>
      </c>
      <c r="AG35">
        <f>IF(IFERROR(VLOOKUP(D35,Controls!$A$64:$E$74,4,FALSE),"No")="Yes",1,0)</f>
        <v/>
      </c>
      <c r="AH35">
        <f>IF(IFERROR(VLOOKUP(D35,Controls!$A$64:$E$74,5,FALSE),"No")="Yes",1,0)</f>
        <v/>
      </c>
      <c r="AI35">
        <f>IF(ISNUMBER(MATCH(D35,Controls!$A$64:$A$74,0)),1,0)</f>
        <v/>
      </c>
      <c r="AJ35">
        <f>Q35-N35</f>
        <v/>
      </c>
      <c r="AK35">
        <f>IF(AE35=1,MAX(0,N35-Q35),0)</f>
        <v/>
      </c>
      <c r="AL35">
        <f>IF(OR(V35="",V35=0),0,N35/V35)</f>
        <v/>
      </c>
      <c r="AM35">
        <f>IF(OR(V35="",V35=0),0,1)</f>
        <v/>
      </c>
      <c r="AN35">
        <f>IF(OR(E35="",F35=""),0,NETWORKDAYS(E35,F35,Ref!$K$2:$K$42))</f>
        <v/>
      </c>
      <c r="AO35">
        <f>IF(L35="Renewal",1,0)</f>
        <v/>
      </c>
      <c r="AP35">
        <f>AC35*AD35</f>
        <v/>
      </c>
      <c r="AQ35">
        <f>IF(AND(G35&lt;&gt;"",'Historical Score'!$C$6&lt;&gt;""),IF(G35='Historical Score'!$C$6,1,0),0)</f>
        <v/>
      </c>
      <c r="AR35">
        <f>IF(AND(L35&lt;&gt;"",'Historical Score'!$C$5&lt;&gt;""),IF(L35='Historical Score'!$C$5,1,0),0)</f>
        <v/>
      </c>
      <c r="AS35">
        <f>IF(AND(Y35&lt;&gt;"",'Historical Score'!$C$7&lt;&gt;""),IF(Y35='Historical Score'!$C$7,1,0),0)</f>
        <v/>
      </c>
      <c r="AT35">
        <f>IF(AND(K35&lt;&gt;"",'Historical Score'!$C$8&lt;&gt;""),IF(K35='Historical Score'!$C$8,1,0),0)</f>
        <v/>
      </c>
      <c r="AU35">
        <f>IF(AND(J35&lt;&gt;"",'Historical Score'!$C$9&lt;&gt;""),IF(J35='Historical Score'!$C$9,1,0),0)</f>
        <v/>
      </c>
      <c r="AV35">
        <f>AR35*AS35*AQ35</f>
        <v/>
      </c>
      <c r="AW35">
        <f>AR35*AT35*AQ35</f>
        <v/>
      </c>
      <c r="AX35">
        <f>AR35*AS35</f>
        <v/>
      </c>
      <c r="AY35">
        <f>AR35*AT35</f>
        <v/>
      </c>
      <c r="AZ35">
        <f>AR35*AQ35</f>
        <v/>
      </c>
      <c r="BA35">
        <f>AR35</f>
        <v/>
      </c>
      <c r="BB35">
        <f>1</f>
        <v/>
      </c>
      <c r="BC35">
        <f>IF(AV35=1,1,IF(AW35=1,2,IF(AX35=1,3,IF(AY35=1,4,IF(AZ35=1,5,IF(BA35=1,6,7))))))</f>
        <v/>
      </c>
      <c r="BD35">
        <f>IF(AD35=1,CHOOSE('Historical Score'!$C$29,AV35,AW35,AX35,AY35,AZ35,BA35,BB35),0)</f>
        <v/>
      </c>
      <c r="BE35">
        <f>IF(BD35=1,COUNTIF($BD$2:BD35,1),"")</f>
        <v/>
      </c>
    </row>
    <row r="36">
      <c r="A36" t="inlineStr">
        <is>
          <t>5674151286</t>
        </is>
      </c>
      <c r="B36" t="inlineStr">
        <is>
          <t>DEALS ON 11 LLC</t>
        </is>
      </c>
      <c r="C36" t="inlineStr">
        <is>
          <t>DEALS ON 11 LLC</t>
        </is>
      </c>
      <c r="D36" t="inlineStr">
        <is>
          <t>Closed</t>
        </is>
      </c>
      <c r="E36" s="297" t="n">
        <v>45714</v>
      </c>
      <c r="F36" s="297" t="n">
        <v>45797</v>
      </c>
      <c r="G36" t="n">
        <v>5</v>
      </c>
      <c r="H36" t="inlineStr">
        <is>
          <t>5085</t>
        </is>
      </c>
      <c r="I36" t="inlineStr">
        <is>
          <t>50</t>
        </is>
      </c>
      <c r="J36" t="inlineStr">
        <is>
          <t>AL</t>
        </is>
      </c>
      <c r="K36" t="inlineStr">
        <is>
          <t>Sky Advance</t>
        </is>
      </c>
      <c r="L36" t="inlineStr">
        <is>
          <t>New Deal</t>
        </is>
      </c>
      <c r="M36" s="298" t="n">
        <v>1.49</v>
      </c>
      <c r="N36" s="299" t="n">
        <v>5000</v>
      </c>
      <c r="O36" s="299" t="n">
        <v>700</v>
      </c>
      <c r="P36" s="299" t="n">
        <v>7450</v>
      </c>
      <c r="Q36" s="299" t="n">
        <v>7450</v>
      </c>
      <c r="R36" s="299" t="n">
        <v>0</v>
      </c>
      <c r="S36" s="300" t="n">
        <v>1</v>
      </c>
      <c r="T36" t="n">
        <v>1.967</v>
      </c>
      <c r="U36" t="n">
        <v>0</v>
      </c>
      <c r="W36" s="300" t="n">
        <v>0.0639</v>
      </c>
      <c r="X36" s="297" t="n">
        <v>45554</v>
      </c>
      <c r="Y36">
        <f>IF(I36="","No SIC",IFERROR(VLOOKUP(I36,Ref!$A$2:$B$65,2,FALSE),"Unclassified"))</f>
        <v/>
      </c>
      <c r="Z36">
        <f>IF(T36="","",IF(T36&lt;12,"Daily","Weekly"))</f>
        <v/>
      </c>
      <c r="AA36">
        <f>IF(T36="",0,IF(T36&lt;12,T36*Controls!$B$29,T36*5))</f>
        <v/>
      </c>
      <c r="AB36">
        <f>IF(E36="",0,NETWORKDAYS(E36,Controls!$B$36,Ref!$K$2:$K$42))</f>
        <v/>
      </c>
      <c r="AC36">
        <f>IF(AND(AA36&gt;0,AB36&gt;=Controls!$B$39*AA36),1,0)</f>
        <v/>
      </c>
      <c r="AD36">
        <f>IF(AND(E36&lt;&gt;"",E36&gt;=Controls!$B$37,E36&lt;=Controls!$B$38),1,0)</f>
        <v/>
      </c>
      <c r="AE36">
        <f>IF(IFERROR(VLOOKUP(D36,Controls!$A$64:$E$74,2,FALSE),"No")="Yes",1,0)</f>
        <v/>
      </c>
      <c r="AF36">
        <f>IF(IFERROR(VLOOKUP(D36,Controls!$A$64:$E$74,3,FALSE),"No")="Yes",1,0)</f>
        <v/>
      </c>
      <c r="AG36">
        <f>IF(IFERROR(VLOOKUP(D36,Controls!$A$64:$E$74,4,FALSE),"No")="Yes",1,0)</f>
        <v/>
      </c>
      <c r="AH36">
        <f>IF(IFERROR(VLOOKUP(D36,Controls!$A$64:$E$74,5,FALSE),"No")="Yes",1,0)</f>
        <v/>
      </c>
      <c r="AI36">
        <f>IF(ISNUMBER(MATCH(D36,Controls!$A$64:$A$74,0)),1,0)</f>
        <v/>
      </c>
      <c r="AJ36">
        <f>Q36-N36</f>
        <v/>
      </c>
      <c r="AK36">
        <f>IF(AE36=1,MAX(0,N36-Q36),0)</f>
        <v/>
      </c>
      <c r="AL36">
        <f>IF(OR(V36="",V36=0),0,N36/V36)</f>
        <v/>
      </c>
      <c r="AM36">
        <f>IF(OR(V36="",V36=0),0,1)</f>
        <v/>
      </c>
      <c r="AN36">
        <f>IF(OR(E36="",F36=""),0,NETWORKDAYS(E36,F36,Ref!$K$2:$K$42))</f>
        <v/>
      </c>
      <c r="AO36">
        <f>IF(L36="Renewal",1,0)</f>
        <v/>
      </c>
      <c r="AP36">
        <f>AC36*AD36</f>
        <v/>
      </c>
      <c r="AQ36">
        <f>IF(AND(G36&lt;&gt;"",'Historical Score'!$C$6&lt;&gt;""),IF(G36='Historical Score'!$C$6,1,0),0)</f>
        <v/>
      </c>
      <c r="AR36">
        <f>IF(AND(L36&lt;&gt;"",'Historical Score'!$C$5&lt;&gt;""),IF(L36='Historical Score'!$C$5,1,0),0)</f>
        <v/>
      </c>
      <c r="AS36">
        <f>IF(AND(Y36&lt;&gt;"",'Historical Score'!$C$7&lt;&gt;""),IF(Y36='Historical Score'!$C$7,1,0),0)</f>
        <v/>
      </c>
      <c r="AT36">
        <f>IF(AND(K36&lt;&gt;"",'Historical Score'!$C$8&lt;&gt;""),IF(K36='Historical Score'!$C$8,1,0),0)</f>
        <v/>
      </c>
      <c r="AU36">
        <f>IF(AND(J36&lt;&gt;"",'Historical Score'!$C$9&lt;&gt;""),IF(J36='Historical Score'!$C$9,1,0),0)</f>
        <v/>
      </c>
      <c r="AV36">
        <f>AR36*AS36*AQ36</f>
        <v/>
      </c>
      <c r="AW36">
        <f>AR36*AT36*AQ36</f>
        <v/>
      </c>
      <c r="AX36">
        <f>AR36*AS36</f>
        <v/>
      </c>
      <c r="AY36">
        <f>AR36*AT36</f>
        <v/>
      </c>
      <c r="AZ36">
        <f>AR36*AQ36</f>
        <v/>
      </c>
      <c r="BA36">
        <f>AR36</f>
        <v/>
      </c>
      <c r="BB36">
        <f>1</f>
        <v/>
      </c>
      <c r="BC36">
        <f>IF(AV36=1,1,IF(AW36=1,2,IF(AX36=1,3,IF(AY36=1,4,IF(AZ36=1,5,IF(BA36=1,6,7))))))</f>
        <v/>
      </c>
      <c r="BD36">
        <f>IF(AD36=1,CHOOSE('Historical Score'!$C$29,AV36,AW36,AX36,AY36,AZ36,BA36,BB36),0)</f>
        <v/>
      </c>
      <c r="BE36">
        <f>IF(BD36=1,COUNTIF($BD$2:BD36,1),"")</f>
        <v/>
      </c>
    </row>
    <row r="37">
      <c r="A37" t="inlineStr">
        <is>
          <t>5674151397</t>
        </is>
      </c>
      <c r="B37" t="inlineStr">
        <is>
          <t>HITCHCOCK &amp; COMPANY LLC</t>
        </is>
      </c>
      <c r="C37" t="inlineStr">
        <is>
          <t>HITCHCOCK &amp; COMPANY LLC</t>
        </is>
      </c>
      <c r="D37" t="inlineStr">
        <is>
          <t>Closed</t>
        </is>
      </c>
      <c r="E37" s="297" t="n">
        <v>45714</v>
      </c>
      <c r="F37" s="297" t="n">
        <v>45846</v>
      </c>
      <c r="G37" t="n">
        <v>4</v>
      </c>
      <c r="H37" t="inlineStr">
        <is>
          <t>1521</t>
        </is>
      </c>
      <c r="I37" t="inlineStr">
        <is>
          <t>15</t>
        </is>
      </c>
      <c r="J37" t="inlineStr">
        <is>
          <t>ME</t>
        </is>
      </c>
      <c r="K37" t="inlineStr">
        <is>
          <t>United Secured Capital 8</t>
        </is>
      </c>
      <c r="L37" t="inlineStr">
        <is>
          <t>New Deal</t>
        </is>
      </c>
      <c r="M37" s="298" t="n">
        <v>1.49</v>
      </c>
      <c r="N37" s="299" t="n">
        <v>22000</v>
      </c>
      <c r="O37" s="299" t="n">
        <v>3080</v>
      </c>
      <c r="P37" s="299" t="n">
        <v>32780</v>
      </c>
      <c r="Q37" s="299" t="n">
        <v>32780</v>
      </c>
      <c r="R37" s="299" t="n">
        <v>0</v>
      </c>
      <c r="S37" s="300" t="n">
        <v>1</v>
      </c>
      <c r="T37" t="n">
        <v>17.9</v>
      </c>
      <c r="U37" t="n">
        <v>1</v>
      </c>
      <c r="W37" s="300" t="n">
        <v>0.0326</v>
      </c>
      <c r="X37" s="297" t="n">
        <v>44044</v>
      </c>
      <c r="Y37">
        <f>IF(I37="","No SIC",IFERROR(VLOOKUP(I37,Ref!$A$2:$B$65,2,FALSE),"Unclassified"))</f>
        <v/>
      </c>
      <c r="Z37">
        <f>IF(T37="","",IF(T37&lt;12,"Daily","Weekly"))</f>
        <v/>
      </c>
      <c r="AA37">
        <f>IF(T37="",0,IF(T37&lt;12,T37*Controls!$B$29,T37*5))</f>
        <v/>
      </c>
      <c r="AB37">
        <f>IF(E37="",0,NETWORKDAYS(E37,Controls!$B$36,Ref!$K$2:$K$42))</f>
        <v/>
      </c>
      <c r="AC37">
        <f>IF(AND(AA37&gt;0,AB37&gt;=Controls!$B$39*AA37),1,0)</f>
        <v/>
      </c>
      <c r="AD37">
        <f>IF(AND(E37&lt;&gt;"",E37&gt;=Controls!$B$37,E37&lt;=Controls!$B$38),1,0)</f>
        <v/>
      </c>
      <c r="AE37">
        <f>IF(IFERROR(VLOOKUP(D37,Controls!$A$64:$E$74,2,FALSE),"No")="Yes",1,0)</f>
        <v/>
      </c>
      <c r="AF37">
        <f>IF(IFERROR(VLOOKUP(D37,Controls!$A$64:$E$74,3,FALSE),"No")="Yes",1,0)</f>
        <v/>
      </c>
      <c r="AG37">
        <f>IF(IFERROR(VLOOKUP(D37,Controls!$A$64:$E$74,4,FALSE),"No")="Yes",1,0)</f>
        <v/>
      </c>
      <c r="AH37">
        <f>IF(IFERROR(VLOOKUP(D37,Controls!$A$64:$E$74,5,FALSE),"No")="Yes",1,0)</f>
        <v/>
      </c>
      <c r="AI37">
        <f>IF(ISNUMBER(MATCH(D37,Controls!$A$64:$A$74,0)),1,0)</f>
        <v/>
      </c>
      <c r="AJ37">
        <f>Q37-N37</f>
        <v/>
      </c>
      <c r="AK37">
        <f>IF(AE37=1,MAX(0,N37-Q37),0)</f>
        <v/>
      </c>
      <c r="AL37">
        <f>IF(OR(V37="",V37=0),0,N37/V37)</f>
        <v/>
      </c>
      <c r="AM37">
        <f>IF(OR(V37="",V37=0),0,1)</f>
        <v/>
      </c>
      <c r="AN37">
        <f>IF(OR(E37="",F37=""),0,NETWORKDAYS(E37,F37,Ref!$K$2:$K$42))</f>
        <v/>
      </c>
      <c r="AO37">
        <f>IF(L37="Renewal",1,0)</f>
        <v/>
      </c>
      <c r="AP37">
        <f>AC37*AD37</f>
        <v/>
      </c>
      <c r="AQ37">
        <f>IF(AND(G37&lt;&gt;"",'Historical Score'!$C$6&lt;&gt;""),IF(G37='Historical Score'!$C$6,1,0),0)</f>
        <v/>
      </c>
      <c r="AR37">
        <f>IF(AND(L37&lt;&gt;"",'Historical Score'!$C$5&lt;&gt;""),IF(L37='Historical Score'!$C$5,1,0),0)</f>
        <v/>
      </c>
      <c r="AS37">
        <f>IF(AND(Y37&lt;&gt;"",'Historical Score'!$C$7&lt;&gt;""),IF(Y37='Historical Score'!$C$7,1,0),0)</f>
        <v/>
      </c>
      <c r="AT37">
        <f>IF(AND(K37&lt;&gt;"",'Historical Score'!$C$8&lt;&gt;""),IF(K37='Historical Score'!$C$8,1,0),0)</f>
        <v/>
      </c>
      <c r="AU37">
        <f>IF(AND(J37&lt;&gt;"",'Historical Score'!$C$9&lt;&gt;""),IF(J37='Historical Score'!$C$9,1,0),0)</f>
        <v/>
      </c>
      <c r="AV37">
        <f>AR37*AS37*AQ37</f>
        <v/>
      </c>
      <c r="AW37">
        <f>AR37*AT37*AQ37</f>
        <v/>
      </c>
      <c r="AX37">
        <f>AR37*AS37</f>
        <v/>
      </c>
      <c r="AY37">
        <f>AR37*AT37</f>
        <v/>
      </c>
      <c r="AZ37">
        <f>AR37*AQ37</f>
        <v/>
      </c>
      <c r="BA37">
        <f>AR37</f>
        <v/>
      </c>
      <c r="BB37">
        <f>1</f>
        <v/>
      </c>
      <c r="BC37">
        <f>IF(AV37=1,1,IF(AW37=1,2,IF(AX37=1,3,IF(AY37=1,4,IF(AZ37=1,5,IF(BA37=1,6,7))))))</f>
        <v/>
      </c>
      <c r="BD37">
        <f>IF(AD37=1,CHOOSE('Historical Score'!$C$29,AV37,AW37,AX37,AY37,AZ37,BA37,BB37),0)</f>
        <v/>
      </c>
      <c r="BE37">
        <f>IF(BD37=1,COUNTIF($BD$2:BD37,1),"")</f>
        <v/>
      </c>
    </row>
    <row r="38">
      <c r="A38" t="inlineStr">
        <is>
          <t>5674151553</t>
        </is>
      </c>
      <c r="B38" t="inlineStr">
        <is>
          <t>VITELGUIDE LLC</t>
        </is>
      </c>
      <c r="C38" t="inlineStr">
        <is>
          <t>VITEL HEALTH LLC</t>
        </is>
      </c>
      <c r="D38" t="inlineStr">
        <is>
          <t>Closed</t>
        </is>
      </c>
      <c r="E38" s="297" t="n">
        <v>45716</v>
      </c>
      <c r="F38" s="297" t="n">
        <v>45848</v>
      </c>
      <c r="G38" t="n">
        <v>3</v>
      </c>
      <c r="H38" t="inlineStr">
        <is>
          <t>8742</t>
        </is>
      </c>
      <c r="I38" t="inlineStr">
        <is>
          <t>87</t>
        </is>
      </c>
      <c r="J38" t="inlineStr">
        <is>
          <t>CA</t>
        </is>
      </c>
      <c r="K38" t="inlineStr">
        <is>
          <t>ROYAL FUNDING GROUP</t>
        </is>
      </c>
      <c r="L38" t="inlineStr">
        <is>
          <t>New Deal</t>
        </is>
      </c>
      <c r="M38" s="298" t="n">
        <v>1.457</v>
      </c>
      <c r="N38" s="299" t="n">
        <v>17000</v>
      </c>
      <c r="O38" s="299" t="n">
        <v>2380</v>
      </c>
      <c r="P38" s="299" t="n">
        <v>24769</v>
      </c>
      <c r="Q38" s="299" t="n">
        <v>24769</v>
      </c>
      <c r="R38" s="299" t="n">
        <v>0</v>
      </c>
      <c r="S38" s="300" t="n">
        <v>1</v>
      </c>
      <c r="T38" t="n">
        <v>20</v>
      </c>
      <c r="U38" t="n">
        <v>2</v>
      </c>
      <c r="W38" s="300" t="n">
        <v>0.1247</v>
      </c>
      <c r="X38" s="297" t="n">
        <v>44417</v>
      </c>
      <c r="Y38">
        <f>IF(I38="","No SIC",IFERROR(VLOOKUP(I38,Ref!$A$2:$B$65,2,FALSE),"Unclassified"))</f>
        <v/>
      </c>
      <c r="Z38">
        <f>IF(T38="","",IF(T38&lt;12,"Daily","Weekly"))</f>
        <v/>
      </c>
      <c r="AA38">
        <f>IF(T38="",0,IF(T38&lt;12,T38*Controls!$B$29,T38*5))</f>
        <v/>
      </c>
      <c r="AB38">
        <f>IF(E38="",0,NETWORKDAYS(E38,Controls!$B$36,Ref!$K$2:$K$42))</f>
        <v/>
      </c>
      <c r="AC38">
        <f>IF(AND(AA38&gt;0,AB38&gt;=Controls!$B$39*AA38),1,0)</f>
        <v/>
      </c>
      <c r="AD38">
        <f>IF(AND(E38&lt;&gt;"",E38&gt;=Controls!$B$37,E38&lt;=Controls!$B$38),1,0)</f>
        <v/>
      </c>
      <c r="AE38">
        <f>IF(IFERROR(VLOOKUP(D38,Controls!$A$64:$E$74,2,FALSE),"No")="Yes",1,0)</f>
        <v/>
      </c>
      <c r="AF38">
        <f>IF(IFERROR(VLOOKUP(D38,Controls!$A$64:$E$74,3,FALSE),"No")="Yes",1,0)</f>
        <v/>
      </c>
      <c r="AG38">
        <f>IF(IFERROR(VLOOKUP(D38,Controls!$A$64:$E$74,4,FALSE),"No")="Yes",1,0)</f>
        <v/>
      </c>
      <c r="AH38">
        <f>IF(IFERROR(VLOOKUP(D38,Controls!$A$64:$E$74,5,FALSE),"No")="Yes",1,0)</f>
        <v/>
      </c>
      <c r="AI38">
        <f>IF(ISNUMBER(MATCH(D38,Controls!$A$64:$A$74,0)),1,0)</f>
        <v/>
      </c>
      <c r="AJ38">
        <f>Q38-N38</f>
        <v/>
      </c>
      <c r="AK38">
        <f>IF(AE38=1,MAX(0,N38-Q38),0)</f>
        <v/>
      </c>
      <c r="AL38">
        <f>IF(OR(V38="",V38=0),0,N38/V38)</f>
        <v/>
      </c>
      <c r="AM38">
        <f>IF(OR(V38="",V38=0),0,1)</f>
        <v/>
      </c>
      <c r="AN38">
        <f>IF(OR(E38="",F38=""),0,NETWORKDAYS(E38,F38,Ref!$K$2:$K$42))</f>
        <v/>
      </c>
      <c r="AO38">
        <f>IF(L38="Renewal",1,0)</f>
        <v/>
      </c>
      <c r="AP38">
        <f>AC38*AD38</f>
        <v/>
      </c>
      <c r="AQ38">
        <f>IF(AND(G38&lt;&gt;"",'Historical Score'!$C$6&lt;&gt;""),IF(G38='Historical Score'!$C$6,1,0),0)</f>
        <v/>
      </c>
      <c r="AR38">
        <f>IF(AND(L38&lt;&gt;"",'Historical Score'!$C$5&lt;&gt;""),IF(L38='Historical Score'!$C$5,1,0),0)</f>
        <v/>
      </c>
      <c r="AS38">
        <f>IF(AND(Y38&lt;&gt;"",'Historical Score'!$C$7&lt;&gt;""),IF(Y38='Historical Score'!$C$7,1,0),0)</f>
        <v/>
      </c>
      <c r="AT38">
        <f>IF(AND(K38&lt;&gt;"",'Historical Score'!$C$8&lt;&gt;""),IF(K38='Historical Score'!$C$8,1,0),0)</f>
        <v/>
      </c>
      <c r="AU38">
        <f>IF(AND(J38&lt;&gt;"",'Historical Score'!$C$9&lt;&gt;""),IF(J38='Historical Score'!$C$9,1,0),0)</f>
        <v/>
      </c>
      <c r="AV38">
        <f>AR38*AS38*AQ38</f>
        <v/>
      </c>
      <c r="AW38">
        <f>AR38*AT38*AQ38</f>
        <v/>
      </c>
      <c r="AX38">
        <f>AR38*AS38</f>
        <v/>
      </c>
      <c r="AY38">
        <f>AR38*AT38</f>
        <v/>
      </c>
      <c r="AZ38">
        <f>AR38*AQ38</f>
        <v/>
      </c>
      <c r="BA38">
        <f>AR38</f>
        <v/>
      </c>
      <c r="BB38">
        <f>1</f>
        <v/>
      </c>
      <c r="BC38">
        <f>IF(AV38=1,1,IF(AW38=1,2,IF(AX38=1,3,IF(AY38=1,4,IF(AZ38=1,5,IF(BA38=1,6,7))))))</f>
        <v/>
      </c>
      <c r="BD38">
        <f>IF(AD38=1,CHOOSE('Historical Score'!$C$29,AV38,AW38,AX38,AY38,AZ38,BA38,BB38),0)</f>
        <v/>
      </c>
      <c r="BE38">
        <f>IF(BD38=1,COUNTIF($BD$2:BD38,1),"")</f>
        <v/>
      </c>
    </row>
    <row r="39">
      <c r="A39" t="inlineStr">
        <is>
          <t>5674151571</t>
        </is>
      </c>
      <c r="B39" t="inlineStr">
        <is>
          <t>DIAMOND GROUP LOGISTICS CO</t>
        </is>
      </c>
      <c r="C39" t="inlineStr">
        <is>
          <t>DIAMOND GROUP LOGISTICS CO</t>
        </is>
      </c>
      <c r="D39" t="inlineStr">
        <is>
          <t>Closed/NSF Unpaid</t>
        </is>
      </c>
      <c r="E39" s="297" t="n">
        <v>45716</v>
      </c>
      <c r="F39" s="297" t="n">
        <v>45834</v>
      </c>
      <c r="G39" t="n">
        <v>6</v>
      </c>
      <c r="H39" t="inlineStr">
        <is>
          <t>4213</t>
        </is>
      </c>
      <c r="I39" t="inlineStr">
        <is>
          <t>42</t>
        </is>
      </c>
      <c r="J39" t="inlineStr">
        <is>
          <t>IL</t>
        </is>
      </c>
      <c r="K39" t="inlineStr">
        <is>
          <t>Fund Max</t>
        </is>
      </c>
      <c r="L39" t="inlineStr">
        <is>
          <t>New Deal</t>
        </is>
      </c>
      <c r="M39" s="298" t="n">
        <v>1.499</v>
      </c>
      <c r="N39" s="299" t="n">
        <v>22000</v>
      </c>
      <c r="O39" s="299" t="n">
        <v>3080</v>
      </c>
      <c r="P39" s="299" t="n">
        <v>32978</v>
      </c>
      <c r="Q39" s="299" t="n">
        <v>32978</v>
      </c>
      <c r="R39" s="299" t="n">
        <v>0</v>
      </c>
      <c r="S39" s="300" t="n">
        <v>1</v>
      </c>
      <c r="T39" t="n">
        <v>16</v>
      </c>
      <c r="U39" t="n">
        <v>1</v>
      </c>
      <c r="W39" s="300" t="n">
        <v>0.0129</v>
      </c>
      <c r="X39" s="297" t="n">
        <v>42967</v>
      </c>
      <c r="Y39">
        <f>IF(I39="","No SIC",IFERROR(VLOOKUP(I39,Ref!$A$2:$B$65,2,FALSE),"Unclassified"))</f>
        <v/>
      </c>
      <c r="Z39">
        <f>IF(T39="","",IF(T39&lt;12,"Daily","Weekly"))</f>
        <v/>
      </c>
      <c r="AA39">
        <f>IF(T39="",0,IF(T39&lt;12,T39*Controls!$B$29,T39*5))</f>
        <v/>
      </c>
      <c r="AB39">
        <f>IF(E39="",0,NETWORKDAYS(E39,Controls!$B$36,Ref!$K$2:$K$42))</f>
        <v/>
      </c>
      <c r="AC39">
        <f>IF(AND(AA39&gt;0,AB39&gt;=Controls!$B$39*AA39),1,0)</f>
        <v/>
      </c>
      <c r="AD39">
        <f>IF(AND(E39&lt;&gt;"",E39&gt;=Controls!$B$37,E39&lt;=Controls!$B$38),1,0)</f>
        <v/>
      </c>
      <c r="AE39">
        <f>IF(IFERROR(VLOOKUP(D39,Controls!$A$64:$E$74,2,FALSE),"No")="Yes",1,0)</f>
        <v/>
      </c>
      <c r="AF39">
        <f>IF(IFERROR(VLOOKUP(D39,Controls!$A$64:$E$74,3,FALSE),"No")="Yes",1,0)</f>
        <v/>
      </c>
      <c r="AG39">
        <f>IF(IFERROR(VLOOKUP(D39,Controls!$A$64:$E$74,4,FALSE),"No")="Yes",1,0)</f>
        <v/>
      </c>
      <c r="AH39">
        <f>IF(IFERROR(VLOOKUP(D39,Controls!$A$64:$E$74,5,FALSE),"No")="Yes",1,0)</f>
        <v/>
      </c>
      <c r="AI39">
        <f>IF(ISNUMBER(MATCH(D39,Controls!$A$64:$A$74,0)),1,0)</f>
        <v/>
      </c>
      <c r="AJ39">
        <f>Q39-N39</f>
        <v/>
      </c>
      <c r="AK39">
        <f>IF(AE39=1,MAX(0,N39-Q39),0)</f>
        <v/>
      </c>
      <c r="AL39">
        <f>IF(OR(V39="",V39=0),0,N39/V39)</f>
        <v/>
      </c>
      <c r="AM39">
        <f>IF(OR(V39="",V39=0),0,1)</f>
        <v/>
      </c>
      <c r="AN39">
        <f>IF(OR(E39="",F39=""),0,NETWORKDAYS(E39,F39,Ref!$K$2:$K$42))</f>
        <v/>
      </c>
      <c r="AO39">
        <f>IF(L39="Renewal",1,0)</f>
        <v/>
      </c>
      <c r="AP39">
        <f>AC39*AD39</f>
        <v/>
      </c>
      <c r="AQ39">
        <f>IF(AND(G39&lt;&gt;"",'Historical Score'!$C$6&lt;&gt;""),IF(G39='Historical Score'!$C$6,1,0),0)</f>
        <v/>
      </c>
      <c r="AR39">
        <f>IF(AND(L39&lt;&gt;"",'Historical Score'!$C$5&lt;&gt;""),IF(L39='Historical Score'!$C$5,1,0),0)</f>
        <v/>
      </c>
      <c r="AS39">
        <f>IF(AND(Y39&lt;&gt;"",'Historical Score'!$C$7&lt;&gt;""),IF(Y39='Historical Score'!$C$7,1,0),0)</f>
        <v/>
      </c>
      <c r="AT39">
        <f>IF(AND(K39&lt;&gt;"",'Historical Score'!$C$8&lt;&gt;""),IF(K39='Historical Score'!$C$8,1,0),0)</f>
        <v/>
      </c>
      <c r="AU39">
        <f>IF(AND(J39&lt;&gt;"",'Historical Score'!$C$9&lt;&gt;""),IF(J39='Historical Score'!$C$9,1,0),0)</f>
        <v/>
      </c>
      <c r="AV39">
        <f>AR39*AS39*AQ39</f>
        <v/>
      </c>
      <c r="AW39">
        <f>AR39*AT39*AQ39</f>
        <v/>
      </c>
      <c r="AX39">
        <f>AR39*AS39</f>
        <v/>
      </c>
      <c r="AY39">
        <f>AR39*AT39</f>
        <v/>
      </c>
      <c r="AZ39">
        <f>AR39*AQ39</f>
        <v/>
      </c>
      <c r="BA39">
        <f>AR39</f>
        <v/>
      </c>
      <c r="BB39">
        <f>1</f>
        <v/>
      </c>
      <c r="BC39">
        <f>IF(AV39=1,1,IF(AW39=1,2,IF(AX39=1,3,IF(AY39=1,4,IF(AZ39=1,5,IF(BA39=1,6,7))))))</f>
        <v/>
      </c>
      <c r="BD39">
        <f>IF(AD39=1,CHOOSE('Historical Score'!$C$29,AV39,AW39,AX39,AY39,AZ39,BA39,BB39),0)</f>
        <v/>
      </c>
      <c r="BE39">
        <f>IF(BD39=1,COUNTIF($BD$2:BD39,1),"")</f>
        <v/>
      </c>
    </row>
    <row r="40">
      <c r="A40" t="inlineStr">
        <is>
          <t>5674151572</t>
        </is>
      </c>
      <c r="B40" t="inlineStr">
        <is>
          <t>R &amp; B HEATING &amp; COOLING SPECIALIST</t>
        </is>
      </c>
      <c r="C40" t="inlineStr">
        <is>
          <t>R &amp; B HEATING &amp; COOLING</t>
        </is>
      </c>
      <c r="D40" t="inlineStr">
        <is>
          <t>In House Collection</t>
        </is>
      </c>
      <c r="E40" s="297" t="n">
        <v>45716</v>
      </c>
      <c r="F40" s="297" t="n">
        <v>45776</v>
      </c>
      <c r="G40" t="n">
        <v>5</v>
      </c>
      <c r="H40" t="inlineStr">
        <is>
          <t>1711</t>
        </is>
      </c>
      <c r="I40" t="inlineStr">
        <is>
          <t>17</t>
        </is>
      </c>
      <c r="J40" t="inlineStr">
        <is>
          <t>AZ</t>
        </is>
      </c>
      <c r="K40" t="inlineStr">
        <is>
          <t>MZ ADVANCE</t>
        </is>
      </c>
      <c r="L40" t="inlineStr">
        <is>
          <t>New Deal</t>
        </is>
      </c>
      <c r="M40" s="298" t="n">
        <v>1.49</v>
      </c>
      <c r="N40" s="299" t="n">
        <v>7000</v>
      </c>
      <c r="O40" s="299" t="n">
        <v>980</v>
      </c>
      <c r="P40" s="299" t="n">
        <v>10430</v>
      </c>
      <c r="Q40" s="299" t="n">
        <v>3297.57</v>
      </c>
      <c r="R40" s="299" t="n">
        <v>7132.43</v>
      </c>
      <c r="S40" s="300" t="n">
        <v>0.316162032598274</v>
      </c>
      <c r="T40" t="n">
        <v>1.148</v>
      </c>
      <c r="U40" t="n">
        <v>3</v>
      </c>
      <c r="W40" s="300" t="n">
        <v>0.0624</v>
      </c>
      <c r="X40" s="297" t="n">
        <v>37817</v>
      </c>
      <c r="Y40">
        <f>IF(I40="","No SIC",IFERROR(VLOOKUP(I40,Ref!$A$2:$B$65,2,FALSE),"Unclassified"))</f>
        <v/>
      </c>
      <c r="Z40">
        <f>IF(T40="","",IF(T40&lt;12,"Daily","Weekly"))</f>
        <v/>
      </c>
      <c r="AA40">
        <f>IF(T40="",0,IF(T40&lt;12,T40*Controls!$B$29,T40*5))</f>
        <v/>
      </c>
      <c r="AB40">
        <f>IF(E40="",0,NETWORKDAYS(E40,Controls!$B$36,Ref!$K$2:$K$42))</f>
        <v/>
      </c>
      <c r="AC40">
        <f>IF(AND(AA40&gt;0,AB40&gt;=Controls!$B$39*AA40),1,0)</f>
        <v/>
      </c>
      <c r="AD40">
        <f>IF(AND(E40&lt;&gt;"",E40&gt;=Controls!$B$37,E40&lt;=Controls!$B$38),1,0)</f>
        <v/>
      </c>
      <c r="AE40">
        <f>IF(IFERROR(VLOOKUP(D40,Controls!$A$64:$E$74,2,FALSE),"No")="Yes",1,0)</f>
        <v/>
      </c>
      <c r="AF40">
        <f>IF(IFERROR(VLOOKUP(D40,Controls!$A$64:$E$74,3,FALSE),"No")="Yes",1,0)</f>
        <v/>
      </c>
      <c r="AG40">
        <f>IF(IFERROR(VLOOKUP(D40,Controls!$A$64:$E$74,4,FALSE),"No")="Yes",1,0)</f>
        <v/>
      </c>
      <c r="AH40">
        <f>IF(IFERROR(VLOOKUP(D40,Controls!$A$64:$E$74,5,FALSE),"No")="Yes",1,0)</f>
        <v/>
      </c>
      <c r="AI40">
        <f>IF(ISNUMBER(MATCH(D40,Controls!$A$64:$A$74,0)),1,0)</f>
        <v/>
      </c>
      <c r="AJ40">
        <f>Q40-N40</f>
        <v/>
      </c>
      <c r="AK40">
        <f>IF(AE40=1,MAX(0,N40-Q40),0)</f>
        <v/>
      </c>
      <c r="AL40">
        <f>IF(OR(V40="",V40=0),0,N40/V40)</f>
        <v/>
      </c>
      <c r="AM40">
        <f>IF(OR(V40="",V40=0),0,1)</f>
        <v/>
      </c>
      <c r="AN40">
        <f>IF(OR(E40="",F40=""),0,NETWORKDAYS(E40,F40,Ref!$K$2:$K$42))</f>
        <v/>
      </c>
      <c r="AO40">
        <f>IF(L40="Renewal",1,0)</f>
        <v/>
      </c>
      <c r="AP40">
        <f>AC40*AD40</f>
        <v/>
      </c>
      <c r="AQ40">
        <f>IF(AND(G40&lt;&gt;"",'Historical Score'!$C$6&lt;&gt;""),IF(G40='Historical Score'!$C$6,1,0),0)</f>
        <v/>
      </c>
      <c r="AR40">
        <f>IF(AND(L40&lt;&gt;"",'Historical Score'!$C$5&lt;&gt;""),IF(L40='Historical Score'!$C$5,1,0),0)</f>
        <v/>
      </c>
      <c r="AS40">
        <f>IF(AND(Y40&lt;&gt;"",'Historical Score'!$C$7&lt;&gt;""),IF(Y40='Historical Score'!$C$7,1,0),0)</f>
        <v/>
      </c>
      <c r="AT40">
        <f>IF(AND(K40&lt;&gt;"",'Historical Score'!$C$8&lt;&gt;""),IF(K40='Historical Score'!$C$8,1,0),0)</f>
        <v/>
      </c>
      <c r="AU40">
        <f>IF(AND(J40&lt;&gt;"",'Historical Score'!$C$9&lt;&gt;""),IF(J40='Historical Score'!$C$9,1,0),0)</f>
        <v/>
      </c>
      <c r="AV40">
        <f>AR40*AS40*AQ40</f>
        <v/>
      </c>
      <c r="AW40">
        <f>AR40*AT40*AQ40</f>
        <v/>
      </c>
      <c r="AX40">
        <f>AR40*AS40</f>
        <v/>
      </c>
      <c r="AY40">
        <f>AR40*AT40</f>
        <v/>
      </c>
      <c r="AZ40">
        <f>AR40*AQ40</f>
        <v/>
      </c>
      <c r="BA40">
        <f>AR40</f>
        <v/>
      </c>
      <c r="BB40">
        <f>1</f>
        <v/>
      </c>
      <c r="BC40">
        <f>IF(AV40=1,1,IF(AW40=1,2,IF(AX40=1,3,IF(AY40=1,4,IF(AZ40=1,5,IF(BA40=1,6,7))))))</f>
        <v/>
      </c>
      <c r="BD40">
        <f>IF(AD40=1,CHOOSE('Historical Score'!$C$29,AV40,AW40,AX40,AY40,AZ40,BA40,BB40),0)</f>
        <v/>
      </c>
      <c r="BE40">
        <f>IF(BD40=1,COUNTIF($BD$2:BD40,1),"")</f>
        <v/>
      </c>
    </row>
    <row r="41">
      <c r="A41" t="inlineStr">
        <is>
          <t>5674151645</t>
        </is>
      </c>
      <c r="B41" t="inlineStr">
        <is>
          <t>NEXT LEVEL DME</t>
        </is>
      </c>
      <c r="C41" t="inlineStr">
        <is>
          <t>LINX SOLUTIONS LLC</t>
        </is>
      </c>
      <c r="D41" t="inlineStr">
        <is>
          <t>Closed</t>
        </is>
      </c>
      <c r="E41" s="297" t="n">
        <v>45719</v>
      </c>
      <c r="F41" s="297" t="n">
        <v>45973</v>
      </c>
      <c r="G41" t="n">
        <v>6</v>
      </c>
      <c r="H41" t="inlineStr">
        <is>
          <t>5047</t>
        </is>
      </c>
      <c r="I41" t="inlineStr">
        <is>
          <t>50</t>
        </is>
      </c>
      <c r="J41" t="inlineStr">
        <is>
          <t>TN</t>
        </is>
      </c>
      <c r="K41" t="inlineStr">
        <is>
          <t>PMF</t>
        </is>
      </c>
      <c r="L41" t="inlineStr">
        <is>
          <t>New Deal</t>
        </is>
      </c>
      <c r="M41" s="298" t="n">
        <v>1.44</v>
      </c>
      <c r="N41" s="299" t="n">
        <v>20000</v>
      </c>
      <c r="O41" s="299" t="n">
        <v>2300</v>
      </c>
      <c r="P41" s="299" t="n">
        <v>28800</v>
      </c>
      <c r="Q41" s="299" t="n">
        <v>28800</v>
      </c>
      <c r="R41" s="299" t="n">
        <v>0</v>
      </c>
      <c r="S41" s="300" t="n">
        <v>1</v>
      </c>
      <c r="T41" t="n">
        <v>40</v>
      </c>
      <c r="U41" t="n">
        <v>0</v>
      </c>
      <c r="W41" s="300" t="n">
        <v>0.0279</v>
      </c>
      <c r="X41" s="297" t="n">
        <v>43748</v>
      </c>
      <c r="Y41">
        <f>IF(I41="","No SIC",IFERROR(VLOOKUP(I41,Ref!$A$2:$B$65,2,FALSE),"Unclassified"))</f>
        <v/>
      </c>
      <c r="Z41">
        <f>IF(T41="","",IF(T41&lt;12,"Daily","Weekly"))</f>
        <v/>
      </c>
      <c r="AA41">
        <f>IF(T41="",0,IF(T41&lt;12,T41*Controls!$B$29,T41*5))</f>
        <v/>
      </c>
      <c r="AB41">
        <f>IF(E41="",0,NETWORKDAYS(E41,Controls!$B$36,Ref!$K$2:$K$42))</f>
        <v/>
      </c>
      <c r="AC41">
        <f>IF(AND(AA41&gt;0,AB41&gt;=Controls!$B$39*AA41),1,0)</f>
        <v/>
      </c>
      <c r="AD41">
        <f>IF(AND(E41&lt;&gt;"",E41&gt;=Controls!$B$37,E41&lt;=Controls!$B$38),1,0)</f>
        <v/>
      </c>
      <c r="AE41">
        <f>IF(IFERROR(VLOOKUP(D41,Controls!$A$64:$E$74,2,FALSE),"No")="Yes",1,0)</f>
        <v/>
      </c>
      <c r="AF41">
        <f>IF(IFERROR(VLOOKUP(D41,Controls!$A$64:$E$74,3,FALSE),"No")="Yes",1,0)</f>
        <v/>
      </c>
      <c r="AG41">
        <f>IF(IFERROR(VLOOKUP(D41,Controls!$A$64:$E$74,4,FALSE),"No")="Yes",1,0)</f>
        <v/>
      </c>
      <c r="AH41">
        <f>IF(IFERROR(VLOOKUP(D41,Controls!$A$64:$E$74,5,FALSE),"No")="Yes",1,0)</f>
        <v/>
      </c>
      <c r="AI41">
        <f>IF(ISNUMBER(MATCH(D41,Controls!$A$64:$A$74,0)),1,0)</f>
        <v/>
      </c>
      <c r="AJ41">
        <f>Q41-N41</f>
        <v/>
      </c>
      <c r="AK41">
        <f>IF(AE41=1,MAX(0,N41-Q41),0)</f>
        <v/>
      </c>
      <c r="AL41">
        <f>IF(OR(V41="",V41=0),0,N41/V41)</f>
        <v/>
      </c>
      <c r="AM41">
        <f>IF(OR(V41="",V41=0),0,1)</f>
        <v/>
      </c>
      <c r="AN41">
        <f>IF(OR(E41="",F41=""),0,NETWORKDAYS(E41,F41,Ref!$K$2:$K$42))</f>
        <v/>
      </c>
      <c r="AO41">
        <f>IF(L41="Renewal",1,0)</f>
        <v/>
      </c>
      <c r="AP41">
        <f>AC41*AD41</f>
        <v/>
      </c>
      <c r="AQ41">
        <f>IF(AND(G41&lt;&gt;"",'Historical Score'!$C$6&lt;&gt;""),IF(G41='Historical Score'!$C$6,1,0),0)</f>
        <v/>
      </c>
      <c r="AR41">
        <f>IF(AND(L41&lt;&gt;"",'Historical Score'!$C$5&lt;&gt;""),IF(L41='Historical Score'!$C$5,1,0),0)</f>
        <v/>
      </c>
      <c r="AS41">
        <f>IF(AND(Y41&lt;&gt;"",'Historical Score'!$C$7&lt;&gt;""),IF(Y41='Historical Score'!$C$7,1,0),0)</f>
        <v/>
      </c>
      <c r="AT41">
        <f>IF(AND(K41&lt;&gt;"",'Historical Score'!$C$8&lt;&gt;""),IF(K41='Historical Score'!$C$8,1,0),0)</f>
        <v/>
      </c>
      <c r="AU41">
        <f>IF(AND(J41&lt;&gt;"",'Historical Score'!$C$9&lt;&gt;""),IF(J41='Historical Score'!$C$9,1,0),0)</f>
        <v/>
      </c>
      <c r="AV41">
        <f>AR41*AS41*AQ41</f>
        <v/>
      </c>
      <c r="AW41">
        <f>AR41*AT41*AQ41</f>
        <v/>
      </c>
      <c r="AX41">
        <f>AR41*AS41</f>
        <v/>
      </c>
      <c r="AY41">
        <f>AR41*AT41</f>
        <v/>
      </c>
      <c r="AZ41">
        <f>AR41*AQ41</f>
        <v/>
      </c>
      <c r="BA41">
        <f>AR41</f>
        <v/>
      </c>
      <c r="BB41">
        <f>1</f>
        <v/>
      </c>
      <c r="BC41">
        <f>IF(AV41=1,1,IF(AW41=1,2,IF(AX41=1,3,IF(AY41=1,4,IF(AZ41=1,5,IF(BA41=1,6,7))))))</f>
        <v/>
      </c>
      <c r="BD41">
        <f>IF(AD41=1,CHOOSE('Historical Score'!$C$29,AV41,AW41,AX41,AY41,AZ41,BA41,BB41),0)</f>
        <v/>
      </c>
      <c r="BE41">
        <f>IF(BD41=1,COUNTIF($BD$2:BD41,1),"")</f>
        <v/>
      </c>
    </row>
    <row r="42">
      <c r="A42" t="inlineStr">
        <is>
          <t>5674151913</t>
        </is>
      </c>
      <c r="B42" t="inlineStr">
        <is>
          <t>S&amp;E ENTERPRISE LLC</t>
        </is>
      </c>
      <c r="C42" t="inlineStr">
        <is>
          <t>S&amp;E ENTERPRISE LLC</t>
        </is>
      </c>
      <c r="D42" t="inlineStr">
        <is>
          <t>Closed</t>
        </is>
      </c>
      <c r="E42" s="297" t="n">
        <v>45721</v>
      </c>
      <c r="F42" s="297" t="n">
        <v>45804</v>
      </c>
      <c r="G42" t="n">
        <v>2</v>
      </c>
      <c r="H42" t="inlineStr">
        <is>
          <t>1751</t>
        </is>
      </c>
      <c r="I42" t="inlineStr">
        <is>
          <t>17</t>
        </is>
      </c>
      <c r="J42" t="inlineStr">
        <is>
          <t>RI</t>
        </is>
      </c>
      <c r="K42" t="inlineStr">
        <is>
          <t>Triumph Cap Fund</t>
        </is>
      </c>
      <c r="L42" t="inlineStr">
        <is>
          <t>New Deal</t>
        </is>
      </c>
      <c r="M42" s="298" t="n">
        <v>1.49</v>
      </c>
      <c r="N42" s="299" t="n">
        <v>22000</v>
      </c>
      <c r="O42" s="299" t="n">
        <v>3080</v>
      </c>
      <c r="P42" s="299" t="n">
        <v>32780</v>
      </c>
      <c r="Q42" s="299" t="n">
        <v>32780</v>
      </c>
      <c r="R42" s="299" t="n">
        <v>0</v>
      </c>
      <c r="S42" s="300" t="n">
        <v>1</v>
      </c>
      <c r="T42" t="n">
        <v>3.607</v>
      </c>
      <c r="U42" t="n">
        <v>0</v>
      </c>
      <c r="W42" s="300" t="n">
        <v>0.1784</v>
      </c>
      <c r="X42" s="297" t="n">
        <v>45005</v>
      </c>
      <c r="Y42">
        <f>IF(I42="","No SIC",IFERROR(VLOOKUP(I42,Ref!$A$2:$B$65,2,FALSE),"Unclassified"))</f>
        <v/>
      </c>
      <c r="Z42">
        <f>IF(T42="","",IF(T42&lt;12,"Daily","Weekly"))</f>
        <v/>
      </c>
      <c r="AA42">
        <f>IF(T42="",0,IF(T42&lt;12,T42*Controls!$B$29,T42*5))</f>
        <v/>
      </c>
      <c r="AB42">
        <f>IF(E42="",0,NETWORKDAYS(E42,Controls!$B$36,Ref!$K$2:$K$42))</f>
        <v/>
      </c>
      <c r="AC42">
        <f>IF(AND(AA42&gt;0,AB42&gt;=Controls!$B$39*AA42),1,0)</f>
        <v/>
      </c>
      <c r="AD42">
        <f>IF(AND(E42&lt;&gt;"",E42&gt;=Controls!$B$37,E42&lt;=Controls!$B$38),1,0)</f>
        <v/>
      </c>
      <c r="AE42">
        <f>IF(IFERROR(VLOOKUP(D42,Controls!$A$64:$E$74,2,FALSE),"No")="Yes",1,0)</f>
        <v/>
      </c>
      <c r="AF42">
        <f>IF(IFERROR(VLOOKUP(D42,Controls!$A$64:$E$74,3,FALSE),"No")="Yes",1,0)</f>
        <v/>
      </c>
      <c r="AG42">
        <f>IF(IFERROR(VLOOKUP(D42,Controls!$A$64:$E$74,4,FALSE),"No")="Yes",1,0)</f>
        <v/>
      </c>
      <c r="AH42">
        <f>IF(IFERROR(VLOOKUP(D42,Controls!$A$64:$E$74,5,FALSE),"No")="Yes",1,0)</f>
        <v/>
      </c>
      <c r="AI42">
        <f>IF(ISNUMBER(MATCH(D42,Controls!$A$64:$A$74,0)),1,0)</f>
        <v/>
      </c>
      <c r="AJ42">
        <f>Q42-N42</f>
        <v/>
      </c>
      <c r="AK42">
        <f>IF(AE42=1,MAX(0,N42-Q42),0)</f>
        <v/>
      </c>
      <c r="AL42">
        <f>IF(OR(V42="",V42=0),0,N42/V42)</f>
        <v/>
      </c>
      <c r="AM42">
        <f>IF(OR(V42="",V42=0),0,1)</f>
        <v/>
      </c>
      <c r="AN42">
        <f>IF(OR(E42="",F42=""),0,NETWORKDAYS(E42,F42,Ref!$K$2:$K$42))</f>
        <v/>
      </c>
      <c r="AO42">
        <f>IF(L42="Renewal",1,0)</f>
        <v/>
      </c>
      <c r="AP42">
        <f>AC42*AD42</f>
        <v/>
      </c>
      <c r="AQ42">
        <f>IF(AND(G42&lt;&gt;"",'Historical Score'!$C$6&lt;&gt;""),IF(G42='Historical Score'!$C$6,1,0),0)</f>
        <v/>
      </c>
      <c r="AR42">
        <f>IF(AND(L42&lt;&gt;"",'Historical Score'!$C$5&lt;&gt;""),IF(L42='Historical Score'!$C$5,1,0),0)</f>
        <v/>
      </c>
      <c r="AS42">
        <f>IF(AND(Y42&lt;&gt;"",'Historical Score'!$C$7&lt;&gt;""),IF(Y42='Historical Score'!$C$7,1,0),0)</f>
        <v/>
      </c>
      <c r="AT42">
        <f>IF(AND(K42&lt;&gt;"",'Historical Score'!$C$8&lt;&gt;""),IF(K42='Historical Score'!$C$8,1,0),0)</f>
        <v/>
      </c>
      <c r="AU42">
        <f>IF(AND(J42&lt;&gt;"",'Historical Score'!$C$9&lt;&gt;""),IF(J42='Historical Score'!$C$9,1,0),0)</f>
        <v/>
      </c>
      <c r="AV42">
        <f>AR42*AS42*AQ42</f>
        <v/>
      </c>
      <c r="AW42">
        <f>AR42*AT42*AQ42</f>
        <v/>
      </c>
      <c r="AX42">
        <f>AR42*AS42</f>
        <v/>
      </c>
      <c r="AY42">
        <f>AR42*AT42</f>
        <v/>
      </c>
      <c r="AZ42">
        <f>AR42*AQ42</f>
        <v/>
      </c>
      <c r="BA42">
        <f>AR42</f>
        <v/>
      </c>
      <c r="BB42">
        <f>1</f>
        <v/>
      </c>
      <c r="BC42">
        <f>IF(AV42=1,1,IF(AW42=1,2,IF(AX42=1,3,IF(AY42=1,4,IF(AZ42=1,5,IF(BA42=1,6,7))))))</f>
        <v/>
      </c>
      <c r="BD42">
        <f>IF(AD42=1,CHOOSE('Historical Score'!$C$29,AV42,AW42,AX42,AY42,AZ42,BA42,BB42),0)</f>
        <v/>
      </c>
      <c r="BE42">
        <f>IF(BD42=1,COUNTIF($BD$2:BD42,1),"")</f>
        <v/>
      </c>
    </row>
    <row r="43">
      <c r="A43" t="inlineStr">
        <is>
          <t>5674151967</t>
        </is>
      </c>
      <c r="B43" t="inlineStr">
        <is>
          <t>ANDERSON CARPENTRY CO</t>
        </is>
      </c>
      <c r="C43" t="inlineStr">
        <is>
          <t>ANDERSON CARPENTRY AND CO</t>
        </is>
      </c>
      <c r="D43" t="inlineStr">
        <is>
          <t>Closed</t>
        </is>
      </c>
      <c r="E43" s="297" t="n">
        <v>45722</v>
      </c>
      <c r="F43" s="297" t="n">
        <v>45813</v>
      </c>
      <c r="G43" t="n">
        <v>1</v>
      </c>
      <c r="H43" t="inlineStr">
        <is>
          <t>1629</t>
        </is>
      </c>
      <c r="I43" t="inlineStr">
        <is>
          <t>16</t>
        </is>
      </c>
      <c r="J43" t="inlineStr">
        <is>
          <t>FL</t>
        </is>
      </c>
      <c r="K43" t="inlineStr">
        <is>
          <t>Samson Funding</t>
        </is>
      </c>
      <c r="L43" t="inlineStr">
        <is>
          <t>New Deal</t>
        </is>
      </c>
      <c r="M43" s="298" t="n">
        <v>1.49</v>
      </c>
      <c r="N43" s="299" t="n">
        <v>10000</v>
      </c>
      <c r="O43" s="299" t="n">
        <v>1400</v>
      </c>
      <c r="P43" s="299" t="n">
        <v>14900</v>
      </c>
      <c r="Q43" s="299" t="n">
        <v>14900</v>
      </c>
      <c r="R43" s="299" t="n">
        <v>0</v>
      </c>
      <c r="S43" s="300" t="n">
        <v>1</v>
      </c>
      <c r="T43" t="n">
        <v>3.279</v>
      </c>
      <c r="U43" t="n">
        <v>0</v>
      </c>
      <c r="W43" s="300" t="n">
        <v>0.09810000000000001</v>
      </c>
      <c r="X43" s="297" t="n">
        <v>44977</v>
      </c>
      <c r="Y43">
        <f>IF(I43="","No SIC",IFERROR(VLOOKUP(I43,Ref!$A$2:$B$65,2,FALSE),"Unclassified"))</f>
        <v/>
      </c>
      <c r="Z43">
        <f>IF(T43="","",IF(T43&lt;12,"Daily","Weekly"))</f>
        <v/>
      </c>
      <c r="AA43">
        <f>IF(T43="",0,IF(T43&lt;12,T43*Controls!$B$29,T43*5))</f>
        <v/>
      </c>
      <c r="AB43">
        <f>IF(E43="",0,NETWORKDAYS(E43,Controls!$B$36,Ref!$K$2:$K$42))</f>
        <v/>
      </c>
      <c r="AC43">
        <f>IF(AND(AA43&gt;0,AB43&gt;=Controls!$B$39*AA43),1,0)</f>
        <v/>
      </c>
      <c r="AD43">
        <f>IF(AND(E43&lt;&gt;"",E43&gt;=Controls!$B$37,E43&lt;=Controls!$B$38),1,0)</f>
        <v/>
      </c>
      <c r="AE43">
        <f>IF(IFERROR(VLOOKUP(D43,Controls!$A$64:$E$74,2,FALSE),"No")="Yes",1,0)</f>
        <v/>
      </c>
      <c r="AF43">
        <f>IF(IFERROR(VLOOKUP(D43,Controls!$A$64:$E$74,3,FALSE),"No")="Yes",1,0)</f>
        <v/>
      </c>
      <c r="AG43">
        <f>IF(IFERROR(VLOOKUP(D43,Controls!$A$64:$E$74,4,FALSE),"No")="Yes",1,0)</f>
        <v/>
      </c>
      <c r="AH43">
        <f>IF(IFERROR(VLOOKUP(D43,Controls!$A$64:$E$74,5,FALSE),"No")="Yes",1,0)</f>
        <v/>
      </c>
      <c r="AI43">
        <f>IF(ISNUMBER(MATCH(D43,Controls!$A$64:$A$74,0)),1,0)</f>
        <v/>
      </c>
      <c r="AJ43">
        <f>Q43-N43</f>
        <v/>
      </c>
      <c r="AK43">
        <f>IF(AE43=1,MAX(0,N43-Q43),0)</f>
        <v/>
      </c>
      <c r="AL43">
        <f>IF(OR(V43="",V43=0),0,N43/V43)</f>
        <v/>
      </c>
      <c r="AM43">
        <f>IF(OR(V43="",V43=0),0,1)</f>
        <v/>
      </c>
      <c r="AN43">
        <f>IF(OR(E43="",F43=""),0,NETWORKDAYS(E43,F43,Ref!$K$2:$K$42))</f>
        <v/>
      </c>
      <c r="AO43">
        <f>IF(L43="Renewal",1,0)</f>
        <v/>
      </c>
      <c r="AP43">
        <f>AC43*AD43</f>
        <v/>
      </c>
      <c r="AQ43">
        <f>IF(AND(G43&lt;&gt;"",'Historical Score'!$C$6&lt;&gt;""),IF(G43='Historical Score'!$C$6,1,0),0)</f>
        <v/>
      </c>
      <c r="AR43">
        <f>IF(AND(L43&lt;&gt;"",'Historical Score'!$C$5&lt;&gt;""),IF(L43='Historical Score'!$C$5,1,0),0)</f>
        <v/>
      </c>
      <c r="AS43">
        <f>IF(AND(Y43&lt;&gt;"",'Historical Score'!$C$7&lt;&gt;""),IF(Y43='Historical Score'!$C$7,1,0),0)</f>
        <v/>
      </c>
      <c r="AT43">
        <f>IF(AND(K43&lt;&gt;"",'Historical Score'!$C$8&lt;&gt;""),IF(K43='Historical Score'!$C$8,1,0),0)</f>
        <v/>
      </c>
      <c r="AU43">
        <f>IF(AND(J43&lt;&gt;"",'Historical Score'!$C$9&lt;&gt;""),IF(J43='Historical Score'!$C$9,1,0),0)</f>
        <v/>
      </c>
      <c r="AV43">
        <f>AR43*AS43*AQ43</f>
        <v/>
      </c>
      <c r="AW43">
        <f>AR43*AT43*AQ43</f>
        <v/>
      </c>
      <c r="AX43">
        <f>AR43*AS43</f>
        <v/>
      </c>
      <c r="AY43">
        <f>AR43*AT43</f>
        <v/>
      </c>
      <c r="AZ43">
        <f>AR43*AQ43</f>
        <v/>
      </c>
      <c r="BA43">
        <f>AR43</f>
        <v/>
      </c>
      <c r="BB43">
        <f>1</f>
        <v/>
      </c>
      <c r="BC43">
        <f>IF(AV43=1,1,IF(AW43=1,2,IF(AX43=1,3,IF(AY43=1,4,IF(AZ43=1,5,IF(BA43=1,6,7))))))</f>
        <v/>
      </c>
      <c r="BD43">
        <f>IF(AD43=1,CHOOSE('Historical Score'!$C$29,AV43,AW43,AX43,AY43,AZ43,BA43,BB43),0)</f>
        <v/>
      </c>
      <c r="BE43">
        <f>IF(BD43=1,COUNTIF($BD$2:BD43,1),"")</f>
        <v/>
      </c>
    </row>
    <row r="44">
      <c r="A44" t="inlineStr">
        <is>
          <t>5674152037</t>
        </is>
      </c>
      <c r="B44" t="inlineStr">
        <is>
          <t>COOPER PRINTING</t>
        </is>
      </c>
      <c r="C44" t="inlineStr">
        <is>
          <t>COOPER PRINTING</t>
        </is>
      </c>
      <c r="D44" t="inlineStr">
        <is>
          <t>Closed</t>
        </is>
      </c>
      <c r="E44" s="297" t="n">
        <v>45722</v>
      </c>
      <c r="F44" s="297" t="n">
        <v>45821</v>
      </c>
      <c r="G44" t="n">
        <v>4</v>
      </c>
      <c r="H44" t="inlineStr">
        <is>
          <t>5699</t>
        </is>
      </c>
      <c r="I44" t="inlineStr">
        <is>
          <t>56</t>
        </is>
      </c>
      <c r="J44" t="inlineStr">
        <is>
          <t>MS</t>
        </is>
      </c>
      <c r="K44" t="inlineStr">
        <is>
          <t>Platform Funding</t>
        </is>
      </c>
      <c r="L44" t="inlineStr">
        <is>
          <t>Renewal</t>
        </is>
      </c>
      <c r="M44" s="298" t="n">
        <v>1.47</v>
      </c>
      <c r="N44" s="299" t="n">
        <v>4000</v>
      </c>
      <c r="O44" s="299" t="n">
        <v>520</v>
      </c>
      <c r="P44" s="299" t="n">
        <v>5880</v>
      </c>
      <c r="Q44" s="299" t="n">
        <v>5880</v>
      </c>
      <c r="R44" s="299" t="n">
        <v>0</v>
      </c>
      <c r="S44" s="300" t="n">
        <v>1</v>
      </c>
      <c r="T44" t="n">
        <v>2.295</v>
      </c>
      <c r="U44" t="n">
        <v>0</v>
      </c>
      <c r="W44" s="300" t="n">
        <v>0.1421</v>
      </c>
      <c r="X44" s="297" t="n">
        <v>44350</v>
      </c>
      <c r="Y44">
        <f>IF(I44="","No SIC",IFERROR(VLOOKUP(I44,Ref!$A$2:$B$65,2,FALSE),"Unclassified"))</f>
        <v/>
      </c>
      <c r="Z44">
        <f>IF(T44="","",IF(T44&lt;12,"Daily","Weekly"))</f>
        <v/>
      </c>
      <c r="AA44">
        <f>IF(T44="",0,IF(T44&lt;12,T44*Controls!$B$29,T44*5))</f>
        <v/>
      </c>
      <c r="AB44">
        <f>IF(E44="",0,NETWORKDAYS(E44,Controls!$B$36,Ref!$K$2:$K$42))</f>
        <v/>
      </c>
      <c r="AC44">
        <f>IF(AND(AA44&gt;0,AB44&gt;=Controls!$B$39*AA44),1,0)</f>
        <v/>
      </c>
      <c r="AD44">
        <f>IF(AND(E44&lt;&gt;"",E44&gt;=Controls!$B$37,E44&lt;=Controls!$B$38),1,0)</f>
        <v/>
      </c>
      <c r="AE44">
        <f>IF(IFERROR(VLOOKUP(D44,Controls!$A$64:$E$74,2,FALSE),"No")="Yes",1,0)</f>
        <v/>
      </c>
      <c r="AF44">
        <f>IF(IFERROR(VLOOKUP(D44,Controls!$A$64:$E$74,3,FALSE),"No")="Yes",1,0)</f>
        <v/>
      </c>
      <c r="AG44">
        <f>IF(IFERROR(VLOOKUP(D44,Controls!$A$64:$E$74,4,FALSE),"No")="Yes",1,0)</f>
        <v/>
      </c>
      <c r="AH44">
        <f>IF(IFERROR(VLOOKUP(D44,Controls!$A$64:$E$74,5,FALSE),"No")="Yes",1,0)</f>
        <v/>
      </c>
      <c r="AI44">
        <f>IF(ISNUMBER(MATCH(D44,Controls!$A$64:$A$74,0)),1,0)</f>
        <v/>
      </c>
      <c r="AJ44">
        <f>Q44-N44</f>
        <v/>
      </c>
      <c r="AK44">
        <f>IF(AE44=1,MAX(0,N44-Q44),0)</f>
        <v/>
      </c>
      <c r="AL44">
        <f>IF(OR(V44="",V44=0),0,N44/V44)</f>
        <v/>
      </c>
      <c r="AM44">
        <f>IF(OR(V44="",V44=0),0,1)</f>
        <v/>
      </c>
      <c r="AN44">
        <f>IF(OR(E44="",F44=""),0,NETWORKDAYS(E44,F44,Ref!$K$2:$K$42))</f>
        <v/>
      </c>
      <c r="AO44">
        <f>IF(L44="Renewal",1,0)</f>
        <v/>
      </c>
      <c r="AP44">
        <f>AC44*AD44</f>
        <v/>
      </c>
      <c r="AQ44">
        <f>IF(AND(G44&lt;&gt;"",'Historical Score'!$C$6&lt;&gt;""),IF(G44='Historical Score'!$C$6,1,0),0)</f>
        <v/>
      </c>
      <c r="AR44">
        <f>IF(AND(L44&lt;&gt;"",'Historical Score'!$C$5&lt;&gt;""),IF(L44='Historical Score'!$C$5,1,0),0)</f>
        <v/>
      </c>
      <c r="AS44">
        <f>IF(AND(Y44&lt;&gt;"",'Historical Score'!$C$7&lt;&gt;""),IF(Y44='Historical Score'!$C$7,1,0),0)</f>
        <v/>
      </c>
      <c r="AT44">
        <f>IF(AND(K44&lt;&gt;"",'Historical Score'!$C$8&lt;&gt;""),IF(K44='Historical Score'!$C$8,1,0),0)</f>
        <v/>
      </c>
      <c r="AU44">
        <f>IF(AND(J44&lt;&gt;"",'Historical Score'!$C$9&lt;&gt;""),IF(J44='Historical Score'!$C$9,1,0),0)</f>
        <v/>
      </c>
      <c r="AV44">
        <f>AR44*AS44*AQ44</f>
        <v/>
      </c>
      <c r="AW44">
        <f>AR44*AT44*AQ44</f>
        <v/>
      </c>
      <c r="AX44">
        <f>AR44*AS44</f>
        <v/>
      </c>
      <c r="AY44">
        <f>AR44*AT44</f>
        <v/>
      </c>
      <c r="AZ44">
        <f>AR44*AQ44</f>
        <v/>
      </c>
      <c r="BA44">
        <f>AR44</f>
        <v/>
      </c>
      <c r="BB44">
        <f>1</f>
        <v/>
      </c>
      <c r="BC44">
        <f>IF(AV44=1,1,IF(AW44=1,2,IF(AX44=1,3,IF(AY44=1,4,IF(AZ44=1,5,IF(BA44=1,6,7))))))</f>
        <v/>
      </c>
      <c r="BD44">
        <f>IF(AD44=1,CHOOSE('Historical Score'!$C$29,AV44,AW44,AX44,AY44,AZ44,BA44,BB44),0)</f>
        <v/>
      </c>
      <c r="BE44">
        <f>IF(BD44=1,COUNTIF($BD$2:BD44,1),"")</f>
        <v/>
      </c>
    </row>
    <row r="45">
      <c r="A45" t="inlineStr">
        <is>
          <t>5674152412</t>
        </is>
      </c>
      <c r="B45" t="inlineStr">
        <is>
          <t>Anzar Deliveries</t>
        </is>
      </c>
      <c r="C45" t="inlineStr">
        <is>
          <t>Anzar Deliveries LLC</t>
        </is>
      </c>
      <c r="D45" t="inlineStr">
        <is>
          <t>Closed</t>
        </is>
      </c>
      <c r="E45" s="297" t="n">
        <v>45728</v>
      </c>
      <c r="F45" s="297" t="n">
        <v>45772</v>
      </c>
      <c r="G45" t="n">
        <v>6</v>
      </c>
      <c r="H45" t="inlineStr">
        <is>
          <t>4213</t>
        </is>
      </c>
      <c r="I45" t="inlineStr">
        <is>
          <t>42</t>
        </is>
      </c>
      <c r="J45" t="inlineStr">
        <is>
          <t>CA</t>
        </is>
      </c>
      <c r="K45" t="inlineStr">
        <is>
          <t>Business Fund USA 4</t>
        </is>
      </c>
      <c r="L45" t="inlineStr">
        <is>
          <t>New Deal</t>
        </is>
      </c>
      <c r="M45" s="298" t="n">
        <v>1.39</v>
      </c>
      <c r="N45" s="299" t="n">
        <v>5500</v>
      </c>
      <c r="O45" s="299" t="n">
        <v>495</v>
      </c>
      <c r="P45" s="299" t="n">
        <v>7645</v>
      </c>
      <c r="Q45" s="299" t="n">
        <v>7645</v>
      </c>
      <c r="R45" s="299" t="n">
        <v>-9.09494701772928e-13</v>
      </c>
      <c r="S45" s="300" t="n">
        <v>1</v>
      </c>
      <c r="T45" t="n">
        <v>2.295</v>
      </c>
      <c r="U45" t="n">
        <v>1</v>
      </c>
      <c r="W45" s="300" t="n">
        <v>0.06</v>
      </c>
      <c r="X45" s="297" t="n"/>
      <c r="Y45">
        <f>IF(I45="","No SIC",IFERROR(VLOOKUP(I45,Ref!$A$2:$B$65,2,FALSE),"Unclassified"))</f>
        <v/>
      </c>
      <c r="Z45">
        <f>IF(T45="","",IF(T45&lt;12,"Daily","Weekly"))</f>
        <v/>
      </c>
      <c r="AA45">
        <f>IF(T45="",0,IF(T45&lt;12,T45*Controls!$B$29,T45*5))</f>
        <v/>
      </c>
      <c r="AB45">
        <f>IF(E45="",0,NETWORKDAYS(E45,Controls!$B$36,Ref!$K$2:$K$42))</f>
        <v/>
      </c>
      <c r="AC45">
        <f>IF(AND(AA45&gt;0,AB45&gt;=Controls!$B$39*AA45),1,0)</f>
        <v/>
      </c>
      <c r="AD45">
        <f>IF(AND(E45&lt;&gt;"",E45&gt;=Controls!$B$37,E45&lt;=Controls!$B$38),1,0)</f>
        <v/>
      </c>
      <c r="AE45">
        <f>IF(IFERROR(VLOOKUP(D45,Controls!$A$64:$E$74,2,FALSE),"No")="Yes",1,0)</f>
        <v/>
      </c>
      <c r="AF45">
        <f>IF(IFERROR(VLOOKUP(D45,Controls!$A$64:$E$74,3,FALSE),"No")="Yes",1,0)</f>
        <v/>
      </c>
      <c r="AG45">
        <f>IF(IFERROR(VLOOKUP(D45,Controls!$A$64:$E$74,4,FALSE),"No")="Yes",1,0)</f>
        <v/>
      </c>
      <c r="AH45">
        <f>IF(IFERROR(VLOOKUP(D45,Controls!$A$64:$E$74,5,FALSE),"No")="Yes",1,0)</f>
        <v/>
      </c>
      <c r="AI45">
        <f>IF(ISNUMBER(MATCH(D45,Controls!$A$64:$A$74,0)),1,0)</f>
        <v/>
      </c>
      <c r="AJ45">
        <f>Q45-N45</f>
        <v/>
      </c>
      <c r="AK45">
        <f>IF(AE45=1,MAX(0,N45-Q45),0)</f>
        <v/>
      </c>
      <c r="AL45">
        <f>IF(OR(V45="",V45=0),0,N45/V45)</f>
        <v/>
      </c>
      <c r="AM45">
        <f>IF(OR(V45="",V45=0),0,1)</f>
        <v/>
      </c>
      <c r="AN45">
        <f>IF(OR(E45="",F45=""),0,NETWORKDAYS(E45,F45,Ref!$K$2:$K$42))</f>
        <v/>
      </c>
      <c r="AO45">
        <f>IF(L45="Renewal",1,0)</f>
        <v/>
      </c>
      <c r="AP45">
        <f>AC45*AD45</f>
        <v/>
      </c>
      <c r="AQ45">
        <f>IF(AND(G45&lt;&gt;"",'Historical Score'!$C$6&lt;&gt;""),IF(G45='Historical Score'!$C$6,1,0),0)</f>
        <v/>
      </c>
      <c r="AR45">
        <f>IF(AND(L45&lt;&gt;"",'Historical Score'!$C$5&lt;&gt;""),IF(L45='Historical Score'!$C$5,1,0),0)</f>
        <v/>
      </c>
      <c r="AS45">
        <f>IF(AND(Y45&lt;&gt;"",'Historical Score'!$C$7&lt;&gt;""),IF(Y45='Historical Score'!$C$7,1,0),0)</f>
        <v/>
      </c>
      <c r="AT45">
        <f>IF(AND(K45&lt;&gt;"",'Historical Score'!$C$8&lt;&gt;""),IF(K45='Historical Score'!$C$8,1,0),0)</f>
        <v/>
      </c>
      <c r="AU45">
        <f>IF(AND(J45&lt;&gt;"",'Historical Score'!$C$9&lt;&gt;""),IF(J45='Historical Score'!$C$9,1,0),0)</f>
        <v/>
      </c>
      <c r="AV45">
        <f>AR45*AS45*AQ45</f>
        <v/>
      </c>
      <c r="AW45">
        <f>AR45*AT45*AQ45</f>
        <v/>
      </c>
      <c r="AX45">
        <f>AR45*AS45</f>
        <v/>
      </c>
      <c r="AY45">
        <f>AR45*AT45</f>
        <v/>
      </c>
      <c r="AZ45">
        <f>AR45*AQ45</f>
        <v/>
      </c>
      <c r="BA45">
        <f>AR45</f>
        <v/>
      </c>
      <c r="BB45">
        <f>1</f>
        <v/>
      </c>
      <c r="BC45">
        <f>IF(AV45=1,1,IF(AW45=1,2,IF(AX45=1,3,IF(AY45=1,4,IF(AZ45=1,5,IF(BA45=1,6,7))))))</f>
        <v/>
      </c>
      <c r="BD45">
        <f>IF(AD45=1,CHOOSE('Historical Score'!$C$29,AV45,AW45,AX45,AY45,AZ45,BA45,BB45),0)</f>
        <v/>
      </c>
      <c r="BE45">
        <f>IF(BD45=1,COUNTIF($BD$2:BD45,1),"")</f>
        <v/>
      </c>
    </row>
    <row r="46">
      <c r="A46" t="inlineStr">
        <is>
          <t>5674152422</t>
        </is>
      </c>
      <c r="B46" t="inlineStr">
        <is>
          <t>Care &amp; Wellness Solutions</t>
        </is>
      </c>
      <c r="C46" t="inlineStr">
        <is>
          <t>Care &amp; Wellness Solutions LLC</t>
        </is>
      </c>
      <c r="D46" t="inlineStr">
        <is>
          <t>Written-Off</t>
        </is>
      </c>
      <c r="E46" s="297" t="n">
        <v>45728</v>
      </c>
      <c r="F46" s="297" t="n">
        <v>45961</v>
      </c>
      <c r="G46" t="n">
        <v>2</v>
      </c>
      <c r="H46" t="inlineStr">
        <is>
          <t>8049</t>
        </is>
      </c>
      <c r="I46" t="inlineStr">
        <is>
          <t>80</t>
        </is>
      </c>
      <c r="J46" t="inlineStr">
        <is>
          <t>VA</t>
        </is>
      </c>
      <c r="K46" t="inlineStr">
        <is>
          <t>Klendify</t>
        </is>
      </c>
      <c r="L46" t="inlineStr">
        <is>
          <t>New Deal</t>
        </is>
      </c>
      <c r="M46" s="298" t="n">
        <v>1.49</v>
      </c>
      <c r="N46" s="299" t="n">
        <v>3000</v>
      </c>
      <c r="O46" s="299" t="n">
        <v>420</v>
      </c>
      <c r="P46" s="299" t="n">
        <v>4470</v>
      </c>
      <c r="Q46" s="299" t="n">
        <v>3622.86</v>
      </c>
      <c r="R46" s="299" t="n">
        <v>847.14</v>
      </c>
      <c r="S46" s="300" t="n">
        <v>0.81048322147651</v>
      </c>
      <c r="T46" t="n">
        <v>2.623</v>
      </c>
      <c r="U46" t="n">
        <v>45</v>
      </c>
      <c r="W46" s="300" t="n">
        <v>0.0472</v>
      </c>
      <c r="X46" s="297" t="n">
        <v>44902</v>
      </c>
      <c r="Y46">
        <f>IF(I46="","No SIC",IFERROR(VLOOKUP(I46,Ref!$A$2:$B$65,2,FALSE),"Unclassified"))</f>
        <v/>
      </c>
      <c r="Z46">
        <f>IF(T46="","",IF(T46&lt;12,"Daily","Weekly"))</f>
        <v/>
      </c>
      <c r="AA46">
        <f>IF(T46="",0,IF(T46&lt;12,T46*Controls!$B$29,T46*5))</f>
        <v/>
      </c>
      <c r="AB46">
        <f>IF(E46="",0,NETWORKDAYS(E46,Controls!$B$36,Ref!$K$2:$K$42))</f>
        <v/>
      </c>
      <c r="AC46">
        <f>IF(AND(AA46&gt;0,AB46&gt;=Controls!$B$39*AA46),1,0)</f>
        <v/>
      </c>
      <c r="AD46">
        <f>IF(AND(E46&lt;&gt;"",E46&gt;=Controls!$B$37,E46&lt;=Controls!$B$38),1,0)</f>
        <v/>
      </c>
      <c r="AE46">
        <f>IF(IFERROR(VLOOKUP(D46,Controls!$A$64:$E$74,2,FALSE),"No")="Yes",1,0)</f>
        <v/>
      </c>
      <c r="AF46">
        <f>IF(IFERROR(VLOOKUP(D46,Controls!$A$64:$E$74,3,FALSE),"No")="Yes",1,0)</f>
        <v/>
      </c>
      <c r="AG46">
        <f>IF(IFERROR(VLOOKUP(D46,Controls!$A$64:$E$74,4,FALSE),"No")="Yes",1,0)</f>
        <v/>
      </c>
      <c r="AH46">
        <f>IF(IFERROR(VLOOKUP(D46,Controls!$A$64:$E$74,5,FALSE),"No")="Yes",1,0)</f>
        <v/>
      </c>
      <c r="AI46">
        <f>IF(ISNUMBER(MATCH(D46,Controls!$A$64:$A$74,0)),1,0)</f>
        <v/>
      </c>
      <c r="AJ46">
        <f>Q46-N46</f>
        <v/>
      </c>
      <c r="AK46">
        <f>IF(AE46=1,MAX(0,N46-Q46),0)</f>
        <v/>
      </c>
      <c r="AL46">
        <f>IF(OR(V46="",V46=0),0,N46/V46)</f>
        <v/>
      </c>
      <c r="AM46">
        <f>IF(OR(V46="",V46=0),0,1)</f>
        <v/>
      </c>
      <c r="AN46">
        <f>IF(OR(E46="",F46=""),0,NETWORKDAYS(E46,F46,Ref!$K$2:$K$42))</f>
        <v/>
      </c>
      <c r="AO46">
        <f>IF(L46="Renewal",1,0)</f>
        <v/>
      </c>
      <c r="AP46">
        <f>AC46*AD46</f>
        <v/>
      </c>
      <c r="AQ46">
        <f>IF(AND(G46&lt;&gt;"",'Historical Score'!$C$6&lt;&gt;""),IF(G46='Historical Score'!$C$6,1,0),0)</f>
        <v/>
      </c>
      <c r="AR46">
        <f>IF(AND(L46&lt;&gt;"",'Historical Score'!$C$5&lt;&gt;""),IF(L46='Historical Score'!$C$5,1,0),0)</f>
        <v/>
      </c>
      <c r="AS46">
        <f>IF(AND(Y46&lt;&gt;"",'Historical Score'!$C$7&lt;&gt;""),IF(Y46='Historical Score'!$C$7,1,0),0)</f>
        <v/>
      </c>
      <c r="AT46">
        <f>IF(AND(K46&lt;&gt;"",'Historical Score'!$C$8&lt;&gt;""),IF(K46='Historical Score'!$C$8,1,0),0)</f>
        <v/>
      </c>
      <c r="AU46">
        <f>IF(AND(J46&lt;&gt;"",'Historical Score'!$C$9&lt;&gt;""),IF(J46='Historical Score'!$C$9,1,0),0)</f>
        <v/>
      </c>
      <c r="AV46">
        <f>AR46*AS46*AQ46</f>
        <v/>
      </c>
      <c r="AW46">
        <f>AR46*AT46*AQ46</f>
        <v/>
      </c>
      <c r="AX46">
        <f>AR46*AS46</f>
        <v/>
      </c>
      <c r="AY46">
        <f>AR46*AT46</f>
        <v/>
      </c>
      <c r="AZ46">
        <f>AR46*AQ46</f>
        <v/>
      </c>
      <c r="BA46">
        <f>AR46</f>
        <v/>
      </c>
      <c r="BB46">
        <f>1</f>
        <v/>
      </c>
      <c r="BC46">
        <f>IF(AV46=1,1,IF(AW46=1,2,IF(AX46=1,3,IF(AY46=1,4,IF(AZ46=1,5,IF(BA46=1,6,7))))))</f>
        <v/>
      </c>
      <c r="BD46">
        <f>IF(AD46=1,CHOOSE('Historical Score'!$C$29,AV46,AW46,AX46,AY46,AZ46,BA46,BB46),0)</f>
        <v/>
      </c>
      <c r="BE46">
        <f>IF(BD46=1,COUNTIF($BD$2:BD46,1),"")</f>
        <v/>
      </c>
    </row>
    <row r="47">
      <c r="A47" t="inlineStr">
        <is>
          <t>5674152426</t>
        </is>
      </c>
      <c r="B47" t="inlineStr">
        <is>
          <t>Pro car care group</t>
        </is>
      </c>
      <c r="C47" t="inlineStr">
        <is>
          <t>Pro car care group</t>
        </is>
      </c>
      <c r="D47" t="inlineStr">
        <is>
          <t>Legal</t>
        </is>
      </c>
      <c r="E47" s="297" t="n">
        <v>45728</v>
      </c>
      <c r="F47" s="297" t="n">
        <v>45789</v>
      </c>
      <c r="G47" t="n">
        <v>5</v>
      </c>
      <c r="H47" t="inlineStr">
        <is>
          <t>7539</t>
        </is>
      </c>
      <c r="I47" t="inlineStr">
        <is>
          <t>75</t>
        </is>
      </c>
      <c r="J47" t="inlineStr">
        <is>
          <t>FL</t>
        </is>
      </c>
      <c r="K47" t="inlineStr">
        <is>
          <t>One Box Funding</t>
        </is>
      </c>
      <c r="L47" t="inlineStr">
        <is>
          <t>New Deal</t>
        </is>
      </c>
      <c r="M47" s="298" t="n">
        <v>1.49</v>
      </c>
      <c r="N47" s="299" t="n">
        <v>5000</v>
      </c>
      <c r="O47" s="299" t="n">
        <v>700</v>
      </c>
      <c r="P47" s="299" t="n">
        <v>7450</v>
      </c>
      <c r="Q47" s="299" t="n">
        <v>3374.5</v>
      </c>
      <c r="R47" s="299" t="n">
        <v>4075.5</v>
      </c>
      <c r="S47" s="300" t="n">
        <v>0.452953020134228</v>
      </c>
      <c r="T47" t="n">
        <v>2.459</v>
      </c>
      <c r="U47" t="n">
        <v>9</v>
      </c>
      <c r="W47" s="300" t="n">
        <v>0.031</v>
      </c>
      <c r="X47" s="297" t="n">
        <v>44460</v>
      </c>
      <c r="Y47">
        <f>IF(I47="","No SIC",IFERROR(VLOOKUP(I47,Ref!$A$2:$B$65,2,FALSE),"Unclassified"))</f>
        <v/>
      </c>
      <c r="Z47">
        <f>IF(T47="","",IF(T47&lt;12,"Daily","Weekly"))</f>
        <v/>
      </c>
      <c r="AA47">
        <f>IF(T47="",0,IF(T47&lt;12,T47*Controls!$B$29,T47*5))</f>
        <v/>
      </c>
      <c r="AB47">
        <f>IF(E47="",0,NETWORKDAYS(E47,Controls!$B$36,Ref!$K$2:$K$42))</f>
        <v/>
      </c>
      <c r="AC47">
        <f>IF(AND(AA47&gt;0,AB47&gt;=Controls!$B$39*AA47),1,0)</f>
        <v/>
      </c>
      <c r="AD47">
        <f>IF(AND(E47&lt;&gt;"",E47&gt;=Controls!$B$37,E47&lt;=Controls!$B$38),1,0)</f>
        <v/>
      </c>
      <c r="AE47">
        <f>IF(IFERROR(VLOOKUP(D47,Controls!$A$64:$E$74,2,FALSE),"No")="Yes",1,0)</f>
        <v/>
      </c>
      <c r="AF47">
        <f>IF(IFERROR(VLOOKUP(D47,Controls!$A$64:$E$74,3,FALSE),"No")="Yes",1,0)</f>
        <v/>
      </c>
      <c r="AG47">
        <f>IF(IFERROR(VLOOKUP(D47,Controls!$A$64:$E$74,4,FALSE),"No")="Yes",1,0)</f>
        <v/>
      </c>
      <c r="AH47">
        <f>IF(IFERROR(VLOOKUP(D47,Controls!$A$64:$E$74,5,FALSE),"No")="Yes",1,0)</f>
        <v/>
      </c>
      <c r="AI47">
        <f>IF(ISNUMBER(MATCH(D47,Controls!$A$64:$A$74,0)),1,0)</f>
        <v/>
      </c>
      <c r="AJ47">
        <f>Q47-N47</f>
        <v/>
      </c>
      <c r="AK47">
        <f>IF(AE47=1,MAX(0,N47-Q47),0)</f>
        <v/>
      </c>
      <c r="AL47">
        <f>IF(OR(V47="",V47=0),0,N47/V47)</f>
        <v/>
      </c>
      <c r="AM47">
        <f>IF(OR(V47="",V47=0),0,1)</f>
        <v/>
      </c>
      <c r="AN47">
        <f>IF(OR(E47="",F47=""),0,NETWORKDAYS(E47,F47,Ref!$K$2:$K$42))</f>
        <v/>
      </c>
      <c r="AO47">
        <f>IF(L47="Renewal",1,0)</f>
        <v/>
      </c>
      <c r="AP47">
        <f>AC47*AD47</f>
        <v/>
      </c>
      <c r="AQ47">
        <f>IF(AND(G47&lt;&gt;"",'Historical Score'!$C$6&lt;&gt;""),IF(G47='Historical Score'!$C$6,1,0),0)</f>
        <v/>
      </c>
      <c r="AR47">
        <f>IF(AND(L47&lt;&gt;"",'Historical Score'!$C$5&lt;&gt;""),IF(L47='Historical Score'!$C$5,1,0),0)</f>
        <v/>
      </c>
      <c r="AS47">
        <f>IF(AND(Y47&lt;&gt;"",'Historical Score'!$C$7&lt;&gt;""),IF(Y47='Historical Score'!$C$7,1,0),0)</f>
        <v/>
      </c>
      <c r="AT47">
        <f>IF(AND(K47&lt;&gt;"",'Historical Score'!$C$8&lt;&gt;""),IF(K47='Historical Score'!$C$8,1,0),0)</f>
        <v/>
      </c>
      <c r="AU47">
        <f>IF(AND(J47&lt;&gt;"",'Historical Score'!$C$9&lt;&gt;""),IF(J47='Historical Score'!$C$9,1,0),0)</f>
        <v/>
      </c>
      <c r="AV47">
        <f>AR47*AS47*AQ47</f>
        <v/>
      </c>
      <c r="AW47">
        <f>AR47*AT47*AQ47</f>
        <v/>
      </c>
      <c r="AX47">
        <f>AR47*AS47</f>
        <v/>
      </c>
      <c r="AY47">
        <f>AR47*AT47</f>
        <v/>
      </c>
      <c r="AZ47">
        <f>AR47*AQ47</f>
        <v/>
      </c>
      <c r="BA47">
        <f>AR47</f>
        <v/>
      </c>
      <c r="BB47">
        <f>1</f>
        <v/>
      </c>
      <c r="BC47">
        <f>IF(AV47=1,1,IF(AW47=1,2,IF(AX47=1,3,IF(AY47=1,4,IF(AZ47=1,5,IF(BA47=1,6,7))))))</f>
        <v/>
      </c>
      <c r="BD47">
        <f>IF(AD47=1,CHOOSE('Historical Score'!$C$29,AV47,AW47,AX47,AY47,AZ47,BA47,BB47),0)</f>
        <v/>
      </c>
      <c r="BE47">
        <f>IF(BD47=1,COUNTIF($BD$2:BD47,1),"")</f>
        <v/>
      </c>
    </row>
    <row r="48">
      <c r="A48" t="inlineStr">
        <is>
          <t>5674152928</t>
        </is>
      </c>
      <c r="B48" t="inlineStr">
        <is>
          <t>Valla Park Financial</t>
        </is>
      </c>
      <c r="C48" t="inlineStr">
        <is>
          <t>Valla Park Financial</t>
        </is>
      </c>
      <c r="D48" t="inlineStr">
        <is>
          <t>Legal</t>
        </is>
      </c>
      <c r="E48" s="297" t="n">
        <v>45735</v>
      </c>
      <c r="F48" s="297" t="n">
        <v>45770</v>
      </c>
      <c r="G48" t="n">
        <v>1</v>
      </c>
      <c r="H48" t="inlineStr">
        <is>
          <t>3799</t>
        </is>
      </c>
      <c r="I48" t="inlineStr">
        <is>
          <t>37</t>
        </is>
      </c>
      <c r="J48" t="inlineStr">
        <is>
          <t>GA</t>
        </is>
      </c>
      <c r="K48" t="inlineStr">
        <is>
          <t>FIFTH VENTURE</t>
        </is>
      </c>
      <c r="L48" t="inlineStr">
        <is>
          <t>New Deal</t>
        </is>
      </c>
      <c r="M48" s="298" t="n">
        <v>1.49</v>
      </c>
      <c r="N48" s="299" t="n">
        <v>5000</v>
      </c>
      <c r="O48" s="299" t="n">
        <v>700</v>
      </c>
      <c r="P48" s="299" t="n">
        <v>7450</v>
      </c>
      <c r="Q48" s="299" t="n">
        <v>2830.24</v>
      </c>
      <c r="R48" s="299" t="n">
        <v>4619.76</v>
      </c>
      <c r="S48" s="300" t="n">
        <v>0.379897986577181</v>
      </c>
      <c r="T48" t="n">
        <v>1.64</v>
      </c>
      <c r="U48" t="n">
        <v>6</v>
      </c>
      <c r="W48" s="300" t="n">
        <v>0.1106</v>
      </c>
      <c r="X48" s="297" t="n">
        <v>44139</v>
      </c>
      <c r="Y48">
        <f>IF(I48="","No SIC",IFERROR(VLOOKUP(I48,Ref!$A$2:$B$65,2,FALSE),"Unclassified"))</f>
        <v/>
      </c>
      <c r="Z48">
        <f>IF(T48="","",IF(T48&lt;12,"Daily","Weekly"))</f>
        <v/>
      </c>
      <c r="AA48">
        <f>IF(T48="",0,IF(T48&lt;12,T48*Controls!$B$29,T48*5))</f>
        <v/>
      </c>
      <c r="AB48">
        <f>IF(E48="",0,NETWORKDAYS(E48,Controls!$B$36,Ref!$K$2:$K$42))</f>
        <v/>
      </c>
      <c r="AC48">
        <f>IF(AND(AA48&gt;0,AB48&gt;=Controls!$B$39*AA48),1,0)</f>
        <v/>
      </c>
      <c r="AD48">
        <f>IF(AND(E48&lt;&gt;"",E48&gt;=Controls!$B$37,E48&lt;=Controls!$B$38),1,0)</f>
        <v/>
      </c>
      <c r="AE48">
        <f>IF(IFERROR(VLOOKUP(D48,Controls!$A$64:$E$74,2,FALSE),"No")="Yes",1,0)</f>
        <v/>
      </c>
      <c r="AF48">
        <f>IF(IFERROR(VLOOKUP(D48,Controls!$A$64:$E$74,3,FALSE),"No")="Yes",1,0)</f>
        <v/>
      </c>
      <c r="AG48">
        <f>IF(IFERROR(VLOOKUP(D48,Controls!$A$64:$E$74,4,FALSE),"No")="Yes",1,0)</f>
        <v/>
      </c>
      <c r="AH48">
        <f>IF(IFERROR(VLOOKUP(D48,Controls!$A$64:$E$74,5,FALSE),"No")="Yes",1,0)</f>
        <v/>
      </c>
      <c r="AI48">
        <f>IF(ISNUMBER(MATCH(D48,Controls!$A$64:$A$74,0)),1,0)</f>
        <v/>
      </c>
      <c r="AJ48">
        <f>Q48-N48</f>
        <v/>
      </c>
      <c r="AK48">
        <f>IF(AE48=1,MAX(0,N48-Q48),0)</f>
        <v/>
      </c>
      <c r="AL48">
        <f>IF(OR(V48="",V48=0),0,N48/V48)</f>
        <v/>
      </c>
      <c r="AM48">
        <f>IF(OR(V48="",V48=0),0,1)</f>
        <v/>
      </c>
      <c r="AN48">
        <f>IF(OR(E48="",F48=""),0,NETWORKDAYS(E48,F48,Ref!$K$2:$K$42))</f>
        <v/>
      </c>
      <c r="AO48">
        <f>IF(L48="Renewal",1,0)</f>
        <v/>
      </c>
      <c r="AP48">
        <f>AC48*AD48</f>
        <v/>
      </c>
      <c r="AQ48">
        <f>IF(AND(G48&lt;&gt;"",'Historical Score'!$C$6&lt;&gt;""),IF(G48='Historical Score'!$C$6,1,0),0)</f>
        <v/>
      </c>
      <c r="AR48">
        <f>IF(AND(L48&lt;&gt;"",'Historical Score'!$C$5&lt;&gt;""),IF(L48='Historical Score'!$C$5,1,0),0)</f>
        <v/>
      </c>
      <c r="AS48">
        <f>IF(AND(Y48&lt;&gt;"",'Historical Score'!$C$7&lt;&gt;""),IF(Y48='Historical Score'!$C$7,1,0),0)</f>
        <v/>
      </c>
      <c r="AT48">
        <f>IF(AND(K48&lt;&gt;"",'Historical Score'!$C$8&lt;&gt;""),IF(K48='Historical Score'!$C$8,1,0),0)</f>
        <v/>
      </c>
      <c r="AU48">
        <f>IF(AND(J48&lt;&gt;"",'Historical Score'!$C$9&lt;&gt;""),IF(J48='Historical Score'!$C$9,1,0),0)</f>
        <v/>
      </c>
      <c r="AV48">
        <f>AR48*AS48*AQ48</f>
        <v/>
      </c>
      <c r="AW48">
        <f>AR48*AT48*AQ48</f>
        <v/>
      </c>
      <c r="AX48">
        <f>AR48*AS48</f>
        <v/>
      </c>
      <c r="AY48">
        <f>AR48*AT48</f>
        <v/>
      </c>
      <c r="AZ48">
        <f>AR48*AQ48</f>
        <v/>
      </c>
      <c r="BA48">
        <f>AR48</f>
        <v/>
      </c>
      <c r="BB48">
        <f>1</f>
        <v/>
      </c>
      <c r="BC48">
        <f>IF(AV48=1,1,IF(AW48=1,2,IF(AX48=1,3,IF(AY48=1,4,IF(AZ48=1,5,IF(BA48=1,6,7))))))</f>
        <v/>
      </c>
      <c r="BD48">
        <f>IF(AD48=1,CHOOSE('Historical Score'!$C$29,AV48,AW48,AX48,AY48,AZ48,BA48,BB48),0)</f>
        <v/>
      </c>
      <c r="BE48">
        <f>IF(BD48=1,COUNTIF($BD$2:BD48,1),"")</f>
        <v/>
      </c>
    </row>
    <row r="49">
      <c r="A49" t="inlineStr">
        <is>
          <t>5674153028</t>
        </is>
      </c>
      <c r="B49" t="inlineStr">
        <is>
          <t>IDENTITY ATL LLC</t>
        </is>
      </c>
      <c r="C49" t="inlineStr">
        <is>
          <t>IDENTITY ATL LLC</t>
        </is>
      </c>
      <c r="D49" t="inlineStr">
        <is>
          <t>Closed</t>
        </is>
      </c>
      <c r="E49" s="297" t="n">
        <v>45736</v>
      </c>
      <c r="F49" s="297" t="n">
        <v>45771</v>
      </c>
      <c r="G49" t="n">
        <v>6</v>
      </c>
      <c r="H49" t="inlineStr">
        <is>
          <t>5399</t>
        </is>
      </c>
      <c r="I49" t="inlineStr">
        <is>
          <t>53</t>
        </is>
      </c>
      <c r="J49" t="inlineStr">
        <is>
          <t>GA</t>
        </is>
      </c>
      <c r="K49" t="inlineStr">
        <is>
          <t>ROYAL FUNDING GROUP</t>
        </is>
      </c>
      <c r="L49" t="inlineStr">
        <is>
          <t>Renewal</t>
        </is>
      </c>
      <c r="M49" s="298" t="n">
        <v>1.49</v>
      </c>
      <c r="N49" s="299" t="n">
        <v>3500</v>
      </c>
      <c r="O49" s="299" t="n">
        <v>490</v>
      </c>
      <c r="P49" s="299" t="n">
        <v>5215</v>
      </c>
      <c r="Q49" s="299" t="n">
        <v>5215</v>
      </c>
      <c r="R49" s="299" t="n">
        <v>0</v>
      </c>
      <c r="S49" s="300" t="n">
        <v>1</v>
      </c>
      <c r="T49" t="n">
        <v>2.293</v>
      </c>
      <c r="U49" t="n">
        <v>2</v>
      </c>
      <c r="W49" s="300" t="n">
        <v>0.0421</v>
      </c>
      <c r="X49" s="297" t="n">
        <v>44490</v>
      </c>
      <c r="Y49">
        <f>IF(I49="","No SIC",IFERROR(VLOOKUP(I49,Ref!$A$2:$B$65,2,FALSE),"Unclassified"))</f>
        <v/>
      </c>
      <c r="Z49">
        <f>IF(T49="","",IF(T49&lt;12,"Daily","Weekly"))</f>
        <v/>
      </c>
      <c r="AA49">
        <f>IF(T49="",0,IF(T49&lt;12,T49*Controls!$B$29,T49*5))</f>
        <v/>
      </c>
      <c r="AB49">
        <f>IF(E49="",0,NETWORKDAYS(E49,Controls!$B$36,Ref!$K$2:$K$42))</f>
        <v/>
      </c>
      <c r="AC49">
        <f>IF(AND(AA49&gt;0,AB49&gt;=Controls!$B$39*AA49),1,0)</f>
        <v/>
      </c>
      <c r="AD49">
        <f>IF(AND(E49&lt;&gt;"",E49&gt;=Controls!$B$37,E49&lt;=Controls!$B$38),1,0)</f>
        <v/>
      </c>
      <c r="AE49">
        <f>IF(IFERROR(VLOOKUP(D49,Controls!$A$64:$E$74,2,FALSE),"No")="Yes",1,0)</f>
        <v/>
      </c>
      <c r="AF49">
        <f>IF(IFERROR(VLOOKUP(D49,Controls!$A$64:$E$74,3,FALSE),"No")="Yes",1,0)</f>
        <v/>
      </c>
      <c r="AG49">
        <f>IF(IFERROR(VLOOKUP(D49,Controls!$A$64:$E$74,4,FALSE),"No")="Yes",1,0)</f>
        <v/>
      </c>
      <c r="AH49">
        <f>IF(IFERROR(VLOOKUP(D49,Controls!$A$64:$E$74,5,FALSE),"No")="Yes",1,0)</f>
        <v/>
      </c>
      <c r="AI49">
        <f>IF(ISNUMBER(MATCH(D49,Controls!$A$64:$A$74,0)),1,0)</f>
        <v/>
      </c>
      <c r="AJ49">
        <f>Q49-N49</f>
        <v/>
      </c>
      <c r="AK49">
        <f>IF(AE49=1,MAX(0,N49-Q49),0)</f>
        <v/>
      </c>
      <c r="AL49">
        <f>IF(OR(V49="",V49=0),0,N49/V49)</f>
        <v/>
      </c>
      <c r="AM49">
        <f>IF(OR(V49="",V49=0),0,1)</f>
        <v/>
      </c>
      <c r="AN49">
        <f>IF(OR(E49="",F49=""),0,NETWORKDAYS(E49,F49,Ref!$K$2:$K$42))</f>
        <v/>
      </c>
      <c r="AO49">
        <f>IF(L49="Renewal",1,0)</f>
        <v/>
      </c>
      <c r="AP49">
        <f>AC49*AD49</f>
        <v/>
      </c>
      <c r="AQ49">
        <f>IF(AND(G49&lt;&gt;"",'Historical Score'!$C$6&lt;&gt;""),IF(G49='Historical Score'!$C$6,1,0),0)</f>
        <v/>
      </c>
      <c r="AR49">
        <f>IF(AND(L49&lt;&gt;"",'Historical Score'!$C$5&lt;&gt;""),IF(L49='Historical Score'!$C$5,1,0),0)</f>
        <v/>
      </c>
      <c r="AS49">
        <f>IF(AND(Y49&lt;&gt;"",'Historical Score'!$C$7&lt;&gt;""),IF(Y49='Historical Score'!$C$7,1,0),0)</f>
        <v/>
      </c>
      <c r="AT49">
        <f>IF(AND(K49&lt;&gt;"",'Historical Score'!$C$8&lt;&gt;""),IF(K49='Historical Score'!$C$8,1,0),0)</f>
        <v/>
      </c>
      <c r="AU49">
        <f>IF(AND(J49&lt;&gt;"",'Historical Score'!$C$9&lt;&gt;""),IF(J49='Historical Score'!$C$9,1,0),0)</f>
        <v/>
      </c>
      <c r="AV49">
        <f>AR49*AS49*AQ49</f>
        <v/>
      </c>
      <c r="AW49">
        <f>AR49*AT49*AQ49</f>
        <v/>
      </c>
      <c r="AX49">
        <f>AR49*AS49</f>
        <v/>
      </c>
      <c r="AY49">
        <f>AR49*AT49</f>
        <v/>
      </c>
      <c r="AZ49">
        <f>AR49*AQ49</f>
        <v/>
      </c>
      <c r="BA49">
        <f>AR49</f>
        <v/>
      </c>
      <c r="BB49">
        <f>1</f>
        <v/>
      </c>
      <c r="BC49">
        <f>IF(AV49=1,1,IF(AW49=1,2,IF(AX49=1,3,IF(AY49=1,4,IF(AZ49=1,5,IF(BA49=1,6,7))))))</f>
        <v/>
      </c>
      <c r="BD49">
        <f>IF(AD49=1,CHOOSE('Historical Score'!$C$29,AV49,AW49,AX49,AY49,AZ49,BA49,BB49),0)</f>
        <v/>
      </c>
      <c r="BE49">
        <f>IF(BD49=1,COUNTIF($BD$2:BD49,1),"")</f>
        <v/>
      </c>
    </row>
    <row r="50">
      <c r="A50" t="inlineStr">
        <is>
          <t>5674153205</t>
        </is>
      </c>
      <c r="B50" t="inlineStr">
        <is>
          <t>JACKS PEST MGMT LLC</t>
        </is>
      </c>
      <c r="C50" t="inlineStr">
        <is>
          <t>JACKS PEST MGMT LLC</t>
        </is>
      </c>
      <c r="D50" t="inlineStr">
        <is>
          <t>Closed</t>
        </is>
      </c>
      <c r="E50" s="297" t="n">
        <v>45737</v>
      </c>
      <c r="F50" s="297" t="n">
        <v>45790</v>
      </c>
      <c r="G50" t="n">
        <v>3</v>
      </c>
      <c r="H50" t="inlineStr">
        <is>
          <t>7342</t>
        </is>
      </c>
      <c r="I50" t="inlineStr">
        <is>
          <t>73</t>
        </is>
      </c>
      <c r="J50" t="inlineStr">
        <is>
          <t>MT</t>
        </is>
      </c>
      <c r="K50" t="inlineStr">
        <is>
          <t>Samson Funding</t>
        </is>
      </c>
      <c r="L50" t="inlineStr">
        <is>
          <t>New Deal</t>
        </is>
      </c>
      <c r="M50" s="298" t="n">
        <v>1.49</v>
      </c>
      <c r="N50" s="299" t="n">
        <v>4500</v>
      </c>
      <c r="O50" s="299" t="n">
        <v>630</v>
      </c>
      <c r="P50" s="299" t="n">
        <v>6705</v>
      </c>
      <c r="Q50" s="299" t="n">
        <v>6705</v>
      </c>
      <c r="R50" s="299" t="n">
        <v>0</v>
      </c>
      <c r="S50" s="300" t="n">
        <v>1</v>
      </c>
      <c r="T50" t="n">
        <v>2.131</v>
      </c>
      <c r="U50" t="n">
        <v>0</v>
      </c>
      <c r="W50" s="300" t="n">
        <v>0.1991</v>
      </c>
      <c r="X50" s="297" t="n">
        <v>45280</v>
      </c>
      <c r="Y50">
        <f>IF(I50="","No SIC",IFERROR(VLOOKUP(I50,Ref!$A$2:$B$65,2,FALSE),"Unclassified"))</f>
        <v/>
      </c>
      <c r="Z50">
        <f>IF(T50="","",IF(T50&lt;12,"Daily","Weekly"))</f>
        <v/>
      </c>
      <c r="AA50">
        <f>IF(T50="",0,IF(T50&lt;12,T50*Controls!$B$29,T50*5))</f>
        <v/>
      </c>
      <c r="AB50">
        <f>IF(E50="",0,NETWORKDAYS(E50,Controls!$B$36,Ref!$K$2:$K$42))</f>
        <v/>
      </c>
      <c r="AC50">
        <f>IF(AND(AA50&gt;0,AB50&gt;=Controls!$B$39*AA50),1,0)</f>
        <v/>
      </c>
      <c r="AD50">
        <f>IF(AND(E50&lt;&gt;"",E50&gt;=Controls!$B$37,E50&lt;=Controls!$B$38),1,0)</f>
        <v/>
      </c>
      <c r="AE50">
        <f>IF(IFERROR(VLOOKUP(D50,Controls!$A$64:$E$74,2,FALSE),"No")="Yes",1,0)</f>
        <v/>
      </c>
      <c r="AF50">
        <f>IF(IFERROR(VLOOKUP(D50,Controls!$A$64:$E$74,3,FALSE),"No")="Yes",1,0)</f>
        <v/>
      </c>
      <c r="AG50">
        <f>IF(IFERROR(VLOOKUP(D50,Controls!$A$64:$E$74,4,FALSE),"No")="Yes",1,0)</f>
        <v/>
      </c>
      <c r="AH50">
        <f>IF(IFERROR(VLOOKUP(D50,Controls!$A$64:$E$74,5,FALSE),"No")="Yes",1,0)</f>
        <v/>
      </c>
      <c r="AI50">
        <f>IF(ISNUMBER(MATCH(D50,Controls!$A$64:$A$74,0)),1,0)</f>
        <v/>
      </c>
      <c r="AJ50">
        <f>Q50-N50</f>
        <v/>
      </c>
      <c r="AK50">
        <f>IF(AE50=1,MAX(0,N50-Q50),0)</f>
        <v/>
      </c>
      <c r="AL50">
        <f>IF(OR(V50="",V50=0),0,N50/V50)</f>
        <v/>
      </c>
      <c r="AM50">
        <f>IF(OR(V50="",V50=0),0,1)</f>
        <v/>
      </c>
      <c r="AN50">
        <f>IF(OR(E50="",F50=""),0,NETWORKDAYS(E50,F50,Ref!$K$2:$K$42))</f>
        <v/>
      </c>
      <c r="AO50">
        <f>IF(L50="Renewal",1,0)</f>
        <v/>
      </c>
      <c r="AP50">
        <f>AC50*AD50</f>
        <v/>
      </c>
      <c r="AQ50">
        <f>IF(AND(G50&lt;&gt;"",'Historical Score'!$C$6&lt;&gt;""),IF(G50='Historical Score'!$C$6,1,0),0)</f>
        <v/>
      </c>
      <c r="AR50">
        <f>IF(AND(L50&lt;&gt;"",'Historical Score'!$C$5&lt;&gt;""),IF(L50='Historical Score'!$C$5,1,0),0)</f>
        <v/>
      </c>
      <c r="AS50">
        <f>IF(AND(Y50&lt;&gt;"",'Historical Score'!$C$7&lt;&gt;""),IF(Y50='Historical Score'!$C$7,1,0),0)</f>
        <v/>
      </c>
      <c r="AT50">
        <f>IF(AND(K50&lt;&gt;"",'Historical Score'!$C$8&lt;&gt;""),IF(K50='Historical Score'!$C$8,1,0),0)</f>
        <v/>
      </c>
      <c r="AU50">
        <f>IF(AND(J50&lt;&gt;"",'Historical Score'!$C$9&lt;&gt;""),IF(J50='Historical Score'!$C$9,1,0),0)</f>
        <v/>
      </c>
      <c r="AV50">
        <f>AR50*AS50*AQ50</f>
        <v/>
      </c>
      <c r="AW50">
        <f>AR50*AT50*AQ50</f>
        <v/>
      </c>
      <c r="AX50">
        <f>AR50*AS50</f>
        <v/>
      </c>
      <c r="AY50">
        <f>AR50*AT50</f>
        <v/>
      </c>
      <c r="AZ50">
        <f>AR50*AQ50</f>
        <v/>
      </c>
      <c r="BA50">
        <f>AR50</f>
        <v/>
      </c>
      <c r="BB50">
        <f>1</f>
        <v/>
      </c>
      <c r="BC50">
        <f>IF(AV50=1,1,IF(AW50=1,2,IF(AX50=1,3,IF(AY50=1,4,IF(AZ50=1,5,IF(BA50=1,6,7))))))</f>
        <v/>
      </c>
      <c r="BD50">
        <f>IF(AD50=1,CHOOSE('Historical Score'!$C$29,AV50,AW50,AX50,AY50,AZ50,BA50,BB50),0)</f>
        <v/>
      </c>
      <c r="BE50">
        <f>IF(BD50=1,COUNTIF($BD$2:BD50,1),"")</f>
        <v/>
      </c>
    </row>
    <row r="51">
      <c r="A51" t="inlineStr">
        <is>
          <t>5674153335</t>
        </is>
      </c>
      <c r="B51" t="inlineStr">
        <is>
          <t>Stones by crowne</t>
        </is>
      </c>
      <c r="C51" t="inlineStr">
        <is>
          <t>Stones by crowne</t>
        </is>
      </c>
      <c r="D51" t="inlineStr">
        <is>
          <t>Legal</t>
        </is>
      </c>
      <c r="E51" s="297" t="n">
        <v>45741</v>
      </c>
      <c r="F51" s="297" t="n">
        <v>46234</v>
      </c>
      <c r="G51" t="n">
        <v>1</v>
      </c>
      <c r="H51" t="inlineStr">
        <is>
          <t>3281</t>
        </is>
      </c>
      <c r="I51" t="inlineStr">
        <is>
          <t>32</t>
        </is>
      </c>
      <c r="J51" t="inlineStr">
        <is>
          <t>MA</t>
        </is>
      </c>
      <c r="K51" t="inlineStr">
        <is>
          <t>Premium Capital (AMRK)</t>
        </is>
      </c>
      <c r="L51" t="inlineStr">
        <is>
          <t>Renewal</t>
        </is>
      </c>
      <c r="M51" s="298" t="n">
        <v>1.49</v>
      </c>
      <c r="N51" s="299" t="n">
        <v>7500</v>
      </c>
      <c r="O51" s="299" t="n">
        <v>1050</v>
      </c>
      <c r="P51" s="299" t="n">
        <v>11175</v>
      </c>
      <c r="Q51" s="299" t="n">
        <v>9601.040000000001</v>
      </c>
      <c r="R51" s="299" t="n">
        <v>1573.96</v>
      </c>
      <c r="S51" s="300" t="n">
        <v>0.859153467561521</v>
      </c>
      <c r="T51" t="n">
        <v>17</v>
      </c>
      <c r="U51" t="n">
        <v>6</v>
      </c>
      <c r="W51" s="300" t="n">
        <v>0.0497</v>
      </c>
      <c r="X51" s="297" t="n">
        <v>44896</v>
      </c>
      <c r="Y51">
        <f>IF(I51="","No SIC",IFERROR(VLOOKUP(I51,Ref!$A$2:$B$65,2,FALSE),"Unclassified"))</f>
        <v/>
      </c>
      <c r="Z51">
        <f>IF(T51="","",IF(T51&lt;12,"Daily","Weekly"))</f>
        <v/>
      </c>
      <c r="AA51">
        <f>IF(T51="",0,IF(T51&lt;12,T51*Controls!$B$29,T51*5))</f>
        <v/>
      </c>
      <c r="AB51">
        <f>IF(E51="",0,NETWORKDAYS(E51,Controls!$B$36,Ref!$K$2:$K$42))</f>
        <v/>
      </c>
      <c r="AC51">
        <f>IF(AND(AA51&gt;0,AB51&gt;=Controls!$B$39*AA51),1,0)</f>
        <v/>
      </c>
      <c r="AD51">
        <f>IF(AND(E51&lt;&gt;"",E51&gt;=Controls!$B$37,E51&lt;=Controls!$B$38),1,0)</f>
        <v/>
      </c>
      <c r="AE51">
        <f>IF(IFERROR(VLOOKUP(D51,Controls!$A$64:$E$74,2,FALSE),"No")="Yes",1,0)</f>
        <v/>
      </c>
      <c r="AF51">
        <f>IF(IFERROR(VLOOKUP(D51,Controls!$A$64:$E$74,3,FALSE),"No")="Yes",1,0)</f>
        <v/>
      </c>
      <c r="AG51">
        <f>IF(IFERROR(VLOOKUP(D51,Controls!$A$64:$E$74,4,FALSE),"No")="Yes",1,0)</f>
        <v/>
      </c>
      <c r="AH51">
        <f>IF(IFERROR(VLOOKUP(D51,Controls!$A$64:$E$74,5,FALSE),"No")="Yes",1,0)</f>
        <v/>
      </c>
      <c r="AI51">
        <f>IF(ISNUMBER(MATCH(D51,Controls!$A$64:$A$74,0)),1,0)</f>
        <v/>
      </c>
      <c r="AJ51">
        <f>Q51-N51</f>
        <v/>
      </c>
      <c r="AK51">
        <f>IF(AE51=1,MAX(0,N51-Q51),0)</f>
        <v/>
      </c>
      <c r="AL51">
        <f>IF(OR(V51="",V51=0),0,N51/V51)</f>
        <v/>
      </c>
      <c r="AM51">
        <f>IF(OR(V51="",V51=0),0,1)</f>
        <v/>
      </c>
      <c r="AN51">
        <f>IF(OR(E51="",F51=""),0,NETWORKDAYS(E51,F51,Ref!$K$2:$K$42))</f>
        <v/>
      </c>
      <c r="AO51">
        <f>IF(L51="Renewal",1,0)</f>
        <v/>
      </c>
      <c r="AP51">
        <f>AC51*AD51</f>
        <v/>
      </c>
      <c r="AQ51">
        <f>IF(AND(G51&lt;&gt;"",'Historical Score'!$C$6&lt;&gt;""),IF(G51='Historical Score'!$C$6,1,0),0)</f>
        <v/>
      </c>
      <c r="AR51">
        <f>IF(AND(L51&lt;&gt;"",'Historical Score'!$C$5&lt;&gt;""),IF(L51='Historical Score'!$C$5,1,0),0)</f>
        <v/>
      </c>
      <c r="AS51">
        <f>IF(AND(Y51&lt;&gt;"",'Historical Score'!$C$7&lt;&gt;""),IF(Y51='Historical Score'!$C$7,1,0),0)</f>
        <v/>
      </c>
      <c r="AT51">
        <f>IF(AND(K51&lt;&gt;"",'Historical Score'!$C$8&lt;&gt;""),IF(K51='Historical Score'!$C$8,1,0),0)</f>
        <v/>
      </c>
      <c r="AU51">
        <f>IF(AND(J51&lt;&gt;"",'Historical Score'!$C$9&lt;&gt;""),IF(J51='Historical Score'!$C$9,1,0),0)</f>
        <v/>
      </c>
      <c r="AV51">
        <f>AR51*AS51*AQ51</f>
        <v/>
      </c>
      <c r="AW51">
        <f>AR51*AT51*AQ51</f>
        <v/>
      </c>
      <c r="AX51">
        <f>AR51*AS51</f>
        <v/>
      </c>
      <c r="AY51">
        <f>AR51*AT51</f>
        <v/>
      </c>
      <c r="AZ51">
        <f>AR51*AQ51</f>
        <v/>
      </c>
      <c r="BA51">
        <f>AR51</f>
        <v/>
      </c>
      <c r="BB51">
        <f>1</f>
        <v/>
      </c>
      <c r="BC51">
        <f>IF(AV51=1,1,IF(AW51=1,2,IF(AX51=1,3,IF(AY51=1,4,IF(AZ51=1,5,IF(BA51=1,6,7))))))</f>
        <v/>
      </c>
      <c r="BD51">
        <f>IF(AD51=1,CHOOSE('Historical Score'!$C$29,AV51,AW51,AX51,AY51,AZ51,BA51,BB51),0)</f>
        <v/>
      </c>
      <c r="BE51">
        <f>IF(BD51=1,COUNTIF($BD$2:BD51,1),"")</f>
        <v/>
      </c>
    </row>
    <row r="52">
      <c r="A52" t="inlineStr">
        <is>
          <t>5674153342</t>
        </is>
      </c>
      <c r="B52" t="inlineStr">
        <is>
          <t>CORNERSTONE GROWTH SOLUTIONS, LLC</t>
        </is>
      </c>
      <c r="C52" t="inlineStr">
        <is>
          <t>CORNERSTONE GROWTH SOLUTIONS, LLC</t>
        </is>
      </c>
      <c r="D52" t="inlineStr">
        <is>
          <t>Closed</t>
        </is>
      </c>
      <c r="E52" s="297" t="n">
        <v>45742</v>
      </c>
      <c r="F52" s="297" t="n">
        <v>45831</v>
      </c>
      <c r="G52" t="n">
        <v>1</v>
      </c>
      <c r="H52" t="inlineStr">
        <is>
          <t>8742</t>
        </is>
      </c>
      <c r="I52" t="inlineStr">
        <is>
          <t>87</t>
        </is>
      </c>
      <c r="J52" t="inlineStr">
        <is>
          <t>TX</t>
        </is>
      </c>
      <c r="K52" t="inlineStr">
        <is>
          <t>Westwood</t>
        </is>
      </c>
      <c r="L52" t="inlineStr">
        <is>
          <t>New Deal</t>
        </is>
      </c>
      <c r="M52" s="298" t="n">
        <v>1.49</v>
      </c>
      <c r="N52" s="299" t="n">
        <v>8000</v>
      </c>
      <c r="O52" s="299" t="n">
        <v>1120</v>
      </c>
      <c r="P52" s="299" t="n">
        <v>11920</v>
      </c>
      <c r="Q52" s="299" t="n">
        <v>11920</v>
      </c>
      <c r="R52" s="299" t="n">
        <v>0</v>
      </c>
      <c r="S52" s="300" t="n">
        <v>1</v>
      </c>
      <c r="T52" t="n">
        <v>1.967</v>
      </c>
      <c r="U52" t="n">
        <v>2</v>
      </c>
      <c r="W52" s="300" t="n">
        <v>0.0307</v>
      </c>
      <c r="X52" s="297" t="n">
        <v>40909</v>
      </c>
      <c r="Y52">
        <f>IF(I52="","No SIC",IFERROR(VLOOKUP(I52,Ref!$A$2:$B$65,2,FALSE),"Unclassified"))</f>
        <v/>
      </c>
      <c r="Z52">
        <f>IF(T52="","",IF(T52&lt;12,"Daily","Weekly"))</f>
        <v/>
      </c>
      <c r="AA52">
        <f>IF(T52="",0,IF(T52&lt;12,T52*Controls!$B$29,T52*5))</f>
        <v/>
      </c>
      <c r="AB52">
        <f>IF(E52="",0,NETWORKDAYS(E52,Controls!$B$36,Ref!$K$2:$K$42))</f>
        <v/>
      </c>
      <c r="AC52">
        <f>IF(AND(AA52&gt;0,AB52&gt;=Controls!$B$39*AA52),1,0)</f>
        <v/>
      </c>
      <c r="AD52">
        <f>IF(AND(E52&lt;&gt;"",E52&gt;=Controls!$B$37,E52&lt;=Controls!$B$38),1,0)</f>
        <v/>
      </c>
      <c r="AE52">
        <f>IF(IFERROR(VLOOKUP(D52,Controls!$A$64:$E$74,2,FALSE),"No")="Yes",1,0)</f>
        <v/>
      </c>
      <c r="AF52">
        <f>IF(IFERROR(VLOOKUP(D52,Controls!$A$64:$E$74,3,FALSE),"No")="Yes",1,0)</f>
        <v/>
      </c>
      <c r="AG52">
        <f>IF(IFERROR(VLOOKUP(D52,Controls!$A$64:$E$74,4,FALSE),"No")="Yes",1,0)</f>
        <v/>
      </c>
      <c r="AH52">
        <f>IF(IFERROR(VLOOKUP(D52,Controls!$A$64:$E$74,5,FALSE),"No")="Yes",1,0)</f>
        <v/>
      </c>
      <c r="AI52">
        <f>IF(ISNUMBER(MATCH(D52,Controls!$A$64:$A$74,0)),1,0)</f>
        <v/>
      </c>
      <c r="AJ52">
        <f>Q52-N52</f>
        <v/>
      </c>
      <c r="AK52">
        <f>IF(AE52=1,MAX(0,N52-Q52),0)</f>
        <v/>
      </c>
      <c r="AL52">
        <f>IF(OR(V52="",V52=0),0,N52/V52)</f>
        <v/>
      </c>
      <c r="AM52">
        <f>IF(OR(V52="",V52=0),0,1)</f>
        <v/>
      </c>
      <c r="AN52">
        <f>IF(OR(E52="",F52=""),0,NETWORKDAYS(E52,F52,Ref!$K$2:$K$42))</f>
        <v/>
      </c>
      <c r="AO52">
        <f>IF(L52="Renewal",1,0)</f>
        <v/>
      </c>
      <c r="AP52">
        <f>AC52*AD52</f>
        <v/>
      </c>
      <c r="AQ52">
        <f>IF(AND(G52&lt;&gt;"",'Historical Score'!$C$6&lt;&gt;""),IF(G52='Historical Score'!$C$6,1,0),0)</f>
        <v/>
      </c>
      <c r="AR52">
        <f>IF(AND(L52&lt;&gt;"",'Historical Score'!$C$5&lt;&gt;""),IF(L52='Historical Score'!$C$5,1,0),0)</f>
        <v/>
      </c>
      <c r="AS52">
        <f>IF(AND(Y52&lt;&gt;"",'Historical Score'!$C$7&lt;&gt;""),IF(Y52='Historical Score'!$C$7,1,0),0)</f>
        <v/>
      </c>
      <c r="AT52">
        <f>IF(AND(K52&lt;&gt;"",'Historical Score'!$C$8&lt;&gt;""),IF(K52='Historical Score'!$C$8,1,0),0)</f>
        <v/>
      </c>
      <c r="AU52">
        <f>IF(AND(J52&lt;&gt;"",'Historical Score'!$C$9&lt;&gt;""),IF(J52='Historical Score'!$C$9,1,0),0)</f>
        <v/>
      </c>
      <c r="AV52">
        <f>AR52*AS52*AQ52</f>
        <v/>
      </c>
      <c r="AW52">
        <f>AR52*AT52*AQ52</f>
        <v/>
      </c>
      <c r="AX52">
        <f>AR52*AS52</f>
        <v/>
      </c>
      <c r="AY52">
        <f>AR52*AT52</f>
        <v/>
      </c>
      <c r="AZ52">
        <f>AR52*AQ52</f>
        <v/>
      </c>
      <c r="BA52">
        <f>AR52</f>
        <v/>
      </c>
      <c r="BB52">
        <f>1</f>
        <v/>
      </c>
      <c r="BC52">
        <f>IF(AV52=1,1,IF(AW52=1,2,IF(AX52=1,3,IF(AY52=1,4,IF(AZ52=1,5,IF(BA52=1,6,7))))))</f>
        <v/>
      </c>
      <c r="BD52">
        <f>IF(AD52=1,CHOOSE('Historical Score'!$C$29,AV52,AW52,AX52,AY52,AZ52,BA52,BB52),0)</f>
        <v/>
      </c>
      <c r="BE52">
        <f>IF(BD52=1,COUNTIF($BD$2:BD52,1),"")</f>
        <v/>
      </c>
    </row>
    <row r="53">
      <c r="A53" t="inlineStr">
        <is>
          <t>5674153395</t>
        </is>
      </c>
      <c r="B53" t="inlineStr">
        <is>
          <t>Happy Daiquiri llc</t>
        </is>
      </c>
      <c r="C53" t="inlineStr">
        <is>
          <t>Happy Daiquiri llc</t>
        </is>
      </c>
      <c r="D53" t="inlineStr">
        <is>
          <t>Legal</t>
        </is>
      </c>
      <c r="E53" s="297" t="n">
        <v>45741</v>
      </c>
      <c r="F53" s="297" t="n">
        <v>45889</v>
      </c>
      <c r="G53" t="n">
        <v>6</v>
      </c>
      <c r="H53" t="inlineStr">
        <is>
          <t>5812</t>
        </is>
      </c>
      <c r="I53" t="inlineStr">
        <is>
          <t>58</t>
        </is>
      </c>
      <c r="J53" t="inlineStr">
        <is>
          <t>TX</t>
        </is>
      </c>
      <c r="K53" t="inlineStr">
        <is>
          <t>Vanguard Equities</t>
        </is>
      </c>
      <c r="L53" t="inlineStr">
        <is>
          <t>New Deal</t>
        </is>
      </c>
      <c r="M53" s="298" t="n">
        <v>1.49</v>
      </c>
      <c r="N53" s="299" t="n">
        <v>3000</v>
      </c>
      <c r="O53" s="299" t="n">
        <v>420</v>
      </c>
      <c r="P53" s="299" t="n">
        <v>4470</v>
      </c>
      <c r="Q53" s="299" t="n">
        <v>2475.22</v>
      </c>
      <c r="R53" s="299" t="n">
        <v>1994.78</v>
      </c>
      <c r="S53" s="300" t="n">
        <v>0.553740492170022</v>
      </c>
      <c r="T53" t="n">
        <v>1.967</v>
      </c>
      <c r="U53" t="n">
        <v>34</v>
      </c>
      <c r="W53" s="300" t="n">
        <v>0.1093</v>
      </c>
      <c r="X53" s="297" t="n">
        <v>43819</v>
      </c>
      <c r="Y53">
        <f>IF(I53="","No SIC",IFERROR(VLOOKUP(I53,Ref!$A$2:$B$65,2,FALSE),"Unclassified"))</f>
        <v/>
      </c>
      <c r="Z53">
        <f>IF(T53="","",IF(T53&lt;12,"Daily","Weekly"))</f>
        <v/>
      </c>
      <c r="AA53">
        <f>IF(T53="",0,IF(T53&lt;12,T53*Controls!$B$29,T53*5))</f>
        <v/>
      </c>
      <c r="AB53">
        <f>IF(E53="",0,NETWORKDAYS(E53,Controls!$B$36,Ref!$K$2:$K$42))</f>
        <v/>
      </c>
      <c r="AC53">
        <f>IF(AND(AA53&gt;0,AB53&gt;=Controls!$B$39*AA53),1,0)</f>
        <v/>
      </c>
      <c r="AD53">
        <f>IF(AND(E53&lt;&gt;"",E53&gt;=Controls!$B$37,E53&lt;=Controls!$B$38),1,0)</f>
        <v/>
      </c>
      <c r="AE53">
        <f>IF(IFERROR(VLOOKUP(D53,Controls!$A$64:$E$74,2,FALSE),"No")="Yes",1,0)</f>
        <v/>
      </c>
      <c r="AF53">
        <f>IF(IFERROR(VLOOKUP(D53,Controls!$A$64:$E$74,3,FALSE),"No")="Yes",1,0)</f>
        <v/>
      </c>
      <c r="AG53">
        <f>IF(IFERROR(VLOOKUP(D53,Controls!$A$64:$E$74,4,FALSE),"No")="Yes",1,0)</f>
        <v/>
      </c>
      <c r="AH53">
        <f>IF(IFERROR(VLOOKUP(D53,Controls!$A$64:$E$74,5,FALSE),"No")="Yes",1,0)</f>
        <v/>
      </c>
      <c r="AI53">
        <f>IF(ISNUMBER(MATCH(D53,Controls!$A$64:$A$74,0)),1,0)</f>
        <v/>
      </c>
      <c r="AJ53">
        <f>Q53-N53</f>
        <v/>
      </c>
      <c r="AK53">
        <f>IF(AE53=1,MAX(0,N53-Q53),0)</f>
        <v/>
      </c>
      <c r="AL53">
        <f>IF(OR(V53="",V53=0),0,N53/V53)</f>
        <v/>
      </c>
      <c r="AM53">
        <f>IF(OR(V53="",V53=0),0,1)</f>
        <v/>
      </c>
      <c r="AN53">
        <f>IF(OR(E53="",F53=""),0,NETWORKDAYS(E53,F53,Ref!$K$2:$K$42))</f>
        <v/>
      </c>
      <c r="AO53">
        <f>IF(L53="Renewal",1,0)</f>
        <v/>
      </c>
      <c r="AP53">
        <f>AC53*AD53</f>
        <v/>
      </c>
      <c r="AQ53">
        <f>IF(AND(G53&lt;&gt;"",'Historical Score'!$C$6&lt;&gt;""),IF(G53='Historical Score'!$C$6,1,0),0)</f>
        <v/>
      </c>
      <c r="AR53">
        <f>IF(AND(L53&lt;&gt;"",'Historical Score'!$C$5&lt;&gt;""),IF(L53='Historical Score'!$C$5,1,0),0)</f>
        <v/>
      </c>
      <c r="AS53">
        <f>IF(AND(Y53&lt;&gt;"",'Historical Score'!$C$7&lt;&gt;""),IF(Y53='Historical Score'!$C$7,1,0),0)</f>
        <v/>
      </c>
      <c r="AT53">
        <f>IF(AND(K53&lt;&gt;"",'Historical Score'!$C$8&lt;&gt;""),IF(K53='Historical Score'!$C$8,1,0),0)</f>
        <v/>
      </c>
      <c r="AU53">
        <f>IF(AND(J53&lt;&gt;"",'Historical Score'!$C$9&lt;&gt;""),IF(J53='Historical Score'!$C$9,1,0),0)</f>
        <v/>
      </c>
      <c r="AV53">
        <f>AR53*AS53*AQ53</f>
        <v/>
      </c>
      <c r="AW53">
        <f>AR53*AT53*AQ53</f>
        <v/>
      </c>
      <c r="AX53">
        <f>AR53*AS53</f>
        <v/>
      </c>
      <c r="AY53">
        <f>AR53*AT53</f>
        <v/>
      </c>
      <c r="AZ53">
        <f>AR53*AQ53</f>
        <v/>
      </c>
      <c r="BA53">
        <f>AR53</f>
        <v/>
      </c>
      <c r="BB53">
        <f>1</f>
        <v/>
      </c>
      <c r="BC53">
        <f>IF(AV53=1,1,IF(AW53=1,2,IF(AX53=1,3,IF(AY53=1,4,IF(AZ53=1,5,IF(BA53=1,6,7))))))</f>
        <v/>
      </c>
      <c r="BD53">
        <f>IF(AD53=1,CHOOSE('Historical Score'!$C$29,AV53,AW53,AX53,AY53,AZ53,BA53,BB53),0)</f>
        <v/>
      </c>
      <c r="BE53">
        <f>IF(BD53=1,COUNTIF($BD$2:BD53,1),"")</f>
        <v/>
      </c>
    </row>
    <row r="54">
      <c r="A54" t="inlineStr">
        <is>
          <t>5674153450</t>
        </is>
      </c>
      <c r="B54" t="inlineStr">
        <is>
          <t>Journey Homecare Services</t>
        </is>
      </c>
      <c r="C54" t="inlineStr">
        <is>
          <t>Journey Homecare Services</t>
        </is>
      </c>
      <c r="D54" t="inlineStr">
        <is>
          <t>Legal</t>
        </is>
      </c>
      <c r="E54" s="297" t="n">
        <v>45742</v>
      </c>
      <c r="F54" s="297" t="n">
        <v>46112</v>
      </c>
      <c r="G54" t="n">
        <v>3</v>
      </c>
      <c r="H54" t="inlineStr">
        <is>
          <t>8051</t>
        </is>
      </c>
      <c r="I54" t="inlineStr">
        <is>
          <t>80</t>
        </is>
      </c>
      <c r="J54" t="inlineStr">
        <is>
          <t>NC</t>
        </is>
      </c>
      <c r="K54" t="inlineStr">
        <is>
          <t>Vanguard Equities</t>
        </is>
      </c>
      <c r="L54" t="inlineStr">
        <is>
          <t>New Deal</t>
        </is>
      </c>
      <c r="M54" s="298" t="n">
        <v>1.49</v>
      </c>
      <c r="N54" s="299" t="n">
        <v>5000</v>
      </c>
      <c r="O54" s="299" t="n">
        <v>700</v>
      </c>
      <c r="P54" s="299" t="n">
        <v>7450</v>
      </c>
      <c r="Q54" s="299" t="n">
        <v>3293.97</v>
      </c>
      <c r="R54" s="299" t="n">
        <v>4156.03</v>
      </c>
      <c r="S54" s="300" t="n">
        <v>0.442143624161074</v>
      </c>
      <c r="T54" t="n">
        <v>2.131</v>
      </c>
      <c r="U54" t="n">
        <v>20</v>
      </c>
      <c r="W54" s="300" t="n">
        <v>0.1172</v>
      </c>
      <c r="X54" s="297" t="n"/>
      <c r="Y54">
        <f>IF(I54="","No SIC",IFERROR(VLOOKUP(I54,Ref!$A$2:$B$65,2,FALSE),"Unclassified"))</f>
        <v/>
      </c>
      <c r="Z54">
        <f>IF(T54="","",IF(T54&lt;12,"Daily","Weekly"))</f>
        <v/>
      </c>
      <c r="AA54">
        <f>IF(T54="",0,IF(T54&lt;12,T54*Controls!$B$29,T54*5))</f>
        <v/>
      </c>
      <c r="AB54">
        <f>IF(E54="",0,NETWORKDAYS(E54,Controls!$B$36,Ref!$K$2:$K$42))</f>
        <v/>
      </c>
      <c r="AC54">
        <f>IF(AND(AA54&gt;0,AB54&gt;=Controls!$B$39*AA54),1,0)</f>
        <v/>
      </c>
      <c r="AD54">
        <f>IF(AND(E54&lt;&gt;"",E54&gt;=Controls!$B$37,E54&lt;=Controls!$B$38),1,0)</f>
        <v/>
      </c>
      <c r="AE54">
        <f>IF(IFERROR(VLOOKUP(D54,Controls!$A$64:$E$74,2,FALSE),"No")="Yes",1,0)</f>
        <v/>
      </c>
      <c r="AF54">
        <f>IF(IFERROR(VLOOKUP(D54,Controls!$A$64:$E$74,3,FALSE),"No")="Yes",1,0)</f>
        <v/>
      </c>
      <c r="AG54">
        <f>IF(IFERROR(VLOOKUP(D54,Controls!$A$64:$E$74,4,FALSE),"No")="Yes",1,0)</f>
        <v/>
      </c>
      <c r="AH54">
        <f>IF(IFERROR(VLOOKUP(D54,Controls!$A$64:$E$74,5,FALSE),"No")="Yes",1,0)</f>
        <v/>
      </c>
      <c r="AI54">
        <f>IF(ISNUMBER(MATCH(D54,Controls!$A$64:$A$74,0)),1,0)</f>
        <v/>
      </c>
      <c r="AJ54">
        <f>Q54-N54</f>
        <v/>
      </c>
      <c r="AK54">
        <f>IF(AE54=1,MAX(0,N54-Q54),0)</f>
        <v/>
      </c>
      <c r="AL54">
        <f>IF(OR(V54="",V54=0),0,N54/V54)</f>
        <v/>
      </c>
      <c r="AM54">
        <f>IF(OR(V54="",V54=0),0,1)</f>
        <v/>
      </c>
      <c r="AN54">
        <f>IF(OR(E54="",F54=""),0,NETWORKDAYS(E54,F54,Ref!$K$2:$K$42))</f>
        <v/>
      </c>
      <c r="AO54">
        <f>IF(L54="Renewal",1,0)</f>
        <v/>
      </c>
      <c r="AP54">
        <f>AC54*AD54</f>
        <v/>
      </c>
      <c r="AQ54">
        <f>IF(AND(G54&lt;&gt;"",'Historical Score'!$C$6&lt;&gt;""),IF(G54='Historical Score'!$C$6,1,0),0)</f>
        <v/>
      </c>
      <c r="AR54">
        <f>IF(AND(L54&lt;&gt;"",'Historical Score'!$C$5&lt;&gt;""),IF(L54='Historical Score'!$C$5,1,0),0)</f>
        <v/>
      </c>
      <c r="AS54">
        <f>IF(AND(Y54&lt;&gt;"",'Historical Score'!$C$7&lt;&gt;""),IF(Y54='Historical Score'!$C$7,1,0),0)</f>
        <v/>
      </c>
      <c r="AT54">
        <f>IF(AND(K54&lt;&gt;"",'Historical Score'!$C$8&lt;&gt;""),IF(K54='Historical Score'!$C$8,1,0),0)</f>
        <v/>
      </c>
      <c r="AU54">
        <f>IF(AND(J54&lt;&gt;"",'Historical Score'!$C$9&lt;&gt;""),IF(J54='Historical Score'!$C$9,1,0),0)</f>
        <v/>
      </c>
      <c r="AV54">
        <f>AR54*AS54*AQ54</f>
        <v/>
      </c>
      <c r="AW54">
        <f>AR54*AT54*AQ54</f>
        <v/>
      </c>
      <c r="AX54">
        <f>AR54*AS54</f>
        <v/>
      </c>
      <c r="AY54">
        <f>AR54*AT54</f>
        <v/>
      </c>
      <c r="AZ54">
        <f>AR54*AQ54</f>
        <v/>
      </c>
      <c r="BA54">
        <f>AR54</f>
        <v/>
      </c>
      <c r="BB54">
        <f>1</f>
        <v/>
      </c>
      <c r="BC54">
        <f>IF(AV54=1,1,IF(AW54=1,2,IF(AX54=1,3,IF(AY54=1,4,IF(AZ54=1,5,IF(BA54=1,6,7))))))</f>
        <v/>
      </c>
      <c r="BD54">
        <f>IF(AD54=1,CHOOSE('Historical Score'!$C$29,AV54,AW54,AX54,AY54,AZ54,BA54,BB54),0)</f>
        <v/>
      </c>
      <c r="BE54">
        <f>IF(BD54=1,COUNTIF($BD$2:BD54,1),"")</f>
        <v/>
      </c>
    </row>
    <row r="55">
      <c r="A55" t="inlineStr">
        <is>
          <t>5674153597</t>
        </is>
      </c>
      <c r="B55" t="inlineStr">
        <is>
          <t>Anthony's RV Rentals</t>
        </is>
      </c>
      <c r="C55" t="inlineStr">
        <is>
          <t>Anthony's RV Rentals</t>
        </is>
      </c>
      <c r="D55" t="inlineStr">
        <is>
          <t>Legal</t>
        </is>
      </c>
      <c r="E55" s="297" t="n">
        <v>45743</v>
      </c>
      <c r="F55" s="297" t="n">
        <v>45866</v>
      </c>
      <c r="G55" t="n">
        <v>2</v>
      </c>
      <c r="H55" t="inlineStr">
        <is>
          <t>7519</t>
        </is>
      </c>
      <c r="I55" t="inlineStr">
        <is>
          <t>75</t>
        </is>
      </c>
      <c r="J55" t="inlineStr">
        <is>
          <t>MI</t>
        </is>
      </c>
      <c r="K55" t="inlineStr">
        <is>
          <t>Platform Funding</t>
        </is>
      </c>
      <c r="L55" t="inlineStr">
        <is>
          <t>Renewal</t>
        </is>
      </c>
      <c r="M55" s="298" t="n">
        <v>1.49</v>
      </c>
      <c r="N55" s="299" t="n">
        <v>15000</v>
      </c>
      <c r="O55" s="299" t="n">
        <v>0</v>
      </c>
      <c r="P55" s="299" t="n">
        <v>22350</v>
      </c>
      <c r="Q55" s="299" t="n">
        <v>6115.1</v>
      </c>
      <c r="R55" s="299" t="n">
        <v>16234.9</v>
      </c>
      <c r="S55" s="300" t="n">
        <v>0.273606263982103</v>
      </c>
      <c r="T55" t="n">
        <v>2.459</v>
      </c>
      <c r="U55" t="n">
        <v>8</v>
      </c>
      <c r="W55" s="300" t="n">
        <v>0.1567</v>
      </c>
      <c r="X55" s="297" t="n">
        <v>43617</v>
      </c>
      <c r="Y55">
        <f>IF(I55="","No SIC",IFERROR(VLOOKUP(I55,Ref!$A$2:$B$65,2,FALSE),"Unclassified"))</f>
        <v/>
      </c>
      <c r="Z55">
        <f>IF(T55="","",IF(T55&lt;12,"Daily","Weekly"))</f>
        <v/>
      </c>
      <c r="AA55">
        <f>IF(T55="",0,IF(T55&lt;12,T55*Controls!$B$29,T55*5))</f>
        <v/>
      </c>
      <c r="AB55">
        <f>IF(E55="",0,NETWORKDAYS(E55,Controls!$B$36,Ref!$K$2:$K$42))</f>
        <v/>
      </c>
      <c r="AC55">
        <f>IF(AND(AA55&gt;0,AB55&gt;=Controls!$B$39*AA55),1,0)</f>
        <v/>
      </c>
      <c r="AD55">
        <f>IF(AND(E55&lt;&gt;"",E55&gt;=Controls!$B$37,E55&lt;=Controls!$B$38),1,0)</f>
        <v/>
      </c>
      <c r="AE55">
        <f>IF(IFERROR(VLOOKUP(D55,Controls!$A$64:$E$74,2,FALSE),"No")="Yes",1,0)</f>
        <v/>
      </c>
      <c r="AF55">
        <f>IF(IFERROR(VLOOKUP(D55,Controls!$A$64:$E$74,3,FALSE),"No")="Yes",1,0)</f>
        <v/>
      </c>
      <c r="AG55">
        <f>IF(IFERROR(VLOOKUP(D55,Controls!$A$64:$E$74,4,FALSE),"No")="Yes",1,0)</f>
        <v/>
      </c>
      <c r="AH55">
        <f>IF(IFERROR(VLOOKUP(D55,Controls!$A$64:$E$74,5,FALSE),"No")="Yes",1,0)</f>
        <v/>
      </c>
      <c r="AI55">
        <f>IF(ISNUMBER(MATCH(D55,Controls!$A$64:$A$74,0)),1,0)</f>
        <v/>
      </c>
      <c r="AJ55">
        <f>Q55-N55</f>
        <v/>
      </c>
      <c r="AK55">
        <f>IF(AE55=1,MAX(0,N55-Q55),0)</f>
        <v/>
      </c>
      <c r="AL55">
        <f>IF(OR(V55="",V55=0),0,N55/V55)</f>
        <v/>
      </c>
      <c r="AM55">
        <f>IF(OR(V55="",V55=0),0,1)</f>
        <v/>
      </c>
      <c r="AN55">
        <f>IF(OR(E55="",F55=""),0,NETWORKDAYS(E55,F55,Ref!$K$2:$K$42))</f>
        <v/>
      </c>
      <c r="AO55">
        <f>IF(L55="Renewal",1,0)</f>
        <v/>
      </c>
      <c r="AP55">
        <f>AC55*AD55</f>
        <v/>
      </c>
      <c r="AQ55">
        <f>IF(AND(G55&lt;&gt;"",'Historical Score'!$C$6&lt;&gt;""),IF(G55='Historical Score'!$C$6,1,0),0)</f>
        <v/>
      </c>
      <c r="AR55">
        <f>IF(AND(L55&lt;&gt;"",'Historical Score'!$C$5&lt;&gt;""),IF(L55='Historical Score'!$C$5,1,0),0)</f>
        <v/>
      </c>
      <c r="AS55">
        <f>IF(AND(Y55&lt;&gt;"",'Historical Score'!$C$7&lt;&gt;""),IF(Y55='Historical Score'!$C$7,1,0),0)</f>
        <v/>
      </c>
      <c r="AT55">
        <f>IF(AND(K55&lt;&gt;"",'Historical Score'!$C$8&lt;&gt;""),IF(K55='Historical Score'!$C$8,1,0),0)</f>
        <v/>
      </c>
      <c r="AU55">
        <f>IF(AND(J55&lt;&gt;"",'Historical Score'!$C$9&lt;&gt;""),IF(J55='Historical Score'!$C$9,1,0),0)</f>
        <v/>
      </c>
      <c r="AV55">
        <f>AR55*AS55*AQ55</f>
        <v/>
      </c>
      <c r="AW55">
        <f>AR55*AT55*AQ55</f>
        <v/>
      </c>
      <c r="AX55">
        <f>AR55*AS55</f>
        <v/>
      </c>
      <c r="AY55">
        <f>AR55*AT55</f>
        <v/>
      </c>
      <c r="AZ55">
        <f>AR55*AQ55</f>
        <v/>
      </c>
      <c r="BA55">
        <f>AR55</f>
        <v/>
      </c>
      <c r="BB55">
        <f>1</f>
        <v/>
      </c>
      <c r="BC55">
        <f>IF(AV55=1,1,IF(AW55=1,2,IF(AX55=1,3,IF(AY55=1,4,IF(AZ55=1,5,IF(BA55=1,6,7))))))</f>
        <v/>
      </c>
      <c r="BD55">
        <f>IF(AD55=1,CHOOSE('Historical Score'!$C$29,AV55,AW55,AX55,AY55,AZ55,BA55,BB55),0)</f>
        <v/>
      </c>
      <c r="BE55">
        <f>IF(BD55=1,COUNTIF($BD$2:BD55,1),"")</f>
        <v/>
      </c>
    </row>
    <row r="56">
      <c r="A56" t="inlineStr">
        <is>
          <t>5674153862</t>
        </is>
      </c>
      <c r="B56" t="inlineStr">
        <is>
          <t>W.H.S Humble &amp; Associates LLC</t>
        </is>
      </c>
      <c r="C56" t="inlineStr">
        <is>
          <t>W.H.S Humble &amp; Associates LLC</t>
        </is>
      </c>
      <c r="D56" t="inlineStr">
        <is>
          <t>Legal</t>
        </is>
      </c>
      <c r="E56" s="297" t="n">
        <v>45747</v>
      </c>
      <c r="F56" s="297" t="n">
        <v>45807</v>
      </c>
      <c r="G56" t="n">
        <v>6</v>
      </c>
      <c r="H56" t="inlineStr">
        <is>
          <t>7291</t>
        </is>
      </c>
      <c r="I56" t="inlineStr">
        <is>
          <t>72</t>
        </is>
      </c>
      <c r="J56" t="inlineStr">
        <is>
          <t>CA</t>
        </is>
      </c>
      <c r="K56" t="inlineStr">
        <is>
          <t>ROYAL FUNDING GROUP</t>
        </is>
      </c>
      <c r="L56" t="inlineStr">
        <is>
          <t>New Deal</t>
        </is>
      </c>
      <c r="M56" s="298" t="n">
        <v>1.499</v>
      </c>
      <c r="N56" s="299" t="n">
        <v>6500</v>
      </c>
      <c r="O56" s="299" t="n">
        <v>910</v>
      </c>
      <c r="P56" s="299" t="n">
        <v>9743.5</v>
      </c>
      <c r="Q56" s="299" t="n">
        <v>4178.4</v>
      </c>
      <c r="R56" s="299" t="n">
        <v>5565.1</v>
      </c>
      <c r="S56" s="300" t="n">
        <v>0.428839739313388</v>
      </c>
      <c r="T56" t="n">
        <v>2.295</v>
      </c>
      <c r="U56" t="n">
        <v>15</v>
      </c>
      <c r="W56" s="300" t="n">
        <v>0.08309999999999999</v>
      </c>
      <c r="X56" s="297" t="n">
        <v>44846</v>
      </c>
      <c r="Y56">
        <f>IF(I56="","No SIC",IFERROR(VLOOKUP(I56,Ref!$A$2:$B$65,2,FALSE),"Unclassified"))</f>
        <v/>
      </c>
      <c r="Z56">
        <f>IF(T56="","",IF(T56&lt;12,"Daily","Weekly"))</f>
        <v/>
      </c>
      <c r="AA56">
        <f>IF(T56="",0,IF(T56&lt;12,T56*Controls!$B$29,T56*5))</f>
        <v/>
      </c>
      <c r="AB56">
        <f>IF(E56="",0,NETWORKDAYS(E56,Controls!$B$36,Ref!$K$2:$K$42))</f>
        <v/>
      </c>
      <c r="AC56">
        <f>IF(AND(AA56&gt;0,AB56&gt;=Controls!$B$39*AA56),1,0)</f>
        <v/>
      </c>
      <c r="AD56">
        <f>IF(AND(E56&lt;&gt;"",E56&gt;=Controls!$B$37,E56&lt;=Controls!$B$38),1,0)</f>
        <v/>
      </c>
      <c r="AE56">
        <f>IF(IFERROR(VLOOKUP(D56,Controls!$A$64:$E$74,2,FALSE),"No")="Yes",1,0)</f>
        <v/>
      </c>
      <c r="AF56">
        <f>IF(IFERROR(VLOOKUP(D56,Controls!$A$64:$E$74,3,FALSE),"No")="Yes",1,0)</f>
        <v/>
      </c>
      <c r="AG56">
        <f>IF(IFERROR(VLOOKUP(D56,Controls!$A$64:$E$74,4,FALSE),"No")="Yes",1,0)</f>
        <v/>
      </c>
      <c r="AH56">
        <f>IF(IFERROR(VLOOKUP(D56,Controls!$A$64:$E$74,5,FALSE),"No")="Yes",1,0)</f>
        <v/>
      </c>
      <c r="AI56">
        <f>IF(ISNUMBER(MATCH(D56,Controls!$A$64:$A$74,0)),1,0)</f>
        <v/>
      </c>
      <c r="AJ56">
        <f>Q56-N56</f>
        <v/>
      </c>
      <c r="AK56">
        <f>IF(AE56=1,MAX(0,N56-Q56),0)</f>
        <v/>
      </c>
      <c r="AL56">
        <f>IF(OR(V56="",V56=0),0,N56/V56)</f>
        <v/>
      </c>
      <c r="AM56">
        <f>IF(OR(V56="",V56=0),0,1)</f>
        <v/>
      </c>
      <c r="AN56">
        <f>IF(OR(E56="",F56=""),0,NETWORKDAYS(E56,F56,Ref!$K$2:$K$42))</f>
        <v/>
      </c>
      <c r="AO56">
        <f>IF(L56="Renewal",1,0)</f>
        <v/>
      </c>
      <c r="AP56">
        <f>AC56*AD56</f>
        <v/>
      </c>
      <c r="AQ56">
        <f>IF(AND(G56&lt;&gt;"",'Historical Score'!$C$6&lt;&gt;""),IF(G56='Historical Score'!$C$6,1,0),0)</f>
        <v/>
      </c>
      <c r="AR56">
        <f>IF(AND(L56&lt;&gt;"",'Historical Score'!$C$5&lt;&gt;""),IF(L56='Historical Score'!$C$5,1,0),0)</f>
        <v/>
      </c>
      <c r="AS56">
        <f>IF(AND(Y56&lt;&gt;"",'Historical Score'!$C$7&lt;&gt;""),IF(Y56='Historical Score'!$C$7,1,0),0)</f>
        <v/>
      </c>
      <c r="AT56">
        <f>IF(AND(K56&lt;&gt;"",'Historical Score'!$C$8&lt;&gt;""),IF(K56='Historical Score'!$C$8,1,0),0)</f>
        <v/>
      </c>
      <c r="AU56">
        <f>IF(AND(J56&lt;&gt;"",'Historical Score'!$C$9&lt;&gt;""),IF(J56='Historical Score'!$C$9,1,0),0)</f>
        <v/>
      </c>
      <c r="AV56">
        <f>AR56*AS56*AQ56</f>
        <v/>
      </c>
      <c r="AW56">
        <f>AR56*AT56*AQ56</f>
        <v/>
      </c>
      <c r="AX56">
        <f>AR56*AS56</f>
        <v/>
      </c>
      <c r="AY56">
        <f>AR56*AT56</f>
        <v/>
      </c>
      <c r="AZ56">
        <f>AR56*AQ56</f>
        <v/>
      </c>
      <c r="BA56">
        <f>AR56</f>
        <v/>
      </c>
      <c r="BB56">
        <f>1</f>
        <v/>
      </c>
      <c r="BC56">
        <f>IF(AV56=1,1,IF(AW56=1,2,IF(AX56=1,3,IF(AY56=1,4,IF(AZ56=1,5,IF(BA56=1,6,7))))))</f>
        <v/>
      </c>
      <c r="BD56">
        <f>IF(AD56=1,CHOOSE('Historical Score'!$C$29,AV56,AW56,AX56,AY56,AZ56,BA56,BB56),0)</f>
        <v/>
      </c>
      <c r="BE56">
        <f>IF(BD56=1,COUNTIF($BD$2:BD56,1),"")</f>
        <v/>
      </c>
    </row>
    <row r="57">
      <c r="A57" t="inlineStr">
        <is>
          <t>5674153904</t>
        </is>
      </c>
      <c r="B57" t="inlineStr">
        <is>
          <t>RANDY ROBBINS AGENCY LLC</t>
        </is>
      </c>
      <c r="C57" t="inlineStr">
        <is>
          <t>RANDY ROBBINS AGENCY LLC</t>
        </is>
      </c>
      <c r="D57" t="inlineStr">
        <is>
          <t>Closed</t>
        </is>
      </c>
      <c r="E57" s="297" t="n">
        <v>45748</v>
      </c>
      <c r="F57" s="297" t="n">
        <v>45883</v>
      </c>
      <c r="G57" t="n">
        <v>1</v>
      </c>
      <c r="H57" t="inlineStr">
        <is>
          <t>6411</t>
        </is>
      </c>
      <c r="I57" t="inlineStr">
        <is>
          <t>64</t>
        </is>
      </c>
      <c r="J57" t="inlineStr">
        <is>
          <t>OK</t>
        </is>
      </c>
      <c r="K57" t="inlineStr">
        <is>
          <t>United Secured Capital 8</t>
        </is>
      </c>
      <c r="L57" t="inlineStr">
        <is>
          <t>New Deal</t>
        </is>
      </c>
      <c r="M57" s="298" t="n">
        <v>1.49</v>
      </c>
      <c r="N57" s="299" t="n">
        <v>10000</v>
      </c>
      <c r="O57" s="299" t="n">
        <v>1400</v>
      </c>
      <c r="P57" s="299" t="n">
        <v>14900</v>
      </c>
      <c r="Q57" s="299" t="n">
        <v>14900</v>
      </c>
      <c r="R57" s="299" t="n">
        <v>0</v>
      </c>
      <c r="S57" s="300" t="n">
        <v>1</v>
      </c>
      <c r="T57" t="n">
        <v>3.115</v>
      </c>
      <c r="U57" t="n">
        <v>0</v>
      </c>
      <c r="W57" s="300" t="n">
        <v>0.121</v>
      </c>
      <c r="X57" s="297" t="n">
        <v>41821</v>
      </c>
      <c r="Y57">
        <f>IF(I57="","No SIC",IFERROR(VLOOKUP(I57,Ref!$A$2:$B$65,2,FALSE),"Unclassified"))</f>
        <v/>
      </c>
      <c r="Z57">
        <f>IF(T57="","",IF(T57&lt;12,"Daily","Weekly"))</f>
        <v/>
      </c>
      <c r="AA57">
        <f>IF(T57="",0,IF(T57&lt;12,T57*Controls!$B$29,T57*5))</f>
        <v/>
      </c>
      <c r="AB57">
        <f>IF(E57="",0,NETWORKDAYS(E57,Controls!$B$36,Ref!$K$2:$K$42))</f>
        <v/>
      </c>
      <c r="AC57">
        <f>IF(AND(AA57&gt;0,AB57&gt;=Controls!$B$39*AA57),1,0)</f>
        <v/>
      </c>
      <c r="AD57">
        <f>IF(AND(E57&lt;&gt;"",E57&gt;=Controls!$B$37,E57&lt;=Controls!$B$38),1,0)</f>
        <v/>
      </c>
      <c r="AE57">
        <f>IF(IFERROR(VLOOKUP(D57,Controls!$A$64:$E$74,2,FALSE),"No")="Yes",1,0)</f>
        <v/>
      </c>
      <c r="AF57">
        <f>IF(IFERROR(VLOOKUP(D57,Controls!$A$64:$E$74,3,FALSE),"No")="Yes",1,0)</f>
        <v/>
      </c>
      <c r="AG57">
        <f>IF(IFERROR(VLOOKUP(D57,Controls!$A$64:$E$74,4,FALSE),"No")="Yes",1,0)</f>
        <v/>
      </c>
      <c r="AH57">
        <f>IF(IFERROR(VLOOKUP(D57,Controls!$A$64:$E$74,5,FALSE),"No")="Yes",1,0)</f>
        <v/>
      </c>
      <c r="AI57">
        <f>IF(ISNUMBER(MATCH(D57,Controls!$A$64:$A$74,0)),1,0)</f>
        <v/>
      </c>
      <c r="AJ57">
        <f>Q57-N57</f>
        <v/>
      </c>
      <c r="AK57">
        <f>IF(AE57=1,MAX(0,N57-Q57),0)</f>
        <v/>
      </c>
      <c r="AL57">
        <f>IF(OR(V57="",V57=0),0,N57/V57)</f>
        <v/>
      </c>
      <c r="AM57">
        <f>IF(OR(V57="",V57=0),0,1)</f>
        <v/>
      </c>
      <c r="AN57">
        <f>IF(OR(E57="",F57=""),0,NETWORKDAYS(E57,F57,Ref!$K$2:$K$42))</f>
        <v/>
      </c>
      <c r="AO57">
        <f>IF(L57="Renewal",1,0)</f>
        <v/>
      </c>
      <c r="AP57">
        <f>AC57*AD57</f>
        <v/>
      </c>
      <c r="AQ57">
        <f>IF(AND(G57&lt;&gt;"",'Historical Score'!$C$6&lt;&gt;""),IF(G57='Historical Score'!$C$6,1,0),0)</f>
        <v/>
      </c>
      <c r="AR57">
        <f>IF(AND(L57&lt;&gt;"",'Historical Score'!$C$5&lt;&gt;""),IF(L57='Historical Score'!$C$5,1,0),0)</f>
        <v/>
      </c>
      <c r="AS57">
        <f>IF(AND(Y57&lt;&gt;"",'Historical Score'!$C$7&lt;&gt;""),IF(Y57='Historical Score'!$C$7,1,0),0)</f>
        <v/>
      </c>
      <c r="AT57">
        <f>IF(AND(K57&lt;&gt;"",'Historical Score'!$C$8&lt;&gt;""),IF(K57='Historical Score'!$C$8,1,0),0)</f>
        <v/>
      </c>
      <c r="AU57">
        <f>IF(AND(J57&lt;&gt;"",'Historical Score'!$C$9&lt;&gt;""),IF(J57='Historical Score'!$C$9,1,0),0)</f>
        <v/>
      </c>
      <c r="AV57">
        <f>AR57*AS57*AQ57</f>
        <v/>
      </c>
      <c r="AW57">
        <f>AR57*AT57*AQ57</f>
        <v/>
      </c>
      <c r="AX57">
        <f>AR57*AS57</f>
        <v/>
      </c>
      <c r="AY57">
        <f>AR57*AT57</f>
        <v/>
      </c>
      <c r="AZ57">
        <f>AR57*AQ57</f>
        <v/>
      </c>
      <c r="BA57">
        <f>AR57</f>
        <v/>
      </c>
      <c r="BB57">
        <f>1</f>
        <v/>
      </c>
      <c r="BC57">
        <f>IF(AV57=1,1,IF(AW57=1,2,IF(AX57=1,3,IF(AY57=1,4,IF(AZ57=1,5,IF(BA57=1,6,7))))))</f>
        <v/>
      </c>
      <c r="BD57">
        <f>IF(AD57=1,CHOOSE('Historical Score'!$C$29,AV57,AW57,AX57,AY57,AZ57,BA57,BB57),0)</f>
        <v/>
      </c>
      <c r="BE57">
        <f>IF(BD57=1,COUNTIF($BD$2:BD57,1),"")</f>
        <v/>
      </c>
    </row>
    <row r="58">
      <c r="A58" t="inlineStr">
        <is>
          <t>5674153985</t>
        </is>
      </c>
      <c r="B58" t="inlineStr">
        <is>
          <t>CAREFOCUS CORPORATION</t>
        </is>
      </c>
      <c r="C58" t="inlineStr">
        <is>
          <t>CAREFOCUS CORPORATION</t>
        </is>
      </c>
      <c r="D58" t="inlineStr">
        <is>
          <t>Closed</t>
        </is>
      </c>
      <c r="E58" s="297" t="n">
        <v>45749</v>
      </c>
      <c r="F58" s="297" t="n">
        <v>45888</v>
      </c>
      <c r="G58" t="n">
        <v>4</v>
      </c>
      <c r="H58" t="inlineStr">
        <is>
          <t>8082</t>
        </is>
      </c>
      <c r="I58" t="inlineStr">
        <is>
          <t>80</t>
        </is>
      </c>
      <c r="J58" t="inlineStr">
        <is>
          <t>MN</t>
        </is>
      </c>
      <c r="K58" t="inlineStr">
        <is>
          <t>United Secured Capital 8</t>
        </is>
      </c>
      <c r="L58" t="inlineStr">
        <is>
          <t>New Deal</t>
        </is>
      </c>
      <c r="M58" s="298" t="n">
        <v>1.49</v>
      </c>
      <c r="N58" s="299" t="n">
        <v>20000</v>
      </c>
      <c r="O58" s="299" t="n">
        <v>2800</v>
      </c>
      <c r="P58" s="299" t="n">
        <v>29800</v>
      </c>
      <c r="Q58" s="299" t="n">
        <v>29800</v>
      </c>
      <c r="R58" s="299" t="n">
        <v>0</v>
      </c>
      <c r="S58" s="300" t="n">
        <v>1</v>
      </c>
      <c r="T58" t="n">
        <v>16</v>
      </c>
      <c r="U58" t="n">
        <v>1</v>
      </c>
      <c r="W58" s="300" t="n">
        <v>0.016</v>
      </c>
      <c r="X58" s="297" t="n"/>
      <c r="Y58">
        <f>IF(I58="","No SIC",IFERROR(VLOOKUP(I58,Ref!$A$2:$B$65,2,FALSE),"Unclassified"))</f>
        <v/>
      </c>
      <c r="Z58">
        <f>IF(T58="","",IF(T58&lt;12,"Daily","Weekly"))</f>
        <v/>
      </c>
      <c r="AA58">
        <f>IF(T58="",0,IF(T58&lt;12,T58*Controls!$B$29,T58*5))</f>
        <v/>
      </c>
      <c r="AB58">
        <f>IF(E58="",0,NETWORKDAYS(E58,Controls!$B$36,Ref!$K$2:$K$42))</f>
        <v/>
      </c>
      <c r="AC58">
        <f>IF(AND(AA58&gt;0,AB58&gt;=Controls!$B$39*AA58),1,0)</f>
        <v/>
      </c>
      <c r="AD58">
        <f>IF(AND(E58&lt;&gt;"",E58&gt;=Controls!$B$37,E58&lt;=Controls!$B$38),1,0)</f>
        <v/>
      </c>
      <c r="AE58">
        <f>IF(IFERROR(VLOOKUP(D58,Controls!$A$64:$E$74,2,FALSE),"No")="Yes",1,0)</f>
        <v/>
      </c>
      <c r="AF58">
        <f>IF(IFERROR(VLOOKUP(D58,Controls!$A$64:$E$74,3,FALSE),"No")="Yes",1,0)</f>
        <v/>
      </c>
      <c r="AG58">
        <f>IF(IFERROR(VLOOKUP(D58,Controls!$A$64:$E$74,4,FALSE),"No")="Yes",1,0)</f>
        <v/>
      </c>
      <c r="AH58">
        <f>IF(IFERROR(VLOOKUP(D58,Controls!$A$64:$E$74,5,FALSE),"No")="Yes",1,0)</f>
        <v/>
      </c>
      <c r="AI58">
        <f>IF(ISNUMBER(MATCH(D58,Controls!$A$64:$A$74,0)),1,0)</f>
        <v/>
      </c>
      <c r="AJ58">
        <f>Q58-N58</f>
        <v/>
      </c>
      <c r="AK58">
        <f>IF(AE58=1,MAX(0,N58-Q58),0)</f>
        <v/>
      </c>
      <c r="AL58">
        <f>IF(OR(V58="",V58=0),0,N58/V58)</f>
        <v/>
      </c>
      <c r="AM58">
        <f>IF(OR(V58="",V58=0),0,1)</f>
        <v/>
      </c>
      <c r="AN58">
        <f>IF(OR(E58="",F58=""),0,NETWORKDAYS(E58,F58,Ref!$K$2:$K$42))</f>
        <v/>
      </c>
      <c r="AO58">
        <f>IF(L58="Renewal",1,0)</f>
        <v/>
      </c>
      <c r="AP58">
        <f>AC58*AD58</f>
        <v/>
      </c>
      <c r="AQ58">
        <f>IF(AND(G58&lt;&gt;"",'Historical Score'!$C$6&lt;&gt;""),IF(G58='Historical Score'!$C$6,1,0),0)</f>
        <v/>
      </c>
      <c r="AR58">
        <f>IF(AND(L58&lt;&gt;"",'Historical Score'!$C$5&lt;&gt;""),IF(L58='Historical Score'!$C$5,1,0),0)</f>
        <v/>
      </c>
      <c r="AS58">
        <f>IF(AND(Y58&lt;&gt;"",'Historical Score'!$C$7&lt;&gt;""),IF(Y58='Historical Score'!$C$7,1,0),0)</f>
        <v/>
      </c>
      <c r="AT58">
        <f>IF(AND(K58&lt;&gt;"",'Historical Score'!$C$8&lt;&gt;""),IF(K58='Historical Score'!$C$8,1,0),0)</f>
        <v/>
      </c>
      <c r="AU58">
        <f>IF(AND(J58&lt;&gt;"",'Historical Score'!$C$9&lt;&gt;""),IF(J58='Historical Score'!$C$9,1,0),0)</f>
        <v/>
      </c>
      <c r="AV58">
        <f>AR58*AS58*AQ58</f>
        <v/>
      </c>
      <c r="AW58">
        <f>AR58*AT58*AQ58</f>
        <v/>
      </c>
      <c r="AX58">
        <f>AR58*AS58</f>
        <v/>
      </c>
      <c r="AY58">
        <f>AR58*AT58</f>
        <v/>
      </c>
      <c r="AZ58">
        <f>AR58*AQ58</f>
        <v/>
      </c>
      <c r="BA58">
        <f>AR58</f>
        <v/>
      </c>
      <c r="BB58">
        <f>1</f>
        <v/>
      </c>
      <c r="BC58">
        <f>IF(AV58=1,1,IF(AW58=1,2,IF(AX58=1,3,IF(AY58=1,4,IF(AZ58=1,5,IF(BA58=1,6,7))))))</f>
        <v/>
      </c>
      <c r="BD58">
        <f>IF(AD58=1,CHOOSE('Historical Score'!$C$29,AV58,AW58,AX58,AY58,AZ58,BA58,BB58),0)</f>
        <v/>
      </c>
      <c r="BE58">
        <f>IF(BD58=1,COUNTIF($BD$2:BD58,1),"")</f>
        <v/>
      </c>
    </row>
    <row r="59">
      <c r="A59" t="inlineStr">
        <is>
          <t>5674154010</t>
        </is>
      </c>
      <c r="B59" t="inlineStr">
        <is>
          <t>G Force Fiber Optics</t>
        </is>
      </c>
      <c r="C59" t="inlineStr">
        <is>
          <t>G Force Fiber Optics</t>
        </is>
      </c>
      <c r="D59" t="inlineStr">
        <is>
          <t>Legal</t>
        </is>
      </c>
      <c r="E59" s="297" t="n">
        <v>45749</v>
      </c>
      <c r="F59" s="297" t="n">
        <v>45755</v>
      </c>
      <c r="G59" t="n">
        <v>4</v>
      </c>
      <c r="H59" t="inlineStr">
        <is>
          <t>3357</t>
        </is>
      </c>
      <c r="I59" t="inlineStr">
        <is>
          <t>33</t>
        </is>
      </c>
      <c r="J59" t="inlineStr">
        <is>
          <t>TX</t>
        </is>
      </c>
      <c r="K59" t="inlineStr">
        <is>
          <t>United Secured Capital 8</t>
        </is>
      </c>
      <c r="L59" t="inlineStr">
        <is>
          <t>New Deal</t>
        </is>
      </c>
      <c r="M59" s="298" t="n">
        <v>1.49</v>
      </c>
      <c r="N59" s="299" t="n">
        <v>20000</v>
      </c>
      <c r="O59" s="299" t="n">
        <v>0</v>
      </c>
      <c r="P59" s="299" t="n">
        <v>29800</v>
      </c>
      <c r="Q59" s="299" t="n">
        <v>0</v>
      </c>
      <c r="R59" s="299" t="n">
        <v>29800</v>
      </c>
      <c r="S59" s="300" t="n">
        <v>0</v>
      </c>
      <c r="T59" t="n">
        <v>16</v>
      </c>
      <c r="U59" t="n">
        <v>1</v>
      </c>
      <c r="W59" s="300" t="n">
        <v>0.0467</v>
      </c>
      <c r="X59" s="297" t="n">
        <v>43831</v>
      </c>
      <c r="Y59">
        <f>IF(I59="","No SIC",IFERROR(VLOOKUP(I59,Ref!$A$2:$B$65,2,FALSE),"Unclassified"))</f>
        <v/>
      </c>
      <c r="Z59">
        <f>IF(T59="","",IF(T59&lt;12,"Daily","Weekly"))</f>
        <v/>
      </c>
      <c r="AA59">
        <f>IF(T59="",0,IF(T59&lt;12,T59*Controls!$B$29,T59*5))</f>
        <v/>
      </c>
      <c r="AB59">
        <f>IF(E59="",0,NETWORKDAYS(E59,Controls!$B$36,Ref!$K$2:$K$42))</f>
        <v/>
      </c>
      <c r="AC59">
        <f>IF(AND(AA59&gt;0,AB59&gt;=Controls!$B$39*AA59),1,0)</f>
        <v/>
      </c>
      <c r="AD59">
        <f>IF(AND(E59&lt;&gt;"",E59&gt;=Controls!$B$37,E59&lt;=Controls!$B$38),1,0)</f>
        <v/>
      </c>
      <c r="AE59">
        <f>IF(IFERROR(VLOOKUP(D59,Controls!$A$64:$E$74,2,FALSE),"No")="Yes",1,0)</f>
        <v/>
      </c>
      <c r="AF59">
        <f>IF(IFERROR(VLOOKUP(D59,Controls!$A$64:$E$74,3,FALSE),"No")="Yes",1,0)</f>
        <v/>
      </c>
      <c r="AG59">
        <f>IF(IFERROR(VLOOKUP(D59,Controls!$A$64:$E$74,4,FALSE),"No")="Yes",1,0)</f>
        <v/>
      </c>
      <c r="AH59">
        <f>IF(IFERROR(VLOOKUP(D59,Controls!$A$64:$E$74,5,FALSE),"No")="Yes",1,0)</f>
        <v/>
      </c>
      <c r="AI59">
        <f>IF(ISNUMBER(MATCH(D59,Controls!$A$64:$A$74,0)),1,0)</f>
        <v/>
      </c>
      <c r="AJ59">
        <f>Q59-N59</f>
        <v/>
      </c>
      <c r="AK59">
        <f>IF(AE59=1,MAX(0,N59-Q59),0)</f>
        <v/>
      </c>
      <c r="AL59">
        <f>IF(OR(V59="",V59=0),0,N59/V59)</f>
        <v/>
      </c>
      <c r="AM59">
        <f>IF(OR(V59="",V59=0),0,1)</f>
        <v/>
      </c>
      <c r="AN59">
        <f>IF(OR(E59="",F59=""),0,NETWORKDAYS(E59,F59,Ref!$K$2:$K$42))</f>
        <v/>
      </c>
      <c r="AO59">
        <f>IF(L59="Renewal",1,0)</f>
        <v/>
      </c>
      <c r="AP59">
        <f>AC59*AD59</f>
        <v/>
      </c>
      <c r="AQ59">
        <f>IF(AND(G59&lt;&gt;"",'Historical Score'!$C$6&lt;&gt;""),IF(G59='Historical Score'!$C$6,1,0),0)</f>
        <v/>
      </c>
      <c r="AR59">
        <f>IF(AND(L59&lt;&gt;"",'Historical Score'!$C$5&lt;&gt;""),IF(L59='Historical Score'!$C$5,1,0),0)</f>
        <v/>
      </c>
      <c r="AS59">
        <f>IF(AND(Y59&lt;&gt;"",'Historical Score'!$C$7&lt;&gt;""),IF(Y59='Historical Score'!$C$7,1,0),0)</f>
        <v/>
      </c>
      <c r="AT59">
        <f>IF(AND(K59&lt;&gt;"",'Historical Score'!$C$8&lt;&gt;""),IF(K59='Historical Score'!$C$8,1,0),0)</f>
        <v/>
      </c>
      <c r="AU59">
        <f>IF(AND(J59&lt;&gt;"",'Historical Score'!$C$9&lt;&gt;""),IF(J59='Historical Score'!$C$9,1,0),0)</f>
        <v/>
      </c>
      <c r="AV59">
        <f>AR59*AS59*AQ59</f>
        <v/>
      </c>
      <c r="AW59">
        <f>AR59*AT59*AQ59</f>
        <v/>
      </c>
      <c r="AX59">
        <f>AR59*AS59</f>
        <v/>
      </c>
      <c r="AY59">
        <f>AR59*AT59</f>
        <v/>
      </c>
      <c r="AZ59">
        <f>AR59*AQ59</f>
        <v/>
      </c>
      <c r="BA59">
        <f>AR59</f>
        <v/>
      </c>
      <c r="BB59">
        <f>1</f>
        <v/>
      </c>
      <c r="BC59">
        <f>IF(AV59=1,1,IF(AW59=1,2,IF(AX59=1,3,IF(AY59=1,4,IF(AZ59=1,5,IF(BA59=1,6,7))))))</f>
        <v/>
      </c>
      <c r="BD59">
        <f>IF(AD59=1,CHOOSE('Historical Score'!$C$29,AV59,AW59,AX59,AY59,AZ59,BA59,BB59),0)</f>
        <v/>
      </c>
      <c r="BE59">
        <f>IF(BD59=1,COUNTIF($BD$2:BD59,1),"")</f>
        <v/>
      </c>
    </row>
    <row r="60">
      <c r="A60" t="inlineStr">
        <is>
          <t>5674154070</t>
        </is>
      </c>
      <c r="B60" t="inlineStr">
        <is>
          <t>HDP SERVICES</t>
        </is>
      </c>
      <c r="C60" t="inlineStr">
        <is>
          <t>HDP SERVICES</t>
        </is>
      </c>
      <c r="D60" t="inlineStr">
        <is>
          <t>Legal</t>
        </is>
      </c>
      <c r="E60" s="297" t="n">
        <v>45749</v>
      </c>
      <c r="F60" s="297" t="n">
        <v>45995</v>
      </c>
      <c r="G60" t="n">
        <v>2</v>
      </c>
      <c r="H60" t="inlineStr">
        <is>
          <t>7538</t>
        </is>
      </c>
      <c r="I60" t="inlineStr">
        <is>
          <t>75</t>
        </is>
      </c>
      <c r="J60" t="inlineStr">
        <is>
          <t>AL</t>
        </is>
      </c>
      <c r="K60" t="inlineStr">
        <is>
          <t>Secure Capital Solutions 7</t>
        </is>
      </c>
      <c r="L60" t="inlineStr">
        <is>
          <t>New Deal</t>
        </is>
      </c>
      <c r="M60" s="298" t="n">
        <v>1.49</v>
      </c>
      <c r="N60" s="299" t="n">
        <v>15000</v>
      </c>
      <c r="O60" s="299" t="n">
        <v>2100</v>
      </c>
      <c r="P60" s="299" t="n">
        <v>22350</v>
      </c>
      <c r="Q60" s="299" t="n">
        <v>12342.36</v>
      </c>
      <c r="R60" s="299" t="n">
        <v>10007.64</v>
      </c>
      <c r="S60" s="300" t="n">
        <v>0.552230872483222</v>
      </c>
      <c r="T60" t="n">
        <v>2.951</v>
      </c>
      <c r="U60" t="n">
        <v>8</v>
      </c>
      <c r="W60" s="300" t="n">
        <v>0.0757</v>
      </c>
      <c r="X60" s="297" t="n">
        <v>43497</v>
      </c>
      <c r="Y60">
        <f>IF(I60="","No SIC",IFERROR(VLOOKUP(I60,Ref!$A$2:$B$65,2,FALSE),"Unclassified"))</f>
        <v/>
      </c>
      <c r="Z60">
        <f>IF(T60="","",IF(T60&lt;12,"Daily","Weekly"))</f>
        <v/>
      </c>
      <c r="AA60">
        <f>IF(T60="",0,IF(T60&lt;12,T60*Controls!$B$29,T60*5))</f>
        <v/>
      </c>
      <c r="AB60">
        <f>IF(E60="",0,NETWORKDAYS(E60,Controls!$B$36,Ref!$K$2:$K$42))</f>
        <v/>
      </c>
      <c r="AC60">
        <f>IF(AND(AA60&gt;0,AB60&gt;=Controls!$B$39*AA60),1,0)</f>
        <v/>
      </c>
      <c r="AD60">
        <f>IF(AND(E60&lt;&gt;"",E60&gt;=Controls!$B$37,E60&lt;=Controls!$B$38),1,0)</f>
        <v/>
      </c>
      <c r="AE60">
        <f>IF(IFERROR(VLOOKUP(D60,Controls!$A$64:$E$74,2,FALSE),"No")="Yes",1,0)</f>
        <v/>
      </c>
      <c r="AF60">
        <f>IF(IFERROR(VLOOKUP(D60,Controls!$A$64:$E$74,3,FALSE),"No")="Yes",1,0)</f>
        <v/>
      </c>
      <c r="AG60">
        <f>IF(IFERROR(VLOOKUP(D60,Controls!$A$64:$E$74,4,FALSE),"No")="Yes",1,0)</f>
        <v/>
      </c>
      <c r="AH60">
        <f>IF(IFERROR(VLOOKUP(D60,Controls!$A$64:$E$74,5,FALSE),"No")="Yes",1,0)</f>
        <v/>
      </c>
      <c r="AI60">
        <f>IF(ISNUMBER(MATCH(D60,Controls!$A$64:$A$74,0)),1,0)</f>
        <v/>
      </c>
      <c r="AJ60">
        <f>Q60-N60</f>
        <v/>
      </c>
      <c r="AK60">
        <f>IF(AE60=1,MAX(0,N60-Q60),0)</f>
        <v/>
      </c>
      <c r="AL60">
        <f>IF(OR(V60="",V60=0),0,N60/V60)</f>
        <v/>
      </c>
      <c r="AM60">
        <f>IF(OR(V60="",V60=0),0,1)</f>
        <v/>
      </c>
      <c r="AN60">
        <f>IF(OR(E60="",F60=""),0,NETWORKDAYS(E60,F60,Ref!$K$2:$K$42))</f>
        <v/>
      </c>
      <c r="AO60">
        <f>IF(L60="Renewal",1,0)</f>
        <v/>
      </c>
      <c r="AP60">
        <f>AC60*AD60</f>
        <v/>
      </c>
      <c r="AQ60">
        <f>IF(AND(G60&lt;&gt;"",'Historical Score'!$C$6&lt;&gt;""),IF(G60='Historical Score'!$C$6,1,0),0)</f>
        <v/>
      </c>
      <c r="AR60">
        <f>IF(AND(L60&lt;&gt;"",'Historical Score'!$C$5&lt;&gt;""),IF(L60='Historical Score'!$C$5,1,0),0)</f>
        <v/>
      </c>
      <c r="AS60">
        <f>IF(AND(Y60&lt;&gt;"",'Historical Score'!$C$7&lt;&gt;""),IF(Y60='Historical Score'!$C$7,1,0),0)</f>
        <v/>
      </c>
      <c r="AT60">
        <f>IF(AND(K60&lt;&gt;"",'Historical Score'!$C$8&lt;&gt;""),IF(K60='Historical Score'!$C$8,1,0),0)</f>
        <v/>
      </c>
      <c r="AU60">
        <f>IF(AND(J60&lt;&gt;"",'Historical Score'!$C$9&lt;&gt;""),IF(J60='Historical Score'!$C$9,1,0),0)</f>
        <v/>
      </c>
      <c r="AV60">
        <f>AR60*AS60*AQ60</f>
        <v/>
      </c>
      <c r="AW60">
        <f>AR60*AT60*AQ60</f>
        <v/>
      </c>
      <c r="AX60">
        <f>AR60*AS60</f>
        <v/>
      </c>
      <c r="AY60">
        <f>AR60*AT60</f>
        <v/>
      </c>
      <c r="AZ60">
        <f>AR60*AQ60</f>
        <v/>
      </c>
      <c r="BA60">
        <f>AR60</f>
        <v/>
      </c>
      <c r="BB60">
        <f>1</f>
        <v/>
      </c>
      <c r="BC60">
        <f>IF(AV60=1,1,IF(AW60=1,2,IF(AX60=1,3,IF(AY60=1,4,IF(AZ60=1,5,IF(BA60=1,6,7))))))</f>
        <v/>
      </c>
      <c r="BD60">
        <f>IF(AD60=1,CHOOSE('Historical Score'!$C$29,AV60,AW60,AX60,AY60,AZ60,BA60,BB60),0)</f>
        <v/>
      </c>
      <c r="BE60">
        <f>IF(BD60=1,COUNTIF($BD$2:BD60,1),"")</f>
        <v/>
      </c>
    </row>
    <row r="61">
      <c r="A61" t="inlineStr">
        <is>
          <t>5674154093</t>
        </is>
      </c>
      <c r="B61" t="inlineStr">
        <is>
          <t>Alba Italian Kitchen</t>
        </is>
      </c>
      <c r="C61" t="inlineStr">
        <is>
          <t>Tirupati Enterprises Limited</t>
        </is>
      </c>
      <c r="D61" t="inlineStr">
        <is>
          <t>Written-Off</t>
        </is>
      </c>
      <c r="E61" s="297" t="n">
        <v>45750</v>
      </c>
      <c r="F61" s="297" t="n">
        <v>45995</v>
      </c>
      <c r="G61" t="n">
        <v>5</v>
      </c>
      <c r="H61" t="inlineStr">
        <is>
          <t>5812</t>
        </is>
      </c>
      <c r="I61" t="inlineStr">
        <is>
          <t>58</t>
        </is>
      </c>
      <c r="J61" t="inlineStr">
        <is>
          <t>IL</t>
        </is>
      </c>
      <c r="K61" t="inlineStr">
        <is>
          <t>United Secured Capital 8</t>
        </is>
      </c>
      <c r="L61" t="inlineStr">
        <is>
          <t>New Deal</t>
        </is>
      </c>
      <c r="M61" s="298" t="n">
        <v>1.49</v>
      </c>
      <c r="N61" s="299" t="n">
        <v>15000</v>
      </c>
      <c r="O61" s="299" t="n">
        <v>2100</v>
      </c>
      <c r="P61" s="299" t="n">
        <v>22350</v>
      </c>
      <c r="Q61" s="299" t="n">
        <v>16988.01</v>
      </c>
      <c r="R61" s="299" t="n">
        <v>5361.99</v>
      </c>
      <c r="S61" s="300" t="n">
        <v>0.760089932885906</v>
      </c>
      <c r="T61" t="n">
        <v>2.951</v>
      </c>
      <c r="U61" t="n">
        <v>17</v>
      </c>
      <c r="W61" s="300" t="n">
        <v>0.1195</v>
      </c>
      <c r="X61" s="297" t="n">
        <v>45342</v>
      </c>
      <c r="Y61">
        <f>IF(I61="","No SIC",IFERROR(VLOOKUP(I61,Ref!$A$2:$B$65,2,FALSE),"Unclassified"))</f>
        <v/>
      </c>
      <c r="Z61">
        <f>IF(T61="","",IF(T61&lt;12,"Daily","Weekly"))</f>
        <v/>
      </c>
      <c r="AA61">
        <f>IF(T61="",0,IF(T61&lt;12,T61*Controls!$B$29,T61*5))</f>
        <v/>
      </c>
      <c r="AB61">
        <f>IF(E61="",0,NETWORKDAYS(E61,Controls!$B$36,Ref!$K$2:$K$42))</f>
        <v/>
      </c>
      <c r="AC61">
        <f>IF(AND(AA61&gt;0,AB61&gt;=Controls!$B$39*AA61),1,0)</f>
        <v/>
      </c>
      <c r="AD61">
        <f>IF(AND(E61&lt;&gt;"",E61&gt;=Controls!$B$37,E61&lt;=Controls!$B$38),1,0)</f>
        <v/>
      </c>
      <c r="AE61">
        <f>IF(IFERROR(VLOOKUP(D61,Controls!$A$64:$E$74,2,FALSE),"No")="Yes",1,0)</f>
        <v/>
      </c>
      <c r="AF61">
        <f>IF(IFERROR(VLOOKUP(D61,Controls!$A$64:$E$74,3,FALSE),"No")="Yes",1,0)</f>
        <v/>
      </c>
      <c r="AG61">
        <f>IF(IFERROR(VLOOKUP(D61,Controls!$A$64:$E$74,4,FALSE),"No")="Yes",1,0)</f>
        <v/>
      </c>
      <c r="AH61">
        <f>IF(IFERROR(VLOOKUP(D61,Controls!$A$64:$E$74,5,FALSE),"No")="Yes",1,0)</f>
        <v/>
      </c>
      <c r="AI61">
        <f>IF(ISNUMBER(MATCH(D61,Controls!$A$64:$A$74,0)),1,0)</f>
        <v/>
      </c>
      <c r="AJ61">
        <f>Q61-N61</f>
        <v/>
      </c>
      <c r="AK61">
        <f>IF(AE61=1,MAX(0,N61-Q61),0)</f>
        <v/>
      </c>
      <c r="AL61">
        <f>IF(OR(V61="",V61=0),0,N61/V61)</f>
        <v/>
      </c>
      <c r="AM61">
        <f>IF(OR(V61="",V61=0),0,1)</f>
        <v/>
      </c>
      <c r="AN61">
        <f>IF(OR(E61="",F61=""),0,NETWORKDAYS(E61,F61,Ref!$K$2:$K$42))</f>
        <v/>
      </c>
      <c r="AO61">
        <f>IF(L61="Renewal",1,0)</f>
        <v/>
      </c>
      <c r="AP61">
        <f>AC61*AD61</f>
        <v/>
      </c>
      <c r="AQ61">
        <f>IF(AND(G61&lt;&gt;"",'Historical Score'!$C$6&lt;&gt;""),IF(G61='Historical Score'!$C$6,1,0),0)</f>
        <v/>
      </c>
      <c r="AR61">
        <f>IF(AND(L61&lt;&gt;"",'Historical Score'!$C$5&lt;&gt;""),IF(L61='Historical Score'!$C$5,1,0),0)</f>
        <v/>
      </c>
      <c r="AS61">
        <f>IF(AND(Y61&lt;&gt;"",'Historical Score'!$C$7&lt;&gt;""),IF(Y61='Historical Score'!$C$7,1,0),0)</f>
        <v/>
      </c>
      <c r="AT61">
        <f>IF(AND(K61&lt;&gt;"",'Historical Score'!$C$8&lt;&gt;""),IF(K61='Historical Score'!$C$8,1,0),0)</f>
        <v/>
      </c>
      <c r="AU61">
        <f>IF(AND(J61&lt;&gt;"",'Historical Score'!$C$9&lt;&gt;""),IF(J61='Historical Score'!$C$9,1,0),0)</f>
        <v/>
      </c>
      <c r="AV61">
        <f>AR61*AS61*AQ61</f>
        <v/>
      </c>
      <c r="AW61">
        <f>AR61*AT61*AQ61</f>
        <v/>
      </c>
      <c r="AX61">
        <f>AR61*AS61</f>
        <v/>
      </c>
      <c r="AY61">
        <f>AR61*AT61</f>
        <v/>
      </c>
      <c r="AZ61">
        <f>AR61*AQ61</f>
        <v/>
      </c>
      <c r="BA61">
        <f>AR61</f>
        <v/>
      </c>
      <c r="BB61">
        <f>1</f>
        <v/>
      </c>
      <c r="BC61">
        <f>IF(AV61=1,1,IF(AW61=1,2,IF(AX61=1,3,IF(AY61=1,4,IF(AZ61=1,5,IF(BA61=1,6,7))))))</f>
        <v/>
      </c>
      <c r="BD61">
        <f>IF(AD61=1,CHOOSE('Historical Score'!$C$29,AV61,AW61,AX61,AY61,AZ61,BA61,BB61),0)</f>
        <v/>
      </c>
      <c r="BE61">
        <f>IF(BD61=1,COUNTIF($BD$2:BD61,1),"")</f>
        <v/>
      </c>
    </row>
    <row r="62">
      <c r="A62" t="inlineStr">
        <is>
          <t>5674154267</t>
        </is>
      </c>
      <c r="B62" t="inlineStr">
        <is>
          <t>MMMJ INVESTMENTS, LLC</t>
        </is>
      </c>
      <c r="C62" t="inlineStr">
        <is>
          <t>MMMJ INVESTMENTS, LLC</t>
        </is>
      </c>
      <c r="D62" t="inlineStr">
        <is>
          <t>Legal</t>
        </is>
      </c>
      <c r="E62" s="297" t="n">
        <v>45751</v>
      </c>
      <c r="F62" s="297" t="n">
        <v>45908</v>
      </c>
      <c r="G62" t="n">
        <v>4</v>
      </c>
      <c r="H62" t="inlineStr">
        <is>
          <t>5812</t>
        </is>
      </c>
      <c r="I62" t="inlineStr">
        <is>
          <t>58</t>
        </is>
      </c>
      <c r="J62" t="inlineStr">
        <is>
          <t>GA</t>
        </is>
      </c>
      <c r="K62" t="inlineStr">
        <is>
          <t>United Secured Capital 8</t>
        </is>
      </c>
      <c r="L62" t="inlineStr">
        <is>
          <t>New Deal</t>
        </is>
      </c>
      <c r="M62" s="298" t="n">
        <v>1.43</v>
      </c>
      <c r="N62" s="299" t="n">
        <v>18000</v>
      </c>
      <c r="O62" s="299" t="n">
        <v>1980</v>
      </c>
      <c r="P62" s="299" t="n">
        <v>25740</v>
      </c>
      <c r="Q62" s="299" t="n">
        <v>13437.35</v>
      </c>
      <c r="R62" s="299" t="n">
        <v>12302.65</v>
      </c>
      <c r="S62" s="300" t="n">
        <v>0.52204156954157</v>
      </c>
      <c r="T62" t="n">
        <v>2.951</v>
      </c>
      <c r="U62" t="n">
        <v>20</v>
      </c>
      <c r="W62" s="300" t="n">
        <v>0.2026</v>
      </c>
      <c r="X62" s="297" t="n"/>
      <c r="Y62">
        <f>IF(I62="","No SIC",IFERROR(VLOOKUP(I62,Ref!$A$2:$B$65,2,FALSE),"Unclassified"))</f>
        <v/>
      </c>
      <c r="Z62">
        <f>IF(T62="","",IF(T62&lt;12,"Daily","Weekly"))</f>
        <v/>
      </c>
      <c r="AA62">
        <f>IF(T62="",0,IF(T62&lt;12,T62*Controls!$B$29,T62*5))</f>
        <v/>
      </c>
      <c r="AB62">
        <f>IF(E62="",0,NETWORKDAYS(E62,Controls!$B$36,Ref!$K$2:$K$42))</f>
        <v/>
      </c>
      <c r="AC62">
        <f>IF(AND(AA62&gt;0,AB62&gt;=Controls!$B$39*AA62),1,0)</f>
        <v/>
      </c>
      <c r="AD62">
        <f>IF(AND(E62&lt;&gt;"",E62&gt;=Controls!$B$37,E62&lt;=Controls!$B$38),1,0)</f>
        <v/>
      </c>
      <c r="AE62">
        <f>IF(IFERROR(VLOOKUP(D62,Controls!$A$64:$E$74,2,FALSE),"No")="Yes",1,0)</f>
        <v/>
      </c>
      <c r="AF62">
        <f>IF(IFERROR(VLOOKUP(D62,Controls!$A$64:$E$74,3,FALSE),"No")="Yes",1,0)</f>
        <v/>
      </c>
      <c r="AG62">
        <f>IF(IFERROR(VLOOKUP(D62,Controls!$A$64:$E$74,4,FALSE),"No")="Yes",1,0)</f>
        <v/>
      </c>
      <c r="AH62">
        <f>IF(IFERROR(VLOOKUP(D62,Controls!$A$64:$E$74,5,FALSE),"No")="Yes",1,0)</f>
        <v/>
      </c>
      <c r="AI62">
        <f>IF(ISNUMBER(MATCH(D62,Controls!$A$64:$A$74,0)),1,0)</f>
        <v/>
      </c>
      <c r="AJ62">
        <f>Q62-N62</f>
        <v/>
      </c>
      <c r="AK62">
        <f>IF(AE62=1,MAX(0,N62-Q62),0)</f>
        <v/>
      </c>
      <c r="AL62">
        <f>IF(OR(V62="",V62=0),0,N62/V62)</f>
        <v/>
      </c>
      <c r="AM62">
        <f>IF(OR(V62="",V62=0),0,1)</f>
        <v/>
      </c>
      <c r="AN62">
        <f>IF(OR(E62="",F62=""),0,NETWORKDAYS(E62,F62,Ref!$K$2:$K$42))</f>
        <v/>
      </c>
      <c r="AO62">
        <f>IF(L62="Renewal",1,0)</f>
        <v/>
      </c>
      <c r="AP62">
        <f>AC62*AD62</f>
        <v/>
      </c>
      <c r="AQ62">
        <f>IF(AND(G62&lt;&gt;"",'Historical Score'!$C$6&lt;&gt;""),IF(G62='Historical Score'!$C$6,1,0),0)</f>
        <v/>
      </c>
      <c r="AR62">
        <f>IF(AND(L62&lt;&gt;"",'Historical Score'!$C$5&lt;&gt;""),IF(L62='Historical Score'!$C$5,1,0),0)</f>
        <v/>
      </c>
      <c r="AS62">
        <f>IF(AND(Y62&lt;&gt;"",'Historical Score'!$C$7&lt;&gt;""),IF(Y62='Historical Score'!$C$7,1,0),0)</f>
        <v/>
      </c>
      <c r="AT62">
        <f>IF(AND(K62&lt;&gt;"",'Historical Score'!$C$8&lt;&gt;""),IF(K62='Historical Score'!$C$8,1,0),0)</f>
        <v/>
      </c>
      <c r="AU62">
        <f>IF(AND(J62&lt;&gt;"",'Historical Score'!$C$9&lt;&gt;""),IF(J62='Historical Score'!$C$9,1,0),0)</f>
        <v/>
      </c>
      <c r="AV62">
        <f>AR62*AS62*AQ62</f>
        <v/>
      </c>
      <c r="AW62">
        <f>AR62*AT62*AQ62</f>
        <v/>
      </c>
      <c r="AX62">
        <f>AR62*AS62</f>
        <v/>
      </c>
      <c r="AY62">
        <f>AR62*AT62</f>
        <v/>
      </c>
      <c r="AZ62">
        <f>AR62*AQ62</f>
        <v/>
      </c>
      <c r="BA62">
        <f>AR62</f>
        <v/>
      </c>
      <c r="BB62">
        <f>1</f>
        <v/>
      </c>
      <c r="BC62">
        <f>IF(AV62=1,1,IF(AW62=1,2,IF(AX62=1,3,IF(AY62=1,4,IF(AZ62=1,5,IF(BA62=1,6,7))))))</f>
        <v/>
      </c>
      <c r="BD62">
        <f>IF(AD62=1,CHOOSE('Historical Score'!$C$29,AV62,AW62,AX62,AY62,AZ62,BA62,BB62),0)</f>
        <v/>
      </c>
      <c r="BE62">
        <f>IF(BD62=1,COUNTIF($BD$2:BD62,1),"")</f>
        <v/>
      </c>
    </row>
    <row r="63">
      <c r="A63" t="inlineStr">
        <is>
          <t>5674154332</t>
        </is>
      </c>
      <c r="B63" t="inlineStr">
        <is>
          <t>Smith and Webster II Oral Springs LLC</t>
        </is>
      </c>
      <c r="C63" t="inlineStr">
        <is>
          <t>SMITH AND WEBSTER RESTAURANT CORAL SPRINGS</t>
        </is>
      </c>
      <c r="D63" t="inlineStr">
        <is>
          <t>Closed</t>
        </is>
      </c>
      <c r="E63" s="297" t="n">
        <v>45751</v>
      </c>
      <c r="F63" s="297" t="n">
        <v>45946</v>
      </c>
      <c r="G63" t="n">
        <v>4</v>
      </c>
      <c r="H63" t="inlineStr">
        <is>
          <t>5812</t>
        </is>
      </c>
      <c r="I63" t="inlineStr">
        <is>
          <t>58</t>
        </is>
      </c>
      <c r="J63" t="inlineStr">
        <is>
          <t>FL</t>
        </is>
      </c>
      <c r="K63" t="inlineStr">
        <is>
          <t>Fidelity Funding</t>
        </is>
      </c>
      <c r="L63" t="inlineStr">
        <is>
          <t>New Deal</t>
        </is>
      </c>
      <c r="M63" s="298" t="n">
        <v>1.49</v>
      </c>
      <c r="N63" s="299" t="n">
        <v>33000</v>
      </c>
      <c r="O63" s="299" t="n">
        <v>4620</v>
      </c>
      <c r="P63" s="299" t="n">
        <v>49170</v>
      </c>
      <c r="Q63" s="299" t="n">
        <v>49170</v>
      </c>
      <c r="R63" s="299" t="n">
        <v>0</v>
      </c>
      <c r="S63" s="300" t="n">
        <v>1</v>
      </c>
      <c r="T63" t="n">
        <v>20</v>
      </c>
      <c r="U63" t="n">
        <v>11</v>
      </c>
      <c r="W63" s="300" t="n">
        <v>0.09810000000000001</v>
      </c>
      <c r="X63" s="297" t="n">
        <v>45198</v>
      </c>
      <c r="Y63">
        <f>IF(I63="","No SIC",IFERROR(VLOOKUP(I63,Ref!$A$2:$B$65,2,FALSE),"Unclassified"))</f>
        <v/>
      </c>
      <c r="Z63">
        <f>IF(T63="","",IF(T63&lt;12,"Daily","Weekly"))</f>
        <v/>
      </c>
      <c r="AA63">
        <f>IF(T63="",0,IF(T63&lt;12,T63*Controls!$B$29,T63*5))</f>
        <v/>
      </c>
      <c r="AB63">
        <f>IF(E63="",0,NETWORKDAYS(E63,Controls!$B$36,Ref!$K$2:$K$42))</f>
        <v/>
      </c>
      <c r="AC63">
        <f>IF(AND(AA63&gt;0,AB63&gt;=Controls!$B$39*AA63),1,0)</f>
        <v/>
      </c>
      <c r="AD63">
        <f>IF(AND(E63&lt;&gt;"",E63&gt;=Controls!$B$37,E63&lt;=Controls!$B$38),1,0)</f>
        <v/>
      </c>
      <c r="AE63">
        <f>IF(IFERROR(VLOOKUP(D63,Controls!$A$64:$E$74,2,FALSE),"No")="Yes",1,0)</f>
        <v/>
      </c>
      <c r="AF63">
        <f>IF(IFERROR(VLOOKUP(D63,Controls!$A$64:$E$74,3,FALSE),"No")="Yes",1,0)</f>
        <v/>
      </c>
      <c r="AG63">
        <f>IF(IFERROR(VLOOKUP(D63,Controls!$A$64:$E$74,4,FALSE),"No")="Yes",1,0)</f>
        <v/>
      </c>
      <c r="AH63">
        <f>IF(IFERROR(VLOOKUP(D63,Controls!$A$64:$E$74,5,FALSE),"No")="Yes",1,0)</f>
        <v/>
      </c>
      <c r="AI63">
        <f>IF(ISNUMBER(MATCH(D63,Controls!$A$64:$A$74,0)),1,0)</f>
        <v/>
      </c>
      <c r="AJ63">
        <f>Q63-N63</f>
        <v/>
      </c>
      <c r="AK63">
        <f>IF(AE63=1,MAX(0,N63-Q63),0)</f>
        <v/>
      </c>
      <c r="AL63">
        <f>IF(OR(V63="",V63=0),0,N63/V63)</f>
        <v/>
      </c>
      <c r="AM63">
        <f>IF(OR(V63="",V63=0),0,1)</f>
        <v/>
      </c>
      <c r="AN63">
        <f>IF(OR(E63="",F63=""),0,NETWORKDAYS(E63,F63,Ref!$K$2:$K$42))</f>
        <v/>
      </c>
      <c r="AO63">
        <f>IF(L63="Renewal",1,0)</f>
        <v/>
      </c>
      <c r="AP63">
        <f>AC63*AD63</f>
        <v/>
      </c>
      <c r="AQ63">
        <f>IF(AND(G63&lt;&gt;"",'Historical Score'!$C$6&lt;&gt;""),IF(G63='Historical Score'!$C$6,1,0),0)</f>
        <v/>
      </c>
      <c r="AR63">
        <f>IF(AND(L63&lt;&gt;"",'Historical Score'!$C$5&lt;&gt;""),IF(L63='Historical Score'!$C$5,1,0),0)</f>
        <v/>
      </c>
      <c r="AS63">
        <f>IF(AND(Y63&lt;&gt;"",'Historical Score'!$C$7&lt;&gt;""),IF(Y63='Historical Score'!$C$7,1,0),0)</f>
        <v/>
      </c>
      <c r="AT63">
        <f>IF(AND(K63&lt;&gt;"",'Historical Score'!$C$8&lt;&gt;""),IF(K63='Historical Score'!$C$8,1,0),0)</f>
        <v/>
      </c>
      <c r="AU63">
        <f>IF(AND(J63&lt;&gt;"",'Historical Score'!$C$9&lt;&gt;""),IF(J63='Historical Score'!$C$9,1,0),0)</f>
        <v/>
      </c>
      <c r="AV63">
        <f>AR63*AS63*AQ63</f>
        <v/>
      </c>
      <c r="AW63">
        <f>AR63*AT63*AQ63</f>
        <v/>
      </c>
      <c r="AX63">
        <f>AR63*AS63</f>
        <v/>
      </c>
      <c r="AY63">
        <f>AR63*AT63</f>
        <v/>
      </c>
      <c r="AZ63">
        <f>AR63*AQ63</f>
        <v/>
      </c>
      <c r="BA63">
        <f>AR63</f>
        <v/>
      </c>
      <c r="BB63">
        <f>1</f>
        <v/>
      </c>
      <c r="BC63">
        <f>IF(AV63=1,1,IF(AW63=1,2,IF(AX63=1,3,IF(AY63=1,4,IF(AZ63=1,5,IF(BA63=1,6,7))))))</f>
        <v/>
      </c>
      <c r="BD63">
        <f>IF(AD63=1,CHOOSE('Historical Score'!$C$29,AV63,AW63,AX63,AY63,AZ63,BA63,BB63),0)</f>
        <v/>
      </c>
      <c r="BE63">
        <f>IF(BD63=1,COUNTIF($BD$2:BD63,1),"")</f>
        <v/>
      </c>
    </row>
    <row r="64">
      <c r="A64" t="inlineStr">
        <is>
          <t>5674154422</t>
        </is>
      </c>
      <c r="B64" t="inlineStr">
        <is>
          <t>BUSHCO CONTRACTING</t>
        </is>
      </c>
      <c r="C64" t="inlineStr">
        <is>
          <t>BUSHCO CONTRACTING</t>
        </is>
      </c>
      <c r="D64" t="inlineStr">
        <is>
          <t>Legal</t>
        </is>
      </c>
      <c r="E64" s="297" t="n">
        <v>45754</v>
      </c>
      <c r="F64" s="297" t="n">
        <v>45786</v>
      </c>
      <c r="G64" t="n">
        <v>2</v>
      </c>
      <c r="H64" t="inlineStr">
        <is>
          <t>1521</t>
        </is>
      </c>
      <c r="I64" t="inlineStr">
        <is>
          <t>15</t>
        </is>
      </c>
      <c r="J64" t="inlineStr">
        <is>
          <t>CA</t>
        </is>
      </c>
      <c r="K64" t="inlineStr">
        <is>
          <t>GREYSTONE</t>
        </is>
      </c>
      <c r="L64" t="inlineStr">
        <is>
          <t>New Deal</t>
        </is>
      </c>
      <c r="M64" s="298" t="n">
        <v>1.49</v>
      </c>
      <c r="N64" s="299" t="n">
        <v>14000</v>
      </c>
      <c r="O64" s="299" t="n">
        <v>1680</v>
      </c>
      <c r="P64" s="299" t="n">
        <v>20860</v>
      </c>
      <c r="Q64" s="299" t="n">
        <v>2318.06</v>
      </c>
      <c r="R64" s="299" t="n">
        <v>18541.94</v>
      </c>
      <c r="S64" s="300" t="n">
        <v>0.111124640460211</v>
      </c>
      <c r="T64" t="n">
        <v>18</v>
      </c>
      <c r="U64" t="n">
        <v>3</v>
      </c>
      <c r="W64" s="300" t="n">
        <v>0.089</v>
      </c>
      <c r="X64" s="297" t="n"/>
      <c r="Y64">
        <f>IF(I64="","No SIC",IFERROR(VLOOKUP(I64,Ref!$A$2:$B$65,2,FALSE),"Unclassified"))</f>
        <v/>
      </c>
      <c r="Z64">
        <f>IF(T64="","",IF(T64&lt;12,"Daily","Weekly"))</f>
        <v/>
      </c>
      <c r="AA64">
        <f>IF(T64="",0,IF(T64&lt;12,T64*Controls!$B$29,T64*5))</f>
        <v/>
      </c>
      <c r="AB64">
        <f>IF(E64="",0,NETWORKDAYS(E64,Controls!$B$36,Ref!$K$2:$K$42))</f>
        <v/>
      </c>
      <c r="AC64">
        <f>IF(AND(AA64&gt;0,AB64&gt;=Controls!$B$39*AA64),1,0)</f>
        <v/>
      </c>
      <c r="AD64">
        <f>IF(AND(E64&lt;&gt;"",E64&gt;=Controls!$B$37,E64&lt;=Controls!$B$38),1,0)</f>
        <v/>
      </c>
      <c r="AE64">
        <f>IF(IFERROR(VLOOKUP(D64,Controls!$A$64:$E$74,2,FALSE),"No")="Yes",1,0)</f>
        <v/>
      </c>
      <c r="AF64">
        <f>IF(IFERROR(VLOOKUP(D64,Controls!$A$64:$E$74,3,FALSE),"No")="Yes",1,0)</f>
        <v/>
      </c>
      <c r="AG64">
        <f>IF(IFERROR(VLOOKUP(D64,Controls!$A$64:$E$74,4,FALSE),"No")="Yes",1,0)</f>
        <v/>
      </c>
      <c r="AH64">
        <f>IF(IFERROR(VLOOKUP(D64,Controls!$A$64:$E$74,5,FALSE),"No")="Yes",1,0)</f>
        <v/>
      </c>
      <c r="AI64">
        <f>IF(ISNUMBER(MATCH(D64,Controls!$A$64:$A$74,0)),1,0)</f>
        <v/>
      </c>
      <c r="AJ64">
        <f>Q64-N64</f>
        <v/>
      </c>
      <c r="AK64">
        <f>IF(AE64=1,MAX(0,N64-Q64),0)</f>
        <v/>
      </c>
      <c r="AL64">
        <f>IF(OR(V64="",V64=0),0,N64/V64)</f>
        <v/>
      </c>
      <c r="AM64">
        <f>IF(OR(V64="",V64=0),0,1)</f>
        <v/>
      </c>
      <c r="AN64">
        <f>IF(OR(E64="",F64=""),0,NETWORKDAYS(E64,F64,Ref!$K$2:$K$42))</f>
        <v/>
      </c>
      <c r="AO64">
        <f>IF(L64="Renewal",1,0)</f>
        <v/>
      </c>
      <c r="AP64">
        <f>AC64*AD64</f>
        <v/>
      </c>
      <c r="AQ64">
        <f>IF(AND(G64&lt;&gt;"",'Historical Score'!$C$6&lt;&gt;""),IF(G64='Historical Score'!$C$6,1,0),0)</f>
        <v/>
      </c>
      <c r="AR64">
        <f>IF(AND(L64&lt;&gt;"",'Historical Score'!$C$5&lt;&gt;""),IF(L64='Historical Score'!$C$5,1,0),0)</f>
        <v/>
      </c>
      <c r="AS64">
        <f>IF(AND(Y64&lt;&gt;"",'Historical Score'!$C$7&lt;&gt;""),IF(Y64='Historical Score'!$C$7,1,0),0)</f>
        <v/>
      </c>
      <c r="AT64">
        <f>IF(AND(K64&lt;&gt;"",'Historical Score'!$C$8&lt;&gt;""),IF(K64='Historical Score'!$C$8,1,0),0)</f>
        <v/>
      </c>
      <c r="AU64">
        <f>IF(AND(J64&lt;&gt;"",'Historical Score'!$C$9&lt;&gt;""),IF(J64='Historical Score'!$C$9,1,0),0)</f>
        <v/>
      </c>
      <c r="AV64">
        <f>AR64*AS64*AQ64</f>
        <v/>
      </c>
      <c r="AW64">
        <f>AR64*AT64*AQ64</f>
        <v/>
      </c>
      <c r="AX64">
        <f>AR64*AS64</f>
        <v/>
      </c>
      <c r="AY64">
        <f>AR64*AT64</f>
        <v/>
      </c>
      <c r="AZ64">
        <f>AR64*AQ64</f>
        <v/>
      </c>
      <c r="BA64">
        <f>AR64</f>
        <v/>
      </c>
      <c r="BB64">
        <f>1</f>
        <v/>
      </c>
      <c r="BC64">
        <f>IF(AV64=1,1,IF(AW64=1,2,IF(AX64=1,3,IF(AY64=1,4,IF(AZ64=1,5,IF(BA64=1,6,7))))))</f>
        <v/>
      </c>
      <c r="BD64">
        <f>IF(AD64=1,CHOOSE('Historical Score'!$C$29,AV64,AW64,AX64,AY64,AZ64,BA64,BB64),0)</f>
        <v/>
      </c>
      <c r="BE64">
        <f>IF(BD64=1,COUNTIF($BD$2:BD64,1),"")</f>
        <v/>
      </c>
    </row>
    <row r="65">
      <c r="A65" t="inlineStr">
        <is>
          <t>5674154426</t>
        </is>
      </c>
      <c r="B65" t="inlineStr">
        <is>
          <t>Zuniga Flowers</t>
        </is>
      </c>
      <c r="C65" t="inlineStr">
        <is>
          <t>Zuniga Flowers</t>
        </is>
      </c>
      <c r="D65" t="inlineStr">
        <is>
          <t>Closed</t>
        </is>
      </c>
      <c r="E65" s="297" t="n">
        <v>45754</v>
      </c>
      <c r="F65" s="297" t="n">
        <v>45911</v>
      </c>
      <c r="G65" t="n">
        <v>3</v>
      </c>
      <c r="H65" t="inlineStr">
        <is>
          <t>5992</t>
        </is>
      </c>
      <c r="I65" t="inlineStr">
        <is>
          <t>59</t>
        </is>
      </c>
      <c r="J65" t="inlineStr">
        <is>
          <t>CA</t>
        </is>
      </c>
      <c r="K65" t="inlineStr">
        <is>
          <t>Premium Capital (AMRK)</t>
        </is>
      </c>
      <c r="L65" t="inlineStr">
        <is>
          <t>Renewal</t>
        </is>
      </c>
      <c r="M65" s="298" t="n">
        <v>1.5</v>
      </c>
      <c r="N65" s="299" t="n">
        <v>3000</v>
      </c>
      <c r="O65" s="299" t="n">
        <v>420</v>
      </c>
      <c r="P65" s="299" t="n">
        <v>4500</v>
      </c>
      <c r="Q65" s="299" t="n">
        <v>4500</v>
      </c>
      <c r="R65" s="299" t="n">
        <v>0</v>
      </c>
      <c r="S65" s="300" t="n">
        <v>1</v>
      </c>
      <c r="T65" t="n">
        <v>2.295</v>
      </c>
      <c r="U65" t="n">
        <v>15</v>
      </c>
      <c r="W65" s="300" t="n">
        <v>0.1024</v>
      </c>
      <c r="X65" s="297" t="n">
        <v>42678</v>
      </c>
      <c r="Y65">
        <f>IF(I65="","No SIC",IFERROR(VLOOKUP(I65,Ref!$A$2:$B$65,2,FALSE),"Unclassified"))</f>
        <v/>
      </c>
      <c r="Z65">
        <f>IF(T65="","",IF(T65&lt;12,"Daily","Weekly"))</f>
        <v/>
      </c>
      <c r="AA65">
        <f>IF(T65="",0,IF(T65&lt;12,T65*Controls!$B$29,T65*5))</f>
        <v/>
      </c>
      <c r="AB65">
        <f>IF(E65="",0,NETWORKDAYS(E65,Controls!$B$36,Ref!$K$2:$K$42))</f>
        <v/>
      </c>
      <c r="AC65">
        <f>IF(AND(AA65&gt;0,AB65&gt;=Controls!$B$39*AA65),1,0)</f>
        <v/>
      </c>
      <c r="AD65">
        <f>IF(AND(E65&lt;&gt;"",E65&gt;=Controls!$B$37,E65&lt;=Controls!$B$38),1,0)</f>
        <v/>
      </c>
      <c r="AE65">
        <f>IF(IFERROR(VLOOKUP(D65,Controls!$A$64:$E$74,2,FALSE),"No")="Yes",1,0)</f>
        <v/>
      </c>
      <c r="AF65">
        <f>IF(IFERROR(VLOOKUP(D65,Controls!$A$64:$E$74,3,FALSE),"No")="Yes",1,0)</f>
        <v/>
      </c>
      <c r="AG65">
        <f>IF(IFERROR(VLOOKUP(D65,Controls!$A$64:$E$74,4,FALSE),"No")="Yes",1,0)</f>
        <v/>
      </c>
      <c r="AH65">
        <f>IF(IFERROR(VLOOKUP(D65,Controls!$A$64:$E$74,5,FALSE),"No")="Yes",1,0)</f>
        <v/>
      </c>
      <c r="AI65">
        <f>IF(ISNUMBER(MATCH(D65,Controls!$A$64:$A$74,0)),1,0)</f>
        <v/>
      </c>
      <c r="AJ65">
        <f>Q65-N65</f>
        <v/>
      </c>
      <c r="AK65">
        <f>IF(AE65=1,MAX(0,N65-Q65),0)</f>
        <v/>
      </c>
      <c r="AL65">
        <f>IF(OR(V65="",V65=0),0,N65/V65)</f>
        <v/>
      </c>
      <c r="AM65">
        <f>IF(OR(V65="",V65=0),0,1)</f>
        <v/>
      </c>
      <c r="AN65">
        <f>IF(OR(E65="",F65=""),0,NETWORKDAYS(E65,F65,Ref!$K$2:$K$42))</f>
        <v/>
      </c>
      <c r="AO65">
        <f>IF(L65="Renewal",1,0)</f>
        <v/>
      </c>
      <c r="AP65">
        <f>AC65*AD65</f>
        <v/>
      </c>
      <c r="AQ65">
        <f>IF(AND(G65&lt;&gt;"",'Historical Score'!$C$6&lt;&gt;""),IF(G65='Historical Score'!$C$6,1,0),0)</f>
        <v/>
      </c>
      <c r="AR65">
        <f>IF(AND(L65&lt;&gt;"",'Historical Score'!$C$5&lt;&gt;""),IF(L65='Historical Score'!$C$5,1,0),0)</f>
        <v/>
      </c>
      <c r="AS65">
        <f>IF(AND(Y65&lt;&gt;"",'Historical Score'!$C$7&lt;&gt;""),IF(Y65='Historical Score'!$C$7,1,0),0)</f>
        <v/>
      </c>
      <c r="AT65">
        <f>IF(AND(K65&lt;&gt;"",'Historical Score'!$C$8&lt;&gt;""),IF(K65='Historical Score'!$C$8,1,0),0)</f>
        <v/>
      </c>
      <c r="AU65">
        <f>IF(AND(J65&lt;&gt;"",'Historical Score'!$C$9&lt;&gt;""),IF(J65='Historical Score'!$C$9,1,0),0)</f>
        <v/>
      </c>
      <c r="AV65">
        <f>AR65*AS65*AQ65</f>
        <v/>
      </c>
      <c r="AW65">
        <f>AR65*AT65*AQ65</f>
        <v/>
      </c>
      <c r="AX65">
        <f>AR65*AS65</f>
        <v/>
      </c>
      <c r="AY65">
        <f>AR65*AT65</f>
        <v/>
      </c>
      <c r="AZ65">
        <f>AR65*AQ65</f>
        <v/>
      </c>
      <c r="BA65">
        <f>AR65</f>
        <v/>
      </c>
      <c r="BB65">
        <f>1</f>
        <v/>
      </c>
      <c r="BC65">
        <f>IF(AV65=1,1,IF(AW65=1,2,IF(AX65=1,3,IF(AY65=1,4,IF(AZ65=1,5,IF(BA65=1,6,7))))))</f>
        <v/>
      </c>
      <c r="BD65">
        <f>IF(AD65=1,CHOOSE('Historical Score'!$C$29,AV65,AW65,AX65,AY65,AZ65,BA65,BB65),0)</f>
        <v/>
      </c>
      <c r="BE65">
        <f>IF(BD65=1,COUNTIF($BD$2:BD65,1),"")</f>
        <v/>
      </c>
    </row>
    <row r="66">
      <c r="A66" t="inlineStr">
        <is>
          <t>5674154477</t>
        </is>
      </c>
      <c r="B66" t="inlineStr">
        <is>
          <t>Fast Line Delivery</t>
        </is>
      </c>
      <c r="C66" t="inlineStr">
        <is>
          <t>Fast Line Delivery LLC</t>
        </is>
      </c>
      <c r="D66" t="inlineStr">
        <is>
          <t>Closed</t>
        </is>
      </c>
      <c r="E66" s="297" t="n">
        <v>45755</v>
      </c>
      <c r="F66" s="297" t="n">
        <v>45820</v>
      </c>
      <c r="G66" t="n">
        <v>3</v>
      </c>
      <c r="H66" t="inlineStr">
        <is>
          <t>4215</t>
        </is>
      </c>
      <c r="I66" t="inlineStr">
        <is>
          <t>42</t>
        </is>
      </c>
      <c r="J66" t="inlineStr">
        <is>
          <t>FL</t>
        </is>
      </c>
      <c r="K66" t="inlineStr">
        <is>
          <t>Diamond Bar Funding</t>
        </is>
      </c>
      <c r="L66" t="inlineStr">
        <is>
          <t>New Deal</t>
        </is>
      </c>
      <c r="M66" s="298" t="n">
        <v>1.49</v>
      </c>
      <c r="N66" s="299" t="n">
        <v>6000</v>
      </c>
      <c r="O66" s="299" t="n">
        <v>840</v>
      </c>
      <c r="P66" s="299" t="n">
        <v>8940</v>
      </c>
      <c r="Q66" s="299" t="n">
        <v>8940</v>
      </c>
      <c r="R66" s="299" t="n">
        <v>0</v>
      </c>
      <c r="S66" s="300" t="n">
        <v>1</v>
      </c>
      <c r="T66" t="n">
        <v>2.623</v>
      </c>
      <c r="U66" t="n">
        <v>2</v>
      </c>
      <c r="W66" s="300" t="n">
        <v>0.0501</v>
      </c>
      <c r="X66" s="297" t="n">
        <v>44673</v>
      </c>
      <c r="Y66">
        <f>IF(I66="","No SIC",IFERROR(VLOOKUP(I66,Ref!$A$2:$B$65,2,FALSE),"Unclassified"))</f>
        <v/>
      </c>
      <c r="Z66">
        <f>IF(T66="","",IF(T66&lt;12,"Daily","Weekly"))</f>
        <v/>
      </c>
      <c r="AA66">
        <f>IF(T66="",0,IF(T66&lt;12,T66*Controls!$B$29,T66*5))</f>
        <v/>
      </c>
      <c r="AB66">
        <f>IF(E66="",0,NETWORKDAYS(E66,Controls!$B$36,Ref!$K$2:$K$42))</f>
        <v/>
      </c>
      <c r="AC66">
        <f>IF(AND(AA66&gt;0,AB66&gt;=Controls!$B$39*AA66),1,0)</f>
        <v/>
      </c>
      <c r="AD66">
        <f>IF(AND(E66&lt;&gt;"",E66&gt;=Controls!$B$37,E66&lt;=Controls!$B$38),1,0)</f>
        <v/>
      </c>
      <c r="AE66">
        <f>IF(IFERROR(VLOOKUP(D66,Controls!$A$64:$E$74,2,FALSE),"No")="Yes",1,0)</f>
        <v/>
      </c>
      <c r="AF66">
        <f>IF(IFERROR(VLOOKUP(D66,Controls!$A$64:$E$74,3,FALSE),"No")="Yes",1,0)</f>
        <v/>
      </c>
      <c r="AG66">
        <f>IF(IFERROR(VLOOKUP(D66,Controls!$A$64:$E$74,4,FALSE),"No")="Yes",1,0)</f>
        <v/>
      </c>
      <c r="AH66">
        <f>IF(IFERROR(VLOOKUP(D66,Controls!$A$64:$E$74,5,FALSE),"No")="Yes",1,0)</f>
        <v/>
      </c>
      <c r="AI66">
        <f>IF(ISNUMBER(MATCH(D66,Controls!$A$64:$A$74,0)),1,0)</f>
        <v/>
      </c>
      <c r="AJ66">
        <f>Q66-N66</f>
        <v/>
      </c>
      <c r="AK66">
        <f>IF(AE66=1,MAX(0,N66-Q66),0)</f>
        <v/>
      </c>
      <c r="AL66">
        <f>IF(OR(V66="",V66=0),0,N66/V66)</f>
        <v/>
      </c>
      <c r="AM66">
        <f>IF(OR(V66="",V66=0),0,1)</f>
        <v/>
      </c>
      <c r="AN66">
        <f>IF(OR(E66="",F66=""),0,NETWORKDAYS(E66,F66,Ref!$K$2:$K$42))</f>
        <v/>
      </c>
      <c r="AO66">
        <f>IF(L66="Renewal",1,0)</f>
        <v/>
      </c>
      <c r="AP66">
        <f>AC66*AD66</f>
        <v/>
      </c>
      <c r="AQ66">
        <f>IF(AND(G66&lt;&gt;"",'Historical Score'!$C$6&lt;&gt;""),IF(G66='Historical Score'!$C$6,1,0),0)</f>
        <v/>
      </c>
      <c r="AR66">
        <f>IF(AND(L66&lt;&gt;"",'Historical Score'!$C$5&lt;&gt;""),IF(L66='Historical Score'!$C$5,1,0),0)</f>
        <v/>
      </c>
      <c r="AS66">
        <f>IF(AND(Y66&lt;&gt;"",'Historical Score'!$C$7&lt;&gt;""),IF(Y66='Historical Score'!$C$7,1,0),0)</f>
        <v/>
      </c>
      <c r="AT66">
        <f>IF(AND(K66&lt;&gt;"",'Historical Score'!$C$8&lt;&gt;""),IF(K66='Historical Score'!$C$8,1,0),0)</f>
        <v/>
      </c>
      <c r="AU66">
        <f>IF(AND(J66&lt;&gt;"",'Historical Score'!$C$9&lt;&gt;""),IF(J66='Historical Score'!$C$9,1,0),0)</f>
        <v/>
      </c>
      <c r="AV66">
        <f>AR66*AS66*AQ66</f>
        <v/>
      </c>
      <c r="AW66">
        <f>AR66*AT66*AQ66</f>
        <v/>
      </c>
      <c r="AX66">
        <f>AR66*AS66</f>
        <v/>
      </c>
      <c r="AY66">
        <f>AR66*AT66</f>
        <v/>
      </c>
      <c r="AZ66">
        <f>AR66*AQ66</f>
        <v/>
      </c>
      <c r="BA66">
        <f>AR66</f>
        <v/>
      </c>
      <c r="BB66">
        <f>1</f>
        <v/>
      </c>
      <c r="BC66">
        <f>IF(AV66=1,1,IF(AW66=1,2,IF(AX66=1,3,IF(AY66=1,4,IF(AZ66=1,5,IF(BA66=1,6,7))))))</f>
        <v/>
      </c>
      <c r="BD66">
        <f>IF(AD66=1,CHOOSE('Historical Score'!$C$29,AV66,AW66,AX66,AY66,AZ66,BA66,BB66),0)</f>
        <v/>
      </c>
      <c r="BE66">
        <f>IF(BD66=1,COUNTIF($BD$2:BD66,1),"")</f>
        <v/>
      </c>
    </row>
    <row r="67">
      <c r="A67" t="inlineStr">
        <is>
          <t>5674154563</t>
        </is>
      </c>
      <c r="B67" t="inlineStr">
        <is>
          <t>R K HOSTEL</t>
        </is>
      </c>
      <c r="C67" t="inlineStr">
        <is>
          <t>DIESTRO INC</t>
        </is>
      </c>
      <c r="D67" t="inlineStr">
        <is>
          <t>Closed</t>
        </is>
      </c>
      <c r="E67" s="297" t="n">
        <v>45756</v>
      </c>
      <c r="F67" s="297" t="n">
        <v>45895</v>
      </c>
      <c r="G67" t="n">
        <v>2</v>
      </c>
      <c r="H67" t="inlineStr">
        <is>
          <t>7011</t>
        </is>
      </c>
      <c r="I67" t="inlineStr">
        <is>
          <t>70</t>
        </is>
      </c>
      <c r="J67" t="inlineStr">
        <is>
          <t>CA</t>
        </is>
      </c>
      <c r="K67" t="inlineStr">
        <is>
          <t>PMF</t>
        </is>
      </c>
      <c r="L67" t="inlineStr">
        <is>
          <t>New Deal</t>
        </is>
      </c>
      <c r="M67" s="298" t="n">
        <v>1.4</v>
      </c>
      <c r="N67" s="299" t="n">
        <v>40000</v>
      </c>
      <c r="O67" s="299" t="n">
        <v>3800</v>
      </c>
      <c r="P67" s="299" t="n">
        <v>56000</v>
      </c>
      <c r="Q67" s="299" t="n">
        <v>56000</v>
      </c>
      <c r="R67" s="299" t="n">
        <v>0</v>
      </c>
      <c r="S67" s="300" t="n">
        <v>1</v>
      </c>
      <c r="T67" t="n">
        <v>36</v>
      </c>
      <c r="U67" t="n">
        <v>0</v>
      </c>
      <c r="W67" s="300" t="n">
        <v>0.0793</v>
      </c>
      <c r="X67" s="297" t="n">
        <v>37622</v>
      </c>
      <c r="Y67">
        <f>IF(I67="","No SIC",IFERROR(VLOOKUP(I67,Ref!$A$2:$B$65,2,FALSE),"Unclassified"))</f>
        <v/>
      </c>
      <c r="Z67">
        <f>IF(T67="","",IF(T67&lt;12,"Daily","Weekly"))</f>
        <v/>
      </c>
      <c r="AA67">
        <f>IF(T67="",0,IF(T67&lt;12,T67*Controls!$B$29,T67*5))</f>
        <v/>
      </c>
      <c r="AB67">
        <f>IF(E67="",0,NETWORKDAYS(E67,Controls!$B$36,Ref!$K$2:$K$42))</f>
        <v/>
      </c>
      <c r="AC67">
        <f>IF(AND(AA67&gt;0,AB67&gt;=Controls!$B$39*AA67),1,0)</f>
        <v/>
      </c>
      <c r="AD67">
        <f>IF(AND(E67&lt;&gt;"",E67&gt;=Controls!$B$37,E67&lt;=Controls!$B$38),1,0)</f>
        <v/>
      </c>
      <c r="AE67">
        <f>IF(IFERROR(VLOOKUP(D67,Controls!$A$64:$E$74,2,FALSE),"No")="Yes",1,0)</f>
        <v/>
      </c>
      <c r="AF67">
        <f>IF(IFERROR(VLOOKUP(D67,Controls!$A$64:$E$74,3,FALSE),"No")="Yes",1,0)</f>
        <v/>
      </c>
      <c r="AG67">
        <f>IF(IFERROR(VLOOKUP(D67,Controls!$A$64:$E$74,4,FALSE),"No")="Yes",1,0)</f>
        <v/>
      </c>
      <c r="AH67">
        <f>IF(IFERROR(VLOOKUP(D67,Controls!$A$64:$E$74,5,FALSE),"No")="Yes",1,0)</f>
        <v/>
      </c>
      <c r="AI67">
        <f>IF(ISNUMBER(MATCH(D67,Controls!$A$64:$A$74,0)),1,0)</f>
        <v/>
      </c>
      <c r="AJ67">
        <f>Q67-N67</f>
        <v/>
      </c>
      <c r="AK67">
        <f>IF(AE67=1,MAX(0,N67-Q67),0)</f>
        <v/>
      </c>
      <c r="AL67">
        <f>IF(OR(V67="",V67=0),0,N67/V67)</f>
        <v/>
      </c>
      <c r="AM67">
        <f>IF(OR(V67="",V67=0),0,1)</f>
        <v/>
      </c>
      <c r="AN67">
        <f>IF(OR(E67="",F67=""),0,NETWORKDAYS(E67,F67,Ref!$K$2:$K$42))</f>
        <v/>
      </c>
      <c r="AO67">
        <f>IF(L67="Renewal",1,0)</f>
        <v/>
      </c>
      <c r="AP67">
        <f>AC67*AD67</f>
        <v/>
      </c>
      <c r="AQ67">
        <f>IF(AND(G67&lt;&gt;"",'Historical Score'!$C$6&lt;&gt;""),IF(G67='Historical Score'!$C$6,1,0),0)</f>
        <v/>
      </c>
      <c r="AR67">
        <f>IF(AND(L67&lt;&gt;"",'Historical Score'!$C$5&lt;&gt;""),IF(L67='Historical Score'!$C$5,1,0),0)</f>
        <v/>
      </c>
      <c r="AS67">
        <f>IF(AND(Y67&lt;&gt;"",'Historical Score'!$C$7&lt;&gt;""),IF(Y67='Historical Score'!$C$7,1,0),0)</f>
        <v/>
      </c>
      <c r="AT67">
        <f>IF(AND(K67&lt;&gt;"",'Historical Score'!$C$8&lt;&gt;""),IF(K67='Historical Score'!$C$8,1,0),0)</f>
        <v/>
      </c>
      <c r="AU67">
        <f>IF(AND(J67&lt;&gt;"",'Historical Score'!$C$9&lt;&gt;""),IF(J67='Historical Score'!$C$9,1,0),0)</f>
        <v/>
      </c>
      <c r="AV67">
        <f>AR67*AS67*AQ67</f>
        <v/>
      </c>
      <c r="AW67">
        <f>AR67*AT67*AQ67</f>
        <v/>
      </c>
      <c r="AX67">
        <f>AR67*AS67</f>
        <v/>
      </c>
      <c r="AY67">
        <f>AR67*AT67</f>
        <v/>
      </c>
      <c r="AZ67">
        <f>AR67*AQ67</f>
        <v/>
      </c>
      <c r="BA67">
        <f>AR67</f>
        <v/>
      </c>
      <c r="BB67">
        <f>1</f>
        <v/>
      </c>
      <c r="BC67">
        <f>IF(AV67=1,1,IF(AW67=1,2,IF(AX67=1,3,IF(AY67=1,4,IF(AZ67=1,5,IF(BA67=1,6,7))))))</f>
        <v/>
      </c>
      <c r="BD67">
        <f>IF(AD67=1,CHOOSE('Historical Score'!$C$29,AV67,AW67,AX67,AY67,AZ67,BA67,BB67),0)</f>
        <v/>
      </c>
      <c r="BE67">
        <f>IF(BD67=1,COUNTIF($BD$2:BD67,1),"")</f>
        <v/>
      </c>
    </row>
    <row r="68">
      <c r="A68" t="inlineStr">
        <is>
          <t>5674154668</t>
        </is>
      </c>
      <c r="B68" t="inlineStr">
        <is>
          <t>BEESON FARMS &amp; HAULING LLC</t>
        </is>
      </c>
      <c r="C68" t="inlineStr">
        <is>
          <t>BEESON FARMS &amp; HAULING LLC</t>
        </is>
      </c>
      <c r="D68" t="inlineStr">
        <is>
          <t>Legal</t>
        </is>
      </c>
      <c r="E68" s="297" t="n">
        <v>45756</v>
      </c>
      <c r="F68" s="297" t="n">
        <v>45926</v>
      </c>
      <c r="G68" t="n">
        <v>5</v>
      </c>
      <c r="H68" t="inlineStr">
        <is>
          <t>4212</t>
        </is>
      </c>
      <c r="I68" t="inlineStr">
        <is>
          <t>42</t>
        </is>
      </c>
      <c r="J68" t="inlineStr">
        <is>
          <t>NC</t>
        </is>
      </c>
      <c r="K68" t="inlineStr">
        <is>
          <t>Key Capital Funding</t>
        </is>
      </c>
      <c r="L68" t="inlineStr">
        <is>
          <t>New Deal</t>
        </is>
      </c>
      <c r="M68" s="298" t="n">
        <v>1.49</v>
      </c>
      <c r="N68" s="299" t="n">
        <v>40000</v>
      </c>
      <c r="O68" s="299" t="n">
        <v>5600</v>
      </c>
      <c r="P68" s="299" t="n">
        <v>59600</v>
      </c>
      <c r="Q68" s="299" t="n">
        <v>41149.26</v>
      </c>
      <c r="R68" s="299" t="n">
        <v>18450.74</v>
      </c>
      <c r="S68" s="300" t="n">
        <v>0.690423825503356</v>
      </c>
      <c r="T68" t="n">
        <v>24</v>
      </c>
      <c r="U68" t="n">
        <v>10</v>
      </c>
      <c r="W68" s="300" t="n">
        <v>0.0561</v>
      </c>
      <c r="X68" s="297" t="n">
        <v>43579</v>
      </c>
      <c r="Y68">
        <f>IF(I68="","No SIC",IFERROR(VLOOKUP(I68,Ref!$A$2:$B$65,2,FALSE),"Unclassified"))</f>
        <v/>
      </c>
      <c r="Z68">
        <f>IF(T68="","",IF(T68&lt;12,"Daily","Weekly"))</f>
        <v/>
      </c>
      <c r="AA68">
        <f>IF(T68="",0,IF(T68&lt;12,T68*Controls!$B$29,T68*5))</f>
        <v/>
      </c>
      <c r="AB68">
        <f>IF(E68="",0,NETWORKDAYS(E68,Controls!$B$36,Ref!$K$2:$K$42))</f>
        <v/>
      </c>
      <c r="AC68">
        <f>IF(AND(AA68&gt;0,AB68&gt;=Controls!$B$39*AA68),1,0)</f>
        <v/>
      </c>
      <c r="AD68">
        <f>IF(AND(E68&lt;&gt;"",E68&gt;=Controls!$B$37,E68&lt;=Controls!$B$38),1,0)</f>
        <v/>
      </c>
      <c r="AE68">
        <f>IF(IFERROR(VLOOKUP(D68,Controls!$A$64:$E$74,2,FALSE),"No")="Yes",1,0)</f>
        <v/>
      </c>
      <c r="AF68">
        <f>IF(IFERROR(VLOOKUP(D68,Controls!$A$64:$E$74,3,FALSE),"No")="Yes",1,0)</f>
        <v/>
      </c>
      <c r="AG68">
        <f>IF(IFERROR(VLOOKUP(D68,Controls!$A$64:$E$74,4,FALSE),"No")="Yes",1,0)</f>
        <v/>
      </c>
      <c r="AH68">
        <f>IF(IFERROR(VLOOKUP(D68,Controls!$A$64:$E$74,5,FALSE),"No")="Yes",1,0)</f>
        <v/>
      </c>
      <c r="AI68">
        <f>IF(ISNUMBER(MATCH(D68,Controls!$A$64:$A$74,0)),1,0)</f>
        <v/>
      </c>
      <c r="AJ68">
        <f>Q68-N68</f>
        <v/>
      </c>
      <c r="AK68">
        <f>IF(AE68=1,MAX(0,N68-Q68),0)</f>
        <v/>
      </c>
      <c r="AL68">
        <f>IF(OR(V68="",V68=0),0,N68/V68)</f>
        <v/>
      </c>
      <c r="AM68">
        <f>IF(OR(V68="",V68=0),0,1)</f>
        <v/>
      </c>
      <c r="AN68">
        <f>IF(OR(E68="",F68=""),0,NETWORKDAYS(E68,F68,Ref!$K$2:$K$42))</f>
        <v/>
      </c>
      <c r="AO68">
        <f>IF(L68="Renewal",1,0)</f>
        <v/>
      </c>
      <c r="AP68">
        <f>AC68*AD68</f>
        <v/>
      </c>
      <c r="AQ68">
        <f>IF(AND(G68&lt;&gt;"",'Historical Score'!$C$6&lt;&gt;""),IF(G68='Historical Score'!$C$6,1,0),0)</f>
        <v/>
      </c>
      <c r="AR68">
        <f>IF(AND(L68&lt;&gt;"",'Historical Score'!$C$5&lt;&gt;""),IF(L68='Historical Score'!$C$5,1,0),0)</f>
        <v/>
      </c>
      <c r="AS68">
        <f>IF(AND(Y68&lt;&gt;"",'Historical Score'!$C$7&lt;&gt;""),IF(Y68='Historical Score'!$C$7,1,0),0)</f>
        <v/>
      </c>
      <c r="AT68">
        <f>IF(AND(K68&lt;&gt;"",'Historical Score'!$C$8&lt;&gt;""),IF(K68='Historical Score'!$C$8,1,0),0)</f>
        <v/>
      </c>
      <c r="AU68">
        <f>IF(AND(J68&lt;&gt;"",'Historical Score'!$C$9&lt;&gt;""),IF(J68='Historical Score'!$C$9,1,0),0)</f>
        <v/>
      </c>
      <c r="AV68">
        <f>AR68*AS68*AQ68</f>
        <v/>
      </c>
      <c r="AW68">
        <f>AR68*AT68*AQ68</f>
        <v/>
      </c>
      <c r="AX68">
        <f>AR68*AS68</f>
        <v/>
      </c>
      <c r="AY68">
        <f>AR68*AT68</f>
        <v/>
      </c>
      <c r="AZ68">
        <f>AR68*AQ68</f>
        <v/>
      </c>
      <c r="BA68">
        <f>AR68</f>
        <v/>
      </c>
      <c r="BB68">
        <f>1</f>
        <v/>
      </c>
      <c r="BC68">
        <f>IF(AV68=1,1,IF(AW68=1,2,IF(AX68=1,3,IF(AY68=1,4,IF(AZ68=1,5,IF(BA68=1,6,7))))))</f>
        <v/>
      </c>
      <c r="BD68">
        <f>IF(AD68=1,CHOOSE('Historical Score'!$C$29,AV68,AW68,AX68,AY68,AZ68,BA68,BB68),0)</f>
        <v/>
      </c>
      <c r="BE68">
        <f>IF(BD68=1,COUNTIF($BD$2:BD68,1),"")</f>
        <v/>
      </c>
    </row>
    <row r="69">
      <c r="A69" t="inlineStr">
        <is>
          <t>5674154700</t>
        </is>
      </c>
      <c r="B69" t="inlineStr">
        <is>
          <t>LRT SALES LLC</t>
        </is>
      </c>
      <c r="C69" t="inlineStr">
        <is>
          <t>LRT SALES LLC</t>
        </is>
      </c>
      <c r="D69" t="inlineStr">
        <is>
          <t>Closed</t>
        </is>
      </c>
      <c r="E69" s="297" t="n">
        <v>45757</v>
      </c>
      <c r="F69" s="297" t="n">
        <v>45938</v>
      </c>
      <c r="G69" t="n">
        <v>1</v>
      </c>
      <c r="H69" t="inlineStr">
        <is>
          <t>1796</t>
        </is>
      </c>
      <c r="I69" t="inlineStr">
        <is>
          <t>17</t>
        </is>
      </c>
      <c r="J69" t="inlineStr">
        <is>
          <t>TX</t>
        </is>
      </c>
      <c r="K69" t="inlineStr">
        <is>
          <t>PMF</t>
        </is>
      </c>
      <c r="L69" t="inlineStr">
        <is>
          <t>New Deal</t>
        </is>
      </c>
      <c r="M69" s="298" t="n">
        <v>1.43</v>
      </c>
      <c r="N69" s="299" t="n">
        <v>20000</v>
      </c>
      <c r="O69" s="299" t="n">
        <v>2200</v>
      </c>
      <c r="P69" s="299" t="n">
        <v>28600</v>
      </c>
      <c r="Q69" s="299" t="n">
        <v>28600</v>
      </c>
      <c r="R69" s="299" t="n">
        <v>0</v>
      </c>
      <c r="S69" s="300" t="n">
        <v>1</v>
      </c>
      <c r="T69" t="n">
        <v>26</v>
      </c>
      <c r="U69" t="n">
        <v>0</v>
      </c>
      <c r="W69" s="300" t="n">
        <v>0.1056</v>
      </c>
      <c r="X69" s="297" t="n">
        <v>40963</v>
      </c>
      <c r="Y69">
        <f>IF(I69="","No SIC",IFERROR(VLOOKUP(I69,Ref!$A$2:$B$65,2,FALSE),"Unclassified"))</f>
        <v/>
      </c>
      <c r="Z69">
        <f>IF(T69="","",IF(T69&lt;12,"Daily","Weekly"))</f>
        <v/>
      </c>
      <c r="AA69">
        <f>IF(T69="",0,IF(T69&lt;12,T69*Controls!$B$29,T69*5))</f>
        <v/>
      </c>
      <c r="AB69">
        <f>IF(E69="",0,NETWORKDAYS(E69,Controls!$B$36,Ref!$K$2:$K$42))</f>
        <v/>
      </c>
      <c r="AC69">
        <f>IF(AND(AA69&gt;0,AB69&gt;=Controls!$B$39*AA69),1,0)</f>
        <v/>
      </c>
      <c r="AD69">
        <f>IF(AND(E69&lt;&gt;"",E69&gt;=Controls!$B$37,E69&lt;=Controls!$B$38),1,0)</f>
        <v/>
      </c>
      <c r="AE69">
        <f>IF(IFERROR(VLOOKUP(D69,Controls!$A$64:$E$74,2,FALSE),"No")="Yes",1,0)</f>
        <v/>
      </c>
      <c r="AF69">
        <f>IF(IFERROR(VLOOKUP(D69,Controls!$A$64:$E$74,3,FALSE),"No")="Yes",1,0)</f>
        <v/>
      </c>
      <c r="AG69">
        <f>IF(IFERROR(VLOOKUP(D69,Controls!$A$64:$E$74,4,FALSE),"No")="Yes",1,0)</f>
        <v/>
      </c>
      <c r="AH69">
        <f>IF(IFERROR(VLOOKUP(D69,Controls!$A$64:$E$74,5,FALSE),"No")="Yes",1,0)</f>
        <v/>
      </c>
      <c r="AI69">
        <f>IF(ISNUMBER(MATCH(D69,Controls!$A$64:$A$74,0)),1,0)</f>
        <v/>
      </c>
      <c r="AJ69">
        <f>Q69-N69</f>
        <v/>
      </c>
      <c r="AK69">
        <f>IF(AE69=1,MAX(0,N69-Q69),0)</f>
        <v/>
      </c>
      <c r="AL69">
        <f>IF(OR(V69="",V69=0),0,N69/V69)</f>
        <v/>
      </c>
      <c r="AM69">
        <f>IF(OR(V69="",V69=0),0,1)</f>
        <v/>
      </c>
      <c r="AN69">
        <f>IF(OR(E69="",F69=""),0,NETWORKDAYS(E69,F69,Ref!$K$2:$K$42))</f>
        <v/>
      </c>
      <c r="AO69">
        <f>IF(L69="Renewal",1,0)</f>
        <v/>
      </c>
      <c r="AP69">
        <f>AC69*AD69</f>
        <v/>
      </c>
      <c r="AQ69">
        <f>IF(AND(G69&lt;&gt;"",'Historical Score'!$C$6&lt;&gt;""),IF(G69='Historical Score'!$C$6,1,0),0)</f>
        <v/>
      </c>
      <c r="AR69">
        <f>IF(AND(L69&lt;&gt;"",'Historical Score'!$C$5&lt;&gt;""),IF(L69='Historical Score'!$C$5,1,0),0)</f>
        <v/>
      </c>
      <c r="AS69">
        <f>IF(AND(Y69&lt;&gt;"",'Historical Score'!$C$7&lt;&gt;""),IF(Y69='Historical Score'!$C$7,1,0),0)</f>
        <v/>
      </c>
      <c r="AT69">
        <f>IF(AND(K69&lt;&gt;"",'Historical Score'!$C$8&lt;&gt;""),IF(K69='Historical Score'!$C$8,1,0),0)</f>
        <v/>
      </c>
      <c r="AU69">
        <f>IF(AND(J69&lt;&gt;"",'Historical Score'!$C$9&lt;&gt;""),IF(J69='Historical Score'!$C$9,1,0),0)</f>
        <v/>
      </c>
      <c r="AV69">
        <f>AR69*AS69*AQ69</f>
        <v/>
      </c>
      <c r="AW69">
        <f>AR69*AT69*AQ69</f>
        <v/>
      </c>
      <c r="AX69">
        <f>AR69*AS69</f>
        <v/>
      </c>
      <c r="AY69">
        <f>AR69*AT69</f>
        <v/>
      </c>
      <c r="AZ69">
        <f>AR69*AQ69</f>
        <v/>
      </c>
      <c r="BA69">
        <f>AR69</f>
        <v/>
      </c>
      <c r="BB69">
        <f>1</f>
        <v/>
      </c>
      <c r="BC69">
        <f>IF(AV69=1,1,IF(AW69=1,2,IF(AX69=1,3,IF(AY69=1,4,IF(AZ69=1,5,IF(BA69=1,6,7))))))</f>
        <v/>
      </c>
      <c r="BD69">
        <f>IF(AD69=1,CHOOSE('Historical Score'!$C$29,AV69,AW69,AX69,AY69,AZ69,BA69,BB69),0)</f>
        <v/>
      </c>
      <c r="BE69">
        <f>IF(BD69=1,COUNTIF($BD$2:BD69,1),"")</f>
        <v/>
      </c>
    </row>
    <row r="70">
      <c r="A70" t="inlineStr">
        <is>
          <t>5674154793</t>
        </is>
      </c>
      <c r="B70" t="inlineStr">
        <is>
          <t>Charlie's Electric LLC</t>
        </is>
      </c>
      <c r="C70" t="inlineStr">
        <is>
          <t>Charlie's Electric LLC</t>
        </is>
      </c>
      <c r="D70" t="inlineStr">
        <is>
          <t>Closed</t>
        </is>
      </c>
      <c r="E70" s="297" t="n">
        <v>45757</v>
      </c>
      <c r="F70" s="297" t="n">
        <v>45860</v>
      </c>
      <c r="G70" t="n">
        <v>7</v>
      </c>
      <c r="H70" t="inlineStr">
        <is>
          <t>1731</t>
        </is>
      </c>
      <c r="I70" t="inlineStr">
        <is>
          <t>17</t>
        </is>
      </c>
      <c r="J70" t="inlineStr">
        <is>
          <t>OH</t>
        </is>
      </c>
      <c r="K70" t="inlineStr">
        <is>
          <t>Vanguard Equities</t>
        </is>
      </c>
      <c r="L70" t="inlineStr">
        <is>
          <t>New Deal</t>
        </is>
      </c>
      <c r="M70" s="298" t="n">
        <v>1.49</v>
      </c>
      <c r="N70" s="299" t="n">
        <v>4000</v>
      </c>
      <c r="O70" s="299" t="n">
        <v>560</v>
      </c>
      <c r="P70" s="299" t="n">
        <v>5960</v>
      </c>
      <c r="Q70" s="299" t="n">
        <v>5960</v>
      </c>
      <c r="R70" s="299" t="n">
        <v>0</v>
      </c>
      <c r="S70" s="300" t="n">
        <v>1</v>
      </c>
      <c r="T70" t="n">
        <v>2.295</v>
      </c>
      <c r="U70" t="n">
        <v>0</v>
      </c>
      <c r="W70" s="300" t="n">
        <v>0.0424</v>
      </c>
      <c r="X70" s="297" t="n"/>
      <c r="Y70">
        <f>IF(I70="","No SIC",IFERROR(VLOOKUP(I70,Ref!$A$2:$B$65,2,FALSE),"Unclassified"))</f>
        <v/>
      </c>
      <c r="Z70">
        <f>IF(T70="","",IF(T70&lt;12,"Daily","Weekly"))</f>
        <v/>
      </c>
      <c r="AA70">
        <f>IF(T70="",0,IF(T70&lt;12,T70*Controls!$B$29,T70*5))</f>
        <v/>
      </c>
      <c r="AB70">
        <f>IF(E70="",0,NETWORKDAYS(E70,Controls!$B$36,Ref!$K$2:$K$42))</f>
        <v/>
      </c>
      <c r="AC70">
        <f>IF(AND(AA70&gt;0,AB70&gt;=Controls!$B$39*AA70),1,0)</f>
        <v/>
      </c>
      <c r="AD70">
        <f>IF(AND(E70&lt;&gt;"",E70&gt;=Controls!$B$37,E70&lt;=Controls!$B$38),1,0)</f>
        <v/>
      </c>
      <c r="AE70">
        <f>IF(IFERROR(VLOOKUP(D70,Controls!$A$64:$E$74,2,FALSE),"No")="Yes",1,0)</f>
        <v/>
      </c>
      <c r="AF70">
        <f>IF(IFERROR(VLOOKUP(D70,Controls!$A$64:$E$74,3,FALSE),"No")="Yes",1,0)</f>
        <v/>
      </c>
      <c r="AG70">
        <f>IF(IFERROR(VLOOKUP(D70,Controls!$A$64:$E$74,4,FALSE),"No")="Yes",1,0)</f>
        <v/>
      </c>
      <c r="AH70">
        <f>IF(IFERROR(VLOOKUP(D70,Controls!$A$64:$E$74,5,FALSE),"No")="Yes",1,0)</f>
        <v/>
      </c>
      <c r="AI70">
        <f>IF(ISNUMBER(MATCH(D70,Controls!$A$64:$A$74,0)),1,0)</f>
        <v/>
      </c>
      <c r="AJ70">
        <f>Q70-N70</f>
        <v/>
      </c>
      <c r="AK70">
        <f>IF(AE70=1,MAX(0,N70-Q70),0)</f>
        <v/>
      </c>
      <c r="AL70">
        <f>IF(OR(V70="",V70=0),0,N70/V70)</f>
        <v/>
      </c>
      <c r="AM70">
        <f>IF(OR(V70="",V70=0),0,1)</f>
        <v/>
      </c>
      <c r="AN70">
        <f>IF(OR(E70="",F70=""),0,NETWORKDAYS(E70,F70,Ref!$K$2:$K$42))</f>
        <v/>
      </c>
      <c r="AO70">
        <f>IF(L70="Renewal",1,0)</f>
        <v/>
      </c>
      <c r="AP70">
        <f>AC70*AD70</f>
        <v/>
      </c>
      <c r="AQ70">
        <f>IF(AND(G70&lt;&gt;"",'Historical Score'!$C$6&lt;&gt;""),IF(G70='Historical Score'!$C$6,1,0),0)</f>
        <v/>
      </c>
      <c r="AR70">
        <f>IF(AND(L70&lt;&gt;"",'Historical Score'!$C$5&lt;&gt;""),IF(L70='Historical Score'!$C$5,1,0),0)</f>
        <v/>
      </c>
      <c r="AS70">
        <f>IF(AND(Y70&lt;&gt;"",'Historical Score'!$C$7&lt;&gt;""),IF(Y70='Historical Score'!$C$7,1,0),0)</f>
        <v/>
      </c>
      <c r="AT70">
        <f>IF(AND(K70&lt;&gt;"",'Historical Score'!$C$8&lt;&gt;""),IF(K70='Historical Score'!$C$8,1,0),0)</f>
        <v/>
      </c>
      <c r="AU70">
        <f>IF(AND(J70&lt;&gt;"",'Historical Score'!$C$9&lt;&gt;""),IF(J70='Historical Score'!$C$9,1,0),0)</f>
        <v/>
      </c>
      <c r="AV70">
        <f>AR70*AS70*AQ70</f>
        <v/>
      </c>
      <c r="AW70">
        <f>AR70*AT70*AQ70</f>
        <v/>
      </c>
      <c r="AX70">
        <f>AR70*AS70</f>
        <v/>
      </c>
      <c r="AY70">
        <f>AR70*AT70</f>
        <v/>
      </c>
      <c r="AZ70">
        <f>AR70*AQ70</f>
        <v/>
      </c>
      <c r="BA70">
        <f>AR70</f>
        <v/>
      </c>
      <c r="BB70">
        <f>1</f>
        <v/>
      </c>
      <c r="BC70">
        <f>IF(AV70=1,1,IF(AW70=1,2,IF(AX70=1,3,IF(AY70=1,4,IF(AZ70=1,5,IF(BA70=1,6,7))))))</f>
        <v/>
      </c>
      <c r="BD70">
        <f>IF(AD70=1,CHOOSE('Historical Score'!$C$29,AV70,AW70,AX70,AY70,AZ70,BA70,BB70),0)</f>
        <v/>
      </c>
      <c r="BE70">
        <f>IF(BD70=1,COUNTIF($BD$2:BD70,1),"")</f>
        <v/>
      </c>
    </row>
    <row r="71">
      <c r="A71" t="inlineStr">
        <is>
          <t>5674154803</t>
        </is>
      </c>
      <c r="B71" t="inlineStr">
        <is>
          <t>BLUE SKY DESIGNER LANSCAPE</t>
        </is>
      </c>
      <c r="C71" t="inlineStr">
        <is>
          <t>BLUE SKY DESIGNER LANDSCAPE LLC</t>
        </is>
      </c>
      <c r="D71" t="inlineStr">
        <is>
          <t>Legal</t>
        </is>
      </c>
      <c r="E71" s="297" t="n">
        <v>45757</v>
      </c>
      <c r="F71" s="297" t="n">
        <v>45939</v>
      </c>
      <c r="G71" t="n">
        <v>2</v>
      </c>
      <c r="H71" t="inlineStr">
        <is>
          <t>0782</t>
        </is>
      </c>
      <c r="I71" t="inlineStr">
        <is>
          <t>07</t>
        </is>
      </c>
      <c r="J71" t="inlineStr">
        <is>
          <t>AZ</t>
        </is>
      </c>
      <c r="K71" t="inlineStr">
        <is>
          <t>Platform Funding</t>
        </is>
      </c>
      <c r="L71" t="inlineStr">
        <is>
          <t>New Deal</t>
        </is>
      </c>
      <c r="M71" s="298" t="n">
        <v>1.45</v>
      </c>
      <c r="N71" s="299" t="n">
        <v>30000</v>
      </c>
      <c r="O71" s="299" t="n">
        <v>4200</v>
      </c>
      <c r="P71" s="299" t="n">
        <v>43500</v>
      </c>
      <c r="Q71" s="299" t="n">
        <v>10251.74</v>
      </c>
      <c r="R71" s="299" t="n">
        <v>33248.26</v>
      </c>
      <c r="S71" s="300" t="n">
        <v>0.235672183908046</v>
      </c>
      <c r="T71" t="n">
        <v>28</v>
      </c>
      <c r="U71" t="n">
        <v>7</v>
      </c>
      <c r="W71" s="300" t="n">
        <v>0.1161</v>
      </c>
      <c r="X71" s="297" t="n">
        <v>44206</v>
      </c>
      <c r="Y71">
        <f>IF(I71="","No SIC",IFERROR(VLOOKUP(I71,Ref!$A$2:$B$65,2,FALSE),"Unclassified"))</f>
        <v/>
      </c>
      <c r="Z71">
        <f>IF(T71="","",IF(T71&lt;12,"Daily","Weekly"))</f>
        <v/>
      </c>
      <c r="AA71">
        <f>IF(T71="",0,IF(T71&lt;12,T71*Controls!$B$29,T71*5))</f>
        <v/>
      </c>
      <c r="AB71">
        <f>IF(E71="",0,NETWORKDAYS(E71,Controls!$B$36,Ref!$K$2:$K$42))</f>
        <v/>
      </c>
      <c r="AC71">
        <f>IF(AND(AA71&gt;0,AB71&gt;=Controls!$B$39*AA71),1,0)</f>
        <v/>
      </c>
      <c r="AD71">
        <f>IF(AND(E71&lt;&gt;"",E71&gt;=Controls!$B$37,E71&lt;=Controls!$B$38),1,0)</f>
        <v/>
      </c>
      <c r="AE71">
        <f>IF(IFERROR(VLOOKUP(D71,Controls!$A$64:$E$74,2,FALSE),"No")="Yes",1,0)</f>
        <v/>
      </c>
      <c r="AF71">
        <f>IF(IFERROR(VLOOKUP(D71,Controls!$A$64:$E$74,3,FALSE),"No")="Yes",1,0)</f>
        <v/>
      </c>
      <c r="AG71">
        <f>IF(IFERROR(VLOOKUP(D71,Controls!$A$64:$E$74,4,FALSE),"No")="Yes",1,0)</f>
        <v/>
      </c>
      <c r="AH71">
        <f>IF(IFERROR(VLOOKUP(D71,Controls!$A$64:$E$74,5,FALSE),"No")="Yes",1,0)</f>
        <v/>
      </c>
      <c r="AI71">
        <f>IF(ISNUMBER(MATCH(D71,Controls!$A$64:$A$74,0)),1,0)</f>
        <v/>
      </c>
      <c r="AJ71">
        <f>Q71-N71</f>
        <v/>
      </c>
      <c r="AK71">
        <f>IF(AE71=1,MAX(0,N71-Q71),0)</f>
        <v/>
      </c>
      <c r="AL71">
        <f>IF(OR(V71="",V71=0),0,N71/V71)</f>
        <v/>
      </c>
      <c r="AM71">
        <f>IF(OR(V71="",V71=0),0,1)</f>
        <v/>
      </c>
      <c r="AN71">
        <f>IF(OR(E71="",F71=""),0,NETWORKDAYS(E71,F71,Ref!$K$2:$K$42))</f>
        <v/>
      </c>
      <c r="AO71">
        <f>IF(L71="Renewal",1,0)</f>
        <v/>
      </c>
      <c r="AP71">
        <f>AC71*AD71</f>
        <v/>
      </c>
      <c r="AQ71">
        <f>IF(AND(G71&lt;&gt;"",'Historical Score'!$C$6&lt;&gt;""),IF(G71='Historical Score'!$C$6,1,0),0)</f>
        <v/>
      </c>
      <c r="AR71">
        <f>IF(AND(L71&lt;&gt;"",'Historical Score'!$C$5&lt;&gt;""),IF(L71='Historical Score'!$C$5,1,0),0)</f>
        <v/>
      </c>
      <c r="AS71">
        <f>IF(AND(Y71&lt;&gt;"",'Historical Score'!$C$7&lt;&gt;""),IF(Y71='Historical Score'!$C$7,1,0),0)</f>
        <v/>
      </c>
      <c r="AT71">
        <f>IF(AND(K71&lt;&gt;"",'Historical Score'!$C$8&lt;&gt;""),IF(K71='Historical Score'!$C$8,1,0),0)</f>
        <v/>
      </c>
      <c r="AU71">
        <f>IF(AND(J71&lt;&gt;"",'Historical Score'!$C$9&lt;&gt;""),IF(J71='Historical Score'!$C$9,1,0),0)</f>
        <v/>
      </c>
      <c r="AV71">
        <f>AR71*AS71*AQ71</f>
        <v/>
      </c>
      <c r="AW71">
        <f>AR71*AT71*AQ71</f>
        <v/>
      </c>
      <c r="AX71">
        <f>AR71*AS71</f>
        <v/>
      </c>
      <c r="AY71">
        <f>AR71*AT71</f>
        <v/>
      </c>
      <c r="AZ71">
        <f>AR71*AQ71</f>
        <v/>
      </c>
      <c r="BA71">
        <f>AR71</f>
        <v/>
      </c>
      <c r="BB71">
        <f>1</f>
        <v/>
      </c>
      <c r="BC71">
        <f>IF(AV71=1,1,IF(AW71=1,2,IF(AX71=1,3,IF(AY71=1,4,IF(AZ71=1,5,IF(BA71=1,6,7))))))</f>
        <v/>
      </c>
      <c r="BD71">
        <f>IF(AD71=1,CHOOSE('Historical Score'!$C$29,AV71,AW71,AX71,AY71,AZ71,BA71,BB71),0)</f>
        <v/>
      </c>
      <c r="BE71">
        <f>IF(BD71=1,COUNTIF($BD$2:BD71,1),"")</f>
        <v/>
      </c>
    </row>
    <row r="72">
      <c r="A72" t="inlineStr">
        <is>
          <t>5674154834</t>
        </is>
      </c>
      <c r="B72" t="inlineStr">
        <is>
          <t>Doughboyz Pizzeria LLC</t>
        </is>
      </c>
      <c r="C72" t="inlineStr">
        <is>
          <t>Doughboyz Pizzeria LLC</t>
        </is>
      </c>
      <c r="D72" t="inlineStr">
        <is>
          <t>Legal</t>
        </is>
      </c>
      <c r="E72" s="297" t="n">
        <v>45757</v>
      </c>
      <c r="F72" s="297" t="n">
        <v>45925</v>
      </c>
      <c r="G72" t="n">
        <v>1</v>
      </c>
      <c r="H72" t="inlineStr">
        <is>
          <t>5812</t>
        </is>
      </c>
      <c r="I72" t="inlineStr">
        <is>
          <t>58</t>
        </is>
      </c>
      <c r="J72" t="inlineStr">
        <is>
          <t>KS</t>
        </is>
      </c>
      <c r="K72" t="inlineStr">
        <is>
          <t>Vanguard Equities</t>
        </is>
      </c>
      <c r="L72" t="inlineStr">
        <is>
          <t>New Deal</t>
        </is>
      </c>
      <c r="M72" s="298" t="n">
        <v>1.499</v>
      </c>
      <c r="N72" s="299" t="n">
        <v>8000</v>
      </c>
      <c r="O72" s="299" t="n">
        <v>1120</v>
      </c>
      <c r="P72" s="299" t="n">
        <v>11992</v>
      </c>
      <c r="Q72" s="299" t="n">
        <v>9597.059999999999</v>
      </c>
      <c r="R72" s="299" t="n">
        <v>2394.94</v>
      </c>
      <c r="S72" s="300" t="n">
        <v>0.8002885256837891</v>
      </c>
      <c r="T72" t="n">
        <v>15</v>
      </c>
      <c r="U72" t="n">
        <v>5</v>
      </c>
      <c r="W72" s="300" t="n">
        <v>0.3947</v>
      </c>
      <c r="X72" s="297" t="n"/>
      <c r="Y72">
        <f>IF(I72="","No SIC",IFERROR(VLOOKUP(I72,Ref!$A$2:$B$65,2,FALSE),"Unclassified"))</f>
        <v/>
      </c>
      <c r="Z72">
        <f>IF(T72="","",IF(T72&lt;12,"Daily","Weekly"))</f>
        <v/>
      </c>
      <c r="AA72">
        <f>IF(T72="",0,IF(T72&lt;12,T72*Controls!$B$29,T72*5))</f>
        <v/>
      </c>
      <c r="AB72">
        <f>IF(E72="",0,NETWORKDAYS(E72,Controls!$B$36,Ref!$K$2:$K$42))</f>
        <v/>
      </c>
      <c r="AC72">
        <f>IF(AND(AA72&gt;0,AB72&gt;=Controls!$B$39*AA72),1,0)</f>
        <v/>
      </c>
      <c r="AD72">
        <f>IF(AND(E72&lt;&gt;"",E72&gt;=Controls!$B$37,E72&lt;=Controls!$B$38),1,0)</f>
        <v/>
      </c>
      <c r="AE72">
        <f>IF(IFERROR(VLOOKUP(D72,Controls!$A$64:$E$74,2,FALSE),"No")="Yes",1,0)</f>
        <v/>
      </c>
      <c r="AF72">
        <f>IF(IFERROR(VLOOKUP(D72,Controls!$A$64:$E$74,3,FALSE),"No")="Yes",1,0)</f>
        <v/>
      </c>
      <c r="AG72">
        <f>IF(IFERROR(VLOOKUP(D72,Controls!$A$64:$E$74,4,FALSE),"No")="Yes",1,0)</f>
        <v/>
      </c>
      <c r="AH72">
        <f>IF(IFERROR(VLOOKUP(D72,Controls!$A$64:$E$74,5,FALSE),"No")="Yes",1,0)</f>
        <v/>
      </c>
      <c r="AI72">
        <f>IF(ISNUMBER(MATCH(D72,Controls!$A$64:$A$74,0)),1,0)</f>
        <v/>
      </c>
      <c r="AJ72">
        <f>Q72-N72</f>
        <v/>
      </c>
      <c r="AK72">
        <f>IF(AE72=1,MAX(0,N72-Q72),0)</f>
        <v/>
      </c>
      <c r="AL72">
        <f>IF(OR(V72="",V72=0),0,N72/V72)</f>
        <v/>
      </c>
      <c r="AM72">
        <f>IF(OR(V72="",V72=0),0,1)</f>
        <v/>
      </c>
      <c r="AN72">
        <f>IF(OR(E72="",F72=""),0,NETWORKDAYS(E72,F72,Ref!$K$2:$K$42))</f>
        <v/>
      </c>
      <c r="AO72">
        <f>IF(L72="Renewal",1,0)</f>
        <v/>
      </c>
      <c r="AP72">
        <f>AC72*AD72</f>
        <v/>
      </c>
      <c r="AQ72">
        <f>IF(AND(G72&lt;&gt;"",'Historical Score'!$C$6&lt;&gt;""),IF(G72='Historical Score'!$C$6,1,0),0)</f>
        <v/>
      </c>
      <c r="AR72">
        <f>IF(AND(L72&lt;&gt;"",'Historical Score'!$C$5&lt;&gt;""),IF(L72='Historical Score'!$C$5,1,0),0)</f>
        <v/>
      </c>
      <c r="AS72">
        <f>IF(AND(Y72&lt;&gt;"",'Historical Score'!$C$7&lt;&gt;""),IF(Y72='Historical Score'!$C$7,1,0),0)</f>
        <v/>
      </c>
      <c r="AT72">
        <f>IF(AND(K72&lt;&gt;"",'Historical Score'!$C$8&lt;&gt;""),IF(K72='Historical Score'!$C$8,1,0),0)</f>
        <v/>
      </c>
      <c r="AU72">
        <f>IF(AND(J72&lt;&gt;"",'Historical Score'!$C$9&lt;&gt;""),IF(J72='Historical Score'!$C$9,1,0),0)</f>
        <v/>
      </c>
      <c r="AV72">
        <f>AR72*AS72*AQ72</f>
        <v/>
      </c>
      <c r="AW72">
        <f>AR72*AT72*AQ72</f>
        <v/>
      </c>
      <c r="AX72">
        <f>AR72*AS72</f>
        <v/>
      </c>
      <c r="AY72">
        <f>AR72*AT72</f>
        <v/>
      </c>
      <c r="AZ72">
        <f>AR72*AQ72</f>
        <v/>
      </c>
      <c r="BA72">
        <f>AR72</f>
        <v/>
      </c>
      <c r="BB72">
        <f>1</f>
        <v/>
      </c>
      <c r="BC72">
        <f>IF(AV72=1,1,IF(AW72=1,2,IF(AX72=1,3,IF(AY72=1,4,IF(AZ72=1,5,IF(BA72=1,6,7))))))</f>
        <v/>
      </c>
      <c r="BD72">
        <f>IF(AD72=1,CHOOSE('Historical Score'!$C$29,AV72,AW72,AX72,AY72,AZ72,BA72,BB72),0)</f>
        <v/>
      </c>
      <c r="BE72">
        <f>IF(BD72=1,COUNTIF($BD$2:BD72,1),"")</f>
        <v/>
      </c>
    </row>
    <row r="73">
      <c r="A73" t="inlineStr">
        <is>
          <t>5674154843</t>
        </is>
      </c>
      <c r="B73" t="inlineStr">
        <is>
          <t>K&amp;S ENGINEERS INC</t>
        </is>
      </c>
      <c r="C73" t="inlineStr">
        <is>
          <t>K&amp;S ENGINEERS INC</t>
        </is>
      </c>
      <c r="D73" t="inlineStr">
        <is>
          <t>Closed</t>
        </is>
      </c>
      <c r="E73" s="297" t="n">
        <v>45757</v>
      </c>
      <c r="F73" s="297" t="n">
        <v>45952</v>
      </c>
      <c r="G73" t="n">
        <v>1</v>
      </c>
      <c r="H73" t="inlineStr">
        <is>
          <t>8711</t>
        </is>
      </c>
      <c r="I73" t="inlineStr">
        <is>
          <t>87</t>
        </is>
      </c>
      <c r="J73" t="inlineStr">
        <is>
          <t>IN</t>
        </is>
      </c>
      <c r="K73" t="inlineStr">
        <is>
          <t>Fidelity Funding</t>
        </is>
      </c>
      <c r="L73" t="inlineStr">
        <is>
          <t>New Deal</t>
        </is>
      </c>
      <c r="M73" s="298" t="n">
        <v>1.35</v>
      </c>
      <c r="N73" s="299" t="n">
        <v>70000</v>
      </c>
      <c r="O73" s="299" t="n">
        <v>4900</v>
      </c>
      <c r="P73" s="299" t="n">
        <v>94500</v>
      </c>
      <c r="Q73" s="299" t="n">
        <v>94500</v>
      </c>
      <c r="R73" s="299" t="n">
        <v>0</v>
      </c>
      <c r="S73" s="300" t="n">
        <v>1</v>
      </c>
      <c r="T73" t="n">
        <v>4.262</v>
      </c>
      <c r="U73" t="n">
        <v>5</v>
      </c>
      <c r="W73" s="300" t="n">
        <v>0.0418</v>
      </c>
      <c r="X73" s="297" t="n">
        <v>30864</v>
      </c>
      <c r="Y73">
        <f>IF(I73="","No SIC",IFERROR(VLOOKUP(I73,Ref!$A$2:$B$65,2,FALSE),"Unclassified"))</f>
        <v/>
      </c>
      <c r="Z73">
        <f>IF(T73="","",IF(T73&lt;12,"Daily","Weekly"))</f>
        <v/>
      </c>
      <c r="AA73">
        <f>IF(T73="",0,IF(T73&lt;12,T73*Controls!$B$29,T73*5))</f>
        <v/>
      </c>
      <c r="AB73">
        <f>IF(E73="",0,NETWORKDAYS(E73,Controls!$B$36,Ref!$K$2:$K$42))</f>
        <v/>
      </c>
      <c r="AC73">
        <f>IF(AND(AA73&gt;0,AB73&gt;=Controls!$B$39*AA73),1,0)</f>
        <v/>
      </c>
      <c r="AD73">
        <f>IF(AND(E73&lt;&gt;"",E73&gt;=Controls!$B$37,E73&lt;=Controls!$B$38),1,0)</f>
        <v/>
      </c>
      <c r="AE73">
        <f>IF(IFERROR(VLOOKUP(D73,Controls!$A$64:$E$74,2,FALSE),"No")="Yes",1,0)</f>
        <v/>
      </c>
      <c r="AF73">
        <f>IF(IFERROR(VLOOKUP(D73,Controls!$A$64:$E$74,3,FALSE),"No")="Yes",1,0)</f>
        <v/>
      </c>
      <c r="AG73">
        <f>IF(IFERROR(VLOOKUP(D73,Controls!$A$64:$E$74,4,FALSE),"No")="Yes",1,0)</f>
        <v/>
      </c>
      <c r="AH73">
        <f>IF(IFERROR(VLOOKUP(D73,Controls!$A$64:$E$74,5,FALSE),"No")="Yes",1,0)</f>
        <v/>
      </c>
      <c r="AI73">
        <f>IF(ISNUMBER(MATCH(D73,Controls!$A$64:$A$74,0)),1,0)</f>
        <v/>
      </c>
      <c r="AJ73">
        <f>Q73-N73</f>
        <v/>
      </c>
      <c r="AK73">
        <f>IF(AE73=1,MAX(0,N73-Q73),0)</f>
        <v/>
      </c>
      <c r="AL73">
        <f>IF(OR(V73="",V73=0),0,N73/V73)</f>
        <v/>
      </c>
      <c r="AM73">
        <f>IF(OR(V73="",V73=0),0,1)</f>
        <v/>
      </c>
      <c r="AN73">
        <f>IF(OR(E73="",F73=""),0,NETWORKDAYS(E73,F73,Ref!$K$2:$K$42))</f>
        <v/>
      </c>
      <c r="AO73">
        <f>IF(L73="Renewal",1,0)</f>
        <v/>
      </c>
      <c r="AP73">
        <f>AC73*AD73</f>
        <v/>
      </c>
      <c r="AQ73">
        <f>IF(AND(G73&lt;&gt;"",'Historical Score'!$C$6&lt;&gt;""),IF(G73='Historical Score'!$C$6,1,0),0)</f>
        <v/>
      </c>
      <c r="AR73">
        <f>IF(AND(L73&lt;&gt;"",'Historical Score'!$C$5&lt;&gt;""),IF(L73='Historical Score'!$C$5,1,0),0)</f>
        <v/>
      </c>
      <c r="AS73">
        <f>IF(AND(Y73&lt;&gt;"",'Historical Score'!$C$7&lt;&gt;""),IF(Y73='Historical Score'!$C$7,1,0),0)</f>
        <v/>
      </c>
      <c r="AT73">
        <f>IF(AND(K73&lt;&gt;"",'Historical Score'!$C$8&lt;&gt;""),IF(K73='Historical Score'!$C$8,1,0),0)</f>
        <v/>
      </c>
      <c r="AU73">
        <f>IF(AND(J73&lt;&gt;"",'Historical Score'!$C$9&lt;&gt;""),IF(J73='Historical Score'!$C$9,1,0),0)</f>
        <v/>
      </c>
      <c r="AV73">
        <f>AR73*AS73*AQ73</f>
        <v/>
      </c>
      <c r="AW73">
        <f>AR73*AT73*AQ73</f>
        <v/>
      </c>
      <c r="AX73">
        <f>AR73*AS73</f>
        <v/>
      </c>
      <c r="AY73">
        <f>AR73*AT73</f>
        <v/>
      </c>
      <c r="AZ73">
        <f>AR73*AQ73</f>
        <v/>
      </c>
      <c r="BA73">
        <f>AR73</f>
        <v/>
      </c>
      <c r="BB73">
        <f>1</f>
        <v/>
      </c>
      <c r="BC73">
        <f>IF(AV73=1,1,IF(AW73=1,2,IF(AX73=1,3,IF(AY73=1,4,IF(AZ73=1,5,IF(BA73=1,6,7))))))</f>
        <v/>
      </c>
      <c r="BD73">
        <f>IF(AD73=1,CHOOSE('Historical Score'!$C$29,AV73,AW73,AX73,AY73,AZ73,BA73,BB73),0)</f>
        <v/>
      </c>
      <c r="BE73">
        <f>IF(BD73=1,COUNTIF($BD$2:BD73,1),"")</f>
        <v/>
      </c>
    </row>
    <row r="74">
      <c r="A74" t="inlineStr">
        <is>
          <t>5674154901</t>
        </is>
      </c>
      <c r="B74" t="inlineStr">
        <is>
          <t>Tree valley landscaping</t>
        </is>
      </c>
      <c r="C74" t="inlineStr">
        <is>
          <t>Tree valley landscaping</t>
        </is>
      </c>
      <c r="D74" t="inlineStr">
        <is>
          <t>Closed</t>
        </is>
      </c>
      <c r="E74" s="297" t="n">
        <v>45758</v>
      </c>
      <c r="F74" s="297" t="n">
        <v>45862</v>
      </c>
      <c r="G74" t="n">
        <v>1</v>
      </c>
      <c r="H74" t="inlineStr">
        <is>
          <t>0783</t>
        </is>
      </c>
      <c r="I74" t="inlineStr">
        <is>
          <t>07</t>
        </is>
      </c>
      <c r="J74" t="inlineStr">
        <is>
          <t>TX</t>
        </is>
      </c>
      <c r="K74" t="inlineStr">
        <is>
          <t>Platform Funding</t>
        </is>
      </c>
      <c r="L74" t="inlineStr">
        <is>
          <t>New Deal</t>
        </is>
      </c>
      <c r="M74" s="298" t="n">
        <v>1.45</v>
      </c>
      <c r="N74" s="299" t="n">
        <v>5000</v>
      </c>
      <c r="O74" s="299" t="n">
        <v>600</v>
      </c>
      <c r="P74" s="299" t="n">
        <v>7250</v>
      </c>
      <c r="Q74" s="299" t="n">
        <v>7250</v>
      </c>
      <c r="R74" s="299" t="n">
        <v>0</v>
      </c>
      <c r="S74" s="300" t="n">
        <v>1</v>
      </c>
      <c r="T74" t="n">
        <v>1.967</v>
      </c>
      <c r="U74" t="n">
        <v>7</v>
      </c>
      <c r="W74" s="300" t="n">
        <v>0.06</v>
      </c>
      <c r="X74" s="297" t="n">
        <v>42954</v>
      </c>
      <c r="Y74">
        <f>IF(I74="","No SIC",IFERROR(VLOOKUP(I74,Ref!$A$2:$B$65,2,FALSE),"Unclassified"))</f>
        <v/>
      </c>
      <c r="Z74">
        <f>IF(T74="","",IF(T74&lt;12,"Daily","Weekly"))</f>
        <v/>
      </c>
      <c r="AA74">
        <f>IF(T74="",0,IF(T74&lt;12,T74*Controls!$B$29,T74*5))</f>
        <v/>
      </c>
      <c r="AB74">
        <f>IF(E74="",0,NETWORKDAYS(E74,Controls!$B$36,Ref!$K$2:$K$42))</f>
        <v/>
      </c>
      <c r="AC74">
        <f>IF(AND(AA74&gt;0,AB74&gt;=Controls!$B$39*AA74),1,0)</f>
        <v/>
      </c>
      <c r="AD74">
        <f>IF(AND(E74&lt;&gt;"",E74&gt;=Controls!$B$37,E74&lt;=Controls!$B$38),1,0)</f>
        <v/>
      </c>
      <c r="AE74">
        <f>IF(IFERROR(VLOOKUP(D74,Controls!$A$64:$E$74,2,FALSE),"No")="Yes",1,0)</f>
        <v/>
      </c>
      <c r="AF74">
        <f>IF(IFERROR(VLOOKUP(D74,Controls!$A$64:$E$74,3,FALSE),"No")="Yes",1,0)</f>
        <v/>
      </c>
      <c r="AG74">
        <f>IF(IFERROR(VLOOKUP(D74,Controls!$A$64:$E$74,4,FALSE),"No")="Yes",1,0)</f>
        <v/>
      </c>
      <c r="AH74">
        <f>IF(IFERROR(VLOOKUP(D74,Controls!$A$64:$E$74,5,FALSE),"No")="Yes",1,0)</f>
        <v/>
      </c>
      <c r="AI74">
        <f>IF(ISNUMBER(MATCH(D74,Controls!$A$64:$A$74,0)),1,0)</f>
        <v/>
      </c>
      <c r="AJ74">
        <f>Q74-N74</f>
        <v/>
      </c>
      <c r="AK74">
        <f>IF(AE74=1,MAX(0,N74-Q74),0)</f>
        <v/>
      </c>
      <c r="AL74">
        <f>IF(OR(V74="",V74=0),0,N74/V74)</f>
        <v/>
      </c>
      <c r="AM74">
        <f>IF(OR(V74="",V74=0),0,1)</f>
        <v/>
      </c>
      <c r="AN74">
        <f>IF(OR(E74="",F74=""),0,NETWORKDAYS(E74,F74,Ref!$K$2:$K$42))</f>
        <v/>
      </c>
      <c r="AO74">
        <f>IF(L74="Renewal",1,0)</f>
        <v/>
      </c>
      <c r="AP74">
        <f>AC74*AD74</f>
        <v/>
      </c>
      <c r="AQ74">
        <f>IF(AND(G74&lt;&gt;"",'Historical Score'!$C$6&lt;&gt;""),IF(G74='Historical Score'!$C$6,1,0),0)</f>
        <v/>
      </c>
      <c r="AR74">
        <f>IF(AND(L74&lt;&gt;"",'Historical Score'!$C$5&lt;&gt;""),IF(L74='Historical Score'!$C$5,1,0),0)</f>
        <v/>
      </c>
      <c r="AS74">
        <f>IF(AND(Y74&lt;&gt;"",'Historical Score'!$C$7&lt;&gt;""),IF(Y74='Historical Score'!$C$7,1,0),0)</f>
        <v/>
      </c>
      <c r="AT74">
        <f>IF(AND(K74&lt;&gt;"",'Historical Score'!$C$8&lt;&gt;""),IF(K74='Historical Score'!$C$8,1,0),0)</f>
        <v/>
      </c>
      <c r="AU74">
        <f>IF(AND(J74&lt;&gt;"",'Historical Score'!$C$9&lt;&gt;""),IF(J74='Historical Score'!$C$9,1,0),0)</f>
        <v/>
      </c>
      <c r="AV74">
        <f>AR74*AS74*AQ74</f>
        <v/>
      </c>
      <c r="AW74">
        <f>AR74*AT74*AQ74</f>
        <v/>
      </c>
      <c r="AX74">
        <f>AR74*AS74</f>
        <v/>
      </c>
      <c r="AY74">
        <f>AR74*AT74</f>
        <v/>
      </c>
      <c r="AZ74">
        <f>AR74*AQ74</f>
        <v/>
      </c>
      <c r="BA74">
        <f>AR74</f>
        <v/>
      </c>
      <c r="BB74">
        <f>1</f>
        <v/>
      </c>
      <c r="BC74">
        <f>IF(AV74=1,1,IF(AW74=1,2,IF(AX74=1,3,IF(AY74=1,4,IF(AZ74=1,5,IF(BA74=1,6,7))))))</f>
        <v/>
      </c>
      <c r="BD74">
        <f>IF(AD74=1,CHOOSE('Historical Score'!$C$29,AV74,AW74,AX74,AY74,AZ74,BA74,BB74),0)</f>
        <v/>
      </c>
      <c r="BE74">
        <f>IF(BD74=1,COUNTIF($BD$2:BD74,1),"")</f>
        <v/>
      </c>
    </row>
    <row r="75">
      <c r="A75" t="inlineStr">
        <is>
          <t>5674154923</t>
        </is>
      </c>
      <c r="B75" t="inlineStr">
        <is>
          <t>The Container Girls</t>
        </is>
      </c>
      <c r="C75" t="inlineStr">
        <is>
          <t>Containers 4 Sale, LLC</t>
        </is>
      </c>
      <c r="D75" t="inlineStr">
        <is>
          <t>Legal</t>
        </is>
      </c>
      <c r="E75" s="297" t="n">
        <v>45758</v>
      </c>
      <c r="F75" s="297" t="n">
        <v>46038</v>
      </c>
      <c r="G75" t="n">
        <v>1</v>
      </c>
      <c r="H75" t="inlineStr">
        <is>
          <t>3412</t>
        </is>
      </c>
      <c r="I75" t="inlineStr">
        <is>
          <t>34</t>
        </is>
      </c>
      <c r="J75" t="inlineStr">
        <is>
          <t>UT</t>
        </is>
      </c>
      <c r="K75" t="inlineStr">
        <is>
          <t>FC ADVANCE</t>
        </is>
      </c>
      <c r="L75" t="inlineStr">
        <is>
          <t>New Deal</t>
        </is>
      </c>
      <c r="M75" s="298" t="n">
        <v>1.49</v>
      </c>
      <c r="N75" s="299" t="n">
        <v>20000</v>
      </c>
      <c r="O75" s="299" t="n">
        <v>0</v>
      </c>
      <c r="P75" s="299" t="n">
        <v>29800</v>
      </c>
      <c r="Q75" s="299" t="n">
        <v>20003.4</v>
      </c>
      <c r="R75" s="299" t="n">
        <v>9796.6</v>
      </c>
      <c r="S75" s="300" t="n">
        <v>0.671255033557047</v>
      </c>
      <c r="T75" t="n">
        <v>18</v>
      </c>
      <c r="U75" t="n">
        <v>1</v>
      </c>
      <c r="W75" s="300" t="n">
        <v>0.09229999999999999</v>
      </c>
      <c r="X75" s="297" t="n">
        <v>44044</v>
      </c>
      <c r="Y75">
        <f>IF(I75="","No SIC",IFERROR(VLOOKUP(I75,Ref!$A$2:$B$65,2,FALSE),"Unclassified"))</f>
        <v/>
      </c>
      <c r="Z75">
        <f>IF(T75="","",IF(T75&lt;12,"Daily","Weekly"))</f>
        <v/>
      </c>
      <c r="AA75">
        <f>IF(T75="",0,IF(T75&lt;12,T75*Controls!$B$29,T75*5))</f>
        <v/>
      </c>
      <c r="AB75">
        <f>IF(E75="",0,NETWORKDAYS(E75,Controls!$B$36,Ref!$K$2:$K$42))</f>
        <v/>
      </c>
      <c r="AC75">
        <f>IF(AND(AA75&gt;0,AB75&gt;=Controls!$B$39*AA75),1,0)</f>
        <v/>
      </c>
      <c r="AD75">
        <f>IF(AND(E75&lt;&gt;"",E75&gt;=Controls!$B$37,E75&lt;=Controls!$B$38),1,0)</f>
        <v/>
      </c>
      <c r="AE75">
        <f>IF(IFERROR(VLOOKUP(D75,Controls!$A$64:$E$74,2,FALSE),"No")="Yes",1,0)</f>
        <v/>
      </c>
      <c r="AF75">
        <f>IF(IFERROR(VLOOKUP(D75,Controls!$A$64:$E$74,3,FALSE),"No")="Yes",1,0)</f>
        <v/>
      </c>
      <c r="AG75">
        <f>IF(IFERROR(VLOOKUP(D75,Controls!$A$64:$E$74,4,FALSE),"No")="Yes",1,0)</f>
        <v/>
      </c>
      <c r="AH75">
        <f>IF(IFERROR(VLOOKUP(D75,Controls!$A$64:$E$74,5,FALSE),"No")="Yes",1,0)</f>
        <v/>
      </c>
      <c r="AI75">
        <f>IF(ISNUMBER(MATCH(D75,Controls!$A$64:$A$74,0)),1,0)</f>
        <v/>
      </c>
      <c r="AJ75">
        <f>Q75-N75</f>
        <v/>
      </c>
      <c r="AK75">
        <f>IF(AE75=1,MAX(0,N75-Q75),0)</f>
        <v/>
      </c>
      <c r="AL75">
        <f>IF(OR(V75="",V75=0),0,N75/V75)</f>
        <v/>
      </c>
      <c r="AM75">
        <f>IF(OR(V75="",V75=0),0,1)</f>
        <v/>
      </c>
      <c r="AN75">
        <f>IF(OR(E75="",F75=""),0,NETWORKDAYS(E75,F75,Ref!$K$2:$K$42))</f>
        <v/>
      </c>
      <c r="AO75">
        <f>IF(L75="Renewal",1,0)</f>
        <v/>
      </c>
      <c r="AP75">
        <f>AC75*AD75</f>
        <v/>
      </c>
      <c r="AQ75">
        <f>IF(AND(G75&lt;&gt;"",'Historical Score'!$C$6&lt;&gt;""),IF(G75='Historical Score'!$C$6,1,0),0)</f>
        <v/>
      </c>
      <c r="AR75">
        <f>IF(AND(L75&lt;&gt;"",'Historical Score'!$C$5&lt;&gt;""),IF(L75='Historical Score'!$C$5,1,0),0)</f>
        <v/>
      </c>
      <c r="AS75">
        <f>IF(AND(Y75&lt;&gt;"",'Historical Score'!$C$7&lt;&gt;""),IF(Y75='Historical Score'!$C$7,1,0),0)</f>
        <v/>
      </c>
      <c r="AT75">
        <f>IF(AND(K75&lt;&gt;"",'Historical Score'!$C$8&lt;&gt;""),IF(K75='Historical Score'!$C$8,1,0),0)</f>
        <v/>
      </c>
      <c r="AU75">
        <f>IF(AND(J75&lt;&gt;"",'Historical Score'!$C$9&lt;&gt;""),IF(J75='Historical Score'!$C$9,1,0),0)</f>
        <v/>
      </c>
      <c r="AV75">
        <f>AR75*AS75*AQ75</f>
        <v/>
      </c>
      <c r="AW75">
        <f>AR75*AT75*AQ75</f>
        <v/>
      </c>
      <c r="AX75">
        <f>AR75*AS75</f>
        <v/>
      </c>
      <c r="AY75">
        <f>AR75*AT75</f>
        <v/>
      </c>
      <c r="AZ75">
        <f>AR75*AQ75</f>
        <v/>
      </c>
      <c r="BA75">
        <f>AR75</f>
        <v/>
      </c>
      <c r="BB75">
        <f>1</f>
        <v/>
      </c>
      <c r="BC75">
        <f>IF(AV75=1,1,IF(AW75=1,2,IF(AX75=1,3,IF(AY75=1,4,IF(AZ75=1,5,IF(BA75=1,6,7))))))</f>
        <v/>
      </c>
      <c r="BD75">
        <f>IF(AD75=1,CHOOSE('Historical Score'!$C$29,AV75,AW75,AX75,AY75,AZ75,BA75,BB75),0)</f>
        <v/>
      </c>
      <c r="BE75">
        <f>IF(BD75=1,COUNTIF($BD$2:BD75,1),"")</f>
        <v/>
      </c>
    </row>
    <row r="76">
      <c r="A76" t="inlineStr">
        <is>
          <t>5674154953</t>
        </is>
      </c>
      <c r="B76" t="inlineStr">
        <is>
          <t>NFB Venture services Corp</t>
        </is>
      </c>
      <c r="C76" t="inlineStr">
        <is>
          <t>NFB Venture services Corp</t>
        </is>
      </c>
      <c r="D76" t="inlineStr">
        <is>
          <t>Closed/NSF Unpaid</t>
        </is>
      </c>
      <c r="E76" s="297" t="n">
        <v>45758</v>
      </c>
      <c r="F76" s="297" t="n">
        <v>46007</v>
      </c>
      <c r="G76" t="n">
        <v>2</v>
      </c>
      <c r="H76" t="inlineStr">
        <is>
          <t>7542</t>
        </is>
      </c>
      <c r="I76" t="inlineStr">
        <is>
          <t>75</t>
        </is>
      </c>
      <c r="J76" t="inlineStr">
        <is>
          <t>MA</t>
        </is>
      </c>
      <c r="K76" t="inlineStr">
        <is>
          <t>CARE FUNDING GROUP</t>
        </is>
      </c>
      <c r="L76" t="inlineStr">
        <is>
          <t>Renewal</t>
        </is>
      </c>
      <c r="M76" s="298" t="n">
        <v>1.49</v>
      </c>
      <c r="N76" s="299" t="n">
        <v>7000</v>
      </c>
      <c r="O76" s="299" t="n">
        <v>980</v>
      </c>
      <c r="P76" s="299" t="n">
        <v>10430</v>
      </c>
      <c r="Q76" s="299" t="n">
        <v>10430</v>
      </c>
      <c r="R76" s="299" t="n">
        <v>0</v>
      </c>
      <c r="S76" s="300" t="n">
        <v>1</v>
      </c>
      <c r="T76" t="n">
        <v>1.967</v>
      </c>
      <c r="U76" t="n">
        <v>15</v>
      </c>
      <c r="W76" s="300" t="n">
        <v>0.1159</v>
      </c>
      <c r="X76" s="297" t="n">
        <v>45402</v>
      </c>
      <c r="Y76">
        <f>IF(I76="","No SIC",IFERROR(VLOOKUP(I76,Ref!$A$2:$B$65,2,FALSE),"Unclassified"))</f>
        <v/>
      </c>
      <c r="Z76">
        <f>IF(T76="","",IF(T76&lt;12,"Daily","Weekly"))</f>
        <v/>
      </c>
      <c r="AA76">
        <f>IF(T76="",0,IF(T76&lt;12,T76*Controls!$B$29,T76*5))</f>
        <v/>
      </c>
      <c r="AB76">
        <f>IF(E76="",0,NETWORKDAYS(E76,Controls!$B$36,Ref!$K$2:$K$42))</f>
        <v/>
      </c>
      <c r="AC76">
        <f>IF(AND(AA76&gt;0,AB76&gt;=Controls!$B$39*AA76),1,0)</f>
        <v/>
      </c>
      <c r="AD76">
        <f>IF(AND(E76&lt;&gt;"",E76&gt;=Controls!$B$37,E76&lt;=Controls!$B$38),1,0)</f>
        <v/>
      </c>
      <c r="AE76">
        <f>IF(IFERROR(VLOOKUP(D76,Controls!$A$64:$E$74,2,FALSE),"No")="Yes",1,0)</f>
        <v/>
      </c>
      <c r="AF76">
        <f>IF(IFERROR(VLOOKUP(D76,Controls!$A$64:$E$74,3,FALSE),"No")="Yes",1,0)</f>
        <v/>
      </c>
      <c r="AG76">
        <f>IF(IFERROR(VLOOKUP(D76,Controls!$A$64:$E$74,4,FALSE),"No")="Yes",1,0)</f>
        <v/>
      </c>
      <c r="AH76">
        <f>IF(IFERROR(VLOOKUP(D76,Controls!$A$64:$E$74,5,FALSE),"No")="Yes",1,0)</f>
        <v/>
      </c>
      <c r="AI76">
        <f>IF(ISNUMBER(MATCH(D76,Controls!$A$64:$A$74,0)),1,0)</f>
        <v/>
      </c>
      <c r="AJ76">
        <f>Q76-N76</f>
        <v/>
      </c>
      <c r="AK76">
        <f>IF(AE76=1,MAX(0,N76-Q76),0)</f>
        <v/>
      </c>
      <c r="AL76">
        <f>IF(OR(V76="",V76=0),0,N76/V76)</f>
        <v/>
      </c>
      <c r="AM76">
        <f>IF(OR(V76="",V76=0),0,1)</f>
        <v/>
      </c>
      <c r="AN76">
        <f>IF(OR(E76="",F76=""),0,NETWORKDAYS(E76,F76,Ref!$K$2:$K$42))</f>
        <v/>
      </c>
      <c r="AO76">
        <f>IF(L76="Renewal",1,0)</f>
        <v/>
      </c>
      <c r="AP76">
        <f>AC76*AD76</f>
        <v/>
      </c>
      <c r="AQ76">
        <f>IF(AND(G76&lt;&gt;"",'Historical Score'!$C$6&lt;&gt;""),IF(G76='Historical Score'!$C$6,1,0),0)</f>
        <v/>
      </c>
      <c r="AR76">
        <f>IF(AND(L76&lt;&gt;"",'Historical Score'!$C$5&lt;&gt;""),IF(L76='Historical Score'!$C$5,1,0),0)</f>
        <v/>
      </c>
      <c r="AS76">
        <f>IF(AND(Y76&lt;&gt;"",'Historical Score'!$C$7&lt;&gt;""),IF(Y76='Historical Score'!$C$7,1,0),0)</f>
        <v/>
      </c>
      <c r="AT76">
        <f>IF(AND(K76&lt;&gt;"",'Historical Score'!$C$8&lt;&gt;""),IF(K76='Historical Score'!$C$8,1,0),0)</f>
        <v/>
      </c>
      <c r="AU76">
        <f>IF(AND(J76&lt;&gt;"",'Historical Score'!$C$9&lt;&gt;""),IF(J76='Historical Score'!$C$9,1,0),0)</f>
        <v/>
      </c>
      <c r="AV76">
        <f>AR76*AS76*AQ76</f>
        <v/>
      </c>
      <c r="AW76">
        <f>AR76*AT76*AQ76</f>
        <v/>
      </c>
      <c r="AX76">
        <f>AR76*AS76</f>
        <v/>
      </c>
      <c r="AY76">
        <f>AR76*AT76</f>
        <v/>
      </c>
      <c r="AZ76">
        <f>AR76*AQ76</f>
        <v/>
      </c>
      <c r="BA76">
        <f>AR76</f>
        <v/>
      </c>
      <c r="BB76">
        <f>1</f>
        <v/>
      </c>
      <c r="BC76">
        <f>IF(AV76=1,1,IF(AW76=1,2,IF(AX76=1,3,IF(AY76=1,4,IF(AZ76=1,5,IF(BA76=1,6,7))))))</f>
        <v/>
      </c>
      <c r="BD76">
        <f>IF(AD76=1,CHOOSE('Historical Score'!$C$29,AV76,AW76,AX76,AY76,AZ76,BA76,BB76),0)</f>
        <v/>
      </c>
      <c r="BE76">
        <f>IF(BD76=1,COUNTIF($BD$2:BD76,1),"")</f>
        <v/>
      </c>
    </row>
    <row r="77">
      <c r="A77" t="inlineStr">
        <is>
          <t>5674154958</t>
        </is>
      </c>
      <c r="B77" t="inlineStr">
        <is>
          <t>LTV EVENTS LLC</t>
        </is>
      </c>
      <c r="C77" t="inlineStr">
        <is>
          <t>LTV EVENTS LLC</t>
        </is>
      </c>
      <c r="D77" t="inlineStr">
        <is>
          <t>Closed</t>
        </is>
      </c>
      <c r="E77" s="297" t="n">
        <v>45758</v>
      </c>
      <c r="F77" s="297" t="n">
        <v>45825</v>
      </c>
      <c r="G77" t="n">
        <v>7</v>
      </c>
      <c r="H77" t="inlineStr">
        <is>
          <t>7299</t>
        </is>
      </c>
      <c r="I77" t="inlineStr">
        <is>
          <t>72</t>
        </is>
      </c>
      <c r="J77" t="inlineStr">
        <is>
          <t>IL</t>
        </is>
      </c>
      <c r="K77" t="inlineStr">
        <is>
          <t>Redline Capital</t>
        </is>
      </c>
      <c r="L77" t="inlineStr">
        <is>
          <t>New Deal</t>
        </is>
      </c>
      <c r="M77" s="298" t="n">
        <v>1.49</v>
      </c>
      <c r="N77" s="299" t="n">
        <v>10000</v>
      </c>
      <c r="O77" s="299" t="n">
        <v>1400</v>
      </c>
      <c r="P77" s="299" t="n">
        <v>14900</v>
      </c>
      <c r="Q77" s="299" t="n">
        <v>14900</v>
      </c>
      <c r="R77" s="299" t="n">
        <v>0</v>
      </c>
      <c r="S77" s="300" t="n">
        <v>1</v>
      </c>
      <c r="T77" t="n">
        <v>2.459</v>
      </c>
      <c r="U77" t="n">
        <v>0</v>
      </c>
      <c r="W77" s="300" t="n">
        <v>0.1466</v>
      </c>
      <c r="X77" s="297" t="n">
        <v>44256</v>
      </c>
      <c r="Y77">
        <f>IF(I77="","No SIC",IFERROR(VLOOKUP(I77,Ref!$A$2:$B$65,2,FALSE),"Unclassified"))</f>
        <v/>
      </c>
      <c r="Z77">
        <f>IF(T77="","",IF(T77&lt;12,"Daily","Weekly"))</f>
        <v/>
      </c>
      <c r="AA77">
        <f>IF(T77="",0,IF(T77&lt;12,T77*Controls!$B$29,T77*5))</f>
        <v/>
      </c>
      <c r="AB77">
        <f>IF(E77="",0,NETWORKDAYS(E77,Controls!$B$36,Ref!$K$2:$K$42))</f>
        <v/>
      </c>
      <c r="AC77">
        <f>IF(AND(AA77&gt;0,AB77&gt;=Controls!$B$39*AA77),1,0)</f>
        <v/>
      </c>
      <c r="AD77">
        <f>IF(AND(E77&lt;&gt;"",E77&gt;=Controls!$B$37,E77&lt;=Controls!$B$38),1,0)</f>
        <v/>
      </c>
      <c r="AE77">
        <f>IF(IFERROR(VLOOKUP(D77,Controls!$A$64:$E$74,2,FALSE),"No")="Yes",1,0)</f>
        <v/>
      </c>
      <c r="AF77">
        <f>IF(IFERROR(VLOOKUP(D77,Controls!$A$64:$E$74,3,FALSE),"No")="Yes",1,0)</f>
        <v/>
      </c>
      <c r="AG77">
        <f>IF(IFERROR(VLOOKUP(D77,Controls!$A$64:$E$74,4,FALSE),"No")="Yes",1,0)</f>
        <v/>
      </c>
      <c r="AH77">
        <f>IF(IFERROR(VLOOKUP(D77,Controls!$A$64:$E$74,5,FALSE),"No")="Yes",1,0)</f>
        <v/>
      </c>
      <c r="AI77">
        <f>IF(ISNUMBER(MATCH(D77,Controls!$A$64:$A$74,0)),1,0)</f>
        <v/>
      </c>
      <c r="AJ77">
        <f>Q77-N77</f>
        <v/>
      </c>
      <c r="AK77">
        <f>IF(AE77=1,MAX(0,N77-Q77),0)</f>
        <v/>
      </c>
      <c r="AL77">
        <f>IF(OR(V77="",V77=0),0,N77/V77)</f>
        <v/>
      </c>
      <c r="AM77">
        <f>IF(OR(V77="",V77=0),0,1)</f>
        <v/>
      </c>
      <c r="AN77">
        <f>IF(OR(E77="",F77=""),0,NETWORKDAYS(E77,F77,Ref!$K$2:$K$42))</f>
        <v/>
      </c>
      <c r="AO77">
        <f>IF(L77="Renewal",1,0)</f>
        <v/>
      </c>
      <c r="AP77">
        <f>AC77*AD77</f>
        <v/>
      </c>
      <c r="AQ77">
        <f>IF(AND(G77&lt;&gt;"",'Historical Score'!$C$6&lt;&gt;""),IF(G77='Historical Score'!$C$6,1,0),0)</f>
        <v/>
      </c>
      <c r="AR77">
        <f>IF(AND(L77&lt;&gt;"",'Historical Score'!$C$5&lt;&gt;""),IF(L77='Historical Score'!$C$5,1,0),0)</f>
        <v/>
      </c>
      <c r="AS77">
        <f>IF(AND(Y77&lt;&gt;"",'Historical Score'!$C$7&lt;&gt;""),IF(Y77='Historical Score'!$C$7,1,0),0)</f>
        <v/>
      </c>
      <c r="AT77">
        <f>IF(AND(K77&lt;&gt;"",'Historical Score'!$C$8&lt;&gt;""),IF(K77='Historical Score'!$C$8,1,0),0)</f>
        <v/>
      </c>
      <c r="AU77">
        <f>IF(AND(J77&lt;&gt;"",'Historical Score'!$C$9&lt;&gt;""),IF(J77='Historical Score'!$C$9,1,0),0)</f>
        <v/>
      </c>
      <c r="AV77">
        <f>AR77*AS77*AQ77</f>
        <v/>
      </c>
      <c r="AW77">
        <f>AR77*AT77*AQ77</f>
        <v/>
      </c>
      <c r="AX77">
        <f>AR77*AS77</f>
        <v/>
      </c>
      <c r="AY77">
        <f>AR77*AT77</f>
        <v/>
      </c>
      <c r="AZ77">
        <f>AR77*AQ77</f>
        <v/>
      </c>
      <c r="BA77">
        <f>AR77</f>
        <v/>
      </c>
      <c r="BB77">
        <f>1</f>
        <v/>
      </c>
      <c r="BC77">
        <f>IF(AV77=1,1,IF(AW77=1,2,IF(AX77=1,3,IF(AY77=1,4,IF(AZ77=1,5,IF(BA77=1,6,7))))))</f>
        <v/>
      </c>
      <c r="BD77">
        <f>IF(AD77=1,CHOOSE('Historical Score'!$C$29,AV77,AW77,AX77,AY77,AZ77,BA77,BB77),0)</f>
        <v/>
      </c>
      <c r="BE77">
        <f>IF(BD77=1,COUNTIF($BD$2:BD77,1),"")</f>
        <v/>
      </c>
    </row>
    <row r="78">
      <c r="A78" t="inlineStr">
        <is>
          <t>5674154965</t>
        </is>
      </c>
      <c r="B78" t="inlineStr">
        <is>
          <t>Umart</t>
        </is>
      </c>
      <c r="C78" t="inlineStr">
        <is>
          <t>Fareed Inc</t>
        </is>
      </c>
      <c r="D78" t="inlineStr">
        <is>
          <t>Legal</t>
        </is>
      </c>
      <c r="E78" s="297" t="n">
        <v>45758</v>
      </c>
      <c r="F78" s="297" t="n">
        <v>45784</v>
      </c>
      <c r="G78" t="n">
        <v>2</v>
      </c>
      <c r="H78" t="inlineStr">
        <is>
          <t>5541</t>
        </is>
      </c>
      <c r="I78" t="inlineStr">
        <is>
          <t>55</t>
        </is>
      </c>
      <c r="J78" t="inlineStr">
        <is>
          <t>FL</t>
        </is>
      </c>
      <c r="K78" t="inlineStr">
        <is>
          <t>Fundible</t>
        </is>
      </c>
      <c r="L78" t="inlineStr">
        <is>
          <t>New Deal</t>
        </is>
      </c>
      <c r="M78" s="298" t="n">
        <v>1.49</v>
      </c>
      <c r="N78" s="299" t="n">
        <v>5000</v>
      </c>
      <c r="O78" s="299" t="n">
        <v>700</v>
      </c>
      <c r="P78" s="299" t="n">
        <v>7450</v>
      </c>
      <c r="Q78" s="299" t="n">
        <v>1118.07</v>
      </c>
      <c r="R78" s="299" t="n">
        <v>6331.93</v>
      </c>
      <c r="S78" s="300" t="n">
        <v>0.150076510067114</v>
      </c>
      <c r="T78" t="n">
        <v>1.967</v>
      </c>
      <c r="U78" t="n">
        <v>9</v>
      </c>
      <c r="W78" s="300" t="n"/>
      <c r="X78" s="297" t="n">
        <v>45170</v>
      </c>
      <c r="Y78">
        <f>IF(I78="","No SIC",IFERROR(VLOOKUP(I78,Ref!$A$2:$B$65,2,FALSE),"Unclassified"))</f>
        <v/>
      </c>
      <c r="Z78">
        <f>IF(T78="","",IF(T78&lt;12,"Daily","Weekly"))</f>
        <v/>
      </c>
      <c r="AA78">
        <f>IF(T78="",0,IF(T78&lt;12,T78*Controls!$B$29,T78*5))</f>
        <v/>
      </c>
      <c r="AB78">
        <f>IF(E78="",0,NETWORKDAYS(E78,Controls!$B$36,Ref!$K$2:$K$42))</f>
        <v/>
      </c>
      <c r="AC78">
        <f>IF(AND(AA78&gt;0,AB78&gt;=Controls!$B$39*AA78),1,0)</f>
        <v/>
      </c>
      <c r="AD78">
        <f>IF(AND(E78&lt;&gt;"",E78&gt;=Controls!$B$37,E78&lt;=Controls!$B$38),1,0)</f>
        <v/>
      </c>
      <c r="AE78">
        <f>IF(IFERROR(VLOOKUP(D78,Controls!$A$64:$E$74,2,FALSE),"No")="Yes",1,0)</f>
        <v/>
      </c>
      <c r="AF78">
        <f>IF(IFERROR(VLOOKUP(D78,Controls!$A$64:$E$74,3,FALSE),"No")="Yes",1,0)</f>
        <v/>
      </c>
      <c r="AG78">
        <f>IF(IFERROR(VLOOKUP(D78,Controls!$A$64:$E$74,4,FALSE),"No")="Yes",1,0)</f>
        <v/>
      </c>
      <c r="AH78">
        <f>IF(IFERROR(VLOOKUP(D78,Controls!$A$64:$E$74,5,FALSE),"No")="Yes",1,0)</f>
        <v/>
      </c>
      <c r="AI78">
        <f>IF(ISNUMBER(MATCH(D78,Controls!$A$64:$A$74,0)),1,0)</f>
        <v/>
      </c>
      <c r="AJ78">
        <f>Q78-N78</f>
        <v/>
      </c>
      <c r="AK78">
        <f>IF(AE78=1,MAX(0,N78-Q78),0)</f>
        <v/>
      </c>
      <c r="AL78">
        <f>IF(OR(V78="",V78=0),0,N78/V78)</f>
        <v/>
      </c>
      <c r="AM78">
        <f>IF(OR(V78="",V78=0),0,1)</f>
        <v/>
      </c>
      <c r="AN78">
        <f>IF(OR(E78="",F78=""),0,NETWORKDAYS(E78,F78,Ref!$K$2:$K$42))</f>
        <v/>
      </c>
      <c r="AO78">
        <f>IF(L78="Renewal",1,0)</f>
        <v/>
      </c>
      <c r="AP78">
        <f>AC78*AD78</f>
        <v/>
      </c>
      <c r="AQ78">
        <f>IF(AND(G78&lt;&gt;"",'Historical Score'!$C$6&lt;&gt;""),IF(G78='Historical Score'!$C$6,1,0),0)</f>
        <v/>
      </c>
      <c r="AR78">
        <f>IF(AND(L78&lt;&gt;"",'Historical Score'!$C$5&lt;&gt;""),IF(L78='Historical Score'!$C$5,1,0),0)</f>
        <v/>
      </c>
      <c r="AS78">
        <f>IF(AND(Y78&lt;&gt;"",'Historical Score'!$C$7&lt;&gt;""),IF(Y78='Historical Score'!$C$7,1,0),0)</f>
        <v/>
      </c>
      <c r="AT78">
        <f>IF(AND(K78&lt;&gt;"",'Historical Score'!$C$8&lt;&gt;""),IF(K78='Historical Score'!$C$8,1,0),0)</f>
        <v/>
      </c>
      <c r="AU78">
        <f>IF(AND(J78&lt;&gt;"",'Historical Score'!$C$9&lt;&gt;""),IF(J78='Historical Score'!$C$9,1,0),0)</f>
        <v/>
      </c>
      <c r="AV78">
        <f>AR78*AS78*AQ78</f>
        <v/>
      </c>
      <c r="AW78">
        <f>AR78*AT78*AQ78</f>
        <v/>
      </c>
      <c r="AX78">
        <f>AR78*AS78</f>
        <v/>
      </c>
      <c r="AY78">
        <f>AR78*AT78</f>
        <v/>
      </c>
      <c r="AZ78">
        <f>AR78*AQ78</f>
        <v/>
      </c>
      <c r="BA78">
        <f>AR78</f>
        <v/>
      </c>
      <c r="BB78">
        <f>1</f>
        <v/>
      </c>
      <c r="BC78">
        <f>IF(AV78=1,1,IF(AW78=1,2,IF(AX78=1,3,IF(AY78=1,4,IF(AZ78=1,5,IF(BA78=1,6,7))))))</f>
        <v/>
      </c>
      <c r="BD78">
        <f>IF(AD78=1,CHOOSE('Historical Score'!$C$29,AV78,AW78,AX78,AY78,AZ78,BA78,BB78),0)</f>
        <v/>
      </c>
      <c r="BE78">
        <f>IF(BD78=1,COUNTIF($BD$2:BD78,1),"")</f>
        <v/>
      </c>
    </row>
    <row r="79">
      <c r="A79" t="inlineStr">
        <is>
          <t>5674155038</t>
        </is>
      </c>
      <c r="B79" t="inlineStr">
        <is>
          <t>So Baltimore, LLC</t>
        </is>
      </c>
      <c r="C79" t="inlineStr">
        <is>
          <t>So Baltimore, LLC</t>
        </is>
      </c>
      <c r="D79" t="inlineStr">
        <is>
          <t>Closed</t>
        </is>
      </c>
      <c r="E79" s="297" t="n">
        <v>45762</v>
      </c>
      <c r="F79" s="297" t="n">
        <v>45869</v>
      </c>
      <c r="G79" t="n">
        <v>5</v>
      </c>
      <c r="H79" t="inlineStr">
        <is>
          <t>5812</t>
        </is>
      </c>
      <c r="I79" t="inlineStr">
        <is>
          <t>58</t>
        </is>
      </c>
      <c r="J79" t="inlineStr">
        <is>
          <t>MD</t>
        </is>
      </c>
      <c r="K79" t="inlineStr">
        <is>
          <t>Llama Loan</t>
        </is>
      </c>
      <c r="L79" t="inlineStr">
        <is>
          <t>New Deal</t>
        </is>
      </c>
      <c r="M79" s="298" t="n">
        <v>1.43</v>
      </c>
      <c r="N79" s="299" t="n">
        <v>10000</v>
      </c>
      <c r="O79" s="299" t="n">
        <v>1100</v>
      </c>
      <c r="P79" s="299" t="n">
        <v>14300</v>
      </c>
      <c r="Q79" s="299" t="n">
        <v>14300</v>
      </c>
      <c r="R79" s="299" t="n">
        <v>0</v>
      </c>
      <c r="S79" s="300" t="n">
        <v>1</v>
      </c>
      <c r="T79" t="n">
        <v>2.295</v>
      </c>
      <c r="U79" t="n">
        <v>0</v>
      </c>
      <c r="W79" s="300" t="n">
        <v>0.0756</v>
      </c>
      <c r="X79" s="297" t="n">
        <v>44378</v>
      </c>
      <c r="Y79">
        <f>IF(I79="","No SIC",IFERROR(VLOOKUP(I79,Ref!$A$2:$B$65,2,FALSE),"Unclassified"))</f>
        <v/>
      </c>
      <c r="Z79">
        <f>IF(T79="","",IF(T79&lt;12,"Daily","Weekly"))</f>
        <v/>
      </c>
      <c r="AA79">
        <f>IF(T79="",0,IF(T79&lt;12,T79*Controls!$B$29,T79*5))</f>
        <v/>
      </c>
      <c r="AB79">
        <f>IF(E79="",0,NETWORKDAYS(E79,Controls!$B$36,Ref!$K$2:$K$42))</f>
        <v/>
      </c>
      <c r="AC79">
        <f>IF(AND(AA79&gt;0,AB79&gt;=Controls!$B$39*AA79),1,0)</f>
        <v/>
      </c>
      <c r="AD79">
        <f>IF(AND(E79&lt;&gt;"",E79&gt;=Controls!$B$37,E79&lt;=Controls!$B$38),1,0)</f>
        <v/>
      </c>
      <c r="AE79">
        <f>IF(IFERROR(VLOOKUP(D79,Controls!$A$64:$E$74,2,FALSE),"No")="Yes",1,0)</f>
        <v/>
      </c>
      <c r="AF79">
        <f>IF(IFERROR(VLOOKUP(D79,Controls!$A$64:$E$74,3,FALSE),"No")="Yes",1,0)</f>
        <v/>
      </c>
      <c r="AG79">
        <f>IF(IFERROR(VLOOKUP(D79,Controls!$A$64:$E$74,4,FALSE),"No")="Yes",1,0)</f>
        <v/>
      </c>
      <c r="AH79">
        <f>IF(IFERROR(VLOOKUP(D79,Controls!$A$64:$E$74,5,FALSE),"No")="Yes",1,0)</f>
        <v/>
      </c>
      <c r="AI79">
        <f>IF(ISNUMBER(MATCH(D79,Controls!$A$64:$A$74,0)),1,0)</f>
        <v/>
      </c>
      <c r="AJ79">
        <f>Q79-N79</f>
        <v/>
      </c>
      <c r="AK79">
        <f>IF(AE79=1,MAX(0,N79-Q79),0)</f>
        <v/>
      </c>
      <c r="AL79">
        <f>IF(OR(V79="",V79=0),0,N79/V79)</f>
        <v/>
      </c>
      <c r="AM79">
        <f>IF(OR(V79="",V79=0),0,1)</f>
        <v/>
      </c>
      <c r="AN79">
        <f>IF(OR(E79="",F79=""),0,NETWORKDAYS(E79,F79,Ref!$K$2:$K$42))</f>
        <v/>
      </c>
      <c r="AO79">
        <f>IF(L79="Renewal",1,0)</f>
        <v/>
      </c>
      <c r="AP79">
        <f>AC79*AD79</f>
        <v/>
      </c>
      <c r="AQ79">
        <f>IF(AND(G79&lt;&gt;"",'Historical Score'!$C$6&lt;&gt;""),IF(G79='Historical Score'!$C$6,1,0),0)</f>
        <v/>
      </c>
      <c r="AR79">
        <f>IF(AND(L79&lt;&gt;"",'Historical Score'!$C$5&lt;&gt;""),IF(L79='Historical Score'!$C$5,1,0),0)</f>
        <v/>
      </c>
      <c r="AS79">
        <f>IF(AND(Y79&lt;&gt;"",'Historical Score'!$C$7&lt;&gt;""),IF(Y79='Historical Score'!$C$7,1,0),0)</f>
        <v/>
      </c>
      <c r="AT79">
        <f>IF(AND(K79&lt;&gt;"",'Historical Score'!$C$8&lt;&gt;""),IF(K79='Historical Score'!$C$8,1,0),0)</f>
        <v/>
      </c>
      <c r="AU79">
        <f>IF(AND(J79&lt;&gt;"",'Historical Score'!$C$9&lt;&gt;""),IF(J79='Historical Score'!$C$9,1,0),0)</f>
        <v/>
      </c>
      <c r="AV79">
        <f>AR79*AS79*AQ79</f>
        <v/>
      </c>
      <c r="AW79">
        <f>AR79*AT79*AQ79</f>
        <v/>
      </c>
      <c r="AX79">
        <f>AR79*AS79</f>
        <v/>
      </c>
      <c r="AY79">
        <f>AR79*AT79</f>
        <v/>
      </c>
      <c r="AZ79">
        <f>AR79*AQ79</f>
        <v/>
      </c>
      <c r="BA79">
        <f>AR79</f>
        <v/>
      </c>
      <c r="BB79">
        <f>1</f>
        <v/>
      </c>
      <c r="BC79">
        <f>IF(AV79=1,1,IF(AW79=1,2,IF(AX79=1,3,IF(AY79=1,4,IF(AZ79=1,5,IF(BA79=1,6,7))))))</f>
        <v/>
      </c>
      <c r="BD79">
        <f>IF(AD79=1,CHOOSE('Historical Score'!$C$29,AV79,AW79,AX79,AY79,AZ79,BA79,BB79),0)</f>
        <v/>
      </c>
      <c r="BE79">
        <f>IF(BD79=1,COUNTIF($BD$2:BD79,1),"")</f>
        <v/>
      </c>
    </row>
    <row r="80">
      <c r="A80" t="inlineStr">
        <is>
          <t>5674155151</t>
        </is>
      </c>
      <c r="B80" t="inlineStr">
        <is>
          <t>Bental electric</t>
        </is>
      </c>
      <c r="C80" t="inlineStr">
        <is>
          <t>Bental electric</t>
        </is>
      </c>
      <c r="D80" t="inlineStr">
        <is>
          <t>Legal</t>
        </is>
      </c>
      <c r="E80" s="297" t="n">
        <v>45763</v>
      </c>
      <c r="F80" s="297" t="n">
        <v>45866</v>
      </c>
      <c r="G80" t="n">
        <v>4</v>
      </c>
      <c r="H80" t="inlineStr">
        <is>
          <t>1731</t>
        </is>
      </c>
      <c r="I80" t="inlineStr">
        <is>
          <t>17</t>
        </is>
      </c>
      <c r="J80" t="inlineStr">
        <is>
          <t>CA</t>
        </is>
      </c>
      <c r="K80" t="inlineStr">
        <is>
          <t>Fund Your Bizz</t>
        </is>
      </c>
      <c r="L80" t="inlineStr">
        <is>
          <t>New Deal</t>
        </is>
      </c>
      <c r="M80" s="298" t="n">
        <v>1.49</v>
      </c>
      <c r="N80" s="299" t="n">
        <v>10000</v>
      </c>
      <c r="O80" s="299" t="n">
        <v>0</v>
      </c>
      <c r="P80" s="299" t="n">
        <v>14900</v>
      </c>
      <c r="Q80" s="299" t="n">
        <v>6411.72</v>
      </c>
      <c r="R80" s="299" t="n">
        <v>8488.280000000001</v>
      </c>
      <c r="S80" s="300" t="n">
        <v>0.43031677852349</v>
      </c>
      <c r="T80" t="n">
        <v>2.131</v>
      </c>
      <c r="U80" t="n">
        <v>24</v>
      </c>
      <c r="W80" s="300" t="n">
        <v>0.0531</v>
      </c>
      <c r="X80" s="297" t="n">
        <v>38081</v>
      </c>
      <c r="Y80">
        <f>IF(I80="","No SIC",IFERROR(VLOOKUP(I80,Ref!$A$2:$B$65,2,FALSE),"Unclassified"))</f>
        <v/>
      </c>
      <c r="Z80">
        <f>IF(T80="","",IF(T80&lt;12,"Daily","Weekly"))</f>
        <v/>
      </c>
      <c r="AA80">
        <f>IF(T80="",0,IF(T80&lt;12,T80*Controls!$B$29,T80*5))</f>
        <v/>
      </c>
      <c r="AB80">
        <f>IF(E80="",0,NETWORKDAYS(E80,Controls!$B$36,Ref!$K$2:$K$42))</f>
        <v/>
      </c>
      <c r="AC80">
        <f>IF(AND(AA80&gt;0,AB80&gt;=Controls!$B$39*AA80),1,0)</f>
        <v/>
      </c>
      <c r="AD80">
        <f>IF(AND(E80&lt;&gt;"",E80&gt;=Controls!$B$37,E80&lt;=Controls!$B$38),1,0)</f>
        <v/>
      </c>
      <c r="AE80">
        <f>IF(IFERROR(VLOOKUP(D80,Controls!$A$64:$E$74,2,FALSE),"No")="Yes",1,0)</f>
        <v/>
      </c>
      <c r="AF80">
        <f>IF(IFERROR(VLOOKUP(D80,Controls!$A$64:$E$74,3,FALSE),"No")="Yes",1,0)</f>
        <v/>
      </c>
      <c r="AG80">
        <f>IF(IFERROR(VLOOKUP(D80,Controls!$A$64:$E$74,4,FALSE),"No")="Yes",1,0)</f>
        <v/>
      </c>
      <c r="AH80">
        <f>IF(IFERROR(VLOOKUP(D80,Controls!$A$64:$E$74,5,FALSE),"No")="Yes",1,0)</f>
        <v/>
      </c>
      <c r="AI80">
        <f>IF(ISNUMBER(MATCH(D80,Controls!$A$64:$A$74,0)),1,0)</f>
        <v/>
      </c>
      <c r="AJ80">
        <f>Q80-N80</f>
        <v/>
      </c>
      <c r="AK80">
        <f>IF(AE80=1,MAX(0,N80-Q80),0)</f>
        <v/>
      </c>
      <c r="AL80">
        <f>IF(OR(V80="",V80=0),0,N80/V80)</f>
        <v/>
      </c>
      <c r="AM80">
        <f>IF(OR(V80="",V80=0),0,1)</f>
        <v/>
      </c>
      <c r="AN80">
        <f>IF(OR(E80="",F80=""),0,NETWORKDAYS(E80,F80,Ref!$K$2:$K$42))</f>
        <v/>
      </c>
      <c r="AO80">
        <f>IF(L80="Renewal",1,0)</f>
        <v/>
      </c>
      <c r="AP80">
        <f>AC80*AD80</f>
        <v/>
      </c>
      <c r="AQ80">
        <f>IF(AND(G80&lt;&gt;"",'Historical Score'!$C$6&lt;&gt;""),IF(G80='Historical Score'!$C$6,1,0),0)</f>
        <v/>
      </c>
      <c r="AR80">
        <f>IF(AND(L80&lt;&gt;"",'Historical Score'!$C$5&lt;&gt;""),IF(L80='Historical Score'!$C$5,1,0),0)</f>
        <v/>
      </c>
      <c r="AS80">
        <f>IF(AND(Y80&lt;&gt;"",'Historical Score'!$C$7&lt;&gt;""),IF(Y80='Historical Score'!$C$7,1,0),0)</f>
        <v/>
      </c>
      <c r="AT80">
        <f>IF(AND(K80&lt;&gt;"",'Historical Score'!$C$8&lt;&gt;""),IF(K80='Historical Score'!$C$8,1,0),0)</f>
        <v/>
      </c>
      <c r="AU80">
        <f>IF(AND(J80&lt;&gt;"",'Historical Score'!$C$9&lt;&gt;""),IF(J80='Historical Score'!$C$9,1,0),0)</f>
        <v/>
      </c>
      <c r="AV80">
        <f>AR80*AS80*AQ80</f>
        <v/>
      </c>
      <c r="AW80">
        <f>AR80*AT80*AQ80</f>
        <v/>
      </c>
      <c r="AX80">
        <f>AR80*AS80</f>
        <v/>
      </c>
      <c r="AY80">
        <f>AR80*AT80</f>
        <v/>
      </c>
      <c r="AZ80">
        <f>AR80*AQ80</f>
        <v/>
      </c>
      <c r="BA80">
        <f>AR80</f>
        <v/>
      </c>
      <c r="BB80">
        <f>1</f>
        <v/>
      </c>
      <c r="BC80">
        <f>IF(AV80=1,1,IF(AW80=1,2,IF(AX80=1,3,IF(AY80=1,4,IF(AZ80=1,5,IF(BA80=1,6,7))))))</f>
        <v/>
      </c>
      <c r="BD80">
        <f>IF(AD80=1,CHOOSE('Historical Score'!$C$29,AV80,AW80,AX80,AY80,AZ80,BA80,BB80),0)</f>
        <v/>
      </c>
      <c r="BE80">
        <f>IF(BD80=1,COUNTIF($BD$2:BD80,1),"")</f>
        <v/>
      </c>
    </row>
    <row r="81">
      <c r="A81" t="inlineStr">
        <is>
          <t>5674155206</t>
        </is>
      </c>
      <c r="B81" t="inlineStr">
        <is>
          <t>Grappling Zone</t>
        </is>
      </c>
      <c r="C81" t="inlineStr">
        <is>
          <t>Grappling Zone</t>
        </is>
      </c>
      <c r="D81" t="inlineStr">
        <is>
          <t>Legal</t>
        </is>
      </c>
      <c r="E81" s="297" t="n">
        <v>45764</v>
      </c>
      <c r="F81" s="297" t="n">
        <v>45839</v>
      </c>
      <c r="G81" t="n">
        <v>1</v>
      </c>
      <c r="H81" t="inlineStr">
        <is>
          <t>7991</t>
        </is>
      </c>
      <c r="I81" t="inlineStr">
        <is>
          <t>79</t>
        </is>
      </c>
      <c r="J81" t="inlineStr">
        <is>
          <t>TX</t>
        </is>
      </c>
      <c r="K81" t="inlineStr">
        <is>
          <t>Westwood</t>
        </is>
      </c>
      <c r="L81" t="inlineStr">
        <is>
          <t>New Deal</t>
        </is>
      </c>
      <c r="M81" s="298" t="n">
        <v>1.49</v>
      </c>
      <c r="N81" s="299" t="n">
        <v>20000</v>
      </c>
      <c r="O81" s="299" t="n">
        <v>2800</v>
      </c>
      <c r="P81" s="299" t="n">
        <v>29800</v>
      </c>
      <c r="Q81" s="299" t="n">
        <v>9188.58</v>
      </c>
      <c r="R81" s="299" t="n">
        <v>20611.42</v>
      </c>
      <c r="S81" s="300" t="n">
        <v>0.308341610738255</v>
      </c>
      <c r="T81" t="n">
        <v>3.934</v>
      </c>
      <c r="U81" t="n">
        <v>14</v>
      </c>
      <c r="W81" s="300" t="n">
        <v>0.2302</v>
      </c>
      <c r="X81" s="297" t="n"/>
      <c r="Y81">
        <f>IF(I81="","No SIC",IFERROR(VLOOKUP(I81,Ref!$A$2:$B$65,2,FALSE),"Unclassified"))</f>
        <v/>
      </c>
      <c r="Z81">
        <f>IF(T81="","",IF(T81&lt;12,"Daily","Weekly"))</f>
        <v/>
      </c>
      <c r="AA81">
        <f>IF(T81="",0,IF(T81&lt;12,T81*Controls!$B$29,T81*5))</f>
        <v/>
      </c>
      <c r="AB81">
        <f>IF(E81="",0,NETWORKDAYS(E81,Controls!$B$36,Ref!$K$2:$K$42))</f>
        <v/>
      </c>
      <c r="AC81">
        <f>IF(AND(AA81&gt;0,AB81&gt;=Controls!$B$39*AA81),1,0)</f>
        <v/>
      </c>
      <c r="AD81">
        <f>IF(AND(E81&lt;&gt;"",E81&gt;=Controls!$B$37,E81&lt;=Controls!$B$38),1,0)</f>
        <v/>
      </c>
      <c r="AE81">
        <f>IF(IFERROR(VLOOKUP(D81,Controls!$A$64:$E$74,2,FALSE),"No")="Yes",1,0)</f>
        <v/>
      </c>
      <c r="AF81">
        <f>IF(IFERROR(VLOOKUP(D81,Controls!$A$64:$E$74,3,FALSE),"No")="Yes",1,0)</f>
        <v/>
      </c>
      <c r="AG81">
        <f>IF(IFERROR(VLOOKUP(D81,Controls!$A$64:$E$74,4,FALSE),"No")="Yes",1,0)</f>
        <v/>
      </c>
      <c r="AH81">
        <f>IF(IFERROR(VLOOKUP(D81,Controls!$A$64:$E$74,5,FALSE),"No")="Yes",1,0)</f>
        <v/>
      </c>
      <c r="AI81">
        <f>IF(ISNUMBER(MATCH(D81,Controls!$A$64:$A$74,0)),1,0)</f>
        <v/>
      </c>
      <c r="AJ81">
        <f>Q81-N81</f>
        <v/>
      </c>
      <c r="AK81">
        <f>IF(AE81=1,MAX(0,N81-Q81),0)</f>
        <v/>
      </c>
      <c r="AL81">
        <f>IF(OR(V81="",V81=0),0,N81/V81)</f>
        <v/>
      </c>
      <c r="AM81">
        <f>IF(OR(V81="",V81=0),0,1)</f>
        <v/>
      </c>
      <c r="AN81">
        <f>IF(OR(E81="",F81=""),0,NETWORKDAYS(E81,F81,Ref!$K$2:$K$42))</f>
        <v/>
      </c>
      <c r="AO81">
        <f>IF(L81="Renewal",1,0)</f>
        <v/>
      </c>
      <c r="AP81">
        <f>AC81*AD81</f>
        <v/>
      </c>
      <c r="AQ81">
        <f>IF(AND(G81&lt;&gt;"",'Historical Score'!$C$6&lt;&gt;""),IF(G81='Historical Score'!$C$6,1,0),0)</f>
        <v/>
      </c>
      <c r="AR81">
        <f>IF(AND(L81&lt;&gt;"",'Historical Score'!$C$5&lt;&gt;""),IF(L81='Historical Score'!$C$5,1,0),0)</f>
        <v/>
      </c>
      <c r="AS81">
        <f>IF(AND(Y81&lt;&gt;"",'Historical Score'!$C$7&lt;&gt;""),IF(Y81='Historical Score'!$C$7,1,0),0)</f>
        <v/>
      </c>
      <c r="AT81">
        <f>IF(AND(K81&lt;&gt;"",'Historical Score'!$C$8&lt;&gt;""),IF(K81='Historical Score'!$C$8,1,0),0)</f>
        <v/>
      </c>
      <c r="AU81">
        <f>IF(AND(J81&lt;&gt;"",'Historical Score'!$C$9&lt;&gt;""),IF(J81='Historical Score'!$C$9,1,0),0)</f>
        <v/>
      </c>
      <c r="AV81">
        <f>AR81*AS81*AQ81</f>
        <v/>
      </c>
      <c r="AW81">
        <f>AR81*AT81*AQ81</f>
        <v/>
      </c>
      <c r="AX81">
        <f>AR81*AS81</f>
        <v/>
      </c>
      <c r="AY81">
        <f>AR81*AT81</f>
        <v/>
      </c>
      <c r="AZ81">
        <f>AR81*AQ81</f>
        <v/>
      </c>
      <c r="BA81">
        <f>AR81</f>
        <v/>
      </c>
      <c r="BB81">
        <f>1</f>
        <v/>
      </c>
      <c r="BC81">
        <f>IF(AV81=1,1,IF(AW81=1,2,IF(AX81=1,3,IF(AY81=1,4,IF(AZ81=1,5,IF(BA81=1,6,7))))))</f>
        <v/>
      </c>
      <c r="BD81">
        <f>IF(AD81=1,CHOOSE('Historical Score'!$C$29,AV81,AW81,AX81,AY81,AZ81,BA81,BB81),0)</f>
        <v/>
      </c>
      <c r="BE81">
        <f>IF(BD81=1,COUNTIF($BD$2:BD81,1),"")</f>
        <v/>
      </c>
    </row>
    <row r="82">
      <c r="A82" t="inlineStr">
        <is>
          <t>5674155271</t>
        </is>
      </c>
      <c r="B82" t="inlineStr">
        <is>
          <t>M EASY LOGISTICS LLC</t>
        </is>
      </c>
      <c r="C82" t="inlineStr">
        <is>
          <t>M EASY LOGISTICS LLC</t>
        </is>
      </c>
      <c r="D82" t="inlineStr">
        <is>
          <t>Written-Off</t>
        </is>
      </c>
      <c r="E82" s="297" t="n">
        <v>45765</v>
      </c>
      <c r="F82" s="297" t="n">
        <v>45894</v>
      </c>
      <c r="G82" t="n">
        <v>3</v>
      </c>
      <c r="H82" t="inlineStr">
        <is>
          <t>4212</t>
        </is>
      </c>
      <c r="I82" t="inlineStr">
        <is>
          <t>42</t>
        </is>
      </c>
      <c r="J82" t="inlineStr">
        <is>
          <t>NJ</t>
        </is>
      </c>
      <c r="K82" t="inlineStr">
        <is>
          <t>PMF</t>
        </is>
      </c>
      <c r="L82" t="inlineStr">
        <is>
          <t>New Deal</t>
        </is>
      </c>
      <c r="M82" s="298" t="n">
        <v>1.49</v>
      </c>
      <c r="N82" s="299" t="n">
        <v>8000</v>
      </c>
      <c r="O82" s="299" t="n">
        <v>1120</v>
      </c>
      <c r="P82" s="299" t="n">
        <v>11920</v>
      </c>
      <c r="Q82" s="299" t="n">
        <v>11224.71</v>
      </c>
      <c r="R82" s="299" t="n">
        <v>695.290000000001</v>
      </c>
      <c r="S82" s="300" t="n">
        <v>0.9416703020134231</v>
      </c>
      <c r="T82" t="n">
        <v>1.967</v>
      </c>
      <c r="U82" t="n">
        <v>9</v>
      </c>
      <c r="W82" s="300" t="n">
        <v>0.0494</v>
      </c>
      <c r="X82" s="297" t="n">
        <v>43466</v>
      </c>
      <c r="Y82">
        <f>IF(I82="","No SIC",IFERROR(VLOOKUP(I82,Ref!$A$2:$B$65,2,FALSE),"Unclassified"))</f>
        <v/>
      </c>
      <c r="Z82">
        <f>IF(T82="","",IF(T82&lt;12,"Daily","Weekly"))</f>
        <v/>
      </c>
      <c r="AA82">
        <f>IF(T82="",0,IF(T82&lt;12,T82*Controls!$B$29,T82*5))</f>
        <v/>
      </c>
      <c r="AB82">
        <f>IF(E82="",0,NETWORKDAYS(E82,Controls!$B$36,Ref!$K$2:$K$42))</f>
        <v/>
      </c>
      <c r="AC82">
        <f>IF(AND(AA82&gt;0,AB82&gt;=Controls!$B$39*AA82),1,0)</f>
        <v/>
      </c>
      <c r="AD82">
        <f>IF(AND(E82&lt;&gt;"",E82&gt;=Controls!$B$37,E82&lt;=Controls!$B$38),1,0)</f>
        <v/>
      </c>
      <c r="AE82">
        <f>IF(IFERROR(VLOOKUP(D82,Controls!$A$64:$E$74,2,FALSE),"No")="Yes",1,0)</f>
        <v/>
      </c>
      <c r="AF82">
        <f>IF(IFERROR(VLOOKUP(D82,Controls!$A$64:$E$74,3,FALSE),"No")="Yes",1,0)</f>
        <v/>
      </c>
      <c r="AG82">
        <f>IF(IFERROR(VLOOKUP(D82,Controls!$A$64:$E$74,4,FALSE),"No")="Yes",1,0)</f>
        <v/>
      </c>
      <c r="AH82">
        <f>IF(IFERROR(VLOOKUP(D82,Controls!$A$64:$E$74,5,FALSE),"No")="Yes",1,0)</f>
        <v/>
      </c>
      <c r="AI82">
        <f>IF(ISNUMBER(MATCH(D82,Controls!$A$64:$A$74,0)),1,0)</f>
        <v/>
      </c>
      <c r="AJ82">
        <f>Q82-N82</f>
        <v/>
      </c>
      <c r="AK82">
        <f>IF(AE82=1,MAX(0,N82-Q82),0)</f>
        <v/>
      </c>
      <c r="AL82">
        <f>IF(OR(V82="",V82=0),0,N82/V82)</f>
        <v/>
      </c>
      <c r="AM82">
        <f>IF(OR(V82="",V82=0),0,1)</f>
        <v/>
      </c>
      <c r="AN82">
        <f>IF(OR(E82="",F82=""),0,NETWORKDAYS(E82,F82,Ref!$K$2:$K$42))</f>
        <v/>
      </c>
      <c r="AO82">
        <f>IF(L82="Renewal",1,0)</f>
        <v/>
      </c>
      <c r="AP82">
        <f>AC82*AD82</f>
        <v/>
      </c>
      <c r="AQ82">
        <f>IF(AND(G82&lt;&gt;"",'Historical Score'!$C$6&lt;&gt;""),IF(G82='Historical Score'!$C$6,1,0),0)</f>
        <v/>
      </c>
      <c r="AR82">
        <f>IF(AND(L82&lt;&gt;"",'Historical Score'!$C$5&lt;&gt;""),IF(L82='Historical Score'!$C$5,1,0),0)</f>
        <v/>
      </c>
      <c r="AS82">
        <f>IF(AND(Y82&lt;&gt;"",'Historical Score'!$C$7&lt;&gt;""),IF(Y82='Historical Score'!$C$7,1,0),0)</f>
        <v/>
      </c>
      <c r="AT82">
        <f>IF(AND(K82&lt;&gt;"",'Historical Score'!$C$8&lt;&gt;""),IF(K82='Historical Score'!$C$8,1,0),0)</f>
        <v/>
      </c>
      <c r="AU82">
        <f>IF(AND(J82&lt;&gt;"",'Historical Score'!$C$9&lt;&gt;""),IF(J82='Historical Score'!$C$9,1,0),0)</f>
        <v/>
      </c>
      <c r="AV82">
        <f>AR82*AS82*AQ82</f>
        <v/>
      </c>
      <c r="AW82">
        <f>AR82*AT82*AQ82</f>
        <v/>
      </c>
      <c r="AX82">
        <f>AR82*AS82</f>
        <v/>
      </c>
      <c r="AY82">
        <f>AR82*AT82</f>
        <v/>
      </c>
      <c r="AZ82">
        <f>AR82*AQ82</f>
        <v/>
      </c>
      <c r="BA82">
        <f>AR82</f>
        <v/>
      </c>
      <c r="BB82">
        <f>1</f>
        <v/>
      </c>
      <c r="BC82">
        <f>IF(AV82=1,1,IF(AW82=1,2,IF(AX82=1,3,IF(AY82=1,4,IF(AZ82=1,5,IF(BA82=1,6,7))))))</f>
        <v/>
      </c>
      <c r="BD82">
        <f>IF(AD82=1,CHOOSE('Historical Score'!$C$29,AV82,AW82,AX82,AY82,AZ82,BA82,BB82),0)</f>
        <v/>
      </c>
      <c r="BE82">
        <f>IF(BD82=1,COUNTIF($BD$2:BD82,1),"")</f>
        <v/>
      </c>
    </row>
    <row r="83">
      <c r="A83" t="inlineStr">
        <is>
          <t>5674155318</t>
        </is>
      </c>
      <c r="B83" t="inlineStr">
        <is>
          <t>Team Green Contracting LLC</t>
        </is>
      </c>
      <c r="C83" t="inlineStr">
        <is>
          <t>Team Green Contracting LLC</t>
        </is>
      </c>
      <c r="D83" t="inlineStr">
        <is>
          <t>Closed</t>
        </is>
      </c>
      <c r="E83" s="297" t="n">
        <v>45768</v>
      </c>
      <c r="F83" s="297" t="n">
        <v>45840</v>
      </c>
      <c r="G83" t="n">
        <v>1</v>
      </c>
      <c r="H83" t="inlineStr">
        <is>
          <t>1799</t>
        </is>
      </c>
      <c r="I83" t="inlineStr">
        <is>
          <t>17</t>
        </is>
      </c>
      <c r="J83" t="inlineStr">
        <is>
          <t>MI</t>
        </is>
      </c>
      <c r="K83" t="inlineStr">
        <is>
          <t>Vanguard Equities</t>
        </is>
      </c>
      <c r="L83" t="inlineStr">
        <is>
          <t>New Deal</t>
        </is>
      </c>
      <c r="M83" s="298" t="n">
        <v>1.49</v>
      </c>
      <c r="N83" s="299" t="n">
        <v>3000</v>
      </c>
      <c r="O83" s="299" t="n">
        <v>420</v>
      </c>
      <c r="P83" s="299" t="n">
        <v>4470</v>
      </c>
      <c r="Q83" s="299" t="n">
        <v>4470</v>
      </c>
      <c r="R83" s="299" t="n">
        <v>0</v>
      </c>
      <c r="S83" s="300" t="n">
        <v>1</v>
      </c>
      <c r="T83" t="n">
        <v>1.639</v>
      </c>
      <c r="U83" t="n">
        <v>0</v>
      </c>
      <c r="W83" s="300" t="n">
        <v>0.046</v>
      </c>
      <c r="X83" s="297" t="n"/>
      <c r="Y83">
        <f>IF(I83="","No SIC",IFERROR(VLOOKUP(I83,Ref!$A$2:$B$65,2,FALSE),"Unclassified"))</f>
        <v/>
      </c>
      <c r="Z83">
        <f>IF(T83="","",IF(T83&lt;12,"Daily","Weekly"))</f>
        <v/>
      </c>
      <c r="AA83">
        <f>IF(T83="",0,IF(T83&lt;12,T83*Controls!$B$29,T83*5))</f>
        <v/>
      </c>
      <c r="AB83">
        <f>IF(E83="",0,NETWORKDAYS(E83,Controls!$B$36,Ref!$K$2:$K$42))</f>
        <v/>
      </c>
      <c r="AC83">
        <f>IF(AND(AA83&gt;0,AB83&gt;=Controls!$B$39*AA83),1,0)</f>
        <v/>
      </c>
      <c r="AD83">
        <f>IF(AND(E83&lt;&gt;"",E83&gt;=Controls!$B$37,E83&lt;=Controls!$B$38),1,0)</f>
        <v/>
      </c>
      <c r="AE83">
        <f>IF(IFERROR(VLOOKUP(D83,Controls!$A$64:$E$74,2,FALSE),"No")="Yes",1,0)</f>
        <v/>
      </c>
      <c r="AF83">
        <f>IF(IFERROR(VLOOKUP(D83,Controls!$A$64:$E$74,3,FALSE),"No")="Yes",1,0)</f>
        <v/>
      </c>
      <c r="AG83">
        <f>IF(IFERROR(VLOOKUP(D83,Controls!$A$64:$E$74,4,FALSE),"No")="Yes",1,0)</f>
        <v/>
      </c>
      <c r="AH83">
        <f>IF(IFERROR(VLOOKUP(D83,Controls!$A$64:$E$74,5,FALSE),"No")="Yes",1,0)</f>
        <v/>
      </c>
      <c r="AI83">
        <f>IF(ISNUMBER(MATCH(D83,Controls!$A$64:$A$74,0)),1,0)</f>
        <v/>
      </c>
      <c r="AJ83">
        <f>Q83-N83</f>
        <v/>
      </c>
      <c r="AK83">
        <f>IF(AE83=1,MAX(0,N83-Q83),0)</f>
        <v/>
      </c>
      <c r="AL83">
        <f>IF(OR(V83="",V83=0),0,N83/V83)</f>
        <v/>
      </c>
      <c r="AM83">
        <f>IF(OR(V83="",V83=0),0,1)</f>
        <v/>
      </c>
      <c r="AN83">
        <f>IF(OR(E83="",F83=""),0,NETWORKDAYS(E83,F83,Ref!$K$2:$K$42))</f>
        <v/>
      </c>
      <c r="AO83">
        <f>IF(L83="Renewal",1,0)</f>
        <v/>
      </c>
      <c r="AP83">
        <f>AC83*AD83</f>
        <v/>
      </c>
      <c r="AQ83">
        <f>IF(AND(G83&lt;&gt;"",'Historical Score'!$C$6&lt;&gt;""),IF(G83='Historical Score'!$C$6,1,0),0)</f>
        <v/>
      </c>
      <c r="AR83">
        <f>IF(AND(L83&lt;&gt;"",'Historical Score'!$C$5&lt;&gt;""),IF(L83='Historical Score'!$C$5,1,0),0)</f>
        <v/>
      </c>
      <c r="AS83">
        <f>IF(AND(Y83&lt;&gt;"",'Historical Score'!$C$7&lt;&gt;""),IF(Y83='Historical Score'!$C$7,1,0),0)</f>
        <v/>
      </c>
      <c r="AT83">
        <f>IF(AND(K83&lt;&gt;"",'Historical Score'!$C$8&lt;&gt;""),IF(K83='Historical Score'!$C$8,1,0),0)</f>
        <v/>
      </c>
      <c r="AU83">
        <f>IF(AND(J83&lt;&gt;"",'Historical Score'!$C$9&lt;&gt;""),IF(J83='Historical Score'!$C$9,1,0),0)</f>
        <v/>
      </c>
      <c r="AV83">
        <f>AR83*AS83*AQ83</f>
        <v/>
      </c>
      <c r="AW83">
        <f>AR83*AT83*AQ83</f>
        <v/>
      </c>
      <c r="AX83">
        <f>AR83*AS83</f>
        <v/>
      </c>
      <c r="AY83">
        <f>AR83*AT83</f>
        <v/>
      </c>
      <c r="AZ83">
        <f>AR83*AQ83</f>
        <v/>
      </c>
      <c r="BA83">
        <f>AR83</f>
        <v/>
      </c>
      <c r="BB83">
        <f>1</f>
        <v/>
      </c>
      <c r="BC83">
        <f>IF(AV83=1,1,IF(AW83=1,2,IF(AX83=1,3,IF(AY83=1,4,IF(AZ83=1,5,IF(BA83=1,6,7))))))</f>
        <v/>
      </c>
      <c r="BD83">
        <f>IF(AD83=1,CHOOSE('Historical Score'!$C$29,AV83,AW83,AX83,AY83,AZ83,BA83,BB83),0)</f>
        <v/>
      </c>
      <c r="BE83">
        <f>IF(BD83=1,COUNTIF($BD$2:BD83,1),"")</f>
        <v/>
      </c>
    </row>
    <row r="84">
      <c r="A84" t="inlineStr">
        <is>
          <t>5674155368</t>
        </is>
      </c>
      <c r="B84" t="inlineStr">
        <is>
          <t>CLOUD IX SALON</t>
        </is>
      </c>
      <c r="C84" t="inlineStr">
        <is>
          <t>IX LLC</t>
        </is>
      </c>
      <c r="D84" t="inlineStr">
        <is>
          <t>Bankruptcy</t>
        </is>
      </c>
      <c r="E84" s="297" t="n">
        <v>45768</v>
      </c>
      <c r="F84" s="297" t="n">
        <v>45883</v>
      </c>
      <c r="G84" t="n">
        <v>4</v>
      </c>
      <c r="H84" t="inlineStr">
        <is>
          <t>7231</t>
        </is>
      </c>
      <c r="I84" t="inlineStr">
        <is>
          <t>72</t>
        </is>
      </c>
      <c r="J84" t="inlineStr">
        <is>
          <t>FL</t>
        </is>
      </c>
      <c r="K84" t="inlineStr">
        <is>
          <t>GREYSTONE</t>
        </is>
      </c>
      <c r="L84" t="inlineStr">
        <is>
          <t>New Deal</t>
        </is>
      </c>
      <c r="M84" s="298" t="n">
        <v>1.49</v>
      </c>
      <c r="N84" s="299" t="n">
        <v>15000</v>
      </c>
      <c r="O84" s="299" t="n">
        <v>2100</v>
      </c>
      <c r="P84" s="299" t="n">
        <v>22350</v>
      </c>
      <c r="Q84" s="299" t="n">
        <v>6166.26</v>
      </c>
      <c r="R84" s="299" t="n">
        <v>16183.74</v>
      </c>
      <c r="S84" s="300" t="n">
        <v>0.275895302013423</v>
      </c>
      <c r="T84" t="n">
        <v>1.803</v>
      </c>
      <c r="U84" t="n">
        <v>25</v>
      </c>
      <c r="W84" s="300" t="n">
        <v>0.0514</v>
      </c>
      <c r="X84" s="297" t="n">
        <v>45402</v>
      </c>
      <c r="Y84">
        <f>IF(I84="","No SIC",IFERROR(VLOOKUP(I84,Ref!$A$2:$B$65,2,FALSE),"Unclassified"))</f>
        <v/>
      </c>
      <c r="Z84">
        <f>IF(T84="","",IF(T84&lt;12,"Daily","Weekly"))</f>
        <v/>
      </c>
      <c r="AA84">
        <f>IF(T84="",0,IF(T84&lt;12,T84*Controls!$B$29,T84*5))</f>
        <v/>
      </c>
      <c r="AB84">
        <f>IF(E84="",0,NETWORKDAYS(E84,Controls!$B$36,Ref!$K$2:$K$42))</f>
        <v/>
      </c>
      <c r="AC84">
        <f>IF(AND(AA84&gt;0,AB84&gt;=Controls!$B$39*AA84),1,0)</f>
        <v/>
      </c>
      <c r="AD84">
        <f>IF(AND(E84&lt;&gt;"",E84&gt;=Controls!$B$37,E84&lt;=Controls!$B$38),1,0)</f>
        <v/>
      </c>
      <c r="AE84">
        <f>IF(IFERROR(VLOOKUP(D84,Controls!$A$64:$E$74,2,FALSE),"No")="Yes",1,0)</f>
        <v/>
      </c>
      <c r="AF84">
        <f>IF(IFERROR(VLOOKUP(D84,Controls!$A$64:$E$74,3,FALSE),"No")="Yes",1,0)</f>
        <v/>
      </c>
      <c r="AG84">
        <f>IF(IFERROR(VLOOKUP(D84,Controls!$A$64:$E$74,4,FALSE),"No")="Yes",1,0)</f>
        <v/>
      </c>
      <c r="AH84">
        <f>IF(IFERROR(VLOOKUP(D84,Controls!$A$64:$E$74,5,FALSE),"No")="Yes",1,0)</f>
        <v/>
      </c>
      <c r="AI84">
        <f>IF(ISNUMBER(MATCH(D84,Controls!$A$64:$A$74,0)),1,0)</f>
        <v/>
      </c>
      <c r="AJ84">
        <f>Q84-N84</f>
        <v/>
      </c>
      <c r="AK84">
        <f>IF(AE84=1,MAX(0,N84-Q84),0)</f>
        <v/>
      </c>
      <c r="AL84">
        <f>IF(OR(V84="",V84=0),0,N84/V84)</f>
        <v/>
      </c>
      <c r="AM84">
        <f>IF(OR(V84="",V84=0),0,1)</f>
        <v/>
      </c>
      <c r="AN84">
        <f>IF(OR(E84="",F84=""),0,NETWORKDAYS(E84,F84,Ref!$K$2:$K$42))</f>
        <v/>
      </c>
      <c r="AO84">
        <f>IF(L84="Renewal",1,0)</f>
        <v/>
      </c>
      <c r="AP84">
        <f>AC84*AD84</f>
        <v/>
      </c>
      <c r="AQ84">
        <f>IF(AND(G84&lt;&gt;"",'Historical Score'!$C$6&lt;&gt;""),IF(G84='Historical Score'!$C$6,1,0),0)</f>
        <v/>
      </c>
      <c r="AR84">
        <f>IF(AND(L84&lt;&gt;"",'Historical Score'!$C$5&lt;&gt;""),IF(L84='Historical Score'!$C$5,1,0),0)</f>
        <v/>
      </c>
      <c r="AS84">
        <f>IF(AND(Y84&lt;&gt;"",'Historical Score'!$C$7&lt;&gt;""),IF(Y84='Historical Score'!$C$7,1,0),0)</f>
        <v/>
      </c>
      <c r="AT84">
        <f>IF(AND(K84&lt;&gt;"",'Historical Score'!$C$8&lt;&gt;""),IF(K84='Historical Score'!$C$8,1,0),0)</f>
        <v/>
      </c>
      <c r="AU84">
        <f>IF(AND(J84&lt;&gt;"",'Historical Score'!$C$9&lt;&gt;""),IF(J84='Historical Score'!$C$9,1,0),0)</f>
        <v/>
      </c>
      <c r="AV84">
        <f>AR84*AS84*AQ84</f>
        <v/>
      </c>
      <c r="AW84">
        <f>AR84*AT84*AQ84</f>
        <v/>
      </c>
      <c r="AX84">
        <f>AR84*AS84</f>
        <v/>
      </c>
      <c r="AY84">
        <f>AR84*AT84</f>
        <v/>
      </c>
      <c r="AZ84">
        <f>AR84*AQ84</f>
        <v/>
      </c>
      <c r="BA84">
        <f>AR84</f>
        <v/>
      </c>
      <c r="BB84">
        <f>1</f>
        <v/>
      </c>
      <c r="BC84">
        <f>IF(AV84=1,1,IF(AW84=1,2,IF(AX84=1,3,IF(AY84=1,4,IF(AZ84=1,5,IF(BA84=1,6,7))))))</f>
        <v/>
      </c>
      <c r="BD84">
        <f>IF(AD84=1,CHOOSE('Historical Score'!$C$29,AV84,AW84,AX84,AY84,AZ84,BA84,BB84),0)</f>
        <v/>
      </c>
      <c r="BE84">
        <f>IF(BD84=1,COUNTIF($BD$2:BD84,1),"")</f>
        <v/>
      </c>
    </row>
    <row r="85">
      <c r="A85" t="inlineStr">
        <is>
          <t>5674155538</t>
        </is>
      </c>
      <c r="B85" t="inlineStr">
        <is>
          <t>﻿AlwaysHungry</t>
        </is>
      </c>
      <c r="C85" t="inlineStr">
        <is>
          <t>﻿AlwaysHungry</t>
        </is>
      </c>
      <c r="D85" t="inlineStr">
        <is>
          <t>Closed</t>
        </is>
      </c>
      <c r="E85" s="297" t="n">
        <v>45770</v>
      </c>
      <c r="F85" s="297" t="n">
        <v>45986</v>
      </c>
      <c r="G85" t="n">
        <v>2</v>
      </c>
      <c r="H85" t="inlineStr">
        <is>
          <t>5812</t>
        </is>
      </c>
      <c r="I85" t="inlineStr">
        <is>
          <t>58</t>
        </is>
      </c>
      <c r="J85" t="inlineStr">
        <is>
          <t>CA</t>
        </is>
      </c>
      <c r="K85" t="inlineStr">
        <is>
          <t>Platform Funding</t>
        </is>
      </c>
      <c r="L85" t="inlineStr">
        <is>
          <t>New Deal</t>
        </is>
      </c>
      <c r="M85" s="298" t="n">
        <v>1.39</v>
      </c>
      <c r="N85" s="299" t="n">
        <v>36000</v>
      </c>
      <c r="O85" s="299" t="n">
        <v>3240</v>
      </c>
      <c r="P85" s="299" t="n">
        <v>50040</v>
      </c>
      <c r="Q85" s="299" t="n">
        <v>50040</v>
      </c>
      <c r="R85" s="299" t="n">
        <v>0</v>
      </c>
      <c r="S85" s="300" t="n">
        <v>1</v>
      </c>
      <c r="T85" t="n">
        <v>30</v>
      </c>
      <c r="U85" t="n">
        <v>0</v>
      </c>
      <c r="W85" s="300" t="n">
        <v>0.1247</v>
      </c>
      <c r="X85" s="297" t="n">
        <v>44845</v>
      </c>
      <c r="Y85">
        <f>IF(I85="","No SIC",IFERROR(VLOOKUP(I85,Ref!$A$2:$B$65,2,FALSE),"Unclassified"))</f>
        <v/>
      </c>
      <c r="Z85">
        <f>IF(T85="","",IF(T85&lt;12,"Daily","Weekly"))</f>
        <v/>
      </c>
      <c r="AA85">
        <f>IF(T85="",0,IF(T85&lt;12,T85*Controls!$B$29,T85*5))</f>
        <v/>
      </c>
      <c r="AB85">
        <f>IF(E85="",0,NETWORKDAYS(E85,Controls!$B$36,Ref!$K$2:$K$42))</f>
        <v/>
      </c>
      <c r="AC85">
        <f>IF(AND(AA85&gt;0,AB85&gt;=Controls!$B$39*AA85),1,0)</f>
        <v/>
      </c>
      <c r="AD85">
        <f>IF(AND(E85&lt;&gt;"",E85&gt;=Controls!$B$37,E85&lt;=Controls!$B$38),1,0)</f>
        <v/>
      </c>
      <c r="AE85">
        <f>IF(IFERROR(VLOOKUP(D85,Controls!$A$64:$E$74,2,FALSE),"No")="Yes",1,0)</f>
        <v/>
      </c>
      <c r="AF85">
        <f>IF(IFERROR(VLOOKUP(D85,Controls!$A$64:$E$74,3,FALSE),"No")="Yes",1,0)</f>
        <v/>
      </c>
      <c r="AG85">
        <f>IF(IFERROR(VLOOKUP(D85,Controls!$A$64:$E$74,4,FALSE),"No")="Yes",1,0)</f>
        <v/>
      </c>
      <c r="AH85">
        <f>IF(IFERROR(VLOOKUP(D85,Controls!$A$64:$E$74,5,FALSE),"No")="Yes",1,0)</f>
        <v/>
      </c>
      <c r="AI85">
        <f>IF(ISNUMBER(MATCH(D85,Controls!$A$64:$A$74,0)),1,0)</f>
        <v/>
      </c>
      <c r="AJ85">
        <f>Q85-N85</f>
        <v/>
      </c>
      <c r="AK85">
        <f>IF(AE85=1,MAX(0,N85-Q85),0)</f>
        <v/>
      </c>
      <c r="AL85">
        <f>IF(OR(V85="",V85=0),0,N85/V85)</f>
        <v/>
      </c>
      <c r="AM85">
        <f>IF(OR(V85="",V85=0),0,1)</f>
        <v/>
      </c>
      <c r="AN85">
        <f>IF(OR(E85="",F85=""),0,NETWORKDAYS(E85,F85,Ref!$K$2:$K$42))</f>
        <v/>
      </c>
      <c r="AO85">
        <f>IF(L85="Renewal",1,0)</f>
        <v/>
      </c>
      <c r="AP85">
        <f>AC85*AD85</f>
        <v/>
      </c>
      <c r="AQ85">
        <f>IF(AND(G85&lt;&gt;"",'Historical Score'!$C$6&lt;&gt;""),IF(G85='Historical Score'!$C$6,1,0),0)</f>
        <v/>
      </c>
      <c r="AR85">
        <f>IF(AND(L85&lt;&gt;"",'Historical Score'!$C$5&lt;&gt;""),IF(L85='Historical Score'!$C$5,1,0),0)</f>
        <v/>
      </c>
      <c r="AS85">
        <f>IF(AND(Y85&lt;&gt;"",'Historical Score'!$C$7&lt;&gt;""),IF(Y85='Historical Score'!$C$7,1,0),0)</f>
        <v/>
      </c>
      <c r="AT85">
        <f>IF(AND(K85&lt;&gt;"",'Historical Score'!$C$8&lt;&gt;""),IF(K85='Historical Score'!$C$8,1,0),0)</f>
        <v/>
      </c>
      <c r="AU85">
        <f>IF(AND(J85&lt;&gt;"",'Historical Score'!$C$9&lt;&gt;""),IF(J85='Historical Score'!$C$9,1,0),0)</f>
        <v/>
      </c>
      <c r="AV85">
        <f>AR85*AS85*AQ85</f>
        <v/>
      </c>
      <c r="AW85">
        <f>AR85*AT85*AQ85</f>
        <v/>
      </c>
      <c r="AX85">
        <f>AR85*AS85</f>
        <v/>
      </c>
      <c r="AY85">
        <f>AR85*AT85</f>
        <v/>
      </c>
      <c r="AZ85">
        <f>AR85*AQ85</f>
        <v/>
      </c>
      <c r="BA85">
        <f>AR85</f>
        <v/>
      </c>
      <c r="BB85">
        <f>1</f>
        <v/>
      </c>
      <c r="BC85">
        <f>IF(AV85=1,1,IF(AW85=1,2,IF(AX85=1,3,IF(AY85=1,4,IF(AZ85=1,5,IF(BA85=1,6,7))))))</f>
        <v/>
      </c>
      <c r="BD85">
        <f>IF(AD85=1,CHOOSE('Historical Score'!$C$29,AV85,AW85,AX85,AY85,AZ85,BA85,BB85),0)</f>
        <v/>
      </c>
      <c r="BE85">
        <f>IF(BD85=1,COUNTIF($BD$2:BD85,1),"")</f>
        <v/>
      </c>
    </row>
    <row r="86">
      <c r="A86" t="inlineStr">
        <is>
          <t>5674155549</t>
        </is>
      </c>
      <c r="B86" t="inlineStr">
        <is>
          <t>TWO STATES TACO LLC</t>
        </is>
      </c>
      <c r="C86" t="inlineStr">
        <is>
          <t>TWO STATES TACO LLC</t>
        </is>
      </c>
      <c r="D86" t="inlineStr">
        <is>
          <t>Legal</t>
        </is>
      </c>
      <c r="E86" s="297" t="n">
        <v>45770</v>
      </c>
      <c r="F86" s="297" t="n">
        <v>45908</v>
      </c>
      <c r="G86" t="n">
        <v>3</v>
      </c>
      <c r="H86" t="inlineStr">
        <is>
          <t>5812</t>
        </is>
      </c>
      <c r="I86" t="inlineStr">
        <is>
          <t>58</t>
        </is>
      </c>
      <c r="J86" t="inlineStr">
        <is>
          <t>VA</t>
        </is>
      </c>
      <c r="K86" t="inlineStr">
        <is>
          <t>City Wide Capital</t>
        </is>
      </c>
      <c r="L86" t="inlineStr">
        <is>
          <t>New Deal</t>
        </is>
      </c>
      <c r="M86" s="298" t="n">
        <v>1.49</v>
      </c>
      <c r="N86" s="299" t="n">
        <v>15000</v>
      </c>
      <c r="O86" s="299" t="n">
        <v>2100</v>
      </c>
      <c r="P86" s="299" t="n">
        <v>22350</v>
      </c>
      <c r="Q86" s="299" t="n">
        <v>7982.25</v>
      </c>
      <c r="R86" s="299" t="n">
        <v>14367.75</v>
      </c>
      <c r="S86" s="300" t="n">
        <v>0.357147651006711</v>
      </c>
      <c r="T86" t="n">
        <v>2.295</v>
      </c>
      <c r="U86" t="n">
        <v>58</v>
      </c>
      <c r="W86" s="300" t="n">
        <v>0.137</v>
      </c>
      <c r="X86" s="297" t="n">
        <v>44713</v>
      </c>
      <c r="Y86">
        <f>IF(I86="","No SIC",IFERROR(VLOOKUP(I86,Ref!$A$2:$B$65,2,FALSE),"Unclassified"))</f>
        <v/>
      </c>
      <c r="Z86">
        <f>IF(T86="","",IF(T86&lt;12,"Daily","Weekly"))</f>
        <v/>
      </c>
      <c r="AA86">
        <f>IF(T86="",0,IF(T86&lt;12,T86*Controls!$B$29,T86*5))</f>
        <v/>
      </c>
      <c r="AB86">
        <f>IF(E86="",0,NETWORKDAYS(E86,Controls!$B$36,Ref!$K$2:$K$42))</f>
        <v/>
      </c>
      <c r="AC86">
        <f>IF(AND(AA86&gt;0,AB86&gt;=Controls!$B$39*AA86),1,0)</f>
        <v/>
      </c>
      <c r="AD86">
        <f>IF(AND(E86&lt;&gt;"",E86&gt;=Controls!$B$37,E86&lt;=Controls!$B$38),1,0)</f>
        <v/>
      </c>
      <c r="AE86">
        <f>IF(IFERROR(VLOOKUP(D86,Controls!$A$64:$E$74,2,FALSE),"No")="Yes",1,0)</f>
        <v/>
      </c>
      <c r="AF86">
        <f>IF(IFERROR(VLOOKUP(D86,Controls!$A$64:$E$74,3,FALSE),"No")="Yes",1,0)</f>
        <v/>
      </c>
      <c r="AG86">
        <f>IF(IFERROR(VLOOKUP(D86,Controls!$A$64:$E$74,4,FALSE),"No")="Yes",1,0)</f>
        <v/>
      </c>
      <c r="AH86">
        <f>IF(IFERROR(VLOOKUP(D86,Controls!$A$64:$E$74,5,FALSE),"No")="Yes",1,0)</f>
        <v/>
      </c>
      <c r="AI86">
        <f>IF(ISNUMBER(MATCH(D86,Controls!$A$64:$A$74,0)),1,0)</f>
        <v/>
      </c>
      <c r="AJ86">
        <f>Q86-N86</f>
        <v/>
      </c>
      <c r="AK86">
        <f>IF(AE86=1,MAX(0,N86-Q86),0)</f>
        <v/>
      </c>
      <c r="AL86">
        <f>IF(OR(V86="",V86=0),0,N86/V86)</f>
        <v/>
      </c>
      <c r="AM86">
        <f>IF(OR(V86="",V86=0),0,1)</f>
        <v/>
      </c>
      <c r="AN86">
        <f>IF(OR(E86="",F86=""),0,NETWORKDAYS(E86,F86,Ref!$K$2:$K$42))</f>
        <v/>
      </c>
      <c r="AO86">
        <f>IF(L86="Renewal",1,0)</f>
        <v/>
      </c>
      <c r="AP86">
        <f>AC86*AD86</f>
        <v/>
      </c>
      <c r="AQ86">
        <f>IF(AND(G86&lt;&gt;"",'Historical Score'!$C$6&lt;&gt;""),IF(G86='Historical Score'!$C$6,1,0),0)</f>
        <v/>
      </c>
      <c r="AR86">
        <f>IF(AND(L86&lt;&gt;"",'Historical Score'!$C$5&lt;&gt;""),IF(L86='Historical Score'!$C$5,1,0),0)</f>
        <v/>
      </c>
      <c r="AS86">
        <f>IF(AND(Y86&lt;&gt;"",'Historical Score'!$C$7&lt;&gt;""),IF(Y86='Historical Score'!$C$7,1,0),0)</f>
        <v/>
      </c>
      <c r="AT86">
        <f>IF(AND(K86&lt;&gt;"",'Historical Score'!$C$8&lt;&gt;""),IF(K86='Historical Score'!$C$8,1,0),0)</f>
        <v/>
      </c>
      <c r="AU86">
        <f>IF(AND(J86&lt;&gt;"",'Historical Score'!$C$9&lt;&gt;""),IF(J86='Historical Score'!$C$9,1,0),0)</f>
        <v/>
      </c>
      <c r="AV86">
        <f>AR86*AS86*AQ86</f>
        <v/>
      </c>
      <c r="AW86">
        <f>AR86*AT86*AQ86</f>
        <v/>
      </c>
      <c r="AX86">
        <f>AR86*AS86</f>
        <v/>
      </c>
      <c r="AY86">
        <f>AR86*AT86</f>
        <v/>
      </c>
      <c r="AZ86">
        <f>AR86*AQ86</f>
        <v/>
      </c>
      <c r="BA86">
        <f>AR86</f>
        <v/>
      </c>
      <c r="BB86">
        <f>1</f>
        <v/>
      </c>
      <c r="BC86">
        <f>IF(AV86=1,1,IF(AW86=1,2,IF(AX86=1,3,IF(AY86=1,4,IF(AZ86=1,5,IF(BA86=1,6,7))))))</f>
        <v/>
      </c>
      <c r="BD86">
        <f>IF(AD86=1,CHOOSE('Historical Score'!$C$29,AV86,AW86,AX86,AY86,AZ86,BA86,BB86),0)</f>
        <v/>
      </c>
      <c r="BE86">
        <f>IF(BD86=1,COUNTIF($BD$2:BD86,1),"")</f>
        <v/>
      </c>
    </row>
    <row r="87">
      <c r="A87" t="inlineStr">
        <is>
          <t>5674155635</t>
        </is>
      </c>
      <c r="B87" t="inlineStr">
        <is>
          <t>Vivid Retro Customs</t>
        </is>
      </c>
      <c r="C87" t="inlineStr">
        <is>
          <t>Vivid Retro Customs</t>
        </is>
      </c>
      <c r="D87" t="inlineStr">
        <is>
          <t>Closed</t>
        </is>
      </c>
      <c r="E87" s="297" t="n">
        <v>45771</v>
      </c>
      <c r="F87" s="297" t="n">
        <v>45881</v>
      </c>
      <c r="G87" t="n">
        <v>5</v>
      </c>
      <c r="H87" t="inlineStr">
        <is>
          <t>7532</t>
        </is>
      </c>
      <c r="I87" t="inlineStr">
        <is>
          <t>75</t>
        </is>
      </c>
      <c r="J87" t="inlineStr">
        <is>
          <t>CO</t>
        </is>
      </c>
      <c r="K87" t="inlineStr">
        <is>
          <t>Black Tie Funding</t>
        </is>
      </c>
      <c r="L87" t="inlineStr">
        <is>
          <t>New Deal</t>
        </is>
      </c>
      <c r="M87" s="298" t="n">
        <v>1.49</v>
      </c>
      <c r="N87" s="299" t="n">
        <v>11000</v>
      </c>
      <c r="O87" s="299" t="n">
        <v>1540</v>
      </c>
      <c r="P87" s="299" t="n">
        <v>16390</v>
      </c>
      <c r="Q87" s="299" t="n">
        <v>16390</v>
      </c>
      <c r="R87" s="299" t="n">
        <v>0</v>
      </c>
      <c r="S87" s="300" t="n">
        <v>1</v>
      </c>
      <c r="T87" t="n">
        <v>2.459</v>
      </c>
      <c r="U87" t="n">
        <v>0</v>
      </c>
      <c r="W87" s="300" t="n">
        <v>0.0512</v>
      </c>
      <c r="X87" s="297" t="n">
        <v>44317</v>
      </c>
      <c r="Y87">
        <f>IF(I87="","No SIC",IFERROR(VLOOKUP(I87,Ref!$A$2:$B$65,2,FALSE),"Unclassified"))</f>
        <v/>
      </c>
      <c r="Z87">
        <f>IF(T87="","",IF(T87&lt;12,"Daily","Weekly"))</f>
        <v/>
      </c>
      <c r="AA87">
        <f>IF(T87="",0,IF(T87&lt;12,T87*Controls!$B$29,T87*5))</f>
        <v/>
      </c>
      <c r="AB87">
        <f>IF(E87="",0,NETWORKDAYS(E87,Controls!$B$36,Ref!$K$2:$K$42))</f>
        <v/>
      </c>
      <c r="AC87">
        <f>IF(AND(AA87&gt;0,AB87&gt;=Controls!$B$39*AA87),1,0)</f>
        <v/>
      </c>
      <c r="AD87">
        <f>IF(AND(E87&lt;&gt;"",E87&gt;=Controls!$B$37,E87&lt;=Controls!$B$38),1,0)</f>
        <v/>
      </c>
      <c r="AE87">
        <f>IF(IFERROR(VLOOKUP(D87,Controls!$A$64:$E$74,2,FALSE),"No")="Yes",1,0)</f>
        <v/>
      </c>
      <c r="AF87">
        <f>IF(IFERROR(VLOOKUP(D87,Controls!$A$64:$E$74,3,FALSE),"No")="Yes",1,0)</f>
        <v/>
      </c>
      <c r="AG87">
        <f>IF(IFERROR(VLOOKUP(D87,Controls!$A$64:$E$74,4,FALSE),"No")="Yes",1,0)</f>
        <v/>
      </c>
      <c r="AH87">
        <f>IF(IFERROR(VLOOKUP(D87,Controls!$A$64:$E$74,5,FALSE),"No")="Yes",1,0)</f>
        <v/>
      </c>
      <c r="AI87">
        <f>IF(ISNUMBER(MATCH(D87,Controls!$A$64:$A$74,0)),1,0)</f>
        <v/>
      </c>
      <c r="AJ87">
        <f>Q87-N87</f>
        <v/>
      </c>
      <c r="AK87">
        <f>IF(AE87=1,MAX(0,N87-Q87),0)</f>
        <v/>
      </c>
      <c r="AL87">
        <f>IF(OR(V87="",V87=0),0,N87/V87)</f>
        <v/>
      </c>
      <c r="AM87">
        <f>IF(OR(V87="",V87=0),0,1)</f>
        <v/>
      </c>
      <c r="AN87">
        <f>IF(OR(E87="",F87=""),0,NETWORKDAYS(E87,F87,Ref!$K$2:$K$42))</f>
        <v/>
      </c>
      <c r="AO87">
        <f>IF(L87="Renewal",1,0)</f>
        <v/>
      </c>
      <c r="AP87">
        <f>AC87*AD87</f>
        <v/>
      </c>
      <c r="AQ87">
        <f>IF(AND(G87&lt;&gt;"",'Historical Score'!$C$6&lt;&gt;""),IF(G87='Historical Score'!$C$6,1,0),0)</f>
        <v/>
      </c>
      <c r="AR87">
        <f>IF(AND(L87&lt;&gt;"",'Historical Score'!$C$5&lt;&gt;""),IF(L87='Historical Score'!$C$5,1,0),0)</f>
        <v/>
      </c>
      <c r="AS87">
        <f>IF(AND(Y87&lt;&gt;"",'Historical Score'!$C$7&lt;&gt;""),IF(Y87='Historical Score'!$C$7,1,0),0)</f>
        <v/>
      </c>
      <c r="AT87">
        <f>IF(AND(K87&lt;&gt;"",'Historical Score'!$C$8&lt;&gt;""),IF(K87='Historical Score'!$C$8,1,0),0)</f>
        <v/>
      </c>
      <c r="AU87">
        <f>IF(AND(J87&lt;&gt;"",'Historical Score'!$C$9&lt;&gt;""),IF(J87='Historical Score'!$C$9,1,0),0)</f>
        <v/>
      </c>
      <c r="AV87">
        <f>AR87*AS87*AQ87</f>
        <v/>
      </c>
      <c r="AW87">
        <f>AR87*AT87*AQ87</f>
        <v/>
      </c>
      <c r="AX87">
        <f>AR87*AS87</f>
        <v/>
      </c>
      <c r="AY87">
        <f>AR87*AT87</f>
        <v/>
      </c>
      <c r="AZ87">
        <f>AR87*AQ87</f>
        <v/>
      </c>
      <c r="BA87">
        <f>AR87</f>
        <v/>
      </c>
      <c r="BB87">
        <f>1</f>
        <v/>
      </c>
      <c r="BC87">
        <f>IF(AV87=1,1,IF(AW87=1,2,IF(AX87=1,3,IF(AY87=1,4,IF(AZ87=1,5,IF(BA87=1,6,7))))))</f>
        <v/>
      </c>
      <c r="BD87">
        <f>IF(AD87=1,CHOOSE('Historical Score'!$C$29,AV87,AW87,AX87,AY87,AZ87,BA87,BB87),0)</f>
        <v/>
      </c>
      <c r="BE87">
        <f>IF(BD87=1,COUNTIF($BD$2:BD87,1),"")</f>
        <v/>
      </c>
    </row>
    <row r="88">
      <c r="A88" t="inlineStr">
        <is>
          <t>5674155766</t>
        </is>
      </c>
      <c r="B88" t="inlineStr">
        <is>
          <t>Arete Gallery Inc</t>
        </is>
      </c>
      <c r="C88" t="inlineStr">
        <is>
          <t>Arete Gallery Inc</t>
        </is>
      </c>
      <c r="D88" t="inlineStr">
        <is>
          <t>Closed</t>
        </is>
      </c>
      <c r="E88" s="297" t="n">
        <v>45772</v>
      </c>
      <c r="F88" s="297" t="n">
        <v>45862</v>
      </c>
      <c r="G88" t="n">
        <v>4</v>
      </c>
      <c r="H88" t="inlineStr">
        <is>
          <t>8412</t>
        </is>
      </c>
      <c r="I88" t="inlineStr">
        <is>
          <t>84</t>
        </is>
      </c>
      <c r="J88" t="inlineStr">
        <is>
          <t>PA</t>
        </is>
      </c>
      <c r="K88" t="inlineStr">
        <is>
          <t>Pathway Catalyst</t>
        </is>
      </c>
      <c r="L88" t="inlineStr">
        <is>
          <t>New Deal</t>
        </is>
      </c>
      <c r="M88" s="298" t="n">
        <v>1.41</v>
      </c>
      <c r="N88" s="299" t="n">
        <v>7000</v>
      </c>
      <c r="O88" s="299" t="n">
        <v>700</v>
      </c>
      <c r="P88" s="299" t="n">
        <v>9870</v>
      </c>
      <c r="Q88" s="299" t="n">
        <v>9870</v>
      </c>
      <c r="R88" s="299" t="n">
        <v>0</v>
      </c>
      <c r="S88" s="300" t="n">
        <v>1</v>
      </c>
      <c r="T88" t="n">
        <v>2.623</v>
      </c>
      <c r="U88" t="n">
        <v>0</v>
      </c>
      <c r="W88" s="300" t="n">
        <v>0.1845</v>
      </c>
      <c r="X88" s="297" t="n">
        <v>44105</v>
      </c>
      <c r="Y88">
        <f>IF(I88="","No SIC",IFERROR(VLOOKUP(I88,Ref!$A$2:$B$65,2,FALSE),"Unclassified"))</f>
        <v/>
      </c>
      <c r="Z88">
        <f>IF(T88="","",IF(T88&lt;12,"Daily","Weekly"))</f>
        <v/>
      </c>
      <c r="AA88">
        <f>IF(T88="",0,IF(T88&lt;12,T88*Controls!$B$29,T88*5))</f>
        <v/>
      </c>
      <c r="AB88">
        <f>IF(E88="",0,NETWORKDAYS(E88,Controls!$B$36,Ref!$K$2:$K$42))</f>
        <v/>
      </c>
      <c r="AC88">
        <f>IF(AND(AA88&gt;0,AB88&gt;=Controls!$B$39*AA88),1,0)</f>
        <v/>
      </c>
      <c r="AD88">
        <f>IF(AND(E88&lt;&gt;"",E88&gt;=Controls!$B$37,E88&lt;=Controls!$B$38),1,0)</f>
        <v/>
      </c>
      <c r="AE88">
        <f>IF(IFERROR(VLOOKUP(D88,Controls!$A$64:$E$74,2,FALSE),"No")="Yes",1,0)</f>
        <v/>
      </c>
      <c r="AF88">
        <f>IF(IFERROR(VLOOKUP(D88,Controls!$A$64:$E$74,3,FALSE),"No")="Yes",1,0)</f>
        <v/>
      </c>
      <c r="AG88">
        <f>IF(IFERROR(VLOOKUP(D88,Controls!$A$64:$E$74,4,FALSE),"No")="Yes",1,0)</f>
        <v/>
      </c>
      <c r="AH88">
        <f>IF(IFERROR(VLOOKUP(D88,Controls!$A$64:$E$74,5,FALSE),"No")="Yes",1,0)</f>
        <v/>
      </c>
      <c r="AI88">
        <f>IF(ISNUMBER(MATCH(D88,Controls!$A$64:$A$74,0)),1,0)</f>
        <v/>
      </c>
      <c r="AJ88">
        <f>Q88-N88</f>
        <v/>
      </c>
      <c r="AK88">
        <f>IF(AE88=1,MAX(0,N88-Q88),0)</f>
        <v/>
      </c>
      <c r="AL88">
        <f>IF(OR(V88="",V88=0),0,N88/V88)</f>
        <v/>
      </c>
      <c r="AM88">
        <f>IF(OR(V88="",V88=0),0,1)</f>
        <v/>
      </c>
      <c r="AN88">
        <f>IF(OR(E88="",F88=""),0,NETWORKDAYS(E88,F88,Ref!$K$2:$K$42))</f>
        <v/>
      </c>
      <c r="AO88">
        <f>IF(L88="Renewal",1,0)</f>
        <v/>
      </c>
      <c r="AP88">
        <f>AC88*AD88</f>
        <v/>
      </c>
      <c r="AQ88">
        <f>IF(AND(G88&lt;&gt;"",'Historical Score'!$C$6&lt;&gt;""),IF(G88='Historical Score'!$C$6,1,0),0)</f>
        <v/>
      </c>
      <c r="AR88">
        <f>IF(AND(L88&lt;&gt;"",'Historical Score'!$C$5&lt;&gt;""),IF(L88='Historical Score'!$C$5,1,0),0)</f>
        <v/>
      </c>
      <c r="AS88">
        <f>IF(AND(Y88&lt;&gt;"",'Historical Score'!$C$7&lt;&gt;""),IF(Y88='Historical Score'!$C$7,1,0),0)</f>
        <v/>
      </c>
      <c r="AT88">
        <f>IF(AND(K88&lt;&gt;"",'Historical Score'!$C$8&lt;&gt;""),IF(K88='Historical Score'!$C$8,1,0),0)</f>
        <v/>
      </c>
      <c r="AU88">
        <f>IF(AND(J88&lt;&gt;"",'Historical Score'!$C$9&lt;&gt;""),IF(J88='Historical Score'!$C$9,1,0),0)</f>
        <v/>
      </c>
      <c r="AV88">
        <f>AR88*AS88*AQ88</f>
        <v/>
      </c>
      <c r="AW88">
        <f>AR88*AT88*AQ88</f>
        <v/>
      </c>
      <c r="AX88">
        <f>AR88*AS88</f>
        <v/>
      </c>
      <c r="AY88">
        <f>AR88*AT88</f>
        <v/>
      </c>
      <c r="AZ88">
        <f>AR88*AQ88</f>
        <v/>
      </c>
      <c r="BA88">
        <f>AR88</f>
        <v/>
      </c>
      <c r="BB88">
        <f>1</f>
        <v/>
      </c>
      <c r="BC88">
        <f>IF(AV88=1,1,IF(AW88=1,2,IF(AX88=1,3,IF(AY88=1,4,IF(AZ88=1,5,IF(BA88=1,6,7))))))</f>
        <v/>
      </c>
      <c r="BD88">
        <f>IF(AD88=1,CHOOSE('Historical Score'!$C$29,AV88,AW88,AX88,AY88,AZ88,BA88,BB88),0)</f>
        <v/>
      </c>
      <c r="BE88">
        <f>IF(BD88=1,COUNTIF($BD$2:BD88,1),"")</f>
        <v/>
      </c>
    </row>
    <row r="89">
      <c r="A89" t="inlineStr">
        <is>
          <t>5674155792</t>
        </is>
      </c>
      <c r="B89" t="inlineStr">
        <is>
          <t>Anzar Deliveries LLC</t>
        </is>
      </c>
      <c r="C89" t="inlineStr">
        <is>
          <t>Anzar Deliveries LLC</t>
        </is>
      </c>
      <c r="D89" t="inlineStr">
        <is>
          <t>Legal</t>
        </is>
      </c>
      <c r="E89" s="297" t="n">
        <v>45772</v>
      </c>
      <c r="F89" s="297" t="n">
        <v>45846</v>
      </c>
      <c r="G89" t="n">
        <v>6</v>
      </c>
      <c r="H89" t="inlineStr">
        <is>
          <t>4212</t>
        </is>
      </c>
      <c r="I89" t="inlineStr">
        <is>
          <t>42</t>
        </is>
      </c>
      <c r="J89" t="inlineStr">
        <is>
          <t>TX</t>
        </is>
      </c>
      <c r="K89" t="inlineStr">
        <is>
          <t>Business Fund USA 4</t>
        </is>
      </c>
      <c r="L89" t="inlineStr">
        <is>
          <t>New Deal</t>
        </is>
      </c>
      <c r="M89" s="298" t="n">
        <v>1.49</v>
      </c>
      <c r="N89" s="299" t="n">
        <v>10000</v>
      </c>
      <c r="O89" s="299" t="n">
        <v>1400</v>
      </c>
      <c r="P89" s="299" t="n">
        <v>14900</v>
      </c>
      <c r="Q89" s="299" t="n">
        <v>3491.39</v>
      </c>
      <c r="R89" s="299" t="n">
        <v>11408.61</v>
      </c>
      <c r="S89" s="300" t="n">
        <v>0.234321476510067</v>
      </c>
      <c r="T89" t="n">
        <v>2.623</v>
      </c>
      <c r="U89" t="n">
        <v>9</v>
      </c>
      <c r="W89" s="300" t="n">
        <v>0.1024</v>
      </c>
      <c r="X89" s="297" t="n">
        <v>44927</v>
      </c>
      <c r="Y89">
        <f>IF(I89="","No SIC",IFERROR(VLOOKUP(I89,Ref!$A$2:$B$65,2,FALSE),"Unclassified"))</f>
        <v/>
      </c>
      <c r="Z89">
        <f>IF(T89="","",IF(T89&lt;12,"Daily","Weekly"))</f>
        <v/>
      </c>
      <c r="AA89">
        <f>IF(T89="",0,IF(T89&lt;12,T89*Controls!$B$29,T89*5))</f>
        <v/>
      </c>
      <c r="AB89">
        <f>IF(E89="",0,NETWORKDAYS(E89,Controls!$B$36,Ref!$K$2:$K$42))</f>
        <v/>
      </c>
      <c r="AC89">
        <f>IF(AND(AA89&gt;0,AB89&gt;=Controls!$B$39*AA89),1,0)</f>
        <v/>
      </c>
      <c r="AD89">
        <f>IF(AND(E89&lt;&gt;"",E89&gt;=Controls!$B$37,E89&lt;=Controls!$B$38),1,0)</f>
        <v/>
      </c>
      <c r="AE89">
        <f>IF(IFERROR(VLOOKUP(D89,Controls!$A$64:$E$74,2,FALSE),"No")="Yes",1,0)</f>
        <v/>
      </c>
      <c r="AF89">
        <f>IF(IFERROR(VLOOKUP(D89,Controls!$A$64:$E$74,3,FALSE),"No")="Yes",1,0)</f>
        <v/>
      </c>
      <c r="AG89">
        <f>IF(IFERROR(VLOOKUP(D89,Controls!$A$64:$E$74,4,FALSE),"No")="Yes",1,0)</f>
        <v/>
      </c>
      <c r="AH89">
        <f>IF(IFERROR(VLOOKUP(D89,Controls!$A$64:$E$74,5,FALSE),"No")="Yes",1,0)</f>
        <v/>
      </c>
      <c r="AI89">
        <f>IF(ISNUMBER(MATCH(D89,Controls!$A$64:$A$74,0)),1,0)</f>
        <v/>
      </c>
      <c r="AJ89">
        <f>Q89-N89</f>
        <v/>
      </c>
      <c r="AK89">
        <f>IF(AE89=1,MAX(0,N89-Q89),0)</f>
        <v/>
      </c>
      <c r="AL89">
        <f>IF(OR(V89="",V89=0),0,N89/V89)</f>
        <v/>
      </c>
      <c r="AM89">
        <f>IF(OR(V89="",V89=0),0,1)</f>
        <v/>
      </c>
      <c r="AN89">
        <f>IF(OR(E89="",F89=""),0,NETWORKDAYS(E89,F89,Ref!$K$2:$K$42))</f>
        <v/>
      </c>
      <c r="AO89">
        <f>IF(L89="Renewal",1,0)</f>
        <v/>
      </c>
      <c r="AP89">
        <f>AC89*AD89</f>
        <v/>
      </c>
      <c r="AQ89">
        <f>IF(AND(G89&lt;&gt;"",'Historical Score'!$C$6&lt;&gt;""),IF(G89='Historical Score'!$C$6,1,0),0)</f>
        <v/>
      </c>
      <c r="AR89">
        <f>IF(AND(L89&lt;&gt;"",'Historical Score'!$C$5&lt;&gt;""),IF(L89='Historical Score'!$C$5,1,0),0)</f>
        <v/>
      </c>
      <c r="AS89">
        <f>IF(AND(Y89&lt;&gt;"",'Historical Score'!$C$7&lt;&gt;""),IF(Y89='Historical Score'!$C$7,1,0),0)</f>
        <v/>
      </c>
      <c r="AT89">
        <f>IF(AND(K89&lt;&gt;"",'Historical Score'!$C$8&lt;&gt;""),IF(K89='Historical Score'!$C$8,1,0),0)</f>
        <v/>
      </c>
      <c r="AU89">
        <f>IF(AND(J89&lt;&gt;"",'Historical Score'!$C$9&lt;&gt;""),IF(J89='Historical Score'!$C$9,1,0),0)</f>
        <v/>
      </c>
      <c r="AV89">
        <f>AR89*AS89*AQ89</f>
        <v/>
      </c>
      <c r="AW89">
        <f>AR89*AT89*AQ89</f>
        <v/>
      </c>
      <c r="AX89">
        <f>AR89*AS89</f>
        <v/>
      </c>
      <c r="AY89">
        <f>AR89*AT89</f>
        <v/>
      </c>
      <c r="AZ89">
        <f>AR89*AQ89</f>
        <v/>
      </c>
      <c r="BA89">
        <f>AR89</f>
        <v/>
      </c>
      <c r="BB89">
        <f>1</f>
        <v/>
      </c>
      <c r="BC89">
        <f>IF(AV89=1,1,IF(AW89=1,2,IF(AX89=1,3,IF(AY89=1,4,IF(AZ89=1,5,IF(BA89=1,6,7))))))</f>
        <v/>
      </c>
      <c r="BD89">
        <f>IF(AD89=1,CHOOSE('Historical Score'!$C$29,AV89,AW89,AX89,AY89,AZ89,BA89,BB89),0)</f>
        <v/>
      </c>
      <c r="BE89">
        <f>IF(BD89=1,COUNTIF($BD$2:BD89,1),"")</f>
        <v/>
      </c>
    </row>
    <row r="90">
      <c r="A90" t="inlineStr">
        <is>
          <t>5674155963</t>
        </is>
      </c>
      <c r="B90" t="inlineStr">
        <is>
          <t>HIGH SIERRA CORP</t>
        </is>
      </c>
      <c r="C90" t="inlineStr">
        <is>
          <t>HIGH SIERRA CORP</t>
        </is>
      </c>
      <c r="D90" t="inlineStr">
        <is>
          <t>Closed</t>
        </is>
      </c>
      <c r="E90" s="297" t="n">
        <v>45776</v>
      </c>
      <c r="F90" s="297" t="n">
        <v>45922</v>
      </c>
      <c r="G90" t="n">
        <v>7</v>
      </c>
      <c r="H90" t="inlineStr">
        <is>
          <t>5169</t>
        </is>
      </c>
      <c r="I90" t="inlineStr">
        <is>
          <t>51</t>
        </is>
      </c>
      <c r="J90" t="inlineStr">
        <is>
          <t>WI</t>
        </is>
      </c>
      <c r="K90" t="inlineStr">
        <is>
          <t>United Secured Capital 8</t>
        </is>
      </c>
      <c r="L90" t="inlineStr">
        <is>
          <t>New Deal</t>
        </is>
      </c>
      <c r="M90" s="298" t="n">
        <v>1.49</v>
      </c>
      <c r="N90" s="299" t="n">
        <v>20000</v>
      </c>
      <c r="O90" s="299" t="n">
        <v>2800</v>
      </c>
      <c r="P90" s="299" t="n">
        <v>29800</v>
      </c>
      <c r="Q90" s="299" t="n">
        <v>29800</v>
      </c>
      <c r="R90" s="299" t="n">
        <v>0</v>
      </c>
      <c r="S90" s="300" t="n">
        <v>1</v>
      </c>
      <c r="T90" t="n">
        <v>20</v>
      </c>
      <c r="U90" t="n">
        <v>0</v>
      </c>
      <c r="W90" s="300" t="n">
        <v>0.0225</v>
      </c>
      <c r="X90" s="297" t="n">
        <v>36892</v>
      </c>
      <c r="Y90">
        <f>IF(I90="","No SIC",IFERROR(VLOOKUP(I90,Ref!$A$2:$B$65,2,FALSE),"Unclassified"))</f>
        <v/>
      </c>
      <c r="Z90">
        <f>IF(T90="","",IF(T90&lt;12,"Daily","Weekly"))</f>
        <v/>
      </c>
      <c r="AA90">
        <f>IF(T90="",0,IF(T90&lt;12,T90*Controls!$B$29,T90*5))</f>
        <v/>
      </c>
      <c r="AB90">
        <f>IF(E90="",0,NETWORKDAYS(E90,Controls!$B$36,Ref!$K$2:$K$42))</f>
        <v/>
      </c>
      <c r="AC90">
        <f>IF(AND(AA90&gt;0,AB90&gt;=Controls!$B$39*AA90),1,0)</f>
        <v/>
      </c>
      <c r="AD90">
        <f>IF(AND(E90&lt;&gt;"",E90&gt;=Controls!$B$37,E90&lt;=Controls!$B$38),1,0)</f>
        <v/>
      </c>
      <c r="AE90">
        <f>IF(IFERROR(VLOOKUP(D90,Controls!$A$64:$E$74,2,FALSE),"No")="Yes",1,0)</f>
        <v/>
      </c>
      <c r="AF90">
        <f>IF(IFERROR(VLOOKUP(D90,Controls!$A$64:$E$74,3,FALSE),"No")="Yes",1,0)</f>
        <v/>
      </c>
      <c r="AG90">
        <f>IF(IFERROR(VLOOKUP(D90,Controls!$A$64:$E$74,4,FALSE),"No")="Yes",1,0)</f>
        <v/>
      </c>
      <c r="AH90">
        <f>IF(IFERROR(VLOOKUP(D90,Controls!$A$64:$E$74,5,FALSE),"No")="Yes",1,0)</f>
        <v/>
      </c>
      <c r="AI90">
        <f>IF(ISNUMBER(MATCH(D90,Controls!$A$64:$A$74,0)),1,0)</f>
        <v/>
      </c>
      <c r="AJ90">
        <f>Q90-N90</f>
        <v/>
      </c>
      <c r="AK90">
        <f>IF(AE90=1,MAX(0,N90-Q90),0)</f>
        <v/>
      </c>
      <c r="AL90">
        <f>IF(OR(V90="",V90=0),0,N90/V90)</f>
        <v/>
      </c>
      <c r="AM90">
        <f>IF(OR(V90="",V90=0),0,1)</f>
        <v/>
      </c>
      <c r="AN90">
        <f>IF(OR(E90="",F90=""),0,NETWORKDAYS(E90,F90,Ref!$K$2:$K$42))</f>
        <v/>
      </c>
      <c r="AO90">
        <f>IF(L90="Renewal",1,0)</f>
        <v/>
      </c>
      <c r="AP90">
        <f>AC90*AD90</f>
        <v/>
      </c>
      <c r="AQ90">
        <f>IF(AND(G90&lt;&gt;"",'Historical Score'!$C$6&lt;&gt;""),IF(G90='Historical Score'!$C$6,1,0),0)</f>
        <v/>
      </c>
      <c r="AR90">
        <f>IF(AND(L90&lt;&gt;"",'Historical Score'!$C$5&lt;&gt;""),IF(L90='Historical Score'!$C$5,1,0),0)</f>
        <v/>
      </c>
      <c r="AS90">
        <f>IF(AND(Y90&lt;&gt;"",'Historical Score'!$C$7&lt;&gt;""),IF(Y90='Historical Score'!$C$7,1,0),0)</f>
        <v/>
      </c>
      <c r="AT90">
        <f>IF(AND(K90&lt;&gt;"",'Historical Score'!$C$8&lt;&gt;""),IF(K90='Historical Score'!$C$8,1,0),0)</f>
        <v/>
      </c>
      <c r="AU90">
        <f>IF(AND(J90&lt;&gt;"",'Historical Score'!$C$9&lt;&gt;""),IF(J90='Historical Score'!$C$9,1,0),0)</f>
        <v/>
      </c>
      <c r="AV90">
        <f>AR90*AS90*AQ90</f>
        <v/>
      </c>
      <c r="AW90">
        <f>AR90*AT90*AQ90</f>
        <v/>
      </c>
      <c r="AX90">
        <f>AR90*AS90</f>
        <v/>
      </c>
      <c r="AY90">
        <f>AR90*AT90</f>
        <v/>
      </c>
      <c r="AZ90">
        <f>AR90*AQ90</f>
        <v/>
      </c>
      <c r="BA90">
        <f>AR90</f>
        <v/>
      </c>
      <c r="BB90">
        <f>1</f>
        <v/>
      </c>
      <c r="BC90">
        <f>IF(AV90=1,1,IF(AW90=1,2,IF(AX90=1,3,IF(AY90=1,4,IF(AZ90=1,5,IF(BA90=1,6,7))))))</f>
        <v/>
      </c>
      <c r="BD90">
        <f>IF(AD90=1,CHOOSE('Historical Score'!$C$29,AV90,AW90,AX90,AY90,AZ90,BA90,BB90),0)</f>
        <v/>
      </c>
      <c r="BE90">
        <f>IF(BD90=1,COUNTIF($BD$2:BD90,1),"")</f>
        <v/>
      </c>
    </row>
    <row r="91">
      <c r="A91" t="inlineStr">
        <is>
          <t>5674155976</t>
        </is>
      </c>
      <c r="B91" t="inlineStr">
        <is>
          <t>PRADO SALES</t>
        </is>
      </c>
      <c r="C91" t="inlineStr">
        <is>
          <t>P &amp; F FAMILY CONSTRUCTION</t>
        </is>
      </c>
      <c r="D91" t="inlineStr">
        <is>
          <t>Closed</t>
        </is>
      </c>
      <c r="E91" s="297" t="n">
        <v>45776</v>
      </c>
      <c r="F91" s="297" t="n">
        <v>45884</v>
      </c>
      <c r="G91" t="n">
        <v>6</v>
      </c>
      <c r="H91" t="inlineStr">
        <is>
          <t>1521</t>
        </is>
      </c>
      <c r="I91" t="inlineStr">
        <is>
          <t>15</t>
        </is>
      </c>
      <c r="J91" t="inlineStr">
        <is>
          <t>CA</t>
        </is>
      </c>
      <c r="K91" t="inlineStr">
        <is>
          <t>Merchant ReFi</t>
        </is>
      </c>
      <c r="L91" t="inlineStr">
        <is>
          <t>Renewal</t>
        </is>
      </c>
      <c r="M91" s="298" t="n">
        <v>1.49</v>
      </c>
      <c r="N91" s="299" t="n">
        <v>6000</v>
      </c>
      <c r="O91" s="299" t="n">
        <v>840</v>
      </c>
      <c r="P91" s="299" t="n">
        <v>8940</v>
      </c>
      <c r="Q91" s="299" t="n">
        <v>8940</v>
      </c>
      <c r="R91" s="299" t="n">
        <v>0</v>
      </c>
      <c r="S91" s="300" t="n">
        <v>1</v>
      </c>
      <c r="T91" t="n">
        <v>2.623</v>
      </c>
      <c r="U91" t="n">
        <v>0</v>
      </c>
      <c r="W91" s="300" t="n">
        <v>0.0835</v>
      </c>
      <c r="X91" s="297" t="n">
        <v>45447</v>
      </c>
      <c r="Y91">
        <f>IF(I91="","No SIC",IFERROR(VLOOKUP(I91,Ref!$A$2:$B$65,2,FALSE),"Unclassified"))</f>
        <v/>
      </c>
      <c r="Z91">
        <f>IF(T91="","",IF(T91&lt;12,"Daily","Weekly"))</f>
        <v/>
      </c>
      <c r="AA91">
        <f>IF(T91="",0,IF(T91&lt;12,T91*Controls!$B$29,T91*5))</f>
        <v/>
      </c>
      <c r="AB91">
        <f>IF(E91="",0,NETWORKDAYS(E91,Controls!$B$36,Ref!$K$2:$K$42))</f>
        <v/>
      </c>
      <c r="AC91">
        <f>IF(AND(AA91&gt;0,AB91&gt;=Controls!$B$39*AA91),1,0)</f>
        <v/>
      </c>
      <c r="AD91">
        <f>IF(AND(E91&lt;&gt;"",E91&gt;=Controls!$B$37,E91&lt;=Controls!$B$38),1,0)</f>
        <v/>
      </c>
      <c r="AE91">
        <f>IF(IFERROR(VLOOKUP(D91,Controls!$A$64:$E$74,2,FALSE),"No")="Yes",1,0)</f>
        <v/>
      </c>
      <c r="AF91">
        <f>IF(IFERROR(VLOOKUP(D91,Controls!$A$64:$E$74,3,FALSE),"No")="Yes",1,0)</f>
        <v/>
      </c>
      <c r="AG91">
        <f>IF(IFERROR(VLOOKUP(D91,Controls!$A$64:$E$74,4,FALSE),"No")="Yes",1,0)</f>
        <v/>
      </c>
      <c r="AH91">
        <f>IF(IFERROR(VLOOKUP(D91,Controls!$A$64:$E$74,5,FALSE),"No")="Yes",1,0)</f>
        <v/>
      </c>
      <c r="AI91">
        <f>IF(ISNUMBER(MATCH(D91,Controls!$A$64:$A$74,0)),1,0)</f>
        <v/>
      </c>
      <c r="AJ91">
        <f>Q91-N91</f>
        <v/>
      </c>
      <c r="AK91">
        <f>IF(AE91=1,MAX(0,N91-Q91),0)</f>
        <v/>
      </c>
      <c r="AL91">
        <f>IF(OR(V91="",V91=0),0,N91/V91)</f>
        <v/>
      </c>
      <c r="AM91">
        <f>IF(OR(V91="",V91=0),0,1)</f>
        <v/>
      </c>
      <c r="AN91">
        <f>IF(OR(E91="",F91=""),0,NETWORKDAYS(E91,F91,Ref!$K$2:$K$42))</f>
        <v/>
      </c>
      <c r="AO91">
        <f>IF(L91="Renewal",1,0)</f>
        <v/>
      </c>
      <c r="AP91">
        <f>AC91*AD91</f>
        <v/>
      </c>
      <c r="AQ91">
        <f>IF(AND(G91&lt;&gt;"",'Historical Score'!$C$6&lt;&gt;""),IF(G91='Historical Score'!$C$6,1,0),0)</f>
        <v/>
      </c>
      <c r="AR91">
        <f>IF(AND(L91&lt;&gt;"",'Historical Score'!$C$5&lt;&gt;""),IF(L91='Historical Score'!$C$5,1,0),0)</f>
        <v/>
      </c>
      <c r="AS91">
        <f>IF(AND(Y91&lt;&gt;"",'Historical Score'!$C$7&lt;&gt;""),IF(Y91='Historical Score'!$C$7,1,0),0)</f>
        <v/>
      </c>
      <c r="AT91">
        <f>IF(AND(K91&lt;&gt;"",'Historical Score'!$C$8&lt;&gt;""),IF(K91='Historical Score'!$C$8,1,0),0)</f>
        <v/>
      </c>
      <c r="AU91">
        <f>IF(AND(J91&lt;&gt;"",'Historical Score'!$C$9&lt;&gt;""),IF(J91='Historical Score'!$C$9,1,0),0)</f>
        <v/>
      </c>
      <c r="AV91">
        <f>AR91*AS91*AQ91</f>
        <v/>
      </c>
      <c r="AW91">
        <f>AR91*AT91*AQ91</f>
        <v/>
      </c>
      <c r="AX91">
        <f>AR91*AS91</f>
        <v/>
      </c>
      <c r="AY91">
        <f>AR91*AT91</f>
        <v/>
      </c>
      <c r="AZ91">
        <f>AR91*AQ91</f>
        <v/>
      </c>
      <c r="BA91">
        <f>AR91</f>
        <v/>
      </c>
      <c r="BB91">
        <f>1</f>
        <v/>
      </c>
      <c r="BC91">
        <f>IF(AV91=1,1,IF(AW91=1,2,IF(AX91=1,3,IF(AY91=1,4,IF(AZ91=1,5,IF(BA91=1,6,7))))))</f>
        <v/>
      </c>
      <c r="BD91">
        <f>IF(AD91=1,CHOOSE('Historical Score'!$C$29,AV91,AW91,AX91,AY91,AZ91,BA91,BB91),0)</f>
        <v/>
      </c>
      <c r="BE91">
        <f>IF(BD91=1,COUNTIF($BD$2:BD91,1),"")</f>
        <v/>
      </c>
    </row>
    <row r="92">
      <c r="A92" t="inlineStr">
        <is>
          <t>5674156158</t>
        </is>
      </c>
      <c r="B92" t="inlineStr">
        <is>
          <t>Luxe MediGlow</t>
        </is>
      </c>
      <c r="C92" t="inlineStr">
        <is>
          <t>Judy M Perkins LLC</t>
        </is>
      </c>
      <c r="D92" t="inlineStr">
        <is>
          <t>Closed</t>
        </is>
      </c>
      <c r="E92" s="297" t="n">
        <v>45777</v>
      </c>
      <c r="F92" s="297" t="n">
        <v>45887</v>
      </c>
      <c r="G92" t="n">
        <v>2</v>
      </c>
      <c r="H92" t="inlineStr">
        <is>
          <t>7231</t>
        </is>
      </c>
      <c r="I92" t="inlineStr">
        <is>
          <t>72</t>
        </is>
      </c>
      <c r="J92" t="inlineStr">
        <is>
          <t>FL</t>
        </is>
      </c>
      <c r="K92" t="inlineStr">
        <is>
          <t>Fundible</t>
        </is>
      </c>
      <c r="L92" t="inlineStr">
        <is>
          <t>New Deal</t>
        </is>
      </c>
      <c r="M92" s="298" t="n">
        <v>1.499</v>
      </c>
      <c r="N92" s="299" t="n">
        <v>5000</v>
      </c>
      <c r="O92" s="299" t="n">
        <v>700</v>
      </c>
      <c r="P92" s="299" t="n">
        <v>7495</v>
      </c>
      <c r="Q92" s="299" t="n">
        <v>7495</v>
      </c>
      <c r="R92" s="299" t="n">
        <v>9.09494701772928e-13</v>
      </c>
      <c r="S92" s="300" t="n">
        <v>1</v>
      </c>
      <c r="T92" t="n">
        <v>2.459</v>
      </c>
      <c r="U92" t="n">
        <v>0</v>
      </c>
      <c r="W92" s="300" t="n">
        <v>0.1189</v>
      </c>
      <c r="X92" s="297" t="n">
        <v>43757</v>
      </c>
      <c r="Y92">
        <f>IF(I92="","No SIC",IFERROR(VLOOKUP(I92,Ref!$A$2:$B$65,2,FALSE),"Unclassified"))</f>
        <v/>
      </c>
      <c r="Z92">
        <f>IF(T92="","",IF(T92&lt;12,"Daily","Weekly"))</f>
        <v/>
      </c>
      <c r="AA92">
        <f>IF(T92="",0,IF(T92&lt;12,T92*Controls!$B$29,T92*5))</f>
        <v/>
      </c>
      <c r="AB92">
        <f>IF(E92="",0,NETWORKDAYS(E92,Controls!$B$36,Ref!$K$2:$K$42))</f>
        <v/>
      </c>
      <c r="AC92">
        <f>IF(AND(AA92&gt;0,AB92&gt;=Controls!$B$39*AA92),1,0)</f>
        <v/>
      </c>
      <c r="AD92">
        <f>IF(AND(E92&lt;&gt;"",E92&gt;=Controls!$B$37,E92&lt;=Controls!$B$38),1,0)</f>
        <v/>
      </c>
      <c r="AE92">
        <f>IF(IFERROR(VLOOKUP(D92,Controls!$A$64:$E$74,2,FALSE),"No")="Yes",1,0)</f>
        <v/>
      </c>
      <c r="AF92">
        <f>IF(IFERROR(VLOOKUP(D92,Controls!$A$64:$E$74,3,FALSE),"No")="Yes",1,0)</f>
        <v/>
      </c>
      <c r="AG92">
        <f>IF(IFERROR(VLOOKUP(D92,Controls!$A$64:$E$74,4,FALSE),"No")="Yes",1,0)</f>
        <v/>
      </c>
      <c r="AH92">
        <f>IF(IFERROR(VLOOKUP(D92,Controls!$A$64:$E$74,5,FALSE),"No")="Yes",1,0)</f>
        <v/>
      </c>
      <c r="AI92">
        <f>IF(ISNUMBER(MATCH(D92,Controls!$A$64:$A$74,0)),1,0)</f>
        <v/>
      </c>
      <c r="AJ92">
        <f>Q92-N92</f>
        <v/>
      </c>
      <c r="AK92">
        <f>IF(AE92=1,MAX(0,N92-Q92),0)</f>
        <v/>
      </c>
      <c r="AL92">
        <f>IF(OR(V92="",V92=0),0,N92/V92)</f>
        <v/>
      </c>
      <c r="AM92">
        <f>IF(OR(V92="",V92=0),0,1)</f>
        <v/>
      </c>
      <c r="AN92">
        <f>IF(OR(E92="",F92=""),0,NETWORKDAYS(E92,F92,Ref!$K$2:$K$42))</f>
        <v/>
      </c>
      <c r="AO92">
        <f>IF(L92="Renewal",1,0)</f>
        <v/>
      </c>
      <c r="AP92">
        <f>AC92*AD92</f>
        <v/>
      </c>
      <c r="AQ92">
        <f>IF(AND(G92&lt;&gt;"",'Historical Score'!$C$6&lt;&gt;""),IF(G92='Historical Score'!$C$6,1,0),0)</f>
        <v/>
      </c>
      <c r="AR92">
        <f>IF(AND(L92&lt;&gt;"",'Historical Score'!$C$5&lt;&gt;""),IF(L92='Historical Score'!$C$5,1,0),0)</f>
        <v/>
      </c>
      <c r="AS92">
        <f>IF(AND(Y92&lt;&gt;"",'Historical Score'!$C$7&lt;&gt;""),IF(Y92='Historical Score'!$C$7,1,0),0)</f>
        <v/>
      </c>
      <c r="AT92">
        <f>IF(AND(K92&lt;&gt;"",'Historical Score'!$C$8&lt;&gt;""),IF(K92='Historical Score'!$C$8,1,0),0)</f>
        <v/>
      </c>
      <c r="AU92">
        <f>IF(AND(J92&lt;&gt;"",'Historical Score'!$C$9&lt;&gt;""),IF(J92='Historical Score'!$C$9,1,0),0)</f>
        <v/>
      </c>
      <c r="AV92">
        <f>AR92*AS92*AQ92</f>
        <v/>
      </c>
      <c r="AW92">
        <f>AR92*AT92*AQ92</f>
        <v/>
      </c>
      <c r="AX92">
        <f>AR92*AS92</f>
        <v/>
      </c>
      <c r="AY92">
        <f>AR92*AT92</f>
        <v/>
      </c>
      <c r="AZ92">
        <f>AR92*AQ92</f>
        <v/>
      </c>
      <c r="BA92">
        <f>AR92</f>
        <v/>
      </c>
      <c r="BB92">
        <f>1</f>
        <v/>
      </c>
      <c r="BC92">
        <f>IF(AV92=1,1,IF(AW92=1,2,IF(AX92=1,3,IF(AY92=1,4,IF(AZ92=1,5,IF(BA92=1,6,7))))))</f>
        <v/>
      </c>
      <c r="BD92">
        <f>IF(AD92=1,CHOOSE('Historical Score'!$C$29,AV92,AW92,AX92,AY92,AZ92,BA92,BB92),0)</f>
        <v/>
      </c>
      <c r="BE92">
        <f>IF(BD92=1,COUNTIF($BD$2:BD92,1),"")</f>
        <v/>
      </c>
    </row>
    <row r="93">
      <c r="A93" t="inlineStr">
        <is>
          <t>5674156261</t>
        </is>
      </c>
      <c r="B93" t="inlineStr">
        <is>
          <t>plush nails &amp; spa</t>
        </is>
      </c>
      <c r="C93" t="inlineStr">
        <is>
          <t>Huyen and Vu Bui Inc</t>
        </is>
      </c>
      <c r="D93" t="inlineStr">
        <is>
          <t>Closed</t>
        </is>
      </c>
      <c r="E93" s="297" t="n">
        <v>45778</v>
      </c>
      <c r="F93" s="297" t="n">
        <v>45896</v>
      </c>
      <c r="G93" t="n">
        <v>3</v>
      </c>
      <c r="H93" t="inlineStr">
        <is>
          <t>7231</t>
        </is>
      </c>
      <c r="I93" t="inlineStr">
        <is>
          <t>72</t>
        </is>
      </c>
      <c r="J93" t="inlineStr">
        <is>
          <t>OK</t>
        </is>
      </c>
      <c r="K93" t="inlineStr">
        <is>
          <t>GROWTH RATE CAPITAL INC</t>
        </is>
      </c>
      <c r="L93" t="inlineStr">
        <is>
          <t>New Deal</t>
        </is>
      </c>
      <c r="M93" s="298" t="n">
        <v>1.499</v>
      </c>
      <c r="N93" s="299" t="n">
        <v>20000</v>
      </c>
      <c r="O93" s="299" t="n">
        <v>2800</v>
      </c>
      <c r="P93" s="299" t="n">
        <v>29980</v>
      </c>
      <c r="Q93" s="299" t="n">
        <v>29980</v>
      </c>
      <c r="R93" s="299" t="n">
        <v>3.63797880709171e-12</v>
      </c>
      <c r="S93" s="300" t="n">
        <v>1</v>
      </c>
      <c r="T93" t="n">
        <v>2.623</v>
      </c>
      <c r="U93" t="n">
        <v>1</v>
      </c>
      <c r="W93" s="300" t="n">
        <v>0.1117</v>
      </c>
      <c r="X93" s="297" t="n">
        <v>43166</v>
      </c>
      <c r="Y93">
        <f>IF(I93="","No SIC",IFERROR(VLOOKUP(I93,Ref!$A$2:$B$65,2,FALSE),"Unclassified"))</f>
        <v/>
      </c>
      <c r="Z93">
        <f>IF(T93="","",IF(T93&lt;12,"Daily","Weekly"))</f>
        <v/>
      </c>
      <c r="AA93">
        <f>IF(T93="",0,IF(T93&lt;12,T93*Controls!$B$29,T93*5))</f>
        <v/>
      </c>
      <c r="AB93">
        <f>IF(E93="",0,NETWORKDAYS(E93,Controls!$B$36,Ref!$K$2:$K$42))</f>
        <v/>
      </c>
      <c r="AC93">
        <f>IF(AND(AA93&gt;0,AB93&gt;=Controls!$B$39*AA93),1,0)</f>
        <v/>
      </c>
      <c r="AD93">
        <f>IF(AND(E93&lt;&gt;"",E93&gt;=Controls!$B$37,E93&lt;=Controls!$B$38),1,0)</f>
        <v/>
      </c>
      <c r="AE93">
        <f>IF(IFERROR(VLOOKUP(D93,Controls!$A$64:$E$74,2,FALSE),"No")="Yes",1,0)</f>
        <v/>
      </c>
      <c r="AF93">
        <f>IF(IFERROR(VLOOKUP(D93,Controls!$A$64:$E$74,3,FALSE),"No")="Yes",1,0)</f>
        <v/>
      </c>
      <c r="AG93">
        <f>IF(IFERROR(VLOOKUP(D93,Controls!$A$64:$E$74,4,FALSE),"No")="Yes",1,0)</f>
        <v/>
      </c>
      <c r="AH93">
        <f>IF(IFERROR(VLOOKUP(D93,Controls!$A$64:$E$74,5,FALSE),"No")="Yes",1,0)</f>
        <v/>
      </c>
      <c r="AI93">
        <f>IF(ISNUMBER(MATCH(D93,Controls!$A$64:$A$74,0)),1,0)</f>
        <v/>
      </c>
      <c r="AJ93">
        <f>Q93-N93</f>
        <v/>
      </c>
      <c r="AK93">
        <f>IF(AE93=1,MAX(0,N93-Q93),0)</f>
        <v/>
      </c>
      <c r="AL93">
        <f>IF(OR(V93="",V93=0),0,N93/V93)</f>
        <v/>
      </c>
      <c r="AM93">
        <f>IF(OR(V93="",V93=0),0,1)</f>
        <v/>
      </c>
      <c r="AN93">
        <f>IF(OR(E93="",F93=""),0,NETWORKDAYS(E93,F93,Ref!$K$2:$K$42))</f>
        <v/>
      </c>
      <c r="AO93">
        <f>IF(L93="Renewal",1,0)</f>
        <v/>
      </c>
      <c r="AP93">
        <f>AC93*AD93</f>
        <v/>
      </c>
      <c r="AQ93">
        <f>IF(AND(G93&lt;&gt;"",'Historical Score'!$C$6&lt;&gt;""),IF(G93='Historical Score'!$C$6,1,0),0)</f>
        <v/>
      </c>
      <c r="AR93">
        <f>IF(AND(L93&lt;&gt;"",'Historical Score'!$C$5&lt;&gt;""),IF(L93='Historical Score'!$C$5,1,0),0)</f>
        <v/>
      </c>
      <c r="AS93">
        <f>IF(AND(Y93&lt;&gt;"",'Historical Score'!$C$7&lt;&gt;""),IF(Y93='Historical Score'!$C$7,1,0),0)</f>
        <v/>
      </c>
      <c r="AT93">
        <f>IF(AND(K93&lt;&gt;"",'Historical Score'!$C$8&lt;&gt;""),IF(K93='Historical Score'!$C$8,1,0),0)</f>
        <v/>
      </c>
      <c r="AU93">
        <f>IF(AND(J93&lt;&gt;"",'Historical Score'!$C$9&lt;&gt;""),IF(J93='Historical Score'!$C$9,1,0),0)</f>
        <v/>
      </c>
      <c r="AV93">
        <f>AR93*AS93*AQ93</f>
        <v/>
      </c>
      <c r="AW93">
        <f>AR93*AT93*AQ93</f>
        <v/>
      </c>
      <c r="AX93">
        <f>AR93*AS93</f>
        <v/>
      </c>
      <c r="AY93">
        <f>AR93*AT93</f>
        <v/>
      </c>
      <c r="AZ93">
        <f>AR93*AQ93</f>
        <v/>
      </c>
      <c r="BA93">
        <f>AR93</f>
        <v/>
      </c>
      <c r="BB93">
        <f>1</f>
        <v/>
      </c>
      <c r="BC93">
        <f>IF(AV93=1,1,IF(AW93=1,2,IF(AX93=1,3,IF(AY93=1,4,IF(AZ93=1,5,IF(BA93=1,6,7))))))</f>
        <v/>
      </c>
      <c r="BD93">
        <f>IF(AD93=1,CHOOSE('Historical Score'!$C$29,AV93,AW93,AX93,AY93,AZ93,BA93,BB93),0)</f>
        <v/>
      </c>
      <c r="BE93">
        <f>IF(BD93=1,COUNTIF($BD$2:BD93,1),"")</f>
        <v/>
      </c>
    </row>
    <row r="94">
      <c r="A94" t="inlineStr">
        <is>
          <t>5674156303</t>
        </is>
      </c>
      <c r="B94" t="inlineStr">
        <is>
          <t>Hiway House</t>
        </is>
      </c>
      <c r="C94" t="inlineStr">
        <is>
          <t>Belle's Hiway House</t>
        </is>
      </c>
      <c r="D94" t="inlineStr">
        <is>
          <t>Closed</t>
        </is>
      </c>
      <c r="E94" s="297" t="n">
        <v>45778</v>
      </c>
      <c r="F94" s="297" t="n">
        <v>45958</v>
      </c>
      <c r="G94" t="n">
        <v>2</v>
      </c>
      <c r="H94" t="inlineStr">
        <is>
          <t>5812</t>
        </is>
      </c>
      <c r="I94" t="inlineStr">
        <is>
          <t>58</t>
        </is>
      </c>
      <c r="J94" t="inlineStr">
        <is>
          <t>OR</t>
        </is>
      </c>
      <c r="K94" t="inlineStr">
        <is>
          <t>JABSCAP</t>
        </is>
      </c>
      <c r="L94" t="inlineStr">
        <is>
          <t>New Deal</t>
        </is>
      </c>
      <c r="M94" s="298" t="n">
        <v>1.47</v>
      </c>
      <c r="N94" s="299" t="n">
        <v>15000</v>
      </c>
      <c r="O94" s="299" t="n">
        <v>1950</v>
      </c>
      <c r="P94" s="299" t="n">
        <v>22050</v>
      </c>
      <c r="Q94" s="299" t="n">
        <v>22050</v>
      </c>
      <c r="R94" s="299" t="n">
        <v>0</v>
      </c>
      <c r="S94" s="300" t="n">
        <v>1</v>
      </c>
      <c r="T94" t="n">
        <v>2.623</v>
      </c>
      <c r="U94" t="n">
        <v>40</v>
      </c>
      <c r="W94" s="300" t="n">
        <v>0.0757</v>
      </c>
      <c r="X94" s="297" t="n">
        <v>45450</v>
      </c>
      <c r="Y94">
        <f>IF(I94="","No SIC",IFERROR(VLOOKUP(I94,Ref!$A$2:$B$65,2,FALSE),"Unclassified"))</f>
        <v/>
      </c>
      <c r="Z94">
        <f>IF(T94="","",IF(T94&lt;12,"Daily","Weekly"))</f>
        <v/>
      </c>
      <c r="AA94">
        <f>IF(T94="",0,IF(T94&lt;12,T94*Controls!$B$29,T94*5))</f>
        <v/>
      </c>
      <c r="AB94">
        <f>IF(E94="",0,NETWORKDAYS(E94,Controls!$B$36,Ref!$K$2:$K$42))</f>
        <v/>
      </c>
      <c r="AC94">
        <f>IF(AND(AA94&gt;0,AB94&gt;=Controls!$B$39*AA94),1,0)</f>
        <v/>
      </c>
      <c r="AD94">
        <f>IF(AND(E94&lt;&gt;"",E94&gt;=Controls!$B$37,E94&lt;=Controls!$B$38),1,0)</f>
        <v/>
      </c>
      <c r="AE94">
        <f>IF(IFERROR(VLOOKUP(D94,Controls!$A$64:$E$74,2,FALSE),"No")="Yes",1,0)</f>
        <v/>
      </c>
      <c r="AF94">
        <f>IF(IFERROR(VLOOKUP(D94,Controls!$A$64:$E$74,3,FALSE),"No")="Yes",1,0)</f>
        <v/>
      </c>
      <c r="AG94">
        <f>IF(IFERROR(VLOOKUP(D94,Controls!$A$64:$E$74,4,FALSE),"No")="Yes",1,0)</f>
        <v/>
      </c>
      <c r="AH94">
        <f>IF(IFERROR(VLOOKUP(D94,Controls!$A$64:$E$74,5,FALSE),"No")="Yes",1,0)</f>
        <v/>
      </c>
      <c r="AI94">
        <f>IF(ISNUMBER(MATCH(D94,Controls!$A$64:$A$74,0)),1,0)</f>
        <v/>
      </c>
      <c r="AJ94">
        <f>Q94-N94</f>
        <v/>
      </c>
      <c r="AK94">
        <f>IF(AE94=1,MAX(0,N94-Q94),0)</f>
        <v/>
      </c>
      <c r="AL94">
        <f>IF(OR(V94="",V94=0),0,N94/V94)</f>
        <v/>
      </c>
      <c r="AM94">
        <f>IF(OR(V94="",V94=0),0,1)</f>
        <v/>
      </c>
      <c r="AN94">
        <f>IF(OR(E94="",F94=""),0,NETWORKDAYS(E94,F94,Ref!$K$2:$K$42))</f>
        <v/>
      </c>
      <c r="AO94">
        <f>IF(L94="Renewal",1,0)</f>
        <v/>
      </c>
      <c r="AP94">
        <f>AC94*AD94</f>
        <v/>
      </c>
      <c r="AQ94">
        <f>IF(AND(G94&lt;&gt;"",'Historical Score'!$C$6&lt;&gt;""),IF(G94='Historical Score'!$C$6,1,0),0)</f>
        <v/>
      </c>
      <c r="AR94">
        <f>IF(AND(L94&lt;&gt;"",'Historical Score'!$C$5&lt;&gt;""),IF(L94='Historical Score'!$C$5,1,0),0)</f>
        <v/>
      </c>
      <c r="AS94">
        <f>IF(AND(Y94&lt;&gt;"",'Historical Score'!$C$7&lt;&gt;""),IF(Y94='Historical Score'!$C$7,1,0),0)</f>
        <v/>
      </c>
      <c r="AT94">
        <f>IF(AND(K94&lt;&gt;"",'Historical Score'!$C$8&lt;&gt;""),IF(K94='Historical Score'!$C$8,1,0),0)</f>
        <v/>
      </c>
      <c r="AU94">
        <f>IF(AND(J94&lt;&gt;"",'Historical Score'!$C$9&lt;&gt;""),IF(J94='Historical Score'!$C$9,1,0),0)</f>
        <v/>
      </c>
      <c r="AV94">
        <f>AR94*AS94*AQ94</f>
        <v/>
      </c>
      <c r="AW94">
        <f>AR94*AT94*AQ94</f>
        <v/>
      </c>
      <c r="AX94">
        <f>AR94*AS94</f>
        <v/>
      </c>
      <c r="AY94">
        <f>AR94*AT94</f>
        <v/>
      </c>
      <c r="AZ94">
        <f>AR94*AQ94</f>
        <v/>
      </c>
      <c r="BA94">
        <f>AR94</f>
        <v/>
      </c>
      <c r="BB94">
        <f>1</f>
        <v/>
      </c>
      <c r="BC94">
        <f>IF(AV94=1,1,IF(AW94=1,2,IF(AX94=1,3,IF(AY94=1,4,IF(AZ94=1,5,IF(BA94=1,6,7))))))</f>
        <v/>
      </c>
      <c r="BD94">
        <f>IF(AD94=1,CHOOSE('Historical Score'!$C$29,AV94,AW94,AX94,AY94,AZ94,BA94,BB94),0)</f>
        <v/>
      </c>
      <c r="BE94">
        <f>IF(BD94=1,COUNTIF($BD$2:BD94,1),"")</f>
        <v/>
      </c>
    </row>
    <row r="95">
      <c r="A95" t="inlineStr">
        <is>
          <t>5674156693</t>
        </is>
      </c>
      <c r="B95" t="inlineStr">
        <is>
          <t>ATX Fleet Services Truck and Trailer Repair, LLC</t>
        </is>
      </c>
      <c r="C95" t="inlineStr">
        <is>
          <t>ATX Fleet Services Truck and Trailer Repair, LLC</t>
        </is>
      </c>
      <c r="D95" t="inlineStr">
        <is>
          <t>Legal</t>
        </is>
      </c>
      <c r="E95" s="297" t="n">
        <v>45784</v>
      </c>
      <c r="F95" s="297" t="n">
        <v>45831</v>
      </c>
      <c r="G95" t="n">
        <v>4</v>
      </c>
      <c r="H95" t="inlineStr">
        <is>
          <t>7538</t>
        </is>
      </c>
      <c r="I95" t="inlineStr">
        <is>
          <t>75</t>
        </is>
      </c>
      <c r="J95" t="inlineStr">
        <is>
          <t>TX</t>
        </is>
      </c>
      <c r="K95" t="inlineStr">
        <is>
          <t>Milestone Capital Funding Inc</t>
        </is>
      </c>
      <c r="L95" t="inlineStr">
        <is>
          <t>New Deal</t>
        </is>
      </c>
      <c r="M95" s="298" t="n">
        <v>1.49</v>
      </c>
      <c r="N95" s="299" t="n">
        <v>15000</v>
      </c>
      <c r="O95" s="299" t="n">
        <v>2100</v>
      </c>
      <c r="P95" s="299" t="n">
        <v>22350</v>
      </c>
      <c r="Q95" s="299" t="n">
        <v>6046.24</v>
      </c>
      <c r="R95" s="299" t="n">
        <v>16303.76</v>
      </c>
      <c r="S95" s="300" t="n">
        <v>0.270525279642058</v>
      </c>
      <c r="T95" t="n">
        <v>2.787</v>
      </c>
      <c r="U95" t="n">
        <v>8</v>
      </c>
      <c r="W95" s="300" t="n">
        <v>0.1029</v>
      </c>
      <c r="X95" s="297" t="n"/>
      <c r="Y95">
        <f>IF(I95="","No SIC",IFERROR(VLOOKUP(I95,Ref!$A$2:$B$65,2,FALSE),"Unclassified"))</f>
        <v/>
      </c>
      <c r="Z95">
        <f>IF(T95="","",IF(T95&lt;12,"Daily","Weekly"))</f>
        <v/>
      </c>
      <c r="AA95">
        <f>IF(T95="",0,IF(T95&lt;12,T95*Controls!$B$29,T95*5))</f>
        <v/>
      </c>
      <c r="AB95">
        <f>IF(E95="",0,NETWORKDAYS(E95,Controls!$B$36,Ref!$K$2:$K$42))</f>
        <v/>
      </c>
      <c r="AC95">
        <f>IF(AND(AA95&gt;0,AB95&gt;=Controls!$B$39*AA95),1,0)</f>
        <v/>
      </c>
      <c r="AD95">
        <f>IF(AND(E95&lt;&gt;"",E95&gt;=Controls!$B$37,E95&lt;=Controls!$B$38),1,0)</f>
        <v/>
      </c>
      <c r="AE95">
        <f>IF(IFERROR(VLOOKUP(D95,Controls!$A$64:$E$74,2,FALSE),"No")="Yes",1,0)</f>
        <v/>
      </c>
      <c r="AF95">
        <f>IF(IFERROR(VLOOKUP(D95,Controls!$A$64:$E$74,3,FALSE),"No")="Yes",1,0)</f>
        <v/>
      </c>
      <c r="AG95">
        <f>IF(IFERROR(VLOOKUP(D95,Controls!$A$64:$E$74,4,FALSE),"No")="Yes",1,0)</f>
        <v/>
      </c>
      <c r="AH95">
        <f>IF(IFERROR(VLOOKUP(D95,Controls!$A$64:$E$74,5,FALSE),"No")="Yes",1,0)</f>
        <v/>
      </c>
      <c r="AI95">
        <f>IF(ISNUMBER(MATCH(D95,Controls!$A$64:$A$74,0)),1,0)</f>
        <v/>
      </c>
      <c r="AJ95">
        <f>Q95-N95</f>
        <v/>
      </c>
      <c r="AK95">
        <f>IF(AE95=1,MAX(0,N95-Q95),0)</f>
        <v/>
      </c>
      <c r="AL95">
        <f>IF(OR(V95="",V95=0),0,N95/V95)</f>
        <v/>
      </c>
      <c r="AM95">
        <f>IF(OR(V95="",V95=0),0,1)</f>
        <v/>
      </c>
      <c r="AN95">
        <f>IF(OR(E95="",F95=""),0,NETWORKDAYS(E95,F95,Ref!$K$2:$K$42))</f>
        <v/>
      </c>
      <c r="AO95">
        <f>IF(L95="Renewal",1,0)</f>
        <v/>
      </c>
      <c r="AP95">
        <f>AC95*AD95</f>
        <v/>
      </c>
      <c r="AQ95">
        <f>IF(AND(G95&lt;&gt;"",'Historical Score'!$C$6&lt;&gt;""),IF(G95='Historical Score'!$C$6,1,0),0)</f>
        <v/>
      </c>
      <c r="AR95">
        <f>IF(AND(L95&lt;&gt;"",'Historical Score'!$C$5&lt;&gt;""),IF(L95='Historical Score'!$C$5,1,0),0)</f>
        <v/>
      </c>
      <c r="AS95">
        <f>IF(AND(Y95&lt;&gt;"",'Historical Score'!$C$7&lt;&gt;""),IF(Y95='Historical Score'!$C$7,1,0),0)</f>
        <v/>
      </c>
      <c r="AT95">
        <f>IF(AND(K95&lt;&gt;"",'Historical Score'!$C$8&lt;&gt;""),IF(K95='Historical Score'!$C$8,1,0),0)</f>
        <v/>
      </c>
      <c r="AU95">
        <f>IF(AND(J95&lt;&gt;"",'Historical Score'!$C$9&lt;&gt;""),IF(J95='Historical Score'!$C$9,1,0),0)</f>
        <v/>
      </c>
      <c r="AV95">
        <f>AR95*AS95*AQ95</f>
        <v/>
      </c>
      <c r="AW95">
        <f>AR95*AT95*AQ95</f>
        <v/>
      </c>
      <c r="AX95">
        <f>AR95*AS95</f>
        <v/>
      </c>
      <c r="AY95">
        <f>AR95*AT95</f>
        <v/>
      </c>
      <c r="AZ95">
        <f>AR95*AQ95</f>
        <v/>
      </c>
      <c r="BA95">
        <f>AR95</f>
        <v/>
      </c>
      <c r="BB95">
        <f>1</f>
        <v/>
      </c>
      <c r="BC95">
        <f>IF(AV95=1,1,IF(AW95=1,2,IF(AX95=1,3,IF(AY95=1,4,IF(AZ95=1,5,IF(BA95=1,6,7))))))</f>
        <v/>
      </c>
      <c r="BD95">
        <f>IF(AD95=1,CHOOSE('Historical Score'!$C$29,AV95,AW95,AX95,AY95,AZ95,BA95,BB95),0)</f>
        <v/>
      </c>
      <c r="BE95">
        <f>IF(BD95=1,COUNTIF($BD$2:BD95,1),"")</f>
        <v/>
      </c>
    </row>
    <row r="96">
      <c r="A96" t="inlineStr">
        <is>
          <t>5674156847</t>
        </is>
      </c>
      <c r="B96" t="inlineStr">
        <is>
          <t>NCW Basketball Group Llc</t>
        </is>
      </c>
      <c r="C96" t="inlineStr">
        <is>
          <t>NCW Basketball Group Llc</t>
        </is>
      </c>
      <c r="D96" t="inlineStr">
        <is>
          <t>Closed</t>
        </is>
      </c>
      <c r="E96" s="297" t="n">
        <v>45785</v>
      </c>
      <c r="F96" s="297" t="n">
        <v>45895</v>
      </c>
      <c r="G96" t="n">
        <v>1</v>
      </c>
      <c r="H96" t="inlineStr">
        <is>
          <t>7997</t>
        </is>
      </c>
      <c r="I96" t="inlineStr">
        <is>
          <t>79</t>
        </is>
      </c>
      <c r="J96" t="inlineStr">
        <is>
          <t>OR</t>
        </is>
      </c>
      <c r="K96" t="inlineStr">
        <is>
          <t>Premium Capital (AMRK)</t>
        </is>
      </c>
      <c r="L96" t="inlineStr">
        <is>
          <t>New Deal</t>
        </is>
      </c>
      <c r="M96" s="298" t="n">
        <v>1.499</v>
      </c>
      <c r="N96" s="299" t="n">
        <v>6000</v>
      </c>
      <c r="O96" s="299" t="n">
        <v>840</v>
      </c>
      <c r="P96" s="299" t="n">
        <v>8994</v>
      </c>
      <c r="Q96" s="299" t="n">
        <v>8994</v>
      </c>
      <c r="R96" s="299" t="n">
        <v>0</v>
      </c>
      <c r="S96" s="300" t="n">
        <v>1</v>
      </c>
      <c r="T96" t="n">
        <v>2.459</v>
      </c>
      <c r="U96" t="n">
        <v>0</v>
      </c>
      <c r="W96" s="300" t="n">
        <v>0.0702</v>
      </c>
      <c r="X96" s="297" t="n"/>
      <c r="Y96">
        <f>IF(I96="","No SIC",IFERROR(VLOOKUP(I96,Ref!$A$2:$B$65,2,FALSE),"Unclassified"))</f>
        <v/>
      </c>
      <c r="Z96">
        <f>IF(T96="","",IF(T96&lt;12,"Daily","Weekly"))</f>
        <v/>
      </c>
      <c r="AA96">
        <f>IF(T96="",0,IF(T96&lt;12,T96*Controls!$B$29,T96*5))</f>
        <v/>
      </c>
      <c r="AB96">
        <f>IF(E96="",0,NETWORKDAYS(E96,Controls!$B$36,Ref!$K$2:$K$42))</f>
        <v/>
      </c>
      <c r="AC96">
        <f>IF(AND(AA96&gt;0,AB96&gt;=Controls!$B$39*AA96),1,0)</f>
        <v/>
      </c>
      <c r="AD96">
        <f>IF(AND(E96&lt;&gt;"",E96&gt;=Controls!$B$37,E96&lt;=Controls!$B$38),1,0)</f>
        <v/>
      </c>
      <c r="AE96">
        <f>IF(IFERROR(VLOOKUP(D96,Controls!$A$64:$E$74,2,FALSE),"No")="Yes",1,0)</f>
        <v/>
      </c>
      <c r="AF96">
        <f>IF(IFERROR(VLOOKUP(D96,Controls!$A$64:$E$74,3,FALSE),"No")="Yes",1,0)</f>
        <v/>
      </c>
      <c r="AG96">
        <f>IF(IFERROR(VLOOKUP(D96,Controls!$A$64:$E$74,4,FALSE),"No")="Yes",1,0)</f>
        <v/>
      </c>
      <c r="AH96">
        <f>IF(IFERROR(VLOOKUP(D96,Controls!$A$64:$E$74,5,FALSE),"No")="Yes",1,0)</f>
        <v/>
      </c>
      <c r="AI96">
        <f>IF(ISNUMBER(MATCH(D96,Controls!$A$64:$A$74,0)),1,0)</f>
        <v/>
      </c>
      <c r="AJ96">
        <f>Q96-N96</f>
        <v/>
      </c>
      <c r="AK96">
        <f>IF(AE96=1,MAX(0,N96-Q96),0)</f>
        <v/>
      </c>
      <c r="AL96">
        <f>IF(OR(V96="",V96=0),0,N96/V96)</f>
        <v/>
      </c>
      <c r="AM96">
        <f>IF(OR(V96="",V96=0),0,1)</f>
        <v/>
      </c>
      <c r="AN96">
        <f>IF(OR(E96="",F96=""),0,NETWORKDAYS(E96,F96,Ref!$K$2:$K$42))</f>
        <v/>
      </c>
      <c r="AO96">
        <f>IF(L96="Renewal",1,0)</f>
        <v/>
      </c>
      <c r="AP96">
        <f>AC96*AD96</f>
        <v/>
      </c>
      <c r="AQ96">
        <f>IF(AND(G96&lt;&gt;"",'Historical Score'!$C$6&lt;&gt;""),IF(G96='Historical Score'!$C$6,1,0),0)</f>
        <v/>
      </c>
      <c r="AR96">
        <f>IF(AND(L96&lt;&gt;"",'Historical Score'!$C$5&lt;&gt;""),IF(L96='Historical Score'!$C$5,1,0),0)</f>
        <v/>
      </c>
      <c r="AS96">
        <f>IF(AND(Y96&lt;&gt;"",'Historical Score'!$C$7&lt;&gt;""),IF(Y96='Historical Score'!$C$7,1,0),0)</f>
        <v/>
      </c>
      <c r="AT96">
        <f>IF(AND(K96&lt;&gt;"",'Historical Score'!$C$8&lt;&gt;""),IF(K96='Historical Score'!$C$8,1,0),0)</f>
        <v/>
      </c>
      <c r="AU96">
        <f>IF(AND(J96&lt;&gt;"",'Historical Score'!$C$9&lt;&gt;""),IF(J96='Historical Score'!$C$9,1,0),0)</f>
        <v/>
      </c>
      <c r="AV96">
        <f>AR96*AS96*AQ96</f>
        <v/>
      </c>
      <c r="AW96">
        <f>AR96*AT96*AQ96</f>
        <v/>
      </c>
      <c r="AX96">
        <f>AR96*AS96</f>
        <v/>
      </c>
      <c r="AY96">
        <f>AR96*AT96</f>
        <v/>
      </c>
      <c r="AZ96">
        <f>AR96*AQ96</f>
        <v/>
      </c>
      <c r="BA96">
        <f>AR96</f>
        <v/>
      </c>
      <c r="BB96">
        <f>1</f>
        <v/>
      </c>
      <c r="BC96">
        <f>IF(AV96=1,1,IF(AW96=1,2,IF(AX96=1,3,IF(AY96=1,4,IF(AZ96=1,5,IF(BA96=1,6,7))))))</f>
        <v/>
      </c>
      <c r="BD96">
        <f>IF(AD96=1,CHOOSE('Historical Score'!$C$29,AV96,AW96,AX96,AY96,AZ96,BA96,BB96),0)</f>
        <v/>
      </c>
      <c r="BE96">
        <f>IF(BD96=1,COUNTIF($BD$2:BD96,1),"")</f>
        <v/>
      </c>
    </row>
    <row r="97">
      <c r="A97" t="inlineStr">
        <is>
          <t>5674156897</t>
        </is>
      </c>
      <c r="B97" t="inlineStr">
        <is>
          <t>Crafty Steere</t>
        </is>
      </c>
      <c r="C97" t="inlineStr">
        <is>
          <t>Crafty Steere</t>
        </is>
      </c>
      <c r="D97" t="inlineStr">
        <is>
          <t>Closed</t>
        </is>
      </c>
      <c r="E97" s="297" t="n">
        <v>45785</v>
      </c>
      <c r="F97" s="297" t="n">
        <v>45903</v>
      </c>
      <c r="G97" t="n">
        <v>5</v>
      </c>
      <c r="H97" t="inlineStr">
        <is>
          <t>5331</t>
        </is>
      </c>
      <c r="I97" t="inlineStr">
        <is>
          <t>53</t>
        </is>
      </c>
      <c r="J97" t="inlineStr">
        <is>
          <t>OH</t>
        </is>
      </c>
      <c r="K97" t="inlineStr">
        <is>
          <t>Vanguard Equities</t>
        </is>
      </c>
      <c r="L97" t="inlineStr">
        <is>
          <t>New Deal</t>
        </is>
      </c>
      <c r="M97" s="298" t="n">
        <v>1.5</v>
      </c>
      <c r="N97" s="299" t="n">
        <v>10000</v>
      </c>
      <c r="O97" s="299" t="n">
        <v>1400</v>
      </c>
      <c r="P97" s="299" t="n">
        <v>15000</v>
      </c>
      <c r="Q97" s="299" t="n">
        <v>15000</v>
      </c>
      <c r="R97" s="299" t="n">
        <v>0</v>
      </c>
      <c r="S97" s="300" t="n">
        <v>1</v>
      </c>
      <c r="T97" t="n">
        <v>2.623</v>
      </c>
      <c r="U97" t="n">
        <v>0</v>
      </c>
      <c r="W97" s="300" t="n">
        <v>0.0915</v>
      </c>
      <c r="X97" s="297" t="n"/>
      <c r="Y97">
        <f>IF(I97="","No SIC",IFERROR(VLOOKUP(I97,Ref!$A$2:$B$65,2,FALSE),"Unclassified"))</f>
        <v/>
      </c>
      <c r="Z97">
        <f>IF(T97="","",IF(T97&lt;12,"Daily","Weekly"))</f>
        <v/>
      </c>
      <c r="AA97">
        <f>IF(T97="",0,IF(T97&lt;12,T97*Controls!$B$29,T97*5))</f>
        <v/>
      </c>
      <c r="AB97">
        <f>IF(E97="",0,NETWORKDAYS(E97,Controls!$B$36,Ref!$K$2:$K$42))</f>
        <v/>
      </c>
      <c r="AC97">
        <f>IF(AND(AA97&gt;0,AB97&gt;=Controls!$B$39*AA97),1,0)</f>
        <v/>
      </c>
      <c r="AD97">
        <f>IF(AND(E97&lt;&gt;"",E97&gt;=Controls!$B$37,E97&lt;=Controls!$B$38),1,0)</f>
        <v/>
      </c>
      <c r="AE97">
        <f>IF(IFERROR(VLOOKUP(D97,Controls!$A$64:$E$74,2,FALSE),"No")="Yes",1,0)</f>
        <v/>
      </c>
      <c r="AF97">
        <f>IF(IFERROR(VLOOKUP(D97,Controls!$A$64:$E$74,3,FALSE),"No")="Yes",1,0)</f>
        <v/>
      </c>
      <c r="AG97">
        <f>IF(IFERROR(VLOOKUP(D97,Controls!$A$64:$E$74,4,FALSE),"No")="Yes",1,0)</f>
        <v/>
      </c>
      <c r="AH97">
        <f>IF(IFERROR(VLOOKUP(D97,Controls!$A$64:$E$74,5,FALSE),"No")="Yes",1,0)</f>
        <v/>
      </c>
      <c r="AI97">
        <f>IF(ISNUMBER(MATCH(D97,Controls!$A$64:$A$74,0)),1,0)</f>
        <v/>
      </c>
      <c r="AJ97">
        <f>Q97-N97</f>
        <v/>
      </c>
      <c r="AK97">
        <f>IF(AE97=1,MAX(0,N97-Q97),0)</f>
        <v/>
      </c>
      <c r="AL97">
        <f>IF(OR(V97="",V97=0),0,N97/V97)</f>
        <v/>
      </c>
      <c r="AM97">
        <f>IF(OR(V97="",V97=0),0,1)</f>
        <v/>
      </c>
      <c r="AN97">
        <f>IF(OR(E97="",F97=""),0,NETWORKDAYS(E97,F97,Ref!$K$2:$K$42))</f>
        <v/>
      </c>
      <c r="AO97">
        <f>IF(L97="Renewal",1,0)</f>
        <v/>
      </c>
      <c r="AP97">
        <f>AC97*AD97</f>
        <v/>
      </c>
      <c r="AQ97">
        <f>IF(AND(G97&lt;&gt;"",'Historical Score'!$C$6&lt;&gt;""),IF(G97='Historical Score'!$C$6,1,0),0)</f>
        <v/>
      </c>
      <c r="AR97">
        <f>IF(AND(L97&lt;&gt;"",'Historical Score'!$C$5&lt;&gt;""),IF(L97='Historical Score'!$C$5,1,0),0)</f>
        <v/>
      </c>
      <c r="AS97">
        <f>IF(AND(Y97&lt;&gt;"",'Historical Score'!$C$7&lt;&gt;""),IF(Y97='Historical Score'!$C$7,1,0),0)</f>
        <v/>
      </c>
      <c r="AT97">
        <f>IF(AND(K97&lt;&gt;"",'Historical Score'!$C$8&lt;&gt;""),IF(K97='Historical Score'!$C$8,1,0),0)</f>
        <v/>
      </c>
      <c r="AU97">
        <f>IF(AND(J97&lt;&gt;"",'Historical Score'!$C$9&lt;&gt;""),IF(J97='Historical Score'!$C$9,1,0),0)</f>
        <v/>
      </c>
      <c r="AV97">
        <f>AR97*AS97*AQ97</f>
        <v/>
      </c>
      <c r="AW97">
        <f>AR97*AT97*AQ97</f>
        <v/>
      </c>
      <c r="AX97">
        <f>AR97*AS97</f>
        <v/>
      </c>
      <c r="AY97">
        <f>AR97*AT97</f>
        <v/>
      </c>
      <c r="AZ97">
        <f>AR97*AQ97</f>
        <v/>
      </c>
      <c r="BA97">
        <f>AR97</f>
        <v/>
      </c>
      <c r="BB97">
        <f>1</f>
        <v/>
      </c>
      <c r="BC97">
        <f>IF(AV97=1,1,IF(AW97=1,2,IF(AX97=1,3,IF(AY97=1,4,IF(AZ97=1,5,IF(BA97=1,6,7))))))</f>
        <v/>
      </c>
      <c r="BD97">
        <f>IF(AD97=1,CHOOSE('Historical Score'!$C$29,AV97,AW97,AX97,AY97,AZ97,BA97,BB97),0)</f>
        <v/>
      </c>
      <c r="BE97">
        <f>IF(BD97=1,COUNTIF($BD$2:BD97,1),"")</f>
        <v/>
      </c>
    </row>
    <row r="98">
      <c r="A98" t="inlineStr">
        <is>
          <t>5674157134</t>
        </is>
      </c>
      <c r="B98" t="inlineStr">
        <is>
          <t>COREY'S SOUTHERN CATERING</t>
        </is>
      </c>
      <c r="C98" t="inlineStr">
        <is>
          <t>FAVOR ONE LLC</t>
        </is>
      </c>
      <c r="D98" t="inlineStr">
        <is>
          <t>Closed</t>
        </is>
      </c>
      <c r="E98" s="297" t="n">
        <v>45789</v>
      </c>
      <c r="F98" s="297" t="n">
        <v>45929</v>
      </c>
      <c r="G98" t="n">
        <v>1</v>
      </c>
      <c r="H98" t="inlineStr">
        <is>
          <t>5812</t>
        </is>
      </c>
      <c r="I98" t="inlineStr">
        <is>
          <t>58</t>
        </is>
      </c>
      <c r="J98" t="inlineStr">
        <is>
          <t>VA</t>
        </is>
      </c>
      <c r="K98" t="inlineStr">
        <is>
          <t>Premium Capital (AMRK)</t>
        </is>
      </c>
      <c r="L98" t="inlineStr">
        <is>
          <t>New Deal</t>
        </is>
      </c>
      <c r="M98" s="298" t="n">
        <v>1.49</v>
      </c>
      <c r="N98" s="299" t="n">
        <v>10000</v>
      </c>
      <c r="O98" s="299" t="n">
        <v>1400</v>
      </c>
      <c r="P98" s="299" t="n">
        <v>14900</v>
      </c>
      <c r="Q98" s="299" t="n">
        <v>14900</v>
      </c>
      <c r="R98" s="299" t="n">
        <v>0</v>
      </c>
      <c r="S98" s="300" t="n">
        <v>1</v>
      </c>
      <c r="T98" t="n">
        <v>4.59</v>
      </c>
      <c r="U98" t="n">
        <v>0</v>
      </c>
      <c r="W98" s="300" t="n">
        <v>0.0283</v>
      </c>
      <c r="X98" s="297" t="n"/>
      <c r="Y98">
        <f>IF(I98="","No SIC",IFERROR(VLOOKUP(I98,Ref!$A$2:$B$65,2,FALSE),"Unclassified"))</f>
        <v/>
      </c>
      <c r="Z98">
        <f>IF(T98="","",IF(T98&lt;12,"Daily","Weekly"))</f>
        <v/>
      </c>
      <c r="AA98">
        <f>IF(T98="",0,IF(T98&lt;12,T98*Controls!$B$29,T98*5))</f>
        <v/>
      </c>
      <c r="AB98">
        <f>IF(E98="",0,NETWORKDAYS(E98,Controls!$B$36,Ref!$K$2:$K$42))</f>
        <v/>
      </c>
      <c r="AC98">
        <f>IF(AND(AA98&gt;0,AB98&gt;=Controls!$B$39*AA98),1,0)</f>
        <v/>
      </c>
      <c r="AD98">
        <f>IF(AND(E98&lt;&gt;"",E98&gt;=Controls!$B$37,E98&lt;=Controls!$B$38),1,0)</f>
        <v/>
      </c>
      <c r="AE98">
        <f>IF(IFERROR(VLOOKUP(D98,Controls!$A$64:$E$74,2,FALSE),"No")="Yes",1,0)</f>
        <v/>
      </c>
      <c r="AF98">
        <f>IF(IFERROR(VLOOKUP(D98,Controls!$A$64:$E$74,3,FALSE),"No")="Yes",1,0)</f>
        <v/>
      </c>
      <c r="AG98">
        <f>IF(IFERROR(VLOOKUP(D98,Controls!$A$64:$E$74,4,FALSE),"No")="Yes",1,0)</f>
        <v/>
      </c>
      <c r="AH98">
        <f>IF(IFERROR(VLOOKUP(D98,Controls!$A$64:$E$74,5,FALSE),"No")="Yes",1,0)</f>
        <v/>
      </c>
      <c r="AI98">
        <f>IF(ISNUMBER(MATCH(D98,Controls!$A$64:$A$74,0)),1,0)</f>
        <v/>
      </c>
      <c r="AJ98">
        <f>Q98-N98</f>
        <v/>
      </c>
      <c r="AK98">
        <f>IF(AE98=1,MAX(0,N98-Q98),0)</f>
        <v/>
      </c>
      <c r="AL98">
        <f>IF(OR(V98="",V98=0),0,N98/V98)</f>
        <v/>
      </c>
      <c r="AM98">
        <f>IF(OR(V98="",V98=0),0,1)</f>
        <v/>
      </c>
      <c r="AN98">
        <f>IF(OR(E98="",F98=""),0,NETWORKDAYS(E98,F98,Ref!$K$2:$K$42))</f>
        <v/>
      </c>
      <c r="AO98">
        <f>IF(L98="Renewal",1,0)</f>
        <v/>
      </c>
      <c r="AP98">
        <f>AC98*AD98</f>
        <v/>
      </c>
      <c r="AQ98">
        <f>IF(AND(G98&lt;&gt;"",'Historical Score'!$C$6&lt;&gt;""),IF(G98='Historical Score'!$C$6,1,0),0)</f>
        <v/>
      </c>
      <c r="AR98">
        <f>IF(AND(L98&lt;&gt;"",'Historical Score'!$C$5&lt;&gt;""),IF(L98='Historical Score'!$C$5,1,0),0)</f>
        <v/>
      </c>
      <c r="AS98">
        <f>IF(AND(Y98&lt;&gt;"",'Historical Score'!$C$7&lt;&gt;""),IF(Y98='Historical Score'!$C$7,1,0),0)</f>
        <v/>
      </c>
      <c r="AT98">
        <f>IF(AND(K98&lt;&gt;"",'Historical Score'!$C$8&lt;&gt;""),IF(K98='Historical Score'!$C$8,1,0),0)</f>
        <v/>
      </c>
      <c r="AU98">
        <f>IF(AND(J98&lt;&gt;"",'Historical Score'!$C$9&lt;&gt;""),IF(J98='Historical Score'!$C$9,1,0),0)</f>
        <v/>
      </c>
      <c r="AV98">
        <f>AR98*AS98*AQ98</f>
        <v/>
      </c>
      <c r="AW98">
        <f>AR98*AT98*AQ98</f>
        <v/>
      </c>
      <c r="AX98">
        <f>AR98*AS98</f>
        <v/>
      </c>
      <c r="AY98">
        <f>AR98*AT98</f>
        <v/>
      </c>
      <c r="AZ98">
        <f>AR98*AQ98</f>
        <v/>
      </c>
      <c r="BA98">
        <f>AR98</f>
        <v/>
      </c>
      <c r="BB98">
        <f>1</f>
        <v/>
      </c>
      <c r="BC98">
        <f>IF(AV98=1,1,IF(AW98=1,2,IF(AX98=1,3,IF(AY98=1,4,IF(AZ98=1,5,IF(BA98=1,6,7))))))</f>
        <v/>
      </c>
      <c r="BD98">
        <f>IF(AD98=1,CHOOSE('Historical Score'!$C$29,AV98,AW98,AX98,AY98,AZ98,BA98,BB98),0)</f>
        <v/>
      </c>
      <c r="BE98">
        <f>IF(BD98=1,COUNTIF($BD$2:BD98,1),"")</f>
        <v/>
      </c>
    </row>
    <row r="99">
      <c r="A99" t="inlineStr">
        <is>
          <t>5674157207</t>
        </is>
      </c>
      <c r="B99" t="inlineStr">
        <is>
          <t>JACKS PEST MGMT LLC</t>
        </is>
      </c>
      <c r="C99" t="inlineStr">
        <is>
          <t>JACKS PEST MGMT LLC</t>
        </is>
      </c>
      <c r="D99" t="inlineStr">
        <is>
          <t>Closed</t>
        </is>
      </c>
      <c r="E99" s="297" t="n">
        <v>45790</v>
      </c>
      <c r="F99" s="297" t="n">
        <v>45904</v>
      </c>
      <c r="G99" t="n">
        <v>3</v>
      </c>
      <c r="H99" t="inlineStr">
        <is>
          <t>7342</t>
        </is>
      </c>
      <c r="I99" t="inlineStr">
        <is>
          <t>73</t>
        </is>
      </c>
      <c r="J99" t="inlineStr">
        <is>
          <t>MO</t>
        </is>
      </c>
      <c r="K99" t="inlineStr">
        <is>
          <t>Samson Funding</t>
        </is>
      </c>
      <c r="L99" t="inlineStr">
        <is>
          <t>Renewal</t>
        </is>
      </c>
      <c r="M99" s="298" t="n">
        <v>1.5</v>
      </c>
      <c r="N99" s="299" t="n">
        <v>7500</v>
      </c>
      <c r="O99" s="299" t="n">
        <v>1050</v>
      </c>
      <c r="P99" s="299" t="n">
        <v>11250</v>
      </c>
      <c r="Q99" s="299" t="n">
        <v>11250</v>
      </c>
      <c r="R99" s="299" t="n">
        <v>0</v>
      </c>
      <c r="S99" s="300" t="n">
        <v>1</v>
      </c>
      <c r="T99" t="n">
        <v>2.951</v>
      </c>
      <c r="U99" t="n">
        <v>2</v>
      </c>
      <c r="W99" s="300" t="n">
        <v>0.2411</v>
      </c>
      <c r="X99" s="297" t="n">
        <v>45790</v>
      </c>
      <c r="Y99">
        <f>IF(I99="","No SIC",IFERROR(VLOOKUP(I99,Ref!$A$2:$B$65,2,FALSE),"Unclassified"))</f>
        <v/>
      </c>
      <c r="Z99">
        <f>IF(T99="","",IF(T99&lt;12,"Daily","Weekly"))</f>
        <v/>
      </c>
      <c r="AA99">
        <f>IF(T99="",0,IF(T99&lt;12,T99*Controls!$B$29,T99*5))</f>
        <v/>
      </c>
      <c r="AB99">
        <f>IF(E99="",0,NETWORKDAYS(E99,Controls!$B$36,Ref!$K$2:$K$42))</f>
        <v/>
      </c>
      <c r="AC99">
        <f>IF(AND(AA99&gt;0,AB99&gt;=Controls!$B$39*AA99),1,0)</f>
        <v/>
      </c>
      <c r="AD99">
        <f>IF(AND(E99&lt;&gt;"",E99&gt;=Controls!$B$37,E99&lt;=Controls!$B$38),1,0)</f>
        <v/>
      </c>
      <c r="AE99">
        <f>IF(IFERROR(VLOOKUP(D99,Controls!$A$64:$E$74,2,FALSE),"No")="Yes",1,0)</f>
        <v/>
      </c>
      <c r="AF99">
        <f>IF(IFERROR(VLOOKUP(D99,Controls!$A$64:$E$74,3,FALSE),"No")="Yes",1,0)</f>
        <v/>
      </c>
      <c r="AG99">
        <f>IF(IFERROR(VLOOKUP(D99,Controls!$A$64:$E$74,4,FALSE),"No")="Yes",1,0)</f>
        <v/>
      </c>
      <c r="AH99">
        <f>IF(IFERROR(VLOOKUP(D99,Controls!$A$64:$E$74,5,FALSE),"No")="Yes",1,0)</f>
        <v/>
      </c>
      <c r="AI99">
        <f>IF(ISNUMBER(MATCH(D99,Controls!$A$64:$A$74,0)),1,0)</f>
        <v/>
      </c>
      <c r="AJ99">
        <f>Q99-N99</f>
        <v/>
      </c>
      <c r="AK99">
        <f>IF(AE99=1,MAX(0,N99-Q99),0)</f>
        <v/>
      </c>
      <c r="AL99">
        <f>IF(OR(V99="",V99=0),0,N99/V99)</f>
        <v/>
      </c>
      <c r="AM99">
        <f>IF(OR(V99="",V99=0),0,1)</f>
        <v/>
      </c>
      <c r="AN99">
        <f>IF(OR(E99="",F99=""),0,NETWORKDAYS(E99,F99,Ref!$K$2:$K$42))</f>
        <v/>
      </c>
      <c r="AO99">
        <f>IF(L99="Renewal",1,0)</f>
        <v/>
      </c>
      <c r="AP99">
        <f>AC99*AD99</f>
        <v/>
      </c>
      <c r="AQ99">
        <f>IF(AND(G99&lt;&gt;"",'Historical Score'!$C$6&lt;&gt;""),IF(G99='Historical Score'!$C$6,1,0),0)</f>
        <v/>
      </c>
      <c r="AR99">
        <f>IF(AND(L99&lt;&gt;"",'Historical Score'!$C$5&lt;&gt;""),IF(L99='Historical Score'!$C$5,1,0),0)</f>
        <v/>
      </c>
      <c r="AS99">
        <f>IF(AND(Y99&lt;&gt;"",'Historical Score'!$C$7&lt;&gt;""),IF(Y99='Historical Score'!$C$7,1,0),0)</f>
        <v/>
      </c>
      <c r="AT99">
        <f>IF(AND(K99&lt;&gt;"",'Historical Score'!$C$8&lt;&gt;""),IF(K99='Historical Score'!$C$8,1,0),0)</f>
        <v/>
      </c>
      <c r="AU99">
        <f>IF(AND(J99&lt;&gt;"",'Historical Score'!$C$9&lt;&gt;""),IF(J99='Historical Score'!$C$9,1,0),0)</f>
        <v/>
      </c>
      <c r="AV99">
        <f>AR99*AS99*AQ99</f>
        <v/>
      </c>
      <c r="AW99">
        <f>AR99*AT99*AQ99</f>
        <v/>
      </c>
      <c r="AX99">
        <f>AR99*AS99</f>
        <v/>
      </c>
      <c r="AY99">
        <f>AR99*AT99</f>
        <v/>
      </c>
      <c r="AZ99">
        <f>AR99*AQ99</f>
        <v/>
      </c>
      <c r="BA99">
        <f>AR99</f>
        <v/>
      </c>
      <c r="BB99">
        <f>1</f>
        <v/>
      </c>
      <c r="BC99">
        <f>IF(AV99=1,1,IF(AW99=1,2,IF(AX99=1,3,IF(AY99=1,4,IF(AZ99=1,5,IF(BA99=1,6,7))))))</f>
        <v/>
      </c>
      <c r="BD99">
        <f>IF(AD99=1,CHOOSE('Historical Score'!$C$29,AV99,AW99,AX99,AY99,AZ99,BA99,BB99),0)</f>
        <v/>
      </c>
      <c r="BE99">
        <f>IF(BD99=1,COUNTIF($BD$2:BD99,1),"")</f>
        <v/>
      </c>
    </row>
    <row r="100">
      <c r="A100" t="inlineStr">
        <is>
          <t>5674157269</t>
        </is>
      </c>
      <c r="B100" t="inlineStr">
        <is>
          <t>Scholte Plumbing Co</t>
        </is>
      </c>
      <c r="C100" t="inlineStr">
        <is>
          <t>Scholte Plumbing Co., Inc.</t>
        </is>
      </c>
      <c r="D100" t="inlineStr">
        <is>
          <t>Legal</t>
        </is>
      </c>
      <c r="E100" s="297" t="n">
        <v>45790</v>
      </c>
      <c r="F100" s="297" t="n">
        <v>46234</v>
      </c>
      <c r="G100" t="n">
        <v>3</v>
      </c>
      <c r="H100" t="inlineStr">
        <is>
          <t>1711</t>
        </is>
      </c>
      <c r="I100" t="inlineStr">
        <is>
          <t>17</t>
        </is>
      </c>
      <c r="J100" t="inlineStr">
        <is>
          <t>CA</t>
        </is>
      </c>
      <c r="K100" t="inlineStr">
        <is>
          <t>Fund Your Bizz</t>
        </is>
      </c>
      <c r="L100" t="inlineStr">
        <is>
          <t>New Deal</t>
        </is>
      </c>
      <c r="M100" s="298" t="n">
        <v>1.49</v>
      </c>
      <c r="N100" s="299" t="n">
        <v>8000</v>
      </c>
      <c r="O100" s="299" t="n">
        <v>1120</v>
      </c>
      <c r="P100" s="299" t="n">
        <v>11920</v>
      </c>
      <c r="Q100" s="299" t="n">
        <v>11825.46</v>
      </c>
      <c r="R100" s="299" t="n">
        <v>94.5400000000009</v>
      </c>
      <c r="S100" s="300" t="n">
        <v>0.992068791946309</v>
      </c>
      <c r="T100" t="n">
        <v>2.295</v>
      </c>
      <c r="U100" t="n">
        <v>22</v>
      </c>
      <c r="W100" s="300" t="n">
        <v>0.0849</v>
      </c>
      <c r="X100" s="297" t="n">
        <v>37165</v>
      </c>
      <c r="Y100">
        <f>IF(I100="","No SIC",IFERROR(VLOOKUP(I100,Ref!$A$2:$B$65,2,FALSE),"Unclassified"))</f>
        <v/>
      </c>
      <c r="Z100">
        <f>IF(T100="","",IF(T100&lt;12,"Daily","Weekly"))</f>
        <v/>
      </c>
      <c r="AA100">
        <f>IF(T100="",0,IF(T100&lt;12,T100*Controls!$B$29,T100*5))</f>
        <v/>
      </c>
      <c r="AB100">
        <f>IF(E100="",0,NETWORKDAYS(E100,Controls!$B$36,Ref!$K$2:$K$42))</f>
        <v/>
      </c>
      <c r="AC100">
        <f>IF(AND(AA100&gt;0,AB100&gt;=Controls!$B$39*AA100),1,0)</f>
        <v/>
      </c>
      <c r="AD100">
        <f>IF(AND(E100&lt;&gt;"",E100&gt;=Controls!$B$37,E100&lt;=Controls!$B$38),1,0)</f>
        <v/>
      </c>
      <c r="AE100">
        <f>IF(IFERROR(VLOOKUP(D100,Controls!$A$64:$E$74,2,FALSE),"No")="Yes",1,0)</f>
        <v/>
      </c>
      <c r="AF100">
        <f>IF(IFERROR(VLOOKUP(D100,Controls!$A$64:$E$74,3,FALSE),"No")="Yes",1,0)</f>
        <v/>
      </c>
      <c r="AG100">
        <f>IF(IFERROR(VLOOKUP(D100,Controls!$A$64:$E$74,4,FALSE),"No")="Yes",1,0)</f>
        <v/>
      </c>
      <c r="AH100">
        <f>IF(IFERROR(VLOOKUP(D100,Controls!$A$64:$E$74,5,FALSE),"No")="Yes",1,0)</f>
        <v/>
      </c>
      <c r="AI100">
        <f>IF(ISNUMBER(MATCH(D100,Controls!$A$64:$A$74,0)),1,0)</f>
        <v/>
      </c>
      <c r="AJ100">
        <f>Q100-N100</f>
        <v/>
      </c>
      <c r="AK100">
        <f>IF(AE100=1,MAX(0,N100-Q100),0)</f>
        <v/>
      </c>
      <c r="AL100">
        <f>IF(OR(V100="",V100=0),0,N100/V100)</f>
        <v/>
      </c>
      <c r="AM100">
        <f>IF(OR(V100="",V100=0),0,1)</f>
        <v/>
      </c>
      <c r="AN100">
        <f>IF(OR(E100="",F100=""),0,NETWORKDAYS(E100,F100,Ref!$K$2:$K$42))</f>
        <v/>
      </c>
      <c r="AO100">
        <f>IF(L100="Renewal",1,0)</f>
        <v/>
      </c>
      <c r="AP100">
        <f>AC100*AD100</f>
        <v/>
      </c>
      <c r="AQ100">
        <f>IF(AND(G100&lt;&gt;"",'Historical Score'!$C$6&lt;&gt;""),IF(G100='Historical Score'!$C$6,1,0),0)</f>
        <v/>
      </c>
      <c r="AR100">
        <f>IF(AND(L100&lt;&gt;"",'Historical Score'!$C$5&lt;&gt;""),IF(L100='Historical Score'!$C$5,1,0),0)</f>
        <v/>
      </c>
      <c r="AS100">
        <f>IF(AND(Y100&lt;&gt;"",'Historical Score'!$C$7&lt;&gt;""),IF(Y100='Historical Score'!$C$7,1,0),0)</f>
        <v/>
      </c>
      <c r="AT100">
        <f>IF(AND(K100&lt;&gt;"",'Historical Score'!$C$8&lt;&gt;""),IF(K100='Historical Score'!$C$8,1,0),0)</f>
        <v/>
      </c>
      <c r="AU100">
        <f>IF(AND(J100&lt;&gt;"",'Historical Score'!$C$9&lt;&gt;""),IF(J100='Historical Score'!$C$9,1,0),0)</f>
        <v/>
      </c>
      <c r="AV100">
        <f>AR100*AS100*AQ100</f>
        <v/>
      </c>
      <c r="AW100">
        <f>AR100*AT100*AQ100</f>
        <v/>
      </c>
      <c r="AX100">
        <f>AR100*AS100</f>
        <v/>
      </c>
      <c r="AY100">
        <f>AR100*AT100</f>
        <v/>
      </c>
      <c r="AZ100">
        <f>AR100*AQ100</f>
        <v/>
      </c>
      <c r="BA100">
        <f>AR100</f>
        <v/>
      </c>
      <c r="BB100">
        <f>1</f>
        <v/>
      </c>
      <c r="BC100">
        <f>IF(AV100=1,1,IF(AW100=1,2,IF(AX100=1,3,IF(AY100=1,4,IF(AZ100=1,5,IF(BA100=1,6,7))))))</f>
        <v/>
      </c>
      <c r="BD100">
        <f>IF(AD100=1,CHOOSE('Historical Score'!$C$29,AV100,AW100,AX100,AY100,AZ100,BA100,BB100),0)</f>
        <v/>
      </c>
      <c r="BE100">
        <f>IF(BD100=1,COUNTIF($BD$2:BD100,1),"")</f>
        <v/>
      </c>
    </row>
    <row r="101">
      <c r="A101" t="inlineStr">
        <is>
          <t>5674157427</t>
        </is>
      </c>
      <c r="B101" t="inlineStr">
        <is>
          <t>AMERICAN WEST</t>
        </is>
      </c>
      <c r="C101" t="inlineStr">
        <is>
          <t>AMERICAN WEST</t>
        </is>
      </c>
      <c r="D101" t="inlineStr">
        <is>
          <t>Legal</t>
        </is>
      </c>
      <c r="E101" s="297" t="n">
        <v>45791</v>
      </c>
      <c r="F101" s="297" t="n">
        <v>45805</v>
      </c>
      <c r="G101" t="n">
        <v>3</v>
      </c>
      <c r="H101" t="inlineStr">
        <is>
          <t>4212</t>
        </is>
      </c>
      <c r="I101" t="inlineStr">
        <is>
          <t>42</t>
        </is>
      </c>
      <c r="J101" t="inlineStr">
        <is>
          <t>CA</t>
        </is>
      </c>
      <c r="K101" t="inlineStr">
        <is>
          <t>EVR GREEN LLC</t>
        </is>
      </c>
      <c r="L101" t="inlineStr">
        <is>
          <t>New Deal</t>
        </is>
      </c>
      <c r="M101" s="298" t="n">
        <v>1.499</v>
      </c>
      <c r="N101" s="299" t="n">
        <v>8500</v>
      </c>
      <c r="O101" s="299" t="n">
        <v>0</v>
      </c>
      <c r="P101" s="299" t="n">
        <v>12741.5</v>
      </c>
      <c r="Q101" s="299" t="n">
        <v>-418.87</v>
      </c>
      <c r="R101" s="299" t="n">
        <v>13160.37</v>
      </c>
      <c r="S101" s="300" t="n">
        <v>-0.0328744653298277</v>
      </c>
      <c r="T101" t="n">
        <v>2.295</v>
      </c>
      <c r="U101" t="n">
        <v>7</v>
      </c>
      <c r="W101" s="300" t="n">
        <v>0.0437</v>
      </c>
      <c r="X101" s="297" t="n">
        <v>44552</v>
      </c>
      <c r="Y101">
        <f>IF(I101="","No SIC",IFERROR(VLOOKUP(I101,Ref!$A$2:$B$65,2,FALSE),"Unclassified"))</f>
        <v/>
      </c>
      <c r="Z101">
        <f>IF(T101="","",IF(T101&lt;12,"Daily","Weekly"))</f>
        <v/>
      </c>
      <c r="AA101">
        <f>IF(T101="",0,IF(T101&lt;12,T101*Controls!$B$29,T101*5))</f>
        <v/>
      </c>
      <c r="AB101">
        <f>IF(E101="",0,NETWORKDAYS(E101,Controls!$B$36,Ref!$K$2:$K$42))</f>
        <v/>
      </c>
      <c r="AC101">
        <f>IF(AND(AA101&gt;0,AB101&gt;=Controls!$B$39*AA101),1,0)</f>
        <v/>
      </c>
      <c r="AD101">
        <f>IF(AND(E101&lt;&gt;"",E101&gt;=Controls!$B$37,E101&lt;=Controls!$B$38),1,0)</f>
        <v/>
      </c>
      <c r="AE101">
        <f>IF(IFERROR(VLOOKUP(D101,Controls!$A$64:$E$74,2,FALSE),"No")="Yes",1,0)</f>
        <v/>
      </c>
      <c r="AF101">
        <f>IF(IFERROR(VLOOKUP(D101,Controls!$A$64:$E$74,3,FALSE),"No")="Yes",1,0)</f>
        <v/>
      </c>
      <c r="AG101">
        <f>IF(IFERROR(VLOOKUP(D101,Controls!$A$64:$E$74,4,FALSE),"No")="Yes",1,0)</f>
        <v/>
      </c>
      <c r="AH101">
        <f>IF(IFERROR(VLOOKUP(D101,Controls!$A$64:$E$74,5,FALSE),"No")="Yes",1,0)</f>
        <v/>
      </c>
      <c r="AI101">
        <f>IF(ISNUMBER(MATCH(D101,Controls!$A$64:$A$74,0)),1,0)</f>
        <v/>
      </c>
      <c r="AJ101">
        <f>Q101-N101</f>
        <v/>
      </c>
      <c r="AK101">
        <f>IF(AE101=1,MAX(0,N101-Q101),0)</f>
        <v/>
      </c>
      <c r="AL101">
        <f>IF(OR(V101="",V101=0),0,N101/V101)</f>
        <v/>
      </c>
      <c r="AM101">
        <f>IF(OR(V101="",V101=0),0,1)</f>
        <v/>
      </c>
      <c r="AN101">
        <f>IF(OR(E101="",F101=""),0,NETWORKDAYS(E101,F101,Ref!$K$2:$K$42))</f>
        <v/>
      </c>
      <c r="AO101">
        <f>IF(L101="Renewal",1,0)</f>
        <v/>
      </c>
      <c r="AP101">
        <f>AC101*AD101</f>
        <v/>
      </c>
      <c r="AQ101">
        <f>IF(AND(G101&lt;&gt;"",'Historical Score'!$C$6&lt;&gt;""),IF(G101='Historical Score'!$C$6,1,0),0)</f>
        <v/>
      </c>
      <c r="AR101">
        <f>IF(AND(L101&lt;&gt;"",'Historical Score'!$C$5&lt;&gt;""),IF(L101='Historical Score'!$C$5,1,0),0)</f>
        <v/>
      </c>
      <c r="AS101">
        <f>IF(AND(Y101&lt;&gt;"",'Historical Score'!$C$7&lt;&gt;""),IF(Y101='Historical Score'!$C$7,1,0),0)</f>
        <v/>
      </c>
      <c r="AT101">
        <f>IF(AND(K101&lt;&gt;"",'Historical Score'!$C$8&lt;&gt;""),IF(K101='Historical Score'!$C$8,1,0),0)</f>
        <v/>
      </c>
      <c r="AU101">
        <f>IF(AND(J101&lt;&gt;"",'Historical Score'!$C$9&lt;&gt;""),IF(J101='Historical Score'!$C$9,1,0),0)</f>
        <v/>
      </c>
      <c r="AV101">
        <f>AR101*AS101*AQ101</f>
        <v/>
      </c>
      <c r="AW101">
        <f>AR101*AT101*AQ101</f>
        <v/>
      </c>
      <c r="AX101">
        <f>AR101*AS101</f>
        <v/>
      </c>
      <c r="AY101">
        <f>AR101*AT101</f>
        <v/>
      </c>
      <c r="AZ101">
        <f>AR101*AQ101</f>
        <v/>
      </c>
      <c r="BA101">
        <f>AR101</f>
        <v/>
      </c>
      <c r="BB101">
        <f>1</f>
        <v/>
      </c>
      <c r="BC101">
        <f>IF(AV101=1,1,IF(AW101=1,2,IF(AX101=1,3,IF(AY101=1,4,IF(AZ101=1,5,IF(BA101=1,6,7))))))</f>
        <v/>
      </c>
      <c r="BD101">
        <f>IF(AD101=1,CHOOSE('Historical Score'!$C$29,AV101,AW101,AX101,AY101,AZ101,BA101,BB101),0)</f>
        <v/>
      </c>
      <c r="BE101">
        <f>IF(BD101=1,COUNTIF($BD$2:BD101,1),"")</f>
        <v/>
      </c>
    </row>
    <row r="102">
      <c r="A102" t="inlineStr">
        <is>
          <t>5674157511</t>
        </is>
      </c>
      <c r="B102" t="inlineStr">
        <is>
          <t>LV9 TAX SERVICES</t>
        </is>
      </c>
      <c r="C102" t="inlineStr">
        <is>
          <t>Villalobos Lizett</t>
        </is>
      </c>
      <c r="D102" t="inlineStr">
        <is>
          <t>Legal</t>
        </is>
      </c>
      <c r="E102" s="297" t="n">
        <v>45792</v>
      </c>
      <c r="F102" s="297" t="n">
        <v>45915</v>
      </c>
      <c r="G102" t="n">
        <v>2</v>
      </c>
      <c r="H102" t="inlineStr">
        <is>
          <t>7291</t>
        </is>
      </c>
      <c r="I102" t="inlineStr">
        <is>
          <t>72</t>
        </is>
      </c>
      <c r="J102" t="inlineStr">
        <is>
          <t>TX</t>
        </is>
      </c>
      <c r="K102" t="inlineStr">
        <is>
          <t>Premium Capital (AMRK)</t>
        </is>
      </c>
      <c r="L102" t="inlineStr">
        <is>
          <t>New Deal</t>
        </is>
      </c>
      <c r="M102" s="298" t="n">
        <v>1.499</v>
      </c>
      <c r="N102" s="299" t="n">
        <v>5000</v>
      </c>
      <c r="O102" s="299" t="n">
        <v>700</v>
      </c>
      <c r="P102" s="299" t="n">
        <v>7495</v>
      </c>
      <c r="Q102" s="299" t="n">
        <v>4256.8</v>
      </c>
      <c r="R102" s="299" t="n">
        <v>3238.2</v>
      </c>
      <c r="S102" s="300" t="n">
        <v>0.567951967978652</v>
      </c>
      <c r="T102" t="n">
        <v>2.295</v>
      </c>
      <c r="U102" t="n">
        <v>20</v>
      </c>
      <c r="W102" s="300" t="n">
        <v>0.0789</v>
      </c>
      <c r="X102" s="297" t="n"/>
      <c r="Y102">
        <f>IF(I102="","No SIC",IFERROR(VLOOKUP(I102,Ref!$A$2:$B$65,2,FALSE),"Unclassified"))</f>
        <v/>
      </c>
      <c r="Z102">
        <f>IF(T102="","",IF(T102&lt;12,"Daily","Weekly"))</f>
        <v/>
      </c>
      <c r="AA102">
        <f>IF(T102="",0,IF(T102&lt;12,T102*Controls!$B$29,T102*5))</f>
        <v/>
      </c>
      <c r="AB102">
        <f>IF(E102="",0,NETWORKDAYS(E102,Controls!$B$36,Ref!$K$2:$K$42))</f>
        <v/>
      </c>
      <c r="AC102">
        <f>IF(AND(AA102&gt;0,AB102&gt;=Controls!$B$39*AA102),1,0)</f>
        <v/>
      </c>
      <c r="AD102">
        <f>IF(AND(E102&lt;&gt;"",E102&gt;=Controls!$B$37,E102&lt;=Controls!$B$38),1,0)</f>
        <v/>
      </c>
      <c r="AE102">
        <f>IF(IFERROR(VLOOKUP(D102,Controls!$A$64:$E$74,2,FALSE),"No")="Yes",1,0)</f>
        <v/>
      </c>
      <c r="AF102">
        <f>IF(IFERROR(VLOOKUP(D102,Controls!$A$64:$E$74,3,FALSE),"No")="Yes",1,0)</f>
        <v/>
      </c>
      <c r="AG102">
        <f>IF(IFERROR(VLOOKUP(D102,Controls!$A$64:$E$74,4,FALSE),"No")="Yes",1,0)</f>
        <v/>
      </c>
      <c r="AH102">
        <f>IF(IFERROR(VLOOKUP(D102,Controls!$A$64:$E$74,5,FALSE),"No")="Yes",1,0)</f>
        <v/>
      </c>
      <c r="AI102">
        <f>IF(ISNUMBER(MATCH(D102,Controls!$A$64:$A$74,0)),1,0)</f>
        <v/>
      </c>
      <c r="AJ102">
        <f>Q102-N102</f>
        <v/>
      </c>
      <c r="AK102">
        <f>IF(AE102=1,MAX(0,N102-Q102),0)</f>
        <v/>
      </c>
      <c r="AL102">
        <f>IF(OR(V102="",V102=0),0,N102/V102)</f>
        <v/>
      </c>
      <c r="AM102">
        <f>IF(OR(V102="",V102=0),0,1)</f>
        <v/>
      </c>
      <c r="AN102">
        <f>IF(OR(E102="",F102=""),0,NETWORKDAYS(E102,F102,Ref!$K$2:$K$42))</f>
        <v/>
      </c>
      <c r="AO102">
        <f>IF(L102="Renewal",1,0)</f>
        <v/>
      </c>
      <c r="AP102">
        <f>AC102*AD102</f>
        <v/>
      </c>
      <c r="AQ102">
        <f>IF(AND(G102&lt;&gt;"",'Historical Score'!$C$6&lt;&gt;""),IF(G102='Historical Score'!$C$6,1,0),0)</f>
        <v/>
      </c>
      <c r="AR102">
        <f>IF(AND(L102&lt;&gt;"",'Historical Score'!$C$5&lt;&gt;""),IF(L102='Historical Score'!$C$5,1,0),0)</f>
        <v/>
      </c>
      <c r="AS102">
        <f>IF(AND(Y102&lt;&gt;"",'Historical Score'!$C$7&lt;&gt;""),IF(Y102='Historical Score'!$C$7,1,0),0)</f>
        <v/>
      </c>
      <c r="AT102">
        <f>IF(AND(K102&lt;&gt;"",'Historical Score'!$C$8&lt;&gt;""),IF(K102='Historical Score'!$C$8,1,0),0)</f>
        <v/>
      </c>
      <c r="AU102">
        <f>IF(AND(J102&lt;&gt;"",'Historical Score'!$C$9&lt;&gt;""),IF(J102='Historical Score'!$C$9,1,0),0)</f>
        <v/>
      </c>
      <c r="AV102">
        <f>AR102*AS102*AQ102</f>
        <v/>
      </c>
      <c r="AW102">
        <f>AR102*AT102*AQ102</f>
        <v/>
      </c>
      <c r="AX102">
        <f>AR102*AS102</f>
        <v/>
      </c>
      <c r="AY102">
        <f>AR102*AT102</f>
        <v/>
      </c>
      <c r="AZ102">
        <f>AR102*AQ102</f>
        <v/>
      </c>
      <c r="BA102">
        <f>AR102</f>
        <v/>
      </c>
      <c r="BB102">
        <f>1</f>
        <v/>
      </c>
      <c r="BC102">
        <f>IF(AV102=1,1,IF(AW102=1,2,IF(AX102=1,3,IF(AY102=1,4,IF(AZ102=1,5,IF(BA102=1,6,7))))))</f>
        <v/>
      </c>
      <c r="BD102">
        <f>IF(AD102=1,CHOOSE('Historical Score'!$C$29,AV102,AW102,AX102,AY102,AZ102,BA102,BB102),0)</f>
        <v/>
      </c>
      <c r="BE102">
        <f>IF(BD102=1,COUNTIF($BD$2:BD102,1),"")</f>
        <v/>
      </c>
    </row>
    <row r="103">
      <c r="A103" t="inlineStr">
        <is>
          <t>5674157548</t>
        </is>
      </c>
      <c r="B103" t="inlineStr">
        <is>
          <t>Auto tech tire and service</t>
        </is>
      </c>
      <c r="C103" t="inlineStr">
        <is>
          <t>APAS inc</t>
        </is>
      </c>
      <c r="D103" t="inlineStr">
        <is>
          <t>Closed</t>
        </is>
      </c>
      <c r="E103" s="297" t="n">
        <v>45793</v>
      </c>
      <c r="F103" s="297" t="n">
        <v>45882</v>
      </c>
      <c r="G103" t="n">
        <v>3</v>
      </c>
      <c r="H103" t="inlineStr">
        <is>
          <t>7538</t>
        </is>
      </c>
      <c r="I103" t="inlineStr">
        <is>
          <t>75</t>
        </is>
      </c>
      <c r="J103" t="inlineStr">
        <is>
          <t>NJ</t>
        </is>
      </c>
      <c r="K103" t="inlineStr">
        <is>
          <t>Fundible</t>
        </is>
      </c>
      <c r="L103" t="inlineStr">
        <is>
          <t>New Deal</t>
        </is>
      </c>
      <c r="M103" s="298" t="n">
        <v>1.49</v>
      </c>
      <c r="N103" s="299" t="n">
        <v>10000</v>
      </c>
      <c r="O103" s="299" t="n">
        <v>1400</v>
      </c>
      <c r="P103" s="299" t="n">
        <v>14900</v>
      </c>
      <c r="Q103" s="299" t="n">
        <v>14900</v>
      </c>
      <c r="R103" s="299" t="n">
        <v>0</v>
      </c>
      <c r="S103" s="300" t="n">
        <v>1</v>
      </c>
      <c r="T103" t="n">
        <v>1.967</v>
      </c>
      <c r="U103" t="n">
        <v>0</v>
      </c>
      <c r="W103" s="300" t="n">
        <v>0.0859</v>
      </c>
      <c r="X103" s="297" t="n">
        <v>37104</v>
      </c>
      <c r="Y103">
        <f>IF(I103="","No SIC",IFERROR(VLOOKUP(I103,Ref!$A$2:$B$65,2,FALSE),"Unclassified"))</f>
        <v/>
      </c>
      <c r="Z103">
        <f>IF(T103="","",IF(T103&lt;12,"Daily","Weekly"))</f>
        <v/>
      </c>
      <c r="AA103">
        <f>IF(T103="",0,IF(T103&lt;12,T103*Controls!$B$29,T103*5))</f>
        <v/>
      </c>
      <c r="AB103">
        <f>IF(E103="",0,NETWORKDAYS(E103,Controls!$B$36,Ref!$K$2:$K$42))</f>
        <v/>
      </c>
      <c r="AC103">
        <f>IF(AND(AA103&gt;0,AB103&gt;=Controls!$B$39*AA103),1,0)</f>
        <v/>
      </c>
      <c r="AD103">
        <f>IF(AND(E103&lt;&gt;"",E103&gt;=Controls!$B$37,E103&lt;=Controls!$B$38),1,0)</f>
        <v/>
      </c>
      <c r="AE103">
        <f>IF(IFERROR(VLOOKUP(D103,Controls!$A$64:$E$74,2,FALSE),"No")="Yes",1,0)</f>
        <v/>
      </c>
      <c r="AF103">
        <f>IF(IFERROR(VLOOKUP(D103,Controls!$A$64:$E$74,3,FALSE),"No")="Yes",1,0)</f>
        <v/>
      </c>
      <c r="AG103">
        <f>IF(IFERROR(VLOOKUP(D103,Controls!$A$64:$E$74,4,FALSE),"No")="Yes",1,0)</f>
        <v/>
      </c>
      <c r="AH103">
        <f>IF(IFERROR(VLOOKUP(D103,Controls!$A$64:$E$74,5,FALSE),"No")="Yes",1,0)</f>
        <v/>
      </c>
      <c r="AI103">
        <f>IF(ISNUMBER(MATCH(D103,Controls!$A$64:$A$74,0)),1,0)</f>
        <v/>
      </c>
      <c r="AJ103">
        <f>Q103-N103</f>
        <v/>
      </c>
      <c r="AK103">
        <f>IF(AE103=1,MAX(0,N103-Q103),0)</f>
        <v/>
      </c>
      <c r="AL103">
        <f>IF(OR(V103="",V103=0),0,N103/V103)</f>
        <v/>
      </c>
      <c r="AM103">
        <f>IF(OR(V103="",V103=0),0,1)</f>
        <v/>
      </c>
      <c r="AN103">
        <f>IF(OR(E103="",F103=""),0,NETWORKDAYS(E103,F103,Ref!$K$2:$K$42))</f>
        <v/>
      </c>
      <c r="AO103">
        <f>IF(L103="Renewal",1,0)</f>
        <v/>
      </c>
      <c r="AP103">
        <f>AC103*AD103</f>
        <v/>
      </c>
      <c r="AQ103">
        <f>IF(AND(G103&lt;&gt;"",'Historical Score'!$C$6&lt;&gt;""),IF(G103='Historical Score'!$C$6,1,0),0)</f>
        <v/>
      </c>
      <c r="AR103">
        <f>IF(AND(L103&lt;&gt;"",'Historical Score'!$C$5&lt;&gt;""),IF(L103='Historical Score'!$C$5,1,0),0)</f>
        <v/>
      </c>
      <c r="AS103">
        <f>IF(AND(Y103&lt;&gt;"",'Historical Score'!$C$7&lt;&gt;""),IF(Y103='Historical Score'!$C$7,1,0),0)</f>
        <v/>
      </c>
      <c r="AT103">
        <f>IF(AND(K103&lt;&gt;"",'Historical Score'!$C$8&lt;&gt;""),IF(K103='Historical Score'!$C$8,1,0),0)</f>
        <v/>
      </c>
      <c r="AU103">
        <f>IF(AND(J103&lt;&gt;"",'Historical Score'!$C$9&lt;&gt;""),IF(J103='Historical Score'!$C$9,1,0),0)</f>
        <v/>
      </c>
      <c r="AV103">
        <f>AR103*AS103*AQ103</f>
        <v/>
      </c>
      <c r="AW103">
        <f>AR103*AT103*AQ103</f>
        <v/>
      </c>
      <c r="AX103">
        <f>AR103*AS103</f>
        <v/>
      </c>
      <c r="AY103">
        <f>AR103*AT103</f>
        <v/>
      </c>
      <c r="AZ103">
        <f>AR103*AQ103</f>
        <v/>
      </c>
      <c r="BA103">
        <f>AR103</f>
        <v/>
      </c>
      <c r="BB103">
        <f>1</f>
        <v/>
      </c>
      <c r="BC103">
        <f>IF(AV103=1,1,IF(AW103=1,2,IF(AX103=1,3,IF(AY103=1,4,IF(AZ103=1,5,IF(BA103=1,6,7))))))</f>
        <v/>
      </c>
      <c r="BD103">
        <f>IF(AD103=1,CHOOSE('Historical Score'!$C$29,AV103,AW103,AX103,AY103,AZ103,BA103,BB103),0)</f>
        <v/>
      </c>
      <c r="BE103">
        <f>IF(BD103=1,COUNTIF($BD$2:BD103,1),"")</f>
        <v/>
      </c>
    </row>
    <row r="104">
      <c r="A104" t="inlineStr">
        <is>
          <t>5674157640</t>
        </is>
      </c>
      <c r="B104" t="inlineStr">
        <is>
          <t>ORB Customs</t>
        </is>
      </c>
      <c r="C104" t="inlineStr">
        <is>
          <t>Off Roading Beast</t>
        </is>
      </c>
      <c r="D104" t="inlineStr">
        <is>
          <t>Written-Off</t>
        </is>
      </c>
      <c r="E104" s="297" t="n">
        <v>45793</v>
      </c>
      <c r="F104" s="297" t="n">
        <v>46155</v>
      </c>
      <c r="G104" t="n">
        <v>3</v>
      </c>
      <c r="H104" t="inlineStr">
        <is>
          <t>5999</t>
        </is>
      </c>
      <c r="I104" t="inlineStr">
        <is>
          <t>59</t>
        </is>
      </c>
      <c r="J104" t="inlineStr">
        <is>
          <t>CA</t>
        </is>
      </c>
      <c r="K104" t="inlineStr">
        <is>
          <t>Qualifier</t>
        </is>
      </c>
      <c r="L104" t="inlineStr">
        <is>
          <t>New Deal</t>
        </is>
      </c>
      <c r="M104" s="298" t="n">
        <v>1.49</v>
      </c>
      <c r="N104" s="299" t="n">
        <v>5000</v>
      </c>
      <c r="O104" s="299" t="n">
        <v>700</v>
      </c>
      <c r="P104" s="299" t="n">
        <v>7450</v>
      </c>
      <c r="Q104" s="299" t="n">
        <v>4657.29</v>
      </c>
      <c r="R104" s="299" t="n">
        <v>2792.71</v>
      </c>
      <c r="S104" s="300" t="n">
        <v>0.625139597315436</v>
      </c>
      <c r="T104" t="n">
        <v>2.459</v>
      </c>
      <c r="U104" t="n">
        <v>33</v>
      </c>
      <c r="W104" s="300" t="n">
        <v>0.0449</v>
      </c>
      <c r="X104" s="297" t="n">
        <v>44317</v>
      </c>
      <c r="Y104">
        <f>IF(I104="","No SIC",IFERROR(VLOOKUP(I104,Ref!$A$2:$B$65,2,FALSE),"Unclassified"))</f>
        <v/>
      </c>
      <c r="Z104">
        <f>IF(T104="","",IF(T104&lt;12,"Daily","Weekly"))</f>
        <v/>
      </c>
      <c r="AA104">
        <f>IF(T104="",0,IF(T104&lt;12,T104*Controls!$B$29,T104*5))</f>
        <v/>
      </c>
      <c r="AB104">
        <f>IF(E104="",0,NETWORKDAYS(E104,Controls!$B$36,Ref!$K$2:$K$42))</f>
        <v/>
      </c>
      <c r="AC104">
        <f>IF(AND(AA104&gt;0,AB104&gt;=Controls!$B$39*AA104),1,0)</f>
        <v/>
      </c>
      <c r="AD104">
        <f>IF(AND(E104&lt;&gt;"",E104&gt;=Controls!$B$37,E104&lt;=Controls!$B$38),1,0)</f>
        <v/>
      </c>
      <c r="AE104">
        <f>IF(IFERROR(VLOOKUP(D104,Controls!$A$64:$E$74,2,FALSE),"No")="Yes",1,0)</f>
        <v/>
      </c>
      <c r="AF104">
        <f>IF(IFERROR(VLOOKUP(D104,Controls!$A$64:$E$74,3,FALSE),"No")="Yes",1,0)</f>
        <v/>
      </c>
      <c r="AG104">
        <f>IF(IFERROR(VLOOKUP(D104,Controls!$A$64:$E$74,4,FALSE),"No")="Yes",1,0)</f>
        <v/>
      </c>
      <c r="AH104">
        <f>IF(IFERROR(VLOOKUP(D104,Controls!$A$64:$E$74,5,FALSE),"No")="Yes",1,0)</f>
        <v/>
      </c>
      <c r="AI104">
        <f>IF(ISNUMBER(MATCH(D104,Controls!$A$64:$A$74,0)),1,0)</f>
        <v/>
      </c>
      <c r="AJ104">
        <f>Q104-N104</f>
        <v/>
      </c>
      <c r="AK104">
        <f>IF(AE104=1,MAX(0,N104-Q104),0)</f>
        <v/>
      </c>
      <c r="AL104">
        <f>IF(OR(V104="",V104=0),0,N104/V104)</f>
        <v/>
      </c>
      <c r="AM104">
        <f>IF(OR(V104="",V104=0),0,1)</f>
        <v/>
      </c>
      <c r="AN104">
        <f>IF(OR(E104="",F104=""),0,NETWORKDAYS(E104,F104,Ref!$K$2:$K$42))</f>
        <v/>
      </c>
      <c r="AO104">
        <f>IF(L104="Renewal",1,0)</f>
        <v/>
      </c>
      <c r="AP104">
        <f>AC104*AD104</f>
        <v/>
      </c>
      <c r="AQ104">
        <f>IF(AND(G104&lt;&gt;"",'Historical Score'!$C$6&lt;&gt;""),IF(G104='Historical Score'!$C$6,1,0),0)</f>
        <v/>
      </c>
      <c r="AR104">
        <f>IF(AND(L104&lt;&gt;"",'Historical Score'!$C$5&lt;&gt;""),IF(L104='Historical Score'!$C$5,1,0),0)</f>
        <v/>
      </c>
      <c r="AS104">
        <f>IF(AND(Y104&lt;&gt;"",'Historical Score'!$C$7&lt;&gt;""),IF(Y104='Historical Score'!$C$7,1,0),0)</f>
        <v/>
      </c>
      <c r="AT104">
        <f>IF(AND(K104&lt;&gt;"",'Historical Score'!$C$8&lt;&gt;""),IF(K104='Historical Score'!$C$8,1,0),0)</f>
        <v/>
      </c>
      <c r="AU104">
        <f>IF(AND(J104&lt;&gt;"",'Historical Score'!$C$9&lt;&gt;""),IF(J104='Historical Score'!$C$9,1,0),0)</f>
        <v/>
      </c>
      <c r="AV104">
        <f>AR104*AS104*AQ104</f>
        <v/>
      </c>
      <c r="AW104">
        <f>AR104*AT104*AQ104</f>
        <v/>
      </c>
      <c r="AX104">
        <f>AR104*AS104</f>
        <v/>
      </c>
      <c r="AY104">
        <f>AR104*AT104</f>
        <v/>
      </c>
      <c r="AZ104">
        <f>AR104*AQ104</f>
        <v/>
      </c>
      <c r="BA104">
        <f>AR104</f>
        <v/>
      </c>
      <c r="BB104">
        <f>1</f>
        <v/>
      </c>
      <c r="BC104">
        <f>IF(AV104=1,1,IF(AW104=1,2,IF(AX104=1,3,IF(AY104=1,4,IF(AZ104=1,5,IF(BA104=1,6,7))))))</f>
        <v/>
      </c>
      <c r="BD104">
        <f>IF(AD104=1,CHOOSE('Historical Score'!$C$29,AV104,AW104,AX104,AY104,AZ104,BA104,BB104),0)</f>
        <v/>
      </c>
      <c r="BE104">
        <f>IF(BD104=1,COUNTIF($BD$2:BD104,1),"")</f>
        <v/>
      </c>
    </row>
    <row r="105">
      <c r="A105" t="inlineStr">
        <is>
          <t>5674157665</t>
        </is>
      </c>
      <c r="B105" t="inlineStr">
        <is>
          <t>LINCOLN BABIGUMIRA PAIN CLINIC, LTD.</t>
        </is>
      </c>
      <c r="C105" t="inlineStr">
        <is>
          <t>LINCOLN BABIGUMIRA PAIN CLINIC, LTD.</t>
        </is>
      </c>
      <c r="D105" t="inlineStr">
        <is>
          <t>Closed</t>
        </is>
      </c>
      <c r="E105" s="297" t="n">
        <v>45796</v>
      </c>
      <c r="F105" s="297" t="n">
        <v>45835</v>
      </c>
      <c r="G105" t="n">
        <v>7</v>
      </c>
      <c r="H105" t="inlineStr">
        <is>
          <t>8011</t>
        </is>
      </c>
      <c r="I105" t="inlineStr">
        <is>
          <t>80</t>
        </is>
      </c>
      <c r="J105" t="inlineStr">
        <is>
          <t>IL</t>
        </is>
      </c>
      <c r="K105" t="inlineStr">
        <is>
          <t>United Secured Capital 8</t>
        </is>
      </c>
      <c r="L105" t="inlineStr">
        <is>
          <t>New Deal</t>
        </is>
      </c>
      <c r="M105" s="298" t="n">
        <v>1.5</v>
      </c>
      <c r="N105" s="299" t="n">
        <v>8000</v>
      </c>
      <c r="O105" s="299" t="n">
        <v>1120</v>
      </c>
      <c r="P105" s="299" t="n">
        <v>12000</v>
      </c>
      <c r="Q105" s="299" t="n">
        <v>12000</v>
      </c>
      <c r="R105" s="299" t="n">
        <v>0</v>
      </c>
      <c r="S105" s="300" t="n">
        <v>1</v>
      </c>
      <c r="T105" t="n">
        <v>1.639</v>
      </c>
      <c r="U105" t="n">
        <v>2</v>
      </c>
      <c r="W105" s="300" t="n">
        <v>0.0508</v>
      </c>
      <c r="X105" s="297" t="n">
        <v>45796</v>
      </c>
      <c r="Y105">
        <f>IF(I105="","No SIC",IFERROR(VLOOKUP(I105,Ref!$A$2:$B$65,2,FALSE),"Unclassified"))</f>
        <v/>
      </c>
      <c r="Z105">
        <f>IF(T105="","",IF(T105&lt;12,"Daily","Weekly"))</f>
        <v/>
      </c>
      <c r="AA105">
        <f>IF(T105="",0,IF(T105&lt;12,T105*Controls!$B$29,T105*5))</f>
        <v/>
      </c>
      <c r="AB105">
        <f>IF(E105="",0,NETWORKDAYS(E105,Controls!$B$36,Ref!$K$2:$K$42))</f>
        <v/>
      </c>
      <c r="AC105">
        <f>IF(AND(AA105&gt;0,AB105&gt;=Controls!$B$39*AA105),1,0)</f>
        <v/>
      </c>
      <c r="AD105">
        <f>IF(AND(E105&lt;&gt;"",E105&gt;=Controls!$B$37,E105&lt;=Controls!$B$38),1,0)</f>
        <v/>
      </c>
      <c r="AE105">
        <f>IF(IFERROR(VLOOKUP(D105,Controls!$A$64:$E$74,2,FALSE),"No")="Yes",1,0)</f>
        <v/>
      </c>
      <c r="AF105">
        <f>IF(IFERROR(VLOOKUP(D105,Controls!$A$64:$E$74,3,FALSE),"No")="Yes",1,0)</f>
        <v/>
      </c>
      <c r="AG105">
        <f>IF(IFERROR(VLOOKUP(D105,Controls!$A$64:$E$74,4,FALSE),"No")="Yes",1,0)</f>
        <v/>
      </c>
      <c r="AH105">
        <f>IF(IFERROR(VLOOKUP(D105,Controls!$A$64:$E$74,5,FALSE),"No")="Yes",1,0)</f>
        <v/>
      </c>
      <c r="AI105">
        <f>IF(ISNUMBER(MATCH(D105,Controls!$A$64:$A$74,0)),1,0)</f>
        <v/>
      </c>
      <c r="AJ105">
        <f>Q105-N105</f>
        <v/>
      </c>
      <c r="AK105">
        <f>IF(AE105=1,MAX(0,N105-Q105),0)</f>
        <v/>
      </c>
      <c r="AL105">
        <f>IF(OR(V105="",V105=0),0,N105/V105)</f>
        <v/>
      </c>
      <c r="AM105">
        <f>IF(OR(V105="",V105=0),0,1)</f>
        <v/>
      </c>
      <c r="AN105">
        <f>IF(OR(E105="",F105=""),0,NETWORKDAYS(E105,F105,Ref!$K$2:$K$42))</f>
        <v/>
      </c>
      <c r="AO105">
        <f>IF(L105="Renewal",1,0)</f>
        <v/>
      </c>
      <c r="AP105">
        <f>AC105*AD105</f>
        <v/>
      </c>
      <c r="AQ105">
        <f>IF(AND(G105&lt;&gt;"",'Historical Score'!$C$6&lt;&gt;""),IF(G105='Historical Score'!$C$6,1,0),0)</f>
        <v/>
      </c>
      <c r="AR105">
        <f>IF(AND(L105&lt;&gt;"",'Historical Score'!$C$5&lt;&gt;""),IF(L105='Historical Score'!$C$5,1,0),0)</f>
        <v/>
      </c>
      <c r="AS105">
        <f>IF(AND(Y105&lt;&gt;"",'Historical Score'!$C$7&lt;&gt;""),IF(Y105='Historical Score'!$C$7,1,0),0)</f>
        <v/>
      </c>
      <c r="AT105">
        <f>IF(AND(K105&lt;&gt;"",'Historical Score'!$C$8&lt;&gt;""),IF(K105='Historical Score'!$C$8,1,0),0)</f>
        <v/>
      </c>
      <c r="AU105">
        <f>IF(AND(J105&lt;&gt;"",'Historical Score'!$C$9&lt;&gt;""),IF(J105='Historical Score'!$C$9,1,0),0)</f>
        <v/>
      </c>
      <c r="AV105">
        <f>AR105*AS105*AQ105</f>
        <v/>
      </c>
      <c r="AW105">
        <f>AR105*AT105*AQ105</f>
        <v/>
      </c>
      <c r="AX105">
        <f>AR105*AS105</f>
        <v/>
      </c>
      <c r="AY105">
        <f>AR105*AT105</f>
        <v/>
      </c>
      <c r="AZ105">
        <f>AR105*AQ105</f>
        <v/>
      </c>
      <c r="BA105">
        <f>AR105</f>
        <v/>
      </c>
      <c r="BB105">
        <f>1</f>
        <v/>
      </c>
      <c r="BC105">
        <f>IF(AV105=1,1,IF(AW105=1,2,IF(AX105=1,3,IF(AY105=1,4,IF(AZ105=1,5,IF(BA105=1,6,7))))))</f>
        <v/>
      </c>
      <c r="BD105">
        <f>IF(AD105=1,CHOOSE('Historical Score'!$C$29,AV105,AW105,AX105,AY105,AZ105,BA105,BB105),0)</f>
        <v/>
      </c>
      <c r="BE105">
        <f>IF(BD105=1,COUNTIF($BD$2:BD105,1),"")</f>
        <v/>
      </c>
    </row>
    <row r="106">
      <c r="A106" t="inlineStr">
        <is>
          <t>5674157964</t>
        </is>
      </c>
      <c r="B106" t="inlineStr">
        <is>
          <t>ROBOLA PIZZERIA</t>
        </is>
      </c>
      <c r="C106" t="inlineStr">
        <is>
          <t>AMC FAIR DEALING</t>
        </is>
      </c>
      <c r="D106" t="inlineStr">
        <is>
          <t>Legal</t>
        </is>
      </c>
      <c r="E106" s="297" t="n">
        <v>45798</v>
      </c>
      <c r="F106" s="297" t="n">
        <v>45834</v>
      </c>
      <c r="G106" t="n">
        <v>6</v>
      </c>
      <c r="H106" t="inlineStr">
        <is>
          <t>5812</t>
        </is>
      </c>
      <c r="I106" t="inlineStr">
        <is>
          <t>58</t>
        </is>
      </c>
      <c r="J106" t="inlineStr">
        <is>
          <t>PA</t>
        </is>
      </c>
      <c r="K106" t="inlineStr">
        <is>
          <t>Splash</t>
        </is>
      </c>
      <c r="L106" t="inlineStr">
        <is>
          <t>Renewal</t>
        </is>
      </c>
      <c r="M106" s="298" t="n">
        <v>1.49</v>
      </c>
      <c r="N106" s="299" t="n">
        <v>8000</v>
      </c>
      <c r="O106" s="299" t="n">
        <v>0</v>
      </c>
      <c r="P106" s="299" t="n">
        <v>11920</v>
      </c>
      <c r="Q106" s="299" t="n">
        <v>1510.15</v>
      </c>
      <c r="R106" s="299" t="n">
        <v>10409.85</v>
      </c>
      <c r="S106" s="300" t="n">
        <v>0.126690436241611</v>
      </c>
      <c r="T106" t="n">
        <v>2.459</v>
      </c>
      <c r="U106" t="n">
        <v>12</v>
      </c>
      <c r="W106" s="300" t="n">
        <v>0.1429</v>
      </c>
      <c r="X106" s="297" t="n">
        <v>45798</v>
      </c>
      <c r="Y106">
        <f>IF(I106="","No SIC",IFERROR(VLOOKUP(I106,Ref!$A$2:$B$65,2,FALSE),"Unclassified"))</f>
        <v/>
      </c>
      <c r="Z106">
        <f>IF(T106="","",IF(T106&lt;12,"Daily","Weekly"))</f>
        <v/>
      </c>
      <c r="AA106">
        <f>IF(T106="",0,IF(T106&lt;12,T106*Controls!$B$29,T106*5))</f>
        <v/>
      </c>
      <c r="AB106">
        <f>IF(E106="",0,NETWORKDAYS(E106,Controls!$B$36,Ref!$K$2:$K$42))</f>
        <v/>
      </c>
      <c r="AC106">
        <f>IF(AND(AA106&gt;0,AB106&gt;=Controls!$B$39*AA106),1,0)</f>
        <v/>
      </c>
      <c r="AD106">
        <f>IF(AND(E106&lt;&gt;"",E106&gt;=Controls!$B$37,E106&lt;=Controls!$B$38),1,0)</f>
        <v/>
      </c>
      <c r="AE106">
        <f>IF(IFERROR(VLOOKUP(D106,Controls!$A$64:$E$74,2,FALSE),"No")="Yes",1,0)</f>
        <v/>
      </c>
      <c r="AF106">
        <f>IF(IFERROR(VLOOKUP(D106,Controls!$A$64:$E$74,3,FALSE),"No")="Yes",1,0)</f>
        <v/>
      </c>
      <c r="AG106">
        <f>IF(IFERROR(VLOOKUP(D106,Controls!$A$64:$E$74,4,FALSE),"No")="Yes",1,0)</f>
        <v/>
      </c>
      <c r="AH106">
        <f>IF(IFERROR(VLOOKUP(D106,Controls!$A$64:$E$74,5,FALSE),"No")="Yes",1,0)</f>
        <v/>
      </c>
      <c r="AI106">
        <f>IF(ISNUMBER(MATCH(D106,Controls!$A$64:$A$74,0)),1,0)</f>
        <v/>
      </c>
      <c r="AJ106">
        <f>Q106-N106</f>
        <v/>
      </c>
      <c r="AK106">
        <f>IF(AE106=1,MAX(0,N106-Q106),0)</f>
        <v/>
      </c>
      <c r="AL106">
        <f>IF(OR(V106="",V106=0),0,N106/V106)</f>
        <v/>
      </c>
      <c r="AM106">
        <f>IF(OR(V106="",V106=0),0,1)</f>
        <v/>
      </c>
      <c r="AN106">
        <f>IF(OR(E106="",F106=""),0,NETWORKDAYS(E106,F106,Ref!$K$2:$K$42))</f>
        <v/>
      </c>
      <c r="AO106">
        <f>IF(L106="Renewal",1,0)</f>
        <v/>
      </c>
      <c r="AP106">
        <f>AC106*AD106</f>
        <v/>
      </c>
      <c r="AQ106">
        <f>IF(AND(G106&lt;&gt;"",'Historical Score'!$C$6&lt;&gt;""),IF(G106='Historical Score'!$C$6,1,0),0)</f>
        <v/>
      </c>
      <c r="AR106">
        <f>IF(AND(L106&lt;&gt;"",'Historical Score'!$C$5&lt;&gt;""),IF(L106='Historical Score'!$C$5,1,0),0)</f>
        <v/>
      </c>
      <c r="AS106">
        <f>IF(AND(Y106&lt;&gt;"",'Historical Score'!$C$7&lt;&gt;""),IF(Y106='Historical Score'!$C$7,1,0),0)</f>
        <v/>
      </c>
      <c r="AT106">
        <f>IF(AND(K106&lt;&gt;"",'Historical Score'!$C$8&lt;&gt;""),IF(K106='Historical Score'!$C$8,1,0),0)</f>
        <v/>
      </c>
      <c r="AU106">
        <f>IF(AND(J106&lt;&gt;"",'Historical Score'!$C$9&lt;&gt;""),IF(J106='Historical Score'!$C$9,1,0),0)</f>
        <v/>
      </c>
      <c r="AV106">
        <f>AR106*AS106*AQ106</f>
        <v/>
      </c>
      <c r="AW106">
        <f>AR106*AT106*AQ106</f>
        <v/>
      </c>
      <c r="AX106">
        <f>AR106*AS106</f>
        <v/>
      </c>
      <c r="AY106">
        <f>AR106*AT106</f>
        <v/>
      </c>
      <c r="AZ106">
        <f>AR106*AQ106</f>
        <v/>
      </c>
      <c r="BA106">
        <f>AR106</f>
        <v/>
      </c>
      <c r="BB106">
        <f>1</f>
        <v/>
      </c>
      <c r="BC106">
        <f>IF(AV106=1,1,IF(AW106=1,2,IF(AX106=1,3,IF(AY106=1,4,IF(AZ106=1,5,IF(BA106=1,6,7))))))</f>
        <v/>
      </c>
      <c r="BD106">
        <f>IF(AD106=1,CHOOSE('Historical Score'!$C$29,AV106,AW106,AX106,AY106,AZ106,BA106,BB106),0)</f>
        <v/>
      </c>
      <c r="BE106">
        <f>IF(BD106=1,COUNTIF($BD$2:BD106,1),"")</f>
        <v/>
      </c>
    </row>
    <row r="107">
      <c r="A107" t="inlineStr">
        <is>
          <t>5674157967</t>
        </is>
      </c>
      <c r="B107" t="inlineStr">
        <is>
          <t>Cafe Gripon's</t>
        </is>
      </c>
      <c r="C107" t="inlineStr">
        <is>
          <t>Gripon Group LLC</t>
        </is>
      </c>
      <c r="D107" t="inlineStr">
        <is>
          <t>Closed</t>
        </is>
      </c>
      <c r="E107" s="297" t="n">
        <v>45798</v>
      </c>
      <c r="F107" s="297" t="n">
        <v>45953</v>
      </c>
      <c r="G107" t="n">
        <v>6</v>
      </c>
      <c r="H107" t="inlineStr">
        <is>
          <t>5812</t>
        </is>
      </c>
      <c r="I107" t="inlineStr">
        <is>
          <t>58</t>
        </is>
      </c>
      <c r="J107" t="inlineStr">
        <is>
          <t>TX</t>
        </is>
      </c>
      <c r="K107" t="inlineStr">
        <is>
          <t>Samson Funding</t>
        </is>
      </c>
      <c r="L107" t="inlineStr">
        <is>
          <t>New Deal</t>
        </is>
      </c>
      <c r="M107" s="298" t="n">
        <v>1.49</v>
      </c>
      <c r="N107" s="299" t="n">
        <v>30000</v>
      </c>
      <c r="O107" s="299" t="n">
        <v>4200</v>
      </c>
      <c r="P107" s="299" t="n">
        <v>44700</v>
      </c>
      <c r="Q107" s="299" t="n">
        <v>44700</v>
      </c>
      <c r="R107" s="299" t="n">
        <v>0</v>
      </c>
      <c r="S107" s="300" t="n">
        <v>1</v>
      </c>
      <c r="T107" t="n">
        <v>4.262</v>
      </c>
      <c r="U107" t="n">
        <v>13</v>
      </c>
      <c r="W107" s="300" t="n">
        <v>0.08019999999999999</v>
      </c>
      <c r="X107" s="297" t="n">
        <v>45798</v>
      </c>
      <c r="Y107">
        <f>IF(I107="","No SIC",IFERROR(VLOOKUP(I107,Ref!$A$2:$B$65,2,FALSE),"Unclassified"))</f>
        <v/>
      </c>
      <c r="Z107">
        <f>IF(T107="","",IF(T107&lt;12,"Daily","Weekly"))</f>
        <v/>
      </c>
      <c r="AA107">
        <f>IF(T107="",0,IF(T107&lt;12,T107*Controls!$B$29,T107*5))</f>
        <v/>
      </c>
      <c r="AB107">
        <f>IF(E107="",0,NETWORKDAYS(E107,Controls!$B$36,Ref!$K$2:$K$42))</f>
        <v/>
      </c>
      <c r="AC107">
        <f>IF(AND(AA107&gt;0,AB107&gt;=Controls!$B$39*AA107),1,0)</f>
        <v/>
      </c>
      <c r="AD107">
        <f>IF(AND(E107&lt;&gt;"",E107&gt;=Controls!$B$37,E107&lt;=Controls!$B$38),1,0)</f>
        <v/>
      </c>
      <c r="AE107">
        <f>IF(IFERROR(VLOOKUP(D107,Controls!$A$64:$E$74,2,FALSE),"No")="Yes",1,0)</f>
        <v/>
      </c>
      <c r="AF107">
        <f>IF(IFERROR(VLOOKUP(D107,Controls!$A$64:$E$74,3,FALSE),"No")="Yes",1,0)</f>
        <v/>
      </c>
      <c r="AG107">
        <f>IF(IFERROR(VLOOKUP(D107,Controls!$A$64:$E$74,4,FALSE),"No")="Yes",1,0)</f>
        <v/>
      </c>
      <c r="AH107">
        <f>IF(IFERROR(VLOOKUP(D107,Controls!$A$64:$E$74,5,FALSE),"No")="Yes",1,0)</f>
        <v/>
      </c>
      <c r="AI107">
        <f>IF(ISNUMBER(MATCH(D107,Controls!$A$64:$A$74,0)),1,0)</f>
        <v/>
      </c>
      <c r="AJ107">
        <f>Q107-N107</f>
        <v/>
      </c>
      <c r="AK107">
        <f>IF(AE107=1,MAX(0,N107-Q107),0)</f>
        <v/>
      </c>
      <c r="AL107">
        <f>IF(OR(V107="",V107=0),0,N107/V107)</f>
        <v/>
      </c>
      <c r="AM107">
        <f>IF(OR(V107="",V107=0),0,1)</f>
        <v/>
      </c>
      <c r="AN107">
        <f>IF(OR(E107="",F107=""),0,NETWORKDAYS(E107,F107,Ref!$K$2:$K$42))</f>
        <v/>
      </c>
      <c r="AO107">
        <f>IF(L107="Renewal",1,0)</f>
        <v/>
      </c>
      <c r="AP107">
        <f>AC107*AD107</f>
        <v/>
      </c>
      <c r="AQ107">
        <f>IF(AND(G107&lt;&gt;"",'Historical Score'!$C$6&lt;&gt;""),IF(G107='Historical Score'!$C$6,1,0),0)</f>
        <v/>
      </c>
      <c r="AR107">
        <f>IF(AND(L107&lt;&gt;"",'Historical Score'!$C$5&lt;&gt;""),IF(L107='Historical Score'!$C$5,1,0),0)</f>
        <v/>
      </c>
      <c r="AS107">
        <f>IF(AND(Y107&lt;&gt;"",'Historical Score'!$C$7&lt;&gt;""),IF(Y107='Historical Score'!$C$7,1,0),0)</f>
        <v/>
      </c>
      <c r="AT107">
        <f>IF(AND(K107&lt;&gt;"",'Historical Score'!$C$8&lt;&gt;""),IF(K107='Historical Score'!$C$8,1,0),0)</f>
        <v/>
      </c>
      <c r="AU107">
        <f>IF(AND(J107&lt;&gt;"",'Historical Score'!$C$9&lt;&gt;""),IF(J107='Historical Score'!$C$9,1,0),0)</f>
        <v/>
      </c>
      <c r="AV107">
        <f>AR107*AS107*AQ107</f>
        <v/>
      </c>
      <c r="AW107">
        <f>AR107*AT107*AQ107</f>
        <v/>
      </c>
      <c r="AX107">
        <f>AR107*AS107</f>
        <v/>
      </c>
      <c r="AY107">
        <f>AR107*AT107</f>
        <v/>
      </c>
      <c r="AZ107">
        <f>AR107*AQ107</f>
        <v/>
      </c>
      <c r="BA107">
        <f>AR107</f>
        <v/>
      </c>
      <c r="BB107">
        <f>1</f>
        <v/>
      </c>
      <c r="BC107">
        <f>IF(AV107=1,1,IF(AW107=1,2,IF(AX107=1,3,IF(AY107=1,4,IF(AZ107=1,5,IF(BA107=1,6,7))))))</f>
        <v/>
      </c>
      <c r="BD107">
        <f>IF(AD107=1,CHOOSE('Historical Score'!$C$29,AV107,AW107,AX107,AY107,AZ107,BA107,BB107),0)</f>
        <v/>
      </c>
      <c r="BE107">
        <f>IF(BD107=1,COUNTIF($BD$2:BD107,1),"")</f>
        <v/>
      </c>
    </row>
    <row r="108">
      <c r="A108" t="inlineStr">
        <is>
          <t>5674157987</t>
        </is>
      </c>
      <c r="B108" t="inlineStr">
        <is>
          <t>Organ Mountain Food Group NM</t>
        </is>
      </c>
      <c r="C108" t="inlineStr">
        <is>
          <t>ORGAN MOUNTAIN FOOD GROUP NM LLC</t>
        </is>
      </c>
      <c r="D108" t="inlineStr">
        <is>
          <t>Closed</t>
        </is>
      </c>
      <c r="E108" s="297" t="n">
        <v>45798</v>
      </c>
      <c r="F108" s="297" t="n">
        <v>45869</v>
      </c>
      <c r="G108" t="n">
        <v>3</v>
      </c>
      <c r="H108" t="inlineStr">
        <is>
          <t>5812</t>
        </is>
      </c>
      <c r="I108" t="inlineStr">
        <is>
          <t>58</t>
        </is>
      </c>
      <c r="J108" t="inlineStr">
        <is>
          <t>NM</t>
        </is>
      </c>
      <c r="K108" t="inlineStr">
        <is>
          <t>Premium Capital (AMRK)</t>
        </is>
      </c>
      <c r="L108" t="inlineStr">
        <is>
          <t>New Deal</t>
        </is>
      </c>
      <c r="M108" s="298" t="n">
        <v>1.49</v>
      </c>
      <c r="N108" s="299" t="n">
        <v>25000</v>
      </c>
      <c r="O108" s="299" t="n">
        <v>3500</v>
      </c>
      <c r="P108" s="299" t="n">
        <v>37250</v>
      </c>
      <c r="Q108" s="299" t="n">
        <v>37250</v>
      </c>
      <c r="R108" s="299" t="n">
        <v>0</v>
      </c>
      <c r="S108" s="300" t="n">
        <v>1</v>
      </c>
      <c r="T108" t="n">
        <v>3.279</v>
      </c>
      <c r="U108" t="n">
        <v>0</v>
      </c>
      <c r="W108" s="300" t="n">
        <v>0.1105</v>
      </c>
      <c r="X108" s="297" t="n">
        <v>45798</v>
      </c>
      <c r="Y108">
        <f>IF(I108="","No SIC",IFERROR(VLOOKUP(I108,Ref!$A$2:$B$65,2,FALSE),"Unclassified"))</f>
        <v/>
      </c>
      <c r="Z108">
        <f>IF(T108="","",IF(T108&lt;12,"Daily","Weekly"))</f>
        <v/>
      </c>
      <c r="AA108">
        <f>IF(T108="",0,IF(T108&lt;12,T108*Controls!$B$29,T108*5))</f>
        <v/>
      </c>
      <c r="AB108">
        <f>IF(E108="",0,NETWORKDAYS(E108,Controls!$B$36,Ref!$K$2:$K$42))</f>
        <v/>
      </c>
      <c r="AC108">
        <f>IF(AND(AA108&gt;0,AB108&gt;=Controls!$B$39*AA108),1,0)</f>
        <v/>
      </c>
      <c r="AD108">
        <f>IF(AND(E108&lt;&gt;"",E108&gt;=Controls!$B$37,E108&lt;=Controls!$B$38),1,0)</f>
        <v/>
      </c>
      <c r="AE108">
        <f>IF(IFERROR(VLOOKUP(D108,Controls!$A$64:$E$74,2,FALSE),"No")="Yes",1,0)</f>
        <v/>
      </c>
      <c r="AF108">
        <f>IF(IFERROR(VLOOKUP(D108,Controls!$A$64:$E$74,3,FALSE),"No")="Yes",1,0)</f>
        <v/>
      </c>
      <c r="AG108">
        <f>IF(IFERROR(VLOOKUP(D108,Controls!$A$64:$E$74,4,FALSE),"No")="Yes",1,0)</f>
        <v/>
      </c>
      <c r="AH108">
        <f>IF(IFERROR(VLOOKUP(D108,Controls!$A$64:$E$74,5,FALSE),"No")="Yes",1,0)</f>
        <v/>
      </c>
      <c r="AI108">
        <f>IF(ISNUMBER(MATCH(D108,Controls!$A$64:$A$74,0)),1,0)</f>
        <v/>
      </c>
      <c r="AJ108">
        <f>Q108-N108</f>
        <v/>
      </c>
      <c r="AK108">
        <f>IF(AE108=1,MAX(0,N108-Q108),0)</f>
        <v/>
      </c>
      <c r="AL108">
        <f>IF(OR(V108="",V108=0),0,N108/V108)</f>
        <v/>
      </c>
      <c r="AM108">
        <f>IF(OR(V108="",V108=0),0,1)</f>
        <v/>
      </c>
      <c r="AN108">
        <f>IF(OR(E108="",F108=""),0,NETWORKDAYS(E108,F108,Ref!$K$2:$K$42))</f>
        <v/>
      </c>
      <c r="AO108">
        <f>IF(L108="Renewal",1,0)</f>
        <v/>
      </c>
      <c r="AP108">
        <f>AC108*AD108</f>
        <v/>
      </c>
      <c r="AQ108">
        <f>IF(AND(G108&lt;&gt;"",'Historical Score'!$C$6&lt;&gt;""),IF(G108='Historical Score'!$C$6,1,0),0)</f>
        <v/>
      </c>
      <c r="AR108">
        <f>IF(AND(L108&lt;&gt;"",'Historical Score'!$C$5&lt;&gt;""),IF(L108='Historical Score'!$C$5,1,0),0)</f>
        <v/>
      </c>
      <c r="AS108">
        <f>IF(AND(Y108&lt;&gt;"",'Historical Score'!$C$7&lt;&gt;""),IF(Y108='Historical Score'!$C$7,1,0),0)</f>
        <v/>
      </c>
      <c r="AT108">
        <f>IF(AND(K108&lt;&gt;"",'Historical Score'!$C$8&lt;&gt;""),IF(K108='Historical Score'!$C$8,1,0),0)</f>
        <v/>
      </c>
      <c r="AU108">
        <f>IF(AND(J108&lt;&gt;"",'Historical Score'!$C$9&lt;&gt;""),IF(J108='Historical Score'!$C$9,1,0),0)</f>
        <v/>
      </c>
      <c r="AV108">
        <f>AR108*AS108*AQ108</f>
        <v/>
      </c>
      <c r="AW108">
        <f>AR108*AT108*AQ108</f>
        <v/>
      </c>
      <c r="AX108">
        <f>AR108*AS108</f>
        <v/>
      </c>
      <c r="AY108">
        <f>AR108*AT108</f>
        <v/>
      </c>
      <c r="AZ108">
        <f>AR108*AQ108</f>
        <v/>
      </c>
      <c r="BA108">
        <f>AR108</f>
        <v/>
      </c>
      <c r="BB108">
        <f>1</f>
        <v/>
      </c>
      <c r="BC108">
        <f>IF(AV108=1,1,IF(AW108=1,2,IF(AX108=1,3,IF(AY108=1,4,IF(AZ108=1,5,IF(BA108=1,6,7))))))</f>
        <v/>
      </c>
      <c r="BD108">
        <f>IF(AD108=1,CHOOSE('Historical Score'!$C$29,AV108,AW108,AX108,AY108,AZ108,BA108,BB108),0)</f>
        <v/>
      </c>
      <c r="BE108">
        <f>IF(BD108=1,COUNTIF($BD$2:BD108,1),"")</f>
        <v/>
      </c>
    </row>
    <row r="109">
      <c r="A109" t="inlineStr">
        <is>
          <t>5674158038</t>
        </is>
      </c>
      <c r="B109" t="inlineStr">
        <is>
          <t>Tillis Transportation LLC</t>
        </is>
      </c>
      <c r="C109" t="inlineStr">
        <is>
          <t>Tillis Transportation LLC</t>
        </is>
      </c>
      <c r="D109" t="inlineStr">
        <is>
          <t>Legal</t>
        </is>
      </c>
      <c r="E109" s="297" t="n">
        <v>45799</v>
      </c>
      <c r="F109" s="297" t="n">
        <v>45812</v>
      </c>
      <c r="G109" t="n">
        <v>3</v>
      </c>
      <c r="H109" t="inlineStr">
        <is>
          <t>4212</t>
        </is>
      </c>
      <c r="I109" t="inlineStr">
        <is>
          <t>42</t>
        </is>
      </c>
      <c r="J109" t="inlineStr">
        <is>
          <t>AL</t>
        </is>
      </c>
      <c r="K109" t="inlineStr">
        <is>
          <t>Viking Funding LLC</t>
        </is>
      </c>
      <c r="L109" t="inlineStr">
        <is>
          <t>New Deal</t>
        </is>
      </c>
      <c r="M109" s="298" t="n">
        <v>1.45</v>
      </c>
      <c r="N109" s="299" t="n">
        <v>10000</v>
      </c>
      <c r="O109" s="299" t="n">
        <v>0</v>
      </c>
      <c r="P109" s="299" t="n">
        <v>14500</v>
      </c>
      <c r="Q109" s="299" t="n">
        <v>181.11</v>
      </c>
      <c r="R109" s="299" t="n">
        <v>14318.89</v>
      </c>
      <c r="S109" s="300" t="n">
        <v>0.0124903448275862</v>
      </c>
      <c r="T109" t="n">
        <v>2.623</v>
      </c>
      <c r="U109" t="n">
        <v>7</v>
      </c>
      <c r="W109" s="300" t="n">
        <v>0.0589</v>
      </c>
      <c r="X109" s="297" t="n">
        <v>45799</v>
      </c>
      <c r="Y109">
        <f>IF(I109="","No SIC",IFERROR(VLOOKUP(I109,Ref!$A$2:$B$65,2,FALSE),"Unclassified"))</f>
        <v/>
      </c>
      <c r="Z109">
        <f>IF(T109="","",IF(T109&lt;12,"Daily","Weekly"))</f>
        <v/>
      </c>
      <c r="AA109">
        <f>IF(T109="",0,IF(T109&lt;12,T109*Controls!$B$29,T109*5))</f>
        <v/>
      </c>
      <c r="AB109">
        <f>IF(E109="",0,NETWORKDAYS(E109,Controls!$B$36,Ref!$K$2:$K$42))</f>
        <v/>
      </c>
      <c r="AC109">
        <f>IF(AND(AA109&gt;0,AB109&gt;=Controls!$B$39*AA109),1,0)</f>
        <v/>
      </c>
      <c r="AD109">
        <f>IF(AND(E109&lt;&gt;"",E109&gt;=Controls!$B$37,E109&lt;=Controls!$B$38),1,0)</f>
        <v/>
      </c>
      <c r="AE109">
        <f>IF(IFERROR(VLOOKUP(D109,Controls!$A$64:$E$74,2,FALSE),"No")="Yes",1,0)</f>
        <v/>
      </c>
      <c r="AF109">
        <f>IF(IFERROR(VLOOKUP(D109,Controls!$A$64:$E$74,3,FALSE),"No")="Yes",1,0)</f>
        <v/>
      </c>
      <c r="AG109">
        <f>IF(IFERROR(VLOOKUP(D109,Controls!$A$64:$E$74,4,FALSE),"No")="Yes",1,0)</f>
        <v/>
      </c>
      <c r="AH109">
        <f>IF(IFERROR(VLOOKUP(D109,Controls!$A$64:$E$74,5,FALSE),"No")="Yes",1,0)</f>
        <v/>
      </c>
      <c r="AI109">
        <f>IF(ISNUMBER(MATCH(D109,Controls!$A$64:$A$74,0)),1,0)</f>
        <v/>
      </c>
      <c r="AJ109">
        <f>Q109-N109</f>
        <v/>
      </c>
      <c r="AK109">
        <f>IF(AE109=1,MAX(0,N109-Q109),0)</f>
        <v/>
      </c>
      <c r="AL109">
        <f>IF(OR(V109="",V109=0),0,N109/V109)</f>
        <v/>
      </c>
      <c r="AM109">
        <f>IF(OR(V109="",V109=0),0,1)</f>
        <v/>
      </c>
      <c r="AN109">
        <f>IF(OR(E109="",F109=""),0,NETWORKDAYS(E109,F109,Ref!$K$2:$K$42))</f>
        <v/>
      </c>
      <c r="AO109">
        <f>IF(L109="Renewal",1,0)</f>
        <v/>
      </c>
      <c r="AP109">
        <f>AC109*AD109</f>
        <v/>
      </c>
      <c r="AQ109">
        <f>IF(AND(G109&lt;&gt;"",'Historical Score'!$C$6&lt;&gt;""),IF(G109='Historical Score'!$C$6,1,0),0)</f>
        <v/>
      </c>
      <c r="AR109">
        <f>IF(AND(L109&lt;&gt;"",'Historical Score'!$C$5&lt;&gt;""),IF(L109='Historical Score'!$C$5,1,0),0)</f>
        <v/>
      </c>
      <c r="AS109">
        <f>IF(AND(Y109&lt;&gt;"",'Historical Score'!$C$7&lt;&gt;""),IF(Y109='Historical Score'!$C$7,1,0),0)</f>
        <v/>
      </c>
      <c r="AT109">
        <f>IF(AND(K109&lt;&gt;"",'Historical Score'!$C$8&lt;&gt;""),IF(K109='Historical Score'!$C$8,1,0),0)</f>
        <v/>
      </c>
      <c r="AU109">
        <f>IF(AND(J109&lt;&gt;"",'Historical Score'!$C$9&lt;&gt;""),IF(J109='Historical Score'!$C$9,1,0),0)</f>
        <v/>
      </c>
      <c r="AV109">
        <f>AR109*AS109*AQ109</f>
        <v/>
      </c>
      <c r="AW109">
        <f>AR109*AT109*AQ109</f>
        <v/>
      </c>
      <c r="AX109">
        <f>AR109*AS109</f>
        <v/>
      </c>
      <c r="AY109">
        <f>AR109*AT109</f>
        <v/>
      </c>
      <c r="AZ109">
        <f>AR109*AQ109</f>
        <v/>
      </c>
      <c r="BA109">
        <f>AR109</f>
        <v/>
      </c>
      <c r="BB109">
        <f>1</f>
        <v/>
      </c>
      <c r="BC109">
        <f>IF(AV109=1,1,IF(AW109=1,2,IF(AX109=1,3,IF(AY109=1,4,IF(AZ109=1,5,IF(BA109=1,6,7))))))</f>
        <v/>
      </c>
      <c r="BD109">
        <f>IF(AD109=1,CHOOSE('Historical Score'!$C$29,AV109,AW109,AX109,AY109,AZ109,BA109,BB109),0)</f>
        <v/>
      </c>
      <c r="BE109">
        <f>IF(BD109=1,COUNTIF($BD$2:BD109,1),"")</f>
        <v/>
      </c>
    </row>
    <row r="110">
      <c r="A110" t="inlineStr">
        <is>
          <t>5674158061</t>
        </is>
      </c>
      <c r="B110" t="inlineStr">
        <is>
          <t>Skoog Construction</t>
        </is>
      </c>
      <c r="C110" t="inlineStr">
        <is>
          <t>Skoog Construction</t>
        </is>
      </c>
      <c r="D110" t="inlineStr">
        <is>
          <t>Legal</t>
        </is>
      </c>
      <c r="E110" s="297" t="n">
        <v>45799</v>
      </c>
      <c r="F110" s="297" t="n">
        <v>46234</v>
      </c>
      <c r="G110" t="n">
        <v>3</v>
      </c>
      <c r="H110" t="inlineStr">
        <is>
          <t>1522</t>
        </is>
      </c>
      <c r="I110" t="inlineStr">
        <is>
          <t>15</t>
        </is>
      </c>
      <c r="J110" t="inlineStr">
        <is>
          <t>ID</t>
        </is>
      </c>
      <c r="K110" t="inlineStr">
        <is>
          <t>Westwood</t>
        </is>
      </c>
      <c r="L110" t="inlineStr">
        <is>
          <t>New Deal</t>
        </is>
      </c>
      <c r="M110" s="298" t="n">
        <v>1.49</v>
      </c>
      <c r="N110" s="299" t="n">
        <v>10000</v>
      </c>
      <c r="O110" s="299" t="n">
        <v>1400</v>
      </c>
      <c r="P110" s="299" t="n">
        <v>14900</v>
      </c>
      <c r="Q110" s="299" t="n">
        <v>14829.18</v>
      </c>
      <c r="R110" s="299" t="n">
        <v>70.81999999999969</v>
      </c>
      <c r="S110" s="300" t="n">
        <v>0.995246979865772</v>
      </c>
      <c r="T110" t="n">
        <v>1.967</v>
      </c>
      <c r="U110" t="n">
        <v>8</v>
      </c>
      <c r="W110" s="300" t="n">
        <v>0.1254</v>
      </c>
      <c r="X110" s="297" t="n">
        <v>45799</v>
      </c>
      <c r="Y110">
        <f>IF(I110="","No SIC",IFERROR(VLOOKUP(I110,Ref!$A$2:$B$65,2,FALSE),"Unclassified"))</f>
        <v/>
      </c>
      <c r="Z110">
        <f>IF(T110="","",IF(T110&lt;12,"Daily","Weekly"))</f>
        <v/>
      </c>
      <c r="AA110">
        <f>IF(T110="",0,IF(T110&lt;12,T110*Controls!$B$29,T110*5))</f>
        <v/>
      </c>
      <c r="AB110">
        <f>IF(E110="",0,NETWORKDAYS(E110,Controls!$B$36,Ref!$K$2:$K$42))</f>
        <v/>
      </c>
      <c r="AC110">
        <f>IF(AND(AA110&gt;0,AB110&gt;=Controls!$B$39*AA110),1,0)</f>
        <v/>
      </c>
      <c r="AD110">
        <f>IF(AND(E110&lt;&gt;"",E110&gt;=Controls!$B$37,E110&lt;=Controls!$B$38),1,0)</f>
        <v/>
      </c>
      <c r="AE110">
        <f>IF(IFERROR(VLOOKUP(D110,Controls!$A$64:$E$74,2,FALSE),"No")="Yes",1,0)</f>
        <v/>
      </c>
      <c r="AF110">
        <f>IF(IFERROR(VLOOKUP(D110,Controls!$A$64:$E$74,3,FALSE),"No")="Yes",1,0)</f>
        <v/>
      </c>
      <c r="AG110">
        <f>IF(IFERROR(VLOOKUP(D110,Controls!$A$64:$E$74,4,FALSE),"No")="Yes",1,0)</f>
        <v/>
      </c>
      <c r="AH110">
        <f>IF(IFERROR(VLOOKUP(D110,Controls!$A$64:$E$74,5,FALSE),"No")="Yes",1,0)</f>
        <v/>
      </c>
      <c r="AI110">
        <f>IF(ISNUMBER(MATCH(D110,Controls!$A$64:$A$74,0)),1,0)</f>
        <v/>
      </c>
      <c r="AJ110">
        <f>Q110-N110</f>
        <v/>
      </c>
      <c r="AK110">
        <f>IF(AE110=1,MAX(0,N110-Q110),0)</f>
        <v/>
      </c>
      <c r="AL110">
        <f>IF(OR(V110="",V110=0),0,N110/V110)</f>
        <v/>
      </c>
      <c r="AM110">
        <f>IF(OR(V110="",V110=0),0,1)</f>
        <v/>
      </c>
      <c r="AN110">
        <f>IF(OR(E110="",F110=""),0,NETWORKDAYS(E110,F110,Ref!$K$2:$K$42))</f>
        <v/>
      </c>
      <c r="AO110">
        <f>IF(L110="Renewal",1,0)</f>
        <v/>
      </c>
      <c r="AP110">
        <f>AC110*AD110</f>
        <v/>
      </c>
      <c r="AQ110">
        <f>IF(AND(G110&lt;&gt;"",'Historical Score'!$C$6&lt;&gt;""),IF(G110='Historical Score'!$C$6,1,0),0)</f>
        <v/>
      </c>
      <c r="AR110">
        <f>IF(AND(L110&lt;&gt;"",'Historical Score'!$C$5&lt;&gt;""),IF(L110='Historical Score'!$C$5,1,0),0)</f>
        <v/>
      </c>
      <c r="AS110">
        <f>IF(AND(Y110&lt;&gt;"",'Historical Score'!$C$7&lt;&gt;""),IF(Y110='Historical Score'!$C$7,1,0),0)</f>
        <v/>
      </c>
      <c r="AT110">
        <f>IF(AND(K110&lt;&gt;"",'Historical Score'!$C$8&lt;&gt;""),IF(K110='Historical Score'!$C$8,1,0),0)</f>
        <v/>
      </c>
      <c r="AU110">
        <f>IF(AND(J110&lt;&gt;"",'Historical Score'!$C$9&lt;&gt;""),IF(J110='Historical Score'!$C$9,1,0),0)</f>
        <v/>
      </c>
      <c r="AV110">
        <f>AR110*AS110*AQ110</f>
        <v/>
      </c>
      <c r="AW110">
        <f>AR110*AT110*AQ110</f>
        <v/>
      </c>
      <c r="AX110">
        <f>AR110*AS110</f>
        <v/>
      </c>
      <c r="AY110">
        <f>AR110*AT110</f>
        <v/>
      </c>
      <c r="AZ110">
        <f>AR110*AQ110</f>
        <v/>
      </c>
      <c r="BA110">
        <f>AR110</f>
        <v/>
      </c>
      <c r="BB110">
        <f>1</f>
        <v/>
      </c>
      <c r="BC110">
        <f>IF(AV110=1,1,IF(AW110=1,2,IF(AX110=1,3,IF(AY110=1,4,IF(AZ110=1,5,IF(BA110=1,6,7))))))</f>
        <v/>
      </c>
      <c r="BD110">
        <f>IF(AD110=1,CHOOSE('Historical Score'!$C$29,AV110,AW110,AX110,AY110,AZ110,BA110,BB110),0)</f>
        <v/>
      </c>
      <c r="BE110">
        <f>IF(BD110=1,COUNTIF($BD$2:BD110,1),"")</f>
        <v/>
      </c>
    </row>
    <row r="111">
      <c r="A111" t="inlineStr">
        <is>
          <t>5674158214</t>
        </is>
      </c>
      <c r="B111" t="inlineStr">
        <is>
          <t>KCG LLC</t>
        </is>
      </c>
      <c r="C111" t="inlineStr">
        <is>
          <t>KCG LLC</t>
        </is>
      </c>
      <c r="D111" t="inlineStr">
        <is>
          <t>Closed</t>
        </is>
      </c>
      <c r="E111" s="297" t="n">
        <v>45800</v>
      </c>
      <c r="F111" s="297" t="n">
        <v>45905</v>
      </c>
      <c r="G111" t="n">
        <v>4</v>
      </c>
      <c r="H111" t="inlineStr">
        <is>
          <t>1521</t>
        </is>
      </c>
      <c r="I111" t="inlineStr">
        <is>
          <t>15</t>
        </is>
      </c>
      <c r="J111" t="inlineStr">
        <is>
          <t>No state</t>
        </is>
      </c>
      <c r="K111" t="inlineStr">
        <is>
          <t>Elite Advance 5</t>
        </is>
      </c>
      <c r="L111" t="inlineStr">
        <is>
          <t>New Deal</t>
        </is>
      </c>
      <c r="M111" s="298" t="n">
        <v>1.499</v>
      </c>
      <c r="N111" s="299" t="n">
        <v>7000</v>
      </c>
      <c r="O111" s="299" t="n">
        <v>980</v>
      </c>
      <c r="P111" s="299" t="n">
        <v>10493</v>
      </c>
      <c r="Q111" s="299" t="n">
        <v>10493</v>
      </c>
      <c r="R111" s="299" t="n">
        <v>0</v>
      </c>
      <c r="S111" s="300" t="n">
        <v>1</v>
      </c>
      <c r="T111" t="n">
        <v>2.459</v>
      </c>
      <c r="U111" t="n">
        <v>9</v>
      </c>
      <c r="W111" s="300" t="n">
        <v>0.0229</v>
      </c>
      <c r="X111" s="297" t="n">
        <v>45800</v>
      </c>
      <c r="Y111">
        <f>IF(I111="","No SIC",IFERROR(VLOOKUP(I111,Ref!$A$2:$B$65,2,FALSE),"Unclassified"))</f>
        <v/>
      </c>
      <c r="Z111">
        <f>IF(T111="","",IF(T111&lt;12,"Daily","Weekly"))</f>
        <v/>
      </c>
      <c r="AA111">
        <f>IF(T111="",0,IF(T111&lt;12,T111*Controls!$B$29,T111*5))</f>
        <v/>
      </c>
      <c r="AB111">
        <f>IF(E111="",0,NETWORKDAYS(E111,Controls!$B$36,Ref!$K$2:$K$42))</f>
        <v/>
      </c>
      <c r="AC111">
        <f>IF(AND(AA111&gt;0,AB111&gt;=Controls!$B$39*AA111),1,0)</f>
        <v/>
      </c>
      <c r="AD111">
        <f>IF(AND(E111&lt;&gt;"",E111&gt;=Controls!$B$37,E111&lt;=Controls!$B$38),1,0)</f>
        <v/>
      </c>
      <c r="AE111">
        <f>IF(IFERROR(VLOOKUP(D111,Controls!$A$64:$E$74,2,FALSE),"No")="Yes",1,0)</f>
        <v/>
      </c>
      <c r="AF111">
        <f>IF(IFERROR(VLOOKUP(D111,Controls!$A$64:$E$74,3,FALSE),"No")="Yes",1,0)</f>
        <v/>
      </c>
      <c r="AG111">
        <f>IF(IFERROR(VLOOKUP(D111,Controls!$A$64:$E$74,4,FALSE),"No")="Yes",1,0)</f>
        <v/>
      </c>
      <c r="AH111">
        <f>IF(IFERROR(VLOOKUP(D111,Controls!$A$64:$E$74,5,FALSE),"No")="Yes",1,0)</f>
        <v/>
      </c>
      <c r="AI111">
        <f>IF(ISNUMBER(MATCH(D111,Controls!$A$64:$A$74,0)),1,0)</f>
        <v/>
      </c>
      <c r="AJ111">
        <f>Q111-N111</f>
        <v/>
      </c>
      <c r="AK111">
        <f>IF(AE111=1,MAX(0,N111-Q111),0)</f>
        <v/>
      </c>
      <c r="AL111">
        <f>IF(OR(V111="",V111=0),0,N111/V111)</f>
        <v/>
      </c>
      <c r="AM111">
        <f>IF(OR(V111="",V111=0),0,1)</f>
        <v/>
      </c>
      <c r="AN111">
        <f>IF(OR(E111="",F111=""),0,NETWORKDAYS(E111,F111,Ref!$K$2:$K$42))</f>
        <v/>
      </c>
      <c r="AO111">
        <f>IF(L111="Renewal",1,0)</f>
        <v/>
      </c>
      <c r="AP111">
        <f>AC111*AD111</f>
        <v/>
      </c>
      <c r="AQ111">
        <f>IF(AND(G111&lt;&gt;"",'Historical Score'!$C$6&lt;&gt;""),IF(G111='Historical Score'!$C$6,1,0),0)</f>
        <v/>
      </c>
      <c r="AR111">
        <f>IF(AND(L111&lt;&gt;"",'Historical Score'!$C$5&lt;&gt;""),IF(L111='Historical Score'!$C$5,1,0),0)</f>
        <v/>
      </c>
      <c r="AS111">
        <f>IF(AND(Y111&lt;&gt;"",'Historical Score'!$C$7&lt;&gt;""),IF(Y111='Historical Score'!$C$7,1,0),0)</f>
        <v/>
      </c>
      <c r="AT111">
        <f>IF(AND(K111&lt;&gt;"",'Historical Score'!$C$8&lt;&gt;""),IF(K111='Historical Score'!$C$8,1,0),0)</f>
        <v/>
      </c>
      <c r="AU111">
        <f>IF(AND(J111&lt;&gt;"",'Historical Score'!$C$9&lt;&gt;""),IF(J111='Historical Score'!$C$9,1,0),0)</f>
        <v/>
      </c>
      <c r="AV111">
        <f>AR111*AS111*AQ111</f>
        <v/>
      </c>
      <c r="AW111">
        <f>AR111*AT111*AQ111</f>
        <v/>
      </c>
      <c r="AX111">
        <f>AR111*AS111</f>
        <v/>
      </c>
      <c r="AY111">
        <f>AR111*AT111</f>
        <v/>
      </c>
      <c r="AZ111">
        <f>AR111*AQ111</f>
        <v/>
      </c>
      <c r="BA111">
        <f>AR111</f>
        <v/>
      </c>
      <c r="BB111">
        <f>1</f>
        <v/>
      </c>
      <c r="BC111">
        <f>IF(AV111=1,1,IF(AW111=1,2,IF(AX111=1,3,IF(AY111=1,4,IF(AZ111=1,5,IF(BA111=1,6,7))))))</f>
        <v/>
      </c>
      <c r="BD111">
        <f>IF(AD111=1,CHOOSE('Historical Score'!$C$29,AV111,AW111,AX111,AY111,AZ111,BA111,BB111),0)</f>
        <v/>
      </c>
      <c r="BE111">
        <f>IF(BD111=1,COUNTIF($BD$2:BD111,1),"")</f>
        <v/>
      </c>
    </row>
    <row r="112">
      <c r="A112" t="inlineStr">
        <is>
          <t>5674158234</t>
        </is>
      </c>
      <c r="B112" t="inlineStr">
        <is>
          <t>Synergy Circuits, Inc</t>
        </is>
      </c>
      <c r="C112" t="inlineStr">
        <is>
          <t>Synergy Circuits, Inc.</t>
        </is>
      </c>
      <c r="D112" t="inlineStr">
        <is>
          <t>Closed</t>
        </is>
      </c>
      <c r="E112" s="297" t="n">
        <v>45800</v>
      </c>
      <c r="F112" s="297" t="n">
        <v>45960</v>
      </c>
      <c r="G112" t="n">
        <v>1</v>
      </c>
      <c r="H112" t="inlineStr">
        <is>
          <t>3672</t>
        </is>
      </c>
      <c r="I112" t="inlineStr">
        <is>
          <t>36</t>
        </is>
      </c>
      <c r="J112" t="inlineStr">
        <is>
          <t>No state</t>
        </is>
      </c>
      <c r="K112" t="inlineStr">
        <is>
          <t>GREYSTONE</t>
        </is>
      </c>
      <c r="L112" t="inlineStr">
        <is>
          <t>New Deal</t>
        </is>
      </c>
      <c r="M112" s="298" t="n">
        <v>1.47</v>
      </c>
      <c r="N112" s="299" t="n">
        <v>17500</v>
      </c>
      <c r="O112" s="299" t="n">
        <v>2275</v>
      </c>
      <c r="P112" s="299" t="n">
        <v>25725</v>
      </c>
      <c r="Q112" s="299" t="n">
        <v>25725</v>
      </c>
      <c r="R112" s="299" t="n">
        <v>0</v>
      </c>
      <c r="S112" s="300" t="n">
        <v>1</v>
      </c>
      <c r="T112" t="n">
        <v>20</v>
      </c>
      <c r="U112" t="n">
        <v>3</v>
      </c>
      <c r="W112" s="300" t="n">
        <v>0.07679999999999999</v>
      </c>
      <c r="X112" s="297" t="n">
        <v>45800</v>
      </c>
      <c r="Y112">
        <f>IF(I112="","No SIC",IFERROR(VLOOKUP(I112,Ref!$A$2:$B$65,2,FALSE),"Unclassified"))</f>
        <v/>
      </c>
      <c r="Z112">
        <f>IF(T112="","",IF(T112&lt;12,"Daily","Weekly"))</f>
        <v/>
      </c>
      <c r="AA112">
        <f>IF(T112="",0,IF(T112&lt;12,T112*Controls!$B$29,T112*5))</f>
        <v/>
      </c>
      <c r="AB112">
        <f>IF(E112="",0,NETWORKDAYS(E112,Controls!$B$36,Ref!$K$2:$K$42))</f>
        <v/>
      </c>
      <c r="AC112">
        <f>IF(AND(AA112&gt;0,AB112&gt;=Controls!$B$39*AA112),1,0)</f>
        <v/>
      </c>
      <c r="AD112">
        <f>IF(AND(E112&lt;&gt;"",E112&gt;=Controls!$B$37,E112&lt;=Controls!$B$38),1,0)</f>
        <v/>
      </c>
      <c r="AE112">
        <f>IF(IFERROR(VLOOKUP(D112,Controls!$A$64:$E$74,2,FALSE),"No")="Yes",1,0)</f>
        <v/>
      </c>
      <c r="AF112">
        <f>IF(IFERROR(VLOOKUP(D112,Controls!$A$64:$E$74,3,FALSE),"No")="Yes",1,0)</f>
        <v/>
      </c>
      <c r="AG112">
        <f>IF(IFERROR(VLOOKUP(D112,Controls!$A$64:$E$74,4,FALSE),"No")="Yes",1,0)</f>
        <v/>
      </c>
      <c r="AH112">
        <f>IF(IFERROR(VLOOKUP(D112,Controls!$A$64:$E$74,5,FALSE),"No")="Yes",1,0)</f>
        <v/>
      </c>
      <c r="AI112">
        <f>IF(ISNUMBER(MATCH(D112,Controls!$A$64:$A$74,0)),1,0)</f>
        <v/>
      </c>
      <c r="AJ112">
        <f>Q112-N112</f>
        <v/>
      </c>
      <c r="AK112">
        <f>IF(AE112=1,MAX(0,N112-Q112),0)</f>
        <v/>
      </c>
      <c r="AL112">
        <f>IF(OR(V112="",V112=0),0,N112/V112)</f>
        <v/>
      </c>
      <c r="AM112">
        <f>IF(OR(V112="",V112=0),0,1)</f>
        <v/>
      </c>
      <c r="AN112">
        <f>IF(OR(E112="",F112=""),0,NETWORKDAYS(E112,F112,Ref!$K$2:$K$42))</f>
        <v/>
      </c>
      <c r="AO112">
        <f>IF(L112="Renewal",1,0)</f>
        <v/>
      </c>
      <c r="AP112">
        <f>AC112*AD112</f>
        <v/>
      </c>
      <c r="AQ112">
        <f>IF(AND(G112&lt;&gt;"",'Historical Score'!$C$6&lt;&gt;""),IF(G112='Historical Score'!$C$6,1,0),0)</f>
        <v/>
      </c>
      <c r="AR112">
        <f>IF(AND(L112&lt;&gt;"",'Historical Score'!$C$5&lt;&gt;""),IF(L112='Historical Score'!$C$5,1,0),0)</f>
        <v/>
      </c>
      <c r="AS112">
        <f>IF(AND(Y112&lt;&gt;"",'Historical Score'!$C$7&lt;&gt;""),IF(Y112='Historical Score'!$C$7,1,0),0)</f>
        <v/>
      </c>
      <c r="AT112">
        <f>IF(AND(K112&lt;&gt;"",'Historical Score'!$C$8&lt;&gt;""),IF(K112='Historical Score'!$C$8,1,0),0)</f>
        <v/>
      </c>
      <c r="AU112">
        <f>IF(AND(J112&lt;&gt;"",'Historical Score'!$C$9&lt;&gt;""),IF(J112='Historical Score'!$C$9,1,0),0)</f>
        <v/>
      </c>
      <c r="AV112">
        <f>AR112*AS112*AQ112</f>
        <v/>
      </c>
      <c r="AW112">
        <f>AR112*AT112*AQ112</f>
        <v/>
      </c>
      <c r="AX112">
        <f>AR112*AS112</f>
        <v/>
      </c>
      <c r="AY112">
        <f>AR112*AT112</f>
        <v/>
      </c>
      <c r="AZ112">
        <f>AR112*AQ112</f>
        <v/>
      </c>
      <c r="BA112">
        <f>AR112</f>
        <v/>
      </c>
      <c r="BB112">
        <f>1</f>
        <v/>
      </c>
      <c r="BC112">
        <f>IF(AV112=1,1,IF(AW112=1,2,IF(AX112=1,3,IF(AY112=1,4,IF(AZ112=1,5,IF(BA112=1,6,7))))))</f>
        <v/>
      </c>
      <c r="BD112">
        <f>IF(AD112=1,CHOOSE('Historical Score'!$C$29,AV112,AW112,AX112,AY112,AZ112,BA112,BB112),0)</f>
        <v/>
      </c>
      <c r="BE112">
        <f>IF(BD112=1,COUNTIF($BD$2:BD112,1),"")</f>
        <v/>
      </c>
    </row>
    <row r="113">
      <c r="A113" t="inlineStr">
        <is>
          <t>5674158253</t>
        </is>
      </c>
      <c r="B113" t="inlineStr">
        <is>
          <t>Shoperies NE LLC</t>
        </is>
      </c>
      <c r="C113" t="inlineStr">
        <is>
          <t>Shoperies NE LLC</t>
        </is>
      </c>
      <c r="D113" t="inlineStr">
        <is>
          <t>Closed</t>
        </is>
      </c>
      <c r="E113" s="297" t="n">
        <v>45800</v>
      </c>
      <c r="F113" s="297" t="n">
        <v>45867</v>
      </c>
      <c r="G113" t="n">
        <v>3</v>
      </c>
      <c r="H113" t="inlineStr">
        <is>
          <t>5999</t>
        </is>
      </c>
      <c r="I113" t="inlineStr">
        <is>
          <t>59</t>
        </is>
      </c>
      <c r="J113" t="inlineStr">
        <is>
          <t>No state</t>
        </is>
      </c>
      <c r="K113" t="inlineStr">
        <is>
          <t>Westwood</t>
        </is>
      </c>
      <c r="L113" t="inlineStr">
        <is>
          <t>New Deal</t>
        </is>
      </c>
      <c r="M113" s="298" t="n">
        <v>1.499</v>
      </c>
      <c r="N113" s="299" t="n">
        <v>15000</v>
      </c>
      <c r="O113" s="299" t="n">
        <v>2100</v>
      </c>
      <c r="P113" s="299" t="n">
        <v>22485</v>
      </c>
      <c r="Q113" s="299" t="n">
        <v>22485</v>
      </c>
      <c r="R113" s="299" t="n">
        <v>0</v>
      </c>
      <c r="S113" s="300" t="n">
        <v>1</v>
      </c>
      <c r="T113" t="n">
        <v>2.295</v>
      </c>
      <c r="U113" t="n">
        <v>2</v>
      </c>
      <c r="W113" s="300" t="n">
        <v>0.061</v>
      </c>
      <c r="X113" s="297" t="n">
        <v>45800</v>
      </c>
      <c r="Y113">
        <f>IF(I113="","No SIC",IFERROR(VLOOKUP(I113,Ref!$A$2:$B$65,2,FALSE),"Unclassified"))</f>
        <v/>
      </c>
      <c r="Z113">
        <f>IF(T113="","",IF(T113&lt;12,"Daily","Weekly"))</f>
        <v/>
      </c>
      <c r="AA113">
        <f>IF(T113="",0,IF(T113&lt;12,T113*Controls!$B$29,T113*5))</f>
        <v/>
      </c>
      <c r="AB113">
        <f>IF(E113="",0,NETWORKDAYS(E113,Controls!$B$36,Ref!$K$2:$K$42))</f>
        <v/>
      </c>
      <c r="AC113">
        <f>IF(AND(AA113&gt;0,AB113&gt;=Controls!$B$39*AA113),1,0)</f>
        <v/>
      </c>
      <c r="AD113">
        <f>IF(AND(E113&lt;&gt;"",E113&gt;=Controls!$B$37,E113&lt;=Controls!$B$38),1,0)</f>
        <v/>
      </c>
      <c r="AE113">
        <f>IF(IFERROR(VLOOKUP(D113,Controls!$A$64:$E$74,2,FALSE),"No")="Yes",1,0)</f>
        <v/>
      </c>
      <c r="AF113">
        <f>IF(IFERROR(VLOOKUP(D113,Controls!$A$64:$E$74,3,FALSE),"No")="Yes",1,0)</f>
        <v/>
      </c>
      <c r="AG113">
        <f>IF(IFERROR(VLOOKUP(D113,Controls!$A$64:$E$74,4,FALSE),"No")="Yes",1,0)</f>
        <v/>
      </c>
      <c r="AH113">
        <f>IF(IFERROR(VLOOKUP(D113,Controls!$A$64:$E$74,5,FALSE),"No")="Yes",1,0)</f>
        <v/>
      </c>
      <c r="AI113">
        <f>IF(ISNUMBER(MATCH(D113,Controls!$A$64:$A$74,0)),1,0)</f>
        <v/>
      </c>
      <c r="AJ113">
        <f>Q113-N113</f>
        <v/>
      </c>
      <c r="AK113">
        <f>IF(AE113=1,MAX(0,N113-Q113),0)</f>
        <v/>
      </c>
      <c r="AL113">
        <f>IF(OR(V113="",V113=0),0,N113/V113)</f>
        <v/>
      </c>
      <c r="AM113">
        <f>IF(OR(V113="",V113=0),0,1)</f>
        <v/>
      </c>
      <c r="AN113">
        <f>IF(OR(E113="",F113=""),0,NETWORKDAYS(E113,F113,Ref!$K$2:$K$42))</f>
        <v/>
      </c>
      <c r="AO113">
        <f>IF(L113="Renewal",1,0)</f>
        <v/>
      </c>
      <c r="AP113">
        <f>AC113*AD113</f>
        <v/>
      </c>
      <c r="AQ113">
        <f>IF(AND(G113&lt;&gt;"",'Historical Score'!$C$6&lt;&gt;""),IF(G113='Historical Score'!$C$6,1,0),0)</f>
        <v/>
      </c>
      <c r="AR113">
        <f>IF(AND(L113&lt;&gt;"",'Historical Score'!$C$5&lt;&gt;""),IF(L113='Historical Score'!$C$5,1,0),0)</f>
        <v/>
      </c>
      <c r="AS113">
        <f>IF(AND(Y113&lt;&gt;"",'Historical Score'!$C$7&lt;&gt;""),IF(Y113='Historical Score'!$C$7,1,0),0)</f>
        <v/>
      </c>
      <c r="AT113">
        <f>IF(AND(K113&lt;&gt;"",'Historical Score'!$C$8&lt;&gt;""),IF(K113='Historical Score'!$C$8,1,0),0)</f>
        <v/>
      </c>
      <c r="AU113">
        <f>IF(AND(J113&lt;&gt;"",'Historical Score'!$C$9&lt;&gt;""),IF(J113='Historical Score'!$C$9,1,0),0)</f>
        <v/>
      </c>
      <c r="AV113">
        <f>AR113*AS113*AQ113</f>
        <v/>
      </c>
      <c r="AW113">
        <f>AR113*AT113*AQ113</f>
        <v/>
      </c>
      <c r="AX113">
        <f>AR113*AS113</f>
        <v/>
      </c>
      <c r="AY113">
        <f>AR113*AT113</f>
        <v/>
      </c>
      <c r="AZ113">
        <f>AR113*AQ113</f>
        <v/>
      </c>
      <c r="BA113">
        <f>AR113</f>
        <v/>
      </c>
      <c r="BB113">
        <f>1</f>
        <v/>
      </c>
      <c r="BC113">
        <f>IF(AV113=1,1,IF(AW113=1,2,IF(AX113=1,3,IF(AY113=1,4,IF(AZ113=1,5,IF(BA113=1,6,7))))))</f>
        <v/>
      </c>
      <c r="BD113">
        <f>IF(AD113=1,CHOOSE('Historical Score'!$C$29,AV113,AW113,AX113,AY113,AZ113,BA113,BB113),0)</f>
        <v/>
      </c>
      <c r="BE113">
        <f>IF(BD113=1,COUNTIF($BD$2:BD113,1),"")</f>
        <v/>
      </c>
    </row>
    <row r="114">
      <c r="A114" t="inlineStr">
        <is>
          <t>5674158274</t>
        </is>
      </c>
      <c r="B114" t="inlineStr">
        <is>
          <t>S&amp;E ENTERPRISE LLC</t>
        </is>
      </c>
      <c r="C114" t="inlineStr">
        <is>
          <t>S&amp;E ENTERPRISE LLC</t>
        </is>
      </c>
      <c r="D114" t="inlineStr">
        <is>
          <t>Closed</t>
        </is>
      </c>
      <c r="E114" s="297" t="n">
        <v>45804</v>
      </c>
      <c r="F114" s="297" t="n">
        <v>45894</v>
      </c>
      <c r="G114" t="n">
        <v>2</v>
      </c>
      <c r="H114" t="inlineStr">
        <is>
          <t>1622</t>
        </is>
      </c>
      <c r="I114" t="inlineStr">
        <is>
          <t>16</t>
        </is>
      </c>
      <c r="J114" t="inlineStr">
        <is>
          <t>No state</t>
        </is>
      </c>
      <c r="K114" t="inlineStr">
        <is>
          <t>Triumph Cap Fund</t>
        </is>
      </c>
      <c r="L114" t="inlineStr">
        <is>
          <t>Renewal</t>
        </is>
      </c>
      <c r="M114" s="298" t="n">
        <v>1.49</v>
      </c>
      <c r="N114" s="299" t="n">
        <v>27000</v>
      </c>
      <c r="O114" s="299" t="n">
        <v>3780</v>
      </c>
      <c r="P114" s="299" t="n">
        <v>40230</v>
      </c>
      <c r="Q114" s="299" t="n">
        <v>40230</v>
      </c>
      <c r="R114" s="299" t="n">
        <v>0</v>
      </c>
      <c r="S114" s="300" t="n">
        <v>1</v>
      </c>
      <c r="T114" t="n">
        <v>3.279</v>
      </c>
      <c r="U114" t="n">
        <v>4</v>
      </c>
      <c r="W114" s="300" t="n">
        <v>0.2408</v>
      </c>
      <c r="X114" s="297" t="n">
        <v>45804</v>
      </c>
      <c r="Y114">
        <f>IF(I114="","No SIC",IFERROR(VLOOKUP(I114,Ref!$A$2:$B$65,2,FALSE),"Unclassified"))</f>
        <v/>
      </c>
      <c r="Z114">
        <f>IF(T114="","",IF(T114&lt;12,"Daily","Weekly"))</f>
        <v/>
      </c>
      <c r="AA114">
        <f>IF(T114="",0,IF(T114&lt;12,T114*Controls!$B$29,T114*5))</f>
        <v/>
      </c>
      <c r="AB114">
        <f>IF(E114="",0,NETWORKDAYS(E114,Controls!$B$36,Ref!$K$2:$K$42))</f>
        <v/>
      </c>
      <c r="AC114">
        <f>IF(AND(AA114&gt;0,AB114&gt;=Controls!$B$39*AA114),1,0)</f>
        <v/>
      </c>
      <c r="AD114">
        <f>IF(AND(E114&lt;&gt;"",E114&gt;=Controls!$B$37,E114&lt;=Controls!$B$38),1,0)</f>
        <v/>
      </c>
      <c r="AE114">
        <f>IF(IFERROR(VLOOKUP(D114,Controls!$A$64:$E$74,2,FALSE),"No")="Yes",1,0)</f>
        <v/>
      </c>
      <c r="AF114">
        <f>IF(IFERROR(VLOOKUP(D114,Controls!$A$64:$E$74,3,FALSE),"No")="Yes",1,0)</f>
        <v/>
      </c>
      <c r="AG114">
        <f>IF(IFERROR(VLOOKUP(D114,Controls!$A$64:$E$74,4,FALSE),"No")="Yes",1,0)</f>
        <v/>
      </c>
      <c r="AH114">
        <f>IF(IFERROR(VLOOKUP(D114,Controls!$A$64:$E$74,5,FALSE),"No")="Yes",1,0)</f>
        <v/>
      </c>
      <c r="AI114">
        <f>IF(ISNUMBER(MATCH(D114,Controls!$A$64:$A$74,0)),1,0)</f>
        <v/>
      </c>
      <c r="AJ114">
        <f>Q114-N114</f>
        <v/>
      </c>
      <c r="AK114">
        <f>IF(AE114=1,MAX(0,N114-Q114),0)</f>
        <v/>
      </c>
      <c r="AL114">
        <f>IF(OR(V114="",V114=0),0,N114/V114)</f>
        <v/>
      </c>
      <c r="AM114">
        <f>IF(OR(V114="",V114=0),0,1)</f>
        <v/>
      </c>
      <c r="AN114">
        <f>IF(OR(E114="",F114=""),0,NETWORKDAYS(E114,F114,Ref!$K$2:$K$42))</f>
        <v/>
      </c>
      <c r="AO114">
        <f>IF(L114="Renewal",1,0)</f>
        <v/>
      </c>
      <c r="AP114">
        <f>AC114*AD114</f>
        <v/>
      </c>
      <c r="AQ114">
        <f>IF(AND(G114&lt;&gt;"",'Historical Score'!$C$6&lt;&gt;""),IF(G114='Historical Score'!$C$6,1,0),0)</f>
        <v/>
      </c>
      <c r="AR114">
        <f>IF(AND(L114&lt;&gt;"",'Historical Score'!$C$5&lt;&gt;""),IF(L114='Historical Score'!$C$5,1,0),0)</f>
        <v/>
      </c>
      <c r="AS114">
        <f>IF(AND(Y114&lt;&gt;"",'Historical Score'!$C$7&lt;&gt;""),IF(Y114='Historical Score'!$C$7,1,0),0)</f>
        <v/>
      </c>
      <c r="AT114">
        <f>IF(AND(K114&lt;&gt;"",'Historical Score'!$C$8&lt;&gt;""),IF(K114='Historical Score'!$C$8,1,0),0)</f>
        <v/>
      </c>
      <c r="AU114">
        <f>IF(AND(J114&lt;&gt;"",'Historical Score'!$C$9&lt;&gt;""),IF(J114='Historical Score'!$C$9,1,0),0)</f>
        <v/>
      </c>
      <c r="AV114">
        <f>AR114*AS114*AQ114</f>
        <v/>
      </c>
      <c r="AW114">
        <f>AR114*AT114*AQ114</f>
        <v/>
      </c>
      <c r="AX114">
        <f>AR114*AS114</f>
        <v/>
      </c>
      <c r="AY114">
        <f>AR114*AT114</f>
        <v/>
      </c>
      <c r="AZ114">
        <f>AR114*AQ114</f>
        <v/>
      </c>
      <c r="BA114">
        <f>AR114</f>
        <v/>
      </c>
      <c r="BB114">
        <f>1</f>
        <v/>
      </c>
      <c r="BC114">
        <f>IF(AV114=1,1,IF(AW114=1,2,IF(AX114=1,3,IF(AY114=1,4,IF(AZ114=1,5,IF(BA114=1,6,7))))))</f>
        <v/>
      </c>
      <c r="BD114">
        <f>IF(AD114=1,CHOOSE('Historical Score'!$C$29,AV114,AW114,AX114,AY114,AZ114,BA114,BB114),0)</f>
        <v/>
      </c>
      <c r="BE114">
        <f>IF(BD114=1,COUNTIF($BD$2:BD114,1),"")</f>
        <v/>
      </c>
    </row>
    <row r="115">
      <c r="A115" t="inlineStr">
        <is>
          <t>5674158299</t>
        </is>
      </c>
      <c r="B115" t="inlineStr">
        <is>
          <t>Boston's Good Eatz &amp; Caribbean Treatz</t>
        </is>
      </c>
      <c r="C115" t="inlineStr">
        <is>
          <t>Boston's Good Eatz &amp; Carribean Treatz</t>
        </is>
      </c>
      <c r="D115" t="inlineStr">
        <is>
          <t>Legal</t>
        </is>
      </c>
      <c r="E115" s="297" t="n">
        <v>45804</v>
      </c>
      <c r="F115" s="297" t="n">
        <v>45999</v>
      </c>
      <c r="G115" t="n">
        <v>4</v>
      </c>
      <c r="H115" t="inlineStr">
        <is>
          <t>5812</t>
        </is>
      </c>
      <c r="I115" t="inlineStr">
        <is>
          <t>58</t>
        </is>
      </c>
      <c r="J115" t="inlineStr">
        <is>
          <t>No state</t>
        </is>
      </c>
      <c r="K115" t="inlineStr">
        <is>
          <t>Fundible</t>
        </is>
      </c>
      <c r="L115" t="inlineStr">
        <is>
          <t>New Deal</t>
        </is>
      </c>
      <c r="M115" s="298" t="n">
        <v>1.5</v>
      </c>
      <c r="N115" s="299" t="n">
        <v>5000</v>
      </c>
      <c r="O115" s="299" t="n">
        <v>700</v>
      </c>
      <c r="P115" s="299" t="n">
        <v>7500</v>
      </c>
      <c r="Q115" s="299" t="n">
        <v>2772.36</v>
      </c>
      <c r="R115" s="299" t="n">
        <v>4727.64</v>
      </c>
      <c r="S115" s="300" t="n">
        <v>0.369648</v>
      </c>
      <c r="T115" t="n">
        <v>2.295</v>
      </c>
      <c r="U115" t="n">
        <v>23</v>
      </c>
      <c r="W115" s="300" t="n">
        <v>0.06370000000000001</v>
      </c>
      <c r="X115" s="297" t="n">
        <v>45804</v>
      </c>
      <c r="Y115">
        <f>IF(I115="","No SIC",IFERROR(VLOOKUP(I115,Ref!$A$2:$B$65,2,FALSE),"Unclassified"))</f>
        <v/>
      </c>
      <c r="Z115">
        <f>IF(T115="","",IF(T115&lt;12,"Daily","Weekly"))</f>
        <v/>
      </c>
      <c r="AA115">
        <f>IF(T115="",0,IF(T115&lt;12,T115*Controls!$B$29,T115*5))</f>
        <v/>
      </c>
      <c r="AB115">
        <f>IF(E115="",0,NETWORKDAYS(E115,Controls!$B$36,Ref!$K$2:$K$42))</f>
        <v/>
      </c>
      <c r="AC115">
        <f>IF(AND(AA115&gt;0,AB115&gt;=Controls!$B$39*AA115),1,0)</f>
        <v/>
      </c>
      <c r="AD115">
        <f>IF(AND(E115&lt;&gt;"",E115&gt;=Controls!$B$37,E115&lt;=Controls!$B$38),1,0)</f>
        <v/>
      </c>
      <c r="AE115">
        <f>IF(IFERROR(VLOOKUP(D115,Controls!$A$64:$E$74,2,FALSE),"No")="Yes",1,0)</f>
        <v/>
      </c>
      <c r="AF115">
        <f>IF(IFERROR(VLOOKUP(D115,Controls!$A$64:$E$74,3,FALSE),"No")="Yes",1,0)</f>
        <v/>
      </c>
      <c r="AG115">
        <f>IF(IFERROR(VLOOKUP(D115,Controls!$A$64:$E$74,4,FALSE),"No")="Yes",1,0)</f>
        <v/>
      </c>
      <c r="AH115">
        <f>IF(IFERROR(VLOOKUP(D115,Controls!$A$64:$E$74,5,FALSE),"No")="Yes",1,0)</f>
        <v/>
      </c>
      <c r="AI115">
        <f>IF(ISNUMBER(MATCH(D115,Controls!$A$64:$A$74,0)),1,0)</f>
        <v/>
      </c>
      <c r="AJ115">
        <f>Q115-N115</f>
        <v/>
      </c>
      <c r="AK115">
        <f>IF(AE115=1,MAX(0,N115-Q115),0)</f>
        <v/>
      </c>
      <c r="AL115">
        <f>IF(OR(V115="",V115=0),0,N115/V115)</f>
        <v/>
      </c>
      <c r="AM115">
        <f>IF(OR(V115="",V115=0),0,1)</f>
        <v/>
      </c>
      <c r="AN115">
        <f>IF(OR(E115="",F115=""),0,NETWORKDAYS(E115,F115,Ref!$K$2:$K$42))</f>
        <v/>
      </c>
      <c r="AO115">
        <f>IF(L115="Renewal",1,0)</f>
        <v/>
      </c>
      <c r="AP115">
        <f>AC115*AD115</f>
        <v/>
      </c>
      <c r="AQ115">
        <f>IF(AND(G115&lt;&gt;"",'Historical Score'!$C$6&lt;&gt;""),IF(G115='Historical Score'!$C$6,1,0),0)</f>
        <v/>
      </c>
      <c r="AR115">
        <f>IF(AND(L115&lt;&gt;"",'Historical Score'!$C$5&lt;&gt;""),IF(L115='Historical Score'!$C$5,1,0),0)</f>
        <v/>
      </c>
      <c r="AS115">
        <f>IF(AND(Y115&lt;&gt;"",'Historical Score'!$C$7&lt;&gt;""),IF(Y115='Historical Score'!$C$7,1,0),0)</f>
        <v/>
      </c>
      <c r="AT115">
        <f>IF(AND(K115&lt;&gt;"",'Historical Score'!$C$8&lt;&gt;""),IF(K115='Historical Score'!$C$8,1,0),0)</f>
        <v/>
      </c>
      <c r="AU115">
        <f>IF(AND(J115&lt;&gt;"",'Historical Score'!$C$9&lt;&gt;""),IF(J115='Historical Score'!$C$9,1,0),0)</f>
        <v/>
      </c>
      <c r="AV115">
        <f>AR115*AS115*AQ115</f>
        <v/>
      </c>
      <c r="AW115">
        <f>AR115*AT115*AQ115</f>
        <v/>
      </c>
      <c r="AX115">
        <f>AR115*AS115</f>
        <v/>
      </c>
      <c r="AY115">
        <f>AR115*AT115</f>
        <v/>
      </c>
      <c r="AZ115">
        <f>AR115*AQ115</f>
        <v/>
      </c>
      <c r="BA115">
        <f>AR115</f>
        <v/>
      </c>
      <c r="BB115">
        <f>1</f>
        <v/>
      </c>
      <c r="BC115">
        <f>IF(AV115=1,1,IF(AW115=1,2,IF(AX115=1,3,IF(AY115=1,4,IF(AZ115=1,5,IF(BA115=1,6,7))))))</f>
        <v/>
      </c>
      <c r="BD115">
        <f>IF(AD115=1,CHOOSE('Historical Score'!$C$29,AV115,AW115,AX115,AY115,AZ115,BA115,BB115),0)</f>
        <v/>
      </c>
      <c r="BE115">
        <f>IF(BD115=1,COUNTIF($BD$2:BD115,1),"")</f>
        <v/>
      </c>
    </row>
    <row r="116">
      <c r="A116" t="inlineStr">
        <is>
          <t>5674158307</t>
        </is>
      </c>
      <c r="B116" t="inlineStr">
        <is>
          <t>Wig world</t>
        </is>
      </c>
      <c r="C116" t="inlineStr">
        <is>
          <t>GLAMSTYLUX LLC</t>
        </is>
      </c>
      <c r="D116" t="inlineStr">
        <is>
          <t>Written-Off</t>
        </is>
      </c>
      <c r="E116" s="297" t="n">
        <v>45804</v>
      </c>
      <c r="F116" s="297" t="n">
        <v>45898</v>
      </c>
      <c r="G116" t="n">
        <v>2</v>
      </c>
      <c r="H116" t="inlineStr">
        <is>
          <t>7231</t>
        </is>
      </c>
      <c r="I116" t="inlineStr">
        <is>
          <t>72</t>
        </is>
      </c>
      <c r="J116" t="inlineStr">
        <is>
          <t>No state</t>
        </is>
      </c>
      <c r="K116" t="inlineStr">
        <is>
          <t>Viking Funding LLC</t>
        </is>
      </c>
      <c r="L116" t="inlineStr">
        <is>
          <t>New Deal</t>
        </is>
      </c>
      <c r="M116" s="298" t="n">
        <v>1.499</v>
      </c>
      <c r="N116" s="299" t="n">
        <v>5000</v>
      </c>
      <c r="O116" s="299" t="n">
        <v>700</v>
      </c>
      <c r="P116" s="299" t="n">
        <v>7495</v>
      </c>
      <c r="Q116" s="299" t="n">
        <v>2159.67</v>
      </c>
      <c r="R116" s="299" t="n">
        <v>5335.33</v>
      </c>
      <c r="S116" s="300" t="n">
        <v>0.288148098732488</v>
      </c>
      <c r="T116" t="n">
        <v>1.967</v>
      </c>
      <c r="U116" t="n">
        <v>22</v>
      </c>
      <c r="W116" s="300" t="n">
        <v>0.1145</v>
      </c>
      <c r="X116" s="297" t="n">
        <v>45804</v>
      </c>
      <c r="Y116">
        <f>IF(I116="","No SIC",IFERROR(VLOOKUP(I116,Ref!$A$2:$B$65,2,FALSE),"Unclassified"))</f>
        <v/>
      </c>
      <c r="Z116">
        <f>IF(T116="","",IF(T116&lt;12,"Daily","Weekly"))</f>
        <v/>
      </c>
      <c r="AA116">
        <f>IF(T116="",0,IF(T116&lt;12,T116*Controls!$B$29,T116*5))</f>
        <v/>
      </c>
      <c r="AB116">
        <f>IF(E116="",0,NETWORKDAYS(E116,Controls!$B$36,Ref!$K$2:$K$42))</f>
        <v/>
      </c>
      <c r="AC116">
        <f>IF(AND(AA116&gt;0,AB116&gt;=Controls!$B$39*AA116),1,0)</f>
        <v/>
      </c>
      <c r="AD116">
        <f>IF(AND(E116&lt;&gt;"",E116&gt;=Controls!$B$37,E116&lt;=Controls!$B$38),1,0)</f>
        <v/>
      </c>
      <c r="AE116">
        <f>IF(IFERROR(VLOOKUP(D116,Controls!$A$64:$E$74,2,FALSE),"No")="Yes",1,0)</f>
        <v/>
      </c>
      <c r="AF116">
        <f>IF(IFERROR(VLOOKUP(D116,Controls!$A$64:$E$74,3,FALSE),"No")="Yes",1,0)</f>
        <v/>
      </c>
      <c r="AG116">
        <f>IF(IFERROR(VLOOKUP(D116,Controls!$A$64:$E$74,4,FALSE),"No")="Yes",1,0)</f>
        <v/>
      </c>
      <c r="AH116">
        <f>IF(IFERROR(VLOOKUP(D116,Controls!$A$64:$E$74,5,FALSE),"No")="Yes",1,0)</f>
        <v/>
      </c>
      <c r="AI116">
        <f>IF(ISNUMBER(MATCH(D116,Controls!$A$64:$A$74,0)),1,0)</f>
        <v/>
      </c>
      <c r="AJ116">
        <f>Q116-N116</f>
        <v/>
      </c>
      <c r="AK116">
        <f>IF(AE116=1,MAX(0,N116-Q116),0)</f>
        <v/>
      </c>
      <c r="AL116">
        <f>IF(OR(V116="",V116=0),0,N116/V116)</f>
        <v/>
      </c>
      <c r="AM116">
        <f>IF(OR(V116="",V116=0),0,1)</f>
        <v/>
      </c>
      <c r="AN116">
        <f>IF(OR(E116="",F116=""),0,NETWORKDAYS(E116,F116,Ref!$K$2:$K$42))</f>
        <v/>
      </c>
      <c r="AO116">
        <f>IF(L116="Renewal",1,0)</f>
        <v/>
      </c>
      <c r="AP116">
        <f>AC116*AD116</f>
        <v/>
      </c>
      <c r="AQ116">
        <f>IF(AND(G116&lt;&gt;"",'Historical Score'!$C$6&lt;&gt;""),IF(G116='Historical Score'!$C$6,1,0),0)</f>
        <v/>
      </c>
      <c r="AR116">
        <f>IF(AND(L116&lt;&gt;"",'Historical Score'!$C$5&lt;&gt;""),IF(L116='Historical Score'!$C$5,1,0),0)</f>
        <v/>
      </c>
      <c r="AS116">
        <f>IF(AND(Y116&lt;&gt;"",'Historical Score'!$C$7&lt;&gt;""),IF(Y116='Historical Score'!$C$7,1,0),0)</f>
        <v/>
      </c>
      <c r="AT116">
        <f>IF(AND(K116&lt;&gt;"",'Historical Score'!$C$8&lt;&gt;""),IF(K116='Historical Score'!$C$8,1,0),0)</f>
        <v/>
      </c>
      <c r="AU116">
        <f>IF(AND(J116&lt;&gt;"",'Historical Score'!$C$9&lt;&gt;""),IF(J116='Historical Score'!$C$9,1,0),0)</f>
        <v/>
      </c>
      <c r="AV116">
        <f>AR116*AS116*AQ116</f>
        <v/>
      </c>
      <c r="AW116">
        <f>AR116*AT116*AQ116</f>
        <v/>
      </c>
      <c r="AX116">
        <f>AR116*AS116</f>
        <v/>
      </c>
      <c r="AY116">
        <f>AR116*AT116</f>
        <v/>
      </c>
      <c r="AZ116">
        <f>AR116*AQ116</f>
        <v/>
      </c>
      <c r="BA116">
        <f>AR116</f>
        <v/>
      </c>
      <c r="BB116">
        <f>1</f>
        <v/>
      </c>
      <c r="BC116">
        <f>IF(AV116=1,1,IF(AW116=1,2,IF(AX116=1,3,IF(AY116=1,4,IF(AZ116=1,5,IF(BA116=1,6,7))))))</f>
        <v/>
      </c>
      <c r="BD116">
        <f>IF(AD116=1,CHOOSE('Historical Score'!$C$29,AV116,AW116,AX116,AY116,AZ116,BA116,BB116),0)</f>
        <v/>
      </c>
      <c r="BE116">
        <f>IF(BD116=1,COUNTIF($BD$2:BD116,1),"")</f>
        <v/>
      </c>
    </row>
    <row r="117">
      <c r="A117" t="inlineStr">
        <is>
          <t>5674158319</t>
        </is>
      </c>
      <c r="B117" t="inlineStr">
        <is>
          <t>M. Delaney LLC</t>
        </is>
      </c>
      <c r="C117" t="inlineStr">
        <is>
          <t>M. Delaney LLC</t>
        </is>
      </c>
      <c r="D117" t="inlineStr">
        <is>
          <t>Closed</t>
        </is>
      </c>
      <c r="E117" s="297" t="n">
        <v>45804</v>
      </c>
      <c r="F117" s="297" t="n">
        <v>45884</v>
      </c>
      <c r="G117" t="n">
        <v>3</v>
      </c>
      <c r="H117" t="inlineStr">
        <is>
          <t>5812</t>
        </is>
      </c>
      <c r="I117" t="inlineStr">
        <is>
          <t>58</t>
        </is>
      </c>
      <c r="J117" t="inlineStr">
        <is>
          <t>No state</t>
        </is>
      </c>
      <c r="K117" t="inlineStr">
        <is>
          <t>Llama Loan</t>
        </is>
      </c>
      <c r="L117" t="inlineStr">
        <is>
          <t>New Deal</t>
        </is>
      </c>
      <c r="M117" s="298" t="n">
        <v>1.43</v>
      </c>
      <c r="N117" s="299" t="n">
        <v>12000</v>
      </c>
      <c r="O117" s="299" t="n">
        <v>1320</v>
      </c>
      <c r="P117" s="299" t="n">
        <v>17160</v>
      </c>
      <c r="Q117" s="299" t="n">
        <v>17160</v>
      </c>
      <c r="R117" s="299" t="n">
        <v>0</v>
      </c>
      <c r="S117" s="300" t="n">
        <v>1</v>
      </c>
      <c r="T117" t="n">
        <v>3.115</v>
      </c>
      <c r="U117" t="n">
        <v>0</v>
      </c>
      <c r="W117" s="300" t="n">
        <v>0.0732</v>
      </c>
      <c r="X117" s="297" t="n">
        <v>45804</v>
      </c>
      <c r="Y117">
        <f>IF(I117="","No SIC",IFERROR(VLOOKUP(I117,Ref!$A$2:$B$65,2,FALSE),"Unclassified"))</f>
        <v/>
      </c>
      <c r="Z117">
        <f>IF(T117="","",IF(T117&lt;12,"Daily","Weekly"))</f>
        <v/>
      </c>
      <c r="AA117">
        <f>IF(T117="",0,IF(T117&lt;12,T117*Controls!$B$29,T117*5))</f>
        <v/>
      </c>
      <c r="AB117">
        <f>IF(E117="",0,NETWORKDAYS(E117,Controls!$B$36,Ref!$K$2:$K$42))</f>
        <v/>
      </c>
      <c r="AC117">
        <f>IF(AND(AA117&gt;0,AB117&gt;=Controls!$B$39*AA117),1,0)</f>
        <v/>
      </c>
      <c r="AD117">
        <f>IF(AND(E117&lt;&gt;"",E117&gt;=Controls!$B$37,E117&lt;=Controls!$B$38),1,0)</f>
        <v/>
      </c>
      <c r="AE117">
        <f>IF(IFERROR(VLOOKUP(D117,Controls!$A$64:$E$74,2,FALSE),"No")="Yes",1,0)</f>
        <v/>
      </c>
      <c r="AF117">
        <f>IF(IFERROR(VLOOKUP(D117,Controls!$A$64:$E$74,3,FALSE),"No")="Yes",1,0)</f>
        <v/>
      </c>
      <c r="AG117">
        <f>IF(IFERROR(VLOOKUP(D117,Controls!$A$64:$E$74,4,FALSE),"No")="Yes",1,0)</f>
        <v/>
      </c>
      <c r="AH117">
        <f>IF(IFERROR(VLOOKUP(D117,Controls!$A$64:$E$74,5,FALSE),"No")="Yes",1,0)</f>
        <v/>
      </c>
      <c r="AI117">
        <f>IF(ISNUMBER(MATCH(D117,Controls!$A$64:$A$74,0)),1,0)</f>
        <v/>
      </c>
      <c r="AJ117">
        <f>Q117-N117</f>
        <v/>
      </c>
      <c r="AK117">
        <f>IF(AE117=1,MAX(0,N117-Q117),0)</f>
        <v/>
      </c>
      <c r="AL117">
        <f>IF(OR(V117="",V117=0),0,N117/V117)</f>
        <v/>
      </c>
      <c r="AM117">
        <f>IF(OR(V117="",V117=0),0,1)</f>
        <v/>
      </c>
      <c r="AN117">
        <f>IF(OR(E117="",F117=""),0,NETWORKDAYS(E117,F117,Ref!$K$2:$K$42))</f>
        <v/>
      </c>
      <c r="AO117">
        <f>IF(L117="Renewal",1,0)</f>
        <v/>
      </c>
      <c r="AP117">
        <f>AC117*AD117</f>
        <v/>
      </c>
      <c r="AQ117">
        <f>IF(AND(G117&lt;&gt;"",'Historical Score'!$C$6&lt;&gt;""),IF(G117='Historical Score'!$C$6,1,0),0)</f>
        <v/>
      </c>
      <c r="AR117">
        <f>IF(AND(L117&lt;&gt;"",'Historical Score'!$C$5&lt;&gt;""),IF(L117='Historical Score'!$C$5,1,0),0)</f>
        <v/>
      </c>
      <c r="AS117">
        <f>IF(AND(Y117&lt;&gt;"",'Historical Score'!$C$7&lt;&gt;""),IF(Y117='Historical Score'!$C$7,1,0),0)</f>
        <v/>
      </c>
      <c r="AT117">
        <f>IF(AND(K117&lt;&gt;"",'Historical Score'!$C$8&lt;&gt;""),IF(K117='Historical Score'!$C$8,1,0),0)</f>
        <v/>
      </c>
      <c r="AU117">
        <f>IF(AND(J117&lt;&gt;"",'Historical Score'!$C$9&lt;&gt;""),IF(J117='Historical Score'!$C$9,1,0),0)</f>
        <v/>
      </c>
      <c r="AV117">
        <f>AR117*AS117*AQ117</f>
        <v/>
      </c>
      <c r="AW117">
        <f>AR117*AT117*AQ117</f>
        <v/>
      </c>
      <c r="AX117">
        <f>AR117*AS117</f>
        <v/>
      </c>
      <c r="AY117">
        <f>AR117*AT117</f>
        <v/>
      </c>
      <c r="AZ117">
        <f>AR117*AQ117</f>
        <v/>
      </c>
      <c r="BA117">
        <f>AR117</f>
        <v/>
      </c>
      <c r="BB117">
        <f>1</f>
        <v/>
      </c>
      <c r="BC117">
        <f>IF(AV117=1,1,IF(AW117=1,2,IF(AX117=1,3,IF(AY117=1,4,IF(AZ117=1,5,IF(BA117=1,6,7))))))</f>
        <v/>
      </c>
      <c r="BD117">
        <f>IF(AD117=1,CHOOSE('Historical Score'!$C$29,AV117,AW117,AX117,AY117,AZ117,BA117,BB117),0)</f>
        <v/>
      </c>
      <c r="BE117">
        <f>IF(BD117=1,COUNTIF($BD$2:BD117,1),"")</f>
        <v/>
      </c>
    </row>
    <row r="118">
      <c r="A118" t="inlineStr">
        <is>
          <t>5674158406</t>
        </is>
      </c>
      <c r="B118" t="inlineStr">
        <is>
          <t>Gordos tacos 9015 e via linda</t>
        </is>
      </c>
      <c r="C118" t="inlineStr">
        <is>
          <t>Twins creative Mexican food llc</t>
        </is>
      </c>
      <c r="D118" t="inlineStr">
        <is>
          <t>Closed</t>
        </is>
      </c>
      <c r="E118" s="297" t="n">
        <v>45805</v>
      </c>
      <c r="F118" s="297" t="n">
        <v>45925</v>
      </c>
      <c r="G118" t="n">
        <v>3</v>
      </c>
      <c r="H118" t="inlineStr">
        <is>
          <t>5812</t>
        </is>
      </c>
      <c r="I118" t="inlineStr">
        <is>
          <t>58</t>
        </is>
      </c>
      <c r="J118" t="inlineStr">
        <is>
          <t>No state</t>
        </is>
      </c>
      <c r="K118" t="inlineStr">
        <is>
          <t>PMF</t>
        </is>
      </c>
      <c r="L118" t="inlineStr">
        <is>
          <t>New Deal</t>
        </is>
      </c>
      <c r="M118" s="298" t="n">
        <v>1.37</v>
      </c>
      <c r="N118" s="299" t="n">
        <v>21000</v>
      </c>
      <c r="O118" s="299" t="n">
        <v>1680</v>
      </c>
      <c r="P118" s="299" t="n">
        <v>28770</v>
      </c>
      <c r="Q118" s="299" t="n">
        <v>28770</v>
      </c>
      <c r="R118" s="299" t="n">
        <v>3.63797880709171e-12</v>
      </c>
      <c r="S118" s="300" t="n">
        <v>1</v>
      </c>
      <c r="T118" t="n">
        <v>4.525</v>
      </c>
      <c r="U118" t="n">
        <v>0</v>
      </c>
      <c r="W118" s="300" t="n">
        <v>0.0471</v>
      </c>
      <c r="X118" s="297" t="n">
        <v>45805</v>
      </c>
      <c r="Y118">
        <f>IF(I118="","No SIC",IFERROR(VLOOKUP(I118,Ref!$A$2:$B$65,2,FALSE),"Unclassified"))</f>
        <v/>
      </c>
      <c r="Z118">
        <f>IF(T118="","",IF(T118&lt;12,"Daily","Weekly"))</f>
        <v/>
      </c>
      <c r="AA118">
        <f>IF(T118="",0,IF(T118&lt;12,T118*Controls!$B$29,T118*5))</f>
        <v/>
      </c>
      <c r="AB118">
        <f>IF(E118="",0,NETWORKDAYS(E118,Controls!$B$36,Ref!$K$2:$K$42))</f>
        <v/>
      </c>
      <c r="AC118">
        <f>IF(AND(AA118&gt;0,AB118&gt;=Controls!$B$39*AA118),1,0)</f>
        <v/>
      </c>
      <c r="AD118">
        <f>IF(AND(E118&lt;&gt;"",E118&gt;=Controls!$B$37,E118&lt;=Controls!$B$38),1,0)</f>
        <v/>
      </c>
      <c r="AE118">
        <f>IF(IFERROR(VLOOKUP(D118,Controls!$A$64:$E$74,2,FALSE),"No")="Yes",1,0)</f>
        <v/>
      </c>
      <c r="AF118">
        <f>IF(IFERROR(VLOOKUP(D118,Controls!$A$64:$E$74,3,FALSE),"No")="Yes",1,0)</f>
        <v/>
      </c>
      <c r="AG118">
        <f>IF(IFERROR(VLOOKUP(D118,Controls!$A$64:$E$74,4,FALSE),"No")="Yes",1,0)</f>
        <v/>
      </c>
      <c r="AH118">
        <f>IF(IFERROR(VLOOKUP(D118,Controls!$A$64:$E$74,5,FALSE),"No")="Yes",1,0)</f>
        <v/>
      </c>
      <c r="AI118">
        <f>IF(ISNUMBER(MATCH(D118,Controls!$A$64:$A$74,0)),1,0)</f>
        <v/>
      </c>
      <c r="AJ118">
        <f>Q118-N118</f>
        <v/>
      </c>
      <c r="AK118">
        <f>IF(AE118=1,MAX(0,N118-Q118),0)</f>
        <v/>
      </c>
      <c r="AL118">
        <f>IF(OR(V118="",V118=0),0,N118/V118)</f>
        <v/>
      </c>
      <c r="AM118">
        <f>IF(OR(V118="",V118=0),0,1)</f>
        <v/>
      </c>
      <c r="AN118">
        <f>IF(OR(E118="",F118=""),0,NETWORKDAYS(E118,F118,Ref!$K$2:$K$42))</f>
        <v/>
      </c>
      <c r="AO118">
        <f>IF(L118="Renewal",1,0)</f>
        <v/>
      </c>
      <c r="AP118">
        <f>AC118*AD118</f>
        <v/>
      </c>
      <c r="AQ118">
        <f>IF(AND(G118&lt;&gt;"",'Historical Score'!$C$6&lt;&gt;""),IF(G118='Historical Score'!$C$6,1,0),0)</f>
        <v/>
      </c>
      <c r="AR118">
        <f>IF(AND(L118&lt;&gt;"",'Historical Score'!$C$5&lt;&gt;""),IF(L118='Historical Score'!$C$5,1,0),0)</f>
        <v/>
      </c>
      <c r="AS118">
        <f>IF(AND(Y118&lt;&gt;"",'Historical Score'!$C$7&lt;&gt;""),IF(Y118='Historical Score'!$C$7,1,0),0)</f>
        <v/>
      </c>
      <c r="AT118">
        <f>IF(AND(K118&lt;&gt;"",'Historical Score'!$C$8&lt;&gt;""),IF(K118='Historical Score'!$C$8,1,0),0)</f>
        <v/>
      </c>
      <c r="AU118">
        <f>IF(AND(J118&lt;&gt;"",'Historical Score'!$C$9&lt;&gt;""),IF(J118='Historical Score'!$C$9,1,0),0)</f>
        <v/>
      </c>
      <c r="AV118">
        <f>AR118*AS118*AQ118</f>
        <v/>
      </c>
      <c r="AW118">
        <f>AR118*AT118*AQ118</f>
        <v/>
      </c>
      <c r="AX118">
        <f>AR118*AS118</f>
        <v/>
      </c>
      <c r="AY118">
        <f>AR118*AT118</f>
        <v/>
      </c>
      <c r="AZ118">
        <f>AR118*AQ118</f>
        <v/>
      </c>
      <c r="BA118">
        <f>AR118</f>
        <v/>
      </c>
      <c r="BB118">
        <f>1</f>
        <v/>
      </c>
      <c r="BC118">
        <f>IF(AV118=1,1,IF(AW118=1,2,IF(AX118=1,3,IF(AY118=1,4,IF(AZ118=1,5,IF(BA118=1,6,7))))))</f>
        <v/>
      </c>
      <c r="BD118">
        <f>IF(AD118=1,CHOOSE('Historical Score'!$C$29,AV118,AW118,AX118,AY118,AZ118,BA118,BB118),0)</f>
        <v/>
      </c>
      <c r="BE118">
        <f>IF(BD118=1,COUNTIF($BD$2:BD118,1),"")</f>
        <v/>
      </c>
    </row>
    <row r="119">
      <c r="A119" t="inlineStr">
        <is>
          <t>5674158425</t>
        </is>
      </c>
      <c r="B119" t="inlineStr">
        <is>
          <t>TBVB CORP</t>
        </is>
      </c>
      <c r="C119" t="inlineStr">
        <is>
          <t>TBVB CORP</t>
        </is>
      </c>
      <c r="D119" t="inlineStr">
        <is>
          <t>Legal</t>
        </is>
      </c>
      <c r="E119" s="297" t="n">
        <v>45805</v>
      </c>
      <c r="F119" s="297" t="n">
        <v>45834</v>
      </c>
      <c r="G119" t="n">
        <v>1</v>
      </c>
      <c r="H119" t="inlineStr">
        <is>
          <t>5812</t>
        </is>
      </c>
      <c r="I119" t="inlineStr">
        <is>
          <t>58</t>
        </is>
      </c>
      <c r="J119" t="inlineStr">
        <is>
          <t>No state</t>
        </is>
      </c>
      <c r="K119" t="inlineStr">
        <is>
          <t>United Secured Capital 8</t>
        </is>
      </c>
      <c r="L119" t="inlineStr">
        <is>
          <t>New Deal</t>
        </is>
      </c>
      <c r="M119" s="298" t="n">
        <v>1.499</v>
      </c>
      <c r="N119" s="299" t="n">
        <v>5000</v>
      </c>
      <c r="O119" s="299" t="n">
        <v>0</v>
      </c>
      <c r="P119" s="299" t="n">
        <v>7495</v>
      </c>
      <c r="Q119" s="299" t="n">
        <v>958.23</v>
      </c>
      <c r="R119" s="299" t="n">
        <v>6536.77</v>
      </c>
      <c r="S119" s="300" t="n">
        <v>0.127849232821881</v>
      </c>
      <c r="T119" t="n">
        <v>2.295</v>
      </c>
      <c r="U119" t="n">
        <v>11</v>
      </c>
      <c r="W119" s="300" t="n">
        <v>0.0132</v>
      </c>
      <c r="X119" s="297" t="n">
        <v>45805</v>
      </c>
      <c r="Y119">
        <f>IF(I119="","No SIC",IFERROR(VLOOKUP(I119,Ref!$A$2:$B$65,2,FALSE),"Unclassified"))</f>
        <v/>
      </c>
      <c r="Z119">
        <f>IF(T119="","",IF(T119&lt;12,"Daily","Weekly"))</f>
        <v/>
      </c>
      <c r="AA119">
        <f>IF(T119="",0,IF(T119&lt;12,T119*Controls!$B$29,T119*5))</f>
        <v/>
      </c>
      <c r="AB119">
        <f>IF(E119="",0,NETWORKDAYS(E119,Controls!$B$36,Ref!$K$2:$K$42))</f>
        <v/>
      </c>
      <c r="AC119">
        <f>IF(AND(AA119&gt;0,AB119&gt;=Controls!$B$39*AA119),1,0)</f>
        <v/>
      </c>
      <c r="AD119">
        <f>IF(AND(E119&lt;&gt;"",E119&gt;=Controls!$B$37,E119&lt;=Controls!$B$38),1,0)</f>
        <v/>
      </c>
      <c r="AE119">
        <f>IF(IFERROR(VLOOKUP(D119,Controls!$A$64:$E$74,2,FALSE),"No")="Yes",1,0)</f>
        <v/>
      </c>
      <c r="AF119">
        <f>IF(IFERROR(VLOOKUP(D119,Controls!$A$64:$E$74,3,FALSE),"No")="Yes",1,0)</f>
        <v/>
      </c>
      <c r="AG119">
        <f>IF(IFERROR(VLOOKUP(D119,Controls!$A$64:$E$74,4,FALSE),"No")="Yes",1,0)</f>
        <v/>
      </c>
      <c r="AH119">
        <f>IF(IFERROR(VLOOKUP(D119,Controls!$A$64:$E$74,5,FALSE),"No")="Yes",1,0)</f>
        <v/>
      </c>
      <c r="AI119">
        <f>IF(ISNUMBER(MATCH(D119,Controls!$A$64:$A$74,0)),1,0)</f>
        <v/>
      </c>
      <c r="AJ119">
        <f>Q119-N119</f>
        <v/>
      </c>
      <c r="AK119">
        <f>IF(AE119=1,MAX(0,N119-Q119),0)</f>
        <v/>
      </c>
      <c r="AL119">
        <f>IF(OR(V119="",V119=0),0,N119/V119)</f>
        <v/>
      </c>
      <c r="AM119">
        <f>IF(OR(V119="",V119=0),0,1)</f>
        <v/>
      </c>
      <c r="AN119">
        <f>IF(OR(E119="",F119=""),0,NETWORKDAYS(E119,F119,Ref!$K$2:$K$42))</f>
        <v/>
      </c>
      <c r="AO119">
        <f>IF(L119="Renewal",1,0)</f>
        <v/>
      </c>
      <c r="AP119">
        <f>AC119*AD119</f>
        <v/>
      </c>
      <c r="AQ119">
        <f>IF(AND(G119&lt;&gt;"",'Historical Score'!$C$6&lt;&gt;""),IF(G119='Historical Score'!$C$6,1,0),0)</f>
        <v/>
      </c>
      <c r="AR119">
        <f>IF(AND(L119&lt;&gt;"",'Historical Score'!$C$5&lt;&gt;""),IF(L119='Historical Score'!$C$5,1,0),0)</f>
        <v/>
      </c>
      <c r="AS119">
        <f>IF(AND(Y119&lt;&gt;"",'Historical Score'!$C$7&lt;&gt;""),IF(Y119='Historical Score'!$C$7,1,0),0)</f>
        <v/>
      </c>
      <c r="AT119">
        <f>IF(AND(K119&lt;&gt;"",'Historical Score'!$C$8&lt;&gt;""),IF(K119='Historical Score'!$C$8,1,0),0)</f>
        <v/>
      </c>
      <c r="AU119">
        <f>IF(AND(J119&lt;&gt;"",'Historical Score'!$C$9&lt;&gt;""),IF(J119='Historical Score'!$C$9,1,0),0)</f>
        <v/>
      </c>
      <c r="AV119">
        <f>AR119*AS119*AQ119</f>
        <v/>
      </c>
      <c r="AW119">
        <f>AR119*AT119*AQ119</f>
        <v/>
      </c>
      <c r="AX119">
        <f>AR119*AS119</f>
        <v/>
      </c>
      <c r="AY119">
        <f>AR119*AT119</f>
        <v/>
      </c>
      <c r="AZ119">
        <f>AR119*AQ119</f>
        <v/>
      </c>
      <c r="BA119">
        <f>AR119</f>
        <v/>
      </c>
      <c r="BB119">
        <f>1</f>
        <v/>
      </c>
      <c r="BC119">
        <f>IF(AV119=1,1,IF(AW119=1,2,IF(AX119=1,3,IF(AY119=1,4,IF(AZ119=1,5,IF(BA119=1,6,7))))))</f>
        <v/>
      </c>
      <c r="BD119">
        <f>IF(AD119=1,CHOOSE('Historical Score'!$C$29,AV119,AW119,AX119,AY119,AZ119,BA119,BB119),0)</f>
        <v/>
      </c>
      <c r="BE119">
        <f>IF(BD119=1,COUNTIF($BD$2:BD119,1),"")</f>
        <v/>
      </c>
    </row>
    <row r="120">
      <c r="A120" t="inlineStr">
        <is>
          <t>5674158531</t>
        </is>
      </c>
      <c r="B120" t="inlineStr">
        <is>
          <t>THE CANDLEWYCK INN</t>
        </is>
      </c>
      <c r="C120" t="inlineStr">
        <is>
          <t>THE CANDLEWYCK INN, INC</t>
        </is>
      </c>
      <c r="D120" t="inlineStr">
        <is>
          <t>Closed</t>
        </is>
      </c>
      <c r="E120" s="297" t="n">
        <v>45806</v>
      </c>
      <c r="F120" s="297" t="n">
        <v>45883</v>
      </c>
      <c r="G120" t="n">
        <v>7</v>
      </c>
      <c r="H120" t="inlineStr">
        <is>
          <t>5812</t>
        </is>
      </c>
      <c r="I120" t="inlineStr">
        <is>
          <t>58</t>
        </is>
      </c>
      <c r="J120" t="inlineStr">
        <is>
          <t>WV</t>
        </is>
      </c>
      <c r="K120" t="inlineStr">
        <is>
          <t>PMF</t>
        </is>
      </c>
      <c r="L120" t="inlineStr">
        <is>
          <t>Renewal</t>
        </is>
      </c>
      <c r="M120" s="298" t="n">
        <v>1.499</v>
      </c>
      <c r="N120" s="299" t="n">
        <v>10000</v>
      </c>
      <c r="O120" s="299" t="n">
        <v>1400</v>
      </c>
      <c r="P120" s="299" t="n">
        <v>14990</v>
      </c>
      <c r="Q120" s="299" t="n">
        <v>14990</v>
      </c>
      <c r="R120" s="299" t="n">
        <v>1.81898940354586e-12</v>
      </c>
      <c r="S120" s="300" t="n">
        <v>1</v>
      </c>
      <c r="T120" t="n">
        <v>2.295</v>
      </c>
      <c r="U120" t="n">
        <v>10</v>
      </c>
      <c r="W120" s="300" t="n">
        <v>0.1959</v>
      </c>
      <c r="X120" s="297" t="n">
        <v>45806</v>
      </c>
      <c r="Y120">
        <f>IF(I120="","No SIC",IFERROR(VLOOKUP(I120,Ref!$A$2:$B$65,2,FALSE),"Unclassified"))</f>
        <v/>
      </c>
      <c r="Z120">
        <f>IF(T120="","",IF(T120&lt;12,"Daily","Weekly"))</f>
        <v/>
      </c>
      <c r="AA120">
        <f>IF(T120="",0,IF(T120&lt;12,T120*Controls!$B$29,T120*5))</f>
        <v/>
      </c>
      <c r="AB120">
        <f>IF(E120="",0,NETWORKDAYS(E120,Controls!$B$36,Ref!$K$2:$K$42))</f>
        <v/>
      </c>
      <c r="AC120">
        <f>IF(AND(AA120&gt;0,AB120&gt;=Controls!$B$39*AA120),1,0)</f>
        <v/>
      </c>
      <c r="AD120">
        <f>IF(AND(E120&lt;&gt;"",E120&gt;=Controls!$B$37,E120&lt;=Controls!$B$38),1,0)</f>
        <v/>
      </c>
      <c r="AE120">
        <f>IF(IFERROR(VLOOKUP(D120,Controls!$A$64:$E$74,2,FALSE),"No")="Yes",1,0)</f>
        <v/>
      </c>
      <c r="AF120">
        <f>IF(IFERROR(VLOOKUP(D120,Controls!$A$64:$E$74,3,FALSE),"No")="Yes",1,0)</f>
        <v/>
      </c>
      <c r="AG120">
        <f>IF(IFERROR(VLOOKUP(D120,Controls!$A$64:$E$74,4,FALSE),"No")="Yes",1,0)</f>
        <v/>
      </c>
      <c r="AH120">
        <f>IF(IFERROR(VLOOKUP(D120,Controls!$A$64:$E$74,5,FALSE),"No")="Yes",1,0)</f>
        <v/>
      </c>
      <c r="AI120">
        <f>IF(ISNUMBER(MATCH(D120,Controls!$A$64:$A$74,0)),1,0)</f>
        <v/>
      </c>
      <c r="AJ120">
        <f>Q120-N120</f>
        <v/>
      </c>
      <c r="AK120">
        <f>IF(AE120=1,MAX(0,N120-Q120),0)</f>
        <v/>
      </c>
      <c r="AL120">
        <f>IF(OR(V120="",V120=0),0,N120/V120)</f>
        <v/>
      </c>
      <c r="AM120">
        <f>IF(OR(V120="",V120=0),0,1)</f>
        <v/>
      </c>
      <c r="AN120">
        <f>IF(OR(E120="",F120=""),0,NETWORKDAYS(E120,F120,Ref!$K$2:$K$42))</f>
        <v/>
      </c>
      <c r="AO120">
        <f>IF(L120="Renewal",1,0)</f>
        <v/>
      </c>
      <c r="AP120">
        <f>AC120*AD120</f>
        <v/>
      </c>
      <c r="AQ120">
        <f>IF(AND(G120&lt;&gt;"",'Historical Score'!$C$6&lt;&gt;""),IF(G120='Historical Score'!$C$6,1,0),0)</f>
        <v/>
      </c>
      <c r="AR120">
        <f>IF(AND(L120&lt;&gt;"",'Historical Score'!$C$5&lt;&gt;""),IF(L120='Historical Score'!$C$5,1,0),0)</f>
        <v/>
      </c>
      <c r="AS120">
        <f>IF(AND(Y120&lt;&gt;"",'Historical Score'!$C$7&lt;&gt;""),IF(Y120='Historical Score'!$C$7,1,0),0)</f>
        <v/>
      </c>
      <c r="AT120">
        <f>IF(AND(K120&lt;&gt;"",'Historical Score'!$C$8&lt;&gt;""),IF(K120='Historical Score'!$C$8,1,0),0)</f>
        <v/>
      </c>
      <c r="AU120">
        <f>IF(AND(J120&lt;&gt;"",'Historical Score'!$C$9&lt;&gt;""),IF(J120='Historical Score'!$C$9,1,0),0)</f>
        <v/>
      </c>
      <c r="AV120">
        <f>AR120*AS120*AQ120</f>
        <v/>
      </c>
      <c r="AW120">
        <f>AR120*AT120*AQ120</f>
        <v/>
      </c>
      <c r="AX120">
        <f>AR120*AS120</f>
        <v/>
      </c>
      <c r="AY120">
        <f>AR120*AT120</f>
        <v/>
      </c>
      <c r="AZ120">
        <f>AR120*AQ120</f>
        <v/>
      </c>
      <c r="BA120">
        <f>AR120</f>
        <v/>
      </c>
      <c r="BB120">
        <f>1</f>
        <v/>
      </c>
      <c r="BC120">
        <f>IF(AV120=1,1,IF(AW120=1,2,IF(AX120=1,3,IF(AY120=1,4,IF(AZ120=1,5,IF(BA120=1,6,7))))))</f>
        <v/>
      </c>
      <c r="BD120">
        <f>IF(AD120=1,CHOOSE('Historical Score'!$C$29,AV120,AW120,AX120,AY120,AZ120,BA120,BB120),0)</f>
        <v/>
      </c>
      <c r="BE120">
        <f>IF(BD120=1,COUNTIF($BD$2:BD120,1),"")</f>
        <v/>
      </c>
    </row>
    <row r="121">
      <c r="A121" t="inlineStr">
        <is>
          <t>5674158547</t>
        </is>
      </c>
      <c r="B121" t="inlineStr">
        <is>
          <t>TAQUERIA Y ANTOJITOS EL GUANACO LLC</t>
        </is>
      </c>
      <c r="C121" t="inlineStr">
        <is>
          <t>TAQUERIA Y ANTOJITOS EL GUANACO LLC</t>
        </is>
      </c>
      <c r="D121" t="inlineStr">
        <is>
          <t>Closed</t>
        </is>
      </c>
      <c r="E121" s="297" t="n">
        <v>45806</v>
      </c>
      <c r="F121" s="297" t="n">
        <v>45866</v>
      </c>
      <c r="G121" t="n">
        <v>7</v>
      </c>
      <c r="H121" t="inlineStr">
        <is>
          <t>5812</t>
        </is>
      </c>
      <c r="I121" t="inlineStr">
        <is>
          <t>58</t>
        </is>
      </c>
      <c r="J121" t="inlineStr">
        <is>
          <t>No state</t>
        </is>
      </c>
      <c r="K121" t="inlineStr">
        <is>
          <t>PMF</t>
        </is>
      </c>
      <c r="L121" t="inlineStr">
        <is>
          <t>New Deal</t>
        </is>
      </c>
      <c r="M121" s="298" t="n">
        <v>1.49</v>
      </c>
      <c r="N121" s="299" t="n">
        <v>20000</v>
      </c>
      <c r="O121" s="299" t="n">
        <v>2800</v>
      </c>
      <c r="P121" s="299" t="n">
        <v>29800</v>
      </c>
      <c r="Q121" s="299" t="n">
        <v>29800</v>
      </c>
      <c r="R121" s="299" t="n">
        <v>0</v>
      </c>
      <c r="S121" s="300" t="n">
        <v>1</v>
      </c>
      <c r="T121" t="n">
        <v>2.623</v>
      </c>
      <c r="U121" t="n">
        <v>1</v>
      </c>
      <c r="W121" s="300" t="n">
        <v>0.0565</v>
      </c>
      <c r="X121" s="297" t="n">
        <v>45806</v>
      </c>
      <c r="Y121">
        <f>IF(I121="","No SIC",IFERROR(VLOOKUP(I121,Ref!$A$2:$B$65,2,FALSE),"Unclassified"))</f>
        <v/>
      </c>
      <c r="Z121">
        <f>IF(T121="","",IF(T121&lt;12,"Daily","Weekly"))</f>
        <v/>
      </c>
      <c r="AA121">
        <f>IF(T121="",0,IF(T121&lt;12,T121*Controls!$B$29,T121*5))</f>
        <v/>
      </c>
      <c r="AB121">
        <f>IF(E121="",0,NETWORKDAYS(E121,Controls!$B$36,Ref!$K$2:$K$42))</f>
        <v/>
      </c>
      <c r="AC121">
        <f>IF(AND(AA121&gt;0,AB121&gt;=Controls!$B$39*AA121),1,0)</f>
        <v/>
      </c>
      <c r="AD121">
        <f>IF(AND(E121&lt;&gt;"",E121&gt;=Controls!$B$37,E121&lt;=Controls!$B$38),1,0)</f>
        <v/>
      </c>
      <c r="AE121">
        <f>IF(IFERROR(VLOOKUP(D121,Controls!$A$64:$E$74,2,FALSE),"No")="Yes",1,0)</f>
        <v/>
      </c>
      <c r="AF121">
        <f>IF(IFERROR(VLOOKUP(D121,Controls!$A$64:$E$74,3,FALSE),"No")="Yes",1,0)</f>
        <v/>
      </c>
      <c r="AG121">
        <f>IF(IFERROR(VLOOKUP(D121,Controls!$A$64:$E$74,4,FALSE),"No")="Yes",1,0)</f>
        <v/>
      </c>
      <c r="AH121">
        <f>IF(IFERROR(VLOOKUP(D121,Controls!$A$64:$E$74,5,FALSE),"No")="Yes",1,0)</f>
        <v/>
      </c>
      <c r="AI121">
        <f>IF(ISNUMBER(MATCH(D121,Controls!$A$64:$A$74,0)),1,0)</f>
        <v/>
      </c>
      <c r="AJ121">
        <f>Q121-N121</f>
        <v/>
      </c>
      <c r="AK121">
        <f>IF(AE121=1,MAX(0,N121-Q121),0)</f>
        <v/>
      </c>
      <c r="AL121">
        <f>IF(OR(V121="",V121=0),0,N121/V121)</f>
        <v/>
      </c>
      <c r="AM121">
        <f>IF(OR(V121="",V121=0),0,1)</f>
        <v/>
      </c>
      <c r="AN121">
        <f>IF(OR(E121="",F121=""),0,NETWORKDAYS(E121,F121,Ref!$K$2:$K$42))</f>
        <v/>
      </c>
      <c r="AO121">
        <f>IF(L121="Renewal",1,0)</f>
        <v/>
      </c>
      <c r="AP121">
        <f>AC121*AD121</f>
        <v/>
      </c>
      <c r="AQ121">
        <f>IF(AND(G121&lt;&gt;"",'Historical Score'!$C$6&lt;&gt;""),IF(G121='Historical Score'!$C$6,1,0),0)</f>
        <v/>
      </c>
      <c r="AR121">
        <f>IF(AND(L121&lt;&gt;"",'Historical Score'!$C$5&lt;&gt;""),IF(L121='Historical Score'!$C$5,1,0),0)</f>
        <v/>
      </c>
      <c r="AS121">
        <f>IF(AND(Y121&lt;&gt;"",'Historical Score'!$C$7&lt;&gt;""),IF(Y121='Historical Score'!$C$7,1,0),0)</f>
        <v/>
      </c>
      <c r="AT121">
        <f>IF(AND(K121&lt;&gt;"",'Historical Score'!$C$8&lt;&gt;""),IF(K121='Historical Score'!$C$8,1,0),0)</f>
        <v/>
      </c>
      <c r="AU121">
        <f>IF(AND(J121&lt;&gt;"",'Historical Score'!$C$9&lt;&gt;""),IF(J121='Historical Score'!$C$9,1,0),0)</f>
        <v/>
      </c>
      <c r="AV121">
        <f>AR121*AS121*AQ121</f>
        <v/>
      </c>
      <c r="AW121">
        <f>AR121*AT121*AQ121</f>
        <v/>
      </c>
      <c r="AX121">
        <f>AR121*AS121</f>
        <v/>
      </c>
      <c r="AY121">
        <f>AR121*AT121</f>
        <v/>
      </c>
      <c r="AZ121">
        <f>AR121*AQ121</f>
        <v/>
      </c>
      <c r="BA121">
        <f>AR121</f>
        <v/>
      </c>
      <c r="BB121">
        <f>1</f>
        <v/>
      </c>
      <c r="BC121">
        <f>IF(AV121=1,1,IF(AW121=1,2,IF(AX121=1,3,IF(AY121=1,4,IF(AZ121=1,5,IF(BA121=1,6,7))))))</f>
        <v/>
      </c>
      <c r="BD121">
        <f>IF(AD121=1,CHOOSE('Historical Score'!$C$29,AV121,AW121,AX121,AY121,AZ121,BA121,BB121),0)</f>
        <v/>
      </c>
      <c r="BE121">
        <f>IF(BD121=1,COUNTIF($BD$2:BD121,1),"")</f>
        <v/>
      </c>
    </row>
    <row r="122">
      <c r="A122" t="inlineStr">
        <is>
          <t>5674158572</t>
        </is>
      </c>
      <c r="B122" t="inlineStr">
        <is>
          <t>Pet Dynasty</t>
        </is>
      </c>
      <c r="C122" t="inlineStr">
        <is>
          <t>MOO-VA-PET</t>
        </is>
      </c>
      <c r="D122" t="inlineStr">
        <is>
          <t>Closed</t>
        </is>
      </c>
      <c r="E122" s="297" t="n">
        <v>45806</v>
      </c>
      <c r="F122" s="297" t="n">
        <v>45915</v>
      </c>
      <c r="G122" t="n">
        <v>2</v>
      </c>
      <c r="H122" t="inlineStr">
        <is>
          <t>0742</t>
        </is>
      </c>
      <c r="I122" t="inlineStr">
        <is>
          <t>07</t>
        </is>
      </c>
      <c r="J122" t="inlineStr">
        <is>
          <t>No state</t>
        </is>
      </c>
      <c r="K122" t="inlineStr">
        <is>
          <t>FC ADVANCE</t>
        </is>
      </c>
      <c r="L122" t="inlineStr">
        <is>
          <t>New Deal</t>
        </is>
      </c>
      <c r="M122" s="298" t="n">
        <v>1.499</v>
      </c>
      <c r="N122" s="299" t="n">
        <v>6500</v>
      </c>
      <c r="O122" s="299" t="n">
        <v>910</v>
      </c>
      <c r="P122" s="299" t="n">
        <v>9743.5</v>
      </c>
      <c r="Q122" s="299" t="n">
        <v>9743.5</v>
      </c>
      <c r="R122" s="299" t="n">
        <v>0</v>
      </c>
      <c r="S122" s="300" t="n">
        <v>1</v>
      </c>
      <c r="T122" t="n">
        <v>1.967</v>
      </c>
      <c r="U122" t="n">
        <v>10</v>
      </c>
      <c r="W122" s="300" t="n">
        <v>0.08210000000000001</v>
      </c>
      <c r="X122" s="297" t="n">
        <v>45806</v>
      </c>
      <c r="Y122">
        <f>IF(I122="","No SIC",IFERROR(VLOOKUP(I122,Ref!$A$2:$B$65,2,FALSE),"Unclassified"))</f>
        <v/>
      </c>
      <c r="Z122">
        <f>IF(T122="","",IF(T122&lt;12,"Daily","Weekly"))</f>
        <v/>
      </c>
      <c r="AA122">
        <f>IF(T122="",0,IF(T122&lt;12,T122*Controls!$B$29,T122*5))</f>
        <v/>
      </c>
      <c r="AB122">
        <f>IF(E122="",0,NETWORKDAYS(E122,Controls!$B$36,Ref!$K$2:$K$42))</f>
        <v/>
      </c>
      <c r="AC122">
        <f>IF(AND(AA122&gt;0,AB122&gt;=Controls!$B$39*AA122),1,0)</f>
        <v/>
      </c>
      <c r="AD122">
        <f>IF(AND(E122&lt;&gt;"",E122&gt;=Controls!$B$37,E122&lt;=Controls!$B$38),1,0)</f>
        <v/>
      </c>
      <c r="AE122">
        <f>IF(IFERROR(VLOOKUP(D122,Controls!$A$64:$E$74,2,FALSE),"No")="Yes",1,0)</f>
        <v/>
      </c>
      <c r="AF122">
        <f>IF(IFERROR(VLOOKUP(D122,Controls!$A$64:$E$74,3,FALSE),"No")="Yes",1,0)</f>
        <v/>
      </c>
      <c r="AG122">
        <f>IF(IFERROR(VLOOKUP(D122,Controls!$A$64:$E$74,4,FALSE),"No")="Yes",1,0)</f>
        <v/>
      </c>
      <c r="AH122">
        <f>IF(IFERROR(VLOOKUP(D122,Controls!$A$64:$E$74,5,FALSE),"No")="Yes",1,0)</f>
        <v/>
      </c>
      <c r="AI122">
        <f>IF(ISNUMBER(MATCH(D122,Controls!$A$64:$A$74,0)),1,0)</f>
        <v/>
      </c>
      <c r="AJ122">
        <f>Q122-N122</f>
        <v/>
      </c>
      <c r="AK122">
        <f>IF(AE122=1,MAX(0,N122-Q122),0)</f>
        <v/>
      </c>
      <c r="AL122">
        <f>IF(OR(V122="",V122=0),0,N122/V122)</f>
        <v/>
      </c>
      <c r="AM122">
        <f>IF(OR(V122="",V122=0),0,1)</f>
        <v/>
      </c>
      <c r="AN122">
        <f>IF(OR(E122="",F122=""),0,NETWORKDAYS(E122,F122,Ref!$K$2:$K$42))</f>
        <v/>
      </c>
      <c r="AO122">
        <f>IF(L122="Renewal",1,0)</f>
        <v/>
      </c>
      <c r="AP122">
        <f>AC122*AD122</f>
        <v/>
      </c>
      <c r="AQ122">
        <f>IF(AND(G122&lt;&gt;"",'Historical Score'!$C$6&lt;&gt;""),IF(G122='Historical Score'!$C$6,1,0),0)</f>
        <v/>
      </c>
      <c r="AR122">
        <f>IF(AND(L122&lt;&gt;"",'Historical Score'!$C$5&lt;&gt;""),IF(L122='Historical Score'!$C$5,1,0),0)</f>
        <v/>
      </c>
      <c r="AS122">
        <f>IF(AND(Y122&lt;&gt;"",'Historical Score'!$C$7&lt;&gt;""),IF(Y122='Historical Score'!$C$7,1,0),0)</f>
        <v/>
      </c>
      <c r="AT122">
        <f>IF(AND(K122&lt;&gt;"",'Historical Score'!$C$8&lt;&gt;""),IF(K122='Historical Score'!$C$8,1,0),0)</f>
        <v/>
      </c>
      <c r="AU122">
        <f>IF(AND(J122&lt;&gt;"",'Historical Score'!$C$9&lt;&gt;""),IF(J122='Historical Score'!$C$9,1,0),0)</f>
        <v/>
      </c>
      <c r="AV122">
        <f>AR122*AS122*AQ122</f>
        <v/>
      </c>
      <c r="AW122">
        <f>AR122*AT122*AQ122</f>
        <v/>
      </c>
      <c r="AX122">
        <f>AR122*AS122</f>
        <v/>
      </c>
      <c r="AY122">
        <f>AR122*AT122</f>
        <v/>
      </c>
      <c r="AZ122">
        <f>AR122*AQ122</f>
        <v/>
      </c>
      <c r="BA122">
        <f>AR122</f>
        <v/>
      </c>
      <c r="BB122">
        <f>1</f>
        <v/>
      </c>
      <c r="BC122">
        <f>IF(AV122=1,1,IF(AW122=1,2,IF(AX122=1,3,IF(AY122=1,4,IF(AZ122=1,5,IF(BA122=1,6,7))))))</f>
        <v/>
      </c>
      <c r="BD122">
        <f>IF(AD122=1,CHOOSE('Historical Score'!$C$29,AV122,AW122,AX122,AY122,AZ122,BA122,BB122),0)</f>
        <v/>
      </c>
      <c r="BE122">
        <f>IF(BD122=1,COUNTIF($BD$2:BD122,1),"")</f>
        <v/>
      </c>
    </row>
    <row r="123">
      <c r="A123" t="inlineStr">
        <is>
          <t>5674158642</t>
        </is>
      </c>
      <c r="B123" t="inlineStr">
        <is>
          <t>The Burgin Group LLC</t>
        </is>
      </c>
      <c r="C123" t="inlineStr">
        <is>
          <t>The Burgin Group LLC</t>
        </is>
      </c>
      <c r="D123" t="inlineStr">
        <is>
          <t>Legal</t>
        </is>
      </c>
      <c r="E123" s="297" t="n">
        <v>45807</v>
      </c>
      <c r="F123" s="297" t="n">
        <v>45888</v>
      </c>
      <c r="G123" t="n">
        <v>4</v>
      </c>
      <c r="H123" t="inlineStr">
        <is>
          <t>5812</t>
        </is>
      </c>
      <c r="I123" t="inlineStr">
        <is>
          <t>58</t>
        </is>
      </c>
      <c r="J123" t="inlineStr">
        <is>
          <t>OH</t>
        </is>
      </c>
      <c r="K123" t="inlineStr">
        <is>
          <t>Vanguard Equities</t>
        </is>
      </c>
      <c r="L123" t="inlineStr">
        <is>
          <t>New Deal</t>
        </is>
      </c>
      <c r="M123" s="298" t="n">
        <v>1.49</v>
      </c>
      <c r="N123" s="299" t="n">
        <v>8000</v>
      </c>
      <c r="O123" s="299" t="n">
        <v>1120</v>
      </c>
      <c r="P123" s="299" t="n">
        <v>11920</v>
      </c>
      <c r="Q123" s="299" t="n">
        <v>6801.53</v>
      </c>
      <c r="R123" s="299" t="n">
        <v>5118.47</v>
      </c>
      <c r="S123" s="300" t="n">
        <v>0.570598154362416</v>
      </c>
      <c r="T123" t="n">
        <v>1.639</v>
      </c>
      <c r="U123" t="n">
        <v>21</v>
      </c>
      <c r="W123" s="300" t="n">
        <v>0.0408</v>
      </c>
      <c r="X123" s="297" t="n">
        <v>45807</v>
      </c>
      <c r="Y123">
        <f>IF(I123="","No SIC",IFERROR(VLOOKUP(I123,Ref!$A$2:$B$65,2,FALSE),"Unclassified"))</f>
        <v/>
      </c>
      <c r="Z123">
        <f>IF(T123="","",IF(T123&lt;12,"Daily","Weekly"))</f>
        <v/>
      </c>
      <c r="AA123">
        <f>IF(T123="",0,IF(T123&lt;12,T123*Controls!$B$29,T123*5))</f>
        <v/>
      </c>
      <c r="AB123">
        <f>IF(E123="",0,NETWORKDAYS(E123,Controls!$B$36,Ref!$K$2:$K$42))</f>
        <v/>
      </c>
      <c r="AC123">
        <f>IF(AND(AA123&gt;0,AB123&gt;=Controls!$B$39*AA123),1,0)</f>
        <v/>
      </c>
      <c r="AD123">
        <f>IF(AND(E123&lt;&gt;"",E123&gt;=Controls!$B$37,E123&lt;=Controls!$B$38),1,0)</f>
        <v/>
      </c>
      <c r="AE123">
        <f>IF(IFERROR(VLOOKUP(D123,Controls!$A$64:$E$74,2,FALSE),"No")="Yes",1,0)</f>
        <v/>
      </c>
      <c r="AF123">
        <f>IF(IFERROR(VLOOKUP(D123,Controls!$A$64:$E$74,3,FALSE),"No")="Yes",1,0)</f>
        <v/>
      </c>
      <c r="AG123">
        <f>IF(IFERROR(VLOOKUP(D123,Controls!$A$64:$E$74,4,FALSE),"No")="Yes",1,0)</f>
        <v/>
      </c>
      <c r="AH123">
        <f>IF(IFERROR(VLOOKUP(D123,Controls!$A$64:$E$74,5,FALSE),"No")="Yes",1,0)</f>
        <v/>
      </c>
      <c r="AI123">
        <f>IF(ISNUMBER(MATCH(D123,Controls!$A$64:$A$74,0)),1,0)</f>
        <v/>
      </c>
      <c r="AJ123">
        <f>Q123-N123</f>
        <v/>
      </c>
      <c r="AK123">
        <f>IF(AE123=1,MAX(0,N123-Q123),0)</f>
        <v/>
      </c>
      <c r="AL123">
        <f>IF(OR(V123="",V123=0),0,N123/V123)</f>
        <v/>
      </c>
      <c r="AM123">
        <f>IF(OR(V123="",V123=0),0,1)</f>
        <v/>
      </c>
      <c r="AN123">
        <f>IF(OR(E123="",F123=""),0,NETWORKDAYS(E123,F123,Ref!$K$2:$K$42))</f>
        <v/>
      </c>
      <c r="AO123">
        <f>IF(L123="Renewal",1,0)</f>
        <v/>
      </c>
      <c r="AP123">
        <f>AC123*AD123</f>
        <v/>
      </c>
      <c r="AQ123">
        <f>IF(AND(G123&lt;&gt;"",'Historical Score'!$C$6&lt;&gt;""),IF(G123='Historical Score'!$C$6,1,0),0)</f>
        <v/>
      </c>
      <c r="AR123">
        <f>IF(AND(L123&lt;&gt;"",'Historical Score'!$C$5&lt;&gt;""),IF(L123='Historical Score'!$C$5,1,0),0)</f>
        <v/>
      </c>
      <c r="AS123">
        <f>IF(AND(Y123&lt;&gt;"",'Historical Score'!$C$7&lt;&gt;""),IF(Y123='Historical Score'!$C$7,1,0),0)</f>
        <v/>
      </c>
      <c r="AT123">
        <f>IF(AND(K123&lt;&gt;"",'Historical Score'!$C$8&lt;&gt;""),IF(K123='Historical Score'!$C$8,1,0),0)</f>
        <v/>
      </c>
      <c r="AU123">
        <f>IF(AND(J123&lt;&gt;"",'Historical Score'!$C$9&lt;&gt;""),IF(J123='Historical Score'!$C$9,1,0),0)</f>
        <v/>
      </c>
      <c r="AV123">
        <f>AR123*AS123*AQ123</f>
        <v/>
      </c>
      <c r="AW123">
        <f>AR123*AT123*AQ123</f>
        <v/>
      </c>
      <c r="AX123">
        <f>AR123*AS123</f>
        <v/>
      </c>
      <c r="AY123">
        <f>AR123*AT123</f>
        <v/>
      </c>
      <c r="AZ123">
        <f>AR123*AQ123</f>
        <v/>
      </c>
      <c r="BA123">
        <f>AR123</f>
        <v/>
      </c>
      <c r="BB123">
        <f>1</f>
        <v/>
      </c>
      <c r="BC123">
        <f>IF(AV123=1,1,IF(AW123=1,2,IF(AX123=1,3,IF(AY123=1,4,IF(AZ123=1,5,IF(BA123=1,6,7))))))</f>
        <v/>
      </c>
      <c r="BD123">
        <f>IF(AD123=1,CHOOSE('Historical Score'!$C$29,AV123,AW123,AX123,AY123,AZ123,BA123,BB123),0)</f>
        <v/>
      </c>
      <c r="BE123">
        <f>IF(BD123=1,COUNTIF($BD$2:BD123,1),"")</f>
        <v/>
      </c>
    </row>
    <row r="124">
      <c r="A124" t="inlineStr">
        <is>
          <t>5674158686</t>
        </is>
      </c>
      <c r="B124" t="inlineStr">
        <is>
          <t>DR3M INSPECTIONS</t>
        </is>
      </c>
      <c r="C124" t="inlineStr">
        <is>
          <t>DR3M Inc</t>
        </is>
      </c>
      <c r="D124" t="inlineStr">
        <is>
          <t>Legal</t>
        </is>
      </c>
      <c r="E124" s="297" t="n">
        <v>45807</v>
      </c>
      <c r="F124" s="297" t="n">
        <v>46034</v>
      </c>
      <c r="G124" t="n">
        <v>6</v>
      </c>
      <c r="H124" t="inlineStr">
        <is>
          <t>7389</t>
        </is>
      </c>
      <c r="I124" t="inlineStr">
        <is>
          <t>73</t>
        </is>
      </c>
      <c r="J124" t="inlineStr">
        <is>
          <t>TX</t>
        </is>
      </c>
      <c r="K124" t="inlineStr">
        <is>
          <t>Premium Capital (AMRK)</t>
        </is>
      </c>
      <c r="L124" t="inlineStr">
        <is>
          <t>New Deal</t>
        </is>
      </c>
      <c r="M124" s="298" t="n">
        <v>1.38</v>
      </c>
      <c r="N124" s="299" t="n">
        <v>20000</v>
      </c>
      <c r="O124" s="299" t="n">
        <v>2000</v>
      </c>
      <c r="P124" s="299" t="n">
        <v>27600</v>
      </c>
      <c r="Q124" s="299" t="n">
        <v>22425.67</v>
      </c>
      <c r="R124" s="299" t="n">
        <v>5174.33</v>
      </c>
      <c r="S124" s="300" t="n">
        <v>0.812524275362319</v>
      </c>
      <c r="T124" t="n">
        <v>4.098</v>
      </c>
      <c r="U124" t="n">
        <v>8</v>
      </c>
      <c r="W124" s="300" t="n">
        <v>0.1443</v>
      </c>
      <c r="X124" s="297" t="n">
        <v>45807</v>
      </c>
      <c r="Y124">
        <f>IF(I124="","No SIC",IFERROR(VLOOKUP(I124,Ref!$A$2:$B$65,2,FALSE),"Unclassified"))</f>
        <v/>
      </c>
      <c r="Z124">
        <f>IF(T124="","",IF(T124&lt;12,"Daily","Weekly"))</f>
        <v/>
      </c>
      <c r="AA124">
        <f>IF(T124="",0,IF(T124&lt;12,T124*Controls!$B$29,T124*5))</f>
        <v/>
      </c>
      <c r="AB124">
        <f>IF(E124="",0,NETWORKDAYS(E124,Controls!$B$36,Ref!$K$2:$K$42))</f>
        <v/>
      </c>
      <c r="AC124">
        <f>IF(AND(AA124&gt;0,AB124&gt;=Controls!$B$39*AA124),1,0)</f>
        <v/>
      </c>
      <c r="AD124">
        <f>IF(AND(E124&lt;&gt;"",E124&gt;=Controls!$B$37,E124&lt;=Controls!$B$38),1,0)</f>
        <v/>
      </c>
      <c r="AE124">
        <f>IF(IFERROR(VLOOKUP(D124,Controls!$A$64:$E$74,2,FALSE),"No")="Yes",1,0)</f>
        <v/>
      </c>
      <c r="AF124">
        <f>IF(IFERROR(VLOOKUP(D124,Controls!$A$64:$E$74,3,FALSE),"No")="Yes",1,0)</f>
        <v/>
      </c>
      <c r="AG124">
        <f>IF(IFERROR(VLOOKUP(D124,Controls!$A$64:$E$74,4,FALSE),"No")="Yes",1,0)</f>
        <v/>
      </c>
      <c r="AH124">
        <f>IF(IFERROR(VLOOKUP(D124,Controls!$A$64:$E$74,5,FALSE),"No")="Yes",1,0)</f>
        <v/>
      </c>
      <c r="AI124">
        <f>IF(ISNUMBER(MATCH(D124,Controls!$A$64:$A$74,0)),1,0)</f>
        <v/>
      </c>
      <c r="AJ124">
        <f>Q124-N124</f>
        <v/>
      </c>
      <c r="AK124">
        <f>IF(AE124=1,MAX(0,N124-Q124),0)</f>
        <v/>
      </c>
      <c r="AL124">
        <f>IF(OR(V124="",V124=0),0,N124/V124)</f>
        <v/>
      </c>
      <c r="AM124">
        <f>IF(OR(V124="",V124=0),0,1)</f>
        <v/>
      </c>
      <c r="AN124">
        <f>IF(OR(E124="",F124=""),0,NETWORKDAYS(E124,F124,Ref!$K$2:$K$42))</f>
        <v/>
      </c>
      <c r="AO124">
        <f>IF(L124="Renewal",1,0)</f>
        <v/>
      </c>
      <c r="AP124">
        <f>AC124*AD124</f>
        <v/>
      </c>
      <c r="AQ124">
        <f>IF(AND(G124&lt;&gt;"",'Historical Score'!$C$6&lt;&gt;""),IF(G124='Historical Score'!$C$6,1,0),0)</f>
        <v/>
      </c>
      <c r="AR124">
        <f>IF(AND(L124&lt;&gt;"",'Historical Score'!$C$5&lt;&gt;""),IF(L124='Historical Score'!$C$5,1,0),0)</f>
        <v/>
      </c>
      <c r="AS124">
        <f>IF(AND(Y124&lt;&gt;"",'Historical Score'!$C$7&lt;&gt;""),IF(Y124='Historical Score'!$C$7,1,0),0)</f>
        <v/>
      </c>
      <c r="AT124">
        <f>IF(AND(K124&lt;&gt;"",'Historical Score'!$C$8&lt;&gt;""),IF(K124='Historical Score'!$C$8,1,0),0)</f>
        <v/>
      </c>
      <c r="AU124">
        <f>IF(AND(J124&lt;&gt;"",'Historical Score'!$C$9&lt;&gt;""),IF(J124='Historical Score'!$C$9,1,0),0)</f>
        <v/>
      </c>
      <c r="AV124">
        <f>AR124*AS124*AQ124</f>
        <v/>
      </c>
      <c r="AW124">
        <f>AR124*AT124*AQ124</f>
        <v/>
      </c>
      <c r="AX124">
        <f>AR124*AS124</f>
        <v/>
      </c>
      <c r="AY124">
        <f>AR124*AT124</f>
        <v/>
      </c>
      <c r="AZ124">
        <f>AR124*AQ124</f>
        <v/>
      </c>
      <c r="BA124">
        <f>AR124</f>
        <v/>
      </c>
      <c r="BB124">
        <f>1</f>
        <v/>
      </c>
      <c r="BC124">
        <f>IF(AV124=1,1,IF(AW124=1,2,IF(AX124=1,3,IF(AY124=1,4,IF(AZ124=1,5,IF(BA124=1,6,7))))))</f>
        <v/>
      </c>
      <c r="BD124">
        <f>IF(AD124=1,CHOOSE('Historical Score'!$C$29,AV124,AW124,AX124,AY124,AZ124,BA124,BB124),0)</f>
        <v/>
      </c>
      <c r="BE124">
        <f>IF(BD124=1,COUNTIF($BD$2:BD124,1),"")</f>
        <v/>
      </c>
    </row>
    <row r="125">
      <c r="A125" t="inlineStr">
        <is>
          <t>5674158858</t>
        </is>
      </c>
      <c r="B125" t="inlineStr">
        <is>
          <t>CharterPro</t>
        </is>
      </c>
      <c r="C125" t="inlineStr">
        <is>
          <t>KING LIMOUSINE SERVICE INC</t>
        </is>
      </c>
      <c r="D125" t="inlineStr">
        <is>
          <t>Closed</t>
        </is>
      </c>
      <c r="E125" s="297" t="n">
        <v>45812</v>
      </c>
      <c r="F125" s="297" t="n">
        <v>45996</v>
      </c>
      <c r="G125" t="n">
        <v>1</v>
      </c>
      <c r="H125" t="inlineStr">
        <is>
          <t>4111</t>
        </is>
      </c>
      <c r="I125" t="inlineStr">
        <is>
          <t>41</t>
        </is>
      </c>
      <c r="J125" t="inlineStr">
        <is>
          <t>No state</t>
        </is>
      </c>
      <c r="K125" t="inlineStr">
        <is>
          <t>Platform Funding</t>
        </is>
      </c>
      <c r="L125" t="inlineStr">
        <is>
          <t>New Deal</t>
        </is>
      </c>
      <c r="M125" s="298" t="n">
        <v>1.31</v>
      </c>
      <c r="N125" s="299" t="n">
        <v>75000</v>
      </c>
      <c r="O125" s="299" t="n">
        <v>3000</v>
      </c>
      <c r="P125" s="299" t="n">
        <v>98250</v>
      </c>
      <c r="Q125" s="299" t="n">
        <v>98250</v>
      </c>
      <c r="R125" s="299" t="n">
        <v>0</v>
      </c>
      <c r="S125" s="300" t="n">
        <v>1</v>
      </c>
      <c r="T125" t="n">
        <v>32</v>
      </c>
      <c r="U125" t="n">
        <v>0</v>
      </c>
      <c r="W125" s="300" t="n">
        <v>0.0567</v>
      </c>
      <c r="X125" s="297" t="n">
        <v>38777</v>
      </c>
      <c r="Y125">
        <f>IF(I125="","No SIC",IFERROR(VLOOKUP(I125,Ref!$A$2:$B$65,2,FALSE),"Unclassified"))</f>
        <v/>
      </c>
      <c r="Z125">
        <f>IF(T125="","",IF(T125&lt;12,"Daily","Weekly"))</f>
        <v/>
      </c>
      <c r="AA125">
        <f>IF(T125="",0,IF(T125&lt;12,T125*Controls!$B$29,T125*5))</f>
        <v/>
      </c>
      <c r="AB125">
        <f>IF(E125="",0,NETWORKDAYS(E125,Controls!$B$36,Ref!$K$2:$K$42))</f>
        <v/>
      </c>
      <c r="AC125">
        <f>IF(AND(AA125&gt;0,AB125&gt;=Controls!$B$39*AA125),1,0)</f>
        <v/>
      </c>
      <c r="AD125">
        <f>IF(AND(E125&lt;&gt;"",E125&gt;=Controls!$B$37,E125&lt;=Controls!$B$38),1,0)</f>
        <v/>
      </c>
      <c r="AE125">
        <f>IF(IFERROR(VLOOKUP(D125,Controls!$A$64:$E$74,2,FALSE),"No")="Yes",1,0)</f>
        <v/>
      </c>
      <c r="AF125">
        <f>IF(IFERROR(VLOOKUP(D125,Controls!$A$64:$E$74,3,FALSE),"No")="Yes",1,0)</f>
        <v/>
      </c>
      <c r="AG125">
        <f>IF(IFERROR(VLOOKUP(D125,Controls!$A$64:$E$74,4,FALSE),"No")="Yes",1,0)</f>
        <v/>
      </c>
      <c r="AH125">
        <f>IF(IFERROR(VLOOKUP(D125,Controls!$A$64:$E$74,5,FALSE),"No")="Yes",1,0)</f>
        <v/>
      </c>
      <c r="AI125">
        <f>IF(ISNUMBER(MATCH(D125,Controls!$A$64:$A$74,0)),1,0)</f>
        <v/>
      </c>
      <c r="AJ125">
        <f>Q125-N125</f>
        <v/>
      </c>
      <c r="AK125">
        <f>IF(AE125=1,MAX(0,N125-Q125),0)</f>
        <v/>
      </c>
      <c r="AL125">
        <f>IF(OR(V125="",V125=0),0,N125/V125)</f>
        <v/>
      </c>
      <c r="AM125">
        <f>IF(OR(V125="",V125=0),0,1)</f>
        <v/>
      </c>
      <c r="AN125">
        <f>IF(OR(E125="",F125=""),0,NETWORKDAYS(E125,F125,Ref!$K$2:$K$42))</f>
        <v/>
      </c>
      <c r="AO125">
        <f>IF(L125="Renewal",1,0)</f>
        <v/>
      </c>
      <c r="AP125">
        <f>AC125*AD125</f>
        <v/>
      </c>
      <c r="AQ125">
        <f>IF(AND(G125&lt;&gt;"",'Historical Score'!$C$6&lt;&gt;""),IF(G125='Historical Score'!$C$6,1,0),0)</f>
        <v/>
      </c>
      <c r="AR125">
        <f>IF(AND(L125&lt;&gt;"",'Historical Score'!$C$5&lt;&gt;""),IF(L125='Historical Score'!$C$5,1,0),0)</f>
        <v/>
      </c>
      <c r="AS125">
        <f>IF(AND(Y125&lt;&gt;"",'Historical Score'!$C$7&lt;&gt;""),IF(Y125='Historical Score'!$C$7,1,0),0)</f>
        <v/>
      </c>
      <c r="AT125">
        <f>IF(AND(K125&lt;&gt;"",'Historical Score'!$C$8&lt;&gt;""),IF(K125='Historical Score'!$C$8,1,0),0)</f>
        <v/>
      </c>
      <c r="AU125">
        <f>IF(AND(J125&lt;&gt;"",'Historical Score'!$C$9&lt;&gt;""),IF(J125='Historical Score'!$C$9,1,0),0)</f>
        <v/>
      </c>
      <c r="AV125">
        <f>AR125*AS125*AQ125</f>
        <v/>
      </c>
      <c r="AW125">
        <f>AR125*AT125*AQ125</f>
        <v/>
      </c>
      <c r="AX125">
        <f>AR125*AS125</f>
        <v/>
      </c>
      <c r="AY125">
        <f>AR125*AT125</f>
        <v/>
      </c>
      <c r="AZ125">
        <f>AR125*AQ125</f>
        <v/>
      </c>
      <c r="BA125">
        <f>AR125</f>
        <v/>
      </c>
      <c r="BB125">
        <f>1</f>
        <v/>
      </c>
      <c r="BC125">
        <f>IF(AV125=1,1,IF(AW125=1,2,IF(AX125=1,3,IF(AY125=1,4,IF(AZ125=1,5,IF(BA125=1,6,7))))))</f>
        <v/>
      </c>
      <c r="BD125">
        <f>IF(AD125=1,CHOOSE('Historical Score'!$C$29,AV125,AW125,AX125,AY125,AZ125,BA125,BB125),0)</f>
        <v/>
      </c>
      <c r="BE125">
        <f>IF(BD125=1,COUNTIF($BD$2:BD125,1),"")</f>
        <v/>
      </c>
    </row>
    <row r="126">
      <c r="A126" t="inlineStr">
        <is>
          <t>5674159072</t>
        </is>
      </c>
      <c r="B126" t="inlineStr">
        <is>
          <t>Anderson Carpentry Co.</t>
        </is>
      </c>
      <c r="C126" t="inlineStr">
        <is>
          <t>Anderson carpentry and Co.</t>
        </is>
      </c>
      <c r="D126" t="inlineStr">
        <is>
          <t>Legal</t>
        </is>
      </c>
      <c r="E126" s="297" t="n">
        <v>45813</v>
      </c>
      <c r="F126" s="297" t="n">
        <v>45926</v>
      </c>
      <c r="G126" t="n">
        <v>1</v>
      </c>
      <c r="H126" t="inlineStr">
        <is>
          <t>1751</t>
        </is>
      </c>
      <c r="I126" t="inlineStr">
        <is>
          <t>17</t>
        </is>
      </c>
      <c r="J126" t="inlineStr">
        <is>
          <t>FL</t>
        </is>
      </c>
      <c r="K126" t="inlineStr">
        <is>
          <t>Samson Funding</t>
        </is>
      </c>
      <c r="L126" t="inlineStr">
        <is>
          <t>Renewal</t>
        </is>
      </c>
      <c r="M126" s="298" t="n">
        <v>1.49</v>
      </c>
      <c r="N126" s="299" t="n">
        <v>16500</v>
      </c>
      <c r="O126" s="299" t="n">
        <v>2310</v>
      </c>
      <c r="P126" s="299" t="n">
        <v>24585</v>
      </c>
      <c r="Q126" s="299" t="n">
        <v>4038.1</v>
      </c>
      <c r="R126" s="299" t="n">
        <v>20546.9</v>
      </c>
      <c r="S126" s="300" t="n">
        <v>0.164250559284116</v>
      </c>
      <c r="T126" t="n">
        <v>3.279</v>
      </c>
      <c r="U126" t="n">
        <v>40</v>
      </c>
      <c r="W126" s="300" t="n">
        <v>0.1619</v>
      </c>
      <c r="X126" s="297" t="n">
        <v>45813</v>
      </c>
      <c r="Y126">
        <f>IF(I126="","No SIC",IFERROR(VLOOKUP(I126,Ref!$A$2:$B$65,2,FALSE),"Unclassified"))</f>
        <v/>
      </c>
      <c r="Z126">
        <f>IF(T126="","",IF(T126&lt;12,"Daily","Weekly"))</f>
        <v/>
      </c>
      <c r="AA126">
        <f>IF(T126="",0,IF(T126&lt;12,T126*Controls!$B$29,T126*5))</f>
        <v/>
      </c>
      <c r="AB126">
        <f>IF(E126="",0,NETWORKDAYS(E126,Controls!$B$36,Ref!$K$2:$K$42))</f>
        <v/>
      </c>
      <c r="AC126">
        <f>IF(AND(AA126&gt;0,AB126&gt;=Controls!$B$39*AA126),1,0)</f>
        <v/>
      </c>
      <c r="AD126">
        <f>IF(AND(E126&lt;&gt;"",E126&gt;=Controls!$B$37,E126&lt;=Controls!$B$38),1,0)</f>
        <v/>
      </c>
      <c r="AE126">
        <f>IF(IFERROR(VLOOKUP(D126,Controls!$A$64:$E$74,2,FALSE),"No")="Yes",1,0)</f>
        <v/>
      </c>
      <c r="AF126">
        <f>IF(IFERROR(VLOOKUP(D126,Controls!$A$64:$E$74,3,FALSE),"No")="Yes",1,0)</f>
        <v/>
      </c>
      <c r="AG126">
        <f>IF(IFERROR(VLOOKUP(D126,Controls!$A$64:$E$74,4,FALSE),"No")="Yes",1,0)</f>
        <v/>
      </c>
      <c r="AH126">
        <f>IF(IFERROR(VLOOKUP(D126,Controls!$A$64:$E$74,5,FALSE),"No")="Yes",1,0)</f>
        <v/>
      </c>
      <c r="AI126">
        <f>IF(ISNUMBER(MATCH(D126,Controls!$A$64:$A$74,0)),1,0)</f>
        <v/>
      </c>
      <c r="AJ126">
        <f>Q126-N126</f>
        <v/>
      </c>
      <c r="AK126">
        <f>IF(AE126=1,MAX(0,N126-Q126),0)</f>
        <v/>
      </c>
      <c r="AL126">
        <f>IF(OR(V126="",V126=0),0,N126/V126)</f>
        <v/>
      </c>
      <c r="AM126">
        <f>IF(OR(V126="",V126=0),0,1)</f>
        <v/>
      </c>
      <c r="AN126">
        <f>IF(OR(E126="",F126=""),0,NETWORKDAYS(E126,F126,Ref!$K$2:$K$42))</f>
        <v/>
      </c>
      <c r="AO126">
        <f>IF(L126="Renewal",1,0)</f>
        <v/>
      </c>
      <c r="AP126">
        <f>AC126*AD126</f>
        <v/>
      </c>
      <c r="AQ126">
        <f>IF(AND(G126&lt;&gt;"",'Historical Score'!$C$6&lt;&gt;""),IF(G126='Historical Score'!$C$6,1,0),0)</f>
        <v/>
      </c>
      <c r="AR126">
        <f>IF(AND(L126&lt;&gt;"",'Historical Score'!$C$5&lt;&gt;""),IF(L126='Historical Score'!$C$5,1,0),0)</f>
        <v/>
      </c>
      <c r="AS126">
        <f>IF(AND(Y126&lt;&gt;"",'Historical Score'!$C$7&lt;&gt;""),IF(Y126='Historical Score'!$C$7,1,0),0)</f>
        <v/>
      </c>
      <c r="AT126">
        <f>IF(AND(K126&lt;&gt;"",'Historical Score'!$C$8&lt;&gt;""),IF(K126='Historical Score'!$C$8,1,0),0)</f>
        <v/>
      </c>
      <c r="AU126">
        <f>IF(AND(J126&lt;&gt;"",'Historical Score'!$C$9&lt;&gt;""),IF(J126='Historical Score'!$C$9,1,0),0)</f>
        <v/>
      </c>
      <c r="AV126">
        <f>AR126*AS126*AQ126</f>
        <v/>
      </c>
      <c r="AW126">
        <f>AR126*AT126*AQ126</f>
        <v/>
      </c>
      <c r="AX126">
        <f>AR126*AS126</f>
        <v/>
      </c>
      <c r="AY126">
        <f>AR126*AT126</f>
        <v/>
      </c>
      <c r="AZ126">
        <f>AR126*AQ126</f>
        <v/>
      </c>
      <c r="BA126">
        <f>AR126</f>
        <v/>
      </c>
      <c r="BB126">
        <f>1</f>
        <v/>
      </c>
      <c r="BC126">
        <f>IF(AV126=1,1,IF(AW126=1,2,IF(AX126=1,3,IF(AY126=1,4,IF(AZ126=1,5,IF(BA126=1,6,7))))))</f>
        <v/>
      </c>
      <c r="BD126">
        <f>IF(AD126=1,CHOOSE('Historical Score'!$C$29,AV126,AW126,AX126,AY126,AZ126,BA126,BB126),0)</f>
        <v/>
      </c>
      <c r="BE126">
        <f>IF(BD126=1,COUNTIF($BD$2:BD126,1),"")</f>
        <v/>
      </c>
    </row>
    <row r="127">
      <c r="A127" t="inlineStr">
        <is>
          <t>5674159288</t>
        </is>
      </c>
      <c r="B127" t="inlineStr">
        <is>
          <t>Fast Affordable College Student Mover and</t>
        </is>
      </c>
      <c r="C127" t="inlineStr">
        <is>
          <t>Fast Affordable College Student Mover and</t>
        </is>
      </c>
      <c r="D127" t="inlineStr">
        <is>
          <t>Written-Off</t>
        </is>
      </c>
      <c r="E127" s="297" t="n">
        <v>45817</v>
      </c>
      <c r="F127" s="297" t="n">
        <v>45835</v>
      </c>
      <c r="G127" t="n">
        <v>2</v>
      </c>
      <c r="H127" t="inlineStr">
        <is>
          <t>4212</t>
        </is>
      </c>
      <c r="I127" t="inlineStr">
        <is>
          <t>42</t>
        </is>
      </c>
      <c r="J127" t="inlineStr">
        <is>
          <t>LA</t>
        </is>
      </c>
      <c r="K127" t="inlineStr">
        <is>
          <t>Alternative Solutions Funding</t>
        </is>
      </c>
      <c r="L127" t="inlineStr">
        <is>
          <t>New Deal</t>
        </is>
      </c>
      <c r="M127" s="298" t="n">
        <v>1.5</v>
      </c>
      <c r="N127" s="299" t="n">
        <v>8000</v>
      </c>
      <c r="O127" s="299" t="n">
        <v>0</v>
      </c>
      <c r="P127" s="299" t="n">
        <v>12000</v>
      </c>
      <c r="Q127" s="299" t="n">
        <v>599.76</v>
      </c>
      <c r="R127" s="299" t="n">
        <v>11400.24</v>
      </c>
      <c r="S127" s="300" t="n">
        <v>0.04998</v>
      </c>
      <c r="T127" t="n">
        <v>2.623</v>
      </c>
      <c r="U127" t="n">
        <v>3</v>
      </c>
      <c r="W127" s="300" t="n">
        <v>0.0624</v>
      </c>
      <c r="X127" s="297" t="n">
        <v>45817</v>
      </c>
      <c r="Y127">
        <f>IF(I127="","No SIC",IFERROR(VLOOKUP(I127,Ref!$A$2:$B$65,2,FALSE),"Unclassified"))</f>
        <v/>
      </c>
      <c r="Z127">
        <f>IF(T127="","",IF(T127&lt;12,"Daily","Weekly"))</f>
        <v/>
      </c>
      <c r="AA127">
        <f>IF(T127="",0,IF(T127&lt;12,T127*Controls!$B$29,T127*5))</f>
        <v/>
      </c>
      <c r="AB127">
        <f>IF(E127="",0,NETWORKDAYS(E127,Controls!$B$36,Ref!$K$2:$K$42))</f>
        <v/>
      </c>
      <c r="AC127">
        <f>IF(AND(AA127&gt;0,AB127&gt;=Controls!$B$39*AA127),1,0)</f>
        <v/>
      </c>
      <c r="AD127">
        <f>IF(AND(E127&lt;&gt;"",E127&gt;=Controls!$B$37,E127&lt;=Controls!$B$38),1,0)</f>
        <v/>
      </c>
      <c r="AE127">
        <f>IF(IFERROR(VLOOKUP(D127,Controls!$A$64:$E$74,2,FALSE),"No")="Yes",1,0)</f>
        <v/>
      </c>
      <c r="AF127">
        <f>IF(IFERROR(VLOOKUP(D127,Controls!$A$64:$E$74,3,FALSE),"No")="Yes",1,0)</f>
        <v/>
      </c>
      <c r="AG127">
        <f>IF(IFERROR(VLOOKUP(D127,Controls!$A$64:$E$74,4,FALSE),"No")="Yes",1,0)</f>
        <v/>
      </c>
      <c r="AH127">
        <f>IF(IFERROR(VLOOKUP(D127,Controls!$A$64:$E$74,5,FALSE),"No")="Yes",1,0)</f>
        <v/>
      </c>
      <c r="AI127">
        <f>IF(ISNUMBER(MATCH(D127,Controls!$A$64:$A$74,0)),1,0)</f>
        <v/>
      </c>
      <c r="AJ127">
        <f>Q127-N127</f>
        <v/>
      </c>
      <c r="AK127">
        <f>IF(AE127=1,MAX(0,N127-Q127),0)</f>
        <v/>
      </c>
      <c r="AL127">
        <f>IF(OR(V127="",V127=0),0,N127/V127)</f>
        <v/>
      </c>
      <c r="AM127">
        <f>IF(OR(V127="",V127=0),0,1)</f>
        <v/>
      </c>
      <c r="AN127">
        <f>IF(OR(E127="",F127=""),0,NETWORKDAYS(E127,F127,Ref!$K$2:$K$42))</f>
        <v/>
      </c>
      <c r="AO127">
        <f>IF(L127="Renewal",1,0)</f>
        <v/>
      </c>
      <c r="AP127">
        <f>AC127*AD127</f>
        <v/>
      </c>
      <c r="AQ127">
        <f>IF(AND(G127&lt;&gt;"",'Historical Score'!$C$6&lt;&gt;""),IF(G127='Historical Score'!$C$6,1,0),0)</f>
        <v/>
      </c>
      <c r="AR127">
        <f>IF(AND(L127&lt;&gt;"",'Historical Score'!$C$5&lt;&gt;""),IF(L127='Historical Score'!$C$5,1,0),0)</f>
        <v/>
      </c>
      <c r="AS127">
        <f>IF(AND(Y127&lt;&gt;"",'Historical Score'!$C$7&lt;&gt;""),IF(Y127='Historical Score'!$C$7,1,0),0)</f>
        <v/>
      </c>
      <c r="AT127">
        <f>IF(AND(K127&lt;&gt;"",'Historical Score'!$C$8&lt;&gt;""),IF(K127='Historical Score'!$C$8,1,0),0)</f>
        <v/>
      </c>
      <c r="AU127">
        <f>IF(AND(J127&lt;&gt;"",'Historical Score'!$C$9&lt;&gt;""),IF(J127='Historical Score'!$C$9,1,0),0)</f>
        <v/>
      </c>
      <c r="AV127">
        <f>AR127*AS127*AQ127</f>
        <v/>
      </c>
      <c r="AW127">
        <f>AR127*AT127*AQ127</f>
        <v/>
      </c>
      <c r="AX127">
        <f>AR127*AS127</f>
        <v/>
      </c>
      <c r="AY127">
        <f>AR127*AT127</f>
        <v/>
      </c>
      <c r="AZ127">
        <f>AR127*AQ127</f>
        <v/>
      </c>
      <c r="BA127">
        <f>AR127</f>
        <v/>
      </c>
      <c r="BB127">
        <f>1</f>
        <v/>
      </c>
      <c r="BC127">
        <f>IF(AV127=1,1,IF(AW127=1,2,IF(AX127=1,3,IF(AY127=1,4,IF(AZ127=1,5,IF(BA127=1,6,7))))))</f>
        <v/>
      </c>
      <c r="BD127">
        <f>IF(AD127=1,CHOOSE('Historical Score'!$C$29,AV127,AW127,AX127,AY127,AZ127,BA127,BB127),0)</f>
        <v/>
      </c>
      <c r="BE127">
        <f>IF(BD127=1,COUNTIF($BD$2:BD127,1),"")</f>
        <v/>
      </c>
    </row>
    <row r="128">
      <c r="A128" t="inlineStr">
        <is>
          <t>5674159323</t>
        </is>
      </c>
      <c r="B128" t="inlineStr">
        <is>
          <t>FLOORS AND PAINTING FOR LESS</t>
        </is>
      </c>
      <c r="C128" t="inlineStr">
        <is>
          <t>FLOORS AND PAINTING FOR LESS, INC.</t>
        </is>
      </c>
      <c r="D128" t="inlineStr">
        <is>
          <t>Closed</t>
        </is>
      </c>
      <c r="E128" s="297" t="n">
        <v>45817</v>
      </c>
      <c r="F128" s="297" t="n">
        <v>46024</v>
      </c>
      <c r="G128" t="n">
        <v>1</v>
      </c>
      <c r="H128" t="inlineStr">
        <is>
          <t>1752</t>
        </is>
      </c>
      <c r="I128" t="inlineStr">
        <is>
          <t>17</t>
        </is>
      </c>
      <c r="J128" t="inlineStr">
        <is>
          <t>FL</t>
        </is>
      </c>
      <c r="K128" t="inlineStr">
        <is>
          <t>EZ ADVANCE LLC</t>
        </is>
      </c>
      <c r="L128" t="inlineStr">
        <is>
          <t>New Deal</t>
        </is>
      </c>
      <c r="M128" s="298" t="n">
        <v>1.45</v>
      </c>
      <c r="N128" s="299" t="n">
        <v>40000</v>
      </c>
      <c r="O128" s="299" t="n">
        <v>4800</v>
      </c>
      <c r="P128" s="299" t="n">
        <v>58000</v>
      </c>
      <c r="Q128" s="299" t="n">
        <v>58000</v>
      </c>
      <c r="R128" s="299" t="n">
        <v>0</v>
      </c>
      <c r="S128" s="300" t="n">
        <v>1</v>
      </c>
      <c r="T128" t="n">
        <v>30</v>
      </c>
      <c r="U128" t="n">
        <v>0</v>
      </c>
      <c r="W128" s="300" t="n">
        <v>0.073</v>
      </c>
      <c r="X128" s="297" t="n">
        <v>45817</v>
      </c>
      <c r="Y128">
        <f>IF(I128="","No SIC",IFERROR(VLOOKUP(I128,Ref!$A$2:$B$65,2,FALSE),"Unclassified"))</f>
        <v/>
      </c>
      <c r="Z128">
        <f>IF(T128="","",IF(T128&lt;12,"Daily","Weekly"))</f>
        <v/>
      </c>
      <c r="AA128">
        <f>IF(T128="",0,IF(T128&lt;12,T128*Controls!$B$29,T128*5))</f>
        <v/>
      </c>
      <c r="AB128">
        <f>IF(E128="",0,NETWORKDAYS(E128,Controls!$B$36,Ref!$K$2:$K$42))</f>
        <v/>
      </c>
      <c r="AC128">
        <f>IF(AND(AA128&gt;0,AB128&gt;=Controls!$B$39*AA128),1,0)</f>
        <v/>
      </c>
      <c r="AD128">
        <f>IF(AND(E128&lt;&gt;"",E128&gt;=Controls!$B$37,E128&lt;=Controls!$B$38),1,0)</f>
        <v/>
      </c>
      <c r="AE128">
        <f>IF(IFERROR(VLOOKUP(D128,Controls!$A$64:$E$74,2,FALSE),"No")="Yes",1,0)</f>
        <v/>
      </c>
      <c r="AF128">
        <f>IF(IFERROR(VLOOKUP(D128,Controls!$A$64:$E$74,3,FALSE),"No")="Yes",1,0)</f>
        <v/>
      </c>
      <c r="AG128">
        <f>IF(IFERROR(VLOOKUP(D128,Controls!$A$64:$E$74,4,FALSE),"No")="Yes",1,0)</f>
        <v/>
      </c>
      <c r="AH128">
        <f>IF(IFERROR(VLOOKUP(D128,Controls!$A$64:$E$74,5,FALSE),"No")="Yes",1,0)</f>
        <v/>
      </c>
      <c r="AI128">
        <f>IF(ISNUMBER(MATCH(D128,Controls!$A$64:$A$74,0)),1,0)</f>
        <v/>
      </c>
      <c r="AJ128">
        <f>Q128-N128</f>
        <v/>
      </c>
      <c r="AK128">
        <f>IF(AE128=1,MAX(0,N128-Q128),0)</f>
        <v/>
      </c>
      <c r="AL128">
        <f>IF(OR(V128="",V128=0),0,N128/V128)</f>
        <v/>
      </c>
      <c r="AM128">
        <f>IF(OR(V128="",V128=0),0,1)</f>
        <v/>
      </c>
      <c r="AN128">
        <f>IF(OR(E128="",F128=""),0,NETWORKDAYS(E128,F128,Ref!$K$2:$K$42))</f>
        <v/>
      </c>
      <c r="AO128">
        <f>IF(L128="Renewal",1,0)</f>
        <v/>
      </c>
      <c r="AP128">
        <f>AC128*AD128</f>
        <v/>
      </c>
      <c r="AQ128">
        <f>IF(AND(G128&lt;&gt;"",'Historical Score'!$C$6&lt;&gt;""),IF(G128='Historical Score'!$C$6,1,0),0)</f>
        <v/>
      </c>
      <c r="AR128">
        <f>IF(AND(L128&lt;&gt;"",'Historical Score'!$C$5&lt;&gt;""),IF(L128='Historical Score'!$C$5,1,0),0)</f>
        <v/>
      </c>
      <c r="AS128">
        <f>IF(AND(Y128&lt;&gt;"",'Historical Score'!$C$7&lt;&gt;""),IF(Y128='Historical Score'!$C$7,1,0),0)</f>
        <v/>
      </c>
      <c r="AT128">
        <f>IF(AND(K128&lt;&gt;"",'Historical Score'!$C$8&lt;&gt;""),IF(K128='Historical Score'!$C$8,1,0),0)</f>
        <v/>
      </c>
      <c r="AU128">
        <f>IF(AND(J128&lt;&gt;"",'Historical Score'!$C$9&lt;&gt;""),IF(J128='Historical Score'!$C$9,1,0),0)</f>
        <v/>
      </c>
      <c r="AV128">
        <f>AR128*AS128*AQ128</f>
        <v/>
      </c>
      <c r="AW128">
        <f>AR128*AT128*AQ128</f>
        <v/>
      </c>
      <c r="AX128">
        <f>AR128*AS128</f>
        <v/>
      </c>
      <c r="AY128">
        <f>AR128*AT128</f>
        <v/>
      </c>
      <c r="AZ128">
        <f>AR128*AQ128</f>
        <v/>
      </c>
      <c r="BA128">
        <f>AR128</f>
        <v/>
      </c>
      <c r="BB128">
        <f>1</f>
        <v/>
      </c>
      <c r="BC128">
        <f>IF(AV128=1,1,IF(AW128=1,2,IF(AX128=1,3,IF(AY128=1,4,IF(AZ128=1,5,IF(BA128=1,6,7))))))</f>
        <v/>
      </c>
      <c r="BD128">
        <f>IF(AD128=1,CHOOSE('Historical Score'!$C$29,AV128,AW128,AX128,AY128,AZ128,BA128,BB128),0)</f>
        <v/>
      </c>
      <c r="BE128">
        <f>IF(BD128=1,COUNTIF($BD$2:BD128,1),"")</f>
        <v/>
      </c>
    </row>
    <row r="129">
      <c r="A129" t="inlineStr">
        <is>
          <t>5674159429</t>
        </is>
      </c>
      <c r="B129" t="inlineStr">
        <is>
          <t>Gago burger LLC</t>
        </is>
      </c>
      <c r="C129" t="inlineStr">
        <is>
          <t>Gago burger LLC</t>
        </is>
      </c>
      <c r="D129" t="inlineStr">
        <is>
          <t>Legal</t>
        </is>
      </c>
      <c r="E129" s="297" t="n">
        <v>45818</v>
      </c>
      <c r="F129" s="297" t="n">
        <v>45832</v>
      </c>
      <c r="G129" t="n">
        <v>1</v>
      </c>
      <c r="H129" t="inlineStr">
        <is>
          <t>5812</t>
        </is>
      </c>
      <c r="I129" t="inlineStr">
        <is>
          <t>58</t>
        </is>
      </c>
      <c r="J129" t="inlineStr">
        <is>
          <t>TX</t>
        </is>
      </c>
      <c r="K129" t="inlineStr">
        <is>
          <t>Pyn Capital</t>
        </is>
      </c>
      <c r="L129" t="inlineStr">
        <is>
          <t>New Deal</t>
        </is>
      </c>
      <c r="M129" s="298" t="n">
        <v>1.499</v>
      </c>
      <c r="N129" s="299" t="n">
        <v>8000</v>
      </c>
      <c r="O129" s="299" t="n">
        <v>0</v>
      </c>
      <c r="P129" s="299" t="n">
        <v>11992</v>
      </c>
      <c r="Q129" s="299" t="n">
        <v>0</v>
      </c>
      <c r="R129" s="299" t="n">
        <v>11992</v>
      </c>
      <c r="S129" s="300" t="n">
        <v>0</v>
      </c>
      <c r="T129" t="n">
        <v>1.967</v>
      </c>
      <c r="U129" t="n">
        <v>7</v>
      </c>
      <c r="W129" s="300" t="n">
        <v>0.0392</v>
      </c>
      <c r="X129" s="297" t="n">
        <v>45818</v>
      </c>
      <c r="Y129">
        <f>IF(I129="","No SIC",IFERROR(VLOOKUP(I129,Ref!$A$2:$B$65,2,FALSE),"Unclassified"))</f>
        <v/>
      </c>
      <c r="Z129">
        <f>IF(T129="","",IF(T129&lt;12,"Daily","Weekly"))</f>
        <v/>
      </c>
      <c r="AA129">
        <f>IF(T129="",0,IF(T129&lt;12,T129*Controls!$B$29,T129*5))</f>
        <v/>
      </c>
      <c r="AB129">
        <f>IF(E129="",0,NETWORKDAYS(E129,Controls!$B$36,Ref!$K$2:$K$42))</f>
        <v/>
      </c>
      <c r="AC129">
        <f>IF(AND(AA129&gt;0,AB129&gt;=Controls!$B$39*AA129),1,0)</f>
        <v/>
      </c>
      <c r="AD129">
        <f>IF(AND(E129&lt;&gt;"",E129&gt;=Controls!$B$37,E129&lt;=Controls!$B$38),1,0)</f>
        <v/>
      </c>
      <c r="AE129">
        <f>IF(IFERROR(VLOOKUP(D129,Controls!$A$64:$E$74,2,FALSE),"No")="Yes",1,0)</f>
        <v/>
      </c>
      <c r="AF129">
        <f>IF(IFERROR(VLOOKUP(D129,Controls!$A$64:$E$74,3,FALSE),"No")="Yes",1,0)</f>
        <v/>
      </c>
      <c r="AG129">
        <f>IF(IFERROR(VLOOKUP(D129,Controls!$A$64:$E$74,4,FALSE),"No")="Yes",1,0)</f>
        <v/>
      </c>
      <c r="AH129">
        <f>IF(IFERROR(VLOOKUP(D129,Controls!$A$64:$E$74,5,FALSE),"No")="Yes",1,0)</f>
        <v/>
      </c>
      <c r="AI129">
        <f>IF(ISNUMBER(MATCH(D129,Controls!$A$64:$A$74,0)),1,0)</f>
        <v/>
      </c>
      <c r="AJ129">
        <f>Q129-N129</f>
        <v/>
      </c>
      <c r="AK129">
        <f>IF(AE129=1,MAX(0,N129-Q129),0)</f>
        <v/>
      </c>
      <c r="AL129">
        <f>IF(OR(V129="",V129=0),0,N129/V129)</f>
        <v/>
      </c>
      <c r="AM129">
        <f>IF(OR(V129="",V129=0),0,1)</f>
        <v/>
      </c>
      <c r="AN129">
        <f>IF(OR(E129="",F129=""),0,NETWORKDAYS(E129,F129,Ref!$K$2:$K$42))</f>
        <v/>
      </c>
      <c r="AO129">
        <f>IF(L129="Renewal",1,0)</f>
        <v/>
      </c>
      <c r="AP129">
        <f>AC129*AD129</f>
        <v/>
      </c>
      <c r="AQ129">
        <f>IF(AND(G129&lt;&gt;"",'Historical Score'!$C$6&lt;&gt;""),IF(G129='Historical Score'!$C$6,1,0),0)</f>
        <v/>
      </c>
      <c r="AR129">
        <f>IF(AND(L129&lt;&gt;"",'Historical Score'!$C$5&lt;&gt;""),IF(L129='Historical Score'!$C$5,1,0),0)</f>
        <v/>
      </c>
      <c r="AS129">
        <f>IF(AND(Y129&lt;&gt;"",'Historical Score'!$C$7&lt;&gt;""),IF(Y129='Historical Score'!$C$7,1,0),0)</f>
        <v/>
      </c>
      <c r="AT129">
        <f>IF(AND(K129&lt;&gt;"",'Historical Score'!$C$8&lt;&gt;""),IF(K129='Historical Score'!$C$8,1,0),0)</f>
        <v/>
      </c>
      <c r="AU129">
        <f>IF(AND(J129&lt;&gt;"",'Historical Score'!$C$9&lt;&gt;""),IF(J129='Historical Score'!$C$9,1,0),0)</f>
        <v/>
      </c>
      <c r="AV129">
        <f>AR129*AS129*AQ129</f>
        <v/>
      </c>
      <c r="AW129">
        <f>AR129*AT129*AQ129</f>
        <v/>
      </c>
      <c r="AX129">
        <f>AR129*AS129</f>
        <v/>
      </c>
      <c r="AY129">
        <f>AR129*AT129</f>
        <v/>
      </c>
      <c r="AZ129">
        <f>AR129*AQ129</f>
        <v/>
      </c>
      <c r="BA129">
        <f>AR129</f>
        <v/>
      </c>
      <c r="BB129">
        <f>1</f>
        <v/>
      </c>
      <c r="BC129">
        <f>IF(AV129=1,1,IF(AW129=1,2,IF(AX129=1,3,IF(AY129=1,4,IF(AZ129=1,5,IF(BA129=1,6,7))))))</f>
        <v/>
      </c>
      <c r="BD129">
        <f>IF(AD129=1,CHOOSE('Historical Score'!$C$29,AV129,AW129,AX129,AY129,AZ129,BA129,BB129),0)</f>
        <v/>
      </c>
      <c r="BE129">
        <f>IF(BD129=1,COUNTIF($BD$2:BD129,1),"")</f>
        <v/>
      </c>
    </row>
    <row r="130">
      <c r="A130" t="inlineStr">
        <is>
          <t>5674159655</t>
        </is>
      </c>
      <c r="B130" t="inlineStr">
        <is>
          <t>International Market LLC.</t>
        </is>
      </c>
      <c r="C130" t="inlineStr">
        <is>
          <t>International Market LLC.</t>
        </is>
      </c>
      <c r="D130" t="inlineStr">
        <is>
          <t>Closed</t>
        </is>
      </c>
      <c r="E130" s="297" t="n">
        <v>45820</v>
      </c>
      <c r="F130" s="297" t="n">
        <v>46027</v>
      </c>
      <c r="G130" t="n">
        <v>2</v>
      </c>
      <c r="H130" t="inlineStr">
        <is>
          <t>5421</t>
        </is>
      </c>
      <c r="I130" t="inlineStr">
        <is>
          <t>54</t>
        </is>
      </c>
      <c r="J130" t="inlineStr">
        <is>
          <t>OH</t>
        </is>
      </c>
      <c r="K130" t="inlineStr">
        <is>
          <t>PMF</t>
        </is>
      </c>
      <c r="L130" t="inlineStr">
        <is>
          <t>New Deal</t>
        </is>
      </c>
      <c r="M130" s="298" t="n">
        <v>1.49</v>
      </c>
      <c r="N130" s="299" t="n">
        <v>13500</v>
      </c>
      <c r="O130" s="299" t="n">
        <v>1890</v>
      </c>
      <c r="P130" s="299" t="n">
        <v>20115</v>
      </c>
      <c r="Q130" s="299" t="n">
        <v>20115</v>
      </c>
      <c r="R130" s="299" t="n">
        <v>0</v>
      </c>
      <c r="S130" s="300" t="n">
        <v>1</v>
      </c>
      <c r="T130" t="n">
        <v>16</v>
      </c>
      <c r="U130" t="n">
        <v>15</v>
      </c>
      <c r="W130" s="300" t="n">
        <v>0.073</v>
      </c>
      <c r="X130" s="297" t="n">
        <v>44002</v>
      </c>
      <c r="Y130">
        <f>IF(I130="","No SIC",IFERROR(VLOOKUP(I130,Ref!$A$2:$B$65,2,FALSE),"Unclassified"))</f>
        <v/>
      </c>
      <c r="Z130">
        <f>IF(T130="","",IF(T130&lt;12,"Daily","Weekly"))</f>
        <v/>
      </c>
      <c r="AA130">
        <f>IF(T130="",0,IF(T130&lt;12,T130*Controls!$B$29,T130*5))</f>
        <v/>
      </c>
      <c r="AB130">
        <f>IF(E130="",0,NETWORKDAYS(E130,Controls!$B$36,Ref!$K$2:$K$42))</f>
        <v/>
      </c>
      <c r="AC130">
        <f>IF(AND(AA130&gt;0,AB130&gt;=Controls!$B$39*AA130),1,0)</f>
        <v/>
      </c>
      <c r="AD130">
        <f>IF(AND(E130&lt;&gt;"",E130&gt;=Controls!$B$37,E130&lt;=Controls!$B$38),1,0)</f>
        <v/>
      </c>
      <c r="AE130">
        <f>IF(IFERROR(VLOOKUP(D130,Controls!$A$64:$E$74,2,FALSE),"No")="Yes",1,0)</f>
        <v/>
      </c>
      <c r="AF130">
        <f>IF(IFERROR(VLOOKUP(D130,Controls!$A$64:$E$74,3,FALSE),"No")="Yes",1,0)</f>
        <v/>
      </c>
      <c r="AG130">
        <f>IF(IFERROR(VLOOKUP(D130,Controls!$A$64:$E$74,4,FALSE),"No")="Yes",1,0)</f>
        <v/>
      </c>
      <c r="AH130">
        <f>IF(IFERROR(VLOOKUP(D130,Controls!$A$64:$E$74,5,FALSE),"No")="Yes",1,0)</f>
        <v/>
      </c>
      <c r="AI130">
        <f>IF(ISNUMBER(MATCH(D130,Controls!$A$64:$A$74,0)),1,0)</f>
        <v/>
      </c>
      <c r="AJ130">
        <f>Q130-N130</f>
        <v/>
      </c>
      <c r="AK130">
        <f>IF(AE130=1,MAX(0,N130-Q130),0)</f>
        <v/>
      </c>
      <c r="AL130">
        <f>IF(OR(V130="",V130=0),0,N130/V130)</f>
        <v/>
      </c>
      <c r="AM130">
        <f>IF(OR(V130="",V130=0),0,1)</f>
        <v/>
      </c>
      <c r="AN130">
        <f>IF(OR(E130="",F130=""),0,NETWORKDAYS(E130,F130,Ref!$K$2:$K$42))</f>
        <v/>
      </c>
      <c r="AO130">
        <f>IF(L130="Renewal",1,0)</f>
        <v/>
      </c>
      <c r="AP130">
        <f>AC130*AD130</f>
        <v/>
      </c>
      <c r="AQ130">
        <f>IF(AND(G130&lt;&gt;"",'Historical Score'!$C$6&lt;&gt;""),IF(G130='Historical Score'!$C$6,1,0),0)</f>
        <v/>
      </c>
      <c r="AR130">
        <f>IF(AND(L130&lt;&gt;"",'Historical Score'!$C$5&lt;&gt;""),IF(L130='Historical Score'!$C$5,1,0),0)</f>
        <v/>
      </c>
      <c r="AS130">
        <f>IF(AND(Y130&lt;&gt;"",'Historical Score'!$C$7&lt;&gt;""),IF(Y130='Historical Score'!$C$7,1,0),0)</f>
        <v/>
      </c>
      <c r="AT130">
        <f>IF(AND(K130&lt;&gt;"",'Historical Score'!$C$8&lt;&gt;""),IF(K130='Historical Score'!$C$8,1,0),0)</f>
        <v/>
      </c>
      <c r="AU130">
        <f>IF(AND(J130&lt;&gt;"",'Historical Score'!$C$9&lt;&gt;""),IF(J130='Historical Score'!$C$9,1,0),0)</f>
        <v/>
      </c>
      <c r="AV130">
        <f>AR130*AS130*AQ130</f>
        <v/>
      </c>
      <c r="AW130">
        <f>AR130*AT130*AQ130</f>
        <v/>
      </c>
      <c r="AX130">
        <f>AR130*AS130</f>
        <v/>
      </c>
      <c r="AY130">
        <f>AR130*AT130</f>
        <v/>
      </c>
      <c r="AZ130">
        <f>AR130*AQ130</f>
        <v/>
      </c>
      <c r="BA130">
        <f>AR130</f>
        <v/>
      </c>
      <c r="BB130">
        <f>1</f>
        <v/>
      </c>
      <c r="BC130">
        <f>IF(AV130=1,1,IF(AW130=1,2,IF(AX130=1,3,IF(AY130=1,4,IF(AZ130=1,5,IF(BA130=1,6,7))))))</f>
        <v/>
      </c>
      <c r="BD130">
        <f>IF(AD130=1,CHOOSE('Historical Score'!$C$29,AV130,AW130,AX130,AY130,AZ130,BA130,BB130),0)</f>
        <v/>
      </c>
      <c r="BE130">
        <f>IF(BD130=1,COUNTIF($BD$2:BD130,1),"")</f>
        <v/>
      </c>
    </row>
    <row r="131">
      <c r="A131" t="inlineStr">
        <is>
          <t>5674159732</t>
        </is>
      </c>
      <c r="B131" t="inlineStr">
        <is>
          <t>SPY TRADER LLC</t>
        </is>
      </c>
      <c r="C131" t="inlineStr">
        <is>
          <t>TRADER LLC</t>
        </is>
      </c>
      <c r="D131" t="inlineStr">
        <is>
          <t>Legal</t>
        </is>
      </c>
      <c r="E131" s="297" t="n">
        <v>45820</v>
      </c>
      <c r="F131" s="297" t="n">
        <v>45866</v>
      </c>
      <c r="G131" t="n">
        <v>2</v>
      </c>
      <c r="H131" t="inlineStr">
        <is>
          <t>8742</t>
        </is>
      </c>
      <c r="I131" t="inlineStr">
        <is>
          <t>87</t>
        </is>
      </c>
      <c r="J131" t="inlineStr">
        <is>
          <t>FL</t>
        </is>
      </c>
      <c r="K131" t="inlineStr">
        <is>
          <t>Business Fund USA 4</t>
        </is>
      </c>
      <c r="L131" t="inlineStr">
        <is>
          <t>New Deal</t>
        </is>
      </c>
      <c r="M131" s="298" t="n">
        <v>1.499</v>
      </c>
      <c r="N131" s="299" t="n">
        <v>12000</v>
      </c>
      <c r="O131" s="299" t="n">
        <v>1680</v>
      </c>
      <c r="P131" s="299" t="n">
        <v>17988</v>
      </c>
      <c r="Q131" s="299" t="n">
        <v>8058.42</v>
      </c>
      <c r="R131" s="299" t="n">
        <v>9929.58</v>
      </c>
      <c r="S131" s="300" t="n">
        <v>0.447988659106071</v>
      </c>
      <c r="T131" t="n">
        <v>1.967</v>
      </c>
      <c r="U131" t="n">
        <v>3</v>
      </c>
      <c r="W131" s="300" t="n">
        <v>0.0372</v>
      </c>
      <c r="X131" s="297" t="n">
        <v>45820</v>
      </c>
      <c r="Y131">
        <f>IF(I131="","No SIC",IFERROR(VLOOKUP(I131,Ref!$A$2:$B$65,2,FALSE),"Unclassified"))</f>
        <v/>
      </c>
      <c r="Z131">
        <f>IF(T131="","",IF(T131&lt;12,"Daily","Weekly"))</f>
        <v/>
      </c>
      <c r="AA131">
        <f>IF(T131="",0,IF(T131&lt;12,T131*Controls!$B$29,T131*5))</f>
        <v/>
      </c>
      <c r="AB131">
        <f>IF(E131="",0,NETWORKDAYS(E131,Controls!$B$36,Ref!$K$2:$K$42))</f>
        <v/>
      </c>
      <c r="AC131">
        <f>IF(AND(AA131&gt;0,AB131&gt;=Controls!$B$39*AA131),1,0)</f>
        <v/>
      </c>
      <c r="AD131">
        <f>IF(AND(E131&lt;&gt;"",E131&gt;=Controls!$B$37,E131&lt;=Controls!$B$38),1,0)</f>
        <v/>
      </c>
      <c r="AE131">
        <f>IF(IFERROR(VLOOKUP(D131,Controls!$A$64:$E$74,2,FALSE),"No")="Yes",1,0)</f>
        <v/>
      </c>
      <c r="AF131">
        <f>IF(IFERROR(VLOOKUP(D131,Controls!$A$64:$E$74,3,FALSE),"No")="Yes",1,0)</f>
        <v/>
      </c>
      <c r="AG131">
        <f>IF(IFERROR(VLOOKUP(D131,Controls!$A$64:$E$74,4,FALSE),"No")="Yes",1,0)</f>
        <v/>
      </c>
      <c r="AH131">
        <f>IF(IFERROR(VLOOKUP(D131,Controls!$A$64:$E$74,5,FALSE),"No")="Yes",1,0)</f>
        <v/>
      </c>
      <c r="AI131">
        <f>IF(ISNUMBER(MATCH(D131,Controls!$A$64:$A$74,0)),1,0)</f>
        <v/>
      </c>
      <c r="AJ131">
        <f>Q131-N131</f>
        <v/>
      </c>
      <c r="AK131">
        <f>IF(AE131=1,MAX(0,N131-Q131),0)</f>
        <v/>
      </c>
      <c r="AL131">
        <f>IF(OR(V131="",V131=0),0,N131/V131)</f>
        <v/>
      </c>
      <c r="AM131">
        <f>IF(OR(V131="",V131=0),0,1)</f>
        <v/>
      </c>
      <c r="AN131">
        <f>IF(OR(E131="",F131=""),0,NETWORKDAYS(E131,F131,Ref!$K$2:$K$42))</f>
        <v/>
      </c>
      <c r="AO131">
        <f>IF(L131="Renewal",1,0)</f>
        <v/>
      </c>
      <c r="AP131">
        <f>AC131*AD131</f>
        <v/>
      </c>
      <c r="AQ131">
        <f>IF(AND(G131&lt;&gt;"",'Historical Score'!$C$6&lt;&gt;""),IF(G131='Historical Score'!$C$6,1,0),0)</f>
        <v/>
      </c>
      <c r="AR131">
        <f>IF(AND(L131&lt;&gt;"",'Historical Score'!$C$5&lt;&gt;""),IF(L131='Historical Score'!$C$5,1,0),0)</f>
        <v/>
      </c>
      <c r="AS131">
        <f>IF(AND(Y131&lt;&gt;"",'Historical Score'!$C$7&lt;&gt;""),IF(Y131='Historical Score'!$C$7,1,0),0)</f>
        <v/>
      </c>
      <c r="AT131">
        <f>IF(AND(K131&lt;&gt;"",'Historical Score'!$C$8&lt;&gt;""),IF(K131='Historical Score'!$C$8,1,0),0)</f>
        <v/>
      </c>
      <c r="AU131">
        <f>IF(AND(J131&lt;&gt;"",'Historical Score'!$C$9&lt;&gt;""),IF(J131='Historical Score'!$C$9,1,0),0)</f>
        <v/>
      </c>
      <c r="AV131">
        <f>AR131*AS131*AQ131</f>
        <v/>
      </c>
      <c r="AW131">
        <f>AR131*AT131*AQ131</f>
        <v/>
      </c>
      <c r="AX131">
        <f>AR131*AS131</f>
        <v/>
      </c>
      <c r="AY131">
        <f>AR131*AT131</f>
        <v/>
      </c>
      <c r="AZ131">
        <f>AR131*AQ131</f>
        <v/>
      </c>
      <c r="BA131">
        <f>AR131</f>
        <v/>
      </c>
      <c r="BB131">
        <f>1</f>
        <v/>
      </c>
      <c r="BC131">
        <f>IF(AV131=1,1,IF(AW131=1,2,IF(AX131=1,3,IF(AY131=1,4,IF(AZ131=1,5,IF(BA131=1,6,7))))))</f>
        <v/>
      </c>
      <c r="BD131">
        <f>IF(AD131=1,CHOOSE('Historical Score'!$C$29,AV131,AW131,AX131,AY131,AZ131,BA131,BB131),0)</f>
        <v/>
      </c>
      <c r="BE131">
        <f>IF(BD131=1,COUNTIF($BD$2:BD131,1),"")</f>
        <v/>
      </c>
    </row>
    <row r="132">
      <c r="A132" t="inlineStr">
        <is>
          <t>5674159929</t>
        </is>
      </c>
      <c r="B132" t="inlineStr">
        <is>
          <t>LTV EVENTS LLC</t>
        </is>
      </c>
      <c r="C132" t="inlineStr">
        <is>
          <t>LTV EVENTS LLC</t>
        </is>
      </c>
      <c r="D132" t="inlineStr">
        <is>
          <t>Legal</t>
        </is>
      </c>
      <c r="E132" s="297" t="n">
        <v>45825</v>
      </c>
      <c r="F132" s="297" t="n">
        <v>46175</v>
      </c>
      <c r="G132" t="n">
        <v>4</v>
      </c>
      <c r="H132" t="inlineStr">
        <is>
          <t>7999</t>
        </is>
      </c>
      <c r="I132" t="inlineStr">
        <is>
          <t>79</t>
        </is>
      </c>
      <c r="J132" t="inlineStr">
        <is>
          <t>IL</t>
        </is>
      </c>
      <c r="K132" t="inlineStr">
        <is>
          <t>Redline Capital</t>
        </is>
      </c>
      <c r="L132" t="inlineStr">
        <is>
          <t>Renewal</t>
        </is>
      </c>
      <c r="M132" s="298" t="n">
        <v>1.49</v>
      </c>
      <c r="N132" s="299" t="n">
        <v>17000</v>
      </c>
      <c r="O132" s="299" t="n">
        <v>2380</v>
      </c>
      <c r="P132" s="299" t="n">
        <v>25330</v>
      </c>
      <c r="Q132" s="299" t="n">
        <v>6567.02</v>
      </c>
      <c r="R132" s="299" t="n">
        <v>18762.98</v>
      </c>
      <c r="S132" s="300" t="n">
        <v>0.259258586656139</v>
      </c>
      <c r="T132" t="n">
        <v>3.279</v>
      </c>
      <c r="U132" t="n">
        <v>20</v>
      </c>
      <c r="W132" s="300" t="n">
        <v>0.187</v>
      </c>
      <c r="X132" s="297" t="n">
        <v>45825</v>
      </c>
      <c r="Y132">
        <f>IF(I132="","No SIC",IFERROR(VLOOKUP(I132,Ref!$A$2:$B$65,2,FALSE),"Unclassified"))</f>
        <v/>
      </c>
      <c r="Z132">
        <f>IF(T132="","",IF(T132&lt;12,"Daily","Weekly"))</f>
        <v/>
      </c>
      <c r="AA132">
        <f>IF(T132="",0,IF(T132&lt;12,T132*Controls!$B$29,T132*5))</f>
        <v/>
      </c>
      <c r="AB132">
        <f>IF(E132="",0,NETWORKDAYS(E132,Controls!$B$36,Ref!$K$2:$K$42))</f>
        <v/>
      </c>
      <c r="AC132">
        <f>IF(AND(AA132&gt;0,AB132&gt;=Controls!$B$39*AA132),1,0)</f>
        <v/>
      </c>
      <c r="AD132">
        <f>IF(AND(E132&lt;&gt;"",E132&gt;=Controls!$B$37,E132&lt;=Controls!$B$38),1,0)</f>
        <v/>
      </c>
      <c r="AE132">
        <f>IF(IFERROR(VLOOKUP(D132,Controls!$A$64:$E$74,2,FALSE),"No")="Yes",1,0)</f>
        <v/>
      </c>
      <c r="AF132">
        <f>IF(IFERROR(VLOOKUP(D132,Controls!$A$64:$E$74,3,FALSE),"No")="Yes",1,0)</f>
        <v/>
      </c>
      <c r="AG132">
        <f>IF(IFERROR(VLOOKUP(D132,Controls!$A$64:$E$74,4,FALSE),"No")="Yes",1,0)</f>
        <v/>
      </c>
      <c r="AH132">
        <f>IF(IFERROR(VLOOKUP(D132,Controls!$A$64:$E$74,5,FALSE),"No")="Yes",1,0)</f>
        <v/>
      </c>
      <c r="AI132">
        <f>IF(ISNUMBER(MATCH(D132,Controls!$A$64:$A$74,0)),1,0)</f>
        <v/>
      </c>
      <c r="AJ132">
        <f>Q132-N132</f>
        <v/>
      </c>
      <c r="AK132">
        <f>IF(AE132=1,MAX(0,N132-Q132),0)</f>
        <v/>
      </c>
      <c r="AL132">
        <f>IF(OR(V132="",V132=0),0,N132/V132)</f>
        <v/>
      </c>
      <c r="AM132">
        <f>IF(OR(V132="",V132=0),0,1)</f>
        <v/>
      </c>
      <c r="AN132">
        <f>IF(OR(E132="",F132=""),0,NETWORKDAYS(E132,F132,Ref!$K$2:$K$42))</f>
        <v/>
      </c>
      <c r="AO132">
        <f>IF(L132="Renewal",1,0)</f>
        <v/>
      </c>
      <c r="AP132">
        <f>AC132*AD132</f>
        <v/>
      </c>
      <c r="AQ132">
        <f>IF(AND(G132&lt;&gt;"",'Historical Score'!$C$6&lt;&gt;""),IF(G132='Historical Score'!$C$6,1,0),0)</f>
        <v/>
      </c>
      <c r="AR132">
        <f>IF(AND(L132&lt;&gt;"",'Historical Score'!$C$5&lt;&gt;""),IF(L132='Historical Score'!$C$5,1,0),0)</f>
        <v/>
      </c>
      <c r="AS132">
        <f>IF(AND(Y132&lt;&gt;"",'Historical Score'!$C$7&lt;&gt;""),IF(Y132='Historical Score'!$C$7,1,0),0)</f>
        <v/>
      </c>
      <c r="AT132">
        <f>IF(AND(K132&lt;&gt;"",'Historical Score'!$C$8&lt;&gt;""),IF(K132='Historical Score'!$C$8,1,0),0)</f>
        <v/>
      </c>
      <c r="AU132">
        <f>IF(AND(J132&lt;&gt;"",'Historical Score'!$C$9&lt;&gt;""),IF(J132='Historical Score'!$C$9,1,0),0)</f>
        <v/>
      </c>
      <c r="AV132">
        <f>AR132*AS132*AQ132</f>
        <v/>
      </c>
      <c r="AW132">
        <f>AR132*AT132*AQ132</f>
        <v/>
      </c>
      <c r="AX132">
        <f>AR132*AS132</f>
        <v/>
      </c>
      <c r="AY132">
        <f>AR132*AT132</f>
        <v/>
      </c>
      <c r="AZ132">
        <f>AR132*AQ132</f>
        <v/>
      </c>
      <c r="BA132">
        <f>AR132</f>
        <v/>
      </c>
      <c r="BB132">
        <f>1</f>
        <v/>
      </c>
      <c r="BC132">
        <f>IF(AV132=1,1,IF(AW132=1,2,IF(AX132=1,3,IF(AY132=1,4,IF(AZ132=1,5,IF(BA132=1,6,7))))))</f>
        <v/>
      </c>
      <c r="BD132">
        <f>IF(AD132=1,CHOOSE('Historical Score'!$C$29,AV132,AW132,AX132,AY132,AZ132,BA132,BB132),0)</f>
        <v/>
      </c>
      <c r="BE132">
        <f>IF(BD132=1,COUNTIF($BD$2:BD132,1),"")</f>
        <v/>
      </c>
    </row>
    <row r="133">
      <c r="A133" t="inlineStr">
        <is>
          <t>5674160073</t>
        </is>
      </c>
      <c r="B133" t="inlineStr">
        <is>
          <t>Top Armour Contracting</t>
        </is>
      </c>
      <c r="C133" t="inlineStr">
        <is>
          <t>Top Armour Contracting</t>
        </is>
      </c>
      <c r="D133" t="inlineStr">
        <is>
          <t>Legal</t>
        </is>
      </c>
      <c r="E133" s="297" t="n">
        <v>45826</v>
      </c>
      <c r="F133" s="297" t="n">
        <v>45841</v>
      </c>
      <c r="G133" t="n">
        <v>1</v>
      </c>
      <c r="H133" t="inlineStr">
        <is>
          <t>4212</t>
        </is>
      </c>
      <c r="I133" t="inlineStr">
        <is>
          <t>42</t>
        </is>
      </c>
      <c r="J133" t="inlineStr">
        <is>
          <t>NC</t>
        </is>
      </c>
      <c r="K133" t="inlineStr">
        <is>
          <t>PMF</t>
        </is>
      </c>
      <c r="L133" t="inlineStr">
        <is>
          <t>New Deal</t>
        </is>
      </c>
      <c r="M133" s="298" t="n">
        <v>1.499</v>
      </c>
      <c r="N133" s="299" t="n">
        <v>10000</v>
      </c>
      <c r="O133" s="299" t="n">
        <v>1400</v>
      </c>
      <c r="P133" s="299" t="n">
        <v>14990</v>
      </c>
      <c r="Q133" s="299" t="n">
        <v>1499.18</v>
      </c>
      <c r="R133" s="299" t="n">
        <v>13490.82</v>
      </c>
      <c r="S133" s="300" t="n">
        <v>0.100012008005337</v>
      </c>
      <c r="T133" t="n">
        <v>20</v>
      </c>
      <c r="U133" t="n">
        <v>1</v>
      </c>
      <c r="W133" s="300" t="n">
        <v>0.07049999999999999</v>
      </c>
      <c r="X133" s="297" t="n">
        <v>43391</v>
      </c>
      <c r="Y133">
        <f>IF(I133="","No SIC",IFERROR(VLOOKUP(I133,Ref!$A$2:$B$65,2,FALSE),"Unclassified"))</f>
        <v/>
      </c>
      <c r="Z133">
        <f>IF(T133="","",IF(T133&lt;12,"Daily","Weekly"))</f>
        <v/>
      </c>
      <c r="AA133">
        <f>IF(T133="",0,IF(T133&lt;12,T133*Controls!$B$29,T133*5))</f>
        <v/>
      </c>
      <c r="AB133">
        <f>IF(E133="",0,NETWORKDAYS(E133,Controls!$B$36,Ref!$K$2:$K$42))</f>
        <v/>
      </c>
      <c r="AC133">
        <f>IF(AND(AA133&gt;0,AB133&gt;=Controls!$B$39*AA133),1,0)</f>
        <v/>
      </c>
      <c r="AD133">
        <f>IF(AND(E133&lt;&gt;"",E133&gt;=Controls!$B$37,E133&lt;=Controls!$B$38),1,0)</f>
        <v/>
      </c>
      <c r="AE133">
        <f>IF(IFERROR(VLOOKUP(D133,Controls!$A$64:$E$74,2,FALSE),"No")="Yes",1,0)</f>
        <v/>
      </c>
      <c r="AF133">
        <f>IF(IFERROR(VLOOKUP(D133,Controls!$A$64:$E$74,3,FALSE),"No")="Yes",1,0)</f>
        <v/>
      </c>
      <c r="AG133">
        <f>IF(IFERROR(VLOOKUP(D133,Controls!$A$64:$E$74,4,FALSE),"No")="Yes",1,0)</f>
        <v/>
      </c>
      <c r="AH133">
        <f>IF(IFERROR(VLOOKUP(D133,Controls!$A$64:$E$74,5,FALSE),"No")="Yes",1,0)</f>
        <v/>
      </c>
      <c r="AI133">
        <f>IF(ISNUMBER(MATCH(D133,Controls!$A$64:$A$74,0)),1,0)</f>
        <v/>
      </c>
      <c r="AJ133">
        <f>Q133-N133</f>
        <v/>
      </c>
      <c r="AK133">
        <f>IF(AE133=1,MAX(0,N133-Q133),0)</f>
        <v/>
      </c>
      <c r="AL133">
        <f>IF(OR(V133="",V133=0),0,N133/V133)</f>
        <v/>
      </c>
      <c r="AM133">
        <f>IF(OR(V133="",V133=0),0,1)</f>
        <v/>
      </c>
      <c r="AN133">
        <f>IF(OR(E133="",F133=""),0,NETWORKDAYS(E133,F133,Ref!$K$2:$K$42))</f>
        <v/>
      </c>
      <c r="AO133">
        <f>IF(L133="Renewal",1,0)</f>
        <v/>
      </c>
      <c r="AP133">
        <f>AC133*AD133</f>
        <v/>
      </c>
      <c r="AQ133">
        <f>IF(AND(G133&lt;&gt;"",'Historical Score'!$C$6&lt;&gt;""),IF(G133='Historical Score'!$C$6,1,0),0)</f>
        <v/>
      </c>
      <c r="AR133">
        <f>IF(AND(L133&lt;&gt;"",'Historical Score'!$C$5&lt;&gt;""),IF(L133='Historical Score'!$C$5,1,0),0)</f>
        <v/>
      </c>
      <c r="AS133">
        <f>IF(AND(Y133&lt;&gt;"",'Historical Score'!$C$7&lt;&gt;""),IF(Y133='Historical Score'!$C$7,1,0),0)</f>
        <v/>
      </c>
      <c r="AT133">
        <f>IF(AND(K133&lt;&gt;"",'Historical Score'!$C$8&lt;&gt;""),IF(K133='Historical Score'!$C$8,1,0),0)</f>
        <v/>
      </c>
      <c r="AU133">
        <f>IF(AND(J133&lt;&gt;"",'Historical Score'!$C$9&lt;&gt;""),IF(J133='Historical Score'!$C$9,1,0),0)</f>
        <v/>
      </c>
      <c r="AV133">
        <f>AR133*AS133*AQ133</f>
        <v/>
      </c>
      <c r="AW133">
        <f>AR133*AT133*AQ133</f>
        <v/>
      </c>
      <c r="AX133">
        <f>AR133*AS133</f>
        <v/>
      </c>
      <c r="AY133">
        <f>AR133*AT133</f>
        <v/>
      </c>
      <c r="AZ133">
        <f>AR133*AQ133</f>
        <v/>
      </c>
      <c r="BA133">
        <f>AR133</f>
        <v/>
      </c>
      <c r="BB133">
        <f>1</f>
        <v/>
      </c>
      <c r="BC133">
        <f>IF(AV133=1,1,IF(AW133=1,2,IF(AX133=1,3,IF(AY133=1,4,IF(AZ133=1,5,IF(BA133=1,6,7))))))</f>
        <v/>
      </c>
      <c r="BD133">
        <f>IF(AD133=1,CHOOSE('Historical Score'!$C$29,AV133,AW133,AX133,AY133,AZ133,BA133,BB133),0)</f>
        <v/>
      </c>
      <c r="BE133">
        <f>IF(BD133=1,COUNTIF($BD$2:BD133,1),"")</f>
        <v/>
      </c>
    </row>
    <row r="134">
      <c r="A134" t="inlineStr">
        <is>
          <t>5674160322</t>
        </is>
      </c>
      <c r="B134" t="inlineStr">
        <is>
          <t>TRPLUMBING LLC</t>
        </is>
      </c>
      <c r="C134" t="inlineStr">
        <is>
          <t>TRPLUMBING LLC</t>
        </is>
      </c>
      <c r="D134" t="inlineStr">
        <is>
          <t>Legal</t>
        </is>
      </c>
      <c r="E134" s="297" t="n">
        <v>45831</v>
      </c>
      <c r="F134" s="297" t="n">
        <v>45881</v>
      </c>
      <c r="G134" t="n">
        <v>3</v>
      </c>
      <c r="H134" t="inlineStr">
        <is>
          <t>1711</t>
        </is>
      </c>
      <c r="I134" t="inlineStr">
        <is>
          <t>17</t>
        </is>
      </c>
      <c r="J134" t="inlineStr">
        <is>
          <t>VA</t>
        </is>
      </c>
      <c r="K134" t="inlineStr">
        <is>
          <t>United Secured Capital 8</t>
        </is>
      </c>
      <c r="L134" t="inlineStr">
        <is>
          <t>New Deal</t>
        </is>
      </c>
      <c r="M134" s="298" t="n">
        <v>1.49</v>
      </c>
      <c r="N134" s="299" t="n">
        <v>12000</v>
      </c>
      <c r="O134" s="299" t="n">
        <v>1680</v>
      </c>
      <c r="P134" s="299" t="n">
        <v>17880</v>
      </c>
      <c r="Q134" s="299" t="n">
        <v>7869.51</v>
      </c>
      <c r="R134" s="299" t="n">
        <v>10010.49</v>
      </c>
      <c r="S134" s="300" t="n">
        <v>0.440129194630873</v>
      </c>
      <c r="T134" t="n">
        <v>2.459</v>
      </c>
      <c r="U134" t="n">
        <v>3</v>
      </c>
      <c r="W134" s="300" t="n">
        <v>0.1072</v>
      </c>
      <c r="X134" s="297" t="n">
        <v>45831</v>
      </c>
      <c r="Y134">
        <f>IF(I134="","No SIC",IFERROR(VLOOKUP(I134,Ref!$A$2:$B$65,2,FALSE),"Unclassified"))</f>
        <v/>
      </c>
      <c r="Z134">
        <f>IF(T134="","",IF(T134&lt;12,"Daily","Weekly"))</f>
        <v/>
      </c>
      <c r="AA134">
        <f>IF(T134="",0,IF(T134&lt;12,T134*Controls!$B$29,T134*5))</f>
        <v/>
      </c>
      <c r="AB134">
        <f>IF(E134="",0,NETWORKDAYS(E134,Controls!$B$36,Ref!$K$2:$K$42))</f>
        <v/>
      </c>
      <c r="AC134">
        <f>IF(AND(AA134&gt;0,AB134&gt;=Controls!$B$39*AA134),1,0)</f>
        <v/>
      </c>
      <c r="AD134">
        <f>IF(AND(E134&lt;&gt;"",E134&gt;=Controls!$B$37,E134&lt;=Controls!$B$38),1,0)</f>
        <v/>
      </c>
      <c r="AE134">
        <f>IF(IFERROR(VLOOKUP(D134,Controls!$A$64:$E$74,2,FALSE),"No")="Yes",1,0)</f>
        <v/>
      </c>
      <c r="AF134">
        <f>IF(IFERROR(VLOOKUP(D134,Controls!$A$64:$E$74,3,FALSE),"No")="Yes",1,0)</f>
        <v/>
      </c>
      <c r="AG134">
        <f>IF(IFERROR(VLOOKUP(D134,Controls!$A$64:$E$74,4,FALSE),"No")="Yes",1,0)</f>
        <v/>
      </c>
      <c r="AH134">
        <f>IF(IFERROR(VLOOKUP(D134,Controls!$A$64:$E$74,5,FALSE),"No")="Yes",1,0)</f>
        <v/>
      </c>
      <c r="AI134">
        <f>IF(ISNUMBER(MATCH(D134,Controls!$A$64:$A$74,0)),1,0)</f>
        <v/>
      </c>
      <c r="AJ134">
        <f>Q134-N134</f>
        <v/>
      </c>
      <c r="AK134">
        <f>IF(AE134=1,MAX(0,N134-Q134),0)</f>
        <v/>
      </c>
      <c r="AL134">
        <f>IF(OR(V134="",V134=0),0,N134/V134)</f>
        <v/>
      </c>
      <c r="AM134">
        <f>IF(OR(V134="",V134=0),0,1)</f>
        <v/>
      </c>
      <c r="AN134">
        <f>IF(OR(E134="",F134=""),0,NETWORKDAYS(E134,F134,Ref!$K$2:$K$42))</f>
        <v/>
      </c>
      <c r="AO134">
        <f>IF(L134="Renewal",1,0)</f>
        <v/>
      </c>
      <c r="AP134">
        <f>AC134*AD134</f>
        <v/>
      </c>
      <c r="AQ134">
        <f>IF(AND(G134&lt;&gt;"",'Historical Score'!$C$6&lt;&gt;""),IF(G134='Historical Score'!$C$6,1,0),0)</f>
        <v/>
      </c>
      <c r="AR134">
        <f>IF(AND(L134&lt;&gt;"",'Historical Score'!$C$5&lt;&gt;""),IF(L134='Historical Score'!$C$5,1,0),0)</f>
        <v/>
      </c>
      <c r="AS134">
        <f>IF(AND(Y134&lt;&gt;"",'Historical Score'!$C$7&lt;&gt;""),IF(Y134='Historical Score'!$C$7,1,0),0)</f>
        <v/>
      </c>
      <c r="AT134">
        <f>IF(AND(K134&lt;&gt;"",'Historical Score'!$C$8&lt;&gt;""),IF(K134='Historical Score'!$C$8,1,0),0)</f>
        <v/>
      </c>
      <c r="AU134">
        <f>IF(AND(J134&lt;&gt;"",'Historical Score'!$C$9&lt;&gt;""),IF(J134='Historical Score'!$C$9,1,0),0)</f>
        <v/>
      </c>
      <c r="AV134">
        <f>AR134*AS134*AQ134</f>
        <v/>
      </c>
      <c r="AW134">
        <f>AR134*AT134*AQ134</f>
        <v/>
      </c>
      <c r="AX134">
        <f>AR134*AS134</f>
        <v/>
      </c>
      <c r="AY134">
        <f>AR134*AT134</f>
        <v/>
      </c>
      <c r="AZ134">
        <f>AR134*AQ134</f>
        <v/>
      </c>
      <c r="BA134">
        <f>AR134</f>
        <v/>
      </c>
      <c r="BB134">
        <f>1</f>
        <v/>
      </c>
      <c r="BC134">
        <f>IF(AV134=1,1,IF(AW134=1,2,IF(AX134=1,3,IF(AY134=1,4,IF(AZ134=1,5,IF(BA134=1,6,7))))))</f>
        <v/>
      </c>
      <c r="BD134">
        <f>IF(AD134=1,CHOOSE('Historical Score'!$C$29,AV134,AW134,AX134,AY134,AZ134,BA134,BB134),0)</f>
        <v/>
      </c>
      <c r="BE134">
        <f>IF(BD134=1,COUNTIF($BD$2:BD134,1),"")</f>
        <v/>
      </c>
    </row>
    <row r="135">
      <c r="A135" t="inlineStr">
        <is>
          <t>5674160473</t>
        </is>
      </c>
      <c r="B135" t="inlineStr">
        <is>
          <t>Forum Reliability Inc</t>
        </is>
      </c>
      <c r="C135" t="inlineStr">
        <is>
          <t>Forum Reliability Inc</t>
        </is>
      </c>
      <c r="D135" t="inlineStr">
        <is>
          <t>Closed</t>
        </is>
      </c>
      <c r="E135" s="297" t="n">
        <v>45833</v>
      </c>
      <c r="F135" s="297" t="n">
        <v>45974</v>
      </c>
      <c r="G135" t="n">
        <v>1</v>
      </c>
      <c r="H135" t="inlineStr">
        <is>
          <t>5047</t>
        </is>
      </c>
      <c r="I135" t="inlineStr">
        <is>
          <t>50</t>
        </is>
      </c>
      <c r="J135" t="inlineStr">
        <is>
          <t>TX</t>
        </is>
      </c>
      <c r="K135" t="inlineStr">
        <is>
          <t>The Funding Channel</t>
        </is>
      </c>
      <c r="L135" t="inlineStr">
        <is>
          <t>New Deal</t>
        </is>
      </c>
      <c r="M135" s="298" t="n">
        <v>1.49</v>
      </c>
      <c r="N135" s="299" t="n">
        <v>20000</v>
      </c>
      <c r="O135" s="299" t="n">
        <v>2800</v>
      </c>
      <c r="P135" s="299" t="n">
        <v>29800</v>
      </c>
      <c r="Q135" s="299" t="n">
        <v>29800</v>
      </c>
      <c r="R135" s="299" t="n">
        <v>0</v>
      </c>
      <c r="S135" s="300" t="n">
        <v>1</v>
      </c>
      <c r="T135" t="n">
        <v>20</v>
      </c>
      <c r="U135" t="n">
        <v>1</v>
      </c>
      <c r="W135" s="300" t="n">
        <v>0.0641</v>
      </c>
      <c r="X135" s="297" t="n">
        <v>44587</v>
      </c>
      <c r="Y135">
        <f>IF(I135="","No SIC",IFERROR(VLOOKUP(I135,Ref!$A$2:$B$65,2,FALSE),"Unclassified"))</f>
        <v/>
      </c>
      <c r="Z135">
        <f>IF(T135="","",IF(T135&lt;12,"Daily","Weekly"))</f>
        <v/>
      </c>
      <c r="AA135">
        <f>IF(T135="",0,IF(T135&lt;12,T135*Controls!$B$29,T135*5))</f>
        <v/>
      </c>
      <c r="AB135">
        <f>IF(E135="",0,NETWORKDAYS(E135,Controls!$B$36,Ref!$K$2:$K$42))</f>
        <v/>
      </c>
      <c r="AC135">
        <f>IF(AND(AA135&gt;0,AB135&gt;=Controls!$B$39*AA135),1,0)</f>
        <v/>
      </c>
      <c r="AD135">
        <f>IF(AND(E135&lt;&gt;"",E135&gt;=Controls!$B$37,E135&lt;=Controls!$B$38),1,0)</f>
        <v/>
      </c>
      <c r="AE135">
        <f>IF(IFERROR(VLOOKUP(D135,Controls!$A$64:$E$74,2,FALSE),"No")="Yes",1,0)</f>
        <v/>
      </c>
      <c r="AF135">
        <f>IF(IFERROR(VLOOKUP(D135,Controls!$A$64:$E$74,3,FALSE),"No")="Yes",1,0)</f>
        <v/>
      </c>
      <c r="AG135">
        <f>IF(IFERROR(VLOOKUP(D135,Controls!$A$64:$E$74,4,FALSE),"No")="Yes",1,0)</f>
        <v/>
      </c>
      <c r="AH135">
        <f>IF(IFERROR(VLOOKUP(D135,Controls!$A$64:$E$74,5,FALSE),"No")="Yes",1,0)</f>
        <v/>
      </c>
      <c r="AI135">
        <f>IF(ISNUMBER(MATCH(D135,Controls!$A$64:$A$74,0)),1,0)</f>
        <v/>
      </c>
      <c r="AJ135">
        <f>Q135-N135</f>
        <v/>
      </c>
      <c r="AK135">
        <f>IF(AE135=1,MAX(0,N135-Q135),0)</f>
        <v/>
      </c>
      <c r="AL135">
        <f>IF(OR(V135="",V135=0),0,N135/V135)</f>
        <v/>
      </c>
      <c r="AM135">
        <f>IF(OR(V135="",V135=0),0,1)</f>
        <v/>
      </c>
      <c r="AN135">
        <f>IF(OR(E135="",F135=""),0,NETWORKDAYS(E135,F135,Ref!$K$2:$K$42))</f>
        <v/>
      </c>
      <c r="AO135">
        <f>IF(L135="Renewal",1,0)</f>
        <v/>
      </c>
      <c r="AP135">
        <f>AC135*AD135</f>
        <v/>
      </c>
      <c r="AQ135">
        <f>IF(AND(G135&lt;&gt;"",'Historical Score'!$C$6&lt;&gt;""),IF(G135='Historical Score'!$C$6,1,0),0)</f>
        <v/>
      </c>
      <c r="AR135">
        <f>IF(AND(L135&lt;&gt;"",'Historical Score'!$C$5&lt;&gt;""),IF(L135='Historical Score'!$C$5,1,0),0)</f>
        <v/>
      </c>
      <c r="AS135">
        <f>IF(AND(Y135&lt;&gt;"",'Historical Score'!$C$7&lt;&gt;""),IF(Y135='Historical Score'!$C$7,1,0),0)</f>
        <v/>
      </c>
      <c r="AT135">
        <f>IF(AND(K135&lt;&gt;"",'Historical Score'!$C$8&lt;&gt;""),IF(K135='Historical Score'!$C$8,1,0),0)</f>
        <v/>
      </c>
      <c r="AU135">
        <f>IF(AND(J135&lt;&gt;"",'Historical Score'!$C$9&lt;&gt;""),IF(J135='Historical Score'!$C$9,1,0),0)</f>
        <v/>
      </c>
      <c r="AV135">
        <f>AR135*AS135*AQ135</f>
        <v/>
      </c>
      <c r="AW135">
        <f>AR135*AT135*AQ135</f>
        <v/>
      </c>
      <c r="AX135">
        <f>AR135*AS135</f>
        <v/>
      </c>
      <c r="AY135">
        <f>AR135*AT135</f>
        <v/>
      </c>
      <c r="AZ135">
        <f>AR135*AQ135</f>
        <v/>
      </c>
      <c r="BA135">
        <f>AR135</f>
        <v/>
      </c>
      <c r="BB135">
        <f>1</f>
        <v/>
      </c>
      <c r="BC135">
        <f>IF(AV135=1,1,IF(AW135=1,2,IF(AX135=1,3,IF(AY135=1,4,IF(AZ135=1,5,IF(BA135=1,6,7))))))</f>
        <v/>
      </c>
      <c r="BD135">
        <f>IF(AD135=1,CHOOSE('Historical Score'!$C$29,AV135,AW135,AX135,AY135,AZ135,BA135,BB135),0)</f>
        <v/>
      </c>
      <c r="BE135">
        <f>IF(BD135=1,COUNTIF($BD$2:BD135,1),"")</f>
        <v/>
      </c>
    </row>
    <row r="136">
      <c r="A136" t="inlineStr">
        <is>
          <t>5674160655</t>
        </is>
      </c>
      <c r="B136" t="inlineStr">
        <is>
          <t>AD Car Detail LLC</t>
        </is>
      </c>
      <c r="C136" t="inlineStr">
        <is>
          <t>AD Car Detail LLC</t>
        </is>
      </c>
      <c r="D136" t="inlineStr">
        <is>
          <t>Closed</t>
        </is>
      </c>
      <c r="E136" s="297" t="n">
        <v>45835</v>
      </c>
      <c r="F136" s="297" t="n">
        <v>45918</v>
      </c>
      <c r="G136" t="n">
        <v>2</v>
      </c>
      <c r="H136" t="inlineStr">
        <is>
          <t>5012</t>
        </is>
      </c>
      <c r="I136" t="inlineStr">
        <is>
          <t>50</t>
        </is>
      </c>
      <c r="J136" t="inlineStr">
        <is>
          <t>MN</t>
        </is>
      </c>
      <c r="K136" t="inlineStr">
        <is>
          <t>ROK</t>
        </is>
      </c>
      <c r="L136" t="inlineStr">
        <is>
          <t>New Deal</t>
        </is>
      </c>
      <c r="M136" s="298" t="n">
        <v>1.499</v>
      </c>
      <c r="N136" s="299" t="n">
        <v>10000</v>
      </c>
      <c r="O136" s="299" t="n">
        <v>1400</v>
      </c>
      <c r="P136" s="299" t="n">
        <v>14990</v>
      </c>
      <c r="Q136" s="299" t="n">
        <v>14990</v>
      </c>
      <c r="R136" s="299" t="n">
        <v>1.81898940354586e-12</v>
      </c>
      <c r="S136" s="300" t="n">
        <v>1</v>
      </c>
      <c r="T136" t="n">
        <v>2.951</v>
      </c>
      <c r="U136" t="n">
        <v>0</v>
      </c>
      <c r="V136" t="n">
        <v>27678.72</v>
      </c>
      <c r="W136" s="300" t="n">
        <v>0.1264</v>
      </c>
      <c r="X136" s="297" t="n">
        <v>45020</v>
      </c>
      <c r="Y136">
        <f>IF(I136="","No SIC",IFERROR(VLOOKUP(I136,Ref!$A$2:$B$65,2,FALSE),"Unclassified"))</f>
        <v/>
      </c>
      <c r="Z136">
        <f>IF(T136="","",IF(T136&lt;12,"Daily","Weekly"))</f>
        <v/>
      </c>
      <c r="AA136">
        <f>IF(T136="",0,IF(T136&lt;12,T136*Controls!$B$29,T136*5))</f>
        <v/>
      </c>
      <c r="AB136">
        <f>IF(E136="",0,NETWORKDAYS(E136,Controls!$B$36,Ref!$K$2:$K$42))</f>
        <v/>
      </c>
      <c r="AC136">
        <f>IF(AND(AA136&gt;0,AB136&gt;=Controls!$B$39*AA136),1,0)</f>
        <v/>
      </c>
      <c r="AD136">
        <f>IF(AND(E136&lt;&gt;"",E136&gt;=Controls!$B$37,E136&lt;=Controls!$B$38),1,0)</f>
        <v/>
      </c>
      <c r="AE136">
        <f>IF(IFERROR(VLOOKUP(D136,Controls!$A$64:$E$74,2,FALSE),"No")="Yes",1,0)</f>
        <v/>
      </c>
      <c r="AF136">
        <f>IF(IFERROR(VLOOKUP(D136,Controls!$A$64:$E$74,3,FALSE),"No")="Yes",1,0)</f>
        <v/>
      </c>
      <c r="AG136">
        <f>IF(IFERROR(VLOOKUP(D136,Controls!$A$64:$E$74,4,FALSE),"No")="Yes",1,0)</f>
        <v/>
      </c>
      <c r="AH136">
        <f>IF(IFERROR(VLOOKUP(D136,Controls!$A$64:$E$74,5,FALSE),"No")="Yes",1,0)</f>
        <v/>
      </c>
      <c r="AI136">
        <f>IF(ISNUMBER(MATCH(D136,Controls!$A$64:$A$74,0)),1,0)</f>
        <v/>
      </c>
      <c r="AJ136">
        <f>Q136-N136</f>
        <v/>
      </c>
      <c r="AK136">
        <f>IF(AE136=1,MAX(0,N136-Q136),0)</f>
        <v/>
      </c>
      <c r="AL136">
        <f>IF(OR(V136="",V136=0),0,N136/V136)</f>
        <v/>
      </c>
      <c r="AM136">
        <f>IF(OR(V136="",V136=0),0,1)</f>
        <v/>
      </c>
      <c r="AN136">
        <f>IF(OR(E136="",F136=""),0,NETWORKDAYS(E136,F136,Ref!$K$2:$K$42))</f>
        <v/>
      </c>
      <c r="AO136">
        <f>IF(L136="Renewal",1,0)</f>
        <v/>
      </c>
      <c r="AP136">
        <f>AC136*AD136</f>
        <v/>
      </c>
      <c r="AQ136">
        <f>IF(AND(G136&lt;&gt;"",'Historical Score'!$C$6&lt;&gt;""),IF(G136='Historical Score'!$C$6,1,0),0)</f>
        <v/>
      </c>
      <c r="AR136">
        <f>IF(AND(L136&lt;&gt;"",'Historical Score'!$C$5&lt;&gt;""),IF(L136='Historical Score'!$C$5,1,0),0)</f>
        <v/>
      </c>
      <c r="AS136">
        <f>IF(AND(Y136&lt;&gt;"",'Historical Score'!$C$7&lt;&gt;""),IF(Y136='Historical Score'!$C$7,1,0),0)</f>
        <v/>
      </c>
      <c r="AT136">
        <f>IF(AND(K136&lt;&gt;"",'Historical Score'!$C$8&lt;&gt;""),IF(K136='Historical Score'!$C$8,1,0),0)</f>
        <v/>
      </c>
      <c r="AU136">
        <f>IF(AND(J136&lt;&gt;"",'Historical Score'!$C$9&lt;&gt;""),IF(J136='Historical Score'!$C$9,1,0),0)</f>
        <v/>
      </c>
      <c r="AV136">
        <f>AR136*AS136*AQ136</f>
        <v/>
      </c>
      <c r="AW136">
        <f>AR136*AT136*AQ136</f>
        <v/>
      </c>
      <c r="AX136">
        <f>AR136*AS136</f>
        <v/>
      </c>
      <c r="AY136">
        <f>AR136*AT136</f>
        <v/>
      </c>
      <c r="AZ136">
        <f>AR136*AQ136</f>
        <v/>
      </c>
      <c r="BA136">
        <f>AR136</f>
        <v/>
      </c>
      <c r="BB136">
        <f>1</f>
        <v/>
      </c>
      <c r="BC136">
        <f>IF(AV136=1,1,IF(AW136=1,2,IF(AX136=1,3,IF(AY136=1,4,IF(AZ136=1,5,IF(BA136=1,6,7))))))</f>
        <v/>
      </c>
      <c r="BD136">
        <f>IF(AD136=1,CHOOSE('Historical Score'!$C$29,AV136,AW136,AX136,AY136,AZ136,BA136,BB136),0)</f>
        <v/>
      </c>
      <c r="BE136">
        <f>IF(BD136=1,COUNTIF($BD$2:BD136,1),"")</f>
        <v/>
      </c>
    </row>
    <row r="137">
      <c r="A137" t="inlineStr">
        <is>
          <t>5674160718</t>
        </is>
      </c>
      <c r="B137" t="inlineStr">
        <is>
          <t>Ampliphi Wellness P.M.A. 508c1a</t>
        </is>
      </c>
      <c r="C137" t="inlineStr">
        <is>
          <t>Ampliphi Wellness P.M.A. 508c1a</t>
        </is>
      </c>
      <c r="D137" t="inlineStr">
        <is>
          <t>Closed</t>
        </is>
      </c>
      <c r="E137" s="297" t="n">
        <v>45835</v>
      </c>
      <c r="F137" s="297" t="n">
        <v>45929</v>
      </c>
      <c r="G137" t="n">
        <v>2</v>
      </c>
      <c r="H137" t="inlineStr">
        <is>
          <t>8049</t>
        </is>
      </c>
      <c r="I137" t="inlineStr">
        <is>
          <t>80</t>
        </is>
      </c>
      <c r="J137" t="inlineStr">
        <is>
          <t>ID</t>
        </is>
      </c>
      <c r="K137" t="inlineStr">
        <is>
          <t>Secure Capital Solutions 7</t>
        </is>
      </c>
      <c r="L137" t="inlineStr">
        <is>
          <t>New Deal</t>
        </is>
      </c>
      <c r="M137" s="298" t="n">
        <v>1.4767425</v>
      </c>
      <c r="N137" s="299" t="n">
        <v>20000</v>
      </c>
      <c r="O137" s="299" t="n">
        <v>2800</v>
      </c>
      <c r="P137" s="299" t="n">
        <v>29534.85</v>
      </c>
      <c r="Q137" s="299" t="n">
        <v>29534.85</v>
      </c>
      <c r="R137" s="299" t="n">
        <v>3.63797880709171e-12</v>
      </c>
      <c r="S137" s="300" t="n">
        <v>1</v>
      </c>
      <c r="T137" t="n">
        <v>2.623</v>
      </c>
      <c r="U137" t="n">
        <v>2</v>
      </c>
      <c r="W137" s="300" t="n">
        <v>0.0451</v>
      </c>
      <c r="X137" s="297" t="n">
        <v>45292</v>
      </c>
      <c r="Y137">
        <f>IF(I137="","No SIC",IFERROR(VLOOKUP(I137,Ref!$A$2:$B$65,2,FALSE),"Unclassified"))</f>
        <v/>
      </c>
      <c r="Z137">
        <f>IF(T137="","",IF(T137&lt;12,"Daily","Weekly"))</f>
        <v/>
      </c>
      <c r="AA137">
        <f>IF(T137="",0,IF(T137&lt;12,T137*Controls!$B$29,T137*5))</f>
        <v/>
      </c>
      <c r="AB137">
        <f>IF(E137="",0,NETWORKDAYS(E137,Controls!$B$36,Ref!$K$2:$K$42))</f>
        <v/>
      </c>
      <c r="AC137">
        <f>IF(AND(AA137&gt;0,AB137&gt;=Controls!$B$39*AA137),1,0)</f>
        <v/>
      </c>
      <c r="AD137">
        <f>IF(AND(E137&lt;&gt;"",E137&gt;=Controls!$B$37,E137&lt;=Controls!$B$38),1,0)</f>
        <v/>
      </c>
      <c r="AE137">
        <f>IF(IFERROR(VLOOKUP(D137,Controls!$A$64:$E$74,2,FALSE),"No")="Yes",1,0)</f>
        <v/>
      </c>
      <c r="AF137">
        <f>IF(IFERROR(VLOOKUP(D137,Controls!$A$64:$E$74,3,FALSE),"No")="Yes",1,0)</f>
        <v/>
      </c>
      <c r="AG137">
        <f>IF(IFERROR(VLOOKUP(D137,Controls!$A$64:$E$74,4,FALSE),"No")="Yes",1,0)</f>
        <v/>
      </c>
      <c r="AH137">
        <f>IF(IFERROR(VLOOKUP(D137,Controls!$A$64:$E$74,5,FALSE),"No")="Yes",1,0)</f>
        <v/>
      </c>
      <c r="AI137">
        <f>IF(ISNUMBER(MATCH(D137,Controls!$A$64:$A$74,0)),1,0)</f>
        <v/>
      </c>
      <c r="AJ137">
        <f>Q137-N137</f>
        <v/>
      </c>
      <c r="AK137">
        <f>IF(AE137=1,MAX(0,N137-Q137),0)</f>
        <v/>
      </c>
      <c r="AL137">
        <f>IF(OR(V137="",V137=0),0,N137/V137)</f>
        <v/>
      </c>
      <c r="AM137">
        <f>IF(OR(V137="",V137=0),0,1)</f>
        <v/>
      </c>
      <c r="AN137">
        <f>IF(OR(E137="",F137=""),0,NETWORKDAYS(E137,F137,Ref!$K$2:$K$42))</f>
        <v/>
      </c>
      <c r="AO137">
        <f>IF(L137="Renewal",1,0)</f>
        <v/>
      </c>
      <c r="AP137">
        <f>AC137*AD137</f>
        <v/>
      </c>
      <c r="AQ137">
        <f>IF(AND(G137&lt;&gt;"",'Historical Score'!$C$6&lt;&gt;""),IF(G137='Historical Score'!$C$6,1,0),0)</f>
        <v/>
      </c>
      <c r="AR137">
        <f>IF(AND(L137&lt;&gt;"",'Historical Score'!$C$5&lt;&gt;""),IF(L137='Historical Score'!$C$5,1,0),0)</f>
        <v/>
      </c>
      <c r="AS137">
        <f>IF(AND(Y137&lt;&gt;"",'Historical Score'!$C$7&lt;&gt;""),IF(Y137='Historical Score'!$C$7,1,0),0)</f>
        <v/>
      </c>
      <c r="AT137">
        <f>IF(AND(K137&lt;&gt;"",'Historical Score'!$C$8&lt;&gt;""),IF(K137='Historical Score'!$C$8,1,0),0)</f>
        <v/>
      </c>
      <c r="AU137">
        <f>IF(AND(J137&lt;&gt;"",'Historical Score'!$C$9&lt;&gt;""),IF(J137='Historical Score'!$C$9,1,0),0)</f>
        <v/>
      </c>
      <c r="AV137">
        <f>AR137*AS137*AQ137</f>
        <v/>
      </c>
      <c r="AW137">
        <f>AR137*AT137*AQ137</f>
        <v/>
      </c>
      <c r="AX137">
        <f>AR137*AS137</f>
        <v/>
      </c>
      <c r="AY137">
        <f>AR137*AT137</f>
        <v/>
      </c>
      <c r="AZ137">
        <f>AR137*AQ137</f>
        <v/>
      </c>
      <c r="BA137">
        <f>AR137</f>
        <v/>
      </c>
      <c r="BB137">
        <f>1</f>
        <v/>
      </c>
      <c r="BC137">
        <f>IF(AV137=1,1,IF(AW137=1,2,IF(AX137=1,3,IF(AY137=1,4,IF(AZ137=1,5,IF(BA137=1,6,7))))))</f>
        <v/>
      </c>
      <c r="BD137">
        <f>IF(AD137=1,CHOOSE('Historical Score'!$C$29,AV137,AW137,AX137,AY137,AZ137,BA137,BB137),0)</f>
        <v/>
      </c>
      <c r="BE137">
        <f>IF(BD137=1,COUNTIF($BD$2:BD137,1),"")</f>
        <v/>
      </c>
    </row>
    <row r="138">
      <c r="A138" t="inlineStr">
        <is>
          <t>5674160797</t>
        </is>
      </c>
      <c r="B138" t="inlineStr">
        <is>
          <t>MACS CUSTOM INSTALLS</t>
        </is>
      </c>
      <c r="C138" t="inlineStr">
        <is>
          <t>MACS CUSTOM INSTALLS</t>
        </is>
      </c>
      <c r="D138" t="inlineStr">
        <is>
          <t>At-Risk</t>
        </is>
      </c>
      <c r="E138" s="297" t="n">
        <v>45838</v>
      </c>
      <c r="F138" s="297" t="n">
        <v>46157</v>
      </c>
      <c r="G138" t="n">
        <v>2</v>
      </c>
      <c r="H138" t="inlineStr">
        <is>
          <t>1521</t>
        </is>
      </c>
      <c r="I138" t="inlineStr">
        <is>
          <t>15</t>
        </is>
      </c>
      <c r="J138" t="inlineStr">
        <is>
          <t>SC</t>
        </is>
      </c>
      <c r="K138" t="inlineStr">
        <is>
          <t>Shield Funding</t>
        </is>
      </c>
      <c r="L138" t="inlineStr">
        <is>
          <t>New Deal</t>
        </is>
      </c>
      <c r="M138" s="298" t="n">
        <v>1.49</v>
      </c>
      <c r="N138" s="299" t="n">
        <v>10000</v>
      </c>
      <c r="O138" s="299" t="n">
        <v>1400</v>
      </c>
      <c r="P138" s="299" t="n">
        <v>14900</v>
      </c>
      <c r="Q138" s="299" t="n">
        <v>8473.92</v>
      </c>
      <c r="R138" s="299" t="n">
        <v>6426.08</v>
      </c>
      <c r="S138" s="300" t="n">
        <v>0.568719463087248</v>
      </c>
      <c r="T138" t="n">
        <v>2.623</v>
      </c>
      <c r="U138" t="n">
        <v>12</v>
      </c>
      <c r="V138" t="n">
        <v>36113.12</v>
      </c>
      <c r="W138" s="300" t="n">
        <v>0.1083</v>
      </c>
      <c r="X138" s="297" t="n">
        <v>43767</v>
      </c>
      <c r="Y138">
        <f>IF(I138="","No SIC",IFERROR(VLOOKUP(I138,Ref!$A$2:$B$65,2,FALSE),"Unclassified"))</f>
        <v/>
      </c>
      <c r="Z138">
        <f>IF(T138="","",IF(T138&lt;12,"Daily","Weekly"))</f>
        <v/>
      </c>
      <c r="AA138">
        <f>IF(T138="",0,IF(T138&lt;12,T138*Controls!$B$29,T138*5))</f>
        <v/>
      </c>
      <c r="AB138">
        <f>IF(E138="",0,NETWORKDAYS(E138,Controls!$B$36,Ref!$K$2:$K$42))</f>
        <v/>
      </c>
      <c r="AC138">
        <f>IF(AND(AA138&gt;0,AB138&gt;=Controls!$B$39*AA138),1,0)</f>
        <v/>
      </c>
      <c r="AD138">
        <f>IF(AND(E138&lt;&gt;"",E138&gt;=Controls!$B$37,E138&lt;=Controls!$B$38),1,0)</f>
        <v/>
      </c>
      <c r="AE138">
        <f>IF(IFERROR(VLOOKUP(D138,Controls!$A$64:$E$74,2,FALSE),"No")="Yes",1,0)</f>
        <v/>
      </c>
      <c r="AF138">
        <f>IF(IFERROR(VLOOKUP(D138,Controls!$A$64:$E$74,3,FALSE),"No")="Yes",1,0)</f>
        <v/>
      </c>
      <c r="AG138">
        <f>IF(IFERROR(VLOOKUP(D138,Controls!$A$64:$E$74,4,FALSE),"No")="Yes",1,0)</f>
        <v/>
      </c>
      <c r="AH138">
        <f>IF(IFERROR(VLOOKUP(D138,Controls!$A$64:$E$74,5,FALSE),"No")="Yes",1,0)</f>
        <v/>
      </c>
      <c r="AI138">
        <f>IF(ISNUMBER(MATCH(D138,Controls!$A$64:$A$74,0)),1,0)</f>
        <v/>
      </c>
      <c r="AJ138">
        <f>Q138-N138</f>
        <v/>
      </c>
      <c r="AK138">
        <f>IF(AE138=1,MAX(0,N138-Q138),0)</f>
        <v/>
      </c>
      <c r="AL138">
        <f>IF(OR(V138="",V138=0),0,N138/V138)</f>
        <v/>
      </c>
      <c r="AM138">
        <f>IF(OR(V138="",V138=0),0,1)</f>
        <v/>
      </c>
      <c r="AN138">
        <f>IF(OR(E138="",F138=""),0,NETWORKDAYS(E138,F138,Ref!$K$2:$K$42))</f>
        <v/>
      </c>
      <c r="AO138">
        <f>IF(L138="Renewal",1,0)</f>
        <v/>
      </c>
      <c r="AP138">
        <f>AC138*AD138</f>
        <v/>
      </c>
      <c r="AQ138">
        <f>IF(AND(G138&lt;&gt;"",'Historical Score'!$C$6&lt;&gt;""),IF(G138='Historical Score'!$C$6,1,0),0)</f>
        <v/>
      </c>
      <c r="AR138">
        <f>IF(AND(L138&lt;&gt;"",'Historical Score'!$C$5&lt;&gt;""),IF(L138='Historical Score'!$C$5,1,0),0)</f>
        <v/>
      </c>
      <c r="AS138">
        <f>IF(AND(Y138&lt;&gt;"",'Historical Score'!$C$7&lt;&gt;""),IF(Y138='Historical Score'!$C$7,1,0),0)</f>
        <v/>
      </c>
      <c r="AT138">
        <f>IF(AND(K138&lt;&gt;"",'Historical Score'!$C$8&lt;&gt;""),IF(K138='Historical Score'!$C$8,1,0),0)</f>
        <v/>
      </c>
      <c r="AU138">
        <f>IF(AND(J138&lt;&gt;"",'Historical Score'!$C$9&lt;&gt;""),IF(J138='Historical Score'!$C$9,1,0),0)</f>
        <v/>
      </c>
      <c r="AV138">
        <f>AR138*AS138*AQ138</f>
        <v/>
      </c>
      <c r="AW138">
        <f>AR138*AT138*AQ138</f>
        <v/>
      </c>
      <c r="AX138">
        <f>AR138*AS138</f>
        <v/>
      </c>
      <c r="AY138">
        <f>AR138*AT138</f>
        <v/>
      </c>
      <c r="AZ138">
        <f>AR138*AQ138</f>
        <v/>
      </c>
      <c r="BA138">
        <f>AR138</f>
        <v/>
      </c>
      <c r="BB138">
        <f>1</f>
        <v/>
      </c>
      <c r="BC138">
        <f>IF(AV138=1,1,IF(AW138=1,2,IF(AX138=1,3,IF(AY138=1,4,IF(AZ138=1,5,IF(BA138=1,6,7))))))</f>
        <v/>
      </c>
      <c r="BD138">
        <f>IF(AD138=1,CHOOSE('Historical Score'!$C$29,AV138,AW138,AX138,AY138,AZ138,BA138,BB138),0)</f>
        <v/>
      </c>
      <c r="BE138">
        <f>IF(BD138=1,COUNTIF($BD$2:BD138,1),"")</f>
        <v/>
      </c>
    </row>
    <row r="139">
      <c r="A139" t="inlineStr">
        <is>
          <t>5674160807</t>
        </is>
      </c>
      <c r="B139" t="inlineStr">
        <is>
          <t>Hard Knocks Concrete LLC</t>
        </is>
      </c>
      <c r="C139" t="inlineStr">
        <is>
          <t>Hard Knocks Concrete LLC</t>
        </is>
      </c>
      <c r="D139" t="inlineStr">
        <is>
          <t>Legal</t>
        </is>
      </c>
      <c r="E139" s="297" t="n">
        <v>45838</v>
      </c>
      <c r="F139" s="297" t="n">
        <v>45884</v>
      </c>
      <c r="G139" t="n">
        <v>3</v>
      </c>
      <c r="H139" t="inlineStr">
        <is>
          <t>1771</t>
        </is>
      </c>
      <c r="I139" t="inlineStr">
        <is>
          <t>17</t>
        </is>
      </c>
      <c r="J139" t="inlineStr">
        <is>
          <t>MO</t>
        </is>
      </c>
      <c r="K139" t="inlineStr">
        <is>
          <t>Fundible</t>
        </is>
      </c>
      <c r="L139" t="inlineStr">
        <is>
          <t>New Deal</t>
        </is>
      </c>
      <c r="M139" s="298" t="n">
        <v>1.499</v>
      </c>
      <c r="N139" s="299" t="n">
        <v>25000</v>
      </c>
      <c r="O139" s="299" t="n">
        <v>3500</v>
      </c>
      <c r="P139" s="299" t="n">
        <v>37475</v>
      </c>
      <c r="Q139" s="299" t="n">
        <v>2552.07</v>
      </c>
      <c r="R139" s="299" t="n">
        <v>34922.93</v>
      </c>
      <c r="S139" s="300" t="n">
        <v>0.0681006004002668</v>
      </c>
      <c r="T139" t="n">
        <v>24</v>
      </c>
      <c r="U139" t="n">
        <v>3</v>
      </c>
      <c r="V139" t="n">
        <v>104896.9</v>
      </c>
      <c r="W139" s="300" t="n">
        <v>0.0592</v>
      </c>
      <c r="X139" s="297" t="n">
        <v>44461</v>
      </c>
      <c r="Y139">
        <f>IF(I139="","No SIC",IFERROR(VLOOKUP(I139,Ref!$A$2:$B$65,2,FALSE),"Unclassified"))</f>
        <v/>
      </c>
      <c r="Z139">
        <f>IF(T139="","",IF(T139&lt;12,"Daily","Weekly"))</f>
        <v/>
      </c>
      <c r="AA139">
        <f>IF(T139="",0,IF(T139&lt;12,T139*Controls!$B$29,T139*5))</f>
        <v/>
      </c>
      <c r="AB139">
        <f>IF(E139="",0,NETWORKDAYS(E139,Controls!$B$36,Ref!$K$2:$K$42))</f>
        <v/>
      </c>
      <c r="AC139">
        <f>IF(AND(AA139&gt;0,AB139&gt;=Controls!$B$39*AA139),1,0)</f>
        <v/>
      </c>
      <c r="AD139">
        <f>IF(AND(E139&lt;&gt;"",E139&gt;=Controls!$B$37,E139&lt;=Controls!$B$38),1,0)</f>
        <v/>
      </c>
      <c r="AE139">
        <f>IF(IFERROR(VLOOKUP(D139,Controls!$A$64:$E$74,2,FALSE),"No")="Yes",1,0)</f>
        <v/>
      </c>
      <c r="AF139">
        <f>IF(IFERROR(VLOOKUP(D139,Controls!$A$64:$E$74,3,FALSE),"No")="Yes",1,0)</f>
        <v/>
      </c>
      <c r="AG139">
        <f>IF(IFERROR(VLOOKUP(D139,Controls!$A$64:$E$74,4,FALSE),"No")="Yes",1,0)</f>
        <v/>
      </c>
      <c r="AH139">
        <f>IF(IFERROR(VLOOKUP(D139,Controls!$A$64:$E$74,5,FALSE),"No")="Yes",1,0)</f>
        <v/>
      </c>
      <c r="AI139">
        <f>IF(ISNUMBER(MATCH(D139,Controls!$A$64:$A$74,0)),1,0)</f>
        <v/>
      </c>
      <c r="AJ139">
        <f>Q139-N139</f>
        <v/>
      </c>
      <c r="AK139">
        <f>IF(AE139=1,MAX(0,N139-Q139),0)</f>
        <v/>
      </c>
      <c r="AL139">
        <f>IF(OR(V139="",V139=0),0,N139/V139)</f>
        <v/>
      </c>
      <c r="AM139">
        <f>IF(OR(V139="",V139=0),0,1)</f>
        <v/>
      </c>
      <c r="AN139">
        <f>IF(OR(E139="",F139=""),0,NETWORKDAYS(E139,F139,Ref!$K$2:$K$42))</f>
        <v/>
      </c>
      <c r="AO139">
        <f>IF(L139="Renewal",1,0)</f>
        <v/>
      </c>
      <c r="AP139">
        <f>AC139*AD139</f>
        <v/>
      </c>
      <c r="AQ139">
        <f>IF(AND(G139&lt;&gt;"",'Historical Score'!$C$6&lt;&gt;""),IF(G139='Historical Score'!$C$6,1,0),0)</f>
        <v/>
      </c>
      <c r="AR139">
        <f>IF(AND(L139&lt;&gt;"",'Historical Score'!$C$5&lt;&gt;""),IF(L139='Historical Score'!$C$5,1,0),0)</f>
        <v/>
      </c>
      <c r="AS139">
        <f>IF(AND(Y139&lt;&gt;"",'Historical Score'!$C$7&lt;&gt;""),IF(Y139='Historical Score'!$C$7,1,0),0)</f>
        <v/>
      </c>
      <c r="AT139">
        <f>IF(AND(K139&lt;&gt;"",'Historical Score'!$C$8&lt;&gt;""),IF(K139='Historical Score'!$C$8,1,0),0)</f>
        <v/>
      </c>
      <c r="AU139">
        <f>IF(AND(J139&lt;&gt;"",'Historical Score'!$C$9&lt;&gt;""),IF(J139='Historical Score'!$C$9,1,0),0)</f>
        <v/>
      </c>
      <c r="AV139">
        <f>AR139*AS139*AQ139</f>
        <v/>
      </c>
      <c r="AW139">
        <f>AR139*AT139*AQ139</f>
        <v/>
      </c>
      <c r="AX139">
        <f>AR139*AS139</f>
        <v/>
      </c>
      <c r="AY139">
        <f>AR139*AT139</f>
        <v/>
      </c>
      <c r="AZ139">
        <f>AR139*AQ139</f>
        <v/>
      </c>
      <c r="BA139">
        <f>AR139</f>
        <v/>
      </c>
      <c r="BB139">
        <f>1</f>
        <v/>
      </c>
      <c r="BC139">
        <f>IF(AV139=1,1,IF(AW139=1,2,IF(AX139=1,3,IF(AY139=1,4,IF(AZ139=1,5,IF(BA139=1,6,7))))))</f>
        <v/>
      </c>
      <c r="BD139">
        <f>IF(AD139=1,CHOOSE('Historical Score'!$C$29,AV139,AW139,AX139,AY139,AZ139,BA139,BB139),0)</f>
        <v/>
      </c>
      <c r="BE139">
        <f>IF(BD139=1,COUNTIF($BD$2:BD139,1),"")</f>
        <v/>
      </c>
    </row>
    <row r="140">
      <c r="A140" t="inlineStr">
        <is>
          <t>5674161032</t>
        </is>
      </c>
      <c r="B140" t="inlineStr">
        <is>
          <t>CORNERSTONE GROWTH SOLUTIONS, LLC</t>
        </is>
      </c>
      <c r="C140" t="inlineStr">
        <is>
          <t>CORNERSTONE GROWTH SOLUTIONS, LLC</t>
        </is>
      </c>
      <c r="D140" t="inlineStr">
        <is>
          <t>Legal</t>
        </is>
      </c>
      <c r="E140" s="297" t="n">
        <v>45840</v>
      </c>
      <c r="F140" s="297" t="n">
        <v>45923</v>
      </c>
      <c r="G140" t="n">
        <v>7</v>
      </c>
      <c r="H140" t="inlineStr">
        <is>
          <t>8748</t>
        </is>
      </c>
      <c r="I140" t="inlineStr">
        <is>
          <t>87</t>
        </is>
      </c>
      <c r="J140" t="inlineStr">
        <is>
          <t>TX</t>
        </is>
      </c>
      <c r="K140" t="inlineStr">
        <is>
          <t>Westwood</t>
        </is>
      </c>
      <c r="L140" t="inlineStr">
        <is>
          <t>New Deal</t>
        </is>
      </c>
      <c r="M140" s="298" t="n">
        <v>1.499</v>
      </c>
      <c r="N140" s="299" t="n">
        <v>20000</v>
      </c>
      <c r="O140" s="299" t="n">
        <v>2800</v>
      </c>
      <c r="P140" s="299" t="n">
        <v>29980</v>
      </c>
      <c r="Q140" s="299" t="n">
        <v>13242</v>
      </c>
      <c r="R140" s="299" t="n">
        <v>16738</v>
      </c>
      <c r="S140" s="300" t="n">
        <v>0.441694462975317</v>
      </c>
      <c r="T140" t="n">
        <v>2.951</v>
      </c>
      <c r="U140" t="n">
        <v>6</v>
      </c>
      <c r="V140" t="n">
        <v>135783.66</v>
      </c>
      <c r="W140" s="300" t="n">
        <v>0.0512</v>
      </c>
      <c r="X140" s="297" t="n">
        <v>40909</v>
      </c>
      <c r="Y140">
        <f>IF(I140="","No SIC",IFERROR(VLOOKUP(I140,Ref!$A$2:$B$65,2,FALSE),"Unclassified"))</f>
        <v/>
      </c>
      <c r="Z140">
        <f>IF(T140="","",IF(T140&lt;12,"Daily","Weekly"))</f>
        <v/>
      </c>
      <c r="AA140">
        <f>IF(T140="",0,IF(T140&lt;12,T140*Controls!$B$29,T140*5))</f>
        <v/>
      </c>
      <c r="AB140">
        <f>IF(E140="",0,NETWORKDAYS(E140,Controls!$B$36,Ref!$K$2:$K$42))</f>
        <v/>
      </c>
      <c r="AC140">
        <f>IF(AND(AA140&gt;0,AB140&gt;=Controls!$B$39*AA140),1,0)</f>
        <v/>
      </c>
      <c r="AD140">
        <f>IF(AND(E140&lt;&gt;"",E140&gt;=Controls!$B$37,E140&lt;=Controls!$B$38),1,0)</f>
        <v/>
      </c>
      <c r="AE140">
        <f>IF(IFERROR(VLOOKUP(D140,Controls!$A$64:$E$74,2,FALSE),"No")="Yes",1,0)</f>
        <v/>
      </c>
      <c r="AF140">
        <f>IF(IFERROR(VLOOKUP(D140,Controls!$A$64:$E$74,3,FALSE),"No")="Yes",1,0)</f>
        <v/>
      </c>
      <c r="AG140">
        <f>IF(IFERROR(VLOOKUP(D140,Controls!$A$64:$E$74,4,FALSE),"No")="Yes",1,0)</f>
        <v/>
      </c>
      <c r="AH140">
        <f>IF(IFERROR(VLOOKUP(D140,Controls!$A$64:$E$74,5,FALSE),"No")="Yes",1,0)</f>
        <v/>
      </c>
      <c r="AI140">
        <f>IF(ISNUMBER(MATCH(D140,Controls!$A$64:$A$74,0)),1,0)</f>
        <v/>
      </c>
      <c r="AJ140">
        <f>Q140-N140</f>
        <v/>
      </c>
      <c r="AK140">
        <f>IF(AE140=1,MAX(0,N140-Q140),0)</f>
        <v/>
      </c>
      <c r="AL140">
        <f>IF(OR(V140="",V140=0),0,N140/V140)</f>
        <v/>
      </c>
      <c r="AM140">
        <f>IF(OR(V140="",V140=0),0,1)</f>
        <v/>
      </c>
      <c r="AN140">
        <f>IF(OR(E140="",F140=""),0,NETWORKDAYS(E140,F140,Ref!$K$2:$K$42))</f>
        <v/>
      </c>
      <c r="AO140">
        <f>IF(L140="Renewal",1,0)</f>
        <v/>
      </c>
      <c r="AP140">
        <f>AC140*AD140</f>
        <v/>
      </c>
      <c r="AQ140">
        <f>IF(AND(G140&lt;&gt;"",'Historical Score'!$C$6&lt;&gt;""),IF(G140='Historical Score'!$C$6,1,0),0)</f>
        <v/>
      </c>
      <c r="AR140">
        <f>IF(AND(L140&lt;&gt;"",'Historical Score'!$C$5&lt;&gt;""),IF(L140='Historical Score'!$C$5,1,0),0)</f>
        <v/>
      </c>
      <c r="AS140">
        <f>IF(AND(Y140&lt;&gt;"",'Historical Score'!$C$7&lt;&gt;""),IF(Y140='Historical Score'!$C$7,1,0),0)</f>
        <v/>
      </c>
      <c r="AT140">
        <f>IF(AND(K140&lt;&gt;"",'Historical Score'!$C$8&lt;&gt;""),IF(K140='Historical Score'!$C$8,1,0),0)</f>
        <v/>
      </c>
      <c r="AU140">
        <f>IF(AND(J140&lt;&gt;"",'Historical Score'!$C$9&lt;&gt;""),IF(J140='Historical Score'!$C$9,1,0),0)</f>
        <v/>
      </c>
      <c r="AV140">
        <f>AR140*AS140*AQ140</f>
        <v/>
      </c>
      <c r="AW140">
        <f>AR140*AT140*AQ140</f>
        <v/>
      </c>
      <c r="AX140">
        <f>AR140*AS140</f>
        <v/>
      </c>
      <c r="AY140">
        <f>AR140*AT140</f>
        <v/>
      </c>
      <c r="AZ140">
        <f>AR140*AQ140</f>
        <v/>
      </c>
      <c r="BA140">
        <f>AR140</f>
        <v/>
      </c>
      <c r="BB140">
        <f>1</f>
        <v/>
      </c>
      <c r="BC140">
        <f>IF(AV140=1,1,IF(AW140=1,2,IF(AX140=1,3,IF(AY140=1,4,IF(AZ140=1,5,IF(BA140=1,6,7))))))</f>
        <v/>
      </c>
      <c r="BD140">
        <f>IF(AD140=1,CHOOSE('Historical Score'!$C$29,AV140,AW140,AX140,AY140,AZ140,BA140,BB140),0)</f>
        <v/>
      </c>
      <c r="BE140">
        <f>IF(BD140=1,COUNTIF($BD$2:BD140,1),"")</f>
        <v/>
      </c>
    </row>
    <row r="141">
      <c r="A141" t="inlineStr">
        <is>
          <t>5674161160</t>
        </is>
      </c>
      <c r="B141" t="inlineStr">
        <is>
          <t>Bass Unique Services</t>
        </is>
      </c>
      <c r="C141" t="inlineStr">
        <is>
          <t>Bass Unique Services</t>
        </is>
      </c>
      <c r="D141" t="inlineStr">
        <is>
          <t>Closed</t>
        </is>
      </c>
      <c r="E141" s="297" t="n">
        <v>45841</v>
      </c>
      <c r="F141" s="297" t="n">
        <v>45903</v>
      </c>
      <c r="G141" t="n">
        <v>3</v>
      </c>
      <c r="H141" t="inlineStr">
        <is>
          <t>1521</t>
        </is>
      </c>
      <c r="I141" t="inlineStr">
        <is>
          <t>15</t>
        </is>
      </c>
      <c r="J141" t="inlineStr">
        <is>
          <t>FL</t>
        </is>
      </c>
      <c r="K141" t="inlineStr">
        <is>
          <t>WOTR Enterprise LLC</t>
        </is>
      </c>
      <c r="L141" t="inlineStr">
        <is>
          <t>New Deal</t>
        </is>
      </c>
      <c r="M141" s="298" t="n">
        <v>1.499</v>
      </c>
      <c r="N141" s="299" t="n">
        <v>10000</v>
      </c>
      <c r="O141" s="299" t="n">
        <v>1400</v>
      </c>
      <c r="P141" s="299" t="n">
        <v>14990</v>
      </c>
      <c r="Q141" s="299" t="n">
        <v>14990</v>
      </c>
      <c r="R141" s="299" t="n">
        <v>1.81898940354586e-12</v>
      </c>
      <c r="S141" s="300" t="n">
        <v>1</v>
      </c>
      <c r="T141" t="n">
        <v>2.787</v>
      </c>
      <c r="U141" t="n">
        <v>1</v>
      </c>
      <c r="V141" t="n">
        <v>56413.26</v>
      </c>
      <c r="W141" s="300" t="n">
        <v>0.06519999999999999</v>
      </c>
      <c r="X141" s="297" t="n">
        <v>43647</v>
      </c>
      <c r="Y141">
        <f>IF(I141="","No SIC",IFERROR(VLOOKUP(I141,Ref!$A$2:$B$65,2,FALSE),"Unclassified"))</f>
        <v/>
      </c>
      <c r="Z141">
        <f>IF(T141="","",IF(T141&lt;12,"Daily","Weekly"))</f>
        <v/>
      </c>
      <c r="AA141">
        <f>IF(T141="",0,IF(T141&lt;12,T141*Controls!$B$29,T141*5))</f>
        <v/>
      </c>
      <c r="AB141">
        <f>IF(E141="",0,NETWORKDAYS(E141,Controls!$B$36,Ref!$K$2:$K$42))</f>
        <v/>
      </c>
      <c r="AC141">
        <f>IF(AND(AA141&gt;0,AB141&gt;=Controls!$B$39*AA141),1,0)</f>
        <v/>
      </c>
      <c r="AD141">
        <f>IF(AND(E141&lt;&gt;"",E141&gt;=Controls!$B$37,E141&lt;=Controls!$B$38),1,0)</f>
        <v/>
      </c>
      <c r="AE141">
        <f>IF(IFERROR(VLOOKUP(D141,Controls!$A$64:$E$74,2,FALSE),"No")="Yes",1,0)</f>
        <v/>
      </c>
      <c r="AF141">
        <f>IF(IFERROR(VLOOKUP(D141,Controls!$A$64:$E$74,3,FALSE),"No")="Yes",1,0)</f>
        <v/>
      </c>
      <c r="AG141">
        <f>IF(IFERROR(VLOOKUP(D141,Controls!$A$64:$E$74,4,FALSE),"No")="Yes",1,0)</f>
        <v/>
      </c>
      <c r="AH141">
        <f>IF(IFERROR(VLOOKUP(D141,Controls!$A$64:$E$74,5,FALSE),"No")="Yes",1,0)</f>
        <v/>
      </c>
      <c r="AI141">
        <f>IF(ISNUMBER(MATCH(D141,Controls!$A$64:$A$74,0)),1,0)</f>
        <v/>
      </c>
      <c r="AJ141">
        <f>Q141-N141</f>
        <v/>
      </c>
      <c r="AK141">
        <f>IF(AE141=1,MAX(0,N141-Q141),0)</f>
        <v/>
      </c>
      <c r="AL141">
        <f>IF(OR(V141="",V141=0),0,N141/V141)</f>
        <v/>
      </c>
      <c r="AM141">
        <f>IF(OR(V141="",V141=0),0,1)</f>
        <v/>
      </c>
      <c r="AN141">
        <f>IF(OR(E141="",F141=""),0,NETWORKDAYS(E141,F141,Ref!$K$2:$K$42))</f>
        <v/>
      </c>
      <c r="AO141">
        <f>IF(L141="Renewal",1,0)</f>
        <v/>
      </c>
      <c r="AP141">
        <f>AC141*AD141</f>
        <v/>
      </c>
      <c r="AQ141">
        <f>IF(AND(G141&lt;&gt;"",'Historical Score'!$C$6&lt;&gt;""),IF(G141='Historical Score'!$C$6,1,0),0)</f>
        <v/>
      </c>
      <c r="AR141">
        <f>IF(AND(L141&lt;&gt;"",'Historical Score'!$C$5&lt;&gt;""),IF(L141='Historical Score'!$C$5,1,0),0)</f>
        <v/>
      </c>
      <c r="AS141">
        <f>IF(AND(Y141&lt;&gt;"",'Historical Score'!$C$7&lt;&gt;""),IF(Y141='Historical Score'!$C$7,1,0),0)</f>
        <v/>
      </c>
      <c r="AT141">
        <f>IF(AND(K141&lt;&gt;"",'Historical Score'!$C$8&lt;&gt;""),IF(K141='Historical Score'!$C$8,1,0),0)</f>
        <v/>
      </c>
      <c r="AU141">
        <f>IF(AND(J141&lt;&gt;"",'Historical Score'!$C$9&lt;&gt;""),IF(J141='Historical Score'!$C$9,1,0),0)</f>
        <v/>
      </c>
      <c r="AV141">
        <f>AR141*AS141*AQ141</f>
        <v/>
      </c>
      <c r="AW141">
        <f>AR141*AT141*AQ141</f>
        <v/>
      </c>
      <c r="AX141">
        <f>AR141*AS141</f>
        <v/>
      </c>
      <c r="AY141">
        <f>AR141*AT141</f>
        <v/>
      </c>
      <c r="AZ141">
        <f>AR141*AQ141</f>
        <v/>
      </c>
      <c r="BA141">
        <f>AR141</f>
        <v/>
      </c>
      <c r="BB141">
        <f>1</f>
        <v/>
      </c>
      <c r="BC141">
        <f>IF(AV141=1,1,IF(AW141=1,2,IF(AX141=1,3,IF(AY141=1,4,IF(AZ141=1,5,IF(BA141=1,6,7))))))</f>
        <v/>
      </c>
      <c r="BD141">
        <f>IF(AD141=1,CHOOSE('Historical Score'!$C$29,AV141,AW141,AX141,AY141,AZ141,BA141,BB141),0)</f>
        <v/>
      </c>
      <c r="BE141">
        <f>IF(BD141=1,COUNTIF($BD$2:BD141,1),"")</f>
        <v/>
      </c>
    </row>
    <row r="142">
      <c r="A142" t="inlineStr">
        <is>
          <t>5674161384</t>
        </is>
      </c>
      <c r="B142" t="inlineStr">
        <is>
          <t>WILLIE'S REPAIR SERVICE</t>
        </is>
      </c>
      <c r="C142" t="inlineStr">
        <is>
          <t>Willie's Repair Service LLC</t>
        </is>
      </c>
      <c r="D142" t="inlineStr">
        <is>
          <t>Closed</t>
        </is>
      </c>
      <c r="E142" s="297" t="n">
        <v>45847</v>
      </c>
      <c r="F142" s="297" t="n">
        <v>45978</v>
      </c>
      <c r="G142" t="n">
        <v>7</v>
      </c>
      <c r="H142" t="inlineStr">
        <is>
          <t>7538</t>
        </is>
      </c>
      <c r="I142" t="inlineStr">
        <is>
          <t>75</t>
        </is>
      </c>
      <c r="J142" t="inlineStr">
        <is>
          <t>VA</t>
        </is>
      </c>
      <c r="K142" t="inlineStr">
        <is>
          <t>ROYAL FUNDING GROUP</t>
        </is>
      </c>
      <c r="L142" t="inlineStr">
        <is>
          <t>Renewal</t>
        </is>
      </c>
      <c r="M142" s="298" t="n">
        <v>1.49</v>
      </c>
      <c r="N142" s="299" t="n">
        <v>14000</v>
      </c>
      <c r="O142" s="299" t="n">
        <v>1960</v>
      </c>
      <c r="P142" s="299" t="n">
        <v>20860</v>
      </c>
      <c r="Q142" s="299" t="n">
        <v>20860</v>
      </c>
      <c r="R142" s="299" t="n">
        <v>0</v>
      </c>
      <c r="S142" s="300" t="n">
        <v>1</v>
      </c>
      <c r="T142" t="n">
        <v>2.951</v>
      </c>
      <c r="U142" t="n">
        <v>0</v>
      </c>
      <c r="V142" t="n">
        <v>36539.21</v>
      </c>
      <c r="W142" s="300" t="n">
        <v>0.1332</v>
      </c>
      <c r="X142" s="297" t="n">
        <v>30767</v>
      </c>
      <c r="Y142">
        <f>IF(I142="","No SIC",IFERROR(VLOOKUP(I142,Ref!$A$2:$B$65,2,FALSE),"Unclassified"))</f>
        <v/>
      </c>
      <c r="Z142">
        <f>IF(T142="","",IF(T142&lt;12,"Daily","Weekly"))</f>
        <v/>
      </c>
      <c r="AA142">
        <f>IF(T142="",0,IF(T142&lt;12,T142*Controls!$B$29,T142*5))</f>
        <v/>
      </c>
      <c r="AB142">
        <f>IF(E142="",0,NETWORKDAYS(E142,Controls!$B$36,Ref!$K$2:$K$42))</f>
        <v/>
      </c>
      <c r="AC142">
        <f>IF(AND(AA142&gt;0,AB142&gt;=Controls!$B$39*AA142),1,0)</f>
        <v/>
      </c>
      <c r="AD142">
        <f>IF(AND(E142&lt;&gt;"",E142&gt;=Controls!$B$37,E142&lt;=Controls!$B$38),1,0)</f>
        <v/>
      </c>
      <c r="AE142">
        <f>IF(IFERROR(VLOOKUP(D142,Controls!$A$64:$E$74,2,FALSE),"No")="Yes",1,0)</f>
        <v/>
      </c>
      <c r="AF142">
        <f>IF(IFERROR(VLOOKUP(D142,Controls!$A$64:$E$74,3,FALSE),"No")="Yes",1,0)</f>
        <v/>
      </c>
      <c r="AG142">
        <f>IF(IFERROR(VLOOKUP(D142,Controls!$A$64:$E$74,4,FALSE),"No")="Yes",1,0)</f>
        <v/>
      </c>
      <c r="AH142">
        <f>IF(IFERROR(VLOOKUP(D142,Controls!$A$64:$E$74,5,FALSE),"No")="Yes",1,0)</f>
        <v/>
      </c>
      <c r="AI142">
        <f>IF(ISNUMBER(MATCH(D142,Controls!$A$64:$A$74,0)),1,0)</f>
        <v/>
      </c>
      <c r="AJ142">
        <f>Q142-N142</f>
        <v/>
      </c>
      <c r="AK142">
        <f>IF(AE142=1,MAX(0,N142-Q142),0)</f>
        <v/>
      </c>
      <c r="AL142">
        <f>IF(OR(V142="",V142=0),0,N142/V142)</f>
        <v/>
      </c>
      <c r="AM142">
        <f>IF(OR(V142="",V142=0),0,1)</f>
        <v/>
      </c>
      <c r="AN142">
        <f>IF(OR(E142="",F142=""),0,NETWORKDAYS(E142,F142,Ref!$K$2:$K$42))</f>
        <v/>
      </c>
      <c r="AO142">
        <f>IF(L142="Renewal",1,0)</f>
        <v/>
      </c>
      <c r="AP142">
        <f>AC142*AD142</f>
        <v/>
      </c>
      <c r="AQ142">
        <f>IF(AND(G142&lt;&gt;"",'Historical Score'!$C$6&lt;&gt;""),IF(G142='Historical Score'!$C$6,1,0),0)</f>
        <v/>
      </c>
      <c r="AR142">
        <f>IF(AND(L142&lt;&gt;"",'Historical Score'!$C$5&lt;&gt;""),IF(L142='Historical Score'!$C$5,1,0),0)</f>
        <v/>
      </c>
      <c r="AS142">
        <f>IF(AND(Y142&lt;&gt;"",'Historical Score'!$C$7&lt;&gt;""),IF(Y142='Historical Score'!$C$7,1,0),0)</f>
        <v/>
      </c>
      <c r="AT142">
        <f>IF(AND(K142&lt;&gt;"",'Historical Score'!$C$8&lt;&gt;""),IF(K142='Historical Score'!$C$8,1,0),0)</f>
        <v/>
      </c>
      <c r="AU142">
        <f>IF(AND(J142&lt;&gt;"",'Historical Score'!$C$9&lt;&gt;""),IF(J142='Historical Score'!$C$9,1,0),0)</f>
        <v/>
      </c>
      <c r="AV142">
        <f>AR142*AS142*AQ142</f>
        <v/>
      </c>
      <c r="AW142">
        <f>AR142*AT142*AQ142</f>
        <v/>
      </c>
      <c r="AX142">
        <f>AR142*AS142</f>
        <v/>
      </c>
      <c r="AY142">
        <f>AR142*AT142</f>
        <v/>
      </c>
      <c r="AZ142">
        <f>AR142*AQ142</f>
        <v/>
      </c>
      <c r="BA142">
        <f>AR142</f>
        <v/>
      </c>
      <c r="BB142">
        <f>1</f>
        <v/>
      </c>
      <c r="BC142">
        <f>IF(AV142=1,1,IF(AW142=1,2,IF(AX142=1,3,IF(AY142=1,4,IF(AZ142=1,5,IF(BA142=1,6,7))))))</f>
        <v/>
      </c>
      <c r="BD142">
        <f>IF(AD142=1,CHOOSE('Historical Score'!$C$29,AV142,AW142,AX142,AY142,AZ142,BA142,BB142),0)</f>
        <v/>
      </c>
      <c r="BE142">
        <f>IF(BD142=1,COUNTIF($BD$2:BD142,1),"")</f>
        <v/>
      </c>
    </row>
    <row r="143">
      <c r="A143" t="inlineStr">
        <is>
          <t>5674161657</t>
        </is>
      </c>
      <c r="B143" t="inlineStr">
        <is>
          <t>2SISTERS CLEANING &amp; CARPET CLEANING: SERVICES</t>
        </is>
      </c>
      <c r="C143" t="inlineStr">
        <is>
          <t>2SISTERS CLEANING &amp; CARPET CLEANING: SERVICES</t>
        </is>
      </c>
      <c r="D143" t="inlineStr">
        <is>
          <t>Closed</t>
        </is>
      </c>
      <c r="E143" s="297" t="n">
        <v>45849</v>
      </c>
      <c r="F143" s="297" t="n">
        <v>45936</v>
      </c>
      <c r="G143" t="n">
        <v>1</v>
      </c>
      <c r="H143" t="inlineStr">
        <is>
          <t>7349</t>
        </is>
      </c>
      <c r="I143" t="inlineStr">
        <is>
          <t>73</t>
        </is>
      </c>
      <c r="J143" t="inlineStr">
        <is>
          <t>WI</t>
        </is>
      </c>
      <c r="K143" t="inlineStr">
        <is>
          <t>Premium Capital (AMRK)</t>
        </is>
      </c>
      <c r="L143" t="inlineStr">
        <is>
          <t>New Deal</t>
        </is>
      </c>
      <c r="M143" s="298" t="n">
        <v>1.499</v>
      </c>
      <c r="N143" s="299" t="n">
        <v>5000</v>
      </c>
      <c r="O143" s="299" t="n">
        <v>700</v>
      </c>
      <c r="P143" s="299" t="n">
        <v>7495</v>
      </c>
      <c r="Q143" s="299" t="n">
        <v>7495</v>
      </c>
      <c r="R143" s="299" t="n">
        <v>9.09494701772928e-13</v>
      </c>
      <c r="S143" s="300" t="n">
        <v>1</v>
      </c>
      <c r="T143" t="n">
        <v>1.967</v>
      </c>
      <c r="U143" t="n">
        <v>0</v>
      </c>
      <c r="V143" t="n">
        <v>23587.47</v>
      </c>
      <c r="W143" s="300" t="n">
        <v>0.1105</v>
      </c>
      <c r="X143" s="297" t="n">
        <v>45849</v>
      </c>
      <c r="Y143">
        <f>IF(I143="","No SIC",IFERROR(VLOOKUP(I143,Ref!$A$2:$B$65,2,FALSE),"Unclassified"))</f>
        <v/>
      </c>
      <c r="Z143">
        <f>IF(T143="","",IF(T143&lt;12,"Daily","Weekly"))</f>
        <v/>
      </c>
      <c r="AA143">
        <f>IF(T143="",0,IF(T143&lt;12,T143*Controls!$B$29,T143*5))</f>
        <v/>
      </c>
      <c r="AB143">
        <f>IF(E143="",0,NETWORKDAYS(E143,Controls!$B$36,Ref!$K$2:$K$42))</f>
        <v/>
      </c>
      <c r="AC143">
        <f>IF(AND(AA143&gt;0,AB143&gt;=Controls!$B$39*AA143),1,0)</f>
        <v/>
      </c>
      <c r="AD143">
        <f>IF(AND(E143&lt;&gt;"",E143&gt;=Controls!$B$37,E143&lt;=Controls!$B$38),1,0)</f>
        <v/>
      </c>
      <c r="AE143">
        <f>IF(IFERROR(VLOOKUP(D143,Controls!$A$64:$E$74,2,FALSE),"No")="Yes",1,0)</f>
        <v/>
      </c>
      <c r="AF143">
        <f>IF(IFERROR(VLOOKUP(D143,Controls!$A$64:$E$74,3,FALSE),"No")="Yes",1,0)</f>
        <v/>
      </c>
      <c r="AG143">
        <f>IF(IFERROR(VLOOKUP(D143,Controls!$A$64:$E$74,4,FALSE),"No")="Yes",1,0)</f>
        <v/>
      </c>
      <c r="AH143">
        <f>IF(IFERROR(VLOOKUP(D143,Controls!$A$64:$E$74,5,FALSE),"No")="Yes",1,0)</f>
        <v/>
      </c>
      <c r="AI143">
        <f>IF(ISNUMBER(MATCH(D143,Controls!$A$64:$A$74,0)),1,0)</f>
        <v/>
      </c>
      <c r="AJ143">
        <f>Q143-N143</f>
        <v/>
      </c>
      <c r="AK143">
        <f>IF(AE143=1,MAX(0,N143-Q143),0)</f>
        <v/>
      </c>
      <c r="AL143">
        <f>IF(OR(V143="",V143=0),0,N143/V143)</f>
        <v/>
      </c>
      <c r="AM143">
        <f>IF(OR(V143="",V143=0),0,1)</f>
        <v/>
      </c>
      <c r="AN143">
        <f>IF(OR(E143="",F143=""),0,NETWORKDAYS(E143,F143,Ref!$K$2:$K$42))</f>
        <v/>
      </c>
      <c r="AO143">
        <f>IF(L143="Renewal",1,0)</f>
        <v/>
      </c>
      <c r="AP143">
        <f>AC143*AD143</f>
        <v/>
      </c>
      <c r="AQ143">
        <f>IF(AND(G143&lt;&gt;"",'Historical Score'!$C$6&lt;&gt;""),IF(G143='Historical Score'!$C$6,1,0),0)</f>
        <v/>
      </c>
      <c r="AR143">
        <f>IF(AND(L143&lt;&gt;"",'Historical Score'!$C$5&lt;&gt;""),IF(L143='Historical Score'!$C$5,1,0),0)</f>
        <v/>
      </c>
      <c r="AS143">
        <f>IF(AND(Y143&lt;&gt;"",'Historical Score'!$C$7&lt;&gt;""),IF(Y143='Historical Score'!$C$7,1,0),0)</f>
        <v/>
      </c>
      <c r="AT143">
        <f>IF(AND(K143&lt;&gt;"",'Historical Score'!$C$8&lt;&gt;""),IF(K143='Historical Score'!$C$8,1,0),0)</f>
        <v/>
      </c>
      <c r="AU143">
        <f>IF(AND(J143&lt;&gt;"",'Historical Score'!$C$9&lt;&gt;""),IF(J143='Historical Score'!$C$9,1,0),0)</f>
        <v/>
      </c>
      <c r="AV143">
        <f>AR143*AS143*AQ143</f>
        <v/>
      </c>
      <c r="AW143">
        <f>AR143*AT143*AQ143</f>
        <v/>
      </c>
      <c r="AX143">
        <f>AR143*AS143</f>
        <v/>
      </c>
      <c r="AY143">
        <f>AR143*AT143</f>
        <v/>
      </c>
      <c r="AZ143">
        <f>AR143*AQ143</f>
        <v/>
      </c>
      <c r="BA143">
        <f>AR143</f>
        <v/>
      </c>
      <c r="BB143">
        <f>1</f>
        <v/>
      </c>
      <c r="BC143">
        <f>IF(AV143=1,1,IF(AW143=1,2,IF(AX143=1,3,IF(AY143=1,4,IF(AZ143=1,5,IF(BA143=1,6,7))))))</f>
        <v/>
      </c>
      <c r="BD143">
        <f>IF(AD143=1,CHOOSE('Historical Score'!$C$29,AV143,AW143,AX143,AY143,AZ143,BA143,BB143),0)</f>
        <v/>
      </c>
      <c r="BE143">
        <f>IF(BD143=1,COUNTIF($BD$2:BD143,1),"")</f>
        <v/>
      </c>
    </row>
    <row r="144">
      <c r="A144" t="inlineStr">
        <is>
          <t>5674161767</t>
        </is>
      </c>
      <c r="B144" t="inlineStr">
        <is>
          <t>DESIGN CRITERIA</t>
        </is>
      </c>
      <c r="C144" t="inlineStr">
        <is>
          <t>DESIGN CRITERIA INC</t>
        </is>
      </c>
      <c r="D144" t="inlineStr">
        <is>
          <t>Legal</t>
        </is>
      </c>
      <c r="E144" s="297" t="n">
        <v>45853</v>
      </c>
      <c r="F144" s="297" t="n">
        <v>45930</v>
      </c>
      <c r="G144" t="n">
        <v>3</v>
      </c>
      <c r="H144" t="inlineStr">
        <is>
          <t>3612</t>
        </is>
      </c>
      <c r="I144" t="inlineStr">
        <is>
          <t>36</t>
        </is>
      </c>
      <c r="J144" t="inlineStr">
        <is>
          <t>UT</t>
        </is>
      </c>
      <c r="K144" t="inlineStr">
        <is>
          <t>United Secured Capital 8</t>
        </is>
      </c>
      <c r="L144" t="inlineStr">
        <is>
          <t>New Deal</t>
        </is>
      </c>
      <c r="M144" s="298" t="n">
        <v>1.499</v>
      </c>
      <c r="N144" s="299" t="n">
        <v>60000</v>
      </c>
      <c r="O144" s="299" t="n">
        <v>0</v>
      </c>
      <c r="P144" s="299" t="n">
        <v>89940</v>
      </c>
      <c r="Q144" s="299" t="n">
        <v>12078.1</v>
      </c>
      <c r="R144" s="299" t="n">
        <v>77861.89999999999</v>
      </c>
      <c r="S144" s="300" t="n">
        <v>0.134290638203247</v>
      </c>
      <c r="T144" t="n">
        <v>4.59</v>
      </c>
      <c r="U144" t="n">
        <v>6</v>
      </c>
      <c r="V144" t="n">
        <v>76319.47</v>
      </c>
      <c r="W144" s="300" t="n">
        <v>0.1757</v>
      </c>
      <c r="X144" s="297" t="n">
        <v>44632</v>
      </c>
      <c r="Y144">
        <f>IF(I144="","No SIC",IFERROR(VLOOKUP(I144,Ref!$A$2:$B$65,2,FALSE),"Unclassified"))</f>
        <v/>
      </c>
      <c r="Z144">
        <f>IF(T144="","",IF(T144&lt;12,"Daily","Weekly"))</f>
        <v/>
      </c>
      <c r="AA144">
        <f>IF(T144="",0,IF(T144&lt;12,T144*Controls!$B$29,T144*5))</f>
        <v/>
      </c>
      <c r="AB144">
        <f>IF(E144="",0,NETWORKDAYS(E144,Controls!$B$36,Ref!$K$2:$K$42))</f>
        <v/>
      </c>
      <c r="AC144">
        <f>IF(AND(AA144&gt;0,AB144&gt;=Controls!$B$39*AA144),1,0)</f>
        <v/>
      </c>
      <c r="AD144">
        <f>IF(AND(E144&lt;&gt;"",E144&gt;=Controls!$B$37,E144&lt;=Controls!$B$38),1,0)</f>
        <v/>
      </c>
      <c r="AE144">
        <f>IF(IFERROR(VLOOKUP(D144,Controls!$A$64:$E$74,2,FALSE),"No")="Yes",1,0)</f>
        <v/>
      </c>
      <c r="AF144">
        <f>IF(IFERROR(VLOOKUP(D144,Controls!$A$64:$E$74,3,FALSE),"No")="Yes",1,0)</f>
        <v/>
      </c>
      <c r="AG144">
        <f>IF(IFERROR(VLOOKUP(D144,Controls!$A$64:$E$74,4,FALSE),"No")="Yes",1,0)</f>
        <v/>
      </c>
      <c r="AH144">
        <f>IF(IFERROR(VLOOKUP(D144,Controls!$A$64:$E$74,5,FALSE),"No")="Yes",1,0)</f>
        <v/>
      </c>
      <c r="AI144">
        <f>IF(ISNUMBER(MATCH(D144,Controls!$A$64:$A$74,0)),1,0)</f>
        <v/>
      </c>
      <c r="AJ144">
        <f>Q144-N144</f>
        <v/>
      </c>
      <c r="AK144">
        <f>IF(AE144=1,MAX(0,N144-Q144),0)</f>
        <v/>
      </c>
      <c r="AL144">
        <f>IF(OR(V144="",V144=0),0,N144/V144)</f>
        <v/>
      </c>
      <c r="AM144">
        <f>IF(OR(V144="",V144=0),0,1)</f>
        <v/>
      </c>
      <c r="AN144">
        <f>IF(OR(E144="",F144=""),0,NETWORKDAYS(E144,F144,Ref!$K$2:$K$42))</f>
        <v/>
      </c>
      <c r="AO144">
        <f>IF(L144="Renewal",1,0)</f>
        <v/>
      </c>
      <c r="AP144">
        <f>AC144*AD144</f>
        <v/>
      </c>
      <c r="AQ144">
        <f>IF(AND(G144&lt;&gt;"",'Historical Score'!$C$6&lt;&gt;""),IF(G144='Historical Score'!$C$6,1,0),0)</f>
        <v/>
      </c>
      <c r="AR144">
        <f>IF(AND(L144&lt;&gt;"",'Historical Score'!$C$5&lt;&gt;""),IF(L144='Historical Score'!$C$5,1,0),0)</f>
        <v/>
      </c>
      <c r="AS144">
        <f>IF(AND(Y144&lt;&gt;"",'Historical Score'!$C$7&lt;&gt;""),IF(Y144='Historical Score'!$C$7,1,0),0)</f>
        <v/>
      </c>
      <c r="AT144">
        <f>IF(AND(K144&lt;&gt;"",'Historical Score'!$C$8&lt;&gt;""),IF(K144='Historical Score'!$C$8,1,0),0)</f>
        <v/>
      </c>
      <c r="AU144">
        <f>IF(AND(J144&lt;&gt;"",'Historical Score'!$C$9&lt;&gt;""),IF(J144='Historical Score'!$C$9,1,0),0)</f>
        <v/>
      </c>
      <c r="AV144">
        <f>AR144*AS144*AQ144</f>
        <v/>
      </c>
      <c r="AW144">
        <f>AR144*AT144*AQ144</f>
        <v/>
      </c>
      <c r="AX144">
        <f>AR144*AS144</f>
        <v/>
      </c>
      <c r="AY144">
        <f>AR144*AT144</f>
        <v/>
      </c>
      <c r="AZ144">
        <f>AR144*AQ144</f>
        <v/>
      </c>
      <c r="BA144">
        <f>AR144</f>
        <v/>
      </c>
      <c r="BB144">
        <f>1</f>
        <v/>
      </c>
      <c r="BC144">
        <f>IF(AV144=1,1,IF(AW144=1,2,IF(AX144=1,3,IF(AY144=1,4,IF(AZ144=1,5,IF(BA144=1,6,7))))))</f>
        <v/>
      </c>
      <c r="BD144">
        <f>IF(AD144=1,CHOOSE('Historical Score'!$C$29,AV144,AW144,AX144,AY144,AZ144,BA144,BB144),0)</f>
        <v/>
      </c>
      <c r="BE144">
        <f>IF(BD144=1,COUNTIF($BD$2:BD144,1),"")</f>
        <v/>
      </c>
    </row>
    <row r="145">
      <c r="A145" t="inlineStr">
        <is>
          <t>5674161805</t>
        </is>
      </c>
      <c r="B145" t="inlineStr">
        <is>
          <t>41 master service</t>
        </is>
      </c>
      <c r="C145" t="inlineStr">
        <is>
          <t>41 master service</t>
        </is>
      </c>
      <c r="D145" t="inlineStr">
        <is>
          <t>Legal</t>
        </is>
      </c>
      <c r="E145" s="297" t="n">
        <v>45853</v>
      </c>
      <c r="F145" s="297" t="n">
        <v>45867</v>
      </c>
      <c r="G145" t="n">
        <v>3</v>
      </c>
      <c r="H145" t="inlineStr">
        <is>
          <t>3639</t>
        </is>
      </c>
      <c r="I145" t="inlineStr">
        <is>
          <t>36</t>
        </is>
      </c>
      <c r="J145" t="inlineStr">
        <is>
          <t>FL</t>
        </is>
      </c>
      <c r="K145" t="inlineStr">
        <is>
          <t>True Path Funding</t>
        </is>
      </c>
      <c r="L145" t="inlineStr">
        <is>
          <t>New Deal</t>
        </is>
      </c>
      <c r="M145" s="298" t="n">
        <v>1.499</v>
      </c>
      <c r="N145" s="299" t="n">
        <v>4000</v>
      </c>
      <c r="O145" s="299" t="n">
        <v>560</v>
      </c>
      <c r="P145" s="299" t="n">
        <v>5996</v>
      </c>
      <c r="Q145" s="299" t="n">
        <v>-344.32</v>
      </c>
      <c r="R145" s="299" t="n">
        <v>6340.32</v>
      </c>
      <c r="S145" s="300" t="n">
        <v>-0.0574249499666444</v>
      </c>
      <c r="T145" t="n">
        <v>2.295</v>
      </c>
      <c r="U145" t="n">
        <v>6</v>
      </c>
      <c r="V145" t="n">
        <v>29071.64</v>
      </c>
      <c r="W145" s="300" t="n">
        <v>0.0611</v>
      </c>
      <c r="X145" s="297" t="n"/>
      <c r="Y145">
        <f>IF(I145="","No SIC",IFERROR(VLOOKUP(I145,Ref!$A$2:$B$65,2,FALSE),"Unclassified"))</f>
        <v/>
      </c>
      <c r="Z145">
        <f>IF(T145="","",IF(T145&lt;12,"Daily","Weekly"))</f>
        <v/>
      </c>
      <c r="AA145">
        <f>IF(T145="",0,IF(T145&lt;12,T145*Controls!$B$29,T145*5))</f>
        <v/>
      </c>
      <c r="AB145">
        <f>IF(E145="",0,NETWORKDAYS(E145,Controls!$B$36,Ref!$K$2:$K$42))</f>
        <v/>
      </c>
      <c r="AC145">
        <f>IF(AND(AA145&gt;0,AB145&gt;=Controls!$B$39*AA145),1,0)</f>
        <v/>
      </c>
      <c r="AD145">
        <f>IF(AND(E145&lt;&gt;"",E145&gt;=Controls!$B$37,E145&lt;=Controls!$B$38),1,0)</f>
        <v/>
      </c>
      <c r="AE145">
        <f>IF(IFERROR(VLOOKUP(D145,Controls!$A$64:$E$74,2,FALSE),"No")="Yes",1,0)</f>
        <v/>
      </c>
      <c r="AF145">
        <f>IF(IFERROR(VLOOKUP(D145,Controls!$A$64:$E$74,3,FALSE),"No")="Yes",1,0)</f>
        <v/>
      </c>
      <c r="AG145">
        <f>IF(IFERROR(VLOOKUP(D145,Controls!$A$64:$E$74,4,FALSE),"No")="Yes",1,0)</f>
        <v/>
      </c>
      <c r="AH145">
        <f>IF(IFERROR(VLOOKUP(D145,Controls!$A$64:$E$74,5,FALSE),"No")="Yes",1,0)</f>
        <v/>
      </c>
      <c r="AI145">
        <f>IF(ISNUMBER(MATCH(D145,Controls!$A$64:$A$74,0)),1,0)</f>
        <v/>
      </c>
      <c r="AJ145">
        <f>Q145-N145</f>
        <v/>
      </c>
      <c r="AK145">
        <f>IF(AE145=1,MAX(0,N145-Q145),0)</f>
        <v/>
      </c>
      <c r="AL145">
        <f>IF(OR(V145="",V145=0),0,N145/V145)</f>
        <v/>
      </c>
      <c r="AM145">
        <f>IF(OR(V145="",V145=0),0,1)</f>
        <v/>
      </c>
      <c r="AN145">
        <f>IF(OR(E145="",F145=""),0,NETWORKDAYS(E145,F145,Ref!$K$2:$K$42))</f>
        <v/>
      </c>
      <c r="AO145">
        <f>IF(L145="Renewal",1,0)</f>
        <v/>
      </c>
      <c r="AP145">
        <f>AC145*AD145</f>
        <v/>
      </c>
      <c r="AQ145">
        <f>IF(AND(G145&lt;&gt;"",'Historical Score'!$C$6&lt;&gt;""),IF(G145='Historical Score'!$C$6,1,0),0)</f>
        <v/>
      </c>
      <c r="AR145">
        <f>IF(AND(L145&lt;&gt;"",'Historical Score'!$C$5&lt;&gt;""),IF(L145='Historical Score'!$C$5,1,0),0)</f>
        <v/>
      </c>
      <c r="AS145">
        <f>IF(AND(Y145&lt;&gt;"",'Historical Score'!$C$7&lt;&gt;""),IF(Y145='Historical Score'!$C$7,1,0),0)</f>
        <v/>
      </c>
      <c r="AT145">
        <f>IF(AND(K145&lt;&gt;"",'Historical Score'!$C$8&lt;&gt;""),IF(K145='Historical Score'!$C$8,1,0),0)</f>
        <v/>
      </c>
      <c r="AU145">
        <f>IF(AND(J145&lt;&gt;"",'Historical Score'!$C$9&lt;&gt;""),IF(J145='Historical Score'!$C$9,1,0),0)</f>
        <v/>
      </c>
      <c r="AV145">
        <f>AR145*AS145*AQ145</f>
        <v/>
      </c>
      <c r="AW145">
        <f>AR145*AT145*AQ145</f>
        <v/>
      </c>
      <c r="AX145">
        <f>AR145*AS145</f>
        <v/>
      </c>
      <c r="AY145">
        <f>AR145*AT145</f>
        <v/>
      </c>
      <c r="AZ145">
        <f>AR145*AQ145</f>
        <v/>
      </c>
      <c r="BA145">
        <f>AR145</f>
        <v/>
      </c>
      <c r="BB145">
        <f>1</f>
        <v/>
      </c>
      <c r="BC145">
        <f>IF(AV145=1,1,IF(AW145=1,2,IF(AX145=1,3,IF(AY145=1,4,IF(AZ145=1,5,IF(BA145=1,6,7))))))</f>
        <v/>
      </c>
      <c r="BD145">
        <f>IF(AD145=1,CHOOSE('Historical Score'!$C$29,AV145,AW145,AX145,AY145,AZ145,BA145,BB145),0)</f>
        <v/>
      </c>
      <c r="BE145">
        <f>IF(BD145=1,COUNTIF($BD$2:BD145,1),"")</f>
        <v/>
      </c>
    </row>
    <row r="146">
      <c r="A146" t="inlineStr">
        <is>
          <t>5674161807</t>
        </is>
      </c>
      <c r="B146" t="inlineStr">
        <is>
          <t>Chivo's Pizza LLC</t>
        </is>
      </c>
      <c r="C146" t="inlineStr">
        <is>
          <t>Chivo's Pizza LLC</t>
        </is>
      </c>
      <c r="D146" t="inlineStr">
        <is>
          <t>Legal</t>
        </is>
      </c>
      <c r="E146" s="297" t="n">
        <v>45853</v>
      </c>
      <c r="F146" s="297" t="n">
        <v>45953</v>
      </c>
      <c r="G146" t="n">
        <v>3</v>
      </c>
      <c r="H146" t="inlineStr">
        <is>
          <t>5812</t>
        </is>
      </c>
      <c r="I146" t="inlineStr">
        <is>
          <t>58</t>
        </is>
      </c>
      <c r="J146" t="inlineStr">
        <is>
          <t>IN</t>
        </is>
      </c>
      <c r="K146" t="inlineStr">
        <is>
          <t>Premium Capital (AMRK)</t>
        </is>
      </c>
      <c r="L146" t="inlineStr">
        <is>
          <t>New Deal</t>
        </is>
      </c>
      <c r="M146" s="298" t="n">
        <v>1.49</v>
      </c>
      <c r="N146" s="299" t="n">
        <v>15000</v>
      </c>
      <c r="O146" s="299" t="n">
        <v>2100</v>
      </c>
      <c r="P146" s="299" t="n">
        <v>22350</v>
      </c>
      <c r="Q146" s="299" t="n">
        <v>13612.39</v>
      </c>
      <c r="R146" s="299" t="n">
        <v>8737.610000000001</v>
      </c>
      <c r="S146" s="300" t="n">
        <v>0.60905548098434</v>
      </c>
      <c r="T146" t="n">
        <v>3.607</v>
      </c>
      <c r="U146" t="n">
        <v>3</v>
      </c>
      <c r="V146" t="n">
        <v>35057.41</v>
      </c>
      <c r="W146" s="300" t="n">
        <v>0.1217</v>
      </c>
      <c r="X146" s="297" t="n"/>
      <c r="Y146">
        <f>IF(I146="","No SIC",IFERROR(VLOOKUP(I146,Ref!$A$2:$B$65,2,FALSE),"Unclassified"))</f>
        <v/>
      </c>
      <c r="Z146">
        <f>IF(T146="","",IF(T146&lt;12,"Daily","Weekly"))</f>
        <v/>
      </c>
      <c r="AA146">
        <f>IF(T146="",0,IF(T146&lt;12,T146*Controls!$B$29,T146*5))</f>
        <v/>
      </c>
      <c r="AB146">
        <f>IF(E146="",0,NETWORKDAYS(E146,Controls!$B$36,Ref!$K$2:$K$42))</f>
        <v/>
      </c>
      <c r="AC146">
        <f>IF(AND(AA146&gt;0,AB146&gt;=Controls!$B$39*AA146),1,0)</f>
        <v/>
      </c>
      <c r="AD146">
        <f>IF(AND(E146&lt;&gt;"",E146&gt;=Controls!$B$37,E146&lt;=Controls!$B$38),1,0)</f>
        <v/>
      </c>
      <c r="AE146">
        <f>IF(IFERROR(VLOOKUP(D146,Controls!$A$64:$E$74,2,FALSE),"No")="Yes",1,0)</f>
        <v/>
      </c>
      <c r="AF146">
        <f>IF(IFERROR(VLOOKUP(D146,Controls!$A$64:$E$74,3,FALSE),"No")="Yes",1,0)</f>
        <v/>
      </c>
      <c r="AG146">
        <f>IF(IFERROR(VLOOKUP(D146,Controls!$A$64:$E$74,4,FALSE),"No")="Yes",1,0)</f>
        <v/>
      </c>
      <c r="AH146">
        <f>IF(IFERROR(VLOOKUP(D146,Controls!$A$64:$E$74,5,FALSE),"No")="Yes",1,0)</f>
        <v/>
      </c>
      <c r="AI146">
        <f>IF(ISNUMBER(MATCH(D146,Controls!$A$64:$A$74,0)),1,0)</f>
        <v/>
      </c>
      <c r="AJ146">
        <f>Q146-N146</f>
        <v/>
      </c>
      <c r="AK146">
        <f>IF(AE146=1,MAX(0,N146-Q146),0)</f>
        <v/>
      </c>
      <c r="AL146">
        <f>IF(OR(V146="",V146=0),0,N146/V146)</f>
        <v/>
      </c>
      <c r="AM146">
        <f>IF(OR(V146="",V146=0),0,1)</f>
        <v/>
      </c>
      <c r="AN146">
        <f>IF(OR(E146="",F146=""),0,NETWORKDAYS(E146,F146,Ref!$K$2:$K$42))</f>
        <v/>
      </c>
      <c r="AO146">
        <f>IF(L146="Renewal",1,0)</f>
        <v/>
      </c>
      <c r="AP146">
        <f>AC146*AD146</f>
        <v/>
      </c>
      <c r="AQ146">
        <f>IF(AND(G146&lt;&gt;"",'Historical Score'!$C$6&lt;&gt;""),IF(G146='Historical Score'!$C$6,1,0),0)</f>
        <v/>
      </c>
      <c r="AR146">
        <f>IF(AND(L146&lt;&gt;"",'Historical Score'!$C$5&lt;&gt;""),IF(L146='Historical Score'!$C$5,1,0),0)</f>
        <v/>
      </c>
      <c r="AS146">
        <f>IF(AND(Y146&lt;&gt;"",'Historical Score'!$C$7&lt;&gt;""),IF(Y146='Historical Score'!$C$7,1,0),0)</f>
        <v/>
      </c>
      <c r="AT146">
        <f>IF(AND(K146&lt;&gt;"",'Historical Score'!$C$8&lt;&gt;""),IF(K146='Historical Score'!$C$8,1,0),0)</f>
        <v/>
      </c>
      <c r="AU146">
        <f>IF(AND(J146&lt;&gt;"",'Historical Score'!$C$9&lt;&gt;""),IF(J146='Historical Score'!$C$9,1,0),0)</f>
        <v/>
      </c>
      <c r="AV146">
        <f>AR146*AS146*AQ146</f>
        <v/>
      </c>
      <c r="AW146">
        <f>AR146*AT146*AQ146</f>
        <v/>
      </c>
      <c r="AX146">
        <f>AR146*AS146</f>
        <v/>
      </c>
      <c r="AY146">
        <f>AR146*AT146</f>
        <v/>
      </c>
      <c r="AZ146">
        <f>AR146*AQ146</f>
        <v/>
      </c>
      <c r="BA146">
        <f>AR146</f>
        <v/>
      </c>
      <c r="BB146">
        <f>1</f>
        <v/>
      </c>
      <c r="BC146">
        <f>IF(AV146=1,1,IF(AW146=1,2,IF(AX146=1,3,IF(AY146=1,4,IF(AZ146=1,5,IF(BA146=1,6,7))))))</f>
        <v/>
      </c>
      <c r="BD146">
        <f>IF(AD146=1,CHOOSE('Historical Score'!$C$29,AV146,AW146,AX146,AY146,AZ146,BA146,BB146),0)</f>
        <v/>
      </c>
      <c r="BE146">
        <f>IF(BD146=1,COUNTIF($BD$2:BD146,1),"")</f>
        <v/>
      </c>
    </row>
    <row r="147">
      <c r="A147" t="inlineStr">
        <is>
          <t>5674161813</t>
        </is>
      </c>
      <c r="B147" t="inlineStr">
        <is>
          <t>MOOR HERBS MARKETPLACE</t>
        </is>
      </c>
      <c r="C147" t="inlineStr">
        <is>
          <t>THE MOORISH SCIENCE - TEMPLE THE DIVINE AND NATIONAL MOVEMENT OF NORTH AMERICA INC</t>
        </is>
      </c>
      <c r="D147" t="inlineStr">
        <is>
          <t>Closed</t>
        </is>
      </c>
      <c r="E147" s="297" t="n">
        <v>45853</v>
      </c>
      <c r="F147" s="297" t="n">
        <v>45904</v>
      </c>
      <c r="G147" t="n">
        <v>4</v>
      </c>
      <c r="H147" t="inlineStr">
        <is>
          <t>5812</t>
        </is>
      </c>
      <c r="I147" t="inlineStr">
        <is>
          <t>58</t>
        </is>
      </c>
      <c r="J147" t="inlineStr">
        <is>
          <t>MI</t>
        </is>
      </c>
      <c r="K147" t="inlineStr">
        <is>
          <t>United Secured Capital 8</t>
        </is>
      </c>
      <c r="L147" t="inlineStr">
        <is>
          <t>New Deal</t>
        </is>
      </c>
      <c r="M147" s="298" t="n">
        <v>1.5</v>
      </c>
      <c r="N147" s="299" t="n">
        <v>15000</v>
      </c>
      <c r="O147" s="299" t="n">
        <v>2100</v>
      </c>
      <c r="P147" s="299" t="n">
        <v>22500</v>
      </c>
      <c r="Q147" s="299" t="n">
        <v>22500</v>
      </c>
      <c r="R147" s="299" t="n">
        <v>0</v>
      </c>
      <c r="S147" s="300" t="n">
        <v>1</v>
      </c>
      <c r="T147" t="n">
        <v>2.295</v>
      </c>
      <c r="U147" t="n">
        <v>0</v>
      </c>
      <c r="V147" t="n">
        <v>70657.38</v>
      </c>
      <c r="W147" s="300" t="n">
        <v>0.0949</v>
      </c>
      <c r="X147" s="297" t="n">
        <v>43221</v>
      </c>
      <c r="Y147">
        <f>IF(I147="","No SIC",IFERROR(VLOOKUP(I147,Ref!$A$2:$B$65,2,FALSE),"Unclassified"))</f>
        <v/>
      </c>
      <c r="Z147">
        <f>IF(T147="","",IF(T147&lt;12,"Daily","Weekly"))</f>
        <v/>
      </c>
      <c r="AA147">
        <f>IF(T147="",0,IF(T147&lt;12,T147*Controls!$B$29,T147*5))</f>
        <v/>
      </c>
      <c r="AB147">
        <f>IF(E147="",0,NETWORKDAYS(E147,Controls!$B$36,Ref!$K$2:$K$42))</f>
        <v/>
      </c>
      <c r="AC147">
        <f>IF(AND(AA147&gt;0,AB147&gt;=Controls!$B$39*AA147),1,0)</f>
        <v/>
      </c>
      <c r="AD147">
        <f>IF(AND(E147&lt;&gt;"",E147&gt;=Controls!$B$37,E147&lt;=Controls!$B$38),1,0)</f>
        <v/>
      </c>
      <c r="AE147">
        <f>IF(IFERROR(VLOOKUP(D147,Controls!$A$64:$E$74,2,FALSE),"No")="Yes",1,0)</f>
        <v/>
      </c>
      <c r="AF147">
        <f>IF(IFERROR(VLOOKUP(D147,Controls!$A$64:$E$74,3,FALSE),"No")="Yes",1,0)</f>
        <v/>
      </c>
      <c r="AG147">
        <f>IF(IFERROR(VLOOKUP(D147,Controls!$A$64:$E$74,4,FALSE),"No")="Yes",1,0)</f>
        <v/>
      </c>
      <c r="AH147">
        <f>IF(IFERROR(VLOOKUP(D147,Controls!$A$64:$E$74,5,FALSE),"No")="Yes",1,0)</f>
        <v/>
      </c>
      <c r="AI147">
        <f>IF(ISNUMBER(MATCH(D147,Controls!$A$64:$A$74,0)),1,0)</f>
        <v/>
      </c>
      <c r="AJ147">
        <f>Q147-N147</f>
        <v/>
      </c>
      <c r="AK147">
        <f>IF(AE147=1,MAX(0,N147-Q147),0)</f>
        <v/>
      </c>
      <c r="AL147">
        <f>IF(OR(V147="",V147=0),0,N147/V147)</f>
        <v/>
      </c>
      <c r="AM147">
        <f>IF(OR(V147="",V147=0),0,1)</f>
        <v/>
      </c>
      <c r="AN147">
        <f>IF(OR(E147="",F147=""),0,NETWORKDAYS(E147,F147,Ref!$K$2:$K$42))</f>
        <v/>
      </c>
      <c r="AO147">
        <f>IF(L147="Renewal",1,0)</f>
        <v/>
      </c>
      <c r="AP147">
        <f>AC147*AD147</f>
        <v/>
      </c>
      <c r="AQ147">
        <f>IF(AND(G147&lt;&gt;"",'Historical Score'!$C$6&lt;&gt;""),IF(G147='Historical Score'!$C$6,1,0),0)</f>
        <v/>
      </c>
      <c r="AR147">
        <f>IF(AND(L147&lt;&gt;"",'Historical Score'!$C$5&lt;&gt;""),IF(L147='Historical Score'!$C$5,1,0),0)</f>
        <v/>
      </c>
      <c r="AS147">
        <f>IF(AND(Y147&lt;&gt;"",'Historical Score'!$C$7&lt;&gt;""),IF(Y147='Historical Score'!$C$7,1,0),0)</f>
        <v/>
      </c>
      <c r="AT147">
        <f>IF(AND(K147&lt;&gt;"",'Historical Score'!$C$8&lt;&gt;""),IF(K147='Historical Score'!$C$8,1,0),0)</f>
        <v/>
      </c>
      <c r="AU147">
        <f>IF(AND(J147&lt;&gt;"",'Historical Score'!$C$9&lt;&gt;""),IF(J147='Historical Score'!$C$9,1,0),0)</f>
        <v/>
      </c>
      <c r="AV147">
        <f>AR147*AS147*AQ147</f>
        <v/>
      </c>
      <c r="AW147">
        <f>AR147*AT147*AQ147</f>
        <v/>
      </c>
      <c r="AX147">
        <f>AR147*AS147</f>
        <v/>
      </c>
      <c r="AY147">
        <f>AR147*AT147</f>
        <v/>
      </c>
      <c r="AZ147">
        <f>AR147*AQ147</f>
        <v/>
      </c>
      <c r="BA147">
        <f>AR147</f>
        <v/>
      </c>
      <c r="BB147">
        <f>1</f>
        <v/>
      </c>
      <c r="BC147">
        <f>IF(AV147=1,1,IF(AW147=1,2,IF(AX147=1,3,IF(AY147=1,4,IF(AZ147=1,5,IF(BA147=1,6,7))))))</f>
        <v/>
      </c>
      <c r="BD147">
        <f>IF(AD147=1,CHOOSE('Historical Score'!$C$29,AV147,AW147,AX147,AY147,AZ147,BA147,BB147),0)</f>
        <v/>
      </c>
      <c r="BE147">
        <f>IF(BD147=1,COUNTIF($BD$2:BD147,1),"")</f>
        <v/>
      </c>
    </row>
    <row r="148">
      <c r="A148" t="inlineStr">
        <is>
          <t>5674161856</t>
        </is>
      </c>
      <c r="B148" t="inlineStr">
        <is>
          <t>TOWERWORX</t>
        </is>
      </c>
      <c r="C148" t="inlineStr">
        <is>
          <t>TOWERWORX LLC</t>
        </is>
      </c>
      <c r="D148" t="inlineStr">
        <is>
          <t>Closed</t>
        </is>
      </c>
      <c r="E148" s="297" t="n">
        <v>45854</v>
      </c>
      <c r="F148" s="297" t="n">
        <v>46106</v>
      </c>
      <c r="G148" t="n">
        <v>2</v>
      </c>
      <c r="H148" t="inlineStr">
        <is>
          <t>4812</t>
        </is>
      </c>
      <c r="I148" t="inlineStr">
        <is>
          <t>48</t>
        </is>
      </c>
      <c r="J148" t="inlineStr">
        <is>
          <t>TX</t>
        </is>
      </c>
      <c r="K148" t="inlineStr">
        <is>
          <t>Fidelity Funding</t>
        </is>
      </c>
      <c r="L148" t="inlineStr">
        <is>
          <t>New Deal</t>
        </is>
      </c>
      <c r="M148" s="298" t="n">
        <v>1.35</v>
      </c>
      <c r="N148" s="299" t="n">
        <v>60000</v>
      </c>
      <c r="O148" s="299" t="n">
        <v>4200</v>
      </c>
      <c r="P148" s="299" t="n">
        <v>81000</v>
      </c>
      <c r="Q148" s="299" t="n">
        <v>81000</v>
      </c>
      <c r="R148" s="299" t="n">
        <v>0</v>
      </c>
      <c r="S148" s="300" t="n">
        <v>1</v>
      </c>
      <c r="T148" t="n">
        <v>36</v>
      </c>
      <c r="U148" t="n">
        <v>0</v>
      </c>
      <c r="V148" t="n">
        <v>115748.28</v>
      </c>
      <c r="W148" s="300" t="n">
        <v>0.07779999999999999</v>
      </c>
      <c r="X148" s="297" t="n"/>
      <c r="Y148">
        <f>IF(I148="","No SIC",IFERROR(VLOOKUP(I148,Ref!$A$2:$B$65,2,FALSE),"Unclassified"))</f>
        <v/>
      </c>
      <c r="Z148">
        <f>IF(T148="","",IF(T148&lt;12,"Daily","Weekly"))</f>
        <v/>
      </c>
      <c r="AA148">
        <f>IF(T148="",0,IF(T148&lt;12,T148*Controls!$B$29,T148*5))</f>
        <v/>
      </c>
      <c r="AB148">
        <f>IF(E148="",0,NETWORKDAYS(E148,Controls!$B$36,Ref!$K$2:$K$42))</f>
        <v/>
      </c>
      <c r="AC148">
        <f>IF(AND(AA148&gt;0,AB148&gt;=Controls!$B$39*AA148),1,0)</f>
        <v/>
      </c>
      <c r="AD148">
        <f>IF(AND(E148&lt;&gt;"",E148&gt;=Controls!$B$37,E148&lt;=Controls!$B$38),1,0)</f>
        <v/>
      </c>
      <c r="AE148">
        <f>IF(IFERROR(VLOOKUP(D148,Controls!$A$64:$E$74,2,FALSE),"No")="Yes",1,0)</f>
        <v/>
      </c>
      <c r="AF148">
        <f>IF(IFERROR(VLOOKUP(D148,Controls!$A$64:$E$74,3,FALSE),"No")="Yes",1,0)</f>
        <v/>
      </c>
      <c r="AG148">
        <f>IF(IFERROR(VLOOKUP(D148,Controls!$A$64:$E$74,4,FALSE),"No")="Yes",1,0)</f>
        <v/>
      </c>
      <c r="AH148">
        <f>IF(IFERROR(VLOOKUP(D148,Controls!$A$64:$E$74,5,FALSE),"No")="Yes",1,0)</f>
        <v/>
      </c>
      <c r="AI148">
        <f>IF(ISNUMBER(MATCH(D148,Controls!$A$64:$A$74,0)),1,0)</f>
        <v/>
      </c>
      <c r="AJ148">
        <f>Q148-N148</f>
        <v/>
      </c>
      <c r="AK148">
        <f>IF(AE148=1,MAX(0,N148-Q148),0)</f>
        <v/>
      </c>
      <c r="AL148">
        <f>IF(OR(V148="",V148=0),0,N148/V148)</f>
        <v/>
      </c>
      <c r="AM148">
        <f>IF(OR(V148="",V148=0),0,1)</f>
        <v/>
      </c>
      <c r="AN148">
        <f>IF(OR(E148="",F148=""),0,NETWORKDAYS(E148,F148,Ref!$K$2:$K$42))</f>
        <v/>
      </c>
      <c r="AO148">
        <f>IF(L148="Renewal",1,0)</f>
        <v/>
      </c>
      <c r="AP148">
        <f>AC148*AD148</f>
        <v/>
      </c>
      <c r="AQ148">
        <f>IF(AND(G148&lt;&gt;"",'Historical Score'!$C$6&lt;&gt;""),IF(G148='Historical Score'!$C$6,1,0),0)</f>
        <v/>
      </c>
      <c r="AR148">
        <f>IF(AND(L148&lt;&gt;"",'Historical Score'!$C$5&lt;&gt;""),IF(L148='Historical Score'!$C$5,1,0),0)</f>
        <v/>
      </c>
      <c r="AS148">
        <f>IF(AND(Y148&lt;&gt;"",'Historical Score'!$C$7&lt;&gt;""),IF(Y148='Historical Score'!$C$7,1,0),0)</f>
        <v/>
      </c>
      <c r="AT148">
        <f>IF(AND(K148&lt;&gt;"",'Historical Score'!$C$8&lt;&gt;""),IF(K148='Historical Score'!$C$8,1,0),0)</f>
        <v/>
      </c>
      <c r="AU148">
        <f>IF(AND(J148&lt;&gt;"",'Historical Score'!$C$9&lt;&gt;""),IF(J148='Historical Score'!$C$9,1,0),0)</f>
        <v/>
      </c>
      <c r="AV148">
        <f>AR148*AS148*AQ148</f>
        <v/>
      </c>
      <c r="AW148">
        <f>AR148*AT148*AQ148</f>
        <v/>
      </c>
      <c r="AX148">
        <f>AR148*AS148</f>
        <v/>
      </c>
      <c r="AY148">
        <f>AR148*AT148</f>
        <v/>
      </c>
      <c r="AZ148">
        <f>AR148*AQ148</f>
        <v/>
      </c>
      <c r="BA148">
        <f>AR148</f>
        <v/>
      </c>
      <c r="BB148">
        <f>1</f>
        <v/>
      </c>
      <c r="BC148">
        <f>IF(AV148=1,1,IF(AW148=1,2,IF(AX148=1,3,IF(AY148=1,4,IF(AZ148=1,5,IF(BA148=1,6,7))))))</f>
        <v/>
      </c>
      <c r="BD148">
        <f>IF(AD148=1,CHOOSE('Historical Score'!$C$29,AV148,AW148,AX148,AY148,AZ148,BA148,BB148),0)</f>
        <v/>
      </c>
      <c r="BE148">
        <f>IF(BD148=1,COUNTIF($BD$2:BD148,1),"")</f>
        <v/>
      </c>
    </row>
    <row r="149">
      <c r="A149" t="inlineStr">
        <is>
          <t>5674161998</t>
        </is>
      </c>
      <c r="B149" t="inlineStr">
        <is>
          <t>Midwest Detail And Power Wash</t>
        </is>
      </c>
      <c r="C149" t="inlineStr">
        <is>
          <t>Midwest Detail And Power Wash</t>
        </is>
      </c>
      <c r="D149" t="inlineStr">
        <is>
          <t>In House Collection</t>
        </is>
      </c>
      <c r="E149" s="297" t="n">
        <v>45855</v>
      </c>
      <c r="F149" s="297" t="n">
        <v>45883</v>
      </c>
      <c r="G149" t="n">
        <v>3</v>
      </c>
      <c r="H149" t="inlineStr">
        <is>
          <t>3271</t>
        </is>
      </c>
      <c r="I149" t="inlineStr">
        <is>
          <t>32</t>
        </is>
      </c>
      <c r="J149" t="inlineStr">
        <is>
          <t>IL</t>
        </is>
      </c>
      <c r="K149" t="inlineStr">
        <is>
          <t>CNL LOANS</t>
        </is>
      </c>
      <c r="L149" t="inlineStr">
        <is>
          <t>New Deal</t>
        </is>
      </c>
      <c r="M149" s="298" t="n">
        <v>1.499</v>
      </c>
      <c r="N149" s="299" t="n">
        <v>5000</v>
      </c>
      <c r="O149" s="299" t="n">
        <v>0</v>
      </c>
      <c r="P149" s="299" t="n">
        <v>7495</v>
      </c>
      <c r="Q149" s="299" t="n">
        <v>2109.87</v>
      </c>
      <c r="R149" s="299" t="n">
        <v>5385.13</v>
      </c>
      <c r="S149" s="300" t="n">
        <v>0.281503669112742</v>
      </c>
      <c r="T149" t="n">
        <v>1.967</v>
      </c>
      <c r="U149" t="n">
        <v>4</v>
      </c>
      <c r="V149" t="n">
        <v>39491</v>
      </c>
      <c r="W149" s="300" t="n">
        <v>0.066</v>
      </c>
      <c r="X149" s="297" t="n">
        <v>39670</v>
      </c>
      <c r="Y149">
        <f>IF(I149="","No SIC",IFERROR(VLOOKUP(I149,Ref!$A$2:$B$65,2,FALSE),"Unclassified"))</f>
        <v/>
      </c>
      <c r="Z149">
        <f>IF(T149="","",IF(T149&lt;12,"Daily","Weekly"))</f>
        <v/>
      </c>
      <c r="AA149">
        <f>IF(T149="",0,IF(T149&lt;12,T149*Controls!$B$29,T149*5))</f>
        <v/>
      </c>
      <c r="AB149">
        <f>IF(E149="",0,NETWORKDAYS(E149,Controls!$B$36,Ref!$K$2:$K$42))</f>
        <v/>
      </c>
      <c r="AC149">
        <f>IF(AND(AA149&gt;0,AB149&gt;=Controls!$B$39*AA149),1,0)</f>
        <v/>
      </c>
      <c r="AD149">
        <f>IF(AND(E149&lt;&gt;"",E149&gt;=Controls!$B$37,E149&lt;=Controls!$B$38),1,0)</f>
        <v/>
      </c>
      <c r="AE149">
        <f>IF(IFERROR(VLOOKUP(D149,Controls!$A$64:$E$74,2,FALSE),"No")="Yes",1,0)</f>
        <v/>
      </c>
      <c r="AF149">
        <f>IF(IFERROR(VLOOKUP(D149,Controls!$A$64:$E$74,3,FALSE),"No")="Yes",1,0)</f>
        <v/>
      </c>
      <c r="AG149">
        <f>IF(IFERROR(VLOOKUP(D149,Controls!$A$64:$E$74,4,FALSE),"No")="Yes",1,0)</f>
        <v/>
      </c>
      <c r="AH149">
        <f>IF(IFERROR(VLOOKUP(D149,Controls!$A$64:$E$74,5,FALSE),"No")="Yes",1,0)</f>
        <v/>
      </c>
      <c r="AI149">
        <f>IF(ISNUMBER(MATCH(D149,Controls!$A$64:$A$74,0)),1,0)</f>
        <v/>
      </c>
      <c r="AJ149">
        <f>Q149-N149</f>
        <v/>
      </c>
      <c r="AK149">
        <f>IF(AE149=1,MAX(0,N149-Q149),0)</f>
        <v/>
      </c>
      <c r="AL149">
        <f>IF(OR(V149="",V149=0),0,N149/V149)</f>
        <v/>
      </c>
      <c r="AM149">
        <f>IF(OR(V149="",V149=0),0,1)</f>
        <v/>
      </c>
      <c r="AN149">
        <f>IF(OR(E149="",F149=""),0,NETWORKDAYS(E149,F149,Ref!$K$2:$K$42))</f>
        <v/>
      </c>
      <c r="AO149">
        <f>IF(L149="Renewal",1,0)</f>
        <v/>
      </c>
      <c r="AP149">
        <f>AC149*AD149</f>
        <v/>
      </c>
      <c r="AQ149">
        <f>IF(AND(G149&lt;&gt;"",'Historical Score'!$C$6&lt;&gt;""),IF(G149='Historical Score'!$C$6,1,0),0)</f>
        <v/>
      </c>
      <c r="AR149">
        <f>IF(AND(L149&lt;&gt;"",'Historical Score'!$C$5&lt;&gt;""),IF(L149='Historical Score'!$C$5,1,0),0)</f>
        <v/>
      </c>
      <c r="AS149">
        <f>IF(AND(Y149&lt;&gt;"",'Historical Score'!$C$7&lt;&gt;""),IF(Y149='Historical Score'!$C$7,1,0),0)</f>
        <v/>
      </c>
      <c r="AT149">
        <f>IF(AND(K149&lt;&gt;"",'Historical Score'!$C$8&lt;&gt;""),IF(K149='Historical Score'!$C$8,1,0),0)</f>
        <v/>
      </c>
      <c r="AU149">
        <f>IF(AND(J149&lt;&gt;"",'Historical Score'!$C$9&lt;&gt;""),IF(J149='Historical Score'!$C$9,1,0),0)</f>
        <v/>
      </c>
      <c r="AV149">
        <f>AR149*AS149*AQ149</f>
        <v/>
      </c>
      <c r="AW149">
        <f>AR149*AT149*AQ149</f>
        <v/>
      </c>
      <c r="AX149">
        <f>AR149*AS149</f>
        <v/>
      </c>
      <c r="AY149">
        <f>AR149*AT149</f>
        <v/>
      </c>
      <c r="AZ149">
        <f>AR149*AQ149</f>
        <v/>
      </c>
      <c r="BA149">
        <f>AR149</f>
        <v/>
      </c>
      <c r="BB149">
        <f>1</f>
        <v/>
      </c>
      <c r="BC149">
        <f>IF(AV149=1,1,IF(AW149=1,2,IF(AX149=1,3,IF(AY149=1,4,IF(AZ149=1,5,IF(BA149=1,6,7))))))</f>
        <v/>
      </c>
      <c r="BD149">
        <f>IF(AD149=1,CHOOSE('Historical Score'!$C$29,AV149,AW149,AX149,AY149,AZ149,BA149,BB149),0)</f>
        <v/>
      </c>
      <c r="BE149">
        <f>IF(BD149=1,COUNTIF($BD$2:BD149,1),"")</f>
        <v/>
      </c>
    </row>
    <row r="150">
      <c r="A150" t="inlineStr">
        <is>
          <t>5674162024</t>
        </is>
      </c>
      <c r="B150" t="inlineStr">
        <is>
          <t>TONYS TRAILER</t>
        </is>
      </c>
      <c r="C150" t="inlineStr">
        <is>
          <t>ANTHONY COOK</t>
        </is>
      </c>
      <c r="D150" t="inlineStr">
        <is>
          <t>Closed</t>
        </is>
      </c>
      <c r="E150" s="297" t="n">
        <v>45855</v>
      </c>
      <c r="F150" s="297" t="n">
        <v>45932</v>
      </c>
      <c r="G150" t="n">
        <v>4</v>
      </c>
      <c r="H150" t="inlineStr">
        <is>
          <t>7549</t>
        </is>
      </c>
      <c r="I150" t="inlineStr">
        <is>
          <t>75</t>
        </is>
      </c>
      <c r="J150" t="inlineStr">
        <is>
          <t>OK</t>
        </is>
      </c>
      <c r="K150" t="inlineStr">
        <is>
          <t>biz advance now</t>
        </is>
      </c>
      <c r="L150" t="inlineStr">
        <is>
          <t>New Deal</t>
        </is>
      </c>
      <c r="M150" s="298" t="n">
        <v>1.49</v>
      </c>
      <c r="N150" s="299" t="n">
        <v>15000</v>
      </c>
      <c r="O150" s="299" t="n">
        <v>2100</v>
      </c>
      <c r="P150" s="299" t="n">
        <v>22350</v>
      </c>
      <c r="Q150" s="299" t="n">
        <v>22350</v>
      </c>
      <c r="R150" s="299" t="n">
        <v>0</v>
      </c>
      <c r="S150" s="300" t="n">
        <v>1</v>
      </c>
      <c r="T150" t="n">
        <v>18</v>
      </c>
      <c r="U150" t="n">
        <v>0</v>
      </c>
      <c r="V150" t="n">
        <v>64897.13</v>
      </c>
      <c r="W150" s="300" t="n">
        <v>0.0765</v>
      </c>
      <c r="X150" s="297" t="n"/>
      <c r="Y150">
        <f>IF(I150="","No SIC",IFERROR(VLOOKUP(I150,Ref!$A$2:$B$65,2,FALSE),"Unclassified"))</f>
        <v/>
      </c>
      <c r="Z150">
        <f>IF(T150="","",IF(T150&lt;12,"Daily","Weekly"))</f>
        <v/>
      </c>
      <c r="AA150">
        <f>IF(T150="",0,IF(T150&lt;12,T150*Controls!$B$29,T150*5))</f>
        <v/>
      </c>
      <c r="AB150">
        <f>IF(E150="",0,NETWORKDAYS(E150,Controls!$B$36,Ref!$K$2:$K$42))</f>
        <v/>
      </c>
      <c r="AC150">
        <f>IF(AND(AA150&gt;0,AB150&gt;=Controls!$B$39*AA150),1,0)</f>
        <v/>
      </c>
      <c r="AD150">
        <f>IF(AND(E150&lt;&gt;"",E150&gt;=Controls!$B$37,E150&lt;=Controls!$B$38),1,0)</f>
        <v/>
      </c>
      <c r="AE150">
        <f>IF(IFERROR(VLOOKUP(D150,Controls!$A$64:$E$74,2,FALSE),"No")="Yes",1,0)</f>
        <v/>
      </c>
      <c r="AF150">
        <f>IF(IFERROR(VLOOKUP(D150,Controls!$A$64:$E$74,3,FALSE),"No")="Yes",1,0)</f>
        <v/>
      </c>
      <c r="AG150">
        <f>IF(IFERROR(VLOOKUP(D150,Controls!$A$64:$E$74,4,FALSE),"No")="Yes",1,0)</f>
        <v/>
      </c>
      <c r="AH150">
        <f>IF(IFERROR(VLOOKUP(D150,Controls!$A$64:$E$74,5,FALSE),"No")="Yes",1,0)</f>
        <v/>
      </c>
      <c r="AI150">
        <f>IF(ISNUMBER(MATCH(D150,Controls!$A$64:$A$74,0)),1,0)</f>
        <v/>
      </c>
      <c r="AJ150">
        <f>Q150-N150</f>
        <v/>
      </c>
      <c r="AK150">
        <f>IF(AE150=1,MAX(0,N150-Q150),0)</f>
        <v/>
      </c>
      <c r="AL150">
        <f>IF(OR(V150="",V150=0),0,N150/V150)</f>
        <v/>
      </c>
      <c r="AM150">
        <f>IF(OR(V150="",V150=0),0,1)</f>
        <v/>
      </c>
      <c r="AN150">
        <f>IF(OR(E150="",F150=""),0,NETWORKDAYS(E150,F150,Ref!$K$2:$K$42))</f>
        <v/>
      </c>
      <c r="AO150">
        <f>IF(L150="Renewal",1,0)</f>
        <v/>
      </c>
      <c r="AP150">
        <f>AC150*AD150</f>
        <v/>
      </c>
      <c r="AQ150">
        <f>IF(AND(G150&lt;&gt;"",'Historical Score'!$C$6&lt;&gt;""),IF(G150='Historical Score'!$C$6,1,0),0)</f>
        <v/>
      </c>
      <c r="AR150">
        <f>IF(AND(L150&lt;&gt;"",'Historical Score'!$C$5&lt;&gt;""),IF(L150='Historical Score'!$C$5,1,0),0)</f>
        <v/>
      </c>
      <c r="AS150">
        <f>IF(AND(Y150&lt;&gt;"",'Historical Score'!$C$7&lt;&gt;""),IF(Y150='Historical Score'!$C$7,1,0),0)</f>
        <v/>
      </c>
      <c r="AT150">
        <f>IF(AND(K150&lt;&gt;"",'Historical Score'!$C$8&lt;&gt;""),IF(K150='Historical Score'!$C$8,1,0),0)</f>
        <v/>
      </c>
      <c r="AU150">
        <f>IF(AND(J150&lt;&gt;"",'Historical Score'!$C$9&lt;&gt;""),IF(J150='Historical Score'!$C$9,1,0),0)</f>
        <v/>
      </c>
      <c r="AV150">
        <f>AR150*AS150*AQ150</f>
        <v/>
      </c>
      <c r="AW150">
        <f>AR150*AT150*AQ150</f>
        <v/>
      </c>
      <c r="AX150">
        <f>AR150*AS150</f>
        <v/>
      </c>
      <c r="AY150">
        <f>AR150*AT150</f>
        <v/>
      </c>
      <c r="AZ150">
        <f>AR150*AQ150</f>
        <v/>
      </c>
      <c r="BA150">
        <f>AR150</f>
        <v/>
      </c>
      <c r="BB150">
        <f>1</f>
        <v/>
      </c>
      <c r="BC150">
        <f>IF(AV150=1,1,IF(AW150=1,2,IF(AX150=1,3,IF(AY150=1,4,IF(AZ150=1,5,IF(BA150=1,6,7))))))</f>
        <v/>
      </c>
      <c r="BD150">
        <f>IF(AD150=1,CHOOSE('Historical Score'!$C$29,AV150,AW150,AX150,AY150,AZ150,BA150,BB150),0)</f>
        <v/>
      </c>
      <c r="BE150">
        <f>IF(BD150=1,COUNTIF($BD$2:BD150,1),"")</f>
        <v/>
      </c>
    </row>
    <row r="151">
      <c r="A151" t="inlineStr">
        <is>
          <t>5674162077</t>
        </is>
      </c>
      <c r="B151" t="inlineStr">
        <is>
          <t>LINCOLN BABIGUMIRA PAIN CLINIC, LTD.</t>
        </is>
      </c>
      <c r="C151" t="inlineStr">
        <is>
          <t>LINCOLN BABIGUMIRA PAIN CLINIC, LTD.</t>
        </is>
      </c>
      <c r="D151" t="inlineStr">
        <is>
          <t>Legal</t>
        </is>
      </c>
      <c r="E151" s="297" t="n">
        <v>45856</v>
      </c>
      <c r="F151" s="297" t="n">
        <v>45979</v>
      </c>
      <c r="G151" t="n">
        <v>7</v>
      </c>
      <c r="H151" t="inlineStr">
        <is>
          <t>8011</t>
        </is>
      </c>
      <c r="I151" t="inlineStr">
        <is>
          <t>80</t>
        </is>
      </c>
      <c r="J151" t="inlineStr">
        <is>
          <t>IL</t>
        </is>
      </c>
      <c r="K151" t="inlineStr">
        <is>
          <t>United Secured Capital 8</t>
        </is>
      </c>
      <c r="L151" t="inlineStr">
        <is>
          <t>New Deal</t>
        </is>
      </c>
      <c r="M151" s="298" t="n">
        <v>1.49</v>
      </c>
      <c r="N151" s="299" t="n">
        <v>15000</v>
      </c>
      <c r="O151" s="299" t="n">
        <v>0</v>
      </c>
      <c r="P151" s="299" t="n">
        <v>22350</v>
      </c>
      <c r="Q151" s="299" t="n">
        <v>8661.6</v>
      </c>
      <c r="R151" s="299" t="n">
        <v>13688.4</v>
      </c>
      <c r="S151" s="300" t="n">
        <v>0.387543624161074</v>
      </c>
      <c r="T151" t="n">
        <v>1.311</v>
      </c>
      <c r="U151" t="n">
        <v>32</v>
      </c>
      <c r="V151" t="n">
        <v>107255.94</v>
      </c>
      <c r="W151" s="300" t="n">
        <v>0.1094</v>
      </c>
      <c r="X151" s="297" t="n"/>
      <c r="Y151">
        <f>IF(I151="","No SIC",IFERROR(VLOOKUP(I151,Ref!$A$2:$B$65,2,FALSE),"Unclassified"))</f>
        <v/>
      </c>
      <c r="Z151">
        <f>IF(T151="","",IF(T151&lt;12,"Daily","Weekly"))</f>
        <v/>
      </c>
      <c r="AA151">
        <f>IF(T151="",0,IF(T151&lt;12,T151*Controls!$B$29,T151*5))</f>
        <v/>
      </c>
      <c r="AB151">
        <f>IF(E151="",0,NETWORKDAYS(E151,Controls!$B$36,Ref!$K$2:$K$42))</f>
        <v/>
      </c>
      <c r="AC151">
        <f>IF(AND(AA151&gt;0,AB151&gt;=Controls!$B$39*AA151),1,0)</f>
        <v/>
      </c>
      <c r="AD151">
        <f>IF(AND(E151&lt;&gt;"",E151&gt;=Controls!$B$37,E151&lt;=Controls!$B$38),1,0)</f>
        <v/>
      </c>
      <c r="AE151">
        <f>IF(IFERROR(VLOOKUP(D151,Controls!$A$64:$E$74,2,FALSE),"No")="Yes",1,0)</f>
        <v/>
      </c>
      <c r="AF151">
        <f>IF(IFERROR(VLOOKUP(D151,Controls!$A$64:$E$74,3,FALSE),"No")="Yes",1,0)</f>
        <v/>
      </c>
      <c r="AG151">
        <f>IF(IFERROR(VLOOKUP(D151,Controls!$A$64:$E$74,4,FALSE),"No")="Yes",1,0)</f>
        <v/>
      </c>
      <c r="AH151">
        <f>IF(IFERROR(VLOOKUP(D151,Controls!$A$64:$E$74,5,FALSE),"No")="Yes",1,0)</f>
        <v/>
      </c>
      <c r="AI151">
        <f>IF(ISNUMBER(MATCH(D151,Controls!$A$64:$A$74,0)),1,0)</f>
        <v/>
      </c>
      <c r="AJ151">
        <f>Q151-N151</f>
        <v/>
      </c>
      <c r="AK151">
        <f>IF(AE151=1,MAX(0,N151-Q151),0)</f>
        <v/>
      </c>
      <c r="AL151">
        <f>IF(OR(V151="",V151=0),0,N151/V151)</f>
        <v/>
      </c>
      <c r="AM151">
        <f>IF(OR(V151="",V151=0),0,1)</f>
        <v/>
      </c>
      <c r="AN151">
        <f>IF(OR(E151="",F151=""),0,NETWORKDAYS(E151,F151,Ref!$K$2:$K$42))</f>
        <v/>
      </c>
      <c r="AO151">
        <f>IF(L151="Renewal",1,0)</f>
        <v/>
      </c>
      <c r="AP151">
        <f>AC151*AD151</f>
        <v/>
      </c>
      <c r="AQ151">
        <f>IF(AND(G151&lt;&gt;"",'Historical Score'!$C$6&lt;&gt;""),IF(G151='Historical Score'!$C$6,1,0),0)</f>
        <v/>
      </c>
      <c r="AR151">
        <f>IF(AND(L151&lt;&gt;"",'Historical Score'!$C$5&lt;&gt;""),IF(L151='Historical Score'!$C$5,1,0),0)</f>
        <v/>
      </c>
      <c r="AS151">
        <f>IF(AND(Y151&lt;&gt;"",'Historical Score'!$C$7&lt;&gt;""),IF(Y151='Historical Score'!$C$7,1,0),0)</f>
        <v/>
      </c>
      <c r="AT151">
        <f>IF(AND(K151&lt;&gt;"",'Historical Score'!$C$8&lt;&gt;""),IF(K151='Historical Score'!$C$8,1,0),0)</f>
        <v/>
      </c>
      <c r="AU151">
        <f>IF(AND(J151&lt;&gt;"",'Historical Score'!$C$9&lt;&gt;""),IF(J151='Historical Score'!$C$9,1,0),0)</f>
        <v/>
      </c>
      <c r="AV151">
        <f>AR151*AS151*AQ151</f>
        <v/>
      </c>
      <c r="AW151">
        <f>AR151*AT151*AQ151</f>
        <v/>
      </c>
      <c r="AX151">
        <f>AR151*AS151</f>
        <v/>
      </c>
      <c r="AY151">
        <f>AR151*AT151</f>
        <v/>
      </c>
      <c r="AZ151">
        <f>AR151*AQ151</f>
        <v/>
      </c>
      <c r="BA151">
        <f>AR151</f>
        <v/>
      </c>
      <c r="BB151">
        <f>1</f>
        <v/>
      </c>
      <c r="BC151">
        <f>IF(AV151=1,1,IF(AW151=1,2,IF(AX151=1,3,IF(AY151=1,4,IF(AZ151=1,5,IF(BA151=1,6,7))))))</f>
        <v/>
      </c>
      <c r="BD151">
        <f>IF(AD151=1,CHOOSE('Historical Score'!$C$29,AV151,AW151,AX151,AY151,AZ151,BA151,BB151),0)</f>
        <v/>
      </c>
      <c r="BE151">
        <f>IF(BD151=1,COUNTIF($BD$2:BD151,1),"")</f>
        <v/>
      </c>
    </row>
    <row r="152">
      <c r="A152" t="inlineStr">
        <is>
          <t>5674162104</t>
        </is>
      </c>
      <c r="B152" t="inlineStr">
        <is>
          <t>R &amp; D towing LLC</t>
        </is>
      </c>
      <c r="C152" t="inlineStr">
        <is>
          <t>R &amp; D towing LLC</t>
        </is>
      </c>
      <c r="D152" t="inlineStr">
        <is>
          <t>Legal</t>
        </is>
      </c>
      <c r="E152" s="297" t="n">
        <v>45856</v>
      </c>
      <c r="F152" s="297" t="n">
        <v>45924</v>
      </c>
      <c r="G152" t="n">
        <v>1</v>
      </c>
      <c r="H152" t="inlineStr">
        <is>
          <t>7549</t>
        </is>
      </c>
      <c r="I152" t="inlineStr">
        <is>
          <t>75</t>
        </is>
      </c>
      <c r="J152" t="inlineStr">
        <is>
          <t>MI</t>
        </is>
      </c>
      <c r="K152" t="inlineStr">
        <is>
          <t>Fund Kite</t>
        </is>
      </c>
      <c r="L152" t="inlineStr">
        <is>
          <t>New Deal</t>
        </is>
      </c>
      <c r="M152" s="298" t="n">
        <v>1.49</v>
      </c>
      <c r="N152" s="299" t="n">
        <v>8000</v>
      </c>
      <c r="O152" s="299" t="n">
        <v>0</v>
      </c>
      <c r="P152" s="299" t="n">
        <v>11920</v>
      </c>
      <c r="Q152" s="299" t="n">
        <v>0</v>
      </c>
      <c r="R152" s="299" t="n">
        <v>11920</v>
      </c>
      <c r="S152" s="300" t="n">
        <v>0</v>
      </c>
      <c r="T152" t="n">
        <v>16</v>
      </c>
      <c r="U152" t="n">
        <v>10</v>
      </c>
      <c r="V152" t="n">
        <v>66914.91</v>
      </c>
      <c r="W152" s="300" t="n">
        <v>0.0445</v>
      </c>
      <c r="X152" s="297" t="n">
        <v>44727</v>
      </c>
      <c r="Y152">
        <f>IF(I152="","No SIC",IFERROR(VLOOKUP(I152,Ref!$A$2:$B$65,2,FALSE),"Unclassified"))</f>
        <v/>
      </c>
      <c r="Z152">
        <f>IF(T152="","",IF(T152&lt;12,"Daily","Weekly"))</f>
        <v/>
      </c>
      <c r="AA152">
        <f>IF(T152="",0,IF(T152&lt;12,T152*Controls!$B$29,T152*5))</f>
        <v/>
      </c>
      <c r="AB152">
        <f>IF(E152="",0,NETWORKDAYS(E152,Controls!$B$36,Ref!$K$2:$K$42))</f>
        <v/>
      </c>
      <c r="AC152">
        <f>IF(AND(AA152&gt;0,AB152&gt;=Controls!$B$39*AA152),1,0)</f>
        <v/>
      </c>
      <c r="AD152">
        <f>IF(AND(E152&lt;&gt;"",E152&gt;=Controls!$B$37,E152&lt;=Controls!$B$38),1,0)</f>
        <v/>
      </c>
      <c r="AE152">
        <f>IF(IFERROR(VLOOKUP(D152,Controls!$A$64:$E$74,2,FALSE),"No")="Yes",1,0)</f>
        <v/>
      </c>
      <c r="AF152">
        <f>IF(IFERROR(VLOOKUP(D152,Controls!$A$64:$E$74,3,FALSE),"No")="Yes",1,0)</f>
        <v/>
      </c>
      <c r="AG152">
        <f>IF(IFERROR(VLOOKUP(D152,Controls!$A$64:$E$74,4,FALSE),"No")="Yes",1,0)</f>
        <v/>
      </c>
      <c r="AH152">
        <f>IF(IFERROR(VLOOKUP(D152,Controls!$A$64:$E$74,5,FALSE),"No")="Yes",1,0)</f>
        <v/>
      </c>
      <c r="AI152">
        <f>IF(ISNUMBER(MATCH(D152,Controls!$A$64:$A$74,0)),1,0)</f>
        <v/>
      </c>
      <c r="AJ152">
        <f>Q152-N152</f>
        <v/>
      </c>
      <c r="AK152">
        <f>IF(AE152=1,MAX(0,N152-Q152),0)</f>
        <v/>
      </c>
      <c r="AL152">
        <f>IF(OR(V152="",V152=0),0,N152/V152)</f>
        <v/>
      </c>
      <c r="AM152">
        <f>IF(OR(V152="",V152=0),0,1)</f>
        <v/>
      </c>
      <c r="AN152">
        <f>IF(OR(E152="",F152=""),0,NETWORKDAYS(E152,F152,Ref!$K$2:$K$42))</f>
        <v/>
      </c>
      <c r="AO152">
        <f>IF(L152="Renewal",1,0)</f>
        <v/>
      </c>
      <c r="AP152">
        <f>AC152*AD152</f>
        <v/>
      </c>
      <c r="AQ152">
        <f>IF(AND(G152&lt;&gt;"",'Historical Score'!$C$6&lt;&gt;""),IF(G152='Historical Score'!$C$6,1,0),0)</f>
        <v/>
      </c>
      <c r="AR152">
        <f>IF(AND(L152&lt;&gt;"",'Historical Score'!$C$5&lt;&gt;""),IF(L152='Historical Score'!$C$5,1,0),0)</f>
        <v/>
      </c>
      <c r="AS152">
        <f>IF(AND(Y152&lt;&gt;"",'Historical Score'!$C$7&lt;&gt;""),IF(Y152='Historical Score'!$C$7,1,0),0)</f>
        <v/>
      </c>
      <c r="AT152">
        <f>IF(AND(K152&lt;&gt;"",'Historical Score'!$C$8&lt;&gt;""),IF(K152='Historical Score'!$C$8,1,0),0)</f>
        <v/>
      </c>
      <c r="AU152">
        <f>IF(AND(J152&lt;&gt;"",'Historical Score'!$C$9&lt;&gt;""),IF(J152='Historical Score'!$C$9,1,0),0)</f>
        <v/>
      </c>
      <c r="AV152">
        <f>AR152*AS152*AQ152</f>
        <v/>
      </c>
      <c r="AW152">
        <f>AR152*AT152*AQ152</f>
        <v/>
      </c>
      <c r="AX152">
        <f>AR152*AS152</f>
        <v/>
      </c>
      <c r="AY152">
        <f>AR152*AT152</f>
        <v/>
      </c>
      <c r="AZ152">
        <f>AR152*AQ152</f>
        <v/>
      </c>
      <c r="BA152">
        <f>AR152</f>
        <v/>
      </c>
      <c r="BB152">
        <f>1</f>
        <v/>
      </c>
      <c r="BC152">
        <f>IF(AV152=1,1,IF(AW152=1,2,IF(AX152=1,3,IF(AY152=1,4,IF(AZ152=1,5,IF(BA152=1,6,7))))))</f>
        <v/>
      </c>
      <c r="BD152">
        <f>IF(AD152=1,CHOOSE('Historical Score'!$C$29,AV152,AW152,AX152,AY152,AZ152,BA152,BB152),0)</f>
        <v/>
      </c>
      <c r="BE152">
        <f>IF(BD152=1,COUNTIF($BD$2:BD152,1),"")</f>
        <v/>
      </c>
    </row>
    <row r="153">
      <c r="A153" t="inlineStr">
        <is>
          <t>5674162110</t>
        </is>
      </c>
      <c r="B153" t="inlineStr">
        <is>
          <t>POPULAR PROSPECTIVE PRODUCTS</t>
        </is>
      </c>
      <c r="C153" t="inlineStr">
        <is>
          <t>POPULAR PROSPECTIVE PRODUCTS, INC.</t>
        </is>
      </c>
      <c r="D153" t="inlineStr">
        <is>
          <t>Legal</t>
        </is>
      </c>
      <c r="E153" s="297" t="n">
        <v>45856</v>
      </c>
      <c r="F153" s="297" t="n">
        <v>46097</v>
      </c>
      <c r="G153" t="n">
        <v>1</v>
      </c>
      <c r="H153" t="inlineStr">
        <is>
          <t>5045</t>
        </is>
      </c>
      <c r="I153" t="inlineStr">
        <is>
          <t>50</t>
        </is>
      </c>
      <c r="J153" t="inlineStr">
        <is>
          <t>TX</t>
        </is>
      </c>
      <c r="K153" t="inlineStr">
        <is>
          <t>PMF</t>
        </is>
      </c>
      <c r="L153" t="inlineStr">
        <is>
          <t>New Deal</t>
        </is>
      </c>
      <c r="M153" s="298" t="n">
        <v>1.31</v>
      </c>
      <c r="N153" s="299" t="n">
        <v>70000</v>
      </c>
      <c r="O153" s="299" t="n">
        <v>2800</v>
      </c>
      <c r="P153" s="299" t="n">
        <v>91700</v>
      </c>
      <c r="Q153" s="299" t="n">
        <v>57312.5</v>
      </c>
      <c r="R153" s="299" t="n">
        <v>34387.5</v>
      </c>
      <c r="S153" s="300" t="n">
        <v>0.625</v>
      </c>
      <c r="T153" t="n">
        <v>40</v>
      </c>
      <c r="U153" t="n">
        <v>10</v>
      </c>
      <c r="V153" t="n">
        <v>187654.36</v>
      </c>
      <c r="W153" s="300" t="n">
        <v>0.0489</v>
      </c>
      <c r="X153" s="297" t="n">
        <v>42705</v>
      </c>
      <c r="Y153">
        <f>IF(I153="","No SIC",IFERROR(VLOOKUP(I153,Ref!$A$2:$B$65,2,FALSE),"Unclassified"))</f>
        <v/>
      </c>
      <c r="Z153">
        <f>IF(T153="","",IF(T153&lt;12,"Daily","Weekly"))</f>
        <v/>
      </c>
      <c r="AA153">
        <f>IF(T153="",0,IF(T153&lt;12,T153*Controls!$B$29,T153*5))</f>
        <v/>
      </c>
      <c r="AB153">
        <f>IF(E153="",0,NETWORKDAYS(E153,Controls!$B$36,Ref!$K$2:$K$42))</f>
        <v/>
      </c>
      <c r="AC153">
        <f>IF(AND(AA153&gt;0,AB153&gt;=Controls!$B$39*AA153),1,0)</f>
        <v/>
      </c>
      <c r="AD153">
        <f>IF(AND(E153&lt;&gt;"",E153&gt;=Controls!$B$37,E153&lt;=Controls!$B$38),1,0)</f>
        <v/>
      </c>
      <c r="AE153">
        <f>IF(IFERROR(VLOOKUP(D153,Controls!$A$64:$E$74,2,FALSE),"No")="Yes",1,0)</f>
        <v/>
      </c>
      <c r="AF153">
        <f>IF(IFERROR(VLOOKUP(D153,Controls!$A$64:$E$74,3,FALSE),"No")="Yes",1,0)</f>
        <v/>
      </c>
      <c r="AG153">
        <f>IF(IFERROR(VLOOKUP(D153,Controls!$A$64:$E$74,4,FALSE),"No")="Yes",1,0)</f>
        <v/>
      </c>
      <c r="AH153">
        <f>IF(IFERROR(VLOOKUP(D153,Controls!$A$64:$E$74,5,FALSE),"No")="Yes",1,0)</f>
        <v/>
      </c>
      <c r="AI153">
        <f>IF(ISNUMBER(MATCH(D153,Controls!$A$64:$A$74,0)),1,0)</f>
        <v/>
      </c>
      <c r="AJ153">
        <f>Q153-N153</f>
        <v/>
      </c>
      <c r="AK153">
        <f>IF(AE153=1,MAX(0,N153-Q153),0)</f>
        <v/>
      </c>
      <c r="AL153">
        <f>IF(OR(V153="",V153=0),0,N153/V153)</f>
        <v/>
      </c>
      <c r="AM153">
        <f>IF(OR(V153="",V153=0),0,1)</f>
        <v/>
      </c>
      <c r="AN153">
        <f>IF(OR(E153="",F153=""),0,NETWORKDAYS(E153,F153,Ref!$K$2:$K$42))</f>
        <v/>
      </c>
      <c r="AO153">
        <f>IF(L153="Renewal",1,0)</f>
        <v/>
      </c>
      <c r="AP153">
        <f>AC153*AD153</f>
        <v/>
      </c>
      <c r="AQ153">
        <f>IF(AND(G153&lt;&gt;"",'Historical Score'!$C$6&lt;&gt;""),IF(G153='Historical Score'!$C$6,1,0),0)</f>
        <v/>
      </c>
      <c r="AR153">
        <f>IF(AND(L153&lt;&gt;"",'Historical Score'!$C$5&lt;&gt;""),IF(L153='Historical Score'!$C$5,1,0),0)</f>
        <v/>
      </c>
      <c r="AS153">
        <f>IF(AND(Y153&lt;&gt;"",'Historical Score'!$C$7&lt;&gt;""),IF(Y153='Historical Score'!$C$7,1,0),0)</f>
        <v/>
      </c>
      <c r="AT153">
        <f>IF(AND(K153&lt;&gt;"",'Historical Score'!$C$8&lt;&gt;""),IF(K153='Historical Score'!$C$8,1,0),0)</f>
        <v/>
      </c>
      <c r="AU153">
        <f>IF(AND(J153&lt;&gt;"",'Historical Score'!$C$9&lt;&gt;""),IF(J153='Historical Score'!$C$9,1,0),0)</f>
        <v/>
      </c>
      <c r="AV153">
        <f>AR153*AS153*AQ153</f>
        <v/>
      </c>
      <c r="AW153">
        <f>AR153*AT153*AQ153</f>
        <v/>
      </c>
      <c r="AX153">
        <f>AR153*AS153</f>
        <v/>
      </c>
      <c r="AY153">
        <f>AR153*AT153</f>
        <v/>
      </c>
      <c r="AZ153">
        <f>AR153*AQ153</f>
        <v/>
      </c>
      <c r="BA153">
        <f>AR153</f>
        <v/>
      </c>
      <c r="BB153">
        <f>1</f>
        <v/>
      </c>
      <c r="BC153">
        <f>IF(AV153=1,1,IF(AW153=1,2,IF(AX153=1,3,IF(AY153=1,4,IF(AZ153=1,5,IF(BA153=1,6,7))))))</f>
        <v/>
      </c>
      <c r="BD153">
        <f>IF(AD153=1,CHOOSE('Historical Score'!$C$29,AV153,AW153,AX153,AY153,AZ153,BA153,BB153),0)</f>
        <v/>
      </c>
      <c r="BE153">
        <f>IF(BD153=1,COUNTIF($BD$2:BD153,1),"")</f>
        <v/>
      </c>
    </row>
    <row r="154">
      <c r="A154" t="inlineStr">
        <is>
          <t>5674162284</t>
        </is>
      </c>
      <c r="B154" t="inlineStr">
        <is>
          <t>Barberia calle loiza</t>
        </is>
      </c>
      <c r="C154" t="inlineStr">
        <is>
          <t>Barberia calle loiza</t>
        </is>
      </c>
      <c r="D154" t="inlineStr">
        <is>
          <t>Closed</t>
        </is>
      </c>
      <c r="E154" s="297" t="n">
        <v>45860</v>
      </c>
      <c r="F154" s="297" t="n">
        <v>45924</v>
      </c>
      <c r="G154" t="n">
        <v>1</v>
      </c>
      <c r="H154" t="inlineStr">
        <is>
          <t>7241</t>
        </is>
      </c>
      <c r="I154" t="inlineStr">
        <is>
          <t>72</t>
        </is>
      </c>
      <c r="J154" t="inlineStr">
        <is>
          <t>PR</t>
        </is>
      </c>
      <c r="K154" t="inlineStr">
        <is>
          <t>Siriux internacional corp</t>
        </is>
      </c>
      <c r="L154" t="inlineStr">
        <is>
          <t>New Deal</t>
        </is>
      </c>
      <c r="M154" s="298" t="n">
        <v>1.49</v>
      </c>
      <c r="N154" s="299" t="n">
        <v>6000</v>
      </c>
      <c r="O154" s="299" t="n">
        <v>840</v>
      </c>
      <c r="P154" s="299" t="n">
        <v>8940</v>
      </c>
      <c r="Q154" s="299" t="n">
        <v>8940</v>
      </c>
      <c r="R154" s="299" t="n">
        <v>0</v>
      </c>
      <c r="S154" s="300" t="n">
        <v>1</v>
      </c>
      <c r="T154" t="n">
        <v>2.623</v>
      </c>
      <c r="U154" t="n">
        <v>0</v>
      </c>
      <c r="V154" t="n">
        <v>13986.96</v>
      </c>
      <c r="W154" s="300" t="n">
        <v>0.1419</v>
      </c>
      <c r="X154" s="297" t="n">
        <v>42309</v>
      </c>
      <c r="Y154">
        <f>IF(I154="","No SIC",IFERROR(VLOOKUP(I154,Ref!$A$2:$B$65,2,FALSE),"Unclassified"))</f>
        <v/>
      </c>
      <c r="Z154">
        <f>IF(T154="","",IF(T154&lt;12,"Daily","Weekly"))</f>
        <v/>
      </c>
      <c r="AA154">
        <f>IF(T154="",0,IF(T154&lt;12,T154*Controls!$B$29,T154*5))</f>
        <v/>
      </c>
      <c r="AB154">
        <f>IF(E154="",0,NETWORKDAYS(E154,Controls!$B$36,Ref!$K$2:$K$42))</f>
        <v/>
      </c>
      <c r="AC154">
        <f>IF(AND(AA154&gt;0,AB154&gt;=Controls!$B$39*AA154),1,0)</f>
        <v/>
      </c>
      <c r="AD154">
        <f>IF(AND(E154&lt;&gt;"",E154&gt;=Controls!$B$37,E154&lt;=Controls!$B$38),1,0)</f>
        <v/>
      </c>
      <c r="AE154">
        <f>IF(IFERROR(VLOOKUP(D154,Controls!$A$64:$E$74,2,FALSE),"No")="Yes",1,0)</f>
        <v/>
      </c>
      <c r="AF154">
        <f>IF(IFERROR(VLOOKUP(D154,Controls!$A$64:$E$74,3,FALSE),"No")="Yes",1,0)</f>
        <v/>
      </c>
      <c r="AG154">
        <f>IF(IFERROR(VLOOKUP(D154,Controls!$A$64:$E$74,4,FALSE),"No")="Yes",1,0)</f>
        <v/>
      </c>
      <c r="AH154">
        <f>IF(IFERROR(VLOOKUP(D154,Controls!$A$64:$E$74,5,FALSE),"No")="Yes",1,0)</f>
        <v/>
      </c>
      <c r="AI154">
        <f>IF(ISNUMBER(MATCH(D154,Controls!$A$64:$A$74,0)),1,0)</f>
        <v/>
      </c>
      <c r="AJ154">
        <f>Q154-N154</f>
        <v/>
      </c>
      <c r="AK154">
        <f>IF(AE154=1,MAX(0,N154-Q154),0)</f>
        <v/>
      </c>
      <c r="AL154">
        <f>IF(OR(V154="",V154=0),0,N154/V154)</f>
        <v/>
      </c>
      <c r="AM154">
        <f>IF(OR(V154="",V154=0),0,1)</f>
        <v/>
      </c>
      <c r="AN154">
        <f>IF(OR(E154="",F154=""),0,NETWORKDAYS(E154,F154,Ref!$K$2:$K$42))</f>
        <v/>
      </c>
      <c r="AO154">
        <f>IF(L154="Renewal",1,0)</f>
        <v/>
      </c>
      <c r="AP154">
        <f>AC154*AD154</f>
        <v/>
      </c>
      <c r="AQ154">
        <f>IF(AND(G154&lt;&gt;"",'Historical Score'!$C$6&lt;&gt;""),IF(G154='Historical Score'!$C$6,1,0),0)</f>
        <v/>
      </c>
      <c r="AR154">
        <f>IF(AND(L154&lt;&gt;"",'Historical Score'!$C$5&lt;&gt;""),IF(L154='Historical Score'!$C$5,1,0),0)</f>
        <v/>
      </c>
      <c r="AS154">
        <f>IF(AND(Y154&lt;&gt;"",'Historical Score'!$C$7&lt;&gt;""),IF(Y154='Historical Score'!$C$7,1,0),0)</f>
        <v/>
      </c>
      <c r="AT154">
        <f>IF(AND(K154&lt;&gt;"",'Historical Score'!$C$8&lt;&gt;""),IF(K154='Historical Score'!$C$8,1,0),0)</f>
        <v/>
      </c>
      <c r="AU154">
        <f>IF(AND(J154&lt;&gt;"",'Historical Score'!$C$9&lt;&gt;""),IF(J154='Historical Score'!$C$9,1,0),0)</f>
        <v/>
      </c>
      <c r="AV154">
        <f>AR154*AS154*AQ154</f>
        <v/>
      </c>
      <c r="AW154">
        <f>AR154*AT154*AQ154</f>
        <v/>
      </c>
      <c r="AX154">
        <f>AR154*AS154</f>
        <v/>
      </c>
      <c r="AY154">
        <f>AR154*AT154</f>
        <v/>
      </c>
      <c r="AZ154">
        <f>AR154*AQ154</f>
        <v/>
      </c>
      <c r="BA154">
        <f>AR154</f>
        <v/>
      </c>
      <c r="BB154">
        <f>1</f>
        <v/>
      </c>
      <c r="BC154">
        <f>IF(AV154=1,1,IF(AW154=1,2,IF(AX154=1,3,IF(AY154=1,4,IF(AZ154=1,5,IF(BA154=1,6,7))))))</f>
        <v/>
      </c>
      <c r="BD154">
        <f>IF(AD154=1,CHOOSE('Historical Score'!$C$29,AV154,AW154,AX154,AY154,AZ154,BA154,BB154),0)</f>
        <v/>
      </c>
      <c r="BE154">
        <f>IF(BD154=1,COUNTIF($BD$2:BD154,1),"")</f>
        <v/>
      </c>
    </row>
    <row r="155">
      <c r="A155" t="inlineStr">
        <is>
          <t>5674162288</t>
        </is>
      </c>
      <c r="B155" t="inlineStr">
        <is>
          <t>BLUE RIDGE WORLDWIDE LLC</t>
        </is>
      </c>
      <c r="C155" t="inlineStr">
        <is>
          <t>BLUE RIDGE WORLDWIDE LLC</t>
        </is>
      </c>
      <c r="D155" t="inlineStr">
        <is>
          <t>Legal</t>
        </is>
      </c>
      <c r="E155" s="297" t="n">
        <v>45860</v>
      </c>
      <c r="F155" s="297" t="n">
        <v>45980</v>
      </c>
      <c r="G155" t="n">
        <v>1</v>
      </c>
      <c r="H155" t="inlineStr">
        <is>
          <t>4212</t>
        </is>
      </c>
      <c r="I155" t="inlineStr">
        <is>
          <t>42</t>
        </is>
      </c>
      <c r="J155" t="inlineStr">
        <is>
          <t>SC</t>
        </is>
      </c>
      <c r="K155" t="inlineStr">
        <is>
          <t>The Funding Channel</t>
        </is>
      </c>
      <c r="L155" t="inlineStr">
        <is>
          <t>New Deal</t>
        </is>
      </c>
      <c r="M155" s="298" t="n">
        <v>1.499</v>
      </c>
      <c r="N155" s="299" t="n">
        <v>5000</v>
      </c>
      <c r="O155" s="299" t="n">
        <v>700</v>
      </c>
      <c r="P155" s="299" t="n">
        <v>7495</v>
      </c>
      <c r="Q155" s="299" t="n">
        <v>4966.4</v>
      </c>
      <c r="R155" s="299" t="n">
        <v>2528.6</v>
      </c>
      <c r="S155" s="300" t="n">
        <v>0.662628418945964</v>
      </c>
      <c r="T155" t="n">
        <v>1.967</v>
      </c>
      <c r="U155" t="n">
        <v>26</v>
      </c>
      <c r="V155" t="n">
        <v>20211.69</v>
      </c>
      <c r="W155" s="300" t="n">
        <v>0.129</v>
      </c>
      <c r="X155" s="297" t="n">
        <v>40948</v>
      </c>
      <c r="Y155">
        <f>IF(I155="","No SIC",IFERROR(VLOOKUP(I155,Ref!$A$2:$B$65,2,FALSE),"Unclassified"))</f>
        <v/>
      </c>
      <c r="Z155">
        <f>IF(T155="","",IF(T155&lt;12,"Daily","Weekly"))</f>
        <v/>
      </c>
      <c r="AA155">
        <f>IF(T155="",0,IF(T155&lt;12,T155*Controls!$B$29,T155*5))</f>
        <v/>
      </c>
      <c r="AB155">
        <f>IF(E155="",0,NETWORKDAYS(E155,Controls!$B$36,Ref!$K$2:$K$42))</f>
        <v/>
      </c>
      <c r="AC155">
        <f>IF(AND(AA155&gt;0,AB155&gt;=Controls!$B$39*AA155),1,0)</f>
        <v/>
      </c>
      <c r="AD155">
        <f>IF(AND(E155&lt;&gt;"",E155&gt;=Controls!$B$37,E155&lt;=Controls!$B$38),1,0)</f>
        <v/>
      </c>
      <c r="AE155">
        <f>IF(IFERROR(VLOOKUP(D155,Controls!$A$64:$E$74,2,FALSE),"No")="Yes",1,0)</f>
        <v/>
      </c>
      <c r="AF155">
        <f>IF(IFERROR(VLOOKUP(D155,Controls!$A$64:$E$74,3,FALSE),"No")="Yes",1,0)</f>
        <v/>
      </c>
      <c r="AG155">
        <f>IF(IFERROR(VLOOKUP(D155,Controls!$A$64:$E$74,4,FALSE),"No")="Yes",1,0)</f>
        <v/>
      </c>
      <c r="AH155">
        <f>IF(IFERROR(VLOOKUP(D155,Controls!$A$64:$E$74,5,FALSE),"No")="Yes",1,0)</f>
        <v/>
      </c>
      <c r="AI155">
        <f>IF(ISNUMBER(MATCH(D155,Controls!$A$64:$A$74,0)),1,0)</f>
        <v/>
      </c>
      <c r="AJ155">
        <f>Q155-N155</f>
        <v/>
      </c>
      <c r="AK155">
        <f>IF(AE155=1,MAX(0,N155-Q155),0)</f>
        <v/>
      </c>
      <c r="AL155">
        <f>IF(OR(V155="",V155=0),0,N155/V155)</f>
        <v/>
      </c>
      <c r="AM155">
        <f>IF(OR(V155="",V155=0),0,1)</f>
        <v/>
      </c>
      <c r="AN155">
        <f>IF(OR(E155="",F155=""),0,NETWORKDAYS(E155,F155,Ref!$K$2:$K$42))</f>
        <v/>
      </c>
      <c r="AO155">
        <f>IF(L155="Renewal",1,0)</f>
        <v/>
      </c>
      <c r="AP155">
        <f>AC155*AD155</f>
        <v/>
      </c>
      <c r="AQ155">
        <f>IF(AND(G155&lt;&gt;"",'Historical Score'!$C$6&lt;&gt;""),IF(G155='Historical Score'!$C$6,1,0),0)</f>
        <v/>
      </c>
      <c r="AR155">
        <f>IF(AND(L155&lt;&gt;"",'Historical Score'!$C$5&lt;&gt;""),IF(L155='Historical Score'!$C$5,1,0),0)</f>
        <v/>
      </c>
      <c r="AS155">
        <f>IF(AND(Y155&lt;&gt;"",'Historical Score'!$C$7&lt;&gt;""),IF(Y155='Historical Score'!$C$7,1,0),0)</f>
        <v/>
      </c>
      <c r="AT155">
        <f>IF(AND(K155&lt;&gt;"",'Historical Score'!$C$8&lt;&gt;""),IF(K155='Historical Score'!$C$8,1,0),0)</f>
        <v/>
      </c>
      <c r="AU155">
        <f>IF(AND(J155&lt;&gt;"",'Historical Score'!$C$9&lt;&gt;""),IF(J155='Historical Score'!$C$9,1,0),0)</f>
        <v/>
      </c>
      <c r="AV155">
        <f>AR155*AS155*AQ155</f>
        <v/>
      </c>
      <c r="AW155">
        <f>AR155*AT155*AQ155</f>
        <v/>
      </c>
      <c r="AX155">
        <f>AR155*AS155</f>
        <v/>
      </c>
      <c r="AY155">
        <f>AR155*AT155</f>
        <v/>
      </c>
      <c r="AZ155">
        <f>AR155*AQ155</f>
        <v/>
      </c>
      <c r="BA155">
        <f>AR155</f>
        <v/>
      </c>
      <c r="BB155">
        <f>1</f>
        <v/>
      </c>
      <c r="BC155">
        <f>IF(AV155=1,1,IF(AW155=1,2,IF(AX155=1,3,IF(AY155=1,4,IF(AZ155=1,5,IF(BA155=1,6,7))))))</f>
        <v/>
      </c>
      <c r="BD155">
        <f>IF(AD155=1,CHOOSE('Historical Score'!$C$29,AV155,AW155,AX155,AY155,AZ155,BA155,BB155),0)</f>
        <v/>
      </c>
      <c r="BE155">
        <f>IF(BD155=1,COUNTIF($BD$2:BD155,1),"")</f>
        <v/>
      </c>
    </row>
    <row r="156">
      <c r="A156" t="inlineStr">
        <is>
          <t>5674162307</t>
        </is>
      </c>
      <c r="B156" t="inlineStr">
        <is>
          <t>Myatt's Shirts &amp; Sports</t>
        </is>
      </c>
      <c r="C156" t="inlineStr">
        <is>
          <t>Stratton Inc</t>
        </is>
      </c>
      <c r="D156" t="inlineStr">
        <is>
          <t>Closed</t>
        </is>
      </c>
      <c r="E156" s="297" t="n">
        <v>45860</v>
      </c>
      <c r="F156" s="297" t="n">
        <v>45968</v>
      </c>
      <c r="G156" t="n">
        <v>7</v>
      </c>
      <c r="H156" t="inlineStr">
        <is>
          <t>5999</t>
        </is>
      </c>
      <c r="I156" t="inlineStr">
        <is>
          <t>59</t>
        </is>
      </c>
      <c r="J156" t="inlineStr">
        <is>
          <t>ID</t>
        </is>
      </c>
      <c r="K156" t="inlineStr">
        <is>
          <t>Platform Funding</t>
        </is>
      </c>
      <c r="L156" t="inlineStr">
        <is>
          <t>New Deal</t>
        </is>
      </c>
      <c r="M156" s="298" t="n">
        <v>1.499</v>
      </c>
      <c r="N156" s="299" t="n">
        <v>8500</v>
      </c>
      <c r="O156" s="299" t="n">
        <v>1190</v>
      </c>
      <c r="P156" s="299" t="n">
        <v>12741.5</v>
      </c>
      <c r="Q156" s="299" t="n">
        <v>12741.5</v>
      </c>
      <c r="R156" s="299" t="n">
        <v>1.81898940354586e-12</v>
      </c>
      <c r="S156" s="300" t="n">
        <v>1</v>
      </c>
      <c r="T156" t="n">
        <v>14</v>
      </c>
      <c r="U156" t="n">
        <v>1</v>
      </c>
      <c r="V156" t="n">
        <v>46683.35</v>
      </c>
      <c r="W156" s="300" t="n">
        <v>0.0775</v>
      </c>
      <c r="X156" s="297" t="n">
        <v>44694</v>
      </c>
      <c r="Y156">
        <f>IF(I156="","No SIC",IFERROR(VLOOKUP(I156,Ref!$A$2:$B$65,2,FALSE),"Unclassified"))</f>
        <v/>
      </c>
      <c r="Z156">
        <f>IF(T156="","",IF(T156&lt;12,"Daily","Weekly"))</f>
        <v/>
      </c>
      <c r="AA156">
        <f>IF(T156="",0,IF(T156&lt;12,T156*Controls!$B$29,T156*5))</f>
        <v/>
      </c>
      <c r="AB156">
        <f>IF(E156="",0,NETWORKDAYS(E156,Controls!$B$36,Ref!$K$2:$K$42))</f>
        <v/>
      </c>
      <c r="AC156">
        <f>IF(AND(AA156&gt;0,AB156&gt;=Controls!$B$39*AA156),1,0)</f>
        <v/>
      </c>
      <c r="AD156">
        <f>IF(AND(E156&lt;&gt;"",E156&gt;=Controls!$B$37,E156&lt;=Controls!$B$38),1,0)</f>
        <v/>
      </c>
      <c r="AE156">
        <f>IF(IFERROR(VLOOKUP(D156,Controls!$A$64:$E$74,2,FALSE),"No")="Yes",1,0)</f>
        <v/>
      </c>
      <c r="AF156">
        <f>IF(IFERROR(VLOOKUP(D156,Controls!$A$64:$E$74,3,FALSE),"No")="Yes",1,0)</f>
        <v/>
      </c>
      <c r="AG156">
        <f>IF(IFERROR(VLOOKUP(D156,Controls!$A$64:$E$74,4,FALSE),"No")="Yes",1,0)</f>
        <v/>
      </c>
      <c r="AH156">
        <f>IF(IFERROR(VLOOKUP(D156,Controls!$A$64:$E$74,5,FALSE),"No")="Yes",1,0)</f>
        <v/>
      </c>
      <c r="AI156">
        <f>IF(ISNUMBER(MATCH(D156,Controls!$A$64:$A$74,0)),1,0)</f>
        <v/>
      </c>
      <c r="AJ156">
        <f>Q156-N156</f>
        <v/>
      </c>
      <c r="AK156">
        <f>IF(AE156=1,MAX(0,N156-Q156),0)</f>
        <v/>
      </c>
      <c r="AL156">
        <f>IF(OR(V156="",V156=0),0,N156/V156)</f>
        <v/>
      </c>
      <c r="AM156">
        <f>IF(OR(V156="",V156=0),0,1)</f>
        <v/>
      </c>
      <c r="AN156">
        <f>IF(OR(E156="",F156=""),0,NETWORKDAYS(E156,F156,Ref!$K$2:$K$42))</f>
        <v/>
      </c>
      <c r="AO156">
        <f>IF(L156="Renewal",1,0)</f>
        <v/>
      </c>
      <c r="AP156">
        <f>AC156*AD156</f>
        <v/>
      </c>
      <c r="AQ156">
        <f>IF(AND(G156&lt;&gt;"",'Historical Score'!$C$6&lt;&gt;""),IF(G156='Historical Score'!$C$6,1,0),0)</f>
        <v/>
      </c>
      <c r="AR156">
        <f>IF(AND(L156&lt;&gt;"",'Historical Score'!$C$5&lt;&gt;""),IF(L156='Historical Score'!$C$5,1,0),0)</f>
        <v/>
      </c>
      <c r="AS156">
        <f>IF(AND(Y156&lt;&gt;"",'Historical Score'!$C$7&lt;&gt;""),IF(Y156='Historical Score'!$C$7,1,0),0)</f>
        <v/>
      </c>
      <c r="AT156">
        <f>IF(AND(K156&lt;&gt;"",'Historical Score'!$C$8&lt;&gt;""),IF(K156='Historical Score'!$C$8,1,0),0)</f>
        <v/>
      </c>
      <c r="AU156">
        <f>IF(AND(J156&lt;&gt;"",'Historical Score'!$C$9&lt;&gt;""),IF(J156='Historical Score'!$C$9,1,0),0)</f>
        <v/>
      </c>
      <c r="AV156">
        <f>AR156*AS156*AQ156</f>
        <v/>
      </c>
      <c r="AW156">
        <f>AR156*AT156*AQ156</f>
        <v/>
      </c>
      <c r="AX156">
        <f>AR156*AS156</f>
        <v/>
      </c>
      <c r="AY156">
        <f>AR156*AT156</f>
        <v/>
      </c>
      <c r="AZ156">
        <f>AR156*AQ156</f>
        <v/>
      </c>
      <c r="BA156">
        <f>AR156</f>
        <v/>
      </c>
      <c r="BB156">
        <f>1</f>
        <v/>
      </c>
      <c r="BC156">
        <f>IF(AV156=1,1,IF(AW156=1,2,IF(AX156=1,3,IF(AY156=1,4,IF(AZ156=1,5,IF(BA156=1,6,7))))))</f>
        <v/>
      </c>
      <c r="BD156">
        <f>IF(AD156=1,CHOOSE('Historical Score'!$C$29,AV156,AW156,AX156,AY156,AZ156,BA156,BB156),0)</f>
        <v/>
      </c>
      <c r="BE156">
        <f>IF(BD156=1,COUNTIF($BD$2:BD156,1),"")</f>
        <v/>
      </c>
    </row>
    <row r="157">
      <c r="A157" t="inlineStr">
        <is>
          <t>5674162311</t>
        </is>
      </c>
      <c r="B157" t="inlineStr">
        <is>
          <t>VALOR TOURS LTD</t>
        </is>
      </c>
      <c r="C157" t="inlineStr">
        <is>
          <t>VALOR TOURS LTD</t>
        </is>
      </c>
      <c r="D157" t="inlineStr">
        <is>
          <t>Closed</t>
        </is>
      </c>
      <c r="E157" s="297" t="n">
        <v>45860</v>
      </c>
      <c r="F157" s="297" t="n">
        <v>45961</v>
      </c>
      <c r="G157" t="n">
        <v>2</v>
      </c>
      <c r="H157" t="inlineStr">
        <is>
          <t>4725</t>
        </is>
      </c>
      <c r="I157" t="inlineStr">
        <is>
          <t>47</t>
        </is>
      </c>
      <c r="J157" t="inlineStr">
        <is>
          <t>CA</t>
        </is>
      </c>
      <c r="K157" t="inlineStr">
        <is>
          <t>Westwood</t>
        </is>
      </c>
      <c r="L157" t="inlineStr">
        <is>
          <t>New Deal</t>
        </is>
      </c>
      <c r="M157" s="298" t="n">
        <v>1.49</v>
      </c>
      <c r="N157" s="299" t="n">
        <v>15000</v>
      </c>
      <c r="O157" s="299" t="n">
        <v>2100</v>
      </c>
      <c r="P157" s="299" t="n">
        <v>22350</v>
      </c>
      <c r="Q157" s="299" t="n">
        <v>22350</v>
      </c>
      <c r="R157" s="299" t="n">
        <v>0</v>
      </c>
      <c r="S157" s="300" t="n">
        <v>1</v>
      </c>
      <c r="T157" t="n">
        <v>3.279</v>
      </c>
      <c r="U157" t="n">
        <v>1</v>
      </c>
      <c r="V157" t="n">
        <v>48699.19</v>
      </c>
      <c r="W157" s="300" t="n">
        <v>0.0964</v>
      </c>
      <c r="X157" s="297" t="n">
        <v>42917</v>
      </c>
      <c r="Y157">
        <f>IF(I157="","No SIC",IFERROR(VLOOKUP(I157,Ref!$A$2:$B$65,2,FALSE),"Unclassified"))</f>
        <v/>
      </c>
      <c r="Z157">
        <f>IF(T157="","",IF(T157&lt;12,"Daily","Weekly"))</f>
        <v/>
      </c>
      <c r="AA157">
        <f>IF(T157="",0,IF(T157&lt;12,T157*Controls!$B$29,T157*5))</f>
        <v/>
      </c>
      <c r="AB157">
        <f>IF(E157="",0,NETWORKDAYS(E157,Controls!$B$36,Ref!$K$2:$K$42))</f>
        <v/>
      </c>
      <c r="AC157">
        <f>IF(AND(AA157&gt;0,AB157&gt;=Controls!$B$39*AA157),1,0)</f>
        <v/>
      </c>
      <c r="AD157">
        <f>IF(AND(E157&lt;&gt;"",E157&gt;=Controls!$B$37,E157&lt;=Controls!$B$38),1,0)</f>
        <v/>
      </c>
      <c r="AE157">
        <f>IF(IFERROR(VLOOKUP(D157,Controls!$A$64:$E$74,2,FALSE),"No")="Yes",1,0)</f>
        <v/>
      </c>
      <c r="AF157">
        <f>IF(IFERROR(VLOOKUP(D157,Controls!$A$64:$E$74,3,FALSE),"No")="Yes",1,0)</f>
        <v/>
      </c>
      <c r="AG157">
        <f>IF(IFERROR(VLOOKUP(D157,Controls!$A$64:$E$74,4,FALSE),"No")="Yes",1,0)</f>
        <v/>
      </c>
      <c r="AH157">
        <f>IF(IFERROR(VLOOKUP(D157,Controls!$A$64:$E$74,5,FALSE),"No")="Yes",1,0)</f>
        <v/>
      </c>
      <c r="AI157">
        <f>IF(ISNUMBER(MATCH(D157,Controls!$A$64:$A$74,0)),1,0)</f>
        <v/>
      </c>
      <c r="AJ157">
        <f>Q157-N157</f>
        <v/>
      </c>
      <c r="AK157">
        <f>IF(AE157=1,MAX(0,N157-Q157),0)</f>
        <v/>
      </c>
      <c r="AL157">
        <f>IF(OR(V157="",V157=0),0,N157/V157)</f>
        <v/>
      </c>
      <c r="AM157">
        <f>IF(OR(V157="",V157=0),0,1)</f>
        <v/>
      </c>
      <c r="AN157">
        <f>IF(OR(E157="",F157=""),0,NETWORKDAYS(E157,F157,Ref!$K$2:$K$42))</f>
        <v/>
      </c>
      <c r="AO157">
        <f>IF(L157="Renewal",1,0)</f>
        <v/>
      </c>
      <c r="AP157">
        <f>AC157*AD157</f>
        <v/>
      </c>
      <c r="AQ157">
        <f>IF(AND(G157&lt;&gt;"",'Historical Score'!$C$6&lt;&gt;""),IF(G157='Historical Score'!$C$6,1,0),0)</f>
        <v/>
      </c>
      <c r="AR157">
        <f>IF(AND(L157&lt;&gt;"",'Historical Score'!$C$5&lt;&gt;""),IF(L157='Historical Score'!$C$5,1,0),0)</f>
        <v/>
      </c>
      <c r="AS157">
        <f>IF(AND(Y157&lt;&gt;"",'Historical Score'!$C$7&lt;&gt;""),IF(Y157='Historical Score'!$C$7,1,0),0)</f>
        <v/>
      </c>
      <c r="AT157">
        <f>IF(AND(K157&lt;&gt;"",'Historical Score'!$C$8&lt;&gt;""),IF(K157='Historical Score'!$C$8,1,0),0)</f>
        <v/>
      </c>
      <c r="AU157">
        <f>IF(AND(J157&lt;&gt;"",'Historical Score'!$C$9&lt;&gt;""),IF(J157='Historical Score'!$C$9,1,0),0)</f>
        <v/>
      </c>
      <c r="AV157">
        <f>AR157*AS157*AQ157</f>
        <v/>
      </c>
      <c r="AW157">
        <f>AR157*AT157*AQ157</f>
        <v/>
      </c>
      <c r="AX157">
        <f>AR157*AS157</f>
        <v/>
      </c>
      <c r="AY157">
        <f>AR157*AT157</f>
        <v/>
      </c>
      <c r="AZ157">
        <f>AR157*AQ157</f>
        <v/>
      </c>
      <c r="BA157">
        <f>AR157</f>
        <v/>
      </c>
      <c r="BB157">
        <f>1</f>
        <v/>
      </c>
      <c r="BC157">
        <f>IF(AV157=1,1,IF(AW157=1,2,IF(AX157=1,3,IF(AY157=1,4,IF(AZ157=1,5,IF(BA157=1,6,7))))))</f>
        <v/>
      </c>
      <c r="BD157">
        <f>IF(AD157=1,CHOOSE('Historical Score'!$C$29,AV157,AW157,AX157,AY157,AZ157,BA157,BB157),0)</f>
        <v/>
      </c>
      <c r="BE157">
        <f>IF(BD157=1,COUNTIF($BD$2:BD157,1),"")</f>
        <v/>
      </c>
    </row>
    <row r="158">
      <c r="A158" t="inlineStr">
        <is>
          <t>5674162314</t>
        </is>
      </c>
      <c r="B158" t="inlineStr">
        <is>
          <t>PRIDECO LLC</t>
        </is>
      </c>
      <c r="C158" t="inlineStr">
        <is>
          <t>PRIDECO LLC</t>
        </is>
      </c>
      <c r="D158" t="inlineStr">
        <is>
          <t>Closed</t>
        </is>
      </c>
      <c r="E158" s="297" t="n">
        <v>45860</v>
      </c>
      <c r="F158" s="297" t="n">
        <v>45945</v>
      </c>
      <c r="G158" t="n">
        <v>4</v>
      </c>
      <c r="H158" t="inlineStr">
        <is>
          <t>1521</t>
        </is>
      </c>
      <c r="I158" t="inlineStr">
        <is>
          <t>15</t>
        </is>
      </c>
      <c r="J158" t="inlineStr">
        <is>
          <t>LA</t>
        </is>
      </c>
      <c r="K158" t="inlineStr">
        <is>
          <t>Supreme Capital Solutions</t>
        </is>
      </c>
      <c r="L158" t="inlineStr">
        <is>
          <t>New Deal</t>
        </is>
      </c>
      <c r="M158" s="298" t="n">
        <v>1.499</v>
      </c>
      <c r="N158" s="299" t="n">
        <v>10000</v>
      </c>
      <c r="O158" s="299" t="n">
        <v>1400</v>
      </c>
      <c r="P158" s="299" t="n">
        <v>14990</v>
      </c>
      <c r="Q158" s="299" t="n">
        <v>14990</v>
      </c>
      <c r="R158" s="299" t="n">
        <v>1.81898940354586e-12</v>
      </c>
      <c r="S158" s="300" t="n">
        <v>1</v>
      </c>
      <c r="T158" t="n">
        <v>1.803</v>
      </c>
      <c r="U158" t="n">
        <v>3</v>
      </c>
      <c r="V158" t="n">
        <v>167952.8</v>
      </c>
      <c r="W158" s="300" t="n">
        <v>0.0339</v>
      </c>
      <c r="X158" s="297" t="n"/>
      <c r="Y158">
        <f>IF(I158="","No SIC",IFERROR(VLOOKUP(I158,Ref!$A$2:$B$65,2,FALSE),"Unclassified"))</f>
        <v/>
      </c>
      <c r="Z158">
        <f>IF(T158="","",IF(T158&lt;12,"Daily","Weekly"))</f>
        <v/>
      </c>
      <c r="AA158">
        <f>IF(T158="",0,IF(T158&lt;12,T158*Controls!$B$29,T158*5))</f>
        <v/>
      </c>
      <c r="AB158">
        <f>IF(E158="",0,NETWORKDAYS(E158,Controls!$B$36,Ref!$K$2:$K$42))</f>
        <v/>
      </c>
      <c r="AC158">
        <f>IF(AND(AA158&gt;0,AB158&gt;=Controls!$B$39*AA158),1,0)</f>
        <v/>
      </c>
      <c r="AD158">
        <f>IF(AND(E158&lt;&gt;"",E158&gt;=Controls!$B$37,E158&lt;=Controls!$B$38),1,0)</f>
        <v/>
      </c>
      <c r="AE158">
        <f>IF(IFERROR(VLOOKUP(D158,Controls!$A$64:$E$74,2,FALSE),"No")="Yes",1,0)</f>
        <v/>
      </c>
      <c r="AF158">
        <f>IF(IFERROR(VLOOKUP(D158,Controls!$A$64:$E$74,3,FALSE),"No")="Yes",1,0)</f>
        <v/>
      </c>
      <c r="AG158">
        <f>IF(IFERROR(VLOOKUP(D158,Controls!$A$64:$E$74,4,FALSE),"No")="Yes",1,0)</f>
        <v/>
      </c>
      <c r="AH158">
        <f>IF(IFERROR(VLOOKUP(D158,Controls!$A$64:$E$74,5,FALSE),"No")="Yes",1,0)</f>
        <v/>
      </c>
      <c r="AI158">
        <f>IF(ISNUMBER(MATCH(D158,Controls!$A$64:$A$74,0)),1,0)</f>
        <v/>
      </c>
      <c r="AJ158">
        <f>Q158-N158</f>
        <v/>
      </c>
      <c r="AK158">
        <f>IF(AE158=1,MAX(0,N158-Q158),0)</f>
        <v/>
      </c>
      <c r="AL158">
        <f>IF(OR(V158="",V158=0),0,N158/V158)</f>
        <v/>
      </c>
      <c r="AM158">
        <f>IF(OR(V158="",V158=0),0,1)</f>
        <v/>
      </c>
      <c r="AN158">
        <f>IF(OR(E158="",F158=""),0,NETWORKDAYS(E158,F158,Ref!$K$2:$K$42))</f>
        <v/>
      </c>
      <c r="AO158">
        <f>IF(L158="Renewal",1,0)</f>
        <v/>
      </c>
      <c r="AP158">
        <f>AC158*AD158</f>
        <v/>
      </c>
      <c r="AQ158">
        <f>IF(AND(G158&lt;&gt;"",'Historical Score'!$C$6&lt;&gt;""),IF(G158='Historical Score'!$C$6,1,0),0)</f>
        <v/>
      </c>
      <c r="AR158">
        <f>IF(AND(L158&lt;&gt;"",'Historical Score'!$C$5&lt;&gt;""),IF(L158='Historical Score'!$C$5,1,0),0)</f>
        <v/>
      </c>
      <c r="AS158">
        <f>IF(AND(Y158&lt;&gt;"",'Historical Score'!$C$7&lt;&gt;""),IF(Y158='Historical Score'!$C$7,1,0),0)</f>
        <v/>
      </c>
      <c r="AT158">
        <f>IF(AND(K158&lt;&gt;"",'Historical Score'!$C$8&lt;&gt;""),IF(K158='Historical Score'!$C$8,1,0),0)</f>
        <v/>
      </c>
      <c r="AU158">
        <f>IF(AND(J158&lt;&gt;"",'Historical Score'!$C$9&lt;&gt;""),IF(J158='Historical Score'!$C$9,1,0),0)</f>
        <v/>
      </c>
      <c r="AV158">
        <f>AR158*AS158*AQ158</f>
        <v/>
      </c>
      <c r="AW158">
        <f>AR158*AT158*AQ158</f>
        <v/>
      </c>
      <c r="AX158">
        <f>AR158*AS158</f>
        <v/>
      </c>
      <c r="AY158">
        <f>AR158*AT158</f>
        <v/>
      </c>
      <c r="AZ158">
        <f>AR158*AQ158</f>
        <v/>
      </c>
      <c r="BA158">
        <f>AR158</f>
        <v/>
      </c>
      <c r="BB158">
        <f>1</f>
        <v/>
      </c>
      <c r="BC158">
        <f>IF(AV158=1,1,IF(AW158=1,2,IF(AX158=1,3,IF(AY158=1,4,IF(AZ158=1,5,IF(BA158=1,6,7))))))</f>
        <v/>
      </c>
      <c r="BD158">
        <f>IF(AD158=1,CHOOSE('Historical Score'!$C$29,AV158,AW158,AX158,AY158,AZ158,BA158,BB158),0)</f>
        <v/>
      </c>
      <c r="BE158">
        <f>IF(BD158=1,COUNTIF($BD$2:BD158,1),"")</f>
        <v/>
      </c>
    </row>
    <row r="159">
      <c r="A159" t="inlineStr">
        <is>
          <t>5674162355</t>
        </is>
      </c>
      <c r="B159" t="inlineStr">
        <is>
          <t>Our Noire Kitchen LLC</t>
        </is>
      </c>
      <c r="C159" t="inlineStr">
        <is>
          <t>Our Noire Kitchen LLC</t>
        </is>
      </c>
      <c r="D159" t="inlineStr">
        <is>
          <t>Legal</t>
        </is>
      </c>
      <c r="E159" s="297" t="n">
        <v>45861</v>
      </c>
      <c r="F159" s="297" t="n">
        <v>45904</v>
      </c>
      <c r="G159" t="n">
        <v>3</v>
      </c>
      <c r="H159" t="inlineStr">
        <is>
          <t>5812</t>
        </is>
      </c>
      <c r="I159" t="inlineStr">
        <is>
          <t>58</t>
        </is>
      </c>
      <c r="J159" t="inlineStr">
        <is>
          <t>FL</t>
        </is>
      </c>
      <c r="K159" t="inlineStr">
        <is>
          <t>Vanguard Equities</t>
        </is>
      </c>
      <c r="L159" t="inlineStr">
        <is>
          <t>New Deal</t>
        </is>
      </c>
      <c r="M159" s="298" t="n">
        <v>1.499</v>
      </c>
      <c r="N159" s="299" t="n">
        <v>5000</v>
      </c>
      <c r="O159" s="299" t="n">
        <v>700</v>
      </c>
      <c r="P159" s="299" t="n">
        <v>7495</v>
      </c>
      <c r="Q159" s="299" t="n">
        <v>2234.79</v>
      </c>
      <c r="R159" s="299" t="n">
        <v>5260.21</v>
      </c>
      <c r="S159" s="300" t="n">
        <v>0.298170780520347</v>
      </c>
      <c r="T159" t="n">
        <v>2.951</v>
      </c>
      <c r="U159" t="n">
        <v>4</v>
      </c>
      <c r="V159" t="n">
        <v>22086.74</v>
      </c>
      <c r="W159" s="300" t="n">
        <v>0.07870000000000001</v>
      </c>
      <c r="X159" s="297" t="n"/>
      <c r="Y159">
        <f>IF(I159="","No SIC",IFERROR(VLOOKUP(I159,Ref!$A$2:$B$65,2,FALSE),"Unclassified"))</f>
        <v/>
      </c>
      <c r="Z159">
        <f>IF(T159="","",IF(T159&lt;12,"Daily","Weekly"))</f>
        <v/>
      </c>
      <c r="AA159">
        <f>IF(T159="",0,IF(T159&lt;12,T159*Controls!$B$29,T159*5))</f>
        <v/>
      </c>
      <c r="AB159">
        <f>IF(E159="",0,NETWORKDAYS(E159,Controls!$B$36,Ref!$K$2:$K$42))</f>
        <v/>
      </c>
      <c r="AC159">
        <f>IF(AND(AA159&gt;0,AB159&gt;=Controls!$B$39*AA159),1,0)</f>
        <v/>
      </c>
      <c r="AD159">
        <f>IF(AND(E159&lt;&gt;"",E159&gt;=Controls!$B$37,E159&lt;=Controls!$B$38),1,0)</f>
        <v/>
      </c>
      <c r="AE159">
        <f>IF(IFERROR(VLOOKUP(D159,Controls!$A$64:$E$74,2,FALSE),"No")="Yes",1,0)</f>
        <v/>
      </c>
      <c r="AF159">
        <f>IF(IFERROR(VLOOKUP(D159,Controls!$A$64:$E$74,3,FALSE),"No")="Yes",1,0)</f>
        <v/>
      </c>
      <c r="AG159">
        <f>IF(IFERROR(VLOOKUP(D159,Controls!$A$64:$E$74,4,FALSE),"No")="Yes",1,0)</f>
        <v/>
      </c>
      <c r="AH159">
        <f>IF(IFERROR(VLOOKUP(D159,Controls!$A$64:$E$74,5,FALSE),"No")="Yes",1,0)</f>
        <v/>
      </c>
      <c r="AI159">
        <f>IF(ISNUMBER(MATCH(D159,Controls!$A$64:$A$74,0)),1,0)</f>
        <v/>
      </c>
      <c r="AJ159">
        <f>Q159-N159</f>
        <v/>
      </c>
      <c r="AK159">
        <f>IF(AE159=1,MAX(0,N159-Q159),0)</f>
        <v/>
      </c>
      <c r="AL159">
        <f>IF(OR(V159="",V159=0),0,N159/V159)</f>
        <v/>
      </c>
      <c r="AM159">
        <f>IF(OR(V159="",V159=0),0,1)</f>
        <v/>
      </c>
      <c r="AN159">
        <f>IF(OR(E159="",F159=""),0,NETWORKDAYS(E159,F159,Ref!$K$2:$K$42))</f>
        <v/>
      </c>
      <c r="AO159">
        <f>IF(L159="Renewal",1,0)</f>
        <v/>
      </c>
      <c r="AP159">
        <f>AC159*AD159</f>
        <v/>
      </c>
      <c r="AQ159">
        <f>IF(AND(G159&lt;&gt;"",'Historical Score'!$C$6&lt;&gt;""),IF(G159='Historical Score'!$C$6,1,0),0)</f>
        <v/>
      </c>
      <c r="AR159">
        <f>IF(AND(L159&lt;&gt;"",'Historical Score'!$C$5&lt;&gt;""),IF(L159='Historical Score'!$C$5,1,0),0)</f>
        <v/>
      </c>
      <c r="AS159">
        <f>IF(AND(Y159&lt;&gt;"",'Historical Score'!$C$7&lt;&gt;""),IF(Y159='Historical Score'!$C$7,1,0),0)</f>
        <v/>
      </c>
      <c r="AT159">
        <f>IF(AND(K159&lt;&gt;"",'Historical Score'!$C$8&lt;&gt;""),IF(K159='Historical Score'!$C$8,1,0),0)</f>
        <v/>
      </c>
      <c r="AU159">
        <f>IF(AND(J159&lt;&gt;"",'Historical Score'!$C$9&lt;&gt;""),IF(J159='Historical Score'!$C$9,1,0),0)</f>
        <v/>
      </c>
      <c r="AV159">
        <f>AR159*AS159*AQ159</f>
        <v/>
      </c>
      <c r="AW159">
        <f>AR159*AT159*AQ159</f>
        <v/>
      </c>
      <c r="AX159">
        <f>AR159*AS159</f>
        <v/>
      </c>
      <c r="AY159">
        <f>AR159*AT159</f>
        <v/>
      </c>
      <c r="AZ159">
        <f>AR159*AQ159</f>
        <v/>
      </c>
      <c r="BA159">
        <f>AR159</f>
        <v/>
      </c>
      <c r="BB159">
        <f>1</f>
        <v/>
      </c>
      <c r="BC159">
        <f>IF(AV159=1,1,IF(AW159=1,2,IF(AX159=1,3,IF(AY159=1,4,IF(AZ159=1,5,IF(BA159=1,6,7))))))</f>
        <v/>
      </c>
      <c r="BD159">
        <f>IF(AD159=1,CHOOSE('Historical Score'!$C$29,AV159,AW159,AX159,AY159,AZ159,BA159,BB159),0)</f>
        <v/>
      </c>
      <c r="BE159">
        <f>IF(BD159=1,COUNTIF($BD$2:BD159,1),"")</f>
        <v/>
      </c>
    </row>
    <row r="160">
      <c r="A160" t="inlineStr">
        <is>
          <t>5674162376</t>
        </is>
      </c>
      <c r="B160" t="inlineStr">
        <is>
          <t>AK INDUSTRIES</t>
        </is>
      </c>
      <c r="C160" t="inlineStr">
        <is>
          <t>AZEEM A KHAN</t>
        </is>
      </c>
      <c r="D160" t="inlineStr">
        <is>
          <t>Legal</t>
        </is>
      </c>
      <c r="E160" s="297" t="n">
        <v>45861</v>
      </c>
      <c r="F160" s="297" t="n">
        <v>45929</v>
      </c>
      <c r="G160" t="n">
        <v>4</v>
      </c>
      <c r="H160" t="inlineStr">
        <is>
          <t>1521</t>
        </is>
      </c>
      <c r="I160" t="inlineStr">
        <is>
          <t>15</t>
        </is>
      </c>
      <c r="J160" t="inlineStr">
        <is>
          <t>CA</t>
        </is>
      </c>
      <c r="K160" t="inlineStr">
        <is>
          <t>Business Fund USA 4</t>
        </is>
      </c>
      <c r="L160" t="inlineStr">
        <is>
          <t>New Deal</t>
        </is>
      </c>
      <c r="M160" s="298" t="n">
        <v>1.499</v>
      </c>
      <c r="N160" s="299" t="n">
        <v>15000</v>
      </c>
      <c r="O160" s="299" t="n">
        <v>2100</v>
      </c>
      <c r="P160" s="299" t="n">
        <v>22485</v>
      </c>
      <c r="Q160" s="299" t="n">
        <v>2182</v>
      </c>
      <c r="R160" s="299" t="n">
        <v>20303</v>
      </c>
      <c r="S160" s="300" t="n">
        <v>0.0970424727596175</v>
      </c>
      <c r="T160" t="n">
        <v>2.787</v>
      </c>
      <c r="U160" t="n">
        <v>7</v>
      </c>
      <c r="V160" t="n">
        <v>146954</v>
      </c>
      <c r="W160" s="300" t="n">
        <v>0.0376</v>
      </c>
      <c r="X160" s="297" t="n">
        <v>42098</v>
      </c>
      <c r="Y160">
        <f>IF(I160="","No SIC",IFERROR(VLOOKUP(I160,Ref!$A$2:$B$65,2,FALSE),"Unclassified"))</f>
        <v/>
      </c>
      <c r="Z160">
        <f>IF(T160="","",IF(T160&lt;12,"Daily","Weekly"))</f>
        <v/>
      </c>
      <c r="AA160">
        <f>IF(T160="",0,IF(T160&lt;12,T160*Controls!$B$29,T160*5))</f>
        <v/>
      </c>
      <c r="AB160">
        <f>IF(E160="",0,NETWORKDAYS(E160,Controls!$B$36,Ref!$K$2:$K$42))</f>
        <v/>
      </c>
      <c r="AC160">
        <f>IF(AND(AA160&gt;0,AB160&gt;=Controls!$B$39*AA160),1,0)</f>
        <v/>
      </c>
      <c r="AD160">
        <f>IF(AND(E160&lt;&gt;"",E160&gt;=Controls!$B$37,E160&lt;=Controls!$B$38),1,0)</f>
        <v/>
      </c>
      <c r="AE160">
        <f>IF(IFERROR(VLOOKUP(D160,Controls!$A$64:$E$74,2,FALSE),"No")="Yes",1,0)</f>
        <v/>
      </c>
      <c r="AF160">
        <f>IF(IFERROR(VLOOKUP(D160,Controls!$A$64:$E$74,3,FALSE),"No")="Yes",1,0)</f>
        <v/>
      </c>
      <c r="AG160">
        <f>IF(IFERROR(VLOOKUP(D160,Controls!$A$64:$E$74,4,FALSE),"No")="Yes",1,0)</f>
        <v/>
      </c>
      <c r="AH160">
        <f>IF(IFERROR(VLOOKUP(D160,Controls!$A$64:$E$74,5,FALSE),"No")="Yes",1,0)</f>
        <v/>
      </c>
      <c r="AI160">
        <f>IF(ISNUMBER(MATCH(D160,Controls!$A$64:$A$74,0)),1,0)</f>
        <v/>
      </c>
      <c r="AJ160">
        <f>Q160-N160</f>
        <v/>
      </c>
      <c r="AK160">
        <f>IF(AE160=1,MAX(0,N160-Q160),0)</f>
        <v/>
      </c>
      <c r="AL160">
        <f>IF(OR(V160="",V160=0),0,N160/V160)</f>
        <v/>
      </c>
      <c r="AM160">
        <f>IF(OR(V160="",V160=0),0,1)</f>
        <v/>
      </c>
      <c r="AN160">
        <f>IF(OR(E160="",F160=""),0,NETWORKDAYS(E160,F160,Ref!$K$2:$K$42))</f>
        <v/>
      </c>
      <c r="AO160">
        <f>IF(L160="Renewal",1,0)</f>
        <v/>
      </c>
      <c r="AP160">
        <f>AC160*AD160</f>
        <v/>
      </c>
      <c r="AQ160">
        <f>IF(AND(G160&lt;&gt;"",'Historical Score'!$C$6&lt;&gt;""),IF(G160='Historical Score'!$C$6,1,0),0)</f>
        <v/>
      </c>
      <c r="AR160">
        <f>IF(AND(L160&lt;&gt;"",'Historical Score'!$C$5&lt;&gt;""),IF(L160='Historical Score'!$C$5,1,0),0)</f>
        <v/>
      </c>
      <c r="AS160">
        <f>IF(AND(Y160&lt;&gt;"",'Historical Score'!$C$7&lt;&gt;""),IF(Y160='Historical Score'!$C$7,1,0),0)</f>
        <v/>
      </c>
      <c r="AT160">
        <f>IF(AND(K160&lt;&gt;"",'Historical Score'!$C$8&lt;&gt;""),IF(K160='Historical Score'!$C$8,1,0),0)</f>
        <v/>
      </c>
      <c r="AU160">
        <f>IF(AND(J160&lt;&gt;"",'Historical Score'!$C$9&lt;&gt;""),IF(J160='Historical Score'!$C$9,1,0),0)</f>
        <v/>
      </c>
      <c r="AV160">
        <f>AR160*AS160*AQ160</f>
        <v/>
      </c>
      <c r="AW160">
        <f>AR160*AT160*AQ160</f>
        <v/>
      </c>
      <c r="AX160">
        <f>AR160*AS160</f>
        <v/>
      </c>
      <c r="AY160">
        <f>AR160*AT160</f>
        <v/>
      </c>
      <c r="AZ160">
        <f>AR160*AQ160</f>
        <v/>
      </c>
      <c r="BA160">
        <f>AR160</f>
        <v/>
      </c>
      <c r="BB160">
        <f>1</f>
        <v/>
      </c>
      <c r="BC160">
        <f>IF(AV160=1,1,IF(AW160=1,2,IF(AX160=1,3,IF(AY160=1,4,IF(AZ160=1,5,IF(BA160=1,6,7))))))</f>
        <v/>
      </c>
      <c r="BD160">
        <f>IF(AD160=1,CHOOSE('Historical Score'!$C$29,AV160,AW160,AX160,AY160,AZ160,BA160,BB160),0)</f>
        <v/>
      </c>
      <c r="BE160">
        <f>IF(BD160=1,COUNTIF($BD$2:BD160,1),"")</f>
        <v/>
      </c>
    </row>
    <row r="161">
      <c r="A161" t="inlineStr">
        <is>
          <t>5674162412</t>
        </is>
      </c>
      <c r="B161" t="inlineStr">
        <is>
          <t>ST CAJETAN OIL COMPANY LLC</t>
        </is>
      </c>
      <c r="C161" t="inlineStr">
        <is>
          <t>ST CAJETAN OIL COMPANY LLC</t>
        </is>
      </c>
      <c r="D161" t="inlineStr">
        <is>
          <t>Closed</t>
        </is>
      </c>
      <c r="E161" s="297" t="n">
        <v>45861</v>
      </c>
      <c r="F161" s="297" t="n">
        <v>45952</v>
      </c>
      <c r="G161" t="n">
        <v>4</v>
      </c>
      <c r="H161" t="inlineStr">
        <is>
          <t>1382</t>
        </is>
      </c>
      <c r="I161" t="inlineStr">
        <is>
          <t>13</t>
        </is>
      </c>
      <c r="J161" t="inlineStr">
        <is>
          <t>TX</t>
        </is>
      </c>
      <c r="K161" t="inlineStr">
        <is>
          <t>United Secured Capital 8</t>
        </is>
      </c>
      <c r="L161" t="inlineStr">
        <is>
          <t>New Deal</t>
        </is>
      </c>
      <c r="M161" s="298" t="n">
        <v>1.49</v>
      </c>
      <c r="N161" s="299" t="n">
        <v>10000</v>
      </c>
      <c r="O161" s="299" t="n">
        <v>1400</v>
      </c>
      <c r="P161" s="299" t="n">
        <v>14900</v>
      </c>
      <c r="Q161" s="299" t="n">
        <v>14900</v>
      </c>
      <c r="R161" s="299" t="n">
        <v>0</v>
      </c>
      <c r="S161" s="300" t="n">
        <v>1</v>
      </c>
      <c r="T161" t="n">
        <v>2.623</v>
      </c>
      <c r="U161" t="n">
        <v>0</v>
      </c>
      <c r="V161" t="n">
        <v>37694.01</v>
      </c>
      <c r="W161" s="300" t="n">
        <v>0.1038</v>
      </c>
      <c r="X161" s="297" t="n">
        <v>44338</v>
      </c>
      <c r="Y161">
        <f>IF(I161="","No SIC",IFERROR(VLOOKUP(I161,Ref!$A$2:$B$65,2,FALSE),"Unclassified"))</f>
        <v/>
      </c>
      <c r="Z161">
        <f>IF(T161="","",IF(T161&lt;12,"Daily","Weekly"))</f>
        <v/>
      </c>
      <c r="AA161">
        <f>IF(T161="",0,IF(T161&lt;12,T161*Controls!$B$29,T161*5))</f>
        <v/>
      </c>
      <c r="AB161">
        <f>IF(E161="",0,NETWORKDAYS(E161,Controls!$B$36,Ref!$K$2:$K$42))</f>
        <v/>
      </c>
      <c r="AC161">
        <f>IF(AND(AA161&gt;0,AB161&gt;=Controls!$B$39*AA161),1,0)</f>
        <v/>
      </c>
      <c r="AD161">
        <f>IF(AND(E161&lt;&gt;"",E161&gt;=Controls!$B$37,E161&lt;=Controls!$B$38),1,0)</f>
        <v/>
      </c>
      <c r="AE161">
        <f>IF(IFERROR(VLOOKUP(D161,Controls!$A$64:$E$74,2,FALSE),"No")="Yes",1,0)</f>
        <v/>
      </c>
      <c r="AF161">
        <f>IF(IFERROR(VLOOKUP(D161,Controls!$A$64:$E$74,3,FALSE),"No")="Yes",1,0)</f>
        <v/>
      </c>
      <c r="AG161">
        <f>IF(IFERROR(VLOOKUP(D161,Controls!$A$64:$E$74,4,FALSE),"No")="Yes",1,0)</f>
        <v/>
      </c>
      <c r="AH161">
        <f>IF(IFERROR(VLOOKUP(D161,Controls!$A$64:$E$74,5,FALSE),"No")="Yes",1,0)</f>
        <v/>
      </c>
      <c r="AI161">
        <f>IF(ISNUMBER(MATCH(D161,Controls!$A$64:$A$74,0)),1,0)</f>
        <v/>
      </c>
      <c r="AJ161">
        <f>Q161-N161</f>
        <v/>
      </c>
      <c r="AK161">
        <f>IF(AE161=1,MAX(0,N161-Q161),0)</f>
        <v/>
      </c>
      <c r="AL161">
        <f>IF(OR(V161="",V161=0),0,N161/V161)</f>
        <v/>
      </c>
      <c r="AM161">
        <f>IF(OR(V161="",V161=0),0,1)</f>
        <v/>
      </c>
      <c r="AN161">
        <f>IF(OR(E161="",F161=""),0,NETWORKDAYS(E161,F161,Ref!$K$2:$K$42))</f>
        <v/>
      </c>
      <c r="AO161">
        <f>IF(L161="Renewal",1,0)</f>
        <v/>
      </c>
      <c r="AP161">
        <f>AC161*AD161</f>
        <v/>
      </c>
      <c r="AQ161">
        <f>IF(AND(G161&lt;&gt;"",'Historical Score'!$C$6&lt;&gt;""),IF(G161='Historical Score'!$C$6,1,0),0)</f>
        <v/>
      </c>
      <c r="AR161">
        <f>IF(AND(L161&lt;&gt;"",'Historical Score'!$C$5&lt;&gt;""),IF(L161='Historical Score'!$C$5,1,0),0)</f>
        <v/>
      </c>
      <c r="AS161">
        <f>IF(AND(Y161&lt;&gt;"",'Historical Score'!$C$7&lt;&gt;""),IF(Y161='Historical Score'!$C$7,1,0),0)</f>
        <v/>
      </c>
      <c r="AT161">
        <f>IF(AND(K161&lt;&gt;"",'Historical Score'!$C$8&lt;&gt;""),IF(K161='Historical Score'!$C$8,1,0),0)</f>
        <v/>
      </c>
      <c r="AU161">
        <f>IF(AND(J161&lt;&gt;"",'Historical Score'!$C$9&lt;&gt;""),IF(J161='Historical Score'!$C$9,1,0),0)</f>
        <v/>
      </c>
      <c r="AV161">
        <f>AR161*AS161*AQ161</f>
        <v/>
      </c>
      <c r="AW161">
        <f>AR161*AT161*AQ161</f>
        <v/>
      </c>
      <c r="AX161">
        <f>AR161*AS161</f>
        <v/>
      </c>
      <c r="AY161">
        <f>AR161*AT161</f>
        <v/>
      </c>
      <c r="AZ161">
        <f>AR161*AQ161</f>
        <v/>
      </c>
      <c r="BA161">
        <f>AR161</f>
        <v/>
      </c>
      <c r="BB161">
        <f>1</f>
        <v/>
      </c>
      <c r="BC161">
        <f>IF(AV161=1,1,IF(AW161=1,2,IF(AX161=1,3,IF(AY161=1,4,IF(AZ161=1,5,IF(BA161=1,6,7))))))</f>
        <v/>
      </c>
      <c r="BD161">
        <f>IF(AD161=1,CHOOSE('Historical Score'!$C$29,AV161,AW161,AX161,AY161,AZ161,BA161,BB161),0)</f>
        <v/>
      </c>
      <c r="BE161">
        <f>IF(BD161=1,COUNTIF($BD$2:BD161,1),"")</f>
        <v/>
      </c>
    </row>
    <row r="162">
      <c r="A162" t="inlineStr">
        <is>
          <t>5674162433</t>
        </is>
      </c>
      <c r="B162" t="inlineStr">
        <is>
          <t>Garner Construction</t>
        </is>
      </c>
      <c r="C162" t="inlineStr">
        <is>
          <t>NGM ENTERPRISES LLC</t>
        </is>
      </c>
      <c r="D162" t="inlineStr">
        <is>
          <t>In House Collection</t>
        </is>
      </c>
      <c r="E162" s="297" t="n">
        <v>45862</v>
      </c>
      <c r="F162" s="297" t="n">
        <v>46247</v>
      </c>
      <c r="G162" t="n">
        <v>3</v>
      </c>
      <c r="H162" t="inlineStr">
        <is>
          <t>1521</t>
        </is>
      </c>
      <c r="I162" t="inlineStr">
        <is>
          <t>15</t>
        </is>
      </c>
      <c r="J162" t="inlineStr">
        <is>
          <t>NC</t>
        </is>
      </c>
      <c r="K162" t="inlineStr">
        <is>
          <t>ROYAL FUNDING GROUP</t>
        </is>
      </c>
      <c r="L162" t="inlineStr">
        <is>
          <t>New Deal</t>
        </is>
      </c>
      <c r="M162" s="298" t="n">
        <v>1.49</v>
      </c>
      <c r="N162" s="299" t="n">
        <v>12500</v>
      </c>
      <c r="O162" s="299" t="n">
        <v>1750</v>
      </c>
      <c r="P162" s="299" t="n">
        <v>18625</v>
      </c>
      <c r="Q162" s="299" t="n">
        <v>4394.49</v>
      </c>
      <c r="R162" s="299" t="n">
        <v>14230.51</v>
      </c>
      <c r="S162" s="300" t="n">
        <v>0.235945771812081</v>
      </c>
      <c r="T162" t="n">
        <v>18</v>
      </c>
      <c r="U162" t="n">
        <v>12</v>
      </c>
      <c r="V162" t="n">
        <v>206134.77</v>
      </c>
      <c r="W162" s="300" t="n">
        <v>0.0201</v>
      </c>
      <c r="X162" s="297" t="n">
        <v>43544</v>
      </c>
      <c r="Y162">
        <f>IF(I162="","No SIC",IFERROR(VLOOKUP(I162,Ref!$A$2:$B$65,2,FALSE),"Unclassified"))</f>
        <v/>
      </c>
      <c r="Z162">
        <f>IF(T162="","",IF(T162&lt;12,"Daily","Weekly"))</f>
        <v/>
      </c>
      <c r="AA162">
        <f>IF(T162="",0,IF(T162&lt;12,T162*Controls!$B$29,T162*5))</f>
        <v/>
      </c>
      <c r="AB162">
        <f>IF(E162="",0,NETWORKDAYS(E162,Controls!$B$36,Ref!$K$2:$K$42))</f>
        <v/>
      </c>
      <c r="AC162">
        <f>IF(AND(AA162&gt;0,AB162&gt;=Controls!$B$39*AA162),1,0)</f>
        <v/>
      </c>
      <c r="AD162">
        <f>IF(AND(E162&lt;&gt;"",E162&gt;=Controls!$B$37,E162&lt;=Controls!$B$38),1,0)</f>
        <v/>
      </c>
      <c r="AE162">
        <f>IF(IFERROR(VLOOKUP(D162,Controls!$A$64:$E$74,2,FALSE),"No")="Yes",1,0)</f>
        <v/>
      </c>
      <c r="AF162">
        <f>IF(IFERROR(VLOOKUP(D162,Controls!$A$64:$E$74,3,FALSE),"No")="Yes",1,0)</f>
        <v/>
      </c>
      <c r="AG162">
        <f>IF(IFERROR(VLOOKUP(D162,Controls!$A$64:$E$74,4,FALSE),"No")="Yes",1,0)</f>
        <v/>
      </c>
      <c r="AH162">
        <f>IF(IFERROR(VLOOKUP(D162,Controls!$A$64:$E$74,5,FALSE),"No")="Yes",1,0)</f>
        <v/>
      </c>
      <c r="AI162">
        <f>IF(ISNUMBER(MATCH(D162,Controls!$A$64:$A$74,0)),1,0)</f>
        <v/>
      </c>
      <c r="AJ162">
        <f>Q162-N162</f>
        <v/>
      </c>
      <c r="AK162">
        <f>IF(AE162=1,MAX(0,N162-Q162),0)</f>
        <v/>
      </c>
      <c r="AL162">
        <f>IF(OR(V162="",V162=0),0,N162/V162)</f>
        <v/>
      </c>
      <c r="AM162">
        <f>IF(OR(V162="",V162=0),0,1)</f>
        <v/>
      </c>
      <c r="AN162">
        <f>IF(OR(E162="",F162=""),0,NETWORKDAYS(E162,F162,Ref!$K$2:$K$42))</f>
        <v/>
      </c>
      <c r="AO162">
        <f>IF(L162="Renewal",1,0)</f>
        <v/>
      </c>
      <c r="AP162">
        <f>AC162*AD162</f>
        <v/>
      </c>
      <c r="AQ162">
        <f>IF(AND(G162&lt;&gt;"",'Historical Score'!$C$6&lt;&gt;""),IF(G162='Historical Score'!$C$6,1,0),0)</f>
        <v/>
      </c>
      <c r="AR162">
        <f>IF(AND(L162&lt;&gt;"",'Historical Score'!$C$5&lt;&gt;""),IF(L162='Historical Score'!$C$5,1,0),0)</f>
        <v/>
      </c>
      <c r="AS162">
        <f>IF(AND(Y162&lt;&gt;"",'Historical Score'!$C$7&lt;&gt;""),IF(Y162='Historical Score'!$C$7,1,0),0)</f>
        <v/>
      </c>
      <c r="AT162">
        <f>IF(AND(K162&lt;&gt;"",'Historical Score'!$C$8&lt;&gt;""),IF(K162='Historical Score'!$C$8,1,0),0)</f>
        <v/>
      </c>
      <c r="AU162">
        <f>IF(AND(J162&lt;&gt;"",'Historical Score'!$C$9&lt;&gt;""),IF(J162='Historical Score'!$C$9,1,0),0)</f>
        <v/>
      </c>
      <c r="AV162">
        <f>AR162*AS162*AQ162</f>
        <v/>
      </c>
      <c r="AW162">
        <f>AR162*AT162*AQ162</f>
        <v/>
      </c>
      <c r="AX162">
        <f>AR162*AS162</f>
        <v/>
      </c>
      <c r="AY162">
        <f>AR162*AT162</f>
        <v/>
      </c>
      <c r="AZ162">
        <f>AR162*AQ162</f>
        <v/>
      </c>
      <c r="BA162">
        <f>AR162</f>
        <v/>
      </c>
      <c r="BB162">
        <f>1</f>
        <v/>
      </c>
      <c r="BC162">
        <f>IF(AV162=1,1,IF(AW162=1,2,IF(AX162=1,3,IF(AY162=1,4,IF(AZ162=1,5,IF(BA162=1,6,7))))))</f>
        <v/>
      </c>
      <c r="BD162">
        <f>IF(AD162=1,CHOOSE('Historical Score'!$C$29,AV162,AW162,AX162,AY162,AZ162,BA162,BB162),0)</f>
        <v/>
      </c>
      <c r="BE162">
        <f>IF(BD162=1,COUNTIF($BD$2:BD162,1),"")</f>
        <v/>
      </c>
    </row>
    <row r="163">
      <c r="A163" t="inlineStr">
        <is>
          <t>5674162458</t>
        </is>
      </c>
      <c r="B163" t="inlineStr">
        <is>
          <t>ARETE GALLERY INC</t>
        </is>
      </c>
      <c r="C163" t="inlineStr">
        <is>
          <t>ARETE GALLERY INC</t>
        </is>
      </c>
      <c r="D163" t="inlineStr">
        <is>
          <t>In House Collection</t>
        </is>
      </c>
      <c r="E163" s="297" t="n">
        <v>45862</v>
      </c>
      <c r="F163" s="297" t="n">
        <v>46248</v>
      </c>
      <c r="G163" t="n">
        <v>3</v>
      </c>
      <c r="H163" t="inlineStr">
        <is>
          <t>8412</t>
        </is>
      </c>
      <c r="I163" t="inlineStr">
        <is>
          <t>84</t>
        </is>
      </c>
      <c r="J163" t="inlineStr">
        <is>
          <t>PA</t>
        </is>
      </c>
      <c r="K163" t="inlineStr">
        <is>
          <t>Shop Funder</t>
        </is>
      </c>
      <c r="L163" t="inlineStr">
        <is>
          <t>Renewal</t>
        </is>
      </c>
      <c r="M163" s="298" t="n">
        <v>1.499</v>
      </c>
      <c r="N163" s="299" t="n">
        <v>10000</v>
      </c>
      <c r="O163" s="299" t="n">
        <v>1400</v>
      </c>
      <c r="P163" s="299" t="n">
        <v>14990</v>
      </c>
      <c r="Q163" s="299" t="n">
        <v>5993.45</v>
      </c>
      <c r="R163" s="299" t="n">
        <v>8996.549999999999</v>
      </c>
      <c r="S163" s="300" t="n">
        <v>0.399829886591061</v>
      </c>
      <c r="T163" t="n">
        <v>3.279</v>
      </c>
      <c r="U163" t="n">
        <v>23</v>
      </c>
      <c r="V163" t="n">
        <v>12360.62</v>
      </c>
      <c r="W163" s="300" t="n">
        <v>0.2547</v>
      </c>
      <c r="X163" s="297" t="n">
        <v>44105</v>
      </c>
      <c r="Y163">
        <f>IF(I163="","No SIC",IFERROR(VLOOKUP(I163,Ref!$A$2:$B$65,2,FALSE),"Unclassified"))</f>
        <v/>
      </c>
      <c r="Z163">
        <f>IF(T163="","",IF(T163&lt;12,"Daily","Weekly"))</f>
        <v/>
      </c>
      <c r="AA163">
        <f>IF(T163="",0,IF(T163&lt;12,T163*Controls!$B$29,T163*5))</f>
        <v/>
      </c>
      <c r="AB163">
        <f>IF(E163="",0,NETWORKDAYS(E163,Controls!$B$36,Ref!$K$2:$K$42))</f>
        <v/>
      </c>
      <c r="AC163">
        <f>IF(AND(AA163&gt;0,AB163&gt;=Controls!$B$39*AA163),1,0)</f>
        <v/>
      </c>
      <c r="AD163">
        <f>IF(AND(E163&lt;&gt;"",E163&gt;=Controls!$B$37,E163&lt;=Controls!$B$38),1,0)</f>
        <v/>
      </c>
      <c r="AE163">
        <f>IF(IFERROR(VLOOKUP(D163,Controls!$A$64:$E$74,2,FALSE),"No")="Yes",1,0)</f>
        <v/>
      </c>
      <c r="AF163">
        <f>IF(IFERROR(VLOOKUP(D163,Controls!$A$64:$E$74,3,FALSE),"No")="Yes",1,0)</f>
        <v/>
      </c>
      <c r="AG163">
        <f>IF(IFERROR(VLOOKUP(D163,Controls!$A$64:$E$74,4,FALSE),"No")="Yes",1,0)</f>
        <v/>
      </c>
      <c r="AH163">
        <f>IF(IFERROR(VLOOKUP(D163,Controls!$A$64:$E$74,5,FALSE),"No")="Yes",1,0)</f>
        <v/>
      </c>
      <c r="AI163">
        <f>IF(ISNUMBER(MATCH(D163,Controls!$A$64:$A$74,0)),1,0)</f>
        <v/>
      </c>
      <c r="AJ163">
        <f>Q163-N163</f>
        <v/>
      </c>
      <c r="AK163">
        <f>IF(AE163=1,MAX(0,N163-Q163),0)</f>
        <v/>
      </c>
      <c r="AL163">
        <f>IF(OR(V163="",V163=0),0,N163/V163)</f>
        <v/>
      </c>
      <c r="AM163">
        <f>IF(OR(V163="",V163=0),0,1)</f>
        <v/>
      </c>
      <c r="AN163">
        <f>IF(OR(E163="",F163=""),0,NETWORKDAYS(E163,F163,Ref!$K$2:$K$42))</f>
        <v/>
      </c>
      <c r="AO163">
        <f>IF(L163="Renewal",1,0)</f>
        <v/>
      </c>
      <c r="AP163">
        <f>AC163*AD163</f>
        <v/>
      </c>
      <c r="AQ163">
        <f>IF(AND(G163&lt;&gt;"",'Historical Score'!$C$6&lt;&gt;""),IF(G163='Historical Score'!$C$6,1,0),0)</f>
        <v/>
      </c>
      <c r="AR163">
        <f>IF(AND(L163&lt;&gt;"",'Historical Score'!$C$5&lt;&gt;""),IF(L163='Historical Score'!$C$5,1,0),0)</f>
        <v/>
      </c>
      <c r="AS163">
        <f>IF(AND(Y163&lt;&gt;"",'Historical Score'!$C$7&lt;&gt;""),IF(Y163='Historical Score'!$C$7,1,0),0)</f>
        <v/>
      </c>
      <c r="AT163">
        <f>IF(AND(K163&lt;&gt;"",'Historical Score'!$C$8&lt;&gt;""),IF(K163='Historical Score'!$C$8,1,0),0)</f>
        <v/>
      </c>
      <c r="AU163">
        <f>IF(AND(J163&lt;&gt;"",'Historical Score'!$C$9&lt;&gt;""),IF(J163='Historical Score'!$C$9,1,0),0)</f>
        <v/>
      </c>
      <c r="AV163">
        <f>AR163*AS163*AQ163</f>
        <v/>
      </c>
      <c r="AW163">
        <f>AR163*AT163*AQ163</f>
        <v/>
      </c>
      <c r="AX163">
        <f>AR163*AS163</f>
        <v/>
      </c>
      <c r="AY163">
        <f>AR163*AT163</f>
        <v/>
      </c>
      <c r="AZ163">
        <f>AR163*AQ163</f>
        <v/>
      </c>
      <c r="BA163">
        <f>AR163</f>
        <v/>
      </c>
      <c r="BB163">
        <f>1</f>
        <v/>
      </c>
      <c r="BC163">
        <f>IF(AV163=1,1,IF(AW163=1,2,IF(AX163=1,3,IF(AY163=1,4,IF(AZ163=1,5,IF(BA163=1,6,7))))))</f>
        <v/>
      </c>
      <c r="BD163">
        <f>IF(AD163=1,CHOOSE('Historical Score'!$C$29,AV163,AW163,AX163,AY163,AZ163,BA163,BB163),0)</f>
        <v/>
      </c>
      <c r="BE163">
        <f>IF(BD163=1,COUNTIF($BD$2:BD163,1),"")</f>
        <v/>
      </c>
    </row>
    <row r="164">
      <c r="A164" t="inlineStr">
        <is>
          <t>5674162475</t>
        </is>
      </c>
      <c r="B164" t="inlineStr">
        <is>
          <t>Ace Prevention Private Security LLC</t>
        </is>
      </c>
      <c r="C164" t="inlineStr">
        <is>
          <t>Ace Prevention Private Security LLC</t>
        </is>
      </c>
      <c r="D164" t="inlineStr">
        <is>
          <t>Legal</t>
        </is>
      </c>
      <c r="E164" s="297" t="n">
        <v>45862</v>
      </c>
      <c r="F164" s="297" t="n">
        <v>46157</v>
      </c>
      <c r="G164" t="n">
        <v>3</v>
      </c>
      <c r="H164" t="inlineStr">
        <is>
          <t>7382</t>
        </is>
      </c>
      <c r="I164" t="inlineStr">
        <is>
          <t>73</t>
        </is>
      </c>
      <c r="J164" t="inlineStr">
        <is>
          <t>LA</t>
        </is>
      </c>
      <c r="K164" t="inlineStr">
        <is>
          <t>I burst funding</t>
        </is>
      </c>
      <c r="L164" t="inlineStr">
        <is>
          <t>New Deal</t>
        </is>
      </c>
      <c r="M164" s="298" t="n">
        <v>1.499</v>
      </c>
      <c r="N164" s="299" t="n">
        <v>5000</v>
      </c>
      <c r="O164" s="299" t="n">
        <v>700</v>
      </c>
      <c r="P164" s="299" t="n">
        <v>7495</v>
      </c>
      <c r="Q164" s="299" t="n">
        <v>2978.64</v>
      </c>
      <c r="R164" s="299" t="n">
        <v>4516.36</v>
      </c>
      <c r="S164" s="300" t="n">
        <v>0.397416944629753</v>
      </c>
      <c r="T164" t="n">
        <v>2.295</v>
      </c>
      <c r="U164" t="n">
        <v>49</v>
      </c>
      <c r="V164" t="n">
        <v>23564.34</v>
      </c>
      <c r="W164" s="300" t="n">
        <v>0.0948</v>
      </c>
      <c r="X164" s="297" t="n"/>
      <c r="Y164">
        <f>IF(I164="","No SIC",IFERROR(VLOOKUP(I164,Ref!$A$2:$B$65,2,FALSE),"Unclassified"))</f>
        <v/>
      </c>
      <c r="Z164">
        <f>IF(T164="","",IF(T164&lt;12,"Daily","Weekly"))</f>
        <v/>
      </c>
      <c r="AA164">
        <f>IF(T164="",0,IF(T164&lt;12,T164*Controls!$B$29,T164*5))</f>
        <v/>
      </c>
      <c r="AB164">
        <f>IF(E164="",0,NETWORKDAYS(E164,Controls!$B$36,Ref!$K$2:$K$42))</f>
        <v/>
      </c>
      <c r="AC164">
        <f>IF(AND(AA164&gt;0,AB164&gt;=Controls!$B$39*AA164),1,0)</f>
        <v/>
      </c>
      <c r="AD164">
        <f>IF(AND(E164&lt;&gt;"",E164&gt;=Controls!$B$37,E164&lt;=Controls!$B$38),1,0)</f>
        <v/>
      </c>
      <c r="AE164">
        <f>IF(IFERROR(VLOOKUP(D164,Controls!$A$64:$E$74,2,FALSE),"No")="Yes",1,0)</f>
        <v/>
      </c>
      <c r="AF164">
        <f>IF(IFERROR(VLOOKUP(D164,Controls!$A$64:$E$74,3,FALSE),"No")="Yes",1,0)</f>
        <v/>
      </c>
      <c r="AG164">
        <f>IF(IFERROR(VLOOKUP(D164,Controls!$A$64:$E$74,4,FALSE),"No")="Yes",1,0)</f>
        <v/>
      </c>
      <c r="AH164">
        <f>IF(IFERROR(VLOOKUP(D164,Controls!$A$64:$E$74,5,FALSE),"No")="Yes",1,0)</f>
        <v/>
      </c>
      <c r="AI164">
        <f>IF(ISNUMBER(MATCH(D164,Controls!$A$64:$A$74,0)),1,0)</f>
        <v/>
      </c>
      <c r="AJ164">
        <f>Q164-N164</f>
        <v/>
      </c>
      <c r="AK164">
        <f>IF(AE164=1,MAX(0,N164-Q164),0)</f>
        <v/>
      </c>
      <c r="AL164">
        <f>IF(OR(V164="",V164=0),0,N164/V164)</f>
        <v/>
      </c>
      <c r="AM164">
        <f>IF(OR(V164="",V164=0),0,1)</f>
        <v/>
      </c>
      <c r="AN164">
        <f>IF(OR(E164="",F164=""),0,NETWORKDAYS(E164,F164,Ref!$K$2:$K$42))</f>
        <v/>
      </c>
      <c r="AO164">
        <f>IF(L164="Renewal",1,0)</f>
        <v/>
      </c>
      <c r="AP164">
        <f>AC164*AD164</f>
        <v/>
      </c>
      <c r="AQ164">
        <f>IF(AND(G164&lt;&gt;"",'Historical Score'!$C$6&lt;&gt;""),IF(G164='Historical Score'!$C$6,1,0),0)</f>
        <v/>
      </c>
      <c r="AR164">
        <f>IF(AND(L164&lt;&gt;"",'Historical Score'!$C$5&lt;&gt;""),IF(L164='Historical Score'!$C$5,1,0),0)</f>
        <v/>
      </c>
      <c r="AS164">
        <f>IF(AND(Y164&lt;&gt;"",'Historical Score'!$C$7&lt;&gt;""),IF(Y164='Historical Score'!$C$7,1,0),0)</f>
        <v/>
      </c>
      <c r="AT164">
        <f>IF(AND(K164&lt;&gt;"",'Historical Score'!$C$8&lt;&gt;""),IF(K164='Historical Score'!$C$8,1,0),0)</f>
        <v/>
      </c>
      <c r="AU164">
        <f>IF(AND(J164&lt;&gt;"",'Historical Score'!$C$9&lt;&gt;""),IF(J164='Historical Score'!$C$9,1,0),0)</f>
        <v/>
      </c>
      <c r="AV164">
        <f>AR164*AS164*AQ164</f>
        <v/>
      </c>
      <c r="AW164">
        <f>AR164*AT164*AQ164</f>
        <v/>
      </c>
      <c r="AX164">
        <f>AR164*AS164</f>
        <v/>
      </c>
      <c r="AY164">
        <f>AR164*AT164</f>
        <v/>
      </c>
      <c r="AZ164">
        <f>AR164*AQ164</f>
        <v/>
      </c>
      <c r="BA164">
        <f>AR164</f>
        <v/>
      </c>
      <c r="BB164">
        <f>1</f>
        <v/>
      </c>
      <c r="BC164">
        <f>IF(AV164=1,1,IF(AW164=1,2,IF(AX164=1,3,IF(AY164=1,4,IF(AZ164=1,5,IF(BA164=1,6,7))))))</f>
        <v/>
      </c>
      <c r="BD164">
        <f>IF(AD164=1,CHOOSE('Historical Score'!$C$29,AV164,AW164,AX164,AY164,AZ164,BA164,BB164),0)</f>
        <v/>
      </c>
      <c r="BE164">
        <f>IF(BD164=1,COUNTIF($BD$2:BD164,1),"")</f>
        <v/>
      </c>
    </row>
    <row r="165">
      <c r="A165" t="inlineStr">
        <is>
          <t>5674162572</t>
        </is>
      </c>
      <c r="B165" t="inlineStr">
        <is>
          <t>DAVINCI MEDICAL LLC</t>
        </is>
      </c>
      <c r="C165" t="inlineStr">
        <is>
          <t>DAVINCI MEDICAL LLC</t>
        </is>
      </c>
      <c r="D165" t="inlineStr">
        <is>
          <t>Legal</t>
        </is>
      </c>
      <c r="E165" s="297" t="n">
        <v>45863</v>
      </c>
      <c r="F165" s="297" t="n">
        <v>45947</v>
      </c>
      <c r="G165" t="n">
        <v>1</v>
      </c>
      <c r="H165" t="inlineStr">
        <is>
          <t>8011</t>
        </is>
      </c>
      <c r="I165" t="inlineStr">
        <is>
          <t>80</t>
        </is>
      </c>
      <c r="J165" t="inlineStr">
        <is>
          <t>TX</t>
        </is>
      </c>
      <c r="K165" t="inlineStr">
        <is>
          <t>Direct Funding LLC</t>
        </is>
      </c>
      <c r="L165" t="inlineStr">
        <is>
          <t>New Deal</t>
        </is>
      </c>
      <c r="M165" s="298" t="n">
        <v>1.499</v>
      </c>
      <c r="N165" s="299" t="n">
        <v>20000</v>
      </c>
      <c r="O165" s="299" t="n">
        <v>2800</v>
      </c>
      <c r="P165" s="299" t="n">
        <v>29980</v>
      </c>
      <c r="Q165" s="299" t="n">
        <v>16738.83</v>
      </c>
      <c r="R165" s="299" t="n">
        <v>13241.17</v>
      </c>
      <c r="S165" s="300" t="n">
        <v>0.558333222148099</v>
      </c>
      <c r="T165" t="n">
        <v>16</v>
      </c>
      <c r="U165" t="n">
        <v>3</v>
      </c>
      <c r="V165" t="n">
        <v>94371.25999999999</v>
      </c>
      <c r="W165" s="300" t="n">
        <v>0.0465</v>
      </c>
      <c r="X165" s="297" t="n">
        <v>42227</v>
      </c>
      <c r="Y165">
        <f>IF(I165="","No SIC",IFERROR(VLOOKUP(I165,Ref!$A$2:$B$65,2,FALSE),"Unclassified"))</f>
        <v/>
      </c>
      <c r="Z165">
        <f>IF(T165="","",IF(T165&lt;12,"Daily","Weekly"))</f>
        <v/>
      </c>
      <c r="AA165">
        <f>IF(T165="",0,IF(T165&lt;12,T165*Controls!$B$29,T165*5))</f>
        <v/>
      </c>
      <c r="AB165">
        <f>IF(E165="",0,NETWORKDAYS(E165,Controls!$B$36,Ref!$K$2:$K$42))</f>
        <v/>
      </c>
      <c r="AC165">
        <f>IF(AND(AA165&gt;0,AB165&gt;=Controls!$B$39*AA165),1,0)</f>
        <v/>
      </c>
      <c r="AD165">
        <f>IF(AND(E165&lt;&gt;"",E165&gt;=Controls!$B$37,E165&lt;=Controls!$B$38),1,0)</f>
        <v/>
      </c>
      <c r="AE165">
        <f>IF(IFERROR(VLOOKUP(D165,Controls!$A$64:$E$74,2,FALSE),"No")="Yes",1,0)</f>
        <v/>
      </c>
      <c r="AF165">
        <f>IF(IFERROR(VLOOKUP(D165,Controls!$A$64:$E$74,3,FALSE),"No")="Yes",1,0)</f>
        <v/>
      </c>
      <c r="AG165">
        <f>IF(IFERROR(VLOOKUP(D165,Controls!$A$64:$E$74,4,FALSE),"No")="Yes",1,0)</f>
        <v/>
      </c>
      <c r="AH165">
        <f>IF(IFERROR(VLOOKUP(D165,Controls!$A$64:$E$74,5,FALSE),"No")="Yes",1,0)</f>
        <v/>
      </c>
      <c r="AI165">
        <f>IF(ISNUMBER(MATCH(D165,Controls!$A$64:$A$74,0)),1,0)</f>
        <v/>
      </c>
      <c r="AJ165">
        <f>Q165-N165</f>
        <v/>
      </c>
      <c r="AK165">
        <f>IF(AE165=1,MAX(0,N165-Q165),0)</f>
        <v/>
      </c>
      <c r="AL165">
        <f>IF(OR(V165="",V165=0),0,N165/V165)</f>
        <v/>
      </c>
      <c r="AM165">
        <f>IF(OR(V165="",V165=0),0,1)</f>
        <v/>
      </c>
      <c r="AN165">
        <f>IF(OR(E165="",F165=""),0,NETWORKDAYS(E165,F165,Ref!$K$2:$K$42))</f>
        <v/>
      </c>
      <c r="AO165">
        <f>IF(L165="Renewal",1,0)</f>
        <v/>
      </c>
      <c r="AP165">
        <f>AC165*AD165</f>
        <v/>
      </c>
      <c r="AQ165">
        <f>IF(AND(G165&lt;&gt;"",'Historical Score'!$C$6&lt;&gt;""),IF(G165='Historical Score'!$C$6,1,0),0)</f>
        <v/>
      </c>
      <c r="AR165">
        <f>IF(AND(L165&lt;&gt;"",'Historical Score'!$C$5&lt;&gt;""),IF(L165='Historical Score'!$C$5,1,0),0)</f>
        <v/>
      </c>
      <c r="AS165">
        <f>IF(AND(Y165&lt;&gt;"",'Historical Score'!$C$7&lt;&gt;""),IF(Y165='Historical Score'!$C$7,1,0),0)</f>
        <v/>
      </c>
      <c r="AT165">
        <f>IF(AND(K165&lt;&gt;"",'Historical Score'!$C$8&lt;&gt;""),IF(K165='Historical Score'!$C$8,1,0),0)</f>
        <v/>
      </c>
      <c r="AU165">
        <f>IF(AND(J165&lt;&gt;"",'Historical Score'!$C$9&lt;&gt;""),IF(J165='Historical Score'!$C$9,1,0),0)</f>
        <v/>
      </c>
      <c r="AV165">
        <f>AR165*AS165*AQ165</f>
        <v/>
      </c>
      <c r="AW165">
        <f>AR165*AT165*AQ165</f>
        <v/>
      </c>
      <c r="AX165">
        <f>AR165*AS165</f>
        <v/>
      </c>
      <c r="AY165">
        <f>AR165*AT165</f>
        <v/>
      </c>
      <c r="AZ165">
        <f>AR165*AQ165</f>
        <v/>
      </c>
      <c r="BA165">
        <f>AR165</f>
        <v/>
      </c>
      <c r="BB165">
        <f>1</f>
        <v/>
      </c>
      <c r="BC165">
        <f>IF(AV165=1,1,IF(AW165=1,2,IF(AX165=1,3,IF(AY165=1,4,IF(AZ165=1,5,IF(BA165=1,6,7))))))</f>
        <v/>
      </c>
      <c r="BD165">
        <f>IF(AD165=1,CHOOSE('Historical Score'!$C$29,AV165,AW165,AX165,AY165,AZ165,BA165,BB165),0)</f>
        <v/>
      </c>
      <c r="BE165">
        <f>IF(BD165=1,COUNTIF($BD$2:BD165,1),"")</f>
        <v/>
      </c>
    </row>
    <row r="166">
      <c r="A166" t="inlineStr">
        <is>
          <t>5674162573</t>
        </is>
      </c>
      <c r="B166" t="inlineStr">
        <is>
          <t>LINCOLN'S CONSTRUCTION REMODELING</t>
        </is>
      </c>
      <c r="C166" t="inlineStr">
        <is>
          <t>Lincoln'S Construction Remodeling Inc</t>
        </is>
      </c>
      <c r="D166" t="inlineStr">
        <is>
          <t>Legal</t>
        </is>
      </c>
      <c r="E166" s="297" t="n">
        <v>45863</v>
      </c>
      <c r="F166" s="297" t="n">
        <v>46234</v>
      </c>
      <c r="G166" t="n">
        <v>1</v>
      </c>
      <c r="H166" t="inlineStr">
        <is>
          <t>1521</t>
        </is>
      </c>
      <c r="I166" t="inlineStr">
        <is>
          <t>15</t>
        </is>
      </c>
      <c r="J166" t="inlineStr">
        <is>
          <t>MA</t>
        </is>
      </c>
      <c r="K166" t="inlineStr">
        <is>
          <t>PMF</t>
        </is>
      </c>
      <c r="L166" t="inlineStr">
        <is>
          <t>New Deal</t>
        </is>
      </c>
      <c r="M166" s="298" t="n">
        <v>1.49</v>
      </c>
      <c r="N166" s="299" t="n">
        <v>50000</v>
      </c>
      <c r="O166" s="299" t="n">
        <v>7000</v>
      </c>
      <c r="P166" s="299" t="n">
        <v>74500</v>
      </c>
      <c r="Q166" s="299" t="n">
        <v>51490.08</v>
      </c>
      <c r="R166" s="299" t="n">
        <v>23009.92</v>
      </c>
      <c r="S166" s="300" t="n">
        <v>0.691142013422819</v>
      </c>
      <c r="T166" t="n">
        <v>28</v>
      </c>
      <c r="U166" t="n">
        <v>2</v>
      </c>
      <c r="V166" t="n">
        <v>125203.05</v>
      </c>
      <c r="W166" s="300" t="n">
        <v>0.08500000000000001</v>
      </c>
      <c r="X166" s="297" t="n">
        <v>44531</v>
      </c>
      <c r="Y166">
        <f>IF(I166="","No SIC",IFERROR(VLOOKUP(I166,Ref!$A$2:$B$65,2,FALSE),"Unclassified"))</f>
        <v/>
      </c>
      <c r="Z166">
        <f>IF(T166="","",IF(T166&lt;12,"Daily","Weekly"))</f>
        <v/>
      </c>
      <c r="AA166">
        <f>IF(T166="",0,IF(T166&lt;12,T166*Controls!$B$29,T166*5))</f>
        <v/>
      </c>
      <c r="AB166">
        <f>IF(E166="",0,NETWORKDAYS(E166,Controls!$B$36,Ref!$K$2:$K$42))</f>
        <v/>
      </c>
      <c r="AC166">
        <f>IF(AND(AA166&gt;0,AB166&gt;=Controls!$B$39*AA166),1,0)</f>
        <v/>
      </c>
      <c r="AD166">
        <f>IF(AND(E166&lt;&gt;"",E166&gt;=Controls!$B$37,E166&lt;=Controls!$B$38),1,0)</f>
        <v/>
      </c>
      <c r="AE166">
        <f>IF(IFERROR(VLOOKUP(D166,Controls!$A$64:$E$74,2,FALSE),"No")="Yes",1,0)</f>
        <v/>
      </c>
      <c r="AF166">
        <f>IF(IFERROR(VLOOKUP(D166,Controls!$A$64:$E$74,3,FALSE),"No")="Yes",1,0)</f>
        <v/>
      </c>
      <c r="AG166">
        <f>IF(IFERROR(VLOOKUP(D166,Controls!$A$64:$E$74,4,FALSE),"No")="Yes",1,0)</f>
        <v/>
      </c>
      <c r="AH166">
        <f>IF(IFERROR(VLOOKUP(D166,Controls!$A$64:$E$74,5,FALSE),"No")="Yes",1,0)</f>
        <v/>
      </c>
      <c r="AI166">
        <f>IF(ISNUMBER(MATCH(D166,Controls!$A$64:$A$74,0)),1,0)</f>
        <v/>
      </c>
      <c r="AJ166">
        <f>Q166-N166</f>
        <v/>
      </c>
      <c r="AK166">
        <f>IF(AE166=1,MAX(0,N166-Q166),0)</f>
        <v/>
      </c>
      <c r="AL166">
        <f>IF(OR(V166="",V166=0),0,N166/V166)</f>
        <v/>
      </c>
      <c r="AM166">
        <f>IF(OR(V166="",V166=0),0,1)</f>
        <v/>
      </c>
      <c r="AN166">
        <f>IF(OR(E166="",F166=""),0,NETWORKDAYS(E166,F166,Ref!$K$2:$K$42))</f>
        <v/>
      </c>
      <c r="AO166">
        <f>IF(L166="Renewal",1,0)</f>
        <v/>
      </c>
      <c r="AP166">
        <f>AC166*AD166</f>
        <v/>
      </c>
      <c r="AQ166">
        <f>IF(AND(G166&lt;&gt;"",'Historical Score'!$C$6&lt;&gt;""),IF(G166='Historical Score'!$C$6,1,0),0)</f>
        <v/>
      </c>
      <c r="AR166">
        <f>IF(AND(L166&lt;&gt;"",'Historical Score'!$C$5&lt;&gt;""),IF(L166='Historical Score'!$C$5,1,0),0)</f>
        <v/>
      </c>
      <c r="AS166">
        <f>IF(AND(Y166&lt;&gt;"",'Historical Score'!$C$7&lt;&gt;""),IF(Y166='Historical Score'!$C$7,1,0),0)</f>
        <v/>
      </c>
      <c r="AT166">
        <f>IF(AND(K166&lt;&gt;"",'Historical Score'!$C$8&lt;&gt;""),IF(K166='Historical Score'!$C$8,1,0),0)</f>
        <v/>
      </c>
      <c r="AU166">
        <f>IF(AND(J166&lt;&gt;"",'Historical Score'!$C$9&lt;&gt;""),IF(J166='Historical Score'!$C$9,1,0),0)</f>
        <v/>
      </c>
      <c r="AV166">
        <f>AR166*AS166*AQ166</f>
        <v/>
      </c>
      <c r="AW166">
        <f>AR166*AT166*AQ166</f>
        <v/>
      </c>
      <c r="AX166">
        <f>AR166*AS166</f>
        <v/>
      </c>
      <c r="AY166">
        <f>AR166*AT166</f>
        <v/>
      </c>
      <c r="AZ166">
        <f>AR166*AQ166</f>
        <v/>
      </c>
      <c r="BA166">
        <f>AR166</f>
        <v/>
      </c>
      <c r="BB166">
        <f>1</f>
        <v/>
      </c>
      <c r="BC166">
        <f>IF(AV166=1,1,IF(AW166=1,2,IF(AX166=1,3,IF(AY166=1,4,IF(AZ166=1,5,IF(BA166=1,6,7))))))</f>
        <v/>
      </c>
      <c r="BD166">
        <f>IF(AD166=1,CHOOSE('Historical Score'!$C$29,AV166,AW166,AX166,AY166,AZ166,BA166,BB166),0)</f>
        <v/>
      </c>
      <c r="BE166">
        <f>IF(BD166=1,COUNTIF($BD$2:BD166,1),"")</f>
        <v/>
      </c>
    </row>
    <row r="167">
      <c r="A167" t="inlineStr">
        <is>
          <t>5674162590</t>
        </is>
      </c>
      <c r="B167" t="inlineStr">
        <is>
          <t>Fast Track Auto Carriers</t>
        </is>
      </c>
      <c r="C167" t="inlineStr">
        <is>
          <t>BEN H WHITEKER</t>
        </is>
      </c>
      <c r="D167" t="inlineStr">
        <is>
          <t>Closed</t>
        </is>
      </c>
      <c r="E167" s="297" t="n">
        <v>45863</v>
      </c>
      <c r="F167" s="297" t="n">
        <v>45915</v>
      </c>
      <c r="G167" t="n">
        <v>1</v>
      </c>
      <c r="H167" t="inlineStr">
        <is>
          <t>7549</t>
        </is>
      </c>
      <c r="I167" t="inlineStr">
        <is>
          <t>75</t>
        </is>
      </c>
      <c r="J167" t="inlineStr">
        <is>
          <t>OK</t>
        </is>
      </c>
      <c r="K167" t="inlineStr">
        <is>
          <t>Premium Capital (AMRK)</t>
        </is>
      </c>
      <c r="L167" t="inlineStr">
        <is>
          <t>New Deal</t>
        </is>
      </c>
      <c r="M167" s="298" t="n">
        <v>1.2</v>
      </c>
      <c r="N167" s="299" t="n">
        <v>40000</v>
      </c>
      <c r="O167" s="299" t="n">
        <v>5200</v>
      </c>
      <c r="P167" s="299" t="n">
        <v>48000</v>
      </c>
      <c r="Q167" s="299" t="n">
        <v>48000</v>
      </c>
      <c r="R167" s="299" t="n">
        <v>0</v>
      </c>
      <c r="S167" s="300" t="n">
        <v>1</v>
      </c>
      <c r="T167" t="n">
        <v>32</v>
      </c>
      <c r="U167" t="n">
        <v>0</v>
      </c>
      <c r="V167" t="n">
        <v>107515.79</v>
      </c>
      <c r="W167" s="300" t="n">
        <v>0.0684</v>
      </c>
      <c r="X167" s="297" t="n"/>
      <c r="Y167">
        <f>IF(I167="","No SIC",IFERROR(VLOOKUP(I167,Ref!$A$2:$B$65,2,FALSE),"Unclassified"))</f>
        <v/>
      </c>
      <c r="Z167">
        <f>IF(T167="","",IF(T167&lt;12,"Daily","Weekly"))</f>
        <v/>
      </c>
      <c r="AA167">
        <f>IF(T167="",0,IF(T167&lt;12,T167*Controls!$B$29,T167*5))</f>
        <v/>
      </c>
      <c r="AB167">
        <f>IF(E167="",0,NETWORKDAYS(E167,Controls!$B$36,Ref!$K$2:$K$42))</f>
        <v/>
      </c>
      <c r="AC167">
        <f>IF(AND(AA167&gt;0,AB167&gt;=Controls!$B$39*AA167),1,0)</f>
        <v/>
      </c>
      <c r="AD167">
        <f>IF(AND(E167&lt;&gt;"",E167&gt;=Controls!$B$37,E167&lt;=Controls!$B$38),1,0)</f>
        <v/>
      </c>
      <c r="AE167">
        <f>IF(IFERROR(VLOOKUP(D167,Controls!$A$64:$E$74,2,FALSE),"No")="Yes",1,0)</f>
        <v/>
      </c>
      <c r="AF167">
        <f>IF(IFERROR(VLOOKUP(D167,Controls!$A$64:$E$74,3,FALSE),"No")="Yes",1,0)</f>
        <v/>
      </c>
      <c r="AG167">
        <f>IF(IFERROR(VLOOKUP(D167,Controls!$A$64:$E$74,4,FALSE),"No")="Yes",1,0)</f>
        <v/>
      </c>
      <c r="AH167">
        <f>IF(IFERROR(VLOOKUP(D167,Controls!$A$64:$E$74,5,FALSE),"No")="Yes",1,0)</f>
        <v/>
      </c>
      <c r="AI167">
        <f>IF(ISNUMBER(MATCH(D167,Controls!$A$64:$A$74,0)),1,0)</f>
        <v/>
      </c>
      <c r="AJ167">
        <f>Q167-N167</f>
        <v/>
      </c>
      <c r="AK167">
        <f>IF(AE167=1,MAX(0,N167-Q167),0)</f>
        <v/>
      </c>
      <c r="AL167">
        <f>IF(OR(V167="",V167=0),0,N167/V167)</f>
        <v/>
      </c>
      <c r="AM167">
        <f>IF(OR(V167="",V167=0),0,1)</f>
        <v/>
      </c>
      <c r="AN167">
        <f>IF(OR(E167="",F167=""),0,NETWORKDAYS(E167,F167,Ref!$K$2:$K$42))</f>
        <v/>
      </c>
      <c r="AO167">
        <f>IF(L167="Renewal",1,0)</f>
        <v/>
      </c>
      <c r="AP167">
        <f>AC167*AD167</f>
        <v/>
      </c>
      <c r="AQ167">
        <f>IF(AND(G167&lt;&gt;"",'Historical Score'!$C$6&lt;&gt;""),IF(G167='Historical Score'!$C$6,1,0),0)</f>
        <v/>
      </c>
      <c r="AR167">
        <f>IF(AND(L167&lt;&gt;"",'Historical Score'!$C$5&lt;&gt;""),IF(L167='Historical Score'!$C$5,1,0),0)</f>
        <v/>
      </c>
      <c r="AS167">
        <f>IF(AND(Y167&lt;&gt;"",'Historical Score'!$C$7&lt;&gt;""),IF(Y167='Historical Score'!$C$7,1,0),0)</f>
        <v/>
      </c>
      <c r="AT167">
        <f>IF(AND(K167&lt;&gt;"",'Historical Score'!$C$8&lt;&gt;""),IF(K167='Historical Score'!$C$8,1,0),0)</f>
        <v/>
      </c>
      <c r="AU167">
        <f>IF(AND(J167&lt;&gt;"",'Historical Score'!$C$9&lt;&gt;""),IF(J167='Historical Score'!$C$9,1,0),0)</f>
        <v/>
      </c>
      <c r="AV167">
        <f>AR167*AS167*AQ167</f>
        <v/>
      </c>
      <c r="AW167">
        <f>AR167*AT167*AQ167</f>
        <v/>
      </c>
      <c r="AX167">
        <f>AR167*AS167</f>
        <v/>
      </c>
      <c r="AY167">
        <f>AR167*AT167</f>
        <v/>
      </c>
      <c r="AZ167">
        <f>AR167*AQ167</f>
        <v/>
      </c>
      <c r="BA167">
        <f>AR167</f>
        <v/>
      </c>
      <c r="BB167">
        <f>1</f>
        <v/>
      </c>
      <c r="BC167">
        <f>IF(AV167=1,1,IF(AW167=1,2,IF(AX167=1,3,IF(AY167=1,4,IF(AZ167=1,5,IF(BA167=1,6,7))))))</f>
        <v/>
      </c>
      <c r="BD167">
        <f>IF(AD167=1,CHOOSE('Historical Score'!$C$29,AV167,AW167,AX167,AY167,AZ167,BA167,BB167),0)</f>
        <v/>
      </c>
      <c r="BE167">
        <f>IF(BD167=1,COUNTIF($BD$2:BD167,1),"")</f>
        <v/>
      </c>
    </row>
    <row r="168">
      <c r="A168" t="inlineStr">
        <is>
          <t>5674162596</t>
        </is>
      </c>
      <c r="B168" t="inlineStr">
        <is>
          <t>Malibu's Burgers</t>
        </is>
      </c>
      <c r="C168" t="inlineStr">
        <is>
          <t>Kesos LLC</t>
        </is>
      </c>
      <c r="D168" t="inlineStr">
        <is>
          <t>Legal</t>
        </is>
      </c>
      <c r="E168" s="297" t="n">
        <v>45863</v>
      </c>
      <c r="F168" s="297" t="n">
        <v>45870</v>
      </c>
      <c r="G168" t="n">
        <v>3</v>
      </c>
      <c r="H168" t="inlineStr">
        <is>
          <t>5812</t>
        </is>
      </c>
      <c r="I168" t="inlineStr">
        <is>
          <t>58</t>
        </is>
      </c>
      <c r="J168" t="inlineStr">
        <is>
          <t>CA</t>
        </is>
      </c>
      <c r="K168" t="inlineStr">
        <is>
          <t>American Funding Association 1</t>
        </is>
      </c>
      <c r="L168" t="inlineStr">
        <is>
          <t>New Deal</t>
        </is>
      </c>
      <c r="M168" s="298" t="n">
        <v>1.5</v>
      </c>
      <c r="N168" s="299" t="n">
        <v>6000</v>
      </c>
      <c r="O168" s="299" t="n">
        <v>720</v>
      </c>
      <c r="P168" s="299" t="n">
        <v>9000</v>
      </c>
      <c r="Q168" s="299" t="n">
        <v>223.6</v>
      </c>
      <c r="R168" s="299" t="n">
        <v>8776.4</v>
      </c>
      <c r="S168" s="300" t="n">
        <v>0.0248444444444444</v>
      </c>
      <c r="T168" t="n">
        <v>2.623</v>
      </c>
      <c r="U168" t="n">
        <v>3</v>
      </c>
      <c r="V168" t="n">
        <v>33588.2</v>
      </c>
      <c r="W168" s="300" t="n">
        <v>0.0699</v>
      </c>
      <c r="X168" s="297" t="n">
        <v>44245</v>
      </c>
      <c r="Y168">
        <f>IF(I168="","No SIC",IFERROR(VLOOKUP(I168,Ref!$A$2:$B$65,2,FALSE),"Unclassified"))</f>
        <v/>
      </c>
      <c r="Z168">
        <f>IF(T168="","",IF(T168&lt;12,"Daily","Weekly"))</f>
        <v/>
      </c>
      <c r="AA168">
        <f>IF(T168="",0,IF(T168&lt;12,T168*Controls!$B$29,T168*5))</f>
        <v/>
      </c>
      <c r="AB168">
        <f>IF(E168="",0,NETWORKDAYS(E168,Controls!$B$36,Ref!$K$2:$K$42))</f>
        <v/>
      </c>
      <c r="AC168">
        <f>IF(AND(AA168&gt;0,AB168&gt;=Controls!$B$39*AA168),1,0)</f>
        <v/>
      </c>
      <c r="AD168">
        <f>IF(AND(E168&lt;&gt;"",E168&gt;=Controls!$B$37,E168&lt;=Controls!$B$38),1,0)</f>
        <v/>
      </c>
      <c r="AE168">
        <f>IF(IFERROR(VLOOKUP(D168,Controls!$A$64:$E$74,2,FALSE),"No")="Yes",1,0)</f>
        <v/>
      </c>
      <c r="AF168">
        <f>IF(IFERROR(VLOOKUP(D168,Controls!$A$64:$E$74,3,FALSE),"No")="Yes",1,0)</f>
        <v/>
      </c>
      <c r="AG168">
        <f>IF(IFERROR(VLOOKUP(D168,Controls!$A$64:$E$74,4,FALSE),"No")="Yes",1,0)</f>
        <v/>
      </c>
      <c r="AH168">
        <f>IF(IFERROR(VLOOKUP(D168,Controls!$A$64:$E$74,5,FALSE),"No")="Yes",1,0)</f>
        <v/>
      </c>
      <c r="AI168">
        <f>IF(ISNUMBER(MATCH(D168,Controls!$A$64:$A$74,0)),1,0)</f>
        <v/>
      </c>
      <c r="AJ168">
        <f>Q168-N168</f>
        <v/>
      </c>
      <c r="AK168">
        <f>IF(AE168=1,MAX(0,N168-Q168),0)</f>
        <v/>
      </c>
      <c r="AL168">
        <f>IF(OR(V168="",V168=0),0,N168/V168)</f>
        <v/>
      </c>
      <c r="AM168">
        <f>IF(OR(V168="",V168=0),0,1)</f>
        <v/>
      </c>
      <c r="AN168">
        <f>IF(OR(E168="",F168=""),0,NETWORKDAYS(E168,F168,Ref!$K$2:$K$42))</f>
        <v/>
      </c>
      <c r="AO168">
        <f>IF(L168="Renewal",1,0)</f>
        <v/>
      </c>
      <c r="AP168">
        <f>AC168*AD168</f>
        <v/>
      </c>
      <c r="AQ168">
        <f>IF(AND(G168&lt;&gt;"",'Historical Score'!$C$6&lt;&gt;""),IF(G168='Historical Score'!$C$6,1,0),0)</f>
        <v/>
      </c>
      <c r="AR168">
        <f>IF(AND(L168&lt;&gt;"",'Historical Score'!$C$5&lt;&gt;""),IF(L168='Historical Score'!$C$5,1,0),0)</f>
        <v/>
      </c>
      <c r="AS168">
        <f>IF(AND(Y168&lt;&gt;"",'Historical Score'!$C$7&lt;&gt;""),IF(Y168='Historical Score'!$C$7,1,0),0)</f>
        <v/>
      </c>
      <c r="AT168">
        <f>IF(AND(K168&lt;&gt;"",'Historical Score'!$C$8&lt;&gt;""),IF(K168='Historical Score'!$C$8,1,0),0)</f>
        <v/>
      </c>
      <c r="AU168">
        <f>IF(AND(J168&lt;&gt;"",'Historical Score'!$C$9&lt;&gt;""),IF(J168='Historical Score'!$C$9,1,0),0)</f>
        <v/>
      </c>
      <c r="AV168">
        <f>AR168*AS168*AQ168</f>
        <v/>
      </c>
      <c r="AW168">
        <f>AR168*AT168*AQ168</f>
        <v/>
      </c>
      <c r="AX168">
        <f>AR168*AS168</f>
        <v/>
      </c>
      <c r="AY168">
        <f>AR168*AT168</f>
        <v/>
      </c>
      <c r="AZ168">
        <f>AR168*AQ168</f>
        <v/>
      </c>
      <c r="BA168">
        <f>AR168</f>
        <v/>
      </c>
      <c r="BB168">
        <f>1</f>
        <v/>
      </c>
      <c r="BC168">
        <f>IF(AV168=1,1,IF(AW168=1,2,IF(AX168=1,3,IF(AY168=1,4,IF(AZ168=1,5,IF(BA168=1,6,7))))))</f>
        <v/>
      </c>
      <c r="BD168">
        <f>IF(AD168=1,CHOOSE('Historical Score'!$C$29,AV168,AW168,AX168,AY168,AZ168,BA168,BB168),0)</f>
        <v/>
      </c>
      <c r="BE168">
        <f>IF(BD168=1,COUNTIF($BD$2:BD168,1),"")</f>
        <v/>
      </c>
    </row>
    <row r="169">
      <c r="A169" t="inlineStr">
        <is>
          <t>5674162609</t>
        </is>
      </c>
      <c r="B169" t="inlineStr">
        <is>
          <t>Ribeiro General Construction Corp</t>
        </is>
      </c>
      <c r="C169" t="inlineStr">
        <is>
          <t>Ribeiro General Construction Corp</t>
        </is>
      </c>
      <c r="D169" t="inlineStr">
        <is>
          <t>Closed</t>
        </is>
      </c>
      <c r="E169" s="297" t="n">
        <v>45863</v>
      </c>
      <c r="F169" s="297" t="n">
        <v>45966</v>
      </c>
      <c r="G169" t="n">
        <v>2</v>
      </c>
      <c r="H169" t="inlineStr">
        <is>
          <t>1521</t>
        </is>
      </c>
      <c r="I169" t="inlineStr">
        <is>
          <t>15</t>
        </is>
      </c>
      <c r="J169" t="inlineStr">
        <is>
          <t>MA</t>
        </is>
      </c>
      <c r="K169" t="inlineStr">
        <is>
          <t>NY Tribeca Group</t>
        </is>
      </c>
      <c r="L169" t="inlineStr">
        <is>
          <t>New Deal</t>
        </is>
      </c>
      <c r="M169" s="298" t="n">
        <v>1.35</v>
      </c>
      <c r="N169" s="299" t="n">
        <v>10000</v>
      </c>
      <c r="O169" s="299" t="n">
        <v>700</v>
      </c>
      <c r="P169" s="299" t="n">
        <v>13500</v>
      </c>
      <c r="Q169" s="299" t="n">
        <v>13500</v>
      </c>
      <c r="R169" s="299" t="n">
        <v>0</v>
      </c>
      <c r="S169" s="300" t="n">
        <v>1</v>
      </c>
      <c r="T169" t="n">
        <v>1.967</v>
      </c>
      <c r="U169" t="n">
        <v>12</v>
      </c>
      <c r="V169" t="n">
        <v>75630.53999999999</v>
      </c>
      <c r="W169" s="300" t="n">
        <v>0.0625</v>
      </c>
      <c r="X169" s="297" t="n">
        <v>43314</v>
      </c>
      <c r="Y169">
        <f>IF(I169="","No SIC",IFERROR(VLOOKUP(I169,Ref!$A$2:$B$65,2,FALSE),"Unclassified"))</f>
        <v/>
      </c>
      <c r="Z169">
        <f>IF(T169="","",IF(T169&lt;12,"Daily","Weekly"))</f>
        <v/>
      </c>
      <c r="AA169">
        <f>IF(T169="",0,IF(T169&lt;12,T169*Controls!$B$29,T169*5))</f>
        <v/>
      </c>
      <c r="AB169">
        <f>IF(E169="",0,NETWORKDAYS(E169,Controls!$B$36,Ref!$K$2:$K$42))</f>
        <v/>
      </c>
      <c r="AC169">
        <f>IF(AND(AA169&gt;0,AB169&gt;=Controls!$B$39*AA169),1,0)</f>
        <v/>
      </c>
      <c r="AD169">
        <f>IF(AND(E169&lt;&gt;"",E169&gt;=Controls!$B$37,E169&lt;=Controls!$B$38),1,0)</f>
        <v/>
      </c>
      <c r="AE169">
        <f>IF(IFERROR(VLOOKUP(D169,Controls!$A$64:$E$74,2,FALSE),"No")="Yes",1,0)</f>
        <v/>
      </c>
      <c r="AF169">
        <f>IF(IFERROR(VLOOKUP(D169,Controls!$A$64:$E$74,3,FALSE),"No")="Yes",1,0)</f>
        <v/>
      </c>
      <c r="AG169">
        <f>IF(IFERROR(VLOOKUP(D169,Controls!$A$64:$E$74,4,FALSE),"No")="Yes",1,0)</f>
        <v/>
      </c>
      <c r="AH169">
        <f>IF(IFERROR(VLOOKUP(D169,Controls!$A$64:$E$74,5,FALSE),"No")="Yes",1,0)</f>
        <v/>
      </c>
      <c r="AI169">
        <f>IF(ISNUMBER(MATCH(D169,Controls!$A$64:$A$74,0)),1,0)</f>
        <v/>
      </c>
      <c r="AJ169">
        <f>Q169-N169</f>
        <v/>
      </c>
      <c r="AK169">
        <f>IF(AE169=1,MAX(0,N169-Q169),0)</f>
        <v/>
      </c>
      <c r="AL169">
        <f>IF(OR(V169="",V169=0),0,N169/V169)</f>
        <v/>
      </c>
      <c r="AM169">
        <f>IF(OR(V169="",V169=0),0,1)</f>
        <v/>
      </c>
      <c r="AN169">
        <f>IF(OR(E169="",F169=""),0,NETWORKDAYS(E169,F169,Ref!$K$2:$K$42))</f>
        <v/>
      </c>
      <c r="AO169">
        <f>IF(L169="Renewal",1,0)</f>
        <v/>
      </c>
      <c r="AP169">
        <f>AC169*AD169</f>
        <v/>
      </c>
      <c r="AQ169">
        <f>IF(AND(G169&lt;&gt;"",'Historical Score'!$C$6&lt;&gt;""),IF(G169='Historical Score'!$C$6,1,0),0)</f>
        <v/>
      </c>
      <c r="AR169">
        <f>IF(AND(L169&lt;&gt;"",'Historical Score'!$C$5&lt;&gt;""),IF(L169='Historical Score'!$C$5,1,0),0)</f>
        <v/>
      </c>
      <c r="AS169">
        <f>IF(AND(Y169&lt;&gt;"",'Historical Score'!$C$7&lt;&gt;""),IF(Y169='Historical Score'!$C$7,1,0),0)</f>
        <v/>
      </c>
      <c r="AT169">
        <f>IF(AND(K169&lt;&gt;"",'Historical Score'!$C$8&lt;&gt;""),IF(K169='Historical Score'!$C$8,1,0),0)</f>
        <v/>
      </c>
      <c r="AU169">
        <f>IF(AND(J169&lt;&gt;"",'Historical Score'!$C$9&lt;&gt;""),IF(J169='Historical Score'!$C$9,1,0),0)</f>
        <v/>
      </c>
      <c r="AV169">
        <f>AR169*AS169*AQ169</f>
        <v/>
      </c>
      <c r="AW169">
        <f>AR169*AT169*AQ169</f>
        <v/>
      </c>
      <c r="AX169">
        <f>AR169*AS169</f>
        <v/>
      </c>
      <c r="AY169">
        <f>AR169*AT169</f>
        <v/>
      </c>
      <c r="AZ169">
        <f>AR169*AQ169</f>
        <v/>
      </c>
      <c r="BA169">
        <f>AR169</f>
        <v/>
      </c>
      <c r="BB169">
        <f>1</f>
        <v/>
      </c>
      <c r="BC169">
        <f>IF(AV169=1,1,IF(AW169=1,2,IF(AX169=1,3,IF(AY169=1,4,IF(AZ169=1,5,IF(BA169=1,6,7))))))</f>
        <v/>
      </c>
      <c r="BD169">
        <f>IF(AD169=1,CHOOSE('Historical Score'!$C$29,AV169,AW169,AX169,AY169,AZ169,BA169,BB169),0)</f>
        <v/>
      </c>
      <c r="BE169">
        <f>IF(BD169=1,COUNTIF($BD$2:BD169,1),"")</f>
        <v/>
      </c>
    </row>
    <row r="170">
      <c r="A170" t="inlineStr">
        <is>
          <t>5674162669</t>
        </is>
      </c>
      <c r="B170" t="inlineStr">
        <is>
          <t>TAQUERIA Y ANTOJITOS EL GUANACO LLC</t>
        </is>
      </c>
      <c r="C170" t="inlineStr">
        <is>
          <t>TAQUERIA Y ANTOJITOS EL GUANACO LLC</t>
        </is>
      </c>
      <c r="D170" t="inlineStr">
        <is>
          <t>Closed</t>
        </is>
      </c>
      <c r="E170" s="297" t="n">
        <v>45866</v>
      </c>
      <c r="F170" s="297" t="n">
        <v>45989</v>
      </c>
      <c r="G170" t="n">
        <v>7</v>
      </c>
      <c r="H170" t="inlineStr">
        <is>
          <t>5812</t>
        </is>
      </c>
      <c r="I170" t="inlineStr">
        <is>
          <t>58</t>
        </is>
      </c>
      <c r="J170" t="inlineStr">
        <is>
          <t>FL</t>
        </is>
      </c>
      <c r="K170" t="inlineStr">
        <is>
          <t>PMF</t>
        </is>
      </c>
      <c r="L170" t="inlineStr">
        <is>
          <t>Renewal</t>
        </is>
      </c>
      <c r="M170" s="298" t="n">
        <v>1.49</v>
      </c>
      <c r="N170" s="299" t="n">
        <v>35000</v>
      </c>
      <c r="O170" s="299" t="n">
        <v>4900</v>
      </c>
      <c r="P170" s="299" t="n">
        <v>52150</v>
      </c>
      <c r="Q170" s="299" t="n">
        <v>52150</v>
      </c>
      <c r="R170" s="299" t="n">
        <v>0</v>
      </c>
      <c r="S170" s="300" t="n">
        <v>1</v>
      </c>
      <c r="T170" t="n">
        <v>3.934</v>
      </c>
      <c r="U170" t="n">
        <v>9</v>
      </c>
      <c r="V170" t="n">
        <v>138520.32</v>
      </c>
      <c r="W170" s="300" t="n">
        <v>0.0659</v>
      </c>
      <c r="X170" s="297" t="n">
        <v>42430</v>
      </c>
      <c r="Y170">
        <f>IF(I170="","No SIC",IFERROR(VLOOKUP(I170,Ref!$A$2:$B$65,2,FALSE),"Unclassified"))</f>
        <v/>
      </c>
      <c r="Z170">
        <f>IF(T170="","",IF(T170&lt;12,"Daily","Weekly"))</f>
        <v/>
      </c>
      <c r="AA170">
        <f>IF(T170="",0,IF(T170&lt;12,T170*Controls!$B$29,T170*5))</f>
        <v/>
      </c>
      <c r="AB170">
        <f>IF(E170="",0,NETWORKDAYS(E170,Controls!$B$36,Ref!$K$2:$K$42))</f>
        <v/>
      </c>
      <c r="AC170">
        <f>IF(AND(AA170&gt;0,AB170&gt;=Controls!$B$39*AA170),1,0)</f>
        <v/>
      </c>
      <c r="AD170">
        <f>IF(AND(E170&lt;&gt;"",E170&gt;=Controls!$B$37,E170&lt;=Controls!$B$38),1,0)</f>
        <v/>
      </c>
      <c r="AE170">
        <f>IF(IFERROR(VLOOKUP(D170,Controls!$A$64:$E$74,2,FALSE),"No")="Yes",1,0)</f>
        <v/>
      </c>
      <c r="AF170">
        <f>IF(IFERROR(VLOOKUP(D170,Controls!$A$64:$E$74,3,FALSE),"No")="Yes",1,0)</f>
        <v/>
      </c>
      <c r="AG170">
        <f>IF(IFERROR(VLOOKUP(D170,Controls!$A$64:$E$74,4,FALSE),"No")="Yes",1,0)</f>
        <v/>
      </c>
      <c r="AH170">
        <f>IF(IFERROR(VLOOKUP(D170,Controls!$A$64:$E$74,5,FALSE),"No")="Yes",1,0)</f>
        <v/>
      </c>
      <c r="AI170">
        <f>IF(ISNUMBER(MATCH(D170,Controls!$A$64:$A$74,0)),1,0)</f>
        <v/>
      </c>
      <c r="AJ170">
        <f>Q170-N170</f>
        <v/>
      </c>
      <c r="AK170">
        <f>IF(AE170=1,MAX(0,N170-Q170),0)</f>
        <v/>
      </c>
      <c r="AL170">
        <f>IF(OR(V170="",V170=0),0,N170/V170)</f>
        <v/>
      </c>
      <c r="AM170">
        <f>IF(OR(V170="",V170=0),0,1)</f>
        <v/>
      </c>
      <c r="AN170">
        <f>IF(OR(E170="",F170=""),0,NETWORKDAYS(E170,F170,Ref!$K$2:$K$42))</f>
        <v/>
      </c>
      <c r="AO170">
        <f>IF(L170="Renewal",1,0)</f>
        <v/>
      </c>
      <c r="AP170">
        <f>AC170*AD170</f>
        <v/>
      </c>
      <c r="AQ170">
        <f>IF(AND(G170&lt;&gt;"",'Historical Score'!$C$6&lt;&gt;""),IF(G170='Historical Score'!$C$6,1,0),0)</f>
        <v/>
      </c>
      <c r="AR170">
        <f>IF(AND(L170&lt;&gt;"",'Historical Score'!$C$5&lt;&gt;""),IF(L170='Historical Score'!$C$5,1,0),0)</f>
        <v/>
      </c>
      <c r="AS170">
        <f>IF(AND(Y170&lt;&gt;"",'Historical Score'!$C$7&lt;&gt;""),IF(Y170='Historical Score'!$C$7,1,0),0)</f>
        <v/>
      </c>
      <c r="AT170">
        <f>IF(AND(K170&lt;&gt;"",'Historical Score'!$C$8&lt;&gt;""),IF(K170='Historical Score'!$C$8,1,0),0)</f>
        <v/>
      </c>
      <c r="AU170">
        <f>IF(AND(J170&lt;&gt;"",'Historical Score'!$C$9&lt;&gt;""),IF(J170='Historical Score'!$C$9,1,0),0)</f>
        <v/>
      </c>
      <c r="AV170">
        <f>AR170*AS170*AQ170</f>
        <v/>
      </c>
      <c r="AW170">
        <f>AR170*AT170*AQ170</f>
        <v/>
      </c>
      <c r="AX170">
        <f>AR170*AS170</f>
        <v/>
      </c>
      <c r="AY170">
        <f>AR170*AT170</f>
        <v/>
      </c>
      <c r="AZ170">
        <f>AR170*AQ170</f>
        <v/>
      </c>
      <c r="BA170">
        <f>AR170</f>
        <v/>
      </c>
      <c r="BB170">
        <f>1</f>
        <v/>
      </c>
      <c r="BC170">
        <f>IF(AV170=1,1,IF(AW170=1,2,IF(AX170=1,3,IF(AY170=1,4,IF(AZ170=1,5,IF(BA170=1,6,7))))))</f>
        <v/>
      </c>
      <c r="BD170">
        <f>IF(AD170=1,CHOOSE('Historical Score'!$C$29,AV170,AW170,AX170,AY170,AZ170,BA170,BB170),0)</f>
        <v/>
      </c>
      <c r="BE170">
        <f>IF(BD170=1,COUNTIF($BD$2:BD170,1),"")</f>
        <v/>
      </c>
    </row>
    <row r="171">
      <c r="A171" t="inlineStr">
        <is>
          <t>5674162670</t>
        </is>
      </c>
      <c r="B171" t="inlineStr">
        <is>
          <t>Panther De Luxe Shop</t>
        </is>
      </c>
      <c r="C171" t="inlineStr">
        <is>
          <t>Panther De Luxe Shop</t>
        </is>
      </c>
      <c r="D171" t="inlineStr">
        <is>
          <t>Bankruptcy</t>
        </is>
      </c>
      <c r="E171" s="297" t="n">
        <v>45866</v>
      </c>
      <c r="F171" s="297" t="n">
        <v>46157</v>
      </c>
      <c r="G171" t="n">
        <v>5</v>
      </c>
      <c r="H171" t="inlineStr">
        <is>
          <t>5999</t>
        </is>
      </c>
      <c r="I171" t="inlineStr">
        <is>
          <t>59</t>
        </is>
      </c>
      <c r="J171" t="inlineStr">
        <is>
          <t>NJ</t>
        </is>
      </c>
      <c r="K171" t="inlineStr">
        <is>
          <t>United Secured Capital 8</t>
        </is>
      </c>
      <c r="L171" t="inlineStr">
        <is>
          <t>New Deal</t>
        </is>
      </c>
      <c r="M171" s="298" t="n">
        <v>1.499</v>
      </c>
      <c r="N171" s="299" t="n">
        <v>10000</v>
      </c>
      <c r="O171" s="299" t="n">
        <v>1400</v>
      </c>
      <c r="P171" s="299" t="n">
        <v>14990</v>
      </c>
      <c r="Q171" s="299" t="n">
        <v>6735.07</v>
      </c>
      <c r="R171" s="299" t="n">
        <v>8254.93</v>
      </c>
      <c r="S171" s="300" t="n">
        <v>0.449304202801868</v>
      </c>
      <c r="T171" t="n">
        <v>1.803</v>
      </c>
      <c r="U171" t="n">
        <v>47</v>
      </c>
      <c r="V171" t="n">
        <v>63523.89</v>
      </c>
      <c r="W171" s="300" t="n">
        <v>0.0896</v>
      </c>
      <c r="X171" s="297" t="n">
        <v>44609</v>
      </c>
      <c r="Y171">
        <f>IF(I171="","No SIC",IFERROR(VLOOKUP(I171,Ref!$A$2:$B$65,2,FALSE),"Unclassified"))</f>
        <v/>
      </c>
      <c r="Z171">
        <f>IF(T171="","",IF(T171&lt;12,"Daily","Weekly"))</f>
        <v/>
      </c>
      <c r="AA171">
        <f>IF(T171="",0,IF(T171&lt;12,T171*Controls!$B$29,T171*5))</f>
        <v/>
      </c>
      <c r="AB171">
        <f>IF(E171="",0,NETWORKDAYS(E171,Controls!$B$36,Ref!$K$2:$K$42))</f>
        <v/>
      </c>
      <c r="AC171">
        <f>IF(AND(AA171&gt;0,AB171&gt;=Controls!$B$39*AA171),1,0)</f>
        <v/>
      </c>
      <c r="AD171">
        <f>IF(AND(E171&lt;&gt;"",E171&gt;=Controls!$B$37,E171&lt;=Controls!$B$38),1,0)</f>
        <v/>
      </c>
      <c r="AE171">
        <f>IF(IFERROR(VLOOKUP(D171,Controls!$A$64:$E$74,2,FALSE),"No")="Yes",1,0)</f>
        <v/>
      </c>
      <c r="AF171">
        <f>IF(IFERROR(VLOOKUP(D171,Controls!$A$64:$E$74,3,FALSE),"No")="Yes",1,0)</f>
        <v/>
      </c>
      <c r="AG171">
        <f>IF(IFERROR(VLOOKUP(D171,Controls!$A$64:$E$74,4,FALSE),"No")="Yes",1,0)</f>
        <v/>
      </c>
      <c r="AH171">
        <f>IF(IFERROR(VLOOKUP(D171,Controls!$A$64:$E$74,5,FALSE),"No")="Yes",1,0)</f>
        <v/>
      </c>
      <c r="AI171">
        <f>IF(ISNUMBER(MATCH(D171,Controls!$A$64:$A$74,0)),1,0)</f>
        <v/>
      </c>
      <c r="AJ171">
        <f>Q171-N171</f>
        <v/>
      </c>
      <c r="AK171">
        <f>IF(AE171=1,MAX(0,N171-Q171),0)</f>
        <v/>
      </c>
      <c r="AL171">
        <f>IF(OR(V171="",V171=0),0,N171/V171)</f>
        <v/>
      </c>
      <c r="AM171">
        <f>IF(OR(V171="",V171=0),0,1)</f>
        <v/>
      </c>
      <c r="AN171">
        <f>IF(OR(E171="",F171=""),0,NETWORKDAYS(E171,F171,Ref!$K$2:$K$42))</f>
        <v/>
      </c>
      <c r="AO171">
        <f>IF(L171="Renewal",1,0)</f>
        <v/>
      </c>
      <c r="AP171">
        <f>AC171*AD171</f>
        <v/>
      </c>
      <c r="AQ171">
        <f>IF(AND(G171&lt;&gt;"",'Historical Score'!$C$6&lt;&gt;""),IF(G171='Historical Score'!$C$6,1,0),0)</f>
        <v/>
      </c>
      <c r="AR171">
        <f>IF(AND(L171&lt;&gt;"",'Historical Score'!$C$5&lt;&gt;""),IF(L171='Historical Score'!$C$5,1,0),0)</f>
        <v/>
      </c>
      <c r="AS171">
        <f>IF(AND(Y171&lt;&gt;"",'Historical Score'!$C$7&lt;&gt;""),IF(Y171='Historical Score'!$C$7,1,0),0)</f>
        <v/>
      </c>
      <c r="AT171">
        <f>IF(AND(K171&lt;&gt;"",'Historical Score'!$C$8&lt;&gt;""),IF(K171='Historical Score'!$C$8,1,0),0)</f>
        <v/>
      </c>
      <c r="AU171">
        <f>IF(AND(J171&lt;&gt;"",'Historical Score'!$C$9&lt;&gt;""),IF(J171='Historical Score'!$C$9,1,0),0)</f>
        <v/>
      </c>
      <c r="AV171">
        <f>AR171*AS171*AQ171</f>
        <v/>
      </c>
      <c r="AW171">
        <f>AR171*AT171*AQ171</f>
        <v/>
      </c>
      <c r="AX171">
        <f>AR171*AS171</f>
        <v/>
      </c>
      <c r="AY171">
        <f>AR171*AT171</f>
        <v/>
      </c>
      <c r="AZ171">
        <f>AR171*AQ171</f>
        <v/>
      </c>
      <c r="BA171">
        <f>AR171</f>
        <v/>
      </c>
      <c r="BB171">
        <f>1</f>
        <v/>
      </c>
      <c r="BC171">
        <f>IF(AV171=1,1,IF(AW171=1,2,IF(AX171=1,3,IF(AY171=1,4,IF(AZ171=1,5,IF(BA171=1,6,7))))))</f>
        <v/>
      </c>
      <c r="BD171">
        <f>IF(AD171=1,CHOOSE('Historical Score'!$C$29,AV171,AW171,AX171,AY171,AZ171,BA171,BB171),0)</f>
        <v/>
      </c>
      <c r="BE171">
        <f>IF(BD171=1,COUNTIF($BD$2:BD171,1),"")</f>
        <v/>
      </c>
    </row>
    <row r="172">
      <c r="A172" t="inlineStr">
        <is>
          <t>5674162694</t>
        </is>
      </c>
      <c r="B172" t="inlineStr">
        <is>
          <t>Pecos discount liquor</t>
        </is>
      </c>
      <c r="C172" t="inlineStr">
        <is>
          <t>Harleen LLC</t>
        </is>
      </c>
      <c r="D172" t="inlineStr">
        <is>
          <t>Lowered Payments</t>
        </is>
      </c>
      <c r="E172" s="297" t="n">
        <v>45866</v>
      </c>
      <c r="F172" s="297" t="n">
        <v>46164</v>
      </c>
      <c r="G172" t="n">
        <v>2</v>
      </c>
      <c r="H172" t="inlineStr">
        <is>
          <t>5921</t>
        </is>
      </c>
      <c r="I172" t="inlineStr">
        <is>
          <t>59</t>
        </is>
      </c>
      <c r="J172" t="inlineStr">
        <is>
          <t>CO</t>
        </is>
      </c>
      <c r="K172" t="inlineStr">
        <is>
          <t>Fundwell</t>
        </is>
      </c>
      <c r="L172" t="inlineStr">
        <is>
          <t>New Deal</t>
        </is>
      </c>
      <c r="M172" s="298" t="n">
        <v>1.4</v>
      </c>
      <c r="N172" s="299" t="n">
        <v>40000</v>
      </c>
      <c r="O172" s="299" t="n">
        <v>5200</v>
      </c>
      <c r="P172" s="299" t="n">
        <v>56000</v>
      </c>
      <c r="Q172" s="299" t="n">
        <v>28892.36</v>
      </c>
      <c r="R172" s="299" t="n">
        <v>27107.64</v>
      </c>
      <c r="S172" s="300" t="n">
        <v>0.515935</v>
      </c>
      <c r="T172" t="n">
        <v>44</v>
      </c>
      <c r="U172" t="n">
        <v>3</v>
      </c>
      <c r="V172" t="n">
        <v>67381.39999999999</v>
      </c>
      <c r="W172" s="300" t="n">
        <v>0.0756</v>
      </c>
      <c r="X172" s="297" t="n">
        <v>44479</v>
      </c>
      <c r="Y172">
        <f>IF(I172="","No SIC",IFERROR(VLOOKUP(I172,Ref!$A$2:$B$65,2,FALSE),"Unclassified"))</f>
        <v/>
      </c>
      <c r="Z172">
        <f>IF(T172="","",IF(T172&lt;12,"Daily","Weekly"))</f>
        <v/>
      </c>
      <c r="AA172">
        <f>IF(T172="",0,IF(T172&lt;12,T172*Controls!$B$29,T172*5))</f>
        <v/>
      </c>
      <c r="AB172">
        <f>IF(E172="",0,NETWORKDAYS(E172,Controls!$B$36,Ref!$K$2:$K$42))</f>
        <v/>
      </c>
      <c r="AC172">
        <f>IF(AND(AA172&gt;0,AB172&gt;=Controls!$B$39*AA172),1,0)</f>
        <v/>
      </c>
      <c r="AD172">
        <f>IF(AND(E172&lt;&gt;"",E172&gt;=Controls!$B$37,E172&lt;=Controls!$B$38),1,0)</f>
        <v/>
      </c>
      <c r="AE172">
        <f>IF(IFERROR(VLOOKUP(D172,Controls!$A$64:$E$74,2,FALSE),"No")="Yes",1,0)</f>
        <v/>
      </c>
      <c r="AF172">
        <f>IF(IFERROR(VLOOKUP(D172,Controls!$A$64:$E$74,3,FALSE),"No")="Yes",1,0)</f>
        <v/>
      </c>
      <c r="AG172">
        <f>IF(IFERROR(VLOOKUP(D172,Controls!$A$64:$E$74,4,FALSE),"No")="Yes",1,0)</f>
        <v/>
      </c>
      <c r="AH172">
        <f>IF(IFERROR(VLOOKUP(D172,Controls!$A$64:$E$74,5,FALSE),"No")="Yes",1,0)</f>
        <v/>
      </c>
      <c r="AI172">
        <f>IF(ISNUMBER(MATCH(D172,Controls!$A$64:$A$74,0)),1,0)</f>
        <v/>
      </c>
      <c r="AJ172">
        <f>Q172-N172</f>
        <v/>
      </c>
      <c r="AK172">
        <f>IF(AE172=1,MAX(0,N172-Q172),0)</f>
        <v/>
      </c>
      <c r="AL172">
        <f>IF(OR(V172="",V172=0),0,N172/V172)</f>
        <v/>
      </c>
      <c r="AM172">
        <f>IF(OR(V172="",V172=0),0,1)</f>
        <v/>
      </c>
      <c r="AN172">
        <f>IF(OR(E172="",F172=""),0,NETWORKDAYS(E172,F172,Ref!$K$2:$K$42))</f>
        <v/>
      </c>
      <c r="AO172">
        <f>IF(L172="Renewal",1,0)</f>
        <v/>
      </c>
      <c r="AP172">
        <f>AC172*AD172</f>
        <v/>
      </c>
      <c r="AQ172">
        <f>IF(AND(G172&lt;&gt;"",'Historical Score'!$C$6&lt;&gt;""),IF(G172='Historical Score'!$C$6,1,0),0)</f>
        <v/>
      </c>
      <c r="AR172">
        <f>IF(AND(L172&lt;&gt;"",'Historical Score'!$C$5&lt;&gt;""),IF(L172='Historical Score'!$C$5,1,0),0)</f>
        <v/>
      </c>
      <c r="AS172">
        <f>IF(AND(Y172&lt;&gt;"",'Historical Score'!$C$7&lt;&gt;""),IF(Y172='Historical Score'!$C$7,1,0),0)</f>
        <v/>
      </c>
      <c r="AT172">
        <f>IF(AND(K172&lt;&gt;"",'Historical Score'!$C$8&lt;&gt;""),IF(K172='Historical Score'!$C$8,1,0),0)</f>
        <v/>
      </c>
      <c r="AU172">
        <f>IF(AND(J172&lt;&gt;"",'Historical Score'!$C$9&lt;&gt;""),IF(J172='Historical Score'!$C$9,1,0),0)</f>
        <v/>
      </c>
      <c r="AV172">
        <f>AR172*AS172*AQ172</f>
        <v/>
      </c>
      <c r="AW172">
        <f>AR172*AT172*AQ172</f>
        <v/>
      </c>
      <c r="AX172">
        <f>AR172*AS172</f>
        <v/>
      </c>
      <c r="AY172">
        <f>AR172*AT172</f>
        <v/>
      </c>
      <c r="AZ172">
        <f>AR172*AQ172</f>
        <v/>
      </c>
      <c r="BA172">
        <f>AR172</f>
        <v/>
      </c>
      <c r="BB172">
        <f>1</f>
        <v/>
      </c>
      <c r="BC172">
        <f>IF(AV172=1,1,IF(AW172=1,2,IF(AX172=1,3,IF(AY172=1,4,IF(AZ172=1,5,IF(BA172=1,6,7))))))</f>
        <v/>
      </c>
      <c r="BD172">
        <f>IF(AD172=1,CHOOSE('Historical Score'!$C$29,AV172,AW172,AX172,AY172,AZ172,BA172,BB172),0)</f>
        <v/>
      </c>
      <c r="BE172">
        <f>IF(BD172=1,COUNTIF($BD$2:BD172,1),"")</f>
        <v/>
      </c>
    </row>
    <row r="173">
      <c r="A173" t="inlineStr">
        <is>
          <t>5674162756</t>
        </is>
      </c>
      <c r="B173" t="inlineStr">
        <is>
          <t>Shoperies NE LLC</t>
        </is>
      </c>
      <c r="C173" t="inlineStr">
        <is>
          <t>Shoperies NE LLC</t>
        </is>
      </c>
      <c r="D173" t="inlineStr">
        <is>
          <t>Closed</t>
        </is>
      </c>
      <c r="E173" s="297" t="n">
        <v>45867</v>
      </c>
      <c r="F173" s="297" t="n">
        <v>45944</v>
      </c>
      <c r="G173" t="n">
        <v>3</v>
      </c>
      <c r="H173" t="inlineStr">
        <is>
          <t>5999</t>
        </is>
      </c>
      <c r="I173" t="inlineStr">
        <is>
          <t>59</t>
        </is>
      </c>
      <c r="J173" t="inlineStr">
        <is>
          <t>MA</t>
        </is>
      </c>
      <c r="K173" t="inlineStr">
        <is>
          <t>Westwood</t>
        </is>
      </c>
      <c r="L173" t="inlineStr">
        <is>
          <t>Renewal</t>
        </is>
      </c>
      <c r="M173" s="298" t="n">
        <v>1.499</v>
      </c>
      <c r="N173" s="299" t="n">
        <v>20000</v>
      </c>
      <c r="O173" s="299" t="n">
        <v>2800</v>
      </c>
      <c r="P173" s="299" t="n">
        <v>29980</v>
      </c>
      <c r="Q173" s="299" t="n">
        <v>29980</v>
      </c>
      <c r="R173" s="299" t="n">
        <v>3.63797880709171e-12</v>
      </c>
      <c r="S173" s="300" t="n">
        <v>1</v>
      </c>
      <c r="T173" t="n">
        <v>3.279</v>
      </c>
      <c r="U173" t="n">
        <v>9</v>
      </c>
      <c r="V173" t="n">
        <v>109868.79</v>
      </c>
      <c r="W173" s="300" t="n">
        <v>0.057</v>
      </c>
      <c r="X173" s="297" t="n">
        <v>43891</v>
      </c>
      <c r="Y173">
        <f>IF(I173="","No SIC",IFERROR(VLOOKUP(I173,Ref!$A$2:$B$65,2,FALSE),"Unclassified"))</f>
        <v/>
      </c>
      <c r="Z173">
        <f>IF(T173="","",IF(T173&lt;12,"Daily","Weekly"))</f>
        <v/>
      </c>
      <c r="AA173">
        <f>IF(T173="",0,IF(T173&lt;12,T173*Controls!$B$29,T173*5))</f>
        <v/>
      </c>
      <c r="AB173">
        <f>IF(E173="",0,NETWORKDAYS(E173,Controls!$B$36,Ref!$K$2:$K$42))</f>
        <v/>
      </c>
      <c r="AC173">
        <f>IF(AND(AA173&gt;0,AB173&gt;=Controls!$B$39*AA173),1,0)</f>
        <v/>
      </c>
      <c r="AD173">
        <f>IF(AND(E173&lt;&gt;"",E173&gt;=Controls!$B$37,E173&lt;=Controls!$B$38),1,0)</f>
        <v/>
      </c>
      <c r="AE173">
        <f>IF(IFERROR(VLOOKUP(D173,Controls!$A$64:$E$74,2,FALSE),"No")="Yes",1,0)</f>
        <v/>
      </c>
      <c r="AF173">
        <f>IF(IFERROR(VLOOKUP(D173,Controls!$A$64:$E$74,3,FALSE),"No")="Yes",1,0)</f>
        <v/>
      </c>
      <c r="AG173">
        <f>IF(IFERROR(VLOOKUP(D173,Controls!$A$64:$E$74,4,FALSE),"No")="Yes",1,0)</f>
        <v/>
      </c>
      <c r="AH173">
        <f>IF(IFERROR(VLOOKUP(D173,Controls!$A$64:$E$74,5,FALSE),"No")="Yes",1,0)</f>
        <v/>
      </c>
      <c r="AI173">
        <f>IF(ISNUMBER(MATCH(D173,Controls!$A$64:$A$74,0)),1,0)</f>
        <v/>
      </c>
      <c r="AJ173">
        <f>Q173-N173</f>
        <v/>
      </c>
      <c r="AK173">
        <f>IF(AE173=1,MAX(0,N173-Q173),0)</f>
        <v/>
      </c>
      <c r="AL173">
        <f>IF(OR(V173="",V173=0),0,N173/V173)</f>
        <v/>
      </c>
      <c r="AM173">
        <f>IF(OR(V173="",V173=0),0,1)</f>
        <v/>
      </c>
      <c r="AN173">
        <f>IF(OR(E173="",F173=""),0,NETWORKDAYS(E173,F173,Ref!$K$2:$K$42))</f>
        <v/>
      </c>
      <c r="AO173">
        <f>IF(L173="Renewal",1,0)</f>
        <v/>
      </c>
      <c r="AP173">
        <f>AC173*AD173</f>
        <v/>
      </c>
      <c r="AQ173">
        <f>IF(AND(G173&lt;&gt;"",'Historical Score'!$C$6&lt;&gt;""),IF(G173='Historical Score'!$C$6,1,0),0)</f>
        <v/>
      </c>
      <c r="AR173">
        <f>IF(AND(L173&lt;&gt;"",'Historical Score'!$C$5&lt;&gt;""),IF(L173='Historical Score'!$C$5,1,0),0)</f>
        <v/>
      </c>
      <c r="AS173">
        <f>IF(AND(Y173&lt;&gt;"",'Historical Score'!$C$7&lt;&gt;""),IF(Y173='Historical Score'!$C$7,1,0),0)</f>
        <v/>
      </c>
      <c r="AT173">
        <f>IF(AND(K173&lt;&gt;"",'Historical Score'!$C$8&lt;&gt;""),IF(K173='Historical Score'!$C$8,1,0),0)</f>
        <v/>
      </c>
      <c r="AU173">
        <f>IF(AND(J173&lt;&gt;"",'Historical Score'!$C$9&lt;&gt;""),IF(J173='Historical Score'!$C$9,1,0),0)</f>
        <v/>
      </c>
      <c r="AV173">
        <f>AR173*AS173*AQ173</f>
        <v/>
      </c>
      <c r="AW173">
        <f>AR173*AT173*AQ173</f>
        <v/>
      </c>
      <c r="AX173">
        <f>AR173*AS173</f>
        <v/>
      </c>
      <c r="AY173">
        <f>AR173*AT173</f>
        <v/>
      </c>
      <c r="AZ173">
        <f>AR173*AQ173</f>
        <v/>
      </c>
      <c r="BA173">
        <f>AR173</f>
        <v/>
      </c>
      <c r="BB173">
        <f>1</f>
        <v/>
      </c>
      <c r="BC173">
        <f>IF(AV173=1,1,IF(AW173=1,2,IF(AX173=1,3,IF(AY173=1,4,IF(AZ173=1,5,IF(BA173=1,6,7))))))</f>
        <v/>
      </c>
      <c r="BD173">
        <f>IF(AD173=1,CHOOSE('Historical Score'!$C$29,AV173,AW173,AX173,AY173,AZ173,BA173,BB173),0)</f>
        <v/>
      </c>
      <c r="BE173">
        <f>IF(BD173=1,COUNTIF($BD$2:BD173,1),"")</f>
        <v/>
      </c>
    </row>
    <row r="174">
      <c r="A174" t="inlineStr">
        <is>
          <t>5674162760</t>
        </is>
      </c>
      <c r="B174" t="inlineStr">
        <is>
          <t>THE ROBERT ESSIX FOUNDATION LLC</t>
        </is>
      </c>
      <c r="C174" t="inlineStr">
        <is>
          <t>THE ROBERT ESSIX FOUNDATION LLC</t>
        </is>
      </c>
      <c r="D174" t="inlineStr">
        <is>
          <t>Legal</t>
        </is>
      </c>
      <c r="E174" s="297" t="n">
        <v>45867</v>
      </c>
      <c r="F174" s="297" t="n">
        <v>45889</v>
      </c>
      <c r="G174" t="n">
        <v>2</v>
      </c>
      <c r="H174" t="inlineStr">
        <is>
          <t>8399</t>
        </is>
      </c>
      <c r="I174" t="inlineStr">
        <is>
          <t>83</t>
        </is>
      </c>
      <c r="J174" t="inlineStr">
        <is>
          <t>AZ</t>
        </is>
      </c>
      <c r="K174" t="inlineStr">
        <is>
          <t>Fundible</t>
        </is>
      </c>
      <c r="L174" t="inlineStr">
        <is>
          <t>New Deal</t>
        </is>
      </c>
      <c r="M174" s="298" t="n">
        <v>1.499</v>
      </c>
      <c r="N174" s="299" t="n">
        <v>7000</v>
      </c>
      <c r="O174" s="299" t="n">
        <v>980</v>
      </c>
      <c r="P174" s="299" t="n">
        <v>10493</v>
      </c>
      <c r="Q174" s="299" t="n">
        <v>1618.98</v>
      </c>
      <c r="R174" s="299" t="n">
        <v>8874.02</v>
      </c>
      <c r="S174" s="300" t="n">
        <v>0.154291432383494</v>
      </c>
      <c r="T174" t="n">
        <v>2.295</v>
      </c>
      <c r="U174" t="n">
        <v>5</v>
      </c>
      <c r="V174" t="n">
        <v>23702.33</v>
      </c>
      <c r="W174" s="300" t="n">
        <v>0.1304</v>
      </c>
      <c r="X174" s="297" t="n">
        <v>43956</v>
      </c>
      <c r="Y174">
        <f>IF(I174="","No SIC",IFERROR(VLOOKUP(I174,Ref!$A$2:$B$65,2,FALSE),"Unclassified"))</f>
        <v/>
      </c>
      <c r="Z174">
        <f>IF(T174="","",IF(T174&lt;12,"Daily","Weekly"))</f>
        <v/>
      </c>
      <c r="AA174">
        <f>IF(T174="",0,IF(T174&lt;12,T174*Controls!$B$29,T174*5))</f>
        <v/>
      </c>
      <c r="AB174">
        <f>IF(E174="",0,NETWORKDAYS(E174,Controls!$B$36,Ref!$K$2:$K$42))</f>
        <v/>
      </c>
      <c r="AC174">
        <f>IF(AND(AA174&gt;0,AB174&gt;=Controls!$B$39*AA174),1,0)</f>
        <v/>
      </c>
      <c r="AD174">
        <f>IF(AND(E174&lt;&gt;"",E174&gt;=Controls!$B$37,E174&lt;=Controls!$B$38),1,0)</f>
        <v/>
      </c>
      <c r="AE174">
        <f>IF(IFERROR(VLOOKUP(D174,Controls!$A$64:$E$74,2,FALSE),"No")="Yes",1,0)</f>
        <v/>
      </c>
      <c r="AF174">
        <f>IF(IFERROR(VLOOKUP(D174,Controls!$A$64:$E$74,3,FALSE),"No")="Yes",1,0)</f>
        <v/>
      </c>
      <c r="AG174">
        <f>IF(IFERROR(VLOOKUP(D174,Controls!$A$64:$E$74,4,FALSE),"No")="Yes",1,0)</f>
        <v/>
      </c>
      <c r="AH174">
        <f>IF(IFERROR(VLOOKUP(D174,Controls!$A$64:$E$74,5,FALSE),"No")="Yes",1,0)</f>
        <v/>
      </c>
      <c r="AI174">
        <f>IF(ISNUMBER(MATCH(D174,Controls!$A$64:$A$74,0)),1,0)</f>
        <v/>
      </c>
      <c r="AJ174">
        <f>Q174-N174</f>
        <v/>
      </c>
      <c r="AK174">
        <f>IF(AE174=1,MAX(0,N174-Q174),0)</f>
        <v/>
      </c>
      <c r="AL174">
        <f>IF(OR(V174="",V174=0),0,N174/V174)</f>
        <v/>
      </c>
      <c r="AM174">
        <f>IF(OR(V174="",V174=0),0,1)</f>
        <v/>
      </c>
      <c r="AN174">
        <f>IF(OR(E174="",F174=""),0,NETWORKDAYS(E174,F174,Ref!$K$2:$K$42))</f>
        <v/>
      </c>
      <c r="AO174">
        <f>IF(L174="Renewal",1,0)</f>
        <v/>
      </c>
      <c r="AP174">
        <f>AC174*AD174</f>
        <v/>
      </c>
      <c r="AQ174">
        <f>IF(AND(G174&lt;&gt;"",'Historical Score'!$C$6&lt;&gt;""),IF(G174='Historical Score'!$C$6,1,0),0)</f>
        <v/>
      </c>
      <c r="AR174">
        <f>IF(AND(L174&lt;&gt;"",'Historical Score'!$C$5&lt;&gt;""),IF(L174='Historical Score'!$C$5,1,0),0)</f>
        <v/>
      </c>
      <c r="AS174">
        <f>IF(AND(Y174&lt;&gt;"",'Historical Score'!$C$7&lt;&gt;""),IF(Y174='Historical Score'!$C$7,1,0),0)</f>
        <v/>
      </c>
      <c r="AT174">
        <f>IF(AND(K174&lt;&gt;"",'Historical Score'!$C$8&lt;&gt;""),IF(K174='Historical Score'!$C$8,1,0),0)</f>
        <v/>
      </c>
      <c r="AU174">
        <f>IF(AND(J174&lt;&gt;"",'Historical Score'!$C$9&lt;&gt;""),IF(J174='Historical Score'!$C$9,1,0),0)</f>
        <v/>
      </c>
      <c r="AV174">
        <f>AR174*AS174*AQ174</f>
        <v/>
      </c>
      <c r="AW174">
        <f>AR174*AT174*AQ174</f>
        <v/>
      </c>
      <c r="AX174">
        <f>AR174*AS174</f>
        <v/>
      </c>
      <c r="AY174">
        <f>AR174*AT174</f>
        <v/>
      </c>
      <c r="AZ174">
        <f>AR174*AQ174</f>
        <v/>
      </c>
      <c r="BA174">
        <f>AR174</f>
        <v/>
      </c>
      <c r="BB174">
        <f>1</f>
        <v/>
      </c>
      <c r="BC174">
        <f>IF(AV174=1,1,IF(AW174=1,2,IF(AX174=1,3,IF(AY174=1,4,IF(AZ174=1,5,IF(BA174=1,6,7))))))</f>
        <v/>
      </c>
      <c r="BD174">
        <f>IF(AD174=1,CHOOSE('Historical Score'!$C$29,AV174,AW174,AX174,AY174,AZ174,BA174,BB174),0)</f>
        <v/>
      </c>
      <c r="BE174">
        <f>IF(BD174=1,COUNTIF($BD$2:BD174,1),"")</f>
        <v/>
      </c>
    </row>
    <row r="175">
      <c r="A175" t="inlineStr">
        <is>
          <t>5674162832</t>
        </is>
      </c>
      <c r="B175" t="inlineStr">
        <is>
          <t>Jojos italian diner</t>
        </is>
      </c>
      <c r="C175" t="inlineStr">
        <is>
          <t>Jojos italian diner llc</t>
        </is>
      </c>
      <c r="D175" t="inlineStr">
        <is>
          <t>Closed</t>
        </is>
      </c>
      <c r="E175" s="297" t="n">
        <v>45867</v>
      </c>
      <c r="F175" s="297" t="n">
        <v>45987</v>
      </c>
      <c r="G175" t="n">
        <v>4</v>
      </c>
      <c r="H175" t="inlineStr">
        <is>
          <t>3556</t>
        </is>
      </c>
      <c r="I175" t="inlineStr">
        <is>
          <t>35</t>
        </is>
      </c>
      <c r="J175" t="inlineStr">
        <is>
          <t>FL</t>
        </is>
      </c>
      <c r="K175" t="inlineStr">
        <is>
          <t>Platform Funding</t>
        </is>
      </c>
      <c r="L175" t="inlineStr">
        <is>
          <t>New Deal</t>
        </is>
      </c>
      <c r="M175" s="298" t="n">
        <v>1.39</v>
      </c>
      <c r="N175" s="299" t="n">
        <v>20000</v>
      </c>
      <c r="O175" s="299" t="n">
        <v>1800</v>
      </c>
      <c r="P175" s="299" t="n">
        <v>27800</v>
      </c>
      <c r="Q175" s="299" t="n">
        <v>27800</v>
      </c>
      <c r="R175" s="299" t="n">
        <v>-3.63797880709171e-12</v>
      </c>
      <c r="S175" s="300" t="n">
        <v>1</v>
      </c>
      <c r="T175" t="n">
        <v>4.918</v>
      </c>
      <c r="U175" t="n">
        <v>0</v>
      </c>
      <c r="V175" t="n">
        <v>57649.78</v>
      </c>
      <c r="W175" s="300" t="n">
        <v>0.0675</v>
      </c>
      <c r="X175" s="297" t="n">
        <v>43844</v>
      </c>
      <c r="Y175">
        <f>IF(I175="","No SIC",IFERROR(VLOOKUP(I175,Ref!$A$2:$B$65,2,FALSE),"Unclassified"))</f>
        <v/>
      </c>
      <c r="Z175">
        <f>IF(T175="","",IF(T175&lt;12,"Daily","Weekly"))</f>
        <v/>
      </c>
      <c r="AA175">
        <f>IF(T175="",0,IF(T175&lt;12,T175*Controls!$B$29,T175*5))</f>
        <v/>
      </c>
      <c r="AB175">
        <f>IF(E175="",0,NETWORKDAYS(E175,Controls!$B$36,Ref!$K$2:$K$42))</f>
        <v/>
      </c>
      <c r="AC175">
        <f>IF(AND(AA175&gt;0,AB175&gt;=Controls!$B$39*AA175),1,0)</f>
        <v/>
      </c>
      <c r="AD175">
        <f>IF(AND(E175&lt;&gt;"",E175&gt;=Controls!$B$37,E175&lt;=Controls!$B$38),1,0)</f>
        <v/>
      </c>
      <c r="AE175">
        <f>IF(IFERROR(VLOOKUP(D175,Controls!$A$64:$E$74,2,FALSE),"No")="Yes",1,0)</f>
        <v/>
      </c>
      <c r="AF175">
        <f>IF(IFERROR(VLOOKUP(D175,Controls!$A$64:$E$74,3,FALSE),"No")="Yes",1,0)</f>
        <v/>
      </c>
      <c r="AG175">
        <f>IF(IFERROR(VLOOKUP(D175,Controls!$A$64:$E$74,4,FALSE),"No")="Yes",1,0)</f>
        <v/>
      </c>
      <c r="AH175">
        <f>IF(IFERROR(VLOOKUP(D175,Controls!$A$64:$E$74,5,FALSE),"No")="Yes",1,0)</f>
        <v/>
      </c>
      <c r="AI175">
        <f>IF(ISNUMBER(MATCH(D175,Controls!$A$64:$A$74,0)),1,0)</f>
        <v/>
      </c>
      <c r="AJ175">
        <f>Q175-N175</f>
        <v/>
      </c>
      <c r="AK175">
        <f>IF(AE175=1,MAX(0,N175-Q175),0)</f>
        <v/>
      </c>
      <c r="AL175">
        <f>IF(OR(V175="",V175=0),0,N175/V175)</f>
        <v/>
      </c>
      <c r="AM175">
        <f>IF(OR(V175="",V175=0),0,1)</f>
        <v/>
      </c>
      <c r="AN175">
        <f>IF(OR(E175="",F175=""),0,NETWORKDAYS(E175,F175,Ref!$K$2:$K$42))</f>
        <v/>
      </c>
      <c r="AO175">
        <f>IF(L175="Renewal",1,0)</f>
        <v/>
      </c>
      <c r="AP175">
        <f>AC175*AD175</f>
        <v/>
      </c>
      <c r="AQ175">
        <f>IF(AND(G175&lt;&gt;"",'Historical Score'!$C$6&lt;&gt;""),IF(G175='Historical Score'!$C$6,1,0),0)</f>
        <v/>
      </c>
      <c r="AR175">
        <f>IF(AND(L175&lt;&gt;"",'Historical Score'!$C$5&lt;&gt;""),IF(L175='Historical Score'!$C$5,1,0),0)</f>
        <v/>
      </c>
      <c r="AS175">
        <f>IF(AND(Y175&lt;&gt;"",'Historical Score'!$C$7&lt;&gt;""),IF(Y175='Historical Score'!$C$7,1,0),0)</f>
        <v/>
      </c>
      <c r="AT175">
        <f>IF(AND(K175&lt;&gt;"",'Historical Score'!$C$8&lt;&gt;""),IF(K175='Historical Score'!$C$8,1,0),0)</f>
        <v/>
      </c>
      <c r="AU175">
        <f>IF(AND(J175&lt;&gt;"",'Historical Score'!$C$9&lt;&gt;""),IF(J175='Historical Score'!$C$9,1,0),0)</f>
        <v/>
      </c>
      <c r="AV175">
        <f>AR175*AS175*AQ175</f>
        <v/>
      </c>
      <c r="AW175">
        <f>AR175*AT175*AQ175</f>
        <v/>
      </c>
      <c r="AX175">
        <f>AR175*AS175</f>
        <v/>
      </c>
      <c r="AY175">
        <f>AR175*AT175</f>
        <v/>
      </c>
      <c r="AZ175">
        <f>AR175*AQ175</f>
        <v/>
      </c>
      <c r="BA175">
        <f>AR175</f>
        <v/>
      </c>
      <c r="BB175">
        <f>1</f>
        <v/>
      </c>
      <c r="BC175">
        <f>IF(AV175=1,1,IF(AW175=1,2,IF(AX175=1,3,IF(AY175=1,4,IF(AZ175=1,5,IF(BA175=1,6,7))))))</f>
        <v/>
      </c>
      <c r="BD175">
        <f>IF(AD175=1,CHOOSE('Historical Score'!$C$29,AV175,AW175,AX175,AY175,AZ175,BA175,BB175),0)</f>
        <v/>
      </c>
      <c r="BE175">
        <f>IF(BD175=1,COUNTIF($BD$2:BD175,1),"")</f>
        <v/>
      </c>
    </row>
    <row r="176">
      <c r="A176" t="inlineStr">
        <is>
          <t>5674162872</t>
        </is>
      </c>
      <c r="B176" t="inlineStr">
        <is>
          <t>CJB custom installs</t>
        </is>
      </c>
      <c r="C176" t="inlineStr">
        <is>
          <t>CJB custom installs LLC</t>
        </is>
      </c>
      <c r="D176" t="inlineStr">
        <is>
          <t>Closed</t>
        </is>
      </c>
      <c r="E176" s="297" t="n">
        <v>45868</v>
      </c>
      <c r="F176" s="297" t="n">
        <v>45954</v>
      </c>
      <c r="G176" t="n">
        <v>4</v>
      </c>
      <c r="H176" t="inlineStr">
        <is>
          <t>1521</t>
        </is>
      </c>
      <c r="I176" t="inlineStr">
        <is>
          <t>15</t>
        </is>
      </c>
      <c r="J176" t="inlineStr">
        <is>
          <t>FL</t>
        </is>
      </c>
      <c r="K176" t="inlineStr">
        <is>
          <t>BFA 3</t>
        </is>
      </c>
      <c r="L176" t="inlineStr">
        <is>
          <t>New Deal</t>
        </is>
      </c>
      <c r="M176" s="298" t="n">
        <v>1.499</v>
      </c>
      <c r="N176" s="299" t="n">
        <v>8000</v>
      </c>
      <c r="O176" s="299" t="n">
        <v>1120</v>
      </c>
      <c r="P176" s="299" t="n">
        <v>11992</v>
      </c>
      <c r="Q176" s="299" t="n">
        <v>11992</v>
      </c>
      <c r="R176" s="299" t="n">
        <v>0</v>
      </c>
      <c r="S176" s="300" t="n">
        <v>1</v>
      </c>
      <c r="T176" t="n">
        <v>1.967</v>
      </c>
      <c r="U176" t="n">
        <v>0</v>
      </c>
      <c r="V176" t="n">
        <v>36010.88</v>
      </c>
      <c r="W176" s="300" t="n">
        <v>0.1159</v>
      </c>
      <c r="X176" s="297" t="n">
        <v>44690</v>
      </c>
      <c r="Y176">
        <f>IF(I176="","No SIC",IFERROR(VLOOKUP(I176,Ref!$A$2:$B$65,2,FALSE),"Unclassified"))</f>
        <v/>
      </c>
      <c r="Z176">
        <f>IF(T176="","",IF(T176&lt;12,"Daily","Weekly"))</f>
        <v/>
      </c>
      <c r="AA176">
        <f>IF(T176="",0,IF(T176&lt;12,T176*Controls!$B$29,T176*5))</f>
        <v/>
      </c>
      <c r="AB176">
        <f>IF(E176="",0,NETWORKDAYS(E176,Controls!$B$36,Ref!$K$2:$K$42))</f>
        <v/>
      </c>
      <c r="AC176">
        <f>IF(AND(AA176&gt;0,AB176&gt;=Controls!$B$39*AA176),1,0)</f>
        <v/>
      </c>
      <c r="AD176">
        <f>IF(AND(E176&lt;&gt;"",E176&gt;=Controls!$B$37,E176&lt;=Controls!$B$38),1,0)</f>
        <v/>
      </c>
      <c r="AE176">
        <f>IF(IFERROR(VLOOKUP(D176,Controls!$A$64:$E$74,2,FALSE),"No")="Yes",1,0)</f>
        <v/>
      </c>
      <c r="AF176">
        <f>IF(IFERROR(VLOOKUP(D176,Controls!$A$64:$E$74,3,FALSE),"No")="Yes",1,0)</f>
        <v/>
      </c>
      <c r="AG176">
        <f>IF(IFERROR(VLOOKUP(D176,Controls!$A$64:$E$74,4,FALSE),"No")="Yes",1,0)</f>
        <v/>
      </c>
      <c r="AH176">
        <f>IF(IFERROR(VLOOKUP(D176,Controls!$A$64:$E$74,5,FALSE),"No")="Yes",1,0)</f>
        <v/>
      </c>
      <c r="AI176">
        <f>IF(ISNUMBER(MATCH(D176,Controls!$A$64:$A$74,0)),1,0)</f>
        <v/>
      </c>
      <c r="AJ176">
        <f>Q176-N176</f>
        <v/>
      </c>
      <c r="AK176">
        <f>IF(AE176=1,MAX(0,N176-Q176),0)</f>
        <v/>
      </c>
      <c r="AL176">
        <f>IF(OR(V176="",V176=0),0,N176/V176)</f>
        <v/>
      </c>
      <c r="AM176">
        <f>IF(OR(V176="",V176=0),0,1)</f>
        <v/>
      </c>
      <c r="AN176">
        <f>IF(OR(E176="",F176=""),0,NETWORKDAYS(E176,F176,Ref!$K$2:$K$42))</f>
        <v/>
      </c>
      <c r="AO176">
        <f>IF(L176="Renewal",1,0)</f>
        <v/>
      </c>
      <c r="AP176">
        <f>AC176*AD176</f>
        <v/>
      </c>
      <c r="AQ176">
        <f>IF(AND(G176&lt;&gt;"",'Historical Score'!$C$6&lt;&gt;""),IF(G176='Historical Score'!$C$6,1,0),0)</f>
        <v/>
      </c>
      <c r="AR176">
        <f>IF(AND(L176&lt;&gt;"",'Historical Score'!$C$5&lt;&gt;""),IF(L176='Historical Score'!$C$5,1,0),0)</f>
        <v/>
      </c>
      <c r="AS176">
        <f>IF(AND(Y176&lt;&gt;"",'Historical Score'!$C$7&lt;&gt;""),IF(Y176='Historical Score'!$C$7,1,0),0)</f>
        <v/>
      </c>
      <c r="AT176">
        <f>IF(AND(K176&lt;&gt;"",'Historical Score'!$C$8&lt;&gt;""),IF(K176='Historical Score'!$C$8,1,0),0)</f>
        <v/>
      </c>
      <c r="AU176">
        <f>IF(AND(J176&lt;&gt;"",'Historical Score'!$C$9&lt;&gt;""),IF(J176='Historical Score'!$C$9,1,0),0)</f>
        <v/>
      </c>
      <c r="AV176">
        <f>AR176*AS176*AQ176</f>
        <v/>
      </c>
      <c r="AW176">
        <f>AR176*AT176*AQ176</f>
        <v/>
      </c>
      <c r="AX176">
        <f>AR176*AS176</f>
        <v/>
      </c>
      <c r="AY176">
        <f>AR176*AT176</f>
        <v/>
      </c>
      <c r="AZ176">
        <f>AR176*AQ176</f>
        <v/>
      </c>
      <c r="BA176">
        <f>AR176</f>
        <v/>
      </c>
      <c r="BB176">
        <f>1</f>
        <v/>
      </c>
      <c r="BC176">
        <f>IF(AV176=1,1,IF(AW176=1,2,IF(AX176=1,3,IF(AY176=1,4,IF(AZ176=1,5,IF(BA176=1,6,7))))))</f>
        <v/>
      </c>
      <c r="BD176">
        <f>IF(AD176=1,CHOOSE('Historical Score'!$C$29,AV176,AW176,AX176,AY176,AZ176,BA176,BB176),0)</f>
        <v/>
      </c>
      <c r="BE176">
        <f>IF(BD176=1,COUNTIF($BD$2:BD176,1),"")</f>
        <v/>
      </c>
    </row>
    <row r="177">
      <c r="A177" t="inlineStr">
        <is>
          <t>5674162911</t>
        </is>
      </c>
      <c r="B177" t="inlineStr">
        <is>
          <t>OUI BEACH</t>
        </is>
      </c>
      <c r="C177" t="inlineStr">
        <is>
          <t>OUI BEACH, LLC</t>
        </is>
      </c>
      <c r="D177" t="inlineStr">
        <is>
          <t>Legal</t>
        </is>
      </c>
      <c r="E177" s="297" t="n">
        <v>45868</v>
      </c>
      <c r="F177" s="297" t="n">
        <v>45884</v>
      </c>
      <c r="G177" t="n">
        <v>4</v>
      </c>
      <c r="H177" t="inlineStr">
        <is>
          <t>5137</t>
        </is>
      </c>
      <c r="I177" t="inlineStr">
        <is>
          <t>51</t>
        </is>
      </c>
      <c r="J177" t="inlineStr">
        <is>
          <t>CA</t>
        </is>
      </c>
      <c r="K177" t="inlineStr">
        <is>
          <t>Shield Funding</t>
        </is>
      </c>
      <c r="L177" t="inlineStr">
        <is>
          <t>New Deal</t>
        </is>
      </c>
      <c r="M177" s="298" t="n">
        <v>1.49</v>
      </c>
      <c r="N177" s="299" t="n">
        <v>30000</v>
      </c>
      <c r="O177" s="299" t="n">
        <v>0</v>
      </c>
      <c r="P177" s="299" t="n">
        <v>44700</v>
      </c>
      <c r="Q177" s="299" t="n">
        <v>2980.24</v>
      </c>
      <c r="R177" s="299" t="n">
        <v>41719.76</v>
      </c>
      <c r="S177" s="300" t="n">
        <v>0.0666720357941835</v>
      </c>
      <c r="T177" t="n">
        <v>3.934</v>
      </c>
      <c r="U177" t="n">
        <v>5</v>
      </c>
      <c r="V177" t="n">
        <v>50052.28</v>
      </c>
      <c r="W177" s="300" t="n">
        <v>0.1563</v>
      </c>
      <c r="X177" s="297" t="n">
        <v>44137</v>
      </c>
      <c r="Y177">
        <f>IF(I177="","No SIC",IFERROR(VLOOKUP(I177,Ref!$A$2:$B$65,2,FALSE),"Unclassified"))</f>
        <v/>
      </c>
      <c r="Z177">
        <f>IF(T177="","",IF(T177&lt;12,"Daily","Weekly"))</f>
        <v/>
      </c>
      <c r="AA177">
        <f>IF(T177="",0,IF(T177&lt;12,T177*Controls!$B$29,T177*5))</f>
        <v/>
      </c>
      <c r="AB177">
        <f>IF(E177="",0,NETWORKDAYS(E177,Controls!$B$36,Ref!$K$2:$K$42))</f>
        <v/>
      </c>
      <c r="AC177">
        <f>IF(AND(AA177&gt;0,AB177&gt;=Controls!$B$39*AA177),1,0)</f>
        <v/>
      </c>
      <c r="AD177">
        <f>IF(AND(E177&lt;&gt;"",E177&gt;=Controls!$B$37,E177&lt;=Controls!$B$38),1,0)</f>
        <v/>
      </c>
      <c r="AE177">
        <f>IF(IFERROR(VLOOKUP(D177,Controls!$A$64:$E$74,2,FALSE),"No")="Yes",1,0)</f>
        <v/>
      </c>
      <c r="AF177">
        <f>IF(IFERROR(VLOOKUP(D177,Controls!$A$64:$E$74,3,FALSE),"No")="Yes",1,0)</f>
        <v/>
      </c>
      <c r="AG177">
        <f>IF(IFERROR(VLOOKUP(D177,Controls!$A$64:$E$74,4,FALSE),"No")="Yes",1,0)</f>
        <v/>
      </c>
      <c r="AH177">
        <f>IF(IFERROR(VLOOKUP(D177,Controls!$A$64:$E$74,5,FALSE),"No")="Yes",1,0)</f>
        <v/>
      </c>
      <c r="AI177">
        <f>IF(ISNUMBER(MATCH(D177,Controls!$A$64:$A$74,0)),1,0)</f>
        <v/>
      </c>
      <c r="AJ177">
        <f>Q177-N177</f>
        <v/>
      </c>
      <c r="AK177">
        <f>IF(AE177=1,MAX(0,N177-Q177),0)</f>
        <v/>
      </c>
      <c r="AL177">
        <f>IF(OR(V177="",V177=0),0,N177/V177)</f>
        <v/>
      </c>
      <c r="AM177">
        <f>IF(OR(V177="",V177=0),0,1)</f>
        <v/>
      </c>
      <c r="AN177">
        <f>IF(OR(E177="",F177=""),0,NETWORKDAYS(E177,F177,Ref!$K$2:$K$42))</f>
        <v/>
      </c>
      <c r="AO177">
        <f>IF(L177="Renewal",1,0)</f>
        <v/>
      </c>
      <c r="AP177">
        <f>AC177*AD177</f>
        <v/>
      </c>
      <c r="AQ177">
        <f>IF(AND(G177&lt;&gt;"",'Historical Score'!$C$6&lt;&gt;""),IF(G177='Historical Score'!$C$6,1,0),0)</f>
        <v/>
      </c>
      <c r="AR177">
        <f>IF(AND(L177&lt;&gt;"",'Historical Score'!$C$5&lt;&gt;""),IF(L177='Historical Score'!$C$5,1,0),0)</f>
        <v/>
      </c>
      <c r="AS177">
        <f>IF(AND(Y177&lt;&gt;"",'Historical Score'!$C$7&lt;&gt;""),IF(Y177='Historical Score'!$C$7,1,0),0)</f>
        <v/>
      </c>
      <c r="AT177">
        <f>IF(AND(K177&lt;&gt;"",'Historical Score'!$C$8&lt;&gt;""),IF(K177='Historical Score'!$C$8,1,0),0)</f>
        <v/>
      </c>
      <c r="AU177">
        <f>IF(AND(J177&lt;&gt;"",'Historical Score'!$C$9&lt;&gt;""),IF(J177='Historical Score'!$C$9,1,0),0)</f>
        <v/>
      </c>
      <c r="AV177">
        <f>AR177*AS177*AQ177</f>
        <v/>
      </c>
      <c r="AW177">
        <f>AR177*AT177*AQ177</f>
        <v/>
      </c>
      <c r="AX177">
        <f>AR177*AS177</f>
        <v/>
      </c>
      <c r="AY177">
        <f>AR177*AT177</f>
        <v/>
      </c>
      <c r="AZ177">
        <f>AR177*AQ177</f>
        <v/>
      </c>
      <c r="BA177">
        <f>AR177</f>
        <v/>
      </c>
      <c r="BB177">
        <f>1</f>
        <v/>
      </c>
      <c r="BC177">
        <f>IF(AV177=1,1,IF(AW177=1,2,IF(AX177=1,3,IF(AY177=1,4,IF(AZ177=1,5,IF(BA177=1,6,7))))))</f>
        <v/>
      </c>
      <c r="BD177">
        <f>IF(AD177=1,CHOOSE('Historical Score'!$C$29,AV177,AW177,AX177,AY177,AZ177,BA177,BB177),0)</f>
        <v/>
      </c>
      <c r="BE177">
        <f>IF(BD177=1,COUNTIF($BD$2:BD177,1),"")</f>
        <v/>
      </c>
    </row>
    <row r="178">
      <c r="A178" t="inlineStr">
        <is>
          <t>5674162914</t>
        </is>
      </c>
      <c r="B178" t="inlineStr">
        <is>
          <t>ProColor Collision Fontana</t>
        </is>
      </c>
      <c r="C178" t="inlineStr">
        <is>
          <t>Standers Inc</t>
        </is>
      </c>
      <c r="D178" t="inlineStr">
        <is>
          <t>Closed</t>
        </is>
      </c>
      <c r="E178" s="297" t="n">
        <v>45868</v>
      </c>
      <c r="F178" s="297" t="n">
        <v>46092</v>
      </c>
      <c r="G178" t="n">
        <v>1</v>
      </c>
      <c r="H178" t="inlineStr">
        <is>
          <t>7538</t>
        </is>
      </c>
      <c r="I178" t="inlineStr">
        <is>
          <t>75</t>
        </is>
      </c>
      <c r="J178" t="inlineStr">
        <is>
          <t>CA</t>
        </is>
      </c>
      <c r="K178" t="inlineStr">
        <is>
          <t>Fundwell</t>
        </is>
      </c>
      <c r="L178" t="inlineStr">
        <is>
          <t>New Deal</t>
        </is>
      </c>
      <c r="M178" s="298" t="n">
        <v>1.38</v>
      </c>
      <c r="N178" s="299" t="n">
        <v>70000</v>
      </c>
      <c r="O178" s="299" t="n">
        <v>8400</v>
      </c>
      <c r="P178" s="299" t="n">
        <v>96600</v>
      </c>
      <c r="Q178" s="299" t="n">
        <v>96600</v>
      </c>
      <c r="R178" s="299" t="n">
        <v>-1.45519152283669e-11</v>
      </c>
      <c r="S178" s="300" t="n">
        <v>1</v>
      </c>
      <c r="T178" t="n">
        <v>40</v>
      </c>
      <c r="U178" t="n">
        <v>0</v>
      </c>
      <c r="V178" t="n">
        <v>120575.72</v>
      </c>
      <c r="W178" s="300" t="n">
        <v>0.0801</v>
      </c>
      <c r="X178" s="297" t="n">
        <v>45100</v>
      </c>
      <c r="Y178">
        <f>IF(I178="","No SIC",IFERROR(VLOOKUP(I178,Ref!$A$2:$B$65,2,FALSE),"Unclassified"))</f>
        <v/>
      </c>
      <c r="Z178">
        <f>IF(T178="","",IF(T178&lt;12,"Daily","Weekly"))</f>
        <v/>
      </c>
      <c r="AA178">
        <f>IF(T178="",0,IF(T178&lt;12,T178*Controls!$B$29,T178*5))</f>
        <v/>
      </c>
      <c r="AB178">
        <f>IF(E178="",0,NETWORKDAYS(E178,Controls!$B$36,Ref!$K$2:$K$42))</f>
        <v/>
      </c>
      <c r="AC178">
        <f>IF(AND(AA178&gt;0,AB178&gt;=Controls!$B$39*AA178),1,0)</f>
        <v/>
      </c>
      <c r="AD178">
        <f>IF(AND(E178&lt;&gt;"",E178&gt;=Controls!$B$37,E178&lt;=Controls!$B$38),1,0)</f>
        <v/>
      </c>
      <c r="AE178">
        <f>IF(IFERROR(VLOOKUP(D178,Controls!$A$64:$E$74,2,FALSE),"No")="Yes",1,0)</f>
        <v/>
      </c>
      <c r="AF178">
        <f>IF(IFERROR(VLOOKUP(D178,Controls!$A$64:$E$74,3,FALSE),"No")="Yes",1,0)</f>
        <v/>
      </c>
      <c r="AG178">
        <f>IF(IFERROR(VLOOKUP(D178,Controls!$A$64:$E$74,4,FALSE),"No")="Yes",1,0)</f>
        <v/>
      </c>
      <c r="AH178">
        <f>IF(IFERROR(VLOOKUP(D178,Controls!$A$64:$E$74,5,FALSE),"No")="Yes",1,0)</f>
        <v/>
      </c>
      <c r="AI178">
        <f>IF(ISNUMBER(MATCH(D178,Controls!$A$64:$A$74,0)),1,0)</f>
        <v/>
      </c>
      <c r="AJ178">
        <f>Q178-N178</f>
        <v/>
      </c>
      <c r="AK178">
        <f>IF(AE178=1,MAX(0,N178-Q178),0)</f>
        <v/>
      </c>
      <c r="AL178">
        <f>IF(OR(V178="",V178=0),0,N178/V178)</f>
        <v/>
      </c>
      <c r="AM178">
        <f>IF(OR(V178="",V178=0),0,1)</f>
        <v/>
      </c>
      <c r="AN178">
        <f>IF(OR(E178="",F178=""),0,NETWORKDAYS(E178,F178,Ref!$K$2:$K$42))</f>
        <v/>
      </c>
      <c r="AO178">
        <f>IF(L178="Renewal",1,0)</f>
        <v/>
      </c>
      <c r="AP178">
        <f>AC178*AD178</f>
        <v/>
      </c>
      <c r="AQ178">
        <f>IF(AND(G178&lt;&gt;"",'Historical Score'!$C$6&lt;&gt;""),IF(G178='Historical Score'!$C$6,1,0),0)</f>
        <v/>
      </c>
      <c r="AR178">
        <f>IF(AND(L178&lt;&gt;"",'Historical Score'!$C$5&lt;&gt;""),IF(L178='Historical Score'!$C$5,1,0),0)</f>
        <v/>
      </c>
      <c r="AS178">
        <f>IF(AND(Y178&lt;&gt;"",'Historical Score'!$C$7&lt;&gt;""),IF(Y178='Historical Score'!$C$7,1,0),0)</f>
        <v/>
      </c>
      <c r="AT178">
        <f>IF(AND(K178&lt;&gt;"",'Historical Score'!$C$8&lt;&gt;""),IF(K178='Historical Score'!$C$8,1,0),0)</f>
        <v/>
      </c>
      <c r="AU178">
        <f>IF(AND(J178&lt;&gt;"",'Historical Score'!$C$9&lt;&gt;""),IF(J178='Historical Score'!$C$9,1,0),0)</f>
        <v/>
      </c>
      <c r="AV178">
        <f>AR178*AS178*AQ178</f>
        <v/>
      </c>
      <c r="AW178">
        <f>AR178*AT178*AQ178</f>
        <v/>
      </c>
      <c r="AX178">
        <f>AR178*AS178</f>
        <v/>
      </c>
      <c r="AY178">
        <f>AR178*AT178</f>
        <v/>
      </c>
      <c r="AZ178">
        <f>AR178*AQ178</f>
        <v/>
      </c>
      <c r="BA178">
        <f>AR178</f>
        <v/>
      </c>
      <c r="BB178">
        <f>1</f>
        <v/>
      </c>
      <c r="BC178">
        <f>IF(AV178=1,1,IF(AW178=1,2,IF(AX178=1,3,IF(AY178=1,4,IF(AZ178=1,5,IF(BA178=1,6,7))))))</f>
        <v/>
      </c>
      <c r="BD178">
        <f>IF(AD178=1,CHOOSE('Historical Score'!$C$29,AV178,AW178,AX178,AY178,AZ178,BA178,BB178),0)</f>
        <v/>
      </c>
      <c r="BE178">
        <f>IF(BD178=1,COUNTIF($BD$2:BD178,1),"")</f>
        <v/>
      </c>
    </row>
    <row r="179">
      <c r="A179" t="inlineStr">
        <is>
          <t>5674162983</t>
        </is>
      </c>
      <c r="B179" t="inlineStr">
        <is>
          <t>ON SITE REPAIR SERVICES LLC</t>
        </is>
      </c>
      <c r="C179" t="inlineStr">
        <is>
          <t>ON SITE REPAIR SERVICES LLC</t>
        </is>
      </c>
      <c r="D179" t="inlineStr">
        <is>
          <t>Closed</t>
        </is>
      </c>
      <c r="E179" s="297" t="n">
        <v>45869</v>
      </c>
      <c r="F179" s="297" t="n">
        <v>45994</v>
      </c>
      <c r="G179" t="n">
        <v>2</v>
      </c>
      <c r="H179" t="inlineStr">
        <is>
          <t>1521</t>
        </is>
      </c>
      <c r="I179" t="inlineStr">
        <is>
          <t>15</t>
        </is>
      </c>
      <c r="J179" t="inlineStr">
        <is>
          <t>TX</t>
        </is>
      </c>
      <c r="K179" t="inlineStr">
        <is>
          <t>Ballicci</t>
        </is>
      </c>
      <c r="L179" t="inlineStr">
        <is>
          <t>New Deal</t>
        </is>
      </c>
      <c r="M179" s="298" t="n">
        <v>1.49</v>
      </c>
      <c r="N179" s="299" t="n">
        <v>15000</v>
      </c>
      <c r="O179" s="299" t="n">
        <v>2100</v>
      </c>
      <c r="P179" s="299" t="n">
        <v>22350</v>
      </c>
      <c r="Q179" s="299" t="n">
        <v>22350</v>
      </c>
      <c r="R179" s="299" t="n">
        <v>0</v>
      </c>
      <c r="S179" s="300" t="n">
        <v>1</v>
      </c>
      <c r="T179" t="n">
        <v>2.787</v>
      </c>
      <c r="U179" t="n">
        <v>0</v>
      </c>
      <c r="V179" t="n">
        <v>63010.24</v>
      </c>
      <c r="W179" s="300" t="n">
        <v>0.0876</v>
      </c>
      <c r="X179" s="297" t="n"/>
      <c r="Y179">
        <f>IF(I179="","No SIC",IFERROR(VLOOKUP(I179,Ref!$A$2:$B$65,2,FALSE),"Unclassified"))</f>
        <v/>
      </c>
      <c r="Z179">
        <f>IF(T179="","",IF(T179&lt;12,"Daily","Weekly"))</f>
        <v/>
      </c>
      <c r="AA179">
        <f>IF(T179="",0,IF(T179&lt;12,T179*Controls!$B$29,T179*5))</f>
        <v/>
      </c>
      <c r="AB179">
        <f>IF(E179="",0,NETWORKDAYS(E179,Controls!$B$36,Ref!$K$2:$K$42))</f>
        <v/>
      </c>
      <c r="AC179">
        <f>IF(AND(AA179&gt;0,AB179&gt;=Controls!$B$39*AA179),1,0)</f>
        <v/>
      </c>
      <c r="AD179">
        <f>IF(AND(E179&lt;&gt;"",E179&gt;=Controls!$B$37,E179&lt;=Controls!$B$38),1,0)</f>
        <v/>
      </c>
      <c r="AE179">
        <f>IF(IFERROR(VLOOKUP(D179,Controls!$A$64:$E$74,2,FALSE),"No")="Yes",1,0)</f>
        <v/>
      </c>
      <c r="AF179">
        <f>IF(IFERROR(VLOOKUP(D179,Controls!$A$64:$E$74,3,FALSE),"No")="Yes",1,0)</f>
        <v/>
      </c>
      <c r="AG179">
        <f>IF(IFERROR(VLOOKUP(D179,Controls!$A$64:$E$74,4,FALSE),"No")="Yes",1,0)</f>
        <v/>
      </c>
      <c r="AH179">
        <f>IF(IFERROR(VLOOKUP(D179,Controls!$A$64:$E$74,5,FALSE),"No")="Yes",1,0)</f>
        <v/>
      </c>
      <c r="AI179">
        <f>IF(ISNUMBER(MATCH(D179,Controls!$A$64:$A$74,0)),1,0)</f>
        <v/>
      </c>
      <c r="AJ179">
        <f>Q179-N179</f>
        <v/>
      </c>
      <c r="AK179">
        <f>IF(AE179=1,MAX(0,N179-Q179),0)</f>
        <v/>
      </c>
      <c r="AL179">
        <f>IF(OR(V179="",V179=0),0,N179/V179)</f>
        <v/>
      </c>
      <c r="AM179">
        <f>IF(OR(V179="",V179=0),0,1)</f>
        <v/>
      </c>
      <c r="AN179">
        <f>IF(OR(E179="",F179=""),0,NETWORKDAYS(E179,F179,Ref!$K$2:$K$42))</f>
        <v/>
      </c>
      <c r="AO179">
        <f>IF(L179="Renewal",1,0)</f>
        <v/>
      </c>
      <c r="AP179">
        <f>AC179*AD179</f>
        <v/>
      </c>
      <c r="AQ179">
        <f>IF(AND(G179&lt;&gt;"",'Historical Score'!$C$6&lt;&gt;""),IF(G179='Historical Score'!$C$6,1,0),0)</f>
        <v/>
      </c>
      <c r="AR179">
        <f>IF(AND(L179&lt;&gt;"",'Historical Score'!$C$5&lt;&gt;""),IF(L179='Historical Score'!$C$5,1,0),0)</f>
        <v/>
      </c>
      <c r="AS179">
        <f>IF(AND(Y179&lt;&gt;"",'Historical Score'!$C$7&lt;&gt;""),IF(Y179='Historical Score'!$C$7,1,0),0)</f>
        <v/>
      </c>
      <c r="AT179">
        <f>IF(AND(K179&lt;&gt;"",'Historical Score'!$C$8&lt;&gt;""),IF(K179='Historical Score'!$C$8,1,0),0)</f>
        <v/>
      </c>
      <c r="AU179">
        <f>IF(AND(J179&lt;&gt;"",'Historical Score'!$C$9&lt;&gt;""),IF(J179='Historical Score'!$C$9,1,0),0)</f>
        <v/>
      </c>
      <c r="AV179">
        <f>AR179*AS179*AQ179</f>
        <v/>
      </c>
      <c r="AW179">
        <f>AR179*AT179*AQ179</f>
        <v/>
      </c>
      <c r="AX179">
        <f>AR179*AS179</f>
        <v/>
      </c>
      <c r="AY179">
        <f>AR179*AT179</f>
        <v/>
      </c>
      <c r="AZ179">
        <f>AR179*AQ179</f>
        <v/>
      </c>
      <c r="BA179">
        <f>AR179</f>
        <v/>
      </c>
      <c r="BB179">
        <f>1</f>
        <v/>
      </c>
      <c r="BC179">
        <f>IF(AV179=1,1,IF(AW179=1,2,IF(AX179=1,3,IF(AY179=1,4,IF(AZ179=1,5,IF(BA179=1,6,7))))))</f>
        <v/>
      </c>
      <c r="BD179">
        <f>IF(AD179=1,CHOOSE('Historical Score'!$C$29,AV179,AW179,AX179,AY179,AZ179,BA179,BB179),0)</f>
        <v/>
      </c>
      <c r="BE179">
        <f>IF(BD179=1,COUNTIF($BD$2:BD179,1),"")</f>
        <v/>
      </c>
    </row>
    <row r="180">
      <c r="A180" t="inlineStr">
        <is>
          <t>5674162988</t>
        </is>
      </c>
      <c r="B180" t="inlineStr">
        <is>
          <t>Stone Manufacture</t>
        </is>
      </c>
      <c r="C180" t="inlineStr">
        <is>
          <t>SAWAED INC</t>
        </is>
      </c>
      <c r="D180" t="inlineStr">
        <is>
          <t>Legal</t>
        </is>
      </c>
      <c r="E180" s="297" t="n">
        <v>45869</v>
      </c>
      <c r="F180" s="297" t="n">
        <v>46160</v>
      </c>
      <c r="G180" t="n">
        <v>3</v>
      </c>
      <c r="H180" t="inlineStr">
        <is>
          <t>1521</t>
        </is>
      </c>
      <c r="I180" t="inlineStr">
        <is>
          <t>15</t>
        </is>
      </c>
      <c r="J180" t="inlineStr">
        <is>
          <t>CA</t>
        </is>
      </c>
      <c r="K180" t="inlineStr">
        <is>
          <t>PMF</t>
        </is>
      </c>
      <c r="L180" t="inlineStr">
        <is>
          <t>New Deal</t>
        </is>
      </c>
      <c r="M180" s="298" t="n">
        <v>1.499</v>
      </c>
      <c r="N180" s="299" t="n">
        <v>5500</v>
      </c>
      <c r="O180" s="299" t="n">
        <v>770</v>
      </c>
      <c r="P180" s="299" t="n">
        <v>8244.5</v>
      </c>
      <c r="Q180" s="299" t="n">
        <v>6451.06</v>
      </c>
      <c r="R180" s="299" t="n">
        <v>1793.44</v>
      </c>
      <c r="S180" s="300" t="n">
        <v>0.7824683122081389</v>
      </c>
      <c r="T180" t="n">
        <v>2.459</v>
      </c>
      <c r="U180" t="n">
        <v>36</v>
      </c>
      <c r="V180" t="n">
        <v>30945.17</v>
      </c>
      <c r="W180" s="300" t="n">
        <v>0.0742</v>
      </c>
      <c r="X180" s="297" t="n">
        <v>38303</v>
      </c>
      <c r="Y180">
        <f>IF(I180="","No SIC",IFERROR(VLOOKUP(I180,Ref!$A$2:$B$65,2,FALSE),"Unclassified"))</f>
        <v/>
      </c>
      <c r="Z180">
        <f>IF(T180="","",IF(T180&lt;12,"Daily","Weekly"))</f>
        <v/>
      </c>
      <c r="AA180">
        <f>IF(T180="",0,IF(T180&lt;12,T180*Controls!$B$29,T180*5))</f>
        <v/>
      </c>
      <c r="AB180">
        <f>IF(E180="",0,NETWORKDAYS(E180,Controls!$B$36,Ref!$K$2:$K$42))</f>
        <v/>
      </c>
      <c r="AC180">
        <f>IF(AND(AA180&gt;0,AB180&gt;=Controls!$B$39*AA180),1,0)</f>
        <v/>
      </c>
      <c r="AD180">
        <f>IF(AND(E180&lt;&gt;"",E180&gt;=Controls!$B$37,E180&lt;=Controls!$B$38),1,0)</f>
        <v/>
      </c>
      <c r="AE180">
        <f>IF(IFERROR(VLOOKUP(D180,Controls!$A$64:$E$74,2,FALSE),"No")="Yes",1,0)</f>
        <v/>
      </c>
      <c r="AF180">
        <f>IF(IFERROR(VLOOKUP(D180,Controls!$A$64:$E$74,3,FALSE),"No")="Yes",1,0)</f>
        <v/>
      </c>
      <c r="AG180">
        <f>IF(IFERROR(VLOOKUP(D180,Controls!$A$64:$E$74,4,FALSE),"No")="Yes",1,0)</f>
        <v/>
      </c>
      <c r="AH180">
        <f>IF(IFERROR(VLOOKUP(D180,Controls!$A$64:$E$74,5,FALSE),"No")="Yes",1,0)</f>
        <v/>
      </c>
      <c r="AI180">
        <f>IF(ISNUMBER(MATCH(D180,Controls!$A$64:$A$74,0)),1,0)</f>
        <v/>
      </c>
      <c r="AJ180">
        <f>Q180-N180</f>
        <v/>
      </c>
      <c r="AK180">
        <f>IF(AE180=1,MAX(0,N180-Q180),0)</f>
        <v/>
      </c>
      <c r="AL180">
        <f>IF(OR(V180="",V180=0),0,N180/V180)</f>
        <v/>
      </c>
      <c r="AM180">
        <f>IF(OR(V180="",V180=0),0,1)</f>
        <v/>
      </c>
      <c r="AN180">
        <f>IF(OR(E180="",F180=""),0,NETWORKDAYS(E180,F180,Ref!$K$2:$K$42))</f>
        <v/>
      </c>
      <c r="AO180">
        <f>IF(L180="Renewal",1,0)</f>
        <v/>
      </c>
      <c r="AP180">
        <f>AC180*AD180</f>
        <v/>
      </c>
      <c r="AQ180">
        <f>IF(AND(G180&lt;&gt;"",'Historical Score'!$C$6&lt;&gt;""),IF(G180='Historical Score'!$C$6,1,0),0)</f>
        <v/>
      </c>
      <c r="AR180">
        <f>IF(AND(L180&lt;&gt;"",'Historical Score'!$C$5&lt;&gt;""),IF(L180='Historical Score'!$C$5,1,0),0)</f>
        <v/>
      </c>
      <c r="AS180">
        <f>IF(AND(Y180&lt;&gt;"",'Historical Score'!$C$7&lt;&gt;""),IF(Y180='Historical Score'!$C$7,1,0),0)</f>
        <v/>
      </c>
      <c r="AT180">
        <f>IF(AND(K180&lt;&gt;"",'Historical Score'!$C$8&lt;&gt;""),IF(K180='Historical Score'!$C$8,1,0),0)</f>
        <v/>
      </c>
      <c r="AU180">
        <f>IF(AND(J180&lt;&gt;"",'Historical Score'!$C$9&lt;&gt;""),IF(J180='Historical Score'!$C$9,1,0),0)</f>
        <v/>
      </c>
      <c r="AV180">
        <f>AR180*AS180*AQ180</f>
        <v/>
      </c>
      <c r="AW180">
        <f>AR180*AT180*AQ180</f>
        <v/>
      </c>
      <c r="AX180">
        <f>AR180*AS180</f>
        <v/>
      </c>
      <c r="AY180">
        <f>AR180*AT180</f>
        <v/>
      </c>
      <c r="AZ180">
        <f>AR180*AQ180</f>
        <v/>
      </c>
      <c r="BA180">
        <f>AR180</f>
        <v/>
      </c>
      <c r="BB180">
        <f>1</f>
        <v/>
      </c>
      <c r="BC180">
        <f>IF(AV180=1,1,IF(AW180=1,2,IF(AX180=1,3,IF(AY180=1,4,IF(AZ180=1,5,IF(BA180=1,6,7))))))</f>
        <v/>
      </c>
      <c r="BD180">
        <f>IF(AD180=1,CHOOSE('Historical Score'!$C$29,AV180,AW180,AX180,AY180,AZ180,BA180,BB180),0)</f>
        <v/>
      </c>
      <c r="BE180">
        <f>IF(BD180=1,COUNTIF($BD$2:BD180,1),"")</f>
        <v/>
      </c>
    </row>
    <row r="181">
      <c r="A181" t="inlineStr">
        <is>
          <t>5674162990</t>
        </is>
      </c>
      <c r="B181" t="inlineStr">
        <is>
          <t>DALLAS DETAIL &amp; CONSTRUCTION</t>
        </is>
      </c>
      <c r="C181" t="inlineStr">
        <is>
          <t>DALLAS DETAIL &amp; CONSTRUCTION</t>
        </is>
      </c>
      <c r="D181" t="inlineStr">
        <is>
          <t>Closed</t>
        </is>
      </c>
      <c r="E181" s="297" t="n">
        <v>45869</v>
      </c>
      <c r="F181" s="297" t="n">
        <v>45947</v>
      </c>
      <c r="G181" t="n">
        <v>7</v>
      </c>
      <c r="H181" t="inlineStr">
        <is>
          <t>1521</t>
        </is>
      </c>
      <c r="I181" t="inlineStr">
        <is>
          <t>15</t>
        </is>
      </c>
      <c r="J181" t="inlineStr">
        <is>
          <t>TX</t>
        </is>
      </c>
      <c r="K181" t="inlineStr">
        <is>
          <t>The Funding Channel</t>
        </is>
      </c>
      <c r="L181" t="inlineStr">
        <is>
          <t>New Deal</t>
        </is>
      </c>
      <c r="M181" s="298" t="n">
        <v>1.5</v>
      </c>
      <c r="N181" s="299" t="n">
        <v>5000</v>
      </c>
      <c r="O181" s="299" t="n">
        <v>700</v>
      </c>
      <c r="P181" s="299" t="n">
        <v>7500</v>
      </c>
      <c r="Q181" s="299" t="n">
        <v>7500</v>
      </c>
      <c r="R181" s="299" t="n">
        <v>0</v>
      </c>
      <c r="S181" s="300" t="n">
        <v>1</v>
      </c>
      <c r="T181" t="n">
        <v>2.295</v>
      </c>
      <c r="U181" t="n">
        <v>0</v>
      </c>
      <c r="V181" t="n">
        <v>77765.69</v>
      </c>
      <c r="W181" s="300" t="n">
        <v>0.0287</v>
      </c>
      <c r="X181" s="297" t="n">
        <v>40917</v>
      </c>
      <c r="Y181">
        <f>IF(I181="","No SIC",IFERROR(VLOOKUP(I181,Ref!$A$2:$B$65,2,FALSE),"Unclassified"))</f>
        <v/>
      </c>
      <c r="Z181">
        <f>IF(T181="","",IF(T181&lt;12,"Daily","Weekly"))</f>
        <v/>
      </c>
      <c r="AA181">
        <f>IF(T181="",0,IF(T181&lt;12,T181*Controls!$B$29,T181*5))</f>
        <v/>
      </c>
      <c r="AB181">
        <f>IF(E181="",0,NETWORKDAYS(E181,Controls!$B$36,Ref!$K$2:$K$42))</f>
        <v/>
      </c>
      <c r="AC181">
        <f>IF(AND(AA181&gt;0,AB181&gt;=Controls!$B$39*AA181),1,0)</f>
        <v/>
      </c>
      <c r="AD181">
        <f>IF(AND(E181&lt;&gt;"",E181&gt;=Controls!$B$37,E181&lt;=Controls!$B$38),1,0)</f>
        <v/>
      </c>
      <c r="AE181">
        <f>IF(IFERROR(VLOOKUP(D181,Controls!$A$64:$E$74,2,FALSE),"No")="Yes",1,0)</f>
        <v/>
      </c>
      <c r="AF181">
        <f>IF(IFERROR(VLOOKUP(D181,Controls!$A$64:$E$74,3,FALSE),"No")="Yes",1,0)</f>
        <v/>
      </c>
      <c r="AG181">
        <f>IF(IFERROR(VLOOKUP(D181,Controls!$A$64:$E$74,4,FALSE),"No")="Yes",1,0)</f>
        <v/>
      </c>
      <c r="AH181">
        <f>IF(IFERROR(VLOOKUP(D181,Controls!$A$64:$E$74,5,FALSE),"No")="Yes",1,0)</f>
        <v/>
      </c>
      <c r="AI181">
        <f>IF(ISNUMBER(MATCH(D181,Controls!$A$64:$A$74,0)),1,0)</f>
        <v/>
      </c>
      <c r="AJ181">
        <f>Q181-N181</f>
        <v/>
      </c>
      <c r="AK181">
        <f>IF(AE181=1,MAX(0,N181-Q181),0)</f>
        <v/>
      </c>
      <c r="AL181">
        <f>IF(OR(V181="",V181=0),0,N181/V181)</f>
        <v/>
      </c>
      <c r="AM181">
        <f>IF(OR(V181="",V181=0),0,1)</f>
        <v/>
      </c>
      <c r="AN181">
        <f>IF(OR(E181="",F181=""),0,NETWORKDAYS(E181,F181,Ref!$K$2:$K$42))</f>
        <v/>
      </c>
      <c r="AO181">
        <f>IF(L181="Renewal",1,0)</f>
        <v/>
      </c>
      <c r="AP181">
        <f>AC181*AD181</f>
        <v/>
      </c>
      <c r="AQ181">
        <f>IF(AND(G181&lt;&gt;"",'Historical Score'!$C$6&lt;&gt;""),IF(G181='Historical Score'!$C$6,1,0),0)</f>
        <v/>
      </c>
      <c r="AR181">
        <f>IF(AND(L181&lt;&gt;"",'Historical Score'!$C$5&lt;&gt;""),IF(L181='Historical Score'!$C$5,1,0),0)</f>
        <v/>
      </c>
      <c r="AS181">
        <f>IF(AND(Y181&lt;&gt;"",'Historical Score'!$C$7&lt;&gt;""),IF(Y181='Historical Score'!$C$7,1,0),0)</f>
        <v/>
      </c>
      <c r="AT181">
        <f>IF(AND(K181&lt;&gt;"",'Historical Score'!$C$8&lt;&gt;""),IF(K181='Historical Score'!$C$8,1,0),0)</f>
        <v/>
      </c>
      <c r="AU181">
        <f>IF(AND(J181&lt;&gt;"",'Historical Score'!$C$9&lt;&gt;""),IF(J181='Historical Score'!$C$9,1,0),0)</f>
        <v/>
      </c>
      <c r="AV181">
        <f>AR181*AS181*AQ181</f>
        <v/>
      </c>
      <c r="AW181">
        <f>AR181*AT181*AQ181</f>
        <v/>
      </c>
      <c r="AX181">
        <f>AR181*AS181</f>
        <v/>
      </c>
      <c r="AY181">
        <f>AR181*AT181</f>
        <v/>
      </c>
      <c r="AZ181">
        <f>AR181*AQ181</f>
        <v/>
      </c>
      <c r="BA181">
        <f>AR181</f>
        <v/>
      </c>
      <c r="BB181">
        <f>1</f>
        <v/>
      </c>
      <c r="BC181">
        <f>IF(AV181=1,1,IF(AW181=1,2,IF(AX181=1,3,IF(AY181=1,4,IF(AZ181=1,5,IF(BA181=1,6,7))))))</f>
        <v/>
      </c>
      <c r="BD181">
        <f>IF(AD181=1,CHOOSE('Historical Score'!$C$29,AV181,AW181,AX181,AY181,AZ181,BA181,BB181),0)</f>
        <v/>
      </c>
      <c r="BE181">
        <f>IF(BD181=1,COUNTIF($BD$2:BD181,1),"")</f>
        <v/>
      </c>
    </row>
    <row r="182">
      <c r="A182" t="inlineStr">
        <is>
          <t>5674162999</t>
        </is>
      </c>
      <c r="B182" t="inlineStr">
        <is>
          <t>GREENLIFE BOTANICALS LLC</t>
        </is>
      </c>
      <c r="C182" t="inlineStr">
        <is>
          <t>GREENLIFE BOTANICALS LLC</t>
        </is>
      </c>
      <c r="D182" t="inlineStr">
        <is>
          <t>Legal</t>
        </is>
      </c>
      <c r="E182" s="297" t="n">
        <v>45869</v>
      </c>
      <c r="F182" s="297" t="n">
        <v>45881</v>
      </c>
      <c r="G182" t="n">
        <v>8</v>
      </c>
      <c r="H182" t="inlineStr">
        <is>
          <t>5999</t>
        </is>
      </c>
      <c r="I182" t="inlineStr">
        <is>
          <t>59</t>
        </is>
      </c>
      <c r="J182" t="inlineStr">
        <is>
          <t>GA</t>
        </is>
      </c>
      <c r="K182" t="inlineStr">
        <is>
          <t>Premium Capital (AMRK)</t>
        </is>
      </c>
      <c r="L182" t="inlineStr">
        <is>
          <t>New Deal</t>
        </is>
      </c>
      <c r="M182" s="298" t="n">
        <v>1.49</v>
      </c>
      <c r="N182" s="299" t="n">
        <v>10000</v>
      </c>
      <c r="O182" s="299" t="n">
        <v>0</v>
      </c>
      <c r="P182" s="299" t="n">
        <v>14900</v>
      </c>
      <c r="Q182" s="299" t="n">
        <v>186.34</v>
      </c>
      <c r="R182" s="299" t="n">
        <v>14713.66</v>
      </c>
      <c r="S182" s="300" t="n">
        <v>0.0125060402684564</v>
      </c>
      <c r="T182" t="n">
        <v>2.623</v>
      </c>
      <c r="U182" t="n">
        <v>7</v>
      </c>
      <c r="V182" t="n">
        <v>39888.92</v>
      </c>
      <c r="W182" s="300" t="n">
        <v>0.09810000000000001</v>
      </c>
      <c r="X182" s="297" t="n"/>
      <c r="Y182">
        <f>IF(I182="","No SIC",IFERROR(VLOOKUP(I182,Ref!$A$2:$B$65,2,FALSE),"Unclassified"))</f>
        <v/>
      </c>
      <c r="Z182">
        <f>IF(T182="","",IF(T182&lt;12,"Daily","Weekly"))</f>
        <v/>
      </c>
      <c r="AA182">
        <f>IF(T182="",0,IF(T182&lt;12,T182*Controls!$B$29,T182*5))</f>
        <v/>
      </c>
      <c r="AB182">
        <f>IF(E182="",0,NETWORKDAYS(E182,Controls!$B$36,Ref!$K$2:$K$42))</f>
        <v/>
      </c>
      <c r="AC182">
        <f>IF(AND(AA182&gt;0,AB182&gt;=Controls!$B$39*AA182),1,0)</f>
        <v/>
      </c>
      <c r="AD182">
        <f>IF(AND(E182&lt;&gt;"",E182&gt;=Controls!$B$37,E182&lt;=Controls!$B$38),1,0)</f>
        <v/>
      </c>
      <c r="AE182">
        <f>IF(IFERROR(VLOOKUP(D182,Controls!$A$64:$E$74,2,FALSE),"No")="Yes",1,0)</f>
        <v/>
      </c>
      <c r="AF182">
        <f>IF(IFERROR(VLOOKUP(D182,Controls!$A$64:$E$74,3,FALSE),"No")="Yes",1,0)</f>
        <v/>
      </c>
      <c r="AG182">
        <f>IF(IFERROR(VLOOKUP(D182,Controls!$A$64:$E$74,4,FALSE),"No")="Yes",1,0)</f>
        <v/>
      </c>
      <c r="AH182">
        <f>IF(IFERROR(VLOOKUP(D182,Controls!$A$64:$E$74,5,FALSE),"No")="Yes",1,0)</f>
        <v/>
      </c>
      <c r="AI182">
        <f>IF(ISNUMBER(MATCH(D182,Controls!$A$64:$A$74,0)),1,0)</f>
        <v/>
      </c>
      <c r="AJ182">
        <f>Q182-N182</f>
        <v/>
      </c>
      <c r="AK182">
        <f>IF(AE182=1,MAX(0,N182-Q182),0)</f>
        <v/>
      </c>
      <c r="AL182">
        <f>IF(OR(V182="",V182=0),0,N182/V182)</f>
        <v/>
      </c>
      <c r="AM182">
        <f>IF(OR(V182="",V182=0),0,1)</f>
        <v/>
      </c>
      <c r="AN182">
        <f>IF(OR(E182="",F182=""),0,NETWORKDAYS(E182,F182,Ref!$K$2:$K$42))</f>
        <v/>
      </c>
      <c r="AO182">
        <f>IF(L182="Renewal",1,0)</f>
        <v/>
      </c>
      <c r="AP182">
        <f>AC182*AD182</f>
        <v/>
      </c>
      <c r="AQ182">
        <f>IF(AND(G182&lt;&gt;"",'Historical Score'!$C$6&lt;&gt;""),IF(G182='Historical Score'!$C$6,1,0),0)</f>
        <v/>
      </c>
      <c r="AR182">
        <f>IF(AND(L182&lt;&gt;"",'Historical Score'!$C$5&lt;&gt;""),IF(L182='Historical Score'!$C$5,1,0),0)</f>
        <v/>
      </c>
      <c r="AS182">
        <f>IF(AND(Y182&lt;&gt;"",'Historical Score'!$C$7&lt;&gt;""),IF(Y182='Historical Score'!$C$7,1,0),0)</f>
        <v/>
      </c>
      <c r="AT182">
        <f>IF(AND(K182&lt;&gt;"",'Historical Score'!$C$8&lt;&gt;""),IF(K182='Historical Score'!$C$8,1,0),0)</f>
        <v/>
      </c>
      <c r="AU182">
        <f>IF(AND(J182&lt;&gt;"",'Historical Score'!$C$9&lt;&gt;""),IF(J182='Historical Score'!$C$9,1,0),0)</f>
        <v/>
      </c>
      <c r="AV182">
        <f>AR182*AS182*AQ182</f>
        <v/>
      </c>
      <c r="AW182">
        <f>AR182*AT182*AQ182</f>
        <v/>
      </c>
      <c r="AX182">
        <f>AR182*AS182</f>
        <v/>
      </c>
      <c r="AY182">
        <f>AR182*AT182</f>
        <v/>
      </c>
      <c r="AZ182">
        <f>AR182*AQ182</f>
        <v/>
      </c>
      <c r="BA182">
        <f>AR182</f>
        <v/>
      </c>
      <c r="BB182">
        <f>1</f>
        <v/>
      </c>
      <c r="BC182">
        <f>IF(AV182=1,1,IF(AW182=1,2,IF(AX182=1,3,IF(AY182=1,4,IF(AZ182=1,5,IF(BA182=1,6,7))))))</f>
        <v/>
      </c>
      <c r="BD182">
        <f>IF(AD182=1,CHOOSE('Historical Score'!$C$29,AV182,AW182,AX182,AY182,AZ182,BA182,BB182),0)</f>
        <v/>
      </c>
      <c r="BE182">
        <f>IF(BD182=1,COUNTIF($BD$2:BD182,1),"")</f>
        <v/>
      </c>
    </row>
    <row r="183">
      <c r="A183" t="inlineStr">
        <is>
          <t>5674163045</t>
        </is>
      </c>
      <c r="B183" t="inlineStr">
        <is>
          <t>coreys Southern Catering</t>
        </is>
      </c>
      <c r="C183" t="inlineStr">
        <is>
          <t>FAVOR ONE LLC</t>
        </is>
      </c>
      <c r="D183" t="inlineStr">
        <is>
          <t>Closed</t>
        </is>
      </c>
      <c r="E183" s="297" t="n">
        <v>45869</v>
      </c>
      <c r="F183" s="297" t="n">
        <v>45986</v>
      </c>
      <c r="G183" t="n">
        <v>6</v>
      </c>
      <c r="H183" t="inlineStr">
        <is>
          <t>5812</t>
        </is>
      </c>
      <c r="I183" t="inlineStr">
        <is>
          <t>58</t>
        </is>
      </c>
      <c r="J183" t="inlineStr">
        <is>
          <t>VA</t>
        </is>
      </c>
      <c r="K183" t="inlineStr">
        <is>
          <t>Premium Capital (AMRK)</t>
        </is>
      </c>
      <c r="L183" t="inlineStr">
        <is>
          <t>New Deal</t>
        </is>
      </c>
      <c r="M183" s="298" t="n">
        <v>1.42</v>
      </c>
      <c r="N183" s="299" t="n">
        <v>10000</v>
      </c>
      <c r="O183" s="299" t="n">
        <v>1050</v>
      </c>
      <c r="P183" s="299" t="n">
        <v>14200</v>
      </c>
      <c r="Q183" s="299" t="n">
        <v>14200</v>
      </c>
      <c r="R183" s="299" t="n">
        <v>0</v>
      </c>
      <c r="S183" s="300" t="n">
        <v>1</v>
      </c>
      <c r="T183" t="n">
        <v>2.623</v>
      </c>
      <c r="U183" t="n">
        <v>0</v>
      </c>
      <c r="V183" t="n">
        <v>42674.88</v>
      </c>
      <c r="W183" s="300" t="n">
        <v>0.0873</v>
      </c>
      <c r="X183" s="297" t="n"/>
      <c r="Y183">
        <f>IF(I183="","No SIC",IFERROR(VLOOKUP(I183,Ref!$A$2:$B$65,2,FALSE),"Unclassified"))</f>
        <v/>
      </c>
      <c r="Z183">
        <f>IF(T183="","",IF(T183&lt;12,"Daily","Weekly"))</f>
        <v/>
      </c>
      <c r="AA183">
        <f>IF(T183="",0,IF(T183&lt;12,T183*Controls!$B$29,T183*5))</f>
        <v/>
      </c>
      <c r="AB183">
        <f>IF(E183="",0,NETWORKDAYS(E183,Controls!$B$36,Ref!$K$2:$K$42))</f>
        <v/>
      </c>
      <c r="AC183">
        <f>IF(AND(AA183&gt;0,AB183&gt;=Controls!$B$39*AA183),1,0)</f>
        <v/>
      </c>
      <c r="AD183">
        <f>IF(AND(E183&lt;&gt;"",E183&gt;=Controls!$B$37,E183&lt;=Controls!$B$38),1,0)</f>
        <v/>
      </c>
      <c r="AE183">
        <f>IF(IFERROR(VLOOKUP(D183,Controls!$A$64:$E$74,2,FALSE),"No")="Yes",1,0)</f>
        <v/>
      </c>
      <c r="AF183">
        <f>IF(IFERROR(VLOOKUP(D183,Controls!$A$64:$E$74,3,FALSE),"No")="Yes",1,0)</f>
        <v/>
      </c>
      <c r="AG183">
        <f>IF(IFERROR(VLOOKUP(D183,Controls!$A$64:$E$74,4,FALSE),"No")="Yes",1,0)</f>
        <v/>
      </c>
      <c r="AH183">
        <f>IF(IFERROR(VLOOKUP(D183,Controls!$A$64:$E$74,5,FALSE),"No")="Yes",1,0)</f>
        <v/>
      </c>
      <c r="AI183">
        <f>IF(ISNUMBER(MATCH(D183,Controls!$A$64:$A$74,0)),1,0)</f>
        <v/>
      </c>
      <c r="AJ183">
        <f>Q183-N183</f>
        <v/>
      </c>
      <c r="AK183">
        <f>IF(AE183=1,MAX(0,N183-Q183),0)</f>
        <v/>
      </c>
      <c r="AL183">
        <f>IF(OR(V183="",V183=0),0,N183/V183)</f>
        <v/>
      </c>
      <c r="AM183">
        <f>IF(OR(V183="",V183=0),0,1)</f>
        <v/>
      </c>
      <c r="AN183">
        <f>IF(OR(E183="",F183=""),0,NETWORKDAYS(E183,F183,Ref!$K$2:$K$42))</f>
        <v/>
      </c>
      <c r="AO183">
        <f>IF(L183="Renewal",1,0)</f>
        <v/>
      </c>
      <c r="AP183">
        <f>AC183*AD183</f>
        <v/>
      </c>
      <c r="AQ183">
        <f>IF(AND(G183&lt;&gt;"",'Historical Score'!$C$6&lt;&gt;""),IF(G183='Historical Score'!$C$6,1,0),0)</f>
        <v/>
      </c>
      <c r="AR183">
        <f>IF(AND(L183&lt;&gt;"",'Historical Score'!$C$5&lt;&gt;""),IF(L183='Historical Score'!$C$5,1,0),0)</f>
        <v/>
      </c>
      <c r="AS183">
        <f>IF(AND(Y183&lt;&gt;"",'Historical Score'!$C$7&lt;&gt;""),IF(Y183='Historical Score'!$C$7,1,0),0)</f>
        <v/>
      </c>
      <c r="AT183">
        <f>IF(AND(K183&lt;&gt;"",'Historical Score'!$C$8&lt;&gt;""),IF(K183='Historical Score'!$C$8,1,0),0)</f>
        <v/>
      </c>
      <c r="AU183">
        <f>IF(AND(J183&lt;&gt;"",'Historical Score'!$C$9&lt;&gt;""),IF(J183='Historical Score'!$C$9,1,0),0)</f>
        <v/>
      </c>
      <c r="AV183">
        <f>AR183*AS183*AQ183</f>
        <v/>
      </c>
      <c r="AW183">
        <f>AR183*AT183*AQ183</f>
        <v/>
      </c>
      <c r="AX183">
        <f>AR183*AS183</f>
        <v/>
      </c>
      <c r="AY183">
        <f>AR183*AT183</f>
        <v/>
      </c>
      <c r="AZ183">
        <f>AR183*AQ183</f>
        <v/>
      </c>
      <c r="BA183">
        <f>AR183</f>
        <v/>
      </c>
      <c r="BB183">
        <f>1</f>
        <v/>
      </c>
      <c r="BC183">
        <f>IF(AV183=1,1,IF(AW183=1,2,IF(AX183=1,3,IF(AY183=1,4,IF(AZ183=1,5,IF(BA183=1,6,7))))))</f>
        <v/>
      </c>
      <c r="BD183">
        <f>IF(AD183=1,CHOOSE('Historical Score'!$C$29,AV183,AW183,AX183,AY183,AZ183,BA183,BB183),0)</f>
        <v/>
      </c>
      <c r="BE183">
        <f>IF(BD183=1,COUNTIF($BD$2:BD183,1),"")</f>
        <v/>
      </c>
    </row>
    <row r="184">
      <c r="A184" t="inlineStr">
        <is>
          <t>5674163052</t>
        </is>
      </c>
      <c r="B184" t="inlineStr">
        <is>
          <t>So Baltimore, LLC</t>
        </is>
      </c>
      <c r="C184" t="inlineStr">
        <is>
          <t>So Baltimore, LLC</t>
        </is>
      </c>
      <c r="D184" t="inlineStr">
        <is>
          <t>Closed</t>
        </is>
      </c>
      <c r="E184" s="297" t="n">
        <v>45869</v>
      </c>
      <c r="F184" s="297" t="n">
        <v>45953</v>
      </c>
      <c r="G184" t="n">
        <v>5</v>
      </c>
      <c r="H184" t="inlineStr">
        <is>
          <t>5812</t>
        </is>
      </c>
      <c r="I184" t="inlineStr">
        <is>
          <t>58</t>
        </is>
      </c>
      <c r="J184" t="inlineStr">
        <is>
          <t>MD</t>
        </is>
      </c>
      <c r="K184" t="inlineStr">
        <is>
          <t>Llama Loan</t>
        </is>
      </c>
      <c r="L184" t="inlineStr">
        <is>
          <t>Renewal</t>
        </is>
      </c>
      <c r="M184" s="298" t="n">
        <v>1.43</v>
      </c>
      <c r="N184" s="299" t="n">
        <v>18000</v>
      </c>
      <c r="O184" s="299" t="n">
        <v>1980</v>
      </c>
      <c r="P184" s="299" t="n">
        <v>25740</v>
      </c>
      <c r="Q184" s="299" t="n">
        <v>25740</v>
      </c>
      <c r="R184" s="299" t="n">
        <v>0</v>
      </c>
      <c r="S184" s="300" t="n">
        <v>1</v>
      </c>
      <c r="T184" t="n">
        <v>2.951</v>
      </c>
      <c r="U184" t="n">
        <v>0</v>
      </c>
      <c r="V184" t="n">
        <v>82755.78</v>
      </c>
      <c r="W184" s="300" t="n">
        <v>0.1058</v>
      </c>
      <c r="X184" s="297" t="n">
        <v>44378</v>
      </c>
      <c r="Y184">
        <f>IF(I184="","No SIC",IFERROR(VLOOKUP(I184,Ref!$A$2:$B$65,2,FALSE),"Unclassified"))</f>
        <v/>
      </c>
      <c r="Z184">
        <f>IF(T184="","",IF(T184&lt;12,"Daily","Weekly"))</f>
        <v/>
      </c>
      <c r="AA184">
        <f>IF(T184="",0,IF(T184&lt;12,T184*Controls!$B$29,T184*5))</f>
        <v/>
      </c>
      <c r="AB184">
        <f>IF(E184="",0,NETWORKDAYS(E184,Controls!$B$36,Ref!$K$2:$K$42))</f>
        <v/>
      </c>
      <c r="AC184">
        <f>IF(AND(AA184&gt;0,AB184&gt;=Controls!$B$39*AA184),1,0)</f>
        <v/>
      </c>
      <c r="AD184">
        <f>IF(AND(E184&lt;&gt;"",E184&gt;=Controls!$B$37,E184&lt;=Controls!$B$38),1,0)</f>
        <v/>
      </c>
      <c r="AE184">
        <f>IF(IFERROR(VLOOKUP(D184,Controls!$A$64:$E$74,2,FALSE),"No")="Yes",1,0)</f>
        <v/>
      </c>
      <c r="AF184">
        <f>IF(IFERROR(VLOOKUP(D184,Controls!$A$64:$E$74,3,FALSE),"No")="Yes",1,0)</f>
        <v/>
      </c>
      <c r="AG184">
        <f>IF(IFERROR(VLOOKUP(D184,Controls!$A$64:$E$74,4,FALSE),"No")="Yes",1,0)</f>
        <v/>
      </c>
      <c r="AH184">
        <f>IF(IFERROR(VLOOKUP(D184,Controls!$A$64:$E$74,5,FALSE),"No")="Yes",1,0)</f>
        <v/>
      </c>
      <c r="AI184">
        <f>IF(ISNUMBER(MATCH(D184,Controls!$A$64:$A$74,0)),1,0)</f>
        <v/>
      </c>
      <c r="AJ184">
        <f>Q184-N184</f>
        <v/>
      </c>
      <c r="AK184">
        <f>IF(AE184=1,MAX(0,N184-Q184),0)</f>
        <v/>
      </c>
      <c r="AL184">
        <f>IF(OR(V184="",V184=0),0,N184/V184)</f>
        <v/>
      </c>
      <c r="AM184">
        <f>IF(OR(V184="",V184=0),0,1)</f>
        <v/>
      </c>
      <c r="AN184">
        <f>IF(OR(E184="",F184=""),0,NETWORKDAYS(E184,F184,Ref!$K$2:$K$42))</f>
        <v/>
      </c>
      <c r="AO184">
        <f>IF(L184="Renewal",1,0)</f>
        <v/>
      </c>
      <c r="AP184">
        <f>AC184*AD184</f>
        <v/>
      </c>
      <c r="AQ184">
        <f>IF(AND(G184&lt;&gt;"",'Historical Score'!$C$6&lt;&gt;""),IF(G184='Historical Score'!$C$6,1,0),0)</f>
        <v/>
      </c>
      <c r="AR184">
        <f>IF(AND(L184&lt;&gt;"",'Historical Score'!$C$5&lt;&gt;""),IF(L184='Historical Score'!$C$5,1,0),0)</f>
        <v/>
      </c>
      <c r="AS184">
        <f>IF(AND(Y184&lt;&gt;"",'Historical Score'!$C$7&lt;&gt;""),IF(Y184='Historical Score'!$C$7,1,0),0)</f>
        <v/>
      </c>
      <c r="AT184">
        <f>IF(AND(K184&lt;&gt;"",'Historical Score'!$C$8&lt;&gt;""),IF(K184='Historical Score'!$C$8,1,0),0)</f>
        <v/>
      </c>
      <c r="AU184">
        <f>IF(AND(J184&lt;&gt;"",'Historical Score'!$C$9&lt;&gt;""),IF(J184='Historical Score'!$C$9,1,0),0)</f>
        <v/>
      </c>
      <c r="AV184">
        <f>AR184*AS184*AQ184</f>
        <v/>
      </c>
      <c r="AW184">
        <f>AR184*AT184*AQ184</f>
        <v/>
      </c>
      <c r="AX184">
        <f>AR184*AS184</f>
        <v/>
      </c>
      <c r="AY184">
        <f>AR184*AT184</f>
        <v/>
      </c>
      <c r="AZ184">
        <f>AR184*AQ184</f>
        <v/>
      </c>
      <c r="BA184">
        <f>AR184</f>
        <v/>
      </c>
      <c r="BB184">
        <f>1</f>
        <v/>
      </c>
      <c r="BC184">
        <f>IF(AV184=1,1,IF(AW184=1,2,IF(AX184=1,3,IF(AY184=1,4,IF(AZ184=1,5,IF(BA184=1,6,7))))))</f>
        <v/>
      </c>
      <c r="BD184">
        <f>IF(AD184=1,CHOOSE('Historical Score'!$C$29,AV184,AW184,AX184,AY184,AZ184,BA184,BB184),0)</f>
        <v/>
      </c>
      <c r="BE184">
        <f>IF(BD184=1,COUNTIF($BD$2:BD184,1),"")</f>
        <v/>
      </c>
    </row>
    <row r="185">
      <c r="A185" t="inlineStr">
        <is>
          <t>5674163227</t>
        </is>
      </c>
      <c r="B185" t="inlineStr">
        <is>
          <t>Cramer Brothers Farms LLC</t>
        </is>
      </c>
      <c r="C185" t="inlineStr">
        <is>
          <t>Cramer Brothers Farms LLC</t>
        </is>
      </c>
      <c r="D185" t="inlineStr">
        <is>
          <t>Closed</t>
        </is>
      </c>
      <c r="E185" s="297" t="n">
        <v>45873</v>
      </c>
      <c r="F185" s="297" t="n">
        <v>45975</v>
      </c>
      <c r="G185" t="n">
        <v>1</v>
      </c>
      <c r="H185" t="inlineStr">
        <is>
          <t>4212</t>
        </is>
      </c>
      <c r="I185" t="inlineStr">
        <is>
          <t>42</t>
        </is>
      </c>
      <c r="J185" t="inlineStr">
        <is>
          <t>MO</t>
        </is>
      </c>
      <c r="K185" t="inlineStr">
        <is>
          <t>Smarter Credit Inc.</t>
        </is>
      </c>
      <c r="L185" t="inlineStr">
        <is>
          <t>New Deal</t>
        </is>
      </c>
      <c r="M185" s="298" t="n">
        <v>1.499</v>
      </c>
      <c r="N185" s="299" t="n">
        <v>5000</v>
      </c>
      <c r="O185" s="299" t="n">
        <v>700</v>
      </c>
      <c r="P185" s="299" t="n">
        <v>7495</v>
      </c>
      <c r="Q185" s="299" t="n">
        <v>7495</v>
      </c>
      <c r="R185" s="299" t="n">
        <v>9.09494701772928e-13</v>
      </c>
      <c r="S185" s="300" t="n">
        <v>1</v>
      </c>
      <c r="T185" t="n">
        <v>1.967</v>
      </c>
      <c r="U185" t="n">
        <v>5</v>
      </c>
      <c r="V185" t="n">
        <v>88870.11</v>
      </c>
      <c r="W185" s="300" t="n">
        <v>0.0293</v>
      </c>
      <c r="X185" s="297" t="n">
        <v>45258</v>
      </c>
      <c r="Y185">
        <f>IF(I185="","No SIC",IFERROR(VLOOKUP(I185,Ref!$A$2:$B$65,2,FALSE),"Unclassified"))</f>
        <v/>
      </c>
      <c r="Z185">
        <f>IF(T185="","",IF(T185&lt;12,"Daily","Weekly"))</f>
        <v/>
      </c>
      <c r="AA185">
        <f>IF(T185="",0,IF(T185&lt;12,T185*Controls!$B$29,T185*5))</f>
        <v/>
      </c>
      <c r="AB185">
        <f>IF(E185="",0,NETWORKDAYS(E185,Controls!$B$36,Ref!$K$2:$K$42))</f>
        <v/>
      </c>
      <c r="AC185">
        <f>IF(AND(AA185&gt;0,AB185&gt;=Controls!$B$39*AA185),1,0)</f>
        <v/>
      </c>
      <c r="AD185">
        <f>IF(AND(E185&lt;&gt;"",E185&gt;=Controls!$B$37,E185&lt;=Controls!$B$38),1,0)</f>
        <v/>
      </c>
      <c r="AE185">
        <f>IF(IFERROR(VLOOKUP(D185,Controls!$A$64:$E$74,2,FALSE),"No")="Yes",1,0)</f>
        <v/>
      </c>
      <c r="AF185">
        <f>IF(IFERROR(VLOOKUP(D185,Controls!$A$64:$E$74,3,FALSE),"No")="Yes",1,0)</f>
        <v/>
      </c>
      <c r="AG185">
        <f>IF(IFERROR(VLOOKUP(D185,Controls!$A$64:$E$74,4,FALSE),"No")="Yes",1,0)</f>
        <v/>
      </c>
      <c r="AH185">
        <f>IF(IFERROR(VLOOKUP(D185,Controls!$A$64:$E$74,5,FALSE),"No")="Yes",1,0)</f>
        <v/>
      </c>
      <c r="AI185">
        <f>IF(ISNUMBER(MATCH(D185,Controls!$A$64:$A$74,0)),1,0)</f>
        <v/>
      </c>
      <c r="AJ185">
        <f>Q185-N185</f>
        <v/>
      </c>
      <c r="AK185">
        <f>IF(AE185=1,MAX(0,N185-Q185),0)</f>
        <v/>
      </c>
      <c r="AL185">
        <f>IF(OR(V185="",V185=0),0,N185/V185)</f>
        <v/>
      </c>
      <c r="AM185">
        <f>IF(OR(V185="",V185=0),0,1)</f>
        <v/>
      </c>
      <c r="AN185">
        <f>IF(OR(E185="",F185=""),0,NETWORKDAYS(E185,F185,Ref!$K$2:$K$42))</f>
        <v/>
      </c>
      <c r="AO185">
        <f>IF(L185="Renewal",1,0)</f>
        <v/>
      </c>
      <c r="AP185">
        <f>AC185*AD185</f>
        <v/>
      </c>
      <c r="AQ185">
        <f>IF(AND(G185&lt;&gt;"",'Historical Score'!$C$6&lt;&gt;""),IF(G185='Historical Score'!$C$6,1,0),0)</f>
        <v/>
      </c>
      <c r="AR185">
        <f>IF(AND(L185&lt;&gt;"",'Historical Score'!$C$5&lt;&gt;""),IF(L185='Historical Score'!$C$5,1,0),0)</f>
        <v/>
      </c>
      <c r="AS185">
        <f>IF(AND(Y185&lt;&gt;"",'Historical Score'!$C$7&lt;&gt;""),IF(Y185='Historical Score'!$C$7,1,0),0)</f>
        <v/>
      </c>
      <c r="AT185">
        <f>IF(AND(K185&lt;&gt;"",'Historical Score'!$C$8&lt;&gt;""),IF(K185='Historical Score'!$C$8,1,0),0)</f>
        <v/>
      </c>
      <c r="AU185">
        <f>IF(AND(J185&lt;&gt;"",'Historical Score'!$C$9&lt;&gt;""),IF(J185='Historical Score'!$C$9,1,0),0)</f>
        <v/>
      </c>
      <c r="AV185">
        <f>AR185*AS185*AQ185</f>
        <v/>
      </c>
      <c r="AW185">
        <f>AR185*AT185*AQ185</f>
        <v/>
      </c>
      <c r="AX185">
        <f>AR185*AS185</f>
        <v/>
      </c>
      <c r="AY185">
        <f>AR185*AT185</f>
        <v/>
      </c>
      <c r="AZ185">
        <f>AR185*AQ185</f>
        <v/>
      </c>
      <c r="BA185">
        <f>AR185</f>
        <v/>
      </c>
      <c r="BB185">
        <f>1</f>
        <v/>
      </c>
      <c r="BC185">
        <f>IF(AV185=1,1,IF(AW185=1,2,IF(AX185=1,3,IF(AY185=1,4,IF(AZ185=1,5,IF(BA185=1,6,7))))))</f>
        <v/>
      </c>
      <c r="BD185">
        <f>IF(AD185=1,CHOOSE('Historical Score'!$C$29,AV185,AW185,AX185,AY185,AZ185,BA185,BB185),0)</f>
        <v/>
      </c>
      <c r="BE185">
        <f>IF(BD185=1,COUNTIF($BD$2:BD185,1),"")</f>
        <v/>
      </c>
    </row>
    <row r="186">
      <c r="A186" t="inlineStr">
        <is>
          <t>5674163296</t>
        </is>
      </c>
      <c r="B186" t="inlineStr">
        <is>
          <t>parker construction company</t>
        </is>
      </c>
      <c r="C186" t="inlineStr">
        <is>
          <t>Parker construction company llc</t>
        </is>
      </c>
      <c r="D186" t="inlineStr">
        <is>
          <t>Legal</t>
        </is>
      </c>
      <c r="E186" s="297" t="n">
        <v>45874</v>
      </c>
      <c r="F186" s="297" t="n">
        <v>45889</v>
      </c>
      <c r="G186" t="n">
        <v>2</v>
      </c>
      <c r="H186" t="inlineStr">
        <is>
          <t>1521</t>
        </is>
      </c>
      <c r="I186" t="inlineStr">
        <is>
          <t>15</t>
        </is>
      </c>
      <c r="J186" t="inlineStr">
        <is>
          <t>TN</t>
        </is>
      </c>
      <c r="K186" t="inlineStr">
        <is>
          <t>Springville Partners</t>
        </is>
      </c>
      <c r="L186" t="inlineStr">
        <is>
          <t>New Deal</t>
        </is>
      </c>
      <c r="M186" s="298" t="n">
        <v>1.499</v>
      </c>
      <c r="N186" s="299" t="n">
        <v>20000</v>
      </c>
      <c r="O186" s="299" t="n">
        <v>2400</v>
      </c>
      <c r="P186" s="299" t="n">
        <v>29980</v>
      </c>
      <c r="Q186" s="299" t="n">
        <v>3350.52</v>
      </c>
      <c r="R186" s="299" t="n">
        <v>26629.48</v>
      </c>
      <c r="S186" s="300" t="n">
        <v>0.111758505670447</v>
      </c>
      <c r="T186" t="n">
        <v>2.623</v>
      </c>
      <c r="U186" t="n">
        <v>3</v>
      </c>
      <c r="V186" t="n">
        <v>132060.2</v>
      </c>
      <c r="W186" s="300" t="n">
        <v>0.0592</v>
      </c>
      <c r="X186" s="297" t="n"/>
      <c r="Y186">
        <f>IF(I186="","No SIC",IFERROR(VLOOKUP(I186,Ref!$A$2:$B$65,2,FALSE),"Unclassified"))</f>
        <v/>
      </c>
      <c r="Z186">
        <f>IF(T186="","",IF(T186&lt;12,"Daily","Weekly"))</f>
        <v/>
      </c>
      <c r="AA186">
        <f>IF(T186="",0,IF(T186&lt;12,T186*Controls!$B$29,T186*5))</f>
        <v/>
      </c>
      <c r="AB186">
        <f>IF(E186="",0,NETWORKDAYS(E186,Controls!$B$36,Ref!$K$2:$K$42))</f>
        <v/>
      </c>
      <c r="AC186">
        <f>IF(AND(AA186&gt;0,AB186&gt;=Controls!$B$39*AA186),1,0)</f>
        <v/>
      </c>
      <c r="AD186">
        <f>IF(AND(E186&lt;&gt;"",E186&gt;=Controls!$B$37,E186&lt;=Controls!$B$38),1,0)</f>
        <v/>
      </c>
      <c r="AE186">
        <f>IF(IFERROR(VLOOKUP(D186,Controls!$A$64:$E$74,2,FALSE),"No")="Yes",1,0)</f>
        <v/>
      </c>
      <c r="AF186">
        <f>IF(IFERROR(VLOOKUP(D186,Controls!$A$64:$E$74,3,FALSE),"No")="Yes",1,0)</f>
        <v/>
      </c>
      <c r="AG186">
        <f>IF(IFERROR(VLOOKUP(D186,Controls!$A$64:$E$74,4,FALSE),"No")="Yes",1,0)</f>
        <v/>
      </c>
      <c r="AH186">
        <f>IF(IFERROR(VLOOKUP(D186,Controls!$A$64:$E$74,5,FALSE),"No")="Yes",1,0)</f>
        <v/>
      </c>
      <c r="AI186">
        <f>IF(ISNUMBER(MATCH(D186,Controls!$A$64:$A$74,0)),1,0)</f>
        <v/>
      </c>
      <c r="AJ186">
        <f>Q186-N186</f>
        <v/>
      </c>
      <c r="AK186">
        <f>IF(AE186=1,MAX(0,N186-Q186),0)</f>
        <v/>
      </c>
      <c r="AL186">
        <f>IF(OR(V186="",V186=0),0,N186/V186)</f>
        <v/>
      </c>
      <c r="AM186">
        <f>IF(OR(V186="",V186=0),0,1)</f>
        <v/>
      </c>
      <c r="AN186">
        <f>IF(OR(E186="",F186=""),0,NETWORKDAYS(E186,F186,Ref!$K$2:$K$42))</f>
        <v/>
      </c>
      <c r="AO186">
        <f>IF(L186="Renewal",1,0)</f>
        <v/>
      </c>
      <c r="AP186">
        <f>AC186*AD186</f>
        <v/>
      </c>
      <c r="AQ186">
        <f>IF(AND(G186&lt;&gt;"",'Historical Score'!$C$6&lt;&gt;""),IF(G186='Historical Score'!$C$6,1,0),0)</f>
        <v/>
      </c>
      <c r="AR186">
        <f>IF(AND(L186&lt;&gt;"",'Historical Score'!$C$5&lt;&gt;""),IF(L186='Historical Score'!$C$5,1,0),0)</f>
        <v/>
      </c>
      <c r="AS186">
        <f>IF(AND(Y186&lt;&gt;"",'Historical Score'!$C$7&lt;&gt;""),IF(Y186='Historical Score'!$C$7,1,0),0)</f>
        <v/>
      </c>
      <c r="AT186">
        <f>IF(AND(K186&lt;&gt;"",'Historical Score'!$C$8&lt;&gt;""),IF(K186='Historical Score'!$C$8,1,0),0)</f>
        <v/>
      </c>
      <c r="AU186">
        <f>IF(AND(J186&lt;&gt;"",'Historical Score'!$C$9&lt;&gt;""),IF(J186='Historical Score'!$C$9,1,0),0)</f>
        <v/>
      </c>
      <c r="AV186">
        <f>AR186*AS186*AQ186</f>
        <v/>
      </c>
      <c r="AW186">
        <f>AR186*AT186*AQ186</f>
        <v/>
      </c>
      <c r="AX186">
        <f>AR186*AS186</f>
        <v/>
      </c>
      <c r="AY186">
        <f>AR186*AT186</f>
        <v/>
      </c>
      <c r="AZ186">
        <f>AR186*AQ186</f>
        <v/>
      </c>
      <c r="BA186">
        <f>AR186</f>
        <v/>
      </c>
      <c r="BB186">
        <f>1</f>
        <v/>
      </c>
      <c r="BC186">
        <f>IF(AV186=1,1,IF(AW186=1,2,IF(AX186=1,3,IF(AY186=1,4,IF(AZ186=1,5,IF(BA186=1,6,7))))))</f>
        <v/>
      </c>
      <c r="BD186">
        <f>IF(AD186=1,CHOOSE('Historical Score'!$C$29,AV186,AW186,AX186,AY186,AZ186,BA186,BB186),0)</f>
        <v/>
      </c>
      <c r="BE186">
        <f>IF(BD186=1,COUNTIF($BD$2:BD186,1),"")</f>
        <v/>
      </c>
    </row>
    <row r="187">
      <c r="A187" t="inlineStr">
        <is>
          <t>5674163315</t>
        </is>
      </c>
      <c r="B187" t="inlineStr">
        <is>
          <t>CAPRI Transportation</t>
        </is>
      </c>
      <c r="C187" t="inlineStr">
        <is>
          <t>CAPRI TRANSPORTATION LLC</t>
        </is>
      </c>
      <c r="D187" t="inlineStr">
        <is>
          <t>Closed</t>
        </is>
      </c>
      <c r="E187" s="297" t="n">
        <v>45874</v>
      </c>
      <c r="F187" s="297" t="n">
        <v>45915</v>
      </c>
      <c r="G187" t="n">
        <v>2</v>
      </c>
      <c r="H187" t="inlineStr">
        <is>
          <t>4212</t>
        </is>
      </c>
      <c r="I187" t="inlineStr">
        <is>
          <t>42</t>
        </is>
      </c>
      <c r="J187" t="inlineStr">
        <is>
          <t>FL</t>
        </is>
      </c>
      <c r="K187" t="inlineStr">
        <is>
          <t>Premium Capital (AMRK)</t>
        </is>
      </c>
      <c r="L187" t="inlineStr">
        <is>
          <t>New Deal</t>
        </is>
      </c>
      <c r="M187" s="298" t="n">
        <v>1.49</v>
      </c>
      <c r="N187" s="299" t="n">
        <v>12000</v>
      </c>
      <c r="O187" s="299" t="n">
        <v>1680</v>
      </c>
      <c r="P187" s="299" t="n">
        <v>17880</v>
      </c>
      <c r="Q187" s="299" t="n">
        <v>17880</v>
      </c>
      <c r="R187" s="299" t="n">
        <v>0</v>
      </c>
      <c r="S187" s="300" t="n">
        <v>1</v>
      </c>
      <c r="T187" t="n">
        <v>1.639</v>
      </c>
      <c r="U187" t="n">
        <v>0</v>
      </c>
      <c r="V187" t="n">
        <v>47015.44</v>
      </c>
      <c r="W187" s="300" t="n">
        <v>0.1597</v>
      </c>
      <c r="X187" s="297" t="n"/>
      <c r="Y187">
        <f>IF(I187="","No SIC",IFERROR(VLOOKUP(I187,Ref!$A$2:$B$65,2,FALSE),"Unclassified"))</f>
        <v/>
      </c>
      <c r="Z187">
        <f>IF(T187="","",IF(T187&lt;12,"Daily","Weekly"))</f>
        <v/>
      </c>
      <c r="AA187">
        <f>IF(T187="",0,IF(T187&lt;12,T187*Controls!$B$29,T187*5))</f>
        <v/>
      </c>
      <c r="AB187">
        <f>IF(E187="",0,NETWORKDAYS(E187,Controls!$B$36,Ref!$K$2:$K$42))</f>
        <v/>
      </c>
      <c r="AC187">
        <f>IF(AND(AA187&gt;0,AB187&gt;=Controls!$B$39*AA187),1,0)</f>
        <v/>
      </c>
      <c r="AD187">
        <f>IF(AND(E187&lt;&gt;"",E187&gt;=Controls!$B$37,E187&lt;=Controls!$B$38),1,0)</f>
        <v/>
      </c>
      <c r="AE187">
        <f>IF(IFERROR(VLOOKUP(D187,Controls!$A$64:$E$74,2,FALSE),"No")="Yes",1,0)</f>
        <v/>
      </c>
      <c r="AF187">
        <f>IF(IFERROR(VLOOKUP(D187,Controls!$A$64:$E$74,3,FALSE),"No")="Yes",1,0)</f>
        <v/>
      </c>
      <c r="AG187">
        <f>IF(IFERROR(VLOOKUP(D187,Controls!$A$64:$E$74,4,FALSE),"No")="Yes",1,0)</f>
        <v/>
      </c>
      <c r="AH187">
        <f>IF(IFERROR(VLOOKUP(D187,Controls!$A$64:$E$74,5,FALSE),"No")="Yes",1,0)</f>
        <v/>
      </c>
      <c r="AI187">
        <f>IF(ISNUMBER(MATCH(D187,Controls!$A$64:$A$74,0)),1,0)</f>
        <v/>
      </c>
      <c r="AJ187">
        <f>Q187-N187</f>
        <v/>
      </c>
      <c r="AK187">
        <f>IF(AE187=1,MAX(0,N187-Q187),0)</f>
        <v/>
      </c>
      <c r="AL187">
        <f>IF(OR(V187="",V187=0),0,N187/V187)</f>
        <v/>
      </c>
      <c r="AM187">
        <f>IF(OR(V187="",V187=0),0,1)</f>
        <v/>
      </c>
      <c r="AN187">
        <f>IF(OR(E187="",F187=""),0,NETWORKDAYS(E187,F187,Ref!$K$2:$K$42))</f>
        <v/>
      </c>
      <c r="AO187">
        <f>IF(L187="Renewal",1,0)</f>
        <v/>
      </c>
      <c r="AP187">
        <f>AC187*AD187</f>
        <v/>
      </c>
      <c r="AQ187">
        <f>IF(AND(G187&lt;&gt;"",'Historical Score'!$C$6&lt;&gt;""),IF(G187='Historical Score'!$C$6,1,0),0)</f>
        <v/>
      </c>
      <c r="AR187">
        <f>IF(AND(L187&lt;&gt;"",'Historical Score'!$C$5&lt;&gt;""),IF(L187='Historical Score'!$C$5,1,0),0)</f>
        <v/>
      </c>
      <c r="AS187">
        <f>IF(AND(Y187&lt;&gt;"",'Historical Score'!$C$7&lt;&gt;""),IF(Y187='Historical Score'!$C$7,1,0),0)</f>
        <v/>
      </c>
      <c r="AT187">
        <f>IF(AND(K187&lt;&gt;"",'Historical Score'!$C$8&lt;&gt;""),IF(K187='Historical Score'!$C$8,1,0),0)</f>
        <v/>
      </c>
      <c r="AU187">
        <f>IF(AND(J187&lt;&gt;"",'Historical Score'!$C$9&lt;&gt;""),IF(J187='Historical Score'!$C$9,1,0),0)</f>
        <v/>
      </c>
      <c r="AV187">
        <f>AR187*AS187*AQ187</f>
        <v/>
      </c>
      <c r="AW187">
        <f>AR187*AT187*AQ187</f>
        <v/>
      </c>
      <c r="AX187">
        <f>AR187*AS187</f>
        <v/>
      </c>
      <c r="AY187">
        <f>AR187*AT187</f>
        <v/>
      </c>
      <c r="AZ187">
        <f>AR187*AQ187</f>
        <v/>
      </c>
      <c r="BA187">
        <f>AR187</f>
        <v/>
      </c>
      <c r="BB187">
        <f>1</f>
        <v/>
      </c>
      <c r="BC187">
        <f>IF(AV187=1,1,IF(AW187=1,2,IF(AX187=1,3,IF(AY187=1,4,IF(AZ187=1,5,IF(BA187=1,6,7))))))</f>
        <v/>
      </c>
      <c r="BD187">
        <f>IF(AD187=1,CHOOSE('Historical Score'!$C$29,AV187,AW187,AX187,AY187,AZ187,BA187,BB187),0)</f>
        <v/>
      </c>
      <c r="BE187">
        <f>IF(BD187=1,COUNTIF($BD$2:BD187,1),"")</f>
        <v/>
      </c>
    </row>
    <row r="188">
      <c r="A188" t="inlineStr">
        <is>
          <t>5674163394</t>
        </is>
      </c>
      <c r="B188" t="inlineStr">
        <is>
          <t>S&amp;C SERVICES LLC</t>
        </is>
      </c>
      <c r="C188" t="inlineStr">
        <is>
          <t>S&amp;C SERVICES LLC</t>
        </is>
      </c>
      <c r="D188" t="inlineStr">
        <is>
          <t>Legal</t>
        </is>
      </c>
      <c r="E188" s="297" t="n">
        <v>45875</v>
      </c>
      <c r="F188" s="297" t="n">
        <v>45891</v>
      </c>
      <c r="G188" t="n">
        <v>5</v>
      </c>
      <c r="H188" t="inlineStr">
        <is>
          <t>1521</t>
        </is>
      </c>
      <c r="I188" t="inlineStr">
        <is>
          <t>15</t>
        </is>
      </c>
      <c r="J188" t="inlineStr">
        <is>
          <t>MD</t>
        </is>
      </c>
      <c r="K188" t="inlineStr">
        <is>
          <t>United Secured Capital 8</t>
        </is>
      </c>
      <c r="L188" t="inlineStr">
        <is>
          <t>New Deal</t>
        </is>
      </c>
      <c r="M188" s="298" t="n">
        <v>1.499</v>
      </c>
      <c r="N188" s="299" t="n">
        <v>15000</v>
      </c>
      <c r="O188" s="299" t="n">
        <v>2100</v>
      </c>
      <c r="P188" s="299" t="n">
        <v>22485</v>
      </c>
      <c r="Q188" s="299" t="n">
        <v>1861.95</v>
      </c>
      <c r="R188" s="299" t="n">
        <v>20623.05</v>
      </c>
      <c r="S188" s="300" t="n">
        <v>0.0828085390260173</v>
      </c>
      <c r="T188" t="n">
        <v>1.967</v>
      </c>
      <c r="U188" t="n">
        <v>7</v>
      </c>
      <c r="V188" t="n">
        <v>99494.14999999999</v>
      </c>
      <c r="W188" s="300" t="n">
        <v>0.0786</v>
      </c>
      <c r="X188" s="297" t="n">
        <v>44958</v>
      </c>
      <c r="Y188">
        <f>IF(I188="","No SIC",IFERROR(VLOOKUP(I188,Ref!$A$2:$B$65,2,FALSE),"Unclassified"))</f>
        <v/>
      </c>
      <c r="Z188">
        <f>IF(T188="","",IF(T188&lt;12,"Daily","Weekly"))</f>
        <v/>
      </c>
      <c r="AA188">
        <f>IF(T188="",0,IF(T188&lt;12,T188*Controls!$B$29,T188*5))</f>
        <v/>
      </c>
      <c r="AB188">
        <f>IF(E188="",0,NETWORKDAYS(E188,Controls!$B$36,Ref!$K$2:$K$42))</f>
        <v/>
      </c>
      <c r="AC188">
        <f>IF(AND(AA188&gt;0,AB188&gt;=Controls!$B$39*AA188),1,0)</f>
        <v/>
      </c>
      <c r="AD188">
        <f>IF(AND(E188&lt;&gt;"",E188&gt;=Controls!$B$37,E188&lt;=Controls!$B$38),1,0)</f>
        <v/>
      </c>
      <c r="AE188">
        <f>IF(IFERROR(VLOOKUP(D188,Controls!$A$64:$E$74,2,FALSE),"No")="Yes",1,0)</f>
        <v/>
      </c>
      <c r="AF188">
        <f>IF(IFERROR(VLOOKUP(D188,Controls!$A$64:$E$74,3,FALSE),"No")="Yes",1,0)</f>
        <v/>
      </c>
      <c r="AG188">
        <f>IF(IFERROR(VLOOKUP(D188,Controls!$A$64:$E$74,4,FALSE),"No")="Yes",1,0)</f>
        <v/>
      </c>
      <c r="AH188">
        <f>IF(IFERROR(VLOOKUP(D188,Controls!$A$64:$E$74,5,FALSE),"No")="Yes",1,0)</f>
        <v/>
      </c>
      <c r="AI188">
        <f>IF(ISNUMBER(MATCH(D188,Controls!$A$64:$A$74,0)),1,0)</f>
        <v/>
      </c>
      <c r="AJ188">
        <f>Q188-N188</f>
        <v/>
      </c>
      <c r="AK188">
        <f>IF(AE188=1,MAX(0,N188-Q188),0)</f>
        <v/>
      </c>
      <c r="AL188">
        <f>IF(OR(V188="",V188=0),0,N188/V188)</f>
        <v/>
      </c>
      <c r="AM188">
        <f>IF(OR(V188="",V188=0),0,1)</f>
        <v/>
      </c>
      <c r="AN188">
        <f>IF(OR(E188="",F188=""),0,NETWORKDAYS(E188,F188,Ref!$K$2:$K$42))</f>
        <v/>
      </c>
      <c r="AO188">
        <f>IF(L188="Renewal",1,0)</f>
        <v/>
      </c>
      <c r="AP188">
        <f>AC188*AD188</f>
        <v/>
      </c>
      <c r="AQ188">
        <f>IF(AND(G188&lt;&gt;"",'Historical Score'!$C$6&lt;&gt;""),IF(G188='Historical Score'!$C$6,1,0),0)</f>
        <v/>
      </c>
      <c r="AR188">
        <f>IF(AND(L188&lt;&gt;"",'Historical Score'!$C$5&lt;&gt;""),IF(L188='Historical Score'!$C$5,1,0),0)</f>
        <v/>
      </c>
      <c r="AS188">
        <f>IF(AND(Y188&lt;&gt;"",'Historical Score'!$C$7&lt;&gt;""),IF(Y188='Historical Score'!$C$7,1,0),0)</f>
        <v/>
      </c>
      <c r="AT188">
        <f>IF(AND(K188&lt;&gt;"",'Historical Score'!$C$8&lt;&gt;""),IF(K188='Historical Score'!$C$8,1,0),0)</f>
        <v/>
      </c>
      <c r="AU188">
        <f>IF(AND(J188&lt;&gt;"",'Historical Score'!$C$9&lt;&gt;""),IF(J188='Historical Score'!$C$9,1,0),0)</f>
        <v/>
      </c>
      <c r="AV188">
        <f>AR188*AS188*AQ188</f>
        <v/>
      </c>
      <c r="AW188">
        <f>AR188*AT188*AQ188</f>
        <v/>
      </c>
      <c r="AX188">
        <f>AR188*AS188</f>
        <v/>
      </c>
      <c r="AY188">
        <f>AR188*AT188</f>
        <v/>
      </c>
      <c r="AZ188">
        <f>AR188*AQ188</f>
        <v/>
      </c>
      <c r="BA188">
        <f>AR188</f>
        <v/>
      </c>
      <c r="BB188">
        <f>1</f>
        <v/>
      </c>
      <c r="BC188">
        <f>IF(AV188=1,1,IF(AW188=1,2,IF(AX188=1,3,IF(AY188=1,4,IF(AZ188=1,5,IF(BA188=1,6,7))))))</f>
        <v/>
      </c>
      <c r="BD188">
        <f>IF(AD188=1,CHOOSE('Historical Score'!$C$29,AV188,AW188,AX188,AY188,AZ188,BA188,BB188),0)</f>
        <v/>
      </c>
      <c r="BE188">
        <f>IF(BD188=1,COUNTIF($BD$2:BD188,1),"")</f>
        <v/>
      </c>
    </row>
    <row r="189">
      <c r="A189" t="inlineStr">
        <is>
          <t>5674163419</t>
        </is>
      </c>
      <c r="B189" t="inlineStr">
        <is>
          <t>POSA Management Group LLC</t>
        </is>
      </c>
      <c r="C189" t="inlineStr">
        <is>
          <t>POSA Management Group LLC</t>
        </is>
      </c>
      <c r="D189" t="inlineStr">
        <is>
          <t>Closed</t>
        </is>
      </c>
      <c r="E189" s="297" t="n">
        <v>45875</v>
      </c>
      <c r="F189" s="297" t="n">
        <v>45961</v>
      </c>
      <c r="G189" t="n">
        <v>1</v>
      </c>
      <c r="H189" t="inlineStr">
        <is>
          <t>5999</t>
        </is>
      </c>
      <c r="I189" t="inlineStr">
        <is>
          <t>59</t>
        </is>
      </c>
      <c r="J189" t="inlineStr">
        <is>
          <t>NM</t>
        </is>
      </c>
      <c r="K189" t="inlineStr">
        <is>
          <t>Westwood</t>
        </is>
      </c>
      <c r="L189" t="inlineStr">
        <is>
          <t>New Deal</t>
        </is>
      </c>
      <c r="M189" s="298" t="n">
        <v>1.499</v>
      </c>
      <c r="N189" s="299" t="n">
        <v>3000</v>
      </c>
      <c r="O189" s="299" t="n">
        <v>420</v>
      </c>
      <c r="P189" s="299" t="n">
        <v>4497</v>
      </c>
      <c r="Q189" s="299" t="n">
        <v>4497</v>
      </c>
      <c r="R189" s="299" t="n">
        <v>0</v>
      </c>
      <c r="S189" s="300" t="n">
        <v>1</v>
      </c>
      <c r="T189" t="n">
        <v>1.967</v>
      </c>
      <c r="U189" t="n">
        <v>0</v>
      </c>
      <c r="V189" t="n">
        <v>9353.92</v>
      </c>
      <c r="W189" s="300" t="n">
        <v>0.2</v>
      </c>
      <c r="X189" s="297" t="n">
        <v>45243</v>
      </c>
      <c r="Y189">
        <f>IF(I189="","No SIC",IFERROR(VLOOKUP(I189,Ref!$A$2:$B$65,2,FALSE),"Unclassified"))</f>
        <v/>
      </c>
      <c r="Z189">
        <f>IF(T189="","",IF(T189&lt;12,"Daily","Weekly"))</f>
        <v/>
      </c>
      <c r="AA189">
        <f>IF(T189="",0,IF(T189&lt;12,T189*Controls!$B$29,T189*5))</f>
        <v/>
      </c>
      <c r="AB189">
        <f>IF(E189="",0,NETWORKDAYS(E189,Controls!$B$36,Ref!$K$2:$K$42))</f>
        <v/>
      </c>
      <c r="AC189">
        <f>IF(AND(AA189&gt;0,AB189&gt;=Controls!$B$39*AA189),1,0)</f>
        <v/>
      </c>
      <c r="AD189">
        <f>IF(AND(E189&lt;&gt;"",E189&gt;=Controls!$B$37,E189&lt;=Controls!$B$38),1,0)</f>
        <v/>
      </c>
      <c r="AE189">
        <f>IF(IFERROR(VLOOKUP(D189,Controls!$A$64:$E$74,2,FALSE),"No")="Yes",1,0)</f>
        <v/>
      </c>
      <c r="AF189">
        <f>IF(IFERROR(VLOOKUP(D189,Controls!$A$64:$E$74,3,FALSE),"No")="Yes",1,0)</f>
        <v/>
      </c>
      <c r="AG189">
        <f>IF(IFERROR(VLOOKUP(D189,Controls!$A$64:$E$74,4,FALSE),"No")="Yes",1,0)</f>
        <v/>
      </c>
      <c r="AH189">
        <f>IF(IFERROR(VLOOKUP(D189,Controls!$A$64:$E$74,5,FALSE),"No")="Yes",1,0)</f>
        <v/>
      </c>
      <c r="AI189">
        <f>IF(ISNUMBER(MATCH(D189,Controls!$A$64:$A$74,0)),1,0)</f>
        <v/>
      </c>
      <c r="AJ189">
        <f>Q189-N189</f>
        <v/>
      </c>
      <c r="AK189">
        <f>IF(AE189=1,MAX(0,N189-Q189),0)</f>
        <v/>
      </c>
      <c r="AL189">
        <f>IF(OR(V189="",V189=0),0,N189/V189)</f>
        <v/>
      </c>
      <c r="AM189">
        <f>IF(OR(V189="",V189=0),0,1)</f>
        <v/>
      </c>
      <c r="AN189">
        <f>IF(OR(E189="",F189=""),0,NETWORKDAYS(E189,F189,Ref!$K$2:$K$42))</f>
        <v/>
      </c>
      <c r="AO189">
        <f>IF(L189="Renewal",1,0)</f>
        <v/>
      </c>
      <c r="AP189">
        <f>AC189*AD189</f>
        <v/>
      </c>
      <c r="AQ189">
        <f>IF(AND(G189&lt;&gt;"",'Historical Score'!$C$6&lt;&gt;""),IF(G189='Historical Score'!$C$6,1,0),0)</f>
        <v/>
      </c>
      <c r="AR189">
        <f>IF(AND(L189&lt;&gt;"",'Historical Score'!$C$5&lt;&gt;""),IF(L189='Historical Score'!$C$5,1,0),0)</f>
        <v/>
      </c>
      <c r="AS189">
        <f>IF(AND(Y189&lt;&gt;"",'Historical Score'!$C$7&lt;&gt;""),IF(Y189='Historical Score'!$C$7,1,0),0)</f>
        <v/>
      </c>
      <c r="AT189">
        <f>IF(AND(K189&lt;&gt;"",'Historical Score'!$C$8&lt;&gt;""),IF(K189='Historical Score'!$C$8,1,0),0)</f>
        <v/>
      </c>
      <c r="AU189">
        <f>IF(AND(J189&lt;&gt;"",'Historical Score'!$C$9&lt;&gt;""),IF(J189='Historical Score'!$C$9,1,0),0)</f>
        <v/>
      </c>
      <c r="AV189">
        <f>AR189*AS189*AQ189</f>
        <v/>
      </c>
      <c r="AW189">
        <f>AR189*AT189*AQ189</f>
        <v/>
      </c>
      <c r="AX189">
        <f>AR189*AS189</f>
        <v/>
      </c>
      <c r="AY189">
        <f>AR189*AT189</f>
        <v/>
      </c>
      <c r="AZ189">
        <f>AR189*AQ189</f>
        <v/>
      </c>
      <c r="BA189">
        <f>AR189</f>
        <v/>
      </c>
      <c r="BB189">
        <f>1</f>
        <v/>
      </c>
      <c r="BC189">
        <f>IF(AV189=1,1,IF(AW189=1,2,IF(AX189=1,3,IF(AY189=1,4,IF(AZ189=1,5,IF(BA189=1,6,7))))))</f>
        <v/>
      </c>
      <c r="BD189">
        <f>IF(AD189=1,CHOOSE('Historical Score'!$C$29,AV189,AW189,AX189,AY189,AZ189,BA189,BB189),0)</f>
        <v/>
      </c>
      <c r="BE189">
        <f>IF(BD189=1,COUNTIF($BD$2:BD189,1),"")</f>
        <v/>
      </c>
    </row>
    <row r="190">
      <c r="A190" t="inlineStr">
        <is>
          <t>5674163484</t>
        </is>
      </c>
      <c r="B190" t="inlineStr">
        <is>
          <t>Medina And Associates PC</t>
        </is>
      </c>
      <c r="C190" t="inlineStr">
        <is>
          <t>Medina And Associates PC</t>
        </is>
      </c>
      <c r="D190" t="inlineStr">
        <is>
          <t>Closed</t>
        </is>
      </c>
      <c r="E190" s="297" t="n">
        <v>45876</v>
      </c>
      <c r="F190" s="297" t="n">
        <v>45967</v>
      </c>
      <c r="G190" t="n">
        <v>6</v>
      </c>
      <c r="H190" t="inlineStr">
        <is>
          <t>8021</t>
        </is>
      </c>
      <c r="I190" t="inlineStr">
        <is>
          <t>80</t>
        </is>
      </c>
      <c r="J190" t="inlineStr">
        <is>
          <t>MD</t>
        </is>
      </c>
      <c r="K190" t="inlineStr">
        <is>
          <t>Premium Capital (AMRK)</t>
        </is>
      </c>
      <c r="L190" t="inlineStr">
        <is>
          <t>New Deal</t>
        </is>
      </c>
      <c r="M190" s="298" t="n">
        <v>1.5</v>
      </c>
      <c r="N190" s="299" t="n">
        <v>20000</v>
      </c>
      <c r="O190" s="299" t="n">
        <v>2800</v>
      </c>
      <c r="P190" s="299" t="n">
        <v>30000</v>
      </c>
      <c r="Q190" s="299" t="n">
        <v>30000</v>
      </c>
      <c r="R190" s="299" t="n">
        <v>0</v>
      </c>
      <c r="S190" s="300" t="n">
        <v>1</v>
      </c>
      <c r="T190" t="n">
        <v>22</v>
      </c>
      <c r="U190" t="n">
        <v>0</v>
      </c>
      <c r="V190" t="n">
        <v>122458.04</v>
      </c>
      <c r="W190" s="300" t="n">
        <v>0.0466</v>
      </c>
      <c r="X190" s="297" t="n">
        <v>45876</v>
      </c>
      <c r="Y190">
        <f>IF(I190="","No SIC",IFERROR(VLOOKUP(I190,Ref!$A$2:$B$65,2,FALSE),"Unclassified"))</f>
        <v/>
      </c>
      <c r="Z190">
        <f>IF(T190="","",IF(T190&lt;12,"Daily","Weekly"))</f>
        <v/>
      </c>
      <c r="AA190">
        <f>IF(T190="",0,IF(T190&lt;12,T190*Controls!$B$29,T190*5))</f>
        <v/>
      </c>
      <c r="AB190">
        <f>IF(E190="",0,NETWORKDAYS(E190,Controls!$B$36,Ref!$K$2:$K$42))</f>
        <v/>
      </c>
      <c r="AC190">
        <f>IF(AND(AA190&gt;0,AB190&gt;=Controls!$B$39*AA190),1,0)</f>
        <v/>
      </c>
      <c r="AD190">
        <f>IF(AND(E190&lt;&gt;"",E190&gt;=Controls!$B$37,E190&lt;=Controls!$B$38),1,0)</f>
        <v/>
      </c>
      <c r="AE190">
        <f>IF(IFERROR(VLOOKUP(D190,Controls!$A$64:$E$74,2,FALSE),"No")="Yes",1,0)</f>
        <v/>
      </c>
      <c r="AF190">
        <f>IF(IFERROR(VLOOKUP(D190,Controls!$A$64:$E$74,3,FALSE),"No")="Yes",1,0)</f>
        <v/>
      </c>
      <c r="AG190">
        <f>IF(IFERROR(VLOOKUP(D190,Controls!$A$64:$E$74,4,FALSE),"No")="Yes",1,0)</f>
        <v/>
      </c>
      <c r="AH190">
        <f>IF(IFERROR(VLOOKUP(D190,Controls!$A$64:$E$74,5,FALSE),"No")="Yes",1,0)</f>
        <v/>
      </c>
      <c r="AI190">
        <f>IF(ISNUMBER(MATCH(D190,Controls!$A$64:$A$74,0)),1,0)</f>
        <v/>
      </c>
      <c r="AJ190">
        <f>Q190-N190</f>
        <v/>
      </c>
      <c r="AK190">
        <f>IF(AE190=1,MAX(0,N190-Q190),0)</f>
        <v/>
      </c>
      <c r="AL190">
        <f>IF(OR(V190="",V190=0),0,N190/V190)</f>
        <v/>
      </c>
      <c r="AM190">
        <f>IF(OR(V190="",V190=0),0,1)</f>
        <v/>
      </c>
      <c r="AN190">
        <f>IF(OR(E190="",F190=""),0,NETWORKDAYS(E190,F190,Ref!$K$2:$K$42))</f>
        <v/>
      </c>
      <c r="AO190">
        <f>IF(L190="Renewal",1,0)</f>
        <v/>
      </c>
      <c r="AP190">
        <f>AC190*AD190</f>
        <v/>
      </c>
      <c r="AQ190">
        <f>IF(AND(G190&lt;&gt;"",'Historical Score'!$C$6&lt;&gt;""),IF(G190='Historical Score'!$C$6,1,0),0)</f>
        <v/>
      </c>
      <c r="AR190">
        <f>IF(AND(L190&lt;&gt;"",'Historical Score'!$C$5&lt;&gt;""),IF(L190='Historical Score'!$C$5,1,0),0)</f>
        <v/>
      </c>
      <c r="AS190">
        <f>IF(AND(Y190&lt;&gt;"",'Historical Score'!$C$7&lt;&gt;""),IF(Y190='Historical Score'!$C$7,1,0),0)</f>
        <v/>
      </c>
      <c r="AT190">
        <f>IF(AND(K190&lt;&gt;"",'Historical Score'!$C$8&lt;&gt;""),IF(K190='Historical Score'!$C$8,1,0),0)</f>
        <v/>
      </c>
      <c r="AU190">
        <f>IF(AND(J190&lt;&gt;"",'Historical Score'!$C$9&lt;&gt;""),IF(J190='Historical Score'!$C$9,1,0),0)</f>
        <v/>
      </c>
      <c r="AV190">
        <f>AR190*AS190*AQ190</f>
        <v/>
      </c>
      <c r="AW190">
        <f>AR190*AT190*AQ190</f>
        <v/>
      </c>
      <c r="AX190">
        <f>AR190*AS190</f>
        <v/>
      </c>
      <c r="AY190">
        <f>AR190*AT190</f>
        <v/>
      </c>
      <c r="AZ190">
        <f>AR190*AQ190</f>
        <v/>
      </c>
      <c r="BA190">
        <f>AR190</f>
        <v/>
      </c>
      <c r="BB190">
        <f>1</f>
        <v/>
      </c>
      <c r="BC190">
        <f>IF(AV190=1,1,IF(AW190=1,2,IF(AX190=1,3,IF(AY190=1,4,IF(AZ190=1,5,IF(BA190=1,6,7))))))</f>
        <v/>
      </c>
      <c r="BD190">
        <f>IF(AD190=1,CHOOSE('Historical Score'!$C$29,AV190,AW190,AX190,AY190,AZ190,BA190,BB190),0)</f>
        <v/>
      </c>
      <c r="BE190">
        <f>IF(BD190=1,COUNTIF($BD$2:BD190,1),"")</f>
        <v/>
      </c>
    </row>
    <row r="191">
      <c r="A191" t="inlineStr">
        <is>
          <t>5674163699</t>
        </is>
      </c>
      <c r="B191" t="inlineStr">
        <is>
          <t>CLARITI EYE CARE LLC</t>
        </is>
      </c>
      <c r="C191" t="inlineStr">
        <is>
          <t>CLARITI EYE CARE LLC</t>
        </is>
      </c>
      <c r="D191" t="inlineStr">
        <is>
          <t>Legal</t>
        </is>
      </c>
      <c r="E191" s="297" t="n">
        <v>45880</v>
      </c>
      <c r="F191" s="297" t="n">
        <v>45908</v>
      </c>
      <c r="G191" t="n">
        <v>2</v>
      </c>
      <c r="H191" t="inlineStr">
        <is>
          <t>8011</t>
        </is>
      </c>
      <c r="I191" t="inlineStr">
        <is>
          <t>80</t>
        </is>
      </c>
      <c r="J191" t="inlineStr">
        <is>
          <t>TN</t>
        </is>
      </c>
      <c r="K191" t="inlineStr">
        <is>
          <t>Fund Max</t>
        </is>
      </c>
      <c r="L191" t="inlineStr">
        <is>
          <t>New Deal</t>
        </is>
      </c>
      <c r="M191" s="298" t="n">
        <v>1.5</v>
      </c>
      <c r="N191" s="299" t="n">
        <v>12000</v>
      </c>
      <c r="O191" s="299" t="n">
        <v>1680</v>
      </c>
      <c r="P191" s="299" t="n">
        <v>18000</v>
      </c>
      <c r="Q191" s="299" t="n">
        <v>3351.54</v>
      </c>
      <c r="R191" s="299" t="n">
        <v>14648.46</v>
      </c>
      <c r="S191" s="300" t="n">
        <v>0.186196666666667</v>
      </c>
      <c r="T191" t="n">
        <v>16</v>
      </c>
      <c r="U191" t="n">
        <v>1</v>
      </c>
      <c r="V191" t="n">
        <v>37902.61</v>
      </c>
      <c r="W191" s="300" t="n">
        <v>0.1179</v>
      </c>
      <c r="X191" s="297" t="n">
        <v>45189</v>
      </c>
      <c r="Y191">
        <f>IF(I191="","No SIC",IFERROR(VLOOKUP(I191,Ref!$A$2:$B$65,2,FALSE),"Unclassified"))</f>
        <v/>
      </c>
      <c r="Z191">
        <f>IF(T191="","",IF(T191&lt;12,"Daily","Weekly"))</f>
        <v/>
      </c>
      <c r="AA191">
        <f>IF(T191="",0,IF(T191&lt;12,T191*Controls!$B$29,T191*5))</f>
        <v/>
      </c>
      <c r="AB191">
        <f>IF(E191="",0,NETWORKDAYS(E191,Controls!$B$36,Ref!$K$2:$K$42))</f>
        <v/>
      </c>
      <c r="AC191">
        <f>IF(AND(AA191&gt;0,AB191&gt;=Controls!$B$39*AA191),1,0)</f>
        <v/>
      </c>
      <c r="AD191">
        <f>IF(AND(E191&lt;&gt;"",E191&gt;=Controls!$B$37,E191&lt;=Controls!$B$38),1,0)</f>
        <v/>
      </c>
      <c r="AE191">
        <f>IF(IFERROR(VLOOKUP(D191,Controls!$A$64:$E$74,2,FALSE),"No")="Yes",1,0)</f>
        <v/>
      </c>
      <c r="AF191">
        <f>IF(IFERROR(VLOOKUP(D191,Controls!$A$64:$E$74,3,FALSE),"No")="Yes",1,0)</f>
        <v/>
      </c>
      <c r="AG191">
        <f>IF(IFERROR(VLOOKUP(D191,Controls!$A$64:$E$74,4,FALSE),"No")="Yes",1,0)</f>
        <v/>
      </c>
      <c r="AH191">
        <f>IF(IFERROR(VLOOKUP(D191,Controls!$A$64:$E$74,5,FALSE),"No")="Yes",1,0)</f>
        <v/>
      </c>
      <c r="AI191">
        <f>IF(ISNUMBER(MATCH(D191,Controls!$A$64:$A$74,0)),1,0)</f>
        <v/>
      </c>
      <c r="AJ191">
        <f>Q191-N191</f>
        <v/>
      </c>
      <c r="AK191">
        <f>IF(AE191=1,MAX(0,N191-Q191),0)</f>
        <v/>
      </c>
      <c r="AL191">
        <f>IF(OR(V191="",V191=0),0,N191/V191)</f>
        <v/>
      </c>
      <c r="AM191">
        <f>IF(OR(V191="",V191=0),0,1)</f>
        <v/>
      </c>
      <c r="AN191">
        <f>IF(OR(E191="",F191=""),0,NETWORKDAYS(E191,F191,Ref!$K$2:$K$42))</f>
        <v/>
      </c>
      <c r="AO191">
        <f>IF(L191="Renewal",1,0)</f>
        <v/>
      </c>
      <c r="AP191">
        <f>AC191*AD191</f>
        <v/>
      </c>
      <c r="AQ191">
        <f>IF(AND(G191&lt;&gt;"",'Historical Score'!$C$6&lt;&gt;""),IF(G191='Historical Score'!$C$6,1,0),0)</f>
        <v/>
      </c>
      <c r="AR191">
        <f>IF(AND(L191&lt;&gt;"",'Historical Score'!$C$5&lt;&gt;""),IF(L191='Historical Score'!$C$5,1,0),0)</f>
        <v/>
      </c>
      <c r="AS191">
        <f>IF(AND(Y191&lt;&gt;"",'Historical Score'!$C$7&lt;&gt;""),IF(Y191='Historical Score'!$C$7,1,0),0)</f>
        <v/>
      </c>
      <c r="AT191">
        <f>IF(AND(K191&lt;&gt;"",'Historical Score'!$C$8&lt;&gt;""),IF(K191='Historical Score'!$C$8,1,0),0)</f>
        <v/>
      </c>
      <c r="AU191">
        <f>IF(AND(J191&lt;&gt;"",'Historical Score'!$C$9&lt;&gt;""),IF(J191='Historical Score'!$C$9,1,0),0)</f>
        <v/>
      </c>
      <c r="AV191">
        <f>AR191*AS191*AQ191</f>
        <v/>
      </c>
      <c r="AW191">
        <f>AR191*AT191*AQ191</f>
        <v/>
      </c>
      <c r="AX191">
        <f>AR191*AS191</f>
        <v/>
      </c>
      <c r="AY191">
        <f>AR191*AT191</f>
        <v/>
      </c>
      <c r="AZ191">
        <f>AR191*AQ191</f>
        <v/>
      </c>
      <c r="BA191">
        <f>AR191</f>
        <v/>
      </c>
      <c r="BB191">
        <f>1</f>
        <v/>
      </c>
      <c r="BC191">
        <f>IF(AV191=1,1,IF(AW191=1,2,IF(AX191=1,3,IF(AY191=1,4,IF(AZ191=1,5,IF(BA191=1,6,7))))))</f>
        <v/>
      </c>
      <c r="BD191">
        <f>IF(AD191=1,CHOOSE('Historical Score'!$C$29,AV191,AW191,AX191,AY191,AZ191,BA191,BB191),0)</f>
        <v/>
      </c>
      <c r="BE191">
        <f>IF(BD191=1,COUNTIF($BD$2:BD191,1),"")</f>
        <v/>
      </c>
    </row>
    <row r="192">
      <c r="A192" t="inlineStr">
        <is>
          <t>5674163921</t>
        </is>
      </c>
      <c r="B192" t="inlineStr">
        <is>
          <t>Tm Bristol group LLC</t>
        </is>
      </c>
      <c r="C192" t="inlineStr">
        <is>
          <t>Tm Bristol group LLC</t>
        </is>
      </c>
      <c r="D192" t="inlineStr">
        <is>
          <t>Legal</t>
        </is>
      </c>
      <c r="E192" s="297" t="n">
        <v>45882</v>
      </c>
      <c r="F192" s="297" t="n">
        <v>45985</v>
      </c>
      <c r="G192" t="n">
        <v>3</v>
      </c>
      <c r="H192" t="inlineStr">
        <is>
          <t>4212</t>
        </is>
      </c>
      <c r="I192" t="inlineStr">
        <is>
          <t>42</t>
        </is>
      </c>
      <c r="J192" t="inlineStr">
        <is>
          <t>MD</t>
        </is>
      </c>
      <c r="K192" t="inlineStr">
        <is>
          <t>Tip Top Capital</t>
        </is>
      </c>
      <c r="L192" t="inlineStr">
        <is>
          <t>New Deal</t>
        </is>
      </c>
      <c r="M192" s="298" t="n">
        <v>1.499</v>
      </c>
      <c r="N192" s="299" t="n">
        <v>10000</v>
      </c>
      <c r="O192" s="299" t="n">
        <v>1400</v>
      </c>
      <c r="P192" s="299" t="n">
        <v>14990</v>
      </c>
      <c r="Q192" s="299" t="n">
        <v>7266.87</v>
      </c>
      <c r="R192" s="299" t="n">
        <v>7723.13</v>
      </c>
      <c r="S192" s="300" t="n">
        <v>0.484781187458306</v>
      </c>
      <c r="T192" t="n">
        <v>2.623</v>
      </c>
      <c r="U192" t="n">
        <v>24</v>
      </c>
      <c r="V192" t="n">
        <v>86571.36</v>
      </c>
      <c r="W192" s="300" t="n">
        <v>0.0452</v>
      </c>
      <c r="X192" s="297" t="n">
        <v>43507</v>
      </c>
      <c r="Y192">
        <f>IF(I192="","No SIC",IFERROR(VLOOKUP(I192,Ref!$A$2:$B$65,2,FALSE),"Unclassified"))</f>
        <v/>
      </c>
      <c r="Z192">
        <f>IF(T192="","",IF(T192&lt;12,"Daily","Weekly"))</f>
        <v/>
      </c>
      <c r="AA192">
        <f>IF(T192="",0,IF(T192&lt;12,T192*Controls!$B$29,T192*5))</f>
        <v/>
      </c>
      <c r="AB192">
        <f>IF(E192="",0,NETWORKDAYS(E192,Controls!$B$36,Ref!$K$2:$K$42))</f>
        <v/>
      </c>
      <c r="AC192">
        <f>IF(AND(AA192&gt;0,AB192&gt;=Controls!$B$39*AA192),1,0)</f>
        <v/>
      </c>
      <c r="AD192">
        <f>IF(AND(E192&lt;&gt;"",E192&gt;=Controls!$B$37,E192&lt;=Controls!$B$38),1,0)</f>
        <v/>
      </c>
      <c r="AE192">
        <f>IF(IFERROR(VLOOKUP(D192,Controls!$A$64:$E$74,2,FALSE),"No")="Yes",1,0)</f>
        <v/>
      </c>
      <c r="AF192">
        <f>IF(IFERROR(VLOOKUP(D192,Controls!$A$64:$E$74,3,FALSE),"No")="Yes",1,0)</f>
        <v/>
      </c>
      <c r="AG192">
        <f>IF(IFERROR(VLOOKUP(D192,Controls!$A$64:$E$74,4,FALSE),"No")="Yes",1,0)</f>
        <v/>
      </c>
      <c r="AH192">
        <f>IF(IFERROR(VLOOKUP(D192,Controls!$A$64:$E$74,5,FALSE),"No")="Yes",1,0)</f>
        <v/>
      </c>
      <c r="AI192">
        <f>IF(ISNUMBER(MATCH(D192,Controls!$A$64:$A$74,0)),1,0)</f>
        <v/>
      </c>
      <c r="AJ192">
        <f>Q192-N192</f>
        <v/>
      </c>
      <c r="AK192">
        <f>IF(AE192=1,MAX(0,N192-Q192),0)</f>
        <v/>
      </c>
      <c r="AL192">
        <f>IF(OR(V192="",V192=0),0,N192/V192)</f>
        <v/>
      </c>
      <c r="AM192">
        <f>IF(OR(V192="",V192=0),0,1)</f>
        <v/>
      </c>
      <c r="AN192">
        <f>IF(OR(E192="",F192=""),0,NETWORKDAYS(E192,F192,Ref!$K$2:$K$42))</f>
        <v/>
      </c>
      <c r="AO192">
        <f>IF(L192="Renewal",1,0)</f>
        <v/>
      </c>
      <c r="AP192">
        <f>AC192*AD192</f>
        <v/>
      </c>
      <c r="AQ192">
        <f>IF(AND(G192&lt;&gt;"",'Historical Score'!$C$6&lt;&gt;""),IF(G192='Historical Score'!$C$6,1,0),0)</f>
        <v/>
      </c>
      <c r="AR192">
        <f>IF(AND(L192&lt;&gt;"",'Historical Score'!$C$5&lt;&gt;""),IF(L192='Historical Score'!$C$5,1,0),0)</f>
        <v/>
      </c>
      <c r="AS192">
        <f>IF(AND(Y192&lt;&gt;"",'Historical Score'!$C$7&lt;&gt;""),IF(Y192='Historical Score'!$C$7,1,0),0)</f>
        <v/>
      </c>
      <c r="AT192">
        <f>IF(AND(K192&lt;&gt;"",'Historical Score'!$C$8&lt;&gt;""),IF(K192='Historical Score'!$C$8,1,0),0)</f>
        <v/>
      </c>
      <c r="AU192">
        <f>IF(AND(J192&lt;&gt;"",'Historical Score'!$C$9&lt;&gt;""),IF(J192='Historical Score'!$C$9,1,0),0)</f>
        <v/>
      </c>
      <c r="AV192">
        <f>AR192*AS192*AQ192</f>
        <v/>
      </c>
      <c r="AW192">
        <f>AR192*AT192*AQ192</f>
        <v/>
      </c>
      <c r="AX192">
        <f>AR192*AS192</f>
        <v/>
      </c>
      <c r="AY192">
        <f>AR192*AT192</f>
        <v/>
      </c>
      <c r="AZ192">
        <f>AR192*AQ192</f>
        <v/>
      </c>
      <c r="BA192">
        <f>AR192</f>
        <v/>
      </c>
      <c r="BB192">
        <f>1</f>
        <v/>
      </c>
      <c r="BC192">
        <f>IF(AV192=1,1,IF(AW192=1,2,IF(AX192=1,3,IF(AY192=1,4,IF(AZ192=1,5,IF(BA192=1,6,7))))))</f>
        <v/>
      </c>
      <c r="BD192">
        <f>IF(AD192=1,CHOOSE('Historical Score'!$C$29,AV192,AW192,AX192,AY192,AZ192,BA192,BB192),0)</f>
        <v/>
      </c>
      <c r="BE192">
        <f>IF(BD192=1,COUNTIF($BD$2:BD192,1),"")</f>
        <v/>
      </c>
    </row>
    <row r="193">
      <c r="A193" t="inlineStr">
        <is>
          <t>5674163929</t>
        </is>
      </c>
      <c r="B193" t="inlineStr">
        <is>
          <t>EXCELLENCE HOME SERVICES LLC</t>
        </is>
      </c>
      <c r="C193" t="inlineStr">
        <is>
          <t>EXCELLENCE HOME SERVICES LLC</t>
        </is>
      </c>
      <c r="D193" t="inlineStr">
        <is>
          <t>Closed</t>
        </is>
      </c>
      <c r="E193" s="297" t="n">
        <v>45882</v>
      </c>
      <c r="F193" s="297" t="n">
        <v>45987</v>
      </c>
      <c r="G193" t="n">
        <v>2</v>
      </c>
      <c r="H193" t="inlineStr">
        <is>
          <t>1522</t>
        </is>
      </c>
      <c r="I193" t="inlineStr">
        <is>
          <t>15</t>
        </is>
      </c>
      <c r="J193" t="inlineStr">
        <is>
          <t>FL</t>
        </is>
      </c>
      <c r="K193" t="inlineStr">
        <is>
          <t>The Funding Channel</t>
        </is>
      </c>
      <c r="L193" t="inlineStr">
        <is>
          <t>New Deal</t>
        </is>
      </c>
      <c r="M193" s="298" t="n">
        <v>1.49</v>
      </c>
      <c r="N193" s="299" t="n">
        <v>15000</v>
      </c>
      <c r="O193" s="299" t="n">
        <v>2100</v>
      </c>
      <c r="P193" s="299" t="n">
        <v>22350</v>
      </c>
      <c r="Q193" s="299" t="n">
        <v>22350</v>
      </c>
      <c r="R193" s="299" t="n">
        <v>0</v>
      </c>
      <c r="S193" s="300" t="n">
        <v>1</v>
      </c>
      <c r="T193" t="n">
        <v>15</v>
      </c>
      <c r="U193" t="n">
        <v>0</v>
      </c>
      <c r="V193" t="n">
        <v>47733.57</v>
      </c>
      <c r="W193" s="300" t="n">
        <v>0.1249</v>
      </c>
      <c r="X193" s="297" t="n">
        <v>44697</v>
      </c>
      <c r="Y193">
        <f>IF(I193="","No SIC",IFERROR(VLOOKUP(I193,Ref!$A$2:$B$65,2,FALSE),"Unclassified"))</f>
        <v/>
      </c>
      <c r="Z193">
        <f>IF(T193="","",IF(T193&lt;12,"Daily","Weekly"))</f>
        <v/>
      </c>
      <c r="AA193">
        <f>IF(T193="",0,IF(T193&lt;12,T193*Controls!$B$29,T193*5))</f>
        <v/>
      </c>
      <c r="AB193">
        <f>IF(E193="",0,NETWORKDAYS(E193,Controls!$B$36,Ref!$K$2:$K$42))</f>
        <v/>
      </c>
      <c r="AC193">
        <f>IF(AND(AA193&gt;0,AB193&gt;=Controls!$B$39*AA193),1,0)</f>
        <v/>
      </c>
      <c r="AD193">
        <f>IF(AND(E193&lt;&gt;"",E193&gt;=Controls!$B$37,E193&lt;=Controls!$B$38),1,0)</f>
        <v/>
      </c>
      <c r="AE193">
        <f>IF(IFERROR(VLOOKUP(D193,Controls!$A$64:$E$74,2,FALSE),"No")="Yes",1,0)</f>
        <v/>
      </c>
      <c r="AF193">
        <f>IF(IFERROR(VLOOKUP(D193,Controls!$A$64:$E$74,3,FALSE),"No")="Yes",1,0)</f>
        <v/>
      </c>
      <c r="AG193">
        <f>IF(IFERROR(VLOOKUP(D193,Controls!$A$64:$E$74,4,FALSE),"No")="Yes",1,0)</f>
        <v/>
      </c>
      <c r="AH193">
        <f>IF(IFERROR(VLOOKUP(D193,Controls!$A$64:$E$74,5,FALSE),"No")="Yes",1,0)</f>
        <v/>
      </c>
      <c r="AI193">
        <f>IF(ISNUMBER(MATCH(D193,Controls!$A$64:$A$74,0)),1,0)</f>
        <v/>
      </c>
      <c r="AJ193">
        <f>Q193-N193</f>
        <v/>
      </c>
      <c r="AK193">
        <f>IF(AE193=1,MAX(0,N193-Q193),0)</f>
        <v/>
      </c>
      <c r="AL193">
        <f>IF(OR(V193="",V193=0),0,N193/V193)</f>
        <v/>
      </c>
      <c r="AM193">
        <f>IF(OR(V193="",V193=0),0,1)</f>
        <v/>
      </c>
      <c r="AN193">
        <f>IF(OR(E193="",F193=""),0,NETWORKDAYS(E193,F193,Ref!$K$2:$K$42))</f>
        <v/>
      </c>
      <c r="AO193">
        <f>IF(L193="Renewal",1,0)</f>
        <v/>
      </c>
      <c r="AP193">
        <f>AC193*AD193</f>
        <v/>
      </c>
      <c r="AQ193">
        <f>IF(AND(G193&lt;&gt;"",'Historical Score'!$C$6&lt;&gt;""),IF(G193='Historical Score'!$C$6,1,0),0)</f>
        <v/>
      </c>
      <c r="AR193">
        <f>IF(AND(L193&lt;&gt;"",'Historical Score'!$C$5&lt;&gt;""),IF(L193='Historical Score'!$C$5,1,0),0)</f>
        <v/>
      </c>
      <c r="AS193">
        <f>IF(AND(Y193&lt;&gt;"",'Historical Score'!$C$7&lt;&gt;""),IF(Y193='Historical Score'!$C$7,1,0),0)</f>
        <v/>
      </c>
      <c r="AT193">
        <f>IF(AND(K193&lt;&gt;"",'Historical Score'!$C$8&lt;&gt;""),IF(K193='Historical Score'!$C$8,1,0),0)</f>
        <v/>
      </c>
      <c r="AU193">
        <f>IF(AND(J193&lt;&gt;"",'Historical Score'!$C$9&lt;&gt;""),IF(J193='Historical Score'!$C$9,1,0),0)</f>
        <v/>
      </c>
      <c r="AV193">
        <f>AR193*AS193*AQ193</f>
        <v/>
      </c>
      <c r="AW193">
        <f>AR193*AT193*AQ193</f>
        <v/>
      </c>
      <c r="AX193">
        <f>AR193*AS193</f>
        <v/>
      </c>
      <c r="AY193">
        <f>AR193*AT193</f>
        <v/>
      </c>
      <c r="AZ193">
        <f>AR193*AQ193</f>
        <v/>
      </c>
      <c r="BA193">
        <f>AR193</f>
        <v/>
      </c>
      <c r="BB193">
        <f>1</f>
        <v/>
      </c>
      <c r="BC193">
        <f>IF(AV193=1,1,IF(AW193=1,2,IF(AX193=1,3,IF(AY193=1,4,IF(AZ193=1,5,IF(BA193=1,6,7))))))</f>
        <v/>
      </c>
      <c r="BD193">
        <f>IF(AD193=1,CHOOSE('Historical Score'!$C$29,AV193,AW193,AX193,AY193,AZ193,BA193,BB193),0)</f>
        <v/>
      </c>
      <c r="BE193">
        <f>IF(BD193=1,COUNTIF($BD$2:BD193,1),"")</f>
        <v/>
      </c>
    </row>
    <row r="194">
      <c r="A194" t="inlineStr">
        <is>
          <t>5674164038</t>
        </is>
      </c>
      <c r="B194" t="inlineStr">
        <is>
          <t>DYVINE CARE LLC</t>
        </is>
      </c>
      <c r="C194" t="inlineStr">
        <is>
          <t>DYVINE CARE LLC</t>
        </is>
      </c>
      <c r="D194" t="inlineStr">
        <is>
          <t>Legal</t>
        </is>
      </c>
      <c r="E194" s="297" t="n">
        <v>45883</v>
      </c>
      <c r="F194" s="297" t="n">
        <v>45898</v>
      </c>
      <c r="G194" t="n">
        <v>3</v>
      </c>
      <c r="H194" t="inlineStr">
        <is>
          <t>8049</t>
        </is>
      </c>
      <c r="I194" t="inlineStr">
        <is>
          <t>80</t>
        </is>
      </c>
      <c r="J194" t="inlineStr">
        <is>
          <t>NC</t>
        </is>
      </c>
      <c r="K194" t="inlineStr">
        <is>
          <t>United Secured Capital 8</t>
        </is>
      </c>
      <c r="L194" t="inlineStr">
        <is>
          <t>New Deal</t>
        </is>
      </c>
      <c r="M194" s="298" t="n">
        <v>1.499</v>
      </c>
      <c r="N194" s="299" t="n">
        <v>30000</v>
      </c>
      <c r="O194" s="299" t="n">
        <v>0</v>
      </c>
      <c r="P194" s="299" t="n">
        <v>44970</v>
      </c>
      <c r="Q194" s="299" t="n">
        <v>1798.6</v>
      </c>
      <c r="R194" s="299" t="n">
        <v>43171.4</v>
      </c>
      <c r="S194" s="300" t="n">
        <v>0.039995552590616</v>
      </c>
      <c r="T194" t="n">
        <v>25</v>
      </c>
      <c r="U194" t="n">
        <v>1</v>
      </c>
      <c r="V194" t="n">
        <v>58490.99</v>
      </c>
      <c r="W194" s="300" t="n">
        <v>0.123</v>
      </c>
      <c r="X194" s="297" t="n"/>
      <c r="Y194">
        <f>IF(I194="","No SIC",IFERROR(VLOOKUP(I194,Ref!$A$2:$B$65,2,FALSE),"Unclassified"))</f>
        <v/>
      </c>
      <c r="Z194">
        <f>IF(T194="","",IF(T194&lt;12,"Daily","Weekly"))</f>
        <v/>
      </c>
      <c r="AA194">
        <f>IF(T194="",0,IF(T194&lt;12,T194*Controls!$B$29,T194*5))</f>
        <v/>
      </c>
      <c r="AB194">
        <f>IF(E194="",0,NETWORKDAYS(E194,Controls!$B$36,Ref!$K$2:$K$42))</f>
        <v/>
      </c>
      <c r="AC194">
        <f>IF(AND(AA194&gt;0,AB194&gt;=Controls!$B$39*AA194),1,0)</f>
        <v/>
      </c>
      <c r="AD194">
        <f>IF(AND(E194&lt;&gt;"",E194&gt;=Controls!$B$37,E194&lt;=Controls!$B$38),1,0)</f>
        <v/>
      </c>
      <c r="AE194">
        <f>IF(IFERROR(VLOOKUP(D194,Controls!$A$64:$E$74,2,FALSE),"No")="Yes",1,0)</f>
        <v/>
      </c>
      <c r="AF194">
        <f>IF(IFERROR(VLOOKUP(D194,Controls!$A$64:$E$74,3,FALSE),"No")="Yes",1,0)</f>
        <v/>
      </c>
      <c r="AG194">
        <f>IF(IFERROR(VLOOKUP(D194,Controls!$A$64:$E$74,4,FALSE),"No")="Yes",1,0)</f>
        <v/>
      </c>
      <c r="AH194">
        <f>IF(IFERROR(VLOOKUP(D194,Controls!$A$64:$E$74,5,FALSE),"No")="Yes",1,0)</f>
        <v/>
      </c>
      <c r="AI194">
        <f>IF(ISNUMBER(MATCH(D194,Controls!$A$64:$A$74,0)),1,0)</f>
        <v/>
      </c>
      <c r="AJ194">
        <f>Q194-N194</f>
        <v/>
      </c>
      <c r="AK194">
        <f>IF(AE194=1,MAX(0,N194-Q194),0)</f>
        <v/>
      </c>
      <c r="AL194">
        <f>IF(OR(V194="",V194=0),0,N194/V194)</f>
        <v/>
      </c>
      <c r="AM194">
        <f>IF(OR(V194="",V194=0),0,1)</f>
        <v/>
      </c>
      <c r="AN194">
        <f>IF(OR(E194="",F194=""),0,NETWORKDAYS(E194,F194,Ref!$K$2:$K$42))</f>
        <v/>
      </c>
      <c r="AO194">
        <f>IF(L194="Renewal",1,0)</f>
        <v/>
      </c>
      <c r="AP194">
        <f>AC194*AD194</f>
        <v/>
      </c>
      <c r="AQ194">
        <f>IF(AND(G194&lt;&gt;"",'Historical Score'!$C$6&lt;&gt;""),IF(G194='Historical Score'!$C$6,1,0),0)</f>
        <v/>
      </c>
      <c r="AR194">
        <f>IF(AND(L194&lt;&gt;"",'Historical Score'!$C$5&lt;&gt;""),IF(L194='Historical Score'!$C$5,1,0),0)</f>
        <v/>
      </c>
      <c r="AS194">
        <f>IF(AND(Y194&lt;&gt;"",'Historical Score'!$C$7&lt;&gt;""),IF(Y194='Historical Score'!$C$7,1,0),0)</f>
        <v/>
      </c>
      <c r="AT194">
        <f>IF(AND(K194&lt;&gt;"",'Historical Score'!$C$8&lt;&gt;""),IF(K194='Historical Score'!$C$8,1,0),0)</f>
        <v/>
      </c>
      <c r="AU194">
        <f>IF(AND(J194&lt;&gt;"",'Historical Score'!$C$9&lt;&gt;""),IF(J194='Historical Score'!$C$9,1,0),0)</f>
        <v/>
      </c>
      <c r="AV194">
        <f>AR194*AS194*AQ194</f>
        <v/>
      </c>
      <c r="AW194">
        <f>AR194*AT194*AQ194</f>
        <v/>
      </c>
      <c r="AX194">
        <f>AR194*AS194</f>
        <v/>
      </c>
      <c r="AY194">
        <f>AR194*AT194</f>
        <v/>
      </c>
      <c r="AZ194">
        <f>AR194*AQ194</f>
        <v/>
      </c>
      <c r="BA194">
        <f>AR194</f>
        <v/>
      </c>
      <c r="BB194">
        <f>1</f>
        <v/>
      </c>
      <c r="BC194">
        <f>IF(AV194=1,1,IF(AW194=1,2,IF(AX194=1,3,IF(AY194=1,4,IF(AZ194=1,5,IF(BA194=1,6,7))))))</f>
        <v/>
      </c>
      <c r="BD194">
        <f>IF(AD194=1,CHOOSE('Historical Score'!$C$29,AV194,AW194,AX194,AY194,AZ194,BA194,BB194),0)</f>
        <v/>
      </c>
      <c r="BE194">
        <f>IF(BD194=1,COUNTIF($BD$2:BD194,1),"")</f>
        <v/>
      </c>
    </row>
    <row r="195">
      <c r="A195" t="inlineStr">
        <is>
          <t>5674164046</t>
        </is>
      </c>
      <c r="B195" t="inlineStr">
        <is>
          <t>GURU JI HOMECARE</t>
        </is>
      </c>
      <c r="C195" t="inlineStr">
        <is>
          <t>GURU JI HOMECARE AGENCY INC</t>
        </is>
      </c>
      <c r="D195" t="inlineStr">
        <is>
          <t>Closed</t>
        </is>
      </c>
      <c r="E195" s="297" t="n">
        <v>45883</v>
      </c>
      <c r="F195" s="297" t="n">
        <v>46066</v>
      </c>
      <c r="G195" t="n">
        <v>1</v>
      </c>
      <c r="H195" t="inlineStr">
        <is>
          <t>8049</t>
        </is>
      </c>
      <c r="I195" t="inlineStr">
        <is>
          <t>80</t>
        </is>
      </c>
      <c r="J195" t="inlineStr">
        <is>
          <t>IN</t>
        </is>
      </c>
      <c r="K195" t="inlineStr">
        <is>
          <t>BFA 3</t>
        </is>
      </c>
      <c r="L195" t="inlineStr">
        <is>
          <t>New Deal</t>
        </is>
      </c>
      <c r="M195" s="298" t="n">
        <v>1.47</v>
      </c>
      <c r="N195" s="299" t="n">
        <v>27000</v>
      </c>
      <c r="O195" s="299" t="n">
        <v>3510</v>
      </c>
      <c r="P195" s="299" t="n">
        <v>39690</v>
      </c>
      <c r="Q195" s="299" t="n">
        <v>39690</v>
      </c>
      <c r="R195" s="299" t="n">
        <v>0</v>
      </c>
      <c r="S195" s="300" t="n">
        <v>1</v>
      </c>
      <c r="T195" t="n">
        <v>25</v>
      </c>
      <c r="U195" t="n">
        <v>0</v>
      </c>
      <c r="V195" t="n">
        <v>65317.97</v>
      </c>
      <c r="W195" s="300" t="n">
        <v>0.09719999999999999</v>
      </c>
      <c r="X195" s="297" t="n">
        <v>45158</v>
      </c>
      <c r="Y195">
        <f>IF(I195="","No SIC",IFERROR(VLOOKUP(I195,Ref!$A$2:$B$65,2,FALSE),"Unclassified"))</f>
        <v/>
      </c>
      <c r="Z195">
        <f>IF(T195="","",IF(T195&lt;12,"Daily","Weekly"))</f>
        <v/>
      </c>
      <c r="AA195">
        <f>IF(T195="",0,IF(T195&lt;12,T195*Controls!$B$29,T195*5))</f>
        <v/>
      </c>
      <c r="AB195">
        <f>IF(E195="",0,NETWORKDAYS(E195,Controls!$B$36,Ref!$K$2:$K$42))</f>
        <v/>
      </c>
      <c r="AC195">
        <f>IF(AND(AA195&gt;0,AB195&gt;=Controls!$B$39*AA195),1,0)</f>
        <v/>
      </c>
      <c r="AD195">
        <f>IF(AND(E195&lt;&gt;"",E195&gt;=Controls!$B$37,E195&lt;=Controls!$B$38),1,0)</f>
        <v/>
      </c>
      <c r="AE195">
        <f>IF(IFERROR(VLOOKUP(D195,Controls!$A$64:$E$74,2,FALSE),"No")="Yes",1,0)</f>
        <v/>
      </c>
      <c r="AF195">
        <f>IF(IFERROR(VLOOKUP(D195,Controls!$A$64:$E$74,3,FALSE),"No")="Yes",1,0)</f>
        <v/>
      </c>
      <c r="AG195">
        <f>IF(IFERROR(VLOOKUP(D195,Controls!$A$64:$E$74,4,FALSE),"No")="Yes",1,0)</f>
        <v/>
      </c>
      <c r="AH195">
        <f>IF(IFERROR(VLOOKUP(D195,Controls!$A$64:$E$74,5,FALSE),"No")="Yes",1,0)</f>
        <v/>
      </c>
      <c r="AI195">
        <f>IF(ISNUMBER(MATCH(D195,Controls!$A$64:$A$74,0)),1,0)</f>
        <v/>
      </c>
      <c r="AJ195">
        <f>Q195-N195</f>
        <v/>
      </c>
      <c r="AK195">
        <f>IF(AE195=1,MAX(0,N195-Q195),0)</f>
        <v/>
      </c>
      <c r="AL195">
        <f>IF(OR(V195="",V195=0),0,N195/V195)</f>
        <v/>
      </c>
      <c r="AM195">
        <f>IF(OR(V195="",V195=0),0,1)</f>
        <v/>
      </c>
      <c r="AN195">
        <f>IF(OR(E195="",F195=""),0,NETWORKDAYS(E195,F195,Ref!$K$2:$K$42))</f>
        <v/>
      </c>
      <c r="AO195">
        <f>IF(L195="Renewal",1,0)</f>
        <v/>
      </c>
      <c r="AP195">
        <f>AC195*AD195</f>
        <v/>
      </c>
      <c r="AQ195">
        <f>IF(AND(G195&lt;&gt;"",'Historical Score'!$C$6&lt;&gt;""),IF(G195='Historical Score'!$C$6,1,0),0)</f>
        <v/>
      </c>
      <c r="AR195">
        <f>IF(AND(L195&lt;&gt;"",'Historical Score'!$C$5&lt;&gt;""),IF(L195='Historical Score'!$C$5,1,0),0)</f>
        <v/>
      </c>
      <c r="AS195">
        <f>IF(AND(Y195&lt;&gt;"",'Historical Score'!$C$7&lt;&gt;""),IF(Y195='Historical Score'!$C$7,1,0),0)</f>
        <v/>
      </c>
      <c r="AT195">
        <f>IF(AND(K195&lt;&gt;"",'Historical Score'!$C$8&lt;&gt;""),IF(K195='Historical Score'!$C$8,1,0),0)</f>
        <v/>
      </c>
      <c r="AU195">
        <f>IF(AND(J195&lt;&gt;"",'Historical Score'!$C$9&lt;&gt;""),IF(J195='Historical Score'!$C$9,1,0),0)</f>
        <v/>
      </c>
      <c r="AV195">
        <f>AR195*AS195*AQ195</f>
        <v/>
      </c>
      <c r="AW195">
        <f>AR195*AT195*AQ195</f>
        <v/>
      </c>
      <c r="AX195">
        <f>AR195*AS195</f>
        <v/>
      </c>
      <c r="AY195">
        <f>AR195*AT195</f>
        <v/>
      </c>
      <c r="AZ195">
        <f>AR195*AQ195</f>
        <v/>
      </c>
      <c r="BA195">
        <f>AR195</f>
        <v/>
      </c>
      <c r="BB195">
        <f>1</f>
        <v/>
      </c>
      <c r="BC195">
        <f>IF(AV195=1,1,IF(AW195=1,2,IF(AX195=1,3,IF(AY195=1,4,IF(AZ195=1,5,IF(BA195=1,6,7))))))</f>
        <v/>
      </c>
      <c r="BD195">
        <f>IF(AD195=1,CHOOSE('Historical Score'!$C$29,AV195,AW195,AX195,AY195,AZ195,BA195,BB195),0)</f>
        <v/>
      </c>
      <c r="BE195">
        <f>IF(BD195=1,COUNTIF($BD$2:BD195,1),"")</f>
        <v/>
      </c>
    </row>
    <row r="196">
      <c r="A196" t="inlineStr">
        <is>
          <t>5674164085</t>
        </is>
      </c>
      <c r="B196" t="inlineStr">
        <is>
          <t>BLESSING FAMILY CARE HOME</t>
        </is>
      </c>
      <c r="C196" t="inlineStr">
        <is>
          <t>GERLYNE JEAN</t>
        </is>
      </c>
      <c r="D196" t="inlineStr">
        <is>
          <t>Legal</t>
        </is>
      </c>
      <c r="E196" s="297" t="n">
        <v>45883</v>
      </c>
      <c r="F196" s="297" t="n">
        <v>46181</v>
      </c>
      <c r="G196" t="n">
        <v>3</v>
      </c>
      <c r="H196" t="inlineStr">
        <is>
          <t>8082</t>
        </is>
      </c>
      <c r="I196" t="inlineStr">
        <is>
          <t>80</t>
        </is>
      </c>
      <c r="J196" t="inlineStr">
        <is>
          <t>FL</t>
        </is>
      </c>
      <c r="K196" t="inlineStr">
        <is>
          <t>United Secured Capital 8</t>
        </is>
      </c>
      <c r="L196" t="inlineStr">
        <is>
          <t>New Deal</t>
        </is>
      </c>
      <c r="M196" s="298" t="n">
        <v>1.499</v>
      </c>
      <c r="N196" s="299" t="n">
        <v>8000</v>
      </c>
      <c r="O196" s="299" t="n">
        <v>1120</v>
      </c>
      <c r="P196" s="299" t="n">
        <v>11992</v>
      </c>
      <c r="Q196" s="299" t="n">
        <v>7404.97</v>
      </c>
      <c r="R196" s="299" t="n">
        <v>4587.03</v>
      </c>
      <c r="S196" s="300" t="n">
        <v>0.617492494996665</v>
      </c>
      <c r="T196" t="n">
        <v>2.295</v>
      </c>
      <c r="U196" t="n">
        <v>34</v>
      </c>
      <c r="V196" t="n">
        <v>24553.12</v>
      </c>
      <c r="W196" s="300" t="n">
        <v>0.1456</v>
      </c>
      <c r="X196" s="297" t="n"/>
      <c r="Y196">
        <f>IF(I196="","No SIC",IFERROR(VLOOKUP(I196,Ref!$A$2:$B$65,2,FALSE),"Unclassified"))</f>
        <v/>
      </c>
      <c r="Z196">
        <f>IF(T196="","",IF(T196&lt;12,"Daily","Weekly"))</f>
        <v/>
      </c>
      <c r="AA196">
        <f>IF(T196="",0,IF(T196&lt;12,T196*Controls!$B$29,T196*5))</f>
        <v/>
      </c>
      <c r="AB196">
        <f>IF(E196="",0,NETWORKDAYS(E196,Controls!$B$36,Ref!$K$2:$K$42))</f>
        <v/>
      </c>
      <c r="AC196">
        <f>IF(AND(AA196&gt;0,AB196&gt;=Controls!$B$39*AA196),1,0)</f>
        <v/>
      </c>
      <c r="AD196">
        <f>IF(AND(E196&lt;&gt;"",E196&gt;=Controls!$B$37,E196&lt;=Controls!$B$38),1,0)</f>
        <v/>
      </c>
      <c r="AE196">
        <f>IF(IFERROR(VLOOKUP(D196,Controls!$A$64:$E$74,2,FALSE),"No")="Yes",1,0)</f>
        <v/>
      </c>
      <c r="AF196">
        <f>IF(IFERROR(VLOOKUP(D196,Controls!$A$64:$E$74,3,FALSE),"No")="Yes",1,0)</f>
        <v/>
      </c>
      <c r="AG196">
        <f>IF(IFERROR(VLOOKUP(D196,Controls!$A$64:$E$74,4,FALSE),"No")="Yes",1,0)</f>
        <v/>
      </c>
      <c r="AH196">
        <f>IF(IFERROR(VLOOKUP(D196,Controls!$A$64:$E$74,5,FALSE),"No")="Yes",1,0)</f>
        <v/>
      </c>
      <c r="AI196">
        <f>IF(ISNUMBER(MATCH(D196,Controls!$A$64:$A$74,0)),1,0)</f>
        <v/>
      </c>
      <c r="AJ196">
        <f>Q196-N196</f>
        <v/>
      </c>
      <c r="AK196">
        <f>IF(AE196=1,MAX(0,N196-Q196),0)</f>
        <v/>
      </c>
      <c r="AL196">
        <f>IF(OR(V196="",V196=0),0,N196/V196)</f>
        <v/>
      </c>
      <c r="AM196">
        <f>IF(OR(V196="",V196=0),0,1)</f>
        <v/>
      </c>
      <c r="AN196">
        <f>IF(OR(E196="",F196=""),0,NETWORKDAYS(E196,F196,Ref!$K$2:$K$42))</f>
        <v/>
      </c>
      <c r="AO196">
        <f>IF(L196="Renewal",1,0)</f>
        <v/>
      </c>
      <c r="AP196">
        <f>AC196*AD196</f>
        <v/>
      </c>
      <c r="AQ196">
        <f>IF(AND(G196&lt;&gt;"",'Historical Score'!$C$6&lt;&gt;""),IF(G196='Historical Score'!$C$6,1,0),0)</f>
        <v/>
      </c>
      <c r="AR196">
        <f>IF(AND(L196&lt;&gt;"",'Historical Score'!$C$5&lt;&gt;""),IF(L196='Historical Score'!$C$5,1,0),0)</f>
        <v/>
      </c>
      <c r="AS196">
        <f>IF(AND(Y196&lt;&gt;"",'Historical Score'!$C$7&lt;&gt;""),IF(Y196='Historical Score'!$C$7,1,0),0)</f>
        <v/>
      </c>
      <c r="AT196">
        <f>IF(AND(K196&lt;&gt;"",'Historical Score'!$C$8&lt;&gt;""),IF(K196='Historical Score'!$C$8,1,0),0)</f>
        <v/>
      </c>
      <c r="AU196">
        <f>IF(AND(J196&lt;&gt;"",'Historical Score'!$C$9&lt;&gt;""),IF(J196='Historical Score'!$C$9,1,0),0)</f>
        <v/>
      </c>
      <c r="AV196">
        <f>AR196*AS196*AQ196</f>
        <v/>
      </c>
      <c r="AW196">
        <f>AR196*AT196*AQ196</f>
        <v/>
      </c>
      <c r="AX196">
        <f>AR196*AS196</f>
        <v/>
      </c>
      <c r="AY196">
        <f>AR196*AT196</f>
        <v/>
      </c>
      <c r="AZ196">
        <f>AR196*AQ196</f>
        <v/>
      </c>
      <c r="BA196">
        <f>AR196</f>
        <v/>
      </c>
      <c r="BB196">
        <f>1</f>
        <v/>
      </c>
      <c r="BC196">
        <f>IF(AV196=1,1,IF(AW196=1,2,IF(AX196=1,3,IF(AY196=1,4,IF(AZ196=1,5,IF(BA196=1,6,7))))))</f>
        <v/>
      </c>
      <c r="BD196">
        <f>IF(AD196=1,CHOOSE('Historical Score'!$C$29,AV196,AW196,AX196,AY196,AZ196,BA196,BB196),0)</f>
        <v/>
      </c>
      <c r="BE196">
        <f>IF(BD196=1,COUNTIF($BD$2:BD196,1),"")</f>
        <v/>
      </c>
    </row>
    <row r="197">
      <c r="A197" t="inlineStr">
        <is>
          <t>5674164116</t>
        </is>
      </c>
      <c r="B197" t="inlineStr">
        <is>
          <t>BIG DUDE AUTO CARE LLC</t>
        </is>
      </c>
      <c r="C197" t="inlineStr">
        <is>
          <t>BIG DUDE AUTO CARE LLC</t>
        </is>
      </c>
      <c r="D197" t="inlineStr">
        <is>
          <t>Legal</t>
        </is>
      </c>
      <c r="E197" s="297" t="n">
        <v>45884</v>
      </c>
      <c r="F197" s="297" t="n">
        <v>46036</v>
      </c>
      <c r="G197" t="n">
        <v>3</v>
      </c>
      <c r="H197" t="inlineStr">
        <is>
          <t>7533</t>
        </is>
      </c>
      <c r="I197" t="inlineStr">
        <is>
          <t>75</t>
        </is>
      </c>
      <c r="J197" t="inlineStr">
        <is>
          <t>AZ</t>
        </is>
      </c>
      <c r="K197" t="inlineStr">
        <is>
          <t>Shield Funding</t>
        </is>
      </c>
      <c r="L197" t="inlineStr">
        <is>
          <t>New Deal</t>
        </is>
      </c>
      <c r="M197" s="298" t="n">
        <v>1.499</v>
      </c>
      <c r="N197" s="299" t="n">
        <v>3500</v>
      </c>
      <c r="O197" s="299" t="n">
        <v>0</v>
      </c>
      <c r="P197" s="299" t="n">
        <v>5246.5</v>
      </c>
      <c r="Q197" s="299" t="n">
        <v>111.78</v>
      </c>
      <c r="R197" s="299" t="n">
        <v>5134.72</v>
      </c>
      <c r="S197" s="300" t="n">
        <v>0.0213056323263128</v>
      </c>
      <c r="T197" t="n">
        <v>2.295</v>
      </c>
      <c r="U197" t="n">
        <v>62</v>
      </c>
      <c r="V197" t="n">
        <v>17194.25</v>
      </c>
      <c r="W197" s="300" t="n"/>
      <c r="X197" s="297" t="n">
        <v>44999</v>
      </c>
      <c r="Y197">
        <f>IF(I197="","No SIC",IFERROR(VLOOKUP(I197,Ref!$A$2:$B$65,2,FALSE),"Unclassified"))</f>
        <v/>
      </c>
      <c r="Z197">
        <f>IF(T197="","",IF(T197&lt;12,"Daily","Weekly"))</f>
        <v/>
      </c>
      <c r="AA197">
        <f>IF(T197="",0,IF(T197&lt;12,T197*Controls!$B$29,T197*5))</f>
        <v/>
      </c>
      <c r="AB197">
        <f>IF(E197="",0,NETWORKDAYS(E197,Controls!$B$36,Ref!$K$2:$K$42))</f>
        <v/>
      </c>
      <c r="AC197">
        <f>IF(AND(AA197&gt;0,AB197&gt;=Controls!$B$39*AA197),1,0)</f>
        <v/>
      </c>
      <c r="AD197">
        <f>IF(AND(E197&lt;&gt;"",E197&gt;=Controls!$B$37,E197&lt;=Controls!$B$38),1,0)</f>
        <v/>
      </c>
      <c r="AE197">
        <f>IF(IFERROR(VLOOKUP(D197,Controls!$A$64:$E$74,2,FALSE),"No")="Yes",1,0)</f>
        <v/>
      </c>
      <c r="AF197">
        <f>IF(IFERROR(VLOOKUP(D197,Controls!$A$64:$E$74,3,FALSE),"No")="Yes",1,0)</f>
        <v/>
      </c>
      <c r="AG197">
        <f>IF(IFERROR(VLOOKUP(D197,Controls!$A$64:$E$74,4,FALSE),"No")="Yes",1,0)</f>
        <v/>
      </c>
      <c r="AH197">
        <f>IF(IFERROR(VLOOKUP(D197,Controls!$A$64:$E$74,5,FALSE),"No")="Yes",1,0)</f>
        <v/>
      </c>
      <c r="AI197">
        <f>IF(ISNUMBER(MATCH(D197,Controls!$A$64:$A$74,0)),1,0)</f>
        <v/>
      </c>
      <c r="AJ197">
        <f>Q197-N197</f>
        <v/>
      </c>
      <c r="AK197">
        <f>IF(AE197=1,MAX(0,N197-Q197),0)</f>
        <v/>
      </c>
      <c r="AL197">
        <f>IF(OR(V197="",V197=0),0,N197/V197)</f>
        <v/>
      </c>
      <c r="AM197">
        <f>IF(OR(V197="",V197=0),0,1)</f>
        <v/>
      </c>
      <c r="AN197">
        <f>IF(OR(E197="",F197=""),0,NETWORKDAYS(E197,F197,Ref!$K$2:$K$42))</f>
        <v/>
      </c>
      <c r="AO197">
        <f>IF(L197="Renewal",1,0)</f>
        <v/>
      </c>
      <c r="AP197">
        <f>AC197*AD197</f>
        <v/>
      </c>
      <c r="AQ197">
        <f>IF(AND(G197&lt;&gt;"",'Historical Score'!$C$6&lt;&gt;""),IF(G197='Historical Score'!$C$6,1,0),0)</f>
        <v/>
      </c>
      <c r="AR197">
        <f>IF(AND(L197&lt;&gt;"",'Historical Score'!$C$5&lt;&gt;""),IF(L197='Historical Score'!$C$5,1,0),0)</f>
        <v/>
      </c>
      <c r="AS197">
        <f>IF(AND(Y197&lt;&gt;"",'Historical Score'!$C$7&lt;&gt;""),IF(Y197='Historical Score'!$C$7,1,0),0)</f>
        <v/>
      </c>
      <c r="AT197">
        <f>IF(AND(K197&lt;&gt;"",'Historical Score'!$C$8&lt;&gt;""),IF(K197='Historical Score'!$C$8,1,0),0)</f>
        <v/>
      </c>
      <c r="AU197">
        <f>IF(AND(J197&lt;&gt;"",'Historical Score'!$C$9&lt;&gt;""),IF(J197='Historical Score'!$C$9,1,0),0)</f>
        <v/>
      </c>
      <c r="AV197">
        <f>AR197*AS197*AQ197</f>
        <v/>
      </c>
      <c r="AW197">
        <f>AR197*AT197*AQ197</f>
        <v/>
      </c>
      <c r="AX197">
        <f>AR197*AS197</f>
        <v/>
      </c>
      <c r="AY197">
        <f>AR197*AT197</f>
        <v/>
      </c>
      <c r="AZ197">
        <f>AR197*AQ197</f>
        <v/>
      </c>
      <c r="BA197">
        <f>AR197</f>
        <v/>
      </c>
      <c r="BB197">
        <f>1</f>
        <v/>
      </c>
      <c r="BC197">
        <f>IF(AV197=1,1,IF(AW197=1,2,IF(AX197=1,3,IF(AY197=1,4,IF(AZ197=1,5,IF(BA197=1,6,7))))))</f>
        <v/>
      </c>
      <c r="BD197">
        <f>IF(AD197=1,CHOOSE('Historical Score'!$C$29,AV197,AW197,AX197,AY197,AZ197,BA197,BB197),0)</f>
        <v/>
      </c>
      <c r="BE197">
        <f>IF(BD197=1,COUNTIF($BD$2:BD197,1),"")</f>
        <v/>
      </c>
    </row>
    <row r="198">
      <c r="A198" t="inlineStr">
        <is>
          <t>5674164132</t>
        </is>
      </c>
      <c r="B198" t="inlineStr">
        <is>
          <t>M. Delaney LLC</t>
        </is>
      </c>
      <c r="C198" t="inlineStr">
        <is>
          <t>M. Delaney LLC</t>
        </is>
      </c>
      <c r="D198" t="inlineStr">
        <is>
          <t>Closed</t>
        </is>
      </c>
      <c r="E198" s="297" t="n">
        <v>45884</v>
      </c>
      <c r="F198" s="297" t="n">
        <v>45996</v>
      </c>
      <c r="G198" t="n">
        <v>3</v>
      </c>
      <c r="H198" t="inlineStr">
        <is>
          <t>6513</t>
        </is>
      </c>
      <c r="I198" t="inlineStr">
        <is>
          <t>65</t>
        </is>
      </c>
      <c r="J198" t="inlineStr">
        <is>
          <t>GA</t>
        </is>
      </c>
      <c r="K198" t="inlineStr">
        <is>
          <t>Llama Loan</t>
        </is>
      </c>
      <c r="L198" t="inlineStr">
        <is>
          <t>Renewal</t>
        </is>
      </c>
      <c r="M198" s="298" t="n">
        <v>1.49</v>
      </c>
      <c r="N198" s="299" t="n">
        <v>22000</v>
      </c>
      <c r="O198" s="299" t="n">
        <v>3080</v>
      </c>
      <c r="P198" s="299" t="n">
        <v>32780</v>
      </c>
      <c r="Q198" s="299" t="n">
        <v>32780</v>
      </c>
      <c r="R198" s="299" t="n">
        <v>0</v>
      </c>
      <c r="S198" s="300" t="n">
        <v>1</v>
      </c>
      <c r="T198" t="n">
        <v>3.934</v>
      </c>
      <c r="U198" t="n">
        <v>2</v>
      </c>
      <c r="V198" t="n">
        <v>51823.33</v>
      </c>
      <c r="W198" s="300" t="n">
        <v>0.1107</v>
      </c>
      <c r="X198" s="297" t="n"/>
      <c r="Y198">
        <f>IF(I198="","No SIC",IFERROR(VLOOKUP(I198,Ref!$A$2:$B$65,2,FALSE),"Unclassified"))</f>
        <v/>
      </c>
      <c r="Z198">
        <f>IF(T198="","",IF(T198&lt;12,"Daily","Weekly"))</f>
        <v/>
      </c>
      <c r="AA198">
        <f>IF(T198="",0,IF(T198&lt;12,T198*Controls!$B$29,T198*5))</f>
        <v/>
      </c>
      <c r="AB198">
        <f>IF(E198="",0,NETWORKDAYS(E198,Controls!$B$36,Ref!$K$2:$K$42))</f>
        <v/>
      </c>
      <c r="AC198">
        <f>IF(AND(AA198&gt;0,AB198&gt;=Controls!$B$39*AA198),1,0)</f>
        <v/>
      </c>
      <c r="AD198">
        <f>IF(AND(E198&lt;&gt;"",E198&gt;=Controls!$B$37,E198&lt;=Controls!$B$38),1,0)</f>
        <v/>
      </c>
      <c r="AE198">
        <f>IF(IFERROR(VLOOKUP(D198,Controls!$A$64:$E$74,2,FALSE),"No")="Yes",1,0)</f>
        <v/>
      </c>
      <c r="AF198">
        <f>IF(IFERROR(VLOOKUP(D198,Controls!$A$64:$E$74,3,FALSE),"No")="Yes",1,0)</f>
        <v/>
      </c>
      <c r="AG198">
        <f>IF(IFERROR(VLOOKUP(D198,Controls!$A$64:$E$74,4,FALSE),"No")="Yes",1,0)</f>
        <v/>
      </c>
      <c r="AH198">
        <f>IF(IFERROR(VLOOKUP(D198,Controls!$A$64:$E$74,5,FALSE),"No")="Yes",1,0)</f>
        <v/>
      </c>
      <c r="AI198">
        <f>IF(ISNUMBER(MATCH(D198,Controls!$A$64:$A$74,0)),1,0)</f>
        <v/>
      </c>
      <c r="AJ198">
        <f>Q198-N198</f>
        <v/>
      </c>
      <c r="AK198">
        <f>IF(AE198=1,MAX(0,N198-Q198),0)</f>
        <v/>
      </c>
      <c r="AL198">
        <f>IF(OR(V198="",V198=0),0,N198/V198)</f>
        <v/>
      </c>
      <c r="AM198">
        <f>IF(OR(V198="",V198=0),0,1)</f>
        <v/>
      </c>
      <c r="AN198">
        <f>IF(OR(E198="",F198=""),0,NETWORKDAYS(E198,F198,Ref!$K$2:$K$42))</f>
        <v/>
      </c>
      <c r="AO198">
        <f>IF(L198="Renewal",1,0)</f>
        <v/>
      </c>
      <c r="AP198">
        <f>AC198*AD198</f>
        <v/>
      </c>
      <c r="AQ198">
        <f>IF(AND(G198&lt;&gt;"",'Historical Score'!$C$6&lt;&gt;""),IF(G198='Historical Score'!$C$6,1,0),0)</f>
        <v/>
      </c>
      <c r="AR198">
        <f>IF(AND(L198&lt;&gt;"",'Historical Score'!$C$5&lt;&gt;""),IF(L198='Historical Score'!$C$5,1,0),0)</f>
        <v/>
      </c>
      <c r="AS198">
        <f>IF(AND(Y198&lt;&gt;"",'Historical Score'!$C$7&lt;&gt;""),IF(Y198='Historical Score'!$C$7,1,0),0)</f>
        <v/>
      </c>
      <c r="AT198">
        <f>IF(AND(K198&lt;&gt;"",'Historical Score'!$C$8&lt;&gt;""),IF(K198='Historical Score'!$C$8,1,0),0)</f>
        <v/>
      </c>
      <c r="AU198">
        <f>IF(AND(J198&lt;&gt;"",'Historical Score'!$C$9&lt;&gt;""),IF(J198='Historical Score'!$C$9,1,0),0)</f>
        <v/>
      </c>
      <c r="AV198">
        <f>AR198*AS198*AQ198</f>
        <v/>
      </c>
      <c r="AW198">
        <f>AR198*AT198*AQ198</f>
        <v/>
      </c>
      <c r="AX198">
        <f>AR198*AS198</f>
        <v/>
      </c>
      <c r="AY198">
        <f>AR198*AT198</f>
        <v/>
      </c>
      <c r="AZ198">
        <f>AR198*AQ198</f>
        <v/>
      </c>
      <c r="BA198">
        <f>AR198</f>
        <v/>
      </c>
      <c r="BB198">
        <f>1</f>
        <v/>
      </c>
      <c r="BC198">
        <f>IF(AV198=1,1,IF(AW198=1,2,IF(AX198=1,3,IF(AY198=1,4,IF(AZ198=1,5,IF(BA198=1,6,7))))))</f>
        <v/>
      </c>
      <c r="BD198">
        <f>IF(AD198=1,CHOOSE('Historical Score'!$C$29,AV198,AW198,AX198,AY198,AZ198,BA198,BB198),0)</f>
        <v/>
      </c>
      <c r="BE198">
        <f>IF(BD198=1,COUNTIF($BD$2:BD198,1),"")</f>
        <v/>
      </c>
    </row>
    <row r="199">
      <c r="A199" t="inlineStr">
        <is>
          <t>5674164163</t>
        </is>
      </c>
      <c r="B199" t="inlineStr">
        <is>
          <t>Balanced Bites Cafe LLC</t>
        </is>
      </c>
      <c r="C199" t="inlineStr">
        <is>
          <t>Balanced Bites Cafe LLC</t>
        </is>
      </c>
      <c r="D199" t="inlineStr">
        <is>
          <t>In House Collection</t>
        </is>
      </c>
      <c r="E199" s="297" t="n">
        <v>45884</v>
      </c>
      <c r="F199" s="297" t="n">
        <v>46253</v>
      </c>
      <c r="G199" t="n">
        <v>1</v>
      </c>
      <c r="H199" t="inlineStr">
        <is>
          <t>5812</t>
        </is>
      </c>
      <c r="I199" t="inlineStr">
        <is>
          <t>58</t>
        </is>
      </c>
      <c r="J199" t="inlineStr">
        <is>
          <t>CA</t>
        </is>
      </c>
      <c r="K199" t="inlineStr">
        <is>
          <t>PMF</t>
        </is>
      </c>
      <c r="L199" t="inlineStr">
        <is>
          <t>New Deal</t>
        </is>
      </c>
      <c r="M199" s="298" t="n">
        <v>1.499</v>
      </c>
      <c r="N199" s="299" t="n">
        <v>10000</v>
      </c>
      <c r="O199" s="299" t="n">
        <v>1400</v>
      </c>
      <c r="P199" s="299" t="n">
        <v>14990</v>
      </c>
      <c r="Q199" s="299" t="n">
        <v>7358.06</v>
      </c>
      <c r="R199" s="299" t="n">
        <v>7631.94</v>
      </c>
      <c r="S199" s="300" t="n">
        <v>0.490864576384256</v>
      </c>
      <c r="T199" t="n">
        <v>2.623</v>
      </c>
      <c r="U199" t="n">
        <v>42</v>
      </c>
      <c r="V199" t="n">
        <v>32383.46</v>
      </c>
      <c r="W199" s="300" t="n">
        <v>0.1208</v>
      </c>
      <c r="X199" s="297" t="n">
        <v>45659</v>
      </c>
      <c r="Y199">
        <f>IF(I199="","No SIC",IFERROR(VLOOKUP(I199,Ref!$A$2:$B$65,2,FALSE),"Unclassified"))</f>
        <v/>
      </c>
      <c r="Z199">
        <f>IF(T199="","",IF(T199&lt;12,"Daily","Weekly"))</f>
        <v/>
      </c>
      <c r="AA199">
        <f>IF(T199="",0,IF(T199&lt;12,T199*Controls!$B$29,T199*5))</f>
        <v/>
      </c>
      <c r="AB199">
        <f>IF(E199="",0,NETWORKDAYS(E199,Controls!$B$36,Ref!$K$2:$K$42))</f>
        <v/>
      </c>
      <c r="AC199">
        <f>IF(AND(AA199&gt;0,AB199&gt;=Controls!$B$39*AA199),1,0)</f>
        <v/>
      </c>
      <c r="AD199">
        <f>IF(AND(E199&lt;&gt;"",E199&gt;=Controls!$B$37,E199&lt;=Controls!$B$38),1,0)</f>
        <v/>
      </c>
      <c r="AE199">
        <f>IF(IFERROR(VLOOKUP(D199,Controls!$A$64:$E$74,2,FALSE),"No")="Yes",1,0)</f>
        <v/>
      </c>
      <c r="AF199">
        <f>IF(IFERROR(VLOOKUP(D199,Controls!$A$64:$E$74,3,FALSE),"No")="Yes",1,0)</f>
        <v/>
      </c>
      <c r="AG199">
        <f>IF(IFERROR(VLOOKUP(D199,Controls!$A$64:$E$74,4,FALSE),"No")="Yes",1,0)</f>
        <v/>
      </c>
      <c r="AH199">
        <f>IF(IFERROR(VLOOKUP(D199,Controls!$A$64:$E$74,5,FALSE),"No")="Yes",1,0)</f>
        <v/>
      </c>
      <c r="AI199">
        <f>IF(ISNUMBER(MATCH(D199,Controls!$A$64:$A$74,0)),1,0)</f>
        <v/>
      </c>
      <c r="AJ199">
        <f>Q199-N199</f>
        <v/>
      </c>
      <c r="AK199">
        <f>IF(AE199=1,MAX(0,N199-Q199),0)</f>
        <v/>
      </c>
      <c r="AL199">
        <f>IF(OR(V199="",V199=0),0,N199/V199)</f>
        <v/>
      </c>
      <c r="AM199">
        <f>IF(OR(V199="",V199=0),0,1)</f>
        <v/>
      </c>
      <c r="AN199">
        <f>IF(OR(E199="",F199=""),0,NETWORKDAYS(E199,F199,Ref!$K$2:$K$42))</f>
        <v/>
      </c>
      <c r="AO199">
        <f>IF(L199="Renewal",1,0)</f>
        <v/>
      </c>
      <c r="AP199">
        <f>AC199*AD199</f>
        <v/>
      </c>
      <c r="AQ199">
        <f>IF(AND(G199&lt;&gt;"",'Historical Score'!$C$6&lt;&gt;""),IF(G199='Historical Score'!$C$6,1,0),0)</f>
        <v/>
      </c>
      <c r="AR199">
        <f>IF(AND(L199&lt;&gt;"",'Historical Score'!$C$5&lt;&gt;""),IF(L199='Historical Score'!$C$5,1,0),0)</f>
        <v/>
      </c>
      <c r="AS199">
        <f>IF(AND(Y199&lt;&gt;"",'Historical Score'!$C$7&lt;&gt;""),IF(Y199='Historical Score'!$C$7,1,0),0)</f>
        <v/>
      </c>
      <c r="AT199">
        <f>IF(AND(K199&lt;&gt;"",'Historical Score'!$C$8&lt;&gt;""),IF(K199='Historical Score'!$C$8,1,0),0)</f>
        <v/>
      </c>
      <c r="AU199">
        <f>IF(AND(J199&lt;&gt;"",'Historical Score'!$C$9&lt;&gt;""),IF(J199='Historical Score'!$C$9,1,0),0)</f>
        <v/>
      </c>
      <c r="AV199">
        <f>AR199*AS199*AQ199</f>
        <v/>
      </c>
      <c r="AW199">
        <f>AR199*AT199*AQ199</f>
        <v/>
      </c>
      <c r="AX199">
        <f>AR199*AS199</f>
        <v/>
      </c>
      <c r="AY199">
        <f>AR199*AT199</f>
        <v/>
      </c>
      <c r="AZ199">
        <f>AR199*AQ199</f>
        <v/>
      </c>
      <c r="BA199">
        <f>AR199</f>
        <v/>
      </c>
      <c r="BB199">
        <f>1</f>
        <v/>
      </c>
      <c r="BC199">
        <f>IF(AV199=1,1,IF(AW199=1,2,IF(AX199=1,3,IF(AY199=1,4,IF(AZ199=1,5,IF(BA199=1,6,7))))))</f>
        <v/>
      </c>
      <c r="BD199">
        <f>IF(AD199=1,CHOOSE('Historical Score'!$C$29,AV199,AW199,AX199,AY199,AZ199,BA199,BB199),0)</f>
        <v/>
      </c>
      <c r="BE199">
        <f>IF(BD199=1,COUNTIF($BD$2:BD199,1),"")</f>
        <v/>
      </c>
    </row>
    <row r="200">
      <c r="A200" t="inlineStr">
        <is>
          <t>5674164225</t>
        </is>
      </c>
      <c r="B200" t="inlineStr">
        <is>
          <t>Charles Hannum Inc</t>
        </is>
      </c>
      <c r="C200" t="inlineStr">
        <is>
          <t>Charles Hannum Inc</t>
        </is>
      </c>
      <c r="D200" t="inlineStr">
        <is>
          <t>Closed</t>
        </is>
      </c>
      <c r="E200" s="297" t="n">
        <v>45887</v>
      </c>
      <c r="F200" s="297" t="n">
        <v>45960</v>
      </c>
      <c r="G200" t="n">
        <v>6</v>
      </c>
      <c r="H200" t="inlineStr">
        <is>
          <t>5999</t>
        </is>
      </c>
      <c r="I200" t="inlineStr">
        <is>
          <t>59</t>
        </is>
      </c>
      <c r="J200" t="inlineStr">
        <is>
          <t>PA</t>
        </is>
      </c>
      <c r="K200" t="inlineStr">
        <is>
          <t>Triumph Cap Fund</t>
        </is>
      </c>
      <c r="L200" t="inlineStr">
        <is>
          <t>New Deal</t>
        </is>
      </c>
      <c r="M200" s="298" t="n">
        <v>1.36</v>
      </c>
      <c r="N200" s="299" t="n">
        <v>15000</v>
      </c>
      <c r="O200" s="299" t="n">
        <v>1125</v>
      </c>
      <c r="P200" s="299" t="n">
        <v>20400</v>
      </c>
      <c r="Q200" s="299" t="n">
        <v>20400</v>
      </c>
      <c r="R200" s="299" t="n">
        <v>0</v>
      </c>
      <c r="S200" s="300" t="n">
        <v>1</v>
      </c>
      <c r="T200" t="n">
        <v>3.279</v>
      </c>
      <c r="U200" t="n">
        <v>0</v>
      </c>
      <c r="V200" t="n">
        <v>33782.45</v>
      </c>
      <c r="W200" s="300" t="n">
        <v>0.1268</v>
      </c>
      <c r="X200" s="297" t="n"/>
      <c r="Y200">
        <f>IF(I200="","No SIC",IFERROR(VLOOKUP(I200,Ref!$A$2:$B$65,2,FALSE),"Unclassified"))</f>
        <v/>
      </c>
      <c r="Z200">
        <f>IF(T200="","",IF(T200&lt;12,"Daily","Weekly"))</f>
        <v/>
      </c>
      <c r="AA200">
        <f>IF(T200="",0,IF(T200&lt;12,T200*Controls!$B$29,T200*5))</f>
        <v/>
      </c>
      <c r="AB200">
        <f>IF(E200="",0,NETWORKDAYS(E200,Controls!$B$36,Ref!$K$2:$K$42))</f>
        <v/>
      </c>
      <c r="AC200">
        <f>IF(AND(AA200&gt;0,AB200&gt;=Controls!$B$39*AA200),1,0)</f>
        <v/>
      </c>
      <c r="AD200">
        <f>IF(AND(E200&lt;&gt;"",E200&gt;=Controls!$B$37,E200&lt;=Controls!$B$38),1,0)</f>
        <v/>
      </c>
      <c r="AE200">
        <f>IF(IFERROR(VLOOKUP(D200,Controls!$A$64:$E$74,2,FALSE),"No")="Yes",1,0)</f>
        <v/>
      </c>
      <c r="AF200">
        <f>IF(IFERROR(VLOOKUP(D200,Controls!$A$64:$E$74,3,FALSE),"No")="Yes",1,0)</f>
        <v/>
      </c>
      <c r="AG200">
        <f>IF(IFERROR(VLOOKUP(D200,Controls!$A$64:$E$74,4,FALSE),"No")="Yes",1,0)</f>
        <v/>
      </c>
      <c r="AH200">
        <f>IF(IFERROR(VLOOKUP(D200,Controls!$A$64:$E$74,5,FALSE),"No")="Yes",1,0)</f>
        <v/>
      </c>
      <c r="AI200">
        <f>IF(ISNUMBER(MATCH(D200,Controls!$A$64:$A$74,0)),1,0)</f>
        <v/>
      </c>
      <c r="AJ200">
        <f>Q200-N200</f>
        <v/>
      </c>
      <c r="AK200">
        <f>IF(AE200=1,MAX(0,N200-Q200),0)</f>
        <v/>
      </c>
      <c r="AL200">
        <f>IF(OR(V200="",V200=0),0,N200/V200)</f>
        <v/>
      </c>
      <c r="AM200">
        <f>IF(OR(V200="",V200=0),0,1)</f>
        <v/>
      </c>
      <c r="AN200">
        <f>IF(OR(E200="",F200=""),0,NETWORKDAYS(E200,F200,Ref!$K$2:$K$42))</f>
        <v/>
      </c>
      <c r="AO200">
        <f>IF(L200="Renewal",1,0)</f>
        <v/>
      </c>
      <c r="AP200">
        <f>AC200*AD200</f>
        <v/>
      </c>
      <c r="AQ200">
        <f>IF(AND(G200&lt;&gt;"",'Historical Score'!$C$6&lt;&gt;""),IF(G200='Historical Score'!$C$6,1,0),0)</f>
        <v/>
      </c>
      <c r="AR200">
        <f>IF(AND(L200&lt;&gt;"",'Historical Score'!$C$5&lt;&gt;""),IF(L200='Historical Score'!$C$5,1,0),0)</f>
        <v/>
      </c>
      <c r="AS200">
        <f>IF(AND(Y200&lt;&gt;"",'Historical Score'!$C$7&lt;&gt;""),IF(Y200='Historical Score'!$C$7,1,0),0)</f>
        <v/>
      </c>
      <c r="AT200">
        <f>IF(AND(K200&lt;&gt;"",'Historical Score'!$C$8&lt;&gt;""),IF(K200='Historical Score'!$C$8,1,0),0)</f>
        <v/>
      </c>
      <c r="AU200">
        <f>IF(AND(J200&lt;&gt;"",'Historical Score'!$C$9&lt;&gt;""),IF(J200='Historical Score'!$C$9,1,0),0)</f>
        <v/>
      </c>
      <c r="AV200">
        <f>AR200*AS200*AQ200</f>
        <v/>
      </c>
      <c r="AW200">
        <f>AR200*AT200*AQ200</f>
        <v/>
      </c>
      <c r="AX200">
        <f>AR200*AS200</f>
        <v/>
      </c>
      <c r="AY200">
        <f>AR200*AT200</f>
        <v/>
      </c>
      <c r="AZ200">
        <f>AR200*AQ200</f>
        <v/>
      </c>
      <c r="BA200">
        <f>AR200</f>
        <v/>
      </c>
      <c r="BB200">
        <f>1</f>
        <v/>
      </c>
      <c r="BC200">
        <f>IF(AV200=1,1,IF(AW200=1,2,IF(AX200=1,3,IF(AY200=1,4,IF(AZ200=1,5,IF(BA200=1,6,7))))))</f>
        <v/>
      </c>
      <c r="BD200">
        <f>IF(AD200=1,CHOOSE('Historical Score'!$C$29,AV200,AW200,AX200,AY200,AZ200,BA200,BB200),0)</f>
        <v/>
      </c>
      <c r="BE200">
        <f>IF(BD200=1,COUNTIF($BD$2:BD200,1),"")</f>
        <v/>
      </c>
    </row>
    <row r="201">
      <c r="A201" t="inlineStr">
        <is>
          <t>5674164276</t>
        </is>
      </c>
      <c r="B201" t="inlineStr">
        <is>
          <t>COASTLINE SERVICES</t>
        </is>
      </c>
      <c r="C201" t="inlineStr">
        <is>
          <t>JULIAN JAKE CANALES</t>
        </is>
      </c>
      <c r="D201" t="inlineStr">
        <is>
          <t>Closed/NSF Unpaid</t>
        </is>
      </c>
      <c r="E201" s="297" t="n">
        <v>45888</v>
      </c>
      <c r="F201" s="297" t="n">
        <v>46113</v>
      </c>
      <c r="G201" t="n">
        <v>4</v>
      </c>
      <c r="H201" t="inlineStr">
        <is>
          <t>7521</t>
        </is>
      </c>
      <c r="I201" t="inlineStr">
        <is>
          <t>75</t>
        </is>
      </c>
      <c r="J201" t="inlineStr">
        <is>
          <t>CA</t>
        </is>
      </c>
      <c r="K201" t="inlineStr">
        <is>
          <t>Fundible</t>
        </is>
      </c>
      <c r="L201" t="inlineStr">
        <is>
          <t>New Deal</t>
        </is>
      </c>
      <c r="M201" s="298" t="n">
        <v>1.499</v>
      </c>
      <c r="N201" s="299" t="n">
        <v>4500</v>
      </c>
      <c r="O201" s="299" t="n">
        <v>630</v>
      </c>
      <c r="P201" s="299" t="n">
        <v>6745.5</v>
      </c>
      <c r="Q201" s="299" t="n">
        <v>6745.5</v>
      </c>
      <c r="R201" s="299" t="n">
        <v>9.09494701772928e-13</v>
      </c>
      <c r="S201" s="300" t="n">
        <v>1</v>
      </c>
      <c r="T201" t="n">
        <v>1.967</v>
      </c>
      <c r="U201" t="n">
        <v>44</v>
      </c>
      <c r="V201" t="n">
        <v>18481.21</v>
      </c>
      <c r="W201" s="300" t="n">
        <v>0.1261</v>
      </c>
      <c r="X201" s="297" t="n">
        <v>39083</v>
      </c>
      <c r="Y201">
        <f>IF(I201="","No SIC",IFERROR(VLOOKUP(I201,Ref!$A$2:$B$65,2,FALSE),"Unclassified"))</f>
        <v/>
      </c>
      <c r="Z201">
        <f>IF(T201="","",IF(T201&lt;12,"Daily","Weekly"))</f>
        <v/>
      </c>
      <c r="AA201">
        <f>IF(T201="",0,IF(T201&lt;12,T201*Controls!$B$29,T201*5))</f>
        <v/>
      </c>
      <c r="AB201">
        <f>IF(E201="",0,NETWORKDAYS(E201,Controls!$B$36,Ref!$K$2:$K$42))</f>
        <v/>
      </c>
      <c r="AC201">
        <f>IF(AND(AA201&gt;0,AB201&gt;=Controls!$B$39*AA201),1,0)</f>
        <v/>
      </c>
      <c r="AD201">
        <f>IF(AND(E201&lt;&gt;"",E201&gt;=Controls!$B$37,E201&lt;=Controls!$B$38),1,0)</f>
        <v/>
      </c>
      <c r="AE201">
        <f>IF(IFERROR(VLOOKUP(D201,Controls!$A$64:$E$74,2,FALSE),"No")="Yes",1,0)</f>
        <v/>
      </c>
      <c r="AF201">
        <f>IF(IFERROR(VLOOKUP(D201,Controls!$A$64:$E$74,3,FALSE),"No")="Yes",1,0)</f>
        <v/>
      </c>
      <c r="AG201">
        <f>IF(IFERROR(VLOOKUP(D201,Controls!$A$64:$E$74,4,FALSE),"No")="Yes",1,0)</f>
        <v/>
      </c>
      <c r="AH201">
        <f>IF(IFERROR(VLOOKUP(D201,Controls!$A$64:$E$74,5,FALSE),"No")="Yes",1,0)</f>
        <v/>
      </c>
      <c r="AI201">
        <f>IF(ISNUMBER(MATCH(D201,Controls!$A$64:$A$74,0)),1,0)</f>
        <v/>
      </c>
      <c r="AJ201">
        <f>Q201-N201</f>
        <v/>
      </c>
      <c r="AK201">
        <f>IF(AE201=1,MAX(0,N201-Q201),0)</f>
        <v/>
      </c>
      <c r="AL201">
        <f>IF(OR(V201="",V201=0),0,N201/V201)</f>
        <v/>
      </c>
      <c r="AM201">
        <f>IF(OR(V201="",V201=0),0,1)</f>
        <v/>
      </c>
      <c r="AN201">
        <f>IF(OR(E201="",F201=""),0,NETWORKDAYS(E201,F201,Ref!$K$2:$K$42))</f>
        <v/>
      </c>
      <c r="AO201">
        <f>IF(L201="Renewal",1,0)</f>
        <v/>
      </c>
      <c r="AP201">
        <f>AC201*AD201</f>
        <v/>
      </c>
      <c r="AQ201">
        <f>IF(AND(G201&lt;&gt;"",'Historical Score'!$C$6&lt;&gt;""),IF(G201='Historical Score'!$C$6,1,0),0)</f>
        <v/>
      </c>
      <c r="AR201">
        <f>IF(AND(L201&lt;&gt;"",'Historical Score'!$C$5&lt;&gt;""),IF(L201='Historical Score'!$C$5,1,0),0)</f>
        <v/>
      </c>
      <c r="AS201">
        <f>IF(AND(Y201&lt;&gt;"",'Historical Score'!$C$7&lt;&gt;""),IF(Y201='Historical Score'!$C$7,1,0),0)</f>
        <v/>
      </c>
      <c r="AT201">
        <f>IF(AND(K201&lt;&gt;"",'Historical Score'!$C$8&lt;&gt;""),IF(K201='Historical Score'!$C$8,1,0),0)</f>
        <v/>
      </c>
      <c r="AU201">
        <f>IF(AND(J201&lt;&gt;"",'Historical Score'!$C$9&lt;&gt;""),IF(J201='Historical Score'!$C$9,1,0),0)</f>
        <v/>
      </c>
      <c r="AV201">
        <f>AR201*AS201*AQ201</f>
        <v/>
      </c>
      <c r="AW201">
        <f>AR201*AT201*AQ201</f>
        <v/>
      </c>
      <c r="AX201">
        <f>AR201*AS201</f>
        <v/>
      </c>
      <c r="AY201">
        <f>AR201*AT201</f>
        <v/>
      </c>
      <c r="AZ201">
        <f>AR201*AQ201</f>
        <v/>
      </c>
      <c r="BA201">
        <f>AR201</f>
        <v/>
      </c>
      <c r="BB201">
        <f>1</f>
        <v/>
      </c>
      <c r="BC201">
        <f>IF(AV201=1,1,IF(AW201=1,2,IF(AX201=1,3,IF(AY201=1,4,IF(AZ201=1,5,IF(BA201=1,6,7))))))</f>
        <v/>
      </c>
      <c r="BD201">
        <f>IF(AD201=1,CHOOSE('Historical Score'!$C$29,AV201,AW201,AX201,AY201,AZ201,BA201,BB201),0)</f>
        <v/>
      </c>
      <c r="BE201">
        <f>IF(BD201=1,COUNTIF($BD$2:BD201,1),"")</f>
        <v/>
      </c>
    </row>
    <row r="202">
      <c r="A202" t="inlineStr">
        <is>
          <t>5674164322</t>
        </is>
      </c>
      <c r="B202" t="inlineStr">
        <is>
          <t>Fast Line Delivery</t>
        </is>
      </c>
      <c r="C202" t="inlineStr">
        <is>
          <t>Fast Line Delivery LLC</t>
        </is>
      </c>
      <c r="D202" t="inlineStr">
        <is>
          <t>Closed</t>
        </is>
      </c>
      <c r="E202" s="297" t="n">
        <v>45888</v>
      </c>
      <c r="F202" s="297" t="n">
        <v>46113</v>
      </c>
      <c r="G202" t="n">
        <v>3</v>
      </c>
      <c r="H202" t="inlineStr">
        <is>
          <t>4212</t>
        </is>
      </c>
      <c r="I202" t="inlineStr">
        <is>
          <t>42</t>
        </is>
      </c>
      <c r="J202" t="inlineStr">
        <is>
          <t>FL</t>
        </is>
      </c>
      <c r="K202" t="inlineStr">
        <is>
          <t>Diamond Bar Funding</t>
        </is>
      </c>
      <c r="L202" t="inlineStr">
        <is>
          <t>New Deal</t>
        </is>
      </c>
      <c r="M202" s="298" t="n">
        <v>1.4</v>
      </c>
      <c r="N202" s="299" t="n">
        <v>7000</v>
      </c>
      <c r="O202" s="299" t="n">
        <v>665</v>
      </c>
      <c r="P202" s="299" t="n">
        <v>9800</v>
      </c>
      <c r="Q202" s="299" t="n">
        <v>9800</v>
      </c>
      <c r="R202" s="299" t="n">
        <v>0</v>
      </c>
      <c r="S202" s="300" t="n">
        <v>1</v>
      </c>
      <c r="T202" t="n">
        <v>3.934</v>
      </c>
      <c r="U202" t="n">
        <v>40</v>
      </c>
      <c r="V202" t="n">
        <v>63028.05</v>
      </c>
      <c r="W202" s="300" t="n">
        <v>0.0272</v>
      </c>
      <c r="X202" s="297" t="n">
        <v>44673</v>
      </c>
      <c r="Y202">
        <f>IF(I202="","No SIC",IFERROR(VLOOKUP(I202,Ref!$A$2:$B$65,2,FALSE),"Unclassified"))</f>
        <v/>
      </c>
      <c r="Z202">
        <f>IF(T202="","",IF(T202&lt;12,"Daily","Weekly"))</f>
        <v/>
      </c>
      <c r="AA202">
        <f>IF(T202="",0,IF(T202&lt;12,T202*Controls!$B$29,T202*5))</f>
        <v/>
      </c>
      <c r="AB202">
        <f>IF(E202="",0,NETWORKDAYS(E202,Controls!$B$36,Ref!$K$2:$K$42))</f>
        <v/>
      </c>
      <c r="AC202">
        <f>IF(AND(AA202&gt;0,AB202&gt;=Controls!$B$39*AA202),1,0)</f>
        <v/>
      </c>
      <c r="AD202">
        <f>IF(AND(E202&lt;&gt;"",E202&gt;=Controls!$B$37,E202&lt;=Controls!$B$38),1,0)</f>
        <v/>
      </c>
      <c r="AE202">
        <f>IF(IFERROR(VLOOKUP(D202,Controls!$A$64:$E$74,2,FALSE),"No")="Yes",1,0)</f>
        <v/>
      </c>
      <c r="AF202">
        <f>IF(IFERROR(VLOOKUP(D202,Controls!$A$64:$E$74,3,FALSE),"No")="Yes",1,0)</f>
        <v/>
      </c>
      <c r="AG202">
        <f>IF(IFERROR(VLOOKUP(D202,Controls!$A$64:$E$74,4,FALSE),"No")="Yes",1,0)</f>
        <v/>
      </c>
      <c r="AH202">
        <f>IF(IFERROR(VLOOKUP(D202,Controls!$A$64:$E$74,5,FALSE),"No")="Yes",1,0)</f>
        <v/>
      </c>
      <c r="AI202">
        <f>IF(ISNUMBER(MATCH(D202,Controls!$A$64:$A$74,0)),1,0)</f>
        <v/>
      </c>
      <c r="AJ202">
        <f>Q202-N202</f>
        <v/>
      </c>
      <c r="AK202">
        <f>IF(AE202=1,MAX(0,N202-Q202),0)</f>
        <v/>
      </c>
      <c r="AL202">
        <f>IF(OR(V202="",V202=0),0,N202/V202)</f>
        <v/>
      </c>
      <c r="AM202">
        <f>IF(OR(V202="",V202=0),0,1)</f>
        <v/>
      </c>
      <c r="AN202">
        <f>IF(OR(E202="",F202=""),0,NETWORKDAYS(E202,F202,Ref!$K$2:$K$42))</f>
        <v/>
      </c>
      <c r="AO202">
        <f>IF(L202="Renewal",1,0)</f>
        <v/>
      </c>
      <c r="AP202">
        <f>AC202*AD202</f>
        <v/>
      </c>
      <c r="AQ202">
        <f>IF(AND(G202&lt;&gt;"",'Historical Score'!$C$6&lt;&gt;""),IF(G202='Historical Score'!$C$6,1,0),0)</f>
        <v/>
      </c>
      <c r="AR202">
        <f>IF(AND(L202&lt;&gt;"",'Historical Score'!$C$5&lt;&gt;""),IF(L202='Historical Score'!$C$5,1,0),0)</f>
        <v/>
      </c>
      <c r="AS202">
        <f>IF(AND(Y202&lt;&gt;"",'Historical Score'!$C$7&lt;&gt;""),IF(Y202='Historical Score'!$C$7,1,0),0)</f>
        <v/>
      </c>
      <c r="AT202">
        <f>IF(AND(K202&lt;&gt;"",'Historical Score'!$C$8&lt;&gt;""),IF(K202='Historical Score'!$C$8,1,0),0)</f>
        <v/>
      </c>
      <c r="AU202">
        <f>IF(AND(J202&lt;&gt;"",'Historical Score'!$C$9&lt;&gt;""),IF(J202='Historical Score'!$C$9,1,0),0)</f>
        <v/>
      </c>
      <c r="AV202">
        <f>AR202*AS202*AQ202</f>
        <v/>
      </c>
      <c r="AW202">
        <f>AR202*AT202*AQ202</f>
        <v/>
      </c>
      <c r="AX202">
        <f>AR202*AS202</f>
        <v/>
      </c>
      <c r="AY202">
        <f>AR202*AT202</f>
        <v/>
      </c>
      <c r="AZ202">
        <f>AR202*AQ202</f>
        <v/>
      </c>
      <c r="BA202">
        <f>AR202</f>
        <v/>
      </c>
      <c r="BB202">
        <f>1</f>
        <v/>
      </c>
      <c r="BC202">
        <f>IF(AV202=1,1,IF(AW202=1,2,IF(AX202=1,3,IF(AY202=1,4,IF(AZ202=1,5,IF(BA202=1,6,7))))))</f>
        <v/>
      </c>
      <c r="BD202">
        <f>IF(AD202=1,CHOOSE('Historical Score'!$C$29,AV202,AW202,AX202,AY202,AZ202,BA202,BB202),0)</f>
        <v/>
      </c>
      <c r="BE202">
        <f>IF(BD202=1,COUNTIF($BD$2:BD202,1),"")</f>
        <v/>
      </c>
    </row>
    <row r="203">
      <c r="A203" t="inlineStr">
        <is>
          <t>5674164352</t>
        </is>
      </c>
      <c r="B203" t="inlineStr">
        <is>
          <t>Properties on the Go LLC</t>
        </is>
      </c>
      <c r="C203" t="inlineStr">
        <is>
          <t>Properties on the Go LLC</t>
        </is>
      </c>
      <c r="D203" t="inlineStr">
        <is>
          <t>Closed</t>
        </is>
      </c>
      <c r="E203" s="297" t="n">
        <v>45888</v>
      </c>
      <c r="F203" s="297" t="n">
        <v>45985</v>
      </c>
      <c r="G203" t="n">
        <v>1</v>
      </c>
      <c r="H203" t="inlineStr">
        <is>
          <t>8741</t>
        </is>
      </c>
      <c r="I203" t="inlineStr">
        <is>
          <t>87</t>
        </is>
      </c>
      <c r="J203" t="inlineStr">
        <is>
          <t>CA</t>
        </is>
      </c>
      <c r="K203" t="inlineStr">
        <is>
          <t>Tech Consulting Pro LLC D/B/A: Nationwide Advance</t>
        </is>
      </c>
      <c r="L203" t="inlineStr">
        <is>
          <t>New Deal</t>
        </is>
      </c>
      <c r="M203" s="298" t="n">
        <v>1.49</v>
      </c>
      <c r="N203" s="299" t="n">
        <v>30000</v>
      </c>
      <c r="O203" s="299" t="n">
        <v>4200</v>
      </c>
      <c r="P203" s="299" t="n">
        <v>44700</v>
      </c>
      <c r="Q203" s="299" t="n">
        <v>44700</v>
      </c>
      <c r="R203" s="299" t="n">
        <v>0</v>
      </c>
      <c r="S203" s="300" t="n">
        <v>1</v>
      </c>
      <c r="T203" t="n">
        <v>3.934</v>
      </c>
      <c r="U203" t="n">
        <v>0</v>
      </c>
      <c r="V203" t="n">
        <v>496879.88</v>
      </c>
      <c r="W203" s="300" t="n">
        <v>0.0157</v>
      </c>
      <c r="X203" s="297" t="n"/>
      <c r="Y203">
        <f>IF(I203="","No SIC",IFERROR(VLOOKUP(I203,Ref!$A$2:$B$65,2,FALSE),"Unclassified"))</f>
        <v/>
      </c>
      <c r="Z203">
        <f>IF(T203="","",IF(T203&lt;12,"Daily","Weekly"))</f>
        <v/>
      </c>
      <c r="AA203">
        <f>IF(T203="",0,IF(T203&lt;12,T203*Controls!$B$29,T203*5))</f>
        <v/>
      </c>
      <c r="AB203">
        <f>IF(E203="",0,NETWORKDAYS(E203,Controls!$B$36,Ref!$K$2:$K$42))</f>
        <v/>
      </c>
      <c r="AC203">
        <f>IF(AND(AA203&gt;0,AB203&gt;=Controls!$B$39*AA203),1,0)</f>
        <v/>
      </c>
      <c r="AD203">
        <f>IF(AND(E203&lt;&gt;"",E203&gt;=Controls!$B$37,E203&lt;=Controls!$B$38),1,0)</f>
        <v/>
      </c>
      <c r="AE203">
        <f>IF(IFERROR(VLOOKUP(D203,Controls!$A$64:$E$74,2,FALSE),"No")="Yes",1,0)</f>
        <v/>
      </c>
      <c r="AF203">
        <f>IF(IFERROR(VLOOKUP(D203,Controls!$A$64:$E$74,3,FALSE),"No")="Yes",1,0)</f>
        <v/>
      </c>
      <c r="AG203">
        <f>IF(IFERROR(VLOOKUP(D203,Controls!$A$64:$E$74,4,FALSE),"No")="Yes",1,0)</f>
        <v/>
      </c>
      <c r="AH203">
        <f>IF(IFERROR(VLOOKUP(D203,Controls!$A$64:$E$74,5,FALSE),"No")="Yes",1,0)</f>
        <v/>
      </c>
      <c r="AI203">
        <f>IF(ISNUMBER(MATCH(D203,Controls!$A$64:$A$74,0)),1,0)</f>
        <v/>
      </c>
      <c r="AJ203">
        <f>Q203-N203</f>
        <v/>
      </c>
      <c r="AK203">
        <f>IF(AE203=1,MAX(0,N203-Q203),0)</f>
        <v/>
      </c>
      <c r="AL203">
        <f>IF(OR(V203="",V203=0),0,N203/V203)</f>
        <v/>
      </c>
      <c r="AM203">
        <f>IF(OR(V203="",V203=0),0,1)</f>
        <v/>
      </c>
      <c r="AN203">
        <f>IF(OR(E203="",F203=""),0,NETWORKDAYS(E203,F203,Ref!$K$2:$K$42))</f>
        <v/>
      </c>
      <c r="AO203">
        <f>IF(L203="Renewal",1,0)</f>
        <v/>
      </c>
      <c r="AP203">
        <f>AC203*AD203</f>
        <v/>
      </c>
      <c r="AQ203">
        <f>IF(AND(G203&lt;&gt;"",'Historical Score'!$C$6&lt;&gt;""),IF(G203='Historical Score'!$C$6,1,0),0)</f>
        <v/>
      </c>
      <c r="AR203">
        <f>IF(AND(L203&lt;&gt;"",'Historical Score'!$C$5&lt;&gt;""),IF(L203='Historical Score'!$C$5,1,0),0)</f>
        <v/>
      </c>
      <c r="AS203">
        <f>IF(AND(Y203&lt;&gt;"",'Historical Score'!$C$7&lt;&gt;""),IF(Y203='Historical Score'!$C$7,1,0),0)</f>
        <v/>
      </c>
      <c r="AT203">
        <f>IF(AND(K203&lt;&gt;"",'Historical Score'!$C$8&lt;&gt;""),IF(K203='Historical Score'!$C$8,1,0),0)</f>
        <v/>
      </c>
      <c r="AU203">
        <f>IF(AND(J203&lt;&gt;"",'Historical Score'!$C$9&lt;&gt;""),IF(J203='Historical Score'!$C$9,1,0),0)</f>
        <v/>
      </c>
      <c r="AV203">
        <f>AR203*AS203*AQ203</f>
        <v/>
      </c>
      <c r="AW203">
        <f>AR203*AT203*AQ203</f>
        <v/>
      </c>
      <c r="AX203">
        <f>AR203*AS203</f>
        <v/>
      </c>
      <c r="AY203">
        <f>AR203*AT203</f>
        <v/>
      </c>
      <c r="AZ203">
        <f>AR203*AQ203</f>
        <v/>
      </c>
      <c r="BA203">
        <f>AR203</f>
        <v/>
      </c>
      <c r="BB203">
        <f>1</f>
        <v/>
      </c>
      <c r="BC203">
        <f>IF(AV203=1,1,IF(AW203=1,2,IF(AX203=1,3,IF(AY203=1,4,IF(AZ203=1,5,IF(BA203=1,6,7))))))</f>
        <v/>
      </c>
      <c r="BD203">
        <f>IF(AD203=1,CHOOSE('Historical Score'!$C$29,AV203,AW203,AX203,AY203,AZ203,BA203,BB203),0)</f>
        <v/>
      </c>
      <c r="BE203">
        <f>IF(BD203=1,COUNTIF($BD$2:BD203,1),"")</f>
        <v/>
      </c>
    </row>
    <row r="204">
      <c r="A204" t="inlineStr">
        <is>
          <t>5674164385</t>
        </is>
      </c>
      <c r="B204" t="inlineStr">
        <is>
          <t>Philadelphia Academy for Nurse Aide Training</t>
        </is>
      </c>
      <c r="C204" t="inlineStr">
        <is>
          <t>PA NAT INC</t>
        </is>
      </c>
      <c r="D204" t="inlineStr">
        <is>
          <t>Legal</t>
        </is>
      </c>
      <c r="E204" s="297" t="n">
        <v>45889</v>
      </c>
      <c r="F204" s="297" t="n">
        <v>46234</v>
      </c>
      <c r="G204" t="n">
        <v>3</v>
      </c>
      <c r="H204" t="inlineStr">
        <is>
          <t>8331</t>
        </is>
      </c>
      <c r="I204" t="inlineStr">
        <is>
          <t>83</t>
        </is>
      </c>
      <c r="J204" t="inlineStr">
        <is>
          <t>PA</t>
        </is>
      </c>
      <c r="K204" t="inlineStr">
        <is>
          <t>Shore Funding USA</t>
        </is>
      </c>
      <c r="L204" t="inlineStr">
        <is>
          <t>New Deal</t>
        </is>
      </c>
      <c r="M204" s="298" t="n">
        <v>1.45</v>
      </c>
      <c r="N204" s="299" t="n">
        <v>4000</v>
      </c>
      <c r="O204" s="299" t="n">
        <v>480</v>
      </c>
      <c r="P204" s="299" t="n">
        <v>5800</v>
      </c>
      <c r="Q204" s="299" t="n">
        <v>4658.88</v>
      </c>
      <c r="R204" s="299" t="n">
        <v>1141.12</v>
      </c>
      <c r="S204" s="300" t="n">
        <v>0.803255172413793</v>
      </c>
      <c r="T204" t="n">
        <v>14</v>
      </c>
      <c r="U204" t="n">
        <v>12</v>
      </c>
      <c r="V204" t="n">
        <v>33266.53</v>
      </c>
      <c r="W204" s="300" t="n">
        <v>0.047</v>
      </c>
      <c r="X204" s="297" t="n">
        <v>42964</v>
      </c>
      <c r="Y204">
        <f>IF(I204="","No SIC",IFERROR(VLOOKUP(I204,Ref!$A$2:$B$65,2,FALSE),"Unclassified"))</f>
        <v/>
      </c>
      <c r="Z204">
        <f>IF(T204="","",IF(T204&lt;12,"Daily","Weekly"))</f>
        <v/>
      </c>
      <c r="AA204">
        <f>IF(T204="",0,IF(T204&lt;12,T204*Controls!$B$29,T204*5))</f>
        <v/>
      </c>
      <c r="AB204">
        <f>IF(E204="",0,NETWORKDAYS(E204,Controls!$B$36,Ref!$K$2:$K$42))</f>
        <v/>
      </c>
      <c r="AC204">
        <f>IF(AND(AA204&gt;0,AB204&gt;=Controls!$B$39*AA204),1,0)</f>
        <v/>
      </c>
      <c r="AD204">
        <f>IF(AND(E204&lt;&gt;"",E204&gt;=Controls!$B$37,E204&lt;=Controls!$B$38),1,0)</f>
        <v/>
      </c>
      <c r="AE204">
        <f>IF(IFERROR(VLOOKUP(D204,Controls!$A$64:$E$74,2,FALSE),"No")="Yes",1,0)</f>
        <v/>
      </c>
      <c r="AF204">
        <f>IF(IFERROR(VLOOKUP(D204,Controls!$A$64:$E$74,3,FALSE),"No")="Yes",1,0)</f>
        <v/>
      </c>
      <c r="AG204">
        <f>IF(IFERROR(VLOOKUP(D204,Controls!$A$64:$E$74,4,FALSE),"No")="Yes",1,0)</f>
        <v/>
      </c>
      <c r="AH204">
        <f>IF(IFERROR(VLOOKUP(D204,Controls!$A$64:$E$74,5,FALSE),"No")="Yes",1,0)</f>
        <v/>
      </c>
      <c r="AI204">
        <f>IF(ISNUMBER(MATCH(D204,Controls!$A$64:$A$74,0)),1,0)</f>
        <v/>
      </c>
      <c r="AJ204">
        <f>Q204-N204</f>
        <v/>
      </c>
      <c r="AK204">
        <f>IF(AE204=1,MAX(0,N204-Q204),0)</f>
        <v/>
      </c>
      <c r="AL204">
        <f>IF(OR(V204="",V204=0),0,N204/V204)</f>
        <v/>
      </c>
      <c r="AM204">
        <f>IF(OR(V204="",V204=0),0,1)</f>
        <v/>
      </c>
      <c r="AN204">
        <f>IF(OR(E204="",F204=""),0,NETWORKDAYS(E204,F204,Ref!$K$2:$K$42))</f>
        <v/>
      </c>
      <c r="AO204">
        <f>IF(L204="Renewal",1,0)</f>
        <v/>
      </c>
      <c r="AP204">
        <f>AC204*AD204</f>
        <v/>
      </c>
      <c r="AQ204">
        <f>IF(AND(G204&lt;&gt;"",'Historical Score'!$C$6&lt;&gt;""),IF(G204='Historical Score'!$C$6,1,0),0)</f>
        <v/>
      </c>
      <c r="AR204">
        <f>IF(AND(L204&lt;&gt;"",'Historical Score'!$C$5&lt;&gt;""),IF(L204='Historical Score'!$C$5,1,0),0)</f>
        <v/>
      </c>
      <c r="AS204">
        <f>IF(AND(Y204&lt;&gt;"",'Historical Score'!$C$7&lt;&gt;""),IF(Y204='Historical Score'!$C$7,1,0),0)</f>
        <v/>
      </c>
      <c r="AT204">
        <f>IF(AND(K204&lt;&gt;"",'Historical Score'!$C$8&lt;&gt;""),IF(K204='Historical Score'!$C$8,1,0),0)</f>
        <v/>
      </c>
      <c r="AU204">
        <f>IF(AND(J204&lt;&gt;"",'Historical Score'!$C$9&lt;&gt;""),IF(J204='Historical Score'!$C$9,1,0),0)</f>
        <v/>
      </c>
      <c r="AV204">
        <f>AR204*AS204*AQ204</f>
        <v/>
      </c>
      <c r="AW204">
        <f>AR204*AT204*AQ204</f>
        <v/>
      </c>
      <c r="AX204">
        <f>AR204*AS204</f>
        <v/>
      </c>
      <c r="AY204">
        <f>AR204*AT204</f>
        <v/>
      </c>
      <c r="AZ204">
        <f>AR204*AQ204</f>
        <v/>
      </c>
      <c r="BA204">
        <f>AR204</f>
        <v/>
      </c>
      <c r="BB204">
        <f>1</f>
        <v/>
      </c>
      <c r="BC204">
        <f>IF(AV204=1,1,IF(AW204=1,2,IF(AX204=1,3,IF(AY204=1,4,IF(AZ204=1,5,IF(BA204=1,6,7))))))</f>
        <v/>
      </c>
      <c r="BD204">
        <f>IF(AD204=1,CHOOSE('Historical Score'!$C$29,AV204,AW204,AX204,AY204,AZ204,BA204,BB204),0)</f>
        <v/>
      </c>
      <c r="BE204">
        <f>IF(BD204=1,COUNTIF($BD$2:BD204,1),"")</f>
        <v/>
      </c>
    </row>
    <row r="205">
      <c r="A205" t="inlineStr">
        <is>
          <t>5674164388</t>
        </is>
      </c>
      <c r="B205" t="inlineStr">
        <is>
          <t>BOUNCIN LIL' RASCALS</t>
        </is>
      </c>
      <c r="C205" t="inlineStr">
        <is>
          <t>KARLY MARGARET SCOTT</t>
        </is>
      </c>
      <c r="D205" t="inlineStr">
        <is>
          <t>Closed</t>
        </is>
      </c>
      <c r="E205" s="297" t="n">
        <v>45889</v>
      </c>
      <c r="F205" s="297" t="n">
        <v>46120</v>
      </c>
      <c r="G205" t="n">
        <v>2</v>
      </c>
      <c r="H205" t="inlineStr">
        <is>
          <t>7999</t>
        </is>
      </c>
      <c r="I205" t="inlineStr">
        <is>
          <t>79</t>
        </is>
      </c>
      <c r="J205" t="inlineStr">
        <is>
          <t>TX</t>
        </is>
      </c>
      <c r="K205" t="inlineStr">
        <is>
          <t>Fidelity Funding</t>
        </is>
      </c>
      <c r="L205" t="inlineStr">
        <is>
          <t>New Deal</t>
        </is>
      </c>
      <c r="M205" s="298" t="n">
        <v>1.49</v>
      </c>
      <c r="N205" s="299" t="n">
        <v>25000</v>
      </c>
      <c r="O205" s="299" t="n">
        <v>3500</v>
      </c>
      <c r="P205" s="299" t="n">
        <v>37250</v>
      </c>
      <c r="Q205" s="299" t="n">
        <v>37250</v>
      </c>
      <c r="R205" s="299" t="n">
        <v>0</v>
      </c>
      <c r="S205" s="300" t="n">
        <v>1</v>
      </c>
      <c r="T205" t="n">
        <v>32</v>
      </c>
      <c r="U205" t="n">
        <v>0</v>
      </c>
      <c r="V205" t="n">
        <v>39684.84</v>
      </c>
      <c r="W205" s="300" t="n">
        <v>0.1173</v>
      </c>
      <c r="X205" s="297" t="n"/>
      <c r="Y205">
        <f>IF(I205="","No SIC",IFERROR(VLOOKUP(I205,Ref!$A$2:$B$65,2,FALSE),"Unclassified"))</f>
        <v/>
      </c>
      <c r="Z205">
        <f>IF(T205="","",IF(T205&lt;12,"Daily","Weekly"))</f>
        <v/>
      </c>
      <c r="AA205">
        <f>IF(T205="",0,IF(T205&lt;12,T205*Controls!$B$29,T205*5))</f>
        <v/>
      </c>
      <c r="AB205">
        <f>IF(E205="",0,NETWORKDAYS(E205,Controls!$B$36,Ref!$K$2:$K$42))</f>
        <v/>
      </c>
      <c r="AC205">
        <f>IF(AND(AA205&gt;0,AB205&gt;=Controls!$B$39*AA205),1,0)</f>
        <v/>
      </c>
      <c r="AD205">
        <f>IF(AND(E205&lt;&gt;"",E205&gt;=Controls!$B$37,E205&lt;=Controls!$B$38),1,0)</f>
        <v/>
      </c>
      <c r="AE205">
        <f>IF(IFERROR(VLOOKUP(D205,Controls!$A$64:$E$74,2,FALSE),"No")="Yes",1,0)</f>
        <v/>
      </c>
      <c r="AF205">
        <f>IF(IFERROR(VLOOKUP(D205,Controls!$A$64:$E$74,3,FALSE),"No")="Yes",1,0)</f>
        <v/>
      </c>
      <c r="AG205">
        <f>IF(IFERROR(VLOOKUP(D205,Controls!$A$64:$E$74,4,FALSE),"No")="Yes",1,0)</f>
        <v/>
      </c>
      <c r="AH205">
        <f>IF(IFERROR(VLOOKUP(D205,Controls!$A$64:$E$74,5,FALSE),"No")="Yes",1,0)</f>
        <v/>
      </c>
      <c r="AI205">
        <f>IF(ISNUMBER(MATCH(D205,Controls!$A$64:$A$74,0)),1,0)</f>
        <v/>
      </c>
      <c r="AJ205">
        <f>Q205-N205</f>
        <v/>
      </c>
      <c r="AK205">
        <f>IF(AE205=1,MAX(0,N205-Q205),0)</f>
        <v/>
      </c>
      <c r="AL205">
        <f>IF(OR(V205="",V205=0),0,N205/V205)</f>
        <v/>
      </c>
      <c r="AM205">
        <f>IF(OR(V205="",V205=0),0,1)</f>
        <v/>
      </c>
      <c r="AN205">
        <f>IF(OR(E205="",F205=""),0,NETWORKDAYS(E205,F205,Ref!$K$2:$K$42))</f>
        <v/>
      </c>
      <c r="AO205">
        <f>IF(L205="Renewal",1,0)</f>
        <v/>
      </c>
      <c r="AP205">
        <f>AC205*AD205</f>
        <v/>
      </c>
      <c r="AQ205">
        <f>IF(AND(G205&lt;&gt;"",'Historical Score'!$C$6&lt;&gt;""),IF(G205='Historical Score'!$C$6,1,0),0)</f>
        <v/>
      </c>
      <c r="AR205">
        <f>IF(AND(L205&lt;&gt;"",'Historical Score'!$C$5&lt;&gt;""),IF(L205='Historical Score'!$C$5,1,0),0)</f>
        <v/>
      </c>
      <c r="AS205">
        <f>IF(AND(Y205&lt;&gt;"",'Historical Score'!$C$7&lt;&gt;""),IF(Y205='Historical Score'!$C$7,1,0),0)</f>
        <v/>
      </c>
      <c r="AT205">
        <f>IF(AND(K205&lt;&gt;"",'Historical Score'!$C$8&lt;&gt;""),IF(K205='Historical Score'!$C$8,1,0),0)</f>
        <v/>
      </c>
      <c r="AU205">
        <f>IF(AND(J205&lt;&gt;"",'Historical Score'!$C$9&lt;&gt;""),IF(J205='Historical Score'!$C$9,1,0),0)</f>
        <v/>
      </c>
      <c r="AV205">
        <f>AR205*AS205*AQ205</f>
        <v/>
      </c>
      <c r="AW205">
        <f>AR205*AT205*AQ205</f>
        <v/>
      </c>
      <c r="AX205">
        <f>AR205*AS205</f>
        <v/>
      </c>
      <c r="AY205">
        <f>AR205*AT205</f>
        <v/>
      </c>
      <c r="AZ205">
        <f>AR205*AQ205</f>
        <v/>
      </c>
      <c r="BA205">
        <f>AR205</f>
        <v/>
      </c>
      <c r="BB205">
        <f>1</f>
        <v/>
      </c>
      <c r="BC205">
        <f>IF(AV205=1,1,IF(AW205=1,2,IF(AX205=1,3,IF(AY205=1,4,IF(AZ205=1,5,IF(BA205=1,6,7))))))</f>
        <v/>
      </c>
      <c r="BD205">
        <f>IF(AD205=1,CHOOSE('Historical Score'!$C$29,AV205,AW205,AX205,AY205,AZ205,BA205,BB205),0)</f>
        <v/>
      </c>
      <c r="BE205">
        <f>IF(BD205=1,COUNTIF($BD$2:BD205,1),"")</f>
        <v/>
      </c>
    </row>
    <row r="206">
      <c r="A206" t="inlineStr">
        <is>
          <t>5674164443</t>
        </is>
      </c>
      <c r="B206" t="inlineStr">
        <is>
          <t>The Head Spa Sanctuary</t>
        </is>
      </c>
      <c r="C206" t="inlineStr">
        <is>
          <t>The Head Spa Sanctuary</t>
        </is>
      </c>
      <c r="D206" t="inlineStr">
        <is>
          <t>Closed</t>
        </is>
      </c>
      <c r="E206" s="297" t="n">
        <v>45889</v>
      </c>
      <c r="F206" s="297" t="n">
        <v>46191</v>
      </c>
      <c r="G206" t="n">
        <v>4</v>
      </c>
      <c r="H206" t="inlineStr">
        <is>
          <t>7299</t>
        </is>
      </c>
      <c r="I206" t="inlineStr">
        <is>
          <t>72</t>
        </is>
      </c>
      <c r="J206" t="inlineStr">
        <is>
          <t>NC</t>
        </is>
      </c>
      <c r="K206" t="inlineStr">
        <is>
          <t>Tech Consulting Pro LLC D/B/A: Nationwide Advance</t>
        </is>
      </c>
      <c r="L206" t="inlineStr">
        <is>
          <t>New Deal</t>
        </is>
      </c>
      <c r="M206" s="298" t="n">
        <v>1.49</v>
      </c>
      <c r="N206" s="299" t="n">
        <v>30000</v>
      </c>
      <c r="O206" s="299" t="n">
        <v>4200</v>
      </c>
      <c r="P206" s="299" t="n">
        <v>44700</v>
      </c>
      <c r="Q206" s="299" t="n">
        <v>44700</v>
      </c>
      <c r="R206" s="299" t="n">
        <v>0</v>
      </c>
      <c r="S206" s="300" t="n">
        <v>1</v>
      </c>
      <c r="T206" t="n">
        <v>26</v>
      </c>
      <c r="U206" t="n">
        <v>0</v>
      </c>
      <c r="V206" t="n">
        <v>417627.88</v>
      </c>
      <c r="W206" s="300" t="n">
        <v>0.0165</v>
      </c>
      <c r="X206" s="297" t="n"/>
      <c r="Y206">
        <f>IF(I206="","No SIC",IFERROR(VLOOKUP(I206,Ref!$A$2:$B$65,2,FALSE),"Unclassified"))</f>
        <v/>
      </c>
      <c r="Z206">
        <f>IF(T206="","",IF(T206&lt;12,"Daily","Weekly"))</f>
        <v/>
      </c>
      <c r="AA206">
        <f>IF(T206="",0,IF(T206&lt;12,T206*Controls!$B$29,T206*5))</f>
        <v/>
      </c>
      <c r="AB206">
        <f>IF(E206="",0,NETWORKDAYS(E206,Controls!$B$36,Ref!$K$2:$K$42))</f>
        <v/>
      </c>
      <c r="AC206">
        <f>IF(AND(AA206&gt;0,AB206&gt;=Controls!$B$39*AA206),1,0)</f>
        <v/>
      </c>
      <c r="AD206">
        <f>IF(AND(E206&lt;&gt;"",E206&gt;=Controls!$B$37,E206&lt;=Controls!$B$38),1,0)</f>
        <v/>
      </c>
      <c r="AE206">
        <f>IF(IFERROR(VLOOKUP(D206,Controls!$A$64:$E$74,2,FALSE),"No")="Yes",1,0)</f>
        <v/>
      </c>
      <c r="AF206">
        <f>IF(IFERROR(VLOOKUP(D206,Controls!$A$64:$E$74,3,FALSE),"No")="Yes",1,0)</f>
        <v/>
      </c>
      <c r="AG206">
        <f>IF(IFERROR(VLOOKUP(D206,Controls!$A$64:$E$74,4,FALSE),"No")="Yes",1,0)</f>
        <v/>
      </c>
      <c r="AH206">
        <f>IF(IFERROR(VLOOKUP(D206,Controls!$A$64:$E$74,5,FALSE),"No")="Yes",1,0)</f>
        <v/>
      </c>
      <c r="AI206">
        <f>IF(ISNUMBER(MATCH(D206,Controls!$A$64:$A$74,0)),1,0)</f>
        <v/>
      </c>
      <c r="AJ206">
        <f>Q206-N206</f>
        <v/>
      </c>
      <c r="AK206">
        <f>IF(AE206=1,MAX(0,N206-Q206),0)</f>
        <v/>
      </c>
      <c r="AL206">
        <f>IF(OR(V206="",V206=0),0,N206/V206)</f>
        <v/>
      </c>
      <c r="AM206">
        <f>IF(OR(V206="",V206=0),0,1)</f>
        <v/>
      </c>
      <c r="AN206">
        <f>IF(OR(E206="",F206=""),0,NETWORKDAYS(E206,F206,Ref!$K$2:$K$42))</f>
        <v/>
      </c>
      <c r="AO206">
        <f>IF(L206="Renewal",1,0)</f>
        <v/>
      </c>
      <c r="AP206">
        <f>AC206*AD206</f>
        <v/>
      </c>
      <c r="AQ206">
        <f>IF(AND(G206&lt;&gt;"",'Historical Score'!$C$6&lt;&gt;""),IF(G206='Historical Score'!$C$6,1,0),0)</f>
        <v/>
      </c>
      <c r="AR206">
        <f>IF(AND(L206&lt;&gt;"",'Historical Score'!$C$5&lt;&gt;""),IF(L206='Historical Score'!$C$5,1,0),0)</f>
        <v/>
      </c>
      <c r="AS206">
        <f>IF(AND(Y206&lt;&gt;"",'Historical Score'!$C$7&lt;&gt;""),IF(Y206='Historical Score'!$C$7,1,0),0)</f>
        <v/>
      </c>
      <c r="AT206">
        <f>IF(AND(K206&lt;&gt;"",'Historical Score'!$C$8&lt;&gt;""),IF(K206='Historical Score'!$C$8,1,0),0)</f>
        <v/>
      </c>
      <c r="AU206">
        <f>IF(AND(J206&lt;&gt;"",'Historical Score'!$C$9&lt;&gt;""),IF(J206='Historical Score'!$C$9,1,0),0)</f>
        <v/>
      </c>
      <c r="AV206">
        <f>AR206*AS206*AQ206</f>
        <v/>
      </c>
      <c r="AW206">
        <f>AR206*AT206*AQ206</f>
        <v/>
      </c>
      <c r="AX206">
        <f>AR206*AS206</f>
        <v/>
      </c>
      <c r="AY206">
        <f>AR206*AT206</f>
        <v/>
      </c>
      <c r="AZ206">
        <f>AR206*AQ206</f>
        <v/>
      </c>
      <c r="BA206">
        <f>AR206</f>
        <v/>
      </c>
      <c r="BB206">
        <f>1</f>
        <v/>
      </c>
      <c r="BC206">
        <f>IF(AV206=1,1,IF(AW206=1,2,IF(AX206=1,3,IF(AY206=1,4,IF(AZ206=1,5,IF(BA206=1,6,7))))))</f>
        <v/>
      </c>
      <c r="BD206">
        <f>IF(AD206=1,CHOOSE('Historical Score'!$C$29,AV206,AW206,AX206,AY206,AZ206,BA206,BB206),0)</f>
        <v/>
      </c>
      <c r="BE206">
        <f>IF(BD206=1,COUNTIF($BD$2:BD206,1),"")</f>
        <v/>
      </c>
    </row>
    <row r="207">
      <c r="A207" t="inlineStr">
        <is>
          <t>5674164518</t>
        </is>
      </c>
      <c r="B207" t="inlineStr">
        <is>
          <t>REDLINE FORESTRY MULCHING LLC</t>
        </is>
      </c>
      <c r="C207" t="inlineStr">
        <is>
          <t>REDLINE FORESTRY MULCHING LLC</t>
        </is>
      </c>
      <c r="D207" t="inlineStr">
        <is>
          <t>Closed</t>
        </is>
      </c>
      <c r="E207" s="297" t="n">
        <v>45890</v>
      </c>
      <c r="F207" s="297" t="n">
        <v>45939</v>
      </c>
      <c r="G207" t="n">
        <v>3</v>
      </c>
      <c r="H207" t="inlineStr">
        <is>
          <t>0781</t>
        </is>
      </c>
      <c r="I207" t="inlineStr">
        <is>
          <t>07</t>
        </is>
      </c>
      <c r="J207" t="inlineStr">
        <is>
          <t>NC</t>
        </is>
      </c>
      <c r="K207" t="inlineStr">
        <is>
          <t>United Secured Capital 8</t>
        </is>
      </c>
      <c r="L207" t="inlineStr">
        <is>
          <t>New Deal</t>
        </is>
      </c>
      <c r="M207" s="298" t="n">
        <v>1.499</v>
      </c>
      <c r="N207" s="299" t="n">
        <v>10000</v>
      </c>
      <c r="O207" s="299" t="n">
        <v>1400</v>
      </c>
      <c r="P207" s="299" t="n">
        <v>14990</v>
      </c>
      <c r="Q207" s="299" t="n">
        <v>14990</v>
      </c>
      <c r="R207" s="299" t="n">
        <v>1.81898940354586e-12</v>
      </c>
      <c r="S207" s="300" t="n">
        <v>1</v>
      </c>
      <c r="T207" t="n">
        <v>2.295</v>
      </c>
      <c r="U207" t="n">
        <v>0</v>
      </c>
      <c r="V207" t="n">
        <v>27587.37</v>
      </c>
      <c r="W207" s="300" t="n">
        <v>0.162</v>
      </c>
      <c r="X207" s="297" t="n"/>
      <c r="Y207">
        <f>IF(I207="","No SIC",IFERROR(VLOOKUP(I207,Ref!$A$2:$B$65,2,FALSE),"Unclassified"))</f>
        <v/>
      </c>
      <c r="Z207">
        <f>IF(T207="","",IF(T207&lt;12,"Daily","Weekly"))</f>
        <v/>
      </c>
      <c r="AA207">
        <f>IF(T207="",0,IF(T207&lt;12,T207*Controls!$B$29,T207*5))</f>
        <v/>
      </c>
      <c r="AB207">
        <f>IF(E207="",0,NETWORKDAYS(E207,Controls!$B$36,Ref!$K$2:$K$42))</f>
        <v/>
      </c>
      <c r="AC207">
        <f>IF(AND(AA207&gt;0,AB207&gt;=Controls!$B$39*AA207),1,0)</f>
        <v/>
      </c>
      <c r="AD207">
        <f>IF(AND(E207&lt;&gt;"",E207&gt;=Controls!$B$37,E207&lt;=Controls!$B$38),1,0)</f>
        <v/>
      </c>
      <c r="AE207">
        <f>IF(IFERROR(VLOOKUP(D207,Controls!$A$64:$E$74,2,FALSE),"No")="Yes",1,0)</f>
        <v/>
      </c>
      <c r="AF207">
        <f>IF(IFERROR(VLOOKUP(D207,Controls!$A$64:$E$74,3,FALSE),"No")="Yes",1,0)</f>
        <v/>
      </c>
      <c r="AG207">
        <f>IF(IFERROR(VLOOKUP(D207,Controls!$A$64:$E$74,4,FALSE),"No")="Yes",1,0)</f>
        <v/>
      </c>
      <c r="AH207">
        <f>IF(IFERROR(VLOOKUP(D207,Controls!$A$64:$E$74,5,FALSE),"No")="Yes",1,0)</f>
        <v/>
      </c>
      <c r="AI207">
        <f>IF(ISNUMBER(MATCH(D207,Controls!$A$64:$A$74,0)),1,0)</f>
        <v/>
      </c>
      <c r="AJ207">
        <f>Q207-N207</f>
        <v/>
      </c>
      <c r="AK207">
        <f>IF(AE207=1,MAX(0,N207-Q207),0)</f>
        <v/>
      </c>
      <c r="AL207">
        <f>IF(OR(V207="",V207=0),0,N207/V207)</f>
        <v/>
      </c>
      <c r="AM207">
        <f>IF(OR(V207="",V207=0),0,1)</f>
        <v/>
      </c>
      <c r="AN207">
        <f>IF(OR(E207="",F207=""),0,NETWORKDAYS(E207,F207,Ref!$K$2:$K$42))</f>
        <v/>
      </c>
      <c r="AO207">
        <f>IF(L207="Renewal",1,0)</f>
        <v/>
      </c>
      <c r="AP207">
        <f>AC207*AD207</f>
        <v/>
      </c>
      <c r="AQ207">
        <f>IF(AND(G207&lt;&gt;"",'Historical Score'!$C$6&lt;&gt;""),IF(G207='Historical Score'!$C$6,1,0),0)</f>
        <v/>
      </c>
      <c r="AR207">
        <f>IF(AND(L207&lt;&gt;"",'Historical Score'!$C$5&lt;&gt;""),IF(L207='Historical Score'!$C$5,1,0),0)</f>
        <v/>
      </c>
      <c r="AS207">
        <f>IF(AND(Y207&lt;&gt;"",'Historical Score'!$C$7&lt;&gt;""),IF(Y207='Historical Score'!$C$7,1,0),0)</f>
        <v/>
      </c>
      <c r="AT207">
        <f>IF(AND(K207&lt;&gt;"",'Historical Score'!$C$8&lt;&gt;""),IF(K207='Historical Score'!$C$8,1,0),0)</f>
        <v/>
      </c>
      <c r="AU207">
        <f>IF(AND(J207&lt;&gt;"",'Historical Score'!$C$9&lt;&gt;""),IF(J207='Historical Score'!$C$9,1,0),0)</f>
        <v/>
      </c>
      <c r="AV207">
        <f>AR207*AS207*AQ207</f>
        <v/>
      </c>
      <c r="AW207">
        <f>AR207*AT207*AQ207</f>
        <v/>
      </c>
      <c r="AX207">
        <f>AR207*AS207</f>
        <v/>
      </c>
      <c r="AY207">
        <f>AR207*AT207</f>
        <v/>
      </c>
      <c r="AZ207">
        <f>AR207*AQ207</f>
        <v/>
      </c>
      <c r="BA207">
        <f>AR207</f>
        <v/>
      </c>
      <c r="BB207">
        <f>1</f>
        <v/>
      </c>
      <c r="BC207">
        <f>IF(AV207=1,1,IF(AW207=1,2,IF(AX207=1,3,IF(AY207=1,4,IF(AZ207=1,5,IF(BA207=1,6,7))))))</f>
        <v/>
      </c>
      <c r="BD207">
        <f>IF(AD207=1,CHOOSE('Historical Score'!$C$29,AV207,AW207,AX207,AY207,AZ207,BA207,BB207),0)</f>
        <v/>
      </c>
      <c r="BE207">
        <f>IF(BD207=1,COUNTIF($BD$2:BD207,1),"")</f>
        <v/>
      </c>
    </row>
    <row r="208">
      <c r="A208" t="inlineStr">
        <is>
          <t>5674164557</t>
        </is>
      </c>
      <c r="B208" t="inlineStr">
        <is>
          <t>Energy Curve Technologies</t>
        </is>
      </c>
      <c r="C208" t="inlineStr">
        <is>
          <t>ENERGY CURVE TECHNOLOGIES LLC</t>
        </is>
      </c>
      <c r="D208" t="inlineStr">
        <is>
          <t>Closed</t>
        </is>
      </c>
      <c r="E208" s="297" t="n">
        <v>45890</v>
      </c>
      <c r="F208" s="297" t="n">
        <v>46051</v>
      </c>
      <c r="G208" t="n">
        <v>1</v>
      </c>
      <c r="H208" t="inlineStr">
        <is>
          <t>5191</t>
        </is>
      </c>
      <c r="I208" t="inlineStr">
        <is>
          <t>51</t>
        </is>
      </c>
      <c r="J208" t="inlineStr">
        <is>
          <t>MO</t>
        </is>
      </c>
      <c r="K208" t="inlineStr">
        <is>
          <t>Vanguard Equities</t>
        </is>
      </c>
      <c r="L208" t="inlineStr">
        <is>
          <t>New Deal</t>
        </is>
      </c>
      <c r="M208" s="298" t="n">
        <v>1.49</v>
      </c>
      <c r="N208" s="299" t="n">
        <v>22000</v>
      </c>
      <c r="O208" s="299" t="n">
        <v>3080</v>
      </c>
      <c r="P208" s="299" t="n">
        <v>32780</v>
      </c>
      <c r="Q208" s="299" t="n">
        <v>32780</v>
      </c>
      <c r="R208" s="299" t="n">
        <v>0</v>
      </c>
      <c r="S208" s="300" t="n">
        <v>1</v>
      </c>
      <c r="T208" t="n">
        <v>3.279</v>
      </c>
      <c r="U208" t="n">
        <v>9</v>
      </c>
      <c r="V208" t="n">
        <v>70400.13</v>
      </c>
      <c r="W208" s="300" t="n">
        <v>0.0978</v>
      </c>
      <c r="X208" s="297" t="n"/>
      <c r="Y208">
        <f>IF(I208="","No SIC",IFERROR(VLOOKUP(I208,Ref!$A$2:$B$65,2,FALSE),"Unclassified"))</f>
        <v/>
      </c>
      <c r="Z208">
        <f>IF(T208="","",IF(T208&lt;12,"Daily","Weekly"))</f>
        <v/>
      </c>
      <c r="AA208">
        <f>IF(T208="",0,IF(T208&lt;12,T208*Controls!$B$29,T208*5))</f>
        <v/>
      </c>
      <c r="AB208">
        <f>IF(E208="",0,NETWORKDAYS(E208,Controls!$B$36,Ref!$K$2:$K$42))</f>
        <v/>
      </c>
      <c r="AC208">
        <f>IF(AND(AA208&gt;0,AB208&gt;=Controls!$B$39*AA208),1,0)</f>
        <v/>
      </c>
      <c r="AD208">
        <f>IF(AND(E208&lt;&gt;"",E208&gt;=Controls!$B$37,E208&lt;=Controls!$B$38),1,0)</f>
        <v/>
      </c>
      <c r="AE208">
        <f>IF(IFERROR(VLOOKUP(D208,Controls!$A$64:$E$74,2,FALSE),"No")="Yes",1,0)</f>
        <v/>
      </c>
      <c r="AF208">
        <f>IF(IFERROR(VLOOKUP(D208,Controls!$A$64:$E$74,3,FALSE),"No")="Yes",1,0)</f>
        <v/>
      </c>
      <c r="AG208">
        <f>IF(IFERROR(VLOOKUP(D208,Controls!$A$64:$E$74,4,FALSE),"No")="Yes",1,0)</f>
        <v/>
      </c>
      <c r="AH208">
        <f>IF(IFERROR(VLOOKUP(D208,Controls!$A$64:$E$74,5,FALSE),"No")="Yes",1,0)</f>
        <v/>
      </c>
      <c r="AI208">
        <f>IF(ISNUMBER(MATCH(D208,Controls!$A$64:$A$74,0)),1,0)</f>
        <v/>
      </c>
      <c r="AJ208">
        <f>Q208-N208</f>
        <v/>
      </c>
      <c r="AK208">
        <f>IF(AE208=1,MAX(0,N208-Q208),0)</f>
        <v/>
      </c>
      <c r="AL208">
        <f>IF(OR(V208="",V208=0),0,N208/V208)</f>
        <v/>
      </c>
      <c r="AM208">
        <f>IF(OR(V208="",V208=0),0,1)</f>
        <v/>
      </c>
      <c r="AN208">
        <f>IF(OR(E208="",F208=""),0,NETWORKDAYS(E208,F208,Ref!$K$2:$K$42))</f>
        <v/>
      </c>
      <c r="AO208">
        <f>IF(L208="Renewal",1,0)</f>
        <v/>
      </c>
      <c r="AP208">
        <f>AC208*AD208</f>
        <v/>
      </c>
      <c r="AQ208">
        <f>IF(AND(G208&lt;&gt;"",'Historical Score'!$C$6&lt;&gt;""),IF(G208='Historical Score'!$C$6,1,0),0)</f>
        <v/>
      </c>
      <c r="AR208">
        <f>IF(AND(L208&lt;&gt;"",'Historical Score'!$C$5&lt;&gt;""),IF(L208='Historical Score'!$C$5,1,0),0)</f>
        <v/>
      </c>
      <c r="AS208">
        <f>IF(AND(Y208&lt;&gt;"",'Historical Score'!$C$7&lt;&gt;""),IF(Y208='Historical Score'!$C$7,1,0),0)</f>
        <v/>
      </c>
      <c r="AT208">
        <f>IF(AND(K208&lt;&gt;"",'Historical Score'!$C$8&lt;&gt;""),IF(K208='Historical Score'!$C$8,1,0),0)</f>
        <v/>
      </c>
      <c r="AU208">
        <f>IF(AND(J208&lt;&gt;"",'Historical Score'!$C$9&lt;&gt;""),IF(J208='Historical Score'!$C$9,1,0),0)</f>
        <v/>
      </c>
      <c r="AV208">
        <f>AR208*AS208*AQ208</f>
        <v/>
      </c>
      <c r="AW208">
        <f>AR208*AT208*AQ208</f>
        <v/>
      </c>
      <c r="AX208">
        <f>AR208*AS208</f>
        <v/>
      </c>
      <c r="AY208">
        <f>AR208*AT208</f>
        <v/>
      </c>
      <c r="AZ208">
        <f>AR208*AQ208</f>
        <v/>
      </c>
      <c r="BA208">
        <f>AR208</f>
        <v/>
      </c>
      <c r="BB208">
        <f>1</f>
        <v/>
      </c>
      <c r="BC208">
        <f>IF(AV208=1,1,IF(AW208=1,2,IF(AX208=1,3,IF(AY208=1,4,IF(AZ208=1,5,IF(BA208=1,6,7))))))</f>
        <v/>
      </c>
      <c r="BD208">
        <f>IF(AD208=1,CHOOSE('Historical Score'!$C$29,AV208,AW208,AX208,AY208,AZ208,BA208,BB208),0)</f>
        <v/>
      </c>
      <c r="BE208">
        <f>IF(BD208=1,COUNTIF($BD$2:BD208,1),"")</f>
        <v/>
      </c>
    </row>
    <row r="209">
      <c r="A209" t="inlineStr">
        <is>
          <t>5674164561</t>
        </is>
      </c>
      <c r="B209" t="inlineStr">
        <is>
          <t>OL SKOOL TRUCKING</t>
        </is>
      </c>
      <c r="C209" t="inlineStr">
        <is>
          <t>OL SKOOL TRUCKING INC</t>
        </is>
      </c>
      <c r="D209" t="inlineStr">
        <is>
          <t>Closed</t>
        </is>
      </c>
      <c r="E209" s="297" t="n">
        <v>45890</v>
      </c>
      <c r="F209" s="297" t="n">
        <v>46132</v>
      </c>
      <c r="G209" t="n">
        <v>1</v>
      </c>
      <c r="H209" t="inlineStr">
        <is>
          <t>4212</t>
        </is>
      </c>
      <c r="I209" t="inlineStr">
        <is>
          <t>42</t>
        </is>
      </c>
      <c r="J209" t="inlineStr">
        <is>
          <t>UT</t>
        </is>
      </c>
      <c r="K209" t="inlineStr">
        <is>
          <t>United Secured Capital 8</t>
        </is>
      </c>
      <c r="L209" t="inlineStr">
        <is>
          <t>Renewal</t>
        </is>
      </c>
      <c r="M209" s="298" t="n">
        <v>1.49</v>
      </c>
      <c r="N209" s="299" t="n">
        <v>40000</v>
      </c>
      <c r="O209" s="299" t="n">
        <v>5600</v>
      </c>
      <c r="P209" s="299" t="n">
        <v>59600</v>
      </c>
      <c r="Q209" s="299" t="n">
        <v>59600</v>
      </c>
      <c r="R209" s="299" t="n">
        <v>0</v>
      </c>
      <c r="S209" s="300" t="n">
        <v>1</v>
      </c>
      <c r="T209" t="n">
        <v>22</v>
      </c>
      <c r="U209" t="n">
        <v>0</v>
      </c>
      <c r="V209" t="n">
        <v>110307.25</v>
      </c>
      <c r="W209" s="300" t="n">
        <v>0.1067</v>
      </c>
      <c r="X209" s="297" t="n">
        <v>40861</v>
      </c>
      <c r="Y209">
        <f>IF(I209="","No SIC",IFERROR(VLOOKUP(I209,Ref!$A$2:$B$65,2,FALSE),"Unclassified"))</f>
        <v/>
      </c>
      <c r="Z209">
        <f>IF(T209="","",IF(T209&lt;12,"Daily","Weekly"))</f>
        <v/>
      </c>
      <c r="AA209">
        <f>IF(T209="",0,IF(T209&lt;12,T209*Controls!$B$29,T209*5))</f>
        <v/>
      </c>
      <c r="AB209">
        <f>IF(E209="",0,NETWORKDAYS(E209,Controls!$B$36,Ref!$K$2:$K$42))</f>
        <v/>
      </c>
      <c r="AC209">
        <f>IF(AND(AA209&gt;0,AB209&gt;=Controls!$B$39*AA209),1,0)</f>
        <v/>
      </c>
      <c r="AD209">
        <f>IF(AND(E209&lt;&gt;"",E209&gt;=Controls!$B$37,E209&lt;=Controls!$B$38),1,0)</f>
        <v/>
      </c>
      <c r="AE209">
        <f>IF(IFERROR(VLOOKUP(D209,Controls!$A$64:$E$74,2,FALSE),"No")="Yes",1,0)</f>
        <v/>
      </c>
      <c r="AF209">
        <f>IF(IFERROR(VLOOKUP(D209,Controls!$A$64:$E$74,3,FALSE),"No")="Yes",1,0)</f>
        <v/>
      </c>
      <c r="AG209">
        <f>IF(IFERROR(VLOOKUP(D209,Controls!$A$64:$E$74,4,FALSE),"No")="Yes",1,0)</f>
        <v/>
      </c>
      <c r="AH209">
        <f>IF(IFERROR(VLOOKUP(D209,Controls!$A$64:$E$74,5,FALSE),"No")="Yes",1,0)</f>
        <v/>
      </c>
      <c r="AI209">
        <f>IF(ISNUMBER(MATCH(D209,Controls!$A$64:$A$74,0)),1,0)</f>
        <v/>
      </c>
      <c r="AJ209">
        <f>Q209-N209</f>
        <v/>
      </c>
      <c r="AK209">
        <f>IF(AE209=1,MAX(0,N209-Q209),0)</f>
        <v/>
      </c>
      <c r="AL209">
        <f>IF(OR(V209="",V209=0),0,N209/V209)</f>
        <v/>
      </c>
      <c r="AM209">
        <f>IF(OR(V209="",V209=0),0,1)</f>
        <v/>
      </c>
      <c r="AN209">
        <f>IF(OR(E209="",F209=""),0,NETWORKDAYS(E209,F209,Ref!$K$2:$K$42))</f>
        <v/>
      </c>
      <c r="AO209">
        <f>IF(L209="Renewal",1,0)</f>
        <v/>
      </c>
      <c r="AP209">
        <f>AC209*AD209</f>
        <v/>
      </c>
      <c r="AQ209">
        <f>IF(AND(G209&lt;&gt;"",'Historical Score'!$C$6&lt;&gt;""),IF(G209='Historical Score'!$C$6,1,0),0)</f>
        <v/>
      </c>
      <c r="AR209">
        <f>IF(AND(L209&lt;&gt;"",'Historical Score'!$C$5&lt;&gt;""),IF(L209='Historical Score'!$C$5,1,0),0)</f>
        <v/>
      </c>
      <c r="AS209">
        <f>IF(AND(Y209&lt;&gt;"",'Historical Score'!$C$7&lt;&gt;""),IF(Y209='Historical Score'!$C$7,1,0),0)</f>
        <v/>
      </c>
      <c r="AT209">
        <f>IF(AND(K209&lt;&gt;"",'Historical Score'!$C$8&lt;&gt;""),IF(K209='Historical Score'!$C$8,1,0),0)</f>
        <v/>
      </c>
      <c r="AU209">
        <f>IF(AND(J209&lt;&gt;"",'Historical Score'!$C$9&lt;&gt;""),IF(J209='Historical Score'!$C$9,1,0),0)</f>
        <v/>
      </c>
      <c r="AV209">
        <f>AR209*AS209*AQ209</f>
        <v/>
      </c>
      <c r="AW209">
        <f>AR209*AT209*AQ209</f>
        <v/>
      </c>
      <c r="AX209">
        <f>AR209*AS209</f>
        <v/>
      </c>
      <c r="AY209">
        <f>AR209*AT209</f>
        <v/>
      </c>
      <c r="AZ209">
        <f>AR209*AQ209</f>
        <v/>
      </c>
      <c r="BA209">
        <f>AR209</f>
        <v/>
      </c>
      <c r="BB209">
        <f>1</f>
        <v/>
      </c>
      <c r="BC209">
        <f>IF(AV209=1,1,IF(AW209=1,2,IF(AX209=1,3,IF(AY209=1,4,IF(AZ209=1,5,IF(BA209=1,6,7))))))</f>
        <v/>
      </c>
      <c r="BD209">
        <f>IF(AD209=1,CHOOSE('Historical Score'!$C$29,AV209,AW209,AX209,AY209,AZ209,BA209,BB209),0)</f>
        <v/>
      </c>
      <c r="BE209">
        <f>IF(BD209=1,COUNTIF($BD$2:BD209,1),"")</f>
        <v/>
      </c>
    </row>
    <row r="210">
      <c r="A210" t="inlineStr">
        <is>
          <t>5674164599</t>
        </is>
      </c>
      <c r="B210" t="inlineStr">
        <is>
          <t>KNGDM Sports Performance</t>
        </is>
      </c>
      <c r="C210" t="inlineStr">
        <is>
          <t>KNGDM SPORTS PERFORMANCE CORP</t>
        </is>
      </c>
      <c r="D210" t="inlineStr">
        <is>
          <t>Closed</t>
        </is>
      </c>
      <c r="E210" s="297" t="n">
        <v>45891</v>
      </c>
      <c r="F210" s="297" t="n">
        <v>46129</v>
      </c>
      <c r="G210" t="n">
        <v>2</v>
      </c>
      <c r="H210" t="inlineStr">
        <is>
          <t>7997</t>
        </is>
      </c>
      <c r="I210" t="inlineStr">
        <is>
          <t>79</t>
        </is>
      </c>
      <c r="J210" t="inlineStr">
        <is>
          <t>CO</t>
        </is>
      </c>
      <c r="K210" t="inlineStr">
        <is>
          <t>Fundwell</t>
        </is>
      </c>
      <c r="L210" t="inlineStr">
        <is>
          <t>New Deal</t>
        </is>
      </c>
      <c r="M210" s="298" t="n">
        <v>1.32</v>
      </c>
      <c r="N210" s="299" t="n">
        <v>53000</v>
      </c>
      <c r="O210" s="299" t="n">
        <v>3710</v>
      </c>
      <c r="P210" s="299" t="n">
        <v>69960</v>
      </c>
      <c r="Q210" s="299" t="n">
        <v>69960</v>
      </c>
      <c r="R210" s="299" t="n">
        <v>0</v>
      </c>
      <c r="S210" s="300" t="n">
        <v>1</v>
      </c>
      <c r="T210" t="n">
        <v>46</v>
      </c>
      <c r="U210" t="n">
        <v>1</v>
      </c>
      <c r="V210" t="n">
        <v>185128.1</v>
      </c>
      <c r="W210" s="300" t="n">
        <v>0.0329</v>
      </c>
      <c r="X210" s="297" t="n">
        <v>44896</v>
      </c>
      <c r="Y210">
        <f>IF(I210="","No SIC",IFERROR(VLOOKUP(I210,Ref!$A$2:$B$65,2,FALSE),"Unclassified"))</f>
        <v/>
      </c>
      <c r="Z210">
        <f>IF(T210="","",IF(T210&lt;12,"Daily","Weekly"))</f>
        <v/>
      </c>
      <c r="AA210">
        <f>IF(T210="",0,IF(T210&lt;12,T210*Controls!$B$29,T210*5))</f>
        <v/>
      </c>
      <c r="AB210">
        <f>IF(E210="",0,NETWORKDAYS(E210,Controls!$B$36,Ref!$K$2:$K$42))</f>
        <v/>
      </c>
      <c r="AC210">
        <f>IF(AND(AA210&gt;0,AB210&gt;=Controls!$B$39*AA210),1,0)</f>
        <v/>
      </c>
      <c r="AD210">
        <f>IF(AND(E210&lt;&gt;"",E210&gt;=Controls!$B$37,E210&lt;=Controls!$B$38),1,0)</f>
        <v/>
      </c>
      <c r="AE210">
        <f>IF(IFERROR(VLOOKUP(D210,Controls!$A$64:$E$74,2,FALSE),"No")="Yes",1,0)</f>
        <v/>
      </c>
      <c r="AF210">
        <f>IF(IFERROR(VLOOKUP(D210,Controls!$A$64:$E$74,3,FALSE),"No")="Yes",1,0)</f>
        <v/>
      </c>
      <c r="AG210">
        <f>IF(IFERROR(VLOOKUP(D210,Controls!$A$64:$E$74,4,FALSE),"No")="Yes",1,0)</f>
        <v/>
      </c>
      <c r="AH210">
        <f>IF(IFERROR(VLOOKUP(D210,Controls!$A$64:$E$74,5,FALSE),"No")="Yes",1,0)</f>
        <v/>
      </c>
      <c r="AI210">
        <f>IF(ISNUMBER(MATCH(D210,Controls!$A$64:$A$74,0)),1,0)</f>
        <v/>
      </c>
      <c r="AJ210">
        <f>Q210-N210</f>
        <v/>
      </c>
      <c r="AK210">
        <f>IF(AE210=1,MAX(0,N210-Q210),0)</f>
        <v/>
      </c>
      <c r="AL210">
        <f>IF(OR(V210="",V210=0),0,N210/V210)</f>
        <v/>
      </c>
      <c r="AM210">
        <f>IF(OR(V210="",V210=0),0,1)</f>
        <v/>
      </c>
      <c r="AN210">
        <f>IF(OR(E210="",F210=""),0,NETWORKDAYS(E210,F210,Ref!$K$2:$K$42))</f>
        <v/>
      </c>
      <c r="AO210">
        <f>IF(L210="Renewal",1,0)</f>
        <v/>
      </c>
      <c r="AP210">
        <f>AC210*AD210</f>
        <v/>
      </c>
      <c r="AQ210">
        <f>IF(AND(G210&lt;&gt;"",'Historical Score'!$C$6&lt;&gt;""),IF(G210='Historical Score'!$C$6,1,0),0)</f>
        <v/>
      </c>
      <c r="AR210">
        <f>IF(AND(L210&lt;&gt;"",'Historical Score'!$C$5&lt;&gt;""),IF(L210='Historical Score'!$C$5,1,0),0)</f>
        <v/>
      </c>
      <c r="AS210">
        <f>IF(AND(Y210&lt;&gt;"",'Historical Score'!$C$7&lt;&gt;""),IF(Y210='Historical Score'!$C$7,1,0),0)</f>
        <v/>
      </c>
      <c r="AT210">
        <f>IF(AND(K210&lt;&gt;"",'Historical Score'!$C$8&lt;&gt;""),IF(K210='Historical Score'!$C$8,1,0),0)</f>
        <v/>
      </c>
      <c r="AU210">
        <f>IF(AND(J210&lt;&gt;"",'Historical Score'!$C$9&lt;&gt;""),IF(J210='Historical Score'!$C$9,1,0),0)</f>
        <v/>
      </c>
      <c r="AV210">
        <f>AR210*AS210*AQ210</f>
        <v/>
      </c>
      <c r="AW210">
        <f>AR210*AT210*AQ210</f>
        <v/>
      </c>
      <c r="AX210">
        <f>AR210*AS210</f>
        <v/>
      </c>
      <c r="AY210">
        <f>AR210*AT210</f>
        <v/>
      </c>
      <c r="AZ210">
        <f>AR210*AQ210</f>
        <v/>
      </c>
      <c r="BA210">
        <f>AR210</f>
        <v/>
      </c>
      <c r="BB210">
        <f>1</f>
        <v/>
      </c>
      <c r="BC210">
        <f>IF(AV210=1,1,IF(AW210=1,2,IF(AX210=1,3,IF(AY210=1,4,IF(AZ210=1,5,IF(BA210=1,6,7))))))</f>
        <v/>
      </c>
      <c r="BD210">
        <f>IF(AD210=1,CHOOSE('Historical Score'!$C$29,AV210,AW210,AX210,AY210,AZ210,BA210,BB210),0)</f>
        <v/>
      </c>
      <c r="BE210">
        <f>IF(BD210=1,COUNTIF($BD$2:BD210,1),"")</f>
        <v/>
      </c>
    </row>
    <row r="211">
      <c r="A211" t="inlineStr">
        <is>
          <t>5674164604</t>
        </is>
      </c>
      <c r="B211" t="inlineStr">
        <is>
          <t>OPTIMUS LOGISTICS LLC</t>
        </is>
      </c>
      <c r="C211" t="inlineStr">
        <is>
          <t>OPTIMUS LOGISTICS LLC</t>
        </is>
      </c>
      <c r="D211" t="inlineStr">
        <is>
          <t>Legal</t>
        </is>
      </c>
      <c r="E211" s="297" t="n">
        <v>45891</v>
      </c>
      <c r="F211" s="297" t="n">
        <v>45931</v>
      </c>
      <c r="G211" t="n">
        <v>3</v>
      </c>
      <c r="H211" t="inlineStr">
        <is>
          <t>4212</t>
        </is>
      </c>
      <c r="I211" t="inlineStr">
        <is>
          <t>42</t>
        </is>
      </c>
      <c r="J211" t="inlineStr">
        <is>
          <t>TN</t>
        </is>
      </c>
      <c r="K211" t="inlineStr">
        <is>
          <t>Shield Funding</t>
        </is>
      </c>
      <c r="L211" t="inlineStr">
        <is>
          <t>New Deal</t>
        </is>
      </c>
      <c r="M211" s="298" t="n">
        <v>1.499</v>
      </c>
      <c r="N211" s="299" t="n">
        <v>6000</v>
      </c>
      <c r="O211" s="299" t="n">
        <v>840</v>
      </c>
      <c r="P211" s="299" t="n">
        <v>8994</v>
      </c>
      <c r="Q211" s="299" t="n">
        <v>2207.73</v>
      </c>
      <c r="R211" s="299" t="n">
        <v>6786.27</v>
      </c>
      <c r="S211" s="300" t="n">
        <v>0.245466977985324</v>
      </c>
      <c r="T211" t="n">
        <v>2.787</v>
      </c>
      <c r="U211" t="n">
        <v>7</v>
      </c>
      <c r="V211" t="n">
        <v>19712.41</v>
      </c>
      <c r="W211" s="300" t="n">
        <v>0.112</v>
      </c>
      <c r="X211" s="297" t="n">
        <v>43032</v>
      </c>
      <c r="Y211">
        <f>IF(I211="","No SIC",IFERROR(VLOOKUP(I211,Ref!$A$2:$B$65,2,FALSE),"Unclassified"))</f>
        <v/>
      </c>
      <c r="Z211">
        <f>IF(T211="","",IF(T211&lt;12,"Daily","Weekly"))</f>
        <v/>
      </c>
      <c r="AA211">
        <f>IF(T211="",0,IF(T211&lt;12,T211*Controls!$B$29,T211*5))</f>
        <v/>
      </c>
      <c r="AB211">
        <f>IF(E211="",0,NETWORKDAYS(E211,Controls!$B$36,Ref!$K$2:$K$42))</f>
        <v/>
      </c>
      <c r="AC211">
        <f>IF(AND(AA211&gt;0,AB211&gt;=Controls!$B$39*AA211),1,0)</f>
        <v/>
      </c>
      <c r="AD211">
        <f>IF(AND(E211&lt;&gt;"",E211&gt;=Controls!$B$37,E211&lt;=Controls!$B$38),1,0)</f>
        <v/>
      </c>
      <c r="AE211">
        <f>IF(IFERROR(VLOOKUP(D211,Controls!$A$64:$E$74,2,FALSE),"No")="Yes",1,0)</f>
        <v/>
      </c>
      <c r="AF211">
        <f>IF(IFERROR(VLOOKUP(D211,Controls!$A$64:$E$74,3,FALSE),"No")="Yes",1,0)</f>
        <v/>
      </c>
      <c r="AG211">
        <f>IF(IFERROR(VLOOKUP(D211,Controls!$A$64:$E$74,4,FALSE),"No")="Yes",1,0)</f>
        <v/>
      </c>
      <c r="AH211">
        <f>IF(IFERROR(VLOOKUP(D211,Controls!$A$64:$E$74,5,FALSE),"No")="Yes",1,0)</f>
        <v/>
      </c>
      <c r="AI211">
        <f>IF(ISNUMBER(MATCH(D211,Controls!$A$64:$A$74,0)),1,0)</f>
        <v/>
      </c>
      <c r="AJ211">
        <f>Q211-N211</f>
        <v/>
      </c>
      <c r="AK211">
        <f>IF(AE211=1,MAX(0,N211-Q211),0)</f>
        <v/>
      </c>
      <c r="AL211">
        <f>IF(OR(V211="",V211=0),0,N211/V211)</f>
        <v/>
      </c>
      <c r="AM211">
        <f>IF(OR(V211="",V211=0),0,1)</f>
        <v/>
      </c>
      <c r="AN211">
        <f>IF(OR(E211="",F211=""),0,NETWORKDAYS(E211,F211,Ref!$K$2:$K$42))</f>
        <v/>
      </c>
      <c r="AO211">
        <f>IF(L211="Renewal",1,0)</f>
        <v/>
      </c>
      <c r="AP211">
        <f>AC211*AD211</f>
        <v/>
      </c>
      <c r="AQ211">
        <f>IF(AND(G211&lt;&gt;"",'Historical Score'!$C$6&lt;&gt;""),IF(G211='Historical Score'!$C$6,1,0),0)</f>
        <v/>
      </c>
      <c r="AR211">
        <f>IF(AND(L211&lt;&gt;"",'Historical Score'!$C$5&lt;&gt;""),IF(L211='Historical Score'!$C$5,1,0),0)</f>
        <v/>
      </c>
      <c r="AS211">
        <f>IF(AND(Y211&lt;&gt;"",'Historical Score'!$C$7&lt;&gt;""),IF(Y211='Historical Score'!$C$7,1,0),0)</f>
        <v/>
      </c>
      <c r="AT211">
        <f>IF(AND(K211&lt;&gt;"",'Historical Score'!$C$8&lt;&gt;""),IF(K211='Historical Score'!$C$8,1,0),0)</f>
        <v/>
      </c>
      <c r="AU211">
        <f>IF(AND(J211&lt;&gt;"",'Historical Score'!$C$9&lt;&gt;""),IF(J211='Historical Score'!$C$9,1,0),0)</f>
        <v/>
      </c>
      <c r="AV211">
        <f>AR211*AS211*AQ211</f>
        <v/>
      </c>
      <c r="AW211">
        <f>AR211*AT211*AQ211</f>
        <v/>
      </c>
      <c r="AX211">
        <f>AR211*AS211</f>
        <v/>
      </c>
      <c r="AY211">
        <f>AR211*AT211</f>
        <v/>
      </c>
      <c r="AZ211">
        <f>AR211*AQ211</f>
        <v/>
      </c>
      <c r="BA211">
        <f>AR211</f>
        <v/>
      </c>
      <c r="BB211">
        <f>1</f>
        <v/>
      </c>
      <c r="BC211">
        <f>IF(AV211=1,1,IF(AW211=1,2,IF(AX211=1,3,IF(AY211=1,4,IF(AZ211=1,5,IF(BA211=1,6,7))))))</f>
        <v/>
      </c>
      <c r="BD211">
        <f>IF(AD211=1,CHOOSE('Historical Score'!$C$29,AV211,AW211,AX211,AY211,AZ211,BA211,BB211),0)</f>
        <v/>
      </c>
      <c r="BE211">
        <f>IF(BD211=1,COUNTIF($BD$2:BD211,1),"")</f>
        <v/>
      </c>
    </row>
    <row r="212">
      <c r="A212" t="inlineStr">
        <is>
          <t>5674164632</t>
        </is>
      </c>
      <c r="B212" t="inlineStr">
        <is>
          <t>YOANNA FLIGHT SCHOOL INTERNATIONAL</t>
        </is>
      </c>
      <c r="C212" t="inlineStr">
        <is>
          <t>Yoanna Flight School International, Inc</t>
        </is>
      </c>
      <c r="D212" t="inlineStr">
        <is>
          <t>Lowered Payments</t>
        </is>
      </c>
      <c r="E212" s="297" t="n">
        <v>45891</v>
      </c>
      <c r="F212" s="297" t="n">
        <v>46253</v>
      </c>
      <c r="G212" t="n">
        <v>3</v>
      </c>
      <c r="H212" t="inlineStr">
        <is>
          <t>4581</t>
        </is>
      </c>
      <c r="I212" t="inlineStr">
        <is>
          <t>45</t>
        </is>
      </c>
      <c r="J212" t="inlineStr">
        <is>
          <t>FL</t>
        </is>
      </c>
      <c r="K212" t="inlineStr">
        <is>
          <t>Shore Funding USA</t>
        </is>
      </c>
      <c r="L212" t="inlineStr">
        <is>
          <t>New Deal</t>
        </is>
      </c>
      <c r="M212" s="298" t="n">
        <v>1.45</v>
      </c>
      <c r="N212" s="299" t="n">
        <v>35000</v>
      </c>
      <c r="O212" s="299" t="n">
        <v>4200</v>
      </c>
      <c r="P212" s="299" t="n">
        <v>50750</v>
      </c>
      <c r="Q212" s="299" t="n">
        <v>29464.46</v>
      </c>
      <c r="R212" s="299" t="n">
        <v>21285.54</v>
      </c>
      <c r="S212" s="300" t="n">
        <v>0.580580492610837</v>
      </c>
      <c r="T212" t="n">
        <v>32</v>
      </c>
      <c r="U212" t="n">
        <v>36</v>
      </c>
      <c r="V212" t="n">
        <v>49442.1</v>
      </c>
      <c r="W212" s="300" t="n">
        <v>0.1283</v>
      </c>
      <c r="X212" s="297" t="n">
        <v>43975</v>
      </c>
      <c r="Y212">
        <f>IF(I212="","No SIC",IFERROR(VLOOKUP(I212,Ref!$A$2:$B$65,2,FALSE),"Unclassified"))</f>
        <v/>
      </c>
      <c r="Z212">
        <f>IF(T212="","",IF(T212&lt;12,"Daily","Weekly"))</f>
        <v/>
      </c>
      <c r="AA212">
        <f>IF(T212="",0,IF(T212&lt;12,T212*Controls!$B$29,T212*5))</f>
        <v/>
      </c>
      <c r="AB212">
        <f>IF(E212="",0,NETWORKDAYS(E212,Controls!$B$36,Ref!$K$2:$K$42))</f>
        <v/>
      </c>
      <c r="AC212">
        <f>IF(AND(AA212&gt;0,AB212&gt;=Controls!$B$39*AA212),1,0)</f>
        <v/>
      </c>
      <c r="AD212">
        <f>IF(AND(E212&lt;&gt;"",E212&gt;=Controls!$B$37,E212&lt;=Controls!$B$38),1,0)</f>
        <v/>
      </c>
      <c r="AE212">
        <f>IF(IFERROR(VLOOKUP(D212,Controls!$A$64:$E$74,2,FALSE),"No")="Yes",1,0)</f>
        <v/>
      </c>
      <c r="AF212">
        <f>IF(IFERROR(VLOOKUP(D212,Controls!$A$64:$E$74,3,FALSE),"No")="Yes",1,0)</f>
        <v/>
      </c>
      <c r="AG212">
        <f>IF(IFERROR(VLOOKUP(D212,Controls!$A$64:$E$74,4,FALSE),"No")="Yes",1,0)</f>
        <v/>
      </c>
      <c r="AH212">
        <f>IF(IFERROR(VLOOKUP(D212,Controls!$A$64:$E$74,5,FALSE),"No")="Yes",1,0)</f>
        <v/>
      </c>
      <c r="AI212">
        <f>IF(ISNUMBER(MATCH(D212,Controls!$A$64:$A$74,0)),1,0)</f>
        <v/>
      </c>
      <c r="AJ212">
        <f>Q212-N212</f>
        <v/>
      </c>
      <c r="AK212">
        <f>IF(AE212=1,MAX(0,N212-Q212),0)</f>
        <v/>
      </c>
      <c r="AL212">
        <f>IF(OR(V212="",V212=0),0,N212/V212)</f>
        <v/>
      </c>
      <c r="AM212">
        <f>IF(OR(V212="",V212=0),0,1)</f>
        <v/>
      </c>
      <c r="AN212">
        <f>IF(OR(E212="",F212=""),0,NETWORKDAYS(E212,F212,Ref!$K$2:$K$42))</f>
        <v/>
      </c>
      <c r="AO212">
        <f>IF(L212="Renewal",1,0)</f>
        <v/>
      </c>
      <c r="AP212">
        <f>AC212*AD212</f>
        <v/>
      </c>
      <c r="AQ212">
        <f>IF(AND(G212&lt;&gt;"",'Historical Score'!$C$6&lt;&gt;""),IF(G212='Historical Score'!$C$6,1,0),0)</f>
        <v/>
      </c>
      <c r="AR212">
        <f>IF(AND(L212&lt;&gt;"",'Historical Score'!$C$5&lt;&gt;""),IF(L212='Historical Score'!$C$5,1,0),0)</f>
        <v/>
      </c>
      <c r="AS212">
        <f>IF(AND(Y212&lt;&gt;"",'Historical Score'!$C$7&lt;&gt;""),IF(Y212='Historical Score'!$C$7,1,0),0)</f>
        <v/>
      </c>
      <c r="AT212">
        <f>IF(AND(K212&lt;&gt;"",'Historical Score'!$C$8&lt;&gt;""),IF(K212='Historical Score'!$C$8,1,0),0)</f>
        <v/>
      </c>
      <c r="AU212">
        <f>IF(AND(J212&lt;&gt;"",'Historical Score'!$C$9&lt;&gt;""),IF(J212='Historical Score'!$C$9,1,0),0)</f>
        <v/>
      </c>
      <c r="AV212">
        <f>AR212*AS212*AQ212</f>
        <v/>
      </c>
      <c r="AW212">
        <f>AR212*AT212*AQ212</f>
        <v/>
      </c>
      <c r="AX212">
        <f>AR212*AS212</f>
        <v/>
      </c>
      <c r="AY212">
        <f>AR212*AT212</f>
        <v/>
      </c>
      <c r="AZ212">
        <f>AR212*AQ212</f>
        <v/>
      </c>
      <c r="BA212">
        <f>AR212</f>
        <v/>
      </c>
      <c r="BB212">
        <f>1</f>
        <v/>
      </c>
      <c r="BC212">
        <f>IF(AV212=1,1,IF(AW212=1,2,IF(AX212=1,3,IF(AY212=1,4,IF(AZ212=1,5,IF(BA212=1,6,7))))))</f>
        <v/>
      </c>
      <c r="BD212">
        <f>IF(AD212=1,CHOOSE('Historical Score'!$C$29,AV212,AW212,AX212,AY212,AZ212,BA212,BB212),0)</f>
        <v/>
      </c>
      <c r="BE212">
        <f>IF(BD212=1,COUNTIF($BD$2:BD212,1),"")</f>
        <v/>
      </c>
    </row>
    <row r="213">
      <c r="A213" t="inlineStr">
        <is>
          <t>5674164635</t>
        </is>
      </c>
      <c r="B213" t="inlineStr">
        <is>
          <t>503 BUILDERS LLC</t>
        </is>
      </c>
      <c r="C213" t="inlineStr">
        <is>
          <t>503 Builders LLC</t>
        </is>
      </c>
      <c r="D213" t="inlineStr">
        <is>
          <t>Closed</t>
        </is>
      </c>
      <c r="E213" s="297" t="n">
        <v>45891</v>
      </c>
      <c r="F213" s="297" t="n">
        <v>45950</v>
      </c>
      <c r="G213" t="n">
        <v>5</v>
      </c>
      <c r="H213" t="inlineStr">
        <is>
          <t>1521</t>
        </is>
      </c>
      <c r="I213" t="inlineStr">
        <is>
          <t>15</t>
        </is>
      </c>
      <c r="J213" t="inlineStr">
        <is>
          <t>OR</t>
        </is>
      </c>
      <c r="K213" t="inlineStr">
        <is>
          <t>Biz fuel</t>
        </is>
      </c>
      <c r="L213" t="inlineStr">
        <is>
          <t>New Deal</t>
        </is>
      </c>
      <c r="M213" s="298" t="n">
        <v>1.499</v>
      </c>
      <c r="N213" s="299" t="n">
        <v>12000</v>
      </c>
      <c r="O213" s="299" t="n">
        <v>1680</v>
      </c>
      <c r="P213" s="299" t="n">
        <v>17988</v>
      </c>
      <c r="Q213" s="299" t="n">
        <v>17988</v>
      </c>
      <c r="R213" s="299" t="n">
        <v>0</v>
      </c>
      <c r="S213" s="300" t="n">
        <v>1</v>
      </c>
      <c r="T213" t="n">
        <v>2.131</v>
      </c>
      <c r="U213" t="n">
        <v>0</v>
      </c>
      <c r="V213" t="n">
        <v>70535.06</v>
      </c>
      <c r="W213" s="300" t="n">
        <v>0.0819</v>
      </c>
      <c r="X213" s="297" t="n">
        <v>44367</v>
      </c>
      <c r="Y213">
        <f>IF(I213="","No SIC",IFERROR(VLOOKUP(I213,Ref!$A$2:$B$65,2,FALSE),"Unclassified"))</f>
        <v/>
      </c>
      <c r="Z213">
        <f>IF(T213="","",IF(T213&lt;12,"Daily","Weekly"))</f>
        <v/>
      </c>
      <c r="AA213">
        <f>IF(T213="",0,IF(T213&lt;12,T213*Controls!$B$29,T213*5))</f>
        <v/>
      </c>
      <c r="AB213">
        <f>IF(E213="",0,NETWORKDAYS(E213,Controls!$B$36,Ref!$K$2:$K$42))</f>
        <v/>
      </c>
      <c r="AC213">
        <f>IF(AND(AA213&gt;0,AB213&gt;=Controls!$B$39*AA213),1,0)</f>
        <v/>
      </c>
      <c r="AD213">
        <f>IF(AND(E213&lt;&gt;"",E213&gt;=Controls!$B$37,E213&lt;=Controls!$B$38),1,0)</f>
        <v/>
      </c>
      <c r="AE213">
        <f>IF(IFERROR(VLOOKUP(D213,Controls!$A$64:$E$74,2,FALSE),"No")="Yes",1,0)</f>
        <v/>
      </c>
      <c r="AF213">
        <f>IF(IFERROR(VLOOKUP(D213,Controls!$A$64:$E$74,3,FALSE),"No")="Yes",1,0)</f>
        <v/>
      </c>
      <c r="AG213">
        <f>IF(IFERROR(VLOOKUP(D213,Controls!$A$64:$E$74,4,FALSE),"No")="Yes",1,0)</f>
        <v/>
      </c>
      <c r="AH213">
        <f>IF(IFERROR(VLOOKUP(D213,Controls!$A$64:$E$74,5,FALSE),"No")="Yes",1,0)</f>
        <v/>
      </c>
      <c r="AI213">
        <f>IF(ISNUMBER(MATCH(D213,Controls!$A$64:$A$74,0)),1,0)</f>
        <v/>
      </c>
      <c r="AJ213">
        <f>Q213-N213</f>
        <v/>
      </c>
      <c r="AK213">
        <f>IF(AE213=1,MAX(0,N213-Q213),0)</f>
        <v/>
      </c>
      <c r="AL213">
        <f>IF(OR(V213="",V213=0),0,N213/V213)</f>
        <v/>
      </c>
      <c r="AM213">
        <f>IF(OR(V213="",V213=0),0,1)</f>
        <v/>
      </c>
      <c r="AN213">
        <f>IF(OR(E213="",F213=""),0,NETWORKDAYS(E213,F213,Ref!$K$2:$K$42))</f>
        <v/>
      </c>
      <c r="AO213">
        <f>IF(L213="Renewal",1,0)</f>
        <v/>
      </c>
      <c r="AP213">
        <f>AC213*AD213</f>
        <v/>
      </c>
      <c r="AQ213">
        <f>IF(AND(G213&lt;&gt;"",'Historical Score'!$C$6&lt;&gt;""),IF(G213='Historical Score'!$C$6,1,0),0)</f>
        <v/>
      </c>
      <c r="AR213">
        <f>IF(AND(L213&lt;&gt;"",'Historical Score'!$C$5&lt;&gt;""),IF(L213='Historical Score'!$C$5,1,0),0)</f>
        <v/>
      </c>
      <c r="AS213">
        <f>IF(AND(Y213&lt;&gt;"",'Historical Score'!$C$7&lt;&gt;""),IF(Y213='Historical Score'!$C$7,1,0),0)</f>
        <v/>
      </c>
      <c r="AT213">
        <f>IF(AND(K213&lt;&gt;"",'Historical Score'!$C$8&lt;&gt;""),IF(K213='Historical Score'!$C$8,1,0),0)</f>
        <v/>
      </c>
      <c r="AU213">
        <f>IF(AND(J213&lt;&gt;"",'Historical Score'!$C$9&lt;&gt;""),IF(J213='Historical Score'!$C$9,1,0),0)</f>
        <v/>
      </c>
      <c r="AV213">
        <f>AR213*AS213*AQ213</f>
        <v/>
      </c>
      <c r="AW213">
        <f>AR213*AT213*AQ213</f>
        <v/>
      </c>
      <c r="AX213">
        <f>AR213*AS213</f>
        <v/>
      </c>
      <c r="AY213">
        <f>AR213*AT213</f>
        <v/>
      </c>
      <c r="AZ213">
        <f>AR213*AQ213</f>
        <v/>
      </c>
      <c r="BA213">
        <f>AR213</f>
        <v/>
      </c>
      <c r="BB213">
        <f>1</f>
        <v/>
      </c>
      <c r="BC213">
        <f>IF(AV213=1,1,IF(AW213=1,2,IF(AX213=1,3,IF(AY213=1,4,IF(AZ213=1,5,IF(BA213=1,6,7))))))</f>
        <v/>
      </c>
      <c r="BD213">
        <f>IF(AD213=1,CHOOSE('Historical Score'!$C$29,AV213,AW213,AX213,AY213,AZ213,BA213,BB213),0)</f>
        <v/>
      </c>
      <c r="BE213">
        <f>IF(BD213=1,COUNTIF($BD$2:BD213,1),"")</f>
        <v/>
      </c>
    </row>
    <row r="214">
      <c r="A214" t="inlineStr">
        <is>
          <t>5674164667</t>
        </is>
      </c>
      <c r="B214" t="inlineStr">
        <is>
          <t>Haus of Athletes</t>
        </is>
      </c>
      <c r="C214" t="inlineStr">
        <is>
          <t>Hybrid Athlete llc</t>
        </is>
      </c>
      <c r="D214" t="inlineStr">
        <is>
          <t>Legal</t>
        </is>
      </c>
      <c r="E214" s="297" t="n">
        <v>45891</v>
      </c>
      <c r="F214" s="297" t="n">
        <v>46142</v>
      </c>
      <c r="G214" t="n">
        <v>2</v>
      </c>
      <c r="H214" t="inlineStr">
        <is>
          <t>7991</t>
        </is>
      </c>
      <c r="I214" t="inlineStr">
        <is>
          <t>79</t>
        </is>
      </c>
      <c r="J214" t="inlineStr">
        <is>
          <t>MA</t>
        </is>
      </c>
      <c r="K214" t="inlineStr">
        <is>
          <t>Fundwell</t>
        </is>
      </c>
      <c r="L214" t="inlineStr">
        <is>
          <t>New Deal</t>
        </is>
      </c>
      <c r="M214" s="298" t="n">
        <v>1.42</v>
      </c>
      <c r="N214" s="299" t="n">
        <v>26500</v>
      </c>
      <c r="O214" s="299" t="n">
        <v>3710</v>
      </c>
      <c r="P214" s="299" t="n">
        <v>37630</v>
      </c>
      <c r="Q214" s="299" t="n">
        <v>33332.19</v>
      </c>
      <c r="R214" s="299" t="n">
        <v>4297.81</v>
      </c>
      <c r="S214" s="300" t="n">
        <v>0.885787669412703</v>
      </c>
      <c r="T214" t="n">
        <v>28</v>
      </c>
      <c r="U214" t="n">
        <v>8</v>
      </c>
      <c r="V214" t="n">
        <v>165974.37</v>
      </c>
      <c r="W214" s="300" t="n">
        <v>0.0324</v>
      </c>
      <c r="X214" s="297" t="n">
        <v>44348</v>
      </c>
      <c r="Y214">
        <f>IF(I214="","No SIC",IFERROR(VLOOKUP(I214,Ref!$A$2:$B$65,2,FALSE),"Unclassified"))</f>
        <v/>
      </c>
      <c r="Z214">
        <f>IF(T214="","",IF(T214&lt;12,"Daily","Weekly"))</f>
        <v/>
      </c>
      <c r="AA214">
        <f>IF(T214="",0,IF(T214&lt;12,T214*Controls!$B$29,T214*5))</f>
        <v/>
      </c>
      <c r="AB214">
        <f>IF(E214="",0,NETWORKDAYS(E214,Controls!$B$36,Ref!$K$2:$K$42))</f>
        <v/>
      </c>
      <c r="AC214">
        <f>IF(AND(AA214&gt;0,AB214&gt;=Controls!$B$39*AA214),1,0)</f>
        <v/>
      </c>
      <c r="AD214">
        <f>IF(AND(E214&lt;&gt;"",E214&gt;=Controls!$B$37,E214&lt;=Controls!$B$38),1,0)</f>
        <v/>
      </c>
      <c r="AE214">
        <f>IF(IFERROR(VLOOKUP(D214,Controls!$A$64:$E$74,2,FALSE),"No")="Yes",1,0)</f>
        <v/>
      </c>
      <c r="AF214">
        <f>IF(IFERROR(VLOOKUP(D214,Controls!$A$64:$E$74,3,FALSE),"No")="Yes",1,0)</f>
        <v/>
      </c>
      <c r="AG214">
        <f>IF(IFERROR(VLOOKUP(D214,Controls!$A$64:$E$74,4,FALSE),"No")="Yes",1,0)</f>
        <v/>
      </c>
      <c r="AH214">
        <f>IF(IFERROR(VLOOKUP(D214,Controls!$A$64:$E$74,5,FALSE),"No")="Yes",1,0)</f>
        <v/>
      </c>
      <c r="AI214">
        <f>IF(ISNUMBER(MATCH(D214,Controls!$A$64:$A$74,0)),1,0)</f>
        <v/>
      </c>
      <c r="AJ214">
        <f>Q214-N214</f>
        <v/>
      </c>
      <c r="AK214">
        <f>IF(AE214=1,MAX(0,N214-Q214),0)</f>
        <v/>
      </c>
      <c r="AL214">
        <f>IF(OR(V214="",V214=0),0,N214/V214)</f>
        <v/>
      </c>
      <c r="AM214">
        <f>IF(OR(V214="",V214=0),0,1)</f>
        <v/>
      </c>
      <c r="AN214">
        <f>IF(OR(E214="",F214=""),0,NETWORKDAYS(E214,F214,Ref!$K$2:$K$42))</f>
        <v/>
      </c>
      <c r="AO214">
        <f>IF(L214="Renewal",1,0)</f>
        <v/>
      </c>
      <c r="AP214">
        <f>AC214*AD214</f>
        <v/>
      </c>
      <c r="AQ214">
        <f>IF(AND(G214&lt;&gt;"",'Historical Score'!$C$6&lt;&gt;""),IF(G214='Historical Score'!$C$6,1,0),0)</f>
        <v/>
      </c>
      <c r="AR214">
        <f>IF(AND(L214&lt;&gt;"",'Historical Score'!$C$5&lt;&gt;""),IF(L214='Historical Score'!$C$5,1,0),0)</f>
        <v/>
      </c>
      <c r="AS214">
        <f>IF(AND(Y214&lt;&gt;"",'Historical Score'!$C$7&lt;&gt;""),IF(Y214='Historical Score'!$C$7,1,0),0)</f>
        <v/>
      </c>
      <c r="AT214">
        <f>IF(AND(K214&lt;&gt;"",'Historical Score'!$C$8&lt;&gt;""),IF(K214='Historical Score'!$C$8,1,0),0)</f>
        <v/>
      </c>
      <c r="AU214">
        <f>IF(AND(J214&lt;&gt;"",'Historical Score'!$C$9&lt;&gt;""),IF(J214='Historical Score'!$C$9,1,0),0)</f>
        <v/>
      </c>
      <c r="AV214">
        <f>AR214*AS214*AQ214</f>
        <v/>
      </c>
      <c r="AW214">
        <f>AR214*AT214*AQ214</f>
        <v/>
      </c>
      <c r="AX214">
        <f>AR214*AS214</f>
        <v/>
      </c>
      <c r="AY214">
        <f>AR214*AT214</f>
        <v/>
      </c>
      <c r="AZ214">
        <f>AR214*AQ214</f>
        <v/>
      </c>
      <c r="BA214">
        <f>AR214</f>
        <v/>
      </c>
      <c r="BB214">
        <f>1</f>
        <v/>
      </c>
      <c r="BC214">
        <f>IF(AV214=1,1,IF(AW214=1,2,IF(AX214=1,3,IF(AY214=1,4,IF(AZ214=1,5,IF(BA214=1,6,7))))))</f>
        <v/>
      </c>
      <c r="BD214">
        <f>IF(AD214=1,CHOOSE('Historical Score'!$C$29,AV214,AW214,AX214,AY214,AZ214,BA214,BB214),0)</f>
        <v/>
      </c>
      <c r="BE214">
        <f>IF(BD214=1,COUNTIF($BD$2:BD214,1),"")</f>
        <v/>
      </c>
    </row>
    <row r="215">
      <c r="A215" t="inlineStr">
        <is>
          <t>5674164698</t>
        </is>
      </c>
      <c r="B215" t="inlineStr">
        <is>
          <t>S&amp;E ENTERPRISE LLC</t>
        </is>
      </c>
      <c r="C215" t="inlineStr">
        <is>
          <t>S&amp;E ENTERPRISE LLC</t>
        </is>
      </c>
      <c r="D215" t="inlineStr">
        <is>
          <t>Legal</t>
        </is>
      </c>
      <c r="E215" s="297" t="n">
        <v>45894</v>
      </c>
      <c r="F215" s="297" t="n">
        <v>45917</v>
      </c>
      <c r="G215" t="n">
        <v>2</v>
      </c>
      <c r="H215" t="inlineStr">
        <is>
          <t>1521</t>
        </is>
      </c>
      <c r="I215" t="inlineStr">
        <is>
          <t>15</t>
        </is>
      </c>
      <c r="J215" t="inlineStr">
        <is>
          <t>RI</t>
        </is>
      </c>
      <c r="K215" t="inlineStr">
        <is>
          <t>Triumph Cap Fund</t>
        </is>
      </c>
      <c r="L215" t="inlineStr">
        <is>
          <t>Renewal</t>
        </is>
      </c>
      <c r="M215" s="298" t="n">
        <v>1.49</v>
      </c>
      <c r="N215" s="299" t="n">
        <v>32000</v>
      </c>
      <c r="O215" s="299" t="n">
        <v>4480</v>
      </c>
      <c r="P215" s="299" t="n">
        <v>47680</v>
      </c>
      <c r="Q215" s="299" t="n">
        <v>4628.39</v>
      </c>
      <c r="R215" s="299" t="n">
        <v>43051.61</v>
      </c>
      <c r="S215" s="300" t="n">
        <v>0.0970719379194631</v>
      </c>
      <c r="T215" t="n">
        <v>3.607</v>
      </c>
      <c r="U215" t="n">
        <v>5</v>
      </c>
      <c r="V215" t="n">
        <v>35079.82</v>
      </c>
      <c r="W215" s="300" t="n">
        <v>0.2595</v>
      </c>
      <c r="X215" s="297" t="n">
        <v>45005</v>
      </c>
      <c r="Y215">
        <f>IF(I215="","No SIC",IFERROR(VLOOKUP(I215,Ref!$A$2:$B$65,2,FALSE),"Unclassified"))</f>
        <v/>
      </c>
      <c r="Z215">
        <f>IF(T215="","",IF(T215&lt;12,"Daily","Weekly"))</f>
        <v/>
      </c>
      <c r="AA215">
        <f>IF(T215="",0,IF(T215&lt;12,T215*Controls!$B$29,T215*5))</f>
        <v/>
      </c>
      <c r="AB215">
        <f>IF(E215="",0,NETWORKDAYS(E215,Controls!$B$36,Ref!$K$2:$K$42))</f>
        <v/>
      </c>
      <c r="AC215">
        <f>IF(AND(AA215&gt;0,AB215&gt;=Controls!$B$39*AA215),1,0)</f>
        <v/>
      </c>
      <c r="AD215">
        <f>IF(AND(E215&lt;&gt;"",E215&gt;=Controls!$B$37,E215&lt;=Controls!$B$38),1,0)</f>
        <v/>
      </c>
      <c r="AE215">
        <f>IF(IFERROR(VLOOKUP(D215,Controls!$A$64:$E$74,2,FALSE),"No")="Yes",1,0)</f>
        <v/>
      </c>
      <c r="AF215">
        <f>IF(IFERROR(VLOOKUP(D215,Controls!$A$64:$E$74,3,FALSE),"No")="Yes",1,0)</f>
        <v/>
      </c>
      <c r="AG215">
        <f>IF(IFERROR(VLOOKUP(D215,Controls!$A$64:$E$74,4,FALSE),"No")="Yes",1,0)</f>
        <v/>
      </c>
      <c r="AH215">
        <f>IF(IFERROR(VLOOKUP(D215,Controls!$A$64:$E$74,5,FALSE),"No")="Yes",1,0)</f>
        <v/>
      </c>
      <c r="AI215">
        <f>IF(ISNUMBER(MATCH(D215,Controls!$A$64:$A$74,0)),1,0)</f>
        <v/>
      </c>
      <c r="AJ215">
        <f>Q215-N215</f>
        <v/>
      </c>
      <c r="AK215">
        <f>IF(AE215=1,MAX(0,N215-Q215),0)</f>
        <v/>
      </c>
      <c r="AL215">
        <f>IF(OR(V215="",V215=0),0,N215/V215)</f>
        <v/>
      </c>
      <c r="AM215">
        <f>IF(OR(V215="",V215=0),0,1)</f>
        <v/>
      </c>
      <c r="AN215">
        <f>IF(OR(E215="",F215=""),0,NETWORKDAYS(E215,F215,Ref!$K$2:$K$42))</f>
        <v/>
      </c>
      <c r="AO215">
        <f>IF(L215="Renewal",1,0)</f>
        <v/>
      </c>
      <c r="AP215">
        <f>AC215*AD215</f>
        <v/>
      </c>
      <c r="AQ215">
        <f>IF(AND(G215&lt;&gt;"",'Historical Score'!$C$6&lt;&gt;""),IF(G215='Historical Score'!$C$6,1,0),0)</f>
        <v/>
      </c>
      <c r="AR215">
        <f>IF(AND(L215&lt;&gt;"",'Historical Score'!$C$5&lt;&gt;""),IF(L215='Historical Score'!$C$5,1,0),0)</f>
        <v/>
      </c>
      <c r="AS215">
        <f>IF(AND(Y215&lt;&gt;"",'Historical Score'!$C$7&lt;&gt;""),IF(Y215='Historical Score'!$C$7,1,0),0)</f>
        <v/>
      </c>
      <c r="AT215">
        <f>IF(AND(K215&lt;&gt;"",'Historical Score'!$C$8&lt;&gt;""),IF(K215='Historical Score'!$C$8,1,0),0)</f>
        <v/>
      </c>
      <c r="AU215">
        <f>IF(AND(J215&lt;&gt;"",'Historical Score'!$C$9&lt;&gt;""),IF(J215='Historical Score'!$C$9,1,0),0)</f>
        <v/>
      </c>
      <c r="AV215">
        <f>AR215*AS215*AQ215</f>
        <v/>
      </c>
      <c r="AW215">
        <f>AR215*AT215*AQ215</f>
        <v/>
      </c>
      <c r="AX215">
        <f>AR215*AS215</f>
        <v/>
      </c>
      <c r="AY215">
        <f>AR215*AT215</f>
        <v/>
      </c>
      <c r="AZ215">
        <f>AR215*AQ215</f>
        <v/>
      </c>
      <c r="BA215">
        <f>AR215</f>
        <v/>
      </c>
      <c r="BB215">
        <f>1</f>
        <v/>
      </c>
      <c r="BC215">
        <f>IF(AV215=1,1,IF(AW215=1,2,IF(AX215=1,3,IF(AY215=1,4,IF(AZ215=1,5,IF(BA215=1,6,7))))))</f>
        <v/>
      </c>
      <c r="BD215">
        <f>IF(AD215=1,CHOOSE('Historical Score'!$C$29,AV215,AW215,AX215,AY215,AZ215,BA215,BB215),0)</f>
        <v/>
      </c>
      <c r="BE215">
        <f>IF(BD215=1,COUNTIF($BD$2:BD215,1),"")</f>
        <v/>
      </c>
    </row>
    <row r="216">
      <c r="A216" t="inlineStr">
        <is>
          <t>5674164716</t>
        </is>
      </c>
      <c r="B216" t="inlineStr">
        <is>
          <t>JIU HONG CANYIN YULE, INC</t>
        </is>
      </c>
      <c r="C216" t="inlineStr">
        <is>
          <t>JIU HONG CANYIN YULE, INC</t>
        </is>
      </c>
      <c r="D216" t="inlineStr">
        <is>
          <t>Closed</t>
        </is>
      </c>
      <c r="E216" s="297" t="n">
        <v>45894</v>
      </c>
      <c r="F216" s="297" t="n">
        <v>45981</v>
      </c>
      <c r="G216" t="n">
        <v>7</v>
      </c>
      <c r="H216" t="inlineStr">
        <is>
          <t>5812</t>
        </is>
      </c>
      <c r="I216" t="inlineStr">
        <is>
          <t>58</t>
        </is>
      </c>
      <c r="J216" t="inlineStr">
        <is>
          <t>CO</t>
        </is>
      </c>
      <c r="K216" t="inlineStr">
        <is>
          <t>United Secured Capital 8</t>
        </is>
      </c>
      <c r="L216" t="inlineStr">
        <is>
          <t>New Deal</t>
        </is>
      </c>
      <c r="M216" s="298" t="n">
        <v>1.49</v>
      </c>
      <c r="N216" s="299" t="n">
        <v>12500</v>
      </c>
      <c r="O216" s="299" t="n">
        <v>1750</v>
      </c>
      <c r="P216" s="299" t="n">
        <v>18625</v>
      </c>
      <c r="Q216" s="299" t="n">
        <v>18625</v>
      </c>
      <c r="R216" s="299" t="n">
        <v>0</v>
      </c>
      <c r="S216" s="300" t="n">
        <v>1</v>
      </c>
      <c r="T216" t="n">
        <v>3.279</v>
      </c>
      <c r="U216" t="n">
        <v>0</v>
      </c>
      <c r="V216" t="n">
        <v>42013.9</v>
      </c>
      <c r="W216" s="300" t="n">
        <v>0.0931</v>
      </c>
      <c r="X216" s="297" t="n"/>
      <c r="Y216">
        <f>IF(I216="","No SIC",IFERROR(VLOOKUP(I216,Ref!$A$2:$B$65,2,FALSE),"Unclassified"))</f>
        <v/>
      </c>
      <c r="Z216">
        <f>IF(T216="","",IF(T216&lt;12,"Daily","Weekly"))</f>
        <v/>
      </c>
      <c r="AA216">
        <f>IF(T216="",0,IF(T216&lt;12,T216*Controls!$B$29,T216*5))</f>
        <v/>
      </c>
      <c r="AB216">
        <f>IF(E216="",0,NETWORKDAYS(E216,Controls!$B$36,Ref!$K$2:$K$42))</f>
        <v/>
      </c>
      <c r="AC216">
        <f>IF(AND(AA216&gt;0,AB216&gt;=Controls!$B$39*AA216),1,0)</f>
        <v/>
      </c>
      <c r="AD216">
        <f>IF(AND(E216&lt;&gt;"",E216&gt;=Controls!$B$37,E216&lt;=Controls!$B$38),1,0)</f>
        <v/>
      </c>
      <c r="AE216">
        <f>IF(IFERROR(VLOOKUP(D216,Controls!$A$64:$E$74,2,FALSE),"No")="Yes",1,0)</f>
        <v/>
      </c>
      <c r="AF216">
        <f>IF(IFERROR(VLOOKUP(D216,Controls!$A$64:$E$74,3,FALSE),"No")="Yes",1,0)</f>
        <v/>
      </c>
      <c r="AG216">
        <f>IF(IFERROR(VLOOKUP(D216,Controls!$A$64:$E$74,4,FALSE),"No")="Yes",1,0)</f>
        <v/>
      </c>
      <c r="AH216">
        <f>IF(IFERROR(VLOOKUP(D216,Controls!$A$64:$E$74,5,FALSE),"No")="Yes",1,0)</f>
        <v/>
      </c>
      <c r="AI216">
        <f>IF(ISNUMBER(MATCH(D216,Controls!$A$64:$A$74,0)),1,0)</f>
        <v/>
      </c>
      <c r="AJ216">
        <f>Q216-N216</f>
        <v/>
      </c>
      <c r="AK216">
        <f>IF(AE216=1,MAX(0,N216-Q216),0)</f>
        <v/>
      </c>
      <c r="AL216">
        <f>IF(OR(V216="",V216=0),0,N216/V216)</f>
        <v/>
      </c>
      <c r="AM216">
        <f>IF(OR(V216="",V216=0),0,1)</f>
        <v/>
      </c>
      <c r="AN216">
        <f>IF(OR(E216="",F216=""),0,NETWORKDAYS(E216,F216,Ref!$K$2:$K$42))</f>
        <v/>
      </c>
      <c r="AO216">
        <f>IF(L216="Renewal",1,0)</f>
        <v/>
      </c>
      <c r="AP216">
        <f>AC216*AD216</f>
        <v/>
      </c>
      <c r="AQ216">
        <f>IF(AND(G216&lt;&gt;"",'Historical Score'!$C$6&lt;&gt;""),IF(G216='Historical Score'!$C$6,1,0),0)</f>
        <v/>
      </c>
      <c r="AR216">
        <f>IF(AND(L216&lt;&gt;"",'Historical Score'!$C$5&lt;&gt;""),IF(L216='Historical Score'!$C$5,1,0),0)</f>
        <v/>
      </c>
      <c r="AS216">
        <f>IF(AND(Y216&lt;&gt;"",'Historical Score'!$C$7&lt;&gt;""),IF(Y216='Historical Score'!$C$7,1,0),0)</f>
        <v/>
      </c>
      <c r="AT216">
        <f>IF(AND(K216&lt;&gt;"",'Historical Score'!$C$8&lt;&gt;""),IF(K216='Historical Score'!$C$8,1,0),0)</f>
        <v/>
      </c>
      <c r="AU216">
        <f>IF(AND(J216&lt;&gt;"",'Historical Score'!$C$9&lt;&gt;""),IF(J216='Historical Score'!$C$9,1,0),0)</f>
        <v/>
      </c>
      <c r="AV216">
        <f>AR216*AS216*AQ216</f>
        <v/>
      </c>
      <c r="AW216">
        <f>AR216*AT216*AQ216</f>
        <v/>
      </c>
      <c r="AX216">
        <f>AR216*AS216</f>
        <v/>
      </c>
      <c r="AY216">
        <f>AR216*AT216</f>
        <v/>
      </c>
      <c r="AZ216">
        <f>AR216*AQ216</f>
        <v/>
      </c>
      <c r="BA216">
        <f>AR216</f>
        <v/>
      </c>
      <c r="BB216">
        <f>1</f>
        <v/>
      </c>
      <c r="BC216">
        <f>IF(AV216=1,1,IF(AW216=1,2,IF(AX216=1,3,IF(AY216=1,4,IF(AZ216=1,5,IF(BA216=1,6,7))))))</f>
        <v/>
      </c>
      <c r="BD216">
        <f>IF(AD216=1,CHOOSE('Historical Score'!$C$29,AV216,AW216,AX216,AY216,AZ216,BA216,BB216),0)</f>
        <v/>
      </c>
      <c r="BE216">
        <f>IF(BD216=1,COUNTIF($BD$2:BD216,1),"")</f>
        <v/>
      </c>
    </row>
    <row r="217">
      <c r="A217" t="inlineStr">
        <is>
          <t>5674164806</t>
        </is>
      </c>
      <c r="B217" t="inlineStr">
        <is>
          <t>Phiri Property Management LLC</t>
        </is>
      </c>
      <c r="C217" t="inlineStr">
        <is>
          <t>Phiri Property Management LLC</t>
        </is>
      </c>
      <c r="D217" t="inlineStr">
        <is>
          <t>Closed</t>
        </is>
      </c>
      <c r="E217" s="297" t="n">
        <v>45895</v>
      </c>
      <c r="F217" s="297" t="n">
        <v>46009</v>
      </c>
      <c r="G217" t="n">
        <v>4</v>
      </c>
      <c r="H217" t="inlineStr">
        <is>
          <t>1521</t>
        </is>
      </c>
      <c r="I217" t="inlineStr">
        <is>
          <t>15</t>
        </is>
      </c>
      <c r="J217" t="inlineStr">
        <is>
          <t>IL</t>
        </is>
      </c>
      <c r="K217" t="inlineStr">
        <is>
          <t>cavala funding</t>
        </is>
      </c>
      <c r="L217" t="inlineStr">
        <is>
          <t>New Deal</t>
        </is>
      </c>
      <c r="M217" s="298" t="n">
        <v>1.35</v>
      </c>
      <c r="N217" s="299" t="n">
        <v>10000</v>
      </c>
      <c r="O217" s="299" t="n">
        <v>700</v>
      </c>
      <c r="P217" s="299" t="n">
        <v>13500</v>
      </c>
      <c r="Q217" s="299" t="n">
        <v>13500</v>
      </c>
      <c r="R217" s="299" t="n">
        <v>0</v>
      </c>
      <c r="S217" s="300" t="n">
        <v>1</v>
      </c>
      <c r="T217" t="n">
        <v>15</v>
      </c>
      <c r="U217" t="n">
        <v>0</v>
      </c>
      <c r="V217" t="n">
        <v>31931.67</v>
      </c>
      <c r="W217" s="300" t="n">
        <v>0.1127</v>
      </c>
      <c r="X217" s="297" t="n">
        <v>42557</v>
      </c>
      <c r="Y217">
        <f>IF(I217="","No SIC",IFERROR(VLOOKUP(I217,Ref!$A$2:$B$65,2,FALSE),"Unclassified"))</f>
        <v/>
      </c>
      <c r="Z217">
        <f>IF(T217="","",IF(T217&lt;12,"Daily","Weekly"))</f>
        <v/>
      </c>
      <c r="AA217">
        <f>IF(T217="",0,IF(T217&lt;12,T217*Controls!$B$29,T217*5))</f>
        <v/>
      </c>
      <c r="AB217">
        <f>IF(E217="",0,NETWORKDAYS(E217,Controls!$B$36,Ref!$K$2:$K$42))</f>
        <v/>
      </c>
      <c r="AC217">
        <f>IF(AND(AA217&gt;0,AB217&gt;=Controls!$B$39*AA217),1,0)</f>
        <v/>
      </c>
      <c r="AD217">
        <f>IF(AND(E217&lt;&gt;"",E217&gt;=Controls!$B$37,E217&lt;=Controls!$B$38),1,0)</f>
        <v/>
      </c>
      <c r="AE217">
        <f>IF(IFERROR(VLOOKUP(D217,Controls!$A$64:$E$74,2,FALSE),"No")="Yes",1,0)</f>
        <v/>
      </c>
      <c r="AF217">
        <f>IF(IFERROR(VLOOKUP(D217,Controls!$A$64:$E$74,3,FALSE),"No")="Yes",1,0)</f>
        <v/>
      </c>
      <c r="AG217">
        <f>IF(IFERROR(VLOOKUP(D217,Controls!$A$64:$E$74,4,FALSE),"No")="Yes",1,0)</f>
        <v/>
      </c>
      <c r="AH217">
        <f>IF(IFERROR(VLOOKUP(D217,Controls!$A$64:$E$74,5,FALSE),"No")="Yes",1,0)</f>
        <v/>
      </c>
      <c r="AI217">
        <f>IF(ISNUMBER(MATCH(D217,Controls!$A$64:$A$74,0)),1,0)</f>
        <v/>
      </c>
      <c r="AJ217">
        <f>Q217-N217</f>
        <v/>
      </c>
      <c r="AK217">
        <f>IF(AE217=1,MAX(0,N217-Q217),0)</f>
        <v/>
      </c>
      <c r="AL217">
        <f>IF(OR(V217="",V217=0),0,N217/V217)</f>
        <v/>
      </c>
      <c r="AM217">
        <f>IF(OR(V217="",V217=0),0,1)</f>
        <v/>
      </c>
      <c r="AN217">
        <f>IF(OR(E217="",F217=""),0,NETWORKDAYS(E217,F217,Ref!$K$2:$K$42))</f>
        <v/>
      </c>
      <c r="AO217">
        <f>IF(L217="Renewal",1,0)</f>
        <v/>
      </c>
      <c r="AP217">
        <f>AC217*AD217</f>
        <v/>
      </c>
      <c r="AQ217">
        <f>IF(AND(G217&lt;&gt;"",'Historical Score'!$C$6&lt;&gt;""),IF(G217='Historical Score'!$C$6,1,0),0)</f>
        <v/>
      </c>
      <c r="AR217">
        <f>IF(AND(L217&lt;&gt;"",'Historical Score'!$C$5&lt;&gt;""),IF(L217='Historical Score'!$C$5,1,0),0)</f>
        <v/>
      </c>
      <c r="AS217">
        <f>IF(AND(Y217&lt;&gt;"",'Historical Score'!$C$7&lt;&gt;""),IF(Y217='Historical Score'!$C$7,1,0),0)</f>
        <v/>
      </c>
      <c r="AT217">
        <f>IF(AND(K217&lt;&gt;"",'Historical Score'!$C$8&lt;&gt;""),IF(K217='Historical Score'!$C$8,1,0),0)</f>
        <v/>
      </c>
      <c r="AU217">
        <f>IF(AND(J217&lt;&gt;"",'Historical Score'!$C$9&lt;&gt;""),IF(J217='Historical Score'!$C$9,1,0),0)</f>
        <v/>
      </c>
      <c r="AV217">
        <f>AR217*AS217*AQ217</f>
        <v/>
      </c>
      <c r="AW217">
        <f>AR217*AT217*AQ217</f>
        <v/>
      </c>
      <c r="AX217">
        <f>AR217*AS217</f>
        <v/>
      </c>
      <c r="AY217">
        <f>AR217*AT217</f>
        <v/>
      </c>
      <c r="AZ217">
        <f>AR217*AQ217</f>
        <v/>
      </c>
      <c r="BA217">
        <f>AR217</f>
        <v/>
      </c>
      <c r="BB217">
        <f>1</f>
        <v/>
      </c>
      <c r="BC217">
        <f>IF(AV217=1,1,IF(AW217=1,2,IF(AX217=1,3,IF(AY217=1,4,IF(AZ217=1,5,IF(BA217=1,6,7))))))</f>
        <v/>
      </c>
      <c r="BD217">
        <f>IF(AD217=1,CHOOSE('Historical Score'!$C$29,AV217,AW217,AX217,AY217,AZ217,BA217,BB217),0)</f>
        <v/>
      </c>
      <c r="BE217">
        <f>IF(BD217=1,COUNTIF($BD$2:BD217,1),"")</f>
        <v/>
      </c>
    </row>
    <row r="218">
      <c r="A218" t="inlineStr">
        <is>
          <t>5674164817</t>
        </is>
      </c>
      <c r="B218" t="inlineStr">
        <is>
          <t>JAMES CORVIN</t>
        </is>
      </c>
      <c r="C218" t="inlineStr">
        <is>
          <t>James Corvin Inc</t>
        </is>
      </c>
      <c r="D218" t="inlineStr">
        <is>
          <t>Legal</t>
        </is>
      </c>
      <c r="E218" s="297" t="n">
        <v>45895</v>
      </c>
      <c r="F218" s="297" t="n">
        <v>45950</v>
      </c>
      <c r="G218" t="n">
        <v>2</v>
      </c>
      <c r="H218" t="inlineStr">
        <is>
          <t>1521</t>
        </is>
      </c>
      <c r="I218" t="inlineStr">
        <is>
          <t>15</t>
        </is>
      </c>
      <c r="J218" t="inlineStr">
        <is>
          <t>VA</t>
        </is>
      </c>
      <c r="K218" t="inlineStr">
        <is>
          <t>PMF</t>
        </is>
      </c>
      <c r="L218" t="inlineStr">
        <is>
          <t>New Deal</t>
        </is>
      </c>
      <c r="M218" s="298" t="n">
        <v>1.49</v>
      </c>
      <c r="N218" s="299" t="n">
        <v>75000</v>
      </c>
      <c r="O218" s="299" t="n">
        <v>10500</v>
      </c>
      <c r="P218" s="299" t="n">
        <v>111750</v>
      </c>
      <c r="Q218" s="299" t="n">
        <v>27953.45</v>
      </c>
      <c r="R218" s="299" t="n">
        <v>83796.55</v>
      </c>
      <c r="S218" s="300" t="n">
        <v>0.250142729306488</v>
      </c>
      <c r="T218" t="n">
        <v>28</v>
      </c>
      <c r="U218" t="n">
        <v>1</v>
      </c>
      <c r="V218" t="n">
        <v>192218.95</v>
      </c>
      <c r="W218" s="300" t="n">
        <v>0.08309999999999999</v>
      </c>
      <c r="X218" s="297" t="n">
        <v>36161</v>
      </c>
      <c r="Y218">
        <f>IF(I218="","No SIC",IFERROR(VLOOKUP(I218,Ref!$A$2:$B$65,2,FALSE),"Unclassified"))</f>
        <v/>
      </c>
      <c r="Z218">
        <f>IF(T218="","",IF(T218&lt;12,"Daily","Weekly"))</f>
        <v/>
      </c>
      <c r="AA218">
        <f>IF(T218="",0,IF(T218&lt;12,T218*Controls!$B$29,T218*5))</f>
        <v/>
      </c>
      <c r="AB218">
        <f>IF(E218="",0,NETWORKDAYS(E218,Controls!$B$36,Ref!$K$2:$K$42))</f>
        <v/>
      </c>
      <c r="AC218">
        <f>IF(AND(AA218&gt;0,AB218&gt;=Controls!$B$39*AA218),1,0)</f>
        <v/>
      </c>
      <c r="AD218">
        <f>IF(AND(E218&lt;&gt;"",E218&gt;=Controls!$B$37,E218&lt;=Controls!$B$38),1,0)</f>
        <v/>
      </c>
      <c r="AE218">
        <f>IF(IFERROR(VLOOKUP(D218,Controls!$A$64:$E$74,2,FALSE),"No")="Yes",1,0)</f>
        <v/>
      </c>
      <c r="AF218">
        <f>IF(IFERROR(VLOOKUP(D218,Controls!$A$64:$E$74,3,FALSE),"No")="Yes",1,0)</f>
        <v/>
      </c>
      <c r="AG218">
        <f>IF(IFERROR(VLOOKUP(D218,Controls!$A$64:$E$74,4,FALSE),"No")="Yes",1,0)</f>
        <v/>
      </c>
      <c r="AH218">
        <f>IF(IFERROR(VLOOKUP(D218,Controls!$A$64:$E$74,5,FALSE),"No")="Yes",1,0)</f>
        <v/>
      </c>
      <c r="AI218">
        <f>IF(ISNUMBER(MATCH(D218,Controls!$A$64:$A$74,0)),1,0)</f>
        <v/>
      </c>
      <c r="AJ218">
        <f>Q218-N218</f>
        <v/>
      </c>
      <c r="AK218">
        <f>IF(AE218=1,MAX(0,N218-Q218),0)</f>
        <v/>
      </c>
      <c r="AL218">
        <f>IF(OR(V218="",V218=0),0,N218/V218)</f>
        <v/>
      </c>
      <c r="AM218">
        <f>IF(OR(V218="",V218=0),0,1)</f>
        <v/>
      </c>
      <c r="AN218">
        <f>IF(OR(E218="",F218=""),0,NETWORKDAYS(E218,F218,Ref!$K$2:$K$42))</f>
        <v/>
      </c>
      <c r="AO218">
        <f>IF(L218="Renewal",1,0)</f>
        <v/>
      </c>
      <c r="AP218">
        <f>AC218*AD218</f>
        <v/>
      </c>
      <c r="AQ218">
        <f>IF(AND(G218&lt;&gt;"",'Historical Score'!$C$6&lt;&gt;""),IF(G218='Historical Score'!$C$6,1,0),0)</f>
        <v/>
      </c>
      <c r="AR218">
        <f>IF(AND(L218&lt;&gt;"",'Historical Score'!$C$5&lt;&gt;""),IF(L218='Historical Score'!$C$5,1,0),0)</f>
        <v/>
      </c>
      <c r="AS218">
        <f>IF(AND(Y218&lt;&gt;"",'Historical Score'!$C$7&lt;&gt;""),IF(Y218='Historical Score'!$C$7,1,0),0)</f>
        <v/>
      </c>
      <c r="AT218">
        <f>IF(AND(K218&lt;&gt;"",'Historical Score'!$C$8&lt;&gt;""),IF(K218='Historical Score'!$C$8,1,0),0)</f>
        <v/>
      </c>
      <c r="AU218">
        <f>IF(AND(J218&lt;&gt;"",'Historical Score'!$C$9&lt;&gt;""),IF(J218='Historical Score'!$C$9,1,0),0)</f>
        <v/>
      </c>
      <c r="AV218">
        <f>AR218*AS218*AQ218</f>
        <v/>
      </c>
      <c r="AW218">
        <f>AR218*AT218*AQ218</f>
        <v/>
      </c>
      <c r="AX218">
        <f>AR218*AS218</f>
        <v/>
      </c>
      <c r="AY218">
        <f>AR218*AT218</f>
        <v/>
      </c>
      <c r="AZ218">
        <f>AR218*AQ218</f>
        <v/>
      </c>
      <c r="BA218">
        <f>AR218</f>
        <v/>
      </c>
      <c r="BB218">
        <f>1</f>
        <v/>
      </c>
      <c r="BC218">
        <f>IF(AV218=1,1,IF(AW218=1,2,IF(AX218=1,3,IF(AY218=1,4,IF(AZ218=1,5,IF(BA218=1,6,7))))))</f>
        <v/>
      </c>
      <c r="BD218">
        <f>IF(AD218=1,CHOOSE('Historical Score'!$C$29,AV218,AW218,AX218,AY218,AZ218,BA218,BB218),0)</f>
        <v/>
      </c>
      <c r="BE218">
        <f>IF(BD218=1,COUNTIF($BD$2:BD218,1),"")</f>
        <v/>
      </c>
    </row>
    <row r="219">
      <c r="A219" t="inlineStr">
        <is>
          <t>5674164844</t>
        </is>
      </c>
      <c r="B219" t="inlineStr">
        <is>
          <t>Alpine Springs Water Distribution</t>
        </is>
      </c>
      <c r="C219" t="inlineStr">
        <is>
          <t>ALPINE SPRINGS WATER DISTRIBUTION LLC</t>
        </is>
      </c>
      <c r="D219" t="inlineStr">
        <is>
          <t>Open</t>
        </is>
      </c>
      <c r="E219" s="297" t="n">
        <v>45895</v>
      </c>
      <c r="F219" s="297" t="n">
        <v>46252</v>
      </c>
      <c r="G219" t="n">
        <v>3</v>
      </c>
      <c r="H219" t="inlineStr">
        <is>
          <t>4941</t>
        </is>
      </c>
      <c r="I219" t="inlineStr">
        <is>
          <t>49</t>
        </is>
      </c>
      <c r="J219" t="inlineStr">
        <is>
          <t>CA</t>
        </is>
      </c>
      <c r="K219" t="inlineStr">
        <is>
          <t>Shore Funding USA</t>
        </is>
      </c>
      <c r="L219" t="inlineStr">
        <is>
          <t>New Deal</t>
        </is>
      </c>
      <c r="M219" s="298" t="n">
        <v>1.43</v>
      </c>
      <c r="N219" s="299" t="n">
        <v>30000</v>
      </c>
      <c r="O219" s="299" t="n">
        <v>3300</v>
      </c>
      <c r="P219" s="299" t="n">
        <v>42900</v>
      </c>
      <c r="Q219" s="299" t="n">
        <v>34021.27</v>
      </c>
      <c r="R219" s="299" t="n">
        <v>8878.73</v>
      </c>
      <c r="S219" s="300" t="n">
        <v>0.793036596736597</v>
      </c>
      <c r="T219" t="n">
        <v>34</v>
      </c>
      <c r="U219" t="n">
        <v>16</v>
      </c>
      <c r="V219" t="n">
        <v>91768.06</v>
      </c>
      <c r="W219" s="300" t="n">
        <v>0.055</v>
      </c>
      <c r="X219" s="297" t="n">
        <v>43025</v>
      </c>
      <c r="Y219">
        <f>IF(I219="","No SIC",IFERROR(VLOOKUP(I219,Ref!$A$2:$B$65,2,FALSE),"Unclassified"))</f>
        <v/>
      </c>
      <c r="Z219">
        <f>IF(T219="","",IF(T219&lt;12,"Daily","Weekly"))</f>
        <v/>
      </c>
      <c r="AA219">
        <f>IF(T219="",0,IF(T219&lt;12,T219*Controls!$B$29,T219*5))</f>
        <v/>
      </c>
      <c r="AB219">
        <f>IF(E219="",0,NETWORKDAYS(E219,Controls!$B$36,Ref!$K$2:$K$42))</f>
        <v/>
      </c>
      <c r="AC219">
        <f>IF(AND(AA219&gt;0,AB219&gt;=Controls!$B$39*AA219),1,0)</f>
        <v/>
      </c>
      <c r="AD219">
        <f>IF(AND(E219&lt;&gt;"",E219&gt;=Controls!$B$37,E219&lt;=Controls!$B$38),1,0)</f>
        <v/>
      </c>
      <c r="AE219">
        <f>IF(IFERROR(VLOOKUP(D219,Controls!$A$64:$E$74,2,FALSE),"No")="Yes",1,0)</f>
        <v/>
      </c>
      <c r="AF219">
        <f>IF(IFERROR(VLOOKUP(D219,Controls!$A$64:$E$74,3,FALSE),"No")="Yes",1,0)</f>
        <v/>
      </c>
      <c r="AG219">
        <f>IF(IFERROR(VLOOKUP(D219,Controls!$A$64:$E$74,4,FALSE),"No")="Yes",1,0)</f>
        <v/>
      </c>
      <c r="AH219">
        <f>IF(IFERROR(VLOOKUP(D219,Controls!$A$64:$E$74,5,FALSE),"No")="Yes",1,0)</f>
        <v/>
      </c>
      <c r="AI219">
        <f>IF(ISNUMBER(MATCH(D219,Controls!$A$64:$A$74,0)),1,0)</f>
        <v/>
      </c>
      <c r="AJ219">
        <f>Q219-N219</f>
        <v/>
      </c>
      <c r="AK219">
        <f>IF(AE219=1,MAX(0,N219-Q219),0)</f>
        <v/>
      </c>
      <c r="AL219">
        <f>IF(OR(V219="",V219=0),0,N219/V219)</f>
        <v/>
      </c>
      <c r="AM219">
        <f>IF(OR(V219="",V219=0),0,1)</f>
        <v/>
      </c>
      <c r="AN219">
        <f>IF(OR(E219="",F219=""),0,NETWORKDAYS(E219,F219,Ref!$K$2:$K$42))</f>
        <v/>
      </c>
      <c r="AO219">
        <f>IF(L219="Renewal",1,0)</f>
        <v/>
      </c>
      <c r="AP219">
        <f>AC219*AD219</f>
        <v/>
      </c>
      <c r="AQ219">
        <f>IF(AND(G219&lt;&gt;"",'Historical Score'!$C$6&lt;&gt;""),IF(G219='Historical Score'!$C$6,1,0),0)</f>
        <v/>
      </c>
      <c r="AR219">
        <f>IF(AND(L219&lt;&gt;"",'Historical Score'!$C$5&lt;&gt;""),IF(L219='Historical Score'!$C$5,1,0),0)</f>
        <v/>
      </c>
      <c r="AS219">
        <f>IF(AND(Y219&lt;&gt;"",'Historical Score'!$C$7&lt;&gt;""),IF(Y219='Historical Score'!$C$7,1,0),0)</f>
        <v/>
      </c>
      <c r="AT219">
        <f>IF(AND(K219&lt;&gt;"",'Historical Score'!$C$8&lt;&gt;""),IF(K219='Historical Score'!$C$8,1,0),0)</f>
        <v/>
      </c>
      <c r="AU219">
        <f>IF(AND(J219&lt;&gt;"",'Historical Score'!$C$9&lt;&gt;""),IF(J219='Historical Score'!$C$9,1,0),0)</f>
        <v/>
      </c>
      <c r="AV219">
        <f>AR219*AS219*AQ219</f>
        <v/>
      </c>
      <c r="AW219">
        <f>AR219*AT219*AQ219</f>
        <v/>
      </c>
      <c r="AX219">
        <f>AR219*AS219</f>
        <v/>
      </c>
      <c r="AY219">
        <f>AR219*AT219</f>
        <v/>
      </c>
      <c r="AZ219">
        <f>AR219*AQ219</f>
        <v/>
      </c>
      <c r="BA219">
        <f>AR219</f>
        <v/>
      </c>
      <c r="BB219">
        <f>1</f>
        <v/>
      </c>
      <c r="BC219">
        <f>IF(AV219=1,1,IF(AW219=1,2,IF(AX219=1,3,IF(AY219=1,4,IF(AZ219=1,5,IF(BA219=1,6,7))))))</f>
        <v/>
      </c>
      <c r="BD219">
        <f>IF(AD219=1,CHOOSE('Historical Score'!$C$29,AV219,AW219,AX219,AY219,AZ219,BA219,BB219),0)</f>
        <v/>
      </c>
      <c r="BE219">
        <f>IF(BD219=1,COUNTIF($BD$2:BD219,1),"")</f>
        <v/>
      </c>
    </row>
    <row r="220">
      <c r="A220" t="inlineStr">
        <is>
          <t>5674164847</t>
        </is>
      </c>
      <c r="B220" t="inlineStr">
        <is>
          <t>HOLLINS &amp; ASSOCIATES</t>
        </is>
      </c>
      <c r="C220" t="inlineStr">
        <is>
          <t>HOLLINS &amp; ASSOCIATES LLC</t>
        </is>
      </c>
      <c r="D220" t="inlineStr">
        <is>
          <t>Closed</t>
        </is>
      </c>
      <c r="E220" s="297" t="n">
        <v>45895</v>
      </c>
      <c r="F220" s="297" t="n">
        <v>46070</v>
      </c>
      <c r="G220" t="n">
        <v>4</v>
      </c>
      <c r="H220" t="inlineStr">
        <is>
          <t>8721</t>
        </is>
      </c>
      <c r="I220" t="inlineStr">
        <is>
          <t>87</t>
        </is>
      </c>
      <c r="J220" t="inlineStr">
        <is>
          <t>TX</t>
        </is>
      </c>
      <c r="K220" t="inlineStr">
        <is>
          <t>Shore Funding USA</t>
        </is>
      </c>
      <c r="L220" t="inlineStr">
        <is>
          <t>New Deal</t>
        </is>
      </c>
      <c r="M220" s="298" t="n">
        <v>1.48</v>
      </c>
      <c r="N220" s="299" t="n">
        <v>16000</v>
      </c>
      <c r="O220" s="299" t="n">
        <v>2160</v>
      </c>
      <c r="P220" s="299" t="n">
        <v>23680</v>
      </c>
      <c r="Q220" s="299" t="n">
        <v>23680</v>
      </c>
      <c r="R220" s="299" t="n">
        <v>0</v>
      </c>
      <c r="S220" s="300" t="n">
        <v>1</v>
      </c>
      <c r="T220" t="n">
        <v>24</v>
      </c>
      <c r="U220" t="n">
        <v>0</v>
      </c>
      <c r="V220" t="n">
        <v>15131.52</v>
      </c>
      <c r="W220" s="300" t="n">
        <v>0.2608</v>
      </c>
      <c r="X220" s="297" t="n">
        <v>44153</v>
      </c>
      <c r="Y220">
        <f>IF(I220="","No SIC",IFERROR(VLOOKUP(I220,Ref!$A$2:$B$65,2,FALSE),"Unclassified"))</f>
        <v/>
      </c>
      <c r="Z220">
        <f>IF(T220="","",IF(T220&lt;12,"Daily","Weekly"))</f>
        <v/>
      </c>
      <c r="AA220">
        <f>IF(T220="",0,IF(T220&lt;12,T220*Controls!$B$29,T220*5))</f>
        <v/>
      </c>
      <c r="AB220">
        <f>IF(E220="",0,NETWORKDAYS(E220,Controls!$B$36,Ref!$K$2:$K$42))</f>
        <v/>
      </c>
      <c r="AC220">
        <f>IF(AND(AA220&gt;0,AB220&gt;=Controls!$B$39*AA220),1,0)</f>
        <v/>
      </c>
      <c r="AD220">
        <f>IF(AND(E220&lt;&gt;"",E220&gt;=Controls!$B$37,E220&lt;=Controls!$B$38),1,0)</f>
        <v/>
      </c>
      <c r="AE220">
        <f>IF(IFERROR(VLOOKUP(D220,Controls!$A$64:$E$74,2,FALSE),"No")="Yes",1,0)</f>
        <v/>
      </c>
      <c r="AF220">
        <f>IF(IFERROR(VLOOKUP(D220,Controls!$A$64:$E$74,3,FALSE),"No")="Yes",1,0)</f>
        <v/>
      </c>
      <c r="AG220">
        <f>IF(IFERROR(VLOOKUP(D220,Controls!$A$64:$E$74,4,FALSE),"No")="Yes",1,0)</f>
        <v/>
      </c>
      <c r="AH220">
        <f>IF(IFERROR(VLOOKUP(D220,Controls!$A$64:$E$74,5,FALSE),"No")="Yes",1,0)</f>
        <v/>
      </c>
      <c r="AI220">
        <f>IF(ISNUMBER(MATCH(D220,Controls!$A$64:$A$74,0)),1,0)</f>
        <v/>
      </c>
      <c r="AJ220">
        <f>Q220-N220</f>
        <v/>
      </c>
      <c r="AK220">
        <f>IF(AE220=1,MAX(0,N220-Q220),0)</f>
        <v/>
      </c>
      <c r="AL220">
        <f>IF(OR(V220="",V220=0),0,N220/V220)</f>
        <v/>
      </c>
      <c r="AM220">
        <f>IF(OR(V220="",V220=0),0,1)</f>
        <v/>
      </c>
      <c r="AN220">
        <f>IF(OR(E220="",F220=""),0,NETWORKDAYS(E220,F220,Ref!$K$2:$K$42))</f>
        <v/>
      </c>
      <c r="AO220">
        <f>IF(L220="Renewal",1,0)</f>
        <v/>
      </c>
      <c r="AP220">
        <f>AC220*AD220</f>
        <v/>
      </c>
      <c r="AQ220">
        <f>IF(AND(G220&lt;&gt;"",'Historical Score'!$C$6&lt;&gt;""),IF(G220='Historical Score'!$C$6,1,0),0)</f>
        <v/>
      </c>
      <c r="AR220">
        <f>IF(AND(L220&lt;&gt;"",'Historical Score'!$C$5&lt;&gt;""),IF(L220='Historical Score'!$C$5,1,0),0)</f>
        <v/>
      </c>
      <c r="AS220">
        <f>IF(AND(Y220&lt;&gt;"",'Historical Score'!$C$7&lt;&gt;""),IF(Y220='Historical Score'!$C$7,1,0),0)</f>
        <v/>
      </c>
      <c r="AT220">
        <f>IF(AND(K220&lt;&gt;"",'Historical Score'!$C$8&lt;&gt;""),IF(K220='Historical Score'!$C$8,1,0),0)</f>
        <v/>
      </c>
      <c r="AU220">
        <f>IF(AND(J220&lt;&gt;"",'Historical Score'!$C$9&lt;&gt;""),IF(J220='Historical Score'!$C$9,1,0),0)</f>
        <v/>
      </c>
      <c r="AV220">
        <f>AR220*AS220*AQ220</f>
        <v/>
      </c>
      <c r="AW220">
        <f>AR220*AT220*AQ220</f>
        <v/>
      </c>
      <c r="AX220">
        <f>AR220*AS220</f>
        <v/>
      </c>
      <c r="AY220">
        <f>AR220*AT220</f>
        <v/>
      </c>
      <c r="AZ220">
        <f>AR220*AQ220</f>
        <v/>
      </c>
      <c r="BA220">
        <f>AR220</f>
        <v/>
      </c>
      <c r="BB220">
        <f>1</f>
        <v/>
      </c>
      <c r="BC220">
        <f>IF(AV220=1,1,IF(AW220=1,2,IF(AX220=1,3,IF(AY220=1,4,IF(AZ220=1,5,IF(BA220=1,6,7))))))</f>
        <v/>
      </c>
      <c r="BD220">
        <f>IF(AD220=1,CHOOSE('Historical Score'!$C$29,AV220,AW220,AX220,AY220,AZ220,BA220,BB220),0)</f>
        <v/>
      </c>
      <c r="BE220">
        <f>IF(BD220=1,COUNTIF($BD$2:BD220,1),"")</f>
        <v/>
      </c>
    </row>
    <row r="221">
      <c r="A221" t="inlineStr">
        <is>
          <t>5674164887</t>
        </is>
      </c>
      <c r="B221" t="inlineStr">
        <is>
          <t>SOCAL MEDICAL TRANSPORTATION LLC</t>
        </is>
      </c>
      <c r="C221" t="inlineStr">
        <is>
          <t>SOCAL MEDICAL TRANSPORTATION LLC</t>
        </is>
      </c>
      <c r="D221" t="inlineStr">
        <is>
          <t>Closed</t>
        </is>
      </c>
      <c r="E221" s="297" t="n">
        <v>45896</v>
      </c>
      <c r="F221" s="297" t="n">
        <v>46029</v>
      </c>
      <c r="G221" t="n">
        <v>2</v>
      </c>
      <c r="H221" t="inlineStr">
        <is>
          <t>4119</t>
        </is>
      </c>
      <c r="I221" t="inlineStr">
        <is>
          <t>41</t>
        </is>
      </c>
      <c r="J221" t="inlineStr">
        <is>
          <t>CA</t>
        </is>
      </c>
      <c r="K221" t="inlineStr">
        <is>
          <t>The Funding Channel</t>
        </is>
      </c>
      <c r="L221" t="inlineStr">
        <is>
          <t>New Deal</t>
        </is>
      </c>
      <c r="M221" s="298" t="n">
        <v>1.45</v>
      </c>
      <c r="N221" s="299" t="n">
        <v>20000</v>
      </c>
      <c r="O221" s="299" t="n">
        <v>2400</v>
      </c>
      <c r="P221" s="299" t="n">
        <v>29000</v>
      </c>
      <c r="Q221" s="299" t="n">
        <v>29000</v>
      </c>
      <c r="R221" s="299" t="n">
        <v>0</v>
      </c>
      <c r="S221" s="300" t="n">
        <v>1</v>
      </c>
      <c r="T221" t="n">
        <v>28</v>
      </c>
      <c r="U221" t="n">
        <v>1</v>
      </c>
      <c r="V221" t="n">
        <v>108901.57</v>
      </c>
      <c r="W221" s="300" t="n">
        <v>0.038</v>
      </c>
      <c r="X221" s="297" t="n">
        <v>45497</v>
      </c>
      <c r="Y221">
        <f>IF(I221="","No SIC",IFERROR(VLOOKUP(I221,Ref!$A$2:$B$65,2,FALSE),"Unclassified"))</f>
        <v/>
      </c>
      <c r="Z221">
        <f>IF(T221="","",IF(T221&lt;12,"Daily","Weekly"))</f>
        <v/>
      </c>
      <c r="AA221">
        <f>IF(T221="",0,IF(T221&lt;12,T221*Controls!$B$29,T221*5))</f>
        <v/>
      </c>
      <c r="AB221">
        <f>IF(E221="",0,NETWORKDAYS(E221,Controls!$B$36,Ref!$K$2:$K$42))</f>
        <v/>
      </c>
      <c r="AC221">
        <f>IF(AND(AA221&gt;0,AB221&gt;=Controls!$B$39*AA221),1,0)</f>
        <v/>
      </c>
      <c r="AD221">
        <f>IF(AND(E221&lt;&gt;"",E221&gt;=Controls!$B$37,E221&lt;=Controls!$B$38),1,0)</f>
        <v/>
      </c>
      <c r="AE221">
        <f>IF(IFERROR(VLOOKUP(D221,Controls!$A$64:$E$74,2,FALSE),"No")="Yes",1,0)</f>
        <v/>
      </c>
      <c r="AF221">
        <f>IF(IFERROR(VLOOKUP(D221,Controls!$A$64:$E$74,3,FALSE),"No")="Yes",1,0)</f>
        <v/>
      </c>
      <c r="AG221">
        <f>IF(IFERROR(VLOOKUP(D221,Controls!$A$64:$E$74,4,FALSE),"No")="Yes",1,0)</f>
        <v/>
      </c>
      <c r="AH221">
        <f>IF(IFERROR(VLOOKUP(D221,Controls!$A$64:$E$74,5,FALSE),"No")="Yes",1,0)</f>
        <v/>
      </c>
      <c r="AI221">
        <f>IF(ISNUMBER(MATCH(D221,Controls!$A$64:$A$74,0)),1,0)</f>
        <v/>
      </c>
      <c r="AJ221">
        <f>Q221-N221</f>
        <v/>
      </c>
      <c r="AK221">
        <f>IF(AE221=1,MAX(0,N221-Q221),0)</f>
        <v/>
      </c>
      <c r="AL221">
        <f>IF(OR(V221="",V221=0),0,N221/V221)</f>
        <v/>
      </c>
      <c r="AM221">
        <f>IF(OR(V221="",V221=0),0,1)</f>
        <v/>
      </c>
      <c r="AN221">
        <f>IF(OR(E221="",F221=""),0,NETWORKDAYS(E221,F221,Ref!$K$2:$K$42))</f>
        <v/>
      </c>
      <c r="AO221">
        <f>IF(L221="Renewal",1,0)</f>
        <v/>
      </c>
      <c r="AP221">
        <f>AC221*AD221</f>
        <v/>
      </c>
      <c r="AQ221">
        <f>IF(AND(G221&lt;&gt;"",'Historical Score'!$C$6&lt;&gt;""),IF(G221='Historical Score'!$C$6,1,0),0)</f>
        <v/>
      </c>
      <c r="AR221">
        <f>IF(AND(L221&lt;&gt;"",'Historical Score'!$C$5&lt;&gt;""),IF(L221='Historical Score'!$C$5,1,0),0)</f>
        <v/>
      </c>
      <c r="AS221">
        <f>IF(AND(Y221&lt;&gt;"",'Historical Score'!$C$7&lt;&gt;""),IF(Y221='Historical Score'!$C$7,1,0),0)</f>
        <v/>
      </c>
      <c r="AT221">
        <f>IF(AND(K221&lt;&gt;"",'Historical Score'!$C$8&lt;&gt;""),IF(K221='Historical Score'!$C$8,1,0),0)</f>
        <v/>
      </c>
      <c r="AU221">
        <f>IF(AND(J221&lt;&gt;"",'Historical Score'!$C$9&lt;&gt;""),IF(J221='Historical Score'!$C$9,1,0),0)</f>
        <v/>
      </c>
      <c r="AV221">
        <f>AR221*AS221*AQ221</f>
        <v/>
      </c>
      <c r="AW221">
        <f>AR221*AT221*AQ221</f>
        <v/>
      </c>
      <c r="AX221">
        <f>AR221*AS221</f>
        <v/>
      </c>
      <c r="AY221">
        <f>AR221*AT221</f>
        <v/>
      </c>
      <c r="AZ221">
        <f>AR221*AQ221</f>
        <v/>
      </c>
      <c r="BA221">
        <f>AR221</f>
        <v/>
      </c>
      <c r="BB221">
        <f>1</f>
        <v/>
      </c>
      <c r="BC221">
        <f>IF(AV221=1,1,IF(AW221=1,2,IF(AX221=1,3,IF(AY221=1,4,IF(AZ221=1,5,IF(BA221=1,6,7))))))</f>
        <v/>
      </c>
      <c r="BD221">
        <f>IF(AD221=1,CHOOSE('Historical Score'!$C$29,AV221,AW221,AX221,AY221,AZ221,BA221,BB221),0)</f>
        <v/>
      </c>
      <c r="BE221">
        <f>IF(BD221=1,COUNTIF($BD$2:BD221,1),"")</f>
        <v/>
      </c>
    </row>
    <row r="222">
      <c r="A222" t="inlineStr">
        <is>
          <t>5674164922</t>
        </is>
      </c>
      <c r="B222" t="inlineStr">
        <is>
          <t>MAMMA LEONE BAKERY, LLC</t>
        </is>
      </c>
      <c r="C222" t="inlineStr">
        <is>
          <t>MAMMA LEONE BAKERY, LLC</t>
        </is>
      </c>
      <c r="D222" t="inlineStr">
        <is>
          <t>Legal</t>
        </is>
      </c>
      <c r="E222" s="297" t="n">
        <v>45896</v>
      </c>
      <c r="F222" s="297" t="n">
        <v>45912</v>
      </c>
      <c r="G222" t="n">
        <v>4</v>
      </c>
      <c r="H222" t="inlineStr">
        <is>
          <t>5812</t>
        </is>
      </c>
      <c r="I222" t="inlineStr">
        <is>
          <t>58</t>
        </is>
      </c>
      <c r="J222" t="inlineStr">
        <is>
          <t>FL</t>
        </is>
      </c>
      <c r="K222" t="inlineStr">
        <is>
          <t>Westwood</t>
        </is>
      </c>
      <c r="L222" t="inlineStr">
        <is>
          <t>New Deal</t>
        </is>
      </c>
      <c r="M222" s="298" t="n">
        <v>1.49</v>
      </c>
      <c r="N222" s="299" t="n">
        <v>10000</v>
      </c>
      <c r="O222" s="299" t="n">
        <v>1400</v>
      </c>
      <c r="P222" s="299" t="n">
        <v>14900</v>
      </c>
      <c r="Q222" s="299" t="n">
        <v>1489.6</v>
      </c>
      <c r="R222" s="299" t="n">
        <v>13410.4</v>
      </c>
      <c r="S222" s="300" t="n">
        <v>0.09997315436241611</v>
      </c>
      <c r="T222" t="n">
        <v>2.623</v>
      </c>
      <c r="U222" t="n">
        <v>4</v>
      </c>
      <c r="V222" t="n">
        <v>35406.72</v>
      </c>
      <c r="W222" s="300" t="n">
        <v>0.0595</v>
      </c>
      <c r="X222" s="297" t="n">
        <v>43388</v>
      </c>
      <c r="Y222">
        <f>IF(I222="","No SIC",IFERROR(VLOOKUP(I222,Ref!$A$2:$B$65,2,FALSE),"Unclassified"))</f>
        <v/>
      </c>
      <c r="Z222">
        <f>IF(T222="","",IF(T222&lt;12,"Daily","Weekly"))</f>
        <v/>
      </c>
      <c r="AA222">
        <f>IF(T222="",0,IF(T222&lt;12,T222*Controls!$B$29,T222*5))</f>
        <v/>
      </c>
      <c r="AB222">
        <f>IF(E222="",0,NETWORKDAYS(E222,Controls!$B$36,Ref!$K$2:$K$42))</f>
        <v/>
      </c>
      <c r="AC222">
        <f>IF(AND(AA222&gt;0,AB222&gt;=Controls!$B$39*AA222),1,0)</f>
        <v/>
      </c>
      <c r="AD222">
        <f>IF(AND(E222&lt;&gt;"",E222&gt;=Controls!$B$37,E222&lt;=Controls!$B$38),1,0)</f>
        <v/>
      </c>
      <c r="AE222">
        <f>IF(IFERROR(VLOOKUP(D222,Controls!$A$64:$E$74,2,FALSE),"No")="Yes",1,0)</f>
        <v/>
      </c>
      <c r="AF222">
        <f>IF(IFERROR(VLOOKUP(D222,Controls!$A$64:$E$74,3,FALSE),"No")="Yes",1,0)</f>
        <v/>
      </c>
      <c r="AG222">
        <f>IF(IFERROR(VLOOKUP(D222,Controls!$A$64:$E$74,4,FALSE),"No")="Yes",1,0)</f>
        <v/>
      </c>
      <c r="AH222">
        <f>IF(IFERROR(VLOOKUP(D222,Controls!$A$64:$E$74,5,FALSE),"No")="Yes",1,0)</f>
        <v/>
      </c>
      <c r="AI222">
        <f>IF(ISNUMBER(MATCH(D222,Controls!$A$64:$A$74,0)),1,0)</f>
        <v/>
      </c>
      <c r="AJ222">
        <f>Q222-N222</f>
        <v/>
      </c>
      <c r="AK222">
        <f>IF(AE222=1,MAX(0,N222-Q222),0)</f>
        <v/>
      </c>
      <c r="AL222">
        <f>IF(OR(V222="",V222=0),0,N222/V222)</f>
        <v/>
      </c>
      <c r="AM222">
        <f>IF(OR(V222="",V222=0),0,1)</f>
        <v/>
      </c>
      <c r="AN222">
        <f>IF(OR(E222="",F222=""),0,NETWORKDAYS(E222,F222,Ref!$K$2:$K$42))</f>
        <v/>
      </c>
      <c r="AO222">
        <f>IF(L222="Renewal",1,0)</f>
        <v/>
      </c>
      <c r="AP222">
        <f>AC222*AD222</f>
        <v/>
      </c>
      <c r="AQ222">
        <f>IF(AND(G222&lt;&gt;"",'Historical Score'!$C$6&lt;&gt;""),IF(G222='Historical Score'!$C$6,1,0),0)</f>
        <v/>
      </c>
      <c r="AR222">
        <f>IF(AND(L222&lt;&gt;"",'Historical Score'!$C$5&lt;&gt;""),IF(L222='Historical Score'!$C$5,1,0),0)</f>
        <v/>
      </c>
      <c r="AS222">
        <f>IF(AND(Y222&lt;&gt;"",'Historical Score'!$C$7&lt;&gt;""),IF(Y222='Historical Score'!$C$7,1,0),0)</f>
        <v/>
      </c>
      <c r="AT222">
        <f>IF(AND(K222&lt;&gt;"",'Historical Score'!$C$8&lt;&gt;""),IF(K222='Historical Score'!$C$8,1,0),0)</f>
        <v/>
      </c>
      <c r="AU222">
        <f>IF(AND(J222&lt;&gt;"",'Historical Score'!$C$9&lt;&gt;""),IF(J222='Historical Score'!$C$9,1,0),0)</f>
        <v/>
      </c>
      <c r="AV222">
        <f>AR222*AS222*AQ222</f>
        <v/>
      </c>
      <c r="AW222">
        <f>AR222*AT222*AQ222</f>
        <v/>
      </c>
      <c r="AX222">
        <f>AR222*AS222</f>
        <v/>
      </c>
      <c r="AY222">
        <f>AR222*AT222</f>
        <v/>
      </c>
      <c r="AZ222">
        <f>AR222*AQ222</f>
        <v/>
      </c>
      <c r="BA222">
        <f>AR222</f>
        <v/>
      </c>
      <c r="BB222">
        <f>1</f>
        <v/>
      </c>
      <c r="BC222">
        <f>IF(AV222=1,1,IF(AW222=1,2,IF(AX222=1,3,IF(AY222=1,4,IF(AZ222=1,5,IF(BA222=1,6,7))))))</f>
        <v/>
      </c>
      <c r="BD222">
        <f>IF(AD222=1,CHOOSE('Historical Score'!$C$29,AV222,AW222,AX222,AY222,AZ222,BA222,BB222),0)</f>
        <v/>
      </c>
      <c r="BE222">
        <f>IF(BD222=1,COUNTIF($BD$2:BD222,1),"")</f>
        <v/>
      </c>
    </row>
    <row r="223">
      <c r="A223" t="inlineStr">
        <is>
          <t>5674164997</t>
        </is>
      </c>
      <c r="B223" t="inlineStr">
        <is>
          <t>Star Nails LLC</t>
        </is>
      </c>
      <c r="C223" t="inlineStr">
        <is>
          <t>Star Nails LLC</t>
        </is>
      </c>
      <c r="D223" t="inlineStr">
        <is>
          <t>Closed</t>
        </is>
      </c>
      <c r="E223" s="297" t="n">
        <v>45897</v>
      </c>
      <c r="F223" s="297" t="n">
        <v>46008</v>
      </c>
      <c r="G223" t="n">
        <v>2</v>
      </c>
      <c r="H223" t="inlineStr">
        <is>
          <t>7231</t>
        </is>
      </c>
      <c r="I223" t="inlineStr">
        <is>
          <t>72</t>
        </is>
      </c>
      <c r="J223" t="inlineStr">
        <is>
          <t>IN</t>
        </is>
      </c>
      <c r="K223" t="inlineStr">
        <is>
          <t>Fund Your Bizz</t>
        </is>
      </c>
      <c r="L223" t="inlineStr">
        <is>
          <t>New Deal</t>
        </is>
      </c>
      <c r="M223" s="298" t="n">
        <v>1.499</v>
      </c>
      <c r="N223" s="299" t="n">
        <v>15000</v>
      </c>
      <c r="O223" s="299" t="n">
        <v>2100</v>
      </c>
      <c r="P223" s="299" t="n">
        <v>22485</v>
      </c>
      <c r="Q223" s="299" t="n">
        <v>22485</v>
      </c>
      <c r="R223" s="299" t="n">
        <v>0</v>
      </c>
      <c r="S223" s="300" t="n">
        <v>1</v>
      </c>
      <c r="T223" t="n">
        <v>36</v>
      </c>
      <c r="U223" t="n">
        <v>0</v>
      </c>
      <c r="V223" t="n">
        <v>27724.08</v>
      </c>
      <c r="W223" s="300" t="n">
        <v>0.0896</v>
      </c>
      <c r="X223" s="297" t="n">
        <v>38838</v>
      </c>
      <c r="Y223">
        <f>IF(I223="","No SIC",IFERROR(VLOOKUP(I223,Ref!$A$2:$B$65,2,FALSE),"Unclassified"))</f>
        <v/>
      </c>
      <c r="Z223">
        <f>IF(T223="","",IF(T223&lt;12,"Daily","Weekly"))</f>
        <v/>
      </c>
      <c r="AA223">
        <f>IF(T223="",0,IF(T223&lt;12,T223*Controls!$B$29,T223*5))</f>
        <v/>
      </c>
      <c r="AB223">
        <f>IF(E223="",0,NETWORKDAYS(E223,Controls!$B$36,Ref!$K$2:$K$42))</f>
        <v/>
      </c>
      <c r="AC223">
        <f>IF(AND(AA223&gt;0,AB223&gt;=Controls!$B$39*AA223),1,0)</f>
        <v/>
      </c>
      <c r="AD223">
        <f>IF(AND(E223&lt;&gt;"",E223&gt;=Controls!$B$37,E223&lt;=Controls!$B$38),1,0)</f>
        <v/>
      </c>
      <c r="AE223">
        <f>IF(IFERROR(VLOOKUP(D223,Controls!$A$64:$E$74,2,FALSE),"No")="Yes",1,0)</f>
        <v/>
      </c>
      <c r="AF223">
        <f>IF(IFERROR(VLOOKUP(D223,Controls!$A$64:$E$74,3,FALSE),"No")="Yes",1,0)</f>
        <v/>
      </c>
      <c r="AG223">
        <f>IF(IFERROR(VLOOKUP(D223,Controls!$A$64:$E$74,4,FALSE),"No")="Yes",1,0)</f>
        <v/>
      </c>
      <c r="AH223">
        <f>IF(IFERROR(VLOOKUP(D223,Controls!$A$64:$E$74,5,FALSE),"No")="Yes",1,0)</f>
        <v/>
      </c>
      <c r="AI223">
        <f>IF(ISNUMBER(MATCH(D223,Controls!$A$64:$A$74,0)),1,0)</f>
        <v/>
      </c>
      <c r="AJ223">
        <f>Q223-N223</f>
        <v/>
      </c>
      <c r="AK223">
        <f>IF(AE223=1,MAX(0,N223-Q223),0)</f>
        <v/>
      </c>
      <c r="AL223">
        <f>IF(OR(V223="",V223=0),0,N223/V223)</f>
        <v/>
      </c>
      <c r="AM223">
        <f>IF(OR(V223="",V223=0),0,1)</f>
        <v/>
      </c>
      <c r="AN223">
        <f>IF(OR(E223="",F223=""),0,NETWORKDAYS(E223,F223,Ref!$K$2:$K$42))</f>
        <v/>
      </c>
      <c r="AO223">
        <f>IF(L223="Renewal",1,0)</f>
        <v/>
      </c>
      <c r="AP223">
        <f>AC223*AD223</f>
        <v/>
      </c>
      <c r="AQ223">
        <f>IF(AND(G223&lt;&gt;"",'Historical Score'!$C$6&lt;&gt;""),IF(G223='Historical Score'!$C$6,1,0),0)</f>
        <v/>
      </c>
      <c r="AR223">
        <f>IF(AND(L223&lt;&gt;"",'Historical Score'!$C$5&lt;&gt;""),IF(L223='Historical Score'!$C$5,1,0),0)</f>
        <v/>
      </c>
      <c r="AS223">
        <f>IF(AND(Y223&lt;&gt;"",'Historical Score'!$C$7&lt;&gt;""),IF(Y223='Historical Score'!$C$7,1,0),0)</f>
        <v/>
      </c>
      <c r="AT223">
        <f>IF(AND(K223&lt;&gt;"",'Historical Score'!$C$8&lt;&gt;""),IF(K223='Historical Score'!$C$8,1,0),0)</f>
        <v/>
      </c>
      <c r="AU223">
        <f>IF(AND(J223&lt;&gt;"",'Historical Score'!$C$9&lt;&gt;""),IF(J223='Historical Score'!$C$9,1,0),0)</f>
        <v/>
      </c>
      <c r="AV223">
        <f>AR223*AS223*AQ223</f>
        <v/>
      </c>
      <c r="AW223">
        <f>AR223*AT223*AQ223</f>
        <v/>
      </c>
      <c r="AX223">
        <f>AR223*AS223</f>
        <v/>
      </c>
      <c r="AY223">
        <f>AR223*AT223</f>
        <v/>
      </c>
      <c r="AZ223">
        <f>AR223*AQ223</f>
        <v/>
      </c>
      <c r="BA223">
        <f>AR223</f>
        <v/>
      </c>
      <c r="BB223">
        <f>1</f>
        <v/>
      </c>
      <c r="BC223">
        <f>IF(AV223=1,1,IF(AW223=1,2,IF(AX223=1,3,IF(AY223=1,4,IF(AZ223=1,5,IF(BA223=1,6,7))))))</f>
        <v/>
      </c>
      <c r="BD223">
        <f>IF(AD223=1,CHOOSE('Historical Score'!$C$29,AV223,AW223,AX223,AY223,AZ223,BA223,BB223),0)</f>
        <v/>
      </c>
      <c r="BE223">
        <f>IF(BD223=1,COUNTIF($BD$2:BD223,1),"")</f>
        <v/>
      </c>
    </row>
    <row r="224">
      <c r="A224" t="inlineStr">
        <is>
          <t>5674165100</t>
        </is>
      </c>
      <c r="B224" t="inlineStr">
        <is>
          <t>Q&amp;B Trucking Fleet LLC</t>
        </is>
      </c>
      <c r="C224" t="inlineStr">
        <is>
          <t>Q&amp;B Trucking Fleet LLC</t>
        </is>
      </c>
      <c r="D224" t="inlineStr">
        <is>
          <t>Legal</t>
        </is>
      </c>
      <c r="E224" s="297" t="n">
        <v>45897</v>
      </c>
      <c r="F224" s="297" t="n">
        <v>45909</v>
      </c>
      <c r="G224" t="n">
        <v>1</v>
      </c>
      <c r="H224" t="inlineStr">
        <is>
          <t>4212</t>
        </is>
      </c>
      <c r="I224" t="inlineStr">
        <is>
          <t>42</t>
        </is>
      </c>
      <c r="J224" t="inlineStr">
        <is>
          <t>GA</t>
        </is>
      </c>
      <c r="K224" t="inlineStr">
        <is>
          <t>Vanguard Equities</t>
        </is>
      </c>
      <c r="L224" t="inlineStr">
        <is>
          <t>New Deal</t>
        </is>
      </c>
      <c r="M224" s="298" t="n">
        <v>1.49</v>
      </c>
      <c r="N224" s="299" t="n">
        <v>3500</v>
      </c>
      <c r="O224" s="299" t="n">
        <v>490</v>
      </c>
      <c r="P224" s="299" t="n">
        <v>5215</v>
      </c>
      <c r="Q224" s="299" t="n">
        <v>74.48</v>
      </c>
      <c r="R224" s="299" t="n">
        <v>5140.52</v>
      </c>
      <c r="S224" s="300" t="n">
        <v>0.0142818791946309</v>
      </c>
      <c r="T224" t="n">
        <v>2.295</v>
      </c>
      <c r="U224" t="n">
        <v>6</v>
      </c>
      <c r="V224" t="n">
        <v>10999.31</v>
      </c>
      <c r="W224" s="300" t="n"/>
      <c r="X224" s="297" t="n"/>
      <c r="Y224">
        <f>IF(I224="","No SIC",IFERROR(VLOOKUP(I224,Ref!$A$2:$B$65,2,FALSE),"Unclassified"))</f>
        <v/>
      </c>
      <c r="Z224">
        <f>IF(T224="","",IF(T224&lt;12,"Daily","Weekly"))</f>
        <v/>
      </c>
      <c r="AA224">
        <f>IF(T224="",0,IF(T224&lt;12,T224*Controls!$B$29,T224*5))</f>
        <v/>
      </c>
      <c r="AB224">
        <f>IF(E224="",0,NETWORKDAYS(E224,Controls!$B$36,Ref!$K$2:$K$42))</f>
        <v/>
      </c>
      <c r="AC224">
        <f>IF(AND(AA224&gt;0,AB224&gt;=Controls!$B$39*AA224),1,0)</f>
        <v/>
      </c>
      <c r="AD224">
        <f>IF(AND(E224&lt;&gt;"",E224&gt;=Controls!$B$37,E224&lt;=Controls!$B$38),1,0)</f>
        <v/>
      </c>
      <c r="AE224">
        <f>IF(IFERROR(VLOOKUP(D224,Controls!$A$64:$E$74,2,FALSE),"No")="Yes",1,0)</f>
        <v/>
      </c>
      <c r="AF224">
        <f>IF(IFERROR(VLOOKUP(D224,Controls!$A$64:$E$74,3,FALSE),"No")="Yes",1,0)</f>
        <v/>
      </c>
      <c r="AG224">
        <f>IF(IFERROR(VLOOKUP(D224,Controls!$A$64:$E$74,4,FALSE),"No")="Yes",1,0)</f>
        <v/>
      </c>
      <c r="AH224">
        <f>IF(IFERROR(VLOOKUP(D224,Controls!$A$64:$E$74,5,FALSE),"No")="Yes",1,0)</f>
        <v/>
      </c>
      <c r="AI224">
        <f>IF(ISNUMBER(MATCH(D224,Controls!$A$64:$A$74,0)),1,0)</f>
        <v/>
      </c>
      <c r="AJ224">
        <f>Q224-N224</f>
        <v/>
      </c>
      <c r="AK224">
        <f>IF(AE224=1,MAX(0,N224-Q224),0)</f>
        <v/>
      </c>
      <c r="AL224">
        <f>IF(OR(V224="",V224=0),0,N224/V224)</f>
        <v/>
      </c>
      <c r="AM224">
        <f>IF(OR(V224="",V224=0),0,1)</f>
        <v/>
      </c>
      <c r="AN224">
        <f>IF(OR(E224="",F224=""),0,NETWORKDAYS(E224,F224,Ref!$K$2:$K$42))</f>
        <v/>
      </c>
      <c r="AO224">
        <f>IF(L224="Renewal",1,0)</f>
        <v/>
      </c>
      <c r="AP224">
        <f>AC224*AD224</f>
        <v/>
      </c>
      <c r="AQ224">
        <f>IF(AND(G224&lt;&gt;"",'Historical Score'!$C$6&lt;&gt;""),IF(G224='Historical Score'!$C$6,1,0),0)</f>
        <v/>
      </c>
      <c r="AR224">
        <f>IF(AND(L224&lt;&gt;"",'Historical Score'!$C$5&lt;&gt;""),IF(L224='Historical Score'!$C$5,1,0),0)</f>
        <v/>
      </c>
      <c r="AS224">
        <f>IF(AND(Y224&lt;&gt;"",'Historical Score'!$C$7&lt;&gt;""),IF(Y224='Historical Score'!$C$7,1,0),0)</f>
        <v/>
      </c>
      <c r="AT224">
        <f>IF(AND(K224&lt;&gt;"",'Historical Score'!$C$8&lt;&gt;""),IF(K224='Historical Score'!$C$8,1,0),0)</f>
        <v/>
      </c>
      <c r="AU224">
        <f>IF(AND(J224&lt;&gt;"",'Historical Score'!$C$9&lt;&gt;""),IF(J224='Historical Score'!$C$9,1,0),0)</f>
        <v/>
      </c>
      <c r="AV224">
        <f>AR224*AS224*AQ224</f>
        <v/>
      </c>
      <c r="AW224">
        <f>AR224*AT224*AQ224</f>
        <v/>
      </c>
      <c r="AX224">
        <f>AR224*AS224</f>
        <v/>
      </c>
      <c r="AY224">
        <f>AR224*AT224</f>
        <v/>
      </c>
      <c r="AZ224">
        <f>AR224*AQ224</f>
        <v/>
      </c>
      <c r="BA224">
        <f>AR224</f>
        <v/>
      </c>
      <c r="BB224">
        <f>1</f>
        <v/>
      </c>
      <c r="BC224">
        <f>IF(AV224=1,1,IF(AW224=1,2,IF(AX224=1,3,IF(AY224=1,4,IF(AZ224=1,5,IF(BA224=1,6,7))))))</f>
        <v/>
      </c>
      <c r="BD224">
        <f>IF(AD224=1,CHOOSE('Historical Score'!$C$29,AV224,AW224,AX224,AY224,AZ224,BA224,BB224),0)</f>
        <v/>
      </c>
      <c r="BE224">
        <f>IF(BD224=1,COUNTIF($BD$2:BD224,1),"")</f>
        <v/>
      </c>
    </row>
    <row r="225">
      <c r="A225" t="inlineStr">
        <is>
          <t>5674165134</t>
        </is>
      </c>
      <c r="B225" t="inlineStr">
        <is>
          <t>TH Custom Finishes</t>
        </is>
      </c>
      <c r="C225" t="inlineStr">
        <is>
          <t>TH CUSTOM FINISHES LLC</t>
        </is>
      </c>
      <c r="D225" t="inlineStr">
        <is>
          <t>Legal</t>
        </is>
      </c>
      <c r="E225" s="297" t="n">
        <v>45898</v>
      </c>
      <c r="F225" s="297" t="n">
        <v>46234</v>
      </c>
      <c r="G225" t="n">
        <v>1</v>
      </c>
      <c r="H225" t="inlineStr">
        <is>
          <t>1521</t>
        </is>
      </c>
      <c r="I225" t="inlineStr">
        <is>
          <t>15</t>
        </is>
      </c>
      <c r="J225" t="inlineStr">
        <is>
          <t>AZ</t>
        </is>
      </c>
      <c r="K225" t="inlineStr">
        <is>
          <t>Shore Funding USA</t>
        </is>
      </c>
      <c r="L225" t="inlineStr">
        <is>
          <t>New Deal</t>
        </is>
      </c>
      <c r="M225" s="298" t="n">
        <v>1.49</v>
      </c>
      <c r="N225" s="299" t="n">
        <v>15000</v>
      </c>
      <c r="O225" s="299" t="n">
        <v>2100</v>
      </c>
      <c r="P225" s="299" t="n">
        <v>22350</v>
      </c>
      <c r="Q225" s="299" t="n">
        <v>8085.18</v>
      </c>
      <c r="R225" s="299" t="n">
        <v>14264.82</v>
      </c>
      <c r="S225" s="300" t="n">
        <v>0.361753020134228</v>
      </c>
      <c r="T225" t="n">
        <v>22</v>
      </c>
      <c r="U225" t="n">
        <v>15</v>
      </c>
      <c r="V225" t="n">
        <v>33457.75</v>
      </c>
      <c r="W225" s="300" t="n">
        <v>0.1215</v>
      </c>
      <c r="X225" s="297" t="n">
        <v>45156</v>
      </c>
      <c r="Y225">
        <f>IF(I225="","No SIC",IFERROR(VLOOKUP(I225,Ref!$A$2:$B$65,2,FALSE),"Unclassified"))</f>
        <v/>
      </c>
      <c r="Z225">
        <f>IF(T225="","",IF(T225&lt;12,"Daily","Weekly"))</f>
        <v/>
      </c>
      <c r="AA225">
        <f>IF(T225="",0,IF(T225&lt;12,T225*Controls!$B$29,T225*5))</f>
        <v/>
      </c>
      <c r="AB225">
        <f>IF(E225="",0,NETWORKDAYS(E225,Controls!$B$36,Ref!$K$2:$K$42))</f>
        <v/>
      </c>
      <c r="AC225">
        <f>IF(AND(AA225&gt;0,AB225&gt;=Controls!$B$39*AA225),1,0)</f>
        <v/>
      </c>
      <c r="AD225">
        <f>IF(AND(E225&lt;&gt;"",E225&gt;=Controls!$B$37,E225&lt;=Controls!$B$38),1,0)</f>
        <v/>
      </c>
      <c r="AE225">
        <f>IF(IFERROR(VLOOKUP(D225,Controls!$A$64:$E$74,2,FALSE),"No")="Yes",1,0)</f>
        <v/>
      </c>
      <c r="AF225">
        <f>IF(IFERROR(VLOOKUP(D225,Controls!$A$64:$E$74,3,FALSE),"No")="Yes",1,0)</f>
        <v/>
      </c>
      <c r="AG225">
        <f>IF(IFERROR(VLOOKUP(D225,Controls!$A$64:$E$74,4,FALSE),"No")="Yes",1,0)</f>
        <v/>
      </c>
      <c r="AH225">
        <f>IF(IFERROR(VLOOKUP(D225,Controls!$A$64:$E$74,5,FALSE),"No")="Yes",1,0)</f>
        <v/>
      </c>
      <c r="AI225">
        <f>IF(ISNUMBER(MATCH(D225,Controls!$A$64:$A$74,0)),1,0)</f>
        <v/>
      </c>
      <c r="AJ225">
        <f>Q225-N225</f>
        <v/>
      </c>
      <c r="AK225">
        <f>IF(AE225=1,MAX(0,N225-Q225),0)</f>
        <v/>
      </c>
      <c r="AL225">
        <f>IF(OR(V225="",V225=0),0,N225/V225)</f>
        <v/>
      </c>
      <c r="AM225">
        <f>IF(OR(V225="",V225=0),0,1)</f>
        <v/>
      </c>
      <c r="AN225">
        <f>IF(OR(E225="",F225=""),0,NETWORKDAYS(E225,F225,Ref!$K$2:$K$42))</f>
        <v/>
      </c>
      <c r="AO225">
        <f>IF(L225="Renewal",1,0)</f>
        <v/>
      </c>
      <c r="AP225">
        <f>AC225*AD225</f>
        <v/>
      </c>
      <c r="AQ225">
        <f>IF(AND(G225&lt;&gt;"",'Historical Score'!$C$6&lt;&gt;""),IF(G225='Historical Score'!$C$6,1,0),0)</f>
        <v/>
      </c>
      <c r="AR225">
        <f>IF(AND(L225&lt;&gt;"",'Historical Score'!$C$5&lt;&gt;""),IF(L225='Historical Score'!$C$5,1,0),0)</f>
        <v/>
      </c>
      <c r="AS225">
        <f>IF(AND(Y225&lt;&gt;"",'Historical Score'!$C$7&lt;&gt;""),IF(Y225='Historical Score'!$C$7,1,0),0)</f>
        <v/>
      </c>
      <c r="AT225">
        <f>IF(AND(K225&lt;&gt;"",'Historical Score'!$C$8&lt;&gt;""),IF(K225='Historical Score'!$C$8,1,0),0)</f>
        <v/>
      </c>
      <c r="AU225">
        <f>IF(AND(J225&lt;&gt;"",'Historical Score'!$C$9&lt;&gt;""),IF(J225='Historical Score'!$C$9,1,0),0)</f>
        <v/>
      </c>
      <c r="AV225">
        <f>AR225*AS225*AQ225</f>
        <v/>
      </c>
      <c r="AW225">
        <f>AR225*AT225*AQ225</f>
        <v/>
      </c>
      <c r="AX225">
        <f>AR225*AS225</f>
        <v/>
      </c>
      <c r="AY225">
        <f>AR225*AT225</f>
        <v/>
      </c>
      <c r="AZ225">
        <f>AR225*AQ225</f>
        <v/>
      </c>
      <c r="BA225">
        <f>AR225</f>
        <v/>
      </c>
      <c r="BB225">
        <f>1</f>
        <v/>
      </c>
      <c r="BC225">
        <f>IF(AV225=1,1,IF(AW225=1,2,IF(AX225=1,3,IF(AY225=1,4,IF(AZ225=1,5,IF(BA225=1,6,7))))))</f>
        <v/>
      </c>
      <c r="BD225">
        <f>IF(AD225=1,CHOOSE('Historical Score'!$C$29,AV225,AW225,AX225,AY225,AZ225,BA225,BB225),0)</f>
        <v/>
      </c>
      <c r="BE225">
        <f>IF(BD225=1,COUNTIF($BD$2:BD225,1),"")</f>
        <v/>
      </c>
    </row>
    <row r="226">
      <c r="A226" t="inlineStr">
        <is>
          <t>5674165155</t>
        </is>
      </c>
      <c r="B226" t="inlineStr">
        <is>
          <t>MANASSES HENRY FURNITURE</t>
        </is>
      </c>
      <c r="C226" t="inlineStr">
        <is>
          <t>MANASSES HENRY FURNITURE</t>
        </is>
      </c>
      <c r="D226" t="inlineStr">
        <is>
          <t>Closed</t>
        </is>
      </c>
      <c r="E226" s="297" t="n">
        <v>45898</v>
      </c>
      <c r="F226" s="297" t="n">
        <v>45981</v>
      </c>
      <c r="G226" t="n">
        <v>3</v>
      </c>
      <c r="H226" t="inlineStr">
        <is>
          <t>5999</t>
        </is>
      </c>
      <c r="I226" t="inlineStr">
        <is>
          <t>59</t>
        </is>
      </c>
      <c r="J226" t="inlineStr">
        <is>
          <t>IN</t>
        </is>
      </c>
      <c r="K226" t="inlineStr">
        <is>
          <t>Shield Funding</t>
        </is>
      </c>
      <c r="L226" t="inlineStr">
        <is>
          <t>New Deal</t>
        </is>
      </c>
      <c r="M226" s="298" t="n">
        <v>1.49</v>
      </c>
      <c r="N226" s="299" t="n">
        <v>17000</v>
      </c>
      <c r="O226" s="299" t="n">
        <v>2380</v>
      </c>
      <c r="P226" s="299" t="n">
        <v>25330</v>
      </c>
      <c r="Q226" s="299" t="n">
        <v>25330</v>
      </c>
      <c r="R226" s="299" t="n">
        <v>0</v>
      </c>
      <c r="S226" s="300" t="n">
        <v>1</v>
      </c>
      <c r="T226" t="n">
        <v>17</v>
      </c>
      <c r="U226" t="n">
        <v>1</v>
      </c>
      <c r="V226" t="n">
        <v>56713.1</v>
      </c>
      <c r="W226" s="300" t="n">
        <v>0.1051</v>
      </c>
      <c r="X226" s="297" t="n">
        <v>42308</v>
      </c>
      <c r="Y226">
        <f>IF(I226="","No SIC",IFERROR(VLOOKUP(I226,Ref!$A$2:$B$65,2,FALSE),"Unclassified"))</f>
        <v/>
      </c>
      <c r="Z226">
        <f>IF(T226="","",IF(T226&lt;12,"Daily","Weekly"))</f>
        <v/>
      </c>
      <c r="AA226">
        <f>IF(T226="",0,IF(T226&lt;12,T226*Controls!$B$29,T226*5))</f>
        <v/>
      </c>
      <c r="AB226">
        <f>IF(E226="",0,NETWORKDAYS(E226,Controls!$B$36,Ref!$K$2:$K$42))</f>
        <v/>
      </c>
      <c r="AC226">
        <f>IF(AND(AA226&gt;0,AB226&gt;=Controls!$B$39*AA226),1,0)</f>
        <v/>
      </c>
      <c r="AD226">
        <f>IF(AND(E226&lt;&gt;"",E226&gt;=Controls!$B$37,E226&lt;=Controls!$B$38),1,0)</f>
        <v/>
      </c>
      <c r="AE226">
        <f>IF(IFERROR(VLOOKUP(D226,Controls!$A$64:$E$74,2,FALSE),"No")="Yes",1,0)</f>
        <v/>
      </c>
      <c r="AF226">
        <f>IF(IFERROR(VLOOKUP(D226,Controls!$A$64:$E$74,3,FALSE),"No")="Yes",1,0)</f>
        <v/>
      </c>
      <c r="AG226">
        <f>IF(IFERROR(VLOOKUP(D226,Controls!$A$64:$E$74,4,FALSE),"No")="Yes",1,0)</f>
        <v/>
      </c>
      <c r="AH226">
        <f>IF(IFERROR(VLOOKUP(D226,Controls!$A$64:$E$74,5,FALSE),"No")="Yes",1,0)</f>
        <v/>
      </c>
      <c r="AI226">
        <f>IF(ISNUMBER(MATCH(D226,Controls!$A$64:$A$74,0)),1,0)</f>
        <v/>
      </c>
      <c r="AJ226">
        <f>Q226-N226</f>
        <v/>
      </c>
      <c r="AK226">
        <f>IF(AE226=1,MAX(0,N226-Q226),0)</f>
        <v/>
      </c>
      <c r="AL226">
        <f>IF(OR(V226="",V226=0),0,N226/V226)</f>
        <v/>
      </c>
      <c r="AM226">
        <f>IF(OR(V226="",V226=0),0,1)</f>
        <v/>
      </c>
      <c r="AN226">
        <f>IF(OR(E226="",F226=""),0,NETWORKDAYS(E226,F226,Ref!$K$2:$K$42))</f>
        <v/>
      </c>
      <c r="AO226">
        <f>IF(L226="Renewal",1,0)</f>
        <v/>
      </c>
      <c r="AP226">
        <f>AC226*AD226</f>
        <v/>
      </c>
      <c r="AQ226">
        <f>IF(AND(G226&lt;&gt;"",'Historical Score'!$C$6&lt;&gt;""),IF(G226='Historical Score'!$C$6,1,0),0)</f>
        <v/>
      </c>
      <c r="AR226">
        <f>IF(AND(L226&lt;&gt;"",'Historical Score'!$C$5&lt;&gt;""),IF(L226='Historical Score'!$C$5,1,0),0)</f>
        <v/>
      </c>
      <c r="AS226">
        <f>IF(AND(Y226&lt;&gt;"",'Historical Score'!$C$7&lt;&gt;""),IF(Y226='Historical Score'!$C$7,1,0),0)</f>
        <v/>
      </c>
      <c r="AT226">
        <f>IF(AND(K226&lt;&gt;"",'Historical Score'!$C$8&lt;&gt;""),IF(K226='Historical Score'!$C$8,1,0),0)</f>
        <v/>
      </c>
      <c r="AU226">
        <f>IF(AND(J226&lt;&gt;"",'Historical Score'!$C$9&lt;&gt;""),IF(J226='Historical Score'!$C$9,1,0),0)</f>
        <v/>
      </c>
      <c r="AV226">
        <f>AR226*AS226*AQ226</f>
        <v/>
      </c>
      <c r="AW226">
        <f>AR226*AT226*AQ226</f>
        <v/>
      </c>
      <c r="AX226">
        <f>AR226*AS226</f>
        <v/>
      </c>
      <c r="AY226">
        <f>AR226*AT226</f>
        <v/>
      </c>
      <c r="AZ226">
        <f>AR226*AQ226</f>
        <v/>
      </c>
      <c r="BA226">
        <f>AR226</f>
        <v/>
      </c>
      <c r="BB226">
        <f>1</f>
        <v/>
      </c>
      <c r="BC226">
        <f>IF(AV226=1,1,IF(AW226=1,2,IF(AX226=1,3,IF(AY226=1,4,IF(AZ226=1,5,IF(BA226=1,6,7))))))</f>
        <v/>
      </c>
      <c r="BD226">
        <f>IF(AD226=1,CHOOSE('Historical Score'!$C$29,AV226,AW226,AX226,AY226,AZ226,BA226,BB226),0)</f>
        <v/>
      </c>
      <c r="BE226">
        <f>IF(BD226=1,COUNTIF($BD$2:BD226,1),"")</f>
        <v/>
      </c>
    </row>
    <row r="227">
      <c r="A227" t="inlineStr">
        <is>
          <t>5674165163</t>
        </is>
      </c>
      <c r="B227" t="inlineStr">
        <is>
          <t>JUST-IN-TIME LANDSCAPING LLC</t>
        </is>
      </c>
      <c r="C227" t="inlineStr">
        <is>
          <t>JUST-IN-TIME LANDSCAPING LLC</t>
        </is>
      </c>
      <c r="D227" t="inlineStr">
        <is>
          <t>In House Collection</t>
        </is>
      </c>
      <c r="E227" s="297" t="n">
        <v>45898</v>
      </c>
      <c r="F227" s="297" t="n">
        <v>46224</v>
      </c>
      <c r="G227" t="n">
        <v>3</v>
      </c>
      <c r="H227" t="inlineStr">
        <is>
          <t>0781</t>
        </is>
      </c>
      <c r="I227" t="inlineStr">
        <is>
          <t>07</t>
        </is>
      </c>
      <c r="J227" t="inlineStr">
        <is>
          <t>AZ</t>
        </is>
      </c>
      <c r="K227" t="inlineStr">
        <is>
          <t>United Secured Capital 8</t>
        </is>
      </c>
      <c r="L227" t="inlineStr">
        <is>
          <t>New Deal</t>
        </is>
      </c>
      <c r="M227" s="298" t="n">
        <v>1.5</v>
      </c>
      <c r="N227" s="299" t="n">
        <v>10000</v>
      </c>
      <c r="O227" s="299" t="n">
        <v>1400</v>
      </c>
      <c r="P227" s="299" t="n">
        <v>15000</v>
      </c>
      <c r="Q227" s="299" t="n">
        <v>14421.4</v>
      </c>
      <c r="R227" s="299" t="n">
        <v>578.6</v>
      </c>
      <c r="S227" s="300" t="n">
        <v>0.961426666666667</v>
      </c>
      <c r="T227" t="n">
        <v>16</v>
      </c>
      <c r="U227" t="n">
        <v>10</v>
      </c>
      <c r="W227" s="300" t="n">
        <v>0.08309999999999999</v>
      </c>
      <c r="X227" s="297" t="n">
        <v>43835</v>
      </c>
      <c r="Y227">
        <f>IF(I227="","No SIC",IFERROR(VLOOKUP(I227,Ref!$A$2:$B$65,2,FALSE),"Unclassified"))</f>
        <v/>
      </c>
      <c r="Z227">
        <f>IF(T227="","",IF(T227&lt;12,"Daily","Weekly"))</f>
        <v/>
      </c>
      <c r="AA227">
        <f>IF(T227="",0,IF(T227&lt;12,T227*Controls!$B$29,T227*5))</f>
        <v/>
      </c>
      <c r="AB227">
        <f>IF(E227="",0,NETWORKDAYS(E227,Controls!$B$36,Ref!$K$2:$K$42))</f>
        <v/>
      </c>
      <c r="AC227">
        <f>IF(AND(AA227&gt;0,AB227&gt;=Controls!$B$39*AA227),1,0)</f>
        <v/>
      </c>
      <c r="AD227">
        <f>IF(AND(E227&lt;&gt;"",E227&gt;=Controls!$B$37,E227&lt;=Controls!$B$38),1,0)</f>
        <v/>
      </c>
      <c r="AE227">
        <f>IF(IFERROR(VLOOKUP(D227,Controls!$A$64:$E$74,2,FALSE),"No")="Yes",1,0)</f>
        <v/>
      </c>
      <c r="AF227">
        <f>IF(IFERROR(VLOOKUP(D227,Controls!$A$64:$E$74,3,FALSE),"No")="Yes",1,0)</f>
        <v/>
      </c>
      <c r="AG227">
        <f>IF(IFERROR(VLOOKUP(D227,Controls!$A$64:$E$74,4,FALSE),"No")="Yes",1,0)</f>
        <v/>
      </c>
      <c r="AH227">
        <f>IF(IFERROR(VLOOKUP(D227,Controls!$A$64:$E$74,5,FALSE),"No")="Yes",1,0)</f>
        <v/>
      </c>
      <c r="AI227">
        <f>IF(ISNUMBER(MATCH(D227,Controls!$A$64:$A$74,0)),1,0)</f>
        <v/>
      </c>
      <c r="AJ227">
        <f>Q227-N227</f>
        <v/>
      </c>
      <c r="AK227">
        <f>IF(AE227=1,MAX(0,N227-Q227),0)</f>
        <v/>
      </c>
      <c r="AL227">
        <f>IF(OR(V227="",V227=0),0,N227/V227)</f>
        <v/>
      </c>
      <c r="AM227">
        <f>IF(OR(V227="",V227=0),0,1)</f>
        <v/>
      </c>
      <c r="AN227">
        <f>IF(OR(E227="",F227=""),0,NETWORKDAYS(E227,F227,Ref!$K$2:$K$42))</f>
        <v/>
      </c>
      <c r="AO227">
        <f>IF(L227="Renewal",1,0)</f>
        <v/>
      </c>
      <c r="AP227">
        <f>AC227*AD227</f>
        <v/>
      </c>
      <c r="AQ227">
        <f>IF(AND(G227&lt;&gt;"",'Historical Score'!$C$6&lt;&gt;""),IF(G227='Historical Score'!$C$6,1,0),0)</f>
        <v/>
      </c>
      <c r="AR227">
        <f>IF(AND(L227&lt;&gt;"",'Historical Score'!$C$5&lt;&gt;""),IF(L227='Historical Score'!$C$5,1,0),0)</f>
        <v/>
      </c>
      <c r="AS227">
        <f>IF(AND(Y227&lt;&gt;"",'Historical Score'!$C$7&lt;&gt;""),IF(Y227='Historical Score'!$C$7,1,0),0)</f>
        <v/>
      </c>
      <c r="AT227">
        <f>IF(AND(K227&lt;&gt;"",'Historical Score'!$C$8&lt;&gt;""),IF(K227='Historical Score'!$C$8,1,0),0)</f>
        <v/>
      </c>
      <c r="AU227">
        <f>IF(AND(J227&lt;&gt;"",'Historical Score'!$C$9&lt;&gt;""),IF(J227='Historical Score'!$C$9,1,0),0)</f>
        <v/>
      </c>
      <c r="AV227">
        <f>AR227*AS227*AQ227</f>
        <v/>
      </c>
      <c r="AW227">
        <f>AR227*AT227*AQ227</f>
        <v/>
      </c>
      <c r="AX227">
        <f>AR227*AS227</f>
        <v/>
      </c>
      <c r="AY227">
        <f>AR227*AT227</f>
        <v/>
      </c>
      <c r="AZ227">
        <f>AR227*AQ227</f>
        <v/>
      </c>
      <c r="BA227">
        <f>AR227</f>
        <v/>
      </c>
      <c r="BB227">
        <f>1</f>
        <v/>
      </c>
      <c r="BC227">
        <f>IF(AV227=1,1,IF(AW227=1,2,IF(AX227=1,3,IF(AY227=1,4,IF(AZ227=1,5,IF(BA227=1,6,7))))))</f>
        <v/>
      </c>
      <c r="BD227">
        <f>IF(AD227=1,CHOOSE('Historical Score'!$C$29,AV227,AW227,AX227,AY227,AZ227,BA227,BB227),0)</f>
        <v/>
      </c>
      <c r="BE227">
        <f>IF(BD227=1,COUNTIF($BD$2:BD227,1),"")</f>
        <v/>
      </c>
    </row>
    <row r="228">
      <c r="A228" t="inlineStr">
        <is>
          <t>5674165354</t>
        </is>
      </c>
      <c r="B228" t="inlineStr">
        <is>
          <t>EASY PARKING</t>
        </is>
      </c>
      <c r="C228" t="inlineStr">
        <is>
          <t>Easy Parking LLC</t>
        </is>
      </c>
      <c r="D228" t="inlineStr">
        <is>
          <t>Legal</t>
        </is>
      </c>
      <c r="E228" s="297" t="n">
        <v>45903</v>
      </c>
      <c r="F228" s="297" t="n">
        <v>45959</v>
      </c>
      <c r="G228" t="n">
        <v>4</v>
      </c>
      <c r="H228" t="inlineStr">
        <is>
          <t>7521</t>
        </is>
      </c>
      <c r="I228" t="inlineStr">
        <is>
          <t>75</t>
        </is>
      </c>
      <c r="J228" t="inlineStr">
        <is>
          <t>GA</t>
        </is>
      </c>
      <c r="K228" t="inlineStr">
        <is>
          <t>American Funding Association 1</t>
        </is>
      </c>
      <c r="L228" t="inlineStr">
        <is>
          <t>New Deal</t>
        </is>
      </c>
      <c r="M228" s="298" t="n">
        <v>1.38</v>
      </c>
      <c r="N228" s="299" t="n">
        <v>30000</v>
      </c>
      <c r="O228" s="299" t="n">
        <v>0</v>
      </c>
      <c r="P228" s="299" t="n">
        <v>41400</v>
      </c>
      <c r="Q228" s="299" t="n">
        <v>3764.5</v>
      </c>
      <c r="R228" s="299" t="n">
        <v>37635.5</v>
      </c>
      <c r="S228" s="300" t="n">
        <v>0.0909299516908213</v>
      </c>
      <c r="T228" t="n">
        <v>22</v>
      </c>
      <c r="U228" t="n">
        <v>13</v>
      </c>
      <c r="V228" t="n">
        <v>91929.23</v>
      </c>
      <c r="W228" s="300" t="n">
        <v>0.0819</v>
      </c>
      <c r="X228" s="297" t="n">
        <v>41506</v>
      </c>
      <c r="Y228">
        <f>IF(I228="","No SIC",IFERROR(VLOOKUP(I228,Ref!$A$2:$B$65,2,FALSE),"Unclassified"))</f>
        <v/>
      </c>
      <c r="Z228">
        <f>IF(T228="","",IF(T228&lt;12,"Daily","Weekly"))</f>
        <v/>
      </c>
      <c r="AA228">
        <f>IF(T228="",0,IF(T228&lt;12,T228*Controls!$B$29,T228*5))</f>
        <v/>
      </c>
      <c r="AB228">
        <f>IF(E228="",0,NETWORKDAYS(E228,Controls!$B$36,Ref!$K$2:$K$42))</f>
        <v/>
      </c>
      <c r="AC228">
        <f>IF(AND(AA228&gt;0,AB228&gt;=Controls!$B$39*AA228),1,0)</f>
        <v/>
      </c>
      <c r="AD228">
        <f>IF(AND(E228&lt;&gt;"",E228&gt;=Controls!$B$37,E228&lt;=Controls!$B$38),1,0)</f>
        <v/>
      </c>
      <c r="AE228">
        <f>IF(IFERROR(VLOOKUP(D228,Controls!$A$64:$E$74,2,FALSE),"No")="Yes",1,0)</f>
        <v/>
      </c>
      <c r="AF228">
        <f>IF(IFERROR(VLOOKUP(D228,Controls!$A$64:$E$74,3,FALSE),"No")="Yes",1,0)</f>
        <v/>
      </c>
      <c r="AG228">
        <f>IF(IFERROR(VLOOKUP(D228,Controls!$A$64:$E$74,4,FALSE),"No")="Yes",1,0)</f>
        <v/>
      </c>
      <c r="AH228">
        <f>IF(IFERROR(VLOOKUP(D228,Controls!$A$64:$E$74,5,FALSE),"No")="Yes",1,0)</f>
        <v/>
      </c>
      <c r="AI228">
        <f>IF(ISNUMBER(MATCH(D228,Controls!$A$64:$A$74,0)),1,0)</f>
        <v/>
      </c>
      <c r="AJ228">
        <f>Q228-N228</f>
        <v/>
      </c>
      <c r="AK228">
        <f>IF(AE228=1,MAX(0,N228-Q228),0)</f>
        <v/>
      </c>
      <c r="AL228">
        <f>IF(OR(V228="",V228=0),0,N228/V228)</f>
        <v/>
      </c>
      <c r="AM228">
        <f>IF(OR(V228="",V228=0),0,1)</f>
        <v/>
      </c>
      <c r="AN228">
        <f>IF(OR(E228="",F228=""),0,NETWORKDAYS(E228,F228,Ref!$K$2:$K$42))</f>
        <v/>
      </c>
      <c r="AO228">
        <f>IF(L228="Renewal",1,0)</f>
        <v/>
      </c>
      <c r="AP228">
        <f>AC228*AD228</f>
        <v/>
      </c>
      <c r="AQ228">
        <f>IF(AND(G228&lt;&gt;"",'Historical Score'!$C$6&lt;&gt;""),IF(G228='Historical Score'!$C$6,1,0),0)</f>
        <v/>
      </c>
      <c r="AR228">
        <f>IF(AND(L228&lt;&gt;"",'Historical Score'!$C$5&lt;&gt;""),IF(L228='Historical Score'!$C$5,1,0),0)</f>
        <v/>
      </c>
      <c r="AS228">
        <f>IF(AND(Y228&lt;&gt;"",'Historical Score'!$C$7&lt;&gt;""),IF(Y228='Historical Score'!$C$7,1,0),0)</f>
        <v/>
      </c>
      <c r="AT228">
        <f>IF(AND(K228&lt;&gt;"",'Historical Score'!$C$8&lt;&gt;""),IF(K228='Historical Score'!$C$8,1,0),0)</f>
        <v/>
      </c>
      <c r="AU228">
        <f>IF(AND(J228&lt;&gt;"",'Historical Score'!$C$9&lt;&gt;""),IF(J228='Historical Score'!$C$9,1,0),0)</f>
        <v/>
      </c>
      <c r="AV228">
        <f>AR228*AS228*AQ228</f>
        <v/>
      </c>
      <c r="AW228">
        <f>AR228*AT228*AQ228</f>
        <v/>
      </c>
      <c r="AX228">
        <f>AR228*AS228</f>
        <v/>
      </c>
      <c r="AY228">
        <f>AR228*AT228</f>
        <v/>
      </c>
      <c r="AZ228">
        <f>AR228*AQ228</f>
        <v/>
      </c>
      <c r="BA228">
        <f>AR228</f>
        <v/>
      </c>
      <c r="BB228">
        <f>1</f>
        <v/>
      </c>
      <c r="BC228">
        <f>IF(AV228=1,1,IF(AW228=1,2,IF(AX228=1,3,IF(AY228=1,4,IF(AZ228=1,5,IF(BA228=1,6,7))))))</f>
        <v/>
      </c>
      <c r="BD228">
        <f>IF(AD228=1,CHOOSE('Historical Score'!$C$29,AV228,AW228,AX228,AY228,AZ228,BA228,BB228),0)</f>
        <v/>
      </c>
      <c r="BE228">
        <f>IF(BD228=1,COUNTIF($BD$2:BD228,1),"")</f>
        <v/>
      </c>
    </row>
    <row r="229">
      <c r="A229" t="inlineStr">
        <is>
          <t>5674165467</t>
        </is>
      </c>
      <c r="B229" t="inlineStr">
        <is>
          <t>Bass Unique Services</t>
        </is>
      </c>
      <c r="C229" t="inlineStr">
        <is>
          <t>Bass Unique Services</t>
        </is>
      </c>
      <c r="D229" t="inlineStr">
        <is>
          <t>Closed</t>
        </is>
      </c>
      <c r="E229" s="297" t="n">
        <v>45903</v>
      </c>
      <c r="F229" s="297" t="n">
        <v>45986</v>
      </c>
      <c r="G229" t="n">
        <v>3</v>
      </c>
      <c r="H229" t="inlineStr">
        <is>
          <t>1521</t>
        </is>
      </c>
      <c r="I229" t="inlineStr">
        <is>
          <t>15</t>
        </is>
      </c>
      <c r="J229" t="inlineStr">
        <is>
          <t>FL</t>
        </is>
      </c>
      <c r="K229" t="inlineStr">
        <is>
          <t>WOTR Enterprise LLC</t>
        </is>
      </c>
      <c r="L229" t="inlineStr">
        <is>
          <t>Renewal</t>
        </is>
      </c>
      <c r="M229" s="298" t="n">
        <v>1.49</v>
      </c>
      <c r="N229" s="299" t="n">
        <v>18000</v>
      </c>
      <c r="O229" s="299" t="n">
        <v>2520</v>
      </c>
      <c r="P229" s="299" t="n">
        <v>26820</v>
      </c>
      <c r="Q229" s="299" t="n">
        <v>26820</v>
      </c>
      <c r="R229" s="299" t="n">
        <v>0</v>
      </c>
      <c r="S229" s="300" t="n">
        <v>1</v>
      </c>
      <c r="T229" t="n">
        <v>3.279</v>
      </c>
      <c r="U229" t="n">
        <v>0</v>
      </c>
      <c r="V229" t="n">
        <v>50449.57</v>
      </c>
      <c r="W229" s="300" t="n">
        <v>0.0998</v>
      </c>
      <c r="X229" s="297" t="n">
        <v>43647</v>
      </c>
      <c r="Y229">
        <f>IF(I229="","No SIC",IFERROR(VLOOKUP(I229,Ref!$A$2:$B$65,2,FALSE),"Unclassified"))</f>
        <v/>
      </c>
      <c r="Z229">
        <f>IF(T229="","",IF(T229&lt;12,"Daily","Weekly"))</f>
        <v/>
      </c>
      <c r="AA229">
        <f>IF(T229="",0,IF(T229&lt;12,T229*Controls!$B$29,T229*5))</f>
        <v/>
      </c>
      <c r="AB229">
        <f>IF(E229="",0,NETWORKDAYS(E229,Controls!$B$36,Ref!$K$2:$K$42))</f>
        <v/>
      </c>
      <c r="AC229">
        <f>IF(AND(AA229&gt;0,AB229&gt;=Controls!$B$39*AA229),1,0)</f>
        <v/>
      </c>
      <c r="AD229">
        <f>IF(AND(E229&lt;&gt;"",E229&gt;=Controls!$B$37,E229&lt;=Controls!$B$38),1,0)</f>
        <v/>
      </c>
      <c r="AE229">
        <f>IF(IFERROR(VLOOKUP(D229,Controls!$A$64:$E$74,2,FALSE),"No")="Yes",1,0)</f>
        <v/>
      </c>
      <c r="AF229">
        <f>IF(IFERROR(VLOOKUP(D229,Controls!$A$64:$E$74,3,FALSE),"No")="Yes",1,0)</f>
        <v/>
      </c>
      <c r="AG229">
        <f>IF(IFERROR(VLOOKUP(D229,Controls!$A$64:$E$74,4,FALSE),"No")="Yes",1,0)</f>
        <v/>
      </c>
      <c r="AH229">
        <f>IF(IFERROR(VLOOKUP(D229,Controls!$A$64:$E$74,5,FALSE),"No")="Yes",1,0)</f>
        <v/>
      </c>
      <c r="AI229">
        <f>IF(ISNUMBER(MATCH(D229,Controls!$A$64:$A$74,0)),1,0)</f>
        <v/>
      </c>
      <c r="AJ229">
        <f>Q229-N229</f>
        <v/>
      </c>
      <c r="AK229">
        <f>IF(AE229=1,MAX(0,N229-Q229),0)</f>
        <v/>
      </c>
      <c r="AL229">
        <f>IF(OR(V229="",V229=0),0,N229/V229)</f>
        <v/>
      </c>
      <c r="AM229">
        <f>IF(OR(V229="",V229=0),0,1)</f>
        <v/>
      </c>
      <c r="AN229">
        <f>IF(OR(E229="",F229=""),0,NETWORKDAYS(E229,F229,Ref!$K$2:$K$42))</f>
        <v/>
      </c>
      <c r="AO229">
        <f>IF(L229="Renewal",1,0)</f>
        <v/>
      </c>
      <c r="AP229">
        <f>AC229*AD229</f>
        <v/>
      </c>
      <c r="AQ229">
        <f>IF(AND(G229&lt;&gt;"",'Historical Score'!$C$6&lt;&gt;""),IF(G229='Historical Score'!$C$6,1,0),0)</f>
        <v/>
      </c>
      <c r="AR229">
        <f>IF(AND(L229&lt;&gt;"",'Historical Score'!$C$5&lt;&gt;""),IF(L229='Historical Score'!$C$5,1,0),0)</f>
        <v/>
      </c>
      <c r="AS229">
        <f>IF(AND(Y229&lt;&gt;"",'Historical Score'!$C$7&lt;&gt;""),IF(Y229='Historical Score'!$C$7,1,0),0)</f>
        <v/>
      </c>
      <c r="AT229">
        <f>IF(AND(K229&lt;&gt;"",'Historical Score'!$C$8&lt;&gt;""),IF(K229='Historical Score'!$C$8,1,0),0)</f>
        <v/>
      </c>
      <c r="AU229">
        <f>IF(AND(J229&lt;&gt;"",'Historical Score'!$C$9&lt;&gt;""),IF(J229='Historical Score'!$C$9,1,0),0)</f>
        <v/>
      </c>
      <c r="AV229">
        <f>AR229*AS229*AQ229</f>
        <v/>
      </c>
      <c r="AW229">
        <f>AR229*AT229*AQ229</f>
        <v/>
      </c>
      <c r="AX229">
        <f>AR229*AS229</f>
        <v/>
      </c>
      <c r="AY229">
        <f>AR229*AT229</f>
        <v/>
      </c>
      <c r="AZ229">
        <f>AR229*AQ229</f>
        <v/>
      </c>
      <c r="BA229">
        <f>AR229</f>
        <v/>
      </c>
      <c r="BB229">
        <f>1</f>
        <v/>
      </c>
      <c r="BC229">
        <f>IF(AV229=1,1,IF(AW229=1,2,IF(AX229=1,3,IF(AY229=1,4,IF(AZ229=1,5,IF(BA229=1,6,7))))))</f>
        <v/>
      </c>
      <c r="BD229">
        <f>IF(AD229=1,CHOOSE('Historical Score'!$C$29,AV229,AW229,AX229,AY229,AZ229,BA229,BB229),0)</f>
        <v/>
      </c>
      <c r="BE229">
        <f>IF(BD229=1,COUNTIF($BD$2:BD229,1),"")</f>
        <v/>
      </c>
    </row>
    <row r="230">
      <c r="A230" t="inlineStr">
        <is>
          <t>5674165546</t>
        </is>
      </c>
      <c r="B230" t="inlineStr">
        <is>
          <t>The Dent Mann</t>
        </is>
      </c>
      <c r="C230" t="inlineStr">
        <is>
          <t>The Dent Mann</t>
        </is>
      </c>
      <c r="D230" t="inlineStr">
        <is>
          <t>Closed</t>
        </is>
      </c>
      <c r="E230" s="297" t="n">
        <v>45904</v>
      </c>
      <c r="F230" s="297" t="n">
        <v>46055</v>
      </c>
      <c r="G230" t="n">
        <v>2</v>
      </c>
      <c r="H230" t="inlineStr">
        <is>
          <t>7538</t>
        </is>
      </c>
      <c r="I230" t="inlineStr">
        <is>
          <t>75</t>
        </is>
      </c>
      <c r="J230" t="inlineStr">
        <is>
          <t>OK</t>
        </is>
      </c>
      <c r="K230" t="inlineStr">
        <is>
          <t>AVON ADVANCE</t>
        </is>
      </c>
      <c r="L230" t="inlineStr">
        <is>
          <t>New Deal</t>
        </is>
      </c>
      <c r="M230" s="298" t="n">
        <v>1.499</v>
      </c>
      <c r="N230" s="299" t="n">
        <v>10000</v>
      </c>
      <c r="O230" s="299" t="n">
        <v>1400</v>
      </c>
      <c r="P230" s="299" t="n">
        <v>14990</v>
      </c>
      <c r="Q230" s="299" t="n">
        <v>14990</v>
      </c>
      <c r="R230" s="299" t="n">
        <v>1.81898940354586e-12</v>
      </c>
      <c r="S230" s="300" t="n">
        <v>1</v>
      </c>
      <c r="T230" t="n">
        <v>2.951</v>
      </c>
      <c r="U230" t="n">
        <v>11</v>
      </c>
      <c r="V230" t="n">
        <v>32903.61</v>
      </c>
      <c r="W230" s="300" t="n">
        <v>0.1057</v>
      </c>
      <c r="X230" s="297" t="n"/>
      <c r="Y230">
        <f>IF(I230="","No SIC",IFERROR(VLOOKUP(I230,Ref!$A$2:$B$65,2,FALSE),"Unclassified"))</f>
        <v/>
      </c>
      <c r="Z230">
        <f>IF(T230="","",IF(T230&lt;12,"Daily","Weekly"))</f>
        <v/>
      </c>
      <c r="AA230">
        <f>IF(T230="",0,IF(T230&lt;12,T230*Controls!$B$29,T230*5))</f>
        <v/>
      </c>
      <c r="AB230">
        <f>IF(E230="",0,NETWORKDAYS(E230,Controls!$B$36,Ref!$K$2:$K$42))</f>
        <v/>
      </c>
      <c r="AC230">
        <f>IF(AND(AA230&gt;0,AB230&gt;=Controls!$B$39*AA230),1,0)</f>
        <v/>
      </c>
      <c r="AD230">
        <f>IF(AND(E230&lt;&gt;"",E230&gt;=Controls!$B$37,E230&lt;=Controls!$B$38),1,0)</f>
        <v/>
      </c>
      <c r="AE230">
        <f>IF(IFERROR(VLOOKUP(D230,Controls!$A$64:$E$74,2,FALSE),"No")="Yes",1,0)</f>
        <v/>
      </c>
      <c r="AF230">
        <f>IF(IFERROR(VLOOKUP(D230,Controls!$A$64:$E$74,3,FALSE),"No")="Yes",1,0)</f>
        <v/>
      </c>
      <c r="AG230">
        <f>IF(IFERROR(VLOOKUP(D230,Controls!$A$64:$E$74,4,FALSE),"No")="Yes",1,0)</f>
        <v/>
      </c>
      <c r="AH230">
        <f>IF(IFERROR(VLOOKUP(D230,Controls!$A$64:$E$74,5,FALSE),"No")="Yes",1,0)</f>
        <v/>
      </c>
      <c r="AI230">
        <f>IF(ISNUMBER(MATCH(D230,Controls!$A$64:$A$74,0)),1,0)</f>
        <v/>
      </c>
      <c r="AJ230">
        <f>Q230-N230</f>
        <v/>
      </c>
      <c r="AK230">
        <f>IF(AE230=1,MAX(0,N230-Q230),0)</f>
        <v/>
      </c>
      <c r="AL230">
        <f>IF(OR(V230="",V230=0),0,N230/V230)</f>
        <v/>
      </c>
      <c r="AM230">
        <f>IF(OR(V230="",V230=0),0,1)</f>
        <v/>
      </c>
      <c r="AN230">
        <f>IF(OR(E230="",F230=""),0,NETWORKDAYS(E230,F230,Ref!$K$2:$K$42))</f>
        <v/>
      </c>
      <c r="AO230">
        <f>IF(L230="Renewal",1,0)</f>
        <v/>
      </c>
      <c r="AP230">
        <f>AC230*AD230</f>
        <v/>
      </c>
      <c r="AQ230">
        <f>IF(AND(G230&lt;&gt;"",'Historical Score'!$C$6&lt;&gt;""),IF(G230='Historical Score'!$C$6,1,0),0)</f>
        <v/>
      </c>
      <c r="AR230">
        <f>IF(AND(L230&lt;&gt;"",'Historical Score'!$C$5&lt;&gt;""),IF(L230='Historical Score'!$C$5,1,0),0)</f>
        <v/>
      </c>
      <c r="AS230">
        <f>IF(AND(Y230&lt;&gt;"",'Historical Score'!$C$7&lt;&gt;""),IF(Y230='Historical Score'!$C$7,1,0),0)</f>
        <v/>
      </c>
      <c r="AT230">
        <f>IF(AND(K230&lt;&gt;"",'Historical Score'!$C$8&lt;&gt;""),IF(K230='Historical Score'!$C$8,1,0),0)</f>
        <v/>
      </c>
      <c r="AU230">
        <f>IF(AND(J230&lt;&gt;"",'Historical Score'!$C$9&lt;&gt;""),IF(J230='Historical Score'!$C$9,1,0),0)</f>
        <v/>
      </c>
      <c r="AV230">
        <f>AR230*AS230*AQ230</f>
        <v/>
      </c>
      <c r="AW230">
        <f>AR230*AT230*AQ230</f>
        <v/>
      </c>
      <c r="AX230">
        <f>AR230*AS230</f>
        <v/>
      </c>
      <c r="AY230">
        <f>AR230*AT230</f>
        <v/>
      </c>
      <c r="AZ230">
        <f>AR230*AQ230</f>
        <v/>
      </c>
      <c r="BA230">
        <f>AR230</f>
        <v/>
      </c>
      <c r="BB230">
        <f>1</f>
        <v/>
      </c>
      <c r="BC230">
        <f>IF(AV230=1,1,IF(AW230=1,2,IF(AX230=1,3,IF(AY230=1,4,IF(AZ230=1,5,IF(BA230=1,6,7))))))</f>
        <v/>
      </c>
      <c r="BD230">
        <f>IF(AD230=1,CHOOSE('Historical Score'!$C$29,AV230,AW230,AX230,AY230,AZ230,BA230,BB230),0)</f>
        <v/>
      </c>
      <c r="BE230">
        <f>IF(BD230=1,COUNTIF($BD$2:BD230,1),"")</f>
        <v/>
      </c>
    </row>
    <row r="231">
      <c r="A231" t="inlineStr">
        <is>
          <t>5674165547</t>
        </is>
      </c>
      <c r="B231" t="inlineStr">
        <is>
          <t>southeast customs</t>
        </is>
      </c>
      <c r="C231" t="inlineStr">
        <is>
          <t>SOUTHEAST CUSTOMS LLC</t>
        </is>
      </c>
      <c r="D231" t="inlineStr">
        <is>
          <t>Legal</t>
        </is>
      </c>
      <c r="E231" s="297" t="n">
        <v>45904</v>
      </c>
      <c r="F231" s="297" t="n">
        <v>45938</v>
      </c>
      <c r="G231" t="n">
        <v>2</v>
      </c>
      <c r="H231" t="inlineStr">
        <is>
          <t>5014</t>
        </is>
      </c>
      <c r="I231" t="inlineStr">
        <is>
          <t>50</t>
        </is>
      </c>
      <c r="J231" t="inlineStr">
        <is>
          <t>TX</t>
        </is>
      </c>
      <c r="K231" t="inlineStr">
        <is>
          <t>EZ ADVANCE LLC</t>
        </is>
      </c>
      <c r="L231" t="inlineStr">
        <is>
          <t>New Deal</t>
        </is>
      </c>
      <c r="M231" s="298" t="n">
        <v>1.49</v>
      </c>
      <c r="N231" s="299" t="n">
        <v>30000</v>
      </c>
      <c r="O231" s="299" t="n">
        <v>4200</v>
      </c>
      <c r="P231" s="299" t="n">
        <v>44700</v>
      </c>
      <c r="Q231" s="299" t="n">
        <v>6796</v>
      </c>
      <c r="R231" s="299" t="n">
        <v>37904</v>
      </c>
      <c r="S231" s="300" t="n">
        <v>0.152035794183445</v>
      </c>
      <c r="T231" t="n">
        <v>26</v>
      </c>
      <c r="U231" t="n">
        <v>1</v>
      </c>
      <c r="V231" t="n">
        <v>82340.97</v>
      </c>
      <c r="W231" s="300" t="n">
        <v>0.0825</v>
      </c>
      <c r="X231" s="297" t="n">
        <v>44409</v>
      </c>
      <c r="Y231">
        <f>IF(I231="","No SIC",IFERROR(VLOOKUP(I231,Ref!$A$2:$B$65,2,FALSE),"Unclassified"))</f>
        <v/>
      </c>
      <c r="Z231">
        <f>IF(T231="","",IF(T231&lt;12,"Daily","Weekly"))</f>
        <v/>
      </c>
      <c r="AA231">
        <f>IF(T231="",0,IF(T231&lt;12,T231*Controls!$B$29,T231*5))</f>
        <v/>
      </c>
      <c r="AB231">
        <f>IF(E231="",0,NETWORKDAYS(E231,Controls!$B$36,Ref!$K$2:$K$42))</f>
        <v/>
      </c>
      <c r="AC231">
        <f>IF(AND(AA231&gt;0,AB231&gt;=Controls!$B$39*AA231),1,0)</f>
        <v/>
      </c>
      <c r="AD231">
        <f>IF(AND(E231&lt;&gt;"",E231&gt;=Controls!$B$37,E231&lt;=Controls!$B$38),1,0)</f>
        <v/>
      </c>
      <c r="AE231">
        <f>IF(IFERROR(VLOOKUP(D231,Controls!$A$64:$E$74,2,FALSE),"No")="Yes",1,0)</f>
        <v/>
      </c>
      <c r="AF231">
        <f>IF(IFERROR(VLOOKUP(D231,Controls!$A$64:$E$74,3,FALSE),"No")="Yes",1,0)</f>
        <v/>
      </c>
      <c r="AG231">
        <f>IF(IFERROR(VLOOKUP(D231,Controls!$A$64:$E$74,4,FALSE),"No")="Yes",1,0)</f>
        <v/>
      </c>
      <c r="AH231">
        <f>IF(IFERROR(VLOOKUP(D231,Controls!$A$64:$E$74,5,FALSE),"No")="Yes",1,0)</f>
        <v/>
      </c>
      <c r="AI231">
        <f>IF(ISNUMBER(MATCH(D231,Controls!$A$64:$A$74,0)),1,0)</f>
        <v/>
      </c>
      <c r="AJ231">
        <f>Q231-N231</f>
        <v/>
      </c>
      <c r="AK231">
        <f>IF(AE231=1,MAX(0,N231-Q231),0)</f>
        <v/>
      </c>
      <c r="AL231">
        <f>IF(OR(V231="",V231=0),0,N231/V231)</f>
        <v/>
      </c>
      <c r="AM231">
        <f>IF(OR(V231="",V231=0),0,1)</f>
        <v/>
      </c>
      <c r="AN231">
        <f>IF(OR(E231="",F231=""),0,NETWORKDAYS(E231,F231,Ref!$K$2:$K$42))</f>
        <v/>
      </c>
      <c r="AO231">
        <f>IF(L231="Renewal",1,0)</f>
        <v/>
      </c>
      <c r="AP231">
        <f>AC231*AD231</f>
        <v/>
      </c>
      <c r="AQ231">
        <f>IF(AND(G231&lt;&gt;"",'Historical Score'!$C$6&lt;&gt;""),IF(G231='Historical Score'!$C$6,1,0),0)</f>
        <v/>
      </c>
      <c r="AR231">
        <f>IF(AND(L231&lt;&gt;"",'Historical Score'!$C$5&lt;&gt;""),IF(L231='Historical Score'!$C$5,1,0),0)</f>
        <v/>
      </c>
      <c r="AS231">
        <f>IF(AND(Y231&lt;&gt;"",'Historical Score'!$C$7&lt;&gt;""),IF(Y231='Historical Score'!$C$7,1,0),0)</f>
        <v/>
      </c>
      <c r="AT231">
        <f>IF(AND(K231&lt;&gt;"",'Historical Score'!$C$8&lt;&gt;""),IF(K231='Historical Score'!$C$8,1,0),0)</f>
        <v/>
      </c>
      <c r="AU231">
        <f>IF(AND(J231&lt;&gt;"",'Historical Score'!$C$9&lt;&gt;""),IF(J231='Historical Score'!$C$9,1,0),0)</f>
        <v/>
      </c>
      <c r="AV231">
        <f>AR231*AS231*AQ231</f>
        <v/>
      </c>
      <c r="AW231">
        <f>AR231*AT231*AQ231</f>
        <v/>
      </c>
      <c r="AX231">
        <f>AR231*AS231</f>
        <v/>
      </c>
      <c r="AY231">
        <f>AR231*AT231</f>
        <v/>
      </c>
      <c r="AZ231">
        <f>AR231*AQ231</f>
        <v/>
      </c>
      <c r="BA231">
        <f>AR231</f>
        <v/>
      </c>
      <c r="BB231">
        <f>1</f>
        <v/>
      </c>
      <c r="BC231">
        <f>IF(AV231=1,1,IF(AW231=1,2,IF(AX231=1,3,IF(AY231=1,4,IF(AZ231=1,5,IF(BA231=1,6,7))))))</f>
        <v/>
      </c>
      <c r="BD231">
        <f>IF(AD231=1,CHOOSE('Historical Score'!$C$29,AV231,AW231,AX231,AY231,AZ231,BA231,BB231),0)</f>
        <v/>
      </c>
      <c r="BE231">
        <f>IF(BD231=1,COUNTIF($BD$2:BD231,1),"")</f>
        <v/>
      </c>
    </row>
    <row r="232">
      <c r="A232" t="inlineStr">
        <is>
          <t>5674165577</t>
        </is>
      </c>
      <c r="B232" t="inlineStr">
        <is>
          <t>PALMETTO HOME REMODELS LLC</t>
        </is>
      </c>
      <c r="C232" t="inlineStr">
        <is>
          <t>PALMETTO HOME REMODELS LLC</t>
        </is>
      </c>
      <c r="D232" t="inlineStr">
        <is>
          <t>Legal</t>
        </is>
      </c>
      <c r="E232" s="297" t="n">
        <v>45904</v>
      </c>
      <c r="F232" s="297" t="n">
        <v>46031</v>
      </c>
      <c r="G232" t="n">
        <v>3</v>
      </c>
      <c r="H232" t="inlineStr">
        <is>
          <t>1521</t>
        </is>
      </c>
      <c r="I232" t="inlineStr">
        <is>
          <t>15</t>
        </is>
      </c>
      <c r="J232" t="inlineStr">
        <is>
          <t>SC</t>
        </is>
      </c>
      <c r="K232" t="inlineStr">
        <is>
          <t>United Secured Capital 8</t>
        </is>
      </c>
      <c r="L232" t="inlineStr">
        <is>
          <t>New Deal</t>
        </is>
      </c>
      <c r="M232" s="298" t="n">
        <v>1.499</v>
      </c>
      <c r="N232" s="299" t="n">
        <v>15000</v>
      </c>
      <c r="O232" s="299" t="n">
        <v>2100</v>
      </c>
      <c r="P232" s="299" t="n">
        <v>22485</v>
      </c>
      <c r="Q232" s="299" t="n">
        <v>4965</v>
      </c>
      <c r="R232" s="299" t="n">
        <v>17520</v>
      </c>
      <c r="S232" s="300" t="n">
        <v>0.220813875917278</v>
      </c>
      <c r="T232" t="n">
        <v>18</v>
      </c>
      <c r="U232" t="n">
        <v>14</v>
      </c>
      <c r="V232" t="n">
        <v>137534.52</v>
      </c>
      <c r="W232" s="300" t="n">
        <v>0.0361</v>
      </c>
      <c r="X232" s="297" t="n"/>
      <c r="Y232">
        <f>IF(I232="","No SIC",IFERROR(VLOOKUP(I232,Ref!$A$2:$B$65,2,FALSE),"Unclassified"))</f>
        <v/>
      </c>
      <c r="Z232">
        <f>IF(T232="","",IF(T232&lt;12,"Daily","Weekly"))</f>
        <v/>
      </c>
      <c r="AA232">
        <f>IF(T232="",0,IF(T232&lt;12,T232*Controls!$B$29,T232*5))</f>
        <v/>
      </c>
      <c r="AB232">
        <f>IF(E232="",0,NETWORKDAYS(E232,Controls!$B$36,Ref!$K$2:$K$42))</f>
        <v/>
      </c>
      <c r="AC232">
        <f>IF(AND(AA232&gt;0,AB232&gt;=Controls!$B$39*AA232),1,0)</f>
        <v/>
      </c>
      <c r="AD232">
        <f>IF(AND(E232&lt;&gt;"",E232&gt;=Controls!$B$37,E232&lt;=Controls!$B$38),1,0)</f>
        <v/>
      </c>
      <c r="AE232">
        <f>IF(IFERROR(VLOOKUP(D232,Controls!$A$64:$E$74,2,FALSE),"No")="Yes",1,0)</f>
        <v/>
      </c>
      <c r="AF232">
        <f>IF(IFERROR(VLOOKUP(D232,Controls!$A$64:$E$74,3,FALSE),"No")="Yes",1,0)</f>
        <v/>
      </c>
      <c r="AG232">
        <f>IF(IFERROR(VLOOKUP(D232,Controls!$A$64:$E$74,4,FALSE),"No")="Yes",1,0)</f>
        <v/>
      </c>
      <c r="AH232">
        <f>IF(IFERROR(VLOOKUP(D232,Controls!$A$64:$E$74,5,FALSE),"No")="Yes",1,0)</f>
        <v/>
      </c>
      <c r="AI232">
        <f>IF(ISNUMBER(MATCH(D232,Controls!$A$64:$A$74,0)),1,0)</f>
        <v/>
      </c>
      <c r="AJ232">
        <f>Q232-N232</f>
        <v/>
      </c>
      <c r="AK232">
        <f>IF(AE232=1,MAX(0,N232-Q232),0)</f>
        <v/>
      </c>
      <c r="AL232">
        <f>IF(OR(V232="",V232=0),0,N232/V232)</f>
        <v/>
      </c>
      <c r="AM232">
        <f>IF(OR(V232="",V232=0),0,1)</f>
        <v/>
      </c>
      <c r="AN232">
        <f>IF(OR(E232="",F232=""),0,NETWORKDAYS(E232,F232,Ref!$K$2:$K$42))</f>
        <v/>
      </c>
      <c r="AO232">
        <f>IF(L232="Renewal",1,0)</f>
        <v/>
      </c>
      <c r="AP232">
        <f>AC232*AD232</f>
        <v/>
      </c>
      <c r="AQ232">
        <f>IF(AND(G232&lt;&gt;"",'Historical Score'!$C$6&lt;&gt;""),IF(G232='Historical Score'!$C$6,1,0),0)</f>
        <v/>
      </c>
      <c r="AR232">
        <f>IF(AND(L232&lt;&gt;"",'Historical Score'!$C$5&lt;&gt;""),IF(L232='Historical Score'!$C$5,1,0),0)</f>
        <v/>
      </c>
      <c r="AS232">
        <f>IF(AND(Y232&lt;&gt;"",'Historical Score'!$C$7&lt;&gt;""),IF(Y232='Historical Score'!$C$7,1,0),0)</f>
        <v/>
      </c>
      <c r="AT232">
        <f>IF(AND(K232&lt;&gt;"",'Historical Score'!$C$8&lt;&gt;""),IF(K232='Historical Score'!$C$8,1,0),0)</f>
        <v/>
      </c>
      <c r="AU232">
        <f>IF(AND(J232&lt;&gt;"",'Historical Score'!$C$9&lt;&gt;""),IF(J232='Historical Score'!$C$9,1,0),0)</f>
        <v/>
      </c>
      <c r="AV232">
        <f>AR232*AS232*AQ232</f>
        <v/>
      </c>
      <c r="AW232">
        <f>AR232*AT232*AQ232</f>
        <v/>
      </c>
      <c r="AX232">
        <f>AR232*AS232</f>
        <v/>
      </c>
      <c r="AY232">
        <f>AR232*AT232</f>
        <v/>
      </c>
      <c r="AZ232">
        <f>AR232*AQ232</f>
        <v/>
      </c>
      <c r="BA232">
        <f>AR232</f>
        <v/>
      </c>
      <c r="BB232">
        <f>1</f>
        <v/>
      </c>
      <c r="BC232">
        <f>IF(AV232=1,1,IF(AW232=1,2,IF(AX232=1,3,IF(AY232=1,4,IF(AZ232=1,5,IF(BA232=1,6,7))))))</f>
        <v/>
      </c>
      <c r="BD232">
        <f>IF(AD232=1,CHOOSE('Historical Score'!$C$29,AV232,AW232,AX232,AY232,AZ232,BA232,BB232),0)</f>
        <v/>
      </c>
      <c r="BE232">
        <f>IF(BD232=1,COUNTIF($BD$2:BD232,1),"")</f>
        <v/>
      </c>
    </row>
    <row r="233">
      <c r="A233" t="inlineStr">
        <is>
          <t>5674165609</t>
        </is>
      </c>
      <c r="B233" t="inlineStr">
        <is>
          <t>MOOR HERBS MARKETPLACE</t>
        </is>
      </c>
      <c r="C233" t="inlineStr">
        <is>
          <t>THE MOORISH SCIENCE - TEMPLE THE DIVINE AND NATIONAL MOVEMENT OF NORTH AMERICA INC</t>
        </is>
      </c>
      <c r="D233" t="inlineStr">
        <is>
          <t>Closed</t>
        </is>
      </c>
      <c r="E233" s="297" t="n">
        <v>45904</v>
      </c>
      <c r="F233" s="297" t="n">
        <v>45973</v>
      </c>
      <c r="G233" t="n">
        <v>4</v>
      </c>
      <c r="H233" t="inlineStr">
        <is>
          <t>5999</t>
        </is>
      </c>
      <c r="I233" t="inlineStr">
        <is>
          <t>59</t>
        </is>
      </c>
      <c r="J233" t="inlineStr">
        <is>
          <t>MI</t>
        </is>
      </c>
      <c r="K233" t="inlineStr">
        <is>
          <t>United Secured Capital 8</t>
        </is>
      </c>
      <c r="L233" t="inlineStr">
        <is>
          <t>Renewal</t>
        </is>
      </c>
      <c r="M233" s="298" t="n">
        <v>1.49</v>
      </c>
      <c r="N233" s="299" t="n">
        <v>20000</v>
      </c>
      <c r="O233" s="299" t="n">
        <v>2800</v>
      </c>
      <c r="P233" s="299" t="n">
        <v>29800</v>
      </c>
      <c r="Q233" s="299" t="n">
        <v>29800</v>
      </c>
      <c r="R233" s="299" t="n">
        <v>0</v>
      </c>
      <c r="S233" s="300" t="n">
        <v>1</v>
      </c>
      <c r="T233" t="n">
        <v>2.787</v>
      </c>
      <c r="U233" t="n">
        <v>0</v>
      </c>
      <c r="V233" t="n">
        <v>104379.99</v>
      </c>
      <c r="W233" s="300" t="n">
        <v>0.1042</v>
      </c>
      <c r="X233" s="297" t="n">
        <v>43221</v>
      </c>
      <c r="Y233">
        <f>IF(I233="","No SIC",IFERROR(VLOOKUP(I233,Ref!$A$2:$B$65,2,FALSE),"Unclassified"))</f>
        <v/>
      </c>
      <c r="Z233">
        <f>IF(T233="","",IF(T233&lt;12,"Daily","Weekly"))</f>
        <v/>
      </c>
      <c r="AA233">
        <f>IF(T233="",0,IF(T233&lt;12,T233*Controls!$B$29,T233*5))</f>
        <v/>
      </c>
      <c r="AB233">
        <f>IF(E233="",0,NETWORKDAYS(E233,Controls!$B$36,Ref!$K$2:$K$42))</f>
        <v/>
      </c>
      <c r="AC233">
        <f>IF(AND(AA233&gt;0,AB233&gt;=Controls!$B$39*AA233),1,0)</f>
        <v/>
      </c>
      <c r="AD233">
        <f>IF(AND(E233&lt;&gt;"",E233&gt;=Controls!$B$37,E233&lt;=Controls!$B$38),1,0)</f>
        <v/>
      </c>
      <c r="AE233">
        <f>IF(IFERROR(VLOOKUP(D233,Controls!$A$64:$E$74,2,FALSE),"No")="Yes",1,0)</f>
        <v/>
      </c>
      <c r="AF233">
        <f>IF(IFERROR(VLOOKUP(D233,Controls!$A$64:$E$74,3,FALSE),"No")="Yes",1,0)</f>
        <v/>
      </c>
      <c r="AG233">
        <f>IF(IFERROR(VLOOKUP(D233,Controls!$A$64:$E$74,4,FALSE),"No")="Yes",1,0)</f>
        <v/>
      </c>
      <c r="AH233">
        <f>IF(IFERROR(VLOOKUP(D233,Controls!$A$64:$E$74,5,FALSE),"No")="Yes",1,0)</f>
        <v/>
      </c>
      <c r="AI233">
        <f>IF(ISNUMBER(MATCH(D233,Controls!$A$64:$A$74,0)),1,0)</f>
        <v/>
      </c>
      <c r="AJ233">
        <f>Q233-N233</f>
        <v/>
      </c>
      <c r="AK233">
        <f>IF(AE233=1,MAX(0,N233-Q233),0)</f>
        <v/>
      </c>
      <c r="AL233">
        <f>IF(OR(V233="",V233=0),0,N233/V233)</f>
        <v/>
      </c>
      <c r="AM233">
        <f>IF(OR(V233="",V233=0),0,1)</f>
        <v/>
      </c>
      <c r="AN233">
        <f>IF(OR(E233="",F233=""),0,NETWORKDAYS(E233,F233,Ref!$K$2:$K$42))</f>
        <v/>
      </c>
      <c r="AO233">
        <f>IF(L233="Renewal",1,0)</f>
        <v/>
      </c>
      <c r="AP233">
        <f>AC233*AD233</f>
        <v/>
      </c>
      <c r="AQ233">
        <f>IF(AND(G233&lt;&gt;"",'Historical Score'!$C$6&lt;&gt;""),IF(G233='Historical Score'!$C$6,1,0),0)</f>
        <v/>
      </c>
      <c r="AR233">
        <f>IF(AND(L233&lt;&gt;"",'Historical Score'!$C$5&lt;&gt;""),IF(L233='Historical Score'!$C$5,1,0),0)</f>
        <v/>
      </c>
      <c r="AS233">
        <f>IF(AND(Y233&lt;&gt;"",'Historical Score'!$C$7&lt;&gt;""),IF(Y233='Historical Score'!$C$7,1,0),0)</f>
        <v/>
      </c>
      <c r="AT233">
        <f>IF(AND(K233&lt;&gt;"",'Historical Score'!$C$8&lt;&gt;""),IF(K233='Historical Score'!$C$8,1,0),0)</f>
        <v/>
      </c>
      <c r="AU233">
        <f>IF(AND(J233&lt;&gt;"",'Historical Score'!$C$9&lt;&gt;""),IF(J233='Historical Score'!$C$9,1,0),0)</f>
        <v/>
      </c>
      <c r="AV233">
        <f>AR233*AS233*AQ233</f>
        <v/>
      </c>
      <c r="AW233">
        <f>AR233*AT233*AQ233</f>
        <v/>
      </c>
      <c r="AX233">
        <f>AR233*AS233</f>
        <v/>
      </c>
      <c r="AY233">
        <f>AR233*AT233</f>
        <v/>
      </c>
      <c r="AZ233">
        <f>AR233*AQ233</f>
        <v/>
      </c>
      <c r="BA233">
        <f>AR233</f>
        <v/>
      </c>
      <c r="BB233">
        <f>1</f>
        <v/>
      </c>
      <c r="BC233">
        <f>IF(AV233=1,1,IF(AW233=1,2,IF(AX233=1,3,IF(AY233=1,4,IF(AZ233=1,5,IF(BA233=1,6,7))))))</f>
        <v/>
      </c>
      <c r="BD233">
        <f>IF(AD233=1,CHOOSE('Historical Score'!$C$29,AV233,AW233,AX233,AY233,AZ233,BA233,BB233),0)</f>
        <v/>
      </c>
      <c r="BE233">
        <f>IF(BD233=1,COUNTIF($BD$2:BD233,1),"")</f>
        <v/>
      </c>
    </row>
    <row r="234">
      <c r="A234" t="inlineStr">
        <is>
          <t>5674165610</t>
        </is>
      </c>
      <c r="B234" t="inlineStr">
        <is>
          <t>W&amp;D AUTO SALES INC</t>
        </is>
      </c>
      <c r="C234" t="inlineStr">
        <is>
          <t>W&amp;D AUTO SALES INC</t>
        </is>
      </c>
      <c r="D234" t="inlineStr">
        <is>
          <t>Closed</t>
        </is>
      </c>
      <c r="E234" s="297" t="n">
        <v>45904</v>
      </c>
      <c r="F234" s="297" t="n">
        <v>45985</v>
      </c>
      <c r="G234" t="n">
        <v>2</v>
      </c>
      <c r="H234" t="inlineStr">
        <is>
          <t>5599</t>
        </is>
      </c>
      <c r="I234" t="inlineStr">
        <is>
          <t>55</t>
        </is>
      </c>
      <c r="J234" t="inlineStr">
        <is>
          <t>NC</t>
        </is>
      </c>
      <c r="K234" t="inlineStr">
        <is>
          <t>United Secured Capital 8</t>
        </is>
      </c>
      <c r="L234" t="inlineStr">
        <is>
          <t>New Deal</t>
        </is>
      </c>
      <c r="M234" s="298" t="n">
        <v>1.499</v>
      </c>
      <c r="N234" s="299" t="n">
        <v>25000</v>
      </c>
      <c r="O234" s="299" t="n">
        <v>3500</v>
      </c>
      <c r="P234" s="299" t="n">
        <v>37475</v>
      </c>
      <c r="Q234" s="299" t="n">
        <v>37475</v>
      </c>
      <c r="R234" s="299" t="n">
        <v>0</v>
      </c>
      <c r="S234" s="300" t="n">
        <v>1</v>
      </c>
      <c r="T234" t="n">
        <v>24</v>
      </c>
      <c r="U234" t="n">
        <v>0</v>
      </c>
      <c r="V234" t="n">
        <v>78209.86</v>
      </c>
      <c r="W234" s="300" t="n">
        <v>0.0794</v>
      </c>
      <c r="X234" s="297" t="n"/>
      <c r="Y234">
        <f>IF(I234="","No SIC",IFERROR(VLOOKUP(I234,Ref!$A$2:$B$65,2,FALSE),"Unclassified"))</f>
        <v/>
      </c>
      <c r="Z234">
        <f>IF(T234="","",IF(T234&lt;12,"Daily","Weekly"))</f>
        <v/>
      </c>
      <c r="AA234">
        <f>IF(T234="",0,IF(T234&lt;12,T234*Controls!$B$29,T234*5))</f>
        <v/>
      </c>
      <c r="AB234">
        <f>IF(E234="",0,NETWORKDAYS(E234,Controls!$B$36,Ref!$K$2:$K$42))</f>
        <v/>
      </c>
      <c r="AC234">
        <f>IF(AND(AA234&gt;0,AB234&gt;=Controls!$B$39*AA234),1,0)</f>
        <v/>
      </c>
      <c r="AD234">
        <f>IF(AND(E234&lt;&gt;"",E234&gt;=Controls!$B$37,E234&lt;=Controls!$B$38),1,0)</f>
        <v/>
      </c>
      <c r="AE234">
        <f>IF(IFERROR(VLOOKUP(D234,Controls!$A$64:$E$74,2,FALSE),"No")="Yes",1,0)</f>
        <v/>
      </c>
      <c r="AF234">
        <f>IF(IFERROR(VLOOKUP(D234,Controls!$A$64:$E$74,3,FALSE),"No")="Yes",1,0)</f>
        <v/>
      </c>
      <c r="AG234">
        <f>IF(IFERROR(VLOOKUP(D234,Controls!$A$64:$E$74,4,FALSE),"No")="Yes",1,0)</f>
        <v/>
      </c>
      <c r="AH234">
        <f>IF(IFERROR(VLOOKUP(D234,Controls!$A$64:$E$74,5,FALSE),"No")="Yes",1,0)</f>
        <v/>
      </c>
      <c r="AI234">
        <f>IF(ISNUMBER(MATCH(D234,Controls!$A$64:$A$74,0)),1,0)</f>
        <v/>
      </c>
      <c r="AJ234">
        <f>Q234-N234</f>
        <v/>
      </c>
      <c r="AK234">
        <f>IF(AE234=1,MAX(0,N234-Q234),0)</f>
        <v/>
      </c>
      <c r="AL234">
        <f>IF(OR(V234="",V234=0),0,N234/V234)</f>
        <v/>
      </c>
      <c r="AM234">
        <f>IF(OR(V234="",V234=0),0,1)</f>
        <v/>
      </c>
      <c r="AN234">
        <f>IF(OR(E234="",F234=""),0,NETWORKDAYS(E234,F234,Ref!$K$2:$K$42))</f>
        <v/>
      </c>
      <c r="AO234">
        <f>IF(L234="Renewal",1,0)</f>
        <v/>
      </c>
      <c r="AP234">
        <f>AC234*AD234</f>
        <v/>
      </c>
      <c r="AQ234">
        <f>IF(AND(G234&lt;&gt;"",'Historical Score'!$C$6&lt;&gt;""),IF(G234='Historical Score'!$C$6,1,0),0)</f>
        <v/>
      </c>
      <c r="AR234">
        <f>IF(AND(L234&lt;&gt;"",'Historical Score'!$C$5&lt;&gt;""),IF(L234='Historical Score'!$C$5,1,0),0)</f>
        <v/>
      </c>
      <c r="AS234">
        <f>IF(AND(Y234&lt;&gt;"",'Historical Score'!$C$7&lt;&gt;""),IF(Y234='Historical Score'!$C$7,1,0),0)</f>
        <v/>
      </c>
      <c r="AT234">
        <f>IF(AND(K234&lt;&gt;"",'Historical Score'!$C$8&lt;&gt;""),IF(K234='Historical Score'!$C$8,1,0),0)</f>
        <v/>
      </c>
      <c r="AU234">
        <f>IF(AND(J234&lt;&gt;"",'Historical Score'!$C$9&lt;&gt;""),IF(J234='Historical Score'!$C$9,1,0),0)</f>
        <v/>
      </c>
      <c r="AV234">
        <f>AR234*AS234*AQ234</f>
        <v/>
      </c>
      <c r="AW234">
        <f>AR234*AT234*AQ234</f>
        <v/>
      </c>
      <c r="AX234">
        <f>AR234*AS234</f>
        <v/>
      </c>
      <c r="AY234">
        <f>AR234*AT234</f>
        <v/>
      </c>
      <c r="AZ234">
        <f>AR234*AQ234</f>
        <v/>
      </c>
      <c r="BA234">
        <f>AR234</f>
        <v/>
      </c>
      <c r="BB234">
        <f>1</f>
        <v/>
      </c>
      <c r="BC234">
        <f>IF(AV234=1,1,IF(AW234=1,2,IF(AX234=1,3,IF(AY234=1,4,IF(AZ234=1,5,IF(BA234=1,6,7))))))</f>
        <v/>
      </c>
      <c r="BD234">
        <f>IF(AD234=1,CHOOSE('Historical Score'!$C$29,AV234,AW234,AX234,AY234,AZ234,BA234,BB234),0)</f>
        <v/>
      </c>
      <c r="BE234">
        <f>IF(BD234=1,COUNTIF($BD$2:BD234,1),"")</f>
        <v/>
      </c>
    </row>
    <row r="235">
      <c r="A235" t="inlineStr">
        <is>
          <t>5674165622</t>
        </is>
      </c>
      <c r="B235" t="inlineStr">
        <is>
          <t>JACKS PEST MGMT LLC</t>
        </is>
      </c>
      <c r="C235" t="inlineStr">
        <is>
          <t>JACKS PEST MGMT LLC</t>
        </is>
      </c>
      <c r="D235" t="inlineStr">
        <is>
          <t>Closed</t>
        </is>
      </c>
      <c r="E235" s="297" t="n">
        <v>45904</v>
      </c>
      <c r="F235" s="297" t="n">
        <v>46014</v>
      </c>
      <c r="G235" t="n">
        <v>3</v>
      </c>
      <c r="H235" t="inlineStr">
        <is>
          <t>7342</t>
        </is>
      </c>
      <c r="I235" t="inlineStr">
        <is>
          <t>73</t>
        </is>
      </c>
      <c r="J235" t="inlineStr">
        <is>
          <t>MO</t>
        </is>
      </c>
      <c r="K235" t="inlineStr">
        <is>
          <t>Samson Funding</t>
        </is>
      </c>
      <c r="L235" t="inlineStr">
        <is>
          <t>Renewal</t>
        </is>
      </c>
      <c r="M235" s="298" t="n">
        <v>1.499</v>
      </c>
      <c r="N235" s="299" t="n">
        <v>7500</v>
      </c>
      <c r="O235" s="299" t="n">
        <v>1050</v>
      </c>
      <c r="P235" s="299" t="n">
        <v>11242.5</v>
      </c>
      <c r="Q235" s="299" t="n">
        <v>11242.5</v>
      </c>
      <c r="R235" s="299" t="n">
        <v>0</v>
      </c>
      <c r="S235" s="300" t="n">
        <v>1</v>
      </c>
      <c r="T235" t="n">
        <v>3.607</v>
      </c>
      <c r="U235" t="n">
        <v>0</v>
      </c>
      <c r="V235" t="n">
        <v>10878.25</v>
      </c>
      <c r="W235" s="300" t="n">
        <v>0.1973</v>
      </c>
      <c r="X235" s="297" t="n">
        <v>45280</v>
      </c>
      <c r="Y235">
        <f>IF(I235="","No SIC",IFERROR(VLOOKUP(I235,Ref!$A$2:$B$65,2,FALSE),"Unclassified"))</f>
        <v/>
      </c>
      <c r="Z235">
        <f>IF(T235="","",IF(T235&lt;12,"Daily","Weekly"))</f>
        <v/>
      </c>
      <c r="AA235">
        <f>IF(T235="",0,IF(T235&lt;12,T235*Controls!$B$29,T235*5))</f>
        <v/>
      </c>
      <c r="AB235">
        <f>IF(E235="",0,NETWORKDAYS(E235,Controls!$B$36,Ref!$K$2:$K$42))</f>
        <v/>
      </c>
      <c r="AC235">
        <f>IF(AND(AA235&gt;0,AB235&gt;=Controls!$B$39*AA235),1,0)</f>
        <v/>
      </c>
      <c r="AD235">
        <f>IF(AND(E235&lt;&gt;"",E235&gt;=Controls!$B$37,E235&lt;=Controls!$B$38),1,0)</f>
        <v/>
      </c>
      <c r="AE235">
        <f>IF(IFERROR(VLOOKUP(D235,Controls!$A$64:$E$74,2,FALSE),"No")="Yes",1,0)</f>
        <v/>
      </c>
      <c r="AF235">
        <f>IF(IFERROR(VLOOKUP(D235,Controls!$A$64:$E$74,3,FALSE),"No")="Yes",1,0)</f>
        <v/>
      </c>
      <c r="AG235">
        <f>IF(IFERROR(VLOOKUP(D235,Controls!$A$64:$E$74,4,FALSE),"No")="Yes",1,0)</f>
        <v/>
      </c>
      <c r="AH235">
        <f>IF(IFERROR(VLOOKUP(D235,Controls!$A$64:$E$74,5,FALSE),"No")="Yes",1,0)</f>
        <v/>
      </c>
      <c r="AI235">
        <f>IF(ISNUMBER(MATCH(D235,Controls!$A$64:$A$74,0)),1,0)</f>
        <v/>
      </c>
      <c r="AJ235">
        <f>Q235-N235</f>
        <v/>
      </c>
      <c r="AK235">
        <f>IF(AE235=1,MAX(0,N235-Q235),0)</f>
        <v/>
      </c>
      <c r="AL235">
        <f>IF(OR(V235="",V235=0),0,N235/V235)</f>
        <v/>
      </c>
      <c r="AM235">
        <f>IF(OR(V235="",V235=0),0,1)</f>
        <v/>
      </c>
      <c r="AN235">
        <f>IF(OR(E235="",F235=""),0,NETWORKDAYS(E235,F235,Ref!$K$2:$K$42))</f>
        <v/>
      </c>
      <c r="AO235">
        <f>IF(L235="Renewal",1,0)</f>
        <v/>
      </c>
      <c r="AP235">
        <f>AC235*AD235</f>
        <v/>
      </c>
      <c r="AQ235">
        <f>IF(AND(G235&lt;&gt;"",'Historical Score'!$C$6&lt;&gt;""),IF(G235='Historical Score'!$C$6,1,0),0)</f>
        <v/>
      </c>
      <c r="AR235">
        <f>IF(AND(L235&lt;&gt;"",'Historical Score'!$C$5&lt;&gt;""),IF(L235='Historical Score'!$C$5,1,0),0)</f>
        <v/>
      </c>
      <c r="AS235">
        <f>IF(AND(Y235&lt;&gt;"",'Historical Score'!$C$7&lt;&gt;""),IF(Y235='Historical Score'!$C$7,1,0),0)</f>
        <v/>
      </c>
      <c r="AT235">
        <f>IF(AND(K235&lt;&gt;"",'Historical Score'!$C$8&lt;&gt;""),IF(K235='Historical Score'!$C$8,1,0),0)</f>
        <v/>
      </c>
      <c r="AU235">
        <f>IF(AND(J235&lt;&gt;"",'Historical Score'!$C$9&lt;&gt;""),IF(J235='Historical Score'!$C$9,1,0),0)</f>
        <v/>
      </c>
      <c r="AV235">
        <f>AR235*AS235*AQ235</f>
        <v/>
      </c>
      <c r="AW235">
        <f>AR235*AT235*AQ235</f>
        <v/>
      </c>
      <c r="AX235">
        <f>AR235*AS235</f>
        <v/>
      </c>
      <c r="AY235">
        <f>AR235*AT235</f>
        <v/>
      </c>
      <c r="AZ235">
        <f>AR235*AQ235</f>
        <v/>
      </c>
      <c r="BA235">
        <f>AR235</f>
        <v/>
      </c>
      <c r="BB235">
        <f>1</f>
        <v/>
      </c>
      <c r="BC235">
        <f>IF(AV235=1,1,IF(AW235=1,2,IF(AX235=1,3,IF(AY235=1,4,IF(AZ235=1,5,IF(BA235=1,6,7))))))</f>
        <v/>
      </c>
      <c r="BD235">
        <f>IF(AD235=1,CHOOSE('Historical Score'!$C$29,AV235,AW235,AX235,AY235,AZ235,BA235,BB235),0)</f>
        <v/>
      </c>
      <c r="BE235">
        <f>IF(BD235=1,COUNTIF($BD$2:BD235,1),"")</f>
        <v/>
      </c>
    </row>
    <row r="236">
      <c r="A236" t="inlineStr">
        <is>
          <t>5674165708</t>
        </is>
      </c>
      <c r="B236" t="inlineStr">
        <is>
          <t>KCGLLC</t>
        </is>
      </c>
      <c r="C236" t="inlineStr">
        <is>
          <t>KCG LLC</t>
        </is>
      </c>
      <c r="D236" t="inlineStr">
        <is>
          <t>Legal</t>
        </is>
      </c>
      <c r="E236" s="297" t="n">
        <v>45905</v>
      </c>
      <c r="F236" s="297" t="n">
        <v>45958</v>
      </c>
      <c r="G236" t="n">
        <v>3</v>
      </c>
      <c r="H236" t="inlineStr">
        <is>
          <t>1521</t>
        </is>
      </c>
      <c r="I236" t="inlineStr">
        <is>
          <t>15</t>
        </is>
      </c>
      <c r="J236" t="inlineStr">
        <is>
          <t>NC</t>
        </is>
      </c>
      <c r="K236" t="inlineStr">
        <is>
          <t>Elite Advance 5</t>
        </is>
      </c>
      <c r="L236" t="inlineStr">
        <is>
          <t>Renewal</t>
        </is>
      </c>
      <c r="M236" s="298" t="n">
        <v>1.499</v>
      </c>
      <c r="N236" s="299" t="n">
        <v>20000</v>
      </c>
      <c r="O236" s="299" t="n">
        <v>2800</v>
      </c>
      <c r="P236" s="299" t="n">
        <v>29980</v>
      </c>
      <c r="Q236" s="299" t="n">
        <v>10079.75</v>
      </c>
      <c r="R236" s="299" t="n">
        <v>19900.25</v>
      </c>
      <c r="S236" s="300" t="n">
        <v>0.33621581054036</v>
      </c>
      <c r="T236" t="n">
        <v>2.951</v>
      </c>
      <c r="U236" t="n">
        <v>8</v>
      </c>
      <c r="V236" t="n">
        <v>198137.58</v>
      </c>
      <c r="W236" s="300" t="n">
        <v>0.0551</v>
      </c>
      <c r="X236" s="297" t="n"/>
      <c r="Y236">
        <f>IF(I236="","No SIC",IFERROR(VLOOKUP(I236,Ref!$A$2:$B$65,2,FALSE),"Unclassified"))</f>
        <v/>
      </c>
      <c r="Z236">
        <f>IF(T236="","",IF(T236&lt;12,"Daily","Weekly"))</f>
        <v/>
      </c>
      <c r="AA236">
        <f>IF(T236="",0,IF(T236&lt;12,T236*Controls!$B$29,T236*5))</f>
        <v/>
      </c>
      <c r="AB236">
        <f>IF(E236="",0,NETWORKDAYS(E236,Controls!$B$36,Ref!$K$2:$K$42))</f>
        <v/>
      </c>
      <c r="AC236">
        <f>IF(AND(AA236&gt;0,AB236&gt;=Controls!$B$39*AA236),1,0)</f>
        <v/>
      </c>
      <c r="AD236">
        <f>IF(AND(E236&lt;&gt;"",E236&gt;=Controls!$B$37,E236&lt;=Controls!$B$38),1,0)</f>
        <v/>
      </c>
      <c r="AE236">
        <f>IF(IFERROR(VLOOKUP(D236,Controls!$A$64:$E$74,2,FALSE),"No")="Yes",1,0)</f>
        <v/>
      </c>
      <c r="AF236">
        <f>IF(IFERROR(VLOOKUP(D236,Controls!$A$64:$E$74,3,FALSE),"No")="Yes",1,0)</f>
        <v/>
      </c>
      <c r="AG236">
        <f>IF(IFERROR(VLOOKUP(D236,Controls!$A$64:$E$74,4,FALSE),"No")="Yes",1,0)</f>
        <v/>
      </c>
      <c r="AH236">
        <f>IF(IFERROR(VLOOKUP(D236,Controls!$A$64:$E$74,5,FALSE),"No")="Yes",1,0)</f>
        <v/>
      </c>
      <c r="AI236">
        <f>IF(ISNUMBER(MATCH(D236,Controls!$A$64:$A$74,0)),1,0)</f>
        <v/>
      </c>
      <c r="AJ236">
        <f>Q236-N236</f>
        <v/>
      </c>
      <c r="AK236">
        <f>IF(AE236=1,MAX(0,N236-Q236),0)</f>
        <v/>
      </c>
      <c r="AL236">
        <f>IF(OR(V236="",V236=0),0,N236/V236)</f>
        <v/>
      </c>
      <c r="AM236">
        <f>IF(OR(V236="",V236=0),0,1)</f>
        <v/>
      </c>
      <c r="AN236">
        <f>IF(OR(E236="",F236=""),0,NETWORKDAYS(E236,F236,Ref!$K$2:$K$42))</f>
        <v/>
      </c>
      <c r="AO236">
        <f>IF(L236="Renewal",1,0)</f>
        <v/>
      </c>
      <c r="AP236">
        <f>AC236*AD236</f>
        <v/>
      </c>
      <c r="AQ236">
        <f>IF(AND(G236&lt;&gt;"",'Historical Score'!$C$6&lt;&gt;""),IF(G236='Historical Score'!$C$6,1,0),0)</f>
        <v/>
      </c>
      <c r="AR236">
        <f>IF(AND(L236&lt;&gt;"",'Historical Score'!$C$5&lt;&gt;""),IF(L236='Historical Score'!$C$5,1,0),0)</f>
        <v/>
      </c>
      <c r="AS236">
        <f>IF(AND(Y236&lt;&gt;"",'Historical Score'!$C$7&lt;&gt;""),IF(Y236='Historical Score'!$C$7,1,0),0)</f>
        <v/>
      </c>
      <c r="AT236">
        <f>IF(AND(K236&lt;&gt;"",'Historical Score'!$C$8&lt;&gt;""),IF(K236='Historical Score'!$C$8,1,0),0)</f>
        <v/>
      </c>
      <c r="AU236">
        <f>IF(AND(J236&lt;&gt;"",'Historical Score'!$C$9&lt;&gt;""),IF(J236='Historical Score'!$C$9,1,0),0)</f>
        <v/>
      </c>
      <c r="AV236">
        <f>AR236*AS236*AQ236</f>
        <v/>
      </c>
      <c r="AW236">
        <f>AR236*AT236*AQ236</f>
        <v/>
      </c>
      <c r="AX236">
        <f>AR236*AS236</f>
        <v/>
      </c>
      <c r="AY236">
        <f>AR236*AT236</f>
        <v/>
      </c>
      <c r="AZ236">
        <f>AR236*AQ236</f>
        <v/>
      </c>
      <c r="BA236">
        <f>AR236</f>
        <v/>
      </c>
      <c r="BB236">
        <f>1</f>
        <v/>
      </c>
      <c r="BC236">
        <f>IF(AV236=1,1,IF(AW236=1,2,IF(AX236=1,3,IF(AY236=1,4,IF(AZ236=1,5,IF(BA236=1,6,7))))))</f>
        <v/>
      </c>
      <c r="BD236">
        <f>IF(AD236=1,CHOOSE('Historical Score'!$C$29,AV236,AW236,AX236,AY236,AZ236,BA236,BB236),0)</f>
        <v/>
      </c>
      <c r="BE236">
        <f>IF(BD236=1,COUNTIF($BD$2:BD236,1),"")</f>
        <v/>
      </c>
    </row>
    <row r="237">
      <c r="A237" t="inlineStr">
        <is>
          <t>5674165723</t>
        </is>
      </c>
      <c r="B237" t="inlineStr">
        <is>
          <t>BENZ MANAGEMENT INC</t>
        </is>
      </c>
      <c r="C237" t="inlineStr">
        <is>
          <t>BENZ MANAGEMENT INC</t>
        </is>
      </c>
      <c r="D237" t="inlineStr">
        <is>
          <t>Legal</t>
        </is>
      </c>
      <c r="E237" s="297" t="n">
        <v>45905</v>
      </c>
      <c r="F237" s="297" t="n">
        <v>45936</v>
      </c>
      <c r="G237" t="n">
        <v>3</v>
      </c>
      <c r="H237" t="inlineStr">
        <is>
          <t>6531</t>
        </is>
      </c>
      <c r="I237" t="inlineStr">
        <is>
          <t>65</t>
        </is>
      </c>
      <c r="J237" t="inlineStr">
        <is>
          <t>No state</t>
        </is>
      </c>
      <c r="K237" t="inlineStr">
        <is>
          <t>United Secured Capital 8</t>
        </is>
      </c>
      <c r="L237" t="inlineStr">
        <is>
          <t>New Deal</t>
        </is>
      </c>
      <c r="M237" s="298" t="n">
        <v>1.49</v>
      </c>
      <c r="N237" s="299" t="n">
        <v>8000</v>
      </c>
      <c r="O237" s="299" t="n">
        <v>1120</v>
      </c>
      <c r="P237" s="299" t="n">
        <v>11920</v>
      </c>
      <c r="Q237" s="299" t="n">
        <v>2682</v>
      </c>
      <c r="R237" s="299" t="n">
        <v>9238</v>
      </c>
      <c r="S237" s="300" t="n">
        <v>0.225</v>
      </c>
      <c r="T237" t="n">
        <v>2.623</v>
      </c>
      <c r="U237" t="n">
        <v>4</v>
      </c>
      <c r="W237" s="300" t="n">
        <v>0.0149</v>
      </c>
      <c r="X237" s="297" t="n">
        <v>45905</v>
      </c>
      <c r="Y237">
        <f>IF(I237="","No SIC",IFERROR(VLOOKUP(I237,Ref!$A$2:$B$65,2,FALSE),"Unclassified"))</f>
        <v/>
      </c>
      <c r="Z237">
        <f>IF(T237="","",IF(T237&lt;12,"Daily","Weekly"))</f>
        <v/>
      </c>
      <c r="AA237">
        <f>IF(T237="",0,IF(T237&lt;12,T237*Controls!$B$29,T237*5))</f>
        <v/>
      </c>
      <c r="AB237">
        <f>IF(E237="",0,NETWORKDAYS(E237,Controls!$B$36,Ref!$K$2:$K$42))</f>
        <v/>
      </c>
      <c r="AC237">
        <f>IF(AND(AA237&gt;0,AB237&gt;=Controls!$B$39*AA237),1,0)</f>
        <v/>
      </c>
      <c r="AD237">
        <f>IF(AND(E237&lt;&gt;"",E237&gt;=Controls!$B$37,E237&lt;=Controls!$B$38),1,0)</f>
        <v/>
      </c>
      <c r="AE237">
        <f>IF(IFERROR(VLOOKUP(D237,Controls!$A$64:$E$74,2,FALSE),"No")="Yes",1,0)</f>
        <v/>
      </c>
      <c r="AF237">
        <f>IF(IFERROR(VLOOKUP(D237,Controls!$A$64:$E$74,3,FALSE),"No")="Yes",1,0)</f>
        <v/>
      </c>
      <c r="AG237">
        <f>IF(IFERROR(VLOOKUP(D237,Controls!$A$64:$E$74,4,FALSE),"No")="Yes",1,0)</f>
        <v/>
      </c>
      <c r="AH237">
        <f>IF(IFERROR(VLOOKUP(D237,Controls!$A$64:$E$74,5,FALSE),"No")="Yes",1,0)</f>
        <v/>
      </c>
      <c r="AI237">
        <f>IF(ISNUMBER(MATCH(D237,Controls!$A$64:$A$74,0)),1,0)</f>
        <v/>
      </c>
      <c r="AJ237">
        <f>Q237-N237</f>
        <v/>
      </c>
      <c r="AK237">
        <f>IF(AE237=1,MAX(0,N237-Q237),0)</f>
        <v/>
      </c>
      <c r="AL237">
        <f>IF(OR(V237="",V237=0),0,N237/V237)</f>
        <v/>
      </c>
      <c r="AM237">
        <f>IF(OR(V237="",V237=0),0,1)</f>
        <v/>
      </c>
      <c r="AN237">
        <f>IF(OR(E237="",F237=""),0,NETWORKDAYS(E237,F237,Ref!$K$2:$K$42))</f>
        <v/>
      </c>
      <c r="AO237">
        <f>IF(L237="Renewal",1,0)</f>
        <v/>
      </c>
      <c r="AP237">
        <f>AC237*AD237</f>
        <v/>
      </c>
      <c r="AQ237">
        <f>IF(AND(G237&lt;&gt;"",'Historical Score'!$C$6&lt;&gt;""),IF(G237='Historical Score'!$C$6,1,0),0)</f>
        <v/>
      </c>
      <c r="AR237">
        <f>IF(AND(L237&lt;&gt;"",'Historical Score'!$C$5&lt;&gt;""),IF(L237='Historical Score'!$C$5,1,0),0)</f>
        <v/>
      </c>
      <c r="AS237">
        <f>IF(AND(Y237&lt;&gt;"",'Historical Score'!$C$7&lt;&gt;""),IF(Y237='Historical Score'!$C$7,1,0),0)</f>
        <v/>
      </c>
      <c r="AT237">
        <f>IF(AND(K237&lt;&gt;"",'Historical Score'!$C$8&lt;&gt;""),IF(K237='Historical Score'!$C$8,1,0),0)</f>
        <v/>
      </c>
      <c r="AU237">
        <f>IF(AND(J237&lt;&gt;"",'Historical Score'!$C$9&lt;&gt;""),IF(J237='Historical Score'!$C$9,1,0),0)</f>
        <v/>
      </c>
      <c r="AV237">
        <f>AR237*AS237*AQ237</f>
        <v/>
      </c>
      <c r="AW237">
        <f>AR237*AT237*AQ237</f>
        <v/>
      </c>
      <c r="AX237">
        <f>AR237*AS237</f>
        <v/>
      </c>
      <c r="AY237">
        <f>AR237*AT237</f>
        <v/>
      </c>
      <c r="AZ237">
        <f>AR237*AQ237</f>
        <v/>
      </c>
      <c r="BA237">
        <f>AR237</f>
        <v/>
      </c>
      <c r="BB237">
        <f>1</f>
        <v/>
      </c>
      <c r="BC237">
        <f>IF(AV237=1,1,IF(AW237=1,2,IF(AX237=1,3,IF(AY237=1,4,IF(AZ237=1,5,IF(BA237=1,6,7))))))</f>
        <v/>
      </c>
      <c r="BD237">
        <f>IF(AD237=1,CHOOSE('Historical Score'!$C$29,AV237,AW237,AX237,AY237,AZ237,BA237,BB237),0)</f>
        <v/>
      </c>
      <c r="BE237">
        <f>IF(BD237=1,COUNTIF($BD$2:BD237,1),"")</f>
        <v/>
      </c>
    </row>
    <row r="238">
      <c r="A238" t="inlineStr">
        <is>
          <t>5674165729</t>
        </is>
      </c>
      <c r="B238" t="inlineStr">
        <is>
          <t>﻿TRIPLE D FINANCIAL INC</t>
        </is>
      </c>
      <c r="C238" t="inlineStr">
        <is>
          <t>﻿TRIPLE D FINANCIAL INC</t>
        </is>
      </c>
      <c r="D238" t="inlineStr">
        <is>
          <t>Closed</t>
        </is>
      </c>
      <c r="E238" s="297" t="n">
        <v>45905</v>
      </c>
      <c r="F238" s="297" t="n">
        <v>46007</v>
      </c>
      <c r="G238" t="n">
        <v>4</v>
      </c>
      <c r="H238" t="inlineStr">
        <is>
          <t>7291</t>
        </is>
      </c>
      <c r="I238" t="inlineStr">
        <is>
          <t>72</t>
        </is>
      </c>
      <c r="J238" t="inlineStr">
        <is>
          <t>No state</t>
        </is>
      </c>
      <c r="K238" t="inlineStr">
        <is>
          <t>Fundwell</t>
        </is>
      </c>
      <c r="L238" t="inlineStr">
        <is>
          <t>New Deal</t>
        </is>
      </c>
      <c r="M238" s="298" t="n">
        <v>1.42</v>
      </c>
      <c r="N238" s="299" t="n">
        <v>21126</v>
      </c>
      <c r="O238" s="299" t="n">
        <v>2957.64</v>
      </c>
      <c r="P238" s="299" t="n">
        <v>29998.92</v>
      </c>
      <c r="Q238" s="299" t="n">
        <v>29998.92</v>
      </c>
      <c r="R238" s="299" t="n">
        <v>0</v>
      </c>
      <c r="S238" s="300" t="n">
        <v>1</v>
      </c>
      <c r="T238" t="n">
        <v>3.934</v>
      </c>
      <c r="U238" t="n">
        <v>0</v>
      </c>
      <c r="W238" s="300" t="n"/>
      <c r="X238" s="297" t="n">
        <v>44490</v>
      </c>
      <c r="Y238">
        <f>IF(I238="","No SIC",IFERROR(VLOOKUP(I238,Ref!$A$2:$B$65,2,FALSE),"Unclassified"))</f>
        <v/>
      </c>
      <c r="Z238">
        <f>IF(T238="","",IF(T238&lt;12,"Daily","Weekly"))</f>
        <v/>
      </c>
      <c r="AA238">
        <f>IF(T238="",0,IF(T238&lt;12,T238*Controls!$B$29,T238*5))</f>
        <v/>
      </c>
      <c r="AB238">
        <f>IF(E238="",0,NETWORKDAYS(E238,Controls!$B$36,Ref!$K$2:$K$42))</f>
        <v/>
      </c>
      <c r="AC238">
        <f>IF(AND(AA238&gt;0,AB238&gt;=Controls!$B$39*AA238),1,0)</f>
        <v/>
      </c>
      <c r="AD238">
        <f>IF(AND(E238&lt;&gt;"",E238&gt;=Controls!$B$37,E238&lt;=Controls!$B$38),1,0)</f>
        <v/>
      </c>
      <c r="AE238">
        <f>IF(IFERROR(VLOOKUP(D238,Controls!$A$64:$E$74,2,FALSE),"No")="Yes",1,0)</f>
        <v/>
      </c>
      <c r="AF238">
        <f>IF(IFERROR(VLOOKUP(D238,Controls!$A$64:$E$74,3,FALSE),"No")="Yes",1,0)</f>
        <v/>
      </c>
      <c r="AG238">
        <f>IF(IFERROR(VLOOKUP(D238,Controls!$A$64:$E$74,4,FALSE),"No")="Yes",1,0)</f>
        <v/>
      </c>
      <c r="AH238">
        <f>IF(IFERROR(VLOOKUP(D238,Controls!$A$64:$E$74,5,FALSE),"No")="Yes",1,0)</f>
        <v/>
      </c>
      <c r="AI238">
        <f>IF(ISNUMBER(MATCH(D238,Controls!$A$64:$A$74,0)),1,0)</f>
        <v/>
      </c>
      <c r="AJ238">
        <f>Q238-N238</f>
        <v/>
      </c>
      <c r="AK238">
        <f>IF(AE238=1,MAX(0,N238-Q238),0)</f>
        <v/>
      </c>
      <c r="AL238">
        <f>IF(OR(V238="",V238=0),0,N238/V238)</f>
        <v/>
      </c>
      <c r="AM238">
        <f>IF(OR(V238="",V238=0),0,1)</f>
        <v/>
      </c>
      <c r="AN238">
        <f>IF(OR(E238="",F238=""),0,NETWORKDAYS(E238,F238,Ref!$K$2:$K$42))</f>
        <v/>
      </c>
      <c r="AO238">
        <f>IF(L238="Renewal",1,0)</f>
        <v/>
      </c>
      <c r="AP238">
        <f>AC238*AD238</f>
        <v/>
      </c>
      <c r="AQ238">
        <f>IF(AND(G238&lt;&gt;"",'Historical Score'!$C$6&lt;&gt;""),IF(G238='Historical Score'!$C$6,1,0),0)</f>
        <v/>
      </c>
      <c r="AR238">
        <f>IF(AND(L238&lt;&gt;"",'Historical Score'!$C$5&lt;&gt;""),IF(L238='Historical Score'!$C$5,1,0),0)</f>
        <v/>
      </c>
      <c r="AS238">
        <f>IF(AND(Y238&lt;&gt;"",'Historical Score'!$C$7&lt;&gt;""),IF(Y238='Historical Score'!$C$7,1,0),0)</f>
        <v/>
      </c>
      <c r="AT238">
        <f>IF(AND(K238&lt;&gt;"",'Historical Score'!$C$8&lt;&gt;""),IF(K238='Historical Score'!$C$8,1,0),0)</f>
        <v/>
      </c>
      <c r="AU238">
        <f>IF(AND(J238&lt;&gt;"",'Historical Score'!$C$9&lt;&gt;""),IF(J238='Historical Score'!$C$9,1,0),0)</f>
        <v/>
      </c>
      <c r="AV238">
        <f>AR238*AS238*AQ238</f>
        <v/>
      </c>
      <c r="AW238">
        <f>AR238*AT238*AQ238</f>
        <v/>
      </c>
      <c r="AX238">
        <f>AR238*AS238</f>
        <v/>
      </c>
      <c r="AY238">
        <f>AR238*AT238</f>
        <v/>
      </c>
      <c r="AZ238">
        <f>AR238*AQ238</f>
        <v/>
      </c>
      <c r="BA238">
        <f>AR238</f>
        <v/>
      </c>
      <c r="BB238">
        <f>1</f>
        <v/>
      </c>
      <c r="BC238">
        <f>IF(AV238=1,1,IF(AW238=1,2,IF(AX238=1,3,IF(AY238=1,4,IF(AZ238=1,5,IF(BA238=1,6,7))))))</f>
        <v/>
      </c>
      <c r="BD238">
        <f>IF(AD238=1,CHOOSE('Historical Score'!$C$29,AV238,AW238,AX238,AY238,AZ238,BA238,BB238),0)</f>
        <v/>
      </c>
      <c r="BE238">
        <f>IF(BD238=1,COUNTIF($BD$2:BD238,1),"")</f>
        <v/>
      </c>
    </row>
    <row r="239">
      <c r="A239" t="inlineStr">
        <is>
          <t>5674165739</t>
        </is>
      </c>
      <c r="B239" t="inlineStr">
        <is>
          <t>Az deck pros</t>
        </is>
      </c>
      <c r="C239" t="inlineStr">
        <is>
          <t>AZ COOL DECK LLC</t>
        </is>
      </c>
      <c r="D239" t="inlineStr">
        <is>
          <t>Closed</t>
        </is>
      </c>
      <c r="E239" s="297" t="n">
        <v>45905</v>
      </c>
      <c r="F239" s="297" t="n">
        <v>45929</v>
      </c>
      <c r="G239" t="n">
        <v>1</v>
      </c>
      <c r="H239" t="inlineStr">
        <is>
          <t>1521</t>
        </is>
      </c>
      <c r="I239" t="inlineStr">
        <is>
          <t>15</t>
        </is>
      </c>
      <c r="J239" t="inlineStr">
        <is>
          <t>AZ</t>
        </is>
      </c>
      <c r="K239" t="inlineStr">
        <is>
          <t>Go Ai Ez LLC Dba:Gova Funding</t>
        </is>
      </c>
      <c r="L239" t="inlineStr">
        <is>
          <t>New Deal</t>
        </is>
      </c>
      <c r="M239" s="298" t="n">
        <v>1.30835</v>
      </c>
      <c r="N239" s="299" t="n">
        <v>15000</v>
      </c>
      <c r="O239" s="299" t="n">
        <v>1200</v>
      </c>
      <c r="P239" s="299" t="n">
        <v>19625.25</v>
      </c>
      <c r="Q239" s="299" t="n">
        <v>19625.25</v>
      </c>
      <c r="R239" s="299" t="n">
        <v>0</v>
      </c>
      <c r="S239" s="300" t="n">
        <v>1</v>
      </c>
      <c r="T239" t="n">
        <v>20</v>
      </c>
      <c r="U239" t="n">
        <v>1</v>
      </c>
      <c r="V239" t="n">
        <v>45000</v>
      </c>
      <c r="W239" s="300" t="n">
        <v>0.0548</v>
      </c>
      <c r="X239" s="297" t="n">
        <v>45505</v>
      </c>
      <c r="Y239">
        <f>IF(I239="","No SIC",IFERROR(VLOOKUP(I239,Ref!$A$2:$B$65,2,FALSE),"Unclassified"))</f>
        <v/>
      </c>
      <c r="Z239">
        <f>IF(T239="","",IF(T239&lt;12,"Daily","Weekly"))</f>
        <v/>
      </c>
      <c r="AA239">
        <f>IF(T239="",0,IF(T239&lt;12,T239*Controls!$B$29,T239*5))</f>
        <v/>
      </c>
      <c r="AB239">
        <f>IF(E239="",0,NETWORKDAYS(E239,Controls!$B$36,Ref!$K$2:$K$42))</f>
        <v/>
      </c>
      <c r="AC239">
        <f>IF(AND(AA239&gt;0,AB239&gt;=Controls!$B$39*AA239),1,0)</f>
        <v/>
      </c>
      <c r="AD239">
        <f>IF(AND(E239&lt;&gt;"",E239&gt;=Controls!$B$37,E239&lt;=Controls!$B$38),1,0)</f>
        <v/>
      </c>
      <c r="AE239">
        <f>IF(IFERROR(VLOOKUP(D239,Controls!$A$64:$E$74,2,FALSE),"No")="Yes",1,0)</f>
        <v/>
      </c>
      <c r="AF239">
        <f>IF(IFERROR(VLOOKUP(D239,Controls!$A$64:$E$74,3,FALSE),"No")="Yes",1,0)</f>
        <v/>
      </c>
      <c r="AG239">
        <f>IF(IFERROR(VLOOKUP(D239,Controls!$A$64:$E$74,4,FALSE),"No")="Yes",1,0)</f>
        <v/>
      </c>
      <c r="AH239">
        <f>IF(IFERROR(VLOOKUP(D239,Controls!$A$64:$E$74,5,FALSE),"No")="Yes",1,0)</f>
        <v/>
      </c>
      <c r="AI239">
        <f>IF(ISNUMBER(MATCH(D239,Controls!$A$64:$A$74,0)),1,0)</f>
        <v/>
      </c>
      <c r="AJ239">
        <f>Q239-N239</f>
        <v/>
      </c>
      <c r="AK239">
        <f>IF(AE239=1,MAX(0,N239-Q239),0)</f>
        <v/>
      </c>
      <c r="AL239">
        <f>IF(OR(V239="",V239=0),0,N239/V239)</f>
        <v/>
      </c>
      <c r="AM239">
        <f>IF(OR(V239="",V239=0),0,1)</f>
        <v/>
      </c>
      <c r="AN239">
        <f>IF(OR(E239="",F239=""),0,NETWORKDAYS(E239,F239,Ref!$K$2:$K$42))</f>
        <v/>
      </c>
      <c r="AO239">
        <f>IF(L239="Renewal",1,0)</f>
        <v/>
      </c>
      <c r="AP239">
        <f>AC239*AD239</f>
        <v/>
      </c>
      <c r="AQ239">
        <f>IF(AND(G239&lt;&gt;"",'Historical Score'!$C$6&lt;&gt;""),IF(G239='Historical Score'!$C$6,1,0),0)</f>
        <v/>
      </c>
      <c r="AR239">
        <f>IF(AND(L239&lt;&gt;"",'Historical Score'!$C$5&lt;&gt;""),IF(L239='Historical Score'!$C$5,1,0),0)</f>
        <v/>
      </c>
      <c r="AS239">
        <f>IF(AND(Y239&lt;&gt;"",'Historical Score'!$C$7&lt;&gt;""),IF(Y239='Historical Score'!$C$7,1,0),0)</f>
        <v/>
      </c>
      <c r="AT239">
        <f>IF(AND(K239&lt;&gt;"",'Historical Score'!$C$8&lt;&gt;""),IF(K239='Historical Score'!$C$8,1,0),0)</f>
        <v/>
      </c>
      <c r="AU239">
        <f>IF(AND(J239&lt;&gt;"",'Historical Score'!$C$9&lt;&gt;""),IF(J239='Historical Score'!$C$9,1,0),0)</f>
        <v/>
      </c>
      <c r="AV239">
        <f>AR239*AS239*AQ239</f>
        <v/>
      </c>
      <c r="AW239">
        <f>AR239*AT239*AQ239</f>
        <v/>
      </c>
      <c r="AX239">
        <f>AR239*AS239</f>
        <v/>
      </c>
      <c r="AY239">
        <f>AR239*AT239</f>
        <v/>
      </c>
      <c r="AZ239">
        <f>AR239*AQ239</f>
        <v/>
      </c>
      <c r="BA239">
        <f>AR239</f>
        <v/>
      </c>
      <c r="BB239">
        <f>1</f>
        <v/>
      </c>
      <c r="BC239">
        <f>IF(AV239=1,1,IF(AW239=1,2,IF(AX239=1,3,IF(AY239=1,4,IF(AZ239=1,5,IF(BA239=1,6,7))))))</f>
        <v/>
      </c>
      <c r="BD239">
        <f>IF(AD239=1,CHOOSE('Historical Score'!$C$29,AV239,AW239,AX239,AY239,AZ239,BA239,BB239),0)</f>
        <v/>
      </c>
      <c r="BE239">
        <f>IF(BD239=1,COUNTIF($BD$2:BD239,1),"")</f>
        <v/>
      </c>
    </row>
    <row r="240">
      <c r="A240" t="inlineStr">
        <is>
          <t>5674165849</t>
        </is>
      </c>
      <c r="B240" t="inlineStr">
        <is>
          <t>BD Home Group Inc</t>
        </is>
      </c>
      <c r="C240" t="inlineStr">
        <is>
          <t>BD Home Group Inc</t>
        </is>
      </c>
      <c r="D240" t="inlineStr">
        <is>
          <t>Legal</t>
        </is>
      </c>
      <c r="E240" s="297" t="n">
        <v>45908</v>
      </c>
      <c r="F240" s="297" t="n">
        <v>46175</v>
      </c>
      <c r="G240" t="n">
        <v>2</v>
      </c>
      <c r="H240" t="inlineStr">
        <is>
          <t>1521</t>
        </is>
      </c>
      <c r="I240" t="inlineStr">
        <is>
          <t>15</t>
        </is>
      </c>
      <c r="J240" t="inlineStr">
        <is>
          <t>CA</t>
        </is>
      </c>
      <c r="K240" t="inlineStr">
        <is>
          <t>Tech Consulting Pro LLC D/B/A: Nationwide Advance</t>
        </is>
      </c>
      <c r="L240" t="inlineStr">
        <is>
          <t>New Deal</t>
        </is>
      </c>
      <c r="M240" s="298" t="n">
        <v>1.499</v>
      </c>
      <c r="N240" s="299" t="n">
        <v>16000</v>
      </c>
      <c r="O240" s="299" t="n">
        <v>0</v>
      </c>
      <c r="P240" s="299" t="n">
        <v>23984</v>
      </c>
      <c r="Q240" s="299" t="n">
        <v>866.4</v>
      </c>
      <c r="R240" s="299" t="n">
        <v>23117.6</v>
      </c>
      <c r="S240" s="300" t="n">
        <v>0.0361240827218145</v>
      </c>
      <c r="T240" t="n">
        <v>1.803</v>
      </c>
      <c r="U240" t="n">
        <v>26</v>
      </c>
      <c r="V240" t="n">
        <v>218160.46</v>
      </c>
      <c r="W240" s="300" t="n">
        <v>0.0417</v>
      </c>
      <c r="X240" s="297" t="n"/>
      <c r="Y240">
        <f>IF(I240="","No SIC",IFERROR(VLOOKUP(I240,Ref!$A$2:$B$65,2,FALSE),"Unclassified"))</f>
        <v/>
      </c>
      <c r="Z240">
        <f>IF(T240="","",IF(T240&lt;12,"Daily","Weekly"))</f>
        <v/>
      </c>
      <c r="AA240">
        <f>IF(T240="",0,IF(T240&lt;12,T240*Controls!$B$29,T240*5))</f>
        <v/>
      </c>
      <c r="AB240">
        <f>IF(E240="",0,NETWORKDAYS(E240,Controls!$B$36,Ref!$K$2:$K$42))</f>
        <v/>
      </c>
      <c r="AC240">
        <f>IF(AND(AA240&gt;0,AB240&gt;=Controls!$B$39*AA240),1,0)</f>
        <v/>
      </c>
      <c r="AD240">
        <f>IF(AND(E240&lt;&gt;"",E240&gt;=Controls!$B$37,E240&lt;=Controls!$B$38),1,0)</f>
        <v/>
      </c>
      <c r="AE240">
        <f>IF(IFERROR(VLOOKUP(D240,Controls!$A$64:$E$74,2,FALSE),"No")="Yes",1,0)</f>
        <v/>
      </c>
      <c r="AF240">
        <f>IF(IFERROR(VLOOKUP(D240,Controls!$A$64:$E$74,3,FALSE),"No")="Yes",1,0)</f>
        <v/>
      </c>
      <c r="AG240">
        <f>IF(IFERROR(VLOOKUP(D240,Controls!$A$64:$E$74,4,FALSE),"No")="Yes",1,0)</f>
        <v/>
      </c>
      <c r="AH240">
        <f>IF(IFERROR(VLOOKUP(D240,Controls!$A$64:$E$74,5,FALSE),"No")="Yes",1,0)</f>
        <v/>
      </c>
      <c r="AI240">
        <f>IF(ISNUMBER(MATCH(D240,Controls!$A$64:$A$74,0)),1,0)</f>
        <v/>
      </c>
      <c r="AJ240">
        <f>Q240-N240</f>
        <v/>
      </c>
      <c r="AK240">
        <f>IF(AE240=1,MAX(0,N240-Q240),0)</f>
        <v/>
      </c>
      <c r="AL240">
        <f>IF(OR(V240="",V240=0),0,N240/V240)</f>
        <v/>
      </c>
      <c r="AM240">
        <f>IF(OR(V240="",V240=0),0,1)</f>
        <v/>
      </c>
      <c r="AN240">
        <f>IF(OR(E240="",F240=""),0,NETWORKDAYS(E240,F240,Ref!$K$2:$K$42))</f>
        <v/>
      </c>
      <c r="AO240">
        <f>IF(L240="Renewal",1,0)</f>
        <v/>
      </c>
      <c r="AP240">
        <f>AC240*AD240</f>
        <v/>
      </c>
      <c r="AQ240">
        <f>IF(AND(G240&lt;&gt;"",'Historical Score'!$C$6&lt;&gt;""),IF(G240='Historical Score'!$C$6,1,0),0)</f>
        <v/>
      </c>
      <c r="AR240">
        <f>IF(AND(L240&lt;&gt;"",'Historical Score'!$C$5&lt;&gt;""),IF(L240='Historical Score'!$C$5,1,0),0)</f>
        <v/>
      </c>
      <c r="AS240">
        <f>IF(AND(Y240&lt;&gt;"",'Historical Score'!$C$7&lt;&gt;""),IF(Y240='Historical Score'!$C$7,1,0),0)</f>
        <v/>
      </c>
      <c r="AT240">
        <f>IF(AND(K240&lt;&gt;"",'Historical Score'!$C$8&lt;&gt;""),IF(K240='Historical Score'!$C$8,1,0),0)</f>
        <v/>
      </c>
      <c r="AU240">
        <f>IF(AND(J240&lt;&gt;"",'Historical Score'!$C$9&lt;&gt;""),IF(J240='Historical Score'!$C$9,1,0),0)</f>
        <v/>
      </c>
      <c r="AV240">
        <f>AR240*AS240*AQ240</f>
        <v/>
      </c>
      <c r="AW240">
        <f>AR240*AT240*AQ240</f>
        <v/>
      </c>
      <c r="AX240">
        <f>AR240*AS240</f>
        <v/>
      </c>
      <c r="AY240">
        <f>AR240*AT240</f>
        <v/>
      </c>
      <c r="AZ240">
        <f>AR240*AQ240</f>
        <v/>
      </c>
      <c r="BA240">
        <f>AR240</f>
        <v/>
      </c>
      <c r="BB240">
        <f>1</f>
        <v/>
      </c>
      <c r="BC240">
        <f>IF(AV240=1,1,IF(AW240=1,2,IF(AX240=1,3,IF(AY240=1,4,IF(AZ240=1,5,IF(BA240=1,6,7))))))</f>
        <v/>
      </c>
      <c r="BD240">
        <f>IF(AD240=1,CHOOSE('Historical Score'!$C$29,AV240,AW240,AX240,AY240,AZ240,BA240,BB240),0)</f>
        <v/>
      </c>
      <c r="BE240">
        <f>IF(BD240=1,COUNTIF($BD$2:BD240,1),"")</f>
        <v/>
      </c>
    </row>
    <row r="241">
      <c r="A241" t="inlineStr">
        <is>
          <t>5674165932</t>
        </is>
      </c>
      <c r="B241" t="inlineStr">
        <is>
          <t>Jay's Technology Solutions, LLC</t>
        </is>
      </c>
      <c r="C241" t="inlineStr">
        <is>
          <t>Jay's Technology Solutions, LLC</t>
        </is>
      </c>
      <c r="D241" t="inlineStr">
        <is>
          <t>In House Collection</t>
        </is>
      </c>
      <c r="E241" s="297" t="n">
        <v>45909</v>
      </c>
      <c r="F241" s="297" t="n">
        <v>46248</v>
      </c>
      <c r="G241" t="n">
        <v>1</v>
      </c>
      <c r="H241" t="inlineStr">
        <is>
          <t>7371</t>
        </is>
      </c>
      <c r="I241" t="inlineStr">
        <is>
          <t>73</t>
        </is>
      </c>
      <c r="J241" t="inlineStr">
        <is>
          <t>WA</t>
        </is>
      </c>
      <c r="K241" t="inlineStr">
        <is>
          <t>Go Ai Ez LLC Dba:Gova Funding</t>
        </is>
      </c>
      <c r="L241" t="inlineStr">
        <is>
          <t>New Deal</t>
        </is>
      </c>
      <c r="M241" s="298" t="n">
        <v>1.499</v>
      </c>
      <c r="N241" s="299" t="n">
        <v>8000</v>
      </c>
      <c r="O241" s="299" t="n">
        <v>0</v>
      </c>
      <c r="P241" s="299" t="n">
        <v>11992</v>
      </c>
      <c r="Q241" s="299" t="n">
        <v>2789.48</v>
      </c>
      <c r="R241" s="299" t="n">
        <v>9202.52</v>
      </c>
      <c r="S241" s="300" t="n">
        <v>0.232611741160774</v>
      </c>
      <c r="T241" t="n">
        <v>2.82</v>
      </c>
      <c r="U241" t="n">
        <v>40</v>
      </c>
      <c r="V241" t="n">
        <v>13137.95</v>
      </c>
      <c r="W241" s="300" t="n">
        <v>0.2224</v>
      </c>
      <c r="X241" s="297" t="n">
        <v>37580</v>
      </c>
      <c r="Y241">
        <f>IF(I241="","No SIC",IFERROR(VLOOKUP(I241,Ref!$A$2:$B$65,2,FALSE),"Unclassified"))</f>
        <v/>
      </c>
      <c r="Z241">
        <f>IF(T241="","",IF(T241&lt;12,"Daily","Weekly"))</f>
        <v/>
      </c>
      <c r="AA241">
        <f>IF(T241="",0,IF(T241&lt;12,T241*Controls!$B$29,T241*5))</f>
        <v/>
      </c>
      <c r="AB241">
        <f>IF(E241="",0,NETWORKDAYS(E241,Controls!$B$36,Ref!$K$2:$K$42))</f>
        <v/>
      </c>
      <c r="AC241">
        <f>IF(AND(AA241&gt;0,AB241&gt;=Controls!$B$39*AA241),1,0)</f>
        <v/>
      </c>
      <c r="AD241">
        <f>IF(AND(E241&lt;&gt;"",E241&gt;=Controls!$B$37,E241&lt;=Controls!$B$38),1,0)</f>
        <v/>
      </c>
      <c r="AE241">
        <f>IF(IFERROR(VLOOKUP(D241,Controls!$A$64:$E$74,2,FALSE),"No")="Yes",1,0)</f>
        <v/>
      </c>
      <c r="AF241">
        <f>IF(IFERROR(VLOOKUP(D241,Controls!$A$64:$E$74,3,FALSE),"No")="Yes",1,0)</f>
        <v/>
      </c>
      <c r="AG241">
        <f>IF(IFERROR(VLOOKUP(D241,Controls!$A$64:$E$74,4,FALSE),"No")="Yes",1,0)</f>
        <v/>
      </c>
      <c r="AH241">
        <f>IF(IFERROR(VLOOKUP(D241,Controls!$A$64:$E$74,5,FALSE),"No")="Yes",1,0)</f>
        <v/>
      </c>
      <c r="AI241">
        <f>IF(ISNUMBER(MATCH(D241,Controls!$A$64:$A$74,0)),1,0)</f>
        <v/>
      </c>
      <c r="AJ241">
        <f>Q241-N241</f>
        <v/>
      </c>
      <c r="AK241">
        <f>IF(AE241=1,MAX(0,N241-Q241),0)</f>
        <v/>
      </c>
      <c r="AL241">
        <f>IF(OR(V241="",V241=0),0,N241/V241)</f>
        <v/>
      </c>
      <c r="AM241">
        <f>IF(OR(V241="",V241=0),0,1)</f>
        <v/>
      </c>
      <c r="AN241">
        <f>IF(OR(E241="",F241=""),0,NETWORKDAYS(E241,F241,Ref!$K$2:$K$42))</f>
        <v/>
      </c>
      <c r="AO241">
        <f>IF(L241="Renewal",1,0)</f>
        <v/>
      </c>
      <c r="AP241">
        <f>AC241*AD241</f>
        <v/>
      </c>
      <c r="AQ241">
        <f>IF(AND(G241&lt;&gt;"",'Historical Score'!$C$6&lt;&gt;""),IF(G241='Historical Score'!$C$6,1,0),0)</f>
        <v/>
      </c>
      <c r="AR241">
        <f>IF(AND(L241&lt;&gt;"",'Historical Score'!$C$5&lt;&gt;""),IF(L241='Historical Score'!$C$5,1,0),0)</f>
        <v/>
      </c>
      <c r="AS241">
        <f>IF(AND(Y241&lt;&gt;"",'Historical Score'!$C$7&lt;&gt;""),IF(Y241='Historical Score'!$C$7,1,0),0)</f>
        <v/>
      </c>
      <c r="AT241">
        <f>IF(AND(K241&lt;&gt;"",'Historical Score'!$C$8&lt;&gt;""),IF(K241='Historical Score'!$C$8,1,0),0)</f>
        <v/>
      </c>
      <c r="AU241">
        <f>IF(AND(J241&lt;&gt;"",'Historical Score'!$C$9&lt;&gt;""),IF(J241='Historical Score'!$C$9,1,0),0)</f>
        <v/>
      </c>
      <c r="AV241">
        <f>AR241*AS241*AQ241</f>
        <v/>
      </c>
      <c r="AW241">
        <f>AR241*AT241*AQ241</f>
        <v/>
      </c>
      <c r="AX241">
        <f>AR241*AS241</f>
        <v/>
      </c>
      <c r="AY241">
        <f>AR241*AT241</f>
        <v/>
      </c>
      <c r="AZ241">
        <f>AR241*AQ241</f>
        <v/>
      </c>
      <c r="BA241">
        <f>AR241</f>
        <v/>
      </c>
      <c r="BB241">
        <f>1</f>
        <v/>
      </c>
      <c r="BC241">
        <f>IF(AV241=1,1,IF(AW241=1,2,IF(AX241=1,3,IF(AY241=1,4,IF(AZ241=1,5,IF(BA241=1,6,7))))))</f>
        <v/>
      </c>
      <c r="BD241">
        <f>IF(AD241=1,CHOOSE('Historical Score'!$C$29,AV241,AW241,AX241,AY241,AZ241,BA241,BB241),0)</f>
        <v/>
      </c>
      <c r="BE241">
        <f>IF(BD241=1,COUNTIF($BD$2:BD241,1),"")</f>
        <v/>
      </c>
    </row>
    <row r="242">
      <c r="A242" t="inlineStr">
        <is>
          <t>5674165956</t>
        </is>
      </c>
      <c r="B242" t="inlineStr">
        <is>
          <t>Cygnus Staffing and Consulting Inc</t>
        </is>
      </c>
      <c r="C242" t="inlineStr">
        <is>
          <t>Cygnus Staffing and Consulting Inc</t>
        </is>
      </c>
      <c r="D242" t="inlineStr">
        <is>
          <t>Closed</t>
        </is>
      </c>
      <c r="E242" s="297" t="n">
        <v>45909</v>
      </c>
      <c r="F242" s="297" t="n">
        <v>46069</v>
      </c>
      <c r="G242" t="n">
        <v>2</v>
      </c>
      <c r="H242" t="inlineStr">
        <is>
          <t>7363</t>
        </is>
      </c>
      <c r="I242" t="inlineStr">
        <is>
          <t>73</t>
        </is>
      </c>
      <c r="J242" t="inlineStr">
        <is>
          <t>TX</t>
        </is>
      </c>
      <c r="K242" t="inlineStr">
        <is>
          <t>Fundwell</t>
        </is>
      </c>
      <c r="L242" t="inlineStr">
        <is>
          <t>New Deal</t>
        </is>
      </c>
      <c r="M242" s="298" t="n">
        <v>1.39</v>
      </c>
      <c r="N242" s="299" t="n">
        <v>25000</v>
      </c>
      <c r="O242" s="299" t="n">
        <v>2750</v>
      </c>
      <c r="P242" s="299" t="n">
        <v>34750</v>
      </c>
      <c r="Q242" s="299" t="n">
        <v>34750</v>
      </c>
      <c r="R242" s="299" t="n">
        <v>0</v>
      </c>
      <c r="S242" s="300" t="n">
        <v>1</v>
      </c>
      <c r="T242" t="n">
        <v>20</v>
      </c>
      <c r="U242" t="n">
        <v>2</v>
      </c>
      <c r="V242" t="n">
        <v>52212</v>
      </c>
      <c r="W242" s="300" t="n">
        <v>0.1285</v>
      </c>
      <c r="X242" s="297" t="n">
        <v>43843</v>
      </c>
      <c r="Y242">
        <f>IF(I242="","No SIC",IFERROR(VLOOKUP(I242,Ref!$A$2:$B$65,2,FALSE),"Unclassified"))</f>
        <v/>
      </c>
      <c r="Z242">
        <f>IF(T242="","",IF(T242&lt;12,"Daily","Weekly"))</f>
        <v/>
      </c>
      <c r="AA242">
        <f>IF(T242="",0,IF(T242&lt;12,T242*Controls!$B$29,T242*5))</f>
        <v/>
      </c>
      <c r="AB242">
        <f>IF(E242="",0,NETWORKDAYS(E242,Controls!$B$36,Ref!$K$2:$K$42))</f>
        <v/>
      </c>
      <c r="AC242">
        <f>IF(AND(AA242&gt;0,AB242&gt;=Controls!$B$39*AA242),1,0)</f>
        <v/>
      </c>
      <c r="AD242">
        <f>IF(AND(E242&lt;&gt;"",E242&gt;=Controls!$B$37,E242&lt;=Controls!$B$38),1,0)</f>
        <v/>
      </c>
      <c r="AE242">
        <f>IF(IFERROR(VLOOKUP(D242,Controls!$A$64:$E$74,2,FALSE),"No")="Yes",1,0)</f>
        <v/>
      </c>
      <c r="AF242">
        <f>IF(IFERROR(VLOOKUP(D242,Controls!$A$64:$E$74,3,FALSE),"No")="Yes",1,0)</f>
        <v/>
      </c>
      <c r="AG242">
        <f>IF(IFERROR(VLOOKUP(D242,Controls!$A$64:$E$74,4,FALSE),"No")="Yes",1,0)</f>
        <v/>
      </c>
      <c r="AH242">
        <f>IF(IFERROR(VLOOKUP(D242,Controls!$A$64:$E$74,5,FALSE),"No")="Yes",1,0)</f>
        <v/>
      </c>
      <c r="AI242">
        <f>IF(ISNUMBER(MATCH(D242,Controls!$A$64:$A$74,0)),1,0)</f>
        <v/>
      </c>
      <c r="AJ242">
        <f>Q242-N242</f>
        <v/>
      </c>
      <c r="AK242">
        <f>IF(AE242=1,MAX(0,N242-Q242),0)</f>
        <v/>
      </c>
      <c r="AL242">
        <f>IF(OR(V242="",V242=0),0,N242/V242)</f>
        <v/>
      </c>
      <c r="AM242">
        <f>IF(OR(V242="",V242=0),0,1)</f>
        <v/>
      </c>
      <c r="AN242">
        <f>IF(OR(E242="",F242=""),0,NETWORKDAYS(E242,F242,Ref!$K$2:$K$42))</f>
        <v/>
      </c>
      <c r="AO242">
        <f>IF(L242="Renewal",1,0)</f>
        <v/>
      </c>
      <c r="AP242">
        <f>AC242*AD242</f>
        <v/>
      </c>
      <c r="AQ242">
        <f>IF(AND(G242&lt;&gt;"",'Historical Score'!$C$6&lt;&gt;""),IF(G242='Historical Score'!$C$6,1,0),0)</f>
        <v/>
      </c>
      <c r="AR242">
        <f>IF(AND(L242&lt;&gt;"",'Historical Score'!$C$5&lt;&gt;""),IF(L242='Historical Score'!$C$5,1,0),0)</f>
        <v/>
      </c>
      <c r="AS242">
        <f>IF(AND(Y242&lt;&gt;"",'Historical Score'!$C$7&lt;&gt;""),IF(Y242='Historical Score'!$C$7,1,0),0)</f>
        <v/>
      </c>
      <c r="AT242">
        <f>IF(AND(K242&lt;&gt;"",'Historical Score'!$C$8&lt;&gt;""),IF(K242='Historical Score'!$C$8,1,0),0)</f>
        <v/>
      </c>
      <c r="AU242">
        <f>IF(AND(J242&lt;&gt;"",'Historical Score'!$C$9&lt;&gt;""),IF(J242='Historical Score'!$C$9,1,0),0)</f>
        <v/>
      </c>
      <c r="AV242">
        <f>AR242*AS242*AQ242</f>
        <v/>
      </c>
      <c r="AW242">
        <f>AR242*AT242*AQ242</f>
        <v/>
      </c>
      <c r="AX242">
        <f>AR242*AS242</f>
        <v/>
      </c>
      <c r="AY242">
        <f>AR242*AT242</f>
        <v/>
      </c>
      <c r="AZ242">
        <f>AR242*AQ242</f>
        <v/>
      </c>
      <c r="BA242">
        <f>AR242</f>
        <v/>
      </c>
      <c r="BB242">
        <f>1</f>
        <v/>
      </c>
      <c r="BC242">
        <f>IF(AV242=1,1,IF(AW242=1,2,IF(AX242=1,3,IF(AY242=1,4,IF(AZ242=1,5,IF(BA242=1,6,7))))))</f>
        <v/>
      </c>
      <c r="BD242">
        <f>IF(AD242=1,CHOOSE('Historical Score'!$C$29,AV242,AW242,AX242,AY242,AZ242,BA242,BB242),0)</f>
        <v/>
      </c>
      <c r="BE242">
        <f>IF(BD242=1,COUNTIF($BD$2:BD242,1),"")</f>
        <v/>
      </c>
    </row>
    <row r="243">
      <c r="A243" t="inlineStr">
        <is>
          <t>5674165958</t>
        </is>
      </c>
      <c r="B243" t="inlineStr">
        <is>
          <t>Blast blow dry</t>
        </is>
      </c>
      <c r="C243" t="inlineStr">
        <is>
          <t>Blast blow dry</t>
        </is>
      </c>
      <c r="D243" t="inlineStr">
        <is>
          <t>Written-Off</t>
        </is>
      </c>
      <c r="E243" s="297" t="n">
        <v>45909</v>
      </c>
      <c r="F243" s="297" t="n">
        <v>46024</v>
      </c>
      <c r="G243" t="n">
        <v>2</v>
      </c>
      <c r="H243" t="inlineStr">
        <is>
          <t>7231</t>
        </is>
      </c>
      <c r="I243" t="inlineStr">
        <is>
          <t>72</t>
        </is>
      </c>
      <c r="J243" t="inlineStr">
        <is>
          <t>TX</t>
        </is>
      </c>
      <c r="K243" t="inlineStr">
        <is>
          <t>Premium Capital (AMRK)</t>
        </is>
      </c>
      <c r="L243" t="inlineStr">
        <is>
          <t>New Deal</t>
        </is>
      </c>
      <c r="M243" s="298" t="n">
        <v>1.499</v>
      </c>
      <c r="N243" s="299" t="n">
        <v>8500</v>
      </c>
      <c r="O243" s="299" t="n">
        <v>1190</v>
      </c>
      <c r="P243" s="299" t="n">
        <v>12741.5</v>
      </c>
      <c r="Q243" s="299" t="n">
        <v>12673</v>
      </c>
      <c r="R243" s="299" t="n">
        <v>68.5000000000018</v>
      </c>
      <c r="S243" s="300" t="n">
        <v>0.9946238668916531</v>
      </c>
      <c r="T243" t="n">
        <v>2.459</v>
      </c>
      <c r="U243" t="n">
        <v>4</v>
      </c>
      <c r="V243" t="n">
        <v>30093.78</v>
      </c>
      <c r="W243" s="300" t="n">
        <v>0.1179</v>
      </c>
      <c r="X243" s="297" t="n"/>
      <c r="Y243">
        <f>IF(I243="","No SIC",IFERROR(VLOOKUP(I243,Ref!$A$2:$B$65,2,FALSE),"Unclassified"))</f>
        <v/>
      </c>
      <c r="Z243">
        <f>IF(T243="","",IF(T243&lt;12,"Daily","Weekly"))</f>
        <v/>
      </c>
      <c r="AA243">
        <f>IF(T243="",0,IF(T243&lt;12,T243*Controls!$B$29,T243*5))</f>
        <v/>
      </c>
      <c r="AB243">
        <f>IF(E243="",0,NETWORKDAYS(E243,Controls!$B$36,Ref!$K$2:$K$42))</f>
        <v/>
      </c>
      <c r="AC243">
        <f>IF(AND(AA243&gt;0,AB243&gt;=Controls!$B$39*AA243),1,0)</f>
        <v/>
      </c>
      <c r="AD243">
        <f>IF(AND(E243&lt;&gt;"",E243&gt;=Controls!$B$37,E243&lt;=Controls!$B$38),1,0)</f>
        <v/>
      </c>
      <c r="AE243">
        <f>IF(IFERROR(VLOOKUP(D243,Controls!$A$64:$E$74,2,FALSE),"No")="Yes",1,0)</f>
        <v/>
      </c>
      <c r="AF243">
        <f>IF(IFERROR(VLOOKUP(D243,Controls!$A$64:$E$74,3,FALSE),"No")="Yes",1,0)</f>
        <v/>
      </c>
      <c r="AG243">
        <f>IF(IFERROR(VLOOKUP(D243,Controls!$A$64:$E$74,4,FALSE),"No")="Yes",1,0)</f>
        <v/>
      </c>
      <c r="AH243">
        <f>IF(IFERROR(VLOOKUP(D243,Controls!$A$64:$E$74,5,FALSE),"No")="Yes",1,0)</f>
        <v/>
      </c>
      <c r="AI243">
        <f>IF(ISNUMBER(MATCH(D243,Controls!$A$64:$A$74,0)),1,0)</f>
        <v/>
      </c>
      <c r="AJ243">
        <f>Q243-N243</f>
        <v/>
      </c>
      <c r="AK243">
        <f>IF(AE243=1,MAX(0,N243-Q243),0)</f>
        <v/>
      </c>
      <c r="AL243">
        <f>IF(OR(V243="",V243=0),0,N243/V243)</f>
        <v/>
      </c>
      <c r="AM243">
        <f>IF(OR(V243="",V243=0),0,1)</f>
        <v/>
      </c>
      <c r="AN243">
        <f>IF(OR(E243="",F243=""),0,NETWORKDAYS(E243,F243,Ref!$K$2:$K$42))</f>
        <v/>
      </c>
      <c r="AO243">
        <f>IF(L243="Renewal",1,0)</f>
        <v/>
      </c>
      <c r="AP243">
        <f>AC243*AD243</f>
        <v/>
      </c>
      <c r="AQ243">
        <f>IF(AND(G243&lt;&gt;"",'Historical Score'!$C$6&lt;&gt;""),IF(G243='Historical Score'!$C$6,1,0),0)</f>
        <v/>
      </c>
      <c r="AR243">
        <f>IF(AND(L243&lt;&gt;"",'Historical Score'!$C$5&lt;&gt;""),IF(L243='Historical Score'!$C$5,1,0),0)</f>
        <v/>
      </c>
      <c r="AS243">
        <f>IF(AND(Y243&lt;&gt;"",'Historical Score'!$C$7&lt;&gt;""),IF(Y243='Historical Score'!$C$7,1,0),0)</f>
        <v/>
      </c>
      <c r="AT243">
        <f>IF(AND(K243&lt;&gt;"",'Historical Score'!$C$8&lt;&gt;""),IF(K243='Historical Score'!$C$8,1,0),0)</f>
        <v/>
      </c>
      <c r="AU243">
        <f>IF(AND(J243&lt;&gt;"",'Historical Score'!$C$9&lt;&gt;""),IF(J243='Historical Score'!$C$9,1,0),0)</f>
        <v/>
      </c>
      <c r="AV243">
        <f>AR243*AS243*AQ243</f>
        <v/>
      </c>
      <c r="AW243">
        <f>AR243*AT243*AQ243</f>
        <v/>
      </c>
      <c r="AX243">
        <f>AR243*AS243</f>
        <v/>
      </c>
      <c r="AY243">
        <f>AR243*AT243</f>
        <v/>
      </c>
      <c r="AZ243">
        <f>AR243*AQ243</f>
        <v/>
      </c>
      <c r="BA243">
        <f>AR243</f>
        <v/>
      </c>
      <c r="BB243">
        <f>1</f>
        <v/>
      </c>
      <c r="BC243">
        <f>IF(AV243=1,1,IF(AW243=1,2,IF(AX243=1,3,IF(AY243=1,4,IF(AZ243=1,5,IF(BA243=1,6,7))))))</f>
        <v/>
      </c>
      <c r="BD243">
        <f>IF(AD243=1,CHOOSE('Historical Score'!$C$29,AV243,AW243,AX243,AY243,AZ243,BA243,BB243),0)</f>
        <v/>
      </c>
      <c r="BE243">
        <f>IF(BD243=1,COUNTIF($BD$2:BD243,1),"")</f>
        <v/>
      </c>
    </row>
    <row r="244">
      <c r="A244" t="inlineStr">
        <is>
          <t>5674165960</t>
        </is>
      </c>
      <c r="B244" t="inlineStr">
        <is>
          <t>EMDR NH LLC</t>
        </is>
      </c>
      <c r="C244" t="inlineStr">
        <is>
          <t>LIFE IN BLOOM COUNSELING, LLC</t>
        </is>
      </c>
      <c r="D244" t="inlineStr">
        <is>
          <t>Legal</t>
        </is>
      </c>
      <c r="E244" s="297" t="n">
        <v>45909</v>
      </c>
      <c r="F244" s="297" t="n">
        <v>46170</v>
      </c>
      <c r="G244" t="n">
        <v>3</v>
      </c>
      <c r="H244" t="inlineStr">
        <is>
          <t>8049</t>
        </is>
      </c>
      <c r="I244" t="inlineStr">
        <is>
          <t>80</t>
        </is>
      </c>
      <c r="J244" t="inlineStr">
        <is>
          <t>NH</t>
        </is>
      </c>
      <c r="K244" t="inlineStr">
        <is>
          <t>ROYAL FUNDING GROUP</t>
        </is>
      </c>
      <c r="L244" t="inlineStr">
        <is>
          <t>New Deal</t>
        </is>
      </c>
      <c r="M244" s="298" t="n">
        <v>1.499</v>
      </c>
      <c r="N244" s="299" t="n">
        <v>15000</v>
      </c>
      <c r="O244" s="299" t="n">
        <v>0</v>
      </c>
      <c r="P244" s="299" t="n">
        <v>22485</v>
      </c>
      <c r="Q244" s="299" t="n">
        <v>11404.4</v>
      </c>
      <c r="R244" s="299" t="n">
        <v>11080.6</v>
      </c>
      <c r="S244" s="300" t="n">
        <v>0.507200355792751</v>
      </c>
      <c r="T244" t="n">
        <v>15</v>
      </c>
      <c r="U244" t="n">
        <v>36</v>
      </c>
      <c r="V244" t="n">
        <v>29576.08</v>
      </c>
      <c r="W244" s="300" t="n">
        <v>0.2015</v>
      </c>
      <c r="X244" s="297" t="n">
        <v>43225</v>
      </c>
      <c r="Y244">
        <f>IF(I244="","No SIC",IFERROR(VLOOKUP(I244,Ref!$A$2:$B$65,2,FALSE),"Unclassified"))</f>
        <v/>
      </c>
      <c r="Z244">
        <f>IF(T244="","",IF(T244&lt;12,"Daily","Weekly"))</f>
        <v/>
      </c>
      <c r="AA244">
        <f>IF(T244="",0,IF(T244&lt;12,T244*Controls!$B$29,T244*5))</f>
        <v/>
      </c>
      <c r="AB244">
        <f>IF(E244="",0,NETWORKDAYS(E244,Controls!$B$36,Ref!$K$2:$K$42))</f>
        <v/>
      </c>
      <c r="AC244">
        <f>IF(AND(AA244&gt;0,AB244&gt;=Controls!$B$39*AA244),1,0)</f>
        <v/>
      </c>
      <c r="AD244">
        <f>IF(AND(E244&lt;&gt;"",E244&gt;=Controls!$B$37,E244&lt;=Controls!$B$38),1,0)</f>
        <v/>
      </c>
      <c r="AE244">
        <f>IF(IFERROR(VLOOKUP(D244,Controls!$A$64:$E$74,2,FALSE),"No")="Yes",1,0)</f>
        <v/>
      </c>
      <c r="AF244">
        <f>IF(IFERROR(VLOOKUP(D244,Controls!$A$64:$E$74,3,FALSE),"No")="Yes",1,0)</f>
        <v/>
      </c>
      <c r="AG244">
        <f>IF(IFERROR(VLOOKUP(D244,Controls!$A$64:$E$74,4,FALSE),"No")="Yes",1,0)</f>
        <v/>
      </c>
      <c r="AH244">
        <f>IF(IFERROR(VLOOKUP(D244,Controls!$A$64:$E$74,5,FALSE),"No")="Yes",1,0)</f>
        <v/>
      </c>
      <c r="AI244">
        <f>IF(ISNUMBER(MATCH(D244,Controls!$A$64:$A$74,0)),1,0)</f>
        <v/>
      </c>
      <c r="AJ244">
        <f>Q244-N244</f>
        <v/>
      </c>
      <c r="AK244">
        <f>IF(AE244=1,MAX(0,N244-Q244),0)</f>
        <v/>
      </c>
      <c r="AL244">
        <f>IF(OR(V244="",V244=0),0,N244/V244)</f>
        <v/>
      </c>
      <c r="AM244">
        <f>IF(OR(V244="",V244=0),0,1)</f>
        <v/>
      </c>
      <c r="AN244">
        <f>IF(OR(E244="",F244=""),0,NETWORKDAYS(E244,F244,Ref!$K$2:$K$42))</f>
        <v/>
      </c>
      <c r="AO244">
        <f>IF(L244="Renewal",1,0)</f>
        <v/>
      </c>
      <c r="AP244">
        <f>AC244*AD244</f>
        <v/>
      </c>
      <c r="AQ244">
        <f>IF(AND(G244&lt;&gt;"",'Historical Score'!$C$6&lt;&gt;""),IF(G244='Historical Score'!$C$6,1,0),0)</f>
        <v/>
      </c>
      <c r="AR244">
        <f>IF(AND(L244&lt;&gt;"",'Historical Score'!$C$5&lt;&gt;""),IF(L244='Historical Score'!$C$5,1,0),0)</f>
        <v/>
      </c>
      <c r="AS244">
        <f>IF(AND(Y244&lt;&gt;"",'Historical Score'!$C$7&lt;&gt;""),IF(Y244='Historical Score'!$C$7,1,0),0)</f>
        <v/>
      </c>
      <c r="AT244">
        <f>IF(AND(K244&lt;&gt;"",'Historical Score'!$C$8&lt;&gt;""),IF(K244='Historical Score'!$C$8,1,0),0)</f>
        <v/>
      </c>
      <c r="AU244">
        <f>IF(AND(J244&lt;&gt;"",'Historical Score'!$C$9&lt;&gt;""),IF(J244='Historical Score'!$C$9,1,0),0)</f>
        <v/>
      </c>
      <c r="AV244">
        <f>AR244*AS244*AQ244</f>
        <v/>
      </c>
      <c r="AW244">
        <f>AR244*AT244*AQ244</f>
        <v/>
      </c>
      <c r="AX244">
        <f>AR244*AS244</f>
        <v/>
      </c>
      <c r="AY244">
        <f>AR244*AT244</f>
        <v/>
      </c>
      <c r="AZ244">
        <f>AR244*AQ244</f>
        <v/>
      </c>
      <c r="BA244">
        <f>AR244</f>
        <v/>
      </c>
      <c r="BB244">
        <f>1</f>
        <v/>
      </c>
      <c r="BC244">
        <f>IF(AV244=1,1,IF(AW244=1,2,IF(AX244=1,3,IF(AY244=1,4,IF(AZ244=1,5,IF(BA244=1,6,7))))))</f>
        <v/>
      </c>
      <c r="BD244">
        <f>IF(AD244=1,CHOOSE('Historical Score'!$C$29,AV244,AW244,AX244,AY244,AZ244,BA244,BB244),0)</f>
        <v/>
      </c>
      <c r="BE244">
        <f>IF(BD244=1,COUNTIF($BD$2:BD244,1),"")</f>
        <v/>
      </c>
    </row>
    <row r="245">
      <c r="A245" t="inlineStr">
        <is>
          <t>5674166066</t>
        </is>
      </c>
      <c r="B245" t="inlineStr">
        <is>
          <t>CC REMODELING SERVICES INC</t>
        </is>
      </c>
      <c r="C245" t="inlineStr">
        <is>
          <t>CC REMODELING SERVICES INC</t>
        </is>
      </c>
      <c r="D245" t="inlineStr">
        <is>
          <t>Closed</t>
        </is>
      </c>
      <c r="E245" s="297" t="n">
        <v>45910</v>
      </c>
      <c r="F245" s="297" t="n">
        <v>46030</v>
      </c>
      <c r="G245" t="n">
        <v>2</v>
      </c>
      <c r="H245" t="inlineStr">
        <is>
          <t>1521</t>
        </is>
      </c>
      <c r="I245" t="inlineStr">
        <is>
          <t>15</t>
        </is>
      </c>
      <c r="J245" t="inlineStr">
        <is>
          <t>TN</t>
        </is>
      </c>
      <c r="K245" t="inlineStr">
        <is>
          <t>biz advance now</t>
        </is>
      </c>
      <c r="L245" t="inlineStr">
        <is>
          <t>New Deal</t>
        </is>
      </c>
      <c r="M245" s="298" t="n">
        <v>1.499</v>
      </c>
      <c r="N245" s="299" t="n">
        <v>15000</v>
      </c>
      <c r="O245" s="299" t="n">
        <v>2100</v>
      </c>
      <c r="P245" s="299" t="n">
        <v>22485</v>
      </c>
      <c r="Q245" s="299" t="n">
        <v>22485</v>
      </c>
      <c r="R245" s="299" t="n">
        <v>0</v>
      </c>
      <c r="S245" s="300" t="n">
        <v>1</v>
      </c>
      <c r="T245" t="n">
        <v>2.623</v>
      </c>
      <c r="U245" t="n">
        <v>10</v>
      </c>
      <c r="V245" t="n">
        <v>81491.69</v>
      </c>
      <c r="W245" s="300" t="n">
        <v>0.0716</v>
      </c>
      <c r="X245" s="297" t="n">
        <v>45292</v>
      </c>
      <c r="Y245">
        <f>IF(I245="","No SIC",IFERROR(VLOOKUP(I245,Ref!$A$2:$B$65,2,FALSE),"Unclassified"))</f>
        <v/>
      </c>
      <c r="Z245">
        <f>IF(T245="","",IF(T245&lt;12,"Daily","Weekly"))</f>
        <v/>
      </c>
      <c r="AA245">
        <f>IF(T245="",0,IF(T245&lt;12,T245*Controls!$B$29,T245*5))</f>
        <v/>
      </c>
      <c r="AB245">
        <f>IF(E245="",0,NETWORKDAYS(E245,Controls!$B$36,Ref!$K$2:$K$42))</f>
        <v/>
      </c>
      <c r="AC245">
        <f>IF(AND(AA245&gt;0,AB245&gt;=Controls!$B$39*AA245),1,0)</f>
        <v/>
      </c>
      <c r="AD245">
        <f>IF(AND(E245&lt;&gt;"",E245&gt;=Controls!$B$37,E245&lt;=Controls!$B$38),1,0)</f>
        <v/>
      </c>
      <c r="AE245">
        <f>IF(IFERROR(VLOOKUP(D245,Controls!$A$64:$E$74,2,FALSE),"No")="Yes",1,0)</f>
        <v/>
      </c>
      <c r="AF245">
        <f>IF(IFERROR(VLOOKUP(D245,Controls!$A$64:$E$74,3,FALSE),"No")="Yes",1,0)</f>
        <v/>
      </c>
      <c r="AG245">
        <f>IF(IFERROR(VLOOKUP(D245,Controls!$A$64:$E$74,4,FALSE),"No")="Yes",1,0)</f>
        <v/>
      </c>
      <c r="AH245">
        <f>IF(IFERROR(VLOOKUP(D245,Controls!$A$64:$E$74,5,FALSE),"No")="Yes",1,0)</f>
        <v/>
      </c>
      <c r="AI245">
        <f>IF(ISNUMBER(MATCH(D245,Controls!$A$64:$A$74,0)),1,0)</f>
        <v/>
      </c>
      <c r="AJ245">
        <f>Q245-N245</f>
        <v/>
      </c>
      <c r="AK245">
        <f>IF(AE245=1,MAX(0,N245-Q245),0)</f>
        <v/>
      </c>
      <c r="AL245">
        <f>IF(OR(V245="",V245=0),0,N245/V245)</f>
        <v/>
      </c>
      <c r="AM245">
        <f>IF(OR(V245="",V245=0),0,1)</f>
        <v/>
      </c>
      <c r="AN245">
        <f>IF(OR(E245="",F245=""),0,NETWORKDAYS(E245,F245,Ref!$K$2:$K$42))</f>
        <v/>
      </c>
      <c r="AO245">
        <f>IF(L245="Renewal",1,0)</f>
        <v/>
      </c>
      <c r="AP245">
        <f>AC245*AD245</f>
        <v/>
      </c>
      <c r="AQ245">
        <f>IF(AND(G245&lt;&gt;"",'Historical Score'!$C$6&lt;&gt;""),IF(G245='Historical Score'!$C$6,1,0),0)</f>
        <v/>
      </c>
      <c r="AR245">
        <f>IF(AND(L245&lt;&gt;"",'Historical Score'!$C$5&lt;&gt;""),IF(L245='Historical Score'!$C$5,1,0),0)</f>
        <v/>
      </c>
      <c r="AS245">
        <f>IF(AND(Y245&lt;&gt;"",'Historical Score'!$C$7&lt;&gt;""),IF(Y245='Historical Score'!$C$7,1,0),0)</f>
        <v/>
      </c>
      <c r="AT245">
        <f>IF(AND(K245&lt;&gt;"",'Historical Score'!$C$8&lt;&gt;""),IF(K245='Historical Score'!$C$8,1,0),0)</f>
        <v/>
      </c>
      <c r="AU245">
        <f>IF(AND(J245&lt;&gt;"",'Historical Score'!$C$9&lt;&gt;""),IF(J245='Historical Score'!$C$9,1,0),0)</f>
        <v/>
      </c>
      <c r="AV245">
        <f>AR245*AS245*AQ245</f>
        <v/>
      </c>
      <c r="AW245">
        <f>AR245*AT245*AQ245</f>
        <v/>
      </c>
      <c r="AX245">
        <f>AR245*AS245</f>
        <v/>
      </c>
      <c r="AY245">
        <f>AR245*AT245</f>
        <v/>
      </c>
      <c r="AZ245">
        <f>AR245*AQ245</f>
        <v/>
      </c>
      <c r="BA245">
        <f>AR245</f>
        <v/>
      </c>
      <c r="BB245">
        <f>1</f>
        <v/>
      </c>
      <c r="BC245">
        <f>IF(AV245=1,1,IF(AW245=1,2,IF(AX245=1,3,IF(AY245=1,4,IF(AZ245=1,5,IF(BA245=1,6,7))))))</f>
        <v/>
      </c>
      <c r="BD245">
        <f>IF(AD245=1,CHOOSE('Historical Score'!$C$29,AV245,AW245,AX245,AY245,AZ245,BA245,BB245),0)</f>
        <v/>
      </c>
      <c r="BE245">
        <f>IF(BD245=1,COUNTIF($BD$2:BD245,1),"")</f>
        <v/>
      </c>
    </row>
    <row r="246">
      <c r="A246" t="inlineStr">
        <is>
          <t>5674166141</t>
        </is>
      </c>
      <c r="B246" t="inlineStr">
        <is>
          <t>Champion Lanes</t>
        </is>
      </c>
      <c r="C246" t="inlineStr">
        <is>
          <t>Champions IB LLC</t>
        </is>
      </c>
      <c r="D246" t="inlineStr">
        <is>
          <t>Closed</t>
        </is>
      </c>
      <c r="E246" s="297" t="n">
        <v>45911</v>
      </c>
      <c r="F246" s="297" t="n">
        <v>46149</v>
      </c>
      <c r="G246" t="n">
        <v>3</v>
      </c>
      <c r="H246" t="inlineStr">
        <is>
          <t>7933</t>
        </is>
      </c>
      <c r="I246" t="inlineStr">
        <is>
          <t>79</t>
        </is>
      </c>
      <c r="J246" t="inlineStr">
        <is>
          <t>CA</t>
        </is>
      </c>
      <c r="K246" t="inlineStr">
        <is>
          <t>Vantage Cap Group</t>
        </is>
      </c>
      <c r="L246" t="inlineStr">
        <is>
          <t>New Deal</t>
        </is>
      </c>
      <c r="M246" s="298" t="n">
        <v>1.499</v>
      </c>
      <c r="N246" s="299" t="n">
        <v>5000</v>
      </c>
      <c r="O246" s="299" t="n">
        <v>700</v>
      </c>
      <c r="P246" s="299" t="n">
        <v>7495</v>
      </c>
      <c r="Q246" s="299" t="n">
        <v>7495</v>
      </c>
      <c r="R246" s="299" t="n">
        <v>9.09494701772928e-13</v>
      </c>
      <c r="S246" s="300" t="n">
        <v>1</v>
      </c>
      <c r="T246" t="n">
        <v>2.295</v>
      </c>
      <c r="U246" t="n">
        <v>22</v>
      </c>
      <c r="V246" t="n">
        <v>88940.89</v>
      </c>
      <c r="W246" s="300" t="n">
        <v>0.0251</v>
      </c>
      <c r="X246" s="297" t="n"/>
      <c r="Y246">
        <f>IF(I246="","No SIC",IFERROR(VLOOKUP(I246,Ref!$A$2:$B$65,2,FALSE),"Unclassified"))</f>
        <v/>
      </c>
      <c r="Z246">
        <f>IF(T246="","",IF(T246&lt;12,"Daily","Weekly"))</f>
        <v/>
      </c>
      <c r="AA246">
        <f>IF(T246="",0,IF(T246&lt;12,T246*Controls!$B$29,T246*5))</f>
        <v/>
      </c>
      <c r="AB246">
        <f>IF(E246="",0,NETWORKDAYS(E246,Controls!$B$36,Ref!$K$2:$K$42))</f>
        <v/>
      </c>
      <c r="AC246">
        <f>IF(AND(AA246&gt;0,AB246&gt;=Controls!$B$39*AA246),1,0)</f>
        <v/>
      </c>
      <c r="AD246">
        <f>IF(AND(E246&lt;&gt;"",E246&gt;=Controls!$B$37,E246&lt;=Controls!$B$38),1,0)</f>
        <v/>
      </c>
      <c r="AE246">
        <f>IF(IFERROR(VLOOKUP(D246,Controls!$A$64:$E$74,2,FALSE),"No")="Yes",1,0)</f>
        <v/>
      </c>
      <c r="AF246">
        <f>IF(IFERROR(VLOOKUP(D246,Controls!$A$64:$E$74,3,FALSE),"No")="Yes",1,0)</f>
        <v/>
      </c>
      <c r="AG246">
        <f>IF(IFERROR(VLOOKUP(D246,Controls!$A$64:$E$74,4,FALSE),"No")="Yes",1,0)</f>
        <v/>
      </c>
      <c r="AH246">
        <f>IF(IFERROR(VLOOKUP(D246,Controls!$A$64:$E$74,5,FALSE),"No")="Yes",1,0)</f>
        <v/>
      </c>
      <c r="AI246">
        <f>IF(ISNUMBER(MATCH(D246,Controls!$A$64:$A$74,0)),1,0)</f>
        <v/>
      </c>
      <c r="AJ246">
        <f>Q246-N246</f>
        <v/>
      </c>
      <c r="AK246">
        <f>IF(AE246=1,MAX(0,N246-Q246),0)</f>
        <v/>
      </c>
      <c r="AL246">
        <f>IF(OR(V246="",V246=0),0,N246/V246)</f>
        <v/>
      </c>
      <c r="AM246">
        <f>IF(OR(V246="",V246=0),0,1)</f>
        <v/>
      </c>
      <c r="AN246">
        <f>IF(OR(E246="",F246=""),0,NETWORKDAYS(E246,F246,Ref!$K$2:$K$42))</f>
        <v/>
      </c>
      <c r="AO246">
        <f>IF(L246="Renewal",1,0)</f>
        <v/>
      </c>
      <c r="AP246">
        <f>AC246*AD246</f>
        <v/>
      </c>
      <c r="AQ246">
        <f>IF(AND(G246&lt;&gt;"",'Historical Score'!$C$6&lt;&gt;""),IF(G246='Historical Score'!$C$6,1,0),0)</f>
        <v/>
      </c>
      <c r="AR246">
        <f>IF(AND(L246&lt;&gt;"",'Historical Score'!$C$5&lt;&gt;""),IF(L246='Historical Score'!$C$5,1,0),0)</f>
        <v/>
      </c>
      <c r="AS246">
        <f>IF(AND(Y246&lt;&gt;"",'Historical Score'!$C$7&lt;&gt;""),IF(Y246='Historical Score'!$C$7,1,0),0)</f>
        <v/>
      </c>
      <c r="AT246">
        <f>IF(AND(K246&lt;&gt;"",'Historical Score'!$C$8&lt;&gt;""),IF(K246='Historical Score'!$C$8,1,0),0)</f>
        <v/>
      </c>
      <c r="AU246">
        <f>IF(AND(J246&lt;&gt;"",'Historical Score'!$C$9&lt;&gt;""),IF(J246='Historical Score'!$C$9,1,0),0)</f>
        <v/>
      </c>
      <c r="AV246">
        <f>AR246*AS246*AQ246</f>
        <v/>
      </c>
      <c r="AW246">
        <f>AR246*AT246*AQ246</f>
        <v/>
      </c>
      <c r="AX246">
        <f>AR246*AS246</f>
        <v/>
      </c>
      <c r="AY246">
        <f>AR246*AT246</f>
        <v/>
      </c>
      <c r="AZ246">
        <f>AR246*AQ246</f>
        <v/>
      </c>
      <c r="BA246">
        <f>AR246</f>
        <v/>
      </c>
      <c r="BB246">
        <f>1</f>
        <v/>
      </c>
      <c r="BC246">
        <f>IF(AV246=1,1,IF(AW246=1,2,IF(AX246=1,3,IF(AY246=1,4,IF(AZ246=1,5,IF(BA246=1,6,7))))))</f>
        <v/>
      </c>
      <c r="BD246">
        <f>IF(AD246=1,CHOOSE('Historical Score'!$C$29,AV246,AW246,AX246,AY246,AZ246,BA246,BB246),0)</f>
        <v/>
      </c>
      <c r="BE246">
        <f>IF(BD246=1,COUNTIF($BD$2:BD246,1),"")</f>
        <v/>
      </c>
    </row>
    <row r="247">
      <c r="A247" t="inlineStr">
        <is>
          <t>5674166148</t>
        </is>
      </c>
      <c r="B247" t="inlineStr">
        <is>
          <t>SR UNBOUNDED</t>
        </is>
      </c>
      <c r="C247" t="inlineStr">
        <is>
          <t>SR UNBOUNDED</t>
        </is>
      </c>
      <c r="D247" t="inlineStr">
        <is>
          <t>Closed</t>
        </is>
      </c>
      <c r="E247" s="297" t="n">
        <v>45911</v>
      </c>
      <c r="F247" s="297" t="n">
        <v>45967</v>
      </c>
      <c r="G247" t="n">
        <v>6</v>
      </c>
      <c r="H247" t="inlineStr">
        <is>
          <t>7999</t>
        </is>
      </c>
      <c r="I247" t="inlineStr">
        <is>
          <t>79</t>
        </is>
      </c>
      <c r="J247" t="inlineStr">
        <is>
          <t>CA</t>
        </is>
      </c>
      <c r="K247" t="inlineStr">
        <is>
          <t>Shore Funding USA</t>
        </is>
      </c>
      <c r="L247" t="inlineStr">
        <is>
          <t>New Deal</t>
        </is>
      </c>
      <c r="M247" s="298" t="n">
        <v>1.499</v>
      </c>
      <c r="N247" s="299" t="n">
        <v>3500</v>
      </c>
      <c r="O247" s="299" t="n">
        <v>490</v>
      </c>
      <c r="P247" s="299" t="n">
        <v>5246.5</v>
      </c>
      <c r="Q247" s="299" t="n">
        <v>5246.5</v>
      </c>
      <c r="R247" s="299" t="n">
        <v>0</v>
      </c>
      <c r="S247" s="300" t="n">
        <v>1</v>
      </c>
      <c r="T247" t="n">
        <v>2.295</v>
      </c>
      <c r="U247" t="n">
        <v>2</v>
      </c>
      <c r="V247" t="n">
        <v>15635.79</v>
      </c>
      <c r="W247" s="300" t="n">
        <v>0.1001</v>
      </c>
      <c r="X247" s="297" t="n">
        <v>43863</v>
      </c>
      <c r="Y247">
        <f>IF(I247="","No SIC",IFERROR(VLOOKUP(I247,Ref!$A$2:$B$65,2,FALSE),"Unclassified"))</f>
        <v/>
      </c>
      <c r="Z247">
        <f>IF(T247="","",IF(T247&lt;12,"Daily","Weekly"))</f>
        <v/>
      </c>
      <c r="AA247">
        <f>IF(T247="",0,IF(T247&lt;12,T247*Controls!$B$29,T247*5))</f>
        <v/>
      </c>
      <c r="AB247">
        <f>IF(E247="",0,NETWORKDAYS(E247,Controls!$B$36,Ref!$K$2:$K$42))</f>
        <v/>
      </c>
      <c r="AC247">
        <f>IF(AND(AA247&gt;0,AB247&gt;=Controls!$B$39*AA247),1,0)</f>
        <v/>
      </c>
      <c r="AD247">
        <f>IF(AND(E247&lt;&gt;"",E247&gt;=Controls!$B$37,E247&lt;=Controls!$B$38),1,0)</f>
        <v/>
      </c>
      <c r="AE247">
        <f>IF(IFERROR(VLOOKUP(D247,Controls!$A$64:$E$74,2,FALSE),"No")="Yes",1,0)</f>
        <v/>
      </c>
      <c r="AF247">
        <f>IF(IFERROR(VLOOKUP(D247,Controls!$A$64:$E$74,3,FALSE),"No")="Yes",1,0)</f>
        <v/>
      </c>
      <c r="AG247">
        <f>IF(IFERROR(VLOOKUP(D247,Controls!$A$64:$E$74,4,FALSE),"No")="Yes",1,0)</f>
        <v/>
      </c>
      <c r="AH247">
        <f>IF(IFERROR(VLOOKUP(D247,Controls!$A$64:$E$74,5,FALSE),"No")="Yes",1,0)</f>
        <v/>
      </c>
      <c r="AI247">
        <f>IF(ISNUMBER(MATCH(D247,Controls!$A$64:$A$74,0)),1,0)</f>
        <v/>
      </c>
      <c r="AJ247">
        <f>Q247-N247</f>
        <v/>
      </c>
      <c r="AK247">
        <f>IF(AE247=1,MAX(0,N247-Q247),0)</f>
        <v/>
      </c>
      <c r="AL247">
        <f>IF(OR(V247="",V247=0),0,N247/V247)</f>
        <v/>
      </c>
      <c r="AM247">
        <f>IF(OR(V247="",V247=0),0,1)</f>
        <v/>
      </c>
      <c r="AN247">
        <f>IF(OR(E247="",F247=""),0,NETWORKDAYS(E247,F247,Ref!$K$2:$K$42))</f>
        <v/>
      </c>
      <c r="AO247">
        <f>IF(L247="Renewal",1,0)</f>
        <v/>
      </c>
      <c r="AP247">
        <f>AC247*AD247</f>
        <v/>
      </c>
      <c r="AQ247">
        <f>IF(AND(G247&lt;&gt;"",'Historical Score'!$C$6&lt;&gt;""),IF(G247='Historical Score'!$C$6,1,0),0)</f>
        <v/>
      </c>
      <c r="AR247">
        <f>IF(AND(L247&lt;&gt;"",'Historical Score'!$C$5&lt;&gt;""),IF(L247='Historical Score'!$C$5,1,0),0)</f>
        <v/>
      </c>
      <c r="AS247">
        <f>IF(AND(Y247&lt;&gt;"",'Historical Score'!$C$7&lt;&gt;""),IF(Y247='Historical Score'!$C$7,1,0),0)</f>
        <v/>
      </c>
      <c r="AT247">
        <f>IF(AND(K247&lt;&gt;"",'Historical Score'!$C$8&lt;&gt;""),IF(K247='Historical Score'!$C$8,1,0),0)</f>
        <v/>
      </c>
      <c r="AU247">
        <f>IF(AND(J247&lt;&gt;"",'Historical Score'!$C$9&lt;&gt;""),IF(J247='Historical Score'!$C$9,1,0),0)</f>
        <v/>
      </c>
      <c r="AV247">
        <f>AR247*AS247*AQ247</f>
        <v/>
      </c>
      <c r="AW247">
        <f>AR247*AT247*AQ247</f>
        <v/>
      </c>
      <c r="AX247">
        <f>AR247*AS247</f>
        <v/>
      </c>
      <c r="AY247">
        <f>AR247*AT247</f>
        <v/>
      </c>
      <c r="AZ247">
        <f>AR247*AQ247</f>
        <v/>
      </c>
      <c r="BA247">
        <f>AR247</f>
        <v/>
      </c>
      <c r="BB247">
        <f>1</f>
        <v/>
      </c>
      <c r="BC247">
        <f>IF(AV247=1,1,IF(AW247=1,2,IF(AX247=1,3,IF(AY247=1,4,IF(AZ247=1,5,IF(BA247=1,6,7))))))</f>
        <v/>
      </c>
      <c r="BD247">
        <f>IF(AD247=1,CHOOSE('Historical Score'!$C$29,AV247,AW247,AX247,AY247,AZ247,BA247,BB247),0)</f>
        <v/>
      </c>
      <c r="BE247">
        <f>IF(BD247=1,COUNTIF($BD$2:BD247,1),"")</f>
        <v/>
      </c>
    </row>
    <row r="248">
      <c r="A248" t="inlineStr">
        <is>
          <t>5674166156</t>
        </is>
      </c>
      <c r="B248" t="inlineStr">
        <is>
          <t>FL AUTO TRANSPORT LLC</t>
        </is>
      </c>
      <c r="C248" t="inlineStr">
        <is>
          <t>FL AUTO TRANSPORT LLC</t>
        </is>
      </c>
      <c r="D248" t="inlineStr">
        <is>
          <t>Legal</t>
        </is>
      </c>
      <c r="E248" s="297" t="n">
        <v>45911</v>
      </c>
      <c r="F248" s="297" t="n">
        <v>45926</v>
      </c>
      <c r="G248" t="n">
        <v>1</v>
      </c>
      <c r="H248" t="inlineStr">
        <is>
          <t>3799</t>
        </is>
      </c>
      <c r="I248" t="inlineStr">
        <is>
          <t>37</t>
        </is>
      </c>
      <c r="J248" t="inlineStr">
        <is>
          <t>FL</t>
        </is>
      </c>
      <c r="K248" t="inlineStr">
        <is>
          <t>The Funding Channel</t>
        </is>
      </c>
      <c r="L248" t="inlineStr">
        <is>
          <t>New Deal</t>
        </is>
      </c>
      <c r="M248" s="298" t="n">
        <v>1.499</v>
      </c>
      <c r="N248" s="299" t="n">
        <v>5000</v>
      </c>
      <c r="O248" s="299" t="n">
        <v>700</v>
      </c>
      <c r="P248" s="299" t="n">
        <v>7495</v>
      </c>
      <c r="Q248" s="299" t="n">
        <v>492.9</v>
      </c>
      <c r="R248" s="299" t="n">
        <v>7002.1</v>
      </c>
      <c r="S248" s="300" t="n">
        <v>0.06576384256170779</v>
      </c>
      <c r="T248" t="n">
        <v>2.459</v>
      </c>
      <c r="U248" t="n">
        <v>7</v>
      </c>
      <c r="V248" t="n">
        <v>34050.09</v>
      </c>
      <c r="W248" s="300" t="n">
        <v>0.0608</v>
      </c>
      <c r="X248" s="297" t="n">
        <v>40948</v>
      </c>
      <c r="Y248">
        <f>IF(I248="","No SIC",IFERROR(VLOOKUP(I248,Ref!$A$2:$B$65,2,FALSE),"Unclassified"))</f>
        <v/>
      </c>
      <c r="Z248">
        <f>IF(T248="","",IF(T248&lt;12,"Daily","Weekly"))</f>
        <v/>
      </c>
      <c r="AA248">
        <f>IF(T248="",0,IF(T248&lt;12,T248*Controls!$B$29,T248*5))</f>
        <v/>
      </c>
      <c r="AB248">
        <f>IF(E248="",0,NETWORKDAYS(E248,Controls!$B$36,Ref!$K$2:$K$42))</f>
        <v/>
      </c>
      <c r="AC248">
        <f>IF(AND(AA248&gt;0,AB248&gt;=Controls!$B$39*AA248),1,0)</f>
        <v/>
      </c>
      <c r="AD248">
        <f>IF(AND(E248&lt;&gt;"",E248&gt;=Controls!$B$37,E248&lt;=Controls!$B$38),1,0)</f>
        <v/>
      </c>
      <c r="AE248">
        <f>IF(IFERROR(VLOOKUP(D248,Controls!$A$64:$E$74,2,FALSE),"No")="Yes",1,0)</f>
        <v/>
      </c>
      <c r="AF248">
        <f>IF(IFERROR(VLOOKUP(D248,Controls!$A$64:$E$74,3,FALSE),"No")="Yes",1,0)</f>
        <v/>
      </c>
      <c r="AG248">
        <f>IF(IFERROR(VLOOKUP(D248,Controls!$A$64:$E$74,4,FALSE),"No")="Yes",1,0)</f>
        <v/>
      </c>
      <c r="AH248">
        <f>IF(IFERROR(VLOOKUP(D248,Controls!$A$64:$E$74,5,FALSE),"No")="Yes",1,0)</f>
        <v/>
      </c>
      <c r="AI248">
        <f>IF(ISNUMBER(MATCH(D248,Controls!$A$64:$A$74,0)),1,0)</f>
        <v/>
      </c>
      <c r="AJ248">
        <f>Q248-N248</f>
        <v/>
      </c>
      <c r="AK248">
        <f>IF(AE248=1,MAX(0,N248-Q248),0)</f>
        <v/>
      </c>
      <c r="AL248">
        <f>IF(OR(V248="",V248=0),0,N248/V248)</f>
        <v/>
      </c>
      <c r="AM248">
        <f>IF(OR(V248="",V248=0),0,1)</f>
        <v/>
      </c>
      <c r="AN248">
        <f>IF(OR(E248="",F248=""),0,NETWORKDAYS(E248,F248,Ref!$K$2:$K$42))</f>
        <v/>
      </c>
      <c r="AO248">
        <f>IF(L248="Renewal",1,0)</f>
        <v/>
      </c>
      <c r="AP248">
        <f>AC248*AD248</f>
        <v/>
      </c>
      <c r="AQ248">
        <f>IF(AND(G248&lt;&gt;"",'Historical Score'!$C$6&lt;&gt;""),IF(G248='Historical Score'!$C$6,1,0),0)</f>
        <v/>
      </c>
      <c r="AR248">
        <f>IF(AND(L248&lt;&gt;"",'Historical Score'!$C$5&lt;&gt;""),IF(L248='Historical Score'!$C$5,1,0),0)</f>
        <v/>
      </c>
      <c r="AS248">
        <f>IF(AND(Y248&lt;&gt;"",'Historical Score'!$C$7&lt;&gt;""),IF(Y248='Historical Score'!$C$7,1,0),0)</f>
        <v/>
      </c>
      <c r="AT248">
        <f>IF(AND(K248&lt;&gt;"",'Historical Score'!$C$8&lt;&gt;""),IF(K248='Historical Score'!$C$8,1,0),0)</f>
        <v/>
      </c>
      <c r="AU248">
        <f>IF(AND(J248&lt;&gt;"",'Historical Score'!$C$9&lt;&gt;""),IF(J248='Historical Score'!$C$9,1,0),0)</f>
        <v/>
      </c>
      <c r="AV248">
        <f>AR248*AS248*AQ248</f>
        <v/>
      </c>
      <c r="AW248">
        <f>AR248*AT248*AQ248</f>
        <v/>
      </c>
      <c r="AX248">
        <f>AR248*AS248</f>
        <v/>
      </c>
      <c r="AY248">
        <f>AR248*AT248</f>
        <v/>
      </c>
      <c r="AZ248">
        <f>AR248*AQ248</f>
        <v/>
      </c>
      <c r="BA248">
        <f>AR248</f>
        <v/>
      </c>
      <c r="BB248">
        <f>1</f>
        <v/>
      </c>
      <c r="BC248">
        <f>IF(AV248=1,1,IF(AW248=1,2,IF(AX248=1,3,IF(AY248=1,4,IF(AZ248=1,5,IF(BA248=1,6,7))))))</f>
        <v/>
      </c>
      <c r="BD248">
        <f>IF(AD248=1,CHOOSE('Historical Score'!$C$29,AV248,AW248,AX248,AY248,AZ248,BA248,BB248),0)</f>
        <v/>
      </c>
      <c r="BE248">
        <f>IF(BD248=1,COUNTIF($BD$2:BD248,1),"")</f>
        <v/>
      </c>
    </row>
    <row r="249">
      <c r="A249" t="inlineStr">
        <is>
          <t>5674166369</t>
        </is>
      </c>
      <c r="B249" t="inlineStr">
        <is>
          <t>CAPRI Transportation</t>
        </is>
      </c>
      <c r="C249" t="inlineStr">
        <is>
          <t>CAPRI TRANSPORTATION LLC</t>
        </is>
      </c>
      <c r="D249" t="inlineStr">
        <is>
          <t>Legal</t>
        </is>
      </c>
      <c r="E249" s="297" t="n">
        <v>45915</v>
      </c>
      <c r="F249" s="297" t="n">
        <v>45961</v>
      </c>
      <c r="G249" t="n">
        <v>2</v>
      </c>
      <c r="H249" t="inlineStr">
        <is>
          <t>4121</t>
        </is>
      </c>
      <c r="I249" t="inlineStr">
        <is>
          <t>41</t>
        </is>
      </c>
      <c r="J249" t="inlineStr">
        <is>
          <t>FL</t>
        </is>
      </c>
      <c r="K249" t="inlineStr">
        <is>
          <t>Premium Capital (AMRK)</t>
        </is>
      </c>
      <c r="L249" t="inlineStr">
        <is>
          <t>Renewal</t>
        </is>
      </c>
      <c r="M249" s="298" t="n">
        <v>1.499</v>
      </c>
      <c r="N249" s="299" t="n">
        <v>18000</v>
      </c>
      <c r="O249" s="299" t="n">
        <v>2520</v>
      </c>
      <c r="P249" s="299" t="n">
        <v>26982</v>
      </c>
      <c r="Q249" s="299" t="n">
        <v>6577.73</v>
      </c>
      <c r="R249" s="299" t="n">
        <v>20404.27</v>
      </c>
      <c r="S249" s="300" t="n">
        <v>0.243782151063672</v>
      </c>
      <c r="T249" t="n">
        <v>2.951</v>
      </c>
      <c r="U249" t="n">
        <v>10</v>
      </c>
      <c r="V249" t="n">
        <v>47015.44</v>
      </c>
      <c r="W249" s="300" t="n">
        <v>0.1331</v>
      </c>
      <c r="X249" s="297" t="n"/>
      <c r="Y249">
        <f>IF(I249="","No SIC",IFERROR(VLOOKUP(I249,Ref!$A$2:$B$65,2,FALSE),"Unclassified"))</f>
        <v/>
      </c>
      <c r="Z249">
        <f>IF(T249="","",IF(T249&lt;12,"Daily","Weekly"))</f>
        <v/>
      </c>
      <c r="AA249">
        <f>IF(T249="",0,IF(T249&lt;12,T249*Controls!$B$29,T249*5))</f>
        <v/>
      </c>
      <c r="AB249">
        <f>IF(E249="",0,NETWORKDAYS(E249,Controls!$B$36,Ref!$K$2:$K$42))</f>
        <v/>
      </c>
      <c r="AC249">
        <f>IF(AND(AA249&gt;0,AB249&gt;=Controls!$B$39*AA249),1,0)</f>
        <v/>
      </c>
      <c r="AD249">
        <f>IF(AND(E249&lt;&gt;"",E249&gt;=Controls!$B$37,E249&lt;=Controls!$B$38),1,0)</f>
        <v/>
      </c>
      <c r="AE249">
        <f>IF(IFERROR(VLOOKUP(D249,Controls!$A$64:$E$74,2,FALSE),"No")="Yes",1,0)</f>
        <v/>
      </c>
      <c r="AF249">
        <f>IF(IFERROR(VLOOKUP(D249,Controls!$A$64:$E$74,3,FALSE),"No")="Yes",1,0)</f>
        <v/>
      </c>
      <c r="AG249">
        <f>IF(IFERROR(VLOOKUP(D249,Controls!$A$64:$E$74,4,FALSE),"No")="Yes",1,0)</f>
        <v/>
      </c>
      <c r="AH249">
        <f>IF(IFERROR(VLOOKUP(D249,Controls!$A$64:$E$74,5,FALSE),"No")="Yes",1,0)</f>
        <v/>
      </c>
      <c r="AI249">
        <f>IF(ISNUMBER(MATCH(D249,Controls!$A$64:$A$74,0)),1,0)</f>
        <v/>
      </c>
      <c r="AJ249">
        <f>Q249-N249</f>
        <v/>
      </c>
      <c r="AK249">
        <f>IF(AE249=1,MAX(0,N249-Q249),0)</f>
        <v/>
      </c>
      <c r="AL249">
        <f>IF(OR(V249="",V249=0),0,N249/V249)</f>
        <v/>
      </c>
      <c r="AM249">
        <f>IF(OR(V249="",V249=0),0,1)</f>
        <v/>
      </c>
      <c r="AN249">
        <f>IF(OR(E249="",F249=""),0,NETWORKDAYS(E249,F249,Ref!$K$2:$K$42))</f>
        <v/>
      </c>
      <c r="AO249">
        <f>IF(L249="Renewal",1,0)</f>
        <v/>
      </c>
      <c r="AP249">
        <f>AC249*AD249</f>
        <v/>
      </c>
      <c r="AQ249">
        <f>IF(AND(G249&lt;&gt;"",'Historical Score'!$C$6&lt;&gt;""),IF(G249='Historical Score'!$C$6,1,0),0)</f>
        <v/>
      </c>
      <c r="AR249">
        <f>IF(AND(L249&lt;&gt;"",'Historical Score'!$C$5&lt;&gt;""),IF(L249='Historical Score'!$C$5,1,0),0)</f>
        <v/>
      </c>
      <c r="AS249">
        <f>IF(AND(Y249&lt;&gt;"",'Historical Score'!$C$7&lt;&gt;""),IF(Y249='Historical Score'!$C$7,1,0),0)</f>
        <v/>
      </c>
      <c r="AT249">
        <f>IF(AND(K249&lt;&gt;"",'Historical Score'!$C$8&lt;&gt;""),IF(K249='Historical Score'!$C$8,1,0),0)</f>
        <v/>
      </c>
      <c r="AU249">
        <f>IF(AND(J249&lt;&gt;"",'Historical Score'!$C$9&lt;&gt;""),IF(J249='Historical Score'!$C$9,1,0),0)</f>
        <v/>
      </c>
      <c r="AV249">
        <f>AR249*AS249*AQ249</f>
        <v/>
      </c>
      <c r="AW249">
        <f>AR249*AT249*AQ249</f>
        <v/>
      </c>
      <c r="AX249">
        <f>AR249*AS249</f>
        <v/>
      </c>
      <c r="AY249">
        <f>AR249*AT249</f>
        <v/>
      </c>
      <c r="AZ249">
        <f>AR249*AQ249</f>
        <v/>
      </c>
      <c r="BA249">
        <f>AR249</f>
        <v/>
      </c>
      <c r="BB249">
        <f>1</f>
        <v/>
      </c>
      <c r="BC249">
        <f>IF(AV249=1,1,IF(AW249=1,2,IF(AX249=1,3,IF(AY249=1,4,IF(AZ249=1,5,IF(BA249=1,6,7))))))</f>
        <v/>
      </c>
      <c r="BD249">
        <f>IF(AD249=1,CHOOSE('Historical Score'!$C$29,AV249,AW249,AX249,AY249,AZ249,BA249,BB249),0)</f>
        <v/>
      </c>
      <c r="BE249">
        <f>IF(BD249=1,COUNTIF($BD$2:BD249,1),"")</f>
        <v/>
      </c>
    </row>
    <row r="250">
      <c r="A250" t="inlineStr">
        <is>
          <t>5674166400</t>
        </is>
      </c>
      <c r="B250" t="inlineStr">
        <is>
          <t>Pet Dynasty</t>
        </is>
      </c>
      <c r="C250" t="inlineStr">
        <is>
          <t>MOO-VA-PET</t>
        </is>
      </c>
      <c r="D250" t="inlineStr">
        <is>
          <t>In House Collection</t>
        </is>
      </c>
      <c r="E250" s="297" t="n">
        <v>45915</v>
      </c>
      <c r="F250" s="297" t="n">
        <v>46097</v>
      </c>
      <c r="G250" t="n">
        <v>2</v>
      </c>
      <c r="H250" t="inlineStr">
        <is>
          <t>0742</t>
        </is>
      </c>
      <c r="I250" t="inlineStr">
        <is>
          <t>07</t>
        </is>
      </c>
      <c r="J250" t="inlineStr">
        <is>
          <t>CA</t>
        </is>
      </c>
      <c r="K250" t="inlineStr">
        <is>
          <t>FC ADVANCE</t>
        </is>
      </c>
      <c r="L250" t="inlineStr">
        <is>
          <t>Renewal</t>
        </is>
      </c>
      <c r="M250" s="298" t="n">
        <v>1.49</v>
      </c>
      <c r="N250" s="299" t="n">
        <v>10000</v>
      </c>
      <c r="O250" s="299" t="n">
        <v>1400</v>
      </c>
      <c r="P250" s="299" t="n">
        <v>14900</v>
      </c>
      <c r="Q250" s="299" t="n">
        <v>10733.76</v>
      </c>
      <c r="R250" s="299" t="n">
        <v>4166.24</v>
      </c>
      <c r="S250" s="300" t="n">
        <v>0.720386577181208</v>
      </c>
      <c r="T250" t="n">
        <v>3.279</v>
      </c>
      <c r="U250" t="n">
        <v>38</v>
      </c>
      <c r="V250" t="n">
        <v>41301.41</v>
      </c>
      <c r="W250" s="300" t="n">
        <v>0.07580000000000001</v>
      </c>
      <c r="X250" s="297" t="n">
        <v>43472</v>
      </c>
      <c r="Y250">
        <f>IF(I250="","No SIC",IFERROR(VLOOKUP(I250,Ref!$A$2:$B$65,2,FALSE),"Unclassified"))</f>
        <v/>
      </c>
      <c r="Z250">
        <f>IF(T250="","",IF(T250&lt;12,"Daily","Weekly"))</f>
        <v/>
      </c>
      <c r="AA250">
        <f>IF(T250="",0,IF(T250&lt;12,T250*Controls!$B$29,T250*5))</f>
        <v/>
      </c>
      <c r="AB250">
        <f>IF(E250="",0,NETWORKDAYS(E250,Controls!$B$36,Ref!$K$2:$K$42))</f>
        <v/>
      </c>
      <c r="AC250">
        <f>IF(AND(AA250&gt;0,AB250&gt;=Controls!$B$39*AA250),1,0)</f>
        <v/>
      </c>
      <c r="AD250">
        <f>IF(AND(E250&lt;&gt;"",E250&gt;=Controls!$B$37,E250&lt;=Controls!$B$38),1,0)</f>
        <v/>
      </c>
      <c r="AE250">
        <f>IF(IFERROR(VLOOKUP(D250,Controls!$A$64:$E$74,2,FALSE),"No")="Yes",1,0)</f>
        <v/>
      </c>
      <c r="AF250">
        <f>IF(IFERROR(VLOOKUP(D250,Controls!$A$64:$E$74,3,FALSE),"No")="Yes",1,0)</f>
        <v/>
      </c>
      <c r="AG250">
        <f>IF(IFERROR(VLOOKUP(D250,Controls!$A$64:$E$74,4,FALSE),"No")="Yes",1,0)</f>
        <v/>
      </c>
      <c r="AH250">
        <f>IF(IFERROR(VLOOKUP(D250,Controls!$A$64:$E$74,5,FALSE),"No")="Yes",1,0)</f>
        <v/>
      </c>
      <c r="AI250">
        <f>IF(ISNUMBER(MATCH(D250,Controls!$A$64:$A$74,0)),1,0)</f>
        <v/>
      </c>
      <c r="AJ250">
        <f>Q250-N250</f>
        <v/>
      </c>
      <c r="AK250">
        <f>IF(AE250=1,MAX(0,N250-Q250),0)</f>
        <v/>
      </c>
      <c r="AL250">
        <f>IF(OR(V250="",V250=0),0,N250/V250)</f>
        <v/>
      </c>
      <c r="AM250">
        <f>IF(OR(V250="",V250=0),0,1)</f>
        <v/>
      </c>
      <c r="AN250">
        <f>IF(OR(E250="",F250=""),0,NETWORKDAYS(E250,F250,Ref!$K$2:$K$42))</f>
        <v/>
      </c>
      <c r="AO250">
        <f>IF(L250="Renewal",1,0)</f>
        <v/>
      </c>
      <c r="AP250">
        <f>AC250*AD250</f>
        <v/>
      </c>
      <c r="AQ250">
        <f>IF(AND(G250&lt;&gt;"",'Historical Score'!$C$6&lt;&gt;""),IF(G250='Historical Score'!$C$6,1,0),0)</f>
        <v/>
      </c>
      <c r="AR250">
        <f>IF(AND(L250&lt;&gt;"",'Historical Score'!$C$5&lt;&gt;""),IF(L250='Historical Score'!$C$5,1,0),0)</f>
        <v/>
      </c>
      <c r="AS250">
        <f>IF(AND(Y250&lt;&gt;"",'Historical Score'!$C$7&lt;&gt;""),IF(Y250='Historical Score'!$C$7,1,0),0)</f>
        <v/>
      </c>
      <c r="AT250">
        <f>IF(AND(K250&lt;&gt;"",'Historical Score'!$C$8&lt;&gt;""),IF(K250='Historical Score'!$C$8,1,0),0)</f>
        <v/>
      </c>
      <c r="AU250">
        <f>IF(AND(J250&lt;&gt;"",'Historical Score'!$C$9&lt;&gt;""),IF(J250='Historical Score'!$C$9,1,0),0)</f>
        <v/>
      </c>
      <c r="AV250">
        <f>AR250*AS250*AQ250</f>
        <v/>
      </c>
      <c r="AW250">
        <f>AR250*AT250*AQ250</f>
        <v/>
      </c>
      <c r="AX250">
        <f>AR250*AS250</f>
        <v/>
      </c>
      <c r="AY250">
        <f>AR250*AT250</f>
        <v/>
      </c>
      <c r="AZ250">
        <f>AR250*AQ250</f>
        <v/>
      </c>
      <c r="BA250">
        <f>AR250</f>
        <v/>
      </c>
      <c r="BB250">
        <f>1</f>
        <v/>
      </c>
      <c r="BC250">
        <f>IF(AV250=1,1,IF(AW250=1,2,IF(AX250=1,3,IF(AY250=1,4,IF(AZ250=1,5,IF(BA250=1,6,7))))))</f>
        <v/>
      </c>
      <c r="BD250">
        <f>IF(AD250=1,CHOOSE('Historical Score'!$C$29,AV250,AW250,AX250,AY250,AZ250,BA250,BB250),0)</f>
        <v/>
      </c>
      <c r="BE250">
        <f>IF(BD250=1,COUNTIF($BD$2:BD250,1),"")</f>
        <v/>
      </c>
    </row>
    <row r="251">
      <c r="A251" t="inlineStr">
        <is>
          <t>5674166825</t>
        </is>
      </c>
      <c r="B251" t="inlineStr">
        <is>
          <t>ALPHA 3 MASONRY &amp; REMODEL</t>
        </is>
      </c>
      <c r="C251" t="inlineStr">
        <is>
          <t>ALPHA 3 MASONRY &amp; REMODEL LLC</t>
        </is>
      </c>
      <c r="D251" t="inlineStr">
        <is>
          <t>Closed</t>
        </is>
      </c>
      <c r="E251" s="297" t="n">
        <v>45917</v>
      </c>
      <c r="F251" s="297" t="n">
        <v>46079</v>
      </c>
      <c r="G251" t="n">
        <v>2</v>
      </c>
      <c r="H251" t="inlineStr">
        <is>
          <t>1521</t>
        </is>
      </c>
      <c r="I251" t="inlineStr">
        <is>
          <t>15</t>
        </is>
      </c>
      <c r="J251" t="inlineStr">
        <is>
          <t>AZ</t>
        </is>
      </c>
      <c r="K251" t="inlineStr">
        <is>
          <t>FIMACAP INC</t>
        </is>
      </c>
      <c r="L251" t="inlineStr">
        <is>
          <t>New Deal</t>
        </is>
      </c>
      <c r="M251" s="298" t="n">
        <v>1.35</v>
      </c>
      <c r="N251" s="299" t="n">
        <v>20000</v>
      </c>
      <c r="O251" s="299" t="n">
        <v>1400</v>
      </c>
      <c r="P251" s="299" t="n">
        <v>27000</v>
      </c>
      <c r="Q251" s="299" t="n">
        <v>27000</v>
      </c>
      <c r="R251" s="299" t="n">
        <v>0</v>
      </c>
      <c r="S251" s="300" t="n">
        <v>1</v>
      </c>
      <c r="T251" t="n">
        <v>22</v>
      </c>
      <c r="U251" t="n">
        <v>2</v>
      </c>
      <c r="V251" t="n">
        <v>123628.7</v>
      </c>
      <c r="W251" s="300" t="n">
        <v>0.0397</v>
      </c>
      <c r="X251" s="297" t="n">
        <v>44562</v>
      </c>
      <c r="Y251">
        <f>IF(I251="","No SIC",IFERROR(VLOOKUP(I251,Ref!$A$2:$B$65,2,FALSE),"Unclassified"))</f>
        <v/>
      </c>
      <c r="Z251">
        <f>IF(T251="","",IF(T251&lt;12,"Daily","Weekly"))</f>
        <v/>
      </c>
      <c r="AA251">
        <f>IF(T251="",0,IF(T251&lt;12,T251*Controls!$B$29,T251*5))</f>
        <v/>
      </c>
      <c r="AB251">
        <f>IF(E251="",0,NETWORKDAYS(E251,Controls!$B$36,Ref!$K$2:$K$42))</f>
        <v/>
      </c>
      <c r="AC251">
        <f>IF(AND(AA251&gt;0,AB251&gt;=Controls!$B$39*AA251),1,0)</f>
        <v/>
      </c>
      <c r="AD251">
        <f>IF(AND(E251&lt;&gt;"",E251&gt;=Controls!$B$37,E251&lt;=Controls!$B$38),1,0)</f>
        <v/>
      </c>
      <c r="AE251">
        <f>IF(IFERROR(VLOOKUP(D251,Controls!$A$64:$E$74,2,FALSE),"No")="Yes",1,0)</f>
        <v/>
      </c>
      <c r="AF251">
        <f>IF(IFERROR(VLOOKUP(D251,Controls!$A$64:$E$74,3,FALSE),"No")="Yes",1,0)</f>
        <v/>
      </c>
      <c r="AG251">
        <f>IF(IFERROR(VLOOKUP(D251,Controls!$A$64:$E$74,4,FALSE),"No")="Yes",1,0)</f>
        <v/>
      </c>
      <c r="AH251">
        <f>IF(IFERROR(VLOOKUP(D251,Controls!$A$64:$E$74,5,FALSE),"No")="Yes",1,0)</f>
        <v/>
      </c>
      <c r="AI251">
        <f>IF(ISNUMBER(MATCH(D251,Controls!$A$64:$A$74,0)),1,0)</f>
        <v/>
      </c>
      <c r="AJ251">
        <f>Q251-N251</f>
        <v/>
      </c>
      <c r="AK251">
        <f>IF(AE251=1,MAX(0,N251-Q251),0)</f>
        <v/>
      </c>
      <c r="AL251">
        <f>IF(OR(V251="",V251=0),0,N251/V251)</f>
        <v/>
      </c>
      <c r="AM251">
        <f>IF(OR(V251="",V251=0),0,1)</f>
        <v/>
      </c>
      <c r="AN251">
        <f>IF(OR(E251="",F251=""),0,NETWORKDAYS(E251,F251,Ref!$K$2:$K$42))</f>
        <v/>
      </c>
      <c r="AO251">
        <f>IF(L251="Renewal",1,0)</f>
        <v/>
      </c>
      <c r="AP251">
        <f>AC251*AD251</f>
        <v/>
      </c>
      <c r="AQ251">
        <f>IF(AND(G251&lt;&gt;"",'Historical Score'!$C$6&lt;&gt;""),IF(G251='Historical Score'!$C$6,1,0),0)</f>
        <v/>
      </c>
      <c r="AR251">
        <f>IF(AND(L251&lt;&gt;"",'Historical Score'!$C$5&lt;&gt;""),IF(L251='Historical Score'!$C$5,1,0),0)</f>
        <v/>
      </c>
      <c r="AS251">
        <f>IF(AND(Y251&lt;&gt;"",'Historical Score'!$C$7&lt;&gt;""),IF(Y251='Historical Score'!$C$7,1,0),0)</f>
        <v/>
      </c>
      <c r="AT251">
        <f>IF(AND(K251&lt;&gt;"",'Historical Score'!$C$8&lt;&gt;""),IF(K251='Historical Score'!$C$8,1,0),0)</f>
        <v/>
      </c>
      <c r="AU251">
        <f>IF(AND(J251&lt;&gt;"",'Historical Score'!$C$9&lt;&gt;""),IF(J251='Historical Score'!$C$9,1,0),0)</f>
        <v/>
      </c>
      <c r="AV251">
        <f>AR251*AS251*AQ251</f>
        <v/>
      </c>
      <c r="AW251">
        <f>AR251*AT251*AQ251</f>
        <v/>
      </c>
      <c r="AX251">
        <f>AR251*AS251</f>
        <v/>
      </c>
      <c r="AY251">
        <f>AR251*AT251</f>
        <v/>
      </c>
      <c r="AZ251">
        <f>AR251*AQ251</f>
        <v/>
      </c>
      <c r="BA251">
        <f>AR251</f>
        <v/>
      </c>
      <c r="BB251">
        <f>1</f>
        <v/>
      </c>
      <c r="BC251">
        <f>IF(AV251=1,1,IF(AW251=1,2,IF(AX251=1,3,IF(AY251=1,4,IF(AZ251=1,5,IF(BA251=1,6,7))))))</f>
        <v/>
      </c>
      <c r="BD251">
        <f>IF(AD251=1,CHOOSE('Historical Score'!$C$29,AV251,AW251,AX251,AY251,AZ251,BA251,BB251),0)</f>
        <v/>
      </c>
      <c r="BE251">
        <f>IF(BD251=1,COUNTIF($BD$2:BD251,1),"")</f>
        <v/>
      </c>
    </row>
    <row r="252">
      <c r="A252" t="inlineStr">
        <is>
          <t>5674166925</t>
        </is>
      </c>
      <c r="B252" t="inlineStr">
        <is>
          <t>AD Car Detail LLC</t>
        </is>
      </c>
      <c r="C252" t="inlineStr">
        <is>
          <t>AD Car Detail LLC</t>
        </is>
      </c>
      <c r="D252" t="inlineStr">
        <is>
          <t>Legal</t>
        </is>
      </c>
      <c r="E252" s="297" t="n">
        <v>45918</v>
      </c>
      <c r="F252" s="297" t="n">
        <v>46014</v>
      </c>
      <c r="G252" t="n">
        <v>2</v>
      </c>
      <c r="H252" t="inlineStr">
        <is>
          <t>7538</t>
        </is>
      </c>
      <c r="I252" t="inlineStr">
        <is>
          <t>75</t>
        </is>
      </c>
      <c r="J252" t="inlineStr">
        <is>
          <t>MN</t>
        </is>
      </c>
      <c r="K252" t="inlineStr">
        <is>
          <t>ROK</t>
        </is>
      </c>
      <c r="L252" t="inlineStr">
        <is>
          <t>Renewal</t>
        </is>
      </c>
      <c r="M252" s="298" t="n">
        <v>1.499</v>
      </c>
      <c r="N252" s="299" t="n">
        <v>12500</v>
      </c>
      <c r="O252" s="299" t="n">
        <v>1750</v>
      </c>
      <c r="P252" s="299" t="n">
        <v>18737.5</v>
      </c>
      <c r="Q252" s="299" t="n">
        <v>11340.2</v>
      </c>
      <c r="R252" s="299" t="n">
        <v>7397.3</v>
      </c>
      <c r="S252" s="300" t="n">
        <v>0.605214142761841</v>
      </c>
      <c r="T252" t="n">
        <v>3.279</v>
      </c>
      <c r="U252" t="n">
        <v>5</v>
      </c>
      <c r="V252" t="n">
        <v>28775.85</v>
      </c>
      <c r="W252" s="300" t="n">
        <v>0.1413</v>
      </c>
      <c r="X252" s="297" t="n">
        <v>45020</v>
      </c>
      <c r="Y252">
        <f>IF(I252="","No SIC",IFERROR(VLOOKUP(I252,Ref!$A$2:$B$65,2,FALSE),"Unclassified"))</f>
        <v/>
      </c>
      <c r="Z252">
        <f>IF(T252="","",IF(T252&lt;12,"Daily","Weekly"))</f>
        <v/>
      </c>
      <c r="AA252">
        <f>IF(T252="",0,IF(T252&lt;12,T252*Controls!$B$29,T252*5))</f>
        <v/>
      </c>
      <c r="AB252">
        <f>IF(E252="",0,NETWORKDAYS(E252,Controls!$B$36,Ref!$K$2:$K$42))</f>
        <v/>
      </c>
      <c r="AC252">
        <f>IF(AND(AA252&gt;0,AB252&gt;=Controls!$B$39*AA252),1,0)</f>
        <v/>
      </c>
      <c r="AD252">
        <f>IF(AND(E252&lt;&gt;"",E252&gt;=Controls!$B$37,E252&lt;=Controls!$B$38),1,0)</f>
        <v/>
      </c>
      <c r="AE252">
        <f>IF(IFERROR(VLOOKUP(D252,Controls!$A$64:$E$74,2,FALSE),"No")="Yes",1,0)</f>
        <v/>
      </c>
      <c r="AF252">
        <f>IF(IFERROR(VLOOKUP(D252,Controls!$A$64:$E$74,3,FALSE),"No")="Yes",1,0)</f>
        <v/>
      </c>
      <c r="AG252">
        <f>IF(IFERROR(VLOOKUP(D252,Controls!$A$64:$E$74,4,FALSE),"No")="Yes",1,0)</f>
        <v/>
      </c>
      <c r="AH252">
        <f>IF(IFERROR(VLOOKUP(D252,Controls!$A$64:$E$74,5,FALSE),"No")="Yes",1,0)</f>
        <v/>
      </c>
      <c r="AI252">
        <f>IF(ISNUMBER(MATCH(D252,Controls!$A$64:$A$74,0)),1,0)</f>
        <v/>
      </c>
      <c r="AJ252">
        <f>Q252-N252</f>
        <v/>
      </c>
      <c r="AK252">
        <f>IF(AE252=1,MAX(0,N252-Q252),0)</f>
        <v/>
      </c>
      <c r="AL252">
        <f>IF(OR(V252="",V252=0),0,N252/V252)</f>
        <v/>
      </c>
      <c r="AM252">
        <f>IF(OR(V252="",V252=0),0,1)</f>
        <v/>
      </c>
      <c r="AN252">
        <f>IF(OR(E252="",F252=""),0,NETWORKDAYS(E252,F252,Ref!$K$2:$K$42))</f>
        <v/>
      </c>
      <c r="AO252">
        <f>IF(L252="Renewal",1,0)</f>
        <v/>
      </c>
      <c r="AP252">
        <f>AC252*AD252</f>
        <v/>
      </c>
      <c r="AQ252">
        <f>IF(AND(G252&lt;&gt;"",'Historical Score'!$C$6&lt;&gt;""),IF(G252='Historical Score'!$C$6,1,0),0)</f>
        <v/>
      </c>
      <c r="AR252">
        <f>IF(AND(L252&lt;&gt;"",'Historical Score'!$C$5&lt;&gt;""),IF(L252='Historical Score'!$C$5,1,0),0)</f>
        <v/>
      </c>
      <c r="AS252">
        <f>IF(AND(Y252&lt;&gt;"",'Historical Score'!$C$7&lt;&gt;""),IF(Y252='Historical Score'!$C$7,1,0),0)</f>
        <v/>
      </c>
      <c r="AT252">
        <f>IF(AND(K252&lt;&gt;"",'Historical Score'!$C$8&lt;&gt;""),IF(K252='Historical Score'!$C$8,1,0),0)</f>
        <v/>
      </c>
      <c r="AU252">
        <f>IF(AND(J252&lt;&gt;"",'Historical Score'!$C$9&lt;&gt;""),IF(J252='Historical Score'!$C$9,1,0),0)</f>
        <v/>
      </c>
      <c r="AV252">
        <f>AR252*AS252*AQ252</f>
        <v/>
      </c>
      <c r="AW252">
        <f>AR252*AT252*AQ252</f>
        <v/>
      </c>
      <c r="AX252">
        <f>AR252*AS252</f>
        <v/>
      </c>
      <c r="AY252">
        <f>AR252*AT252</f>
        <v/>
      </c>
      <c r="AZ252">
        <f>AR252*AQ252</f>
        <v/>
      </c>
      <c r="BA252">
        <f>AR252</f>
        <v/>
      </c>
      <c r="BB252">
        <f>1</f>
        <v/>
      </c>
      <c r="BC252">
        <f>IF(AV252=1,1,IF(AW252=1,2,IF(AX252=1,3,IF(AY252=1,4,IF(AZ252=1,5,IF(BA252=1,6,7))))))</f>
        <v/>
      </c>
      <c r="BD252">
        <f>IF(AD252=1,CHOOSE('Historical Score'!$C$29,AV252,AW252,AX252,AY252,AZ252,BA252,BB252),0)</f>
        <v/>
      </c>
      <c r="BE252">
        <f>IF(BD252=1,COUNTIF($BD$2:BD252,1),"")</f>
        <v/>
      </c>
    </row>
    <row r="253">
      <c r="A253" t="inlineStr">
        <is>
          <t>5674166986</t>
        </is>
      </c>
      <c r="B253" t="inlineStr">
        <is>
          <t>Klenk Holdings LLC</t>
        </is>
      </c>
      <c r="C253" t="inlineStr">
        <is>
          <t>Klenk Holdings LLC</t>
        </is>
      </c>
      <c r="D253" t="inlineStr">
        <is>
          <t>Legal</t>
        </is>
      </c>
      <c r="E253" s="297" t="n">
        <v>45918</v>
      </c>
      <c r="F253" s="297" t="n">
        <v>46230</v>
      </c>
      <c r="G253" t="n">
        <v>2</v>
      </c>
      <c r="H253" t="inlineStr">
        <is>
          <t>5999</t>
        </is>
      </c>
      <c r="I253" t="inlineStr">
        <is>
          <t>59</t>
        </is>
      </c>
      <c r="J253" t="inlineStr">
        <is>
          <t>IN</t>
        </is>
      </c>
      <c r="K253" t="inlineStr">
        <is>
          <t>United Secured Capital 8</t>
        </is>
      </c>
      <c r="L253" t="inlineStr">
        <is>
          <t>New Deal</t>
        </is>
      </c>
      <c r="M253" s="298" t="n">
        <v>1.49</v>
      </c>
      <c r="N253" s="299" t="n">
        <v>11500</v>
      </c>
      <c r="O253" s="299" t="n">
        <v>1610</v>
      </c>
      <c r="P253" s="299" t="n">
        <v>17135</v>
      </c>
      <c r="Q253" s="299" t="n">
        <v>6750</v>
      </c>
      <c r="R253" s="299" t="n">
        <v>10385</v>
      </c>
      <c r="S253" s="300" t="n">
        <v>0.393930551502772</v>
      </c>
      <c r="T253" t="n">
        <v>1.967</v>
      </c>
      <c r="U253" t="n">
        <v>41</v>
      </c>
      <c r="V253" t="n">
        <v>11443.09</v>
      </c>
      <c r="W253" s="300" t="n">
        <v>0.5241</v>
      </c>
      <c r="X253" s="297" t="n">
        <v>45292</v>
      </c>
      <c r="Y253">
        <f>IF(I253="","No SIC",IFERROR(VLOOKUP(I253,Ref!$A$2:$B$65,2,FALSE),"Unclassified"))</f>
        <v/>
      </c>
      <c r="Z253">
        <f>IF(T253="","",IF(T253&lt;12,"Daily","Weekly"))</f>
        <v/>
      </c>
      <c r="AA253">
        <f>IF(T253="",0,IF(T253&lt;12,T253*Controls!$B$29,T253*5))</f>
        <v/>
      </c>
      <c r="AB253">
        <f>IF(E253="",0,NETWORKDAYS(E253,Controls!$B$36,Ref!$K$2:$K$42))</f>
        <v/>
      </c>
      <c r="AC253">
        <f>IF(AND(AA253&gt;0,AB253&gt;=Controls!$B$39*AA253),1,0)</f>
        <v/>
      </c>
      <c r="AD253">
        <f>IF(AND(E253&lt;&gt;"",E253&gt;=Controls!$B$37,E253&lt;=Controls!$B$38),1,0)</f>
        <v/>
      </c>
      <c r="AE253">
        <f>IF(IFERROR(VLOOKUP(D253,Controls!$A$64:$E$74,2,FALSE),"No")="Yes",1,0)</f>
        <v/>
      </c>
      <c r="AF253">
        <f>IF(IFERROR(VLOOKUP(D253,Controls!$A$64:$E$74,3,FALSE),"No")="Yes",1,0)</f>
        <v/>
      </c>
      <c r="AG253">
        <f>IF(IFERROR(VLOOKUP(D253,Controls!$A$64:$E$74,4,FALSE),"No")="Yes",1,0)</f>
        <v/>
      </c>
      <c r="AH253">
        <f>IF(IFERROR(VLOOKUP(D253,Controls!$A$64:$E$74,5,FALSE),"No")="Yes",1,0)</f>
        <v/>
      </c>
      <c r="AI253">
        <f>IF(ISNUMBER(MATCH(D253,Controls!$A$64:$A$74,0)),1,0)</f>
        <v/>
      </c>
      <c r="AJ253">
        <f>Q253-N253</f>
        <v/>
      </c>
      <c r="AK253">
        <f>IF(AE253=1,MAX(0,N253-Q253),0)</f>
        <v/>
      </c>
      <c r="AL253">
        <f>IF(OR(V253="",V253=0),0,N253/V253)</f>
        <v/>
      </c>
      <c r="AM253">
        <f>IF(OR(V253="",V253=0),0,1)</f>
        <v/>
      </c>
      <c r="AN253">
        <f>IF(OR(E253="",F253=""),0,NETWORKDAYS(E253,F253,Ref!$K$2:$K$42))</f>
        <v/>
      </c>
      <c r="AO253">
        <f>IF(L253="Renewal",1,0)</f>
        <v/>
      </c>
      <c r="AP253">
        <f>AC253*AD253</f>
        <v/>
      </c>
      <c r="AQ253">
        <f>IF(AND(G253&lt;&gt;"",'Historical Score'!$C$6&lt;&gt;""),IF(G253='Historical Score'!$C$6,1,0),0)</f>
        <v/>
      </c>
      <c r="AR253">
        <f>IF(AND(L253&lt;&gt;"",'Historical Score'!$C$5&lt;&gt;""),IF(L253='Historical Score'!$C$5,1,0),0)</f>
        <v/>
      </c>
      <c r="AS253">
        <f>IF(AND(Y253&lt;&gt;"",'Historical Score'!$C$7&lt;&gt;""),IF(Y253='Historical Score'!$C$7,1,0),0)</f>
        <v/>
      </c>
      <c r="AT253">
        <f>IF(AND(K253&lt;&gt;"",'Historical Score'!$C$8&lt;&gt;""),IF(K253='Historical Score'!$C$8,1,0),0)</f>
        <v/>
      </c>
      <c r="AU253">
        <f>IF(AND(J253&lt;&gt;"",'Historical Score'!$C$9&lt;&gt;""),IF(J253='Historical Score'!$C$9,1,0),0)</f>
        <v/>
      </c>
      <c r="AV253">
        <f>AR253*AS253*AQ253</f>
        <v/>
      </c>
      <c r="AW253">
        <f>AR253*AT253*AQ253</f>
        <v/>
      </c>
      <c r="AX253">
        <f>AR253*AS253</f>
        <v/>
      </c>
      <c r="AY253">
        <f>AR253*AT253</f>
        <v/>
      </c>
      <c r="AZ253">
        <f>AR253*AQ253</f>
        <v/>
      </c>
      <c r="BA253">
        <f>AR253</f>
        <v/>
      </c>
      <c r="BB253">
        <f>1</f>
        <v/>
      </c>
      <c r="BC253">
        <f>IF(AV253=1,1,IF(AW253=1,2,IF(AX253=1,3,IF(AY253=1,4,IF(AZ253=1,5,IF(BA253=1,6,7))))))</f>
        <v/>
      </c>
      <c r="BD253">
        <f>IF(AD253=1,CHOOSE('Historical Score'!$C$29,AV253,AW253,AX253,AY253,AZ253,BA253,BB253),0)</f>
        <v/>
      </c>
      <c r="BE253">
        <f>IF(BD253=1,COUNTIF($BD$2:BD253,1),"")</f>
        <v/>
      </c>
    </row>
    <row r="254">
      <c r="A254" t="inlineStr">
        <is>
          <t>5674167047</t>
        </is>
      </c>
      <c r="B254" t="inlineStr">
        <is>
          <t>Kenetix Performance and Fitness</t>
        </is>
      </c>
      <c r="C254" t="inlineStr">
        <is>
          <t>Kenetix LLC</t>
        </is>
      </c>
      <c r="D254" t="inlineStr">
        <is>
          <t>Closed</t>
        </is>
      </c>
      <c r="E254" s="297" t="n">
        <v>45919</v>
      </c>
      <c r="F254" s="297" t="n">
        <v>46087</v>
      </c>
      <c r="G254" t="n">
        <v>1</v>
      </c>
      <c r="H254" t="inlineStr">
        <is>
          <t>7991</t>
        </is>
      </c>
      <c r="I254" t="inlineStr">
        <is>
          <t>79</t>
        </is>
      </c>
      <c r="J254" t="inlineStr">
        <is>
          <t>TN</t>
        </is>
      </c>
      <c r="K254" t="inlineStr">
        <is>
          <t>Fundwell</t>
        </is>
      </c>
      <c r="L254" t="inlineStr">
        <is>
          <t>New Deal</t>
        </is>
      </c>
      <c r="M254" s="298" t="n">
        <v>1.38</v>
      </c>
      <c r="N254" s="299" t="n">
        <v>10000</v>
      </c>
      <c r="O254" s="299" t="n">
        <v>1200</v>
      </c>
      <c r="P254" s="299" t="n">
        <v>13800</v>
      </c>
      <c r="Q254" s="299" t="n">
        <v>13800</v>
      </c>
      <c r="R254" s="299" t="n">
        <v>-1.81898940354586e-12</v>
      </c>
      <c r="S254" s="300" t="n">
        <v>1</v>
      </c>
      <c r="T254" t="n">
        <v>24</v>
      </c>
      <c r="U254" t="n">
        <v>0</v>
      </c>
      <c r="V254" t="n">
        <v>16327.93</v>
      </c>
      <c r="W254" s="300" t="n">
        <v>0.1409</v>
      </c>
      <c r="X254" s="297" t="n">
        <v>43686</v>
      </c>
      <c r="Y254">
        <f>IF(I254="","No SIC",IFERROR(VLOOKUP(I254,Ref!$A$2:$B$65,2,FALSE),"Unclassified"))</f>
        <v/>
      </c>
      <c r="Z254">
        <f>IF(T254="","",IF(T254&lt;12,"Daily","Weekly"))</f>
        <v/>
      </c>
      <c r="AA254">
        <f>IF(T254="",0,IF(T254&lt;12,T254*Controls!$B$29,T254*5))</f>
        <v/>
      </c>
      <c r="AB254">
        <f>IF(E254="",0,NETWORKDAYS(E254,Controls!$B$36,Ref!$K$2:$K$42))</f>
        <v/>
      </c>
      <c r="AC254">
        <f>IF(AND(AA254&gt;0,AB254&gt;=Controls!$B$39*AA254),1,0)</f>
        <v/>
      </c>
      <c r="AD254">
        <f>IF(AND(E254&lt;&gt;"",E254&gt;=Controls!$B$37,E254&lt;=Controls!$B$38),1,0)</f>
        <v/>
      </c>
      <c r="AE254">
        <f>IF(IFERROR(VLOOKUP(D254,Controls!$A$64:$E$74,2,FALSE),"No")="Yes",1,0)</f>
        <v/>
      </c>
      <c r="AF254">
        <f>IF(IFERROR(VLOOKUP(D254,Controls!$A$64:$E$74,3,FALSE),"No")="Yes",1,0)</f>
        <v/>
      </c>
      <c r="AG254">
        <f>IF(IFERROR(VLOOKUP(D254,Controls!$A$64:$E$74,4,FALSE),"No")="Yes",1,0)</f>
        <v/>
      </c>
      <c r="AH254">
        <f>IF(IFERROR(VLOOKUP(D254,Controls!$A$64:$E$74,5,FALSE),"No")="Yes",1,0)</f>
        <v/>
      </c>
      <c r="AI254">
        <f>IF(ISNUMBER(MATCH(D254,Controls!$A$64:$A$74,0)),1,0)</f>
        <v/>
      </c>
      <c r="AJ254">
        <f>Q254-N254</f>
        <v/>
      </c>
      <c r="AK254">
        <f>IF(AE254=1,MAX(0,N254-Q254),0)</f>
        <v/>
      </c>
      <c r="AL254">
        <f>IF(OR(V254="",V254=0),0,N254/V254)</f>
        <v/>
      </c>
      <c r="AM254">
        <f>IF(OR(V254="",V254=0),0,1)</f>
        <v/>
      </c>
      <c r="AN254">
        <f>IF(OR(E254="",F254=""),0,NETWORKDAYS(E254,F254,Ref!$K$2:$K$42))</f>
        <v/>
      </c>
      <c r="AO254">
        <f>IF(L254="Renewal",1,0)</f>
        <v/>
      </c>
      <c r="AP254">
        <f>AC254*AD254</f>
        <v/>
      </c>
      <c r="AQ254">
        <f>IF(AND(G254&lt;&gt;"",'Historical Score'!$C$6&lt;&gt;""),IF(G254='Historical Score'!$C$6,1,0),0)</f>
        <v/>
      </c>
      <c r="AR254">
        <f>IF(AND(L254&lt;&gt;"",'Historical Score'!$C$5&lt;&gt;""),IF(L254='Historical Score'!$C$5,1,0),0)</f>
        <v/>
      </c>
      <c r="AS254">
        <f>IF(AND(Y254&lt;&gt;"",'Historical Score'!$C$7&lt;&gt;""),IF(Y254='Historical Score'!$C$7,1,0),0)</f>
        <v/>
      </c>
      <c r="AT254">
        <f>IF(AND(K254&lt;&gt;"",'Historical Score'!$C$8&lt;&gt;""),IF(K254='Historical Score'!$C$8,1,0),0)</f>
        <v/>
      </c>
      <c r="AU254">
        <f>IF(AND(J254&lt;&gt;"",'Historical Score'!$C$9&lt;&gt;""),IF(J254='Historical Score'!$C$9,1,0),0)</f>
        <v/>
      </c>
      <c r="AV254">
        <f>AR254*AS254*AQ254</f>
        <v/>
      </c>
      <c r="AW254">
        <f>AR254*AT254*AQ254</f>
        <v/>
      </c>
      <c r="AX254">
        <f>AR254*AS254</f>
        <v/>
      </c>
      <c r="AY254">
        <f>AR254*AT254</f>
        <v/>
      </c>
      <c r="AZ254">
        <f>AR254*AQ254</f>
        <v/>
      </c>
      <c r="BA254">
        <f>AR254</f>
        <v/>
      </c>
      <c r="BB254">
        <f>1</f>
        <v/>
      </c>
      <c r="BC254">
        <f>IF(AV254=1,1,IF(AW254=1,2,IF(AX254=1,3,IF(AY254=1,4,IF(AZ254=1,5,IF(BA254=1,6,7))))))</f>
        <v/>
      </c>
      <c r="BD254">
        <f>IF(AD254=1,CHOOSE('Historical Score'!$C$29,AV254,AW254,AX254,AY254,AZ254,BA254,BB254),0)</f>
        <v/>
      </c>
      <c r="BE254">
        <f>IF(BD254=1,COUNTIF($BD$2:BD254,1),"")</f>
        <v/>
      </c>
    </row>
    <row r="255">
      <c r="A255" t="inlineStr">
        <is>
          <t>5674167065</t>
        </is>
      </c>
      <c r="B255" t="inlineStr">
        <is>
          <t>THE THERAPY CORNER COUNSELING &amp; CONSULTING, PLLC</t>
        </is>
      </c>
      <c r="C255" t="inlineStr">
        <is>
          <t>THE THERAPY CORNER COUNSELING &amp; CONSULTING, PLLC</t>
        </is>
      </c>
      <c r="D255" t="inlineStr">
        <is>
          <t>Closed</t>
        </is>
      </c>
      <c r="E255" s="297" t="n">
        <v>45919</v>
      </c>
      <c r="F255" s="297" t="n">
        <v>46125</v>
      </c>
      <c r="G255" t="n">
        <v>1</v>
      </c>
      <c r="H255" t="inlineStr">
        <is>
          <t>8732</t>
        </is>
      </c>
      <c r="I255" t="inlineStr">
        <is>
          <t>87</t>
        </is>
      </c>
      <c r="J255" t="inlineStr">
        <is>
          <t>TX</t>
        </is>
      </c>
      <c r="K255" t="inlineStr">
        <is>
          <t>Fundwell</t>
        </is>
      </c>
      <c r="L255" t="inlineStr">
        <is>
          <t>New Deal</t>
        </is>
      </c>
      <c r="M255" s="298" t="n">
        <v>1.38</v>
      </c>
      <c r="N255" s="299" t="n">
        <v>12000</v>
      </c>
      <c r="O255" s="299" t="n">
        <v>1440</v>
      </c>
      <c r="P255" s="299" t="n">
        <v>16560</v>
      </c>
      <c r="Q255" s="299" t="n">
        <v>16560</v>
      </c>
      <c r="R255" s="299" t="n">
        <v>0</v>
      </c>
      <c r="S255" s="300" t="n">
        <v>1</v>
      </c>
      <c r="T255" t="n">
        <v>4.59</v>
      </c>
      <c r="U255" t="n">
        <v>0</v>
      </c>
      <c r="V255" t="n">
        <v>26806.34</v>
      </c>
      <c r="W255" s="300" t="n">
        <v>0.0883</v>
      </c>
      <c r="X255" s="297" t="n">
        <v>44496</v>
      </c>
      <c r="Y255">
        <f>IF(I255="","No SIC",IFERROR(VLOOKUP(I255,Ref!$A$2:$B$65,2,FALSE),"Unclassified"))</f>
        <v/>
      </c>
      <c r="Z255">
        <f>IF(T255="","",IF(T255&lt;12,"Daily","Weekly"))</f>
        <v/>
      </c>
      <c r="AA255">
        <f>IF(T255="",0,IF(T255&lt;12,T255*Controls!$B$29,T255*5))</f>
        <v/>
      </c>
      <c r="AB255">
        <f>IF(E255="",0,NETWORKDAYS(E255,Controls!$B$36,Ref!$K$2:$K$42))</f>
        <v/>
      </c>
      <c r="AC255">
        <f>IF(AND(AA255&gt;0,AB255&gt;=Controls!$B$39*AA255),1,0)</f>
        <v/>
      </c>
      <c r="AD255">
        <f>IF(AND(E255&lt;&gt;"",E255&gt;=Controls!$B$37,E255&lt;=Controls!$B$38),1,0)</f>
        <v/>
      </c>
      <c r="AE255">
        <f>IF(IFERROR(VLOOKUP(D255,Controls!$A$64:$E$74,2,FALSE),"No")="Yes",1,0)</f>
        <v/>
      </c>
      <c r="AF255">
        <f>IF(IFERROR(VLOOKUP(D255,Controls!$A$64:$E$74,3,FALSE),"No")="Yes",1,0)</f>
        <v/>
      </c>
      <c r="AG255">
        <f>IF(IFERROR(VLOOKUP(D255,Controls!$A$64:$E$74,4,FALSE),"No")="Yes",1,0)</f>
        <v/>
      </c>
      <c r="AH255">
        <f>IF(IFERROR(VLOOKUP(D255,Controls!$A$64:$E$74,5,FALSE),"No")="Yes",1,0)</f>
        <v/>
      </c>
      <c r="AI255">
        <f>IF(ISNUMBER(MATCH(D255,Controls!$A$64:$A$74,0)),1,0)</f>
        <v/>
      </c>
      <c r="AJ255">
        <f>Q255-N255</f>
        <v/>
      </c>
      <c r="AK255">
        <f>IF(AE255=1,MAX(0,N255-Q255),0)</f>
        <v/>
      </c>
      <c r="AL255">
        <f>IF(OR(V255="",V255=0),0,N255/V255)</f>
        <v/>
      </c>
      <c r="AM255">
        <f>IF(OR(V255="",V255=0),0,1)</f>
        <v/>
      </c>
      <c r="AN255">
        <f>IF(OR(E255="",F255=""),0,NETWORKDAYS(E255,F255,Ref!$K$2:$K$42))</f>
        <v/>
      </c>
      <c r="AO255">
        <f>IF(L255="Renewal",1,0)</f>
        <v/>
      </c>
      <c r="AP255">
        <f>AC255*AD255</f>
        <v/>
      </c>
      <c r="AQ255">
        <f>IF(AND(G255&lt;&gt;"",'Historical Score'!$C$6&lt;&gt;""),IF(G255='Historical Score'!$C$6,1,0),0)</f>
        <v/>
      </c>
      <c r="AR255">
        <f>IF(AND(L255&lt;&gt;"",'Historical Score'!$C$5&lt;&gt;""),IF(L255='Historical Score'!$C$5,1,0),0)</f>
        <v/>
      </c>
      <c r="AS255">
        <f>IF(AND(Y255&lt;&gt;"",'Historical Score'!$C$7&lt;&gt;""),IF(Y255='Historical Score'!$C$7,1,0),0)</f>
        <v/>
      </c>
      <c r="AT255">
        <f>IF(AND(K255&lt;&gt;"",'Historical Score'!$C$8&lt;&gt;""),IF(K255='Historical Score'!$C$8,1,0),0)</f>
        <v/>
      </c>
      <c r="AU255">
        <f>IF(AND(J255&lt;&gt;"",'Historical Score'!$C$9&lt;&gt;""),IF(J255='Historical Score'!$C$9,1,0),0)</f>
        <v/>
      </c>
      <c r="AV255">
        <f>AR255*AS255*AQ255</f>
        <v/>
      </c>
      <c r="AW255">
        <f>AR255*AT255*AQ255</f>
        <v/>
      </c>
      <c r="AX255">
        <f>AR255*AS255</f>
        <v/>
      </c>
      <c r="AY255">
        <f>AR255*AT255</f>
        <v/>
      </c>
      <c r="AZ255">
        <f>AR255*AQ255</f>
        <v/>
      </c>
      <c r="BA255">
        <f>AR255</f>
        <v/>
      </c>
      <c r="BB255">
        <f>1</f>
        <v/>
      </c>
      <c r="BC255">
        <f>IF(AV255=1,1,IF(AW255=1,2,IF(AX255=1,3,IF(AY255=1,4,IF(AZ255=1,5,IF(BA255=1,6,7))))))</f>
        <v/>
      </c>
      <c r="BD255">
        <f>IF(AD255=1,CHOOSE('Historical Score'!$C$29,AV255,AW255,AX255,AY255,AZ255,BA255,BB255),0)</f>
        <v/>
      </c>
      <c r="BE255">
        <f>IF(BD255=1,COUNTIF($BD$2:BD255,1),"")</f>
        <v/>
      </c>
    </row>
    <row r="256">
      <c r="A256" t="inlineStr">
        <is>
          <t>5674167118</t>
        </is>
      </c>
      <c r="B256" t="inlineStr">
        <is>
          <t>Red E Electric</t>
        </is>
      </c>
      <c r="C256" t="inlineStr">
        <is>
          <t>Red E Electric</t>
        </is>
      </c>
      <c r="D256" t="inlineStr">
        <is>
          <t>Closed</t>
        </is>
      </c>
      <c r="E256" s="297" t="n">
        <v>45922</v>
      </c>
      <c r="F256" s="297" t="n">
        <v>46113</v>
      </c>
      <c r="G256" t="n">
        <v>2</v>
      </c>
      <c r="H256" t="inlineStr">
        <is>
          <t>1731</t>
        </is>
      </c>
      <c r="I256" t="inlineStr">
        <is>
          <t>17</t>
        </is>
      </c>
      <c r="J256" t="inlineStr">
        <is>
          <t>TX</t>
        </is>
      </c>
      <c r="K256" t="inlineStr">
        <is>
          <t>EZ ADVANCE LLC</t>
        </is>
      </c>
      <c r="L256" t="inlineStr">
        <is>
          <t>New Deal</t>
        </is>
      </c>
      <c r="M256" s="298" t="n">
        <v>1.499</v>
      </c>
      <c r="N256" s="299" t="n">
        <v>15000</v>
      </c>
      <c r="O256" s="299" t="n">
        <v>2100</v>
      </c>
      <c r="P256" s="299" t="n">
        <v>22485</v>
      </c>
      <c r="Q256" s="299" t="n">
        <v>22485</v>
      </c>
      <c r="R256" s="299" t="n">
        <v>0</v>
      </c>
      <c r="S256" s="300" t="n">
        <v>1</v>
      </c>
      <c r="T256" t="n">
        <v>2.623</v>
      </c>
      <c r="U256" t="n">
        <v>0</v>
      </c>
      <c r="V256" t="n">
        <v>55575.64</v>
      </c>
      <c r="W256" s="300" t="n">
        <v>0.07820000000000001</v>
      </c>
      <c r="X256" s="297" t="n">
        <v>41518</v>
      </c>
      <c r="Y256">
        <f>IF(I256="","No SIC",IFERROR(VLOOKUP(I256,Ref!$A$2:$B$65,2,FALSE),"Unclassified"))</f>
        <v/>
      </c>
      <c r="Z256">
        <f>IF(T256="","",IF(T256&lt;12,"Daily","Weekly"))</f>
        <v/>
      </c>
      <c r="AA256">
        <f>IF(T256="",0,IF(T256&lt;12,T256*Controls!$B$29,T256*5))</f>
        <v/>
      </c>
      <c r="AB256">
        <f>IF(E256="",0,NETWORKDAYS(E256,Controls!$B$36,Ref!$K$2:$K$42))</f>
        <v/>
      </c>
      <c r="AC256">
        <f>IF(AND(AA256&gt;0,AB256&gt;=Controls!$B$39*AA256),1,0)</f>
        <v/>
      </c>
      <c r="AD256">
        <f>IF(AND(E256&lt;&gt;"",E256&gt;=Controls!$B$37,E256&lt;=Controls!$B$38),1,0)</f>
        <v/>
      </c>
      <c r="AE256">
        <f>IF(IFERROR(VLOOKUP(D256,Controls!$A$64:$E$74,2,FALSE),"No")="Yes",1,0)</f>
        <v/>
      </c>
      <c r="AF256">
        <f>IF(IFERROR(VLOOKUP(D256,Controls!$A$64:$E$74,3,FALSE),"No")="Yes",1,0)</f>
        <v/>
      </c>
      <c r="AG256">
        <f>IF(IFERROR(VLOOKUP(D256,Controls!$A$64:$E$74,4,FALSE),"No")="Yes",1,0)</f>
        <v/>
      </c>
      <c r="AH256">
        <f>IF(IFERROR(VLOOKUP(D256,Controls!$A$64:$E$74,5,FALSE),"No")="Yes",1,0)</f>
        <v/>
      </c>
      <c r="AI256">
        <f>IF(ISNUMBER(MATCH(D256,Controls!$A$64:$A$74,0)),1,0)</f>
        <v/>
      </c>
      <c r="AJ256">
        <f>Q256-N256</f>
        <v/>
      </c>
      <c r="AK256">
        <f>IF(AE256=1,MAX(0,N256-Q256),0)</f>
        <v/>
      </c>
      <c r="AL256">
        <f>IF(OR(V256="",V256=0),0,N256/V256)</f>
        <v/>
      </c>
      <c r="AM256">
        <f>IF(OR(V256="",V256=0),0,1)</f>
        <v/>
      </c>
      <c r="AN256">
        <f>IF(OR(E256="",F256=""),0,NETWORKDAYS(E256,F256,Ref!$K$2:$K$42))</f>
        <v/>
      </c>
      <c r="AO256">
        <f>IF(L256="Renewal",1,0)</f>
        <v/>
      </c>
      <c r="AP256">
        <f>AC256*AD256</f>
        <v/>
      </c>
      <c r="AQ256">
        <f>IF(AND(G256&lt;&gt;"",'Historical Score'!$C$6&lt;&gt;""),IF(G256='Historical Score'!$C$6,1,0),0)</f>
        <v/>
      </c>
      <c r="AR256">
        <f>IF(AND(L256&lt;&gt;"",'Historical Score'!$C$5&lt;&gt;""),IF(L256='Historical Score'!$C$5,1,0),0)</f>
        <v/>
      </c>
      <c r="AS256">
        <f>IF(AND(Y256&lt;&gt;"",'Historical Score'!$C$7&lt;&gt;""),IF(Y256='Historical Score'!$C$7,1,0),0)</f>
        <v/>
      </c>
      <c r="AT256">
        <f>IF(AND(K256&lt;&gt;"",'Historical Score'!$C$8&lt;&gt;""),IF(K256='Historical Score'!$C$8,1,0),0)</f>
        <v/>
      </c>
      <c r="AU256">
        <f>IF(AND(J256&lt;&gt;"",'Historical Score'!$C$9&lt;&gt;""),IF(J256='Historical Score'!$C$9,1,0),0)</f>
        <v/>
      </c>
      <c r="AV256">
        <f>AR256*AS256*AQ256</f>
        <v/>
      </c>
      <c r="AW256">
        <f>AR256*AT256*AQ256</f>
        <v/>
      </c>
      <c r="AX256">
        <f>AR256*AS256</f>
        <v/>
      </c>
      <c r="AY256">
        <f>AR256*AT256</f>
        <v/>
      </c>
      <c r="AZ256">
        <f>AR256*AQ256</f>
        <v/>
      </c>
      <c r="BA256">
        <f>AR256</f>
        <v/>
      </c>
      <c r="BB256">
        <f>1</f>
        <v/>
      </c>
      <c r="BC256">
        <f>IF(AV256=1,1,IF(AW256=1,2,IF(AX256=1,3,IF(AY256=1,4,IF(AZ256=1,5,IF(BA256=1,6,7))))))</f>
        <v/>
      </c>
      <c r="BD256">
        <f>IF(AD256=1,CHOOSE('Historical Score'!$C$29,AV256,AW256,AX256,AY256,AZ256,BA256,BB256),0)</f>
        <v/>
      </c>
      <c r="BE256">
        <f>IF(BD256=1,COUNTIF($BD$2:BD256,1),"")</f>
        <v/>
      </c>
    </row>
    <row r="257">
      <c r="A257" t="inlineStr">
        <is>
          <t>5674167134</t>
        </is>
      </c>
      <c r="B257" t="inlineStr">
        <is>
          <t>K&amp;JTowing,Inc</t>
        </is>
      </c>
      <c r="C257" t="inlineStr">
        <is>
          <t>K&amp;JTowing,Inc</t>
        </is>
      </c>
      <c r="D257" t="inlineStr">
        <is>
          <t>Closed</t>
        </is>
      </c>
      <c r="E257" s="297" t="n">
        <v>45922</v>
      </c>
      <c r="F257" s="297" t="n">
        <v>46073</v>
      </c>
      <c r="G257" t="n">
        <v>1</v>
      </c>
      <c r="H257" t="inlineStr">
        <is>
          <t>7549</t>
        </is>
      </c>
      <c r="I257" t="inlineStr">
        <is>
          <t>75</t>
        </is>
      </c>
      <c r="J257" t="inlineStr">
        <is>
          <t>TX</t>
        </is>
      </c>
      <c r="K257" t="inlineStr">
        <is>
          <t>Fundwell</t>
        </is>
      </c>
      <c r="L257" t="inlineStr">
        <is>
          <t>New Deal</t>
        </is>
      </c>
      <c r="M257" s="298" t="n">
        <v>1.38</v>
      </c>
      <c r="N257" s="299" t="n">
        <v>15000</v>
      </c>
      <c r="O257" s="299" t="n">
        <v>1800</v>
      </c>
      <c r="P257" s="299" t="n">
        <v>20700</v>
      </c>
      <c r="Q257" s="299" t="n">
        <v>20700</v>
      </c>
      <c r="R257" s="299" t="n">
        <v>0</v>
      </c>
      <c r="S257" s="300" t="n">
        <v>1</v>
      </c>
      <c r="T257" t="n">
        <v>26</v>
      </c>
      <c r="U257" t="n">
        <v>0</v>
      </c>
      <c r="V257" t="n">
        <v>36871.29</v>
      </c>
      <c r="W257" s="300" t="n">
        <v>0.0864</v>
      </c>
      <c r="X257" s="297" t="n">
        <v>42644</v>
      </c>
      <c r="Y257">
        <f>IF(I257="","No SIC",IFERROR(VLOOKUP(I257,Ref!$A$2:$B$65,2,FALSE),"Unclassified"))</f>
        <v/>
      </c>
      <c r="Z257">
        <f>IF(T257="","",IF(T257&lt;12,"Daily","Weekly"))</f>
        <v/>
      </c>
      <c r="AA257">
        <f>IF(T257="",0,IF(T257&lt;12,T257*Controls!$B$29,T257*5))</f>
        <v/>
      </c>
      <c r="AB257">
        <f>IF(E257="",0,NETWORKDAYS(E257,Controls!$B$36,Ref!$K$2:$K$42))</f>
        <v/>
      </c>
      <c r="AC257">
        <f>IF(AND(AA257&gt;0,AB257&gt;=Controls!$B$39*AA257),1,0)</f>
        <v/>
      </c>
      <c r="AD257">
        <f>IF(AND(E257&lt;&gt;"",E257&gt;=Controls!$B$37,E257&lt;=Controls!$B$38),1,0)</f>
        <v/>
      </c>
      <c r="AE257">
        <f>IF(IFERROR(VLOOKUP(D257,Controls!$A$64:$E$74,2,FALSE),"No")="Yes",1,0)</f>
        <v/>
      </c>
      <c r="AF257">
        <f>IF(IFERROR(VLOOKUP(D257,Controls!$A$64:$E$74,3,FALSE),"No")="Yes",1,0)</f>
        <v/>
      </c>
      <c r="AG257">
        <f>IF(IFERROR(VLOOKUP(D257,Controls!$A$64:$E$74,4,FALSE),"No")="Yes",1,0)</f>
        <v/>
      </c>
      <c r="AH257">
        <f>IF(IFERROR(VLOOKUP(D257,Controls!$A$64:$E$74,5,FALSE),"No")="Yes",1,0)</f>
        <v/>
      </c>
      <c r="AI257">
        <f>IF(ISNUMBER(MATCH(D257,Controls!$A$64:$A$74,0)),1,0)</f>
        <v/>
      </c>
      <c r="AJ257">
        <f>Q257-N257</f>
        <v/>
      </c>
      <c r="AK257">
        <f>IF(AE257=1,MAX(0,N257-Q257),0)</f>
        <v/>
      </c>
      <c r="AL257">
        <f>IF(OR(V257="",V257=0),0,N257/V257)</f>
        <v/>
      </c>
      <c r="AM257">
        <f>IF(OR(V257="",V257=0),0,1)</f>
        <v/>
      </c>
      <c r="AN257">
        <f>IF(OR(E257="",F257=""),0,NETWORKDAYS(E257,F257,Ref!$K$2:$K$42))</f>
        <v/>
      </c>
      <c r="AO257">
        <f>IF(L257="Renewal",1,0)</f>
        <v/>
      </c>
      <c r="AP257">
        <f>AC257*AD257</f>
        <v/>
      </c>
      <c r="AQ257">
        <f>IF(AND(G257&lt;&gt;"",'Historical Score'!$C$6&lt;&gt;""),IF(G257='Historical Score'!$C$6,1,0),0)</f>
        <v/>
      </c>
      <c r="AR257">
        <f>IF(AND(L257&lt;&gt;"",'Historical Score'!$C$5&lt;&gt;""),IF(L257='Historical Score'!$C$5,1,0),0)</f>
        <v/>
      </c>
      <c r="AS257">
        <f>IF(AND(Y257&lt;&gt;"",'Historical Score'!$C$7&lt;&gt;""),IF(Y257='Historical Score'!$C$7,1,0),0)</f>
        <v/>
      </c>
      <c r="AT257">
        <f>IF(AND(K257&lt;&gt;"",'Historical Score'!$C$8&lt;&gt;""),IF(K257='Historical Score'!$C$8,1,0),0)</f>
        <v/>
      </c>
      <c r="AU257">
        <f>IF(AND(J257&lt;&gt;"",'Historical Score'!$C$9&lt;&gt;""),IF(J257='Historical Score'!$C$9,1,0),0)</f>
        <v/>
      </c>
      <c r="AV257">
        <f>AR257*AS257*AQ257</f>
        <v/>
      </c>
      <c r="AW257">
        <f>AR257*AT257*AQ257</f>
        <v/>
      </c>
      <c r="AX257">
        <f>AR257*AS257</f>
        <v/>
      </c>
      <c r="AY257">
        <f>AR257*AT257</f>
        <v/>
      </c>
      <c r="AZ257">
        <f>AR257*AQ257</f>
        <v/>
      </c>
      <c r="BA257">
        <f>AR257</f>
        <v/>
      </c>
      <c r="BB257">
        <f>1</f>
        <v/>
      </c>
      <c r="BC257">
        <f>IF(AV257=1,1,IF(AW257=1,2,IF(AX257=1,3,IF(AY257=1,4,IF(AZ257=1,5,IF(BA257=1,6,7))))))</f>
        <v/>
      </c>
      <c r="BD257">
        <f>IF(AD257=1,CHOOSE('Historical Score'!$C$29,AV257,AW257,AX257,AY257,AZ257,BA257,BB257),0)</f>
        <v/>
      </c>
      <c r="BE257">
        <f>IF(BD257=1,COUNTIF($BD$2:BD257,1),"")</f>
        <v/>
      </c>
    </row>
    <row r="258">
      <c r="A258" t="inlineStr">
        <is>
          <t>5674167135</t>
        </is>
      </c>
      <c r="B258" t="inlineStr">
        <is>
          <t>La Lucha LLC</t>
        </is>
      </c>
      <c r="C258" t="inlineStr">
        <is>
          <t>La Lucha LLC</t>
        </is>
      </c>
      <c r="D258" t="inlineStr">
        <is>
          <t>Closed</t>
        </is>
      </c>
      <c r="E258" s="297" t="n">
        <v>45922</v>
      </c>
      <c r="F258" s="297" t="n">
        <v>46112</v>
      </c>
      <c r="G258" t="n">
        <v>1</v>
      </c>
      <c r="H258" t="inlineStr">
        <is>
          <t>5812</t>
        </is>
      </c>
      <c r="I258" t="inlineStr">
        <is>
          <t>58</t>
        </is>
      </c>
      <c r="J258" t="inlineStr">
        <is>
          <t>PA</t>
        </is>
      </c>
      <c r="K258" t="inlineStr">
        <is>
          <t>Fundible</t>
        </is>
      </c>
      <c r="L258" t="inlineStr">
        <is>
          <t>New Deal</t>
        </is>
      </c>
      <c r="M258" s="298" t="n">
        <v>1.49</v>
      </c>
      <c r="N258" s="299" t="n">
        <v>20000</v>
      </c>
      <c r="O258" s="299" t="n">
        <v>2800</v>
      </c>
      <c r="P258" s="299" t="n">
        <v>29800</v>
      </c>
      <c r="Q258" s="299" t="n">
        <v>29800</v>
      </c>
      <c r="R258" s="299" t="n">
        <v>0</v>
      </c>
      <c r="S258" s="300" t="n">
        <v>1</v>
      </c>
      <c r="T258" t="n">
        <v>3.607</v>
      </c>
      <c r="U258" t="n">
        <v>20</v>
      </c>
      <c r="V258" t="n">
        <v>33612.7</v>
      </c>
      <c r="W258" s="300" t="n">
        <v>0.1693</v>
      </c>
      <c r="X258" s="297" t="n">
        <v>45922</v>
      </c>
      <c r="Y258">
        <f>IF(I258="","No SIC",IFERROR(VLOOKUP(I258,Ref!$A$2:$B$65,2,FALSE),"Unclassified"))</f>
        <v/>
      </c>
      <c r="Z258">
        <f>IF(T258="","",IF(T258&lt;12,"Daily","Weekly"))</f>
        <v/>
      </c>
      <c r="AA258">
        <f>IF(T258="",0,IF(T258&lt;12,T258*Controls!$B$29,T258*5))</f>
        <v/>
      </c>
      <c r="AB258">
        <f>IF(E258="",0,NETWORKDAYS(E258,Controls!$B$36,Ref!$K$2:$K$42))</f>
        <v/>
      </c>
      <c r="AC258">
        <f>IF(AND(AA258&gt;0,AB258&gt;=Controls!$B$39*AA258),1,0)</f>
        <v/>
      </c>
      <c r="AD258">
        <f>IF(AND(E258&lt;&gt;"",E258&gt;=Controls!$B$37,E258&lt;=Controls!$B$38),1,0)</f>
        <v/>
      </c>
      <c r="AE258">
        <f>IF(IFERROR(VLOOKUP(D258,Controls!$A$64:$E$74,2,FALSE),"No")="Yes",1,0)</f>
        <v/>
      </c>
      <c r="AF258">
        <f>IF(IFERROR(VLOOKUP(D258,Controls!$A$64:$E$74,3,FALSE),"No")="Yes",1,0)</f>
        <v/>
      </c>
      <c r="AG258">
        <f>IF(IFERROR(VLOOKUP(D258,Controls!$A$64:$E$74,4,FALSE),"No")="Yes",1,0)</f>
        <v/>
      </c>
      <c r="AH258">
        <f>IF(IFERROR(VLOOKUP(D258,Controls!$A$64:$E$74,5,FALSE),"No")="Yes",1,0)</f>
        <v/>
      </c>
      <c r="AI258">
        <f>IF(ISNUMBER(MATCH(D258,Controls!$A$64:$A$74,0)),1,0)</f>
        <v/>
      </c>
      <c r="AJ258">
        <f>Q258-N258</f>
        <v/>
      </c>
      <c r="AK258">
        <f>IF(AE258=1,MAX(0,N258-Q258),0)</f>
        <v/>
      </c>
      <c r="AL258">
        <f>IF(OR(V258="",V258=0),0,N258/V258)</f>
        <v/>
      </c>
      <c r="AM258">
        <f>IF(OR(V258="",V258=0),0,1)</f>
        <v/>
      </c>
      <c r="AN258">
        <f>IF(OR(E258="",F258=""),0,NETWORKDAYS(E258,F258,Ref!$K$2:$K$42))</f>
        <v/>
      </c>
      <c r="AO258">
        <f>IF(L258="Renewal",1,0)</f>
        <v/>
      </c>
      <c r="AP258">
        <f>AC258*AD258</f>
        <v/>
      </c>
      <c r="AQ258">
        <f>IF(AND(G258&lt;&gt;"",'Historical Score'!$C$6&lt;&gt;""),IF(G258='Historical Score'!$C$6,1,0),0)</f>
        <v/>
      </c>
      <c r="AR258">
        <f>IF(AND(L258&lt;&gt;"",'Historical Score'!$C$5&lt;&gt;""),IF(L258='Historical Score'!$C$5,1,0),0)</f>
        <v/>
      </c>
      <c r="AS258">
        <f>IF(AND(Y258&lt;&gt;"",'Historical Score'!$C$7&lt;&gt;""),IF(Y258='Historical Score'!$C$7,1,0),0)</f>
        <v/>
      </c>
      <c r="AT258">
        <f>IF(AND(K258&lt;&gt;"",'Historical Score'!$C$8&lt;&gt;""),IF(K258='Historical Score'!$C$8,1,0),0)</f>
        <v/>
      </c>
      <c r="AU258">
        <f>IF(AND(J258&lt;&gt;"",'Historical Score'!$C$9&lt;&gt;""),IF(J258='Historical Score'!$C$9,1,0),0)</f>
        <v/>
      </c>
      <c r="AV258">
        <f>AR258*AS258*AQ258</f>
        <v/>
      </c>
      <c r="AW258">
        <f>AR258*AT258*AQ258</f>
        <v/>
      </c>
      <c r="AX258">
        <f>AR258*AS258</f>
        <v/>
      </c>
      <c r="AY258">
        <f>AR258*AT258</f>
        <v/>
      </c>
      <c r="AZ258">
        <f>AR258*AQ258</f>
        <v/>
      </c>
      <c r="BA258">
        <f>AR258</f>
        <v/>
      </c>
      <c r="BB258">
        <f>1</f>
        <v/>
      </c>
      <c r="BC258">
        <f>IF(AV258=1,1,IF(AW258=1,2,IF(AX258=1,3,IF(AY258=1,4,IF(AZ258=1,5,IF(BA258=1,6,7))))))</f>
        <v/>
      </c>
      <c r="BD258">
        <f>IF(AD258=1,CHOOSE('Historical Score'!$C$29,AV258,AW258,AX258,AY258,AZ258,BA258,BB258),0)</f>
        <v/>
      </c>
      <c r="BE258">
        <f>IF(BD258=1,COUNTIF($BD$2:BD258,1),"")</f>
        <v/>
      </c>
    </row>
    <row r="259">
      <c r="A259" t="inlineStr">
        <is>
          <t>5674167208</t>
        </is>
      </c>
      <c r="B259" t="inlineStr">
        <is>
          <t>Off Leash K9 Training Houston</t>
        </is>
      </c>
      <c r="C259" t="inlineStr">
        <is>
          <t>JUSTIN AERICK BAILEY</t>
        </is>
      </c>
      <c r="D259" t="inlineStr">
        <is>
          <t>Open</t>
        </is>
      </c>
      <c r="E259" s="297" t="n">
        <v>45924</v>
      </c>
      <c r="F259" s="297" t="n">
        <v>46244</v>
      </c>
      <c r="G259" t="n">
        <v>2</v>
      </c>
      <c r="H259" t="inlineStr">
        <is>
          <t>0752</t>
        </is>
      </c>
      <c r="I259" t="inlineStr">
        <is>
          <t>07</t>
        </is>
      </c>
      <c r="J259" t="inlineStr">
        <is>
          <t>TX</t>
        </is>
      </c>
      <c r="K259" t="inlineStr">
        <is>
          <t>Platform Funding</t>
        </is>
      </c>
      <c r="L259" t="inlineStr">
        <is>
          <t>Renewal</t>
        </is>
      </c>
      <c r="M259" s="298" t="n">
        <v>1.49</v>
      </c>
      <c r="N259" s="299" t="n">
        <v>13000</v>
      </c>
      <c r="O259" s="299" t="n">
        <v>1820</v>
      </c>
      <c r="P259" s="299" t="n">
        <v>19370</v>
      </c>
      <c r="Q259" s="299" t="n">
        <v>3749.52</v>
      </c>
      <c r="R259" s="299" t="n">
        <v>15620.48</v>
      </c>
      <c r="S259" s="300" t="n">
        <v>0.193573567372225</v>
      </c>
      <c r="T259" t="n">
        <v>3.279</v>
      </c>
      <c r="U259" t="n">
        <v>31</v>
      </c>
      <c r="V259" t="n">
        <v>27746.78</v>
      </c>
      <c r="W259" s="300" t="n">
        <v>0.2043</v>
      </c>
      <c r="X259" s="297" t="n">
        <v>41925</v>
      </c>
      <c r="Y259">
        <f>IF(I259="","No SIC",IFERROR(VLOOKUP(I259,Ref!$A$2:$B$65,2,FALSE),"Unclassified"))</f>
        <v/>
      </c>
      <c r="Z259">
        <f>IF(T259="","",IF(T259&lt;12,"Daily","Weekly"))</f>
        <v/>
      </c>
      <c r="AA259">
        <f>IF(T259="",0,IF(T259&lt;12,T259*Controls!$B$29,T259*5))</f>
        <v/>
      </c>
      <c r="AB259">
        <f>IF(E259="",0,NETWORKDAYS(E259,Controls!$B$36,Ref!$K$2:$K$42))</f>
        <v/>
      </c>
      <c r="AC259">
        <f>IF(AND(AA259&gt;0,AB259&gt;=Controls!$B$39*AA259),1,0)</f>
        <v/>
      </c>
      <c r="AD259">
        <f>IF(AND(E259&lt;&gt;"",E259&gt;=Controls!$B$37,E259&lt;=Controls!$B$38),1,0)</f>
        <v/>
      </c>
      <c r="AE259">
        <f>IF(IFERROR(VLOOKUP(D259,Controls!$A$64:$E$74,2,FALSE),"No")="Yes",1,0)</f>
        <v/>
      </c>
      <c r="AF259">
        <f>IF(IFERROR(VLOOKUP(D259,Controls!$A$64:$E$74,3,FALSE),"No")="Yes",1,0)</f>
        <v/>
      </c>
      <c r="AG259">
        <f>IF(IFERROR(VLOOKUP(D259,Controls!$A$64:$E$74,4,FALSE),"No")="Yes",1,0)</f>
        <v/>
      </c>
      <c r="AH259">
        <f>IF(IFERROR(VLOOKUP(D259,Controls!$A$64:$E$74,5,FALSE),"No")="Yes",1,0)</f>
        <v/>
      </c>
      <c r="AI259">
        <f>IF(ISNUMBER(MATCH(D259,Controls!$A$64:$A$74,0)),1,0)</f>
        <v/>
      </c>
      <c r="AJ259">
        <f>Q259-N259</f>
        <v/>
      </c>
      <c r="AK259">
        <f>IF(AE259=1,MAX(0,N259-Q259),0)</f>
        <v/>
      </c>
      <c r="AL259">
        <f>IF(OR(V259="",V259=0),0,N259/V259)</f>
        <v/>
      </c>
      <c r="AM259">
        <f>IF(OR(V259="",V259=0),0,1)</f>
        <v/>
      </c>
      <c r="AN259">
        <f>IF(OR(E259="",F259=""),0,NETWORKDAYS(E259,F259,Ref!$K$2:$K$42))</f>
        <v/>
      </c>
      <c r="AO259">
        <f>IF(L259="Renewal",1,0)</f>
        <v/>
      </c>
      <c r="AP259">
        <f>AC259*AD259</f>
        <v/>
      </c>
      <c r="AQ259">
        <f>IF(AND(G259&lt;&gt;"",'Historical Score'!$C$6&lt;&gt;""),IF(G259='Historical Score'!$C$6,1,0),0)</f>
        <v/>
      </c>
      <c r="AR259">
        <f>IF(AND(L259&lt;&gt;"",'Historical Score'!$C$5&lt;&gt;""),IF(L259='Historical Score'!$C$5,1,0),0)</f>
        <v/>
      </c>
      <c r="AS259">
        <f>IF(AND(Y259&lt;&gt;"",'Historical Score'!$C$7&lt;&gt;""),IF(Y259='Historical Score'!$C$7,1,0),0)</f>
        <v/>
      </c>
      <c r="AT259">
        <f>IF(AND(K259&lt;&gt;"",'Historical Score'!$C$8&lt;&gt;""),IF(K259='Historical Score'!$C$8,1,0),0)</f>
        <v/>
      </c>
      <c r="AU259">
        <f>IF(AND(J259&lt;&gt;"",'Historical Score'!$C$9&lt;&gt;""),IF(J259='Historical Score'!$C$9,1,0),0)</f>
        <v/>
      </c>
      <c r="AV259">
        <f>AR259*AS259*AQ259</f>
        <v/>
      </c>
      <c r="AW259">
        <f>AR259*AT259*AQ259</f>
        <v/>
      </c>
      <c r="AX259">
        <f>AR259*AS259</f>
        <v/>
      </c>
      <c r="AY259">
        <f>AR259*AT259</f>
        <v/>
      </c>
      <c r="AZ259">
        <f>AR259*AQ259</f>
        <v/>
      </c>
      <c r="BA259">
        <f>AR259</f>
        <v/>
      </c>
      <c r="BB259">
        <f>1</f>
        <v/>
      </c>
      <c r="BC259">
        <f>IF(AV259=1,1,IF(AW259=1,2,IF(AX259=1,3,IF(AY259=1,4,IF(AZ259=1,5,IF(BA259=1,6,7))))))</f>
        <v/>
      </c>
      <c r="BD259">
        <f>IF(AD259=1,CHOOSE('Historical Score'!$C$29,AV259,AW259,AX259,AY259,AZ259,BA259,BB259),0)</f>
        <v/>
      </c>
      <c r="BE259">
        <f>IF(BD259=1,COUNTIF($BD$2:BD259,1),"")</f>
        <v/>
      </c>
    </row>
    <row r="260">
      <c r="A260" t="inlineStr">
        <is>
          <t>5674167261</t>
        </is>
      </c>
      <c r="B260" t="inlineStr">
        <is>
          <t>VORTEX INNOVATIONS CORPORATION</t>
        </is>
      </c>
      <c r="C260" t="inlineStr">
        <is>
          <t>VORTEX INNOVATIONS CORPORATION</t>
        </is>
      </c>
      <c r="D260" t="inlineStr">
        <is>
          <t>Legal</t>
        </is>
      </c>
      <c r="E260" s="297" t="n">
        <v>45925</v>
      </c>
      <c r="F260" s="297" t="n">
        <v>45979</v>
      </c>
      <c r="G260" t="n">
        <v>3</v>
      </c>
      <c r="H260" t="inlineStr">
        <is>
          <t>5999</t>
        </is>
      </c>
      <c r="I260" t="inlineStr">
        <is>
          <t>59</t>
        </is>
      </c>
      <c r="J260" t="inlineStr">
        <is>
          <t>PA</t>
        </is>
      </c>
      <c r="K260" t="inlineStr">
        <is>
          <t>United Secured Capital 8</t>
        </is>
      </c>
      <c r="L260" t="inlineStr">
        <is>
          <t>New Deal</t>
        </is>
      </c>
      <c r="M260" s="298" t="n">
        <v>1.499</v>
      </c>
      <c r="N260" s="299" t="n">
        <v>10000</v>
      </c>
      <c r="O260" s="299" t="n">
        <v>1400</v>
      </c>
      <c r="P260" s="299" t="n">
        <v>14990</v>
      </c>
      <c r="Q260" s="299" t="n">
        <v>5553.9</v>
      </c>
      <c r="R260" s="299" t="n">
        <v>9436.1</v>
      </c>
      <c r="S260" s="300" t="n">
        <v>0.37050700466978</v>
      </c>
      <c r="T260" t="n">
        <v>2.623</v>
      </c>
      <c r="U260" t="n">
        <v>7</v>
      </c>
      <c r="V260" t="n">
        <v>38722.54</v>
      </c>
      <c r="W260" s="300" t="n">
        <v>0.1004</v>
      </c>
      <c r="X260" s="297" t="n"/>
      <c r="Y260">
        <f>IF(I260="","No SIC",IFERROR(VLOOKUP(I260,Ref!$A$2:$B$65,2,FALSE),"Unclassified"))</f>
        <v/>
      </c>
      <c r="Z260">
        <f>IF(T260="","",IF(T260&lt;12,"Daily","Weekly"))</f>
        <v/>
      </c>
      <c r="AA260">
        <f>IF(T260="",0,IF(T260&lt;12,T260*Controls!$B$29,T260*5))</f>
        <v/>
      </c>
      <c r="AB260">
        <f>IF(E260="",0,NETWORKDAYS(E260,Controls!$B$36,Ref!$K$2:$K$42))</f>
        <v/>
      </c>
      <c r="AC260">
        <f>IF(AND(AA260&gt;0,AB260&gt;=Controls!$B$39*AA260),1,0)</f>
        <v/>
      </c>
      <c r="AD260">
        <f>IF(AND(E260&lt;&gt;"",E260&gt;=Controls!$B$37,E260&lt;=Controls!$B$38),1,0)</f>
        <v/>
      </c>
      <c r="AE260">
        <f>IF(IFERROR(VLOOKUP(D260,Controls!$A$64:$E$74,2,FALSE),"No")="Yes",1,0)</f>
        <v/>
      </c>
      <c r="AF260">
        <f>IF(IFERROR(VLOOKUP(D260,Controls!$A$64:$E$74,3,FALSE),"No")="Yes",1,0)</f>
        <v/>
      </c>
      <c r="AG260">
        <f>IF(IFERROR(VLOOKUP(D260,Controls!$A$64:$E$74,4,FALSE),"No")="Yes",1,0)</f>
        <v/>
      </c>
      <c r="AH260">
        <f>IF(IFERROR(VLOOKUP(D260,Controls!$A$64:$E$74,5,FALSE),"No")="Yes",1,0)</f>
        <v/>
      </c>
      <c r="AI260">
        <f>IF(ISNUMBER(MATCH(D260,Controls!$A$64:$A$74,0)),1,0)</f>
        <v/>
      </c>
      <c r="AJ260">
        <f>Q260-N260</f>
        <v/>
      </c>
      <c r="AK260">
        <f>IF(AE260=1,MAX(0,N260-Q260),0)</f>
        <v/>
      </c>
      <c r="AL260">
        <f>IF(OR(V260="",V260=0),0,N260/V260)</f>
        <v/>
      </c>
      <c r="AM260">
        <f>IF(OR(V260="",V260=0),0,1)</f>
        <v/>
      </c>
      <c r="AN260">
        <f>IF(OR(E260="",F260=""),0,NETWORKDAYS(E260,F260,Ref!$K$2:$K$42))</f>
        <v/>
      </c>
      <c r="AO260">
        <f>IF(L260="Renewal",1,0)</f>
        <v/>
      </c>
      <c r="AP260">
        <f>AC260*AD260</f>
        <v/>
      </c>
      <c r="AQ260">
        <f>IF(AND(G260&lt;&gt;"",'Historical Score'!$C$6&lt;&gt;""),IF(G260='Historical Score'!$C$6,1,0),0)</f>
        <v/>
      </c>
      <c r="AR260">
        <f>IF(AND(L260&lt;&gt;"",'Historical Score'!$C$5&lt;&gt;""),IF(L260='Historical Score'!$C$5,1,0),0)</f>
        <v/>
      </c>
      <c r="AS260">
        <f>IF(AND(Y260&lt;&gt;"",'Historical Score'!$C$7&lt;&gt;""),IF(Y260='Historical Score'!$C$7,1,0),0)</f>
        <v/>
      </c>
      <c r="AT260">
        <f>IF(AND(K260&lt;&gt;"",'Historical Score'!$C$8&lt;&gt;""),IF(K260='Historical Score'!$C$8,1,0),0)</f>
        <v/>
      </c>
      <c r="AU260">
        <f>IF(AND(J260&lt;&gt;"",'Historical Score'!$C$9&lt;&gt;""),IF(J260='Historical Score'!$C$9,1,0),0)</f>
        <v/>
      </c>
      <c r="AV260">
        <f>AR260*AS260*AQ260</f>
        <v/>
      </c>
      <c r="AW260">
        <f>AR260*AT260*AQ260</f>
        <v/>
      </c>
      <c r="AX260">
        <f>AR260*AS260</f>
        <v/>
      </c>
      <c r="AY260">
        <f>AR260*AT260</f>
        <v/>
      </c>
      <c r="AZ260">
        <f>AR260*AQ260</f>
        <v/>
      </c>
      <c r="BA260">
        <f>AR260</f>
        <v/>
      </c>
      <c r="BB260">
        <f>1</f>
        <v/>
      </c>
      <c r="BC260">
        <f>IF(AV260=1,1,IF(AW260=1,2,IF(AX260=1,3,IF(AY260=1,4,IF(AZ260=1,5,IF(BA260=1,6,7))))))</f>
        <v/>
      </c>
      <c r="BD260">
        <f>IF(AD260=1,CHOOSE('Historical Score'!$C$29,AV260,AW260,AX260,AY260,AZ260,BA260,BB260),0)</f>
        <v/>
      </c>
      <c r="BE260">
        <f>IF(BD260=1,COUNTIF($BD$2:BD260,1),"")</f>
        <v/>
      </c>
    </row>
    <row r="261">
      <c r="A261" t="inlineStr">
        <is>
          <t>5674167314</t>
        </is>
      </c>
      <c r="B261" t="inlineStr">
        <is>
          <t>Terry Mann Floors</t>
        </is>
      </c>
      <c r="C261" t="inlineStr">
        <is>
          <t>Terry Mann LLC</t>
        </is>
      </c>
      <c r="D261" t="inlineStr">
        <is>
          <t>Closed</t>
        </is>
      </c>
      <c r="E261" s="297" t="n">
        <v>45925</v>
      </c>
      <c r="F261" s="297" t="n">
        <v>46048</v>
      </c>
      <c r="G261" t="n">
        <v>4</v>
      </c>
      <c r="H261" t="inlineStr">
        <is>
          <t>2426</t>
        </is>
      </c>
      <c r="I261" t="inlineStr">
        <is>
          <t>24</t>
        </is>
      </c>
      <c r="J261" t="inlineStr">
        <is>
          <t>TX</t>
        </is>
      </c>
      <c r="K261" t="inlineStr">
        <is>
          <t>Merchant ReFi</t>
        </is>
      </c>
      <c r="L261" t="inlineStr">
        <is>
          <t>New Deal</t>
        </is>
      </c>
      <c r="M261" s="298" t="n">
        <v>1.499</v>
      </c>
      <c r="N261" s="299" t="n">
        <v>15000</v>
      </c>
      <c r="O261" s="299" t="n">
        <v>2100</v>
      </c>
      <c r="P261" s="299" t="n">
        <v>22485</v>
      </c>
      <c r="Q261" s="299" t="n">
        <v>22485</v>
      </c>
      <c r="R261" s="299" t="n">
        <v>0</v>
      </c>
      <c r="S261" s="300" t="n">
        <v>1</v>
      </c>
      <c r="T261" t="n">
        <v>18</v>
      </c>
      <c r="U261" t="n">
        <v>0</v>
      </c>
      <c r="W261" s="300" t="n">
        <v>0.0501</v>
      </c>
      <c r="X261" s="297" t="n"/>
      <c r="Y261">
        <f>IF(I261="","No SIC",IFERROR(VLOOKUP(I261,Ref!$A$2:$B$65,2,FALSE),"Unclassified"))</f>
        <v/>
      </c>
      <c r="Z261">
        <f>IF(T261="","",IF(T261&lt;12,"Daily","Weekly"))</f>
        <v/>
      </c>
      <c r="AA261">
        <f>IF(T261="",0,IF(T261&lt;12,T261*Controls!$B$29,T261*5))</f>
        <v/>
      </c>
      <c r="AB261">
        <f>IF(E261="",0,NETWORKDAYS(E261,Controls!$B$36,Ref!$K$2:$K$42))</f>
        <v/>
      </c>
      <c r="AC261">
        <f>IF(AND(AA261&gt;0,AB261&gt;=Controls!$B$39*AA261),1,0)</f>
        <v/>
      </c>
      <c r="AD261">
        <f>IF(AND(E261&lt;&gt;"",E261&gt;=Controls!$B$37,E261&lt;=Controls!$B$38),1,0)</f>
        <v/>
      </c>
      <c r="AE261">
        <f>IF(IFERROR(VLOOKUP(D261,Controls!$A$64:$E$74,2,FALSE),"No")="Yes",1,0)</f>
        <v/>
      </c>
      <c r="AF261">
        <f>IF(IFERROR(VLOOKUP(D261,Controls!$A$64:$E$74,3,FALSE),"No")="Yes",1,0)</f>
        <v/>
      </c>
      <c r="AG261">
        <f>IF(IFERROR(VLOOKUP(D261,Controls!$A$64:$E$74,4,FALSE),"No")="Yes",1,0)</f>
        <v/>
      </c>
      <c r="AH261">
        <f>IF(IFERROR(VLOOKUP(D261,Controls!$A$64:$E$74,5,FALSE),"No")="Yes",1,0)</f>
        <v/>
      </c>
      <c r="AI261">
        <f>IF(ISNUMBER(MATCH(D261,Controls!$A$64:$A$74,0)),1,0)</f>
        <v/>
      </c>
      <c r="AJ261">
        <f>Q261-N261</f>
        <v/>
      </c>
      <c r="AK261">
        <f>IF(AE261=1,MAX(0,N261-Q261),0)</f>
        <v/>
      </c>
      <c r="AL261">
        <f>IF(OR(V261="",V261=0),0,N261/V261)</f>
        <v/>
      </c>
      <c r="AM261">
        <f>IF(OR(V261="",V261=0),0,1)</f>
        <v/>
      </c>
      <c r="AN261">
        <f>IF(OR(E261="",F261=""),0,NETWORKDAYS(E261,F261,Ref!$K$2:$K$42))</f>
        <v/>
      </c>
      <c r="AO261">
        <f>IF(L261="Renewal",1,0)</f>
        <v/>
      </c>
      <c r="AP261">
        <f>AC261*AD261</f>
        <v/>
      </c>
      <c r="AQ261">
        <f>IF(AND(G261&lt;&gt;"",'Historical Score'!$C$6&lt;&gt;""),IF(G261='Historical Score'!$C$6,1,0),0)</f>
        <v/>
      </c>
      <c r="AR261">
        <f>IF(AND(L261&lt;&gt;"",'Historical Score'!$C$5&lt;&gt;""),IF(L261='Historical Score'!$C$5,1,0),0)</f>
        <v/>
      </c>
      <c r="AS261">
        <f>IF(AND(Y261&lt;&gt;"",'Historical Score'!$C$7&lt;&gt;""),IF(Y261='Historical Score'!$C$7,1,0),0)</f>
        <v/>
      </c>
      <c r="AT261">
        <f>IF(AND(K261&lt;&gt;"",'Historical Score'!$C$8&lt;&gt;""),IF(K261='Historical Score'!$C$8,1,0),0)</f>
        <v/>
      </c>
      <c r="AU261">
        <f>IF(AND(J261&lt;&gt;"",'Historical Score'!$C$9&lt;&gt;""),IF(J261='Historical Score'!$C$9,1,0),0)</f>
        <v/>
      </c>
      <c r="AV261">
        <f>AR261*AS261*AQ261</f>
        <v/>
      </c>
      <c r="AW261">
        <f>AR261*AT261*AQ261</f>
        <v/>
      </c>
      <c r="AX261">
        <f>AR261*AS261</f>
        <v/>
      </c>
      <c r="AY261">
        <f>AR261*AT261</f>
        <v/>
      </c>
      <c r="AZ261">
        <f>AR261*AQ261</f>
        <v/>
      </c>
      <c r="BA261">
        <f>AR261</f>
        <v/>
      </c>
      <c r="BB261">
        <f>1</f>
        <v/>
      </c>
      <c r="BC261">
        <f>IF(AV261=1,1,IF(AW261=1,2,IF(AX261=1,3,IF(AY261=1,4,IF(AZ261=1,5,IF(BA261=1,6,7))))))</f>
        <v/>
      </c>
      <c r="BD261">
        <f>IF(AD261=1,CHOOSE('Historical Score'!$C$29,AV261,AW261,AX261,AY261,AZ261,BA261,BB261),0)</f>
        <v/>
      </c>
      <c r="BE261">
        <f>IF(BD261=1,COUNTIF($BD$2:BD261,1),"")</f>
        <v/>
      </c>
    </row>
    <row r="262">
      <c r="A262" t="inlineStr">
        <is>
          <t>5674167324</t>
        </is>
      </c>
      <c r="B262" t="inlineStr">
        <is>
          <t>Gordos tacos 9015 e via linda</t>
        </is>
      </c>
      <c r="C262" t="inlineStr">
        <is>
          <t>Twins creative Mexican food llc</t>
        </is>
      </c>
      <c r="D262" t="inlineStr">
        <is>
          <t>Closed</t>
        </is>
      </c>
      <c r="E262" s="297" t="n">
        <v>45925</v>
      </c>
      <c r="F262" s="297" t="n">
        <v>46213</v>
      </c>
      <c r="G262" t="n">
        <v>3</v>
      </c>
      <c r="H262" t="inlineStr">
        <is>
          <t>5812</t>
        </is>
      </c>
      <c r="I262" t="inlineStr">
        <is>
          <t>58</t>
        </is>
      </c>
      <c r="J262" t="inlineStr">
        <is>
          <t>AZ</t>
        </is>
      </c>
      <c r="K262" t="inlineStr">
        <is>
          <t>PMF</t>
        </is>
      </c>
      <c r="L262" t="inlineStr">
        <is>
          <t>Renewal</t>
        </is>
      </c>
      <c r="M262" s="298" t="n">
        <v>1.49</v>
      </c>
      <c r="N262" s="299" t="n">
        <v>40000</v>
      </c>
      <c r="O262" s="299" t="n">
        <v>5600</v>
      </c>
      <c r="P262" s="299" t="n">
        <v>59600</v>
      </c>
      <c r="Q262" s="299" t="n">
        <v>59600</v>
      </c>
      <c r="R262" s="299" t="n">
        <v>0</v>
      </c>
      <c r="S262" s="300" t="n">
        <v>1</v>
      </c>
      <c r="T262" t="n">
        <v>3.279</v>
      </c>
      <c r="U262" t="n">
        <v>94</v>
      </c>
      <c r="V262" t="n">
        <v>92936.78999999999</v>
      </c>
      <c r="W262" s="300" t="n">
        <v>0.1347</v>
      </c>
      <c r="X262" s="297" t="n">
        <v>44567</v>
      </c>
      <c r="Y262">
        <f>IF(I262="","No SIC",IFERROR(VLOOKUP(I262,Ref!$A$2:$B$65,2,FALSE),"Unclassified"))</f>
        <v/>
      </c>
      <c r="Z262">
        <f>IF(T262="","",IF(T262&lt;12,"Daily","Weekly"))</f>
        <v/>
      </c>
      <c r="AA262">
        <f>IF(T262="",0,IF(T262&lt;12,T262*Controls!$B$29,T262*5))</f>
        <v/>
      </c>
      <c r="AB262">
        <f>IF(E262="",0,NETWORKDAYS(E262,Controls!$B$36,Ref!$K$2:$K$42))</f>
        <v/>
      </c>
      <c r="AC262">
        <f>IF(AND(AA262&gt;0,AB262&gt;=Controls!$B$39*AA262),1,0)</f>
        <v/>
      </c>
      <c r="AD262">
        <f>IF(AND(E262&lt;&gt;"",E262&gt;=Controls!$B$37,E262&lt;=Controls!$B$38),1,0)</f>
        <v/>
      </c>
      <c r="AE262">
        <f>IF(IFERROR(VLOOKUP(D262,Controls!$A$64:$E$74,2,FALSE),"No")="Yes",1,0)</f>
        <v/>
      </c>
      <c r="AF262">
        <f>IF(IFERROR(VLOOKUP(D262,Controls!$A$64:$E$74,3,FALSE),"No")="Yes",1,0)</f>
        <v/>
      </c>
      <c r="AG262">
        <f>IF(IFERROR(VLOOKUP(D262,Controls!$A$64:$E$74,4,FALSE),"No")="Yes",1,0)</f>
        <v/>
      </c>
      <c r="AH262">
        <f>IF(IFERROR(VLOOKUP(D262,Controls!$A$64:$E$74,5,FALSE),"No")="Yes",1,0)</f>
        <v/>
      </c>
      <c r="AI262">
        <f>IF(ISNUMBER(MATCH(D262,Controls!$A$64:$A$74,0)),1,0)</f>
        <v/>
      </c>
      <c r="AJ262">
        <f>Q262-N262</f>
        <v/>
      </c>
      <c r="AK262">
        <f>IF(AE262=1,MAX(0,N262-Q262),0)</f>
        <v/>
      </c>
      <c r="AL262">
        <f>IF(OR(V262="",V262=0),0,N262/V262)</f>
        <v/>
      </c>
      <c r="AM262">
        <f>IF(OR(V262="",V262=0),0,1)</f>
        <v/>
      </c>
      <c r="AN262">
        <f>IF(OR(E262="",F262=""),0,NETWORKDAYS(E262,F262,Ref!$K$2:$K$42))</f>
        <v/>
      </c>
      <c r="AO262">
        <f>IF(L262="Renewal",1,0)</f>
        <v/>
      </c>
      <c r="AP262">
        <f>AC262*AD262</f>
        <v/>
      </c>
      <c r="AQ262">
        <f>IF(AND(G262&lt;&gt;"",'Historical Score'!$C$6&lt;&gt;""),IF(G262='Historical Score'!$C$6,1,0),0)</f>
        <v/>
      </c>
      <c r="AR262">
        <f>IF(AND(L262&lt;&gt;"",'Historical Score'!$C$5&lt;&gt;""),IF(L262='Historical Score'!$C$5,1,0),0)</f>
        <v/>
      </c>
      <c r="AS262">
        <f>IF(AND(Y262&lt;&gt;"",'Historical Score'!$C$7&lt;&gt;""),IF(Y262='Historical Score'!$C$7,1,0),0)</f>
        <v/>
      </c>
      <c r="AT262">
        <f>IF(AND(K262&lt;&gt;"",'Historical Score'!$C$8&lt;&gt;""),IF(K262='Historical Score'!$C$8,1,0),0)</f>
        <v/>
      </c>
      <c r="AU262">
        <f>IF(AND(J262&lt;&gt;"",'Historical Score'!$C$9&lt;&gt;""),IF(J262='Historical Score'!$C$9,1,0),0)</f>
        <v/>
      </c>
      <c r="AV262">
        <f>AR262*AS262*AQ262</f>
        <v/>
      </c>
      <c r="AW262">
        <f>AR262*AT262*AQ262</f>
        <v/>
      </c>
      <c r="AX262">
        <f>AR262*AS262</f>
        <v/>
      </c>
      <c r="AY262">
        <f>AR262*AT262</f>
        <v/>
      </c>
      <c r="AZ262">
        <f>AR262*AQ262</f>
        <v/>
      </c>
      <c r="BA262">
        <f>AR262</f>
        <v/>
      </c>
      <c r="BB262">
        <f>1</f>
        <v/>
      </c>
      <c r="BC262">
        <f>IF(AV262=1,1,IF(AW262=1,2,IF(AX262=1,3,IF(AY262=1,4,IF(AZ262=1,5,IF(BA262=1,6,7))))))</f>
        <v/>
      </c>
      <c r="BD262">
        <f>IF(AD262=1,CHOOSE('Historical Score'!$C$29,AV262,AW262,AX262,AY262,AZ262,BA262,BB262),0)</f>
        <v/>
      </c>
      <c r="BE262">
        <f>IF(BD262=1,COUNTIF($BD$2:BD262,1),"")</f>
        <v/>
      </c>
    </row>
    <row r="263">
      <c r="A263" t="inlineStr">
        <is>
          <t>5674167360</t>
        </is>
      </c>
      <c r="B263" t="inlineStr">
        <is>
          <t>Precisely Pandas LLC</t>
        </is>
      </c>
      <c r="C263" t="inlineStr">
        <is>
          <t>Precisely Pandas LLC</t>
        </is>
      </c>
      <c r="D263" t="inlineStr">
        <is>
          <t>Closed</t>
        </is>
      </c>
      <c r="E263" s="297" t="n">
        <v>45926</v>
      </c>
      <c r="F263" s="297" t="n">
        <v>46014</v>
      </c>
      <c r="G263" t="n">
        <v>1</v>
      </c>
      <c r="H263" t="inlineStr">
        <is>
          <t>8351</t>
        </is>
      </c>
      <c r="I263" t="inlineStr">
        <is>
          <t>83</t>
        </is>
      </c>
      <c r="J263" t="inlineStr">
        <is>
          <t>CT</t>
        </is>
      </c>
      <c r="K263" t="inlineStr">
        <is>
          <t>National Business Capital</t>
        </is>
      </c>
      <c r="L263" t="inlineStr">
        <is>
          <t>New Deal</t>
        </is>
      </c>
      <c r="M263" s="298" t="n">
        <v>1.39</v>
      </c>
      <c r="N263" s="299" t="n">
        <v>25000</v>
      </c>
      <c r="O263" s="299" t="n">
        <v>2250</v>
      </c>
      <c r="P263" s="299" t="n">
        <v>34750</v>
      </c>
      <c r="Q263" s="299" t="n">
        <v>34750</v>
      </c>
      <c r="R263" s="299" t="n">
        <v>0</v>
      </c>
      <c r="S263" s="300" t="n">
        <v>1</v>
      </c>
      <c r="T263" t="n">
        <v>22</v>
      </c>
      <c r="U263" t="n">
        <v>0</v>
      </c>
      <c r="V263" t="n">
        <v>89837.3</v>
      </c>
      <c r="W263" s="300" t="n">
        <v>0.0703</v>
      </c>
      <c r="X263" s="297" t="n"/>
      <c r="Y263">
        <f>IF(I263="","No SIC",IFERROR(VLOOKUP(I263,Ref!$A$2:$B$65,2,FALSE),"Unclassified"))</f>
        <v/>
      </c>
      <c r="Z263">
        <f>IF(T263="","",IF(T263&lt;12,"Daily","Weekly"))</f>
        <v/>
      </c>
      <c r="AA263">
        <f>IF(T263="",0,IF(T263&lt;12,T263*Controls!$B$29,T263*5))</f>
        <v/>
      </c>
      <c r="AB263">
        <f>IF(E263="",0,NETWORKDAYS(E263,Controls!$B$36,Ref!$K$2:$K$42))</f>
        <v/>
      </c>
      <c r="AC263">
        <f>IF(AND(AA263&gt;0,AB263&gt;=Controls!$B$39*AA263),1,0)</f>
        <v/>
      </c>
      <c r="AD263">
        <f>IF(AND(E263&lt;&gt;"",E263&gt;=Controls!$B$37,E263&lt;=Controls!$B$38),1,0)</f>
        <v/>
      </c>
      <c r="AE263">
        <f>IF(IFERROR(VLOOKUP(D263,Controls!$A$64:$E$74,2,FALSE),"No")="Yes",1,0)</f>
        <v/>
      </c>
      <c r="AF263">
        <f>IF(IFERROR(VLOOKUP(D263,Controls!$A$64:$E$74,3,FALSE),"No")="Yes",1,0)</f>
        <v/>
      </c>
      <c r="AG263">
        <f>IF(IFERROR(VLOOKUP(D263,Controls!$A$64:$E$74,4,FALSE),"No")="Yes",1,0)</f>
        <v/>
      </c>
      <c r="AH263">
        <f>IF(IFERROR(VLOOKUP(D263,Controls!$A$64:$E$74,5,FALSE),"No")="Yes",1,0)</f>
        <v/>
      </c>
      <c r="AI263">
        <f>IF(ISNUMBER(MATCH(D263,Controls!$A$64:$A$74,0)),1,0)</f>
        <v/>
      </c>
      <c r="AJ263">
        <f>Q263-N263</f>
        <v/>
      </c>
      <c r="AK263">
        <f>IF(AE263=1,MAX(0,N263-Q263),0)</f>
        <v/>
      </c>
      <c r="AL263">
        <f>IF(OR(V263="",V263=0),0,N263/V263)</f>
        <v/>
      </c>
      <c r="AM263">
        <f>IF(OR(V263="",V263=0),0,1)</f>
        <v/>
      </c>
      <c r="AN263">
        <f>IF(OR(E263="",F263=""),0,NETWORKDAYS(E263,F263,Ref!$K$2:$K$42))</f>
        <v/>
      </c>
      <c r="AO263">
        <f>IF(L263="Renewal",1,0)</f>
        <v/>
      </c>
      <c r="AP263">
        <f>AC263*AD263</f>
        <v/>
      </c>
      <c r="AQ263">
        <f>IF(AND(G263&lt;&gt;"",'Historical Score'!$C$6&lt;&gt;""),IF(G263='Historical Score'!$C$6,1,0),0)</f>
        <v/>
      </c>
      <c r="AR263">
        <f>IF(AND(L263&lt;&gt;"",'Historical Score'!$C$5&lt;&gt;""),IF(L263='Historical Score'!$C$5,1,0),0)</f>
        <v/>
      </c>
      <c r="AS263">
        <f>IF(AND(Y263&lt;&gt;"",'Historical Score'!$C$7&lt;&gt;""),IF(Y263='Historical Score'!$C$7,1,0),0)</f>
        <v/>
      </c>
      <c r="AT263">
        <f>IF(AND(K263&lt;&gt;"",'Historical Score'!$C$8&lt;&gt;""),IF(K263='Historical Score'!$C$8,1,0),0)</f>
        <v/>
      </c>
      <c r="AU263">
        <f>IF(AND(J263&lt;&gt;"",'Historical Score'!$C$9&lt;&gt;""),IF(J263='Historical Score'!$C$9,1,0),0)</f>
        <v/>
      </c>
      <c r="AV263">
        <f>AR263*AS263*AQ263</f>
        <v/>
      </c>
      <c r="AW263">
        <f>AR263*AT263*AQ263</f>
        <v/>
      </c>
      <c r="AX263">
        <f>AR263*AS263</f>
        <v/>
      </c>
      <c r="AY263">
        <f>AR263*AT263</f>
        <v/>
      </c>
      <c r="AZ263">
        <f>AR263*AQ263</f>
        <v/>
      </c>
      <c r="BA263">
        <f>AR263</f>
        <v/>
      </c>
      <c r="BB263">
        <f>1</f>
        <v/>
      </c>
      <c r="BC263">
        <f>IF(AV263=1,1,IF(AW263=1,2,IF(AX263=1,3,IF(AY263=1,4,IF(AZ263=1,5,IF(BA263=1,6,7))))))</f>
        <v/>
      </c>
      <c r="BD263">
        <f>IF(AD263=1,CHOOSE('Historical Score'!$C$29,AV263,AW263,AX263,AY263,AZ263,BA263,BB263),0)</f>
        <v/>
      </c>
      <c r="BE263">
        <f>IF(BD263=1,COUNTIF($BD$2:BD263,1),"")</f>
        <v/>
      </c>
    </row>
    <row r="264">
      <c r="A264" t="inlineStr">
        <is>
          <t>5674167409</t>
        </is>
      </c>
      <c r="B264" t="inlineStr">
        <is>
          <t>Cincinnati Home Remodelation LLC</t>
        </is>
      </c>
      <c r="C264" t="inlineStr">
        <is>
          <t>Cincinnati Home Remodelation LLC</t>
        </is>
      </c>
      <c r="D264" t="inlineStr">
        <is>
          <t>Legal</t>
        </is>
      </c>
      <c r="E264" s="297" t="n">
        <v>45926</v>
      </c>
      <c r="F264" s="297" t="n">
        <v>46006</v>
      </c>
      <c r="G264" t="n">
        <v>2</v>
      </c>
      <c r="H264" t="inlineStr">
        <is>
          <t>1521</t>
        </is>
      </c>
      <c r="I264" t="inlineStr">
        <is>
          <t>15</t>
        </is>
      </c>
      <c r="J264" t="inlineStr">
        <is>
          <t>OH</t>
        </is>
      </c>
      <c r="K264" t="inlineStr">
        <is>
          <t>United Secured Capital 8</t>
        </is>
      </c>
      <c r="L264" t="inlineStr">
        <is>
          <t>New Deal</t>
        </is>
      </c>
      <c r="M264" s="298" t="n">
        <v>1.499</v>
      </c>
      <c r="N264" s="299" t="n">
        <v>7000</v>
      </c>
      <c r="O264" s="299" t="n">
        <v>980</v>
      </c>
      <c r="P264" s="299" t="n">
        <v>10493</v>
      </c>
      <c r="Q264" s="299" t="n">
        <v>3913.5</v>
      </c>
      <c r="R264" s="299" t="n">
        <v>6579.5</v>
      </c>
      <c r="S264" s="300" t="n">
        <v>0.372962927666063</v>
      </c>
      <c r="T264" t="n">
        <v>2.623</v>
      </c>
      <c r="U264" t="n">
        <v>14</v>
      </c>
      <c r="V264" t="n">
        <v>31854.13</v>
      </c>
      <c r="W264" s="300" t="n">
        <v>0.08599999999999999</v>
      </c>
      <c r="X264" s="297" t="n">
        <v>44197</v>
      </c>
      <c r="Y264">
        <f>IF(I264="","No SIC",IFERROR(VLOOKUP(I264,Ref!$A$2:$B$65,2,FALSE),"Unclassified"))</f>
        <v/>
      </c>
      <c r="Z264">
        <f>IF(T264="","",IF(T264&lt;12,"Daily","Weekly"))</f>
        <v/>
      </c>
      <c r="AA264">
        <f>IF(T264="",0,IF(T264&lt;12,T264*Controls!$B$29,T264*5))</f>
        <v/>
      </c>
      <c r="AB264">
        <f>IF(E264="",0,NETWORKDAYS(E264,Controls!$B$36,Ref!$K$2:$K$42))</f>
        <v/>
      </c>
      <c r="AC264">
        <f>IF(AND(AA264&gt;0,AB264&gt;=Controls!$B$39*AA264),1,0)</f>
        <v/>
      </c>
      <c r="AD264">
        <f>IF(AND(E264&lt;&gt;"",E264&gt;=Controls!$B$37,E264&lt;=Controls!$B$38),1,0)</f>
        <v/>
      </c>
      <c r="AE264">
        <f>IF(IFERROR(VLOOKUP(D264,Controls!$A$64:$E$74,2,FALSE),"No")="Yes",1,0)</f>
        <v/>
      </c>
      <c r="AF264">
        <f>IF(IFERROR(VLOOKUP(D264,Controls!$A$64:$E$74,3,FALSE),"No")="Yes",1,0)</f>
        <v/>
      </c>
      <c r="AG264">
        <f>IF(IFERROR(VLOOKUP(D264,Controls!$A$64:$E$74,4,FALSE),"No")="Yes",1,0)</f>
        <v/>
      </c>
      <c r="AH264">
        <f>IF(IFERROR(VLOOKUP(D264,Controls!$A$64:$E$74,5,FALSE),"No")="Yes",1,0)</f>
        <v/>
      </c>
      <c r="AI264">
        <f>IF(ISNUMBER(MATCH(D264,Controls!$A$64:$A$74,0)),1,0)</f>
        <v/>
      </c>
      <c r="AJ264">
        <f>Q264-N264</f>
        <v/>
      </c>
      <c r="AK264">
        <f>IF(AE264=1,MAX(0,N264-Q264),0)</f>
        <v/>
      </c>
      <c r="AL264">
        <f>IF(OR(V264="",V264=0),0,N264/V264)</f>
        <v/>
      </c>
      <c r="AM264">
        <f>IF(OR(V264="",V264=0),0,1)</f>
        <v/>
      </c>
      <c r="AN264">
        <f>IF(OR(E264="",F264=""),0,NETWORKDAYS(E264,F264,Ref!$K$2:$K$42))</f>
        <v/>
      </c>
      <c r="AO264">
        <f>IF(L264="Renewal",1,0)</f>
        <v/>
      </c>
      <c r="AP264">
        <f>AC264*AD264</f>
        <v/>
      </c>
      <c r="AQ264">
        <f>IF(AND(G264&lt;&gt;"",'Historical Score'!$C$6&lt;&gt;""),IF(G264='Historical Score'!$C$6,1,0),0)</f>
        <v/>
      </c>
      <c r="AR264">
        <f>IF(AND(L264&lt;&gt;"",'Historical Score'!$C$5&lt;&gt;""),IF(L264='Historical Score'!$C$5,1,0),0)</f>
        <v/>
      </c>
      <c r="AS264">
        <f>IF(AND(Y264&lt;&gt;"",'Historical Score'!$C$7&lt;&gt;""),IF(Y264='Historical Score'!$C$7,1,0),0)</f>
        <v/>
      </c>
      <c r="AT264">
        <f>IF(AND(K264&lt;&gt;"",'Historical Score'!$C$8&lt;&gt;""),IF(K264='Historical Score'!$C$8,1,0),0)</f>
        <v/>
      </c>
      <c r="AU264">
        <f>IF(AND(J264&lt;&gt;"",'Historical Score'!$C$9&lt;&gt;""),IF(J264='Historical Score'!$C$9,1,0),0)</f>
        <v/>
      </c>
      <c r="AV264">
        <f>AR264*AS264*AQ264</f>
        <v/>
      </c>
      <c r="AW264">
        <f>AR264*AT264*AQ264</f>
        <v/>
      </c>
      <c r="AX264">
        <f>AR264*AS264</f>
        <v/>
      </c>
      <c r="AY264">
        <f>AR264*AT264</f>
        <v/>
      </c>
      <c r="AZ264">
        <f>AR264*AQ264</f>
        <v/>
      </c>
      <c r="BA264">
        <f>AR264</f>
        <v/>
      </c>
      <c r="BB264">
        <f>1</f>
        <v/>
      </c>
      <c r="BC264">
        <f>IF(AV264=1,1,IF(AW264=1,2,IF(AX264=1,3,IF(AY264=1,4,IF(AZ264=1,5,IF(BA264=1,6,7))))))</f>
        <v/>
      </c>
      <c r="BD264">
        <f>IF(AD264=1,CHOOSE('Historical Score'!$C$29,AV264,AW264,AX264,AY264,AZ264,BA264,BB264),0)</f>
        <v/>
      </c>
      <c r="BE264">
        <f>IF(BD264=1,COUNTIF($BD$2:BD264,1),"")</f>
        <v/>
      </c>
    </row>
    <row r="265">
      <c r="A265" t="inlineStr">
        <is>
          <t>5674167410</t>
        </is>
      </c>
      <c r="B265" t="inlineStr">
        <is>
          <t>Innovate Insurance Agency, Inc.</t>
        </is>
      </c>
      <c r="C265" t="inlineStr">
        <is>
          <t>Innovate Insurance Agency, Inc.</t>
        </is>
      </c>
      <c r="D265" t="inlineStr">
        <is>
          <t>Closed</t>
        </is>
      </c>
      <c r="E265" s="297" t="n">
        <v>45926</v>
      </c>
      <c r="F265" s="297" t="n">
        <v>45987</v>
      </c>
      <c r="G265" t="n">
        <v>2</v>
      </c>
      <c r="H265" t="inlineStr">
        <is>
          <t>6411</t>
        </is>
      </c>
      <c r="I265" t="inlineStr">
        <is>
          <t>64</t>
        </is>
      </c>
      <c r="J265" t="inlineStr">
        <is>
          <t>NJ</t>
        </is>
      </c>
      <c r="K265" t="inlineStr">
        <is>
          <t>Westwood</t>
        </is>
      </c>
      <c r="L265" t="inlineStr">
        <is>
          <t>New Deal</t>
        </is>
      </c>
      <c r="M265" s="298" t="n">
        <v>1.499</v>
      </c>
      <c r="N265" s="299" t="n">
        <v>15000</v>
      </c>
      <c r="O265" s="299" t="n">
        <v>2100</v>
      </c>
      <c r="P265" s="299" t="n">
        <v>22485</v>
      </c>
      <c r="Q265" s="299" t="n">
        <v>22485</v>
      </c>
      <c r="R265" s="299" t="n">
        <v>0</v>
      </c>
      <c r="S265" s="300" t="n">
        <v>1</v>
      </c>
      <c r="T265" t="n">
        <v>2.623</v>
      </c>
      <c r="U265" t="n">
        <v>5</v>
      </c>
      <c r="V265" t="n">
        <v>47795.52</v>
      </c>
      <c r="W265" s="300" t="n">
        <v>0.1221</v>
      </c>
      <c r="X265" s="297" t="n">
        <v>43574</v>
      </c>
      <c r="Y265">
        <f>IF(I265="","No SIC",IFERROR(VLOOKUP(I265,Ref!$A$2:$B$65,2,FALSE),"Unclassified"))</f>
        <v/>
      </c>
      <c r="Z265">
        <f>IF(T265="","",IF(T265&lt;12,"Daily","Weekly"))</f>
        <v/>
      </c>
      <c r="AA265">
        <f>IF(T265="",0,IF(T265&lt;12,T265*Controls!$B$29,T265*5))</f>
        <v/>
      </c>
      <c r="AB265">
        <f>IF(E265="",0,NETWORKDAYS(E265,Controls!$B$36,Ref!$K$2:$K$42))</f>
        <v/>
      </c>
      <c r="AC265">
        <f>IF(AND(AA265&gt;0,AB265&gt;=Controls!$B$39*AA265),1,0)</f>
        <v/>
      </c>
      <c r="AD265">
        <f>IF(AND(E265&lt;&gt;"",E265&gt;=Controls!$B$37,E265&lt;=Controls!$B$38),1,0)</f>
        <v/>
      </c>
      <c r="AE265">
        <f>IF(IFERROR(VLOOKUP(D265,Controls!$A$64:$E$74,2,FALSE),"No")="Yes",1,0)</f>
        <v/>
      </c>
      <c r="AF265">
        <f>IF(IFERROR(VLOOKUP(D265,Controls!$A$64:$E$74,3,FALSE),"No")="Yes",1,0)</f>
        <v/>
      </c>
      <c r="AG265">
        <f>IF(IFERROR(VLOOKUP(D265,Controls!$A$64:$E$74,4,FALSE),"No")="Yes",1,0)</f>
        <v/>
      </c>
      <c r="AH265">
        <f>IF(IFERROR(VLOOKUP(D265,Controls!$A$64:$E$74,5,FALSE),"No")="Yes",1,0)</f>
        <v/>
      </c>
      <c r="AI265">
        <f>IF(ISNUMBER(MATCH(D265,Controls!$A$64:$A$74,0)),1,0)</f>
        <v/>
      </c>
      <c r="AJ265">
        <f>Q265-N265</f>
        <v/>
      </c>
      <c r="AK265">
        <f>IF(AE265=1,MAX(0,N265-Q265),0)</f>
        <v/>
      </c>
      <c r="AL265">
        <f>IF(OR(V265="",V265=0),0,N265/V265)</f>
        <v/>
      </c>
      <c r="AM265">
        <f>IF(OR(V265="",V265=0),0,1)</f>
        <v/>
      </c>
      <c r="AN265">
        <f>IF(OR(E265="",F265=""),0,NETWORKDAYS(E265,F265,Ref!$K$2:$K$42))</f>
        <v/>
      </c>
      <c r="AO265">
        <f>IF(L265="Renewal",1,0)</f>
        <v/>
      </c>
      <c r="AP265">
        <f>AC265*AD265</f>
        <v/>
      </c>
      <c r="AQ265">
        <f>IF(AND(G265&lt;&gt;"",'Historical Score'!$C$6&lt;&gt;""),IF(G265='Historical Score'!$C$6,1,0),0)</f>
        <v/>
      </c>
      <c r="AR265">
        <f>IF(AND(L265&lt;&gt;"",'Historical Score'!$C$5&lt;&gt;""),IF(L265='Historical Score'!$C$5,1,0),0)</f>
        <v/>
      </c>
      <c r="AS265">
        <f>IF(AND(Y265&lt;&gt;"",'Historical Score'!$C$7&lt;&gt;""),IF(Y265='Historical Score'!$C$7,1,0),0)</f>
        <v/>
      </c>
      <c r="AT265">
        <f>IF(AND(K265&lt;&gt;"",'Historical Score'!$C$8&lt;&gt;""),IF(K265='Historical Score'!$C$8,1,0),0)</f>
        <v/>
      </c>
      <c r="AU265">
        <f>IF(AND(J265&lt;&gt;"",'Historical Score'!$C$9&lt;&gt;""),IF(J265='Historical Score'!$C$9,1,0),0)</f>
        <v/>
      </c>
      <c r="AV265">
        <f>AR265*AS265*AQ265</f>
        <v/>
      </c>
      <c r="AW265">
        <f>AR265*AT265*AQ265</f>
        <v/>
      </c>
      <c r="AX265">
        <f>AR265*AS265</f>
        <v/>
      </c>
      <c r="AY265">
        <f>AR265*AT265</f>
        <v/>
      </c>
      <c r="AZ265">
        <f>AR265*AQ265</f>
        <v/>
      </c>
      <c r="BA265">
        <f>AR265</f>
        <v/>
      </c>
      <c r="BB265">
        <f>1</f>
        <v/>
      </c>
      <c r="BC265">
        <f>IF(AV265=1,1,IF(AW265=1,2,IF(AX265=1,3,IF(AY265=1,4,IF(AZ265=1,5,IF(BA265=1,6,7))))))</f>
        <v/>
      </c>
      <c r="BD265">
        <f>IF(AD265=1,CHOOSE('Historical Score'!$C$29,AV265,AW265,AX265,AY265,AZ265,BA265,BB265),0)</f>
        <v/>
      </c>
      <c r="BE265">
        <f>IF(BD265=1,COUNTIF($BD$2:BD265,1),"")</f>
        <v/>
      </c>
    </row>
    <row r="266">
      <c r="A266" t="inlineStr">
        <is>
          <t>5674167497</t>
        </is>
      </c>
      <c r="B266" t="inlineStr">
        <is>
          <t>IPDR HAIL &amp; DENT REPAIR</t>
        </is>
      </c>
      <c r="C266" t="inlineStr">
        <is>
          <t>IPDR HAIL &amp; DENT REPAIR LLC</t>
        </is>
      </c>
      <c r="D266" t="inlineStr">
        <is>
          <t>Closed</t>
        </is>
      </c>
      <c r="E266" s="297" t="n">
        <v>45929</v>
      </c>
      <c r="F266" s="297" t="n">
        <v>46118</v>
      </c>
      <c r="G266" t="n">
        <v>4</v>
      </c>
      <c r="H266" t="inlineStr">
        <is>
          <t>1711</t>
        </is>
      </c>
      <c r="I266" t="inlineStr">
        <is>
          <t>17</t>
        </is>
      </c>
      <c r="J266" t="inlineStr">
        <is>
          <t>TX</t>
        </is>
      </c>
      <c r="K266" t="inlineStr">
        <is>
          <t>Shore Funding USA</t>
        </is>
      </c>
      <c r="L266" t="inlineStr">
        <is>
          <t>New Deal</t>
        </is>
      </c>
      <c r="M266" s="298" t="n">
        <v>1.49</v>
      </c>
      <c r="N266" s="299" t="n">
        <v>15000</v>
      </c>
      <c r="O266" s="299" t="n">
        <v>2100</v>
      </c>
      <c r="P266" s="299" t="n">
        <v>22350</v>
      </c>
      <c r="Q266" s="299" t="n">
        <v>22350</v>
      </c>
      <c r="R266" s="299" t="n">
        <v>0</v>
      </c>
      <c r="S266" s="300" t="n">
        <v>1</v>
      </c>
      <c r="T266" t="n">
        <v>3.934</v>
      </c>
      <c r="U266" t="n">
        <v>10</v>
      </c>
      <c r="V266" t="n">
        <v>72200.84</v>
      </c>
      <c r="W266" s="300" t="n">
        <v>0.0542</v>
      </c>
      <c r="X266" s="297" t="n">
        <v>44562</v>
      </c>
      <c r="Y266">
        <f>IF(I266="","No SIC",IFERROR(VLOOKUP(I266,Ref!$A$2:$B$65,2,FALSE),"Unclassified"))</f>
        <v/>
      </c>
      <c r="Z266">
        <f>IF(T266="","",IF(T266&lt;12,"Daily","Weekly"))</f>
        <v/>
      </c>
      <c r="AA266">
        <f>IF(T266="",0,IF(T266&lt;12,T266*Controls!$B$29,T266*5))</f>
        <v/>
      </c>
      <c r="AB266">
        <f>IF(E266="",0,NETWORKDAYS(E266,Controls!$B$36,Ref!$K$2:$K$42))</f>
        <v/>
      </c>
      <c r="AC266">
        <f>IF(AND(AA266&gt;0,AB266&gt;=Controls!$B$39*AA266),1,0)</f>
        <v/>
      </c>
      <c r="AD266">
        <f>IF(AND(E266&lt;&gt;"",E266&gt;=Controls!$B$37,E266&lt;=Controls!$B$38),1,0)</f>
        <v/>
      </c>
      <c r="AE266">
        <f>IF(IFERROR(VLOOKUP(D266,Controls!$A$64:$E$74,2,FALSE),"No")="Yes",1,0)</f>
        <v/>
      </c>
      <c r="AF266">
        <f>IF(IFERROR(VLOOKUP(D266,Controls!$A$64:$E$74,3,FALSE),"No")="Yes",1,0)</f>
        <v/>
      </c>
      <c r="AG266">
        <f>IF(IFERROR(VLOOKUP(D266,Controls!$A$64:$E$74,4,FALSE),"No")="Yes",1,0)</f>
        <v/>
      </c>
      <c r="AH266">
        <f>IF(IFERROR(VLOOKUP(D266,Controls!$A$64:$E$74,5,FALSE),"No")="Yes",1,0)</f>
        <v/>
      </c>
      <c r="AI266">
        <f>IF(ISNUMBER(MATCH(D266,Controls!$A$64:$A$74,0)),1,0)</f>
        <v/>
      </c>
      <c r="AJ266">
        <f>Q266-N266</f>
        <v/>
      </c>
      <c r="AK266">
        <f>IF(AE266=1,MAX(0,N266-Q266),0)</f>
        <v/>
      </c>
      <c r="AL266">
        <f>IF(OR(V266="",V266=0),0,N266/V266)</f>
        <v/>
      </c>
      <c r="AM266">
        <f>IF(OR(V266="",V266=0),0,1)</f>
        <v/>
      </c>
      <c r="AN266">
        <f>IF(OR(E266="",F266=""),0,NETWORKDAYS(E266,F266,Ref!$K$2:$K$42))</f>
        <v/>
      </c>
      <c r="AO266">
        <f>IF(L266="Renewal",1,0)</f>
        <v/>
      </c>
      <c r="AP266">
        <f>AC266*AD266</f>
        <v/>
      </c>
      <c r="AQ266">
        <f>IF(AND(G266&lt;&gt;"",'Historical Score'!$C$6&lt;&gt;""),IF(G266='Historical Score'!$C$6,1,0),0)</f>
        <v/>
      </c>
      <c r="AR266">
        <f>IF(AND(L266&lt;&gt;"",'Historical Score'!$C$5&lt;&gt;""),IF(L266='Historical Score'!$C$5,1,0),0)</f>
        <v/>
      </c>
      <c r="AS266">
        <f>IF(AND(Y266&lt;&gt;"",'Historical Score'!$C$7&lt;&gt;""),IF(Y266='Historical Score'!$C$7,1,0),0)</f>
        <v/>
      </c>
      <c r="AT266">
        <f>IF(AND(K266&lt;&gt;"",'Historical Score'!$C$8&lt;&gt;""),IF(K266='Historical Score'!$C$8,1,0),0)</f>
        <v/>
      </c>
      <c r="AU266">
        <f>IF(AND(J266&lt;&gt;"",'Historical Score'!$C$9&lt;&gt;""),IF(J266='Historical Score'!$C$9,1,0),0)</f>
        <v/>
      </c>
      <c r="AV266">
        <f>AR266*AS266*AQ266</f>
        <v/>
      </c>
      <c r="AW266">
        <f>AR266*AT266*AQ266</f>
        <v/>
      </c>
      <c r="AX266">
        <f>AR266*AS266</f>
        <v/>
      </c>
      <c r="AY266">
        <f>AR266*AT266</f>
        <v/>
      </c>
      <c r="AZ266">
        <f>AR266*AQ266</f>
        <v/>
      </c>
      <c r="BA266">
        <f>AR266</f>
        <v/>
      </c>
      <c r="BB266">
        <f>1</f>
        <v/>
      </c>
      <c r="BC266">
        <f>IF(AV266=1,1,IF(AW266=1,2,IF(AX266=1,3,IF(AY266=1,4,IF(AZ266=1,5,IF(BA266=1,6,7))))))</f>
        <v/>
      </c>
      <c r="BD266">
        <f>IF(AD266=1,CHOOSE('Historical Score'!$C$29,AV266,AW266,AX266,AY266,AZ266,BA266,BB266),0)</f>
        <v/>
      </c>
      <c r="BE266">
        <f>IF(BD266=1,COUNTIF($BD$2:BD266,1),"")</f>
        <v/>
      </c>
    </row>
    <row r="267">
      <c r="A267" t="inlineStr">
        <is>
          <t>5674167502</t>
        </is>
      </c>
      <c r="B267" t="inlineStr">
        <is>
          <t>Southern Panc Eat Good LLC DBA Southern Pancake House</t>
        </is>
      </c>
      <c r="C267" t="inlineStr">
        <is>
          <t>Let'em Eat Good LLC</t>
        </is>
      </c>
      <c r="D267" t="inlineStr">
        <is>
          <t>Closed</t>
        </is>
      </c>
      <c r="E267" s="297" t="n">
        <v>45929</v>
      </c>
      <c r="F267" s="297" t="n">
        <v>46036</v>
      </c>
      <c r="G267" t="n">
        <v>1</v>
      </c>
      <c r="H267" t="inlineStr">
        <is>
          <t>5812</t>
        </is>
      </c>
      <c r="I267" t="inlineStr">
        <is>
          <t>58</t>
        </is>
      </c>
      <c r="J267" t="inlineStr">
        <is>
          <t>VA</t>
        </is>
      </c>
      <c r="K267" t="inlineStr">
        <is>
          <t>Premium Capital (AMRK)</t>
        </is>
      </c>
      <c r="L267" t="inlineStr">
        <is>
          <t>Renewal</t>
        </is>
      </c>
      <c r="M267" s="298" t="n">
        <v>1.49</v>
      </c>
      <c r="N267" s="299" t="n">
        <v>40000</v>
      </c>
      <c r="O267" s="299" t="n">
        <v>5600</v>
      </c>
      <c r="P267" s="299" t="n">
        <v>59600</v>
      </c>
      <c r="Q267" s="299" t="n">
        <v>59600</v>
      </c>
      <c r="R267" s="299" t="n">
        <v>0</v>
      </c>
      <c r="S267" s="300" t="n">
        <v>1</v>
      </c>
      <c r="T267" t="n">
        <v>4.59</v>
      </c>
      <c r="U267" t="n">
        <v>2</v>
      </c>
      <c r="V267" t="n">
        <v>73218.44</v>
      </c>
      <c r="W267" s="300" t="n">
        <v>0.1221</v>
      </c>
      <c r="X267" s="297" t="n"/>
      <c r="Y267">
        <f>IF(I267="","No SIC",IFERROR(VLOOKUP(I267,Ref!$A$2:$B$65,2,FALSE),"Unclassified"))</f>
        <v/>
      </c>
      <c r="Z267">
        <f>IF(T267="","",IF(T267&lt;12,"Daily","Weekly"))</f>
        <v/>
      </c>
      <c r="AA267">
        <f>IF(T267="",0,IF(T267&lt;12,T267*Controls!$B$29,T267*5))</f>
        <v/>
      </c>
      <c r="AB267">
        <f>IF(E267="",0,NETWORKDAYS(E267,Controls!$B$36,Ref!$K$2:$K$42))</f>
        <v/>
      </c>
      <c r="AC267">
        <f>IF(AND(AA267&gt;0,AB267&gt;=Controls!$B$39*AA267),1,0)</f>
        <v/>
      </c>
      <c r="AD267">
        <f>IF(AND(E267&lt;&gt;"",E267&gt;=Controls!$B$37,E267&lt;=Controls!$B$38),1,0)</f>
        <v/>
      </c>
      <c r="AE267">
        <f>IF(IFERROR(VLOOKUP(D267,Controls!$A$64:$E$74,2,FALSE),"No")="Yes",1,0)</f>
        <v/>
      </c>
      <c r="AF267">
        <f>IF(IFERROR(VLOOKUP(D267,Controls!$A$64:$E$74,3,FALSE),"No")="Yes",1,0)</f>
        <v/>
      </c>
      <c r="AG267">
        <f>IF(IFERROR(VLOOKUP(D267,Controls!$A$64:$E$74,4,FALSE),"No")="Yes",1,0)</f>
        <v/>
      </c>
      <c r="AH267">
        <f>IF(IFERROR(VLOOKUP(D267,Controls!$A$64:$E$74,5,FALSE),"No")="Yes",1,0)</f>
        <v/>
      </c>
      <c r="AI267">
        <f>IF(ISNUMBER(MATCH(D267,Controls!$A$64:$A$74,0)),1,0)</f>
        <v/>
      </c>
      <c r="AJ267">
        <f>Q267-N267</f>
        <v/>
      </c>
      <c r="AK267">
        <f>IF(AE267=1,MAX(0,N267-Q267),0)</f>
        <v/>
      </c>
      <c r="AL267">
        <f>IF(OR(V267="",V267=0),0,N267/V267)</f>
        <v/>
      </c>
      <c r="AM267">
        <f>IF(OR(V267="",V267=0),0,1)</f>
        <v/>
      </c>
      <c r="AN267">
        <f>IF(OR(E267="",F267=""),0,NETWORKDAYS(E267,F267,Ref!$K$2:$K$42))</f>
        <v/>
      </c>
      <c r="AO267">
        <f>IF(L267="Renewal",1,0)</f>
        <v/>
      </c>
      <c r="AP267">
        <f>AC267*AD267</f>
        <v/>
      </c>
      <c r="AQ267">
        <f>IF(AND(G267&lt;&gt;"",'Historical Score'!$C$6&lt;&gt;""),IF(G267='Historical Score'!$C$6,1,0),0)</f>
        <v/>
      </c>
      <c r="AR267">
        <f>IF(AND(L267&lt;&gt;"",'Historical Score'!$C$5&lt;&gt;""),IF(L267='Historical Score'!$C$5,1,0),0)</f>
        <v/>
      </c>
      <c r="AS267">
        <f>IF(AND(Y267&lt;&gt;"",'Historical Score'!$C$7&lt;&gt;""),IF(Y267='Historical Score'!$C$7,1,0),0)</f>
        <v/>
      </c>
      <c r="AT267">
        <f>IF(AND(K267&lt;&gt;"",'Historical Score'!$C$8&lt;&gt;""),IF(K267='Historical Score'!$C$8,1,0),0)</f>
        <v/>
      </c>
      <c r="AU267">
        <f>IF(AND(J267&lt;&gt;"",'Historical Score'!$C$9&lt;&gt;""),IF(J267='Historical Score'!$C$9,1,0),0)</f>
        <v/>
      </c>
      <c r="AV267">
        <f>AR267*AS267*AQ267</f>
        <v/>
      </c>
      <c r="AW267">
        <f>AR267*AT267*AQ267</f>
        <v/>
      </c>
      <c r="AX267">
        <f>AR267*AS267</f>
        <v/>
      </c>
      <c r="AY267">
        <f>AR267*AT267</f>
        <v/>
      </c>
      <c r="AZ267">
        <f>AR267*AQ267</f>
        <v/>
      </c>
      <c r="BA267">
        <f>AR267</f>
        <v/>
      </c>
      <c r="BB267">
        <f>1</f>
        <v/>
      </c>
      <c r="BC267">
        <f>IF(AV267=1,1,IF(AW267=1,2,IF(AX267=1,3,IF(AY267=1,4,IF(AZ267=1,5,IF(BA267=1,6,7))))))</f>
        <v/>
      </c>
      <c r="BD267">
        <f>IF(AD267=1,CHOOSE('Historical Score'!$C$29,AV267,AW267,AX267,AY267,AZ267,BA267,BB267),0)</f>
        <v/>
      </c>
      <c r="BE267">
        <f>IF(BD267=1,COUNTIF($BD$2:BD267,1),"")</f>
        <v/>
      </c>
    </row>
    <row r="268">
      <c r="A268" t="inlineStr">
        <is>
          <t>5674167574</t>
        </is>
      </c>
      <c r="B268" t="inlineStr">
        <is>
          <t>Rg cabinets</t>
        </is>
      </c>
      <c r="C268" t="inlineStr">
        <is>
          <t>RG Cabinets</t>
        </is>
      </c>
      <c r="D268" t="inlineStr">
        <is>
          <t>Closed</t>
        </is>
      </c>
      <c r="E268" s="297" t="n">
        <v>45930</v>
      </c>
      <c r="F268" s="297" t="n">
        <v>46143</v>
      </c>
      <c r="G268" t="n">
        <v>1</v>
      </c>
      <c r="H268" t="inlineStr">
        <is>
          <t>2434</t>
        </is>
      </c>
      <c r="I268" t="inlineStr">
        <is>
          <t>24</t>
        </is>
      </c>
      <c r="J268" t="inlineStr">
        <is>
          <t>PA</t>
        </is>
      </c>
      <c r="K268" t="inlineStr">
        <is>
          <t>Fundwell</t>
        </is>
      </c>
      <c r="L268" t="inlineStr">
        <is>
          <t>New Deal</t>
        </is>
      </c>
      <c r="M268" s="298" t="n">
        <v>1.38</v>
      </c>
      <c r="N268" s="299" t="n">
        <v>20000</v>
      </c>
      <c r="O268" s="299" t="n">
        <v>2400</v>
      </c>
      <c r="P268" s="299" t="n">
        <v>27600</v>
      </c>
      <c r="Q268" s="299" t="n">
        <v>27600</v>
      </c>
      <c r="R268" s="299" t="n">
        <v>-3.63797880709171e-12</v>
      </c>
      <c r="S268" s="300" t="n">
        <v>1</v>
      </c>
      <c r="T268" t="n">
        <v>28</v>
      </c>
      <c r="U268" t="n">
        <v>2</v>
      </c>
      <c r="V268" t="n">
        <v>115953.51</v>
      </c>
      <c r="W268" s="300" t="n">
        <v>0.034</v>
      </c>
      <c r="X268" s="297" t="n">
        <v>45713</v>
      </c>
      <c r="Y268">
        <f>IF(I268="","No SIC",IFERROR(VLOOKUP(I268,Ref!$A$2:$B$65,2,FALSE),"Unclassified"))</f>
        <v/>
      </c>
      <c r="Z268">
        <f>IF(T268="","",IF(T268&lt;12,"Daily","Weekly"))</f>
        <v/>
      </c>
      <c r="AA268">
        <f>IF(T268="",0,IF(T268&lt;12,T268*Controls!$B$29,T268*5))</f>
        <v/>
      </c>
      <c r="AB268">
        <f>IF(E268="",0,NETWORKDAYS(E268,Controls!$B$36,Ref!$K$2:$K$42))</f>
        <v/>
      </c>
      <c r="AC268">
        <f>IF(AND(AA268&gt;0,AB268&gt;=Controls!$B$39*AA268),1,0)</f>
        <v/>
      </c>
      <c r="AD268">
        <f>IF(AND(E268&lt;&gt;"",E268&gt;=Controls!$B$37,E268&lt;=Controls!$B$38),1,0)</f>
        <v/>
      </c>
      <c r="AE268">
        <f>IF(IFERROR(VLOOKUP(D268,Controls!$A$64:$E$74,2,FALSE),"No")="Yes",1,0)</f>
        <v/>
      </c>
      <c r="AF268">
        <f>IF(IFERROR(VLOOKUP(D268,Controls!$A$64:$E$74,3,FALSE),"No")="Yes",1,0)</f>
        <v/>
      </c>
      <c r="AG268">
        <f>IF(IFERROR(VLOOKUP(D268,Controls!$A$64:$E$74,4,FALSE),"No")="Yes",1,0)</f>
        <v/>
      </c>
      <c r="AH268">
        <f>IF(IFERROR(VLOOKUP(D268,Controls!$A$64:$E$74,5,FALSE),"No")="Yes",1,0)</f>
        <v/>
      </c>
      <c r="AI268">
        <f>IF(ISNUMBER(MATCH(D268,Controls!$A$64:$A$74,0)),1,0)</f>
        <v/>
      </c>
      <c r="AJ268">
        <f>Q268-N268</f>
        <v/>
      </c>
      <c r="AK268">
        <f>IF(AE268=1,MAX(0,N268-Q268),0)</f>
        <v/>
      </c>
      <c r="AL268">
        <f>IF(OR(V268="",V268=0),0,N268/V268)</f>
        <v/>
      </c>
      <c r="AM268">
        <f>IF(OR(V268="",V268=0),0,1)</f>
        <v/>
      </c>
      <c r="AN268">
        <f>IF(OR(E268="",F268=""),0,NETWORKDAYS(E268,F268,Ref!$K$2:$K$42))</f>
        <v/>
      </c>
      <c r="AO268">
        <f>IF(L268="Renewal",1,0)</f>
        <v/>
      </c>
      <c r="AP268">
        <f>AC268*AD268</f>
        <v/>
      </c>
      <c r="AQ268">
        <f>IF(AND(G268&lt;&gt;"",'Historical Score'!$C$6&lt;&gt;""),IF(G268='Historical Score'!$C$6,1,0),0)</f>
        <v/>
      </c>
      <c r="AR268">
        <f>IF(AND(L268&lt;&gt;"",'Historical Score'!$C$5&lt;&gt;""),IF(L268='Historical Score'!$C$5,1,0),0)</f>
        <v/>
      </c>
      <c r="AS268">
        <f>IF(AND(Y268&lt;&gt;"",'Historical Score'!$C$7&lt;&gt;""),IF(Y268='Historical Score'!$C$7,1,0),0)</f>
        <v/>
      </c>
      <c r="AT268">
        <f>IF(AND(K268&lt;&gt;"",'Historical Score'!$C$8&lt;&gt;""),IF(K268='Historical Score'!$C$8,1,0),0)</f>
        <v/>
      </c>
      <c r="AU268">
        <f>IF(AND(J268&lt;&gt;"",'Historical Score'!$C$9&lt;&gt;""),IF(J268='Historical Score'!$C$9,1,0),0)</f>
        <v/>
      </c>
      <c r="AV268">
        <f>AR268*AS268*AQ268</f>
        <v/>
      </c>
      <c r="AW268">
        <f>AR268*AT268*AQ268</f>
        <v/>
      </c>
      <c r="AX268">
        <f>AR268*AS268</f>
        <v/>
      </c>
      <c r="AY268">
        <f>AR268*AT268</f>
        <v/>
      </c>
      <c r="AZ268">
        <f>AR268*AQ268</f>
        <v/>
      </c>
      <c r="BA268">
        <f>AR268</f>
        <v/>
      </c>
      <c r="BB268">
        <f>1</f>
        <v/>
      </c>
      <c r="BC268">
        <f>IF(AV268=1,1,IF(AW268=1,2,IF(AX268=1,3,IF(AY268=1,4,IF(AZ268=1,5,IF(BA268=1,6,7))))))</f>
        <v/>
      </c>
      <c r="BD268">
        <f>IF(AD268=1,CHOOSE('Historical Score'!$C$29,AV268,AW268,AX268,AY268,AZ268,BA268,BB268),0)</f>
        <v/>
      </c>
      <c r="BE268">
        <f>IF(BD268=1,COUNTIF($BD$2:BD268,1),"")</f>
        <v/>
      </c>
    </row>
    <row r="269">
      <c r="A269" t="inlineStr">
        <is>
          <t>5674167595</t>
        </is>
      </c>
      <c r="B269" t="inlineStr">
        <is>
          <t>JTD PICASSO</t>
        </is>
      </c>
      <c r="C269" t="inlineStr">
        <is>
          <t>Jtd Picasso llc</t>
        </is>
      </c>
      <c r="D269" t="inlineStr">
        <is>
          <t>Legal</t>
        </is>
      </c>
      <c r="E269" s="297" t="n">
        <v>45930</v>
      </c>
      <c r="F269" s="297" t="n">
        <v>46157</v>
      </c>
      <c r="G269" t="n">
        <v>3</v>
      </c>
      <c r="H269" t="inlineStr">
        <is>
          <t>5812</t>
        </is>
      </c>
      <c r="I269" t="inlineStr">
        <is>
          <t>58</t>
        </is>
      </c>
      <c r="J269" t="inlineStr">
        <is>
          <t>PA</t>
        </is>
      </c>
      <c r="K269" t="inlineStr">
        <is>
          <t>National Business Capital</t>
        </is>
      </c>
      <c r="L269" t="inlineStr">
        <is>
          <t>New Deal</t>
        </is>
      </c>
      <c r="M269" s="298" t="n">
        <v>1.499</v>
      </c>
      <c r="N269" s="299" t="n">
        <v>12500</v>
      </c>
      <c r="O269" s="299" t="n">
        <v>1750</v>
      </c>
      <c r="P269" s="299" t="n">
        <v>18737.5</v>
      </c>
      <c r="Q269" s="299" t="n">
        <v>2638.91</v>
      </c>
      <c r="R269" s="299" t="n">
        <v>16098.59</v>
      </c>
      <c r="S269" s="300" t="n">
        <v>0.140835757171448</v>
      </c>
      <c r="T269" t="n">
        <v>3.934</v>
      </c>
      <c r="U269" t="n">
        <v>20</v>
      </c>
      <c r="V269" t="n">
        <v>65723.95</v>
      </c>
      <c r="W269" s="300" t="n">
        <v>0.0496</v>
      </c>
      <c r="X269" s="297" t="n"/>
      <c r="Y269">
        <f>IF(I269="","No SIC",IFERROR(VLOOKUP(I269,Ref!$A$2:$B$65,2,FALSE),"Unclassified"))</f>
        <v/>
      </c>
      <c r="Z269">
        <f>IF(T269="","",IF(T269&lt;12,"Daily","Weekly"))</f>
        <v/>
      </c>
      <c r="AA269">
        <f>IF(T269="",0,IF(T269&lt;12,T269*Controls!$B$29,T269*5))</f>
        <v/>
      </c>
      <c r="AB269">
        <f>IF(E269="",0,NETWORKDAYS(E269,Controls!$B$36,Ref!$K$2:$K$42))</f>
        <v/>
      </c>
      <c r="AC269">
        <f>IF(AND(AA269&gt;0,AB269&gt;=Controls!$B$39*AA269),1,0)</f>
        <v/>
      </c>
      <c r="AD269">
        <f>IF(AND(E269&lt;&gt;"",E269&gt;=Controls!$B$37,E269&lt;=Controls!$B$38),1,0)</f>
        <v/>
      </c>
      <c r="AE269">
        <f>IF(IFERROR(VLOOKUP(D269,Controls!$A$64:$E$74,2,FALSE),"No")="Yes",1,0)</f>
        <v/>
      </c>
      <c r="AF269">
        <f>IF(IFERROR(VLOOKUP(D269,Controls!$A$64:$E$74,3,FALSE),"No")="Yes",1,0)</f>
        <v/>
      </c>
      <c r="AG269">
        <f>IF(IFERROR(VLOOKUP(D269,Controls!$A$64:$E$74,4,FALSE),"No")="Yes",1,0)</f>
        <v/>
      </c>
      <c r="AH269">
        <f>IF(IFERROR(VLOOKUP(D269,Controls!$A$64:$E$74,5,FALSE),"No")="Yes",1,0)</f>
        <v/>
      </c>
      <c r="AI269">
        <f>IF(ISNUMBER(MATCH(D269,Controls!$A$64:$A$74,0)),1,0)</f>
        <v/>
      </c>
      <c r="AJ269">
        <f>Q269-N269</f>
        <v/>
      </c>
      <c r="AK269">
        <f>IF(AE269=1,MAX(0,N269-Q269),0)</f>
        <v/>
      </c>
      <c r="AL269">
        <f>IF(OR(V269="",V269=0),0,N269/V269)</f>
        <v/>
      </c>
      <c r="AM269">
        <f>IF(OR(V269="",V269=0),0,1)</f>
        <v/>
      </c>
      <c r="AN269">
        <f>IF(OR(E269="",F269=""),0,NETWORKDAYS(E269,F269,Ref!$K$2:$K$42))</f>
        <v/>
      </c>
      <c r="AO269">
        <f>IF(L269="Renewal",1,0)</f>
        <v/>
      </c>
      <c r="AP269">
        <f>AC269*AD269</f>
        <v/>
      </c>
      <c r="AQ269">
        <f>IF(AND(G269&lt;&gt;"",'Historical Score'!$C$6&lt;&gt;""),IF(G269='Historical Score'!$C$6,1,0),0)</f>
        <v/>
      </c>
      <c r="AR269">
        <f>IF(AND(L269&lt;&gt;"",'Historical Score'!$C$5&lt;&gt;""),IF(L269='Historical Score'!$C$5,1,0),0)</f>
        <v/>
      </c>
      <c r="AS269">
        <f>IF(AND(Y269&lt;&gt;"",'Historical Score'!$C$7&lt;&gt;""),IF(Y269='Historical Score'!$C$7,1,0),0)</f>
        <v/>
      </c>
      <c r="AT269">
        <f>IF(AND(K269&lt;&gt;"",'Historical Score'!$C$8&lt;&gt;""),IF(K269='Historical Score'!$C$8,1,0),0)</f>
        <v/>
      </c>
      <c r="AU269">
        <f>IF(AND(J269&lt;&gt;"",'Historical Score'!$C$9&lt;&gt;""),IF(J269='Historical Score'!$C$9,1,0),0)</f>
        <v/>
      </c>
      <c r="AV269">
        <f>AR269*AS269*AQ269</f>
        <v/>
      </c>
      <c r="AW269">
        <f>AR269*AT269*AQ269</f>
        <v/>
      </c>
      <c r="AX269">
        <f>AR269*AS269</f>
        <v/>
      </c>
      <c r="AY269">
        <f>AR269*AT269</f>
        <v/>
      </c>
      <c r="AZ269">
        <f>AR269*AQ269</f>
        <v/>
      </c>
      <c r="BA269">
        <f>AR269</f>
        <v/>
      </c>
      <c r="BB269">
        <f>1</f>
        <v/>
      </c>
      <c r="BC269">
        <f>IF(AV269=1,1,IF(AW269=1,2,IF(AX269=1,3,IF(AY269=1,4,IF(AZ269=1,5,IF(BA269=1,6,7))))))</f>
        <v/>
      </c>
      <c r="BD269">
        <f>IF(AD269=1,CHOOSE('Historical Score'!$C$29,AV269,AW269,AX269,AY269,AZ269,BA269,BB269),0)</f>
        <v/>
      </c>
      <c r="BE269">
        <f>IF(BD269=1,COUNTIF($BD$2:BD269,1),"")</f>
        <v/>
      </c>
    </row>
    <row r="270">
      <c r="A270" t="inlineStr">
        <is>
          <t>5674167660</t>
        </is>
      </c>
      <c r="B270" t="inlineStr">
        <is>
          <t>The Brass Tap</t>
        </is>
      </c>
      <c r="C270" t="inlineStr">
        <is>
          <t>Tall Boy LLC</t>
        </is>
      </c>
      <c r="D270" t="inlineStr">
        <is>
          <t>Legal</t>
        </is>
      </c>
      <c r="E270" s="297" t="n">
        <v>45930</v>
      </c>
      <c r="F270" s="297" t="n">
        <v>46133</v>
      </c>
      <c r="G270" t="n">
        <v>1</v>
      </c>
      <c r="H270" t="inlineStr">
        <is>
          <t>5812</t>
        </is>
      </c>
      <c r="I270" t="inlineStr">
        <is>
          <t>58</t>
        </is>
      </c>
      <c r="J270" t="inlineStr">
        <is>
          <t>TX</t>
        </is>
      </c>
      <c r="K270" t="inlineStr">
        <is>
          <t>Fundwell</t>
        </is>
      </c>
      <c r="L270" t="inlineStr">
        <is>
          <t>New Deal</t>
        </is>
      </c>
      <c r="M270" s="298" t="n">
        <v>1.35</v>
      </c>
      <c r="N270" s="299" t="n">
        <v>25000</v>
      </c>
      <c r="O270" s="299" t="n">
        <v>1750</v>
      </c>
      <c r="P270" s="299" t="n">
        <v>33750</v>
      </c>
      <c r="Q270" s="299" t="n">
        <v>20232.72</v>
      </c>
      <c r="R270" s="299" t="n">
        <v>13517.28</v>
      </c>
      <c r="S270" s="300" t="n">
        <v>0.599488</v>
      </c>
      <c r="T270" t="n">
        <v>5.902</v>
      </c>
      <c r="U270" t="n">
        <v>28</v>
      </c>
      <c r="V270" t="n">
        <v>108675.02</v>
      </c>
      <c r="W270" s="300" t="n">
        <v>0.0362</v>
      </c>
      <c r="X270" s="297" t="n">
        <v>45474</v>
      </c>
      <c r="Y270">
        <f>IF(I270="","No SIC",IFERROR(VLOOKUP(I270,Ref!$A$2:$B$65,2,FALSE),"Unclassified"))</f>
        <v/>
      </c>
      <c r="Z270">
        <f>IF(T270="","",IF(T270&lt;12,"Daily","Weekly"))</f>
        <v/>
      </c>
      <c r="AA270">
        <f>IF(T270="",0,IF(T270&lt;12,T270*Controls!$B$29,T270*5))</f>
        <v/>
      </c>
      <c r="AB270">
        <f>IF(E270="",0,NETWORKDAYS(E270,Controls!$B$36,Ref!$K$2:$K$42))</f>
        <v/>
      </c>
      <c r="AC270">
        <f>IF(AND(AA270&gt;0,AB270&gt;=Controls!$B$39*AA270),1,0)</f>
        <v/>
      </c>
      <c r="AD270">
        <f>IF(AND(E270&lt;&gt;"",E270&gt;=Controls!$B$37,E270&lt;=Controls!$B$38),1,0)</f>
        <v/>
      </c>
      <c r="AE270">
        <f>IF(IFERROR(VLOOKUP(D270,Controls!$A$64:$E$74,2,FALSE),"No")="Yes",1,0)</f>
        <v/>
      </c>
      <c r="AF270">
        <f>IF(IFERROR(VLOOKUP(D270,Controls!$A$64:$E$74,3,FALSE),"No")="Yes",1,0)</f>
        <v/>
      </c>
      <c r="AG270">
        <f>IF(IFERROR(VLOOKUP(D270,Controls!$A$64:$E$74,4,FALSE),"No")="Yes",1,0)</f>
        <v/>
      </c>
      <c r="AH270">
        <f>IF(IFERROR(VLOOKUP(D270,Controls!$A$64:$E$74,5,FALSE),"No")="Yes",1,0)</f>
        <v/>
      </c>
      <c r="AI270">
        <f>IF(ISNUMBER(MATCH(D270,Controls!$A$64:$A$74,0)),1,0)</f>
        <v/>
      </c>
      <c r="AJ270">
        <f>Q270-N270</f>
        <v/>
      </c>
      <c r="AK270">
        <f>IF(AE270=1,MAX(0,N270-Q270),0)</f>
        <v/>
      </c>
      <c r="AL270">
        <f>IF(OR(V270="",V270=0),0,N270/V270)</f>
        <v/>
      </c>
      <c r="AM270">
        <f>IF(OR(V270="",V270=0),0,1)</f>
        <v/>
      </c>
      <c r="AN270">
        <f>IF(OR(E270="",F270=""),0,NETWORKDAYS(E270,F270,Ref!$K$2:$K$42))</f>
        <v/>
      </c>
      <c r="AO270">
        <f>IF(L270="Renewal",1,0)</f>
        <v/>
      </c>
      <c r="AP270">
        <f>AC270*AD270</f>
        <v/>
      </c>
      <c r="AQ270">
        <f>IF(AND(G270&lt;&gt;"",'Historical Score'!$C$6&lt;&gt;""),IF(G270='Historical Score'!$C$6,1,0),0)</f>
        <v/>
      </c>
      <c r="AR270">
        <f>IF(AND(L270&lt;&gt;"",'Historical Score'!$C$5&lt;&gt;""),IF(L270='Historical Score'!$C$5,1,0),0)</f>
        <v/>
      </c>
      <c r="AS270">
        <f>IF(AND(Y270&lt;&gt;"",'Historical Score'!$C$7&lt;&gt;""),IF(Y270='Historical Score'!$C$7,1,0),0)</f>
        <v/>
      </c>
      <c r="AT270">
        <f>IF(AND(K270&lt;&gt;"",'Historical Score'!$C$8&lt;&gt;""),IF(K270='Historical Score'!$C$8,1,0),0)</f>
        <v/>
      </c>
      <c r="AU270">
        <f>IF(AND(J270&lt;&gt;"",'Historical Score'!$C$9&lt;&gt;""),IF(J270='Historical Score'!$C$9,1,0),0)</f>
        <v/>
      </c>
      <c r="AV270">
        <f>AR270*AS270*AQ270</f>
        <v/>
      </c>
      <c r="AW270">
        <f>AR270*AT270*AQ270</f>
        <v/>
      </c>
      <c r="AX270">
        <f>AR270*AS270</f>
        <v/>
      </c>
      <c r="AY270">
        <f>AR270*AT270</f>
        <v/>
      </c>
      <c r="AZ270">
        <f>AR270*AQ270</f>
        <v/>
      </c>
      <c r="BA270">
        <f>AR270</f>
        <v/>
      </c>
      <c r="BB270">
        <f>1</f>
        <v/>
      </c>
      <c r="BC270">
        <f>IF(AV270=1,1,IF(AW270=1,2,IF(AX270=1,3,IF(AY270=1,4,IF(AZ270=1,5,IF(BA270=1,6,7))))))</f>
        <v/>
      </c>
      <c r="BD270">
        <f>IF(AD270=1,CHOOSE('Historical Score'!$C$29,AV270,AW270,AX270,AY270,AZ270,BA270,BB270),0)</f>
        <v/>
      </c>
      <c r="BE270">
        <f>IF(BD270=1,COUNTIF($BD$2:BD270,1),"")</f>
        <v/>
      </c>
    </row>
    <row r="271">
      <c r="A271" t="inlineStr">
        <is>
          <t>5674167684</t>
        </is>
      </c>
      <c r="B271" t="inlineStr">
        <is>
          <t>Chasing More Vacations</t>
        </is>
      </c>
      <c r="C271" t="inlineStr">
        <is>
          <t>LORETTA DARNELL</t>
        </is>
      </c>
      <c r="D271" t="inlineStr">
        <is>
          <t>Closed</t>
        </is>
      </c>
      <c r="E271" s="297" t="n">
        <v>45931</v>
      </c>
      <c r="F271" s="297" t="n">
        <v>46022</v>
      </c>
      <c r="G271" t="n">
        <v>3</v>
      </c>
      <c r="H271" t="inlineStr">
        <is>
          <t>4724</t>
        </is>
      </c>
      <c r="I271" t="inlineStr">
        <is>
          <t>47</t>
        </is>
      </c>
      <c r="J271" t="inlineStr">
        <is>
          <t>TX</t>
        </is>
      </c>
      <c r="K271" t="inlineStr">
        <is>
          <t>Fundwell</t>
        </is>
      </c>
      <c r="L271" t="inlineStr">
        <is>
          <t>Renewal</t>
        </is>
      </c>
      <c r="M271" s="298" t="n">
        <v>1.42</v>
      </c>
      <c r="N271" s="299" t="n">
        <v>8500</v>
      </c>
      <c r="O271" s="299" t="n">
        <v>1190</v>
      </c>
      <c r="P271" s="299" t="n">
        <v>12070</v>
      </c>
      <c r="Q271" s="299" t="n">
        <v>12070</v>
      </c>
      <c r="R271" s="299" t="n">
        <v>0</v>
      </c>
      <c r="S271" s="300" t="n">
        <v>1</v>
      </c>
      <c r="T271" t="n">
        <v>3.934</v>
      </c>
      <c r="U271" t="n">
        <v>0</v>
      </c>
      <c r="V271" t="n">
        <v>7307.91</v>
      </c>
      <c r="W271" s="300" t="n">
        <v>0.2083</v>
      </c>
      <c r="X271" s="297" t="n">
        <v>43299</v>
      </c>
      <c r="Y271">
        <f>IF(I271="","No SIC",IFERROR(VLOOKUP(I271,Ref!$A$2:$B$65,2,FALSE),"Unclassified"))</f>
        <v/>
      </c>
      <c r="Z271">
        <f>IF(T271="","",IF(T271&lt;12,"Daily","Weekly"))</f>
        <v/>
      </c>
      <c r="AA271">
        <f>IF(T271="",0,IF(T271&lt;12,T271*Controls!$B$29,T271*5))</f>
        <v/>
      </c>
      <c r="AB271">
        <f>IF(E271="",0,NETWORKDAYS(E271,Controls!$B$36,Ref!$K$2:$K$42))</f>
        <v/>
      </c>
      <c r="AC271">
        <f>IF(AND(AA271&gt;0,AB271&gt;=Controls!$B$39*AA271),1,0)</f>
        <v/>
      </c>
      <c r="AD271">
        <f>IF(AND(E271&lt;&gt;"",E271&gt;=Controls!$B$37,E271&lt;=Controls!$B$38),1,0)</f>
        <v/>
      </c>
      <c r="AE271">
        <f>IF(IFERROR(VLOOKUP(D271,Controls!$A$64:$E$74,2,FALSE),"No")="Yes",1,0)</f>
        <v/>
      </c>
      <c r="AF271">
        <f>IF(IFERROR(VLOOKUP(D271,Controls!$A$64:$E$74,3,FALSE),"No")="Yes",1,0)</f>
        <v/>
      </c>
      <c r="AG271">
        <f>IF(IFERROR(VLOOKUP(D271,Controls!$A$64:$E$74,4,FALSE),"No")="Yes",1,0)</f>
        <v/>
      </c>
      <c r="AH271">
        <f>IF(IFERROR(VLOOKUP(D271,Controls!$A$64:$E$74,5,FALSE),"No")="Yes",1,0)</f>
        <v/>
      </c>
      <c r="AI271">
        <f>IF(ISNUMBER(MATCH(D271,Controls!$A$64:$A$74,0)),1,0)</f>
        <v/>
      </c>
      <c r="AJ271">
        <f>Q271-N271</f>
        <v/>
      </c>
      <c r="AK271">
        <f>IF(AE271=1,MAX(0,N271-Q271),0)</f>
        <v/>
      </c>
      <c r="AL271">
        <f>IF(OR(V271="",V271=0),0,N271/V271)</f>
        <v/>
      </c>
      <c r="AM271">
        <f>IF(OR(V271="",V271=0),0,1)</f>
        <v/>
      </c>
      <c r="AN271">
        <f>IF(OR(E271="",F271=""),0,NETWORKDAYS(E271,F271,Ref!$K$2:$K$42))</f>
        <v/>
      </c>
      <c r="AO271">
        <f>IF(L271="Renewal",1,0)</f>
        <v/>
      </c>
      <c r="AP271">
        <f>AC271*AD271</f>
        <v/>
      </c>
      <c r="AQ271">
        <f>IF(AND(G271&lt;&gt;"",'Historical Score'!$C$6&lt;&gt;""),IF(G271='Historical Score'!$C$6,1,0),0)</f>
        <v/>
      </c>
      <c r="AR271">
        <f>IF(AND(L271&lt;&gt;"",'Historical Score'!$C$5&lt;&gt;""),IF(L271='Historical Score'!$C$5,1,0),0)</f>
        <v/>
      </c>
      <c r="AS271">
        <f>IF(AND(Y271&lt;&gt;"",'Historical Score'!$C$7&lt;&gt;""),IF(Y271='Historical Score'!$C$7,1,0),0)</f>
        <v/>
      </c>
      <c r="AT271">
        <f>IF(AND(K271&lt;&gt;"",'Historical Score'!$C$8&lt;&gt;""),IF(K271='Historical Score'!$C$8,1,0),0)</f>
        <v/>
      </c>
      <c r="AU271">
        <f>IF(AND(J271&lt;&gt;"",'Historical Score'!$C$9&lt;&gt;""),IF(J271='Historical Score'!$C$9,1,0),0)</f>
        <v/>
      </c>
      <c r="AV271">
        <f>AR271*AS271*AQ271</f>
        <v/>
      </c>
      <c r="AW271">
        <f>AR271*AT271*AQ271</f>
        <v/>
      </c>
      <c r="AX271">
        <f>AR271*AS271</f>
        <v/>
      </c>
      <c r="AY271">
        <f>AR271*AT271</f>
        <v/>
      </c>
      <c r="AZ271">
        <f>AR271*AQ271</f>
        <v/>
      </c>
      <c r="BA271">
        <f>AR271</f>
        <v/>
      </c>
      <c r="BB271">
        <f>1</f>
        <v/>
      </c>
      <c r="BC271">
        <f>IF(AV271=1,1,IF(AW271=1,2,IF(AX271=1,3,IF(AY271=1,4,IF(AZ271=1,5,IF(BA271=1,6,7))))))</f>
        <v/>
      </c>
      <c r="BD271">
        <f>IF(AD271=1,CHOOSE('Historical Score'!$C$29,AV271,AW271,AX271,AY271,AZ271,BA271,BB271),0)</f>
        <v/>
      </c>
      <c r="BE271">
        <f>IF(BD271=1,COUNTIF($BD$2:BD271,1),"")</f>
        <v/>
      </c>
    </row>
    <row r="272">
      <c r="A272" t="inlineStr">
        <is>
          <t>5674167693</t>
        </is>
      </c>
      <c r="B272" t="inlineStr">
        <is>
          <t>GOOD SAMARITAN INVESTMENT LLC</t>
        </is>
      </c>
      <c r="C272" t="inlineStr">
        <is>
          <t>GOOD SAMARITAN INVESTMENT LLC</t>
        </is>
      </c>
      <c r="D272" t="inlineStr">
        <is>
          <t>Legal</t>
        </is>
      </c>
      <c r="E272" s="297" t="n">
        <v>45931</v>
      </c>
      <c r="F272" s="297" t="n">
        <v>46133</v>
      </c>
      <c r="G272" t="n">
        <v>3</v>
      </c>
      <c r="H272" t="inlineStr">
        <is>
          <t>1521</t>
        </is>
      </c>
      <c r="I272" t="inlineStr">
        <is>
          <t>15</t>
        </is>
      </c>
      <c r="J272" t="inlineStr">
        <is>
          <t>TN</t>
        </is>
      </c>
      <c r="K272" t="inlineStr">
        <is>
          <t>United Secured Capital 8</t>
        </is>
      </c>
      <c r="L272" t="inlineStr">
        <is>
          <t>New Deal</t>
        </is>
      </c>
      <c r="M272" s="298" t="n">
        <v>1.49</v>
      </c>
      <c r="N272" s="299" t="n">
        <v>20000</v>
      </c>
      <c r="O272" s="299" t="n">
        <v>2800</v>
      </c>
      <c r="P272" s="299" t="n">
        <v>29800</v>
      </c>
      <c r="Q272" s="299" t="n">
        <v>21955.28</v>
      </c>
      <c r="R272" s="299" t="n">
        <v>7844.72</v>
      </c>
      <c r="S272" s="300" t="n">
        <v>0.736754362416107</v>
      </c>
      <c r="T272" t="n">
        <v>3.279</v>
      </c>
      <c r="U272" t="n">
        <v>56</v>
      </c>
      <c r="V272" t="n">
        <v>83997.5</v>
      </c>
      <c r="W272" s="300" t="n">
        <v>0.0745</v>
      </c>
      <c r="X272" s="297" t="n"/>
      <c r="Y272">
        <f>IF(I272="","No SIC",IFERROR(VLOOKUP(I272,Ref!$A$2:$B$65,2,FALSE),"Unclassified"))</f>
        <v/>
      </c>
      <c r="Z272">
        <f>IF(T272="","",IF(T272&lt;12,"Daily","Weekly"))</f>
        <v/>
      </c>
      <c r="AA272">
        <f>IF(T272="",0,IF(T272&lt;12,T272*Controls!$B$29,T272*5))</f>
        <v/>
      </c>
      <c r="AB272">
        <f>IF(E272="",0,NETWORKDAYS(E272,Controls!$B$36,Ref!$K$2:$K$42))</f>
        <v/>
      </c>
      <c r="AC272">
        <f>IF(AND(AA272&gt;0,AB272&gt;=Controls!$B$39*AA272),1,0)</f>
        <v/>
      </c>
      <c r="AD272">
        <f>IF(AND(E272&lt;&gt;"",E272&gt;=Controls!$B$37,E272&lt;=Controls!$B$38),1,0)</f>
        <v/>
      </c>
      <c r="AE272">
        <f>IF(IFERROR(VLOOKUP(D272,Controls!$A$64:$E$74,2,FALSE),"No")="Yes",1,0)</f>
        <v/>
      </c>
      <c r="AF272">
        <f>IF(IFERROR(VLOOKUP(D272,Controls!$A$64:$E$74,3,FALSE),"No")="Yes",1,0)</f>
        <v/>
      </c>
      <c r="AG272">
        <f>IF(IFERROR(VLOOKUP(D272,Controls!$A$64:$E$74,4,FALSE),"No")="Yes",1,0)</f>
        <v/>
      </c>
      <c r="AH272">
        <f>IF(IFERROR(VLOOKUP(D272,Controls!$A$64:$E$74,5,FALSE),"No")="Yes",1,0)</f>
        <v/>
      </c>
      <c r="AI272">
        <f>IF(ISNUMBER(MATCH(D272,Controls!$A$64:$A$74,0)),1,0)</f>
        <v/>
      </c>
      <c r="AJ272">
        <f>Q272-N272</f>
        <v/>
      </c>
      <c r="AK272">
        <f>IF(AE272=1,MAX(0,N272-Q272),0)</f>
        <v/>
      </c>
      <c r="AL272">
        <f>IF(OR(V272="",V272=0),0,N272/V272)</f>
        <v/>
      </c>
      <c r="AM272">
        <f>IF(OR(V272="",V272=0),0,1)</f>
        <v/>
      </c>
      <c r="AN272">
        <f>IF(OR(E272="",F272=""),0,NETWORKDAYS(E272,F272,Ref!$K$2:$K$42))</f>
        <v/>
      </c>
      <c r="AO272">
        <f>IF(L272="Renewal",1,0)</f>
        <v/>
      </c>
      <c r="AP272">
        <f>AC272*AD272</f>
        <v/>
      </c>
      <c r="AQ272">
        <f>IF(AND(G272&lt;&gt;"",'Historical Score'!$C$6&lt;&gt;""),IF(G272='Historical Score'!$C$6,1,0),0)</f>
        <v/>
      </c>
      <c r="AR272">
        <f>IF(AND(L272&lt;&gt;"",'Historical Score'!$C$5&lt;&gt;""),IF(L272='Historical Score'!$C$5,1,0),0)</f>
        <v/>
      </c>
      <c r="AS272">
        <f>IF(AND(Y272&lt;&gt;"",'Historical Score'!$C$7&lt;&gt;""),IF(Y272='Historical Score'!$C$7,1,0),0)</f>
        <v/>
      </c>
      <c r="AT272">
        <f>IF(AND(K272&lt;&gt;"",'Historical Score'!$C$8&lt;&gt;""),IF(K272='Historical Score'!$C$8,1,0),0)</f>
        <v/>
      </c>
      <c r="AU272">
        <f>IF(AND(J272&lt;&gt;"",'Historical Score'!$C$9&lt;&gt;""),IF(J272='Historical Score'!$C$9,1,0),0)</f>
        <v/>
      </c>
      <c r="AV272">
        <f>AR272*AS272*AQ272</f>
        <v/>
      </c>
      <c r="AW272">
        <f>AR272*AT272*AQ272</f>
        <v/>
      </c>
      <c r="AX272">
        <f>AR272*AS272</f>
        <v/>
      </c>
      <c r="AY272">
        <f>AR272*AT272</f>
        <v/>
      </c>
      <c r="AZ272">
        <f>AR272*AQ272</f>
        <v/>
      </c>
      <c r="BA272">
        <f>AR272</f>
        <v/>
      </c>
      <c r="BB272">
        <f>1</f>
        <v/>
      </c>
      <c r="BC272">
        <f>IF(AV272=1,1,IF(AW272=1,2,IF(AX272=1,3,IF(AY272=1,4,IF(AZ272=1,5,IF(BA272=1,6,7))))))</f>
        <v/>
      </c>
      <c r="BD272">
        <f>IF(AD272=1,CHOOSE('Historical Score'!$C$29,AV272,AW272,AX272,AY272,AZ272,BA272,BB272),0)</f>
        <v/>
      </c>
      <c r="BE272">
        <f>IF(BD272=1,COUNTIF($BD$2:BD272,1),"")</f>
        <v/>
      </c>
    </row>
    <row r="273">
      <c r="A273" t="inlineStr">
        <is>
          <t>5674167720</t>
        </is>
      </c>
      <c r="B273" t="inlineStr">
        <is>
          <t>Arrow Rental</t>
        </is>
      </c>
      <c r="C273" t="inlineStr">
        <is>
          <t>The Rental Guys L.L.C.</t>
        </is>
      </c>
      <c r="D273" t="inlineStr">
        <is>
          <t>Closed</t>
        </is>
      </c>
      <c r="E273" s="297" t="n">
        <v>45931</v>
      </c>
      <c r="F273" s="297" t="n">
        <v>45996</v>
      </c>
      <c r="G273" t="n">
        <v>1</v>
      </c>
      <c r="H273" t="inlineStr">
        <is>
          <t>4789</t>
        </is>
      </c>
      <c r="I273" t="inlineStr">
        <is>
          <t>47</t>
        </is>
      </c>
      <c r="J273" t="inlineStr">
        <is>
          <t>TX</t>
        </is>
      </c>
      <c r="K273" t="inlineStr">
        <is>
          <t>Fundwell</t>
        </is>
      </c>
      <c r="L273" t="inlineStr">
        <is>
          <t>New Deal</t>
        </is>
      </c>
      <c r="M273" s="298" t="n">
        <v>1.4</v>
      </c>
      <c r="N273" s="299" t="n">
        <v>15000</v>
      </c>
      <c r="O273" s="299" t="n">
        <v>1950</v>
      </c>
      <c r="P273" s="299" t="n">
        <v>21000</v>
      </c>
      <c r="Q273" s="299" t="n">
        <v>21000</v>
      </c>
      <c r="R273" s="299" t="n">
        <v>0</v>
      </c>
      <c r="S273" s="300" t="n">
        <v>1</v>
      </c>
      <c r="T273" t="n">
        <v>28</v>
      </c>
      <c r="U273" t="n">
        <v>0</v>
      </c>
      <c r="W273" s="300" t="n">
        <v>0.0347</v>
      </c>
      <c r="X273" s="297" t="n">
        <v>45931</v>
      </c>
      <c r="Y273">
        <f>IF(I273="","No SIC",IFERROR(VLOOKUP(I273,Ref!$A$2:$B$65,2,FALSE),"Unclassified"))</f>
        <v/>
      </c>
      <c r="Z273">
        <f>IF(T273="","",IF(T273&lt;12,"Daily","Weekly"))</f>
        <v/>
      </c>
      <c r="AA273">
        <f>IF(T273="",0,IF(T273&lt;12,T273*Controls!$B$29,T273*5))</f>
        <v/>
      </c>
      <c r="AB273">
        <f>IF(E273="",0,NETWORKDAYS(E273,Controls!$B$36,Ref!$K$2:$K$42))</f>
        <v/>
      </c>
      <c r="AC273">
        <f>IF(AND(AA273&gt;0,AB273&gt;=Controls!$B$39*AA273),1,0)</f>
        <v/>
      </c>
      <c r="AD273">
        <f>IF(AND(E273&lt;&gt;"",E273&gt;=Controls!$B$37,E273&lt;=Controls!$B$38),1,0)</f>
        <v/>
      </c>
      <c r="AE273">
        <f>IF(IFERROR(VLOOKUP(D273,Controls!$A$64:$E$74,2,FALSE),"No")="Yes",1,0)</f>
        <v/>
      </c>
      <c r="AF273">
        <f>IF(IFERROR(VLOOKUP(D273,Controls!$A$64:$E$74,3,FALSE),"No")="Yes",1,0)</f>
        <v/>
      </c>
      <c r="AG273">
        <f>IF(IFERROR(VLOOKUP(D273,Controls!$A$64:$E$74,4,FALSE),"No")="Yes",1,0)</f>
        <v/>
      </c>
      <c r="AH273">
        <f>IF(IFERROR(VLOOKUP(D273,Controls!$A$64:$E$74,5,FALSE),"No")="Yes",1,0)</f>
        <v/>
      </c>
      <c r="AI273">
        <f>IF(ISNUMBER(MATCH(D273,Controls!$A$64:$A$74,0)),1,0)</f>
        <v/>
      </c>
      <c r="AJ273">
        <f>Q273-N273</f>
        <v/>
      </c>
      <c r="AK273">
        <f>IF(AE273=1,MAX(0,N273-Q273),0)</f>
        <v/>
      </c>
      <c r="AL273">
        <f>IF(OR(V273="",V273=0),0,N273/V273)</f>
        <v/>
      </c>
      <c r="AM273">
        <f>IF(OR(V273="",V273=0),0,1)</f>
        <v/>
      </c>
      <c r="AN273">
        <f>IF(OR(E273="",F273=""),0,NETWORKDAYS(E273,F273,Ref!$K$2:$K$42))</f>
        <v/>
      </c>
      <c r="AO273">
        <f>IF(L273="Renewal",1,0)</f>
        <v/>
      </c>
      <c r="AP273">
        <f>AC273*AD273</f>
        <v/>
      </c>
      <c r="AQ273">
        <f>IF(AND(G273&lt;&gt;"",'Historical Score'!$C$6&lt;&gt;""),IF(G273='Historical Score'!$C$6,1,0),0)</f>
        <v/>
      </c>
      <c r="AR273">
        <f>IF(AND(L273&lt;&gt;"",'Historical Score'!$C$5&lt;&gt;""),IF(L273='Historical Score'!$C$5,1,0),0)</f>
        <v/>
      </c>
      <c r="AS273">
        <f>IF(AND(Y273&lt;&gt;"",'Historical Score'!$C$7&lt;&gt;""),IF(Y273='Historical Score'!$C$7,1,0),0)</f>
        <v/>
      </c>
      <c r="AT273">
        <f>IF(AND(K273&lt;&gt;"",'Historical Score'!$C$8&lt;&gt;""),IF(K273='Historical Score'!$C$8,1,0),0)</f>
        <v/>
      </c>
      <c r="AU273">
        <f>IF(AND(J273&lt;&gt;"",'Historical Score'!$C$9&lt;&gt;""),IF(J273='Historical Score'!$C$9,1,0),0)</f>
        <v/>
      </c>
      <c r="AV273">
        <f>AR273*AS273*AQ273</f>
        <v/>
      </c>
      <c r="AW273">
        <f>AR273*AT273*AQ273</f>
        <v/>
      </c>
      <c r="AX273">
        <f>AR273*AS273</f>
        <v/>
      </c>
      <c r="AY273">
        <f>AR273*AT273</f>
        <v/>
      </c>
      <c r="AZ273">
        <f>AR273*AQ273</f>
        <v/>
      </c>
      <c r="BA273">
        <f>AR273</f>
        <v/>
      </c>
      <c r="BB273">
        <f>1</f>
        <v/>
      </c>
      <c r="BC273">
        <f>IF(AV273=1,1,IF(AW273=1,2,IF(AX273=1,3,IF(AY273=1,4,IF(AZ273=1,5,IF(BA273=1,6,7))))))</f>
        <v/>
      </c>
      <c r="BD273">
        <f>IF(AD273=1,CHOOSE('Historical Score'!$C$29,AV273,AW273,AX273,AY273,AZ273,BA273,BB273),0)</f>
        <v/>
      </c>
      <c r="BE273">
        <f>IF(BD273=1,COUNTIF($BD$2:BD273,1),"")</f>
        <v/>
      </c>
    </row>
    <row r="274">
      <c r="A274" t="inlineStr">
        <is>
          <t>5674167736</t>
        </is>
      </c>
      <c r="B274" t="inlineStr">
        <is>
          <t>Little Magic Bar</t>
        </is>
      </c>
      <c r="C274" t="inlineStr">
        <is>
          <t>VOODOO MAGIC LLC</t>
        </is>
      </c>
      <c r="D274" t="inlineStr">
        <is>
          <t>Closed</t>
        </is>
      </c>
      <c r="E274" s="297" t="n">
        <v>45931</v>
      </c>
      <c r="F274" s="297" t="n">
        <v>46051</v>
      </c>
      <c r="G274" t="n">
        <v>2</v>
      </c>
      <c r="H274" t="inlineStr">
        <is>
          <t>5812</t>
        </is>
      </c>
      <c r="I274" t="inlineStr">
        <is>
          <t>58</t>
        </is>
      </c>
      <c r="J274" t="inlineStr">
        <is>
          <t>TN</t>
        </is>
      </c>
      <c r="K274" t="inlineStr">
        <is>
          <t>Fundible</t>
        </is>
      </c>
      <c r="L274" t="inlineStr">
        <is>
          <t>New Deal</t>
        </is>
      </c>
      <c r="M274" s="298" t="n">
        <v>1.49</v>
      </c>
      <c r="N274" s="299" t="n">
        <v>35000</v>
      </c>
      <c r="O274" s="299" t="n">
        <v>4900</v>
      </c>
      <c r="P274" s="299" t="n">
        <v>52150</v>
      </c>
      <c r="Q274" s="299" t="n">
        <v>52150</v>
      </c>
      <c r="R274" s="299" t="n">
        <v>0</v>
      </c>
      <c r="S274" s="300" t="n">
        <v>1</v>
      </c>
      <c r="T274" t="n">
        <v>26</v>
      </c>
      <c r="U274" t="n">
        <v>0</v>
      </c>
      <c r="V274" t="n">
        <v>131755.44</v>
      </c>
      <c r="W274" s="300" t="n">
        <v>0.0609</v>
      </c>
      <c r="X274" s="297" t="n">
        <v>45320</v>
      </c>
      <c r="Y274">
        <f>IF(I274="","No SIC",IFERROR(VLOOKUP(I274,Ref!$A$2:$B$65,2,FALSE),"Unclassified"))</f>
        <v/>
      </c>
      <c r="Z274">
        <f>IF(T274="","",IF(T274&lt;12,"Daily","Weekly"))</f>
        <v/>
      </c>
      <c r="AA274">
        <f>IF(T274="",0,IF(T274&lt;12,T274*Controls!$B$29,T274*5))</f>
        <v/>
      </c>
      <c r="AB274">
        <f>IF(E274="",0,NETWORKDAYS(E274,Controls!$B$36,Ref!$K$2:$K$42))</f>
        <v/>
      </c>
      <c r="AC274">
        <f>IF(AND(AA274&gt;0,AB274&gt;=Controls!$B$39*AA274),1,0)</f>
        <v/>
      </c>
      <c r="AD274">
        <f>IF(AND(E274&lt;&gt;"",E274&gt;=Controls!$B$37,E274&lt;=Controls!$B$38),1,0)</f>
        <v/>
      </c>
      <c r="AE274">
        <f>IF(IFERROR(VLOOKUP(D274,Controls!$A$64:$E$74,2,FALSE),"No")="Yes",1,0)</f>
        <v/>
      </c>
      <c r="AF274">
        <f>IF(IFERROR(VLOOKUP(D274,Controls!$A$64:$E$74,3,FALSE),"No")="Yes",1,0)</f>
        <v/>
      </c>
      <c r="AG274">
        <f>IF(IFERROR(VLOOKUP(D274,Controls!$A$64:$E$74,4,FALSE),"No")="Yes",1,0)</f>
        <v/>
      </c>
      <c r="AH274">
        <f>IF(IFERROR(VLOOKUP(D274,Controls!$A$64:$E$74,5,FALSE),"No")="Yes",1,0)</f>
        <v/>
      </c>
      <c r="AI274">
        <f>IF(ISNUMBER(MATCH(D274,Controls!$A$64:$A$74,0)),1,0)</f>
        <v/>
      </c>
      <c r="AJ274">
        <f>Q274-N274</f>
        <v/>
      </c>
      <c r="AK274">
        <f>IF(AE274=1,MAX(0,N274-Q274),0)</f>
        <v/>
      </c>
      <c r="AL274">
        <f>IF(OR(V274="",V274=0),0,N274/V274)</f>
        <v/>
      </c>
      <c r="AM274">
        <f>IF(OR(V274="",V274=0),0,1)</f>
        <v/>
      </c>
      <c r="AN274">
        <f>IF(OR(E274="",F274=""),0,NETWORKDAYS(E274,F274,Ref!$K$2:$K$42))</f>
        <v/>
      </c>
      <c r="AO274">
        <f>IF(L274="Renewal",1,0)</f>
        <v/>
      </c>
      <c r="AP274">
        <f>AC274*AD274</f>
        <v/>
      </c>
      <c r="AQ274">
        <f>IF(AND(G274&lt;&gt;"",'Historical Score'!$C$6&lt;&gt;""),IF(G274='Historical Score'!$C$6,1,0),0)</f>
        <v/>
      </c>
      <c r="AR274">
        <f>IF(AND(L274&lt;&gt;"",'Historical Score'!$C$5&lt;&gt;""),IF(L274='Historical Score'!$C$5,1,0),0)</f>
        <v/>
      </c>
      <c r="AS274">
        <f>IF(AND(Y274&lt;&gt;"",'Historical Score'!$C$7&lt;&gt;""),IF(Y274='Historical Score'!$C$7,1,0),0)</f>
        <v/>
      </c>
      <c r="AT274">
        <f>IF(AND(K274&lt;&gt;"",'Historical Score'!$C$8&lt;&gt;""),IF(K274='Historical Score'!$C$8,1,0),0)</f>
        <v/>
      </c>
      <c r="AU274">
        <f>IF(AND(J274&lt;&gt;"",'Historical Score'!$C$9&lt;&gt;""),IF(J274='Historical Score'!$C$9,1,0),0)</f>
        <v/>
      </c>
      <c r="AV274">
        <f>AR274*AS274*AQ274</f>
        <v/>
      </c>
      <c r="AW274">
        <f>AR274*AT274*AQ274</f>
        <v/>
      </c>
      <c r="AX274">
        <f>AR274*AS274</f>
        <v/>
      </c>
      <c r="AY274">
        <f>AR274*AT274</f>
        <v/>
      </c>
      <c r="AZ274">
        <f>AR274*AQ274</f>
        <v/>
      </c>
      <c r="BA274">
        <f>AR274</f>
        <v/>
      </c>
      <c r="BB274">
        <f>1</f>
        <v/>
      </c>
      <c r="BC274">
        <f>IF(AV274=1,1,IF(AW274=1,2,IF(AX274=1,3,IF(AY274=1,4,IF(AZ274=1,5,IF(BA274=1,6,7))))))</f>
        <v/>
      </c>
      <c r="BD274">
        <f>IF(AD274=1,CHOOSE('Historical Score'!$C$29,AV274,AW274,AX274,AY274,AZ274,BA274,BB274),0)</f>
        <v/>
      </c>
      <c r="BE274">
        <f>IF(BD274=1,COUNTIF($BD$2:BD274,1),"")</f>
        <v/>
      </c>
    </row>
    <row r="275">
      <c r="A275" t="inlineStr">
        <is>
          <t>5674167778</t>
        </is>
      </c>
      <c r="B275" t="inlineStr">
        <is>
          <t>AIR LAND &amp; SEA PHYSICALS &amp; CONSULTATION</t>
        </is>
      </c>
      <c r="C275" t="inlineStr">
        <is>
          <t>AIR LAND &amp; SEA PHYSICALS &amp; CONSULTATION, LLC</t>
        </is>
      </c>
      <c r="D275" t="inlineStr">
        <is>
          <t>Closed</t>
        </is>
      </c>
      <c r="E275" s="297" t="n">
        <v>45932</v>
      </c>
      <c r="F275" s="297" t="n">
        <v>46073</v>
      </c>
      <c r="G275" t="n">
        <v>1</v>
      </c>
      <c r="H275" t="inlineStr">
        <is>
          <t>8748</t>
        </is>
      </c>
      <c r="I275" t="inlineStr">
        <is>
          <t>87</t>
        </is>
      </c>
      <c r="J275" t="inlineStr">
        <is>
          <t>FL</t>
        </is>
      </c>
      <c r="K275" t="inlineStr">
        <is>
          <t>Fundwell</t>
        </is>
      </c>
      <c r="L275" t="inlineStr">
        <is>
          <t>New Deal</t>
        </is>
      </c>
      <c r="M275" s="298" t="n">
        <v>1.44</v>
      </c>
      <c r="N275" s="299" t="n">
        <v>30000</v>
      </c>
      <c r="O275" s="299" t="n">
        <v>4350</v>
      </c>
      <c r="P275" s="299" t="n">
        <v>43200</v>
      </c>
      <c r="Q275" s="299" t="n">
        <v>43200</v>
      </c>
      <c r="R275" s="299" t="n">
        <v>0</v>
      </c>
      <c r="S275" s="300" t="n">
        <v>1</v>
      </c>
      <c r="T275" t="n">
        <v>30</v>
      </c>
      <c r="U275" t="n">
        <v>0</v>
      </c>
      <c r="V275" t="n">
        <v>43565.36</v>
      </c>
      <c r="W275" s="300" t="n">
        <v>0.1322</v>
      </c>
      <c r="X275" s="297" t="n">
        <v>38596</v>
      </c>
      <c r="Y275">
        <f>IF(I275="","No SIC",IFERROR(VLOOKUP(I275,Ref!$A$2:$B$65,2,FALSE),"Unclassified"))</f>
        <v/>
      </c>
      <c r="Z275">
        <f>IF(T275="","",IF(T275&lt;12,"Daily","Weekly"))</f>
        <v/>
      </c>
      <c r="AA275">
        <f>IF(T275="",0,IF(T275&lt;12,T275*Controls!$B$29,T275*5))</f>
        <v/>
      </c>
      <c r="AB275">
        <f>IF(E275="",0,NETWORKDAYS(E275,Controls!$B$36,Ref!$K$2:$K$42))</f>
        <v/>
      </c>
      <c r="AC275">
        <f>IF(AND(AA275&gt;0,AB275&gt;=Controls!$B$39*AA275),1,0)</f>
        <v/>
      </c>
      <c r="AD275">
        <f>IF(AND(E275&lt;&gt;"",E275&gt;=Controls!$B$37,E275&lt;=Controls!$B$38),1,0)</f>
        <v/>
      </c>
      <c r="AE275">
        <f>IF(IFERROR(VLOOKUP(D275,Controls!$A$64:$E$74,2,FALSE),"No")="Yes",1,0)</f>
        <v/>
      </c>
      <c r="AF275">
        <f>IF(IFERROR(VLOOKUP(D275,Controls!$A$64:$E$74,3,FALSE),"No")="Yes",1,0)</f>
        <v/>
      </c>
      <c r="AG275">
        <f>IF(IFERROR(VLOOKUP(D275,Controls!$A$64:$E$74,4,FALSE),"No")="Yes",1,0)</f>
        <v/>
      </c>
      <c r="AH275">
        <f>IF(IFERROR(VLOOKUP(D275,Controls!$A$64:$E$74,5,FALSE),"No")="Yes",1,0)</f>
        <v/>
      </c>
      <c r="AI275">
        <f>IF(ISNUMBER(MATCH(D275,Controls!$A$64:$A$74,0)),1,0)</f>
        <v/>
      </c>
      <c r="AJ275">
        <f>Q275-N275</f>
        <v/>
      </c>
      <c r="AK275">
        <f>IF(AE275=1,MAX(0,N275-Q275),0)</f>
        <v/>
      </c>
      <c r="AL275">
        <f>IF(OR(V275="",V275=0),0,N275/V275)</f>
        <v/>
      </c>
      <c r="AM275">
        <f>IF(OR(V275="",V275=0),0,1)</f>
        <v/>
      </c>
      <c r="AN275">
        <f>IF(OR(E275="",F275=""),0,NETWORKDAYS(E275,F275,Ref!$K$2:$K$42))</f>
        <v/>
      </c>
      <c r="AO275">
        <f>IF(L275="Renewal",1,0)</f>
        <v/>
      </c>
      <c r="AP275">
        <f>AC275*AD275</f>
        <v/>
      </c>
      <c r="AQ275">
        <f>IF(AND(G275&lt;&gt;"",'Historical Score'!$C$6&lt;&gt;""),IF(G275='Historical Score'!$C$6,1,0),0)</f>
        <v/>
      </c>
      <c r="AR275">
        <f>IF(AND(L275&lt;&gt;"",'Historical Score'!$C$5&lt;&gt;""),IF(L275='Historical Score'!$C$5,1,0),0)</f>
        <v/>
      </c>
      <c r="AS275">
        <f>IF(AND(Y275&lt;&gt;"",'Historical Score'!$C$7&lt;&gt;""),IF(Y275='Historical Score'!$C$7,1,0),0)</f>
        <v/>
      </c>
      <c r="AT275">
        <f>IF(AND(K275&lt;&gt;"",'Historical Score'!$C$8&lt;&gt;""),IF(K275='Historical Score'!$C$8,1,0),0)</f>
        <v/>
      </c>
      <c r="AU275">
        <f>IF(AND(J275&lt;&gt;"",'Historical Score'!$C$9&lt;&gt;""),IF(J275='Historical Score'!$C$9,1,0),0)</f>
        <v/>
      </c>
      <c r="AV275">
        <f>AR275*AS275*AQ275</f>
        <v/>
      </c>
      <c r="AW275">
        <f>AR275*AT275*AQ275</f>
        <v/>
      </c>
      <c r="AX275">
        <f>AR275*AS275</f>
        <v/>
      </c>
      <c r="AY275">
        <f>AR275*AT275</f>
        <v/>
      </c>
      <c r="AZ275">
        <f>AR275*AQ275</f>
        <v/>
      </c>
      <c r="BA275">
        <f>AR275</f>
        <v/>
      </c>
      <c r="BB275">
        <f>1</f>
        <v/>
      </c>
      <c r="BC275">
        <f>IF(AV275=1,1,IF(AW275=1,2,IF(AX275=1,3,IF(AY275=1,4,IF(AZ275=1,5,IF(BA275=1,6,7))))))</f>
        <v/>
      </c>
      <c r="BD275">
        <f>IF(AD275=1,CHOOSE('Historical Score'!$C$29,AV275,AW275,AX275,AY275,AZ275,BA275,BB275),0)</f>
        <v/>
      </c>
      <c r="BE275">
        <f>IF(BD275=1,COUNTIF($BD$2:BD275,1),"")</f>
        <v/>
      </c>
    </row>
    <row r="276">
      <c r="A276" t="inlineStr">
        <is>
          <t>5674167807</t>
        </is>
      </c>
      <c r="B276" t="inlineStr">
        <is>
          <t>RON KING LLC</t>
        </is>
      </c>
      <c r="C276" t="inlineStr">
        <is>
          <t>RON KING LLC</t>
        </is>
      </c>
      <c r="D276" t="inlineStr">
        <is>
          <t>Closed</t>
        </is>
      </c>
      <c r="E276" s="297" t="n">
        <v>45933</v>
      </c>
      <c r="F276" s="297" t="n">
        <v>46000</v>
      </c>
      <c r="G276" t="n">
        <v>5</v>
      </c>
      <c r="H276" t="inlineStr">
        <is>
          <t>7231</t>
        </is>
      </c>
      <c r="I276" t="inlineStr">
        <is>
          <t>72</t>
        </is>
      </c>
      <c r="J276" t="inlineStr">
        <is>
          <t>TX</t>
        </is>
      </c>
      <c r="K276" t="inlineStr">
        <is>
          <t>Westwood</t>
        </is>
      </c>
      <c r="L276" t="inlineStr">
        <is>
          <t>New Deal</t>
        </is>
      </c>
      <c r="M276" s="298" t="n">
        <v>1.499</v>
      </c>
      <c r="N276" s="299" t="n">
        <v>20000</v>
      </c>
      <c r="O276" s="299" t="n">
        <v>2800</v>
      </c>
      <c r="P276" s="299" t="n">
        <v>29980</v>
      </c>
      <c r="Q276" s="299" t="n">
        <v>29980</v>
      </c>
      <c r="R276" s="299" t="n">
        <v>3.63797880709171e-12</v>
      </c>
      <c r="S276" s="300" t="n">
        <v>1</v>
      </c>
      <c r="T276" t="n">
        <v>2.623</v>
      </c>
      <c r="U276" t="n">
        <v>0</v>
      </c>
      <c r="V276" t="n">
        <v>54257.4</v>
      </c>
      <c r="W276" s="300" t="n">
        <v>0.1432</v>
      </c>
      <c r="X276" s="297" t="n">
        <v>43910</v>
      </c>
      <c r="Y276">
        <f>IF(I276="","No SIC",IFERROR(VLOOKUP(I276,Ref!$A$2:$B$65,2,FALSE),"Unclassified"))</f>
        <v/>
      </c>
      <c r="Z276">
        <f>IF(T276="","",IF(T276&lt;12,"Daily","Weekly"))</f>
        <v/>
      </c>
      <c r="AA276">
        <f>IF(T276="",0,IF(T276&lt;12,T276*Controls!$B$29,T276*5))</f>
        <v/>
      </c>
      <c r="AB276">
        <f>IF(E276="",0,NETWORKDAYS(E276,Controls!$B$36,Ref!$K$2:$K$42))</f>
        <v/>
      </c>
      <c r="AC276">
        <f>IF(AND(AA276&gt;0,AB276&gt;=Controls!$B$39*AA276),1,0)</f>
        <v/>
      </c>
      <c r="AD276">
        <f>IF(AND(E276&lt;&gt;"",E276&gt;=Controls!$B$37,E276&lt;=Controls!$B$38),1,0)</f>
        <v/>
      </c>
      <c r="AE276">
        <f>IF(IFERROR(VLOOKUP(D276,Controls!$A$64:$E$74,2,FALSE),"No")="Yes",1,0)</f>
        <v/>
      </c>
      <c r="AF276">
        <f>IF(IFERROR(VLOOKUP(D276,Controls!$A$64:$E$74,3,FALSE),"No")="Yes",1,0)</f>
        <v/>
      </c>
      <c r="AG276">
        <f>IF(IFERROR(VLOOKUP(D276,Controls!$A$64:$E$74,4,FALSE),"No")="Yes",1,0)</f>
        <v/>
      </c>
      <c r="AH276">
        <f>IF(IFERROR(VLOOKUP(D276,Controls!$A$64:$E$74,5,FALSE),"No")="Yes",1,0)</f>
        <v/>
      </c>
      <c r="AI276">
        <f>IF(ISNUMBER(MATCH(D276,Controls!$A$64:$A$74,0)),1,0)</f>
        <v/>
      </c>
      <c r="AJ276">
        <f>Q276-N276</f>
        <v/>
      </c>
      <c r="AK276">
        <f>IF(AE276=1,MAX(0,N276-Q276),0)</f>
        <v/>
      </c>
      <c r="AL276">
        <f>IF(OR(V276="",V276=0),0,N276/V276)</f>
        <v/>
      </c>
      <c r="AM276">
        <f>IF(OR(V276="",V276=0),0,1)</f>
        <v/>
      </c>
      <c r="AN276">
        <f>IF(OR(E276="",F276=""),0,NETWORKDAYS(E276,F276,Ref!$K$2:$K$42))</f>
        <v/>
      </c>
      <c r="AO276">
        <f>IF(L276="Renewal",1,0)</f>
        <v/>
      </c>
      <c r="AP276">
        <f>AC276*AD276</f>
        <v/>
      </c>
      <c r="AQ276">
        <f>IF(AND(G276&lt;&gt;"",'Historical Score'!$C$6&lt;&gt;""),IF(G276='Historical Score'!$C$6,1,0),0)</f>
        <v/>
      </c>
      <c r="AR276">
        <f>IF(AND(L276&lt;&gt;"",'Historical Score'!$C$5&lt;&gt;""),IF(L276='Historical Score'!$C$5,1,0),0)</f>
        <v/>
      </c>
      <c r="AS276">
        <f>IF(AND(Y276&lt;&gt;"",'Historical Score'!$C$7&lt;&gt;""),IF(Y276='Historical Score'!$C$7,1,0),0)</f>
        <v/>
      </c>
      <c r="AT276">
        <f>IF(AND(K276&lt;&gt;"",'Historical Score'!$C$8&lt;&gt;""),IF(K276='Historical Score'!$C$8,1,0),0)</f>
        <v/>
      </c>
      <c r="AU276">
        <f>IF(AND(J276&lt;&gt;"",'Historical Score'!$C$9&lt;&gt;""),IF(J276='Historical Score'!$C$9,1,0),0)</f>
        <v/>
      </c>
      <c r="AV276">
        <f>AR276*AS276*AQ276</f>
        <v/>
      </c>
      <c r="AW276">
        <f>AR276*AT276*AQ276</f>
        <v/>
      </c>
      <c r="AX276">
        <f>AR276*AS276</f>
        <v/>
      </c>
      <c r="AY276">
        <f>AR276*AT276</f>
        <v/>
      </c>
      <c r="AZ276">
        <f>AR276*AQ276</f>
        <v/>
      </c>
      <c r="BA276">
        <f>AR276</f>
        <v/>
      </c>
      <c r="BB276">
        <f>1</f>
        <v/>
      </c>
      <c r="BC276">
        <f>IF(AV276=1,1,IF(AW276=1,2,IF(AX276=1,3,IF(AY276=1,4,IF(AZ276=1,5,IF(BA276=1,6,7))))))</f>
        <v/>
      </c>
      <c r="BD276">
        <f>IF(AD276=1,CHOOSE('Historical Score'!$C$29,AV276,AW276,AX276,AY276,AZ276,BA276,BB276),0)</f>
        <v/>
      </c>
      <c r="BE276">
        <f>IF(BD276=1,COUNTIF($BD$2:BD276,1),"")</f>
        <v/>
      </c>
    </row>
    <row r="277">
      <c r="A277" t="inlineStr">
        <is>
          <t>5674167817</t>
        </is>
      </c>
      <c r="B277" t="inlineStr">
        <is>
          <t>AFC Urgent Care Coppell</t>
        </is>
      </c>
      <c r="C277" t="inlineStr">
        <is>
          <t>FTA Holdings LLC</t>
        </is>
      </c>
      <c r="D277" t="inlineStr">
        <is>
          <t>Legal</t>
        </is>
      </c>
      <c r="E277" s="297" t="n">
        <v>45933</v>
      </c>
      <c r="F277" s="297" t="n">
        <v>45968</v>
      </c>
      <c r="G277" t="n">
        <v>1</v>
      </c>
      <c r="H277" t="inlineStr">
        <is>
          <t>8071</t>
        </is>
      </c>
      <c r="I277" t="inlineStr">
        <is>
          <t>80</t>
        </is>
      </c>
      <c r="J277" t="inlineStr">
        <is>
          <t>TX</t>
        </is>
      </c>
      <c r="K277" t="inlineStr">
        <is>
          <t>Shore Funding USA</t>
        </is>
      </c>
      <c r="L277" t="inlineStr">
        <is>
          <t>New Deal</t>
        </is>
      </c>
      <c r="M277" s="298" t="n">
        <v>1.34</v>
      </c>
      <c r="N277" s="299" t="n">
        <v>25000</v>
      </c>
      <c r="O277" s="299" t="n">
        <v>1500</v>
      </c>
      <c r="P277" s="299" t="n">
        <v>33500</v>
      </c>
      <c r="Q277" s="299" t="n">
        <v>2393.62</v>
      </c>
      <c r="R277" s="299" t="n">
        <v>31106.38</v>
      </c>
      <c r="S277" s="300" t="n">
        <v>0.0714513432835821</v>
      </c>
      <c r="T277" t="n">
        <v>28</v>
      </c>
      <c r="U277" t="n">
        <v>3</v>
      </c>
      <c r="V277" t="n">
        <v>35619.4</v>
      </c>
      <c r="W277" s="300" t="n">
        <v>0.1344</v>
      </c>
      <c r="X277" s="297" t="n">
        <v>44393</v>
      </c>
      <c r="Y277">
        <f>IF(I277="","No SIC",IFERROR(VLOOKUP(I277,Ref!$A$2:$B$65,2,FALSE),"Unclassified"))</f>
        <v/>
      </c>
      <c r="Z277">
        <f>IF(T277="","",IF(T277&lt;12,"Daily","Weekly"))</f>
        <v/>
      </c>
      <c r="AA277">
        <f>IF(T277="",0,IF(T277&lt;12,T277*Controls!$B$29,T277*5))</f>
        <v/>
      </c>
      <c r="AB277">
        <f>IF(E277="",0,NETWORKDAYS(E277,Controls!$B$36,Ref!$K$2:$K$42))</f>
        <v/>
      </c>
      <c r="AC277">
        <f>IF(AND(AA277&gt;0,AB277&gt;=Controls!$B$39*AA277),1,0)</f>
        <v/>
      </c>
      <c r="AD277">
        <f>IF(AND(E277&lt;&gt;"",E277&gt;=Controls!$B$37,E277&lt;=Controls!$B$38),1,0)</f>
        <v/>
      </c>
      <c r="AE277">
        <f>IF(IFERROR(VLOOKUP(D277,Controls!$A$64:$E$74,2,FALSE),"No")="Yes",1,0)</f>
        <v/>
      </c>
      <c r="AF277">
        <f>IF(IFERROR(VLOOKUP(D277,Controls!$A$64:$E$74,3,FALSE),"No")="Yes",1,0)</f>
        <v/>
      </c>
      <c r="AG277">
        <f>IF(IFERROR(VLOOKUP(D277,Controls!$A$64:$E$74,4,FALSE),"No")="Yes",1,0)</f>
        <v/>
      </c>
      <c r="AH277">
        <f>IF(IFERROR(VLOOKUP(D277,Controls!$A$64:$E$74,5,FALSE),"No")="Yes",1,0)</f>
        <v/>
      </c>
      <c r="AI277">
        <f>IF(ISNUMBER(MATCH(D277,Controls!$A$64:$A$74,0)),1,0)</f>
        <v/>
      </c>
      <c r="AJ277">
        <f>Q277-N277</f>
        <v/>
      </c>
      <c r="AK277">
        <f>IF(AE277=1,MAX(0,N277-Q277),0)</f>
        <v/>
      </c>
      <c r="AL277">
        <f>IF(OR(V277="",V277=0),0,N277/V277)</f>
        <v/>
      </c>
      <c r="AM277">
        <f>IF(OR(V277="",V277=0),0,1)</f>
        <v/>
      </c>
      <c r="AN277">
        <f>IF(OR(E277="",F277=""),0,NETWORKDAYS(E277,F277,Ref!$K$2:$K$42))</f>
        <v/>
      </c>
      <c r="AO277">
        <f>IF(L277="Renewal",1,0)</f>
        <v/>
      </c>
      <c r="AP277">
        <f>AC277*AD277</f>
        <v/>
      </c>
      <c r="AQ277">
        <f>IF(AND(G277&lt;&gt;"",'Historical Score'!$C$6&lt;&gt;""),IF(G277='Historical Score'!$C$6,1,0),0)</f>
        <v/>
      </c>
      <c r="AR277">
        <f>IF(AND(L277&lt;&gt;"",'Historical Score'!$C$5&lt;&gt;""),IF(L277='Historical Score'!$C$5,1,0),0)</f>
        <v/>
      </c>
      <c r="AS277">
        <f>IF(AND(Y277&lt;&gt;"",'Historical Score'!$C$7&lt;&gt;""),IF(Y277='Historical Score'!$C$7,1,0),0)</f>
        <v/>
      </c>
      <c r="AT277">
        <f>IF(AND(K277&lt;&gt;"",'Historical Score'!$C$8&lt;&gt;""),IF(K277='Historical Score'!$C$8,1,0),0)</f>
        <v/>
      </c>
      <c r="AU277">
        <f>IF(AND(J277&lt;&gt;"",'Historical Score'!$C$9&lt;&gt;""),IF(J277='Historical Score'!$C$9,1,0),0)</f>
        <v/>
      </c>
      <c r="AV277">
        <f>AR277*AS277*AQ277</f>
        <v/>
      </c>
      <c r="AW277">
        <f>AR277*AT277*AQ277</f>
        <v/>
      </c>
      <c r="AX277">
        <f>AR277*AS277</f>
        <v/>
      </c>
      <c r="AY277">
        <f>AR277*AT277</f>
        <v/>
      </c>
      <c r="AZ277">
        <f>AR277*AQ277</f>
        <v/>
      </c>
      <c r="BA277">
        <f>AR277</f>
        <v/>
      </c>
      <c r="BB277">
        <f>1</f>
        <v/>
      </c>
      <c r="BC277">
        <f>IF(AV277=1,1,IF(AW277=1,2,IF(AX277=1,3,IF(AY277=1,4,IF(AZ277=1,5,IF(BA277=1,6,7))))))</f>
        <v/>
      </c>
      <c r="BD277">
        <f>IF(AD277=1,CHOOSE('Historical Score'!$C$29,AV277,AW277,AX277,AY277,AZ277,BA277,BB277),0)</f>
        <v/>
      </c>
      <c r="BE277">
        <f>IF(BD277=1,COUNTIF($BD$2:BD277,1),"")</f>
        <v/>
      </c>
    </row>
    <row r="278">
      <c r="A278" t="inlineStr">
        <is>
          <t>5674167862</t>
        </is>
      </c>
      <c r="B278" t="inlineStr">
        <is>
          <t>Lulabelle's CLT LLC</t>
        </is>
      </c>
      <c r="C278" t="inlineStr">
        <is>
          <t>Lulabelle's CLT LLC</t>
        </is>
      </c>
      <c r="D278" t="inlineStr">
        <is>
          <t>Closed</t>
        </is>
      </c>
      <c r="E278" s="297" t="n">
        <v>45933</v>
      </c>
      <c r="F278" s="297" t="n">
        <v>46139</v>
      </c>
      <c r="G278" t="n">
        <v>4</v>
      </c>
      <c r="H278" t="inlineStr">
        <is>
          <t>5812</t>
        </is>
      </c>
      <c r="I278" t="inlineStr">
        <is>
          <t>58</t>
        </is>
      </c>
      <c r="J278" t="inlineStr">
        <is>
          <t>NC</t>
        </is>
      </c>
      <c r="K278" t="inlineStr">
        <is>
          <t>Upright Advance Corp</t>
        </is>
      </c>
      <c r="L278" t="inlineStr">
        <is>
          <t>New Deal</t>
        </is>
      </c>
      <c r="M278" s="298" t="n">
        <v>1.49</v>
      </c>
      <c r="N278" s="299" t="n">
        <v>15000</v>
      </c>
      <c r="O278" s="299" t="n">
        <v>2100</v>
      </c>
      <c r="P278" s="299" t="n">
        <v>22350</v>
      </c>
      <c r="Q278" s="299" t="n">
        <v>22350</v>
      </c>
      <c r="R278" s="299" t="n">
        <v>0</v>
      </c>
      <c r="S278" s="300" t="n">
        <v>1</v>
      </c>
      <c r="T278" t="n">
        <v>2.787</v>
      </c>
      <c r="U278" t="n">
        <v>54</v>
      </c>
      <c r="V278" t="n">
        <v>207972</v>
      </c>
      <c r="W278" s="300" t="n"/>
      <c r="X278" s="297" t="n">
        <v>44597</v>
      </c>
      <c r="Y278">
        <f>IF(I278="","No SIC",IFERROR(VLOOKUP(I278,Ref!$A$2:$B$65,2,FALSE),"Unclassified"))</f>
        <v/>
      </c>
      <c r="Z278">
        <f>IF(T278="","",IF(T278&lt;12,"Daily","Weekly"))</f>
        <v/>
      </c>
      <c r="AA278">
        <f>IF(T278="",0,IF(T278&lt;12,T278*Controls!$B$29,T278*5))</f>
        <v/>
      </c>
      <c r="AB278">
        <f>IF(E278="",0,NETWORKDAYS(E278,Controls!$B$36,Ref!$K$2:$K$42))</f>
        <v/>
      </c>
      <c r="AC278">
        <f>IF(AND(AA278&gt;0,AB278&gt;=Controls!$B$39*AA278),1,0)</f>
        <v/>
      </c>
      <c r="AD278">
        <f>IF(AND(E278&lt;&gt;"",E278&gt;=Controls!$B$37,E278&lt;=Controls!$B$38),1,0)</f>
        <v/>
      </c>
      <c r="AE278">
        <f>IF(IFERROR(VLOOKUP(D278,Controls!$A$64:$E$74,2,FALSE),"No")="Yes",1,0)</f>
        <v/>
      </c>
      <c r="AF278">
        <f>IF(IFERROR(VLOOKUP(D278,Controls!$A$64:$E$74,3,FALSE),"No")="Yes",1,0)</f>
        <v/>
      </c>
      <c r="AG278">
        <f>IF(IFERROR(VLOOKUP(D278,Controls!$A$64:$E$74,4,FALSE),"No")="Yes",1,0)</f>
        <v/>
      </c>
      <c r="AH278">
        <f>IF(IFERROR(VLOOKUP(D278,Controls!$A$64:$E$74,5,FALSE),"No")="Yes",1,0)</f>
        <v/>
      </c>
      <c r="AI278">
        <f>IF(ISNUMBER(MATCH(D278,Controls!$A$64:$A$74,0)),1,0)</f>
        <v/>
      </c>
      <c r="AJ278">
        <f>Q278-N278</f>
        <v/>
      </c>
      <c r="AK278">
        <f>IF(AE278=1,MAX(0,N278-Q278),0)</f>
        <v/>
      </c>
      <c r="AL278">
        <f>IF(OR(V278="",V278=0),0,N278/V278)</f>
        <v/>
      </c>
      <c r="AM278">
        <f>IF(OR(V278="",V278=0),0,1)</f>
        <v/>
      </c>
      <c r="AN278">
        <f>IF(OR(E278="",F278=""),0,NETWORKDAYS(E278,F278,Ref!$K$2:$K$42))</f>
        <v/>
      </c>
      <c r="AO278">
        <f>IF(L278="Renewal",1,0)</f>
        <v/>
      </c>
      <c r="AP278">
        <f>AC278*AD278</f>
        <v/>
      </c>
      <c r="AQ278">
        <f>IF(AND(G278&lt;&gt;"",'Historical Score'!$C$6&lt;&gt;""),IF(G278='Historical Score'!$C$6,1,0),0)</f>
        <v/>
      </c>
      <c r="AR278">
        <f>IF(AND(L278&lt;&gt;"",'Historical Score'!$C$5&lt;&gt;""),IF(L278='Historical Score'!$C$5,1,0),0)</f>
        <v/>
      </c>
      <c r="AS278">
        <f>IF(AND(Y278&lt;&gt;"",'Historical Score'!$C$7&lt;&gt;""),IF(Y278='Historical Score'!$C$7,1,0),0)</f>
        <v/>
      </c>
      <c r="AT278">
        <f>IF(AND(K278&lt;&gt;"",'Historical Score'!$C$8&lt;&gt;""),IF(K278='Historical Score'!$C$8,1,0),0)</f>
        <v/>
      </c>
      <c r="AU278">
        <f>IF(AND(J278&lt;&gt;"",'Historical Score'!$C$9&lt;&gt;""),IF(J278='Historical Score'!$C$9,1,0),0)</f>
        <v/>
      </c>
      <c r="AV278">
        <f>AR278*AS278*AQ278</f>
        <v/>
      </c>
      <c r="AW278">
        <f>AR278*AT278*AQ278</f>
        <v/>
      </c>
      <c r="AX278">
        <f>AR278*AS278</f>
        <v/>
      </c>
      <c r="AY278">
        <f>AR278*AT278</f>
        <v/>
      </c>
      <c r="AZ278">
        <f>AR278*AQ278</f>
        <v/>
      </c>
      <c r="BA278">
        <f>AR278</f>
        <v/>
      </c>
      <c r="BB278">
        <f>1</f>
        <v/>
      </c>
      <c r="BC278">
        <f>IF(AV278=1,1,IF(AW278=1,2,IF(AX278=1,3,IF(AY278=1,4,IF(AZ278=1,5,IF(BA278=1,6,7))))))</f>
        <v/>
      </c>
      <c r="BD278">
        <f>IF(AD278=1,CHOOSE('Historical Score'!$C$29,AV278,AW278,AX278,AY278,AZ278,BA278,BB278),0)</f>
        <v/>
      </c>
      <c r="BE278">
        <f>IF(BD278=1,COUNTIF($BD$2:BD278,1),"")</f>
        <v/>
      </c>
    </row>
    <row r="279">
      <c r="A279" t="inlineStr">
        <is>
          <t>5674167932</t>
        </is>
      </c>
      <c r="B279" t="inlineStr">
        <is>
          <t>Perfect Minds LLC</t>
        </is>
      </c>
      <c r="C279" t="inlineStr">
        <is>
          <t>Perfect Minds LLC</t>
        </is>
      </c>
      <c r="D279" t="inlineStr">
        <is>
          <t>Legal</t>
        </is>
      </c>
      <c r="E279" s="297" t="n">
        <v>45936</v>
      </c>
      <c r="F279" s="297" t="n">
        <v>46127</v>
      </c>
      <c r="G279" t="n">
        <v>3</v>
      </c>
      <c r="H279" t="inlineStr">
        <is>
          <t>7363</t>
        </is>
      </c>
      <c r="I279" t="inlineStr">
        <is>
          <t>73</t>
        </is>
      </c>
      <c r="J279" t="inlineStr">
        <is>
          <t>CA</t>
        </is>
      </c>
      <c r="K279" t="inlineStr">
        <is>
          <t>Shore Funding USA</t>
        </is>
      </c>
      <c r="L279" t="inlineStr">
        <is>
          <t>New Deal</t>
        </is>
      </c>
      <c r="M279" s="298" t="n">
        <v>1.44</v>
      </c>
      <c r="N279" s="299" t="n">
        <v>6000</v>
      </c>
      <c r="O279" s="299" t="n">
        <v>690</v>
      </c>
      <c r="P279" s="299" t="n">
        <v>8640</v>
      </c>
      <c r="Q279" s="299" t="n">
        <v>4226.63</v>
      </c>
      <c r="R279" s="299" t="n">
        <v>4413.37</v>
      </c>
      <c r="S279" s="300" t="n">
        <v>0.489193287037037</v>
      </c>
      <c r="T279" t="n">
        <v>2.951</v>
      </c>
      <c r="U279" t="n">
        <v>21</v>
      </c>
      <c r="V279" t="n">
        <v>28231.97</v>
      </c>
      <c r="W279" s="300" t="n">
        <v>0.07140000000000001</v>
      </c>
      <c r="X279" s="297" t="n">
        <v>44193</v>
      </c>
      <c r="Y279">
        <f>IF(I279="","No SIC",IFERROR(VLOOKUP(I279,Ref!$A$2:$B$65,2,FALSE),"Unclassified"))</f>
        <v/>
      </c>
      <c r="Z279">
        <f>IF(T279="","",IF(T279&lt;12,"Daily","Weekly"))</f>
        <v/>
      </c>
      <c r="AA279">
        <f>IF(T279="",0,IF(T279&lt;12,T279*Controls!$B$29,T279*5))</f>
        <v/>
      </c>
      <c r="AB279">
        <f>IF(E279="",0,NETWORKDAYS(E279,Controls!$B$36,Ref!$K$2:$K$42))</f>
        <v/>
      </c>
      <c r="AC279">
        <f>IF(AND(AA279&gt;0,AB279&gt;=Controls!$B$39*AA279),1,0)</f>
        <v/>
      </c>
      <c r="AD279">
        <f>IF(AND(E279&lt;&gt;"",E279&gt;=Controls!$B$37,E279&lt;=Controls!$B$38),1,0)</f>
        <v/>
      </c>
      <c r="AE279">
        <f>IF(IFERROR(VLOOKUP(D279,Controls!$A$64:$E$74,2,FALSE),"No")="Yes",1,0)</f>
        <v/>
      </c>
      <c r="AF279">
        <f>IF(IFERROR(VLOOKUP(D279,Controls!$A$64:$E$74,3,FALSE),"No")="Yes",1,0)</f>
        <v/>
      </c>
      <c r="AG279">
        <f>IF(IFERROR(VLOOKUP(D279,Controls!$A$64:$E$74,4,FALSE),"No")="Yes",1,0)</f>
        <v/>
      </c>
      <c r="AH279">
        <f>IF(IFERROR(VLOOKUP(D279,Controls!$A$64:$E$74,5,FALSE),"No")="Yes",1,0)</f>
        <v/>
      </c>
      <c r="AI279">
        <f>IF(ISNUMBER(MATCH(D279,Controls!$A$64:$A$74,0)),1,0)</f>
        <v/>
      </c>
      <c r="AJ279">
        <f>Q279-N279</f>
        <v/>
      </c>
      <c r="AK279">
        <f>IF(AE279=1,MAX(0,N279-Q279),0)</f>
        <v/>
      </c>
      <c r="AL279">
        <f>IF(OR(V279="",V279=0),0,N279/V279)</f>
        <v/>
      </c>
      <c r="AM279">
        <f>IF(OR(V279="",V279=0),0,1)</f>
        <v/>
      </c>
      <c r="AN279">
        <f>IF(OR(E279="",F279=""),0,NETWORKDAYS(E279,F279,Ref!$K$2:$K$42))</f>
        <v/>
      </c>
      <c r="AO279">
        <f>IF(L279="Renewal",1,0)</f>
        <v/>
      </c>
      <c r="AP279">
        <f>AC279*AD279</f>
        <v/>
      </c>
      <c r="AQ279">
        <f>IF(AND(G279&lt;&gt;"",'Historical Score'!$C$6&lt;&gt;""),IF(G279='Historical Score'!$C$6,1,0),0)</f>
        <v/>
      </c>
      <c r="AR279">
        <f>IF(AND(L279&lt;&gt;"",'Historical Score'!$C$5&lt;&gt;""),IF(L279='Historical Score'!$C$5,1,0),0)</f>
        <v/>
      </c>
      <c r="AS279">
        <f>IF(AND(Y279&lt;&gt;"",'Historical Score'!$C$7&lt;&gt;""),IF(Y279='Historical Score'!$C$7,1,0),0)</f>
        <v/>
      </c>
      <c r="AT279">
        <f>IF(AND(K279&lt;&gt;"",'Historical Score'!$C$8&lt;&gt;""),IF(K279='Historical Score'!$C$8,1,0),0)</f>
        <v/>
      </c>
      <c r="AU279">
        <f>IF(AND(J279&lt;&gt;"",'Historical Score'!$C$9&lt;&gt;""),IF(J279='Historical Score'!$C$9,1,0),0)</f>
        <v/>
      </c>
      <c r="AV279">
        <f>AR279*AS279*AQ279</f>
        <v/>
      </c>
      <c r="AW279">
        <f>AR279*AT279*AQ279</f>
        <v/>
      </c>
      <c r="AX279">
        <f>AR279*AS279</f>
        <v/>
      </c>
      <c r="AY279">
        <f>AR279*AT279</f>
        <v/>
      </c>
      <c r="AZ279">
        <f>AR279*AQ279</f>
        <v/>
      </c>
      <c r="BA279">
        <f>AR279</f>
        <v/>
      </c>
      <c r="BB279">
        <f>1</f>
        <v/>
      </c>
      <c r="BC279">
        <f>IF(AV279=1,1,IF(AW279=1,2,IF(AX279=1,3,IF(AY279=1,4,IF(AZ279=1,5,IF(BA279=1,6,7))))))</f>
        <v/>
      </c>
      <c r="BD279">
        <f>IF(AD279=1,CHOOSE('Historical Score'!$C$29,AV279,AW279,AX279,AY279,AZ279,BA279,BB279),0)</f>
        <v/>
      </c>
      <c r="BE279">
        <f>IF(BD279=1,COUNTIF($BD$2:BD279,1),"")</f>
        <v/>
      </c>
    </row>
    <row r="280">
      <c r="A280" t="inlineStr">
        <is>
          <t>5674167952</t>
        </is>
      </c>
      <c r="B280" t="inlineStr">
        <is>
          <t>Born Again Cleaning Services LLC</t>
        </is>
      </c>
      <c r="C280" t="inlineStr">
        <is>
          <t>Born Again Cleaning Services LLC</t>
        </is>
      </c>
      <c r="D280" t="inlineStr">
        <is>
          <t>Closed</t>
        </is>
      </c>
      <c r="E280" s="297" t="n">
        <v>45936</v>
      </c>
      <c r="F280" s="297" t="n">
        <v>46080</v>
      </c>
      <c r="G280" t="n">
        <v>1</v>
      </c>
      <c r="H280" t="inlineStr">
        <is>
          <t>7349</t>
        </is>
      </c>
      <c r="I280" t="inlineStr">
        <is>
          <t>73</t>
        </is>
      </c>
      <c r="J280" t="inlineStr">
        <is>
          <t>KY</t>
        </is>
      </c>
      <c r="K280" t="inlineStr">
        <is>
          <t>Fundwell</t>
        </is>
      </c>
      <c r="L280" t="inlineStr">
        <is>
          <t>New Deal</t>
        </is>
      </c>
      <c r="M280" s="298" t="n">
        <v>1.46</v>
      </c>
      <c r="N280" s="299" t="n">
        <v>5500</v>
      </c>
      <c r="O280" s="299" t="n">
        <v>825</v>
      </c>
      <c r="P280" s="299" t="n">
        <v>8030</v>
      </c>
      <c r="Q280" s="299" t="n">
        <v>8030</v>
      </c>
      <c r="R280" s="299" t="n">
        <v>0</v>
      </c>
      <c r="S280" s="300" t="n">
        <v>1</v>
      </c>
      <c r="T280" t="n">
        <v>20</v>
      </c>
      <c r="U280" t="n">
        <v>0</v>
      </c>
      <c r="V280" t="n">
        <v>17862.12</v>
      </c>
      <c r="W280" s="300" t="n">
        <v>0.08989999999999999</v>
      </c>
      <c r="X280" s="297" t="n">
        <v>35674</v>
      </c>
      <c r="Y280">
        <f>IF(I280="","No SIC",IFERROR(VLOOKUP(I280,Ref!$A$2:$B$65,2,FALSE),"Unclassified"))</f>
        <v/>
      </c>
      <c r="Z280">
        <f>IF(T280="","",IF(T280&lt;12,"Daily","Weekly"))</f>
        <v/>
      </c>
      <c r="AA280">
        <f>IF(T280="",0,IF(T280&lt;12,T280*Controls!$B$29,T280*5))</f>
        <v/>
      </c>
      <c r="AB280">
        <f>IF(E280="",0,NETWORKDAYS(E280,Controls!$B$36,Ref!$K$2:$K$42))</f>
        <v/>
      </c>
      <c r="AC280">
        <f>IF(AND(AA280&gt;0,AB280&gt;=Controls!$B$39*AA280),1,0)</f>
        <v/>
      </c>
      <c r="AD280">
        <f>IF(AND(E280&lt;&gt;"",E280&gt;=Controls!$B$37,E280&lt;=Controls!$B$38),1,0)</f>
        <v/>
      </c>
      <c r="AE280">
        <f>IF(IFERROR(VLOOKUP(D280,Controls!$A$64:$E$74,2,FALSE),"No")="Yes",1,0)</f>
        <v/>
      </c>
      <c r="AF280">
        <f>IF(IFERROR(VLOOKUP(D280,Controls!$A$64:$E$74,3,FALSE),"No")="Yes",1,0)</f>
        <v/>
      </c>
      <c r="AG280">
        <f>IF(IFERROR(VLOOKUP(D280,Controls!$A$64:$E$74,4,FALSE),"No")="Yes",1,0)</f>
        <v/>
      </c>
      <c r="AH280">
        <f>IF(IFERROR(VLOOKUP(D280,Controls!$A$64:$E$74,5,FALSE),"No")="Yes",1,0)</f>
        <v/>
      </c>
      <c r="AI280">
        <f>IF(ISNUMBER(MATCH(D280,Controls!$A$64:$A$74,0)),1,0)</f>
        <v/>
      </c>
      <c r="AJ280">
        <f>Q280-N280</f>
        <v/>
      </c>
      <c r="AK280">
        <f>IF(AE280=1,MAX(0,N280-Q280),0)</f>
        <v/>
      </c>
      <c r="AL280">
        <f>IF(OR(V280="",V280=0),0,N280/V280)</f>
        <v/>
      </c>
      <c r="AM280">
        <f>IF(OR(V280="",V280=0),0,1)</f>
        <v/>
      </c>
      <c r="AN280">
        <f>IF(OR(E280="",F280=""),0,NETWORKDAYS(E280,F280,Ref!$K$2:$K$42))</f>
        <v/>
      </c>
      <c r="AO280">
        <f>IF(L280="Renewal",1,0)</f>
        <v/>
      </c>
      <c r="AP280">
        <f>AC280*AD280</f>
        <v/>
      </c>
      <c r="AQ280">
        <f>IF(AND(G280&lt;&gt;"",'Historical Score'!$C$6&lt;&gt;""),IF(G280='Historical Score'!$C$6,1,0),0)</f>
        <v/>
      </c>
      <c r="AR280">
        <f>IF(AND(L280&lt;&gt;"",'Historical Score'!$C$5&lt;&gt;""),IF(L280='Historical Score'!$C$5,1,0),0)</f>
        <v/>
      </c>
      <c r="AS280">
        <f>IF(AND(Y280&lt;&gt;"",'Historical Score'!$C$7&lt;&gt;""),IF(Y280='Historical Score'!$C$7,1,0),0)</f>
        <v/>
      </c>
      <c r="AT280">
        <f>IF(AND(K280&lt;&gt;"",'Historical Score'!$C$8&lt;&gt;""),IF(K280='Historical Score'!$C$8,1,0),0)</f>
        <v/>
      </c>
      <c r="AU280">
        <f>IF(AND(J280&lt;&gt;"",'Historical Score'!$C$9&lt;&gt;""),IF(J280='Historical Score'!$C$9,1,0),0)</f>
        <v/>
      </c>
      <c r="AV280">
        <f>AR280*AS280*AQ280</f>
        <v/>
      </c>
      <c r="AW280">
        <f>AR280*AT280*AQ280</f>
        <v/>
      </c>
      <c r="AX280">
        <f>AR280*AS280</f>
        <v/>
      </c>
      <c r="AY280">
        <f>AR280*AT280</f>
        <v/>
      </c>
      <c r="AZ280">
        <f>AR280*AQ280</f>
        <v/>
      </c>
      <c r="BA280">
        <f>AR280</f>
        <v/>
      </c>
      <c r="BB280">
        <f>1</f>
        <v/>
      </c>
      <c r="BC280">
        <f>IF(AV280=1,1,IF(AW280=1,2,IF(AX280=1,3,IF(AY280=1,4,IF(AZ280=1,5,IF(BA280=1,6,7))))))</f>
        <v/>
      </c>
      <c r="BD280">
        <f>IF(AD280=1,CHOOSE('Historical Score'!$C$29,AV280,AW280,AX280,AY280,AZ280,BA280,BB280),0)</f>
        <v/>
      </c>
      <c r="BE280">
        <f>IF(BD280=1,COUNTIF($BD$2:BD280,1),"")</f>
        <v/>
      </c>
    </row>
    <row r="281">
      <c r="A281" t="inlineStr">
        <is>
          <t>5674167960</t>
        </is>
      </c>
      <c r="B281" t="inlineStr">
        <is>
          <t>ALL IN LAND &amp; PROPERTY DEVELOPMENT INC</t>
        </is>
      </c>
      <c r="C281" t="inlineStr">
        <is>
          <t>ALL IN LAND &amp; PROPERTY DEVELOPMENT INC</t>
        </is>
      </c>
      <c r="D281" t="inlineStr">
        <is>
          <t>Legal</t>
        </is>
      </c>
      <c r="E281" s="297" t="n">
        <v>45937</v>
      </c>
      <c r="F281" s="297" t="n">
        <v>45939</v>
      </c>
      <c r="G281" t="n">
        <v>1</v>
      </c>
      <c r="H281" t="inlineStr">
        <is>
          <t>1521</t>
        </is>
      </c>
      <c r="I281" t="inlineStr">
        <is>
          <t>15</t>
        </is>
      </c>
      <c r="J281" t="inlineStr">
        <is>
          <t>KS</t>
        </is>
      </c>
      <c r="K281" t="inlineStr">
        <is>
          <t>Fundward</t>
        </is>
      </c>
      <c r="L281" t="inlineStr">
        <is>
          <t>New Deal</t>
        </is>
      </c>
      <c r="M281" s="298" t="n">
        <v>1.49</v>
      </c>
      <c r="N281" s="299" t="n">
        <v>20000</v>
      </c>
      <c r="O281" s="299" t="n">
        <v>0</v>
      </c>
      <c r="P281" s="299" t="n">
        <v>29800</v>
      </c>
      <c r="Q281" s="299" t="n">
        <v>0</v>
      </c>
      <c r="R281" s="299" t="n">
        <v>29800</v>
      </c>
      <c r="S281" s="300" t="n">
        <v>0</v>
      </c>
      <c r="T281" t="n">
        <v>0.984</v>
      </c>
      <c r="U281" t="n">
        <v>2</v>
      </c>
      <c r="V281" t="n">
        <v>186933.2</v>
      </c>
      <c r="W281" s="300" t="n">
        <v>0.1116</v>
      </c>
      <c r="X281" s="297" t="n">
        <v>45518</v>
      </c>
      <c r="Y281">
        <f>IF(I281="","No SIC",IFERROR(VLOOKUP(I281,Ref!$A$2:$B$65,2,FALSE),"Unclassified"))</f>
        <v/>
      </c>
      <c r="Z281">
        <f>IF(T281="","",IF(T281&lt;12,"Daily","Weekly"))</f>
        <v/>
      </c>
      <c r="AA281">
        <f>IF(T281="",0,IF(T281&lt;12,T281*Controls!$B$29,T281*5))</f>
        <v/>
      </c>
      <c r="AB281">
        <f>IF(E281="",0,NETWORKDAYS(E281,Controls!$B$36,Ref!$K$2:$K$42))</f>
        <v/>
      </c>
      <c r="AC281">
        <f>IF(AND(AA281&gt;0,AB281&gt;=Controls!$B$39*AA281),1,0)</f>
        <v/>
      </c>
      <c r="AD281">
        <f>IF(AND(E281&lt;&gt;"",E281&gt;=Controls!$B$37,E281&lt;=Controls!$B$38),1,0)</f>
        <v/>
      </c>
      <c r="AE281">
        <f>IF(IFERROR(VLOOKUP(D281,Controls!$A$64:$E$74,2,FALSE),"No")="Yes",1,0)</f>
        <v/>
      </c>
      <c r="AF281">
        <f>IF(IFERROR(VLOOKUP(D281,Controls!$A$64:$E$74,3,FALSE),"No")="Yes",1,0)</f>
        <v/>
      </c>
      <c r="AG281">
        <f>IF(IFERROR(VLOOKUP(D281,Controls!$A$64:$E$74,4,FALSE),"No")="Yes",1,0)</f>
        <v/>
      </c>
      <c r="AH281">
        <f>IF(IFERROR(VLOOKUP(D281,Controls!$A$64:$E$74,5,FALSE),"No")="Yes",1,0)</f>
        <v/>
      </c>
      <c r="AI281">
        <f>IF(ISNUMBER(MATCH(D281,Controls!$A$64:$A$74,0)),1,0)</f>
        <v/>
      </c>
      <c r="AJ281">
        <f>Q281-N281</f>
        <v/>
      </c>
      <c r="AK281">
        <f>IF(AE281=1,MAX(0,N281-Q281),0)</f>
        <v/>
      </c>
      <c r="AL281">
        <f>IF(OR(V281="",V281=0),0,N281/V281)</f>
        <v/>
      </c>
      <c r="AM281">
        <f>IF(OR(V281="",V281=0),0,1)</f>
        <v/>
      </c>
      <c r="AN281">
        <f>IF(OR(E281="",F281=""),0,NETWORKDAYS(E281,F281,Ref!$K$2:$K$42))</f>
        <v/>
      </c>
      <c r="AO281">
        <f>IF(L281="Renewal",1,0)</f>
        <v/>
      </c>
      <c r="AP281">
        <f>AC281*AD281</f>
        <v/>
      </c>
      <c r="AQ281">
        <f>IF(AND(G281&lt;&gt;"",'Historical Score'!$C$6&lt;&gt;""),IF(G281='Historical Score'!$C$6,1,0),0)</f>
        <v/>
      </c>
      <c r="AR281">
        <f>IF(AND(L281&lt;&gt;"",'Historical Score'!$C$5&lt;&gt;""),IF(L281='Historical Score'!$C$5,1,0),0)</f>
        <v/>
      </c>
      <c r="AS281">
        <f>IF(AND(Y281&lt;&gt;"",'Historical Score'!$C$7&lt;&gt;""),IF(Y281='Historical Score'!$C$7,1,0),0)</f>
        <v/>
      </c>
      <c r="AT281">
        <f>IF(AND(K281&lt;&gt;"",'Historical Score'!$C$8&lt;&gt;""),IF(K281='Historical Score'!$C$8,1,0),0)</f>
        <v/>
      </c>
      <c r="AU281">
        <f>IF(AND(J281&lt;&gt;"",'Historical Score'!$C$9&lt;&gt;""),IF(J281='Historical Score'!$C$9,1,0),0)</f>
        <v/>
      </c>
      <c r="AV281">
        <f>AR281*AS281*AQ281</f>
        <v/>
      </c>
      <c r="AW281">
        <f>AR281*AT281*AQ281</f>
        <v/>
      </c>
      <c r="AX281">
        <f>AR281*AS281</f>
        <v/>
      </c>
      <c r="AY281">
        <f>AR281*AT281</f>
        <v/>
      </c>
      <c r="AZ281">
        <f>AR281*AQ281</f>
        <v/>
      </c>
      <c r="BA281">
        <f>AR281</f>
        <v/>
      </c>
      <c r="BB281">
        <f>1</f>
        <v/>
      </c>
      <c r="BC281">
        <f>IF(AV281=1,1,IF(AW281=1,2,IF(AX281=1,3,IF(AY281=1,4,IF(AZ281=1,5,IF(BA281=1,6,7))))))</f>
        <v/>
      </c>
      <c r="BD281">
        <f>IF(AD281=1,CHOOSE('Historical Score'!$C$29,AV281,AW281,AX281,AY281,AZ281,BA281,BB281),0)</f>
        <v/>
      </c>
      <c r="BE281">
        <f>IF(BD281=1,COUNTIF($BD$2:BD281,1),"")</f>
        <v/>
      </c>
    </row>
    <row r="282">
      <c r="A282" t="inlineStr">
        <is>
          <t>5674167974</t>
        </is>
      </c>
      <c r="B282" t="inlineStr">
        <is>
          <t>6BLU</t>
        </is>
      </c>
      <c r="C282" t="inlineStr">
        <is>
          <t>6Blu Inc</t>
        </is>
      </c>
      <c r="D282" t="inlineStr">
        <is>
          <t>Legal</t>
        </is>
      </c>
      <c r="E282" s="297" t="n">
        <v>45937</v>
      </c>
      <c r="F282" s="297" t="n">
        <v>46253</v>
      </c>
      <c r="G282" t="n">
        <v>3</v>
      </c>
      <c r="H282" t="inlineStr">
        <is>
          <t>5999</t>
        </is>
      </c>
      <c r="I282" t="inlineStr">
        <is>
          <t>59</t>
        </is>
      </c>
      <c r="J282" t="inlineStr">
        <is>
          <t>CA</t>
        </is>
      </c>
      <c r="K282" t="inlineStr">
        <is>
          <t>Fundwell</t>
        </is>
      </c>
      <c r="L282" t="inlineStr">
        <is>
          <t>New Deal</t>
        </is>
      </c>
      <c r="M282" s="298" t="n">
        <v>1.39</v>
      </c>
      <c r="N282" s="299" t="n">
        <v>30000</v>
      </c>
      <c r="O282" s="299" t="n">
        <v>3600</v>
      </c>
      <c r="P282" s="299" t="n">
        <v>41700</v>
      </c>
      <c r="Q282" s="299" t="n">
        <v>23174.5</v>
      </c>
      <c r="R282" s="299" t="n">
        <v>18525.5</v>
      </c>
      <c r="S282" s="300" t="n">
        <v>0.555743405275779</v>
      </c>
      <c r="T282" t="n">
        <v>26</v>
      </c>
      <c r="U282" t="n">
        <v>20</v>
      </c>
      <c r="V282" t="n">
        <v>222750.05</v>
      </c>
      <c r="W282" s="300" t="n">
        <v>0.0288</v>
      </c>
      <c r="X282" s="297" t="n">
        <v>42128</v>
      </c>
      <c r="Y282">
        <f>IF(I282="","No SIC",IFERROR(VLOOKUP(I282,Ref!$A$2:$B$65,2,FALSE),"Unclassified"))</f>
        <v/>
      </c>
      <c r="Z282">
        <f>IF(T282="","",IF(T282&lt;12,"Daily","Weekly"))</f>
        <v/>
      </c>
      <c r="AA282">
        <f>IF(T282="",0,IF(T282&lt;12,T282*Controls!$B$29,T282*5))</f>
        <v/>
      </c>
      <c r="AB282">
        <f>IF(E282="",0,NETWORKDAYS(E282,Controls!$B$36,Ref!$K$2:$K$42))</f>
        <v/>
      </c>
      <c r="AC282">
        <f>IF(AND(AA282&gt;0,AB282&gt;=Controls!$B$39*AA282),1,0)</f>
        <v/>
      </c>
      <c r="AD282">
        <f>IF(AND(E282&lt;&gt;"",E282&gt;=Controls!$B$37,E282&lt;=Controls!$B$38),1,0)</f>
        <v/>
      </c>
      <c r="AE282">
        <f>IF(IFERROR(VLOOKUP(D282,Controls!$A$64:$E$74,2,FALSE),"No")="Yes",1,0)</f>
        <v/>
      </c>
      <c r="AF282">
        <f>IF(IFERROR(VLOOKUP(D282,Controls!$A$64:$E$74,3,FALSE),"No")="Yes",1,0)</f>
        <v/>
      </c>
      <c r="AG282">
        <f>IF(IFERROR(VLOOKUP(D282,Controls!$A$64:$E$74,4,FALSE),"No")="Yes",1,0)</f>
        <v/>
      </c>
      <c r="AH282">
        <f>IF(IFERROR(VLOOKUP(D282,Controls!$A$64:$E$74,5,FALSE),"No")="Yes",1,0)</f>
        <v/>
      </c>
      <c r="AI282">
        <f>IF(ISNUMBER(MATCH(D282,Controls!$A$64:$A$74,0)),1,0)</f>
        <v/>
      </c>
      <c r="AJ282">
        <f>Q282-N282</f>
        <v/>
      </c>
      <c r="AK282">
        <f>IF(AE282=1,MAX(0,N282-Q282),0)</f>
        <v/>
      </c>
      <c r="AL282">
        <f>IF(OR(V282="",V282=0),0,N282/V282)</f>
        <v/>
      </c>
      <c r="AM282">
        <f>IF(OR(V282="",V282=0),0,1)</f>
        <v/>
      </c>
      <c r="AN282">
        <f>IF(OR(E282="",F282=""),0,NETWORKDAYS(E282,F282,Ref!$K$2:$K$42))</f>
        <v/>
      </c>
      <c r="AO282">
        <f>IF(L282="Renewal",1,0)</f>
        <v/>
      </c>
      <c r="AP282">
        <f>AC282*AD282</f>
        <v/>
      </c>
      <c r="AQ282">
        <f>IF(AND(G282&lt;&gt;"",'Historical Score'!$C$6&lt;&gt;""),IF(G282='Historical Score'!$C$6,1,0),0)</f>
        <v/>
      </c>
      <c r="AR282">
        <f>IF(AND(L282&lt;&gt;"",'Historical Score'!$C$5&lt;&gt;""),IF(L282='Historical Score'!$C$5,1,0),0)</f>
        <v/>
      </c>
      <c r="AS282">
        <f>IF(AND(Y282&lt;&gt;"",'Historical Score'!$C$7&lt;&gt;""),IF(Y282='Historical Score'!$C$7,1,0),0)</f>
        <v/>
      </c>
      <c r="AT282">
        <f>IF(AND(K282&lt;&gt;"",'Historical Score'!$C$8&lt;&gt;""),IF(K282='Historical Score'!$C$8,1,0),0)</f>
        <v/>
      </c>
      <c r="AU282">
        <f>IF(AND(J282&lt;&gt;"",'Historical Score'!$C$9&lt;&gt;""),IF(J282='Historical Score'!$C$9,1,0),0)</f>
        <v/>
      </c>
      <c r="AV282">
        <f>AR282*AS282*AQ282</f>
        <v/>
      </c>
      <c r="AW282">
        <f>AR282*AT282*AQ282</f>
        <v/>
      </c>
      <c r="AX282">
        <f>AR282*AS282</f>
        <v/>
      </c>
      <c r="AY282">
        <f>AR282*AT282</f>
        <v/>
      </c>
      <c r="AZ282">
        <f>AR282*AQ282</f>
        <v/>
      </c>
      <c r="BA282">
        <f>AR282</f>
        <v/>
      </c>
      <c r="BB282">
        <f>1</f>
        <v/>
      </c>
      <c r="BC282">
        <f>IF(AV282=1,1,IF(AW282=1,2,IF(AX282=1,3,IF(AY282=1,4,IF(AZ282=1,5,IF(BA282=1,6,7))))))</f>
        <v/>
      </c>
      <c r="BD282">
        <f>IF(AD282=1,CHOOSE('Historical Score'!$C$29,AV282,AW282,AX282,AY282,AZ282,BA282,BB282),0)</f>
        <v/>
      </c>
      <c r="BE282">
        <f>IF(BD282=1,COUNTIF($BD$2:BD282,1),"")</f>
        <v/>
      </c>
    </row>
    <row r="283">
      <c r="A283" t="inlineStr">
        <is>
          <t>5674167996</t>
        </is>
      </c>
      <c r="B283" t="inlineStr">
        <is>
          <t>CNG CLEANING SOLUTIONS</t>
        </is>
      </c>
      <c r="C283" t="inlineStr">
        <is>
          <t>CNG CLEANING SOLUTIONS LLC</t>
        </is>
      </c>
      <c r="D283" t="inlineStr">
        <is>
          <t>Lowered Payments</t>
        </is>
      </c>
      <c r="E283" s="297" t="n">
        <v>45937</v>
      </c>
      <c r="F283" s="297" t="n">
        <v>46248</v>
      </c>
      <c r="G283" t="n">
        <v>3</v>
      </c>
      <c r="H283" t="inlineStr">
        <is>
          <t>7349</t>
        </is>
      </c>
      <c r="I283" t="inlineStr">
        <is>
          <t>73</t>
        </is>
      </c>
      <c r="J283" t="inlineStr">
        <is>
          <t>FL</t>
        </is>
      </c>
      <c r="K283" t="inlineStr">
        <is>
          <t>Fundwell</t>
        </is>
      </c>
      <c r="L283" t="inlineStr">
        <is>
          <t>New Deal</t>
        </is>
      </c>
      <c r="M283" s="298" t="n">
        <v>1.36</v>
      </c>
      <c r="N283" s="299" t="n">
        <v>60000</v>
      </c>
      <c r="O283" s="299" t="n">
        <v>5400</v>
      </c>
      <c r="P283" s="299" t="n">
        <v>81600</v>
      </c>
      <c r="Q283" s="299" t="n">
        <v>47977.95</v>
      </c>
      <c r="R283" s="299" t="n">
        <v>33622.05</v>
      </c>
      <c r="S283" s="300" t="n">
        <v>0.587965073529412</v>
      </c>
      <c r="T283" t="n">
        <v>40</v>
      </c>
      <c r="U283" t="n">
        <v>29</v>
      </c>
      <c r="V283" t="n">
        <v>145091.44</v>
      </c>
      <c r="W283" s="300" t="n">
        <v>0.0562</v>
      </c>
      <c r="X283" s="297" t="n">
        <v>43242</v>
      </c>
      <c r="Y283">
        <f>IF(I283="","No SIC",IFERROR(VLOOKUP(I283,Ref!$A$2:$B$65,2,FALSE),"Unclassified"))</f>
        <v/>
      </c>
      <c r="Z283">
        <f>IF(T283="","",IF(T283&lt;12,"Daily","Weekly"))</f>
        <v/>
      </c>
      <c r="AA283">
        <f>IF(T283="",0,IF(T283&lt;12,T283*Controls!$B$29,T283*5))</f>
        <v/>
      </c>
      <c r="AB283">
        <f>IF(E283="",0,NETWORKDAYS(E283,Controls!$B$36,Ref!$K$2:$K$42))</f>
        <v/>
      </c>
      <c r="AC283">
        <f>IF(AND(AA283&gt;0,AB283&gt;=Controls!$B$39*AA283),1,0)</f>
        <v/>
      </c>
      <c r="AD283">
        <f>IF(AND(E283&lt;&gt;"",E283&gt;=Controls!$B$37,E283&lt;=Controls!$B$38),1,0)</f>
        <v/>
      </c>
      <c r="AE283">
        <f>IF(IFERROR(VLOOKUP(D283,Controls!$A$64:$E$74,2,FALSE),"No")="Yes",1,0)</f>
        <v/>
      </c>
      <c r="AF283">
        <f>IF(IFERROR(VLOOKUP(D283,Controls!$A$64:$E$74,3,FALSE),"No")="Yes",1,0)</f>
        <v/>
      </c>
      <c r="AG283">
        <f>IF(IFERROR(VLOOKUP(D283,Controls!$A$64:$E$74,4,FALSE),"No")="Yes",1,0)</f>
        <v/>
      </c>
      <c r="AH283">
        <f>IF(IFERROR(VLOOKUP(D283,Controls!$A$64:$E$74,5,FALSE),"No")="Yes",1,0)</f>
        <v/>
      </c>
      <c r="AI283">
        <f>IF(ISNUMBER(MATCH(D283,Controls!$A$64:$A$74,0)),1,0)</f>
        <v/>
      </c>
      <c r="AJ283">
        <f>Q283-N283</f>
        <v/>
      </c>
      <c r="AK283">
        <f>IF(AE283=1,MAX(0,N283-Q283),0)</f>
        <v/>
      </c>
      <c r="AL283">
        <f>IF(OR(V283="",V283=0),0,N283/V283)</f>
        <v/>
      </c>
      <c r="AM283">
        <f>IF(OR(V283="",V283=0),0,1)</f>
        <v/>
      </c>
      <c r="AN283">
        <f>IF(OR(E283="",F283=""),0,NETWORKDAYS(E283,F283,Ref!$K$2:$K$42))</f>
        <v/>
      </c>
      <c r="AO283">
        <f>IF(L283="Renewal",1,0)</f>
        <v/>
      </c>
      <c r="AP283">
        <f>AC283*AD283</f>
        <v/>
      </c>
      <c r="AQ283">
        <f>IF(AND(G283&lt;&gt;"",'Historical Score'!$C$6&lt;&gt;""),IF(G283='Historical Score'!$C$6,1,0),0)</f>
        <v/>
      </c>
      <c r="AR283">
        <f>IF(AND(L283&lt;&gt;"",'Historical Score'!$C$5&lt;&gt;""),IF(L283='Historical Score'!$C$5,1,0),0)</f>
        <v/>
      </c>
      <c r="AS283">
        <f>IF(AND(Y283&lt;&gt;"",'Historical Score'!$C$7&lt;&gt;""),IF(Y283='Historical Score'!$C$7,1,0),0)</f>
        <v/>
      </c>
      <c r="AT283">
        <f>IF(AND(K283&lt;&gt;"",'Historical Score'!$C$8&lt;&gt;""),IF(K283='Historical Score'!$C$8,1,0),0)</f>
        <v/>
      </c>
      <c r="AU283">
        <f>IF(AND(J283&lt;&gt;"",'Historical Score'!$C$9&lt;&gt;""),IF(J283='Historical Score'!$C$9,1,0),0)</f>
        <v/>
      </c>
      <c r="AV283">
        <f>AR283*AS283*AQ283</f>
        <v/>
      </c>
      <c r="AW283">
        <f>AR283*AT283*AQ283</f>
        <v/>
      </c>
      <c r="AX283">
        <f>AR283*AS283</f>
        <v/>
      </c>
      <c r="AY283">
        <f>AR283*AT283</f>
        <v/>
      </c>
      <c r="AZ283">
        <f>AR283*AQ283</f>
        <v/>
      </c>
      <c r="BA283">
        <f>AR283</f>
        <v/>
      </c>
      <c r="BB283">
        <f>1</f>
        <v/>
      </c>
      <c r="BC283">
        <f>IF(AV283=1,1,IF(AW283=1,2,IF(AX283=1,3,IF(AY283=1,4,IF(AZ283=1,5,IF(BA283=1,6,7))))))</f>
        <v/>
      </c>
      <c r="BD283">
        <f>IF(AD283=1,CHOOSE('Historical Score'!$C$29,AV283,AW283,AX283,AY283,AZ283,BA283,BB283),0)</f>
        <v/>
      </c>
      <c r="BE283">
        <f>IF(BD283=1,COUNTIF($BD$2:BD283,1),"")</f>
        <v/>
      </c>
    </row>
    <row r="284">
      <c r="A284" t="inlineStr">
        <is>
          <t>5674168062</t>
        </is>
      </c>
      <c r="B284" t="inlineStr">
        <is>
          <t>REDLINE FORESTRY MULCHING LLC</t>
        </is>
      </c>
      <c r="C284" t="inlineStr">
        <is>
          <t>REDLINE FORESTRY MULCHING LLC</t>
        </is>
      </c>
      <c r="D284" t="inlineStr">
        <is>
          <t>Open</t>
        </is>
      </c>
      <c r="E284" s="297" t="n">
        <v>45939</v>
      </c>
      <c r="F284" s="297" t="n">
        <v>46251</v>
      </c>
      <c r="G284" t="n">
        <v>3</v>
      </c>
      <c r="H284" t="inlineStr">
        <is>
          <t>0781</t>
        </is>
      </c>
      <c r="I284" t="inlineStr">
        <is>
          <t>07</t>
        </is>
      </c>
      <c r="J284" t="inlineStr">
        <is>
          <t>NC</t>
        </is>
      </c>
      <c r="K284" t="inlineStr">
        <is>
          <t>United Secured Capital 8</t>
        </is>
      </c>
      <c r="L284" t="inlineStr">
        <is>
          <t>Renewal</t>
        </is>
      </c>
      <c r="M284" s="298" t="n">
        <v>1.49</v>
      </c>
      <c r="N284" s="299" t="n">
        <v>20000</v>
      </c>
      <c r="O284" s="299" t="n">
        <v>2800</v>
      </c>
      <c r="P284" s="299" t="n">
        <v>29800</v>
      </c>
      <c r="Q284" s="299" t="n">
        <v>10262.55</v>
      </c>
      <c r="R284" s="299" t="n">
        <v>19537.45</v>
      </c>
      <c r="S284" s="300" t="n">
        <v>0.344380872483222</v>
      </c>
      <c r="T284" t="n">
        <v>2.951</v>
      </c>
      <c r="U284" t="n">
        <v>16</v>
      </c>
      <c r="V284" t="n">
        <v>27587.37</v>
      </c>
      <c r="W284" s="300" t="n">
        <v>0.252</v>
      </c>
      <c r="X284" s="297" t="n"/>
      <c r="Y284">
        <f>IF(I284="","No SIC",IFERROR(VLOOKUP(I284,Ref!$A$2:$B$65,2,FALSE),"Unclassified"))</f>
        <v/>
      </c>
      <c r="Z284">
        <f>IF(T284="","",IF(T284&lt;12,"Daily","Weekly"))</f>
        <v/>
      </c>
      <c r="AA284">
        <f>IF(T284="",0,IF(T284&lt;12,T284*Controls!$B$29,T284*5))</f>
        <v/>
      </c>
      <c r="AB284">
        <f>IF(E284="",0,NETWORKDAYS(E284,Controls!$B$36,Ref!$K$2:$K$42))</f>
        <v/>
      </c>
      <c r="AC284">
        <f>IF(AND(AA284&gt;0,AB284&gt;=Controls!$B$39*AA284),1,0)</f>
        <v/>
      </c>
      <c r="AD284">
        <f>IF(AND(E284&lt;&gt;"",E284&gt;=Controls!$B$37,E284&lt;=Controls!$B$38),1,0)</f>
        <v/>
      </c>
      <c r="AE284">
        <f>IF(IFERROR(VLOOKUP(D284,Controls!$A$64:$E$74,2,FALSE),"No")="Yes",1,0)</f>
        <v/>
      </c>
      <c r="AF284">
        <f>IF(IFERROR(VLOOKUP(D284,Controls!$A$64:$E$74,3,FALSE),"No")="Yes",1,0)</f>
        <v/>
      </c>
      <c r="AG284">
        <f>IF(IFERROR(VLOOKUP(D284,Controls!$A$64:$E$74,4,FALSE),"No")="Yes",1,0)</f>
        <v/>
      </c>
      <c r="AH284">
        <f>IF(IFERROR(VLOOKUP(D284,Controls!$A$64:$E$74,5,FALSE),"No")="Yes",1,0)</f>
        <v/>
      </c>
      <c r="AI284">
        <f>IF(ISNUMBER(MATCH(D284,Controls!$A$64:$A$74,0)),1,0)</f>
        <v/>
      </c>
      <c r="AJ284">
        <f>Q284-N284</f>
        <v/>
      </c>
      <c r="AK284">
        <f>IF(AE284=1,MAX(0,N284-Q284),0)</f>
        <v/>
      </c>
      <c r="AL284">
        <f>IF(OR(V284="",V284=0),0,N284/V284)</f>
        <v/>
      </c>
      <c r="AM284">
        <f>IF(OR(V284="",V284=0),0,1)</f>
        <v/>
      </c>
      <c r="AN284">
        <f>IF(OR(E284="",F284=""),0,NETWORKDAYS(E284,F284,Ref!$K$2:$K$42))</f>
        <v/>
      </c>
      <c r="AO284">
        <f>IF(L284="Renewal",1,0)</f>
        <v/>
      </c>
      <c r="AP284">
        <f>AC284*AD284</f>
        <v/>
      </c>
      <c r="AQ284">
        <f>IF(AND(G284&lt;&gt;"",'Historical Score'!$C$6&lt;&gt;""),IF(G284='Historical Score'!$C$6,1,0),0)</f>
        <v/>
      </c>
      <c r="AR284">
        <f>IF(AND(L284&lt;&gt;"",'Historical Score'!$C$5&lt;&gt;""),IF(L284='Historical Score'!$C$5,1,0),0)</f>
        <v/>
      </c>
      <c r="AS284">
        <f>IF(AND(Y284&lt;&gt;"",'Historical Score'!$C$7&lt;&gt;""),IF(Y284='Historical Score'!$C$7,1,0),0)</f>
        <v/>
      </c>
      <c r="AT284">
        <f>IF(AND(K284&lt;&gt;"",'Historical Score'!$C$8&lt;&gt;""),IF(K284='Historical Score'!$C$8,1,0),0)</f>
        <v/>
      </c>
      <c r="AU284">
        <f>IF(AND(J284&lt;&gt;"",'Historical Score'!$C$9&lt;&gt;""),IF(J284='Historical Score'!$C$9,1,0),0)</f>
        <v/>
      </c>
      <c r="AV284">
        <f>AR284*AS284*AQ284</f>
        <v/>
      </c>
      <c r="AW284">
        <f>AR284*AT284*AQ284</f>
        <v/>
      </c>
      <c r="AX284">
        <f>AR284*AS284</f>
        <v/>
      </c>
      <c r="AY284">
        <f>AR284*AT284</f>
        <v/>
      </c>
      <c r="AZ284">
        <f>AR284*AQ284</f>
        <v/>
      </c>
      <c r="BA284">
        <f>AR284</f>
        <v/>
      </c>
      <c r="BB284">
        <f>1</f>
        <v/>
      </c>
      <c r="BC284">
        <f>IF(AV284=1,1,IF(AW284=1,2,IF(AX284=1,3,IF(AY284=1,4,IF(AZ284=1,5,IF(BA284=1,6,7))))))</f>
        <v/>
      </c>
      <c r="BD284">
        <f>IF(AD284=1,CHOOSE('Historical Score'!$C$29,AV284,AW284,AX284,AY284,AZ284,BA284,BB284),0)</f>
        <v/>
      </c>
      <c r="BE284">
        <f>IF(BD284=1,COUNTIF($BD$2:BD284,1),"")</f>
        <v/>
      </c>
    </row>
    <row r="285">
      <c r="A285" t="inlineStr">
        <is>
          <t>5674168076</t>
        </is>
      </c>
      <c r="B285" t="inlineStr">
        <is>
          <t>Luminous Dental Studio</t>
        </is>
      </c>
      <c r="C285" t="inlineStr">
        <is>
          <t>Luminous Dental Associates PLLC</t>
        </is>
      </c>
      <c r="D285" t="inlineStr">
        <is>
          <t>Closed</t>
        </is>
      </c>
      <c r="E285" s="297" t="n">
        <v>45939</v>
      </c>
      <c r="F285" s="297" t="n">
        <v>46157</v>
      </c>
      <c r="G285" t="n">
        <v>3</v>
      </c>
      <c r="H285" t="inlineStr">
        <is>
          <t>8072</t>
        </is>
      </c>
      <c r="I285" t="inlineStr">
        <is>
          <t>80</t>
        </is>
      </c>
      <c r="J285" t="inlineStr">
        <is>
          <t>TX</t>
        </is>
      </c>
      <c r="K285" t="inlineStr">
        <is>
          <t>Fundwell</t>
        </is>
      </c>
      <c r="L285" t="inlineStr">
        <is>
          <t>New Deal</t>
        </is>
      </c>
      <c r="M285" s="298" t="n">
        <v>1.38</v>
      </c>
      <c r="N285" s="299" t="n">
        <v>15000</v>
      </c>
      <c r="O285" s="299" t="n">
        <v>1800</v>
      </c>
      <c r="P285" s="299" t="n">
        <v>20700</v>
      </c>
      <c r="Q285" s="299" t="n">
        <v>20700</v>
      </c>
      <c r="R285" s="299" t="n">
        <v>0</v>
      </c>
      <c r="S285" s="300" t="n">
        <v>1</v>
      </c>
      <c r="T285" t="n">
        <v>32</v>
      </c>
      <c r="U285" t="n">
        <v>0</v>
      </c>
      <c r="V285" t="n">
        <v>46940.92</v>
      </c>
      <c r="W285" s="300" t="n">
        <v>0.0551</v>
      </c>
      <c r="X285" s="297" t="n">
        <v>42227</v>
      </c>
      <c r="Y285">
        <f>IF(I285="","No SIC",IFERROR(VLOOKUP(I285,Ref!$A$2:$B$65,2,FALSE),"Unclassified"))</f>
        <v/>
      </c>
      <c r="Z285">
        <f>IF(T285="","",IF(T285&lt;12,"Daily","Weekly"))</f>
        <v/>
      </c>
      <c r="AA285">
        <f>IF(T285="",0,IF(T285&lt;12,T285*Controls!$B$29,T285*5))</f>
        <v/>
      </c>
      <c r="AB285">
        <f>IF(E285="",0,NETWORKDAYS(E285,Controls!$B$36,Ref!$K$2:$K$42))</f>
        <v/>
      </c>
      <c r="AC285">
        <f>IF(AND(AA285&gt;0,AB285&gt;=Controls!$B$39*AA285),1,0)</f>
        <v/>
      </c>
      <c r="AD285">
        <f>IF(AND(E285&lt;&gt;"",E285&gt;=Controls!$B$37,E285&lt;=Controls!$B$38),1,0)</f>
        <v/>
      </c>
      <c r="AE285">
        <f>IF(IFERROR(VLOOKUP(D285,Controls!$A$64:$E$74,2,FALSE),"No")="Yes",1,0)</f>
        <v/>
      </c>
      <c r="AF285">
        <f>IF(IFERROR(VLOOKUP(D285,Controls!$A$64:$E$74,3,FALSE),"No")="Yes",1,0)</f>
        <v/>
      </c>
      <c r="AG285">
        <f>IF(IFERROR(VLOOKUP(D285,Controls!$A$64:$E$74,4,FALSE),"No")="Yes",1,0)</f>
        <v/>
      </c>
      <c r="AH285">
        <f>IF(IFERROR(VLOOKUP(D285,Controls!$A$64:$E$74,5,FALSE),"No")="Yes",1,0)</f>
        <v/>
      </c>
      <c r="AI285">
        <f>IF(ISNUMBER(MATCH(D285,Controls!$A$64:$A$74,0)),1,0)</f>
        <v/>
      </c>
      <c r="AJ285">
        <f>Q285-N285</f>
        <v/>
      </c>
      <c r="AK285">
        <f>IF(AE285=1,MAX(0,N285-Q285),0)</f>
        <v/>
      </c>
      <c r="AL285">
        <f>IF(OR(V285="",V285=0),0,N285/V285)</f>
        <v/>
      </c>
      <c r="AM285">
        <f>IF(OR(V285="",V285=0),0,1)</f>
        <v/>
      </c>
      <c r="AN285">
        <f>IF(OR(E285="",F285=""),0,NETWORKDAYS(E285,F285,Ref!$K$2:$K$42))</f>
        <v/>
      </c>
      <c r="AO285">
        <f>IF(L285="Renewal",1,0)</f>
        <v/>
      </c>
      <c r="AP285">
        <f>AC285*AD285</f>
        <v/>
      </c>
      <c r="AQ285">
        <f>IF(AND(G285&lt;&gt;"",'Historical Score'!$C$6&lt;&gt;""),IF(G285='Historical Score'!$C$6,1,0),0)</f>
        <v/>
      </c>
      <c r="AR285">
        <f>IF(AND(L285&lt;&gt;"",'Historical Score'!$C$5&lt;&gt;""),IF(L285='Historical Score'!$C$5,1,0),0)</f>
        <v/>
      </c>
      <c r="AS285">
        <f>IF(AND(Y285&lt;&gt;"",'Historical Score'!$C$7&lt;&gt;""),IF(Y285='Historical Score'!$C$7,1,0),0)</f>
        <v/>
      </c>
      <c r="AT285">
        <f>IF(AND(K285&lt;&gt;"",'Historical Score'!$C$8&lt;&gt;""),IF(K285='Historical Score'!$C$8,1,0),0)</f>
        <v/>
      </c>
      <c r="AU285">
        <f>IF(AND(J285&lt;&gt;"",'Historical Score'!$C$9&lt;&gt;""),IF(J285='Historical Score'!$C$9,1,0),0)</f>
        <v/>
      </c>
      <c r="AV285">
        <f>AR285*AS285*AQ285</f>
        <v/>
      </c>
      <c r="AW285">
        <f>AR285*AT285*AQ285</f>
        <v/>
      </c>
      <c r="AX285">
        <f>AR285*AS285</f>
        <v/>
      </c>
      <c r="AY285">
        <f>AR285*AT285</f>
        <v/>
      </c>
      <c r="AZ285">
        <f>AR285*AQ285</f>
        <v/>
      </c>
      <c r="BA285">
        <f>AR285</f>
        <v/>
      </c>
      <c r="BB285">
        <f>1</f>
        <v/>
      </c>
      <c r="BC285">
        <f>IF(AV285=1,1,IF(AW285=1,2,IF(AX285=1,3,IF(AY285=1,4,IF(AZ285=1,5,IF(BA285=1,6,7))))))</f>
        <v/>
      </c>
      <c r="BD285">
        <f>IF(AD285=1,CHOOSE('Historical Score'!$C$29,AV285,AW285,AX285,AY285,AZ285,BA285,BB285),0)</f>
        <v/>
      </c>
      <c r="BE285">
        <f>IF(BD285=1,COUNTIF($BD$2:BD285,1),"")</f>
        <v/>
      </c>
    </row>
    <row r="286">
      <c r="A286" t="inlineStr">
        <is>
          <t>5674168109</t>
        </is>
      </c>
      <c r="B286" t="inlineStr">
        <is>
          <t>Hive HomeGoods</t>
        </is>
      </c>
      <c r="C286" t="inlineStr">
        <is>
          <t>HIVE HOMEGOODS LLC</t>
        </is>
      </c>
      <c r="D286" t="inlineStr">
        <is>
          <t>Closed/NSF Unpaid</t>
        </is>
      </c>
      <c r="E286" s="297" t="n">
        <v>45939</v>
      </c>
      <c r="F286" s="297" t="n">
        <v>46093</v>
      </c>
      <c r="G286" t="n">
        <v>1</v>
      </c>
      <c r="H286" t="inlineStr">
        <is>
          <t>5023</t>
        </is>
      </c>
      <c r="I286" t="inlineStr">
        <is>
          <t>50</t>
        </is>
      </c>
      <c r="J286" t="inlineStr">
        <is>
          <t>WA</t>
        </is>
      </c>
      <c r="K286" t="inlineStr">
        <is>
          <t>Shore Funding USA</t>
        </is>
      </c>
      <c r="L286" t="inlineStr">
        <is>
          <t>New Deal</t>
        </is>
      </c>
      <c r="M286" s="298" t="n">
        <v>1.49</v>
      </c>
      <c r="N286" s="299" t="n">
        <v>5000</v>
      </c>
      <c r="O286" s="299" t="n">
        <v>700</v>
      </c>
      <c r="P286" s="299" t="n">
        <v>7450</v>
      </c>
      <c r="Q286" s="299" t="n">
        <v>7450</v>
      </c>
      <c r="R286" s="299" t="n">
        <v>0</v>
      </c>
      <c r="S286" s="300" t="n">
        <v>1</v>
      </c>
      <c r="T286" t="n">
        <v>2.951</v>
      </c>
      <c r="U286" t="n">
        <v>12</v>
      </c>
      <c r="V286" t="n">
        <v>12111.32</v>
      </c>
      <c r="W286" s="300" t="n">
        <v>0.1435</v>
      </c>
      <c r="X286" s="297" t="n">
        <v>45488</v>
      </c>
      <c r="Y286">
        <f>IF(I286="","No SIC",IFERROR(VLOOKUP(I286,Ref!$A$2:$B$65,2,FALSE),"Unclassified"))</f>
        <v/>
      </c>
      <c r="Z286">
        <f>IF(T286="","",IF(T286&lt;12,"Daily","Weekly"))</f>
        <v/>
      </c>
      <c r="AA286">
        <f>IF(T286="",0,IF(T286&lt;12,T286*Controls!$B$29,T286*5))</f>
        <v/>
      </c>
      <c r="AB286">
        <f>IF(E286="",0,NETWORKDAYS(E286,Controls!$B$36,Ref!$K$2:$K$42))</f>
        <v/>
      </c>
      <c r="AC286">
        <f>IF(AND(AA286&gt;0,AB286&gt;=Controls!$B$39*AA286),1,0)</f>
        <v/>
      </c>
      <c r="AD286">
        <f>IF(AND(E286&lt;&gt;"",E286&gt;=Controls!$B$37,E286&lt;=Controls!$B$38),1,0)</f>
        <v/>
      </c>
      <c r="AE286">
        <f>IF(IFERROR(VLOOKUP(D286,Controls!$A$64:$E$74,2,FALSE),"No")="Yes",1,0)</f>
        <v/>
      </c>
      <c r="AF286">
        <f>IF(IFERROR(VLOOKUP(D286,Controls!$A$64:$E$74,3,FALSE),"No")="Yes",1,0)</f>
        <v/>
      </c>
      <c r="AG286">
        <f>IF(IFERROR(VLOOKUP(D286,Controls!$A$64:$E$74,4,FALSE),"No")="Yes",1,0)</f>
        <v/>
      </c>
      <c r="AH286">
        <f>IF(IFERROR(VLOOKUP(D286,Controls!$A$64:$E$74,5,FALSE),"No")="Yes",1,0)</f>
        <v/>
      </c>
      <c r="AI286">
        <f>IF(ISNUMBER(MATCH(D286,Controls!$A$64:$A$74,0)),1,0)</f>
        <v/>
      </c>
      <c r="AJ286">
        <f>Q286-N286</f>
        <v/>
      </c>
      <c r="AK286">
        <f>IF(AE286=1,MAX(0,N286-Q286),0)</f>
        <v/>
      </c>
      <c r="AL286">
        <f>IF(OR(V286="",V286=0),0,N286/V286)</f>
        <v/>
      </c>
      <c r="AM286">
        <f>IF(OR(V286="",V286=0),0,1)</f>
        <v/>
      </c>
      <c r="AN286">
        <f>IF(OR(E286="",F286=""),0,NETWORKDAYS(E286,F286,Ref!$K$2:$K$42))</f>
        <v/>
      </c>
      <c r="AO286">
        <f>IF(L286="Renewal",1,0)</f>
        <v/>
      </c>
      <c r="AP286">
        <f>AC286*AD286</f>
        <v/>
      </c>
      <c r="AQ286">
        <f>IF(AND(G286&lt;&gt;"",'Historical Score'!$C$6&lt;&gt;""),IF(G286='Historical Score'!$C$6,1,0),0)</f>
        <v/>
      </c>
      <c r="AR286">
        <f>IF(AND(L286&lt;&gt;"",'Historical Score'!$C$5&lt;&gt;""),IF(L286='Historical Score'!$C$5,1,0),0)</f>
        <v/>
      </c>
      <c r="AS286">
        <f>IF(AND(Y286&lt;&gt;"",'Historical Score'!$C$7&lt;&gt;""),IF(Y286='Historical Score'!$C$7,1,0),0)</f>
        <v/>
      </c>
      <c r="AT286">
        <f>IF(AND(K286&lt;&gt;"",'Historical Score'!$C$8&lt;&gt;""),IF(K286='Historical Score'!$C$8,1,0),0)</f>
        <v/>
      </c>
      <c r="AU286">
        <f>IF(AND(J286&lt;&gt;"",'Historical Score'!$C$9&lt;&gt;""),IF(J286='Historical Score'!$C$9,1,0),0)</f>
        <v/>
      </c>
      <c r="AV286">
        <f>AR286*AS286*AQ286</f>
        <v/>
      </c>
      <c r="AW286">
        <f>AR286*AT286*AQ286</f>
        <v/>
      </c>
      <c r="AX286">
        <f>AR286*AS286</f>
        <v/>
      </c>
      <c r="AY286">
        <f>AR286*AT286</f>
        <v/>
      </c>
      <c r="AZ286">
        <f>AR286*AQ286</f>
        <v/>
      </c>
      <c r="BA286">
        <f>AR286</f>
        <v/>
      </c>
      <c r="BB286">
        <f>1</f>
        <v/>
      </c>
      <c r="BC286">
        <f>IF(AV286=1,1,IF(AW286=1,2,IF(AX286=1,3,IF(AY286=1,4,IF(AZ286=1,5,IF(BA286=1,6,7))))))</f>
        <v/>
      </c>
      <c r="BD286">
        <f>IF(AD286=1,CHOOSE('Historical Score'!$C$29,AV286,AW286,AX286,AY286,AZ286,BA286,BB286),0)</f>
        <v/>
      </c>
      <c r="BE286">
        <f>IF(BD286=1,COUNTIF($BD$2:BD286,1),"")</f>
        <v/>
      </c>
    </row>
    <row r="287">
      <c r="A287" t="inlineStr">
        <is>
          <t>5674168176</t>
        </is>
      </c>
      <c r="B287" t="inlineStr">
        <is>
          <t>WHICH WICH #95</t>
        </is>
      </c>
      <c r="C287" t="inlineStr">
        <is>
          <t>H&amp;M Mendez Enterprises LLC</t>
        </is>
      </c>
      <c r="D287" t="inlineStr">
        <is>
          <t>Bankruptcy</t>
        </is>
      </c>
      <c r="E287" s="297" t="n">
        <v>45940</v>
      </c>
      <c r="F287" s="297" t="n">
        <v>46139</v>
      </c>
      <c r="G287" t="n">
        <v>3</v>
      </c>
      <c r="H287" t="inlineStr">
        <is>
          <t>5812</t>
        </is>
      </c>
      <c r="I287" t="inlineStr">
        <is>
          <t>58</t>
        </is>
      </c>
      <c r="J287" t="inlineStr">
        <is>
          <t>TX</t>
        </is>
      </c>
      <c r="K287" t="inlineStr">
        <is>
          <t>Fundwell</t>
        </is>
      </c>
      <c r="L287" t="inlineStr">
        <is>
          <t>New Deal</t>
        </is>
      </c>
      <c r="M287" s="298" t="n">
        <v>1.39</v>
      </c>
      <c r="N287" s="299" t="n">
        <v>28500</v>
      </c>
      <c r="O287" s="299" t="n">
        <v>3277.5</v>
      </c>
      <c r="P287" s="299" t="n">
        <v>39615</v>
      </c>
      <c r="Q287" s="299" t="n">
        <v>14814.63</v>
      </c>
      <c r="R287" s="299" t="n">
        <v>24800.37</v>
      </c>
      <c r="S287" s="300" t="n">
        <v>0.373965164710337</v>
      </c>
      <c r="T287" t="n">
        <v>32</v>
      </c>
      <c r="U287" t="n">
        <v>9</v>
      </c>
      <c r="V287" t="n">
        <v>70423.34</v>
      </c>
      <c r="W287" s="300" t="n">
        <v>0.0703</v>
      </c>
      <c r="X287" s="297" t="n">
        <v>44334</v>
      </c>
      <c r="Y287">
        <f>IF(I287="","No SIC",IFERROR(VLOOKUP(I287,Ref!$A$2:$B$65,2,FALSE),"Unclassified"))</f>
        <v/>
      </c>
      <c r="Z287">
        <f>IF(T287="","",IF(T287&lt;12,"Daily","Weekly"))</f>
        <v/>
      </c>
      <c r="AA287">
        <f>IF(T287="",0,IF(T287&lt;12,T287*Controls!$B$29,T287*5))</f>
        <v/>
      </c>
      <c r="AB287">
        <f>IF(E287="",0,NETWORKDAYS(E287,Controls!$B$36,Ref!$K$2:$K$42))</f>
        <v/>
      </c>
      <c r="AC287">
        <f>IF(AND(AA287&gt;0,AB287&gt;=Controls!$B$39*AA287),1,0)</f>
        <v/>
      </c>
      <c r="AD287">
        <f>IF(AND(E287&lt;&gt;"",E287&gt;=Controls!$B$37,E287&lt;=Controls!$B$38),1,0)</f>
        <v/>
      </c>
      <c r="AE287">
        <f>IF(IFERROR(VLOOKUP(D287,Controls!$A$64:$E$74,2,FALSE),"No")="Yes",1,0)</f>
        <v/>
      </c>
      <c r="AF287">
        <f>IF(IFERROR(VLOOKUP(D287,Controls!$A$64:$E$74,3,FALSE),"No")="Yes",1,0)</f>
        <v/>
      </c>
      <c r="AG287">
        <f>IF(IFERROR(VLOOKUP(D287,Controls!$A$64:$E$74,4,FALSE),"No")="Yes",1,0)</f>
        <v/>
      </c>
      <c r="AH287">
        <f>IF(IFERROR(VLOOKUP(D287,Controls!$A$64:$E$74,5,FALSE),"No")="Yes",1,0)</f>
        <v/>
      </c>
      <c r="AI287">
        <f>IF(ISNUMBER(MATCH(D287,Controls!$A$64:$A$74,0)),1,0)</f>
        <v/>
      </c>
      <c r="AJ287">
        <f>Q287-N287</f>
        <v/>
      </c>
      <c r="AK287">
        <f>IF(AE287=1,MAX(0,N287-Q287),0)</f>
        <v/>
      </c>
      <c r="AL287">
        <f>IF(OR(V287="",V287=0),0,N287/V287)</f>
        <v/>
      </c>
      <c r="AM287">
        <f>IF(OR(V287="",V287=0),0,1)</f>
        <v/>
      </c>
      <c r="AN287">
        <f>IF(OR(E287="",F287=""),0,NETWORKDAYS(E287,F287,Ref!$K$2:$K$42))</f>
        <v/>
      </c>
      <c r="AO287">
        <f>IF(L287="Renewal",1,0)</f>
        <v/>
      </c>
      <c r="AP287">
        <f>AC287*AD287</f>
        <v/>
      </c>
      <c r="AQ287">
        <f>IF(AND(G287&lt;&gt;"",'Historical Score'!$C$6&lt;&gt;""),IF(G287='Historical Score'!$C$6,1,0),0)</f>
        <v/>
      </c>
      <c r="AR287">
        <f>IF(AND(L287&lt;&gt;"",'Historical Score'!$C$5&lt;&gt;""),IF(L287='Historical Score'!$C$5,1,0),0)</f>
        <v/>
      </c>
      <c r="AS287">
        <f>IF(AND(Y287&lt;&gt;"",'Historical Score'!$C$7&lt;&gt;""),IF(Y287='Historical Score'!$C$7,1,0),0)</f>
        <v/>
      </c>
      <c r="AT287">
        <f>IF(AND(K287&lt;&gt;"",'Historical Score'!$C$8&lt;&gt;""),IF(K287='Historical Score'!$C$8,1,0),0)</f>
        <v/>
      </c>
      <c r="AU287">
        <f>IF(AND(J287&lt;&gt;"",'Historical Score'!$C$9&lt;&gt;""),IF(J287='Historical Score'!$C$9,1,0),0)</f>
        <v/>
      </c>
      <c r="AV287">
        <f>AR287*AS287*AQ287</f>
        <v/>
      </c>
      <c r="AW287">
        <f>AR287*AT287*AQ287</f>
        <v/>
      </c>
      <c r="AX287">
        <f>AR287*AS287</f>
        <v/>
      </c>
      <c r="AY287">
        <f>AR287*AT287</f>
        <v/>
      </c>
      <c r="AZ287">
        <f>AR287*AQ287</f>
        <v/>
      </c>
      <c r="BA287">
        <f>AR287</f>
        <v/>
      </c>
      <c r="BB287">
        <f>1</f>
        <v/>
      </c>
      <c r="BC287">
        <f>IF(AV287=1,1,IF(AW287=1,2,IF(AX287=1,3,IF(AY287=1,4,IF(AZ287=1,5,IF(BA287=1,6,7))))))</f>
        <v/>
      </c>
      <c r="BD287">
        <f>IF(AD287=1,CHOOSE('Historical Score'!$C$29,AV287,AW287,AX287,AY287,AZ287,BA287,BB287),0)</f>
        <v/>
      </c>
      <c r="BE287">
        <f>IF(BD287=1,COUNTIF($BD$2:BD287,1),"")</f>
        <v/>
      </c>
    </row>
    <row r="288">
      <c r="A288" t="inlineStr">
        <is>
          <t>5674168235</t>
        </is>
      </c>
      <c r="B288" t="inlineStr">
        <is>
          <t>MDS Pack2Ship LLC</t>
        </is>
      </c>
      <c r="C288" t="inlineStr">
        <is>
          <t>MDS Pack2Ship LLC</t>
        </is>
      </c>
      <c r="D288" t="inlineStr">
        <is>
          <t>Legal</t>
        </is>
      </c>
      <c r="E288" s="297" t="n">
        <v>45944</v>
      </c>
      <c r="F288" s="297" t="n">
        <v>45994</v>
      </c>
      <c r="G288" t="n">
        <v>1</v>
      </c>
      <c r="H288" t="inlineStr">
        <is>
          <t>4783</t>
        </is>
      </c>
      <c r="I288" t="inlineStr">
        <is>
          <t>47</t>
        </is>
      </c>
      <c r="J288" t="inlineStr">
        <is>
          <t>IN</t>
        </is>
      </c>
      <c r="K288" t="inlineStr">
        <is>
          <t>Go Ai Ez LLC Dba:Gova Funding</t>
        </is>
      </c>
      <c r="L288" t="inlineStr">
        <is>
          <t>New Deal</t>
        </is>
      </c>
      <c r="M288" s="298" t="n">
        <v>1.45</v>
      </c>
      <c r="N288" s="299" t="n">
        <v>7000</v>
      </c>
      <c r="O288" s="299" t="n">
        <v>840</v>
      </c>
      <c r="P288" s="299" t="n">
        <v>10150</v>
      </c>
      <c r="Q288" s="299" t="n">
        <v>4373.32</v>
      </c>
      <c r="R288" s="299" t="n">
        <v>5776.68</v>
      </c>
      <c r="S288" s="300" t="n">
        <v>0.430868965517241</v>
      </c>
      <c r="T288" t="n">
        <v>2.131</v>
      </c>
      <c r="U288" t="n">
        <v>5</v>
      </c>
      <c r="W288" s="300" t="n">
        <v>0.082</v>
      </c>
      <c r="X288" s="297" t="n">
        <v>36708</v>
      </c>
      <c r="Y288">
        <f>IF(I288="","No SIC",IFERROR(VLOOKUP(I288,Ref!$A$2:$B$65,2,FALSE),"Unclassified"))</f>
        <v/>
      </c>
      <c r="Z288">
        <f>IF(T288="","",IF(T288&lt;12,"Daily","Weekly"))</f>
        <v/>
      </c>
      <c r="AA288">
        <f>IF(T288="",0,IF(T288&lt;12,T288*Controls!$B$29,T288*5))</f>
        <v/>
      </c>
      <c r="AB288">
        <f>IF(E288="",0,NETWORKDAYS(E288,Controls!$B$36,Ref!$K$2:$K$42))</f>
        <v/>
      </c>
      <c r="AC288">
        <f>IF(AND(AA288&gt;0,AB288&gt;=Controls!$B$39*AA288),1,0)</f>
        <v/>
      </c>
      <c r="AD288">
        <f>IF(AND(E288&lt;&gt;"",E288&gt;=Controls!$B$37,E288&lt;=Controls!$B$38),1,0)</f>
        <v/>
      </c>
      <c r="AE288">
        <f>IF(IFERROR(VLOOKUP(D288,Controls!$A$64:$E$74,2,FALSE),"No")="Yes",1,0)</f>
        <v/>
      </c>
      <c r="AF288">
        <f>IF(IFERROR(VLOOKUP(D288,Controls!$A$64:$E$74,3,FALSE),"No")="Yes",1,0)</f>
        <v/>
      </c>
      <c r="AG288">
        <f>IF(IFERROR(VLOOKUP(D288,Controls!$A$64:$E$74,4,FALSE),"No")="Yes",1,0)</f>
        <v/>
      </c>
      <c r="AH288">
        <f>IF(IFERROR(VLOOKUP(D288,Controls!$A$64:$E$74,5,FALSE),"No")="Yes",1,0)</f>
        <v/>
      </c>
      <c r="AI288">
        <f>IF(ISNUMBER(MATCH(D288,Controls!$A$64:$A$74,0)),1,0)</f>
        <v/>
      </c>
      <c r="AJ288">
        <f>Q288-N288</f>
        <v/>
      </c>
      <c r="AK288">
        <f>IF(AE288=1,MAX(0,N288-Q288),0)</f>
        <v/>
      </c>
      <c r="AL288">
        <f>IF(OR(V288="",V288=0),0,N288/V288)</f>
        <v/>
      </c>
      <c r="AM288">
        <f>IF(OR(V288="",V288=0),0,1)</f>
        <v/>
      </c>
      <c r="AN288">
        <f>IF(OR(E288="",F288=""),0,NETWORKDAYS(E288,F288,Ref!$K$2:$K$42))</f>
        <v/>
      </c>
      <c r="AO288">
        <f>IF(L288="Renewal",1,0)</f>
        <v/>
      </c>
      <c r="AP288">
        <f>AC288*AD288</f>
        <v/>
      </c>
      <c r="AQ288">
        <f>IF(AND(G288&lt;&gt;"",'Historical Score'!$C$6&lt;&gt;""),IF(G288='Historical Score'!$C$6,1,0),0)</f>
        <v/>
      </c>
      <c r="AR288">
        <f>IF(AND(L288&lt;&gt;"",'Historical Score'!$C$5&lt;&gt;""),IF(L288='Historical Score'!$C$5,1,0),0)</f>
        <v/>
      </c>
      <c r="AS288">
        <f>IF(AND(Y288&lt;&gt;"",'Historical Score'!$C$7&lt;&gt;""),IF(Y288='Historical Score'!$C$7,1,0),0)</f>
        <v/>
      </c>
      <c r="AT288">
        <f>IF(AND(K288&lt;&gt;"",'Historical Score'!$C$8&lt;&gt;""),IF(K288='Historical Score'!$C$8,1,0),0)</f>
        <v/>
      </c>
      <c r="AU288">
        <f>IF(AND(J288&lt;&gt;"",'Historical Score'!$C$9&lt;&gt;""),IF(J288='Historical Score'!$C$9,1,0),0)</f>
        <v/>
      </c>
      <c r="AV288">
        <f>AR288*AS288*AQ288</f>
        <v/>
      </c>
      <c r="AW288">
        <f>AR288*AT288*AQ288</f>
        <v/>
      </c>
      <c r="AX288">
        <f>AR288*AS288</f>
        <v/>
      </c>
      <c r="AY288">
        <f>AR288*AT288</f>
        <v/>
      </c>
      <c r="AZ288">
        <f>AR288*AQ288</f>
        <v/>
      </c>
      <c r="BA288">
        <f>AR288</f>
        <v/>
      </c>
      <c r="BB288">
        <f>1</f>
        <v/>
      </c>
      <c r="BC288">
        <f>IF(AV288=1,1,IF(AW288=1,2,IF(AX288=1,3,IF(AY288=1,4,IF(AZ288=1,5,IF(BA288=1,6,7))))))</f>
        <v/>
      </c>
      <c r="BD288">
        <f>IF(AD288=1,CHOOSE('Historical Score'!$C$29,AV288,AW288,AX288,AY288,AZ288,BA288,BB288),0)</f>
        <v/>
      </c>
      <c r="BE288">
        <f>IF(BD288=1,COUNTIF($BD$2:BD288,1),"")</f>
        <v/>
      </c>
    </row>
    <row r="289">
      <c r="A289" t="inlineStr">
        <is>
          <t>5674168241</t>
        </is>
      </c>
      <c r="B289" t="inlineStr">
        <is>
          <t>Anderson Electric LLC</t>
        </is>
      </c>
      <c r="C289" t="inlineStr">
        <is>
          <t>Anderson Electric LLC</t>
        </is>
      </c>
      <c r="D289" t="inlineStr">
        <is>
          <t>Legal</t>
        </is>
      </c>
      <c r="E289" s="297" t="n">
        <v>45944</v>
      </c>
      <c r="F289" s="297" t="n">
        <v>46041</v>
      </c>
      <c r="G289" t="n">
        <v>1</v>
      </c>
      <c r="H289" t="inlineStr">
        <is>
          <t>1731</t>
        </is>
      </c>
      <c r="I289" t="inlineStr">
        <is>
          <t>17</t>
        </is>
      </c>
      <c r="J289" t="inlineStr">
        <is>
          <t>GA</t>
        </is>
      </c>
      <c r="K289" t="inlineStr">
        <is>
          <t>Fundwell</t>
        </is>
      </c>
      <c r="L289" t="inlineStr">
        <is>
          <t>New Deal</t>
        </is>
      </c>
      <c r="M289" s="298" t="n">
        <v>1.42</v>
      </c>
      <c r="N289" s="299" t="n">
        <v>20000</v>
      </c>
      <c r="O289" s="299" t="n">
        <v>2800</v>
      </c>
      <c r="P289" s="299" t="n">
        <v>28400</v>
      </c>
      <c r="Q289" s="299" t="n">
        <v>7098.56</v>
      </c>
      <c r="R289" s="299" t="n">
        <v>21301.44</v>
      </c>
      <c r="S289" s="300" t="n">
        <v>0.249949295774648</v>
      </c>
      <c r="T289" t="n">
        <v>32</v>
      </c>
      <c r="U289" t="n">
        <v>5</v>
      </c>
      <c r="V289" t="n">
        <v>48487.6</v>
      </c>
      <c r="W289" s="300" t="n">
        <v>0.0732</v>
      </c>
      <c r="X289" s="297" t="n">
        <v>44533</v>
      </c>
      <c r="Y289">
        <f>IF(I289="","No SIC",IFERROR(VLOOKUP(I289,Ref!$A$2:$B$65,2,FALSE),"Unclassified"))</f>
        <v/>
      </c>
      <c r="Z289">
        <f>IF(T289="","",IF(T289&lt;12,"Daily","Weekly"))</f>
        <v/>
      </c>
      <c r="AA289">
        <f>IF(T289="",0,IF(T289&lt;12,T289*Controls!$B$29,T289*5))</f>
        <v/>
      </c>
      <c r="AB289">
        <f>IF(E289="",0,NETWORKDAYS(E289,Controls!$B$36,Ref!$K$2:$K$42))</f>
        <v/>
      </c>
      <c r="AC289">
        <f>IF(AND(AA289&gt;0,AB289&gt;=Controls!$B$39*AA289),1,0)</f>
        <v/>
      </c>
      <c r="AD289">
        <f>IF(AND(E289&lt;&gt;"",E289&gt;=Controls!$B$37,E289&lt;=Controls!$B$38),1,0)</f>
        <v/>
      </c>
      <c r="AE289">
        <f>IF(IFERROR(VLOOKUP(D289,Controls!$A$64:$E$74,2,FALSE),"No")="Yes",1,0)</f>
        <v/>
      </c>
      <c r="AF289">
        <f>IF(IFERROR(VLOOKUP(D289,Controls!$A$64:$E$74,3,FALSE),"No")="Yes",1,0)</f>
        <v/>
      </c>
      <c r="AG289">
        <f>IF(IFERROR(VLOOKUP(D289,Controls!$A$64:$E$74,4,FALSE),"No")="Yes",1,0)</f>
        <v/>
      </c>
      <c r="AH289">
        <f>IF(IFERROR(VLOOKUP(D289,Controls!$A$64:$E$74,5,FALSE),"No")="Yes",1,0)</f>
        <v/>
      </c>
      <c r="AI289">
        <f>IF(ISNUMBER(MATCH(D289,Controls!$A$64:$A$74,0)),1,0)</f>
        <v/>
      </c>
      <c r="AJ289">
        <f>Q289-N289</f>
        <v/>
      </c>
      <c r="AK289">
        <f>IF(AE289=1,MAX(0,N289-Q289),0)</f>
        <v/>
      </c>
      <c r="AL289">
        <f>IF(OR(V289="",V289=0),0,N289/V289)</f>
        <v/>
      </c>
      <c r="AM289">
        <f>IF(OR(V289="",V289=0),0,1)</f>
        <v/>
      </c>
      <c r="AN289">
        <f>IF(OR(E289="",F289=""),0,NETWORKDAYS(E289,F289,Ref!$K$2:$K$42))</f>
        <v/>
      </c>
      <c r="AO289">
        <f>IF(L289="Renewal",1,0)</f>
        <v/>
      </c>
      <c r="AP289">
        <f>AC289*AD289</f>
        <v/>
      </c>
      <c r="AQ289">
        <f>IF(AND(G289&lt;&gt;"",'Historical Score'!$C$6&lt;&gt;""),IF(G289='Historical Score'!$C$6,1,0),0)</f>
        <v/>
      </c>
      <c r="AR289">
        <f>IF(AND(L289&lt;&gt;"",'Historical Score'!$C$5&lt;&gt;""),IF(L289='Historical Score'!$C$5,1,0),0)</f>
        <v/>
      </c>
      <c r="AS289">
        <f>IF(AND(Y289&lt;&gt;"",'Historical Score'!$C$7&lt;&gt;""),IF(Y289='Historical Score'!$C$7,1,0),0)</f>
        <v/>
      </c>
      <c r="AT289">
        <f>IF(AND(K289&lt;&gt;"",'Historical Score'!$C$8&lt;&gt;""),IF(K289='Historical Score'!$C$8,1,0),0)</f>
        <v/>
      </c>
      <c r="AU289">
        <f>IF(AND(J289&lt;&gt;"",'Historical Score'!$C$9&lt;&gt;""),IF(J289='Historical Score'!$C$9,1,0),0)</f>
        <v/>
      </c>
      <c r="AV289">
        <f>AR289*AS289*AQ289</f>
        <v/>
      </c>
      <c r="AW289">
        <f>AR289*AT289*AQ289</f>
        <v/>
      </c>
      <c r="AX289">
        <f>AR289*AS289</f>
        <v/>
      </c>
      <c r="AY289">
        <f>AR289*AT289</f>
        <v/>
      </c>
      <c r="AZ289">
        <f>AR289*AQ289</f>
        <v/>
      </c>
      <c r="BA289">
        <f>AR289</f>
        <v/>
      </c>
      <c r="BB289">
        <f>1</f>
        <v/>
      </c>
      <c r="BC289">
        <f>IF(AV289=1,1,IF(AW289=1,2,IF(AX289=1,3,IF(AY289=1,4,IF(AZ289=1,5,IF(BA289=1,6,7))))))</f>
        <v/>
      </c>
      <c r="BD289">
        <f>IF(AD289=1,CHOOSE('Historical Score'!$C$29,AV289,AW289,AX289,AY289,AZ289,BA289,BB289),0)</f>
        <v/>
      </c>
      <c r="BE289">
        <f>IF(BD289=1,COUNTIF($BD$2:BD289,1),"")</f>
        <v/>
      </c>
    </row>
    <row r="290">
      <c r="A290" t="inlineStr">
        <is>
          <t>5674168247</t>
        </is>
      </c>
      <c r="B290" t="inlineStr">
        <is>
          <t>Shoperies NE LLC</t>
        </is>
      </c>
      <c r="C290" t="inlineStr">
        <is>
          <t>Shoperies NE LLC</t>
        </is>
      </c>
      <c r="D290" t="inlineStr">
        <is>
          <t>Lowered Payments</t>
        </is>
      </c>
      <c r="E290" s="297" t="n">
        <v>45944</v>
      </c>
      <c r="F290" s="297" t="n">
        <v>46253</v>
      </c>
      <c r="G290" t="n">
        <v>3</v>
      </c>
      <c r="H290" t="inlineStr">
        <is>
          <t>5999</t>
        </is>
      </c>
      <c r="I290" t="inlineStr">
        <is>
          <t>59</t>
        </is>
      </c>
      <c r="J290" t="inlineStr">
        <is>
          <t>MA</t>
        </is>
      </c>
      <c r="K290" t="inlineStr">
        <is>
          <t>Westwood</t>
        </is>
      </c>
      <c r="L290" t="inlineStr">
        <is>
          <t>Renewal</t>
        </is>
      </c>
      <c r="M290" s="298" t="n">
        <v>1.499</v>
      </c>
      <c r="N290" s="299" t="n">
        <v>35000</v>
      </c>
      <c r="O290" s="299" t="n">
        <v>4900</v>
      </c>
      <c r="P290" s="299" t="n">
        <v>52465</v>
      </c>
      <c r="Q290" s="299" t="n">
        <v>31716.51</v>
      </c>
      <c r="R290" s="299" t="n">
        <v>20748.49</v>
      </c>
      <c r="S290" s="300" t="n">
        <v>0.604527018012008</v>
      </c>
      <c r="T290" t="n">
        <v>2.951</v>
      </c>
      <c r="U290" t="n">
        <v>22</v>
      </c>
      <c r="V290" t="n">
        <v>109868.79</v>
      </c>
      <c r="W290" s="300" t="n">
        <v>0.1107</v>
      </c>
      <c r="X290" s="297" t="n">
        <v>43891</v>
      </c>
      <c r="Y290">
        <f>IF(I290="","No SIC",IFERROR(VLOOKUP(I290,Ref!$A$2:$B$65,2,FALSE),"Unclassified"))</f>
        <v/>
      </c>
      <c r="Z290">
        <f>IF(T290="","",IF(T290&lt;12,"Daily","Weekly"))</f>
        <v/>
      </c>
      <c r="AA290">
        <f>IF(T290="",0,IF(T290&lt;12,T290*Controls!$B$29,T290*5))</f>
        <v/>
      </c>
      <c r="AB290">
        <f>IF(E290="",0,NETWORKDAYS(E290,Controls!$B$36,Ref!$K$2:$K$42))</f>
        <v/>
      </c>
      <c r="AC290">
        <f>IF(AND(AA290&gt;0,AB290&gt;=Controls!$B$39*AA290),1,0)</f>
        <v/>
      </c>
      <c r="AD290">
        <f>IF(AND(E290&lt;&gt;"",E290&gt;=Controls!$B$37,E290&lt;=Controls!$B$38),1,0)</f>
        <v/>
      </c>
      <c r="AE290">
        <f>IF(IFERROR(VLOOKUP(D290,Controls!$A$64:$E$74,2,FALSE),"No")="Yes",1,0)</f>
        <v/>
      </c>
      <c r="AF290">
        <f>IF(IFERROR(VLOOKUP(D290,Controls!$A$64:$E$74,3,FALSE),"No")="Yes",1,0)</f>
        <v/>
      </c>
      <c r="AG290">
        <f>IF(IFERROR(VLOOKUP(D290,Controls!$A$64:$E$74,4,FALSE),"No")="Yes",1,0)</f>
        <v/>
      </c>
      <c r="AH290">
        <f>IF(IFERROR(VLOOKUP(D290,Controls!$A$64:$E$74,5,FALSE),"No")="Yes",1,0)</f>
        <v/>
      </c>
      <c r="AI290">
        <f>IF(ISNUMBER(MATCH(D290,Controls!$A$64:$A$74,0)),1,0)</f>
        <v/>
      </c>
      <c r="AJ290">
        <f>Q290-N290</f>
        <v/>
      </c>
      <c r="AK290">
        <f>IF(AE290=1,MAX(0,N290-Q290),0)</f>
        <v/>
      </c>
      <c r="AL290">
        <f>IF(OR(V290="",V290=0),0,N290/V290)</f>
        <v/>
      </c>
      <c r="AM290">
        <f>IF(OR(V290="",V290=0),0,1)</f>
        <v/>
      </c>
      <c r="AN290">
        <f>IF(OR(E290="",F290=""),0,NETWORKDAYS(E290,F290,Ref!$K$2:$K$42))</f>
        <v/>
      </c>
      <c r="AO290">
        <f>IF(L290="Renewal",1,0)</f>
        <v/>
      </c>
      <c r="AP290">
        <f>AC290*AD290</f>
        <v/>
      </c>
      <c r="AQ290">
        <f>IF(AND(G290&lt;&gt;"",'Historical Score'!$C$6&lt;&gt;""),IF(G290='Historical Score'!$C$6,1,0),0)</f>
        <v/>
      </c>
      <c r="AR290">
        <f>IF(AND(L290&lt;&gt;"",'Historical Score'!$C$5&lt;&gt;""),IF(L290='Historical Score'!$C$5,1,0),0)</f>
        <v/>
      </c>
      <c r="AS290">
        <f>IF(AND(Y290&lt;&gt;"",'Historical Score'!$C$7&lt;&gt;""),IF(Y290='Historical Score'!$C$7,1,0),0)</f>
        <v/>
      </c>
      <c r="AT290">
        <f>IF(AND(K290&lt;&gt;"",'Historical Score'!$C$8&lt;&gt;""),IF(K290='Historical Score'!$C$8,1,0),0)</f>
        <v/>
      </c>
      <c r="AU290">
        <f>IF(AND(J290&lt;&gt;"",'Historical Score'!$C$9&lt;&gt;""),IF(J290='Historical Score'!$C$9,1,0),0)</f>
        <v/>
      </c>
      <c r="AV290">
        <f>AR290*AS290*AQ290</f>
        <v/>
      </c>
      <c r="AW290">
        <f>AR290*AT290*AQ290</f>
        <v/>
      </c>
      <c r="AX290">
        <f>AR290*AS290</f>
        <v/>
      </c>
      <c r="AY290">
        <f>AR290*AT290</f>
        <v/>
      </c>
      <c r="AZ290">
        <f>AR290*AQ290</f>
        <v/>
      </c>
      <c r="BA290">
        <f>AR290</f>
        <v/>
      </c>
      <c r="BB290">
        <f>1</f>
        <v/>
      </c>
      <c r="BC290">
        <f>IF(AV290=1,1,IF(AW290=1,2,IF(AX290=1,3,IF(AY290=1,4,IF(AZ290=1,5,IF(BA290=1,6,7))))))</f>
        <v/>
      </c>
      <c r="BD290">
        <f>IF(AD290=1,CHOOSE('Historical Score'!$C$29,AV290,AW290,AX290,AY290,AZ290,BA290,BB290),0)</f>
        <v/>
      </c>
      <c r="BE290">
        <f>IF(BD290=1,COUNTIF($BD$2:BD290,1),"")</f>
        <v/>
      </c>
    </row>
    <row r="291">
      <c r="A291" t="inlineStr">
        <is>
          <t>5674168395</t>
        </is>
      </c>
      <c r="B291" t="inlineStr">
        <is>
          <t>Binxy Boy Consulting INC.</t>
        </is>
      </c>
      <c r="C291" t="inlineStr">
        <is>
          <t>Binxy Boy Consulting INC.</t>
        </is>
      </c>
      <c r="D291" t="inlineStr">
        <is>
          <t>Closed</t>
        </is>
      </c>
      <c r="E291" s="297" t="n">
        <v>45946</v>
      </c>
      <c r="F291" s="297" t="n">
        <v>46121</v>
      </c>
      <c r="G291" t="n">
        <v>1</v>
      </c>
      <c r="H291" t="inlineStr">
        <is>
          <t>1711</t>
        </is>
      </c>
      <c r="I291" t="inlineStr">
        <is>
          <t>17</t>
        </is>
      </c>
      <c r="J291" t="inlineStr">
        <is>
          <t>No state</t>
        </is>
      </c>
      <c r="K291" t="inlineStr">
        <is>
          <t>Aspire Funding</t>
        </is>
      </c>
      <c r="L291" t="inlineStr">
        <is>
          <t>New Deal</t>
        </is>
      </c>
      <c r="M291" s="298" t="n">
        <v>1.31</v>
      </c>
      <c r="N291" s="299" t="n">
        <v>8000</v>
      </c>
      <c r="O291" s="299" t="n">
        <v>80</v>
      </c>
      <c r="P291" s="299" t="n">
        <v>10480</v>
      </c>
      <c r="Q291" s="299" t="n">
        <v>10480</v>
      </c>
      <c r="R291" s="299" t="n">
        <v>0</v>
      </c>
      <c r="S291" s="300" t="n">
        <v>1</v>
      </c>
      <c r="T291" t="n">
        <v>24</v>
      </c>
      <c r="U291" t="n">
        <v>0</v>
      </c>
      <c r="V291" t="n">
        <v>21170</v>
      </c>
      <c r="W291" s="300" t="n">
        <v>0.0825</v>
      </c>
      <c r="X291" s="297" t="n">
        <v>45946</v>
      </c>
      <c r="Y291">
        <f>IF(I291="","No SIC",IFERROR(VLOOKUP(I291,Ref!$A$2:$B$65,2,FALSE),"Unclassified"))</f>
        <v/>
      </c>
      <c r="Z291">
        <f>IF(T291="","",IF(T291&lt;12,"Daily","Weekly"))</f>
        <v/>
      </c>
      <c r="AA291">
        <f>IF(T291="",0,IF(T291&lt;12,T291*Controls!$B$29,T291*5))</f>
        <v/>
      </c>
      <c r="AB291">
        <f>IF(E291="",0,NETWORKDAYS(E291,Controls!$B$36,Ref!$K$2:$K$42))</f>
        <v/>
      </c>
      <c r="AC291">
        <f>IF(AND(AA291&gt;0,AB291&gt;=Controls!$B$39*AA291),1,0)</f>
        <v/>
      </c>
      <c r="AD291">
        <f>IF(AND(E291&lt;&gt;"",E291&gt;=Controls!$B$37,E291&lt;=Controls!$B$38),1,0)</f>
        <v/>
      </c>
      <c r="AE291">
        <f>IF(IFERROR(VLOOKUP(D291,Controls!$A$64:$E$74,2,FALSE),"No")="Yes",1,0)</f>
        <v/>
      </c>
      <c r="AF291">
        <f>IF(IFERROR(VLOOKUP(D291,Controls!$A$64:$E$74,3,FALSE),"No")="Yes",1,0)</f>
        <v/>
      </c>
      <c r="AG291">
        <f>IF(IFERROR(VLOOKUP(D291,Controls!$A$64:$E$74,4,FALSE),"No")="Yes",1,0)</f>
        <v/>
      </c>
      <c r="AH291">
        <f>IF(IFERROR(VLOOKUP(D291,Controls!$A$64:$E$74,5,FALSE),"No")="Yes",1,0)</f>
        <v/>
      </c>
      <c r="AI291">
        <f>IF(ISNUMBER(MATCH(D291,Controls!$A$64:$A$74,0)),1,0)</f>
        <v/>
      </c>
      <c r="AJ291">
        <f>Q291-N291</f>
        <v/>
      </c>
      <c r="AK291">
        <f>IF(AE291=1,MAX(0,N291-Q291),0)</f>
        <v/>
      </c>
      <c r="AL291">
        <f>IF(OR(V291="",V291=0),0,N291/V291)</f>
        <v/>
      </c>
      <c r="AM291">
        <f>IF(OR(V291="",V291=0),0,1)</f>
        <v/>
      </c>
      <c r="AN291">
        <f>IF(OR(E291="",F291=""),0,NETWORKDAYS(E291,F291,Ref!$K$2:$K$42))</f>
        <v/>
      </c>
      <c r="AO291">
        <f>IF(L291="Renewal",1,0)</f>
        <v/>
      </c>
      <c r="AP291">
        <f>AC291*AD291</f>
        <v/>
      </c>
      <c r="AQ291">
        <f>IF(AND(G291&lt;&gt;"",'Historical Score'!$C$6&lt;&gt;""),IF(G291='Historical Score'!$C$6,1,0),0)</f>
        <v/>
      </c>
      <c r="AR291">
        <f>IF(AND(L291&lt;&gt;"",'Historical Score'!$C$5&lt;&gt;""),IF(L291='Historical Score'!$C$5,1,0),0)</f>
        <v/>
      </c>
      <c r="AS291">
        <f>IF(AND(Y291&lt;&gt;"",'Historical Score'!$C$7&lt;&gt;""),IF(Y291='Historical Score'!$C$7,1,0),0)</f>
        <v/>
      </c>
      <c r="AT291">
        <f>IF(AND(K291&lt;&gt;"",'Historical Score'!$C$8&lt;&gt;""),IF(K291='Historical Score'!$C$8,1,0),0)</f>
        <v/>
      </c>
      <c r="AU291">
        <f>IF(AND(J291&lt;&gt;"",'Historical Score'!$C$9&lt;&gt;""),IF(J291='Historical Score'!$C$9,1,0),0)</f>
        <v/>
      </c>
      <c r="AV291">
        <f>AR291*AS291*AQ291</f>
        <v/>
      </c>
      <c r="AW291">
        <f>AR291*AT291*AQ291</f>
        <v/>
      </c>
      <c r="AX291">
        <f>AR291*AS291</f>
        <v/>
      </c>
      <c r="AY291">
        <f>AR291*AT291</f>
        <v/>
      </c>
      <c r="AZ291">
        <f>AR291*AQ291</f>
        <v/>
      </c>
      <c r="BA291">
        <f>AR291</f>
        <v/>
      </c>
      <c r="BB291">
        <f>1</f>
        <v/>
      </c>
      <c r="BC291">
        <f>IF(AV291=1,1,IF(AW291=1,2,IF(AX291=1,3,IF(AY291=1,4,IF(AZ291=1,5,IF(BA291=1,6,7))))))</f>
        <v/>
      </c>
      <c r="BD291">
        <f>IF(AD291=1,CHOOSE('Historical Score'!$C$29,AV291,AW291,AX291,AY291,AZ291,BA291,BB291),0)</f>
        <v/>
      </c>
      <c r="BE291">
        <f>IF(BD291=1,COUNTIF($BD$2:BD291,1),"")</f>
        <v/>
      </c>
    </row>
    <row r="292">
      <c r="A292" t="inlineStr">
        <is>
          <t>5674168410</t>
        </is>
      </c>
      <c r="B292" t="inlineStr">
        <is>
          <t>BARBERIA CALLE LOIZA VILLA CAROLINA</t>
        </is>
      </c>
      <c r="C292" t="inlineStr">
        <is>
          <t>ROBERTO ROLON DELGADO</t>
        </is>
      </c>
      <c r="D292" t="inlineStr">
        <is>
          <t>Closed</t>
        </is>
      </c>
      <c r="E292" s="297" t="n">
        <v>45946</v>
      </c>
      <c r="F292" s="297" t="n">
        <v>46070</v>
      </c>
      <c r="G292" t="n">
        <v>2</v>
      </c>
      <c r="H292" t="inlineStr">
        <is>
          <t>7241</t>
        </is>
      </c>
      <c r="I292" t="inlineStr">
        <is>
          <t>72</t>
        </is>
      </c>
      <c r="J292" t="inlineStr">
        <is>
          <t>PR</t>
        </is>
      </c>
      <c r="K292" t="inlineStr">
        <is>
          <t>Siriux internacional corp</t>
        </is>
      </c>
      <c r="L292" t="inlineStr">
        <is>
          <t>New Deal</t>
        </is>
      </c>
      <c r="M292" s="298" t="n">
        <v>1.499</v>
      </c>
      <c r="N292" s="299" t="n">
        <v>15000</v>
      </c>
      <c r="O292" s="299" t="n">
        <v>2100</v>
      </c>
      <c r="P292" s="299" t="n">
        <v>22485</v>
      </c>
      <c r="Q292" s="299" t="n">
        <v>22485</v>
      </c>
      <c r="R292" s="299" t="n">
        <v>0</v>
      </c>
      <c r="S292" s="300" t="n">
        <v>1</v>
      </c>
      <c r="T292" t="n">
        <v>2.951</v>
      </c>
      <c r="U292" t="n">
        <v>0</v>
      </c>
      <c r="V292" t="n">
        <v>14958.77</v>
      </c>
      <c r="W292" s="300" t="n">
        <v>0.3507</v>
      </c>
      <c r="X292" s="297" t="n">
        <v>42309</v>
      </c>
      <c r="Y292">
        <f>IF(I292="","No SIC",IFERROR(VLOOKUP(I292,Ref!$A$2:$B$65,2,FALSE),"Unclassified"))</f>
        <v/>
      </c>
      <c r="Z292">
        <f>IF(T292="","",IF(T292&lt;12,"Daily","Weekly"))</f>
        <v/>
      </c>
      <c r="AA292">
        <f>IF(T292="",0,IF(T292&lt;12,T292*Controls!$B$29,T292*5))</f>
        <v/>
      </c>
      <c r="AB292">
        <f>IF(E292="",0,NETWORKDAYS(E292,Controls!$B$36,Ref!$K$2:$K$42))</f>
        <v/>
      </c>
      <c r="AC292">
        <f>IF(AND(AA292&gt;0,AB292&gt;=Controls!$B$39*AA292),1,0)</f>
        <v/>
      </c>
      <c r="AD292">
        <f>IF(AND(E292&lt;&gt;"",E292&gt;=Controls!$B$37,E292&lt;=Controls!$B$38),1,0)</f>
        <v/>
      </c>
      <c r="AE292">
        <f>IF(IFERROR(VLOOKUP(D292,Controls!$A$64:$E$74,2,FALSE),"No")="Yes",1,0)</f>
        <v/>
      </c>
      <c r="AF292">
        <f>IF(IFERROR(VLOOKUP(D292,Controls!$A$64:$E$74,3,FALSE),"No")="Yes",1,0)</f>
        <v/>
      </c>
      <c r="AG292">
        <f>IF(IFERROR(VLOOKUP(D292,Controls!$A$64:$E$74,4,FALSE),"No")="Yes",1,0)</f>
        <v/>
      </c>
      <c r="AH292">
        <f>IF(IFERROR(VLOOKUP(D292,Controls!$A$64:$E$74,5,FALSE),"No")="Yes",1,0)</f>
        <v/>
      </c>
      <c r="AI292">
        <f>IF(ISNUMBER(MATCH(D292,Controls!$A$64:$A$74,0)),1,0)</f>
        <v/>
      </c>
      <c r="AJ292">
        <f>Q292-N292</f>
        <v/>
      </c>
      <c r="AK292">
        <f>IF(AE292=1,MAX(0,N292-Q292),0)</f>
        <v/>
      </c>
      <c r="AL292">
        <f>IF(OR(V292="",V292=0),0,N292/V292)</f>
        <v/>
      </c>
      <c r="AM292">
        <f>IF(OR(V292="",V292=0),0,1)</f>
        <v/>
      </c>
      <c r="AN292">
        <f>IF(OR(E292="",F292=""),0,NETWORKDAYS(E292,F292,Ref!$K$2:$K$42))</f>
        <v/>
      </c>
      <c r="AO292">
        <f>IF(L292="Renewal",1,0)</f>
        <v/>
      </c>
      <c r="AP292">
        <f>AC292*AD292</f>
        <v/>
      </c>
      <c r="AQ292">
        <f>IF(AND(G292&lt;&gt;"",'Historical Score'!$C$6&lt;&gt;""),IF(G292='Historical Score'!$C$6,1,0),0)</f>
        <v/>
      </c>
      <c r="AR292">
        <f>IF(AND(L292&lt;&gt;"",'Historical Score'!$C$5&lt;&gt;""),IF(L292='Historical Score'!$C$5,1,0),0)</f>
        <v/>
      </c>
      <c r="AS292">
        <f>IF(AND(Y292&lt;&gt;"",'Historical Score'!$C$7&lt;&gt;""),IF(Y292='Historical Score'!$C$7,1,0),0)</f>
        <v/>
      </c>
      <c r="AT292">
        <f>IF(AND(K292&lt;&gt;"",'Historical Score'!$C$8&lt;&gt;""),IF(K292='Historical Score'!$C$8,1,0),0)</f>
        <v/>
      </c>
      <c r="AU292">
        <f>IF(AND(J292&lt;&gt;"",'Historical Score'!$C$9&lt;&gt;""),IF(J292='Historical Score'!$C$9,1,0),0)</f>
        <v/>
      </c>
      <c r="AV292">
        <f>AR292*AS292*AQ292</f>
        <v/>
      </c>
      <c r="AW292">
        <f>AR292*AT292*AQ292</f>
        <v/>
      </c>
      <c r="AX292">
        <f>AR292*AS292</f>
        <v/>
      </c>
      <c r="AY292">
        <f>AR292*AT292</f>
        <v/>
      </c>
      <c r="AZ292">
        <f>AR292*AQ292</f>
        <v/>
      </c>
      <c r="BA292">
        <f>AR292</f>
        <v/>
      </c>
      <c r="BB292">
        <f>1</f>
        <v/>
      </c>
      <c r="BC292">
        <f>IF(AV292=1,1,IF(AW292=1,2,IF(AX292=1,3,IF(AY292=1,4,IF(AZ292=1,5,IF(BA292=1,6,7))))))</f>
        <v/>
      </c>
      <c r="BD292">
        <f>IF(AD292=1,CHOOSE('Historical Score'!$C$29,AV292,AW292,AX292,AY292,AZ292,BA292,BB292),0)</f>
        <v/>
      </c>
      <c r="BE292">
        <f>IF(BD292=1,COUNTIF($BD$2:BD292,1),"")</f>
        <v/>
      </c>
    </row>
    <row r="293">
      <c r="A293" t="inlineStr">
        <is>
          <t>5674168427</t>
        </is>
      </c>
      <c r="B293" t="inlineStr">
        <is>
          <t>DBA EL TACO LOCO AL VAPOR</t>
        </is>
      </c>
      <c r="C293" t="inlineStr">
        <is>
          <t>DBA EL TACO LOCO AL VAPOR</t>
        </is>
      </c>
      <c r="D293" t="inlineStr">
        <is>
          <t>Closed</t>
        </is>
      </c>
      <c r="E293" s="297" t="n">
        <v>45946</v>
      </c>
      <c r="F293" s="297" t="n">
        <v>46007</v>
      </c>
      <c r="G293" t="n">
        <v>1</v>
      </c>
      <c r="H293" t="inlineStr">
        <is>
          <t>5812</t>
        </is>
      </c>
      <c r="I293" t="inlineStr">
        <is>
          <t>58</t>
        </is>
      </c>
      <c r="J293" t="inlineStr">
        <is>
          <t>TX</t>
        </is>
      </c>
      <c r="K293" t="inlineStr">
        <is>
          <t>Westwood</t>
        </is>
      </c>
      <c r="L293" t="inlineStr">
        <is>
          <t>New Deal</t>
        </is>
      </c>
      <c r="M293" s="298" t="n">
        <v>1.499</v>
      </c>
      <c r="N293" s="299" t="n">
        <v>10000</v>
      </c>
      <c r="O293" s="299" t="n">
        <v>1400</v>
      </c>
      <c r="P293" s="299" t="n">
        <v>14990</v>
      </c>
      <c r="Q293" s="299" t="n">
        <v>14990</v>
      </c>
      <c r="R293" s="299" t="n">
        <v>1.81898940354586e-12</v>
      </c>
      <c r="S293" s="300" t="n">
        <v>1</v>
      </c>
      <c r="T293" t="n">
        <v>3.279</v>
      </c>
      <c r="U293" t="n">
        <v>0</v>
      </c>
      <c r="V293" t="n">
        <v>50000</v>
      </c>
      <c r="W293" s="300" t="n">
        <v>0.0626</v>
      </c>
      <c r="X293" s="297" t="n">
        <v>44977</v>
      </c>
      <c r="Y293">
        <f>IF(I293="","No SIC",IFERROR(VLOOKUP(I293,Ref!$A$2:$B$65,2,FALSE),"Unclassified"))</f>
        <v/>
      </c>
      <c r="Z293">
        <f>IF(T293="","",IF(T293&lt;12,"Daily","Weekly"))</f>
        <v/>
      </c>
      <c r="AA293">
        <f>IF(T293="",0,IF(T293&lt;12,T293*Controls!$B$29,T293*5))</f>
        <v/>
      </c>
      <c r="AB293">
        <f>IF(E293="",0,NETWORKDAYS(E293,Controls!$B$36,Ref!$K$2:$K$42))</f>
        <v/>
      </c>
      <c r="AC293">
        <f>IF(AND(AA293&gt;0,AB293&gt;=Controls!$B$39*AA293),1,0)</f>
        <v/>
      </c>
      <c r="AD293">
        <f>IF(AND(E293&lt;&gt;"",E293&gt;=Controls!$B$37,E293&lt;=Controls!$B$38),1,0)</f>
        <v/>
      </c>
      <c r="AE293">
        <f>IF(IFERROR(VLOOKUP(D293,Controls!$A$64:$E$74,2,FALSE),"No")="Yes",1,0)</f>
        <v/>
      </c>
      <c r="AF293">
        <f>IF(IFERROR(VLOOKUP(D293,Controls!$A$64:$E$74,3,FALSE),"No")="Yes",1,0)</f>
        <v/>
      </c>
      <c r="AG293">
        <f>IF(IFERROR(VLOOKUP(D293,Controls!$A$64:$E$74,4,FALSE),"No")="Yes",1,0)</f>
        <v/>
      </c>
      <c r="AH293">
        <f>IF(IFERROR(VLOOKUP(D293,Controls!$A$64:$E$74,5,FALSE),"No")="Yes",1,0)</f>
        <v/>
      </c>
      <c r="AI293">
        <f>IF(ISNUMBER(MATCH(D293,Controls!$A$64:$A$74,0)),1,0)</f>
        <v/>
      </c>
      <c r="AJ293">
        <f>Q293-N293</f>
        <v/>
      </c>
      <c r="AK293">
        <f>IF(AE293=1,MAX(0,N293-Q293),0)</f>
        <v/>
      </c>
      <c r="AL293">
        <f>IF(OR(V293="",V293=0),0,N293/V293)</f>
        <v/>
      </c>
      <c r="AM293">
        <f>IF(OR(V293="",V293=0),0,1)</f>
        <v/>
      </c>
      <c r="AN293">
        <f>IF(OR(E293="",F293=""),0,NETWORKDAYS(E293,F293,Ref!$K$2:$K$42))</f>
        <v/>
      </c>
      <c r="AO293">
        <f>IF(L293="Renewal",1,0)</f>
        <v/>
      </c>
      <c r="AP293">
        <f>AC293*AD293</f>
        <v/>
      </c>
      <c r="AQ293">
        <f>IF(AND(G293&lt;&gt;"",'Historical Score'!$C$6&lt;&gt;""),IF(G293='Historical Score'!$C$6,1,0),0)</f>
        <v/>
      </c>
      <c r="AR293">
        <f>IF(AND(L293&lt;&gt;"",'Historical Score'!$C$5&lt;&gt;""),IF(L293='Historical Score'!$C$5,1,0),0)</f>
        <v/>
      </c>
      <c r="AS293">
        <f>IF(AND(Y293&lt;&gt;"",'Historical Score'!$C$7&lt;&gt;""),IF(Y293='Historical Score'!$C$7,1,0),0)</f>
        <v/>
      </c>
      <c r="AT293">
        <f>IF(AND(K293&lt;&gt;"",'Historical Score'!$C$8&lt;&gt;""),IF(K293='Historical Score'!$C$8,1,0),0)</f>
        <v/>
      </c>
      <c r="AU293">
        <f>IF(AND(J293&lt;&gt;"",'Historical Score'!$C$9&lt;&gt;""),IF(J293='Historical Score'!$C$9,1,0),0)</f>
        <v/>
      </c>
      <c r="AV293">
        <f>AR293*AS293*AQ293</f>
        <v/>
      </c>
      <c r="AW293">
        <f>AR293*AT293*AQ293</f>
        <v/>
      </c>
      <c r="AX293">
        <f>AR293*AS293</f>
        <v/>
      </c>
      <c r="AY293">
        <f>AR293*AT293</f>
        <v/>
      </c>
      <c r="AZ293">
        <f>AR293*AQ293</f>
        <v/>
      </c>
      <c r="BA293">
        <f>AR293</f>
        <v/>
      </c>
      <c r="BB293">
        <f>1</f>
        <v/>
      </c>
      <c r="BC293">
        <f>IF(AV293=1,1,IF(AW293=1,2,IF(AX293=1,3,IF(AY293=1,4,IF(AZ293=1,5,IF(BA293=1,6,7))))))</f>
        <v/>
      </c>
      <c r="BD293">
        <f>IF(AD293=1,CHOOSE('Historical Score'!$C$29,AV293,AW293,AX293,AY293,AZ293,BA293,BB293),0)</f>
        <v/>
      </c>
      <c r="BE293">
        <f>IF(BD293=1,COUNTIF($BD$2:BD293,1),"")</f>
        <v/>
      </c>
    </row>
    <row r="294">
      <c r="A294" t="inlineStr">
        <is>
          <t>5674168717</t>
        </is>
      </c>
      <c r="B294" t="inlineStr">
        <is>
          <t>S. Shuart Contracting, LLC</t>
        </is>
      </c>
      <c r="C294" t="inlineStr">
        <is>
          <t>S. Shuart Contracting, LLC</t>
        </is>
      </c>
      <c r="D294" t="inlineStr">
        <is>
          <t>Closed</t>
        </is>
      </c>
      <c r="E294" s="297" t="n">
        <v>45947</v>
      </c>
      <c r="F294" s="297" t="n">
        <v>46178</v>
      </c>
      <c r="G294" t="n">
        <v>2</v>
      </c>
      <c r="H294" t="inlineStr">
        <is>
          <t>1771</t>
        </is>
      </c>
      <c r="I294" t="inlineStr">
        <is>
          <t>17</t>
        </is>
      </c>
      <c r="J294" t="inlineStr">
        <is>
          <t>NJ</t>
        </is>
      </c>
      <c r="K294" t="inlineStr">
        <is>
          <t>Shore Funding USA</t>
        </is>
      </c>
      <c r="L294" t="inlineStr">
        <is>
          <t>New Deal</t>
        </is>
      </c>
      <c r="M294" s="298" t="n">
        <v>1.36</v>
      </c>
      <c r="N294" s="299" t="n">
        <v>50000</v>
      </c>
      <c r="O294" s="299" t="n">
        <v>5500</v>
      </c>
      <c r="P294" s="299" t="n">
        <v>68000</v>
      </c>
      <c r="Q294" s="299" t="n">
        <v>68000</v>
      </c>
      <c r="R294" s="299" t="n">
        <v>0</v>
      </c>
      <c r="S294" s="300" t="n">
        <v>1</v>
      </c>
      <c r="T294" t="n">
        <v>52</v>
      </c>
      <c r="U294" t="n">
        <v>0</v>
      </c>
      <c r="V294" t="n">
        <v>46372.53</v>
      </c>
      <c r="W294" s="300" t="n">
        <v>0.1128</v>
      </c>
      <c r="X294" s="297" t="n">
        <v>42979</v>
      </c>
      <c r="Y294">
        <f>IF(I294="","No SIC",IFERROR(VLOOKUP(I294,Ref!$A$2:$B$65,2,FALSE),"Unclassified"))</f>
        <v/>
      </c>
      <c r="Z294">
        <f>IF(T294="","",IF(T294&lt;12,"Daily","Weekly"))</f>
        <v/>
      </c>
      <c r="AA294">
        <f>IF(T294="",0,IF(T294&lt;12,T294*Controls!$B$29,T294*5))</f>
        <v/>
      </c>
      <c r="AB294">
        <f>IF(E294="",0,NETWORKDAYS(E294,Controls!$B$36,Ref!$K$2:$K$42))</f>
        <v/>
      </c>
      <c r="AC294">
        <f>IF(AND(AA294&gt;0,AB294&gt;=Controls!$B$39*AA294),1,0)</f>
        <v/>
      </c>
      <c r="AD294">
        <f>IF(AND(E294&lt;&gt;"",E294&gt;=Controls!$B$37,E294&lt;=Controls!$B$38),1,0)</f>
        <v/>
      </c>
      <c r="AE294">
        <f>IF(IFERROR(VLOOKUP(D294,Controls!$A$64:$E$74,2,FALSE),"No")="Yes",1,0)</f>
        <v/>
      </c>
      <c r="AF294">
        <f>IF(IFERROR(VLOOKUP(D294,Controls!$A$64:$E$74,3,FALSE),"No")="Yes",1,0)</f>
        <v/>
      </c>
      <c r="AG294">
        <f>IF(IFERROR(VLOOKUP(D294,Controls!$A$64:$E$74,4,FALSE),"No")="Yes",1,0)</f>
        <v/>
      </c>
      <c r="AH294">
        <f>IF(IFERROR(VLOOKUP(D294,Controls!$A$64:$E$74,5,FALSE),"No")="Yes",1,0)</f>
        <v/>
      </c>
      <c r="AI294">
        <f>IF(ISNUMBER(MATCH(D294,Controls!$A$64:$A$74,0)),1,0)</f>
        <v/>
      </c>
      <c r="AJ294">
        <f>Q294-N294</f>
        <v/>
      </c>
      <c r="AK294">
        <f>IF(AE294=1,MAX(0,N294-Q294),0)</f>
        <v/>
      </c>
      <c r="AL294">
        <f>IF(OR(V294="",V294=0),0,N294/V294)</f>
        <v/>
      </c>
      <c r="AM294">
        <f>IF(OR(V294="",V294=0),0,1)</f>
        <v/>
      </c>
      <c r="AN294">
        <f>IF(OR(E294="",F294=""),0,NETWORKDAYS(E294,F294,Ref!$K$2:$K$42))</f>
        <v/>
      </c>
      <c r="AO294">
        <f>IF(L294="Renewal",1,0)</f>
        <v/>
      </c>
      <c r="AP294">
        <f>AC294*AD294</f>
        <v/>
      </c>
      <c r="AQ294">
        <f>IF(AND(G294&lt;&gt;"",'Historical Score'!$C$6&lt;&gt;""),IF(G294='Historical Score'!$C$6,1,0),0)</f>
        <v/>
      </c>
      <c r="AR294">
        <f>IF(AND(L294&lt;&gt;"",'Historical Score'!$C$5&lt;&gt;""),IF(L294='Historical Score'!$C$5,1,0),0)</f>
        <v/>
      </c>
      <c r="AS294">
        <f>IF(AND(Y294&lt;&gt;"",'Historical Score'!$C$7&lt;&gt;""),IF(Y294='Historical Score'!$C$7,1,0),0)</f>
        <v/>
      </c>
      <c r="AT294">
        <f>IF(AND(K294&lt;&gt;"",'Historical Score'!$C$8&lt;&gt;""),IF(K294='Historical Score'!$C$8,1,0),0)</f>
        <v/>
      </c>
      <c r="AU294">
        <f>IF(AND(J294&lt;&gt;"",'Historical Score'!$C$9&lt;&gt;""),IF(J294='Historical Score'!$C$9,1,0),0)</f>
        <v/>
      </c>
      <c r="AV294">
        <f>AR294*AS294*AQ294</f>
        <v/>
      </c>
      <c r="AW294">
        <f>AR294*AT294*AQ294</f>
        <v/>
      </c>
      <c r="AX294">
        <f>AR294*AS294</f>
        <v/>
      </c>
      <c r="AY294">
        <f>AR294*AT294</f>
        <v/>
      </c>
      <c r="AZ294">
        <f>AR294*AQ294</f>
        <v/>
      </c>
      <c r="BA294">
        <f>AR294</f>
        <v/>
      </c>
      <c r="BB294">
        <f>1</f>
        <v/>
      </c>
      <c r="BC294">
        <f>IF(AV294=1,1,IF(AW294=1,2,IF(AX294=1,3,IF(AY294=1,4,IF(AZ294=1,5,IF(BA294=1,6,7))))))</f>
        <v/>
      </c>
      <c r="BD294">
        <f>IF(AD294=1,CHOOSE('Historical Score'!$C$29,AV294,AW294,AX294,AY294,AZ294,BA294,BB294),0)</f>
        <v/>
      </c>
      <c r="BE294">
        <f>IF(BD294=1,COUNTIF($BD$2:BD294,1),"")</f>
        <v/>
      </c>
    </row>
    <row r="295">
      <c r="A295" t="inlineStr">
        <is>
          <t>5674168782</t>
        </is>
      </c>
      <c r="B295" t="inlineStr">
        <is>
          <t>DALLAS DETAIL &amp; CONSTRUCTION</t>
        </is>
      </c>
      <c r="C295" t="inlineStr">
        <is>
          <t>DALLAS DETAIL &amp; CONSTRUCTION</t>
        </is>
      </c>
      <c r="D295" t="inlineStr">
        <is>
          <t>Legal</t>
        </is>
      </c>
      <c r="E295" s="297" t="n">
        <v>45947</v>
      </c>
      <c r="F295" s="297" t="n">
        <v>46177</v>
      </c>
      <c r="G295" t="n">
        <v>7</v>
      </c>
      <c r="H295" t="inlineStr">
        <is>
          <t>1521</t>
        </is>
      </c>
      <c r="I295" t="inlineStr">
        <is>
          <t>15</t>
        </is>
      </c>
      <c r="J295" t="inlineStr">
        <is>
          <t>TX</t>
        </is>
      </c>
      <c r="K295" t="inlineStr">
        <is>
          <t>The Funding Channel</t>
        </is>
      </c>
      <c r="L295" t="inlineStr">
        <is>
          <t>Renewal</t>
        </is>
      </c>
      <c r="M295" s="298" t="n">
        <v>1.399</v>
      </c>
      <c r="N295" s="299" t="n">
        <v>7000</v>
      </c>
      <c r="O295" s="299" t="n">
        <v>630</v>
      </c>
      <c r="P295" s="299" t="n">
        <v>9793</v>
      </c>
      <c r="Q295" s="299" t="n">
        <v>4082.62</v>
      </c>
      <c r="R295" s="299" t="n">
        <v>5710.38</v>
      </c>
      <c r="S295" s="300" t="n">
        <v>0.416891657306239</v>
      </c>
      <c r="T295" t="n">
        <v>2.951</v>
      </c>
      <c r="U295" t="n">
        <v>22</v>
      </c>
      <c r="V295" t="n">
        <v>77765.69</v>
      </c>
      <c r="W295" s="300" t="n">
        <v>0.0294</v>
      </c>
      <c r="X295" s="297" t="n">
        <v>40917</v>
      </c>
      <c r="Y295">
        <f>IF(I295="","No SIC",IFERROR(VLOOKUP(I295,Ref!$A$2:$B$65,2,FALSE),"Unclassified"))</f>
        <v/>
      </c>
      <c r="Z295">
        <f>IF(T295="","",IF(T295&lt;12,"Daily","Weekly"))</f>
        <v/>
      </c>
      <c r="AA295">
        <f>IF(T295="",0,IF(T295&lt;12,T295*Controls!$B$29,T295*5))</f>
        <v/>
      </c>
      <c r="AB295">
        <f>IF(E295="",0,NETWORKDAYS(E295,Controls!$B$36,Ref!$K$2:$K$42))</f>
        <v/>
      </c>
      <c r="AC295">
        <f>IF(AND(AA295&gt;0,AB295&gt;=Controls!$B$39*AA295),1,0)</f>
        <v/>
      </c>
      <c r="AD295">
        <f>IF(AND(E295&lt;&gt;"",E295&gt;=Controls!$B$37,E295&lt;=Controls!$B$38),1,0)</f>
        <v/>
      </c>
      <c r="AE295">
        <f>IF(IFERROR(VLOOKUP(D295,Controls!$A$64:$E$74,2,FALSE),"No")="Yes",1,0)</f>
        <v/>
      </c>
      <c r="AF295">
        <f>IF(IFERROR(VLOOKUP(D295,Controls!$A$64:$E$74,3,FALSE),"No")="Yes",1,0)</f>
        <v/>
      </c>
      <c r="AG295">
        <f>IF(IFERROR(VLOOKUP(D295,Controls!$A$64:$E$74,4,FALSE),"No")="Yes",1,0)</f>
        <v/>
      </c>
      <c r="AH295">
        <f>IF(IFERROR(VLOOKUP(D295,Controls!$A$64:$E$74,5,FALSE),"No")="Yes",1,0)</f>
        <v/>
      </c>
      <c r="AI295">
        <f>IF(ISNUMBER(MATCH(D295,Controls!$A$64:$A$74,0)),1,0)</f>
        <v/>
      </c>
      <c r="AJ295">
        <f>Q295-N295</f>
        <v/>
      </c>
      <c r="AK295">
        <f>IF(AE295=1,MAX(0,N295-Q295),0)</f>
        <v/>
      </c>
      <c r="AL295">
        <f>IF(OR(V295="",V295=0),0,N295/V295)</f>
        <v/>
      </c>
      <c r="AM295">
        <f>IF(OR(V295="",V295=0),0,1)</f>
        <v/>
      </c>
      <c r="AN295">
        <f>IF(OR(E295="",F295=""),0,NETWORKDAYS(E295,F295,Ref!$K$2:$K$42))</f>
        <v/>
      </c>
      <c r="AO295">
        <f>IF(L295="Renewal",1,0)</f>
        <v/>
      </c>
      <c r="AP295">
        <f>AC295*AD295</f>
        <v/>
      </c>
      <c r="AQ295">
        <f>IF(AND(G295&lt;&gt;"",'Historical Score'!$C$6&lt;&gt;""),IF(G295='Historical Score'!$C$6,1,0),0)</f>
        <v/>
      </c>
      <c r="AR295">
        <f>IF(AND(L295&lt;&gt;"",'Historical Score'!$C$5&lt;&gt;""),IF(L295='Historical Score'!$C$5,1,0),0)</f>
        <v/>
      </c>
      <c r="AS295">
        <f>IF(AND(Y295&lt;&gt;"",'Historical Score'!$C$7&lt;&gt;""),IF(Y295='Historical Score'!$C$7,1,0),0)</f>
        <v/>
      </c>
      <c r="AT295">
        <f>IF(AND(K295&lt;&gt;"",'Historical Score'!$C$8&lt;&gt;""),IF(K295='Historical Score'!$C$8,1,0),0)</f>
        <v/>
      </c>
      <c r="AU295">
        <f>IF(AND(J295&lt;&gt;"",'Historical Score'!$C$9&lt;&gt;""),IF(J295='Historical Score'!$C$9,1,0),0)</f>
        <v/>
      </c>
      <c r="AV295">
        <f>AR295*AS295*AQ295</f>
        <v/>
      </c>
      <c r="AW295">
        <f>AR295*AT295*AQ295</f>
        <v/>
      </c>
      <c r="AX295">
        <f>AR295*AS295</f>
        <v/>
      </c>
      <c r="AY295">
        <f>AR295*AT295</f>
        <v/>
      </c>
      <c r="AZ295">
        <f>AR295*AQ295</f>
        <v/>
      </c>
      <c r="BA295">
        <f>AR295</f>
        <v/>
      </c>
      <c r="BB295">
        <f>1</f>
        <v/>
      </c>
      <c r="BC295">
        <f>IF(AV295=1,1,IF(AW295=1,2,IF(AX295=1,3,IF(AY295=1,4,IF(AZ295=1,5,IF(BA295=1,6,7))))))</f>
        <v/>
      </c>
      <c r="BD295">
        <f>IF(AD295=1,CHOOSE('Historical Score'!$C$29,AV295,AW295,AX295,AY295,AZ295,BA295,BB295),0)</f>
        <v/>
      </c>
      <c r="BE295">
        <f>IF(BD295=1,COUNTIF($BD$2:BD295,1),"")</f>
        <v/>
      </c>
    </row>
    <row r="296">
      <c r="A296" t="inlineStr">
        <is>
          <t>5674168787</t>
        </is>
      </c>
      <c r="B296" t="inlineStr">
        <is>
          <t>CCC TREE SERVICE INC</t>
        </is>
      </c>
      <c r="C296" t="inlineStr">
        <is>
          <t>CCC TREE SERVICE INC</t>
        </is>
      </c>
      <c r="D296" t="inlineStr">
        <is>
          <t>Legal</t>
        </is>
      </c>
      <c r="E296" s="297" t="n">
        <v>45947</v>
      </c>
      <c r="F296" s="297" t="n">
        <v>46154</v>
      </c>
      <c r="G296" t="n">
        <v>2</v>
      </c>
      <c r="H296" t="inlineStr">
        <is>
          <t>0851</t>
        </is>
      </c>
      <c r="I296" t="inlineStr">
        <is>
          <t>08</t>
        </is>
      </c>
      <c r="J296" t="inlineStr">
        <is>
          <t>NC</t>
        </is>
      </c>
      <c r="K296" t="inlineStr">
        <is>
          <t>United Secured Capital 8</t>
        </is>
      </c>
      <c r="L296" t="inlineStr">
        <is>
          <t>New Deal</t>
        </is>
      </c>
      <c r="M296" s="298" t="n">
        <v>1.49</v>
      </c>
      <c r="N296" s="299" t="n">
        <v>5000</v>
      </c>
      <c r="O296" s="299" t="n">
        <v>700</v>
      </c>
      <c r="P296" s="299" t="n">
        <v>7450</v>
      </c>
      <c r="Q296" s="299" t="n">
        <v>1024.32</v>
      </c>
      <c r="R296" s="299" t="n">
        <v>6425.68</v>
      </c>
      <c r="S296" s="300" t="n">
        <v>0.137492617449664</v>
      </c>
      <c r="T296" t="n">
        <v>2.623</v>
      </c>
      <c r="U296" t="n">
        <v>17</v>
      </c>
      <c r="V296" t="n">
        <v>8757.459999999999</v>
      </c>
      <c r="W296" s="300" t="n">
        <v>0.2233</v>
      </c>
      <c r="X296" s="297" t="n"/>
      <c r="Y296">
        <f>IF(I296="","No SIC",IFERROR(VLOOKUP(I296,Ref!$A$2:$B$65,2,FALSE),"Unclassified"))</f>
        <v/>
      </c>
      <c r="Z296">
        <f>IF(T296="","",IF(T296&lt;12,"Daily","Weekly"))</f>
        <v/>
      </c>
      <c r="AA296">
        <f>IF(T296="",0,IF(T296&lt;12,T296*Controls!$B$29,T296*5))</f>
        <v/>
      </c>
      <c r="AB296">
        <f>IF(E296="",0,NETWORKDAYS(E296,Controls!$B$36,Ref!$K$2:$K$42))</f>
        <v/>
      </c>
      <c r="AC296">
        <f>IF(AND(AA296&gt;0,AB296&gt;=Controls!$B$39*AA296),1,0)</f>
        <v/>
      </c>
      <c r="AD296">
        <f>IF(AND(E296&lt;&gt;"",E296&gt;=Controls!$B$37,E296&lt;=Controls!$B$38),1,0)</f>
        <v/>
      </c>
      <c r="AE296">
        <f>IF(IFERROR(VLOOKUP(D296,Controls!$A$64:$E$74,2,FALSE),"No")="Yes",1,0)</f>
        <v/>
      </c>
      <c r="AF296">
        <f>IF(IFERROR(VLOOKUP(D296,Controls!$A$64:$E$74,3,FALSE),"No")="Yes",1,0)</f>
        <v/>
      </c>
      <c r="AG296">
        <f>IF(IFERROR(VLOOKUP(D296,Controls!$A$64:$E$74,4,FALSE),"No")="Yes",1,0)</f>
        <v/>
      </c>
      <c r="AH296">
        <f>IF(IFERROR(VLOOKUP(D296,Controls!$A$64:$E$74,5,FALSE),"No")="Yes",1,0)</f>
        <v/>
      </c>
      <c r="AI296">
        <f>IF(ISNUMBER(MATCH(D296,Controls!$A$64:$A$74,0)),1,0)</f>
        <v/>
      </c>
      <c r="AJ296">
        <f>Q296-N296</f>
        <v/>
      </c>
      <c r="AK296">
        <f>IF(AE296=1,MAX(0,N296-Q296),0)</f>
        <v/>
      </c>
      <c r="AL296">
        <f>IF(OR(V296="",V296=0),0,N296/V296)</f>
        <v/>
      </c>
      <c r="AM296">
        <f>IF(OR(V296="",V296=0),0,1)</f>
        <v/>
      </c>
      <c r="AN296">
        <f>IF(OR(E296="",F296=""),0,NETWORKDAYS(E296,F296,Ref!$K$2:$K$42))</f>
        <v/>
      </c>
      <c r="AO296">
        <f>IF(L296="Renewal",1,0)</f>
        <v/>
      </c>
      <c r="AP296">
        <f>AC296*AD296</f>
        <v/>
      </c>
      <c r="AQ296">
        <f>IF(AND(G296&lt;&gt;"",'Historical Score'!$C$6&lt;&gt;""),IF(G296='Historical Score'!$C$6,1,0),0)</f>
        <v/>
      </c>
      <c r="AR296">
        <f>IF(AND(L296&lt;&gt;"",'Historical Score'!$C$5&lt;&gt;""),IF(L296='Historical Score'!$C$5,1,0),0)</f>
        <v/>
      </c>
      <c r="AS296">
        <f>IF(AND(Y296&lt;&gt;"",'Historical Score'!$C$7&lt;&gt;""),IF(Y296='Historical Score'!$C$7,1,0),0)</f>
        <v/>
      </c>
      <c r="AT296">
        <f>IF(AND(K296&lt;&gt;"",'Historical Score'!$C$8&lt;&gt;""),IF(K296='Historical Score'!$C$8,1,0),0)</f>
        <v/>
      </c>
      <c r="AU296">
        <f>IF(AND(J296&lt;&gt;"",'Historical Score'!$C$9&lt;&gt;""),IF(J296='Historical Score'!$C$9,1,0),0)</f>
        <v/>
      </c>
      <c r="AV296">
        <f>AR296*AS296*AQ296</f>
        <v/>
      </c>
      <c r="AW296">
        <f>AR296*AT296*AQ296</f>
        <v/>
      </c>
      <c r="AX296">
        <f>AR296*AS296</f>
        <v/>
      </c>
      <c r="AY296">
        <f>AR296*AT296</f>
        <v/>
      </c>
      <c r="AZ296">
        <f>AR296*AQ296</f>
        <v/>
      </c>
      <c r="BA296">
        <f>AR296</f>
        <v/>
      </c>
      <c r="BB296">
        <f>1</f>
        <v/>
      </c>
      <c r="BC296">
        <f>IF(AV296=1,1,IF(AW296=1,2,IF(AX296=1,3,IF(AY296=1,4,IF(AZ296=1,5,IF(BA296=1,6,7))))))</f>
        <v/>
      </c>
      <c r="BD296">
        <f>IF(AD296=1,CHOOSE('Historical Score'!$C$29,AV296,AW296,AX296,AY296,AZ296,BA296,BB296),0)</f>
        <v/>
      </c>
      <c r="BE296">
        <f>IF(BD296=1,COUNTIF($BD$2:BD296,1),"")</f>
        <v/>
      </c>
    </row>
    <row r="297">
      <c r="A297" t="inlineStr">
        <is>
          <t>5674168835</t>
        </is>
      </c>
      <c r="B297" t="inlineStr">
        <is>
          <t>503 BUILDERS LLC</t>
        </is>
      </c>
      <c r="C297" t="inlineStr">
        <is>
          <t>503 Builders LLC</t>
        </is>
      </c>
      <c r="D297" t="inlineStr">
        <is>
          <t>Closed</t>
        </is>
      </c>
      <c r="E297" s="297" t="n">
        <v>45950</v>
      </c>
      <c r="F297" s="297" t="n">
        <v>46020</v>
      </c>
      <c r="G297" t="n">
        <v>5</v>
      </c>
      <c r="H297" t="inlineStr">
        <is>
          <t>1521</t>
        </is>
      </c>
      <c r="I297" t="inlineStr">
        <is>
          <t>15</t>
        </is>
      </c>
      <c r="J297" t="inlineStr">
        <is>
          <t>OR</t>
        </is>
      </c>
      <c r="K297" t="inlineStr">
        <is>
          <t>Biz fuel</t>
        </is>
      </c>
      <c r="L297" t="inlineStr">
        <is>
          <t>Renewal</t>
        </is>
      </c>
      <c r="M297" s="298" t="n">
        <v>1.499</v>
      </c>
      <c r="N297" s="299" t="n">
        <v>30000</v>
      </c>
      <c r="O297" s="299" t="n">
        <v>4200</v>
      </c>
      <c r="P297" s="299" t="n">
        <v>44970</v>
      </c>
      <c r="Q297" s="299" t="n">
        <v>44970</v>
      </c>
      <c r="R297" s="299" t="n">
        <v>0</v>
      </c>
      <c r="S297" s="300" t="n">
        <v>1</v>
      </c>
      <c r="T297" t="n">
        <v>2.951</v>
      </c>
      <c r="U297" t="n">
        <v>0</v>
      </c>
      <c r="V297" t="n">
        <v>64267.19</v>
      </c>
      <c r="W297" s="300" t="n">
        <v>0.1479</v>
      </c>
      <c r="X297" s="297" t="n">
        <v>44367</v>
      </c>
      <c r="Y297">
        <f>IF(I297="","No SIC",IFERROR(VLOOKUP(I297,Ref!$A$2:$B$65,2,FALSE),"Unclassified"))</f>
        <v/>
      </c>
      <c r="Z297">
        <f>IF(T297="","",IF(T297&lt;12,"Daily","Weekly"))</f>
        <v/>
      </c>
      <c r="AA297">
        <f>IF(T297="",0,IF(T297&lt;12,T297*Controls!$B$29,T297*5))</f>
        <v/>
      </c>
      <c r="AB297">
        <f>IF(E297="",0,NETWORKDAYS(E297,Controls!$B$36,Ref!$K$2:$K$42))</f>
        <v/>
      </c>
      <c r="AC297">
        <f>IF(AND(AA297&gt;0,AB297&gt;=Controls!$B$39*AA297),1,0)</f>
        <v/>
      </c>
      <c r="AD297">
        <f>IF(AND(E297&lt;&gt;"",E297&gt;=Controls!$B$37,E297&lt;=Controls!$B$38),1,0)</f>
        <v/>
      </c>
      <c r="AE297">
        <f>IF(IFERROR(VLOOKUP(D297,Controls!$A$64:$E$74,2,FALSE),"No")="Yes",1,0)</f>
        <v/>
      </c>
      <c r="AF297">
        <f>IF(IFERROR(VLOOKUP(D297,Controls!$A$64:$E$74,3,FALSE),"No")="Yes",1,0)</f>
        <v/>
      </c>
      <c r="AG297">
        <f>IF(IFERROR(VLOOKUP(D297,Controls!$A$64:$E$74,4,FALSE),"No")="Yes",1,0)</f>
        <v/>
      </c>
      <c r="AH297">
        <f>IF(IFERROR(VLOOKUP(D297,Controls!$A$64:$E$74,5,FALSE),"No")="Yes",1,0)</f>
        <v/>
      </c>
      <c r="AI297">
        <f>IF(ISNUMBER(MATCH(D297,Controls!$A$64:$A$74,0)),1,0)</f>
        <v/>
      </c>
      <c r="AJ297">
        <f>Q297-N297</f>
        <v/>
      </c>
      <c r="AK297">
        <f>IF(AE297=1,MAX(0,N297-Q297),0)</f>
        <v/>
      </c>
      <c r="AL297">
        <f>IF(OR(V297="",V297=0),0,N297/V297)</f>
        <v/>
      </c>
      <c r="AM297">
        <f>IF(OR(V297="",V297=0),0,1)</f>
        <v/>
      </c>
      <c r="AN297">
        <f>IF(OR(E297="",F297=""),0,NETWORKDAYS(E297,F297,Ref!$K$2:$K$42))</f>
        <v/>
      </c>
      <c r="AO297">
        <f>IF(L297="Renewal",1,0)</f>
        <v/>
      </c>
      <c r="AP297">
        <f>AC297*AD297</f>
        <v/>
      </c>
      <c r="AQ297">
        <f>IF(AND(G297&lt;&gt;"",'Historical Score'!$C$6&lt;&gt;""),IF(G297='Historical Score'!$C$6,1,0),0)</f>
        <v/>
      </c>
      <c r="AR297">
        <f>IF(AND(L297&lt;&gt;"",'Historical Score'!$C$5&lt;&gt;""),IF(L297='Historical Score'!$C$5,1,0),0)</f>
        <v/>
      </c>
      <c r="AS297">
        <f>IF(AND(Y297&lt;&gt;"",'Historical Score'!$C$7&lt;&gt;""),IF(Y297='Historical Score'!$C$7,1,0),0)</f>
        <v/>
      </c>
      <c r="AT297">
        <f>IF(AND(K297&lt;&gt;"",'Historical Score'!$C$8&lt;&gt;""),IF(K297='Historical Score'!$C$8,1,0),0)</f>
        <v/>
      </c>
      <c r="AU297">
        <f>IF(AND(J297&lt;&gt;"",'Historical Score'!$C$9&lt;&gt;""),IF(J297='Historical Score'!$C$9,1,0),0)</f>
        <v/>
      </c>
      <c r="AV297">
        <f>AR297*AS297*AQ297</f>
        <v/>
      </c>
      <c r="AW297">
        <f>AR297*AT297*AQ297</f>
        <v/>
      </c>
      <c r="AX297">
        <f>AR297*AS297</f>
        <v/>
      </c>
      <c r="AY297">
        <f>AR297*AT297</f>
        <v/>
      </c>
      <c r="AZ297">
        <f>AR297*AQ297</f>
        <v/>
      </c>
      <c r="BA297">
        <f>AR297</f>
        <v/>
      </c>
      <c r="BB297">
        <f>1</f>
        <v/>
      </c>
      <c r="BC297">
        <f>IF(AV297=1,1,IF(AW297=1,2,IF(AX297=1,3,IF(AY297=1,4,IF(AZ297=1,5,IF(BA297=1,6,7))))))</f>
        <v/>
      </c>
      <c r="BD297">
        <f>IF(AD297=1,CHOOSE('Historical Score'!$C$29,AV297,AW297,AX297,AY297,AZ297,BA297,BB297),0)</f>
        <v/>
      </c>
      <c r="BE297">
        <f>IF(BD297=1,COUNTIF($BD$2:BD297,1),"")</f>
        <v/>
      </c>
    </row>
    <row r="298">
      <c r="A298" t="inlineStr">
        <is>
          <t>5674168872</t>
        </is>
      </c>
      <c r="B298" t="inlineStr">
        <is>
          <t>Blue Mountain Heating &amp; Air</t>
        </is>
      </c>
      <c r="C298" t="inlineStr">
        <is>
          <t>Blue Mountain Heating &amp; Air</t>
        </is>
      </c>
      <c r="D298" t="inlineStr">
        <is>
          <t>In House Collection</t>
        </is>
      </c>
      <c r="E298" s="297" t="n">
        <v>45950</v>
      </c>
      <c r="F298" s="297" t="n">
        <v>46171</v>
      </c>
      <c r="G298" t="n">
        <v>2</v>
      </c>
      <c r="H298" t="inlineStr">
        <is>
          <t>1711</t>
        </is>
      </c>
      <c r="I298" t="inlineStr">
        <is>
          <t>17</t>
        </is>
      </c>
      <c r="J298" t="inlineStr">
        <is>
          <t>GA</t>
        </is>
      </c>
      <c r="K298" t="inlineStr">
        <is>
          <t>United Secured Capital 8</t>
        </is>
      </c>
      <c r="L298" t="inlineStr">
        <is>
          <t>New Deal</t>
        </is>
      </c>
      <c r="M298" s="298" t="n">
        <v>1.499</v>
      </c>
      <c r="N298" s="299" t="n">
        <v>10000</v>
      </c>
      <c r="O298" s="299" t="n">
        <v>1400</v>
      </c>
      <c r="P298" s="299" t="n">
        <v>14990</v>
      </c>
      <c r="Q298" s="299" t="n">
        <v>3576.96</v>
      </c>
      <c r="R298" s="299" t="n">
        <v>11413.04</v>
      </c>
      <c r="S298" s="300" t="n">
        <v>0.238623082054703</v>
      </c>
      <c r="T298" t="n">
        <v>2.459</v>
      </c>
      <c r="U298" t="n">
        <v>7</v>
      </c>
      <c r="V298" t="n">
        <v>33817.98</v>
      </c>
      <c r="W298" s="300" t="n">
        <v>0.1234</v>
      </c>
      <c r="X298" s="297" t="n">
        <v>36892</v>
      </c>
      <c r="Y298">
        <f>IF(I298="","No SIC",IFERROR(VLOOKUP(I298,Ref!$A$2:$B$65,2,FALSE),"Unclassified"))</f>
        <v/>
      </c>
      <c r="Z298">
        <f>IF(T298="","",IF(T298&lt;12,"Daily","Weekly"))</f>
        <v/>
      </c>
      <c r="AA298">
        <f>IF(T298="",0,IF(T298&lt;12,T298*Controls!$B$29,T298*5))</f>
        <v/>
      </c>
      <c r="AB298">
        <f>IF(E298="",0,NETWORKDAYS(E298,Controls!$B$36,Ref!$K$2:$K$42))</f>
        <v/>
      </c>
      <c r="AC298">
        <f>IF(AND(AA298&gt;0,AB298&gt;=Controls!$B$39*AA298),1,0)</f>
        <v/>
      </c>
      <c r="AD298">
        <f>IF(AND(E298&lt;&gt;"",E298&gt;=Controls!$B$37,E298&lt;=Controls!$B$38),1,0)</f>
        <v/>
      </c>
      <c r="AE298">
        <f>IF(IFERROR(VLOOKUP(D298,Controls!$A$64:$E$74,2,FALSE),"No")="Yes",1,0)</f>
        <v/>
      </c>
      <c r="AF298">
        <f>IF(IFERROR(VLOOKUP(D298,Controls!$A$64:$E$74,3,FALSE),"No")="Yes",1,0)</f>
        <v/>
      </c>
      <c r="AG298">
        <f>IF(IFERROR(VLOOKUP(D298,Controls!$A$64:$E$74,4,FALSE),"No")="Yes",1,0)</f>
        <v/>
      </c>
      <c r="AH298">
        <f>IF(IFERROR(VLOOKUP(D298,Controls!$A$64:$E$74,5,FALSE),"No")="Yes",1,0)</f>
        <v/>
      </c>
      <c r="AI298">
        <f>IF(ISNUMBER(MATCH(D298,Controls!$A$64:$A$74,0)),1,0)</f>
        <v/>
      </c>
      <c r="AJ298">
        <f>Q298-N298</f>
        <v/>
      </c>
      <c r="AK298">
        <f>IF(AE298=1,MAX(0,N298-Q298),0)</f>
        <v/>
      </c>
      <c r="AL298">
        <f>IF(OR(V298="",V298=0),0,N298/V298)</f>
        <v/>
      </c>
      <c r="AM298">
        <f>IF(OR(V298="",V298=0),0,1)</f>
        <v/>
      </c>
      <c r="AN298">
        <f>IF(OR(E298="",F298=""),0,NETWORKDAYS(E298,F298,Ref!$K$2:$K$42))</f>
        <v/>
      </c>
      <c r="AO298">
        <f>IF(L298="Renewal",1,0)</f>
        <v/>
      </c>
      <c r="AP298">
        <f>AC298*AD298</f>
        <v/>
      </c>
      <c r="AQ298">
        <f>IF(AND(G298&lt;&gt;"",'Historical Score'!$C$6&lt;&gt;""),IF(G298='Historical Score'!$C$6,1,0),0)</f>
        <v/>
      </c>
      <c r="AR298">
        <f>IF(AND(L298&lt;&gt;"",'Historical Score'!$C$5&lt;&gt;""),IF(L298='Historical Score'!$C$5,1,0),0)</f>
        <v/>
      </c>
      <c r="AS298">
        <f>IF(AND(Y298&lt;&gt;"",'Historical Score'!$C$7&lt;&gt;""),IF(Y298='Historical Score'!$C$7,1,0),0)</f>
        <v/>
      </c>
      <c r="AT298">
        <f>IF(AND(K298&lt;&gt;"",'Historical Score'!$C$8&lt;&gt;""),IF(K298='Historical Score'!$C$8,1,0),0)</f>
        <v/>
      </c>
      <c r="AU298">
        <f>IF(AND(J298&lt;&gt;"",'Historical Score'!$C$9&lt;&gt;""),IF(J298='Historical Score'!$C$9,1,0),0)</f>
        <v/>
      </c>
      <c r="AV298">
        <f>AR298*AS298*AQ298</f>
        <v/>
      </c>
      <c r="AW298">
        <f>AR298*AT298*AQ298</f>
        <v/>
      </c>
      <c r="AX298">
        <f>AR298*AS298</f>
        <v/>
      </c>
      <c r="AY298">
        <f>AR298*AT298</f>
        <v/>
      </c>
      <c r="AZ298">
        <f>AR298*AQ298</f>
        <v/>
      </c>
      <c r="BA298">
        <f>AR298</f>
        <v/>
      </c>
      <c r="BB298">
        <f>1</f>
        <v/>
      </c>
      <c r="BC298">
        <f>IF(AV298=1,1,IF(AW298=1,2,IF(AX298=1,3,IF(AY298=1,4,IF(AZ298=1,5,IF(BA298=1,6,7))))))</f>
        <v/>
      </c>
      <c r="BD298">
        <f>IF(AD298=1,CHOOSE('Historical Score'!$C$29,AV298,AW298,AX298,AY298,AZ298,BA298,BB298),0)</f>
        <v/>
      </c>
      <c r="BE298">
        <f>IF(BD298=1,COUNTIF($BD$2:BD298,1),"")</f>
        <v/>
      </c>
    </row>
    <row r="299">
      <c r="A299" t="inlineStr">
        <is>
          <t>5674168907</t>
        </is>
      </c>
      <c r="B299" t="inlineStr">
        <is>
          <t>Awnings R Us</t>
        </is>
      </c>
      <c r="C299" t="inlineStr">
        <is>
          <t>Awnings R Us</t>
        </is>
      </c>
      <c r="D299" t="inlineStr">
        <is>
          <t>Legal</t>
        </is>
      </c>
      <c r="E299" s="297" t="n">
        <v>45951</v>
      </c>
      <c r="F299" s="297" t="n">
        <v>45981</v>
      </c>
      <c r="G299" t="n">
        <v>2</v>
      </c>
      <c r="H299" t="inlineStr">
        <is>
          <t>3524</t>
        </is>
      </c>
      <c r="I299" t="inlineStr">
        <is>
          <t>35</t>
        </is>
      </c>
      <c r="J299" t="inlineStr">
        <is>
          <t>MD</t>
        </is>
      </c>
      <c r="K299" t="inlineStr">
        <is>
          <t>Redline Capital</t>
        </is>
      </c>
      <c r="L299" t="inlineStr">
        <is>
          <t>New Deal</t>
        </is>
      </c>
      <c r="M299" s="298" t="n">
        <v>1.499</v>
      </c>
      <c r="N299" s="299" t="n">
        <v>22000</v>
      </c>
      <c r="O299" s="299" t="n">
        <v>0</v>
      </c>
      <c r="P299" s="299" t="n">
        <v>32978</v>
      </c>
      <c r="Q299" s="299" t="n">
        <v>1966.14</v>
      </c>
      <c r="R299" s="299" t="n">
        <v>31011.86</v>
      </c>
      <c r="S299" s="300" t="n">
        <v>0.0596197464976651</v>
      </c>
      <c r="T299" t="n">
        <v>3.279</v>
      </c>
      <c r="U299" t="n">
        <v>14</v>
      </c>
      <c r="V299" t="n">
        <v>52690.8</v>
      </c>
      <c r="W299" s="300" t="n">
        <v>0.1306</v>
      </c>
      <c r="X299" s="297" t="n">
        <v>44782</v>
      </c>
      <c r="Y299">
        <f>IF(I299="","No SIC",IFERROR(VLOOKUP(I299,Ref!$A$2:$B$65,2,FALSE),"Unclassified"))</f>
        <v/>
      </c>
      <c r="Z299">
        <f>IF(T299="","",IF(T299&lt;12,"Daily","Weekly"))</f>
        <v/>
      </c>
      <c r="AA299">
        <f>IF(T299="",0,IF(T299&lt;12,T299*Controls!$B$29,T299*5))</f>
        <v/>
      </c>
      <c r="AB299">
        <f>IF(E299="",0,NETWORKDAYS(E299,Controls!$B$36,Ref!$K$2:$K$42))</f>
        <v/>
      </c>
      <c r="AC299">
        <f>IF(AND(AA299&gt;0,AB299&gt;=Controls!$B$39*AA299),1,0)</f>
        <v/>
      </c>
      <c r="AD299">
        <f>IF(AND(E299&lt;&gt;"",E299&gt;=Controls!$B$37,E299&lt;=Controls!$B$38),1,0)</f>
        <v/>
      </c>
      <c r="AE299">
        <f>IF(IFERROR(VLOOKUP(D299,Controls!$A$64:$E$74,2,FALSE),"No")="Yes",1,0)</f>
        <v/>
      </c>
      <c r="AF299">
        <f>IF(IFERROR(VLOOKUP(D299,Controls!$A$64:$E$74,3,FALSE),"No")="Yes",1,0)</f>
        <v/>
      </c>
      <c r="AG299">
        <f>IF(IFERROR(VLOOKUP(D299,Controls!$A$64:$E$74,4,FALSE),"No")="Yes",1,0)</f>
        <v/>
      </c>
      <c r="AH299">
        <f>IF(IFERROR(VLOOKUP(D299,Controls!$A$64:$E$74,5,FALSE),"No")="Yes",1,0)</f>
        <v/>
      </c>
      <c r="AI299">
        <f>IF(ISNUMBER(MATCH(D299,Controls!$A$64:$A$74,0)),1,0)</f>
        <v/>
      </c>
      <c r="AJ299">
        <f>Q299-N299</f>
        <v/>
      </c>
      <c r="AK299">
        <f>IF(AE299=1,MAX(0,N299-Q299),0)</f>
        <v/>
      </c>
      <c r="AL299">
        <f>IF(OR(V299="",V299=0),0,N299/V299)</f>
        <v/>
      </c>
      <c r="AM299">
        <f>IF(OR(V299="",V299=0),0,1)</f>
        <v/>
      </c>
      <c r="AN299">
        <f>IF(OR(E299="",F299=""),0,NETWORKDAYS(E299,F299,Ref!$K$2:$K$42))</f>
        <v/>
      </c>
      <c r="AO299">
        <f>IF(L299="Renewal",1,0)</f>
        <v/>
      </c>
      <c r="AP299">
        <f>AC299*AD299</f>
        <v/>
      </c>
      <c r="AQ299">
        <f>IF(AND(G299&lt;&gt;"",'Historical Score'!$C$6&lt;&gt;""),IF(G299='Historical Score'!$C$6,1,0),0)</f>
        <v/>
      </c>
      <c r="AR299">
        <f>IF(AND(L299&lt;&gt;"",'Historical Score'!$C$5&lt;&gt;""),IF(L299='Historical Score'!$C$5,1,0),0)</f>
        <v/>
      </c>
      <c r="AS299">
        <f>IF(AND(Y299&lt;&gt;"",'Historical Score'!$C$7&lt;&gt;""),IF(Y299='Historical Score'!$C$7,1,0),0)</f>
        <v/>
      </c>
      <c r="AT299">
        <f>IF(AND(K299&lt;&gt;"",'Historical Score'!$C$8&lt;&gt;""),IF(K299='Historical Score'!$C$8,1,0),0)</f>
        <v/>
      </c>
      <c r="AU299">
        <f>IF(AND(J299&lt;&gt;"",'Historical Score'!$C$9&lt;&gt;""),IF(J299='Historical Score'!$C$9,1,0),0)</f>
        <v/>
      </c>
      <c r="AV299">
        <f>AR299*AS299*AQ299</f>
        <v/>
      </c>
      <c r="AW299">
        <f>AR299*AT299*AQ299</f>
        <v/>
      </c>
      <c r="AX299">
        <f>AR299*AS299</f>
        <v/>
      </c>
      <c r="AY299">
        <f>AR299*AT299</f>
        <v/>
      </c>
      <c r="AZ299">
        <f>AR299*AQ299</f>
        <v/>
      </c>
      <c r="BA299">
        <f>AR299</f>
        <v/>
      </c>
      <c r="BB299">
        <f>1</f>
        <v/>
      </c>
      <c r="BC299">
        <f>IF(AV299=1,1,IF(AW299=1,2,IF(AX299=1,3,IF(AY299=1,4,IF(AZ299=1,5,IF(BA299=1,6,7))))))</f>
        <v/>
      </c>
      <c r="BD299">
        <f>IF(AD299=1,CHOOSE('Historical Score'!$C$29,AV299,AW299,AX299,AY299,AZ299,BA299,BB299),0)</f>
        <v/>
      </c>
      <c r="BE299">
        <f>IF(BD299=1,COUNTIF($BD$2:BD299,1),"")</f>
        <v/>
      </c>
    </row>
    <row r="300">
      <c r="A300" t="inlineStr">
        <is>
          <t>5674168912</t>
        </is>
      </c>
      <c r="B300" t="inlineStr">
        <is>
          <t>KHEPRA'S RAW FOOD JUICE BAR</t>
        </is>
      </c>
      <c r="C300" t="inlineStr">
        <is>
          <t>KHEPRA ANU SOLE PROP</t>
        </is>
      </c>
      <c r="D300" t="inlineStr">
        <is>
          <t>Legal</t>
        </is>
      </c>
      <c r="E300" s="297" t="n">
        <v>45951</v>
      </c>
      <c r="F300" s="297" t="n">
        <v>45980</v>
      </c>
      <c r="G300" t="n">
        <v>2</v>
      </c>
      <c r="H300" t="inlineStr">
        <is>
          <t>5812</t>
        </is>
      </c>
      <c r="I300" t="inlineStr">
        <is>
          <t>58</t>
        </is>
      </c>
      <c r="J300" t="inlineStr">
        <is>
          <t>DC</t>
        </is>
      </c>
      <c r="K300" t="inlineStr">
        <is>
          <t>United Secured Capital 8</t>
        </is>
      </c>
      <c r="L300" t="inlineStr">
        <is>
          <t>New Deal</t>
        </is>
      </c>
      <c r="M300" s="298" t="n">
        <v>1.5</v>
      </c>
      <c r="N300" s="299" t="n">
        <v>12500</v>
      </c>
      <c r="O300" s="299" t="n">
        <v>1750</v>
      </c>
      <c r="P300" s="299" t="n">
        <v>18750</v>
      </c>
      <c r="Q300" s="299" t="n">
        <v>3518.49</v>
      </c>
      <c r="R300" s="299" t="n">
        <v>15231.51</v>
      </c>
      <c r="S300" s="300" t="n">
        <v>0.1876528</v>
      </c>
      <c r="T300" t="n">
        <v>2.951</v>
      </c>
      <c r="U300" t="n">
        <v>3</v>
      </c>
      <c r="V300" t="n">
        <v>20290.8</v>
      </c>
      <c r="W300" s="300" t="n">
        <v>0.2142</v>
      </c>
      <c r="X300" s="297" t="n"/>
      <c r="Y300">
        <f>IF(I300="","No SIC",IFERROR(VLOOKUP(I300,Ref!$A$2:$B$65,2,FALSE),"Unclassified"))</f>
        <v/>
      </c>
      <c r="Z300">
        <f>IF(T300="","",IF(T300&lt;12,"Daily","Weekly"))</f>
        <v/>
      </c>
      <c r="AA300">
        <f>IF(T300="",0,IF(T300&lt;12,T300*Controls!$B$29,T300*5))</f>
        <v/>
      </c>
      <c r="AB300">
        <f>IF(E300="",0,NETWORKDAYS(E300,Controls!$B$36,Ref!$K$2:$K$42))</f>
        <v/>
      </c>
      <c r="AC300">
        <f>IF(AND(AA300&gt;0,AB300&gt;=Controls!$B$39*AA300),1,0)</f>
        <v/>
      </c>
      <c r="AD300">
        <f>IF(AND(E300&lt;&gt;"",E300&gt;=Controls!$B$37,E300&lt;=Controls!$B$38),1,0)</f>
        <v/>
      </c>
      <c r="AE300">
        <f>IF(IFERROR(VLOOKUP(D300,Controls!$A$64:$E$74,2,FALSE),"No")="Yes",1,0)</f>
        <v/>
      </c>
      <c r="AF300">
        <f>IF(IFERROR(VLOOKUP(D300,Controls!$A$64:$E$74,3,FALSE),"No")="Yes",1,0)</f>
        <v/>
      </c>
      <c r="AG300">
        <f>IF(IFERROR(VLOOKUP(D300,Controls!$A$64:$E$74,4,FALSE),"No")="Yes",1,0)</f>
        <v/>
      </c>
      <c r="AH300">
        <f>IF(IFERROR(VLOOKUP(D300,Controls!$A$64:$E$74,5,FALSE),"No")="Yes",1,0)</f>
        <v/>
      </c>
      <c r="AI300">
        <f>IF(ISNUMBER(MATCH(D300,Controls!$A$64:$A$74,0)),1,0)</f>
        <v/>
      </c>
      <c r="AJ300">
        <f>Q300-N300</f>
        <v/>
      </c>
      <c r="AK300">
        <f>IF(AE300=1,MAX(0,N300-Q300),0)</f>
        <v/>
      </c>
      <c r="AL300">
        <f>IF(OR(V300="",V300=0),0,N300/V300)</f>
        <v/>
      </c>
      <c r="AM300">
        <f>IF(OR(V300="",V300=0),0,1)</f>
        <v/>
      </c>
      <c r="AN300">
        <f>IF(OR(E300="",F300=""),0,NETWORKDAYS(E300,F300,Ref!$K$2:$K$42))</f>
        <v/>
      </c>
      <c r="AO300">
        <f>IF(L300="Renewal",1,0)</f>
        <v/>
      </c>
      <c r="AP300">
        <f>AC300*AD300</f>
        <v/>
      </c>
      <c r="AQ300">
        <f>IF(AND(G300&lt;&gt;"",'Historical Score'!$C$6&lt;&gt;""),IF(G300='Historical Score'!$C$6,1,0),0)</f>
        <v/>
      </c>
      <c r="AR300">
        <f>IF(AND(L300&lt;&gt;"",'Historical Score'!$C$5&lt;&gt;""),IF(L300='Historical Score'!$C$5,1,0),0)</f>
        <v/>
      </c>
      <c r="AS300">
        <f>IF(AND(Y300&lt;&gt;"",'Historical Score'!$C$7&lt;&gt;""),IF(Y300='Historical Score'!$C$7,1,0),0)</f>
        <v/>
      </c>
      <c r="AT300">
        <f>IF(AND(K300&lt;&gt;"",'Historical Score'!$C$8&lt;&gt;""),IF(K300='Historical Score'!$C$8,1,0),0)</f>
        <v/>
      </c>
      <c r="AU300">
        <f>IF(AND(J300&lt;&gt;"",'Historical Score'!$C$9&lt;&gt;""),IF(J300='Historical Score'!$C$9,1,0),0)</f>
        <v/>
      </c>
      <c r="AV300">
        <f>AR300*AS300*AQ300</f>
        <v/>
      </c>
      <c r="AW300">
        <f>AR300*AT300*AQ300</f>
        <v/>
      </c>
      <c r="AX300">
        <f>AR300*AS300</f>
        <v/>
      </c>
      <c r="AY300">
        <f>AR300*AT300</f>
        <v/>
      </c>
      <c r="AZ300">
        <f>AR300*AQ300</f>
        <v/>
      </c>
      <c r="BA300">
        <f>AR300</f>
        <v/>
      </c>
      <c r="BB300">
        <f>1</f>
        <v/>
      </c>
      <c r="BC300">
        <f>IF(AV300=1,1,IF(AW300=1,2,IF(AX300=1,3,IF(AY300=1,4,IF(AZ300=1,5,IF(BA300=1,6,7))))))</f>
        <v/>
      </c>
      <c r="BD300">
        <f>IF(AD300=1,CHOOSE('Historical Score'!$C$29,AV300,AW300,AX300,AY300,AZ300,BA300,BB300),0)</f>
        <v/>
      </c>
      <c r="BE300">
        <f>IF(BD300=1,COUNTIF($BD$2:BD300,1),"")</f>
        <v/>
      </c>
    </row>
    <row r="301">
      <c r="A301" t="inlineStr">
        <is>
          <t>5674169031</t>
        </is>
      </c>
      <c r="B301" t="inlineStr">
        <is>
          <t>ST CAJETAN OIL COMPANY LLC</t>
        </is>
      </c>
      <c r="C301" t="inlineStr">
        <is>
          <t>ST CAJETAN OIL COMPANY LLC</t>
        </is>
      </c>
      <c r="D301" t="inlineStr">
        <is>
          <t>Closed</t>
        </is>
      </c>
      <c r="E301" s="297" t="n">
        <v>45952</v>
      </c>
      <c r="F301" s="297" t="n">
        <v>46090</v>
      </c>
      <c r="G301" t="n">
        <v>2</v>
      </c>
      <c r="H301" t="inlineStr">
        <is>
          <t>1382</t>
        </is>
      </c>
      <c r="I301" t="inlineStr">
        <is>
          <t>13</t>
        </is>
      </c>
      <c r="J301" t="inlineStr">
        <is>
          <t>TX</t>
        </is>
      </c>
      <c r="K301" t="inlineStr">
        <is>
          <t>United Secured Capital 8</t>
        </is>
      </c>
      <c r="L301" t="inlineStr">
        <is>
          <t>New Deal</t>
        </is>
      </c>
      <c r="M301" s="298" t="n">
        <v>1.499</v>
      </c>
      <c r="N301" s="299" t="n">
        <v>12500</v>
      </c>
      <c r="O301" s="299" t="n">
        <v>1750</v>
      </c>
      <c r="P301" s="299" t="n">
        <v>18737.5</v>
      </c>
      <c r="Q301" s="299" t="n">
        <v>18737.5</v>
      </c>
      <c r="R301" s="299" t="n">
        <v>0</v>
      </c>
      <c r="S301" s="300" t="n">
        <v>1</v>
      </c>
      <c r="T301" t="n">
        <v>2.951</v>
      </c>
      <c r="U301" t="n">
        <v>0</v>
      </c>
      <c r="V301" t="n">
        <v>37694.01</v>
      </c>
      <c r="W301" s="300" t="n">
        <v>0.1146</v>
      </c>
      <c r="X301" s="297" t="n">
        <v>44338</v>
      </c>
      <c r="Y301">
        <f>IF(I301="","No SIC",IFERROR(VLOOKUP(I301,Ref!$A$2:$B$65,2,FALSE),"Unclassified"))</f>
        <v/>
      </c>
      <c r="Z301">
        <f>IF(T301="","",IF(T301&lt;12,"Daily","Weekly"))</f>
        <v/>
      </c>
      <c r="AA301">
        <f>IF(T301="",0,IF(T301&lt;12,T301*Controls!$B$29,T301*5))</f>
        <v/>
      </c>
      <c r="AB301">
        <f>IF(E301="",0,NETWORKDAYS(E301,Controls!$B$36,Ref!$K$2:$K$42))</f>
        <v/>
      </c>
      <c r="AC301">
        <f>IF(AND(AA301&gt;0,AB301&gt;=Controls!$B$39*AA301),1,0)</f>
        <v/>
      </c>
      <c r="AD301">
        <f>IF(AND(E301&lt;&gt;"",E301&gt;=Controls!$B$37,E301&lt;=Controls!$B$38),1,0)</f>
        <v/>
      </c>
      <c r="AE301">
        <f>IF(IFERROR(VLOOKUP(D301,Controls!$A$64:$E$74,2,FALSE),"No")="Yes",1,0)</f>
        <v/>
      </c>
      <c r="AF301">
        <f>IF(IFERROR(VLOOKUP(D301,Controls!$A$64:$E$74,3,FALSE),"No")="Yes",1,0)</f>
        <v/>
      </c>
      <c r="AG301">
        <f>IF(IFERROR(VLOOKUP(D301,Controls!$A$64:$E$74,4,FALSE),"No")="Yes",1,0)</f>
        <v/>
      </c>
      <c r="AH301">
        <f>IF(IFERROR(VLOOKUP(D301,Controls!$A$64:$E$74,5,FALSE),"No")="Yes",1,0)</f>
        <v/>
      </c>
      <c r="AI301">
        <f>IF(ISNUMBER(MATCH(D301,Controls!$A$64:$A$74,0)),1,0)</f>
        <v/>
      </c>
      <c r="AJ301">
        <f>Q301-N301</f>
        <v/>
      </c>
      <c r="AK301">
        <f>IF(AE301=1,MAX(0,N301-Q301),0)</f>
        <v/>
      </c>
      <c r="AL301">
        <f>IF(OR(V301="",V301=0),0,N301/V301)</f>
        <v/>
      </c>
      <c r="AM301">
        <f>IF(OR(V301="",V301=0),0,1)</f>
        <v/>
      </c>
      <c r="AN301">
        <f>IF(OR(E301="",F301=""),0,NETWORKDAYS(E301,F301,Ref!$K$2:$K$42))</f>
        <v/>
      </c>
      <c r="AO301">
        <f>IF(L301="Renewal",1,0)</f>
        <v/>
      </c>
      <c r="AP301">
        <f>AC301*AD301</f>
        <v/>
      </c>
      <c r="AQ301">
        <f>IF(AND(G301&lt;&gt;"",'Historical Score'!$C$6&lt;&gt;""),IF(G301='Historical Score'!$C$6,1,0),0)</f>
        <v/>
      </c>
      <c r="AR301">
        <f>IF(AND(L301&lt;&gt;"",'Historical Score'!$C$5&lt;&gt;""),IF(L301='Historical Score'!$C$5,1,0),0)</f>
        <v/>
      </c>
      <c r="AS301">
        <f>IF(AND(Y301&lt;&gt;"",'Historical Score'!$C$7&lt;&gt;""),IF(Y301='Historical Score'!$C$7,1,0),0)</f>
        <v/>
      </c>
      <c r="AT301">
        <f>IF(AND(K301&lt;&gt;"",'Historical Score'!$C$8&lt;&gt;""),IF(K301='Historical Score'!$C$8,1,0),0)</f>
        <v/>
      </c>
      <c r="AU301">
        <f>IF(AND(J301&lt;&gt;"",'Historical Score'!$C$9&lt;&gt;""),IF(J301='Historical Score'!$C$9,1,0),0)</f>
        <v/>
      </c>
      <c r="AV301">
        <f>AR301*AS301*AQ301</f>
        <v/>
      </c>
      <c r="AW301">
        <f>AR301*AT301*AQ301</f>
        <v/>
      </c>
      <c r="AX301">
        <f>AR301*AS301</f>
        <v/>
      </c>
      <c r="AY301">
        <f>AR301*AT301</f>
        <v/>
      </c>
      <c r="AZ301">
        <f>AR301*AQ301</f>
        <v/>
      </c>
      <c r="BA301">
        <f>AR301</f>
        <v/>
      </c>
      <c r="BB301">
        <f>1</f>
        <v/>
      </c>
      <c r="BC301">
        <f>IF(AV301=1,1,IF(AW301=1,2,IF(AX301=1,3,IF(AY301=1,4,IF(AZ301=1,5,IF(BA301=1,6,7))))))</f>
        <v/>
      </c>
      <c r="BD301">
        <f>IF(AD301=1,CHOOSE('Historical Score'!$C$29,AV301,AW301,AX301,AY301,AZ301,BA301,BB301),0)</f>
        <v/>
      </c>
      <c r="BE301">
        <f>IF(BD301=1,COUNTIF($BD$2:BD301,1),"")</f>
        <v/>
      </c>
    </row>
    <row r="302">
      <c r="A302" t="inlineStr">
        <is>
          <t>5674169050</t>
        </is>
      </c>
      <c r="B302" t="inlineStr">
        <is>
          <t>Alodia Brands Inc.</t>
        </is>
      </c>
      <c r="C302" t="inlineStr">
        <is>
          <t>Alodia Brands Inc.</t>
        </is>
      </c>
      <c r="D302" t="inlineStr">
        <is>
          <t>Open</t>
        </is>
      </c>
      <c r="E302" s="297" t="n">
        <v>45952</v>
      </c>
      <c r="F302" s="297" t="n">
        <v>46247</v>
      </c>
      <c r="G302" t="n">
        <v>3</v>
      </c>
      <c r="H302" t="inlineStr">
        <is>
          <t>5999</t>
        </is>
      </c>
      <c r="I302" t="inlineStr">
        <is>
          <t>59</t>
        </is>
      </c>
      <c r="J302" t="inlineStr">
        <is>
          <t>MD</t>
        </is>
      </c>
      <c r="K302" t="inlineStr">
        <is>
          <t>Fundible</t>
        </is>
      </c>
      <c r="L302" t="inlineStr">
        <is>
          <t>New Deal</t>
        </is>
      </c>
      <c r="M302" s="298" t="n">
        <v>1.499</v>
      </c>
      <c r="N302" s="299" t="n">
        <v>8500</v>
      </c>
      <c r="O302" s="299" t="n">
        <v>1190</v>
      </c>
      <c r="P302" s="299" t="n">
        <v>12741.5</v>
      </c>
      <c r="Q302" s="299" t="n">
        <v>9449.65</v>
      </c>
      <c r="R302" s="299" t="n">
        <v>3291.85</v>
      </c>
      <c r="S302" s="300" t="n">
        <v>0.741643448573559</v>
      </c>
      <c r="T302" t="n">
        <v>2.951</v>
      </c>
      <c r="U302" t="n">
        <v>5</v>
      </c>
      <c r="V302" t="n">
        <v>78783.37</v>
      </c>
      <c r="W302" s="300" t="n">
        <v>0.0373</v>
      </c>
      <c r="X302" s="297" t="n">
        <v>42795</v>
      </c>
      <c r="Y302">
        <f>IF(I302="","No SIC",IFERROR(VLOOKUP(I302,Ref!$A$2:$B$65,2,FALSE),"Unclassified"))</f>
        <v/>
      </c>
      <c r="Z302">
        <f>IF(T302="","",IF(T302&lt;12,"Daily","Weekly"))</f>
        <v/>
      </c>
      <c r="AA302">
        <f>IF(T302="",0,IF(T302&lt;12,T302*Controls!$B$29,T302*5))</f>
        <v/>
      </c>
      <c r="AB302">
        <f>IF(E302="",0,NETWORKDAYS(E302,Controls!$B$36,Ref!$K$2:$K$42))</f>
        <v/>
      </c>
      <c r="AC302">
        <f>IF(AND(AA302&gt;0,AB302&gt;=Controls!$B$39*AA302),1,0)</f>
        <v/>
      </c>
      <c r="AD302">
        <f>IF(AND(E302&lt;&gt;"",E302&gt;=Controls!$B$37,E302&lt;=Controls!$B$38),1,0)</f>
        <v/>
      </c>
      <c r="AE302">
        <f>IF(IFERROR(VLOOKUP(D302,Controls!$A$64:$E$74,2,FALSE),"No")="Yes",1,0)</f>
        <v/>
      </c>
      <c r="AF302">
        <f>IF(IFERROR(VLOOKUP(D302,Controls!$A$64:$E$74,3,FALSE),"No")="Yes",1,0)</f>
        <v/>
      </c>
      <c r="AG302">
        <f>IF(IFERROR(VLOOKUP(D302,Controls!$A$64:$E$74,4,FALSE),"No")="Yes",1,0)</f>
        <v/>
      </c>
      <c r="AH302">
        <f>IF(IFERROR(VLOOKUP(D302,Controls!$A$64:$E$74,5,FALSE),"No")="Yes",1,0)</f>
        <v/>
      </c>
      <c r="AI302">
        <f>IF(ISNUMBER(MATCH(D302,Controls!$A$64:$A$74,0)),1,0)</f>
        <v/>
      </c>
      <c r="AJ302">
        <f>Q302-N302</f>
        <v/>
      </c>
      <c r="AK302">
        <f>IF(AE302=1,MAX(0,N302-Q302),0)</f>
        <v/>
      </c>
      <c r="AL302">
        <f>IF(OR(V302="",V302=0),0,N302/V302)</f>
        <v/>
      </c>
      <c r="AM302">
        <f>IF(OR(V302="",V302=0),0,1)</f>
        <v/>
      </c>
      <c r="AN302">
        <f>IF(OR(E302="",F302=""),0,NETWORKDAYS(E302,F302,Ref!$K$2:$K$42))</f>
        <v/>
      </c>
      <c r="AO302">
        <f>IF(L302="Renewal",1,0)</f>
        <v/>
      </c>
      <c r="AP302">
        <f>AC302*AD302</f>
        <v/>
      </c>
      <c r="AQ302">
        <f>IF(AND(G302&lt;&gt;"",'Historical Score'!$C$6&lt;&gt;""),IF(G302='Historical Score'!$C$6,1,0),0)</f>
        <v/>
      </c>
      <c r="AR302">
        <f>IF(AND(L302&lt;&gt;"",'Historical Score'!$C$5&lt;&gt;""),IF(L302='Historical Score'!$C$5,1,0),0)</f>
        <v/>
      </c>
      <c r="AS302">
        <f>IF(AND(Y302&lt;&gt;"",'Historical Score'!$C$7&lt;&gt;""),IF(Y302='Historical Score'!$C$7,1,0),0)</f>
        <v/>
      </c>
      <c r="AT302">
        <f>IF(AND(K302&lt;&gt;"",'Historical Score'!$C$8&lt;&gt;""),IF(K302='Historical Score'!$C$8,1,0),0)</f>
        <v/>
      </c>
      <c r="AU302">
        <f>IF(AND(J302&lt;&gt;"",'Historical Score'!$C$9&lt;&gt;""),IF(J302='Historical Score'!$C$9,1,0),0)</f>
        <v/>
      </c>
      <c r="AV302">
        <f>AR302*AS302*AQ302</f>
        <v/>
      </c>
      <c r="AW302">
        <f>AR302*AT302*AQ302</f>
        <v/>
      </c>
      <c r="AX302">
        <f>AR302*AS302</f>
        <v/>
      </c>
      <c r="AY302">
        <f>AR302*AT302</f>
        <v/>
      </c>
      <c r="AZ302">
        <f>AR302*AQ302</f>
        <v/>
      </c>
      <c r="BA302">
        <f>AR302</f>
        <v/>
      </c>
      <c r="BB302">
        <f>1</f>
        <v/>
      </c>
      <c r="BC302">
        <f>IF(AV302=1,1,IF(AW302=1,2,IF(AX302=1,3,IF(AY302=1,4,IF(AZ302=1,5,IF(BA302=1,6,7))))))</f>
        <v/>
      </c>
      <c r="BD302">
        <f>IF(AD302=1,CHOOSE('Historical Score'!$C$29,AV302,AW302,AX302,AY302,AZ302,BA302,BB302),0)</f>
        <v/>
      </c>
      <c r="BE302">
        <f>IF(BD302=1,COUNTIF($BD$2:BD302,1),"")</f>
        <v/>
      </c>
    </row>
    <row r="303">
      <c r="A303" t="inlineStr">
        <is>
          <t>5674169104</t>
        </is>
      </c>
      <c r="B303" t="inlineStr">
        <is>
          <t>TGIF LLC</t>
        </is>
      </c>
      <c r="C303" t="inlineStr">
        <is>
          <t>TGIF LLC</t>
        </is>
      </c>
      <c r="D303" t="inlineStr">
        <is>
          <t>Legal</t>
        </is>
      </c>
      <c r="E303" s="297" t="n">
        <v>45953</v>
      </c>
      <c r="F303" s="297" t="n">
        <v>46009</v>
      </c>
      <c r="G303" t="n">
        <v>2</v>
      </c>
      <c r="H303" t="inlineStr">
        <is>
          <t>5159</t>
        </is>
      </c>
      <c r="I303" t="inlineStr">
        <is>
          <t>51</t>
        </is>
      </c>
      <c r="J303" t="inlineStr">
        <is>
          <t>OR</t>
        </is>
      </c>
      <c r="K303" t="inlineStr">
        <is>
          <t>United Secured Capital 8</t>
        </is>
      </c>
      <c r="L303" t="inlineStr">
        <is>
          <t>New Deal</t>
        </is>
      </c>
      <c r="M303" s="298" t="n">
        <v>1.49</v>
      </c>
      <c r="N303" s="299" t="n">
        <v>18500</v>
      </c>
      <c r="O303" s="299" t="n">
        <v>0</v>
      </c>
      <c r="P303" s="299" t="n">
        <v>27565</v>
      </c>
      <c r="Q303" s="299" t="n">
        <v>4134.45</v>
      </c>
      <c r="R303" s="299" t="n">
        <v>23430.55</v>
      </c>
      <c r="S303" s="300" t="n">
        <v>0.149989116633412</v>
      </c>
      <c r="T303" t="n">
        <v>3.279</v>
      </c>
      <c r="U303" t="n">
        <v>13</v>
      </c>
      <c r="V303" t="n">
        <v>33189.82</v>
      </c>
      <c r="W303" s="300" t="n">
        <v>0.1744</v>
      </c>
      <c r="X303" s="297" t="n">
        <v>42914</v>
      </c>
      <c r="Y303">
        <f>IF(I303="","No SIC",IFERROR(VLOOKUP(I303,Ref!$A$2:$B$65,2,FALSE),"Unclassified"))</f>
        <v/>
      </c>
      <c r="Z303">
        <f>IF(T303="","",IF(T303&lt;12,"Daily","Weekly"))</f>
        <v/>
      </c>
      <c r="AA303">
        <f>IF(T303="",0,IF(T303&lt;12,T303*Controls!$B$29,T303*5))</f>
        <v/>
      </c>
      <c r="AB303">
        <f>IF(E303="",0,NETWORKDAYS(E303,Controls!$B$36,Ref!$K$2:$K$42))</f>
        <v/>
      </c>
      <c r="AC303">
        <f>IF(AND(AA303&gt;0,AB303&gt;=Controls!$B$39*AA303),1,0)</f>
        <v/>
      </c>
      <c r="AD303">
        <f>IF(AND(E303&lt;&gt;"",E303&gt;=Controls!$B$37,E303&lt;=Controls!$B$38),1,0)</f>
        <v/>
      </c>
      <c r="AE303">
        <f>IF(IFERROR(VLOOKUP(D303,Controls!$A$64:$E$74,2,FALSE),"No")="Yes",1,0)</f>
        <v/>
      </c>
      <c r="AF303">
        <f>IF(IFERROR(VLOOKUP(D303,Controls!$A$64:$E$74,3,FALSE),"No")="Yes",1,0)</f>
        <v/>
      </c>
      <c r="AG303">
        <f>IF(IFERROR(VLOOKUP(D303,Controls!$A$64:$E$74,4,FALSE),"No")="Yes",1,0)</f>
        <v/>
      </c>
      <c r="AH303">
        <f>IF(IFERROR(VLOOKUP(D303,Controls!$A$64:$E$74,5,FALSE),"No")="Yes",1,0)</f>
        <v/>
      </c>
      <c r="AI303">
        <f>IF(ISNUMBER(MATCH(D303,Controls!$A$64:$A$74,0)),1,0)</f>
        <v/>
      </c>
      <c r="AJ303">
        <f>Q303-N303</f>
        <v/>
      </c>
      <c r="AK303">
        <f>IF(AE303=1,MAX(0,N303-Q303),0)</f>
        <v/>
      </c>
      <c r="AL303">
        <f>IF(OR(V303="",V303=0),0,N303/V303)</f>
        <v/>
      </c>
      <c r="AM303">
        <f>IF(OR(V303="",V303=0),0,1)</f>
        <v/>
      </c>
      <c r="AN303">
        <f>IF(OR(E303="",F303=""),0,NETWORKDAYS(E303,F303,Ref!$K$2:$K$42))</f>
        <v/>
      </c>
      <c r="AO303">
        <f>IF(L303="Renewal",1,0)</f>
        <v/>
      </c>
      <c r="AP303">
        <f>AC303*AD303</f>
        <v/>
      </c>
      <c r="AQ303">
        <f>IF(AND(G303&lt;&gt;"",'Historical Score'!$C$6&lt;&gt;""),IF(G303='Historical Score'!$C$6,1,0),0)</f>
        <v/>
      </c>
      <c r="AR303">
        <f>IF(AND(L303&lt;&gt;"",'Historical Score'!$C$5&lt;&gt;""),IF(L303='Historical Score'!$C$5,1,0),0)</f>
        <v/>
      </c>
      <c r="AS303">
        <f>IF(AND(Y303&lt;&gt;"",'Historical Score'!$C$7&lt;&gt;""),IF(Y303='Historical Score'!$C$7,1,0),0)</f>
        <v/>
      </c>
      <c r="AT303">
        <f>IF(AND(K303&lt;&gt;"",'Historical Score'!$C$8&lt;&gt;""),IF(K303='Historical Score'!$C$8,1,0),0)</f>
        <v/>
      </c>
      <c r="AU303">
        <f>IF(AND(J303&lt;&gt;"",'Historical Score'!$C$9&lt;&gt;""),IF(J303='Historical Score'!$C$9,1,0),0)</f>
        <v/>
      </c>
      <c r="AV303">
        <f>AR303*AS303*AQ303</f>
        <v/>
      </c>
      <c r="AW303">
        <f>AR303*AT303*AQ303</f>
        <v/>
      </c>
      <c r="AX303">
        <f>AR303*AS303</f>
        <v/>
      </c>
      <c r="AY303">
        <f>AR303*AT303</f>
        <v/>
      </c>
      <c r="AZ303">
        <f>AR303*AQ303</f>
        <v/>
      </c>
      <c r="BA303">
        <f>AR303</f>
        <v/>
      </c>
      <c r="BB303">
        <f>1</f>
        <v/>
      </c>
      <c r="BC303">
        <f>IF(AV303=1,1,IF(AW303=1,2,IF(AX303=1,3,IF(AY303=1,4,IF(AZ303=1,5,IF(BA303=1,6,7))))))</f>
        <v/>
      </c>
      <c r="BD303">
        <f>IF(AD303=1,CHOOSE('Historical Score'!$C$29,AV303,AW303,AX303,AY303,AZ303,BA303,BB303),0)</f>
        <v/>
      </c>
      <c r="BE303">
        <f>IF(BD303=1,COUNTIF($BD$2:BD303,1),"")</f>
        <v/>
      </c>
    </row>
    <row r="304">
      <c r="A304" t="inlineStr">
        <is>
          <t>5674169127</t>
        </is>
      </c>
      <c r="B304" t="inlineStr">
        <is>
          <t>Dsg performance</t>
        </is>
      </c>
      <c r="C304" t="inlineStr">
        <is>
          <t>DSG PERFORMANCE LLC</t>
        </is>
      </c>
      <c r="D304" t="inlineStr">
        <is>
          <t>Closed</t>
        </is>
      </c>
      <c r="E304" s="297" t="n">
        <v>45953</v>
      </c>
      <c r="F304" s="297" t="n">
        <v>46191</v>
      </c>
      <c r="G304" t="n">
        <v>3</v>
      </c>
      <c r="H304" t="inlineStr">
        <is>
          <t>2396</t>
        </is>
      </c>
      <c r="I304" t="inlineStr">
        <is>
          <t>23</t>
        </is>
      </c>
      <c r="J304" t="inlineStr">
        <is>
          <t>TX</t>
        </is>
      </c>
      <c r="K304" t="inlineStr">
        <is>
          <t>National Business Capital</t>
        </is>
      </c>
      <c r="L304" t="inlineStr">
        <is>
          <t>New Deal</t>
        </is>
      </c>
      <c r="M304" s="298" t="n">
        <v>1.49</v>
      </c>
      <c r="N304" s="299" t="n">
        <v>40000</v>
      </c>
      <c r="O304" s="299" t="n">
        <v>5600</v>
      </c>
      <c r="P304" s="299" t="n">
        <v>59600</v>
      </c>
      <c r="Q304" s="299" t="n">
        <v>59600</v>
      </c>
      <c r="R304" s="299" t="n">
        <v>0</v>
      </c>
      <c r="S304" s="300" t="n">
        <v>1</v>
      </c>
      <c r="T304" t="n">
        <v>32</v>
      </c>
      <c r="U304" t="n">
        <v>1</v>
      </c>
      <c r="V304" t="n">
        <v>108255.14</v>
      </c>
      <c r="W304" s="300" t="n">
        <v>0.0688</v>
      </c>
      <c r="X304" s="297" t="n"/>
      <c r="Y304">
        <f>IF(I304="","No SIC",IFERROR(VLOOKUP(I304,Ref!$A$2:$B$65,2,FALSE),"Unclassified"))</f>
        <v/>
      </c>
      <c r="Z304">
        <f>IF(T304="","",IF(T304&lt;12,"Daily","Weekly"))</f>
        <v/>
      </c>
      <c r="AA304">
        <f>IF(T304="",0,IF(T304&lt;12,T304*Controls!$B$29,T304*5))</f>
        <v/>
      </c>
      <c r="AB304">
        <f>IF(E304="",0,NETWORKDAYS(E304,Controls!$B$36,Ref!$K$2:$K$42))</f>
        <v/>
      </c>
      <c r="AC304">
        <f>IF(AND(AA304&gt;0,AB304&gt;=Controls!$B$39*AA304),1,0)</f>
        <v/>
      </c>
      <c r="AD304">
        <f>IF(AND(E304&lt;&gt;"",E304&gt;=Controls!$B$37,E304&lt;=Controls!$B$38),1,0)</f>
        <v/>
      </c>
      <c r="AE304">
        <f>IF(IFERROR(VLOOKUP(D304,Controls!$A$64:$E$74,2,FALSE),"No")="Yes",1,0)</f>
        <v/>
      </c>
      <c r="AF304">
        <f>IF(IFERROR(VLOOKUP(D304,Controls!$A$64:$E$74,3,FALSE),"No")="Yes",1,0)</f>
        <v/>
      </c>
      <c r="AG304">
        <f>IF(IFERROR(VLOOKUP(D304,Controls!$A$64:$E$74,4,FALSE),"No")="Yes",1,0)</f>
        <v/>
      </c>
      <c r="AH304">
        <f>IF(IFERROR(VLOOKUP(D304,Controls!$A$64:$E$74,5,FALSE),"No")="Yes",1,0)</f>
        <v/>
      </c>
      <c r="AI304">
        <f>IF(ISNUMBER(MATCH(D304,Controls!$A$64:$A$74,0)),1,0)</f>
        <v/>
      </c>
      <c r="AJ304">
        <f>Q304-N304</f>
        <v/>
      </c>
      <c r="AK304">
        <f>IF(AE304=1,MAX(0,N304-Q304),0)</f>
        <v/>
      </c>
      <c r="AL304">
        <f>IF(OR(V304="",V304=0),0,N304/V304)</f>
        <v/>
      </c>
      <c r="AM304">
        <f>IF(OR(V304="",V304=0),0,1)</f>
        <v/>
      </c>
      <c r="AN304">
        <f>IF(OR(E304="",F304=""),0,NETWORKDAYS(E304,F304,Ref!$K$2:$K$42))</f>
        <v/>
      </c>
      <c r="AO304">
        <f>IF(L304="Renewal",1,0)</f>
        <v/>
      </c>
      <c r="AP304">
        <f>AC304*AD304</f>
        <v/>
      </c>
      <c r="AQ304">
        <f>IF(AND(G304&lt;&gt;"",'Historical Score'!$C$6&lt;&gt;""),IF(G304='Historical Score'!$C$6,1,0),0)</f>
        <v/>
      </c>
      <c r="AR304">
        <f>IF(AND(L304&lt;&gt;"",'Historical Score'!$C$5&lt;&gt;""),IF(L304='Historical Score'!$C$5,1,0),0)</f>
        <v/>
      </c>
      <c r="AS304">
        <f>IF(AND(Y304&lt;&gt;"",'Historical Score'!$C$7&lt;&gt;""),IF(Y304='Historical Score'!$C$7,1,0),0)</f>
        <v/>
      </c>
      <c r="AT304">
        <f>IF(AND(K304&lt;&gt;"",'Historical Score'!$C$8&lt;&gt;""),IF(K304='Historical Score'!$C$8,1,0),0)</f>
        <v/>
      </c>
      <c r="AU304">
        <f>IF(AND(J304&lt;&gt;"",'Historical Score'!$C$9&lt;&gt;""),IF(J304='Historical Score'!$C$9,1,0),0)</f>
        <v/>
      </c>
      <c r="AV304">
        <f>AR304*AS304*AQ304</f>
        <v/>
      </c>
      <c r="AW304">
        <f>AR304*AT304*AQ304</f>
        <v/>
      </c>
      <c r="AX304">
        <f>AR304*AS304</f>
        <v/>
      </c>
      <c r="AY304">
        <f>AR304*AT304</f>
        <v/>
      </c>
      <c r="AZ304">
        <f>AR304*AQ304</f>
        <v/>
      </c>
      <c r="BA304">
        <f>AR304</f>
        <v/>
      </c>
      <c r="BB304">
        <f>1</f>
        <v/>
      </c>
      <c r="BC304">
        <f>IF(AV304=1,1,IF(AW304=1,2,IF(AX304=1,3,IF(AY304=1,4,IF(AZ304=1,5,IF(BA304=1,6,7))))))</f>
        <v/>
      </c>
      <c r="BD304">
        <f>IF(AD304=1,CHOOSE('Historical Score'!$C$29,AV304,AW304,AX304,AY304,AZ304,BA304,BB304),0)</f>
        <v/>
      </c>
      <c r="BE304">
        <f>IF(BD304=1,COUNTIF($BD$2:BD304,1),"")</f>
        <v/>
      </c>
    </row>
    <row r="305">
      <c r="A305" t="inlineStr">
        <is>
          <t>5674169134</t>
        </is>
      </c>
      <c r="B305" t="inlineStr">
        <is>
          <t>Cafe Gripon's</t>
        </is>
      </c>
      <c r="C305" t="inlineStr">
        <is>
          <t>Gripon Group LLC</t>
        </is>
      </c>
      <c r="D305" t="inlineStr">
        <is>
          <t>Open</t>
        </is>
      </c>
      <c r="E305" s="297" t="n">
        <v>45953</v>
      </c>
      <c r="F305" s="297" t="n">
        <v>46253</v>
      </c>
      <c r="G305" t="n">
        <v>3</v>
      </c>
      <c r="H305" t="inlineStr">
        <is>
          <t>5812</t>
        </is>
      </c>
      <c r="I305" t="inlineStr">
        <is>
          <t>58</t>
        </is>
      </c>
      <c r="J305" t="inlineStr">
        <is>
          <t>TX</t>
        </is>
      </c>
      <c r="K305" t="inlineStr">
        <is>
          <t>Samson Funding</t>
        </is>
      </c>
      <c r="L305" t="inlineStr">
        <is>
          <t>Renewal</t>
        </is>
      </c>
      <c r="M305" s="298" t="n">
        <v>1.49</v>
      </c>
      <c r="N305" s="299" t="n">
        <v>35000</v>
      </c>
      <c r="O305" s="299" t="n">
        <v>4900</v>
      </c>
      <c r="P305" s="299" t="n">
        <v>52150</v>
      </c>
      <c r="Q305" s="299" t="n">
        <v>39610.36</v>
      </c>
      <c r="R305" s="299" t="n">
        <v>12539.64</v>
      </c>
      <c r="S305" s="300" t="n">
        <v>0.759546692233941</v>
      </c>
      <c r="T305" t="n">
        <v>4.262</v>
      </c>
      <c r="U305" t="n">
        <v>45</v>
      </c>
      <c r="V305" t="n">
        <v>81334.42999999999</v>
      </c>
      <c r="W305" s="300" t="n">
        <v>0.0936</v>
      </c>
      <c r="X305" s="297" t="n">
        <v>44946</v>
      </c>
      <c r="Y305">
        <f>IF(I305="","No SIC",IFERROR(VLOOKUP(I305,Ref!$A$2:$B$65,2,FALSE),"Unclassified"))</f>
        <v/>
      </c>
      <c r="Z305">
        <f>IF(T305="","",IF(T305&lt;12,"Daily","Weekly"))</f>
        <v/>
      </c>
      <c r="AA305">
        <f>IF(T305="",0,IF(T305&lt;12,T305*Controls!$B$29,T305*5))</f>
        <v/>
      </c>
      <c r="AB305">
        <f>IF(E305="",0,NETWORKDAYS(E305,Controls!$B$36,Ref!$K$2:$K$42))</f>
        <v/>
      </c>
      <c r="AC305">
        <f>IF(AND(AA305&gt;0,AB305&gt;=Controls!$B$39*AA305),1,0)</f>
        <v/>
      </c>
      <c r="AD305">
        <f>IF(AND(E305&lt;&gt;"",E305&gt;=Controls!$B$37,E305&lt;=Controls!$B$38),1,0)</f>
        <v/>
      </c>
      <c r="AE305">
        <f>IF(IFERROR(VLOOKUP(D305,Controls!$A$64:$E$74,2,FALSE),"No")="Yes",1,0)</f>
        <v/>
      </c>
      <c r="AF305">
        <f>IF(IFERROR(VLOOKUP(D305,Controls!$A$64:$E$74,3,FALSE),"No")="Yes",1,0)</f>
        <v/>
      </c>
      <c r="AG305">
        <f>IF(IFERROR(VLOOKUP(D305,Controls!$A$64:$E$74,4,FALSE),"No")="Yes",1,0)</f>
        <v/>
      </c>
      <c r="AH305">
        <f>IF(IFERROR(VLOOKUP(D305,Controls!$A$64:$E$74,5,FALSE),"No")="Yes",1,0)</f>
        <v/>
      </c>
      <c r="AI305">
        <f>IF(ISNUMBER(MATCH(D305,Controls!$A$64:$A$74,0)),1,0)</f>
        <v/>
      </c>
      <c r="AJ305">
        <f>Q305-N305</f>
        <v/>
      </c>
      <c r="AK305">
        <f>IF(AE305=1,MAX(0,N305-Q305),0)</f>
        <v/>
      </c>
      <c r="AL305">
        <f>IF(OR(V305="",V305=0),0,N305/V305)</f>
        <v/>
      </c>
      <c r="AM305">
        <f>IF(OR(V305="",V305=0),0,1)</f>
        <v/>
      </c>
      <c r="AN305">
        <f>IF(OR(E305="",F305=""),0,NETWORKDAYS(E305,F305,Ref!$K$2:$K$42))</f>
        <v/>
      </c>
      <c r="AO305">
        <f>IF(L305="Renewal",1,0)</f>
        <v/>
      </c>
      <c r="AP305">
        <f>AC305*AD305</f>
        <v/>
      </c>
      <c r="AQ305">
        <f>IF(AND(G305&lt;&gt;"",'Historical Score'!$C$6&lt;&gt;""),IF(G305='Historical Score'!$C$6,1,0),0)</f>
        <v/>
      </c>
      <c r="AR305">
        <f>IF(AND(L305&lt;&gt;"",'Historical Score'!$C$5&lt;&gt;""),IF(L305='Historical Score'!$C$5,1,0),0)</f>
        <v/>
      </c>
      <c r="AS305">
        <f>IF(AND(Y305&lt;&gt;"",'Historical Score'!$C$7&lt;&gt;""),IF(Y305='Historical Score'!$C$7,1,0),0)</f>
        <v/>
      </c>
      <c r="AT305">
        <f>IF(AND(K305&lt;&gt;"",'Historical Score'!$C$8&lt;&gt;""),IF(K305='Historical Score'!$C$8,1,0),0)</f>
        <v/>
      </c>
      <c r="AU305">
        <f>IF(AND(J305&lt;&gt;"",'Historical Score'!$C$9&lt;&gt;""),IF(J305='Historical Score'!$C$9,1,0),0)</f>
        <v/>
      </c>
      <c r="AV305">
        <f>AR305*AS305*AQ305</f>
        <v/>
      </c>
      <c r="AW305">
        <f>AR305*AT305*AQ305</f>
        <v/>
      </c>
      <c r="AX305">
        <f>AR305*AS305</f>
        <v/>
      </c>
      <c r="AY305">
        <f>AR305*AT305</f>
        <v/>
      </c>
      <c r="AZ305">
        <f>AR305*AQ305</f>
        <v/>
      </c>
      <c r="BA305">
        <f>AR305</f>
        <v/>
      </c>
      <c r="BB305">
        <f>1</f>
        <v/>
      </c>
      <c r="BC305">
        <f>IF(AV305=1,1,IF(AW305=1,2,IF(AX305=1,3,IF(AY305=1,4,IF(AZ305=1,5,IF(BA305=1,6,7))))))</f>
        <v/>
      </c>
      <c r="BD305">
        <f>IF(AD305=1,CHOOSE('Historical Score'!$C$29,AV305,AW305,AX305,AY305,AZ305,BA305,BB305),0)</f>
        <v/>
      </c>
      <c r="BE305">
        <f>IF(BD305=1,COUNTIF($BD$2:BD305,1),"")</f>
        <v/>
      </c>
    </row>
    <row r="306">
      <c r="A306" t="inlineStr">
        <is>
          <t>5674169159</t>
        </is>
      </c>
      <c r="B306" t="inlineStr">
        <is>
          <t>CLOVE AND HOOF RESTAURANT</t>
        </is>
      </c>
      <c r="C306" t="inlineStr">
        <is>
          <t>CLOVE AND HOOF RESTAURANT</t>
        </is>
      </c>
      <c r="D306" t="inlineStr">
        <is>
          <t>Legal</t>
        </is>
      </c>
      <c r="E306" s="297" t="n">
        <v>45953</v>
      </c>
      <c r="F306" s="297" t="n">
        <v>46045</v>
      </c>
      <c r="G306" t="n">
        <v>6</v>
      </c>
      <c r="H306" t="inlineStr">
        <is>
          <t>5812</t>
        </is>
      </c>
      <c r="I306" t="inlineStr">
        <is>
          <t>58</t>
        </is>
      </c>
      <c r="J306" t="inlineStr">
        <is>
          <t>CA</t>
        </is>
      </c>
      <c r="K306" t="inlineStr">
        <is>
          <t>United Secured Capital 8</t>
        </is>
      </c>
      <c r="L306" t="inlineStr">
        <is>
          <t>New Deal</t>
        </is>
      </c>
      <c r="M306" s="298" t="n">
        <v>1.49</v>
      </c>
      <c r="N306" s="299" t="n">
        <v>15000</v>
      </c>
      <c r="O306" s="299" t="n">
        <v>0</v>
      </c>
      <c r="P306" s="299" t="n">
        <v>22350</v>
      </c>
      <c r="Q306" s="299" t="n">
        <v>4190.4</v>
      </c>
      <c r="R306" s="299" t="n">
        <v>18159.6</v>
      </c>
      <c r="S306" s="300" t="n">
        <v>0.187489932885906</v>
      </c>
      <c r="T306" t="n">
        <v>16</v>
      </c>
      <c r="U306" t="n">
        <v>10</v>
      </c>
      <c r="V306" t="n">
        <v>49885.63</v>
      </c>
      <c r="W306" s="300" t="n">
        <v>0.112</v>
      </c>
      <c r="X306" s="297" t="n"/>
      <c r="Y306">
        <f>IF(I306="","No SIC",IFERROR(VLOOKUP(I306,Ref!$A$2:$B$65,2,FALSE),"Unclassified"))</f>
        <v/>
      </c>
      <c r="Z306">
        <f>IF(T306="","",IF(T306&lt;12,"Daily","Weekly"))</f>
        <v/>
      </c>
      <c r="AA306">
        <f>IF(T306="",0,IF(T306&lt;12,T306*Controls!$B$29,T306*5))</f>
        <v/>
      </c>
      <c r="AB306">
        <f>IF(E306="",0,NETWORKDAYS(E306,Controls!$B$36,Ref!$K$2:$K$42))</f>
        <v/>
      </c>
      <c r="AC306">
        <f>IF(AND(AA306&gt;0,AB306&gt;=Controls!$B$39*AA306),1,0)</f>
        <v/>
      </c>
      <c r="AD306">
        <f>IF(AND(E306&lt;&gt;"",E306&gt;=Controls!$B$37,E306&lt;=Controls!$B$38),1,0)</f>
        <v/>
      </c>
      <c r="AE306">
        <f>IF(IFERROR(VLOOKUP(D306,Controls!$A$64:$E$74,2,FALSE),"No")="Yes",1,0)</f>
        <v/>
      </c>
      <c r="AF306">
        <f>IF(IFERROR(VLOOKUP(D306,Controls!$A$64:$E$74,3,FALSE),"No")="Yes",1,0)</f>
        <v/>
      </c>
      <c r="AG306">
        <f>IF(IFERROR(VLOOKUP(D306,Controls!$A$64:$E$74,4,FALSE),"No")="Yes",1,0)</f>
        <v/>
      </c>
      <c r="AH306">
        <f>IF(IFERROR(VLOOKUP(D306,Controls!$A$64:$E$74,5,FALSE),"No")="Yes",1,0)</f>
        <v/>
      </c>
      <c r="AI306">
        <f>IF(ISNUMBER(MATCH(D306,Controls!$A$64:$A$74,0)),1,0)</f>
        <v/>
      </c>
      <c r="AJ306">
        <f>Q306-N306</f>
        <v/>
      </c>
      <c r="AK306">
        <f>IF(AE306=1,MAX(0,N306-Q306),0)</f>
        <v/>
      </c>
      <c r="AL306">
        <f>IF(OR(V306="",V306=0),0,N306/V306)</f>
        <v/>
      </c>
      <c r="AM306">
        <f>IF(OR(V306="",V306=0),0,1)</f>
        <v/>
      </c>
      <c r="AN306">
        <f>IF(OR(E306="",F306=""),0,NETWORKDAYS(E306,F306,Ref!$K$2:$K$42))</f>
        <v/>
      </c>
      <c r="AO306">
        <f>IF(L306="Renewal",1,0)</f>
        <v/>
      </c>
      <c r="AP306">
        <f>AC306*AD306</f>
        <v/>
      </c>
      <c r="AQ306">
        <f>IF(AND(G306&lt;&gt;"",'Historical Score'!$C$6&lt;&gt;""),IF(G306='Historical Score'!$C$6,1,0),0)</f>
        <v/>
      </c>
      <c r="AR306">
        <f>IF(AND(L306&lt;&gt;"",'Historical Score'!$C$5&lt;&gt;""),IF(L306='Historical Score'!$C$5,1,0),0)</f>
        <v/>
      </c>
      <c r="AS306">
        <f>IF(AND(Y306&lt;&gt;"",'Historical Score'!$C$7&lt;&gt;""),IF(Y306='Historical Score'!$C$7,1,0),0)</f>
        <v/>
      </c>
      <c r="AT306">
        <f>IF(AND(K306&lt;&gt;"",'Historical Score'!$C$8&lt;&gt;""),IF(K306='Historical Score'!$C$8,1,0),0)</f>
        <v/>
      </c>
      <c r="AU306">
        <f>IF(AND(J306&lt;&gt;"",'Historical Score'!$C$9&lt;&gt;""),IF(J306='Historical Score'!$C$9,1,0),0)</f>
        <v/>
      </c>
      <c r="AV306">
        <f>AR306*AS306*AQ306</f>
        <v/>
      </c>
      <c r="AW306">
        <f>AR306*AT306*AQ306</f>
        <v/>
      </c>
      <c r="AX306">
        <f>AR306*AS306</f>
        <v/>
      </c>
      <c r="AY306">
        <f>AR306*AT306</f>
        <v/>
      </c>
      <c r="AZ306">
        <f>AR306*AQ306</f>
        <v/>
      </c>
      <c r="BA306">
        <f>AR306</f>
        <v/>
      </c>
      <c r="BB306">
        <f>1</f>
        <v/>
      </c>
      <c r="BC306">
        <f>IF(AV306=1,1,IF(AW306=1,2,IF(AX306=1,3,IF(AY306=1,4,IF(AZ306=1,5,IF(BA306=1,6,7))))))</f>
        <v/>
      </c>
      <c r="BD306">
        <f>IF(AD306=1,CHOOSE('Historical Score'!$C$29,AV306,AW306,AX306,AY306,AZ306,BA306,BB306),0)</f>
        <v/>
      </c>
      <c r="BE306">
        <f>IF(BD306=1,COUNTIF($BD$2:BD306,1),"")</f>
        <v/>
      </c>
    </row>
    <row r="307">
      <c r="A307" t="inlineStr">
        <is>
          <t>5674169163</t>
        </is>
      </c>
      <c r="B307" t="inlineStr">
        <is>
          <t>So Baltimore, LLC</t>
        </is>
      </c>
      <c r="C307" t="inlineStr">
        <is>
          <t>So Baltimore, LLC</t>
        </is>
      </c>
      <c r="D307" t="inlineStr">
        <is>
          <t>Closed</t>
        </is>
      </c>
      <c r="E307" s="297" t="n">
        <v>45953</v>
      </c>
      <c r="F307" s="297" t="n">
        <v>46101</v>
      </c>
      <c r="G307" t="n">
        <v>5</v>
      </c>
      <c r="H307" t="inlineStr">
        <is>
          <t>5812</t>
        </is>
      </c>
      <c r="I307" t="inlineStr">
        <is>
          <t>58</t>
        </is>
      </c>
      <c r="J307" t="inlineStr">
        <is>
          <t>MD</t>
        </is>
      </c>
      <c r="K307" t="inlineStr">
        <is>
          <t>Llama Loan</t>
        </is>
      </c>
      <c r="L307" t="inlineStr">
        <is>
          <t>Renewal</t>
        </is>
      </c>
      <c r="M307" s="298" t="n">
        <v>1.45</v>
      </c>
      <c r="N307" s="299" t="n">
        <v>22000</v>
      </c>
      <c r="O307" s="299" t="n">
        <v>2640</v>
      </c>
      <c r="P307" s="299" t="n">
        <v>31900</v>
      </c>
      <c r="Q307" s="299" t="n">
        <v>31900</v>
      </c>
      <c r="R307" s="299" t="n">
        <v>0</v>
      </c>
      <c r="S307" s="300" t="n">
        <v>1</v>
      </c>
      <c r="T307" t="n">
        <v>3.77</v>
      </c>
      <c r="U307" t="n">
        <v>1</v>
      </c>
      <c r="V307" t="n">
        <v>82755.78</v>
      </c>
      <c r="W307" s="300" t="n">
        <v>0.1026</v>
      </c>
      <c r="X307" s="297" t="n">
        <v>44378</v>
      </c>
      <c r="Y307">
        <f>IF(I307="","No SIC",IFERROR(VLOOKUP(I307,Ref!$A$2:$B$65,2,FALSE),"Unclassified"))</f>
        <v/>
      </c>
      <c r="Z307">
        <f>IF(T307="","",IF(T307&lt;12,"Daily","Weekly"))</f>
        <v/>
      </c>
      <c r="AA307">
        <f>IF(T307="",0,IF(T307&lt;12,T307*Controls!$B$29,T307*5))</f>
        <v/>
      </c>
      <c r="AB307">
        <f>IF(E307="",0,NETWORKDAYS(E307,Controls!$B$36,Ref!$K$2:$K$42))</f>
        <v/>
      </c>
      <c r="AC307">
        <f>IF(AND(AA307&gt;0,AB307&gt;=Controls!$B$39*AA307),1,0)</f>
        <v/>
      </c>
      <c r="AD307">
        <f>IF(AND(E307&lt;&gt;"",E307&gt;=Controls!$B$37,E307&lt;=Controls!$B$38),1,0)</f>
        <v/>
      </c>
      <c r="AE307">
        <f>IF(IFERROR(VLOOKUP(D307,Controls!$A$64:$E$74,2,FALSE),"No")="Yes",1,0)</f>
        <v/>
      </c>
      <c r="AF307">
        <f>IF(IFERROR(VLOOKUP(D307,Controls!$A$64:$E$74,3,FALSE),"No")="Yes",1,0)</f>
        <v/>
      </c>
      <c r="AG307">
        <f>IF(IFERROR(VLOOKUP(D307,Controls!$A$64:$E$74,4,FALSE),"No")="Yes",1,0)</f>
        <v/>
      </c>
      <c r="AH307">
        <f>IF(IFERROR(VLOOKUP(D307,Controls!$A$64:$E$74,5,FALSE),"No")="Yes",1,0)</f>
        <v/>
      </c>
      <c r="AI307">
        <f>IF(ISNUMBER(MATCH(D307,Controls!$A$64:$A$74,0)),1,0)</f>
        <v/>
      </c>
      <c r="AJ307">
        <f>Q307-N307</f>
        <v/>
      </c>
      <c r="AK307">
        <f>IF(AE307=1,MAX(0,N307-Q307),0)</f>
        <v/>
      </c>
      <c r="AL307">
        <f>IF(OR(V307="",V307=0),0,N307/V307)</f>
        <v/>
      </c>
      <c r="AM307">
        <f>IF(OR(V307="",V307=0),0,1)</f>
        <v/>
      </c>
      <c r="AN307">
        <f>IF(OR(E307="",F307=""),0,NETWORKDAYS(E307,F307,Ref!$K$2:$K$42))</f>
        <v/>
      </c>
      <c r="AO307">
        <f>IF(L307="Renewal",1,0)</f>
        <v/>
      </c>
      <c r="AP307">
        <f>AC307*AD307</f>
        <v/>
      </c>
      <c r="AQ307">
        <f>IF(AND(G307&lt;&gt;"",'Historical Score'!$C$6&lt;&gt;""),IF(G307='Historical Score'!$C$6,1,0),0)</f>
        <v/>
      </c>
      <c r="AR307">
        <f>IF(AND(L307&lt;&gt;"",'Historical Score'!$C$5&lt;&gt;""),IF(L307='Historical Score'!$C$5,1,0),0)</f>
        <v/>
      </c>
      <c r="AS307">
        <f>IF(AND(Y307&lt;&gt;"",'Historical Score'!$C$7&lt;&gt;""),IF(Y307='Historical Score'!$C$7,1,0),0)</f>
        <v/>
      </c>
      <c r="AT307">
        <f>IF(AND(K307&lt;&gt;"",'Historical Score'!$C$8&lt;&gt;""),IF(K307='Historical Score'!$C$8,1,0),0)</f>
        <v/>
      </c>
      <c r="AU307">
        <f>IF(AND(J307&lt;&gt;"",'Historical Score'!$C$9&lt;&gt;""),IF(J307='Historical Score'!$C$9,1,0),0)</f>
        <v/>
      </c>
      <c r="AV307">
        <f>AR307*AS307*AQ307</f>
        <v/>
      </c>
      <c r="AW307">
        <f>AR307*AT307*AQ307</f>
        <v/>
      </c>
      <c r="AX307">
        <f>AR307*AS307</f>
        <v/>
      </c>
      <c r="AY307">
        <f>AR307*AT307</f>
        <v/>
      </c>
      <c r="AZ307">
        <f>AR307*AQ307</f>
        <v/>
      </c>
      <c r="BA307">
        <f>AR307</f>
        <v/>
      </c>
      <c r="BB307">
        <f>1</f>
        <v/>
      </c>
      <c r="BC307">
        <f>IF(AV307=1,1,IF(AW307=1,2,IF(AX307=1,3,IF(AY307=1,4,IF(AZ307=1,5,IF(BA307=1,6,7))))))</f>
        <v/>
      </c>
      <c r="BD307">
        <f>IF(AD307=1,CHOOSE('Historical Score'!$C$29,AV307,AW307,AX307,AY307,AZ307,BA307,BB307),0)</f>
        <v/>
      </c>
      <c r="BE307">
        <f>IF(BD307=1,COUNTIF($BD$2:BD307,1),"")</f>
        <v/>
      </c>
    </row>
    <row r="308">
      <c r="A308" t="inlineStr">
        <is>
          <t>5674169206</t>
        </is>
      </c>
      <c r="B308" t="inlineStr">
        <is>
          <t>Novulis Corporation</t>
        </is>
      </c>
      <c r="C308" t="inlineStr">
        <is>
          <t>Novulis Corporation</t>
        </is>
      </c>
      <c r="D308" t="inlineStr">
        <is>
          <t>Closed</t>
        </is>
      </c>
      <c r="E308" s="297" t="n">
        <v>45954</v>
      </c>
      <c r="F308" s="297" t="n">
        <v>46168</v>
      </c>
      <c r="G308" t="n">
        <v>3</v>
      </c>
      <c r="H308" t="inlineStr">
        <is>
          <t>9661</t>
        </is>
      </c>
      <c r="I308" t="inlineStr">
        <is>
          <t>96</t>
        </is>
      </c>
      <c r="J308" t="inlineStr">
        <is>
          <t>VA</t>
        </is>
      </c>
      <c r="K308" t="inlineStr">
        <is>
          <t>Ballicci</t>
        </is>
      </c>
      <c r="L308" t="inlineStr">
        <is>
          <t>New Deal</t>
        </is>
      </c>
      <c r="M308" s="298" t="n">
        <v>1.459</v>
      </c>
      <c r="N308" s="299" t="n">
        <v>150000</v>
      </c>
      <c r="O308" s="299" t="n">
        <v>18000</v>
      </c>
      <c r="P308" s="299" t="n">
        <v>218850</v>
      </c>
      <c r="Q308" s="299" t="n">
        <v>218850</v>
      </c>
      <c r="R308" s="299" t="n">
        <v>0</v>
      </c>
      <c r="S308" s="300" t="n">
        <v>1</v>
      </c>
      <c r="T308" t="n">
        <v>27</v>
      </c>
      <c r="U308" t="n">
        <v>7</v>
      </c>
      <c r="V308" t="n">
        <v>1194272.49</v>
      </c>
      <c r="W308" s="300" t="n">
        <v>0.0271</v>
      </c>
      <c r="X308" s="297" t="n">
        <v>44958</v>
      </c>
      <c r="Y308">
        <f>IF(I308="","No SIC",IFERROR(VLOOKUP(I308,Ref!$A$2:$B$65,2,FALSE),"Unclassified"))</f>
        <v/>
      </c>
      <c r="Z308">
        <f>IF(T308="","",IF(T308&lt;12,"Daily","Weekly"))</f>
        <v/>
      </c>
      <c r="AA308">
        <f>IF(T308="",0,IF(T308&lt;12,T308*Controls!$B$29,T308*5))</f>
        <v/>
      </c>
      <c r="AB308">
        <f>IF(E308="",0,NETWORKDAYS(E308,Controls!$B$36,Ref!$K$2:$K$42))</f>
        <v/>
      </c>
      <c r="AC308">
        <f>IF(AND(AA308&gt;0,AB308&gt;=Controls!$B$39*AA308),1,0)</f>
        <v/>
      </c>
      <c r="AD308">
        <f>IF(AND(E308&lt;&gt;"",E308&gt;=Controls!$B$37,E308&lt;=Controls!$B$38),1,0)</f>
        <v/>
      </c>
      <c r="AE308">
        <f>IF(IFERROR(VLOOKUP(D308,Controls!$A$64:$E$74,2,FALSE),"No")="Yes",1,0)</f>
        <v/>
      </c>
      <c r="AF308">
        <f>IF(IFERROR(VLOOKUP(D308,Controls!$A$64:$E$74,3,FALSE),"No")="Yes",1,0)</f>
        <v/>
      </c>
      <c r="AG308">
        <f>IF(IFERROR(VLOOKUP(D308,Controls!$A$64:$E$74,4,FALSE),"No")="Yes",1,0)</f>
        <v/>
      </c>
      <c r="AH308">
        <f>IF(IFERROR(VLOOKUP(D308,Controls!$A$64:$E$74,5,FALSE),"No")="Yes",1,0)</f>
        <v/>
      </c>
      <c r="AI308">
        <f>IF(ISNUMBER(MATCH(D308,Controls!$A$64:$A$74,0)),1,0)</f>
        <v/>
      </c>
      <c r="AJ308">
        <f>Q308-N308</f>
        <v/>
      </c>
      <c r="AK308">
        <f>IF(AE308=1,MAX(0,N308-Q308),0)</f>
        <v/>
      </c>
      <c r="AL308">
        <f>IF(OR(V308="",V308=0),0,N308/V308)</f>
        <v/>
      </c>
      <c r="AM308">
        <f>IF(OR(V308="",V308=0),0,1)</f>
        <v/>
      </c>
      <c r="AN308">
        <f>IF(OR(E308="",F308=""),0,NETWORKDAYS(E308,F308,Ref!$K$2:$K$42))</f>
        <v/>
      </c>
      <c r="AO308">
        <f>IF(L308="Renewal",1,0)</f>
        <v/>
      </c>
      <c r="AP308">
        <f>AC308*AD308</f>
        <v/>
      </c>
      <c r="AQ308">
        <f>IF(AND(G308&lt;&gt;"",'Historical Score'!$C$6&lt;&gt;""),IF(G308='Historical Score'!$C$6,1,0),0)</f>
        <v/>
      </c>
      <c r="AR308">
        <f>IF(AND(L308&lt;&gt;"",'Historical Score'!$C$5&lt;&gt;""),IF(L308='Historical Score'!$C$5,1,0),0)</f>
        <v/>
      </c>
      <c r="AS308">
        <f>IF(AND(Y308&lt;&gt;"",'Historical Score'!$C$7&lt;&gt;""),IF(Y308='Historical Score'!$C$7,1,0),0)</f>
        <v/>
      </c>
      <c r="AT308">
        <f>IF(AND(K308&lt;&gt;"",'Historical Score'!$C$8&lt;&gt;""),IF(K308='Historical Score'!$C$8,1,0),0)</f>
        <v/>
      </c>
      <c r="AU308">
        <f>IF(AND(J308&lt;&gt;"",'Historical Score'!$C$9&lt;&gt;""),IF(J308='Historical Score'!$C$9,1,0),0)</f>
        <v/>
      </c>
      <c r="AV308">
        <f>AR308*AS308*AQ308</f>
        <v/>
      </c>
      <c r="AW308">
        <f>AR308*AT308*AQ308</f>
        <v/>
      </c>
      <c r="AX308">
        <f>AR308*AS308</f>
        <v/>
      </c>
      <c r="AY308">
        <f>AR308*AT308</f>
        <v/>
      </c>
      <c r="AZ308">
        <f>AR308*AQ308</f>
        <v/>
      </c>
      <c r="BA308">
        <f>AR308</f>
        <v/>
      </c>
      <c r="BB308">
        <f>1</f>
        <v/>
      </c>
      <c r="BC308">
        <f>IF(AV308=1,1,IF(AW308=1,2,IF(AX308=1,3,IF(AY308=1,4,IF(AZ308=1,5,IF(BA308=1,6,7))))))</f>
        <v/>
      </c>
      <c r="BD308">
        <f>IF(AD308=1,CHOOSE('Historical Score'!$C$29,AV308,AW308,AX308,AY308,AZ308,BA308,BB308),0)</f>
        <v/>
      </c>
      <c r="BE308">
        <f>IF(BD308=1,COUNTIF($BD$2:BD308,1),"")</f>
        <v/>
      </c>
    </row>
    <row r="309">
      <c r="A309" t="inlineStr">
        <is>
          <t>5674169212</t>
        </is>
      </c>
      <c r="B309" t="inlineStr">
        <is>
          <t>REALTAKAI</t>
        </is>
      </c>
      <c r="C309" t="inlineStr">
        <is>
          <t>JAY LLC</t>
        </is>
      </c>
      <c r="D309" t="inlineStr">
        <is>
          <t>Legal</t>
        </is>
      </c>
      <c r="E309" s="297" t="n">
        <v>45954</v>
      </c>
      <c r="F309" s="297" t="n">
        <v>46038</v>
      </c>
      <c r="G309" t="n">
        <v>3</v>
      </c>
      <c r="H309" t="inlineStr">
        <is>
          <t>5261</t>
        </is>
      </c>
      <c r="I309" t="inlineStr">
        <is>
          <t>52</t>
        </is>
      </c>
      <c r="J309" t="inlineStr">
        <is>
          <t>WA</t>
        </is>
      </c>
      <c r="K309" t="inlineStr">
        <is>
          <t>Fundwell</t>
        </is>
      </c>
      <c r="L309" t="inlineStr">
        <is>
          <t>New Deal</t>
        </is>
      </c>
      <c r="M309" s="298" t="n">
        <v>1.4</v>
      </c>
      <c r="N309" s="299" t="n">
        <v>150000</v>
      </c>
      <c r="O309" s="299" t="n">
        <v>19500</v>
      </c>
      <c r="P309" s="299" t="n">
        <v>210000</v>
      </c>
      <c r="Q309" s="299" t="n">
        <v>42962.67</v>
      </c>
      <c r="R309" s="299" t="n">
        <v>167037.33</v>
      </c>
      <c r="S309" s="300" t="n">
        <v>0.204584142857143</v>
      </c>
      <c r="T309" t="n">
        <v>44</v>
      </c>
      <c r="U309" t="n">
        <v>2</v>
      </c>
      <c r="V309" t="n">
        <v>349077.34</v>
      </c>
      <c r="W309" s="300" t="n">
        <v>0.0547</v>
      </c>
      <c r="X309" s="297" t="n">
        <v>43466</v>
      </c>
      <c r="Y309">
        <f>IF(I309="","No SIC",IFERROR(VLOOKUP(I309,Ref!$A$2:$B$65,2,FALSE),"Unclassified"))</f>
        <v/>
      </c>
      <c r="Z309">
        <f>IF(T309="","",IF(T309&lt;12,"Daily","Weekly"))</f>
        <v/>
      </c>
      <c r="AA309">
        <f>IF(T309="",0,IF(T309&lt;12,T309*Controls!$B$29,T309*5))</f>
        <v/>
      </c>
      <c r="AB309">
        <f>IF(E309="",0,NETWORKDAYS(E309,Controls!$B$36,Ref!$K$2:$K$42))</f>
        <v/>
      </c>
      <c r="AC309">
        <f>IF(AND(AA309&gt;0,AB309&gt;=Controls!$B$39*AA309),1,0)</f>
        <v/>
      </c>
      <c r="AD309">
        <f>IF(AND(E309&lt;&gt;"",E309&gt;=Controls!$B$37,E309&lt;=Controls!$B$38),1,0)</f>
        <v/>
      </c>
      <c r="AE309">
        <f>IF(IFERROR(VLOOKUP(D309,Controls!$A$64:$E$74,2,FALSE),"No")="Yes",1,0)</f>
        <v/>
      </c>
      <c r="AF309">
        <f>IF(IFERROR(VLOOKUP(D309,Controls!$A$64:$E$74,3,FALSE),"No")="Yes",1,0)</f>
        <v/>
      </c>
      <c r="AG309">
        <f>IF(IFERROR(VLOOKUP(D309,Controls!$A$64:$E$74,4,FALSE),"No")="Yes",1,0)</f>
        <v/>
      </c>
      <c r="AH309">
        <f>IF(IFERROR(VLOOKUP(D309,Controls!$A$64:$E$74,5,FALSE),"No")="Yes",1,0)</f>
        <v/>
      </c>
      <c r="AI309">
        <f>IF(ISNUMBER(MATCH(D309,Controls!$A$64:$A$74,0)),1,0)</f>
        <v/>
      </c>
      <c r="AJ309">
        <f>Q309-N309</f>
        <v/>
      </c>
      <c r="AK309">
        <f>IF(AE309=1,MAX(0,N309-Q309),0)</f>
        <v/>
      </c>
      <c r="AL309">
        <f>IF(OR(V309="",V309=0),0,N309/V309)</f>
        <v/>
      </c>
      <c r="AM309">
        <f>IF(OR(V309="",V309=0),0,1)</f>
        <v/>
      </c>
      <c r="AN309">
        <f>IF(OR(E309="",F309=""),0,NETWORKDAYS(E309,F309,Ref!$K$2:$K$42))</f>
        <v/>
      </c>
      <c r="AO309">
        <f>IF(L309="Renewal",1,0)</f>
        <v/>
      </c>
      <c r="AP309">
        <f>AC309*AD309</f>
        <v/>
      </c>
      <c r="AQ309">
        <f>IF(AND(G309&lt;&gt;"",'Historical Score'!$C$6&lt;&gt;""),IF(G309='Historical Score'!$C$6,1,0),0)</f>
        <v/>
      </c>
      <c r="AR309">
        <f>IF(AND(L309&lt;&gt;"",'Historical Score'!$C$5&lt;&gt;""),IF(L309='Historical Score'!$C$5,1,0),0)</f>
        <v/>
      </c>
      <c r="AS309">
        <f>IF(AND(Y309&lt;&gt;"",'Historical Score'!$C$7&lt;&gt;""),IF(Y309='Historical Score'!$C$7,1,0),0)</f>
        <v/>
      </c>
      <c r="AT309">
        <f>IF(AND(K309&lt;&gt;"",'Historical Score'!$C$8&lt;&gt;""),IF(K309='Historical Score'!$C$8,1,0),0)</f>
        <v/>
      </c>
      <c r="AU309">
        <f>IF(AND(J309&lt;&gt;"",'Historical Score'!$C$9&lt;&gt;""),IF(J309='Historical Score'!$C$9,1,0),0)</f>
        <v/>
      </c>
      <c r="AV309">
        <f>AR309*AS309*AQ309</f>
        <v/>
      </c>
      <c r="AW309">
        <f>AR309*AT309*AQ309</f>
        <v/>
      </c>
      <c r="AX309">
        <f>AR309*AS309</f>
        <v/>
      </c>
      <c r="AY309">
        <f>AR309*AT309</f>
        <v/>
      </c>
      <c r="AZ309">
        <f>AR309*AQ309</f>
        <v/>
      </c>
      <c r="BA309">
        <f>AR309</f>
        <v/>
      </c>
      <c r="BB309">
        <f>1</f>
        <v/>
      </c>
      <c r="BC309">
        <f>IF(AV309=1,1,IF(AW309=1,2,IF(AX309=1,3,IF(AY309=1,4,IF(AZ309=1,5,IF(BA309=1,6,7))))))</f>
        <v/>
      </c>
      <c r="BD309">
        <f>IF(AD309=1,CHOOSE('Historical Score'!$C$29,AV309,AW309,AX309,AY309,AZ309,BA309,BB309),0)</f>
        <v/>
      </c>
      <c r="BE309">
        <f>IF(BD309=1,COUNTIF($BD$2:BD309,1),"")</f>
        <v/>
      </c>
    </row>
    <row r="310">
      <c r="A310" t="inlineStr">
        <is>
          <t>5674169288</t>
        </is>
      </c>
      <c r="B310" t="inlineStr">
        <is>
          <t>Luxe MediGlow</t>
        </is>
      </c>
      <c r="C310" t="inlineStr">
        <is>
          <t>Judy M Perkins LLC</t>
        </is>
      </c>
      <c r="D310" t="inlineStr">
        <is>
          <t>Closed</t>
        </is>
      </c>
      <c r="E310" s="297" t="n">
        <v>45957</v>
      </c>
      <c r="F310" s="297" t="n">
        <v>46076</v>
      </c>
      <c r="G310" t="n">
        <v>2</v>
      </c>
      <c r="H310" t="inlineStr">
        <is>
          <t>5999</t>
        </is>
      </c>
      <c r="I310" t="inlineStr">
        <is>
          <t>59</t>
        </is>
      </c>
      <c r="J310" t="inlineStr">
        <is>
          <t>FL</t>
        </is>
      </c>
      <c r="K310" t="inlineStr">
        <is>
          <t>Fundible</t>
        </is>
      </c>
      <c r="L310" t="inlineStr">
        <is>
          <t>New Deal</t>
        </is>
      </c>
      <c r="M310" s="298" t="n">
        <v>1.49</v>
      </c>
      <c r="N310" s="299" t="n">
        <v>7500</v>
      </c>
      <c r="O310" s="299" t="n">
        <v>1050</v>
      </c>
      <c r="P310" s="299" t="n">
        <v>11175</v>
      </c>
      <c r="Q310" s="299" t="n">
        <v>11175</v>
      </c>
      <c r="R310" s="299" t="n">
        <v>0</v>
      </c>
      <c r="S310" s="300" t="n">
        <v>1</v>
      </c>
      <c r="T310" t="n">
        <v>2.623</v>
      </c>
      <c r="U310" t="n">
        <v>0</v>
      </c>
      <c r="V310" t="n">
        <v>17544.28</v>
      </c>
      <c r="W310" s="300" t="n">
        <v>0.1672</v>
      </c>
      <c r="X310" s="297" t="n">
        <v>43757</v>
      </c>
      <c r="Y310">
        <f>IF(I310="","No SIC",IFERROR(VLOOKUP(I310,Ref!$A$2:$B$65,2,FALSE),"Unclassified"))</f>
        <v/>
      </c>
      <c r="Z310">
        <f>IF(T310="","",IF(T310&lt;12,"Daily","Weekly"))</f>
        <v/>
      </c>
      <c r="AA310">
        <f>IF(T310="",0,IF(T310&lt;12,T310*Controls!$B$29,T310*5))</f>
        <v/>
      </c>
      <c r="AB310">
        <f>IF(E310="",0,NETWORKDAYS(E310,Controls!$B$36,Ref!$K$2:$K$42))</f>
        <v/>
      </c>
      <c r="AC310">
        <f>IF(AND(AA310&gt;0,AB310&gt;=Controls!$B$39*AA310),1,0)</f>
        <v/>
      </c>
      <c r="AD310">
        <f>IF(AND(E310&lt;&gt;"",E310&gt;=Controls!$B$37,E310&lt;=Controls!$B$38),1,0)</f>
        <v/>
      </c>
      <c r="AE310">
        <f>IF(IFERROR(VLOOKUP(D310,Controls!$A$64:$E$74,2,FALSE),"No")="Yes",1,0)</f>
        <v/>
      </c>
      <c r="AF310">
        <f>IF(IFERROR(VLOOKUP(D310,Controls!$A$64:$E$74,3,FALSE),"No")="Yes",1,0)</f>
        <v/>
      </c>
      <c r="AG310">
        <f>IF(IFERROR(VLOOKUP(D310,Controls!$A$64:$E$74,4,FALSE),"No")="Yes",1,0)</f>
        <v/>
      </c>
      <c r="AH310">
        <f>IF(IFERROR(VLOOKUP(D310,Controls!$A$64:$E$74,5,FALSE),"No")="Yes",1,0)</f>
        <v/>
      </c>
      <c r="AI310">
        <f>IF(ISNUMBER(MATCH(D310,Controls!$A$64:$A$74,0)),1,0)</f>
        <v/>
      </c>
      <c r="AJ310">
        <f>Q310-N310</f>
        <v/>
      </c>
      <c r="AK310">
        <f>IF(AE310=1,MAX(0,N310-Q310),0)</f>
        <v/>
      </c>
      <c r="AL310">
        <f>IF(OR(V310="",V310=0),0,N310/V310)</f>
        <v/>
      </c>
      <c r="AM310">
        <f>IF(OR(V310="",V310=0),0,1)</f>
        <v/>
      </c>
      <c r="AN310">
        <f>IF(OR(E310="",F310=""),0,NETWORKDAYS(E310,F310,Ref!$K$2:$K$42))</f>
        <v/>
      </c>
      <c r="AO310">
        <f>IF(L310="Renewal",1,0)</f>
        <v/>
      </c>
      <c r="AP310">
        <f>AC310*AD310</f>
        <v/>
      </c>
      <c r="AQ310">
        <f>IF(AND(G310&lt;&gt;"",'Historical Score'!$C$6&lt;&gt;""),IF(G310='Historical Score'!$C$6,1,0),0)</f>
        <v/>
      </c>
      <c r="AR310">
        <f>IF(AND(L310&lt;&gt;"",'Historical Score'!$C$5&lt;&gt;""),IF(L310='Historical Score'!$C$5,1,0),0)</f>
        <v/>
      </c>
      <c r="AS310">
        <f>IF(AND(Y310&lt;&gt;"",'Historical Score'!$C$7&lt;&gt;""),IF(Y310='Historical Score'!$C$7,1,0),0)</f>
        <v/>
      </c>
      <c r="AT310">
        <f>IF(AND(K310&lt;&gt;"",'Historical Score'!$C$8&lt;&gt;""),IF(K310='Historical Score'!$C$8,1,0),0)</f>
        <v/>
      </c>
      <c r="AU310">
        <f>IF(AND(J310&lt;&gt;"",'Historical Score'!$C$9&lt;&gt;""),IF(J310='Historical Score'!$C$9,1,0),0)</f>
        <v/>
      </c>
      <c r="AV310">
        <f>AR310*AS310*AQ310</f>
        <v/>
      </c>
      <c r="AW310">
        <f>AR310*AT310*AQ310</f>
        <v/>
      </c>
      <c r="AX310">
        <f>AR310*AS310</f>
        <v/>
      </c>
      <c r="AY310">
        <f>AR310*AT310</f>
        <v/>
      </c>
      <c r="AZ310">
        <f>AR310*AQ310</f>
        <v/>
      </c>
      <c r="BA310">
        <f>AR310</f>
        <v/>
      </c>
      <c r="BB310">
        <f>1</f>
        <v/>
      </c>
      <c r="BC310">
        <f>IF(AV310=1,1,IF(AW310=1,2,IF(AX310=1,3,IF(AY310=1,4,IF(AZ310=1,5,IF(BA310=1,6,7))))))</f>
        <v/>
      </c>
      <c r="BD310">
        <f>IF(AD310=1,CHOOSE('Historical Score'!$C$29,AV310,AW310,AX310,AY310,AZ310,BA310,BB310),0)</f>
        <v/>
      </c>
      <c r="BE310">
        <f>IF(BD310=1,COUNTIF($BD$2:BD310,1),"")</f>
        <v/>
      </c>
    </row>
    <row r="311">
      <c r="A311" t="inlineStr">
        <is>
          <t>5674169299</t>
        </is>
      </c>
      <c r="B311" t="inlineStr">
        <is>
          <t>Essential Washer LLC</t>
        </is>
      </c>
      <c r="C311" t="inlineStr">
        <is>
          <t>Essential Washer LLC</t>
        </is>
      </c>
      <c r="D311" t="inlineStr">
        <is>
          <t>Closed</t>
        </is>
      </c>
      <c r="E311" s="297" t="n">
        <v>45957</v>
      </c>
      <c r="F311" s="297" t="n">
        <v>46071</v>
      </c>
      <c r="G311" t="n">
        <v>7</v>
      </c>
      <c r="H311" t="inlineStr">
        <is>
          <t>5999</t>
        </is>
      </c>
      <c r="I311" t="inlineStr">
        <is>
          <t>59</t>
        </is>
      </c>
      <c r="J311" t="inlineStr">
        <is>
          <t>TX</t>
        </is>
      </c>
      <c r="K311" t="inlineStr">
        <is>
          <t>Merchant ReFi</t>
        </is>
      </c>
      <c r="L311" t="inlineStr">
        <is>
          <t>New Deal</t>
        </is>
      </c>
      <c r="M311" s="298" t="n">
        <v>1.499</v>
      </c>
      <c r="N311" s="299" t="n">
        <v>15000</v>
      </c>
      <c r="O311" s="299" t="n">
        <v>2100</v>
      </c>
      <c r="P311" s="299" t="n">
        <v>22485</v>
      </c>
      <c r="Q311" s="299" t="n">
        <v>22485</v>
      </c>
      <c r="R311" s="299" t="n">
        <v>0</v>
      </c>
      <c r="S311" s="300" t="n">
        <v>1</v>
      </c>
      <c r="T311" t="n">
        <v>2.951</v>
      </c>
      <c r="U311" t="n">
        <v>0</v>
      </c>
      <c r="V311" t="n">
        <v>25610.61</v>
      </c>
      <c r="W311" s="300" t="n">
        <v>0.2025</v>
      </c>
      <c r="X311" s="297" t="n"/>
      <c r="Y311">
        <f>IF(I311="","No SIC",IFERROR(VLOOKUP(I311,Ref!$A$2:$B$65,2,FALSE),"Unclassified"))</f>
        <v/>
      </c>
      <c r="Z311">
        <f>IF(T311="","",IF(T311&lt;12,"Daily","Weekly"))</f>
        <v/>
      </c>
      <c r="AA311">
        <f>IF(T311="",0,IF(T311&lt;12,T311*Controls!$B$29,T311*5))</f>
        <v/>
      </c>
      <c r="AB311">
        <f>IF(E311="",0,NETWORKDAYS(E311,Controls!$B$36,Ref!$K$2:$K$42))</f>
        <v/>
      </c>
      <c r="AC311">
        <f>IF(AND(AA311&gt;0,AB311&gt;=Controls!$B$39*AA311),1,0)</f>
        <v/>
      </c>
      <c r="AD311">
        <f>IF(AND(E311&lt;&gt;"",E311&gt;=Controls!$B$37,E311&lt;=Controls!$B$38),1,0)</f>
        <v/>
      </c>
      <c r="AE311">
        <f>IF(IFERROR(VLOOKUP(D311,Controls!$A$64:$E$74,2,FALSE),"No")="Yes",1,0)</f>
        <v/>
      </c>
      <c r="AF311">
        <f>IF(IFERROR(VLOOKUP(D311,Controls!$A$64:$E$74,3,FALSE),"No")="Yes",1,0)</f>
        <v/>
      </c>
      <c r="AG311">
        <f>IF(IFERROR(VLOOKUP(D311,Controls!$A$64:$E$74,4,FALSE),"No")="Yes",1,0)</f>
        <v/>
      </c>
      <c r="AH311">
        <f>IF(IFERROR(VLOOKUP(D311,Controls!$A$64:$E$74,5,FALSE),"No")="Yes",1,0)</f>
        <v/>
      </c>
      <c r="AI311">
        <f>IF(ISNUMBER(MATCH(D311,Controls!$A$64:$A$74,0)),1,0)</f>
        <v/>
      </c>
      <c r="AJ311">
        <f>Q311-N311</f>
        <v/>
      </c>
      <c r="AK311">
        <f>IF(AE311=1,MAX(0,N311-Q311),0)</f>
        <v/>
      </c>
      <c r="AL311">
        <f>IF(OR(V311="",V311=0),0,N311/V311)</f>
        <v/>
      </c>
      <c r="AM311">
        <f>IF(OR(V311="",V311=0),0,1)</f>
        <v/>
      </c>
      <c r="AN311">
        <f>IF(OR(E311="",F311=""),0,NETWORKDAYS(E311,F311,Ref!$K$2:$K$42))</f>
        <v/>
      </c>
      <c r="AO311">
        <f>IF(L311="Renewal",1,0)</f>
        <v/>
      </c>
      <c r="AP311">
        <f>AC311*AD311</f>
        <v/>
      </c>
      <c r="AQ311">
        <f>IF(AND(G311&lt;&gt;"",'Historical Score'!$C$6&lt;&gt;""),IF(G311='Historical Score'!$C$6,1,0),0)</f>
        <v/>
      </c>
      <c r="AR311">
        <f>IF(AND(L311&lt;&gt;"",'Historical Score'!$C$5&lt;&gt;""),IF(L311='Historical Score'!$C$5,1,0),0)</f>
        <v/>
      </c>
      <c r="AS311">
        <f>IF(AND(Y311&lt;&gt;"",'Historical Score'!$C$7&lt;&gt;""),IF(Y311='Historical Score'!$C$7,1,0),0)</f>
        <v/>
      </c>
      <c r="AT311">
        <f>IF(AND(K311&lt;&gt;"",'Historical Score'!$C$8&lt;&gt;""),IF(K311='Historical Score'!$C$8,1,0),0)</f>
        <v/>
      </c>
      <c r="AU311">
        <f>IF(AND(J311&lt;&gt;"",'Historical Score'!$C$9&lt;&gt;""),IF(J311='Historical Score'!$C$9,1,0),0)</f>
        <v/>
      </c>
      <c r="AV311">
        <f>AR311*AS311*AQ311</f>
        <v/>
      </c>
      <c r="AW311">
        <f>AR311*AT311*AQ311</f>
        <v/>
      </c>
      <c r="AX311">
        <f>AR311*AS311</f>
        <v/>
      </c>
      <c r="AY311">
        <f>AR311*AT311</f>
        <v/>
      </c>
      <c r="AZ311">
        <f>AR311*AQ311</f>
        <v/>
      </c>
      <c r="BA311">
        <f>AR311</f>
        <v/>
      </c>
      <c r="BB311">
        <f>1</f>
        <v/>
      </c>
      <c r="BC311">
        <f>IF(AV311=1,1,IF(AW311=1,2,IF(AX311=1,3,IF(AY311=1,4,IF(AZ311=1,5,IF(BA311=1,6,7))))))</f>
        <v/>
      </c>
      <c r="BD311">
        <f>IF(AD311=1,CHOOSE('Historical Score'!$C$29,AV311,AW311,AX311,AY311,AZ311,BA311,BB311),0)</f>
        <v/>
      </c>
      <c r="BE311">
        <f>IF(BD311=1,COUNTIF($BD$2:BD311,1),"")</f>
        <v/>
      </c>
    </row>
    <row r="312">
      <c r="A312" t="inlineStr">
        <is>
          <t>5674169327</t>
        </is>
      </c>
      <c r="B312" t="inlineStr">
        <is>
          <t>WOWS KITCHEN</t>
        </is>
      </c>
      <c r="C312" t="inlineStr">
        <is>
          <t>WOWS KITCHEN</t>
        </is>
      </c>
      <c r="D312" t="inlineStr">
        <is>
          <t>Legal</t>
        </is>
      </c>
      <c r="E312" s="297" t="n">
        <v>45958</v>
      </c>
      <c r="F312" s="297" t="n">
        <v>46051</v>
      </c>
      <c r="G312" t="n">
        <v>1</v>
      </c>
      <c r="H312" t="inlineStr">
        <is>
          <t>5499</t>
        </is>
      </c>
      <c r="I312" t="inlineStr">
        <is>
          <t>54</t>
        </is>
      </c>
      <c r="J312" t="inlineStr">
        <is>
          <t>CA</t>
        </is>
      </c>
      <c r="K312" t="inlineStr">
        <is>
          <t>Fundwell</t>
        </is>
      </c>
      <c r="L312" t="inlineStr">
        <is>
          <t>New Deal</t>
        </is>
      </c>
      <c r="M312" s="298" t="n">
        <v>1.46</v>
      </c>
      <c r="N312" s="299" t="n">
        <v>8000</v>
      </c>
      <c r="O312" s="299" t="n">
        <v>1200</v>
      </c>
      <c r="P312" s="299" t="n">
        <v>11680</v>
      </c>
      <c r="Q312" s="299" t="n">
        <v>4904.34</v>
      </c>
      <c r="R312" s="299" t="n">
        <v>6775.66</v>
      </c>
      <c r="S312" s="300" t="n">
        <v>0.419892123287671</v>
      </c>
      <c r="T312" t="n">
        <v>3.279</v>
      </c>
      <c r="U312" t="n">
        <v>21</v>
      </c>
      <c r="V312" t="n">
        <v>31357.62</v>
      </c>
      <c r="W312" s="300" t="n">
        <v>0.07820000000000001</v>
      </c>
      <c r="X312" s="297" t="n">
        <v>45600</v>
      </c>
      <c r="Y312">
        <f>IF(I312="","No SIC",IFERROR(VLOOKUP(I312,Ref!$A$2:$B$65,2,FALSE),"Unclassified"))</f>
        <v/>
      </c>
      <c r="Z312">
        <f>IF(T312="","",IF(T312&lt;12,"Daily","Weekly"))</f>
        <v/>
      </c>
      <c r="AA312">
        <f>IF(T312="",0,IF(T312&lt;12,T312*Controls!$B$29,T312*5))</f>
        <v/>
      </c>
      <c r="AB312">
        <f>IF(E312="",0,NETWORKDAYS(E312,Controls!$B$36,Ref!$K$2:$K$42))</f>
        <v/>
      </c>
      <c r="AC312">
        <f>IF(AND(AA312&gt;0,AB312&gt;=Controls!$B$39*AA312),1,0)</f>
        <v/>
      </c>
      <c r="AD312">
        <f>IF(AND(E312&lt;&gt;"",E312&gt;=Controls!$B$37,E312&lt;=Controls!$B$38),1,0)</f>
        <v/>
      </c>
      <c r="AE312">
        <f>IF(IFERROR(VLOOKUP(D312,Controls!$A$64:$E$74,2,FALSE),"No")="Yes",1,0)</f>
        <v/>
      </c>
      <c r="AF312">
        <f>IF(IFERROR(VLOOKUP(D312,Controls!$A$64:$E$74,3,FALSE),"No")="Yes",1,0)</f>
        <v/>
      </c>
      <c r="AG312">
        <f>IF(IFERROR(VLOOKUP(D312,Controls!$A$64:$E$74,4,FALSE),"No")="Yes",1,0)</f>
        <v/>
      </c>
      <c r="AH312">
        <f>IF(IFERROR(VLOOKUP(D312,Controls!$A$64:$E$74,5,FALSE),"No")="Yes",1,0)</f>
        <v/>
      </c>
      <c r="AI312">
        <f>IF(ISNUMBER(MATCH(D312,Controls!$A$64:$A$74,0)),1,0)</f>
        <v/>
      </c>
      <c r="AJ312">
        <f>Q312-N312</f>
        <v/>
      </c>
      <c r="AK312">
        <f>IF(AE312=1,MAX(0,N312-Q312),0)</f>
        <v/>
      </c>
      <c r="AL312">
        <f>IF(OR(V312="",V312=0),0,N312/V312)</f>
        <v/>
      </c>
      <c r="AM312">
        <f>IF(OR(V312="",V312=0),0,1)</f>
        <v/>
      </c>
      <c r="AN312">
        <f>IF(OR(E312="",F312=""),0,NETWORKDAYS(E312,F312,Ref!$K$2:$K$42))</f>
        <v/>
      </c>
      <c r="AO312">
        <f>IF(L312="Renewal",1,0)</f>
        <v/>
      </c>
      <c r="AP312">
        <f>AC312*AD312</f>
        <v/>
      </c>
      <c r="AQ312">
        <f>IF(AND(G312&lt;&gt;"",'Historical Score'!$C$6&lt;&gt;""),IF(G312='Historical Score'!$C$6,1,0),0)</f>
        <v/>
      </c>
      <c r="AR312">
        <f>IF(AND(L312&lt;&gt;"",'Historical Score'!$C$5&lt;&gt;""),IF(L312='Historical Score'!$C$5,1,0),0)</f>
        <v/>
      </c>
      <c r="AS312">
        <f>IF(AND(Y312&lt;&gt;"",'Historical Score'!$C$7&lt;&gt;""),IF(Y312='Historical Score'!$C$7,1,0),0)</f>
        <v/>
      </c>
      <c r="AT312">
        <f>IF(AND(K312&lt;&gt;"",'Historical Score'!$C$8&lt;&gt;""),IF(K312='Historical Score'!$C$8,1,0),0)</f>
        <v/>
      </c>
      <c r="AU312">
        <f>IF(AND(J312&lt;&gt;"",'Historical Score'!$C$9&lt;&gt;""),IF(J312='Historical Score'!$C$9,1,0),0)</f>
        <v/>
      </c>
      <c r="AV312">
        <f>AR312*AS312*AQ312</f>
        <v/>
      </c>
      <c r="AW312">
        <f>AR312*AT312*AQ312</f>
        <v/>
      </c>
      <c r="AX312">
        <f>AR312*AS312</f>
        <v/>
      </c>
      <c r="AY312">
        <f>AR312*AT312</f>
        <v/>
      </c>
      <c r="AZ312">
        <f>AR312*AQ312</f>
        <v/>
      </c>
      <c r="BA312">
        <f>AR312</f>
        <v/>
      </c>
      <c r="BB312">
        <f>1</f>
        <v/>
      </c>
      <c r="BC312">
        <f>IF(AV312=1,1,IF(AW312=1,2,IF(AX312=1,3,IF(AY312=1,4,IF(AZ312=1,5,IF(BA312=1,6,7))))))</f>
        <v/>
      </c>
      <c r="BD312">
        <f>IF(AD312=1,CHOOSE('Historical Score'!$C$29,AV312,AW312,AX312,AY312,AZ312,BA312,BB312),0)</f>
        <v/>
      </c>
      <c r="BE312">
        <f>IF(BD312=1,COUNTIF($BD$2:BD312,1),"")</f>
        <v/>
      </c>
    </row>
    <row r="313">
      <c r="A313" t="inlineStr">
        <is>
          <t>5674169346</t>
        </is>
      </c>
      <c r="B313" t="inlineStr">
        <is>
          <t>Robs Flooring LLC</t>
        </is>
      </c>
      <c r="C313" t="inlineStr">
        <is>
          <t>Robs Flooring LLC</t>
        </is>
      </c>
      <c r="D313" t="inlineStr">
        <is>
          <t>In House Collection</t>
        </is>
      </c>
      <c r="E313" s="297" t="n">
        <v>45958</v>
      </c>
      <c r="F313" s="297" t="n">
        <v>46248</v>
      </c>
      <c r="G313" t="n">
        <v>2</v>
      </c>
      <c r="H313" t="inlineStr">
        <is>
          <t>1521</t>
        </is>
      </c>
      <c r="I313" t="inlineStr">
        <is>
          <t>15</t>
        </is>
      </c>
      <c r="J313" t="inlineStr">
        <is>
          <t>MI</t>
        </is>
      </c>
      <c r="K313" t="inlineStr">
        <is>
          <t>Llama Loan</t>
        </is>
      </c>
      <c r="L313" t="inlineStr">
        <is>
          <t>New Deal</t>
        </is>
      </c>
      <c r="M313" s="298" t="n">
        <v>1.45</v>
      </c>
      <c r="N313" s="299" t="n">
        <v>3500</v>
      </c>
      <c r="O313" s="299" t="n">
        <v>420</v>
      </c>
      <c r="P313" s="299" t="n">
        <v>5075</v>
      </c>
      <c r="Q313" s="299" t="n">
        <v>2067.06</v>
      </c>
      <c r="R313" s="299" t="n">
        <v>3007.94</v>
      </c>
      <c r="S313" s="300" t="n">
        <v>0.407302463054187</v>
      </c>
      <c r="T313" t="n">
        <v>16</v>
      </c>
      <c r="U313" t="n">
        <v>12</v>
      </c>
      <c r="V313" t="n">
        <v>16360.2</v>
      </c>
      <c r="W313" s="300" t="n">
        <v>0.0776</v>
      </c>
      <c r="X313" s="297" t="n">
        <v>44247</v>
      </c>
      <c r="Y313">
        <f>IF(I313="","No SIC",IFERROR(VLOOKUP(I313,Ref!$A$2:$B$65,2,FALSE),"Unclassified"))</f>
        <v/>
      </c>
      <c r="Z313">
        <f>IF(T313="","",IF(T313&lt;12,"Daily","Weekly"))</f>
        <v/>
      </c>
      <c r="AA313">
        <f>IF(T313="",0,IF(T313&lt;12,T313*Controls!$B$29,T313*5))</f>
        <v/>
      </c>
      <c r="AB313">
        <f>IF(E313="",0,NETWORKDAYS(E313,Controls!$B$36,Ref!$K$2:$K$42))</f>
        <v/>
      </c>
      <c r="AC313">
        <f>IF(AND(AA313&gt;0,AB313&gt;=Controls!$B$39*AA313),1,0)</f>
        <v/>
      </c>
      <c r="AD313">
        <f>IF(AND(E313&lt;&gt;"",E313&gt;=Controls!$B$37,E313&lt;=Controls!$B$38),1,0)</f>
        <v/>
      </c>
      <c r="AE313">
        <f>IF(IFERROR(VLOOKUP(D313,Controls!$A$64:$E$74,2,FALSE),"No")="Yes",1,0)</f>
        <v/>
      </c>
      <c r="AF313">
        <f>IF(IFERROR(VLOOKUP(D313,Controls!$A$64:$E$74,3,FALSE),"No")="Yes",1,0)</f>
        <v/>
      </c>
      <c r="AG313">
        <f>IF(IFERROR(VLOOKUP(D313,Controls!$A$64:$E$74,4,FALSE),"No")="Yes",1,0)</f>
        <v/>
      </c>
      <c r="AH313">
        <f>IF(IFERROR(VLOOKUP(D313,Controls!$A$64:$E$74,5,FALSE),"No")="Yes",1,0)</f>
        <v/>
      </c>
      <c r="AI313">
        <f>IF(ISNUMBER(MATCH(D313,Controls!$A$64:$A$74,0)),1,0)</f>
        <v/>
      </c>
      <c r="AJ313">
        <f>Q313-N313</f>
        <v/>
      </c>
      <c r="AK313">
        <f>IF(AE313=1,MAX(0,N313-Q313),0)</f>
        <v/>
      </c>
      <c r="AL313">
        <f>IF(OR(V313="",V313=0),0,N313/V313)</f>
        <v/>
      </c>
      <c r="AM313">
        <f>IF(OR(V313="",V313=0),0,1)</f>
        <v/>
      </c>
      <c r="AN313">
        <f>IF(OR(E313="",F313=""),0,NETWORKDAYS(E313,F313,Ref!$K$2:$K$42))</f>
        <v/>
      </c>
      <c r="AO313">
        <f>IF(L313="Renewal",1,0)</f>
        <v/>
      </c>
      <c r="AP313">
        <f>AC313*AD313</f>
        <v/>
      </c>
      <c r="AQ313">
        <f>IF(AND(G313&lt;&gt;"",'Historical Score'!$C$6&lt;&gt;""),IF(G313='Historical Score'!$C$6,1,0),0)</f>
        <v/>
      </c>
      <c r="AR313">
        <f>IF(AND(L313&lt;&gt;"",'Historical Score'!$C$5&lt;&gt;""),IF(L313='Historical Score'!$C$5,1,0),0)</f>
        <v/>
      </c>
      <c r="AS313">
        <f>IF(AND(Y313&lt;&gt;"",'Historical Score'!$C$7&lt;&gt;""),IF(Y313='Historical Score'!$C$7,1,0),0)</f>
        <v/>
      </c>
      <c r="AT313">
        <f>IF(AND(K313&lt;&gt;"",'Historical Score'!$C$8&lt;&gt;""),IF(K313='Historical Score'!$C$8,1,0),0)</f>
        <v/>
      </c>
      <c r="AU313">
        <f>IF(AND(J313&lt;&gt;"",'Historical Score'!$C$9&lt;&gt;""),IF(J313='Historical Score'!$C$9,1,0),0)</f>
        <v/>
      </c>
      <c r="AV313">
        <f>AR313*AS313*AQ313</f>
        <v/>
      </c>
      <c r="AW313">
        <f>AR313*AT313*AQ313</f>
        <v/>
      </c>
      <c r="AX313">
        <f>AR313*AS313</f>
        <v/>
      </c>
      <c r="AY313">
        <f>AR313*AT313</f>
        <v/>
      </c>
      <c r="AZ313">
        <f>AR313*AQ313</f>
        <v/>
      </c>
      <c r="BA313">
        <f>AR313</f>
        <v/>
      </c>
      <c r="BB313">
        <f>1</f>
        <v/>
      </c>
      <c r="BC313">
        <f>IF(AV313=1,1,IF(AW313=1,2,IF(AX313=1,3,IF(AY313=1,4,IF(AZ313=1,5,IF(BA313=1,6,7))))))</f>
        <v/>
      </c>
      <c r="BD313">
        <f>IF(AD313=1,CHOOSE('Historical Score'!$C$29,AV313,AW313,AX313,AY313,AZ313,BA313,BB313),0)</f>
        <v/>
      </c>
      <c r="BE313">
        <f>IF(BD313=1,COUNTIF($BD$2:BD313,1),"")</f>
        <v/>
      </c>
    </row>
    <row r="314">
      <c r="A314" t="inlineStr">
        <is>
          <t>5674169361</t>
        </is>
      </c>
      <c r="B314" t="inlineStr">
        <is>
          <t>Bayani Commercial, Inc.</t>
        </is>
      </c>
      <c r="C314" t="inlineStr">
        <is>
          <t>Bayani Commercial, Inc.</t>
        </is>
      </c>
      <c r="D314" t="inlineStr">
        <is>
          <t>Open</t>
        </is>
      </c>
      <c r="E314" s="297" t="n">
        <v>45958</v>
      </c>
      <c r="F314" s="297" t="n">
        <v>46252</v>
      </c>
      <c r="G314" t="n">
        <v>5</v>
      </c>
      <c r="H314" t="inlineStr">
        <is>
          <t>3731</t>
        </is>
      </c>
      <c r="I314" t="inlineStr">
        <is>
          <t>37</t>
        </is>
      </c>
      <c r="J314" t="inlineStr">
        <is>
          <t>WA</t>
        </is>
      </c>
      <c r="K314" t="inlineStr">
        <is>
          <t>Fundwell</t>
        </is>
      </c>
      <c r="L314" t="inlineStr">
        <is>
          <t>New Deal</t>
        </is>
      </c>
      <c r="M314" s="298" t="n">
        <v>1.42</v>
      </c>
      <c r="N314" s="299" t="n">
        <v>15000</v>
      </c>
      <c r="O314" s="299" t="n">
        <v>2100</v>
      </c>
      <c r="P314" s="299" t="n">
        <v>21300</v>
      </c>
      <c r="Q314" s="299" t="n">
        <v>12771.84</v>
      </c>
      <c r="R314" s="299" t="n">
        <v>8528.16</v>
      </c>
      <c r="S314" s="300" t="n">
        <v>0.599616901408451</v>
      </c>
      <c r="T314" t="n">
        <v>20</v>
      </c>
      <c r="U314" t="n">
        <v>30</v>
      </c>
      <c r="V314" t="n">
        <v>74168.49000000001</v>
      </c>
      <c r="W314" s="300" t="n">
        <v>0.0574</v>
      </c>
      <c r="X314" s="297" t="n">
        <v>34121</v>
      </c>
      <c r="Y314">
        <f>IF(I314="","No SIC",IFERROR(VLOOKUP(I314,Ref!$A$2:$B$65,2,FALSE),"Unclassified"))</f>
        <v/>
      </c>
      <c r="Z314">
        <f>IF(T314="","",IF(T314&lt;12,"Daily","Weekly"))</f>
        <v/>
      </c>
      <c r="AA314">
        <f>IF(T314="",0,IF(T314&lt;12,T314*Controls!$B$29,T314*5))</f>
        <v/>
      </c>
      <c r="AB314">
        <f>IF(E314="",0,NETWORKDAYS(E314,Controls!$B$36,Ref!$K$2:$K$42))</f>
        <v/>
      </c>
      <c r="AC314">
        <f>IF(AND(AA314&gt;0,AB314&gt;=Controls!$B$39*AA314),1,0)</f>
        <v/>
      </c>
      <c r="AD314">
        <f>IF(AND(E314&lt;&gt;"",E314&gt;=Controls!$B$37,E314&lt;=Controls!$B$38),1,0)</f>
        <v/>
      </c>
      <c r="AE314">
        <f>IF(IFERROR(VLOOKUP(D314,Controls!$A$64:$E$74,2,FALSE),"No")="Yes",1,0)</f>
        <v/>
      </c>
      <c r="AF314">
        <f>IF(IFERROR(VLOOKUP(D314,Controls!$A$64:$E$74,3,FALSE),"No")="Yes",1,0)</f>
        <v/>
      </c>
      <c r="AG314">
        <f>IF(IFERROR(VLOOKUP(D314,Controls!$A$64:$E$74,4,FALSE),"No")="Yes",1,0)</f>
        <v/>
      </c>
      <c r="AH314">
        <f>IF(IFERROR(VLOOKUP(D314,Controls!$A$64:$E$74,5,FALSE),"No")="Yes",1,0)</f>
        <v/>
      </c>
      <c r="AI314">
        <f>IF(ISNUMBER(MATCH(D314,Controls!$A$64:$A$74,0)),1,0)</f>
        <v/>
      </c>
      <c r="AJ314">
        <f>Q314-N314</f>
        <v/>
      </c>
      <c r="AK314">
        <f>IF(AE314=1,MAX(0,N314-Q314),0)</f>
        <v/>
      </c>
      <c r="AL314">
        <f>IF(OR(V314="",V314=0),0,N314/V314)</f>
        <v/>
      </c>
      <c r="AM314">
        <f>IF(OR(V314="",V314=0),0,1)</f>
        <v/>
      </c>
      <c r="AN314">
        <f>IF(OR(E314="",F314=""),0,NETWORKDAYS(E314,F314,Ref!$K$2:$K$42))</f>
        <v/>
      </c>
      <c r="AO314">
        <f>IF(L314="Renewal",1,0)</f>
        <v/>
      </c>
      <c r="AP314">
        <f>AC314*AD314</f>
        <v/>
      </c>
      <c r="AQ314">
        <f>IF(AND(G314&lt;&gt;"",'Historical Score'!$C$6&lt;&gt;""),IF(G314='Historical Score'!$C$6,1,0),0)</f>
        <v/>
      </c>
      <c r="AR314">
        <f>IF(AND(L314&lt;&gt;"",'Historical Score'!$C$5&lt;&gt;""),IF(L314='Historical Score'!$C$5,1,0),0)</f>
        <v/>
      </c>
      <c r="AS314">
        <f>IF(AND(Y314&lt;&gt;"",'Historical Score'!$C$7&lt;&gt;""),IF(Y314='Historical Score'!$C$7,1,0),0)</f>
        <v/>
      </c>
      <c r="AT314">
        <f>IF(AND(K314&lt;&gt;"",'Historical Score'!$C$8&lt;&gt;""),IF(K314='Historical Score'!$C$8,1,0),0)</f>
        <v/>
      </c>
      <c r="AU314">
        <f>IF(AND(J314&lt;&gt;"",'Historical Score'!$C$9&lt;&gt;""),IF(J314='Historical Score'!$C$9,1,0),0)</f>
        <v/>
      </c>
      <c r="AV314">
        <f>AR314*AS314*AQ314</f>
        <v/>
      </c>
      <c r="AW314">
        <f>AR314*AT314*AQ314</f>
        <v/>
      </c>
      <c r="AX314">
        <f>AR314*AS314</f>
        <v/>
      </c>
      <c r="AY314">
        <f>AR314*AT314</f>
        <v/>
      </c>
      <c r="AZ314">
        <f>AR314*AQ314</f>
        <v/>
      </c>
      <c r="BA314">
        <f>AR314</f>
        <v/>
      </c>
      <c r="BB314">
        <f>1</f>
        <v/>
      </c>
      <c r="BC314">
        <f>IF(AV314=1,1,IF(AW314=1,2,IF(AX314=1,3,IF(AY314=1,4,IF(AZ314=1,5,IF(BA314=1,6,7))))))</f>
        <v/>
      </c>
      <c r="BD314">
        <f>IF(AD314=1,CHOOSE('Historical Score'!$C$29,AV314,AW314,AX314,AY314,AZ314,BA314,BB314),0)</f>
        <v/>
      </c>
      <c r="BE314">
        <f>IF(BD314=1,COUNTIF($BD$2:BD314,1),"")</f>
        <v/>
      </c>
    </row>
    <row r="315">
      <c r="A315" t="inlineStr">
        <is>
          <t>5674169460</t>
        </is>
      </c>
      <c r="B315" t="inlineStr">
        <is>
          <t>Jerry's venture</t>
        </is>
      </c>
      <c r="C315" t="inlineStr">
        <is>
          <t>Jerry's venture</t>
        </is>
      </c>
      <c r="D315" t="inlineStr">
        <is>
          <t>Legal</t>
        </is>
      </c>
      <c r="E315" s="297" t="n">
        <v>45959</v>
      </c>
      <c r="F315" s="297" t="n">
        <v>45987</v>
      </c>
      <c r="G315" t="n">
        <v>4</v>
      </c>
      <c r="H315" t="inlineStr">
        <is>
          <t>7221</t>
        </is>
      </c>
      <c r="I315" t="inlineStr">
        <is>
          <t>72</t>
        </is>
      </c>
      <c r="J315" t="inlineStr">
        <is>
          <t>TX</t>
        </is>
      </c>
      <c r="K315" t="inlineStr">
        <is>
          <t>PMF</t>
        </is>
      </c>
      <c r="L315" t="inlineStr">
        <is>
          <t>New Deal</t>
        </is>
      </c>
      <c r="M315" s="298" t="n">
        <v>1.49</v>
      </c>
      <c r="N315" s="299" t="n">
        <v>15000</v>
      </c>
      <c r="O315" s="299" t="n">
        <v>2100</v>
      </c>
      <c r="P315" s="299" t="n">
        <v>22350</v>
      </c>
      <c r="Q315" s="299" t="n">
        <v>2459</v>
      </c>
      <c r="R315" s="299" t="n">
        <v>19891</v>
      </c>
      <c r="S315" s="300" t="n">
        <v>0.110022371364653</v>
      </c>
      <c r="T315" t="n">
        <v>3.279</v>
      </c>
      <c r="U315" t="n">
        <v>7</v>
      </c>
      <c r="V315" t="n">
        <v>43557.72</v>
      </c>
      <c r="W315" s="300" t="n">
        <v>0.1078</v>
      </c>
      <c r="X315" s="297" t="n">
        <v>44217</v>
      </c>
      <c r="Y315">
        <f>IF(I315="","No SIC",IFERROR(VLOOKUP(I315,Ref!$A$2:$B$65,2,FALSE),"Unclassified"))</f>
        <v/>
      </c>
      <c r="Z315">
        <f>IF(T315="","",IF(T315&lt;12,"Daily","Weekly"))</f>
        <v/>
      </c>
      <c r="AA315">
        <f>IF(T315="",0,IF(T315&lt;12,T315*Controls!$B$29,T315*5))</f>
        <v/>
      </c>
      <c r="AB315">
        <f>IF(E315="",0,NETWORKDAYS(E315,Controls!$B$36,Ref!$K$2:$K$42))</f>
        <v/>
      </c>
      <c r="AC315">
        <f>IF(AND(AA315&gt;0,AB315&gt;=Controls!$B$39*AA315),1,0)</f>
        <v/>
      </c>
      <c r="AD315">
        <f>IF(AND(E315&lt;&gt;"",E315&gt;=Controls!$B$37,E315&lt;=Controls!$B$38),1,0)</f>
        <v/>
      </c>
      <c r="AE315">
        <f>IF(IFERROR(VLOOKUP(D315,Controls!$A$64:$E$74,2,FALSE),"No")="Yes",1,0)</f>
        <v/>
      </c>
      <c r="AF315">
        <f>IF(IFERROR(VLOOKUP(D315,Controls!$A$64:$E$74,3,FALSE),"No")="Yes",1,0)</f>
        <v/>
      </c>
      <c r="AG315">
        <f>IF(IFERROR(VLOOKUP(D315,Controls!$A$64:$E$74,4,FALSE),"No")="Yes",1,0)</f>
        <v/>
      </c>
      <c r="AH315">
        <f>IF(IFERROR(VLOOKUP(D315,Controls!$A$64:$E$74,5,FALSE),"No")="Yes",1,0)</f>
        <v/>
      </c>
      <c r="AI315">
        <f>IF(ISNUMBER(MATCH(D315,Controls!$A$64:$A$74,0)),1,0)</f>
        <v/>
      </c>
      <c r="AJ315">
        <f>Q315-N315</f>
        <v/>
      </c>
      <c r="AK315">
        <f>IF(AE315=1,MAX(0,N315-Q315),0)</f>
        <v/>
      </c>
      <c r="AL315">
        <f>IF(OR(V315="",V315=0),0,N315/V315)</f>
        <v/>
      </c>
      <c r="AM315">
        <f>IF(OR(V315="",V315=0),0,1)</f>
        <v/>
      </c>
      <c r="AN315">
        <f>IF(OR(E315="",F315=""),0,NETWORKDAYS(E315,F315,Ref!$K$2:$K$42))</f>
        <v/>
      </c>
      <c r="AO315">
        <f>IF(L315="Renewal",1,0)</f>
        <v/>
      </c>
      <c r="AP315">
        <f>AC315*AD315</f>
        <v/>
      </c>
      <c r="AQ315">
        <f>IF(AND(G315&lt;&gt;"",'Historical Score'!$C$6&lt;&gt;""),IF(G315='Historical Score'!$C$6,1,0),0)</f>
        <v/>
      </c>
      <c r="AR315">
        <f>IF(AND(L315&lt;&gt;"",'Historical Score'!$C$5&lt;&gt;""),IF(L315='Historical Score'!$C$5,1,0),0)</f>
        <v/>
      </c>
      <c r="AS315">
        <f>IF(AND(Y315&lt;&gt;"",'Historical Score'!$C$7&lt;&gt;""),IF(Y315='Historical Score'!$C$7,1,0),0)</f>
        <v/>
      </c>
      <c r="AT315">
        <f>IF(AND(K315&lt;&gt;"",'Historical Score'!$C$8&lt;&gt;""),IF(K315='Historical Score'!$C$8,1,0),0)</f>
        <v/>
      </c>
      <c r="AU315">
        <f>IF(AND(J315&lt;&gt;"",'Historical Score'!$C$9&lt;&gt;""),IF(J315='Historical Score'!$C$9,1,0),0)</f>
        <v/>
      </c>
      <c r="AV315">
        <f>AR315*AS315*AQ315</f>
        <v/>
      </c>
      <c r="AW315">
        <f>AR315*AT315*AQ315</f>
        <v/>
      </c>
      <c r="AX315">
        <f>AR315*AS315</f>
        <v/>
      </c>
      <c r="AY315">
        <f>AR315*AT315</f>
        <v/>
      </c>
      <c r="AZ315">
        <f>AR315*AQ315</f>
        <v/>
      </c>
      <c r="BA315">
        <f>AR315</f>
        <v/>
      </c>
      <c r="BB315">
        <f>1</f>
        <v/>
      </c>
      <c r="BC315">
        <f>IF(AV315=1,1,IF(AW315=1,2,IF(AX315=1,3,IF(AY315=1,4,IF(AZ315=1,5,IF(BA315=1,6,7))))))</f>
        <v/>
      </c>
      <c r="BD315">
        <f>IF(AD315=1,CHOOSE('Historical Score'!$C$29,AV315,AW315,AX315,AY315,AZ315,BA315,BB315),0)</f>
        <v/>
      </c>
      <c r="BE315">
        <f>IF(BD315=1,COUNTIF($BD$2:BD315,1),"")</f>
        <v/>
      </c>
    </row>
    <row r="316">
      <c r="A316" t="inlineStr">
        <is>
          <t>5674169466</t>
        </is>
      </c>
      <c r="B316" t="inlineStr">
        <is>
          <t>Foutch Properties</t>
        </is>
      </c>
      <c r="C316" t="inlineStr">
        <is>
          <t>JMAE LLC</t>
        </is>
      </c>
      <c r="D316" t="inlineStr">
        <is>
          <t>Closed/NSF</t>
        </is>
      </c>
      <c r="E316" s="297" t="n">
        <v>45959</v>
      </c>
      <c r="F316" s="297" t="n">
        <v>46239</v>
      </c>
      <c r="G316" t="n">
        <v>1</v>
      </c>
      <c r="H316" t="inlineStr">
        <is>
          <t>6531</t>
        </is>
      </c>
      <c r="I316" t="inlineStr">
        <is>
          <t>65</t>
        </is>
      </c>
      <c r="J316" t="inlineStr">
        <is>
          <t>IA</t>
        </is>
      </c>
      <c r="K316" t="inlineStr">
        <is>
          <t>Fundwell</t>
        </is>
      </c>
      <c r="L316" t="inlineStr">
        <is>
          <t>New Deal</t>
        </is>
      </c>
      <c r="M316" s="298" t="n">
        <v>1.38</v>
      </c>
      <c r="N316" s="299" t="n">
        <v>60000</v>
      </c>
      <c r="O316" s="299" t="n">
        <v>6600</v>
      </c>
      <c r="P316" s="299" t="n">
        <v>82800</v>
      </c>
      <c r="Q316" s="299" t="n">
        <v>82800</v>
      </c>
      <c r="R316" s="299" t="n">
        <v>0</v>
      </c>
      <c r="S316" s="300" t="n">
        <v>1</v>
      </c>
      <c r="T316" t="n">
        <v>36</v>
      </c>
      <c r="U316" t="n">
        <v>4</v>
      </c>
      <c r="V316" t="n">
        <v>159036.62</v>
      </c>
      <c r="W316" s="300" t="n">
        <v>0.0578</v>
      </c>
      <c r="X316" s="297" t="n">
        <v>41334</v>
      </c>
      <c r="Y316">
        <f>IF(I316="","No SIC",IFERROR(VLOOKUP(I316,Ref!$A$2:$B$65,2,FALSE),"Unclassified"))</f>
        <v/>
      </c>
      <c r="Z316">
        <f>IF(T316="","",IF(T316&lt;12,"Daily","Weekly"))</f>
        <v/>
      </c>
      <c r="AA316">
        <f>IF(T316="",0,IF(T316&lt;12,T316*Controls!$B$29,T316*5))</f>
        <v/>
      </c>
      <c r="AB316">
        <f>IF(E316="",0,NETWORKDAYS(E316,Controls!$B$36,Ref!$K$2:$K$42))</f>
        <v/>
      </c>
      <c r="AC316">
        <f>IF(AND(AA316&gt;0,AB316&gt;=Controls!$B$39*AA316),1,0)</f>
        <v/>
      </c>
      <c r="AD316">
        <f>IF(AND(E316&lt;&gt;"",E316&gt;=Controls!$B$37,E316&lt;=Controls!$B$38),1,0)</f>
        <v/>
      </c>
      <c r="AE316">
        <f>IF(IFERROR(VLOOKUP(D316,Controls!$A$64:$E$74,2,FALSE),"No")="Yes",1,0)</f>
        <v/>
      </c>
      <c r="AF316">
        <f>IF(IFERROR(VLOOKUP(D316,Controls!$A$64:$E$74,3,FALSE),"No")="Yes",1,0)</f>
        <v/>
      </c>
      <c r="AG316">
        <f>IF(IFERROR(VLOOKUP(D316,Controls!$A$64:$E$74,4,FALSE),"No")="Yes",1,0)</f>
        <v/>
      </c>
      <c r="AH316">
        <f>IF(IFERROR(VLOOKUP(D316,Controls!$A$64:$E$74,5,FALSE),"No")="Yes",1,0)</f>
        <v/>
      </c>
      <c r="AI316">
        <f>IF(ISNUMBER(MATCH(D316,Controls!$A$64:$A$74,0)),1,0)</f>
        <v/>
      </c>
      <c r="AJ316">
        <f>Q316-N316</f>
        <v/>
      </c>
      <c r="AK316">
        <f>IF(AE316=1,MAX(0,N316-Q316),0)</f>
        <v/>
      </c>
      <c r="AL316">
        <f>IF(OR(V316="",V316=0),0,N316/V316)</f>
        <v/>
      </c>
      <c r="AM316">
        <f>IF(OR(V316="",V316=0),0,1)</f>
        <v/>
      </c>
      <c r="AN316">
        <f>IF(OR(E316="",F316=""),0,NETWORKDAYS(E316,F316,Ref!$K$2:$K$42))</f>
        <v/>
      </c>
      <c r="AO316">
        <f>IF(L316="Renewal",1,0)</f>
        <v/>
      </c>
      <c r="AP316">
        <f>AC316*AD316</f>
        <v/>
      </c>
      <c r="AQ316">
        <f>IF(AND(G316&lt;&gt;"",'Historical Score'!$C$6&lt;&gt;""),IF(G316='Historical Score'!$C$6,1,0),0)</f>
        <v/>
      </c>
      <c r="AR316">
        <f>IF(AND(L316&lt;&gt;"",'Historical Score'!$C$5&lt;&gt;""),IF(L316='Historical Score'!$C$5,1,0),0)</f>
        <v/>
      </c>
      <c r="AS316">
        <f>IF(AND(Y316&lt;&gt;"",'Historical Score'!$C$7&lt;&gt;""),IF(Y316='Historical Score'!$C$7,1,0),0)</f>
        <v/>
      </c>
      <c r="AT316">
        <f>IF(AND(K316&lt;&gt;"",'Historical Score'!$C$8&lt;&gt;""),IF(K316='Historical Score'!$C$8,1,0),0)</f>
        <v/>
      </c>
      <c r="AU316">
        <f>IF(AND(J316&lt;&gt;"",'Historical Score'!$C$9&lt;&gt;""),IF(J316='Historical Score'!$C$9,1,0),0)</f>
        <v/>
      </c>
      <c r="AV316">
        <f>AR316*AS316*AQ316</f>
        <v/>
      </c>
      <c r="AW316">
        <f>AR316*AT316*AQ316</f>
        <v/>
      </c>
      <c r="AX316">
        <f>AR316*AS316</f>
        <v/>
      </c>
      <c r="AY316">
        <f>AR316*AT316</f>
        <v/>
      </c>
      <c r="AZ316">
        <f>AR316*AQ316</f>
        <v/>
      </c>
      <c r="BA316">
        <f>AR316</f>
        <v/>
      </c>
      <c r="BB316">
        <f>1</f>
        <v/>
      </c>
      <c r="BC316">
        <f>IF(AV316=1,1,IF(AW316=1,2,IF(AX316=1,3,IF(AY316=1,4,IF(AZ316=1,5,IF(BA316=1,6,7))))))</f>
        <v/>
      </c>
      <c r="BD316">
        <f>IF(AD316=1,CHOOSE('Historical Score'!$C$29,AV316,AW316,AX316,AY316,AZ316,BA316,BB316),0)</f>
        <v/>
      </c>
      <c r="BE316">
        <f>IF(BD316=1,COUNTIF($BD$2:BD316,1),"")</f>
        <v/>
      </c>
    </row>
    <row r="317">
      <c r="A317" t="inlineStr">
        <is>
          <t>5674169518</t>
        </is>
      </c>
      <c r="B317" t="inlineStr">
        <is>
          <t>FRESH LAND IMPORTS LLC</t>
        </is>
      </c>
      <c r="C317" t="inlineStr">
        <is>
          <t>FRESH LAND IMPORTS LLC</t>
        </is>
      </c>
      <c r="D317" t="inlineStr">
        <is>
          <t>Closed</t>
        </is>
      </c>
      <c r="E317" s="297" t="n">
        <v>45959</v>
      </c>
      <c r="F317" s="297" t="n">
        <v>46090</v>
      </c>
      <c r="G317" t="n">
        <v>1</v>
      </c>
      <c r="H317" t="inlineStr">
        <is>
          <t>3495</t>
        </is>
      </c>
      <c r="I317" t="inlineStr">
        <is>
          <t>34</t>
        </is>
      </c>
      <c r="J317" t="inlineStr">
        <is>
          <t>IL</t>
        </is>
      </c>
      <c r="K317" t="inlineStr">
        <is>
          <t>Fundwell</t>
        </is>
      </c>
      <c r="L317" t="inlineStr">
        <is>
          <t>New Deal</t>
        </is>
      </c>
      <c r="M317" s="298" t="n">
        <v>1.46</v>
      </c>
      <c r="N317" s="299" t="n">
        <v>100000</v>
      </c>
      <c r="O317" s="299" t="n">
        <v>15000</v>
      </c>
      <c r="P317" s="299" t="n">
        <v>146000</v>
      </c>
      <c r="Q317" s="299" t="n">
        <v>146000</v>
      </c>
      <c r="R317" s="299" t="n">
        <v>0</v>
      </c>
      <c r="S317" s="300" t="n">
        <v>1</v>
      </c>
      <c r="T317" t="n">
        <v>32</v>
      </c>
      <c r="U317" t="n">
        <v>0</v>
      </c>
      <c r="V317" t="n">
        <v>356120.58</v>
      </c>
      <c r="W317" s="300" t="n">
        <v>0.0512</v>
      </c>
      <c r="X317" s="297" t="n">
        <v>43945</v>
      </c>
      <c r="Y317">
        <f>IF(I317="","No SIC",IFERROR(VLOOKUP(I317,Ref!$A$2:$B$65,2,FALSE),"Unclassified"))</f>
        <v/>
      </c>
      <c r="Z317">
        <f>IF(T317="","",IF(T317&lt;12,"Daily","Weekly"))</f>
        <v/>
      </c>
      <c r="AA317">
        <f>IF(T317="",0,IF(T317&lt;12,T317*Controls!$B$29,T317*5))</f>
        <v/>
      </c>
      <c r="AB317">
        <f>IF(E317="",0,NETWORKDAYS(E317,Controls!$B$36,Ref!$K$2:$K$42))</f>
        <v/>
      </c>
      <c r="AC317">
        <f>IF(AND(AA317&gt;0,AB317&gt;=Controls!$B$39*AA317),1,0)</f>
        <v/>
      </c>
      <c r="AD317">
        <f>IF(AND(E317&lt;&gt;"",E317&gt;=Controls!$B$37,E317&lt;=Controls!$B$38),1,0)</f>
        <v/>
      </c>
      <c r="AE317">
        <f>IF(IFERROR(VLOOKUP(D317,Controls!$A$64:$E$74,2,FALSE),"No")="Yes",1,0)</f>
        <v/>
      </c>
      <c r="AF317">
        <f>IF(IFERROR(VLOOKUP(D317,Controls!$A$64:$E$74,3,FALSE),"No")="Yes",1,0)</f>
        <v/>
      </c>
      <c r="AG317">
        <f>IF(IFERROR(VLOOKUP(D317,Controls!$A$64:$E$74,4,FALSE),"No")="Yes",1,0)</f>
        <v/>
      </c>
      <c r="AH317">
        <f>IF(IFERROR(VLOOKUP(D317,Controls!$A$64:$E$74,5,FALSE),"No")="Yes",1,0)</f>
        <v/>
      </c>
      <c r="AI317">
        <f>IF(ISNUMBER(MATCH(D317,Controls!$A$64:$A$74,0)),1,0)</f>
        <v/>
      </c>
      <c r="AJ317">
        <f>Q317-N317</f>
        <v/>
      </c>
      <c r="AK317">
        <f>IF(AE317=1,MAX(0,N317-Q317),0)</f>
        <v/>
      </c>
      <c r="AL317">
        <f>IF(OR(V317="",V317=0),0,N317/V317)</f>
        <v/>
      </c>
      <c r="AM317">
        <f>IF(OR(V317="",V317=0),0,1)</f>
        <v/>
      </c>
      <c r="AN317">
        <f>IF(OR(E317="",F317=""),0,NETWORKDAYS(E317,F317,Ref!$K$2:$K$42))</f>
        <v/>
      </c>
      <c r="AO317">
        <f>IF(L317="Renewal",1,0)</f>
        <v/>
      </c>
      <c r="AP317">
        <f>AC317*AD317</f>
        <v/>
      </c>
      <c r="AQ317">
        <f>IF(AND(G317&lt;&gt;"",'Historical Score'!$C$6&lt;&gt;""),IF(G317='Historical Score'!$C$6,1,0),0)</f>
        <v/>
      </c>
      <c r="AR317">
        <f>IF(AND(L317&lt;&gt;"",'Historical Score'!$C$5&lt;&gt;""),IF(L317='Historical Score'!$C$5,1,0),0)</f>
        <v/>
      </c>
      <c r="AS317">
        <f>IF(AND(Y317&lt;&gt;"",'Historical Score'!$C$7&lt;&gt;""),IF(Y317='Historical Score'!$C$7,1,0),0)</f>
        <v/>
      </c>
      <c r="AT317">
        <f>IF(AND(K317&lt;&gt;"",'Historical Score'!$C$8&lt;&gt;""),IF(K317='Historical Score'!$C$8,1,0),0)</f>
        <v/>
      </c>
      <c r="AU317">
        <f>IF(AND(J317&lt;&gt;"",'Historical Score'!$C$9&lt;&gt;""),IF(J317='Historical Score'!$C$9,1,0),0)</f>
        <v/>
      </c>
      <c r="AV317">
        <f>AR317*AS317*AQ317</f>
        <v/>
      </c>
      <c r="AW317">
        <f>AR317*AT317*AQ317</f>
        <v/>
      </c>
      <c r="AX317">
        <f>AR317*AS317</f>
        <v/>
      </c>
      <c r="AY317">
        <f>AR317*AT317</f>
        <v/>
      </c>
      <c r="AZ317">
        <f>AR317*AQ317</f>
        <v/>
      </c>
      <c r="BA317">
        <f>AR317</f>
        <v/>
      </c>
      <c r="BB317">
        <f>1</f>
        <v/>
      </c>
      <c r="BC317">
        <f>IF(AV317=1,1,IF(AW317=1,2,IF(AX317=1,3,IF(AY317=1,4,IF(AZ317=1,5,IF(BA317=1,6,7))))))</f>
        <v/>
      </c>
      <c r="BD317">
        <f>IF(AD317=1,CHOOSE('Historical Score'!$C$29,AV317,AW317,AX317,AY317,AZ317,BA317,BB317),0)</f>
        <v/>
      </c>
      <c r="BE317">
        <f>IF(BD317=1,COUNTIF($BD$2:BD317,1),"")</f>
        <v/>
      </c>
    </row>
    <row r="318">
      <c r="A318" t="inlineStr">
        <is>
          <t>5674169540</t>
        </is>
      </c>
      <c r="B318" t="inlineStr">
        <is>
          <t>Charles Hannum Inc</t>
        </is>
      </c>
      <c r="C318" t="inlineStr">
        <is>
          <t>Charles Hannum Inc</t>
        </is>
      </c>
      <c r="D318" t="inlineStr">
        <is>
          <t>Open</t>
        </is>
      </c>
      <c r="E318" s="297" t="n">
        <v>45960</v>
      </c>
      <c r="F318" s="297" t="n">
        <v>46248</v>
      </c>
      <c r="G318" t="n">
        <v>3</v>
      </c>
      <c r="H318" t="inlineStr">
        <is>
          <t>5999</t>
        </is>
      </c>
      <c r="I318" t="inlineStr">
        <is>
          <t>59</t>
        </is>
      </c>
      <c r="J318" t="inlineStr">
        <is>
          <t>PA</t>
        </is>
      </c>
      <c r="K318" t="inlineStr">
        <is>
          <t>Triumph Cap Fund</t>
        </is>
      </c>
      <c r="L318" t="inlineStr">
        <is>
          <t>Renewal</t>
        </is>
      </c>
      <c r="M318" s="298" t="n">
        <v>1.43</v>
      </c>
      <c r="N318" s="299" t="n">
        <v>20000</v>
      </c>
      <c r="O318" s="299" t="n">
        <v>2200</v>
      </c>
      <c r="P318" s="299" t="n">
        <v>28600</v>
      </c>
      <c r="Q318" s="299" t="n">
        <v>17468.76</v>
      </c>
      <c r="R318" s="299" t="n">
        <v>11131.24</v>
      </c>
      <c r="S318" s="300" t="n">
        <v>0.610795804195804</v>
      </c>
      <c r="T318" t="n">
        <v>3.279</v>
      </c>
      <c r="U318" t="n">
        <v>0</v>
      </c>
      <c r="V318" t="n">
        <v>33782.45</v>
      </c>
      <c r="W318" s="300" t="n">
        <v>0.1778</v>
      </c>
      <c r="X318" s="297" t="n"/>
      <c r="Y318">
        <f>IF(I318="","No SIC",IFERROR(VLOOKUP(I318,Ref!$A$2:$B$65,2,FALSE),"Unclassified"))</f>
        <v/>
      </c>
      <c r="Z318">
        <f>IF(T318="","",IF(T318&lt;12,"Daily","Weekly"))</f>
        <v/>
      </c>
      <c r="AA318">
        <f>IF(T318="",0,IF(T318&lt;12,T318*Controls!$B$29,T318*5))</f>
        <v/>
      </c>
      <c r="AB318">
        <f>IF(E318="",0,NETWORKDAYS(E318,Controls!$B$36,Ref!$K$2:$K$42))</f>
        <v/>
      </c>
      <c r="AC318">
        <f>IF(AND(AA318&gt;0,AB318&gt;=Controls!$B$39*AA318),1,0)</f>
        <v/>
      </c>
      <c r="AD318">
        <f>IF(AND(E318&lt;&gt;"",E318&gt;=Controls!$B$37,E318&lt;=Controls!$B$38),1,0)</f>
        <v/>
      </c>
      <c r="AE318">
        <f>IF(IFERROR(VLOOKUP(D318,Controls!$A$64:$E$74,2,FALSE),"No")="Yes",1,0)</f>
        <v/>
      </c>
      <c r="AF318">
        <f>IF(IFERROR(VLOOKUP(D318,Controls!$A$64:$E$74,3,FALSE),"No")="Yes",1,0)</f>
        <v/>
      </c>
      <c r="AG318">
        <f>IF(IFERROR(VLOOKUP(D318,Controls!$A$64:$E$74,4,FALSE),"No")="Yes",1,0)</f>
        <v/>
      </c>
      <c r="AH318">
        <f>IF(IFERROR(VLOOKUP(D318,Controls!$A$64:$E$74,5,FALSE),"No")="Yes",1,0)</f>
        <v/>
      </c>
      <c r="AI318">
        <f>IF(ISNUMBER(MATCH(D318,Controls!$A$64:$A$74,0)),1,0)</f>
        <v/>
      </c>
      <c r="AJ318">
        <f>Q318-N318</f>
        <v/>
      </c>
      <c r="AK318">
        <f>IF(AE318=1,MAX(0,N318-Q318),0)</f>
        <v/>
      </c>
      <c r="AL318">
        <f>IF(OR(V318="",V318=0),0,N318/V318)</f>
        <v/>
      </c>
      <c r="AM318">
        <f>IF(OR(V318="",V318=0),0,1)</f>
        <v/>
      </c>
      <c r="AN318">
        <f>IF(OR(E318="",F318=""),0,NETWORKDAYS(E318,F318,Ref!$K$2:$K$42))</f>
        <v/>
      </c>
      <c r="AO318">
        <f>IF(L318="Renewal",1,0)</f>
        <v/>
      </c>
      <c r="AP318">
        <f>AC318*AD318</f>
        <v/>
      </c>
      <c r="AQ318">
        <f>IF(AND(G318&lt;&gt;"",'Historical Score'!$C$6&lt;&gt;""),IF(G318='Historical Score'!$C$6,1,0),0)</f>
        <v/>
      </c>
      <c r="AR318">
        <f>IF(AND(L318&lt;&gt;"",'Historical Score'!$C$5&lt;&gt;""),IF(L318='Historical Score'!$C$5,1,0),0)</f>
        <v/>
      </c>
      <c r="AS318">
        <f>IF(AND(Y318&lt;&gt;"",'Historical Score'!$C$7&lt;&gt;""),IF(Y318='Historical Score'!$C$7,1,0),0)</f>
        <v/>
      </c>
      <c r="AT318">
        <f>IF(AND(K318&lt;&gt;"",'Historical Score'!$C$8&lt;&gt;""),IF(K318='Historical Score'!$C$8,1,0),0)</f>
        <v/>
      </c>
      <c r="AU318">
        <f>IF(AND(J318&lt;&gt;"",'Historical Score'!$C$9&lt;&gt;""),IF(J318='Historical Score'!$C$9,1,0),0)</f>
        <v/>
      </c>
      <c r="AV318">
        <f>AR318*AS318*AQ318</f>
        <v/>
      </c>
      <c r="AW318">
        <f>AR318*AT318*AQ318</f>
        <v/>
      </c>
      <c r="AX318">
        <f>AR318*AS318</f>
        <v/>
      </c>
      <c r="AY318">
        <f>AR318*AT318</f>
        <v/>
      </c>
      <c r="AZ318">
        <f>AR318*AQ318</f>
        <v/>
      </c>
      <c r="BA318">
        <f>AR318</f>
        <v/>
      </c>
      <c r="BB318">
        <f>1</f>
        <v/>
      </c>
      <c r="BC318">
        <f>IF(AV318=1,1,IF(AW318=1,2,IF(AX318=1,3,IF(AY318=1,4,IF(AZ318=1,5,IF(BA318=1,6,7))))))</f>
        <v/>
      </c>
      <c r="BD318">
        <f>IF(AD318=1,CHOOSE('Historical Score'!$C$29,AV318,AW318,AX318,AY318,AZ318,BA318,BB318),0)</f>
        <v/>
      </c>
      <c r="BE318">
        <f>IF(BD318=1,COUNTIF($BD$2:BD318,1),"")</f>
        <v/>
      </c>
    </row>
    <row r="319">
      <c r="A319" t="inlineStr">
        <is>
          <t>5674169558</t>
        </is>
      </c>
      <c r="B319" t="inlineStr">
        <is>
          <t>Life Heart Medical Center LLC</t>
        </is>
      </c>
      <c r="C319" t="inlineStr">
        <is>
          <t>Life Heart Medical Center LLC</t>
        </is>
      </c>
      <c r="D319" t="inlineStr">
        <is>
          <t>Legal</t>
        </is>
      </c>
      <c r="E319" s="297" t="n">
        <v>45960</v>
      </c>
      <c r="F319" s="297" t="n">
        <v>46056</v>
      </c>
      <c r="G319" t="n">
        <v>4</v>
      </c>
      <c r="H319" t="inlineStr">
        <is>
          <t>6371</t>
        </is>
      </c>
      <c r="I319" t="inlineStr">
        <is>
          <t>63</t>
        </is>
      </c>
      <c r="J319" t="inlineStr">
        <is>
          <t>FL</t>
        </is>
      </c>
      <c r="K319" t="inlineStr">
        <is>
          <t>Pharoah Fund</t>
        </is>
      </c>
      <c r="L319" t="inlineStr">
        <is>
          <t>New Deal</t>
        </is>
      </c>
      <c r="M319" s="298" t="n">
        <v>1.499</v>
      </c>
      <c r="N319" s="299" t="n">
        <v>10000</v>
      </c>
      <c r="O319" s="299" t="n">
        <v>1400</v>
      </c>
      <c r="P319" s="299" t="n">
        <v>14990</v>
      </c>
      <c r="Q319" s="299" t="n">
        <v>5512.16</v>
      </c>
      <c r="R319" s="299" t="n">
        <v>9477.84</v>
      </c>
      <c r="S319" s="300" t="n">
        <v>0.367722481654436</v>
      </c>
      <c r="T319" t="n">
        <v>2.787</v>
      </c>
      <c r="U319" t="n">
        <v>25</v>
      </c>
      <c r="V319" t="n">
        <v>82025.95</v>
      </c>
      <c r="W319" s="300" t="n">
        <v>0.0448</v>
      </c>
      <c r="X319" s="297" t="n">
        <v>44317</v>
      </c>
      <c r="Y319">
        <f>IF(I319="","No SIC",IFERROR(VLOOKUP(I319,Ref!$A$2:$B$65,2,FALSE),"Unclassified"))</f>
        <v/>
      </c>
      <c r="Z319">
        <f>IF(T319="","",IF(T319&lt;12,"Daily","Weekly"))</f>
        <v/>
      </c>
      <c r="AA319">
        <f>IF(T319="",0,IF(T319&lt;12,T319*Controls!$B$29,T319*5))</f>
        <v/>
      </c>
      <c r="AB319">
        <f>IF(E319="",0,NETWORKDAYS(E319,Controls!$B$36,Ref!$K$2:$K$42))</f>
        <v/>
      </c>
      <c r="AC319">
        <f>IF(AND(AA319&gt;0,AB319&gt;=Controls!$B$39*AA319),1,0)</f>
        <v/>
      </c>
      <c r="AD319">
        <f>IF(AND(E319&lt;&gt;"",E319&gt;=Controls!$B$37,E319&lt;=Controls!$B$38),1,0)</f>
        <v/>
      </c>
      <c r="AE319">
        <f>IF(IFERROR(VLOOKUP(D319,Controls!$A$64:$E$74,2,FALSE),"No")="Yes",1,0)</f>
        <v/>
      </c>
      <c r="AF319">
        <f>IF(IFERROR(VLOOKUP(D319,Controls!$A$64:$E$74,3,FALSE),"No")="Yes",1,0)</f>
        <v/>
      </c>
      <c r="AG319">
        <f>IF(IFERROR(VLOOKUP(D319,Controls!$A$64:$E$74,4,FALSE),"No")="Yes",1,0)</f>
        <v/>
      </c>
      <c r="AH319">
        <f>IF(IFERROR(VLOOKUP(D319,Controls!$A$64:$E$74,5,FALSE),"No")="Yes",1,0)</f>
        <v/>
      </c>
      <c r="AI319">
        <f>IF(ISNUMBER(MATCH(D319,Controls!$A$64:$A$74,0)),1,0)</f>
        <v/>
      </c>
      <c r="AJ319">
        <f>Q319-N319</f>
        <v/>
      </c>
      <c r="AK319">
        <f>IF(AE319=1,MAX(0,N319-Q319),0)</f>
        <v/>
      </c>
      <c r="AL319">
        <f>IF(OR(V319="",V319=0),0,N319/V319)</f>
        <v/>
      </c>
      <c r="AM319">
        <f>IF(OR(V319="",V319=0),0,1)</f>
        <v/>
      </c>
      <c r="AN319">
        <f>IF(OR(E319="",F319=""),0,NETWORKDAYS(E319,F319,Ref!$K$2:$K$42))</f>
        <v/>
      </c>
      <c r="AO319">
        <f>IF(L319="Renewal",1,0)</f>
        <v/>
      </c>
      <c r="AP319">
        <f>AC319*AD319</f>
        <v/>
      </c>
      <c r="AQ319">
        <f>IF(AND(G319&lt;&gt;"",'Historical Score'!$C$6&lt;&gt;""),IF(G319='Historical Score'!$C$6,1,0),0)</f>
        <v/>
      </c>
      <c r="AR319">
        <f>IF(AND(L319&lt;&gt;"",'Historical Score'!$C$5&lt;&gt;""),IF(L319='Historical Score'!$C$5,1,0),0)</f>
        <v/>
      </c>
      <c r="AS319">
        <f>IF(AND(Y319&lt;&gt;"",'Historical Score'!$C$7&lt;&gt;""),IF(Y319='Historical Score'!$C$7,1,0),0)</f>
        <v/>
      </c>
      <c r="AT319">
        <f>IF(AND(K319&lt;&gt;"",'Historical Score'!$C$8&lt;&gt;""),IF(K319='Historical Score'!$C$8,1,0),0)</f>
        <v/>
      </c>
      <c r="AU319">
        <f>IF(AND(J319&lt;&gt;"",'Historical Score'!$C$9&lt;&gt;""),IF(J319='Historical Score'!$C$9,1,0),0)</f>
        <v/>
      </c>
      <c r="AV319">
        <f>AR319*AS319*AQ319</f>
        <v/>
      </c>
      <c r="AW319">
        <f>AR319*AT319*AQ319</f>
        <v/>
      </c>
      <c r="AX319">
        <f>AR319*AS319</f>
        <v/>
      </c>
      <c r="AY319">
        <f>AR319*AT319</f>
        <v/>
      </c>
      <c r="AZ319">
        <f>AR319*AQ319</f>
        <v/>
      </c>
      <c r="BA319">
        <f>AR319</f>
        <v/>
      </c>
      <c r="BB319">
        <f>1</f>
        <v/>
      </c>
      <c r="BC319">
        <f>IF(AV319=1,1,IF(AW319=1,2,IF(AX319=1,3,IF(AY319=1,4,IF(AZ319=1,5,IF(BA319=1,6,7))))))</f>
        <v/>
      </c>
      <c r="BD319">
        <f>IF(AD319=1,CHOOSE('Historical Score'!$C$29,AV319,AW319,AX319,AY319,AZ319,BA319,BB319),0)</f>
        <v/>
      </c>
      <c r="BE319">
        <f>IF(BD319=1,COUNTIF($BD$2:BD319,1),"")</f>
        <v/>
      </c>
    </row>
    <row r="320">
      <c r="A320" t="inlineStr">
        <is>
          <t>5674169614</t>
        </is>
      </c>
      <c r="B320" t="inlineStr">
        <is>
          <t>Cask wine bar &amp; restaurant</t>
        </is>
      </c>
      <c r="C320" t="inlineStr">
        <is>
          <t>Kurtrestaurant LLC</t>
        </is>
      </c>
      <c r="D320" t="inlineStr">
        <is>
          <t>Legal</t>
        </is>
      </c>
      <c r="E320" s="297" t="n">
        <v>45960</v>
      </c>
      <c r="F320" s="297" t="n">
        <v>45980</v>
      </c>
      <c r="G320" t="n">
        <v>2</v>
      </c>
      <c r="H320" t="inlineStr">
        <is>
          <t>5812</t>
        </is>
      </c>
      <c r="I320" t="inlineStr">
        <is>
          <t>58</t>
        </is>
      </c>
      <c r="J320" t="inlineStr">
        <is>
          <t>CA</t>
        </is>
      </c>
      <c r="K320" t="inlineStr">
        <is>
          <t>Biz fuel</t>
        </is>
      </c>
      <c r="L320" t="inlineStr">
        <is>
          <t>New Deal</t>
        </is>
      </c>
      <c r="M320" s="298" t="n">
        <v>1.499</v>
      </c>
      <c r="N320" s="299" t="n">
        <v>35000</v>
      </c>
      <c r="O320" s="299" t="n">
        <v>0</v>
      </c>
      <c r="P320" s="299" t="n">
        <v>52465</v>
      </c>
      <c r="Q320" s="299" t="n">
        <v>579.35</v>
      </c>
      <c r="R320" s="299" t="n">
        <v>51885.65</v>
      </c>
      <c r="S320" s="300" t="n">
        <v>0.0110425998284571</v>
      </c>
      <c r="T320" t="n">
        <v>2.951</v>
      </c>
      <c r="U320" t="n">
        <v>12</v>
      </c>
      <c r="V320" t="n">
        <v>111823.08</v>
      </c>
      <c r="W320" s="300" t="n">
        <v>0.1088</v>
      </c>
      <c r="X320" s="297" t="n">
        <v>39741</v>
      </c>
      <c r="Y320">
        <f>IF(I320="","No SIC",IFERROR(VLOOKUP(I320,Ref!$A$2:$B$65,2,FALSE),"Unclassified"))</f>
        <v/>
      </c>
      <c r="Z320">
        <f>IF(T320="","",IF(T320&lt;12,"Daily","Weekly"))</f>
        <v/>
      </c>
      <c r="AA320">
        <f>IF(T320="",0,IF(T320&lt;12,T320*Controls!$B$29,T320*5))</f>
        <v/>
      </c>
      <c r="AB320">
        <f>IF(E320="",0,NETWORKDAYS(E320,Controls!$B$36,Ref!$K$2:$K$42))</f>
        <v/>
      </c>
      <c r="AC320">
        <f>IF(AND(AA320&gt;0,AB320&gt;=Controls!$B$39*AA320),1,0)</f>
        <v/>
      </c>
      <c r="AD320">
        <f>IF(AND(E320&lt;&gt;"",E320&gt;=Controls!$B$37,E320&lt;=Controls!$B$38),1,0)</f>
        <v/>
      </c>
      <c r="AE320">
        <f>IF(IFERROR(VLOOKUP(D320,Controls!$A$64:$E$74,2,FALSE),"No")="Yes",1,0)</f>
        <v/>
      </c>
      <c r="AF320">
        <f>IF(IFERROR(VLOOKUP(D320,Controls!$A$64:$E$74,3,FALSE),"No")="Yes",1,0)</f>
        <v/>
      </c>
      <c r="AG320">
        <f>IF(IFERROR(VLOOKUP(D320,Controls!$A$64:$E$74,4,FALSE),"No")="Yes",1,0)</f>
        <v/>
      </c>
      <c r="AH320">
        <f>IF(IFERROR(VLOOKUP(D320,Controls!$A$64:$E$74,5,FALSE),"No")="Yes",1,0)</f>
        <v/>
      </c>
      <c r="AI320">
        <f>IF(ISNUMBER(MATCH(D320,Controls!$A$64:$A$74,0)),1,0)</f>
        <v/>
      </c>
      <c r="AJ320">
        <f>Q320-N320</f>
        <v/>
      </c>
      <c r="AK320">
        <f>IF(AE320=1,MAX(0,N320-Q320),0)</f>
        <v/>
      </c>
      <c r="AL320">
        <f>IF(OR(V320="",V320=0),0,N320/V320)</f>
        <v/>
      </c>
      <c r="AM320">
        <f>IF(OR(V320="",V320=0),0,1)</f>
        <v/>
      </c>
      <c r="AN320">
        <f>IF(OR(E320="",F320=""),0,NETWORKDAYS(E320,F320,Ref!$K$2:$K$42))</f>
        <v/>
      </c>
      <c r="AO320">
        <f>IF(L320="Renewal",1,0)</f>
        <v/>
      </c>
      <c r="AP320">
        <f>AC320*AD320</f>
        <v/>
      </c>
      <c r="AQ320">
        <f>IF(AND(G320&lt;&gt;"",'Historical Score'!$C$6&lt;&gt;""),IF(G320='Historical Score'!$C$6,1,0),0)</f>
        <v/>
      </c>
      <c r="AR320">
        <f>IF(AND(L320&lt;&gt;"",'Historical Score'!$C$5&lt;&gt;""),IF(L320='Historical Score'!$C$5,1,0),0)</f>
        <v/>
      </c>
      <c r="AS320">
        <f>IF(AND(Y320&lt;&gt;"",'Historical Score'!$C$7&lt;&gt;""),IF(Y320='Historical Score'!$C$7,1,0),0)</f>
        <v/>
      </c>
      <c r="AT320">
        <f>IF(AND(K320&lt;&gt;"",'Historical Score'!$C$8&lt;&gt;""),IF(K320='Historical Score'!$C$8,1,0),0)</f>
        <v/>
      </c>
      <c r="AU320">
        <f>IF(AND(J320&lt;&gt;"",'Historical Score'!$C$9&lt;&gt;""),IF(J320='Historical Score'!$C$9,1,0),0)</f>
        <v/>
      </c>
      <c r="AV320">
        <f>AR320*AS320*AQ320</f>
        <v/>
      </c>
      <c r="AW320">
        <f>AR320*AT320*AQ320</f>
        <v/>
      </c>
      <c r="AX320">
        <f>AR320*AS320</f>
        <v/>
      </c>
      <c r="AY320">
        <f>AR320*AT320</f>
        <v/>
      </c>
      <c r="AZ320">
        <f>AR320*AQ320</f>
        <v/>
      </c>
      <c r="BA320">
        <f>AR320</f>
        <v/>
      </c>
      <c r="BB320">
        <f>1</f>
        <v/>
      </c>
      <c r="BC320">
        <f>IF(AV320=1,1,IF(AW320=1,2,IF(AX320=1,3,IF(AY320=1,4,IF(AZ320=1,5,IF(BA320=1,6,7))))))</f>
        <v/>
      </c>
      <c r="BD320">
        <f>IF(AD320=1,CHOOSE('Historical Score'!$C$29,AV320,AW320,AX320,AY320,AZ320,BA320,BB320),0)</f>
        <v/>
      </c>
      <c r="BE320">
        <f>IF(BD320=1,COUNTIF($BD$2:BD320,1),"")</f>
        <v/>
      </c>
    </row>
    <row r="321">
      <c r="A321" t="inlineStr">
        <is>
          <t>5674169644</t>
        </is>
      </c>
      <c r="B321" t="inlineStr">
        <is>
          <t>FINELINES DESIGN STUDIO LLC</t>
        </is>
      </c>
      <c r="C321" t="inlineStr">
        <is>
          <t>FINELINES DESIGN STUDIO LLC</t>
        </is>
      </c>
      <c r="D321" t="inlineStr">
        <is>
          <t>Legal</t>
        </is>
      </c>
      <c r="E321" s="297" t="n">
        <v>45961</v>
      </c>
      <c r="F321" s="297" t="n">
        <v>46111</v>
      </c>
      <c r="G321" t="n">
        <v>1</v>
      </c>
      <c r="H321" t="inlineStr">
        <is>
          <t>1442</t>
        </is>
      </c>
      <c r="I321" t="inlineStr">
        <is>
          <t>14</t>
        </is>
      </c>
      <c r="J321" t="inlineStr">
        <is>
          <t>TX</t>
        </is>
      </c>
      <c r="K321" t="inlineStr">
        <is>
          <t>Fundwell</t>
        </is>
      </c>
      <c r="L321" t="inlineStr">
        <is>
          <t>New Deal</t>
        </is>
      </c>
      <c r="M321" s="298" t="n">
        <v>1.34</v>
      </c>
      <c r="N321" s="299" t="n">
        <v>45000</v>
      </c>
      <c r="O321" s="299" t="n">
        <v>3600</v>
      </c>
      <c r="P321" s="299" t="n">
        <v>60300</v>
      </c>
      <c r="Q321" s="299" t="n">
        <v>14393</v>
      </c>
      <c r="R321" s="299" t="n">
        <v>45907</v>
      </c>
      <c r="S321" s="300" t="n">
        <v>0.238689883913765</v>
      </c>
      <c r="T321" t="n">
        <v>36</v>
      </c>
      <c r="U321" t="n">
        <v>7</v>
      </c>
      <c r="V321" t="n">
        <v>128687</v>
      </c>
      <c r="W321" s="300" t="n">
        <v>0.0558</v>
      </c>
      <c r="X321" s="297" t="n">
        <v>40661</v>
      </c>
      <c r="Y321">
        <f>IF(I321="","No SIC",IFERROR(VLOOKUP(I321,Ref!$A$2:$B$65,2,FALSE),"Unclassified"))</f>
        <v/>
      </c>
      <c r="Z321">
        <f>IF(T321="","",IF(T321&lt;12,"Daily","Weekly"))</f>
        <v/>
      </c>
      <c r="AA321">
        <f>IF(T321="",0,IF(T321&lt;12,T321*Controls!$B$29,T321*5))</f>
        <v/>
      </c>
      <c r="AB321">
        <f>IF(E321="",0,NETWORKDAYS(E321,Controls!$B$36,Ref!$K$2:$K$42))</f>
        <v/>
      </c>
      <c r="AC321">
        <f>IF(AND(AA321&gt;0,AB321&gt;=Controls!$B$39*AA321),1,0)</f>
        <v/>
      </c>
      <c r="AD321">
        <f>IF(AND(E321&lt;&gt;"",E321&gt;=Controls!$B$37,E321&lt;=Controls!$B$38),1,0)</f>
        <v/>
      </c>
      <c r="AE321">
        <f>IF(IFERROR(VLOOKUP(D321,Controls!$A$64:$E$74,2,FALSE),"No")="Yes",1,0)</f>
        <v/>
      </c>
      <c r="AF321">
        <f>IF(IFERROR(VLOOKUP(D321,Controls!$A$64:$E$74,3,FALSE),"No")="Yes",1,0)</f>
        <v/>
      </c>
      <c r="AG321">
        <f>IF(IFERROR(VLOOKUP(D321,Controls!$A$64:$E$74,4,FALSE),"No")="Yes",1,0)</f>
        <v/>
      </c>
      <c r="AH321">
        <f>IF(IFERROR(VLOOKUP(D321,Controls!$A$64:$E$74,5,FALSE),"No")="Yes",1,0)</f>
        <v/>
      </c>
      <c r="AI321">
        <f>IF(ISNUMBER(MATCH(D321,Controls!$A$64:$A$74,0)),1,0)</f>
        <v/>
      </c>
      <c r="AJ321">
        <f>Q321-N321</f>
        <v/>
      </c>
      <c r="AK321">
        <f>IF(AE321=1,MAX(0,N321-Q321),0)</f>
        <v/>
      </c>
      <c r="AL321">
        <f>IF(OR(V321="",V321=0),0,N321/V321)</f>
        <v/>
      </c>
      <c r="AM321">
        <f>IF(OR(V321="",V321=0),0,1)</f>
        <v/>
      </c>
      <c r="AN321">
        <f>IF(OR(E321="",F321=""),0,NETWORKDAYS(E321,F321,Ref!$K$2:$K$42))</f>
        <v/>
      </c>
      <c r="AO321">
        <f>IF(L321="Renewal",1,0)</f>
        <v/>
      </c>
      <c r="AP321">
        <f>AC321*AD321</f>
        <v/>
      </c>
      <c r="AQ321">
        <f>IF(AND(G321&lt;&gt;"",'Historical Score'!$C$6&lt;&gt;""),IF(G321='Historical Score'!$C$6,1,0),0)</f>
        <v/>
      </c>
      <c r="AR321">
        <f>IF(AND(L321&lt;&gt;"",'Historical Score'!$C$5&lt;&gt;""),IF(L321='Historical Score'!$C$5,1,0),0)</f>
        <v/>
      </c>
      <c r="AS321">
        <f>IF(AND(Y321&lt;&gt;"",'Historical Score'!$C$7&lt;&gt;""),IF(Y321='Historical Score'!$C$7,1,0),0)</f>
        <v/>
      </c>
      <c r="AT321">
        <f>IF(AND(K321&lt;&gt;"",'Historical Score'!$C$8&lt;&gt;""),IF(K321='Historical Score'!$C$8,1,0),0)</f>
        <v/>
      </c>
      <c r="AU321">
        <f>IF(AND(J321&lt;&gt;"",'Historical Score'!$C$9&lt;&gt;""),IF(J321='Historical Score'!$C$9,1,0),0)</f>
        <v/>
      </c>
      <c r="AV321">
        <f>AR321*AS321*AQ321</f>
        <v/>
      </c>
      <c r="AW321">
        <f>AR321*AT321*AQ321</f>
        <v/>
      </c>
      <c r="AX321">
        <f>AR321*AS321</f>
        <v/>
      </c>
      <c r="AY321">
        <f>AR321*AT321</f>
        <v/>
      </c>
      <c r="AZ321">
        <f>AR321*AQ321</f>
        <v/>
      </c>
      <c r="BA321">
        <f>AR321</f>
        <v/>
      </c>
      <c r="BB321">
        <f>1</f>
        <v/>
      </c>
      <c r="BC321">
        <f>IF(AV321=1,1,IF(AW321=1,2,IF(AX321=1,3,IF(AY321=1,4,IF(AZ321=1,5,IF(BA321=1,6,7))))))</f>
        <v/>
      </c>
      <c r="BD321">
        <f>IF(AD321=1,CHOOSE('Historical Score'!$C$29,AV321,AW321,AX321,AY321,AZ321,BA321,BB321),0)</f>
        <v/>
      </c>
      <c r="BE321">
        <f>IF(BD321=1,COUNTIF($BD$2:BD321,1),"")</f>
        <v/>
      </c>
    </row>
    <row r="322">
      <c r="A322" t="inlineStr">
        <is>
          <t>5674169662</t>
        </is>
      </c>
      <c r="B322" t="inlineStr">
        <is>
          <t>ACE FENCE COMPANY</t>
        </is>
      </c>
      <c r="C322" t="inlineStr">
        <is>
          <t>Z &amp; G Investment Group, LLC</t>
        </is>
      </c>
      <c r="D322" t="inlineStr">
        <is>
          <t>Closed</t>
        </is>
      </c>
      <c r="E322" s="297" t="n">
        <v>45961</v>
      </c>
      <c r="F322" s="297" t="n">
        <v>46125</v>
      </c>
      <c r="G322" t="n">
        <v>2</v>
      </c>
      <c r="H322" t="inlineStr">
        <is>
          <t>0781</t>
        </is>
      </c>
      <c r="I322" t="inlineStr">
        <is>
          <t>07</t>
        </is>
      </c>
      <c r="J322" t="inlineStr">
        <is>
          <t>FL</t>
        </is>
      </c>
      <c r="K322" t="inlineStr">
        <is>
          <t>Fundwell</t>
        </is>
      </c>
      <c r="L322" t="inlineStr">
        <is>
          <t>New Deal</t>
        </is>
      </c>
      <c r="M322" s="298" t="n">
        <v>1.4</v>
      </c>
      <c r="N322" s="299" t="n">
        <v>11000</v>
      </c>
      <c r="O322" s="299" t="n">
        <v>1430</v>
      </c>
      <c r="P322" s="299" t="n">
        <v>15400</v>
      </c>
      <c r="Q322" s="299" t="n">
        <v>15400</v>
      </c>
      <c r="R322" s="299" t="n">
        <v>-1.81898940354586e-12</v>
      </c>
      <c r="S322" s="300" t="n">
        <v>1</v>
      </c>
      <c r="T322" t="n">
        <v>2.951</v>
      </c>
      <c r="U322" t="n">
        <v>7</v>
      </c>
      <c r="V322" t="n">
        <v>37442.06</v>
      </c>
      <c r="W322" s="300" t="n">
        <v>0.096</v>
      </c>
      <c r="X322" s="297" t="n">
        <v>45260</v>
      </c>
      <c r="Y322">
        <f>IF(I322="","No SIC",IFERROR(VLOOKUP(I322,Ref!$A$2:$B$65,2,FALSE),"Unclassified"))</f>
        <v/>
      </c>
      <c r="Z322">
        <f>IF(T322="","",IF(T322&lt;12,"Daily","Weekly"))</f>
        <v/>
      </c>
      <c r="AA322">
        <f>IF(T322="",0,IF(T322&lt;12,T322*Controls!$B$29,T322*5))</f>
        <v/>
      </c>
      <c r="AB322">
        <f>IF(E322="",0,NETWORKDAYS(E322,Controls!$B$36,Ref!$K$2:$K$42))</f>
        <v/>
      </c>
      <c r="AC322">
        <f>IF(AND(AA322&gt;0,AB322&gt;=Controls!$B$39*AA322),1,0)</f>
        <v/>
      </c>
      <c r="AD322">
        <f>IF(AND(E322&lt;&gt;"",E322&gt;=Controls!$B$37,E322&lt;=Controls!$B$38),1,0)</f>
        <v/>
      </c>
      <c r="AE322">
        <f>IF(IFERROR(VLOOKUP(D322,Controls!$A$64:$E$74,2,FALSE),"No")="Yes",1,0)</f>
        <v/>
      </c>
      <c r="AF322">
        <f>IF(IFERROR(VLOOKUP(D322,Controls!$A$64:$E$74,3,FALSE),"No")="Yes",1,0)</f>
        <v/>
      </c>
      <c r="AG322">
        <f>IF(IFERROR(VLOOKUP(D322,Controls!$A$64:$E$74,4,FALSE),"No")="Yes",1,0)</f>
        <v/>
      </c>
      <c r="AH322">
        <f>IF(IFERROR(VLOOKUP(D322,Controls!$A$64:$E$74,5,FALSE),"No")="Yes",1,0)</f>
        <v/>
      </c>
      <c r="AI322">
        <f>IF(ISNUMBER(MATCH(D322,Controls!$A$64:$A$74,0)),1,0)</f>
        <v/>
      </c>
      <c r="AJ322">
        <f>Q322-N322</f>
        <v/>
      </c>
      <c r="AK322">
        <f>IF(AE322=1,MAX(0,N322-Q322),0)</f>
        <v/>
      </c>
      <c r="AL322">
        <f>IF(OR(V322="",V322=0),0,N322/V322)</f>
        <v/>
      </c>
      <c r="AM322">
        <f>IF(OR(V322="",V322=0),0,1)</f>
        <v/>
      </c>
      <c r="AN322">
        <f>IF(OR(E322="",F322=""),0,NETWORKDAYS(E322,F322,Ref!$K$2:$K$42))</f>
        <v/>
      </c>
      <c r="AO322">
        <f>IF(L322="Renewal",1,0)</f>
        <v/>
      </c>
      <c r="AP322">
        <f>AC322*AD322</f>
        <v/>
      </c>
      <c r="AQ322">
        <f>IF(AND(G322&lt;&gt;"",'Historical Score'!$C$6&lt;&gt;""),IF(G322='Historical Score'!$C$6,1,0),0)</f>
        <v/>
      </c>
      <c r="AR322">
        <f>IF(AND(L322&lt;&gt;"",'Historical Score'!$C$5&lt;&gt;""),IF(L322='Historical Score'!$C$5,1,0),0)</f>
        <v/>
      </c>
      <c r="AS322">
        <f>IF(AND(Y322&lt;&gt;"",'Historical Score'!$C$7&lt;&gt;""),IF(Y322='Historical Score'!$C$7,1,0),0)</f>
        <v/>
      </c>
      <c r="AT322">
        <f>IF(AND(K322&lt;&gt;"",'Historical Score'!$C$8&lt;&gt;""),IF(K322='Historical Score'!$C$8,1,0),0)</f>
        <v/>
      </c>
      <c r="AU322">
        <f>IF(AND(J322&lt;&gt;"",'Historical Score'!$C$9&lt;&gt;""),IF(J322='Historical Score'!$C$9,1,0),0)</f>
        <v/>
      </c>
      <c r="AV322">
        <f>AR322*AS322*AQ322</f>
        <v/>
      </c>
      <c r="AW322">
        <f>AR322*AT322*AQ322</f>
        <v/>
      </c>
      <c r="AX322">
        <f>AR322*AS322</f>
        <v/>
      </c>
      <c r="AY322">
        <f>AR322*AT322</f>
        <v/>
      </c>
      <c r="AZ322">
        <f>AR322*AQ322</f>
        <v/>
      </c>
      <c r="BA322">
        <f>AR322</f>
        <v/>
      </c>
      <c r="BB322">
        <f>1</f>
        <v/>
      </c>
      <c r="BC322">
        <f>IF(AV322=1,1,IF(AW322=1,2,IF(AX322=1,3,IF(AY322=1,4,IF(AZ322=1,5,IF(BA322=1,6,7))))))</f>
        <v/>
      </c>
      <c r="BD322">
        <f>IF(AD322=1,CHOOSE('Historical Score'!$C$29,AV322,AW322,AX322,AY322,AZ322,BA322,BB322),0)</f>
        <v/>
      </c>
      <c r="BE322">
        <f>IF(BD322=1,COUNTIF($BD$2:BD322,1),"")</f>
        <v/>
      </c>
    </row>
    <row r="323">
      <c r="A323" t="inlineStr">
        <is>
          <t>5674169689</t>
        </is>
      </c>
      <c r="B323" t="inlineStr">
        <is>
          <t>A2Z FAMILY DENTAL, P.C.</t>
        </is>
      </c>
      <c r="C323" t="inlineStr">
        <is>
          <t>A2Z FAMILY DENTAL, P.C.</t>
        </is>
      </c>
      <c r="D323" t="inlineStr">
        <is>
          <t>Closed</t>
        </is>
      </c>
      <c r="E323" s="297" t="n">
        <v>45961</v>
      </c>
      <c r="F323" s="297" t="n">
        <v>46029</v>
      </c>
      <c r="G323" t="n">
        <v>5</v>
      </c>
      <c r="H323" t="inlineStr">
        <is>
          <t>8021</t>
        </is>
      </c>
      <c r="I323" t="inlineStr">
        <is>
          <t>80</t>
        </is>
      </c>
      <c r="J323" t="inlineStr">
        <is>
          <t>IL</t>
        </is>
      </c>
      <c r="K323" t="inlineStr">
        <is>
          <t>EZ ADVANCE LLC</t>
        </is>
      </c>
      <c r="L323" t="inlineStr">
        <is>
          <t>New Deal</t>
        </is>
      </c>
      <c r="M323" s="298" t="n">
        <v>1.499</v>
      </c>
      <c r="N323" s="299" t="n">
        <v>15000</v>
      </c>
      <c r="O323" s="299" t="n">
        <v>2100</v>
      </c>
      <c r="P323" s="299" t="n">
        <v>22485</v>
      </c>
      <c r="Q323" s="299" t="n">
        <v>22485</v>
      </c>
      <c r="R323" s="299" t="n">
        <v>0</v>
      </c>
      <c r="S323" s="300" t="n">
        <v>1</v>
      </c>
      <c r="T323" t="n">
        <v>2.951</v>
      </c>
      <c r="U323" t="n">
        <v>0</v>
      </c>
      <c r="V323" t="n">
        <v>37783.29</v>
      </c>
      <c r="W323" s="300" t="n">
        <v>0.1381</v>
      </c>
      <c r="X323" s="297" t="n">
        <v>42515</v>
      </c>
      <c r="Y323">
        <f>IF(I323="","No SIC",IFERROR(VLOOKUP(I323,Ref!$A$2:$B$65,2,FALSE),"Unclassified"))</f>
        <v/>
      </c>
      <c r="Z323">
        <f>IF(T323="","",IF(T323&lt;12,"Daily","Weekly"))</f>
        <v/>
      </c>
      <c r="AA323">
        <f>IF(T323="",0,IF(T323&lt;12,T323*Controls!$B$29,T323*5))</f>
        <v/>
      </c>
      <c r="AB323">
        <f>IF(E323="",0,NETWORKDAYS(E323,Controls!$B$36,Ref!$K$2:$K$42))</f>
        <v/>
      </c>
      <c r="AC323">
        <f>IF(AND(AA323&gt;0,AB323&gt;=Controls!$B$39*AA323),1,0)</f>
        <v/>
      </c>
      <c r="AD323">
        <f>IF(AND(E323&lt;&gt;"",E323&gt;=Controls!$B$37,E323&lt;=Controls!$B$38),1,0)</f>
        <v/>
      </c>
      <c r="AE323">
        <f>IF(IFERROR(VLOOKUP(D323,Controls!$A$64:$E$74,2,FALSE),"No")="Yes",1,0)</f>
        <v/>
      </c>
      <c r="AF323">
        <f>IF(IFERROR(VLOOKUP(D323,Controls!$A$64:$E$74,3,FALSE),"No")="Yes",1,0)</f>
        <v/>
      </c>
      <c r="AG323">
        <f>IF(IFERROR(VLOOKUP(D323,Controls!$A$64:$E$74,4,FALSE),"No")="Yes",1,0)</f>
        <v/>
      </c>
      <c r="AH323">
        <f>IF(IFERROR(VLOOKUP(D323,Controls!$A$64:$E$74,5,FALSE),"No")="Yes",1,0)</f>
        <v/>
      </c>
      <c r="AI323">
        <f>IF(ISNUMBER(MATCH(D323,Controls!$A$64:$A$74,0)),1,0)</f>
        <v/>
      </c>
      <c r="AJ323">
        <f>Q323-N323</f>
        <v/>
      </c>
      <c r="AK323">
        <f>IF(AE323=1,MAX(0,N323-Q323),0)</f>
        <v/>
      </c>
      <c r="AL323">
        <f>IF(OR(V323="",V323=0),0,N323/V323)</f>
        <v/>
      </c>
      <c r="AM323">
        <f>IF(OR(V323="",V323=0),0,1)</f>
        <v/>
      </c>
      <c r="AN323">
        <f>IF(OR(E323="",F323=""),0,NETWORKDAYS(E323,F323,Ref!$K$2:$K$42))</f>
        <v/>
      </c>
      <c r="AO323">
        <f>IF(L323="Renewal",1,0)</f>
        <v/>
      </c>
      <c r="AP323">
        <f>AC323*AD323</f>
        <v/>
      </c>
      <c r="AQ323">
        <f>IF(AND(G323&lt;&gt;"",'Historical Score'!$C$6&lt;&gt;""),IF(G323='Historical Score'!$C$6,1,0),0)</f>
        <v/>
      </c>
      <c r="AR323">
        <f>IF(AND(L323&lt;&gt;"",'Historical Score'!$C$5&lt;&gt;""),IF(L323='Historical Score'!$C$5,1,0),0)</f>
        <v/>
      </c>
      <c r="AS323">
        <f>IF(AND(Y323&lt;&gt;"",'Historical Score'!$C$7&lt;&gt;""),IF(Y323='Historical Score'!$C$7,1,0),0)</f>
        <v/>
      </c>
      <c r="AT323">
        <f>IF(AND(K323&lt;&gt;"",'Historical Score'!$C$8&lt;&gt;""),IF(K323='Historical Score'!$C$8,1,0),0)</f>
        <v/>
      </c>
      <c r="AU323">
        <f>IF(AND(J323&lt;&gt;"",'Historical Score'!$C$9&lt;&gt;""),IF(J323='Historical Score'!$C$9,1,0),0)</f>
        <v/>
      </c>
      <c r="AV323">
        <f>AR323*AS323*AQ323</f>
        <v/>
      </c>
      <c r="AW323">
        <f>AR323*AT323*AQ323</f>
        <v/>
      </c>
      <c r="AX323">
        <f>AR323*AS323</f>
        <v/>
      </c>
      <c r="AY323">
        <f>AR323*AT323</f>
        <v/>
      </c>
      <c r="AZ323">
        <f>AR323*AQ323</f>
        <v/>
      </c>
      <c r="BA323">
        <f>AR323</f>
        <v/>
      </c>
      <c r="BB323">
        <f>1</f>
        <v/>
      </c>
      <c r="BC323">
        <f>IF(AV323=1,1,IF(AW323=1,2,IF(AX323=1,3,IF(AY323=1,4,IF(AZ323=1,5,IF(BA323=1,6,7))))))</f>
        <v/>
      </c>
      <c r="BD323">
        <f>IF(AD323=1,CHOOSE('Historical Score'!$C$29,AV323,AW323,AX323,AY323,AZ323,BA323,BB323),0)</f>
        <v/>
      </c>
      <c r="BE323">
        <f>IF(BD323=1,COUNTIF($BD$2:BD323,1),"")</f>
        <v/>
      </c>
    </row>
    <row r="324">
      <c r="A324" t="inlineStr">
        <is>
          <t>5674169716</t>
        </is>
      </c>
      <c r="B324" t="inlineStr">
        <is>
          <t>VALOR TOURS LTD</t>
        </is>
      </c>
      <c r="C324" t="inlineStr">
        <is>
          <t>VALOR TOURS LTD</t>
        </is>
      </c>
      <c r="D324" t="inlineStr">
        <is>
          <t>Closed</t>
        </is>
      </c>
      <c r="E324" s="297" t="n">
        <v>45961</v>
      </c>
      <c r="F324" s="297" t="n">
        <v>46051</v>
      </c>
      <c r="G324" t="n">
        <v>2</v>
      </c>
      <c r="H324" t="inlineStr">
        <is>
          <t>4725</t>
        </is>
      </c>
      <c r="I324" t="inlineStr">
        <is>
          <t>47</t>
        </is>
      </c>
      <c r="J324" t="inlineStr">
        <is>
          <t>CA</t>
        </is>
      </c>
      <c r="K324" t="inlineStr">
        <is>
          <t>Westwood</t>
        </is>
      </c>
      <c r="L324" t="inlineStr">
        <is>
          <t>New Deal</t>
        </is>
      </c>
      <c r="M324" s="298" t="n">
        <v>1.499</v>
      </c>
      <c r="N324" s="299" t="n">
        <v>22500</v>
      </c>
      <c r="O324" s="299" t="n">
        <v>3150</v>
      </c>
      <c r="P324" s="299" t="n">
        <v>33727.5</v>
      </c>
      <c r="Q324" s="299" t="n">
        <v>33727.5</v>
      </c>
      <c r="R324" s="299" t="n">
        <v>0</v>
      </c>
      <c r="S324" s="300" t="n">
        <v>1</v>
      </c>
      <c r="T324" t="n">
        <v>2.951</v>
      </c>
      <c r="U324" t="n">
        <v>8</v>
      </c>
      <c r="V324" t="n">
        <v>48699.19</v>
      </c>
      <c r="W324" s="300" t="n">
        <v>0.1606</v>
      </c>
      <c r="X324" s="297" t="n">
        <v>42917</v>
      </c>
      <c r="Y324">
        <f>IF(I324="","No SIC",IFERROR(VLOOKUP(I324,Ref!$A$2:$B$65,2,FALSE),"Unclassified"))</f>
        <v/>
      </c>
      <c r="Z324">
        <f>IF(T324="","",IF(T324&lt;12,"Daily","Weekly"))</f>
        <v/>
      </c>
      <c r="AA324">
        <f>IF(T324="",0,IF(T324&lt;12,T324*Controls!$B$29,T324*5))</f>
        <v/>
      </c>
      <c r="AB324">
        <f>IF(E324="",0,NETWORKDAYS(E324,Controls!$B$36,Ref!$K$2:$K$42))</f>
        <v/>
      </c>
      <c r="AC324">
        <f>IF(AND(AA324&gt;0,AB324&gt;=Controls!$B$39*AA324),1,0)</f>
        <v/>
      </c>
      <c r="AD324">
        <f>IF(AND(E324&lt;&gt;"",E324&gt;=Controls!$B$37,E324&lt;=Controls!$B$38),1,0)</f>
        <v/>
      </c>
      <c r="AE324">
        <f>IF(IFERROR(VLOOKUP(D324,Controls!$A$64:$E$74,2,FALSE),"No")="Yes",1,0)</f>
        <v/>
      </c>
      <c r="AF324">
        <f>IF(IFERROR(VLOOKUP(D324,Controls!$A$64:$E$74,3,FALSE),"No")="Yes",1,0)</f>
        <v/>
      </c>
      <c r="AG324">
        <f>IF(IFERROR(VLOOKUP(D324,Controls!$A$64:$E$74,4,FALSE),"No")="Yes",1,0)</f>
        <v/>
      </c>
      <c r="AH324">
        <f>IF(IFERROR(VLOOKUP(D324,Controls!$A$64:$E$74,5,FALSE),"No")="Yes",1,0)</f>
        <v/>
      </c>
      <c r="AI324">
        <f>IF(ISNUMBER(MATCH(D324,Controls!$A$64:$A$74,0)),1,0)</f>
        <v/>
      </c>
      <c r="AJ324">
        <f>Q324-N324</f>
        <v/>
      </c>
      <c r="AK324">
        <f>IF(AE324=1,MAX(0,N324-Q324),0)</f>
        <v/>
      </c>
      <c r="AL324">
        <f>IF(OR(V324="",V324=0),0,N324/V324)</f>
        <v/>
      </c>
      <c r="AM324">
        <f>IF(OR(V324="",V324=0),0,1)</f>
        <v/>
      </c>
      <c r="AN324">
        <f>IF(OR(E324="",F324=""),0,NETWORKDAYS(E324,F324,Ref!$K$2:$K$42))</f>
        <v/>
      </c>
      <c r="AO324">
        <f>IF(L324="Renewal",1,0)</f>
        <v/>
      </c>
      <c r="AP324">
        <f>AC324*AD324</f>
        <v/>
      </c>
      <c r="AQ324">
        <f>IF(AND(G324&lt;&gt;"",'Historical Score'!$C$6&lt;&gt;""),IF(G324='Historical Score'!$C$6,1,0),0)</f>
        <v/>
      </c>
      <c r="AR324">
        <f>IF(AND(L324&lt;&gt;"",'Historical Score'!$C$5&lt;&gt;""),IF(L324='Historical Score'!$C$5,1,0),0)</f>
        <v/>
      </c>
      <c r="AS324">
        <f>IF(AND(Y324&lt;&gt;"",'Historical Score'!$C$7&lt;&gt;""),IF(Y324='Historical Score'!$C$7,1,0),0)</f>
        <v/>
      </c>
      <c r="AT324">
        <f>IF(AND(K324&lt;&gt;"",'Historical Score'!$C$8&lt;&gt;""),IF(K324='Historical Score'!$C$8,1,0),0)</f>
        <v/>
      </c>
      <c r="AU324">
        <f>IF(AND(J324&lt;&gt;"",'Historical Score'!$C$9&lt;&gt;""),IF(J324='Historical Score'!$C$9,1,0),0)</f>
        <v/>
      </c>
      <c r="AV324">
        <f>AR324*AS324*AQ324</f>
        <v/>
      </c>
      <c r="AW324">
        <f>AR324*AT324*AQ324</f>
        <v/>
      </c>
      <c r="AX324">
        <f>AR324*AS324</f>
        <v/>
      </c>
      <c r="AY324">
        <f>AR324*AT324</f>
        <v/>
      </c>
      <c r="AZ324">
        <f>AR324*AQ324</f>
        <v/>
      </c>
      <c r="BA324">
        <f>AR324</f>
        <v/>
      </c>
      <c r="BB324">
        <f>1</f>
        <v/>
      </c>
      <c r="BC324">
        <f>IF(AV324=1,1,IF(AW324=1,2,IF(AX324=1,3,IF(AY324=1,4,IF(AZ324=1,5,IF(BA324=1,6,7))))))</f>
        <v/>
      </c>
      <c r="BD324">
        <f>IF(AD324=1,CHOOSE('Historical Score'!$C$29,AV324,AW324,AX324,AY324,AZ324,BA324,BB324),0)</f>
        <v/>
      </c>
      <c r="BE324">
        <f>IF(BD324=1,COUNTIF($BD$2:BD324,1),"")</f>
        <v/>
      </c>
    </row>
    <row r="325">
      <c r="A325" t="inlineStr">
        <is>
          <t>5674169733</t>
        </is>
      </c>
      <c r="B325" t="inlineStr">
        <is>
          <t>FEDL Monique Bakery</t>
        </is>
      </c>
      <c r="C325" t="inlineStr">
        <is>
          <t>FEDL MONIQUE BAKERIES INC</t>
        </is>
      </c>
      <c r="D325" t="inlineStr">
        <is>
          <t>Closed</t>
        </is>
      </c>
      <c r="E325" s="297" t="n">
        <v>45964</v>
      </c>
      <c r="F325" s="297" t="n">
        <v>46112</v>
      </c>
      <c r="G325" t="n">
        <v>2</v>
      </c>
      <c r="H325" t="inlineStr">
        <is>
          <t>2051</t>
        </is>
      </c>
      <c r="I325" t="inlineStr">
        <is>
          <t>20</t>
        </is>
      </c>
      <c r="J325" t="inlineStr">
        <is>
          <t>TX</t>
        </is>
      </c>
      <c r="K325" t="inlineStr">
        <is>
          <t>Fidelity Funding</t>
        </is>
      </c>
      <c r="L325" t="inlineStr">
        <is>
          <t>New Deal</t>
        </is>
      </c>
      <c r="M325" s="298" t="n">
        <v>1.39</v>
      </c>
      <c r="N325" s="299" t="n">
        <v>40000</v>
      </c>
      <c r="O325" s="299" t="n">
        <v>3600</v>
      </c>
      <c r="P325" s="299" t="n">
        <v>55600</v>
      </c>
      <c r="Q325" s="299" t="n">
        <v>55600</v>
      </c>
      <c r="R325" s="299" t="n">
        <v>-7.275957614183431e-12</v>
      </c>
      <c r="S325" s="300" t="n">
        <v>1</v>
      </c>
      <c r="T325" t="n">
        <v>28</v>
      </c>
      <c r="U325" t="n">
        <v>0</v>
      </c>
      <c r="V325" t="n">
        <v>94974</v>
      </c>
      <c r="W325" s="300" t="n">
        <v>0.08359999999999999</v>
      </c>
      <c r="X325" s="297" t="n"/>
      <c r="Y325">
        <f>IF(I325="","No SIC",IFERROR(VLOOKUP(I325,Ref!$A$2:$B$65,2,FALSE),"Unclassified"))</f>
        <v/>
      </c>
      <c r="Z325">
        <f>IF(T325="","",IF(T325&lt;12,"Daily","Weekly"))</f>
        <v/>
      </c>
      <c r="AA325">
        <f>IF(T325="",0,IF(T325&lt;12,T325*Controls!$B$29,T325*5))</f>
        <v/>
      </c>
      <c r="AB325">
        <f>IF(E325="",0,NETWORKDAYS(E325,Controls!$B$36,Ref!$K$2:$K$42))</f>
        <v/>
      </c>
      <c r="AC325">
        <f>IF(AND(AA325&gt;0,AB325&gt;=Controls!$B$39*AA325),1,0)</f>
        <v/>
      </c>
      <c r="AD325">
        <f>IF(AND(E325&lt;&gt;"",E325&gt;=Controls!$B$37,E325&lt;=Controls!$B$38),1,0)</f>
        <v/>
      </c>
      <c r="AE325">
        <f>IF(IFERROR(VLOOKUP(D325,Controls!$A$64:$E$74,2,FALSE),"No")="Yes",1,0)</f>
        <v/>
      </c>
      <c r="AF325">
        <f>IF(IFERROR(VLOOKUP(D325,Controls!$A$64:$E$74,3,FALSE),"No")="Yes",1,0)</f>
        <v/>
      </c>
      <c r="AG325">
        <f>IF(IFERROR(VLOOKUP(D325,Controls!$A$64:$E$74,4,FALSE),"No")="Yes",1,0)</f>
        <v/>
      </c>
      <c r="AH325">
        <f>IF(IFERROR(VLOOKUP(D325,Controls!$A$64:$E$74,5,FALSE),"No")="Yes",1,0)</f>
        <v/>
      </c>
      <c r="AI325">
        <f>IF(ISNUMBER(MATCH(D325,Controls!$A$64:$A$74,0)),1,0)</f>
        <v/>
      </c>
      <c r="AJ325">
        <f>Q325-N325</f>
        <v/>
      </c>
      <c r="AK325">
        <f>IF(AE325=1,MAX(0,N325-Q325),0)</f>
        <v/>
      </c>
      <c r="AL325">
        <f>IF(OR(V325="",V325=0),0,N325/V325)</f>
        <v/>
      </c>
      <c r="AM325">
        <f>IF(OR(V325="",V325=0),0,1)</f>
        <v/>
      </c>
      <c r="AN325">
        <f>IF(OR(E325="",F325=""),0,NETWORKDAYS(E325,F325,Ref!$K$2:$K$42))</f>
        <v/>
      </c>
      <c r="AO325">
        <f>IF(L325="Renewal",1,0)</f>
        <v/>
      </c>
      <c r="AP325">
        <f>AC325*AD325</f>
        <v/>
      </c>
      <c r="AQ325">
        <f>IF(AND(G325&lt;&gt;"",'Historical Score'!$C$6&lt;&gt;""),IF(G325='Historical Score'!$C$6,1,0),0)</f>
        <v/>
      </c>
      <c r="AR325">
        <f>IF(AND(L325&lt;&gt;"",'Historical Score'!$C$5&lt;&gt;""),IF(L325='Historical Score'!$C$5,1,0),0)</f>
        <v/>
      </c>
      <c r="AS325">
        <f>IF(AND(Y325&lt;&gt;"",'Historical Score'!$C$7&lt;&gt;""),IF(Y325='Historical Score'!$C$7,1,0),0)</f>
        <v/>
      </c>
      <c r="AT325">
        <f>IF(AND(K325&lt;&gt;"",'Historical Score'!$C$8&lt;&gt;""),IF(K325='Historical Score'!$C$8,1,0),0)</f>
        <v/>
      </c>
      <c r="AU325">
        <f>IF(AND(J325&lt;&gt;"",'Historical Score'!$C$9&lt;&gt;""),IF(J325='Historical Score'!$C$9,1,0),0)</f>
        <v/>
      </c>
      <c r="AV325">
        <f>AR325*AS325*AQ325</f>
        <v/>
      </c>
      <c r="AW325">
        <f>AR325*AT325*AQ325</f>
        <v/>
      </c>
      <c r="AX325">
        <f>AR325*AS325</f>
        <v/>
      </c>
      <c r="AY325">
        <f>AR325*AT325</f>
        <v/>
      </c>
      <c r="AZ325">
        <f>AR325*AQ325</f>
        <v/>
      </c>
      <c r="BA325">
        <f>AR325</f>
        <v/>
      </c>
      <c r="BB325">
        <f>1</f>
        <v/>
      </c>
      <c r="BC325">
        <f>IF(AV325=1,1,IF(AW325=1,2,IF(AX325=1,3,IF(AY325=1,4,IF(AZ325=1,5,IF(BA325=1,6,7))))))</f>
        <v/>
      </c>
      <c r="BD325">
        <f>IF(AD325=1,CHOOSE('Historical Score'!$C$29,AV325,AW325,AX325,AY325,AZ325,BA325,BB325),0)</f>
        <v/>
      </c>
      <c r="BE325">
        <f>IF(BD325=1,COUNTIF($BD$2:BD325,1),"")</f>
        <v/>
      </c>
    </row>
    <row r="326">
      <c r="A326" t="inlineStr">
        <is>
          <t>5674169755</t>
        </is>
      </c>
      <c r="B326" t="inlineStr">
        <is>
          <t>Fadak international food market</t>
        </is>
      </c>
      <c r="C326" t="inlineStr">
        <is>
          <t>Fadak international food market</t>
        </is>
      </c>
      <c r="D326" t="inlineStr">
        <is>
          <t>Legal</t>
        </is>
      </c>
      <c r="E326" s="297" t="n">
        <v>45964</v>
      </c>
      <c r="F326" s="297" t="n">
        <v>46175</v>
      </c>
      <c r="G326" t="n">
        <v>3</v>
      </c>
      <c r="H326" t="inlineStr">
        <is>
          <t>5999</t>
        </is>
      </c>
      <c r="I326" t="inlineStr">
        <is>
          <t>59</t>
        </is>
      </c>
      <c r="J326" t="inlineStr">
        <is>
          <t>PA</t>
        </is>
      </c>
      <c r="K326" t="inlineStr">
        <is>
          <t>Blue Oak Advance</t>
        </is>
      </c>
      <c r="L326" t="inlineStr">
        <is>
          <t>New Deal</t>
        </is>
      </c>
      <c r="M326" s="298" t="n">
        <v>1.499</v>
      </c>
      <c r="N326" s="299" t="n">
        <v>15000</v>
      </c>
      <c r="O326" s="299" t="n">
        <v>2100</v>
      </c>
      <c r="P326" s="299" t="n">
        <v>22485</v>
      </c>
      <c r="Q326" s="299" t="n">
        <v>2603.23</v>
      </c>
      <c r="R326" s="299" t="n">
        <v>19881.77</v>
      </c>
      <c r="S326" s="300" t="n">
        <v>0.115776295307983</v>
      </c>
      <c r="T326" t="n">
        <v>1.967</v>
      </c>
      <c r="U326" t="n">
        <v>11</v>
      </c>
      <c r="V326" t="n">
        <v>182896.32</v>
      </c>
      <c r="W326" s="300" t="n">
        <v>0.0427</v>
      </c>
      <c r="X326" s="297" t="n">
        <v>44002</v>
      </c>
      <c r="Y326">
        <f>IF(I326="","No SIC",IFERROR(VLOOKUP(I326,Ref!$A$2:$B$65,2,FALSE),"Unclassified"))</f>
        <v/>
      </c>
      <c r="Z326">
        <f>IF(T326="","",IF(T326&lt;12,"Daily","Weekly"))</f>
        <v/>
      </c>
      <c r="AA326">
        <f>IF(T326="",0,IF(T326&lt;12,T326*Controls!$B$29,T326*5))</f>
        <v/>
      </c>
      <c r="AB326">
        <f>IF(E326="",0,NETWORKDAYS(E326,Controls!$B$36,Ref!$K$2:$K$42))</f>
        <v/>
      </c>
      <c r="AC326">
        <f>IF(AND(AA326&gt;0,AB326&gt;=Controls!$B$39*AA326),1,0)</f>
        <v/>
      </c>
      <c r="AD326">
        <f>IF(AND(E326&lt;&gt;"",E326&gt;=Controls!$B$37,E326&lt;=Controls!$B$38),1,0)</f>
        <v/>
      </c>
      <c r="AE326">
        <f>IF(IFERROR(VLOOKUP(D326,Controls!$A$64:$E$74,2,FALSE),"No")="Yes",1,0)</f>
        <v/>
      </c>
      <c r="AF326">
        <f>IF(IFERROR(VLOOKUP(D326,Controls!$A$64:$E$74,3,FALSE),"No")="Yes",1,0)</f>
        <v/>
      </c>
      <c r="AG326">
        <f>IF(IFERROR(VLOOKUP(D326,Controls!$A$64:$E$74,4,FALSE),"No")="Yes",1,0)</f>
        <v/>
      </c>
      <c r="AH326">
        <f>IF(IFERROR(VLOOKUP(D326,Controls!$A$64:$E$74,5,FALSE),"No")="Yes",1,0)</f>
        <v/>
      </c>
      <c r="AI326">
        <f>IF(ISNUMBER(MATCH(D326,Controls!$A$64:$A$74,0)),1,0)</f>
        <v/>
      </c>
      <c r="AJ326">
        <f>Q326-N326</f>
        <v/>
      </c>
      <c r="AK326">
        <f>IF(AE326=1,MAX(0,N326-Q326),0)</f>
        <v/>
      </c>
      <c r="AL326">
        <f>IF(OR(V326="",V326=0),0,N326/V326)</f>
        <v/>
      </c>
      <c r="AM326">
        <f>IF(OR(V326="",V326=0),0,1)</f>
        <v/>
      </c>
      <c r="AN326">
        <f>IF(OR(E326="",F326=""),0,NETWORKDAYS(E326,F326,Ref!$K$2:$K$42))</f>
        <v/>
      </c>
      <c r="AO326">
        <f>IF(L326="Renewal",1,0)</f>
        <v/>
      </c>
      <c r="AP326">
        <f>AC326*AD326</f>
        <v/>
      </c>
      <c r="AQ326">
        <f>IF(AND(G326&lt;&gt;"",'Historical Score'!$C$6&lt;&gt;""),IF(G326='Historical Score'!$C$6,1,0),0)</f>
        <v/>
      </c>
      <c r="AR326">
        <f>IF(AND(L326&lt;&gt;"",'Historical Score'!$C$5&lt;&gt;""),IF(L326='Historical Score'!$C$5,1,0),0)</f>
        <v/>
      </c>
      <c r="AS326">
        <f>IF(AND(Y326&lt;&gt;"",'Historical Score'!$C$7&lt;&gt;""),IF(Y326='Historical Score'!$C$7,1,0),0)</f>
        <v/>
      </c>
      <c r="AT326">
        <f>IF(AND(K326&lt;&gt;"",'Historical Score'!$C$8&lt;&gt;""),IF(K326='Historical Score'!$C$8,1,0),0)</f>
        <v/>
      </c>
      <c r="AU326">
        <f>IF(AND(J326&lt;&gt;"",'Historical Score'!$C$9&lt;&gt;""),IF(J326='Historical Score'!$C$9,1,0),0)</f>
        <v/>
      </c>
      <c r="AV326">
        <f>AR326*AS326*AQ326</f>
        <v/>
      </c>
      <c r="AW326">
        <f>AR326*AT326*AQ326</f>
        <v/>
      </c>
      <c r="AX326">
        <f>AR326*AS326</f>
        <v/>
      </c>
      <c r="AY326">
        <f>AR326*AT326</f>
        <v/>
      </c>
      <c r="AZ326">
        <f>AR326*AQ326</f>
        <v/>
      </c>
      <c r="BA326">
        <f>AR326</f>
        <v/>
      </c>
      <c r="BB326">
        <f>1</f>
        <v/>
      </c>
      <c r="BC326">
        <f>IF(AV326=1,1,IF(AW326=1,2,IF(AX326=1,3,IF(AY326=1,4,IF(AZ326=1,5,IF(BA326=1,6,7))))))</f>
        <v/>
      </c>
      <c r="BD326">
        <f>IF(AD326=1,CHOOSE('Historical Score'!$C$29,AV326,AW326,AX326,AY326,AZ326,BA326,BB326),0)</f>
        <v/>
      </c>
      <c r="BE326">
        <f>IF(BD326=1,COUNTIF($BD$2:BD326,1),"")</f>
        <v/>
      </c>
    </row>
    <row r="327">
      <c r="A327" t="inlineStr">
        <is>
          <t>5674169769</t>
        </is>
      </c>
      <c r="B327" t="inlineStr">
        <is>
          <t>plush nails &amp; spa</t>
        </is>
      </c>
      <c r="C327" t="inlineStr">
        <is>
          <t>huyen and vu bui inc</t>
        </is>
      </c>
      <c r="D327" t="inlineStr">
        <is>
          <t>In House Collection</t>
        </is>
      </c>
      <c r="E327" s="297" t="n">
        <v>45964</v>
      </c>
      <c r="F327" s="297" t="n">
        <v>46248</v>
      </c>
      <c r="G327" t="n">
        <v>5</v>
      </c>
      <c r="H327" t="inlineStr">
        <is>
          <t>7231</t>
        </is>
      </c>
      <c r="I327" t="inlineStr">
        <is>
          <t>72</t>
        </is>
      </c>
      <c r="J327" t="inlineStr">
        <is>
          <t>OK</t>
        </is>
      </c>
      <c r="K327" t="inlineStr">
        <is>
          <t>ontime cap</t>
        </is>
      </c>
      <c r="L327" t="inlineStr">
        <is>
          <t>New Deal</t>
        </is>
      </c>
      <c r="M327" s="298" t="n">
        <v>1.499</v>
      </c>
      <c r="N327" s="299" t="n">
        <v>25000</v>
      </c>
      <c r="O327" s="299" t="n">
        <v>3500</v>
      </c>
      <c r="P327" s="299" t="n">
        <v>37475</v>
      </c>
      <c r="Q327" s="299" t="n">
        <v>35806.96</v>
      </c>
      <c r="R327" s="299" t="n">
        <v>1668.04</v>
      </c>
      <c r="S327" s="300" t="n">
        <v>0.955489259506338</v>
      </c>
      <c r="T327" t="n">
        <v>2.951</v>
      </c>
      <c r="U327" t="n">
        <v>61</v>
      </c>
      <c r="V327" t="n">
        <v>102024.64</v>
      </c>
      <c r="W327" s="300" t="n">
        <v>0.0857</v>
      </c>
      <c r="X327" s="297" t="n">
        <v>43166</v>
      </c>
      <c r="Y327">
        <f>IF(I327="","No SIC",IFERROR(VLOOKUP(I327,Ref!$A$2:$B$65,2,FALSE),"Unclassified"))</f>
        <v/>
      </c>
      <c r="Z327">
        <f>IF(T327="","",IF(T327&lt;12,"Daily","Weekly"))</f>
        <v/>
      </c>
      <c r="AA327">
        <f>IF(T327="",0,IF(T327&lt;12,T327*Controls!$B$29,T327*5))</f>
        <v/>
      </c>
      <c r="AB327">
        <f>IF(E327="",0,NETWORKDAYS(E327,Controls!$B$36,Ref!$K$2:$K$42))</f>
        <v/>
      </c>
      <c r="AC327">
        <f>IF(AND(AA327&gt;0,AB327&gt;=Controls!$B$39*AA327),1,0)</f>
        <v/>
      </c>
      <c r="AD327">
        <f>IF(AND(E327&lt;&gt;"",E327&gt;=Controls!$B$37,E327&lt;=Controls!$B$38),1,0)</f>
        <v/>
      </c>
      <c r="AE327">
        <f>IF(IFERROR(VLOOKUP(D327,Controls!$A$64:$E$74,2,FALSE),"No")="Yes",1,0)</f>
        <v/>
      </c>
      <c r="AF327">
        <f>IF(IFERROR(VLOOKUP(D327,Controls!$A$64:$E$74,3,FALSE),"No")="Yes",1,0)</f>
        <v/>
      </c>
      <c r="AG327">
        <f>IF(IFERROR(VLOOKUP(D327,Controls!$A$64:$E$74,4,FALSE),"No")="Yes",1,0)</f>
        <v/>
      </c>
      <c r="AH327">
        <f>IF(IFERROR(VLOOKUP(D327,Controls!$A$64:$E$74,5,FALSE),"No")="Yes",1,0)</f>
        <v/>
      </c>
      <c r="AI327">
        <f>IF(ISNUMBER(MATCH(D327,Controls!$A$64:$A$74,0)),1,0)</f>
        <v/>
      </c>
      <c r="AJ327">
        <f>Q327-N327</f>
        <v/>
      </c>
      <c r="AK327">
        <f>IF(AE327=1,MAX(0,N327-Q327),0)</f>
        <v/>
      </c>
      <c r="AL327">
        <f>IF(OR(V327="",V327=0),0,N327/V327)</f>
        <v/>
      </c>
      <c r="AM327">
        <f>IF(OR(V327="",V327=0),0,1)</f>
        <v/>
      </c>
      <c r="AN327">
        <f>IF(OR(E327="",F327=""),0,NETWORKDAYS(E327,F327,Ref!$K$2:$K$42))</f>
        <v/>
      </c>
      <c r="AO327">
        <f>IF(L327="Renewal",1,0)</f>
        <v/>
      </c>
      <c r="AP327">
        <f>AC327*AD327</f>
        <v/>
      </c>
      <c r="AQ327">
        <f>IF(AND(G327&lt;&gt;"",'Historical Score'!$C$6&lt;&gt;""),IF(G327='Historical Score'!$C$6,1,0),0)</f>
        <v/>
      </c>
      <c r="AR327">
        <f>IF(AND(L327&lt;&gt;"",'Historical Score'!$C$5&lt;&gt;""),IF(L327='Historical Score'!$C$5,1,0),0)</f>
        <v/>
      </c>
      <c r="AS327">
        <f>IF(AND(Y327&lt;&gt;"",'Historical Score'!$C$7&lt;&gt;""),IF(Y327='Historical Score'!$C$7,1,0),0)</f>
        <v/>
      </c>
      <c r="AT327">
        <f>IF(AND(K327&lt;&gt;"",'Historical Score'!$C$8&lt;&gt;""),IF(K327='Historical Score'!$C$8,1,0),0)</f>
        <v/>
      </c>
      <c r="AU327">
        <f>IF(AND(J327&lt;&gt;"",'Historical Score'!$C$9&lt;&gt;""),IF(J327='Historical Score'!$C$9,1,0),0)</f>
        <v/>
      </c>
      <c r="AV327">
        <f>AR327*AS327*AQ327</f>
        <v/>
      </c>
      <c r="AW327">
        <f>AR327*AT327*AQ327</f>
        <v/>
      </c>
      <c r="AX327">
        <f>AR327*AS327</f>
        <v/>
      </c>
      <c r="AY327">
        <f>AR327*AT327</f>
        <v/>
      </c>
      <c r="AZ327">
        <f>AR327*AQ327</f>
        <v/>
      </c>
      <c r="BA327">
        <f>AR327</f>
        <v/>
      </c>
      <c r="BB327">
        <f>1</f>
        <v/>
      </c>
      <c r="BC327">
        <f>IF(AV327=1,1,IF(AW327=1,2,IF(AX327=1,3,IF(AY327=1,4,IF(AZ327=1,5,IF(BA327=1,6,7))))))</f>
        <v/>
      </c>
      <c r="BD327">
        <f>IF(AD327=1,CHOOSE('Historical Score'!$C$29,AV327,AW327,AX327,AY327,AZ327,BA327,BB327),0)</f>
        <v/>
      </c>
      <c r="BE327">
        <f>IF(BD327=1,COUNTIF($BD$2:BD327,1),"")</f>
        <v/>
      </c>
    </row>
    <row r="328">
      <c r="A328" t="inlineStr">
        <is>
          <t>5674169782</t>
        </is>
      </c>
      <c r="B328" t="inlineStr">
        <is>
          <t>Gamboa Fence Corp</t>
        </is>
      </c>
      <c r="C328" t="inlineStr">
        <is>
          <t>Gamboa Fence Corp</t>
        </is>
      </c>
      <c r="D328" t="inlineStr">
        <is>
          <t>Legal</t>
        </is>
      </c>
      <c r="E328" s="297" t="n">
        <v>45964</v>
      </c>
      <c r="F328" s="297" t="n">
        <v>45967</v>
      </c>
      <c r="G328" t="n">
        <v>3</v>
      </c>
      <c r="H328" t="inlineStr">
        <is>
          <t>1521</t>
        </is>
      </c>
      <c r="I328" t="inlineStr">
        <is>
          <t>15</t>
        </is>
      </c>
      <c r="J328" t="inlineStr">
        <is>
          <t>FL</t>
        </is>
      </c>
      <c r="K328" t="inlineStr">
        <is>
          <t>United Secured Capital 8</t>
        </is>
      </c>
      <c r="L328" t="inlineStr">
        <is>
          <t>New Deal</t>
        </is>
      </c>
      <c r="M328" s="298" t="n">
        <v>1.499</v>
      </c>
      <c r="N328" s="299" t="n">
        <v>7000</v>
      </c>
      <c r="O328" s="299" t="n">
        <v>0</v>
      </c>
      <c r="P328" s="299" t="n">
        <v>10493</v>
      </c>
      <c r="Q328" s="299" t="n">
        <v>0</v>
      </c>
      <c r="R328" s="299" t="n">
        <v>10493</v>
      </c>
      <c r="S328" s="300" t="n">
        <v>0</v>
      </c>
      <c r="T328" t="n">
        <v>2.787</v>
      </c>
      <c r="U328" t="n">
        <v>3</v>
      </c>
      <c r="V328" t="n">
        <v>34054.45</v>
      </c>
      <c r="W328" s="300" t="n">
        <v>0.0756</v>
      </c>
      <c r="X328" s="297" t="n">
        <v>42917</v>
      </c>
      <c r="Y328">
        <f>IF(I328="","No SIC",IFERROR(VLOOKUP(I328,Ref!$A$2:$B$65,2,FALSE),"Unclassified"))</f>
        <v/>
      </c>
      <c r="Z328">
        <f>IF(T328="","",IF(T328&lt;12,"Daily","Weekly"))</f>
        <v/>
      </c>
      <c r="AA328">
        <f>IF(T328="",0,IF(T328&lt;12,T328*Controls!$B$29,T328*5))</f>
        <v/>
      </c>
      <c r="AB328">
        <f>IF(E328="",0,NETWORKDAYS(E328,Controls!$B$36,Ref!$K$2:$K$42))</f>
        <v/>
      </c>
      <c r="AC328">
        <f>IF(AND(AA328&gt;0,AB328&gt;=Controls!$B$39*AA328),1,0)</f>
        <v/>
      </c>
      <c r="AD328">
        <f>IF(AND(E328&lt;&gt;"",E328&gt;=Controls!$B$37,E328&lt;=Controls!$B$38),1,0)</f>
        <v/>
      </c>
      <c r="AE328">
        <f>IF(IFERROR(VLOOKUP(D328,Controls!$A$64:$E$74,2,FALSE),"No")="Yes",1,0)</f>
        <v/>
      </c>
      <c r="AF328">
        <f>IF(IFERROR(VLOOKUP(D328,Controls!$A$64:$E$74,3,FALSE),"No")="Yes",1,0)</f>
        <v/>
      </c>
      <c r="AG328">
        <f>IF(IFERROR(VLOOKUP(D328,Controls!$A$64:$E$74,4,FALSE),"No")="Yes",1,0)</f>
        <v/>
      </c>
      <c r="AH328">
        <f>IF(IFERROR(VLOOKUP(D328,Controls!$A$64:$E$74,5,FALSE),"No")="Yes",1,0)</f>
        <v/>
      </c>
      <c r="AI328">
        <f>IF(ISNUMBER(MATCH(D328,Controls!$A$64:$A$74,0)),1,0)</f>
        <v/>
      </c>
      <c r="AJ328">
        <f>Q328-N328</f>
        <v/>
      </c>
      <c r="AK328">
        <f>IF(AE328=1,MAX(0,N328-Q328),0)</f>
        <v/>
      </c>
      <c r="AL328">
        <f>IF(OR(V328="",V328=0),0,N328/V328)</f>
        <v/>
      </c>
      <c r="AM328">
        <f>IF(OR(V328="",V328=0),0,1)</f>
        <v/>
      </c>
      <c r="AN328">
        <f>IF(OR(E328="",F328=""),0,NETWORKDAYS(E328,F328,Ref!$K$2:$K$42))</f>
        <v/>
      </c>
      <c r="AO328">
        <f>IF(L328="Renewal",1,0)</f>
        <v/>
      </c>
      <c r="AP328">
        <f>AC328*AD328</f>
        <v/>
      </c>
      <c r="AQ328">
        <f>IF(AND(G328&lt;&gt;"",'Historical Score'!$C$6&lt;&gt;""),IF(G328='Historical Score'!$C$6,1,0),0)</f>
        <v/>
      </c>
      <c r="AR328">
        <f>IF(AND(L328&lt;&gt;"",'Historical Score'!$C$5&lt;&gt;""),IF(L328='Historical Score'!$C$5,1,0),0)</f>
        <v/>
      </c>
      <c r="AS328">
        <f>IF(AND(Y328&lt;&gt;"",'Historical Score'!$C$7&lt;&gt;""),IF(Y328='Historical Score'!$C$7,1,0),0)</f>
        <v/>
      </c>
      <c r="AT328">
        <f>IF(AND(K328&lt;&gt;"",'Historical Score'!$C$8&lt;&gt;""),IF(K328='Historical Score'!$C$8,1,0),0)</f>
        <v/>
      </c>
      <c r="AU328">
        <f>IF(AND(J328&lt;&gt;"",'Historical Score'!$C$9&lt;&gt;""),IF(J328='Historical Score'!$C$9,1,0),0)</f>
        <v/>
      </c>
      <c r="AV328">
        <f>AR328*AS328*AQ328</f>
        <v/>
      </c>
      <c r="AW328">
        <f>AR328*AT328*AQ328</f>
        <v/>
      </c>
      <c r="AX328">
        <f>AR328*AS328</f>
        <v/>
      </c>
      <c r="AY328">
        <f>AR328*AT328</f>
        <v/>
      </c>
      <c r="AZ328">
        <f>AR328*AQ328</f>
        <v/>
      </c>
      <c r="BA328">
        <f>AR328</f>
        <v/>
      </c>
      <c r="BB328">
        <f>1</f>
        <v/>
      </c>
      <c r="BC328">
        <f>IF(AV328=1,1,IF(AW328=1,2,IF(AX328=1,3,IF(AY328=1,4,IF(AZ328=1,5,IF(BA328=1,6,7))))))</f>
        <v/>
      </c>
      <c r="BD328">
        <f>IF(AD328=1,CHOOSE('Historical Score'!$C$29,AV328,AW328,AX328,AY328,AZ328,BA328,BB328),0)</f>
        <v/>
      </c>
      <c r="BE328">
        <f>IF(BD328=1,COUNTIF($BD$2:BD328,1),"")</f>
        <v/>
      </c>
    </row>
    <row r="329">
      <c r="A329" t="inlineStr">
        <is>
          <t>5674169783</t>
        </is>
      </c>
      <c r="B329" t="inlineStr">
        <is>
          <t>JUST YOU AN EXCL STYLING N COLOR SALON</t>
        </is>
      </c>
      <c r="C329" t="inlineStr">
        <is>
          <t>JUST YOU AN EXCL STYLING N COLOR SALON</t>
        </is>
      </c>
      <c r="D329" t="inlineStr">
        <is>
          <t>In House Collection</t>
        </is>
      </c>
      <c r="E329" s="297" t="n">
        <v>45964</v>
      </c>
      <c r="F329" s="297" t="n">
        <v>46247</v>
      </c>
      <c r="G329" t="n">
        <v>2</v>
      </c>
      <c r="H329" t="inlineStr">
        <is>
          <t>7231</t>
        </is>
      </c>
      <c r="I329" t="inlineStr">
        <is>
          <t>72</t>
        </is>
      </c>
      <c r="J329" t="inlineStr">
        <is>
          <t>PA</t>
        </is>
      </c>
      <c r="K329" t="inlineStr">
        <is>
          <t>United Secured Capital 8</t>
        </is>
      </c>
      <c r="L329" t="inlineStr">
        <is>
          <t>New Deal</t>
        </is>
      </c>
      <c r="M329" s="298" t="n">
        <v>1.49</v>
      </c>
      <c r="N329" s="299" t="n">
        <v>15000</v>
      </c>
      <c r="O329" s="299" t="n">
        <v>2100</v>
      </c>
      <c r="P329" s="299" t="n">
        <v>22350</v>
      </c>
      <c r="Q329" s="299" t="n">
        <v>7011.92</v>
      </c>
      <c r="R329" s="299" t="n">
        <v>15338.08</v>
      </c>
      <c r="S329" s="300" t="n">
        <v>0.313732438478747</v>
      </c>
      <c r="T329" t="n">
        <v>3.934</v>
      </c>
      <c r="U329" t="n">
        <v>2</v>
      </c>
      <c r="V329" t="n">
        <v>29212.74</v>
      </c>
      <c r="W329" s="300" t="n">
        <v>0.1303</v>
      </c>
      <c r="X329" s="297" t="n">
        <v>45220</v>
      </c>
      <c r="Y329">
        <f>IF(I329="","No SIC",IFERROR(VLOOKUP(I329,Ref!$A$2:$B$65,2,FALSE),"Unclassified"))</f>
        <v/>
      </c>
      <c r="Z329">
        <f>IF(T329="","",IF(T329&lt;12,"Daily","Weekly"))</f>
        <v/>
      </c>
      <c r="AA329">
        <f>IF(T329="",0,IF(T329&lt;12,T329*Controls!$B$29,T329*5))</f>
        <v/>
      </c>
      <c r="AB329">
        <f>IF(E329="",0,NETWORKDAYS(E329,Controls!$B$36,Ref!$K$2:$K$42))</f>
        <v/>
      </c>
      <c r="AC329">
        <f>IF(AND(AA329&gt;0,AB329&gt;=Controls!$B$39*AA329),1,0)</f>
        <v/>
      </c>
      <c r="AD329">
        <f>IF(AND(E329&lt;&gt;"",E329&gt;=Controls!$B$37,E329&lt;=Controls!$B$38),1,0)</f>
        <v/>
      </c>
      <c r="AE329">
        <f>IF(IFERROR(VLOOKUP(D329,Controls!$A$64:$E$74,2,FALSE),"No")="Yes",1,0)</f>
        <v/>
      </c>
      <c r="AF329">
        <f>IF(IFERROR(VLOOKUP(D329,Controls!$A$64:$E$74,3,FALSE),"No")="Yes",1,0)</f>
        <v/>
      </c>
      <c r="AG329">
        <f>IF(IFERROR(VLOOKUP(D329,Controls!$A$64:$E$74,4,FALSE),"No")="Yes",1,0)</f>
        <v/>
      </c>
      <c r="AH329">
        <f>IF(IFERROR(VLOOKUP(D329,Controls!$A$64:$E$74,5,FALSE),"No")="Yes",1,0)</f>
        <v/>
      </c>
      <c r="AI329">
        <f>IF(ISNUMBER(MATCH(D329,Controls!$A$64:$A$74,0)),1,0)</f>
        <v/>
      </c>
      <c r="AJ329">
        <f>Q329-N329</f>
        <v/>
      </c>
      <c r="AK329">
        <f>IF(AE329=1,MAX(0,N329-Q329),0)</f>
        <v/>
      </c>
      <c r="AL329">
        <f>IF(OR(V329="",V329=0),0,N329/V329)</f>
        <v/>
      </c>
      <c r="AM329">
        <f>IF(OR(V329="",V329=0),0,1)</f>
        <v/>
      </c>
      <c r="AN329">
        <f>IF(OR(E329="",F329=""),0,NETWORKDAYS(E329,F329,Ref!$K$2:$K$42))</f>
        <v/>
      </c>
      <c r="AO329">
        <f>IF(L329="Renewal",1,0)</f>
        <v/>
      </c>
      <c r="AP329">
        <f>AC329*AD329</f>
        <v/>
      </c>
      <c r="AQ329">
        <f>IF(AND(G329&lt;&gt;"",'Historical Score'!$C$6&lt;&gt;""),IF(G329='Historical Score'!$C$6,1,0),0)</f>
        <v/>
      </c>
      <c r="AR329">
        <f>IF(AND(L329&lt;&gt;"",'Historical Score'!$C$5&lt;&gt;""),IF(L329='Historical Score'!$C$5,1,0),0)</f>
        <v/>
      </c>
      <c r="AS329">
        <f>IF(AND(Y329&lt;&gt;"",'Historical Score'!$C$7&lt;&gt;""),IF(Y329='Historical Score'!$C$7,1,0),0)</f>
        <v/>
      </c>
      <c r="AT329">
        <f>IF(AND(K329&lt;&gt;"",'Historical Score'!$C$8&lt;&gt;""),IF(K329='Historical Score'!$C$8,1,0),0)</f>
        <v/>
      </c>
      <c r="AU329">
        <f>IF(AND(J329&lt;&gt;"",'Historical Score'!$C$9&lt;&gt;""),IF(J329='Historical Score'!$C$9,1,0),0)</f>
        <v/>
      </c>
      <c r="AV329">
        <f>AR329*AS329*AQ329</f>
        <v/>
      </c>
      <c r="AW329">
        <f>AR329*AT329*AQ329</f>
        <v/>
      </c>
      <c r="AX329">
        <f>AR329*AS329</f>
        <v/>
      </c>
      <c r="AY329">
        <f>AR329*AT329</f>
        <v/>
      </c>
      <c r="AZ329">
        <f>AR329*AQ329</f>
        <v/>
      </c>
      <c r="BA329">
        <f>AR329</f>
        <v/>
      </c>
      <c r="BB329">
        <f>1</f>
        <v/>
      </c>
      <c r="BC329">
        <f>IF(AV329=1,1,IF(AW329=1,2,IF(AX329=1,3,IF(AY329=1,4,IF(AZ329=1,5,IF(BA329=1,6,7))))))</f>
        <v/>
      </c>
      <c r="BD329">
        <f>IF(AD329=1,CHOOSE('Historical Score'!$C$29,AV329,AW329,AX329,AY329,AZ329,BA329,BB329),0)</f>
        <v/>
      </c>
      <c r="BE329">
        <f>IF(BD329=1,COUNTIF($BD$2:BD329,1),"")</f>
        <v/>
      </c>
    </row>
    <row r="330">
      <c r="A330" t="inlineStr">
        <is>
          <t>5674170631</t>
        </is>
      </c>
      <c r="B330" t="inlineStr">
        <is>
          <t>DISMAR LOGISTICS GROUP</t>
        </is>
      </c>
      <c r="C330" t="inlineStr">
        <is>
          <t>DISMAR LOGISTICS GROUP</t>
        </is>
      </c>
      <c r="D330" t="inlineStr">
        <is>
          <t>Legal</t>
        </is>
      </c>
      <c r="E330" s="297" t="n">
        <v>45965</v>
      </c>
      <c r="F330" s="297" t="n">
        <v>46031</v>
      </c>
      <c r="G330" t="n">
        <v>3</v>
      </c>
      <c r="H330" t="inlineStr">
        <is>
          <t>4212</t>
        </is>
      </c>
      <c r="I330" t="inlineStr">
        <is>
          <t>42</t>
        </is>
      </c>
      <c r="J330" t="inlineStr">
        <is>
          <t>No state</t>
        </is>
      </c>
      <c r="K330" t="inlineStr">
        <is>
          <t>FundFlex</t>
        </is>
      </c>
      <c r="L330" t="inlineStr">
        <is>
          <t>New Deal</t>
        </is>
      </c>
      <c r="M330" s="298" t="n">
        <v>1.499</v>
      </c>
      <c r="N330" s="299" t="n">
        <v>5000</v>
      </c>
      <c r="O330" s="299" t="n">
        <v>700</v>
      </c>
      <c r="P330" s="299" t="n">
        <v>7495</v>
      </c>
      <c r="Q330" s="299" t="n">
        <v>319.17</v>
      </c>
      <c r="R330" s="299" t="n">
        <v>7175.83</v>
      </c>
      <c r="S330" s="300" t="n">
        <v>0.042584389593062</v>
      </c>
      <c r="T330" t="n">
        <v>2.295</v>
      </c>
      <c r="U330" t="n">
        <v>15</v>
      </c>
      <c r="V330" t="n">
        <v>110057.44</v>
      </c>
      <c r="W330" s="300" t="n">
        <v>0.0203</v>
      </c>
      <c r="X330" s="297" t="n">
        <v>45323</v>
      </c>
      <c r="Y330">
        <f>IF(I330="","No SIC",IFERROR(VLOOKUP(I330,Ref!$A$2:$B$65,2,FALSE),"Unclassified"))</f>
        <v/>
      </c>
      <c r="Z330">
        <f>IF(T330="","",IF(T330&lt;12,"Daily","Weekly"))</f>
        <v/>
      </c>
      <c r="AA330">
        <f>IF(T330="",0,IF(T330&lt;12,T330*Controls!$B$29,T330*5))</f>
        <v/>
      </c>
      <c r="AB330">
        <f>IF(E330="",0,NETWORKDAYS(E330,Controls!$B$36,Ref!$K$2:$K$42))</f>
        <v/>
      </c>
      <c r="AC330">
        <f>IF(AND(AA330&gt;0,AB330&gt;=Controls!$B$39*AA330),1,0)</f>
        <v/>
      </c>
      <c r="AD330">
        <f>IF(AND(E330&lt;&gt;"",E330&gt;=Controls!$B$37,E330&lt;=Controls!$B$38),1,0)</f>
        <v/>
      </c>
      <c r="AE330">
        <f>IF(IFERROR(VLOOKUP(D330,Controls!$A$64:$E$74,2,FALSE),"No")="Yes",1,0)</f>
        <v/>
      </c>
      <c r="AF330">
        <f>IF(IFERROR(VLOOKUP(D330,Controls!$A$64:$E$74,3,FALSE),"No")="Yes",1,0)</f>
        <v/>
      </c>
      <c r="AG330">
        <f>IF(IFERROR(VLOOKUP(D330,Controls!$A$64:$E$74,4,FALSE),"No")="Yes",1,0)</f>
        <v/>
      </c>
      <c r="AH330">
        <f>IF(IFERROR(VLOOKUP(D330,Controls!$A$64:$E$74,5,FALSE),"No")="Yes",1,0)</f>
        <v/>
      </c>
      <c r="AI330">
        <f>IF(ISNUMBER(MATCH(D330,Controls!$A$64:$A$74,0)),1,0)</f>
        <v/>
      </c>
      <c r="AJ330">
        <f>Q330-N330</f>
        <v/>
      </c>
      <c r="AK330">
        <f>IF(AE330=1,MAX(0,N330-Q330),0)</f>
        <v/>
      </c>
      <c r="AL330">
        <f>IF(OR(V330="",V330=0),0,N330/V330)</f>
        <v/>
      </c>
      <c r="AM330">
        <f>IF(OR(V330="",V330=0),0,1)</f>
        <v/>
      </c>
      <c r="AN330">
        <f>IF(OR(E330="",F330=""),0,NETWORKDAYS(E330,F330,Ref!$K$2:$K$42))</f>
        <v/>
      </c>
      <c r="AO330">
        <f>IF(L330="Renewal",1,0)</f>
        <v/>
      </c>
      <c r="AP330">
        <f>AC330*AD330</f>
        <v/>
      </c>
      <c r="AQ330">
        <f>IF(AND(G330&lt;&gt;"",'Historical Score'!$C$6&lt;&gt;""),IF(G330='Historical Score'!$C$6,1,0),0)</f>
        <v/>
      </c>
      <c r="AR330">
        <f>IF(AND(L330&lt;&gt;"",'Historical Score'!$C$5&lt;&gt;""),IF(L330='Historical Score'!$C$5,1,0),0)</f>
        <v/>
      </c>
      <c r="AS330">
        <f>IF(AND(Y330&lt;&gt;"",'Historical Score'!$C$7&lt;&gt;""),IF(Y330='Historical Score'!$C$7,1,0),0)</f>
        <v/>
      </c>
      <c r="AT330">
        <f>IF(AND(K330&lt;&gt;"",'Historical Score'!$C$8&lt;&gt;""),IF(K330='Historical Score'!$C$8,1,0),0)</f>
        <v/>
      </c>
      <c r="AU330">
        <f>IF(AND(J330&lt;&gt;"",'Historical Score'!$C$9&lt;&gt;""),IF(J330='Historical Score'!$C$9,1,0),0)</f>
        <v/>
      </c>
      <c r="AV330">
        <f>AR330*AS330*AQ330</f>
        <v/>
      </c>
      <c r="AW330">
        <f>AR330*AT330*AQ330</f>
        <v/>
      </c>
      <c r="AX330">
        <f>AR330*AS330</f>
        <v/>
      </c>
      <c r="AY330">
        <f>AR330*AT330</f>
        <v/>
      </c>
      <c r="AZ330">
        <f>AR330*AQ330</f>
        <v/>
      </c>
      <c r="BA330">
        <f>AR330</f>
        <v/>
      </c>
      <c r="BB330">
        <f>1</f>
        <v/>
      </c>
      <c r="BC330">
        <f>IF(AV330=1,1,IF(AW330=1,2,IF(AX330=1,3,IF(AY330=1,4,IF(AZ330=1,5,IF(BA330=1,6,7))))))</f>
        <v/>
      </c>
      <c r="BD330">
        <f>IF(AD330=1,CHOOSE('Historical Score'!$C$29,AV330,AW330,AX330,AY330,AZ330,BA330,BB330),0)</f>
        <v/>
      </c>
      <c r="BE330">
        <f>IF(BD330=1,COUNTIF($BD$2:BD330,1),"")</f>
        <v/>
      </c>
    </row>
    <row r="331">
      <c r="A331" t="inlineStr">
        <is>
          <t>5674170648</t>
        </is>
      </c>
      <c r="B331" t="inlineStr">
        <is>
          <t>MICHELLE BABIN TRANCHINA DBA ST. MICHELLE DAY SPA</t>
        </is>
      </c>
      <c r="C331" t="inlineStr">
        <is>
          <t>St. Michel Day Spa</t>
        </is>
      </c>
      <c r="D331" t="inlineStr">
        <is>
          <t>Closed</t>
        </is>
      </c>
      <c r="E331" s="297" t="n">
        <v>45965</v>
      </c>
      <c r="F331" s="297" t="n">
        <v>46051</v>
      </c>
      <c r="G331" t="n">
        <v>4</v>
      </c>
      <c r="H331" t="inlineStr">
        <is>
          <t>7231</t>
        </is>
      </c>
      <c r="I331" t="inlineStr">
        <is>
          <t>72</t>
        </is>
      </c>
      <c r="J331" t="inlineStr">
        <is>
          <t>No state</t>
        </is>
      </c>
      <c r="K331" t="inlineStr">
        <is>
          <t>Streamline Funding LLC</t>
        </is>
      </c>
      <c r="L331" t="inlineStr">
        <is>
          <t>New Deal</t>
        </is>
      </c>
      <c r="M331" s="298" t="n">
        <v>1.499</v>
      </c>
      <c r="N331" s="299" t="n">
        <v>5000</v>
      </c>
      <c r="O331" s="299" t="n">
        <v>700</v>
      </c>
      <c r="P331" s="299" t="n">
        <v>7495</v>
      </c>
      <c r="Q331" s="299" t="n">
        <v>7495</v>
      </c>
      <c r="R331" s="299" t="n">
        <v>9.09494701772928e-13</v>
      </c>
      <c r="S331" s="300" t="n">
        <v>1</v>
      </c>
      <c r="T331" t="n">
        <v>1.639</v>
      </c>
      <c r="U331" t="n">
        <v>7</v>
      </c>
      <c r="W331" s="300" t="n">
        <v>0.065</v>
      </c>
      <c r="X331" s="297" t="n">
        <v>36557</v>
      </c>
      <c r="Y331">
        <f>IF(I331="","No SIC",IFERROR(VLOOKUP(I331,Ref!$A$2:$B$65,2,FALSE),"Unclassified"))</f>
        <v/>
      </c>
      <c r="Z331">
        <f>IF(T331="","",IF(T331&lt;12,"Daily","Weekly"))</f>
        <v/>
      </c>
      <c r="AA331">
        <f>IF(T331="",0,IF(T331&lt;12,T331*Controls!$B$29,T331*5))</f>
        <v/>
      </c>
      <c r="AB331">
        <f>IF(E331="",0,NETWORKDAYS(E331,Controls!$B$36,Ref!$K$2:$K$42))</f>
        <v/>
      </c>
      <c r="AC331">
        <f>IF(AND(AA331&gt;0,AB331&gt;=Controls!$B$39*AA331),1,0)</f>
        <v/>
      </c>
      <c r="AD331">
        <f>IF(AND(E331&lt;&gt;"",E331&gt;=Controls!$B$37,E331&lt;=Controls!$B$38),1,0)</f>
        <v/>
      </c>
      <c r="AE331">
        <f>IF(IFERROR(VLOOKUP(D331,Controls!$A$64:$E$74,2,FALSE),"No")="Yes",1,0)</f>
        <v/>
      </c>
      <c r="AF331">
        <f>IF(IFERROR(VLOOKUP(D331,Controls!$A$64:$E$74,3,FALSE),"No")="Yes",1,0)</f>
        <v/>
      </c>
      <c r="AG331">
        <f>IF(IFERROR(VLOOKUP(D331,Controls!$A$64:$E$74,4,FALSE),"No")="Yes",1,0)</f>
        <v/>
      </c>
      <c r="AH331">
        <f>IF(IFERROR(VLOOKUP(D331,Controls!$A$64:$E$74,5,FALSE),"No")="Yes",1,0)</f>
        <v/>
      </c>
      <c r="AI331">
        <f>IF(ISNUMBER(MATCH(D331,Controls!$A$64:$A$74,0)),1,0)</f>
        <v/>
      </c>
      <c r="AJ331">
        <f>Q331-N331</f>
        <v/>
      </c>
      <c r="AK331">
        <f>IF(AE331=1,MAX(0,N331-Q331),0)</f>
        <v/>
      </c>
      <c r="AL331">
        <f>IF(OR(V331="",V331=0),0,N331/V331)</f>
        <v/>
      </c>
      <c r="AM331">
        <f>IF(OR(V331="",V331=0),0,1)</f>
        <v/>
      </c>
      <c r="AN331">
        <f>IF(OR(E331="",F331=""),0,NETWORKDAYS(E331,F331,Ref!$K$2:$K$42))</f>
        <v/>
      </c>
      <c r="AO331">
        <f>IF(L331="Renewal",1,0)</f>
        <v/>
      </c>
      <c r="AP331">
        <f>AC331*AD331</f>
        <v/>
      </c>
      <c r="AQ331">
        <f>IF(AND(G331&lt;&gt;"",'Historical Score'!$C$6&lt;&gt;""),IF(G331='Historical Score'!$C$6,1,0),0)</f>
        <v/>
      </c>
      <c r="AR331">
        <f>IF(AND(L331&lt;&gt;"",'Historical Score'!$C$5&lt;&gt;""),IF(L331='Historical Score'!$C$5,1,0),0)</f>
        <v/>
      </c>
      <c r="AS331">
        <f>IF(AND(Y331&lt;&gt;"",'Historical Score'!$C$7&lt;&gt;""),IF(Y331='Historical Score'!$C$7,1,0),0)</f>
        <v/>
      </c>
      <c r="AT331">
        <f>IF(AND(K331&lt;&gt;"",'Historical Score'!$C$8&lt;&gt;""),IF(K331='Historical Score'!$C$8,1,0),0)</f>
        <v/>
      </c>
      <c r="AU331">
        <f>IF(AND(J331&lt;&gt;"",'Historical Score'!$C$9&lt;&gt;""),IF(J331='Historical Score'!$C$9,1,0),0)</f>
        <v/>
      </c>
      <c r="AV331">
        <f>AR331*AS331*AQ331</f>
        <v/>
      </c>
      <c r="AW331">
        <f>AR331*AT331*AQ331</f>
        <v/>
      </c>
      <c r="AX331">
        <f>AR331*AS331</f>
        <v/>
      </c>
      <c r="AY331">
        <f>AR331*AT331</f>
        <v/>
      </c>
      <c r="AZ331">
        <f>AR331*AQ331</f>
        <v/>
      </c>
      <c r="BA331">
        <f>AR331</f>
        <v/>
      </c>
      <c r="BB331">
        <f>1</f>
        <v/>
      </c>
      <c r="BC331">
        <f>IF(AV331=1,1,IF(AW331=1,2,IF(AX331=1,3,IF(AY331=1,4,IF(AZ331=1,5,IF(BA331=1,6,7))))))</f>
        <v/>
      </c>
      <c r="BD331">
        <f>IF(AD331=1,CHOOSE('Historical Score'!$C$29,AV331,AW331,AX331,AY331,AZ331,BA331,BB331),0)</f>
        <v/>
      </c>
      <c r="BE331">
        <f>IF(BD331=1,COUNTIF($BD$2:BD331,1),"")</f>
        <v/>
      </c>
    </row>
    <row r="332">
      <c r="A332" t="inlineStr">
        <is>
          <t>5674170697</t>
        </is>
      </c>
      <c r="B332" t="inlineStr">
        <is>
          <t>The Blueprint</t>
        </is>
      </c>
      <c r="C332" t="inlineStr">
        <is>
          <t>ARCS Enterprises LLC</t>
        </is>
      </c>
      <c r="D332" t="inlineStr">
        <is>
          <t>Written-Off</t>
        </is>
      </c>
      <c r="E332" s="297" t="n">
        <v>45966</v>
      </c>
      <c r="F332" s="297" t="n">
        <v>46071</v>
      </c>
      <c r="G332" t="n">
        <v>1</v>
      </c>
      <c r="H332" t="inlineStr">
        <is>
          <t>5961</t>
        </is>
      </c>
      <c r="I332" t="inlineStr">
        <is>
          <t>59</t>
        </is>
      </c>
      <c r="J332" t="inlineStr">
        <is>
          <t>CA</t>
        </is>
      </c>
      <c r="K332" t="inlineStr">
        <is>
          <t>Fundwell</t>
        </is>
      </c>
      <c r="L332" t="inlineStr">
        <is>
          <t>New Deal</t>
        </is>
      </c>
      <c r="M332" s="298" t="n">
        <v>1.38</v>
      </c>
      <c r="N332" s="299" t="n">
        <v>5000</v>
      </c>
      <c r="O332" s="299" t="n">
        <v>600</v>
      </c>
      <c r="P332" s="299" t="n">
        <v>6900</v>
      </c>
      <c r="Q332" s="299" t="n">
        <v>6585.61</v>
      </c>
      <c r="R332" s="299" t="n">
        <v>314.389999999999</v>
      </c>
      <c r="S332" s="300" t="n">
        <v>0.954436231884058</v>
      </c>
      <c r="T332" t="n">
        <v>24</v>
      </c>
      <c r="U332" t="n">
        <v>1</v>
      </c>
      <c r="V332" t="n">
        <v>17464.36</v>
      </c>
      <c r="W332" s="300" t="n">
        <v>0.0658</v>
      </c>
      <c r="X332" s="297" t="n">
        <v>44777</v>
      </c>
      <c r="Y332">
        <f>IF(I332="","No SIC",IFERROR(VLOOKUP(I332,Ref!$A$2:$B$65,2,FALSE),"Unclassified"))</f>
        <v/>
      </c>
      <c r="Z332">
        <f>IF(T332="","",IF(T332&lt;12,"Daily","Weekly"))</f>
        <v/>
      </c>
      <c r="AA332">
        <f>IF(T332="",0,IF(T332&lt;12,T332*Controls!$B$29,T332*5))</f>
        <v/>
      </c>
      <c r="AB332">
        <f>IF(E332="",0,NETWORKDAYS(E332,Controls!$B$36,Ref!$K$2:$K$42))</f>
        <v/>
      </c>
      <c r="AC332">
        <f>IF(AND(AA332&gt;0,AB332&gt;=Controls!$B$39*AA332),1,0)</f>
        <v/>
      </c>
      <c r="AD332">
        <f>IF(AND(E332&lt;&gt;"",E332&gt;=Controls!$B$37,E332&lt;=Controls!$B$38),1,0)</f>
        <v/>
      </c>
      <c r="AE332">
        <f>IF(IFERROR(VLOOKUP(D332,Controls!$A$64:$E$74,2,FALSE),"No")="Yes",1,0)</f>
        <v/>
      </c>
      <c r="AF332">
        <f>IF(IFERROR(VLOOKUP(D332,Controls!$A$64:$E$74,3,FALSE),"No")="Yes",1,0)</f>
        <v/>
      </c>
      <c r="AG332">
        <f>IF(IFERROR(VLOOKUP(D332,Controls!$A$64:$E$74,4,FALSE),"No")="Yes",1,0)</f>
        <v/>
      </c>
      <c r="AH332">
        <f>IF(IFERROR(VLOOKUP(D332,Controls!$A$64:$E$74,5,FALSE),"No")="Yes",1,0)</f>
        <v/>
      </c>
      <c r="AI332">
        <f>IF(ISNUMBER(MATCH(D332,Controls!$A$64:$A$74,0)),1,0)</f>
        <v/>
      </c>
      <c r="AJ332">
        <f>Q332-N332</f>
        <v/>
      </c>
      <c r="AK332">
        <f>IF(AE332=1,MAX(0,N332-Q332),0)</f>
        <v/>
      </c>
      <c r="AL332">
        <f>IF(OR(V332="",V332=0),0,N332/V332)</f>
        <v/>
      </c>
      <c r="AM332">
        <f>IF(OR(V332="",V332=0),0,1)</f>
        <v/>
      </c>
      <c r="AN332">
        <f>IF(OR(E332="",F332=""),0,NETWORKDAYS(E332,F332,Ref!$K$2:$K$42))</f>
        <v/>
      </c>
      <c r="AO332">
        <f>IF(L332="Renewal",1,0)</f>
        <v/>
      </c>
      <c r="AP332">
        <f>AC332*AD332</f>
        <v/>
      </c>
      <c r="AQ332">
        <f>IF(AND(G332&lt;&gt;"",'Historical Score'!$C$6&lt;&gt;""),IF(G332='Historical Score'!$C$6,1,0),0)</f>
        <v/>
      </c>
      <c r="AR332">
        <f>IF(AND(L332&lt;&gt;"",'Historical Score'!$C$5&lt;&gt;""),IF(L332='Historical Score'!$C$5,1,0),0)</f>
        <v/>
      </c>
      <c r="AS332">
        <f>IF(AND(Y332&lt;&gt;"",'Historical Score'!$C$7&lt;&gt;""),IF(Y332='Historical Score'!$C$7,1,0),0)</f>
        <v/>
      </c>
      <c r="AT332">
        <f>IF(AND(K332&lt;&gt;"",'Historical Score'!$C$8&lt;&gt;""),IF(K332='Historical Score'!$C$8,1,0),0)</f>
        <v/>
      </c>
      <c r="AU332">
        <f>IF(AND(J332&lt;&gt;"",'Historical Score'!$C$9&lt;&gt;""),IF(J332='Historical Score'!$C$9,1,0),0)</f>
        <v/>
      </c>
      <c r="AV332">
        <f>AR332*AS332*AQ332</f>
        <v/>
      </c>
      <c r="AW332">
        <f>AR332*AT332*AQ332</f>
        <v/>
      </c>
      <c r="AX332">
        <f>AR332*AS332</f>
        <v/>
      </c>
      <c r="AY332">
        <f>AR332*AT332</f>
        <v/>
      </c>
      <c r="AZ332">
        <f>AR332*AQ332</f>
        <v/>
      </c>
      <c r="BA332">
        <f>AR332</f>
        <v/>
      </c>
      <c r="BB332">
        <f>1</f>
        <v/>
      </c>
      <c r="BC332">
        <f>IF(AV332=1,1,IF(AW332=1,2,IF(AX332=1,3,IF(AY332=1,4,IF(AZ332=1,5,IF(BA332=1,6,7))))))</f>
        <v/>
      </c>
      <c r="BD332">
        <f>IF(AD332=1,CHOOSE('Historical Score'!$C$29,AV332,AW332,AX332,AY332,AZ332,BA332,BB332),0)</f>
        <v/>
      </c>
      <c r="BE332">
        <f>IF(BD332=1,COUNTIF($BD$2:BD332,1),"")</f>
        <v/>
      </c>
    </row>
    <row r="333">
      <c r="A333" t="inlineStr">
        <is>
          <t>5674170744</t>
        </is>
      </c>
      <c r="B333" t="inlineStr">
        <is>
          <t>MMA Trading Consultancy LLC</t>
        </is>
      </c>
      <c r="C333" t="inlineStr">
        <is>
          <t>MMA Trading Consultancy LLC</t>
        </is>
      </c>
      <c r="D333" t="inlineStr">
        <is>
          <t>Closed</t>
        </is>
      </c>
      <c r="E333" s="297" t="n">
        <v>45966</v>
      </c>
      <c r="F333" s="297" t="n">
        <v>46225</v>
      </c>
      <c r="G333" t="n">
        <v>3</v>
      </c>
      <c r="H333" t="inlineStr">
        <is>
          <t>8748</t>
        </is>
      </c>
      <c r="I333" t="inlineStr">
        <is>
          <t>87</t>
        </is>
      </c>
      <c r="J333" t="inlineStr">
        <is>
          <t>IL</t>
        </is>
      </c>
      <c r="K333" t="inlineStr">
        <is>
          <t>Fundwell</t>
        </is>
      </c>
      <c r="L333" t="inlineStr">
        <is>
          <t>New Deal</t>
        </is>
      </c>
      <c r="M333" s="298" t="n">
        <v>1.36</v>
      </c>
      <c r="N333" s="299" t="n">
        <v>65000</v>
      </c>
      <c r="O333" s="299" t="n">
        <v>5850</v>
      </c>
      <c r="P333" s="299" t="n">
        <v>88400</v>
      </c>
      <c r="Q333" s="299" t="n">
        <v>88400</v>
      </c>
      <c r="R333" s="299" t="n">
        <v>0</v>
      </c>
      <c r="S333" s="300" t="n">
        <v>1</v>
      </c>
      <c r="T333" t="n">
        <v>36</v>
      </c>
      <c r="U333" t="n">
        <v>0</v>
      </c>
      <c r="V333" t="n">
        <v>145421.7</v>
      </c>
      <c r="W333" s="300" t="n">
        <v>0.0675</v>
      </c>
      <c r="X333" s="297" t="n">
        <v>42526</v>
      </c>
      <c r="Y333">
        <f>IF(I333="","No SIC",IFERROR(VLOOKUP(I333,Ref!$A$2:$B$65,2,FALSE),"Unclassified"))</f>
        <v/>
      </c>
      <c r="Z333">
        <f>IF(T333="","",IF(T333&lt;12,"Daily","Weekly"))</f>
        <v/>
      </c>
      <c r="AA333">
        <f>IF(T333="",0,IF(T333&lt;12,T333*Controls!$B$29,T333*5))</f>
        <v/>
      </c>
      <c r="AB333">
        <f>IF(E333="",0,NETWORKDAYS(E333,Controls!$B$36,Ref!$K$2:$K$42))</f>
        <v/>
      </c>
      <c r="AC333">
        <f>IF(AND(AA333&gt;0,AB333&gt;=Controls!$B$39*AA333),1,0)</f>
        <v/>
      </c>
      <c r="AD333">
        <f>IF(AND(E333&lt;&gt;"",E333&gt;=Controls!$B$37,E333&lt;=Controls!$B$38),1,0)</f>
        <v/>
      </c>
      <c r="AE333">
        <f>IF(IFERROR(VLOOKUP(D333,Controls!$A$64:$E$74,2,FALSE),"No")="Yes",1,0)</f>
        <v/>
      </c>
      <c r="AF333">
        <f>IF(IFERROR(VLOOKUP(D333,Controls!$A$64:$E$74,3,FALSE),"No")="Yes",1,0)</f>
        <v/>
      </c>
      <c r="AG333">
        <f>IF(IFERROR(VLOOKUP(D333,Controls!$A$64:$E$74,4,FALSE),"No")="Yes",1,0)</f>
        <v/>
      </c>
      <c r="AH333">
        <f>IF(IFERROR(VLOOKUP(D333,Controls!$A$64:$E$74,5,FALSE),"No")="Yes",1,0)</f>
        <v/>
      </c>
      <c r="AI333">
        <f>IF(ISNUMBER(MATCH(D333,Controls!$A$64:$A$74,0)),1,0)</f>
        <v/>
      </c>
      <c r="AJ333">
        <f>Q333-N333</f>
        <v/>
      </c>
      <c r="AK333">
        <f>IF(AE333=1,MAX(0,N333-Q333),0)</f>
        <v/>
      </c>
      <c r="AL333">
        <f>IF(OR(V333="",V333=0),0,N333/V333)</f>
        <v/>
      </c>
      <c r="AM333">
        <f>IF(OR(V333="",V333=0),0,1)</f>
        <v/>
      </c>
      <c r="AN333">
        <f>IF(OR(E333="",F333=""),0,NETWORKDAYS(E333,F333,Ref!$K$2:$K$42))</f>
        <v/>
      </c>
      <c r="AO333">
        <f>IF(L333="Renewal",1,0)</f>
        <v/>
      </c>
      <c r="AP333">
        <f>AC333*AD333</f>
        <v/>
      </c>
      <c r="AQ333">
        <f>IF(AND(G333&lt;&gt;"",'Historical Score'!$C$6&lt;&gt;""),IF(G333='Historical Score'!$C$6,1,0),0)</f>
        <v/>
      </c>
      <c r="AR333">
        <f>IF(AND(L333&lt;&gt;"",'Historical Score'!$C$5&lt;&gt;""),IF(L333='Historical Score'!$C$5,1,0),0)</f>
        <v/>
      </c>
      <c r="AS333">
        <f>IF(AND(Y333&lt;&gt;"",'Historical Score'!$C$7&lt;&gt;""),IF(Y333='Historical Score'!$C$7,1,0),0)</f>
        <v/>
      </c>
      <c r="AT333">
        <f>IF(AND(K333&lt;&gt;"",'Historical Score'!$C$8&lt;&gt;""),IF(K333='Historical Score'!$C$8,1,0),0)</f>
        <v/>
      </c>
      <c r="AU333">
        <f>IF(AND(J333&lt;&gt;"",'Historical Score'!$C$9&lt;&gt;""),IF(J333='Historical Score'!$C$9,1,0),0)</f>
        <v/>
      </c>
      <c r="AV333">
        <f>AR333*AS333*AQ333</f>
        <v/>
      </c>
      <c r="AW333">
        <f>AR333*AT333*AQ333</f>
        <v/>
      </c>
      <c r="AX333">
        <f>AR333*AS333</f>
        <v/>
      </c>
      <c r="AY333">
        <f>AR333*AT333</f>
        <v/>
      </c>
      <c r="AZ333">
        <f>AR333*AQ333</f>
        <v/>
      </c>
      <c r="BA333">
        <f>AR333</f>
        <v/>
      </c>
      <c r="BB333">
        <f>1</f>
        <v/>
      </c>
      <c r="BC333">
        <f>IF(AV333=1,1,IF(AW333=1,2,IF(AX333=1,3,IF(AY333=1,4,IF(AZ333=1,5,IF(BA333=1,6,7))))))</f>
        <v/>
      </c>
      <c r="BD333">
        <f>IF(AD333=1,CHOOSE('Historical Score'!$C$29,AV333,AW333,AX333,AY333,AZ333,BA333,BB333),0)</f>
        <v/>
      </c>
      <c r="BE333">
        <f>IF(BD333=1,COUNTIF($BD$2:BD333,1),"")</f>
        <v/>
      </c>
    </row>
    <row r="334">
      <c r="A334" t="inlineStr">
        <is>
          <t>5674170753</t>
        </is>
      </c>
      <c r="B334" t="inlineStr">
        <is>
          <t>STARLIGHT</t>
        </is>
      </c>
      <c r="C334" t="inlineStr">
        <is>
          <t>MIGUEL A BERDIEL TORRES</t>
        </is>
      </c>
      <c r="D334" t="inlineStr">
        <is>
          <t>Closed</t>
        </is>
      </c>
      <c r="E334" s="297" t="n">
        <v>45966</v>
      </c>
      <c r="F334" s="297" t="n">
        <v>46139</v>
      </c>
      <c r="G334" t="n">
        <v>1</v>
      </c>
      <c r="H334" t="inlineStr">
        <is>
          <t>5812</t>
        </is>
      </c>
      <c r="I334" t="inlineStr">
        <is>
          <t>58</t>
        </is>
      </c>
      <c r="J334" t="inlineStr">
        <is>
          <t>PR</t>
        </is>
      </c>
      <c r="K334" t="inlineStr">
        <is>
          <t>United Secured Capital 8</t>
        </is>
      </c>
      <c r="L334" t="inlineStr">
        <is>
          <t>New Deal</t>
        </is>
      </c>
      <c r="M334" s="298" t="n">
        <v>1.499</v>
      </c>
      <c r="N334" s="299" t="n">
        <v>10000</v>
      </c>
      <c r="O334" s="299" t="n">
        <v>1400</v>
      </c>
      <c r="P334" s="299" t="n">
        <v>14990</v>
      </c>
      <c r="Q334" s="299" t="n">
        <v>14990</v>
      </c>
      <c r="R334" s="299" t="n">
        <v>1.81898940354586e-12</v>
      </c>
      <c r="S334" s="300" t="n">
        <v>1</v>
      </c>
      <c r="T334" t="n">
        <v>2.623</v>
      </c>
      <c r="U334" t="n">
        <v>36</v>
      </c>
      <c r="V334" t="n">
        <v>40000</v>
      </c>
      <c r="W334" s="300" t="n">
        <v>0.08690000000000001</v>
      </c>
      <c r="X334" s="297" t="n"/>
      <c r="Y334">
        <f>IF(I334="","No SIC",IFERROR(VLOOKUP(I334,Ref!$A$2:$B$65,2,FALSE),"Unclassified"))</f>
        <v/>
      </c>
      <c r="Z334">
        <f>IF(T334="","",IF(T334&lt;12,"Daily","Weekly"))</f>
        <v/>
      </c>
      <c r="AA334">
        <f>IF(T334="",0,IF(T334&lt;12,T334*Controls!$B$29,T334*5))</f>
        <v/>
      </c>
      <c r="AB334">
        <f>IF(E334="",0,NETWORKDAYS(E334,Controls!$B$36,Ref!$K$2:$K$42))</f>
        <v/>
      </c>
      <c r="AC334">
        <f>IF(AND(AA334&gt;0,AB334&gt;=Controls!$B$39*AA334),1,0)</f>
        <v/>
      </c>
      <c r="AD334">
        <f>IF(AND(E334&lt;&gt;"",E334&gt;=Controls!$B$37,E334&lt;=Controls!$B$38),1,0)</f>
        <v/>
      </c>
      <c r="AE334">
        <f>IF(IFERROR(VLOOKUP(D334,Controls!$A$64:$E$74,2,FALSE),"No")="Yes",1,0)</f>
        <v/>
      </c>
      <c r="AF334">
        <f>IF(IFERROR(VLOOKUP(D334,Controls!$A$64:$E$74,3,FALSE),"No")="Yes",1,0)</f>
        <v/>
      </c>
      <c r="AG334">
        <f>IF(IFERROR(VLOOKUP(D334,Controls!$A$64:$E$74,4,FALSE),"No")="Yes",1,0)</f>
        <v/>
      </c>
      <c r="AH334">
        <f>IF(IFERROR(VLOOKUP(D334,Controls!$A$64:$E$74,5,FALSE),"No")="Yes",1,0)</f>
        <v/>
      </c>
      <c r="AI334">
        <f>IF(ISNUMBER(MATCH(D334,Controls!$A$64:$A$74,0)),1,0)</f>
        <v/>
      </c>
      <c r="AJ334">
        <f>Q334-N334</f>
        <v/>
      </c>
      <c r="AK334">
        <f>IF(AE334=1,MAX(0,N334-Q334),0)</f>
        <v/>
      </c>
      <c r="AL334">
        <f>IF(OR(V334="",V334=0),0,N334/V334)</f>
        <v/>
      </c>
      <c r="AM334">
        <f>IF(OR(V334="",V334=0),0,1)</f>
        <v/>
      </c>
      <c r="AN334">
        <f>IF(OR(E334="",F334=""),0,NETWORKDAYS(E334,F334,Ref!$K$2:$K$42))</f>
        <v/>
      </c>
      <c r="AO334">
        <f>IF(L334="Renewal",1,0)</f>
        <v/>
      </c>
      <c r="AP334">
        <f>AC334*AD334</f>
        <v/>
      </c>
      <c r="AQ334">
        <f>IF(AND(G334&lt;&gt;"",'Historical Score'!$C$6&lt;&gt;""),IF(G334='Historical Score'!$C$6,1,0),0)</f>
        <v/>
      </c>
      <c r="AR334">
        <f>IF(AND(L334&lt;&gt;"",'Historical Score'!$C$5&lt;&gt;""),IF(L334='Historical Score'!$C$5,1,0),0)</f>
        <v/>
      </c>
      <c r="AS334">
        <f>IF(AND(Y334&lt;&gt;"",'Historical Score'!$C$7&lt;&gt;""),IF(Y334='Historical Score'!$C$7,1,0),0)</f>
        <v/>
      </c>
      <c r="AT334">
        <f>IF(AND(K334&lt;&gt;"",'Historical Score'!$C$8&lt;&gt;""),IF(K334='Historical Score'!$C$8,1,0),0)</f>
        <v/>
      </c>
      <c r="AU334">
        <f>IF(AND(J334&lt;&gt;"",'Historical Score'!$C$9&lt;&gt;""),IF(J334='Historical Score'!$C$9,1,0),0)</f>
        <v/>
      </c>
      <c r="AV334">
        <f>AR334*AS334*AQ334</f>
        <v/>
      </c>
      <c r="AW334">
        <f>AR334*AT334*AQ334</f>
        <v/>
      </c>
      <c r="AX334">
        <f>AR334*AS334</f>
        <v/>
      </c>
      <c r="AY334">
        <f>AR334*AT334</f>
        <v/>
      </c>
      <c r="AZ334">
        <f>AR334*AQ334</f>
        <v/>
      </c>
      <c r="BA334">
        <f>AR334</f>
        <v/>
      </c>
      <c r="BB334">
        <f>1</f>
        <v/>
      </c>
      <c r="BC334">
        <f>IF(AV334=1,1,IF(AW334=1,2,IF(AX334=1,3,IF(AY334=1,4,IF(AZ334=1,5,IF(BA334=1,6,7))))))</f>
        <v/>
      </c>
      <c r="BD334">
        <f>IF(AD334=1,CHOOSE('Historical Score'!$C$29,AV334,AW334,AX334,AY334,AZ334,BA334,BB334),0)</f>
        <v/>
      </c>
      <c r="BE334">
        <f>IF(BD334=1,COUNTIF($BD$2:BD334,1),"")</f>
        <v/>
      </c>
    </row>
    <row r="335">
      <c r="A335" t="inlineStr">
        <is>
          <t>5674170785</t>
        </is>
      </c>
      <c r="B335" t="inlineStr">
        <is>
          <t>ALG LUXURY CHARTER SERVICES INC</t>
        </is>
      </c>
      <c r="C335" t="inlineStr">
        <is>
          <t>ALG LUXURY CHARTER SERVICES INC</t>
        </is>
      </c>
      <c r="D335" t="inlineStr">
        <is>
          <t>Lowered Payments</t>
        </is>
      </c>
      <c r="E335" s="297" t="n">
        <v>45966</v>
      </c>
      <c r="F335" s="297" t="n">
        <v>46248</v>
      </c>
      <c r="G335" t="n">
        <v>2</v>
      </c>
      <c r="H335" t="inlineStr">
        <is>
          <t>4119</t>
        </is>
      </c>
      <c r="I335" t="inlineStr">
        <is>
          <t>41</t>
        </is>
      </c>
      <c r="J335" t="inlineStr">
        <is>
          <t>LA</t>
        </is>
      </c>
      <c r="K335" t="inlineStr">
        <is>
          <t>United Secured Capital 8</t>
        </is>
      </c>
      <c r="L335" t="inlineStr">
        <is>
          <t>New Deal</t>
        </is>
      </c>
      <c r="M335" s="298" t="n">
        <v>1.49</v>
      </c>
      <c r="N335" s="299" t="n">
        <v>12500</v>
      </c>
      <c r="O335" s="299" t="n">
        <v>1750</v>
      </c>
      <c r="P335" s="299" t="n">
        <v>18625</v>
      </c>
      <c r="Q335" s="299" t="n">
        <v>17104.94</v>
      </c>
      <c r="R335" s="299" t="n">
        <v>1520.06</v>
      </c>
      <c r="S335" s="300" t="n">
        <v>0.918386040268456</v>
      </c>
      <c r="T335" t="n">
        <v>18</v>
      </c>
      <c r="U335" t="n">
        <v>9</v>
      </c>
      <c r="V335" t="n">
        <v>25151.5</v>
      </c>
      <c r="W335" s="300" t="n">
        <v>0.1646</v>
      </c>
      <c r="X335" s="297" t="n"/>
      <c r="Y335">
        <f>IF(I335="","No SIC",IFERROR(VLOOKUP(I335,Ref!$A$2:$B$65,2,FALSE),"Unclassified"))</f>
        <v/>
      </c>
      <c r="Z335">
        <f>IF(T335="","",IF(T335&lt;12,"Daily","Weekly"))</f>
        <v/>
      </c>
      <c r="AA335">
        <f>IF(T335="",0,IF(T335&lt;12,T335*Controls!$B$29,T335*5))</f>
        <v/>
      </c>
      <c r="AB335">
        <f>IF(E335="",0,NETWORKDAYS(E335,Controls!$B$36,Ref!$K$2:$K$42))</f>
        <v/>
      </c>
      <c r="AC335">
        <f>IF(AND(AA335&gt;0,AB335&gt;=Controls!$B$39*AA335),1,0)</f>
        <v/>
      </c>
      <c r="AD335">
        <f>IF(AND(E335&lt;&gt;"",E335&gt;=Controls!$B$37,E335&lt;=Controls!$B$38),1,0)</f>
        <v/>
      </c>
      <c r="AE335">
        <f>IF(IFERROR(VLOOKUP(D335,Controls!$A$64:$E$74,2,FALSE),"No")="Yes",1,0)</f>
        <v/>
      </c>
      <c r="AF335">
        <f>IF(IFERROR(VLOOKUP(D335,Controls!$A$64:$E$74,3,FALSE),"No")="Yes",1,0)</f>
        <v/>
      </c>
      <c r="AG335">
        <f>IF(IFERROR(VLOOKUP(D335,Controls!$A$64:$E$74,4,FALSE),"No")="Yes",1,0)</f>
        <v/>
      </c>
      <c r="AH335">
        <f>IF(IFERROR(VLOOKUP(D335,Controls!$A$64:$E$74,5,FALSE),"No")="Yes",1,0)</f>
        <v/>
      </c>
      <c r="AI335">
        <f>IF(ISNUMBER(MATCH(D335,Controls!$A$64:$A$74,0)),1,0)</f>
        <v/>
      </c>
      <c r="AJ335">
        <f>Q335-N335</f>
        <v/>
      </c>
      <c r="AK335">
        <f>IF(AE335=1,MAX(0,N335-Q335),0)</f>
        <v/>
      </c>
      <c r="AL335">
        <f>IF(OR(V335="",V335=0),0,N335/V335)</f>
        <v/>
      </c>
      <c r="AM335">
        <f>IF(OR(V335="",V335=0),0,1)</f>
        <v/>
      </c>
      <c r="AN335">
        <f>IF(OR(E335="",F335=""),0,NETWORKDAYS(E335,F335,Ref!$K$2:$K$42))</f>
        <v/>
      </c>
      <c r="AO335">
        <f>IF(L335="Renewal",1,0)</f>
        <v/>
      </c>
      <c r="AP335">
        <f>AC335*AD335</f>
        <v/>
      </c>
      <c r="AQ335">
        <f>IF(AND(G335&lt;&gt;"",'Historical Score'!$C$6&lt;&gt;""),IF(G335='Historical Score'!$C$6,1,0),0)</f>
        <v/>
      </c>
      <c r="AR335">
        <f>IF(AND(L335&lt;&gt;"",'Historical Score'!$C$5&lt;&gt;""),IF(L335='Historical Score'!$C$5,1,0),0)</f>
        <v/>
      </c>
      <c r="AS335">
        <f>IF(AND(Y335&lt;&gt;"",'Historical Score'!$C$7&lt;&gt;""),IF(Y335='Historical Score'!$C$7,1,0),0)</f>
        <v/>
      </c>
      <c r="AT335">
        <f>IF(AND(K335&lt;&gt;"",'Historical Score'!$C$8&lt;&gt;""),IF(K335='Historical Score'!$C$8,1,0),0)</f>
        <v/>
      </c>
      <c r="AU335">
        <f>IF(AND(J335&lt;&gt;"",'Historical Score'!$C$9&lt;&gt;""),IF(J335='Historical Score'!$C$9,1,0),0)</f>
        <v/>
      </c>
      <c r="AV335">
        <f>AR335*AS335*AQ335</f>
        <v/>
      </c>
      <c r="AW335">
        <f>AR335*AT335*AQ335</f>
        <v/>
      </c>
      <c r="AX335">
        <f>AR335*AS335</f>
        <v/>
      </c>
      <c r="AY335">
        <f>AR335*AT335</f>
        <v/>
      </c>
      <c r="AZ335">
        <f>AR335*AQ335</f>
        <v/>
      </c>
      <c r="BA335">
        <f>AR335</f>
        <v/>
      </c>
      <c r="BB335">
        <f>1</f>
        <v/>
      </c>
      <c r="BC335">
        <f>IF(AV335=1,1,IF(AW335=1,2,IF(AX335=1,3,IF(AY335=1,4,IF(AZ335=1,5,IF(BA335=1,6,7))))))</f>
        <v/>
      </c>
      <c r="BD335">
        <f>IF(AD335=1,CHOOSE('Historical Score'!$C$29,AV335,AW335,AX335,AY335,AZ335,BA335,BB335),0)</f>
        <v/>
      </c>
      <c r="BE335">
        <f>IF(BD335=1,COUNTIF($BD$2:BD335,1),"")</f>
        <v/>
      </c>
    </row>
    <row r="336">
      <c r="A336" t="inlineStr">
        <is>
          <t>5674170833</t>
        </is>
      </c>
      <c r="B336" t="inlineStr">
        <is>
          <t>TWILIGHT ANESTHETICS, PLLC</t>
        </is>
      </c>
      <c r="C336" t="inlineStr">
        <is>
          <t>TWILIGHT ANESTHETICS, PLLC</t>
        </is>
      </c>
      <c r="D336" t="inlineStr">
        <is>
          <t>Closed</t>
        </is>
      </c>
      <c r="E336" s="297" t="n">
        <v>45967</v>
      </c>
      <c r="F336" s="297" t="n">
        <v>46013</v>
      </c>
      <c r="G336" t="n">
        <v>3</v>
      </c>
      <c r="H336" t="inlineStr">
        <is>
          <t>8059</t>
        </is>
      </c>
      <c r="I336" t="inlineStr">
        <is>
          <t>80</t>
        </is>
      </c>
      <c r="J336" t="inlineStr">
        <is>
          <t>TX</t>
        </is>
      </c>
      <c r="K336" t="inlineStr">
        <is>
          <t>Fundwell</t>
        </is>
      </c>
      <c r="L336" t="inlineStr">
        <is>
          <t>New Deal</t>
        </is>
      </c>
      <c r="M336" s="298" t="n">
        <v>1.38</v>
      </c>
      <c r="N336" s="299" t="n">
        <v>20000</v>
      </c>
      <c r="O336" s="299" t="n">
        <v>2400</v>
      </c>
      <c r="P336" s="299" t="n">
        <v>27600</v>
      </c>
      <c r="Q336" s="299" t="n">
        <v>27600</v>
      </c>
      <c r="R336" s="299" t="n">
        <v>-3.63797880709171e-12</v>
      </c>
      <c r="S336" s="300" t="n">
        <v>1</v>
      </c>
      <c r="T336" t="n">
        <v>28</v>
      </c>
      <c r="U336" t="n">
        <v>1</v>
      </c>
      <c r="V336" t="n">
        <v>38940.09</v>
      </c>
      <c r="W336" s="300" t="n">
        <v>0.1013</v>
      </c>
      <c r="X336" s="297" t="n">
        <v>44574</v>
      </c>
      <c r="Y336">
        <f>IF(I336="","No SIC",IFERROR(VLOOKUP(I336,Ref!$A$2:$B$65,2,FALSE),"Unclassified"))</f>
        <v/>
      </c>
      <c r="Z336">
        <f>IF(T336="","",IF(T336&lt;12,"Daily","Weekly"))</f>
        <v/>
      </c>
      <c r="AA336">
        <f>IF(T336="",0,IF(T336&lt;12,T336*Controls!$B$29,T336*5))</f>
        <v/>
      </c>
      <c r="AB336">
        <f>IF(E336="",0,NETWORKDAYS(E336,Controls!$B$36,Ref!$K$2:$K$42))</f>
        <v/>
      </c>
      <c r="AC336">
        <f>IF(AND(AA336&gt;0,AB336&gt;=Controls!$B$39*AA336),1,0)</f>
        <v/>
      </c>
      <c r="AD336">
        <f>IF(AND(E336&lt;&gt;"",E336&gt;=Controls!$B$37,E336&lt;=Controls!$B$38),1,0)</f>
        <v/>
      </c>
      <c r="AE336">
        <f>IF(IFERROR(VLOOKUP(D336,Controls!$A$64:$E$74,2,FALSE),"No")="Yes",1,0)</f>
        <v/>
      </c>
      <c r="AF336">
        <f>IF(IFERROR(VLOOKUP(D336,Controls!$A$64:$E$74,3,FALSE),"No")="Yes",1,0)</f>
        <v/>
      </c>
      <c r="AG336">
        <f>IF(IFERROR(VLOOKUP(D336,Controls!$A$64:$E$74,4,FALSE),"No")="Yes",1,0)</f>
        <v/>
      </c>
      <c r="AH336">
        <f>IF(IFERROR(VLOOKUP(D336,Controls!$A$64:$E$74,5,FALSE),"No")="Yes",1,0)</f>
        <v/>
      </c>
      <c r="AI336">
        <f>IF(ISNUMBER(MATCH(D336,Controls!$A$64:$A$74,0)),1,0)</f>
        <v/>
      </c>
      <c r="AJ336">
        <f>Q336-N336</f>
        <v/>
      </c>
      <c r="AK336">
        <f>IF(AE336=1,MAX(0,N336-Q336),0)</f>
        <v/>
      </c>
      <c r="AL336">
        <f>IF(OR(V336="",V336=0),0,N336/V336)</f>
        <v/>
      </c>
      <c r="AM336">
        <f>IF(OR(V336="",V336=0),0,1)</f>
        <v/>
      </c>
      <c r="AN336">
        <f>IF(OR(E336="",F336=""),0,NETWORKDAYS(E336,F336,Ref!$K$2:$K$42))</f>
        <v/>
      </c>
      <c r="AO336">
        <f>IF(L336="Renewal",1,0)</f>
        <v/>
      </c>
      <c r="AP336">
        <f>AC336*AD336</f>
        <v/>
      </c>
      <c r="AQ336">
        <f>IF(AND(G336&lt;&gt;"",'Historical Score'!$C$6&lt;&gt;""),IF(G336='Historical Score'!$C$6,1,0),0)</f>
        <v/>
      </c>
      <c r="AR336">
        <f>IF(AND(L336&lt;&gt;"",'Historical Score'!$C$5&lt;&gt;""),IF(L336='Historical Score'!$C$5,1,0),0)</f>
        <v/>
      </c>
      <c r="AS336">
        <f>IF(AND(Y336&lt;&gt;"",'Historical Score'!$C$7&lt;&gt;""),IF(Y336='Historical Score'!$C$7,1,0),0)</f>
        <v/>
      </c>
      <c r="AT336">
        <f>IF(AND(K336&lt;&gt;"",'Historical Score'!$C$8&lt;&gt;""),IF(K336='Historical Score'!$C$8,1,0),0)</f>
        <v/>
      </c>
      <c r="AU336">
        <f>IF(AND(J336&lt;&gt;"",'Historical Score'!$C$9&lt;&gt;""),IF(J336='Historical Score'!$C$9,1,0),0)</f>
        <v/>
      </c>
      <c r="AV336">
        <f>AR336*AS336*AQ336</f>
        <v/>
      </c>
      <c r="AW336">
        <f>AR336*AT336*AQ336</f>
        <v/>
      </c>
      <c r="AX336">
        <f>AR336*AS336</f>
        <v/>
      </c>
      <c r="AY336">
        <f>AR336*AT336</f>
        <v/>
      </c>
      <c r="AZ336">
        <f>AR336*AQ336</f>
        <v/>
      </c>
      <c r="BA336">
        <f>AR336</f>
        <v/>
      </c>
      <c r="BB336">
        <f>1</f>
        <v/>
      </c>
      <c r="BC336">
        <f>IF(AV336=1,1,IF(AW336=1,2,IF(AX336=1,3,IF(AY336=1,4,IF(AZ336=1,5,IF(BA336=1,6,7))))))</f>
        <v/>
      </c>
      <c r="BD336">
        <f>IF(AD336=1,CHOOSE('Historical Score'!$C$29,AV336,AW336,AX336,AY336,AZ336,BA336,BB336),0)</f>
        <v/>
      </c>
      <c r="BE336">
        <f>IF(BD336=1,COUNTIF($BD$2:BD336,1),"")</f>
        <v/>
      </c>
    </row>
    <row r="337">
      <c r="A337" t="inlineStr">
        <is>
          <t>5674170835</t>
        </is>
      </c>
      <c r="B337" t="inlineStr">
        <is>
          <t>Medina And Associates PC</t>
        </is>
      </c>
      <c r="C337" t="inlineStr">
        <is>
          <t>Medina And Associates PC</t>
        </is>
      </c>
      <c r="D337" t="inlineStr">
        <is>
          <t>Closed</t>
        </is>
      </c>
      <c r="E337" s="297" t="n">
        <v>45967</v>
      </c>
      <c r="F337" s="297" t="n">
        <v>46035</v>
      </c>
      <c r="G337" t="n">
        <v>6</v>
      </c>
      <c r="H337" t="inlineStr">
        <is>
          <t>8021</t>
        </is>
      </c>
      <c r="I337" t="inlineStr">
        <is>
          <t>80</t>
        </is>
      </c>
      <c r="J337" t="inlineStr">
        <is>
          <t>MD</t>
        </is>
      </c>
      <c r="K337" t="inlineStr">
        <is>
          <t>Premium Capital (AMRK)</t>
        </is>
      </c>
      <c r="L337" t="inlineStr">
        <is>
          <t>Renewal</t>
        </is>
      </c>
      <c r="M337" s="298" t="n">
        <v>1.5</v>
      </c>
      <c r="N337" s="299" t="n">
        <v>40000</v>
      </c>
      <c r="O337" s="299" t="n">
        <v>5600</v>
      </c>
      <c r="P337" s="299" t="n">
        <v>60000</v>
      </c>
      <c r="Q337" s="299" t="n">
        <v>60000</v>
      </c>
      <c r="R337" s="299" t="n">
        <v>0</v>
      </c>
      <c r="S337" s="300" t="n">
        <v>1</v>
      </c>
      <c r="T337" t="n">
        <v>20</v>
      </c>
      <c r="U337" t="n">
        <v>1</v>
      </c>
      <c r="V337" t="n">
        <v>122458.04</v>
      </c>
      <c r="W337" s="300" t="n">
        <v>0.1025</v>
      </c>
      <c r="X337" s="297" t="n"/>
      <c r="Y337">
        <f>IF(I337="","No SIC",IFERROR(VLOOKUP(I337,Ref!$A$2:$B$65,2,FALSE),"Unclassified"))</f>
        <v/>
      </c>
      <c r="Z337">
        <f>IF(T337="","",IF(T337&lt;12,"Daily","Weekly"))</f>
        <v/>
      </c>
      <c r="AA337">
        <f>IF(T337="",0,IF(T337&lt;12,T337*Controls!$B$29,T337*5))</f>
        <v/>
      </c>
      <c r="AB337">
        <f>IF(E337="",0,NETWORKDAYS(E337,Controls!$B$36,Ref!$K$2:$K$42))</f>
        <v/>
      </c>
      <c r="AC337">
        <f>IF(AND(AA337&gt;0,AB337&gt;=Controls!$B$39*AA337),1,0)</f>
        <v/>
      </c>
      <c r="AD337">
        <f>IF(AND(E337&lt;&gt;"",E337&gt;=Controls!$B$37,E337&lt;=Controls!$B$38),1,0)</f>
        <v/>
      </c>
      <c r="AE337">
        <f>IF(IFERROR(VLOOKUP(D337,Controls!$A$64:$E$74,2,FALSE),"No")="Yes",1,0)</f>
        <v/>
      </c>
      <c r="AF337">
        <f>IF(IFERROR(VLOOKUP(D337,Controls!$A$64:$E$74,3,FALSE),"No")="Yes",1,0)</f>
        <v/>
      </c>
      <c r="AG337">
        <f>IF(IFERROR(VLOOKUP(D337,Controls!$A$64:$E$74,4,FALSE),"No")="Yes",1,0)</f>
        <v/>
      </c>
      <c r="AH337">
        <f>IF(IFERROR(VLOOKUP(D337,Controls!$A$64:$E$74,5,FALSE),"No")="Yes",1,0)</f>
        <v/>
      </c>
      <c r="AI337">
        <f>IF(ISNUMBER(MATCH(D337,Controls!$A$64:$A$74,0)),1,0)</f>
        <v/>
      </c>
      <c r="AJ337">
        <f>Q337-N337</f>
        <v/>
      </c>
      <c r="AK337">
        <f>IF(AE337=1,MAX(0,N337-Q337),0)</f>
        <v/>
      </c>
      <c r="AL337">
        <f>IF(OR(V337="",V337=0),0,N337/V337)</f>
        <v/>
      </c>
      <c r="AM337">
        <f>IF(OR(V337="",V337=0),0,1)</f>
        <v/>
      </c>
      <c r="AN337">
        <f>IF(OR(E337="",F337=""),0,NETWORKDAYS(E337,F337,Ref!$K$2:$K$42))</f>
        <v/>
      </c>
      <c r="AO337">
        <f>IF(L337="Renewal",1,0)</f>
        <v/>
      </c>
      <c r="AP337">
        <f>AC337*AD337</f>
        <v/>
      </c>
      <c r="AQ337">
        <f>IF(AND(G337&lt;&gt;"",'Historical Score'!$C$6&lt;&gt;""),IF(G337='Historical Score'!$C$6,1,0),0)</f>
        <v/>
      </c>
      <c r="AR337">
        <f>IF(AND(L337&lt;&gt;"",'Historical Score'!$C$5&lt;&gt;""),IF(L337='Historical Score'!$C$5,1,0),0)</f>
        <v/>
      </c>
      <c r="AS337">
        <f>IF(AND(Y337&lt;&gt;"",'Historical Score'!$C$7&lt;&gt;""),IF(Y337='Historical Score'!$C$7,1,0),0)</f>
        <v/>
      </c>
      <c r="AT337">
        <f>IF(AND(K337&lt;&gt;"",'Historical Score'!$C$8&lt;&gt;""),IF(K337='Historical Score'!$C$8,1,0),0)</f>
        <v/>
      </c>
      <c r="AU337">
        <f>IF(AND(J337&lt;&gt;"",'Historical Score'!$C$9&lt;&gt;""),IF(J337='Historical Score'!$C$9,1,0),0)</f>
        <v/>
      </c>
      <c r="AV337">
        <f>AR337*AS337*AQ337</f>
        <v/>
      </c>
      <c r="AW337">
        <f>AR337*AT337*AQ337</f>
        <v/>
      </c>
      <c r="AX337">
        <f>AR337*AS337</f>
        <v/>
      </c>
      <c r="AY337">
        <f>AR337*AT337</f>
        <v/>
      </c>
      <c r="AZ337">
        <f>AR337*AQ337</f>
        <v/>
      </c>
      <c r="BA337">
        <f>AR337</f>
        <v/>
      </c>
      <c r="BB337">
        <f>1</f>
        <v/>
      </c>
      <c r="BC337">
        <f>IF(AV337=1,1,IF(AW337=1,2,IF(AX337=1,3,IF(AY337=1,4,IF(AZ337=1,5,IF(BA337=1,6,7))))))</f>
        <v/>
      </c>
      <c r="BD337">
        <f>IF(AD337=1,CHOOSE('Historical Score'!$C$29,AV337,AW337,AX337,AY337,AZ337,BA337,BB337),0)</f>
        <v/>
      </c>
      <c r="BE337">
        <f>IF(BD337=1,COUNTIF($BD$2:BD337,1),"")</f>
        <v/>
      </c>
    </row>
    <row r="338">
      <c r="A338" t="inlineStr">
        <is>
          <t>5674170855</t>
        </is>
      </c>
      <c r="B338" t="inlineStr">
        <is>
          <t>SR UNBOUNDED</t>
        </is>
      </c>
      <c r="C338" t="inlineStr">
        <is>
          <t>SR UNBOUNDED</t>
        </is>
      </c>
      <c r="D338" t="inlineStr">
        <is>
          <t>Closed</t>
        </is>
      </c>
      <c r="E338" s="297" t="n">
        <v>45967</v>
      </c>
      <c r="F338" s="297" t="n">
        <v>46030</v>
      </c>
      <c r="G338" t="n">
        <v>6</v>
      </c>
      <c r="H338" t="inlineStr">
        <is>
          <t>7922</t>
        </is>
      </c>
      <c r="I338" t="inlineStr">
        <is>
          <t>79</t>
        </is>
      </c>
      <c r="J338" t="inlineStr">
        <is>
          <t>CA</t>
        </is>
      </c>
      <c r="K338" t="inlineStr">
        <is>
          <t>Shore Funding USA</t>
        </is>
      </c>
      <c r="L338" t="inlineStr">
        <is>
          <t>Renewal</t>
        </is>
      </c>
      <c r="M338" s="298" t="n">
        <v>1.49</v>
      </c>
      <c r="N338" s="299" t="n">
        <v>7500</v>
      </c>
      <c r="O338" s="299" t="n">
        <v>1050</v>
      </c>
      <c r="P338" s="299" t="n">
        <v>11175</v>
      </c>
      <c r="Q338" s="299" t="n">
        <v>11175</v>
      </c>
      <c r="R338" s="299" t="n">
        <v>0</v>
      </c>
      <c r="S338" s="300" t="n">
        <v>1</v>
      </c>
      <c r="T338" t="n">
        <v>2.295</v>
      </c>
      <c r="U338" t="n">
        <v>4</v>
      </c>
      <c r="V338" t="n">
        <v>15635.79</v>
      </c>
      <c r="W338" s="300" t="n">
        <v>0.2144</v>
      </c>
      <c r="X338" s="297" t="n">
        <v>43863</v>
      </c>
      <c r="Y338">
        <f>IF(I338="","No SIC",IFERROR(VLOOKUP(I338,Ref!$A$2:$B$65,2,FALSE),"Unclassified"))</f>
        <v/>
      </c>
      <c r="Z338">
        <f>IF(T338="","",IF(T338&lt;12,"Daily","Weekly"))</f>
        <v/>
      </c>
      <c r="AA338">
        <f>IF(T338="",0,IF(T338&lt;12,T338*Controls!$B$29,T338*5))</f>
        <v/>
      </c>
      <c r="AB338">
        <f>IF(E338="",0,NETWORKDAYS(E338,Controls!$B$36,Ref!$K$2:$K$42))</f>
        <v/>
      </c>
      <c r="AC338">
        <f>IF(AND(AA338&gt;0,AB338&gt;=Controls!$B$39*AA338),1,0)</f>
        <v/>
      </c>
      <c r="AD338">
        <f>IF(AND(E338&lt;&gt;"",E338&gt;=Controls!$B$37,E338&lt;=Controls!$B$38),1,0)</f>
        <v/>
      </c>
      <c r="AE338">
        <f>IF(IFERROR(VLOOKUP(D338,Controls!$A$64:$E$74,2,FALSE),"No")="Yes",1,0)</f>
        <v/>
      </c>
      <c r="AF338">
        <f>IF(IFERROR(VLOOKUP(D338,Controls!$A$64:$E$74,3,FALSE),"No")="Yes",1,0)</f>
        <v/>
      </c>
      <c r="AG338">
        <f>IF(IFERROR(VLOOKUP(D338,Controls!$A$64:$E$74,4,FALSE),"No")="Yes",1,0)</f>
        <v/>
      </c>
      <c r="AH338">
        <f>IF(IFERROR(VLOOKUP(D338,Controls!$A$64:$E$74,5,FALSE),"No")="Yes",1,0)</f>
        <v/>
      </c>
      <c r="AI338">
        <f>IF(ISNUMBER(MATCH(D338,Controls!$A$64:$A$74,0)),1,0)</f>
        <v/>
      </c>
      <c r="AJ338">
        <f>Q338-N338</f>
        <v/>
      </c>
      <c r="AK338">
        <f>IF(AE338=1,MAX(0,N338-Q338),0)</f>
        <v/>
      </c>
      <c r="AL338">
        <f>IF(OR(V338="",V338=0),0,N338/V338)</f>
        <v/>
      </c>
      <c r="AM338">
        <f>IF(OR(V338="",V338=0),0,1)</f>
        <v/>
      </c>
      <c r="AN338">
        <f>IF(OR(E338="",F338=""),0,NETWORKDAYS(E338,F338,Ref!$K$2:$K$42))</f>
        <v/>
      </c>
      <c r="AO338">
        <f>IF(L338="Renewal",1,0)</f>
        <v/>
      </c>
      <c r="AP338">
        <f>AC338*AD338</f>
        <v/>
      </c>
      <c r="AQ338">
        <f>IF(AND(G338&lt;&gt;"",'Historical Score'!$C$6&lt;&gt;""),IF(G338='Historical Score'!$C$6,1,0),0)</f>
        <v/>
      </c>
      <c r="AR338">
        <f>IF(AND(L338&lt;&gt;"",'Historical Score'!$C$5&lt;&gt;""),IF(L338='Historical Score'!$C$5,1,0),0)</f>
        <v/>
      </c>
      <c r="AS338">
        <f>IF(AND(Y338&lt;&gt;"",'Historical Score'!$C$7&lt;&gt;""),IF(Y338='Historical Score'!$C$7,1,0),0)</f>
        <v/>
      </c>
      <c r="AT338">
        <f>IF(AND(K338&lt;&gt;"",'Historical Score'!$C$8&lt;&gt;""),IF(K338='Historical Score'!$C$8,1,0),0)</f>
        <v/>
      </c>
      <c r="AU338">
        <f>IF(AND(J338&lt;&gt;"",'Historical Score'!$C$9&lt;&gt;""),IF(J338='Historical Score'!$C$9,1,0),0)</f>
        <v/>
      </c>
      <c r="AV338">
        <f>AR338*AS338*AQ338</f>
        <v/>
      </c>
      <c r="AW338">
        <f>AR338*AT338*AQ338</f>
        <v/>
      </c>
      <c r="AX338">
        <f>AR338*AS338</f>
        <v/>
      </c>
      <c r="AY338">
        <f>AR338*AT338</f>
        <v/>
      </c>
      <c r="AZ338">
        <f>AR338*AQ338</f>
        <v/>
      </c>
      <c r="BA338">
        <f>AR338</f>
        <v/>
      </c>
      <c r="BB338">
        <f>1</f>
        <v/>
      </c>
      <c r="BC338">
        <f>IF(AV338=1,1,IF(AW338=1,2,IF(AX338=1,3,IF(AY338=1,4,IF(AZ338=1,5,IF(BA338=1,6,7))))))</f>
        <v/>
      </c>
      <c r="BD338">
        <f>IF(AD338=1,CHOOSE('Historical Score'!$C$29,AV338,AW338,AX338,AY338,AZ338,BA338,BB338),0)</f>
        <v/>
      </c>
      <c r="BE338">
        <f>IF(BD338=1,COUNTIF($BD$2:BD338,1),"")</f>
        <v/>
      </c>
    </row>
    <row r="339">
      <c r="A339" t="inlineStr">
        <is>
          <t>5674170899</t>
        </is>
      </c>
      <c r="B339" t="inlineStr">
        <is>
          <t>INSPIRED BY SPIRITS DISTILLING COMPANY</t>
        </is>
      </c>
      <c r="C339" t="inlineStr">
        <is>
          <t>INSPIRED BY SPIRITS DISTILLING COMPANY LLC</t>
        </is>
      </c>
      <c r="D339" t="inlineStr">
        <is>
          <t>Closed</t>
        </is>
      </c>
      <c r="E339" s="297" t="n">
        <v>45967</v>
      </c>
      <c r="F339" s="297" t="n">
        <v>46133</v>
      </c>
      <c r="G339" t="n">
        <v>2</v>
      </c>
      <c r="H339" t="inlineStr">
        <is>
          <t>2084</t>
        </is>
      </c>
      <c r="I339" t="inlineStr">
        <is>
          <t>20</t>
        </is>
      </c>
      <c r="J339" t="inlineStr">
        <is>
          <t>PA</t>
        </is>
      </c>
      <c r="K339" t="inlineStr">
        <is>
          <t>Fundwell</t>
        </is>
      </c>
      <c r="L339" t="inlineStr">
        <is>
          <t>New Deal</t>
        </is>
      </c>
      <c r="M339" s="298" t="n">
        <v>1.4</v>
      </c>
      <c r="N339" s="299" t="n">
        <v>20000</v>
      </c>
      <c r="O339" s="299" t="n">
        <v>2600</v>
      </c>
      <c r="P339" s="299" t="n">
        <v>28000</v>
      </c>
      <c r="Q339" s="299" t="n">
        <v>28000</v>
      </c>
      <c r="R339" s="299" t="n">
        <v>0</v>
      </c>
      <c r="S339" s="300" t="n">
        <v>1</v>
      </c>
      <c r="T339" t="n">
        <v>32</v>
      </c>
      <c r="U339" t="n">
        <v>0</v>
      </c>
      <c r="V339" t="n">
        <v>33287.84</v>
      </c>
      <c r="W339" s="300" t="n">
        <v>0.1051</v>
      </c>
      <c r="X339" s="297" t="n">
        <v>43518</v>
      </c>
      <c r="Y339">
        <f>IF(I339="","No SIC",IFERROR(VLOOKUP(I339,Ref!$A$2:$B$65,2,FALSE),"Unclassified"))</f>
        <v/>
      </c>
      <c r="Z339">
        <f>IF(T339="","",IF(T339&lt;12,"Daily","Weekly"))</f>
        <v/>
      </c>
      <c r="AA339">
        <f>IF(T339="",0,IF(T339&lt;12,T339*Controls!$B$29,T339*5))</f>
        <v/>
      </c>
      <c r="AB339">
        <f>IF(E339="",0,NETWORKDAYS(E339,Controls!$B$36,Ref!$K$2:$K$42))</f>
        <v/>
      </c>
      <c r="AC339">
        <f>IF(AND(AA339&gt;0,AB339&gt;=Controls!$B$39*AA339),1,0)</f>
        <v/>
      </c>
      <c r="AD339">
        <f>IF(AND(E339&lt;&gt;"",E339&gt;=Controls!$B$37,E339&lt;=Controls!$B$38),1,0)</f>
        <v/>
      </c>
      <c r="AE339">
        <f>IF(IFERROR(VLOOKUP(D339,Controls!$A$64:$E$74,2,FALSE),"No")="Yes",1,0)</f>
        <v/>
      </c>
      <c r="AF339">
        <f>IF(IFERROR(VLOOKUP(D339,Controls!$A$64:$E$74,3,FALSE),"No")="Yes",1,0)</f>
        <v/>
      </c>
      <c r="AG339">
        <f>IF(IFERROR(VLOOKUP(D339,Controls!$A$64:$E$74,4,FALSE),"No")="Yes",1,0)</f>
        <v/>
      </c>
      <c r="AH339">
        <f>IF(IFERROR(VLOOKUP(D339,Controls!$A$64:$E$74,5,FALSE),"No")="Yes",1,0)</f>
        <v/>
      </c>
      <c r="AI339">
        <f>IF(ISNUMBER(MATCH(D339,Controls!$A$64:$A$74,0)),1,0)</f>
        <v/>
      </c>
      <c r="AJ339">
        <f>Q339-N339</f>
        <v/>
      </c>
      <c r="AK339">
        <f>IF(AE339=1,MAX(0,N339-Q339),0)</f>
        <v/>
      </c>
      <c r="AL339">
        <f>IF(OR(V339="",V339=0),0,N339/V339)</f>
        <v/>
      </c>
      <c r="AM339">
        <f>IF(OR(V339="",V339=0),0,1)</f>
        <v/>
      </c>
      <c r="AN339">
        <f>IF(OR(E339="",F339=""),0,NETWORKDAYS(E339,F339,Ref!$K$2:$K$42))</f>
        <v/>
      </c>
      <c r="AO339">
        <f>IF(L339="Renewal",1,0)</f>
        <v/>
      </c>
      <c r="AP339">
        <f>AC339*AD339</f>
        <v/>
      </c>
      <c r="AQ339">
        <f>IF(AND(G339&lt;&gt;"",'Historical Score'!$C$6&lt;&gt;""),IF(G339='Historical Score'!$C$6,1,0),0)</f>
        <v/>
      </c>
      <c r="AR339">
        <f>IF(AND(L339&lt;&gt;"",'Historical Score'!$C$5&lt;&gt;""),IF(L339='Historical Score'!$C$5,1,0),0)</f>
        <v/>
      </c>
      <c r="AS339">
        <f>IF(AND(Y339&lt;&gt;"",'Historical Score'!$C$7&lt;&gt;""),IF(Y339='Historical Score'!$C$7,1,0),0)</f>
        <v/>
      </c>
      <c r="AT339">
        <f>IF(AND(K339&lt;&gt;"",'Historical Score'!$C$8&lt;&gt;""),IF(K339='Historical Score'!$C$8,1,0),0)</f>
        <v/>
      </c>
      <c r="AU339">
        <f>IF(AND(J339&lt;&gt;"",'Historical Score'!$C$9&lt;&gt;""),IF(J339='Historical Score'!$C$9,1,0),0)</f>
        <v/>
      </c>
      <c r="AV339">
        <f>AR339*AS339*AQ339</f>
        <v/>
      </c>
      <c r="AW339">
        <f>AR339*AT339*AQ339</f>
        <v/>
      </c>
      <c r="AX339">
        <f>AR339*AS339</f>
        <v/>
      </c>
      <c r="AY339">
        <f>AR339*AT339</f>
        <v/>
      </c>
      <c r="AZ339">
        <f>AR339*AQ339</f>
        <v/>
      </c>
      <c r="BA339">
        <f>AR339</f>
        <v/>
      </c>
      <c r="BB339">
        <f>1</f>
        <v/>
      </c>
      <c r="BC339">
        <f>IF(AV339=1,1,IF(AW339=1,2,IF(AX339=1,3,IF(AY339=1,4,IF(AZ339=1,5,IF(BA339=1,6,7))))))</f>
        <v/>
      </c>
      <c r="BD339">
        <f>IF(AD339=1,CHOOSE('Historical Score'!$C$29,AV339,AW339,AX339,AY339,AZ339,BA339,BB339),0)</f>
        <v/>
      </c>
      <c r="BE339">
        <f>IF(BD339=1,COUNTIF($BD$2:BD339,1),"")</f>
        <v/>
      </c>
    </row>
    <row r="340">
      <c r="A340" t="inlineStr">
        <is>
          <t>5674170968</t>
        </is>
      </c>
      <c r="B340" t="inlineStr">
        <is>
          <t>Preferred Nation Inc.</t>
        </is>
      </c>
      <c r="C340" t="inlineStr">
        <is>
          <t>Preferred Nation Inc.</t>
        </is>
      </c>
      <c r="D340" t="inlineStr">
        <is>
          <t>Bankruptcy</t>
        </is>
      </c>
      <c r="E340" s="297" t="n">
        <v>45968</v>
      </c>
      <c r="F340" s="297" t="n">
        <v>46162</v>
      </c>
      <c r="G340" t="n">
        <v>5</v>
      </c>
      <c r="H340" t="inlineStr">
        <is>
          <t>3999</t>
        </is>
      </c>
      <c r="I340" t="inlineStr">
        <is>
          <t>39</t>
        </is>
      </c>
      <c r="J340" t="inlineStr">
        <is>
          <t>CA</t>
        </is>
      </c>
      <c r="K340" t="inlineStr">
        <is>
          <t>Fundwell</t>
        </is>
      </c>
      <c r="L340" t="inlineStr">
        <is>
          <t>New Deal</t>
        </is>
      </c>
      <c r="M340" s="298" t="n">
        <v>1.34</v>
      </c>
      <c r="N340" s="299" t="n">
        <v>40000</v>
      </c>
      <c r="O340" s="299" t="n">
        <v>3200</v>
      </c>
      <c r="P340" s="299" t="n">
        <v>53600</v>
      </c>
      <c r="Q340" s="299" t="n">
        <v>37374.46</v>
      </c>
      <c r="R340" s="299" t="n">
        <v>16225.54</v>
      </c>
      <c r="S340" s="300" t="n">
        <v>0.697284701492537</v>
      </c>
      <c r="T340" t="n">
        <v>26</v>
      </c>
      <c r="U340" t="n">
        <v>2</v>
      </c>
      <c r="V340" t="n">
        <v>180238.59</v>
      </c>
      <c r="W340" s="300" t="n">
        <v>0.0641</v>
      </c>
      <c r="X340" s="297" t="n">
        <v>40299</v>
      </c>
      <c r="Y340">
        <f>IF(I340="","No SIC",IFERROR(VLOOKUP(I340,Ref!$A$2:$B$65,2,FALSE),"Unclassified"))</f>
        <v/>
      </c>
      <c r="Z340">
        <f>IF(T340="","",IF(T340&lt;12,"Daily","Weekly"))</f>
        <v/>
      </c>
      <c r="AA340">
        <f>IF(T340="",0,IF(T340&lt;12,T340*Controls!$B$29,T340*5))</f>
        <v/>
      </c>
      <c r="AB340">
        <f>IF(E340="",0,NETWORKDAYS(E340,Controls!$B$36,Ref!$K$2:$K$42))</f>
        <v/>
      </c>
      <c r="AC340">
        <f>IF(AND(AA340&gt;0,AB340&gt;=Controls!$B$39*AA340),1,0)</f>
        <v/>
      </c>
      <c r="AD340">
        <f>IF(AND(E340&lt;&gt;"",E340&gt;=Controls!$B$37,E340&lt;=Controls!$B$38),1,0)</f>
        <v/>
      </c>
      <c r="AE340">
        <f>IF(IFERROR(VLOOKUP(D340,Controls!$A$64:$E$74,2,FALSE),"No")="Yes",1,0)</f>
        <v/>
      </c>
      <c r="AF340">
        <f>IF(IFERROR(VLOOKUP(D340,Controls!$A$64:$E$74,3,FALSE),"No")="Yes",1,0)</f>
        <v/>
      </c>
      <c r="AG340">
        <f>IF(IFERROR(VLOOKUP(D340,Controls!$A$64:$E$74,4,FALSE),"No")="Yes",1,0)</f>
        <v/>
      </c>
      <c r="AH340">
        <f>IF(IFERROR(VLOOKUP(D340,Controls!$A$64:$E$74,5,FALSE),"No")="Yes",1,0)</f>
        <v/>
      </c>
      <c r="AI340">
        <f>IF(ISNUMBER(MATCH(D340,Controls!$A$64:$A$74,0)),1,0)</f>
        <v/>
      </c>
      <c r="AJ340">
        <f>Q340-N340</f>
        <v/>
      </c>
      <c r="AK340">
        <f>IF(AE340=1,MAX(0,N340-Q340),0)</f>
        <v/>
      </c>
      <c r="AL340">
        <f>IF(OR(V340="",V340=0),0,N340/V340)</f>
        <v/>
      </c>
      <c r="AM340">
        <f>IF(OR(V340="",V340=0),0,1)</f>
        <v/>
      </c>
      <c r="AN340">
        <f>IF(OR(E340="",F340=""),0,NETWORKDAYS(E340,F340,Ref!$K$2:$K$42))</f>
        <v/>
      </c>
      <c r="AO340">
        <f>IF(L340="Renewal",1,0)</f>
        <v/>
      </c>
      <c r="AP340">
        <f>AC340*AD340</f>
        <v/>
      </c>
      <c r="AQ340">
        <f>IF(AND(G340&lt;&gt;"",'Historical Score'!$C$6&lt;&gt;""),IF(G340='Historical Score'!$C$6,1,0),0)</f>
        <v/>
      </c>
      <c r="AR340">
        <f>IF(AND(L340&lt;&gt;"",'Historical Score'!$C$5&lt;&gt;""),IF(L340='Historical Score'!$C$5,1,0),0)</f>
        <v/>
      </c>
      <c r="AS340">
        <f>IF(AND(Y340&lt;&gt;"",'Historical Score'!$C$7&lt;&gt;""),IF(Y340='Historical Score'!$C$7,1,0),0)</f>
        <v/>
      </c>
      <c r="AT340">
        <f>IF(AND(K340&lt;&gt;"",'Historical Score'!$C$8&lt;&gt;""),IF(K340='Historical Score'!$C$8,1,0),0)</f>
        <v/>
      </c>
      <c r="AU340">
        <f>IF(AND(J340&lt;&gt;"",'Historical Score'!$C$9&lt;&gt;""),IF(J340='Historical Score'!$C$9,1,0),0)</f>
        <v/>
      </c>
      <c r="AV340">
        <f>AR340*AS340*AQ340</f>
        <v/>
      </c>
      <c r="AW340">
        <f>AR340*AT340*AQ340</f>
        <v/>
      </c>
      <c r="AX340">
        <f>AR340*AS340</f>
        <v/>
      </c>
      <c r="AY340">
        <f>AR340*AT340</f>
        <v/>
      </c>
      <c r="AZ340">
        <f>AR340*AQ340</f>
        <v/>
      </c>
      <c r="BA340">
        <f>AR340</f>
        <v/>
      </c>
      <c r="BB340">
        <f>1</f>
        <v/>
      </c>
      <c r="BC340">
        <f>IF(AV340=1,1,IF(AW340=1,2,IF(AX340=1,3,IF(AY340=1,4,IF(AZ340=1,5,IF(BA340=1,6,7))))))</f>
        <v/>
      </c>
      <c r="BD340">
        <f>IF(AD340=1,CHOOSE('Historical Score'!$C$29,AV340,AW340,AX340,AY340,AZ340,BA340,BB340),0)</f>
        <v/>
      </c>
      <c r="BE340">
        <f>IF(BD340=1,COUNTIF($BD$2:BD340,1),"")</f>
        <v/>
      </c>
    </row>
    <row r="341">
      <c r="A341" t="inlineStr">
        <is>
          <t>5674170970</t>
        </is>
      </c>
      <c r="B341" t="inlineStr">
        <is>
          <t>New Litttle Thai Chef, LLC</t>
        </is>
      </c>
      <c r="C341" t="inlineStr">
        <is>
          <t>New Litttle Thai Chef, LLC</t>
        </is>
      </c>
      <c r="D341" t="inlineStr">
        <is>
          <t>Closed</t>
        </is>
      </c>
      <c r="E341" s="297" t="n">
        <v>45968</v>
      </c>
      <c r="F341" s="297" t="n">
        <v>46083</v>
      </c>
      <c r="G341" t="n">
        <v>6</v>
      </c>
      <c r="H341" t="inlineStr">
        <is>
          <t>5812</t>
        </is>
      </c>
      <c r="I341" t="inlineStr">
        <is>
          <t>58</t>
        </is>
      </c>
      <c r="J341" t="inlineStr">
        <is>
          <t>TX</t>
        </is>
      </c>
      <c r="K341" t="inlineStr">
        <is>
          <t>Westwood</t>
        </is>
      </c>
      <c r="L341" t="inlineStr">
        <is>
          <t>New Deal</t>
        </is>
      </c>
      <c r="M341" s="298" t="n">
        <v>1.49</v>
      </c>
      <c r="N341" s="299" t="n">
        <v>5000</v>
      </c>
      <c r="O341" s="299" t="n">
        <v>700</v>
      </c>
      <c r="P341" s="299" t="n">
        <v>7450</v>
      </c>
      <c r="Q341" s="299" t="n">
        <v>7450</v>
      </c>
      <c r="R341" s="299" t="n">
        <v>0</v>
      </c>
      <c r="S341" s="300" t="n">
        <v>1</v>
      </c>
      <c r="T341" t="n">
        <v>2.459</v>
      </c>
      <c r="U341" t="n">
        <v>0</v>
      </c>
      <c r="V341" t="n">
        <v>16177.88</v>
      </c>
      <c r="W341" s="300" t="n">
        <v>0.1289</v>
      </c>
      <c r="X341" s="297" t="n">
        <v>44593</v>
      </c>
      <c r="Y341">
        <f>IF(I341="","No SIC",IFERROR(VLOOKUP(I341,Ref!$A$2:$B$65,2,FALSE),"Unclassified"))</f>
        <v/>
      </c>
      <c r="Z341">
        <f>IF(T341="","",IF(T341&lt;12,"Daily","Weekly"))</f>
        <v/>
      </c>
      <c r="AA341">
        <f>IF(T341="",0,IF(T341&lt;12,T341*Controls!$B$29,T341*5))</f>
        <v/>
      </c>
      <c r="AB341">
        <f>IF(E341="",0,NETWORKDAYS(E341,Controls!$B$36,Ref!$K$2:$K$42))</f>
        <v/>
      </c>
      <c r="AC341">
        <f>IF(AND(AA341&gt;0,AB341&gt;=Controls!$B$39*AA341),1,0)</f>
        <v/>
      </c>
      <c r="AD341">
        <f>IF(AND(E341&lt;&gt;"",E341&gt;=Controls!$B$37,E341&lt;=Controls!$B$38),1,0)</f>
        <v/>
      </c>
      <c r="AE341">
        <f>IF(IFERROR(VLOOKUP(D341,Controls!$A$64:$E$74,2,FALSE),"No")="Yes",1,0)</f>
        <v/>
      </c>
      <c r="AF341">
        <f>IF(IFERROR(VLOOKUP(D341,Controls!$A$64:$E$74,3,FALSE),"No")="Yes",1,0)</f>
        <v/>
      </c>
      <c r="AG341">
        <f>IF(IFERROR(VLOOKUP(D341,Controls!$A$64:$E$74,4,FALSE),"No")="Yes",1,0)</f>
        <v/>
      </c>
      <c r="AH341">
        <f>IF(IFERROR(VLOOKUP(D341,Controls!$A$64:$E$74,5,FALSE),"No")="Yes",1,0)</f>
        <v/>
      </c>
      <c r="AI341">
        <f>IF(ISNUMBER(MATCH(D341,Controls!$A$64:$A$74,0)),1,0)</f>
        <v/>
      </c>
      <c r="AJ341">
        <f>Q341-N341</f>
        <v/>
      </c>
      <c r="AK341">
        <f>IF(AE341=1,MAX(0,N341-Q341),0)</f>
        <v/>
      </c>
      <c r="AL341">
        <f>IF(OR(V341="",V341=0),0,N341/V341)</f>
        <v/>
      </c>
      <c r="AM341">
        <f>IF(OR(V341="",V341=0),0,1)</f>
        <v/>
      </c>
      <c r="AN341">
        <f>IF(OR(E341="",F341=""),0,NETWORKDAYS(E341,F341,Ref!$K$2:$K$42))</f>
        <v/>
      </c>
      <c r="AO341">
        <f>IF(L341="Renewal",1,0)</f>
        <v/>
      </c>
      <c r="AP341">
        <f>AC341*AD341</f>
        <v/>
      </c>
      <c r="AQ341">
        <f>IF(AND(G341&lt;&gt;"",'Historical Score'!$C$6&lt;&gt;""),IF(G341='Historical Score'!$C$6,1,0),0)</f>
        <v/>
      </c>
      <c r="AR341">
        <f>IF(AND(L341&lt;&gt;"",'Historical Score'!$C$5&lt;&gt;""),IF(L341='Historical Score'!$C$5,1,0),0)</f>
        <v/>
      </c>
      <c r="AS341">
        <f>IF(AND(Y341&lt;&gt;"",'Historical Score'!$C$7&lt;&gt;""),IF(Y341='Historical Score'!$C$7,1,0),0)</f>
        <v/>
      </c>
      <c r="AT341">
        <f>IF(AND(K341&lt;&gt;"",'Historical Score'!$C$8&lt;&gt;""),IF(K341='Historical Score'!$C$8,1,0),0)</f>
        <v/>
      </c>
      <c r="AU341">
        <f>IF(AND(J341&lt;&gt;"",'Historical Score'!$C$9&lt;&gt;""),IF(J341='Historical Score'!$C$9,1,0),0)</f>
        <v/>
      </c>
      <c r="AV341">
        <f>AR341*AS341*AQ341</f>
        <v/>
      </c>
      <c r="AW341">
        <f>AR341*AT341*AQ341</f>
        <v/>
      </c>
      <c r="AX341">
        <f>AR341*AS341</f>
        <v/>
      </c>
      <c r="AY341">
        <f>AR341*AT341</f>
        <v/>
      </c>
      <c r="AZ341">
        <f>AR341*AQ341</f>
        <v/>
      </c>
      <c r="BA341">
        <f>AR341</f>
        <v/>
      </c>
      <c r="BB341">
        <f>1</f>
        <v/>
      </c>
      <c r="BC341">
        <f>IF(AV341=1,1,IF(AW341=1,2,IF(AX341=1,3,IF(AY341=1,4,IF(AZ341=1,5,IF(BA341=1,6,7))))))</f>
        <v/>
      </c>
      <c r="BD341">
        <f>IF(AD341=1,CHOOSE('Historical Score'!$C$29,AV341,AW341,AX341,AY341,AZ341,BA341,BB341),0)</f>
        <v/>
      </c>
      <c r="BE341">
        <f>IF(BD341=1,COUNTIF($BD$2:BD341,1),"")</f>
        <v/>
      </c>
    </row>
    <row r="342">
      <c r="A342" t="inlineStr">
        <is>
          <t>5674170978</t>
        </is>
      </c>
      <c r="B342" t="inlineStr">
        <is>
          <t>Banks Chiropractic and Medical</t>
        </is>
      </c>
      <c r="C342" t="inlineStr">
        <is>
          <t>Banks Chiropractic and Medical</t>
        </is>
      </c>
      <c r="D342" t="inlineStr">
        <is>
          <t>Legal</t>
        </is>
      </c>
      <c r="E342" s="297" t="n">
        <v>45968</v>
      </c>
      <c r="F342" s="297" t="n">
        <v>46176</v>
      </c>
      <c r="G342" t="n">
        <v>4</v>
      </c>
      <c r="H342" t="inlineStr">
        <is>
          <t>8041</t>
        </is>
      </c>
      <c r="I342" t="inlineStr">
        <is>
          <t>80</t>
        </is>
      </c>
      <c r="J342" t="inlineStr">
        <is>
          <t>HI</t>
        </is>
      </c>
      <c r="K342" t="inlineStr">
        <is>
          <t>Platform Funding</t>
        </is>
      </c>
      <c r="L342" t="inlineStr">
        <is>
          <t>New Deal</t>
        </is>
      </c>
      <c r="M342" s="298" t="n">
        <v>1.49</v>
      </c>
      <c r="N342" s="299" t="n">
        <v>20000</v>
      </c>
      <c r="O342" s="299" t="n">
        <v>2800</v>
      </c>
      <c r="P342" s="299" t="n">
        <v>29800</v>
      </c>
      <c r="Q342" s="299" t="n">
        <v>6228.63</v>
      </c>
      <c r="R342" s="299" t="n">
        <v>23571.37</v>
      </c>
      <c r="S342" s="300" t="n">
        <v>0.209014429530201</v>
      </c>
      <c r="T342" t="n">
        <v>3.607</v>
      </c>
      <c r="U342" t="n">
        <v>20</v>
      </c>
      <c r="V342" t="n">
        <v>57041.39</v>
      </c>
      <c r="W342" s="300" t="n">
        <v>0.0997</v>
      </c>
      <c r="X342" s="297" t="n">
        <v>43800</v>
      </c>
      <c r="Y342">
        <f>IF(I342="","No SIC",IFERROR(VLOOKUP(I342,Ref!$A$2:$B$65,2,FALSE),"Unclassified"))</f>
        <v/>
      </c>
      <c r="Z342">
        <f>IF(T342="","",IF(T342&lt;12,"Daily","Weekly"))</f>
        <v/>
      </c>
      <c r="AA342">
        <f>IF(T342="",0,IF(T342&lt;12,T342*Controls!$B$29,T342*5))</f>
        <v/>
      </c>
      <c r="AB342">
        <f>IF(E342="",0,NETWORKDAYS(E342,Controls!$B$36,Ref!$K$2:$K$42))</f>
        <v/>
      </c>
      <c r="AC342">
        <f>IF(AND(AA342&gt;0,AB342&gt;=Controls!$B$39*AA342),1,0)</f>
        <v/>
      </c>
      <c r="AD342">
        <f>IF(AND(E342&lt;&gt;"",E342&gt;=Controls!$B$37,E342&lt;=Controls!$B$38),1,0)</f>
        <v/>
      </c>
      <c r="AE342">
        <f>IF(IFERROR(VLOOKUP(D342,Controls!$A$64:$E$74,2,FALSE),"No")="Yes",1,0)</f>
        <v/>
      </c>
      <c r="AF342">
        <f>IF(IFERROR(VLOOKUP(D342,Controls!$A$64:$E$74,3,FALSE),"No")="Yes",1,0)</f>
        <v/>
      </c>
      <c r="AG342">
        <f>IF(IFERROR(VLOOKUP(D342,Controls!$A$64:$E$74,4,FALSE),"No")="Yes",1,0)</f>
        <v/>
      </c>
      <c r="AH342">
        <f>IF(IFERROR(VLOOKUP(D342,Controls!$A$64:$E$74,5,FALSE),"No")="Yes",1,0)</f>
        <v/>
      </c>
      <c r="AI342">
        <f>IF(ISNUMBER(MATCH(D342,Controls!$A$64:$A$74,0)),1,0)</f>
        <v/>
      </c>
      <c r="AJ342">
        <f>Q342-N342</f>
        <v/>
      </c>
      <c r="AK342">
        <f>IF(AE342=1,MAX(0,N342-Q342),0)</f>
        <v/>
      </c>
      <c r="AL342">
        <f>IF(OR(V342="",V342=0),0,N342/V342)</f>
        <v/>
      </c>
      <c r="AM342">
        <f>IF(OR(V342="",V342=0),0,1)</f>
        <v/>
      </c>
      <c r="AN342">
        <f>IF(OR(E342="",F342=""),0,NETWORKDAYS(E342,F342,Ref!$K$2:$K$42))</f>
        <v/>
      </c>
      <c r="AO342">
        <f>IF(L342="Renewal",1,0)</f>
        <v/>
      </c>
      <c r="AP342">
        <f>AC342*AD342</f>
        <v/>
      </c>
      <c r="AQ342">
        <f>IF(AND(G342&lt;&gt;"",'Historical Score'!$C$6&lt;&gt;""),IF(G342='Historical Score'!$C$6,1,0),0)</f>
        <v/>
      </c>
      <c r="AR342">
        <f>IF(AND(L342&lt;&gt;"",'Historical Score'!$C$5&lt;&gt;""),IF(L342='Historical Score'!$C$5,1,0),0)</f>
        <v/>
      </c>
      <c r="AS342">
        <f>IF(AND(Y342&lt;&gt;"",'Historical Score'!$C$7&lt;&gt;""),IF(Y342='Historical Score'!$C$7,1,0),0)</f>
        <v/>
      </c>
      <c r="AT342">
        <f>IF(AND(K342&lt;&gt;"",'Historical Score'!$C$8&lt;&gt;""),IF(K342='Historical Score'!$C$8,1,0),0)</f>
        <v/>
      </c>
      <c r="AU342">
        <f>IF(AND(J342&lt;&gt;"",'Historical Score'!$C$9&lt;&gt;""),IF(J342='Historical Score'!$C$9,1,0),0)</f>
        <v/>
      </c>
      <c r="AV342">
        <f>AR342*AS342*AQ342</f>
        <v/>
      </c>
      <c r="AW342">
        <f>AR342*AT342*AQ342</f>
        <v/>
      </c>
      <c r="AX342">
        <f>AR342*AS342</f>
        <v/>
      </c>
      <c r="AY342">
        <f>AR342*AT342</f>
        <v/>
      </c>
      <c r="AZ342">
        <f>AR342*AQ342</f>
        <v/>
      </c>
      <c r="BA342">
        <f>AR342</f>
        <v/>
      </c>
      <c r="BB342">
        <f>1</f>
        <v/>
      </c>
      <c r="BC342">
        <f>IF(AV342=1,1,IF(AW342=1,2,IF(AX342=1,3,IF(AY342=1,4,IF(AZ342=1,5,IF(BA342=1,6,7))))))</f>
        <v/>
      </c>
      <c r="BD342">
        <f>IF(AD342=1,CHOOSE('Historical Score'!$C$29,AV342,AW342,AX342,AY342,AZ342,BA342,BB342),0)</f>
        <v/>
      </c>
      <c r="BE342">
        <f>IF(BD342=1,COUNTIF($BD$2:BD342,1),"")</f>
        <v/>
      </c>
    </row>
    <row r="343">
      <c r="A343" t="inlineStr">
        <is>
          <t>5674171028</t>
        </is>
      </c>
      <c r="B343" t="inlineStr">
        <is>
          <t>ValuCompass</t>
        </is>
      </c>
      <c r="C343" t="inlineStr">
        <is>
          <t>ValuCompass, LLC</t>
        </is>
      </c>
      <c r="D343" t="inlineStr">
        <is>
          <t>In House Collection</t>
        </is>
      </c>
      <c r="E343" s="297" t="n">
        <v>45971</v>
      </c>
      <c r="F343" s="297" t="n">
        <v>46253</v>
      </c>
      <c r="G343" t="n">
        <v>6</v>
      </c>
      <c r="H343" t="inlineStr">
        <is>
          <t>7372</t>
        </is>
      </c>
      <c r="I343" t="inlineStr">
        <is>
          <t>73</t>
        </is>
      </c>
      <c r="J343" t="inlineStr">
        <is>
          <t>VT</t>
        </is>
      </c>
      <c r="K343" t="inlineStr">
        <is>
          <t>National Business Capital</t>
        </is>
      </c>
      <c r="L343" t="inlineStr">
        <is>
          <t>New Deal</t>
        </is>
      </c>
      <c r="M343" s="298" t="n">
        <v>1.499</v>
      </c>
      <c r="N343" s="299" t="n">
        <v>20000</v>
      </c>
      <c r="O343" s="299" t="n">
        <v>2800</v>
      </c>
      <c r="P343" s="299" t="n">
        <v>29980</v>
      </c>
      <c r="Q343" s="299" t="n">
        <v>8202.1</v>
      </c>
      <c r="R343" s="299" t="n">
        <v>21777.9</v>
      </c>
      <c r="S343" s="300" t="n">
        <v>0.273585723815877</v>
      </c>
      <c r="T343" t="n">
        <v>16</v>
      </c>
      <c r="U343" t="n">
        <v>29</v>
      </c>
      <c r="V343" t="n">
        <v>197275.44</v>
      </c>
      <c r="W343" s="300" t="n">
        <v>0.0378</v>
      </c>
      <c r="X343" s="297" t="n"/>
      <c r="Y343">
        <f>IF(I343="","No SIC",IFERROR(VLOOKUP(I343,Ref!$A$2:$B$65,2,FALSE),"Unclassified"))</f>
        <v/>
      </c>
      <c r="Z343">
        <f>IF(T343="","",IF(T343&lt;12,"Daily","Weekly"))</f>
        <v/>
      </c>
      <c r="AA343">
        <f>IF(T343="",0,IF(T343&lt;12,T343*Controls!$B$29,T343*5))</f>
        <v/>
      </c>
      <c r="AB343">
        <f>IF(E343="",0,NETWORKDAYS(E343,Controls!$B$36,Ref!$K$2:$K$42))</f>
        <v/>
      </c>
      <c r="AC343">
        <f>IF(AND(AA343&gt;0,AB343&gt;=Controls!$B$39*AA343),1,0)</f>
        <v/>
      </c>
      <c r="AD343">
        <f>IF(AND(E343&lt;&gt;"",E343&gt;=Controls!$B$37,E343&lt;=Controls!$B$38),1,0)</f>
        <v/>
      </c>
      <c r="AE343">
        <f>IF(IFERROR(VLOOKUP(D343,Controls!$A$64:$E$74,2,FALSE),"No")="Yes",1,0)</f>
        <v/>
      </c>
      <c r="AF343">
        <f>IF(IFERROR(VLOOKUP(D343,Controls!$A$64:$E$74,3,FALSE),"No")="Yes",1,0)</f>
        <v/>
      </c>
      <c r="AG343">
        <f>IF(IFERROR(VLOOKUP(D343,Controls!$A$64:$E$74,4,FALSE),"No")="Yes",1,0)</f>
        <v/>
      </c>
      <c r="AH343">
        <f>IF(IFERROR(VLOOKUP(D343,Controls!$A$64:$E$74,5,FALSE),"No")="Yes",1,0)</f>
        <v/>
      </c>
      <c r="AI343">
        <f>IF(ISNUMBER(MATCH(D343,Controls!$A$64:$A$74,0)),1,0)</f>
        <v/>
      </c>
      <c r="AJ343">
        <f>Q343-N343</f>
        <v/>
      </c>
      <c r="AK343">
        <f>IF(AE343=1,MAX(0,N343-Q343),0)</f>
        <v/>
      </c>
      <c r="AL343">
        <f>IF(OR(V343="",V343=0),0,N343/V343)</f>
        <v/>
      </c>
      <c r="AM343">
        <f>IF(OR(V343="",V343=0),0,1)</f>
        <v/>
      </c>
      <c r="AN343">
        <f>IF(OR(E343="",F343=""),0,NETWORKDAYS(E343,F343,Ref!$K$2:$K$42))</f>
        <v/>
      </c>
      <c r="AO343">
        <f>IF(L343="Renewal",1,0)</f>
        <v/>
      </c>
      <c r="AP343">
        <f>AC343*AD343</f>
        <v/>
      </c>
      <c r="AQ343">
        <f>IF(AND(G343&lt;&gt;"",'Historical Score'!$C$6&lt;&gt;""),IF(G343='Historical Score'!$C$6,1,0),0)</f>
        <v/>
      </c>
      <c r="AR343">
        <f>IF(AND(L343&lt;&gt;"",'Historical Score'!$C$5&lt;&gt;""),IF(L343='Historical Score'!$C$5,1,0),0)</f>
        <v/>
      </c>
      <c r="AS343">
        <f>IF(AND(Y343&lt;&gt;"",'Historical Score'!$C$7&lt;&gt;""),IF(Y343='Historical Score'!$C$7,1,0),0)</f>
        <v/>
      </c>
      <c r="AT343">
        <f>IF(AND(K343&lt;&gt;"",'Historical Score'!$C$8&lt;&gt;""),IF(K343='Historical Score'!$C$8,1,0),0)</f>
        <v/>
      </c>
      <c r="AU343">
        <f>IF(AND(J343&lt;&gt;"",'Historical Score'!$C$9&lt;&gt;""),IF(J343='Historical Score'!$C$9,1,0),0)</f>
        <v/>
      </c>
      <c r="AV343">
        <f>AR343*AS343*AQ343</f>
        <v/>
      </c>
      <c r="AW343">
        <f>AR343*AT343*AQ343</f>
        <v/>
      </c>
      <c r="AX343">
        <f>AR343*AS343</f>
        <v/>
      </c>
      <c r="AY343">
        <f>AR343*AT343</f>
        <v/>
      </c>
      <c r="AZ343">
        <f>AR343*AQ343</f>
        <v/>
      </c>
      <c r="BA343">
        <f>AR343</f>
        <v/>
      </c>
      <c r="BB343">
        <f>1</f>
        <v/>
      </c>
      <c r="BC343">
        <f>IF(AV343=1,1,IF(AW343=1,2,IF(AX343=1,3,IF(AY343=1,4,IF(AZ343=1,5,IF(BA343=1,6,7))))))</f>
        <v/>
      </c>
      <c r="BD343">
        <f>IF(AD343=1,CHOOSE('Historical Score'!$C$29,AV343,AW343,AX343,AY343,AZ343,BA343,BB343),0)</f>
        <v/>
      </c>
      <c r="BE343">
        <f>IF(BD343=1,COUNTIF($BD$2:BD343,1),"")</f>
        <v/>
      </c>
    </row>
    <row r="344">
      <c r="A344" t="inlineStr">
        <is>
          <t>5674171103</t>
        </is>
      </c>
      <c r="B344" t="inlineStr">
        <is>
          <t>SM &amp; SONS INC</t>
        </is>
      </c>
      <c r="C344" t="inlineStr">
        <is>
          <t>SM &amp; SONS INC</t>
        </is>
      </c>
      <c r="D344" t="inlineStr">
        <is>
          <t>Legal</t>
        </is>
      </c>
      <c r="E344" s="297" t="n">
        <v>45971</v>
      </c>
      <c r="F344" s="297" t="n">
        <v>46210</v>
      </c>
      <c r="G344" t="n">
        <v>5</v>
      </c>
      <c r="H344" t="inlineStr">
        <is>
          <t>1521</t>
        </is>
      </c>
      <c r="I344" t="inlineStr">
        <is>
          <t>15</t>
        </is>
      </c>
      <c r="J344" t="inlineStr">
        <is>
          <t>IA</t>
        </is>
      </c>
      <c r="K344" t="inlineStr">
        <is>
          <t>United Secured Capital 8</t>
        </is>
      </c>
      <c r="L344" t="inlineStr">
        <is>
          <t>New Deal</t>
        </is>
      </c>
      <c r="M344" s="298" t="n">
        <v>1.49</v>
      </c>
      <c r="N344" s="299" t="n">
        <v>10000</v>
      </c>
      <c r="O344" s="299" t="n">
        <v>1400</v>
      </c>
      <c r="P344" s="299" t="n">
        <v>14900</v>
      </c>
      <c r="Q344" s="299" t="n">
        <v>366.17</v>
      </c>
      <c r="R344" s="299" t="n">
        <v>14533.83</v>
      </c>
      <c r="S344" s="300" t="n">
        <v>0.0245751677852349</v>
      </c>
      <c r="T344" t="n">
        <v>2.623</v>
      </c>
      <c r="U344" t="n">
        <v>8</v>
      </c>
      <c r="V344" t="n">
        <v>61143.08</v>
      </c>
      <c r="W344" s="300" t="n">
        <v>0.064</v>
      </c>
      <c r="X344" s="297" t="n"/>
      <c r="Y344">
        <f>IF(I344="","No SIC",IFERROR(VLOOKUP(I344,Ref!$A$2:$B$65,2,FALSE),"Unclassified"))</f>
        <v/>
      </c>
      <c r="Z344">
        <f>IF(T344="","",IF(T344&lt;12,"Daily","Weekly"))</f>
        <v/>
      </c>
      <c r="AA344">
        <f>IF(T344="",0,IF(T344&lt;12,T344*Controls!$B$29,T344*5))</f>
        <v/>
      </c>
      <c r="AB344">
        <f>IF(E344="",0,NETWORKDAYS(E344,Controls!$B$36,Ref!$K$2:$K$42))</f>
        <v/>
      </c>
      <c r="AC344">
        <f>IF(AND(AA344&gt;0,AB344&gt;=Controls!$B$39*AA344),1,0)</f>
        <v/>
      </c>
      <c r="AD344">
        <f>IF(AND(E344&lt;&gt;"",E344&gt;=Controls!$B$37,E344&lt;=Controls!$B$38),1,0)</f>
        <v/>
      </c>
      <c r="AE344">
        <f>IF(IFERROR(VLOOKUP(D344,Controls!$A$64:$E$74,2,FALSE),"No")="Yes",1,0)</f>
        <v/>
      </c>
      <c r="AF344">
        <f>IF(IFERROR(VLOOKUP(D344,Controls!$A$64:$E$74,3,FALSE),"No")="Yes",1,0)</f>
        <v/>
      </c>
      <c r="AG344">
        <f>IF(IFERROR(VLOOKUP(D344,Controls!$A$64:$E$74,4,FALSE),"No")="Yes",1,0)</f>
        <v/>
      </c>
      <c r="AH344">
        <f>IF(IFERROR(VLOOKUP(D344,Controls!$A$64:$E$74,5,FALSE),"No")="Yes",1,0)</f>
        <v/>
      </c>
      <c r="AI344">
        <f>IF(ISNUMBER(MATCH(D344,Controls!$A$64:$A$74,0)),1,0)</f>
        <v/>
      </c>
      <c r="AJ344">
        <f>Q344-N344</f>
        <v/>
      </c>
      <c r="AK344">
        <f>IF(AE344=1,MAX(0,N344-Q344),0)</f>
        <v/>
      </c>
      <c r="AL344">
        <f>IF(OR(V344="",V344=0),0,N344/V344)</f>
        <v/>
      </c>
      <c r="AM344">
        <f>IF(OR(V344="",V344=0),0,1)</f>
        <v/>
      </c>
      <c r="AN344">
        <f>IF(OR(E344="",F344=""),0,NETWORKDAYS(E344,F344,Ref!$K$2:$K$42))</f>
        <v/>
      </c>
      <c r="AO344">
        <f>IF(L344="Renewal",1,0)</f>
        <v/>
      </c>
      <c r="AP344">
        <f>AC344*AD344</f>
        <v/>
      </c>
      <c r="AQ344">
        <f>IF(AND(G344&lt;&gt;"",'Historical Score'!$C$6&lt;&gt;""),IF(G344='Historical Score'!$C$6,1,0),0)</f>
        <v/>
      </c>
      <c r="AR344">
        <f>IF(AND(L344&lt;&gt;"",'Historical Score'!$C$5&lt;&gt;""),IF(L344='Historical Score'!$C$5,1,0),0)</f>
        <v/>
      </c>
      <c r="AS344">
        <f>IF(AND(Y344&lt;&gt;"",'Historical Score'!$C$7&lt;&gt;""),IF(Y344='Historical Score'!$C$7,1,0),0)</f>
        <v/>
      </c>
      <c r="AT344">
        <f>IF(AND(K344&lt;&gt;"",'Historical Score'!$C$8&lt;&gt;""),IF(K344='Historical Score'!$C$8,1,0),0)</f>
        <v/>
      </c>
      <c r="AU344">
        <f>IF(AND(J344&lt;&gt;"",'Historical Score'!$C$9&lt;&gt;""),IF(J344='Historical Score'!$C$9,1,0),0)</f>
        <v/>
      </c>
      <c r="AV344">
        <f>AR344*AS344*AQ344</f>
        <v/>
      </c>
      <c r="AW344">
        <f>AR344*AT344*AQ344</f>
        <v/>
      </c>
      <c r="AX344">
        <f>AR344*AS344</f>
        <v/>
      </c>
      <c r="AY344">
        <f>AR344*AT344</f>
        <v/>
      </c>
      <c r="AZ344">
        <f>AR344*AQ344</f>
        <v/>
      </c>
      <c r="BA344">
        <f>AR344</f>
        <v/>
      </c>
      <c r="BB344">
        <f>1</f>
        <v/>
      </c>
      <c r="BC344">
        <f>IF(AV344=1,1,IF(AW344=1,2,IF(AX344=1,3,IF(AY344=1,4,IF(AZ344=1,5,IF(BA344=1,6,7))))))</f>
        <v/>
      </c>
      <c r="BD344">
        <f>IF(AD344=1,CHOOSE('Historical Score'!$C$29,AV344,AW344,AX344,AY344,AZ344,BA344,BB344),0)</f>
        <v/>
      </c>
      <c r="BE344">
        <f>IF(BD344=1,COUNTIF($BD$2:BD344,1),"")</f>
        <v/>
      </c>
    </row>
    <row r="345">
      <c r="A345" t="inlineStr">
        <is>
          <t>5674171153</t>
        </is>
      </c>
      <c r="B345" t="inlineStr">
        <is>
          <t>THE HOUSE OF JIREH MINISTRIES</t>
        </is>
      </c>
      <c r="C345" t="inlineStr">
        <is>
          <t>THE HOUSE OF JIREH MINISTRIES, INC.</t>
        </is>
      </c>
      <c r="D345" t="inlineStr">
        <is>
          <t>Closed</t>
        </is>
      </c>
      <c r="E345" s="297" t="n">
        <v>45973</v>
      </c>
      <c r="F345" s="297" t="n">
        <v>46051</v>
      </c>
      <c r="G345" t="n">
        <v>2</v>
      </c>
      <c r="H345" t="inlineStr">
        <is>
          <t>8661</t>
        </is>
      </c>
      <c r="I345" t="inlineStr">
        <is>
          <t>86</t>
        </is>
      </c>
      <c r="J345" t="inlineStr">
        <is>
          <t>TX</t>
        </is>
      </c>
      <c r="K345" t="inlineStr">
        <is>
          <t>United Secured Capital 8</t>
        </is>
      </c>
      <c r="L345" t="inlineStr">
        <is>
          <t>New Deal</t>
        </is>
      </c>
      <c r="M345" s="298" t="n">
        <v>1.49</v>
      </c>
      <c r="N345" s="299" t="n">
        <v>15000</v>
      </c>
      <c r="O345" s="299" t="n">
        <v>2100</v>
      </c>
      <c r="P345" s="299" t="n">
        <v>22350</v>
      </c>
      <c r="Q345" s="299" t="n">
        <v>22350</v>
      </c>
      <c r="R345" s="299" t="n">
        <v>0</v>
      </c>
      <c r="S345" s="300" t="n">
        <v>1</v>
      </c>
      <c r="T345" t="n">
        <v>3.607</v>
      </c>
      <c r="U345" t="n">
        <v>0</v>
      </c>
      <c r="V345" t="n">
        <v>57074.76</v>
      </c>
      <c r="W345" s="300" t="n">
        <v>0.07480000000000001</v>
      </c>
      <c r="X345" s="297" t="n"/>
      <c r="Y345">
        <f>IF(I345="","No SIC",IFERROR(VLOOKUP(I345,Ref!$A$2:$B$65,2,FALSE),"Unclassified"))</f>
        <v/>
      </c>
      <c r="Z345">
        <f>IF(T345="","",IF(T345&lt;12,"Daily","Weekly"))</f>
        <v/>
      </c>
      <c r="AA345">
        <f>IF(T345="",0,IF(T345&lt;12,T345*Controls!$B$29,T345*5))</f>
        <v/>
      </c>
      <c r="AB345">
        <f>IF(E345="",0,NETWORKDAYS(E345,Controls!$B$36,Ref!$K$2:$K$42))</f>
        <v/>
      </c>
      <c r="AC345">
        <f>IF(AND(AA345&gt;0,AB345&gt;=Controls!$B$39*AA345),1,0)</f>
        <v/>
      </c>
      <c r="AD345">
        <f>IF(AND(E345&lt;&gt;"",E345&gt;=Controls!$B$37,E345&lt;=Controls!$B$38),1,0)</f>
        <v/>
      </c>
      <c r="AE345">
        <f>IF(IFERROR(VLOOKUP(D345,Controls!$A$64:$E$74,2,FALSE),"No")="Yes",1,0)</f>
        <v/>
      </c>
      <c r="AF345">
        <f>IF(IFERROR(VLOOKUP(D345,Controls!$A$64:$E$74,3,FALSE),"No")="Yes",1,0)</f>
        <v/>
      </c>
      <c r="AG345">
        <f>IF(IFERROR(VLOOKUP(D345,Controls!$A$64:$E$74,4,FALSE),"No")="Yes",1,0)</f>
        <v/>
      </c>
      <c r="AH345">
        <f>IF(IFERROR(VLOOKUP(D345,Controls!$A$64:$E$74,5,FALSE),"No")="Yes",1,0)</f>
        <v/>
      </c>
      <c r="AI345">
        <f>IF(ISNUMBER(MATCH(D345,Controls!$A$64:$A$74,0)),1,0)</f>
        <v/>
      </c>
      <c r="AJ345">
        <f>Q345-N345</f>
        <v/>
      </c>
      <c r="AK345">
        <f>IF(AE345=1,MAX(0,N345-Q345),0)</f>
        <v/>
      </c>
      <c r="AL345">
        <f>IF(OR(V345="",V345=0),0,N345/V345)</f>
        <v/>
      </c>
      <c r="AM345">
        <f>IF(OR(V345="",V345=0),0,1)</f>
        <v/>
      </c>
      <c r="AN345">
        <f>IF(OR(E345="",F345=""),0,NETWORKDAYS(E345,F345,Ref!$K$2:$K$42))</f>
        <v/>
      </c>
      <c r="AO345">
        <f>IF(L345="Renewal",1,0)</f>
        <v/>
      </c>
      <c r="AP345">
        <f>AC345*AD345</f>
        <v/>
      </c>
      <c r="AQ345">
        <f>IF(AND(G345&lt;&gt;"",'Historical Score'!$C$6&lt;&gt;""),IF(G345='Historical Score'!$C$6,1,0),0)</f>
        <v/>
      </c>
      <c r="AR345">
        <f>IF(AND(L345&lt;&gt;"",'Historical Score'!$C$5&lt;&gt;""),IF(L345='Historical Score'!$C$5,1,0),0)</f>
        <v/>
      </c>
      <c r="AS345">
        <f>IF(AND(Y345&lt;&gt;"",'Historical Score'!$C$7&lt;&gt;""),IF(Y345='Historical Score'!$C$7,1,0),0)</f>
        <v/>
      </c>
      <c r="AT345">
        <f>IF(AND(K345&lt;&gt;"",'Historical Score'!$C$8&lt;&gt;""),IF(K345='Historical Score'!$C$8,1,0),0)</f>
        <v/>
      </c>
      <c r="AU345">
        <f>IF(AND(J345&lt;&gt;"",'Historical Score'!$C$9&lt;&gt;""),IF(J345='Historical Score'!$C$9,1,0),0)</f>
        <v/>
      </c>
      <c r="AV345">
        <f>AR345*AS345*AQ345</f>
        <v/>
      </c>
      <c r="AW345">
        <f>AR345*AT345*AQ345</f>
        <v/>
      </c>
      <c r="AX345">
        <f>AR345*AS345</f>
        <v/>
      </c>
      <c r="AY345">
        <f>AR345*AT345</f>
        <v/>
      </c>
      <c r="AZ345">
        <f>AR345*AQ345</f>
        <v/>
      </c>
      <c r="BA345">
        <f>AR345</f>
        <v/>
      </c>
      <c r="BB345">
        <f>1</f>
        <v/>
      </c>
      <c r="BC345">
        <f>IF(AV345=1,1,IF(AW345=1,2,IF(AX345=1,3,IF(AY345=1,4,IF(AZ345=1,5,IF(BA345=1,6,7))))))</f>
        <v/>
      </c>
      <c r="BD345">
        <f>IF(AD345=1,CHOOSE('Historical Score'!$C$29,AV345,AW345,AX345,AY345,AZ345,BA345,BB345),0)</f>
        <v/>
      </c>
      <c r="BE345">
        <f>IF(BD345=1,COUNTIF($BD$2:BD345,1),"")</f>
        <v/>
      </c>
    </row>
    <row r="346">
      <c r="A346" t="inlineStr">
        <is>
          <t>5674171177</t>
        </is>
      </c>
      <c r="B346" t="inlineStr">
        <is>
          <t>Quality NE</t>
        </is>
      </c>
      <c r="C346" t="inlineStr">
        <is>
          <t>Quality New England Construction Inc</t>
        </is>
      </c>
      <c r="D346" t="inlineStr">
        <is>
          <t>Legal</t>
        </is>
      </c>
      <c r="E346" s="297" t="n">
        <v>45973</v>
      </c>
      <c r="F346" s="297" t="n">
        <v>46048</v>
      </c>
      <c r="G346" t="n">
        <v>2</v>
      </c>
      <c r="H346" t="inlineStr">
        <is>
          <t>1521</t>
        </is>
      </c>
      <c r="I346" t="inlineStr">
        <is>
          <t>15</t>
        </is>
      </c>
      <c r="J346" t="inlineStr">
        <is>
          <t>RI</t>
        </is>
      </c>
      <c r="K346" t="inlineStr">
        <is>
          <t>Shore Funding USA</t>
        </is>
      </c>
      <c r="L346" t="inlineStr">
        <is>
          <t>New Deal</t>
        </is>
      </c>
      <c r="M346" s="298" t="n">
        <v>1.49</v>
      </c>
      <c r="N346" s="299" t="n">
        <v>20000</v>
      </c>
      <c r="O346" s="299" t="n">
        <v>0</v>
      </c>
      <c r="P346" s="299" t="n">
        <v>29800</v>
      </c>
      <c r="Q346" s="299" t="n">
        <v>0</v>
      </c>
      <c r="R346" s="299" t="n">
        <v>29800</v>
      </c>
      <c r="S346" s="300" t="n">
        <v>0</v>
      </c>
      <c r="T346" t="n">
        <v>20</v>
      </c>
      <c r="U346" t="n">
        <v>11</v>
      </c>
      <c r="V346" t="n">
        <v>71311.88</v>
      </c>
      <c r="W346" s="300" t="n">
        <v>0.08359999999999999</v>
      </c>
      <c r="X346" s="297" t="n">
        <v>44774</v>
      </c>
      <c r="Y346">
        <f>IF(I346="","No SIC",IFERROR(VLOOKUP(I346,Ref!$A$2:$B$65,2,FALSE),"Unclassified"))</f>
        <v/>
      </c>
      <c r="Z346">
        <f>IF(T346="","",IF(T346&lt;12,"Daily","Weekly"))</f>
        <v/>
      </c>
      <c r="AA346">
        <f>IF(T346="",0,IF(T346&lt;12,T346*Controls!$B$29,T346*5))</f>
        <v/>
      </c>
      <c r="AB346">
        <f>IF(E346="",0,NETWORKDAYS(E346,Controls!$B$36,Ref!$K$2:$K$42))</f>
        <v/>
      </c>
      <c r="AC346">
        <f>IF(AND(AA346&gt;0,AB346&gt;=Controls!$B$39*AA346),1,0)</f>
        <v/>
      </c>
      <c r="AD346">
        <f>IF(AND(E346&lt;&gt;"",E346&gt;=Controls!$B$37,E346&lt;=Controls!$B$38),1,0)</f>
        <v/>
      </c>
      <c r="AE346">
        <f>IF(IFERROR(VLOOKUP(D346,Controls!$A$64:$E$74,2,FALSE),"No")="Yes",1,0)</f>
        <v/>
      </c>
      <c r="AF346">
        <f>IF(IFERROR(VLOOKUP(D346,Controls!$A$64:$E$74,3,FALSE),"No")="Yes",1,0)</f>
        <v/>
      </c>
      <c r="AG346">
        <f>IF(IFERROR(VLOOKUP(D346,Controls!$A$64:$E$74,4,FALSE),"No")="Yes",1,0)</f>
        <v/>
      </c>
      <c r="AH346">
        <f>IF(IFERROR(VLOOKUP(D346,Controls!$A$64:$E$74,5,FALSE),"No")="Yes",1,0)</f>
        <v/>
      </c>
      <c r="AI346">
        <f>IF(ISNUMBER(MATCH(D346,Controls!$A$64:$A$74,0)),1,0)</f>
        <v/>
      </c>
      <c r="AJ346">
        <f>Q346-N346</f>
        <v/>
      </c>
      <c r="AK346">
        <f>IF(AE346=1,MAX(0,N346-Q346),0)</f>
        <v/>
      </c>
      <c r="AL346">
        <f>IF(OR(V346="",V346=0),0,N346/V346)</f>
        <v/>
      </c>
      <c r="AM346">
        <f>IF(OR(V346="",V346=0),0,1)</f>
        <v/>
      </c>
      <c r="AN346">
        <f>IF(OR(E346="",F346=""),0,NETWORKDAYS(E346,F346,Ref!$K$2:$K$42))</f>
        <v/>
      </c>
      <c r="AO346">
        <f>IF(L346="Renewal",1,0)</f>
        <v/>
      </c>
      <c r="AP346">
        <f>AC346*AD346</f>
        <v/>
      </c>
      <c r="AQ346">
        <f>IF(AND(G346&lt;&gt;"",'Historical Score'!$C$6&lt;&gt;""),IF(G346='Historical Score'!$C$6,1,0),0)</f>
        <v/>
      </c>
      <c r="AR346">
        <f>IF(AND(L346&lt;&gt;"",'Historical Score'!$C$5&lt;&gt;""),IF(L346='Historical Score'!$C$5,1,0),0)</f>
        <v/>
      </c>
      <c r="AS346">
        <f>IF(AND(Y346&lt;&gt;"",'Historical Score'!$C$7&lt;&gt;""),IF(Y346='Historical Score'!$C$7,1,0),0)</f>
        <v/>
      </c>
      <c r="AT346">
        <f>IF(AND(K346&lt;&gt;"",'Historical Score'!$C$8&lt;&gt;""),IF(K346='Historical Score'!$C$8,1,0),0)</f>
        <v/>
      </c>
      <c r="AU346">
        <f>IF(AND(J346&lt;&gt;"",'Historical Score'!$C$9&lt;&gt;""),IF(J346='Historical Score'!$C$9,1,0),0)</f>
        <v/>
      </c>
      <c r="AV346">
        <f>AR346*AS346*AQ346</f>
        <v/>
      </c>
      <c r="AW346">
        <f>AR346*AT346*AQ346</f>
        <v/>
      </c>
      <c r="AX346">
        <f>AR346*AS346</f>
        <v/>
      </c>
      <c r="AY346">
        <f>AR346*AT346</f>
        <v/>
      </c>
      <c r="AZ346">
        <f>AR346*AQ346</f>
        <v/>
      </c>
      <c r="BA346">
        <f>AR346</f>
        <v/>
      </c>
      <c r="BB346">
        <f>1</f>
        <v/>
      </c>
      <c r="BC346">
        <f>IF(AV346=1,1,IF(AW346=1,2,IF(AX346=1,3,IF(AY346=1,4,IF(AZ346=1,5,IF(BA346=1,6,7))))))</f>
        <v/>
      </c>
      <c r="BD346">
        <f>IF(AD346=1,CHOOSE('Historical Score'!$C$29,AV346,AW346,AX346,AY346,AZ346,BA346,BB346),0)</f>
        <v/>
      </c>
      <c r="BE346">
        <f>IF(BD346=1,COUNTIF($BD$2:BD346,1),"")</f>
        <v/>
      </c>
    </row>
    <row r="347">
      <c r="A347" t="inlineStr">
        <is>
          <t>5674171180</t>
        </is>
      </c>
      <c r="B347" t="inlineStr">
        <is>
          <t>MOOR HERBS MARKETPLACE</t>
        </is>
      </c>
      <c r="C347" t="inlineStr">
        <is>
          <t>THE MOORISH SCIENCE - TEMPLE THE DIVINE AND NATIONAL MOVEMENT OF NORTH AMERICA INC</t>
        </is>
      </c>
      <c r="D347" t="inlineStr">
        <is>
          <t>Closed</t>
        </is>
      </c>
      <c r="E347" s="297" t="n">
        <v>45973</v>
      </c>
      <c r="F347" s="297" t="n">
        <v>46059</v>
      </c>
      <c r="G347" t="n">
        <v>4</v>
      </c>
      <c r="H347" t="inlineStr">
        <is>
          <t>5999</t>
        </is>
      </c>
      <c r="I347" t="inlineStr">
        <is>
          <t>59</t>
        </is>
      </c>
      <c r="J347" t="inlineStr">
        <is>
          <t>MI</t>
        </is>
      </c>
      <c r="K347" t="inlineStr">
        <is>
          <t>United Secured Capital 8</t>
        </is>
      </c>
      <c r="L347" t="inlineStr">
        <is>
          <t>Renewal</t>
        </is>
      </c>
      <c r="M347" s="298" t="n">
        <v>1.49</v>
      </c>
      <c r="N347" s="299" t="n">
        <v>35000</v>
      </c>
      <c r="O347" s="299" t="n">
        <v>4900</v>
      </c>
      <c r="P347" s="299" t="n">
        <v>52150</v>
      </c>
      <c r="Q347" s="299" t="n">
        <v>52150</v>
      </c>
      <c r="R347" s="299" t="n">
        <v>0</v>
      </c>
      <c r="S347" s="300" t="n">
        <v>1</v>
      </c>
      <c r="T347" t="n">
        <v>3.279</v>
      </c>
      <c r="U347" t="n">
        <v>0</v>
      </c>
      <c r="V347" t="n">
        <v>104379.99</v>
      </c>
      <c r="W347" s="300" t="n">
        <v>0.155</v>
      </c>
      <c r="X347" s="297" t="n">
        <v>43221</v>
      </c>
      <c r="Y347">
        <f>IF(I347="","No SIC",IFERROR(VLOOKUP(I347,Ref!$A$2:$B$65,2,FALSE),"Unclassified"))</f>
        <v/>
      </c>
      <c r="Z347">
        <f>IF(T347="","",IF(T347&lt;12,"Daily","Weekly"))</f>
        <v/>
      </c>
      <c r="AA347">
        <f>IF(T347="",0,IF(T347&lt;12,T347*Controls!$B$29,T347*5))</f>
        <v/>
      </c>
      <c r="AB347">
        <f>IF(E347="",0,NETWORKDAYS(E347,Controls!$B$36,Ref!$K$2:$K$42))</f>
        <v/>
      </c>
      <c r="AC347">
        <f>IF(AND(AA347&gt;0,AB347&gt;=Controls!$B$39*AA347),1,0)</f>
        <v/>
      </c>
      <c r="AD347">
        <f>IF(AND(E347&lt;&gt;"",E347&gt;=Controls!$B$37,E347&lt;=Controls!$B$38),1,0)</f>
        <v/>
      </c>
      <c r="AE347">
        <f>IF(IFERROR(VLOOKUP(D347,Controls!$A$64:$E$74,2,FALSE),"No")="Yes",1,0)</f>
        <v/>
      </c>
      <c r="AF347">
        <f>IF(IFERROR(VLOOKUP(D347,Controls!$A$64:$E$74,3,FALSE),"No")="Yes",1,0)</f>
        <v/>
      </c>
      <c r="AG347">
        <f>IF(IFERROR(VLOOKUP(D347,Controls!$A$64:$E$74,4,FALSE),"No")="Yes",1,0)</f>
        <v/>
      </c>
      <c r="AH347">
        <f>IF(IFERROR(VLOOKUP(D347,Controls!$A$64:$E$74,5,FALSE),"No")="Yes",1,0)</f>
        <v/>
      </c>
      <c r="AI347">
        <f>IF(ISNUMBER(MATCH(D347,Controls!$A$64:$A$74,0)),1,0)</f>
        <v/>
      </c>
      <c r="AJ347">
        <f>Q347-N347</f>
        <v/>
      </c>
      <c r="AK347">
        <f>IF(AE347=1,MAX(0,N347-Q347),0)</f>
        <v/>
      </c>
      <c r="AL347">
        <f>IF(OR(V347="",V347=0),0,N347/V347)</f>
        <v/>
      </c>
      <c r="AM347">
        <f>IF(OR(V347="",V347=0),0,1)</f>
        <v/>
      </c>
      <c r="AN347">
        <f>IF(OR(E347="",F347=""),0,NETWORKDAYS(E347,F347,Ref!$K$2:$K$42))</f>
        <v/>
      </c>
      <c r="AO347">
        <f>IF(L347="Renewal",1,0)</f>
        <v/>
      </c>
      <c r="AP347">
        <f>AC347*AD347</f>
        <v/>
      </c>
      <c r="AQ347">
        <f>IF(AND(G347&lt;&gt;"",'Historical Score'!$C$6&lt;&gt;""),IF(G347='Historical Score'!$C$6,1,0),0)</f>
        <v/>
      </c>
      <c r="AR347">
        <f>IF(AND(L347&lt;&gt;"",'Historical Score'!$C$5&lt;&gt;""),IF(L347='Historical Score'!$C$5,1,0),0)</f>
        <v/>
      </c>
      <c r="AS347">
        <f>IF(AND(Y347&lt;&gt;"",'Historical Score'!$C$7&lt;&gt;""),IF(Y347='Historical Score'!$C$7,1,0),0)</f>
        <v/>
      </c>
      <c r="AT347">
        <f>IF(AND(K347&lt;&gt;"",'Historical Score'!$C$8&lt;&gt;""),IF(K347='Historical Score'!$C$8,1,0),0)</f>
        <v/>
      </c>
      <c r="AU347">
        <f>IF(AND(J347&lt;&gt;"",'Historical Score'!$C$9&lt;&gt;""),IF(J347='Historical Score'!$C$9,1,0),0)</f>
        <v/>
      </c>
      <c r="AV347">
        <f>AR347*AS347*AQ347</f>
        <v/>
      </c>
      <c r="AW347">
        <f>AR347*AT347*AQ347</f>
        <v/>
      </c>
      <c r="AX347">
        <f>AR347*AS347</f>
        <v/>
      </c>
      <c r="AY347">
        <f>AR347*AT347</f>
        <v/>
      </c>
      <c r="AZ347">
        <f>AR347*AQ347</f>
        <v/>
      </c>
      <c r="BA347">
        <f>AR347</f>
        <v/>
      </c>
      <c r="BB347">
        <f>1</f>
        <v/>
      </c>
      <c r="BC347">
        <f>IF(AV347=1,1,IF(AW347=1,2,IF(AX347=1,3,IF(AY347=1,4,IF(AZ347=1,5,IF(BA347=1,6,7))))))</f>
        <v/>
      </c>
      <c r="BD347">
        <f>IF(AD347=1,CHOOSE('Historical Score'!$C$29,AV347,AW347,AX347,AY347,AZ347,BA347,BB347),0)</f>
        <v/>
      </c>
      <c r="BE347">
        <f>IF(BD347=1,COUNTIF($BD$2:BD347,1),"")</f>
        <v/>
      </c>
    </row>
    <row r="348">
      <c r="A348" t="inlineStr">
        <is>
          <t>5674171206</t>
        </is>
      </c>
      <c r="B348" t="inlineStr">
        <is>
          <t>FiberCom Engineering</t>
        </is>
      </c>
      <c r="C348" t="inlineStr">
        <is>
          <t>FiberCom Engineering LLC</t>
        </is>
      </c>
      <c r="D348" t="inlineStr">
        <is>
          <t>Lowered Payments</t>
        </is>
      </c>
      <c r="E348" s="297" t="n">
        <v>45973</v>
      </c>
      <c r="F348" s="297" t="n">
        <v>46252</v>
      </c>
      <c r="G348" t="n">
        <v>3</v>
      </c>
      <c r="H348" t="inlineStr">
        <is>
          <t>1731</t>
        </is>
      </c>
      <c r="I348" t="inlineStr">
        <is>
          <t>17</t>
        </is>
      </c>
      <c r="J348" t="inlineStr">
        <is>
          <t>GA</t>
        </is>
      </c>
      <c r="K348" t="inlineStr">
        <is>
          <t>Fundwell</t>
        </is>
      </c>
      <c r="L348" t="inlineStr">
        <is>
          <t>New Deal</t>
        </is>
      </c>
      <c r="M348" s="298" t="n">
        <v>1.42</v>
      </c>
      <c r="N348" s="299" t="n">
        <v>70000</v>
      </c>
      <c r="O348" s="299" t="n">
        <v>9800</v>
      </c>
      <c r="P348" s="299" t="n">
        <v>99400</v>
      </c>
      <c r="Q348" s="299" t="n">
        <v>81587.49000000001</v>
      </c>
      <c r="R348" s="299" t="n">
        <v>17812.51</v>
      </c>
      <c r="S348" s="300" t="n">
        <v>0.820799698189135</v>
      </c>
      <c r="T348" t="n">
        <v>33</v>
      </c>
      <c r="U348" t="n">
        <v>0</v>
      </c>
      <c r="V348" t="n">
        <v>163465.58</v>
      </c>
      <c r="W348" s="300" t="n">
        <v>0.0737</v>
      </c>
      <c r="X348" s="297" t="n">
        <v>45478</v>
      </c>
      <c r="Y348">
        <f>IF(I348="","No SIC",IFERROR(VLOOKUP(I348,Ref!$A$2:$B$65,2,FALSE),"Unclassified"))</f>
        <v/>
      </c>
      <c r="Z348">
        <f>IF(T348="","",IF(T348&lt;12,"Daily","Weekly"))</f>
        <v/>
      </c>
      <c r="AA348">
        <f>IF(T348="",0,IF(T348&lt;12,T348*Controls!$B$29,T348*5))</f>
        <v/>
      </c>
      <c r="AB348">
        <f>IF(E348="",0,NETWORKDAYS(E348,Controls!$B$36,Ref!$K$2:$K$42))</f>
        <v/>
      </c>
      <c r="AC348">
        <f>IF(AND(AA348&gt;0,AB348&gt;=Controls!$B$39*AA348),1,0)</f>
        <v/>
      </c>
      <c r="AD348">
        <f>IF(AND(E348&lt;&gt;"",E348&gt;=Controls!$B$37,E348&lt;=Controls!$B$38),1,0)</f>
        <v/>
      </c>
      <c r="AE348">
        <f>IF(IFERROR(VLOOKUP(D348,Controls!$A$64:$E$74,2,FALSE),"No")="Yes",1,0)</f>
        <v/>
      </c>
      <c r="AF348">
        <f>IF(IFERROR(VLOOKUP(D348,Controls!$A$64:$E$74,3,FALSE),"No")="Yes",1,0)</f>
        <v/>
      </c>
      <c r="AG348">
        <f>IF(IFERROR(VLOOKUP(D348,Controls!$A$64:$E$74,4,FALSE),"No")="Yes",1,0)</f>
        <v/>
      </c>
      <c r="AH348">
        <f>IF(IFERROR(VLOOKUP(D348,Controls!$A$64:$E$74,5,FALSE),"No")="Yes",1,0)</f>
        <v/>
      </c>
      <c r="AI348">
        <f>IF(ISNUMBER(MATCH(D348,Controls!$A$64:$A$74,0)),1,0)</f>
        <v/>
      </c>
      <c r="AJ348">
        <f>Q348-N348</f>
        <v/>
      </c>
      <c r="AK348">
        <f>IF(AE348=1,MAX(0,N348-Q348),0)</f>
        <v/>
      </c>
      <c r="AL348">
        <f>IF(OR(V348="",V348=0),0,N348/V348)</f>
        <v/>
      </c>
      <c r="AM348">
        <f>IF(OR(V348="",V348=0),0,1)</f>
        <v/>
      </c>
      <c r="AN348">
        <f>IF(OR(E348="",F348=""),0,NETWORKDAYS(E348,F348,Ref!$K$2:$K$42))</f>
        <v/>
      </c>
      <c r="AO348">
        <f>IF(L348="Renewal",1,0)</f>
        <v/>
      </c>
      <c r="AP348">
        <f>AC348*AD348</f>
        <v/>
      </c>
      <c r="AQ348">
        <f>IF(AND(G348&lt;&gt;"",'Historical Score'!$C$6&lt;&gt;""),IF(G348='Historical Score'!$C$6,1,0),0)</f>
        <v/>
      </c>
      <c r="AR348">
        <f>IF(AND(L348&lt;&gt;"",'Historical Score'!$C$5&lt;&gt;""),IF(L348='Historical Score'!$C$5,1,0),0)</f>
        <v/>
      </c>
      <c r="AS348">
        <f>IF(AND(Y348&lt;&gt;"",'Historical Score'!$C$7&lt;&gt;""),IF(Y348='Historical Score'!$C$7,1,0),0)</f>
        <v/>
      </c>
      <c r="AT348">
        <f>IF(AND(K348&lt;&gt;"",'Historical Score'!$C$8&lt;&gt;""),IF(K348='Historical Score'!$C$8,1,0),0)</f>
        <v/>
      </c>
      <c r="AU348">
        <f>IF(AND(J348&lt;&gt;"",'Historical Score'!$C$9&lt;&gt;""),IF(J348='Historical Score'!$C$9,1,0),0)</f>
        <v/>
      </c>
      <c r="AV348">
        <f>AR348*AS348*AQ348</f>
        <v/>
      </c>
      <c r="AW348">
        <f>AR348*AT348*AQ348</f>
        <v/>
      </c>
      <c r="AX348">
        <f>AR348*AS348</f>
        <v/>
      </c>
      <c r="AY348">
        <f>AR348*AT348</f>
        <v/>
      </c>
      <c r="AZ348">
        <f>AR348*AQ348</f>
        <v/>
      </c>
      <c r="BA348">
        <f>AR348</f>
        <v/>
      </c>
      <c r="BB348">
        <f>1</f>
        <v/>
      </c>
      <c r="BC348">
        <f>IF(AV348=1,1,IF(AW348=1,2,IF(AX348=1,3,IF(AY348=1,4,IF(AZ348=1,5,IF(BA348=1,6,7))))))</f>
        <v/>
      </c>
      <c r="BD348">
        <f>IF(AD348=1,CHOOSE('Historical Score'!$C$29,AV348,AW348,AX348,AY348,AZ348,BA348,BB348),0)</f>
        <v/>
      </c>
      <c r="BE348">
        <f>IF(BD348=1,COUNTIF($BD$2:BD348,1),"")</f>
        <v/>
      </c>
    </row>
    <row r="349">
      <c r="A349" t="inlineStr">
        <is>
          <t>5674171233</t>
        </is>
      </c>
      <c r="B349" t="inlineStr">
        <is>
          <t>ICE COLD AIR</t>
        </is>
      </c>
      <c r="C349" t="inlineStr">
        <is>
          <t>CAMPBELL AUTOMOTIVE 730 LLC</t>
        </is>
      </c>
      <c r="D349" t="inlineStr">
        <is>
          <t>Open</t>
        </is>
      </c>
      <c r="E349" s="297" t="n">
        <v>45973</v>
      </c>
      <c r="F349" s="297" t="n">
        <v>46253</v>
      </c>
      <c r="G349" t="n">
        <v>3</v>
      </c>
      <c r="H349" t="inlineStr">
        <is>
          <t>2396</t>
        </is>
      </c>
      <c r="I349" t="inlineStr">
        <is>
          <t>23</t>
        </is>
      </c>
      <c r="J349" t="inlineStr">
        <is>
          <t>FL</t>
        </is>
      </c>
      <c r="K349" t="inlineStr">
        <is>
          <t>Fundwell</t>
        </is>
      </c>
      <c r="L349" t="inlineStr">
        <is>
          <t>New Deal</t>
        </is>
      </c>
      <c r="M349" s="298" t="n">
        <v>1.36</v>
      </c>
      <c r="N349" s="299" t="n">
        <v>75000</v>
      </c>
      <c r="O349" s="299" t="n">
        <v>7500</v>
      </c>
      <c r="P349" s="299" t="n">
        <v>102000</v>
      </c>
      <c r="Q349" s="299" t="n">
        <v>85018.39999999999</v>
      </c>
      <c r="R349" s="299" t="n">
        <v>16981.6</v>
      </c>
      <c r="S349" s="300" t="n">
        <v>0.833513725490196</v>
      </c>
      <c r="T349" t="n">
        <v>48</v>
      </c>
      <c r="U349" t="n">
        <v>0</v>
      </c>
      <c r="V349" t="n">
        <v>92411.35000000001</v>
      </c>
      <c r="W349" s="300" t="n">
        <v>0.092</v>
      </c>
      <c r="X349" s="297" t="n">
        <v>43221</v>
      </c>
      <c r="Y349">
        <f>IF(I349="","No SIC",IFERROR(VLOOKUP(I349,Ref!$A$2:$B$65,2,FALSE),"Unclassified"))</f>
        <v/>
      </c>
      <c r="Z349">
        <f>IF(T349="","",IF(T349&lt;12,"Daily","Weekly"))</f>
        <v/>
      </c>
      <c r="AA349">
        <f>IF(T349="",0,IF(T349&lt;12,T349*Controls!$B$29,T349*5))</f>
        <v/>
      </c>
      <c r="AB349">
        <f>IF(E349="",0,NETWORKDAYS(E349,Controls!$B$36,Ref!$K$2:$K$42))</f>
        <v/>
      </c>
      <c r="AC349">
        <f>IF(AND(AA349&gt;0,AB349&gt;=Controls!$B$39*AA349),1,0)</f>
        <v/>
      </c>
      <c r="AD349">
        <f>IF(AND(E349&lt;&gt;"",E349&gt;=Controls!$B$37,E349&lt;=Controls!$B$38),1,0)</f>
        <v/>
      </c>
      <c r="AE349">
        <f>IF(IFERROR(VLOOKUP(D349,Controls!$A$64:$E$74,2,FALSE),"No")="Yes",1,0)</f>
        <v/>
      </c>
      <c r="AF349">
        <f>IF(IFERROR(VLOOKUP(D349,Controls!$A$64:$E$74,3,FALSE),"No")="Yes",1,0)</f>
        <v/>
      </c>
      <c r="AG349">
        <f>IF(IFERROR(VLOOKUP(D349,Controls!$A$64:$E$74,4,FALSE),"No")="Yes",1,0)</f>
        <v/>
      </c>
      <c r="AH349">
        <f>IF(IFERROR(VLOOKUP(D349,Controls!$A$64:$E$74,5,FALSE),"No")="Yes",1,0)</f>
        <v/>
      </c>
      <c r="AI349">
        <f>IF(ISNUMBER(MATCH(D349,Controls!$A$64:$A$74,0)),1,0)</f>
        <v/>
      </c>
      <c r="AJ349">
        <f>Q349-N349</f>
        <v/>
      </c>
      <c r="AK349">
        <f>IF(AE349=1,MAX(0,N349-Q349),0)</f>
        <v/>
      </c>
      <c r="AL349">
        <f>IF(OR(V349="",V349=0),0,N349/V349)</f>
        <v/>
      </c>
      <c r="AM349">
        <f>IF(OR(V349="",V349=0),0,1)</f>
        <v/>
      </c>
      <c r="AN349">
        <f>IF(OR(E349="",F349=""),0,NETWORKDAYS(E349,F349,Ref!$K$2:$K$42))</f>
        <v/>
      </c>
      <c r="AO349">
        <f>IF(L349="Renewal",1,0)</f>
        <v/>
      </c>
      <c r="AP349">
        <f>AC349*AD349</f>
        <v/>
      </c>
      <c r="AQ349">
        <f>IF(AND(G349&lt;&gt;"",'Historical Score'!$C$6&lt;&gt;""),IF(G349='Historical Score'!$C$6,1,0),0)</f>
        <v/>
      </c>
      <c r="AR349">
        <f>IF(AND(L349&lt;&gt;"",'Historical Score'!$C$5&lt;&gt;""),IF(L349='Historical Score'!$C$5,1,0),0)</f>
        <v/>
      </c>
      <c r="AS349">
        <f>IF(AND(Y349&lt;&gt;"",'Historical Score'!$C$7&lt;&gt;""),IF(Y349='Historical Score'!$C$7,1,0),0)</f>
        <v/>
      </c>
      <c r="AT349">
        <f>IF(AND(K349&lt;&gt;"",'Historical Score'!$C$8&lt;&gt;""),IF(K349='Historical Score'!$C$8,1,0),0)</f>
        <v/>
      </c>
      <c r="AU349">
        <f>IF(AND(J349&lt;&gt;"",'Historical Score'!$C$9&lt;&gt;""),IF(J349='Historical Score'!$C$9,1,0),0)</f>
        <v/>
      </c>
      <c r="AV349">
        <f>AR349*AS349*AQ349</f>
        <v/>
      </c>
      <c r="AW349">
        <f>AR349*AT349*AQ349</f>
        <v/>
      </c>
      <c r="AX349">
        <f>AR349*AS349</f>
        <v/>
      </c>
      <c r="AY349">
        <f>AR349*AT349</f>
        <v/>
      </c>
      <c r="AZ349">
        <f>AR349*AQ349</f>
        <v/>
      </c>
      <c r="BA349">
        <f>AR349</f>
        <v/>
      </c>
      <c r="BB349">
        <f>1</f>
        <v/>
      </c>
      <c r="BC349">
        <f>IF(AV349=1,1,IF(AW349=1,2,IF(AX349=1,3,IF(AY349=1,4,IF(AZ349=1,5,IF(BA349=1,6,7))))))</f>
        <v/>
      </c>
      <c r="BD349">
        <f>IF(AD349=1,CHOOSE('Historical Score'!$C$29,AV349,AW349,AX349,AY349,AZ349,BA349,BB349),0)</f>
        <v/>
      </c>
      <c r="BE349">
        <f>IF(BD349=1,COUNTIF($BD$2:BD349,1),"")</f>
        <v/>
      </c>
    </row>
    <row r="350">
      <c r="A350" t="inlineStr">
        <is>
          <t>5674171266</t>
        </is>
      </c>
      <c r="B350" t="inlineStr">
        <is>
          <t>EMPIRE DENTAL SUPPLIES &amp; SERVICE</t>
        </is>
      </c>
      <c r="C350" t="inlineStr">
        <is>
          <t>EMPIRE DENTAL SUPPLIES &amp; SERVICE</t>
        </is>
      </c>
      <c r="D350" t="inlineStr">
        <is>
          <t>Closed</t>
        </is>
      </c>
      <c r="E350" s="297" t="n">
        <v>45974</v>
      </c>
      <c r="F350" s="297" t="n">
        <v>46043</v>
      </c>
      <c r="G350" t="n">
        <v>3</v>
      </c>
      <c r="H350" t="inlineStr">
        <is>
          <t>3845</t>
        </is>
      </c>
      <c r="I350" t="inlineStr">
        <is>
          <t>38</t>
        </is>
      </c>
      <c r="J350" t="inlineStr">
        <is>
          <t>CA</t>
        </is>
      </c>
      <c r="K350" t="inlineStr">
        <is>
          <t>Fundwell</t>
        </is>
      </c>
      <c r="L350" t="inlineStr">
        <is>
          <t>New Deal</t>
        </is>
      </c>
      <c r="M350" s="298" t="n">
        <v>1.4</v>
      </c>
      <c r="N350" s="299" t="n">
        <v>20000</v>
      </c>
      <c r="O350" s="299" t="n">
        <v>2600</v>
      </c>
      <c r="P350" s="299" t="n">
        <v>28000</v>
      </c>
      <c r="Q350" s="299" t="n">
        <v>28000</v>
      </c>
      <c r="R350" s="299" t="n">
        <v>0</v>
      </c>
      <c r="S350" s="300" t="n">
        <v>1</v>
      </c>
      <c r="T350" t="n">
        <v>2.623</v>
      </c>
      <c r="U350" t="n">
        <v>1</v>
      </c>
      <c r="V350" t="n">
        <v>136915.86</v>
      </c>
      <c r="W350" s="300" t="n">
        <v>0.0537</v>
      </c>
      <c r="X350" s="297" t="n"/>
      <c r="Y350">
        <f>IF(I350="","No SIC",IFERROR(VLOOKUP(I350,Ref!$A$2:$B$65,2,FALSE),"Unclassified"))</f>
        <v/>
      </c>
      <c r="Z350">
        <f>IF(T350="","",IF(T350&lt;12,"Daily","Weekly"))</f>
        <v/>
      </c>
      <c r="AA350">
        <f>IF(T350="",0,IF(T350&lt;12,T350*Controls!$B$29,T350*5))</f>
        <v/>
      </c>
      <c r="AB350">
        <f>IF(E350="",0,NETWORKDAYS(E350,Controls!$B$36,Ref!$K$2:$K$42))</f>
        <v/>
      </c>
      <c r="AC350">
        <f>IF(AND(AA350&gt;0,AB350&gt;=Controls!$B$39*AA350),1,0)</f>
        <v/>
      </c>
      <c r="AD350">
        <f>IF(AND(E350&lt;&gt;"",E350&gt;=Controls!$B$37,E350&lt;=Controls!$B$38),1,0)</f>
        <v/>
      </c>
      <c r="AE350">
        <f>IF(IFERROR(VLOOKUP(D350,Controls!$A$64:$E$74,2,FALSE),"No")="Yes",1,0)</f>
        <v/>
      </c>
      <c r="AF350">
        <f>IF(IFERROR(VLOOKUP(D350,Controls!$A$64:$E$74,3,FALSE),"No")="Yes",1,0)</f>
        <v/>
      </c>
      <c r="AG350">
        <f>IF(IFERROR(VLOOKUP(D350,Controls!$A$64:$E$74,4,FALSE),"No")="Yes",1,0)</f>
        <v/>
      </c>
      <c r="AH350">
        <f>IF(IFERROR(VLOOKUP(D350,Controls!$A$64:$E$74,5,FALSE),"No")="Yes",1,0)</f>
        <v/>
      </c>
      <c r="AI350">
        <f>IF(ISNUMBER(MATCH(D350,Controls!$A$64:$A$74,0)),1,0)</f>
        <v/>
      </c>
      <c r="AJ350">
        <f>Q350-N350</f>
        <v/>
      </c>
      <c r="AK350">
        <f>IF(AE350=1,MAX(0,N350-Q350),0)</f>
        <v/>
      </c>
      <c r="AL350">
        <f>IF(OR(V350="",V350=0),0,N350/V350)</f>
        <v/>
      </c>
      <c r="AM350">
        <f>IF(OR(V350="",V350=0),0,1)</f>
        <v/>
      </c>
      <c r="AN350">
        <f>IF(OR(E350="",F350=""),0,NETWORKDAYS(E350,F350,Ref!$K$2:$K$42))</f>
        <v/>
      </c>
      <c r="AO350">
        <f>IF(L350="Renewal",1,0)</f>
        <v/>
      </c>
      <c r="AP350">
        <f>AC350*AD350</f>
        <v/>
      </c>
      <c r="AQ350">
        <f>IF(AND(G350&lt;&gt;"",'Historical Score'!$C$6&lt;&gt;""),IF(G350='Historical Score'!$C$6,1,0),0)</f>
        <v/>
      </c>
      <c r="AR350">
        <f>IF(AND(L350&lt;&gt;"",'Historical Score'!$C$5&lt;&gt;""),IF(L350='Historical Score'!$C$5,1,0),0)</f>
        <v/>
      </c>
      <c r="AS350">
        <f>IF(AND(Y350&lt;&gt;"",'Historical Score'!$C$7&lt;&gt;""),IF(Y350='Historical Score'!$C$7,1,0),0)</f>
        <v/>
      </c>
      <c r="AT350">
        <f>IF(AND(K350&lt;&gt;"",'Historical Score'!$C$8&lt;&gt;""),IF(K350='Historical Score'!$C$8,1,0),0)</f>
        <v/>
      </c>
      <c r="AU350">
        <f>IF(AND(J350&lt;&gt;"",'Historical Score'!$C$9&lt;&gt;""),IF(J350='Historical Score'!$C$9,1,0),0)</f>
        <v/>
      </c>
      <c r="AV350">
        <f>AR350*AS350*AQ350</f>
        <v/>
      </c>
      <c r="AW350">
        <f>AR350*AT350*AQ350</f>
        <v/>
      </c>
      <c r="AX350">
        <f>AR350*AS350</f>
        <v/>
      </c>
      <c r="AY350">
        <f>AR350*AT350</f>
        <v/>
      </c>
      <c r="AZ350">
        <f>AR350*AQ350</f>
        <v/>
      </c>
      <c r="BA350">
        <f>AR350</f>
        <v/>
      </c>
      <c r="BB350">
        <f>1</f>
        <v/>
      </c>
      <c r="BC350">
        <f>IF(AV350=1,1,IF(AW350=1,2,IF(AX350=1,3,IF(AY350=1,4,IF(AZ350=1,5,IF(BA350=1,6,7))))))</f>
        <v/>
      </c>
      <c r="BD350">
        <f>IF(AD350=1,CHOOSE('Historical Score'!$C$29,AV350,AW350,AX350,AY350,AZ350,BA350,BB350),0)</f>
        <v/>
      </c>
      <c r="BE350">
        <f>IF(BD350=1,COUNTIF($BD$2:BD350,1),"")</f>
        <v/>
      </c>
    </row>
    <row r="351">
      <c r="A351" t="inlineStr">
        <is>
          <t>5674171326</t>
        </is>
      </c>
      <c r="B351" t="inlineStr">
        <is>
          <t>V&amp;P Express LLC</t>
        </is>
      </c>
      <c r="C351" t="inlineStr">
        <is>
          <t>V&amp;P Express LLC</t>
        </is>
      </c>
      <c r="D351" t="inlineStr">
        <is>
          <t>Legal</t>
        </is>
      </c>
      <c r="E351" s="297" t="n">
        <v>45974</v>
      </c>
      <c r="F351" s="297" t="n">
        <v>46048</v>
      </c>
      <c r="G351" t="n">
        <v>3</v>
      </c>
      <c r="H351" t="inlineStr">
        <is>
          <t>4212</t>
        </is>
      </c>
      <c r="I351" t="inlineStr">
        <is>
          <t>42</t>
        </is>
      </c>
      <c r="J351" t="inlineStr">
        <is>
          <t>GA</t>
        </is>
      </c>
      <c r="K351" t="inlineStr">
        <is>
          <t>ROK</t>
        </is>
      </c>
      <c r="L351" t="inlineStr">
        <is>
          <t>New Deal</t>
        </is>
      </c>
      <c r="M351" s="298" t="n">
        <v>1.5</v>
      </c>
      <c r="N351" s="299" t="n">
        <v>5000</v>
      </c>
      <c r="O351" s="299" t="n">
        <v>700</v>
      </c>
      <c r="P351" s="299" t="n">
        <v>7500</v>
      </c>
      <c r="Q351" s="299" t="n">
        <v>3095.74</v>
      </c>
      <c r="R351" s="299" t="n">
        <v>4404.26</v>
      </c>
      <c r="S351" s="300" t="n">
        <v>0.412765333333333</v>
      </c>
      <c r="T351" t="n">
        <v>1.967</v>
      </c>
      <c r="U351" t="n">
        <v>23</v>
      </c>
      <c r="V351" t="n">
        <v>20583.2</v>
      </c>
      <c r="W351" s="300" t="n">
        <v>0.1266</v>
      </c>
      <c r="X351" s="297" t="n">
        <v>44911</v>
      </c>
      <c r="Y351">
        <f>IF(I351="","No SIC",IFERROR(VLOOKUP(I351,Ref!$A$2:$B$65,2,FALSE),"Unclassified"))</f>
        <v/>
      </c>
      <c r="Z351">
        <f>IF(T351="","",IF(T351&lt;12,"Daily","Weekly"))</f>
        <v/>
      </c>
      <c r="AA351">
        <f>IF(T351="",0,IF(T351&lt;12,T351*Controls!$B$29,T351*5))</f>
        <v/>
      </c>
      <c r="AB351">
        <f>IF(E351="",0,NETWORKDAYS(E351,Controls!$B$36,Ref!$K$2:$K$42))</f>
        <v/>
      </c>
      <c r="AC351">
        <f>IF(AND(AA351&gt;0,AB351&gt;=Controls!$B$39*AA351),1,0)</f>
        <v/>
      </c>
      <c r="AD351">
        <f>IF(AND(E351&lt;&gt;"",E351&gt;=Controls!$B$37,E351&lt;=Controls!$B$38),1,0)</f>
        <v/>
      </c>
      <c r="AE351">
        <f>IF(IFERROR(VLOOKUP(D351,Controls!$A$64:$E$74,2,FALSE),"No")="Yes",1,0)</f>
        <v/>
      </c>
      <c r="AF351">
        <f>IF(IFERROR(VLOOKUP(D351,Controls!$A$64:$E$74,3,FALSE),"No")="Yes",1,0)</f>
        <v/>
      </c>
      <c r="AG351">
        <f>IF(IFERROR(VLOOKUP(D351,Controls!$A$64:$E$74,4,FALSE),"No")="Yes",1,0)</f>
        <v/>
      </c>
      <c r="AH351">
        <f>IF(IFERROR(VLOOKUP(D351,Controls!$A$64:$E$74,5,FALSE),"No")="Yes",1,0)</f>
        <v/>
      </c>
      <c r="AI351">
        <f>IF(ISNUMBER(MATCH(D351,Controls!$A$64:$A$74,0)),1,0)</f>
        <v/>
      </c>
      <c r="AJ351">
        <f>Q351-N351</f>
        <v/>
      </c>
      <c r="AK351">
        <f>IF(AE351=1,MAX(0,N351-Q351),0)</f>
        <v/>
      </c>
      <c r="AL351">
        <f>IF(OR(V351="",V351=0),0,N351/V351)</f>
        <v/>
      </c>
      <c r="AM351">
        <f>IF(OR(V351="",V351=0),0,1)</f>
        <v/>
      </c>
      <c r="AN351">
        <f>IF(OR(E351="",F351=""),0,NETWORKDAYS(E351,F351,Ref!$K$2:$K$42))</f>
        <v/>
      </c>
      <c r="AO351">
        <f>IF(L351="Renewal",1,0)</f>
        <v/>
      </c>
      <c r="AP351">
        <f>AC351*AD351</f>
        <v/>
      </c>
      <c r="AQ351">
        <f>IF(AND(G351&lt;&gt;"",'Historical Score'!$C$6&lt;&gt;""),IF(G351='Historical Score'!$C$6,1,0),0)</f>
        <v/>
      </c>
      <c r="AR351">
        <f>IF(AND(L351&lt;&gt;"",'Historical Score'!$C$5&lt;&gt;""),IF(L351='Historical Score'!$C$5,1,0),0)</f>
        <v/>
      </c>
      <c r="AS351">
        <f>IF(AND(Y351&lt;&gt;"",'Historical Score'!$C$7&lt;&gt;""),IF(Y351='Historical Score'!$C$7,1,0),0)</f>
        <v/>
      </c>
      <c r="AT351">
        <f>IF(AND(K351&lt;&gt;"",'Historical Score'!$C$8&lt;&gt;""),IF(K351='Historical Score'!$C$8,1,0),0)</f>
        <v/>
      </c>
      <c r="AU351">
        <f>IF(AND(J351&lt;&gt;"",'Historical Score'!$C$9&lt;&gt;""),IF(J351='Historical Score'!$C$9,1,0),0)</f>
        <v/>
      </c>
      <c r="AV351">
        <f>AR351*AS351*AQ351</f>
        <v/>
      </c>
      <c r="AW351">
        <f>AR351*AT351*AQ351</f>
        <v/>
      </c>
      <c r="AX351">
        <f>AR351*AS351</f>
        <v/>
      </c>
      <c r="AY351">
        <f>AR351*AT351</f>
        <v/>
      </c>
      <c r="AZ351">
        <f>AR351*AQ351</f>
        <v/>
      </c>
      <c r="BA351">
        <f>AR351</f>
        <v/>
      </c>
      <c r="BB351">
        <f>1</f>
        <v/>
      </c>
      <c r="BC351">
        <f>IF(AV351=1,1,IF(AW351=1,2,IF(AX351=1,3,IF(AY351=1,4,IF(AZ351=1,5,IF(BA351=1,6,7))))))</f>
        <v/>
      </c>
      <c r="BD351">
        <f>IF(AD351=1,CHOOSE('Historical Score'!$C$29,AV351,AW351,AX351,AY351,AZ351,BA351,BB351),0)</f>
        <v/>
      </c>
      <c r="BE351">
        <f>IF(BD351=1,COUNTIF($BD$2:BD351,1),"")</f>
        <v/>
      </c>
    </row>
    <row r="352">
      <c r="A352" t="inlineStr">
        <is>
          <t>5674171417</t>
        </is>
      </c>
      <c r="B352" t="inlineStr">
        <is>
          <t>CIMIKOSKI STEM CELLS</t>
        </is>
      </c>
      <c r="C352" t="inlineStr">
        <is>
          <t>CIMIKOSKI STEM CELLS</t>
        </is>
      </c>
      <c r="D352" t="inlineStr">
        <is>
          <t>Legal</t>
        </is>
      </c>
      <c r="E352" s="297" t="n">
        <v>45975</v>
      </c>
      <c r="F352" s="297" t="n">
        <v>46237</v>
      </c>
      <c r="G352" t="n">
        <v>1</v>
      </c>
      <c r="H352" t="inlineStr">
        <is>
          <t>8011</t>
        </is>
      </c>
      <c r="I352" t="inlineStr">
        <is>
          <t>80</t>
        </is>
      </c>
      <c r="J352" t="inlineStr">
        <is>
          <t>UT</t>
        </is>
      </c>
      <c r="K352" t="inlineStr">
        <is>
          <t>EZ ADVANCE LLC</t>
        </is>
      </c>
      <c r="L352" t="inlineStr">
        <is>
          <t>New Deal</t>
        </is>
      </c>
      <c r="M352" s="298" t="n">
        <v>1.499</v>
      </c>
      <c r="N352" s="299" t="n">
        <v>30000</v>
      </c>
      <c r="O352" s="299" t="n">
        <v>4200</v>
      </c>
      <c r="P352" s="299" t="n">
        <v>44970</v>
      </c>
      <c r="Q352" s="299" t="n">
        <v>32790.72</v>
      </c>
      <c r="R352" s="299" t="n">
        <v>12179.28</v>
      </c>
      <c r="S352" s="300" t="n">
        <v>0.729168779186124</v>
      </c>
      <c r="T352" t="n">
        <v>2.951</v>
      </c>
      <c r="U352" t="n">
        <v>3</v>
      </c>
      <c r="W352" s="300" t="n">
        <v>0.095</v>
      </c>
      <c r="X352" s="297" t="n">
        <v>45420</v>
      </c>
      <c r="Y352">
        <f>IF(I352="","No SIC",IFERROR(VLOOKUP(I352,Ref!$A$2:$B$65,2,FALSE),"Unclassified"))</f>
        <v/>
      </c>
      <c r="Z352">
        <f>IF(T352="","",IF(T352&lt;12,"Daily","Weekly"))</f>
        <v/>
      </c>
      <c r="AA352">
        <f>IF(T352="",0,IF(T352&lt;12,T352*Controls!$B$29,T352*5))</f>
        <v/>
      </c>
      <c r="AB352">
        <f>IF(E352="",0,NETWORKDAYS(E352,Controls!$B$36,Ref!$K$2:$K$42))</f>
        <v/>
      </c>
      <c r="AC352">
        <f>IF(AND(AA352&gt;0,AB352&gt;=Controls!$B$39*AA352),1,0)</f>
        <v/>
      </c>
      <c r="AD352">
        <f>IF(AND(E352&lt;&gt;"",E352&gt;=Controls!$B$37,E352&lt;=Controls!$B$38),1,0)</f>
        <v/>
      </c>
      <c r="AE352">
        <f>IF(IFERROR(VLOOKUP(D352,Controls!$A$64:$E$74,2,FALSE),"No")="Yes",1,0)</f>
        <v/>
      </c>
      <c r="AF352">
        <f>IF(IFERROR(VLOOKUP(D352,Controls!$A$64:$E$74,3,FALSE),"No")="Yes",1,0)</f>
        <v/>
      </c>
      <c r="AG352">
        <f>IF(IFERROR(VLOOKUP(D352,Controls!$A$64:$E$74,4,FALSE),"No")="Yes",1,0)</f>
        <v/>
      </c>
      <c r="AH352">
        <f>IF(IFERROR(VLOOKUP(D352,Controls!$A$64:$E$74,5,FALSE),"No")="Yes",1,0)</f>
        <v/>
      </c>
      <c r="AI352">
        <f>IF(ISNUMBER(MATCH(D352,Controls!$A$64:$A$74,0)),1,0)</f>
        <v/>
      </c>
      <c r="AJ352">
        <f>Q352-N352</f>
        <v/>
      </c>
      <c r="AK352">
        <f>IF(AE352=1,MAX(0,N352-Q352),0)</f>
        <v/>
      </c>
      <c r="AL352">
        <f>IF(OR(V352="",V352=0),0,N352/V352)</f>
        <v/>
      </c>
      <c r="AM352">
        <f>IF(OR(V352="",V352=0),0,1)</f>
        <v/>
      </c>
      <c r="AN352">
        <f>IF(OR(E352="",F352=""),0,NETWORKDAYS(E352,F352,Ref!$K$2:$K$42))</f>
        <v/>
      </c>
      <c r="AO352">
        <f>IF(L352="Renewal",1,0)</f>
        <v/>
      </c>
      <c r="AP352">
        <f>AC352*AD352</f>
        <v/>
      </c>
      <c r="AQ352">
        <f>IF(AND(G352&lt;&gt;"",'Historical Score'!$C$6&lt;&gt;""),IF(G352='Historical Score'!$C$6,1,0),0)</f>
        <v/>
      </c>
      <c r="AR352">
        <f>IF(AND(L352&lt;&gt;"",'Historical Score'!$C$5&lt;&gt;""),IF(L352='Historical Score'!$C$5,1,0),0)</f>
        <v/>
      </c>
      <c r="AS352">
        <f>IF(AND(Y352&lt;&gt;"",'Historical Score'!$C$7&lt;&gt;""),IF(Y352='Historical Score'!$C$7,1,0),0)</f>
        <v/>
      </c>
      <c r="AT352">
        <f>IF(AND(K352&lt;&gt;"",'Historical Score'!$C$8&lt;&gt;""),IF(K352='Historical Score'!$C$8,1,0),0)</f>
        <v/>
      </c>
      <c r="AU352">
        <f>IF(AND(J352&lt;&gt;"",'Historical Score'!$C$9&lt;&gt;""),IF(J352='Historical Score'!$C$9,1,0),0)</f>
        <v/>
      </c>
      <c r="AV352">
        <f>AR352*AS352*AQ352</f>
        <v/>
      </c>
      <c r="AW352">
        <f>AR352*AT352*AQ352</f>
        <v/>
      </c>
      <c r="AX352">
        <f>AR352*AS352</f>
        <v/>
      </c>
      <c r="AY352">
        <f>AR352*AT352</f>
        <v/>
      </c>
      <c r="AZ352">
        <f>AR352*AQ352</f>
        <v/>
      </c>
      <c r="BA352">
        <f>AR352</f>
        <v/>
      </c>
      <c r="BB352">
        <f>1</f>
        <v/>
      </c>
      <c r="BC352">
        <f>IF(AV352=1,1,IF(AW352=1,2,IF(AX352=1,3,IF(AY352=1,4,IF(AZ352=1,5,IF(BA352=1,6,7))))))</f>
        <v/>
      </c>
      <c r="BD352">
        <f>IF(AD352=1,CHOOSE('Historical Score'!$C$29,AV352,AW352,AX352,AY352,AZ352,BA352,BB352),0)</f>
        <v/>
      </c>
      <c r="BE352">
        <f>IF(BD352=1,COUNTIF($BD$2:BD352,1),"")</f>
        <v/>
      </c>
    </row>
    <row r="353">
      <c r="A353" t="inlineStr">
        <is>
          <t>5674171445</t>
        </is>
      </c>
      <c r="B353" t="inlineStr">
        <is>
          <t>TONA PROPERTY MANAGEMENT</t>
        </is>
      </c>
      <c r="C353" t="inlineStr">
        <is>
          <t>TONA PROPERTY MANAGEMENT LLC</t>
        </is>
      </c>
      <c r="D353" t="inlineStr">
        <is>
          <t>Legal</t>
        </is>
      </c>
      <c r="E353" s="297" t="n">
        <v>45975</v>
      </c>
      <c r="F353" s="297" t="n">
        <v>46080</v>
      </c>
      <c r="G353" t="n">
        <v>2</v>
      </c>
      <c r="H353" t="inlineStr">
        <is>
          <t>6531</t>
        </is>
      </c>
      <c r="I353" t="inlineStr">
        <is>
          <t>65</t>
        </is>
      </c>
      <c r="J353" t="inlineStr">
        <is>
          <t>NJ</t>
        </is>
      </c>
      <c r="K353" t="inlineStr">
        <is>
          <t>EZ ADVANCE LLC</t>
        </is>
      </c>
      <c r="L353" t="inlineStr">
        <is>
          <t>New Deal</t>
        </is>
      </c>
      <c r="M353" s="298" t="n">
        <v>1.37</v>
      </c>
      <c r="N353" s="299" t="n">
        <v>175000</v>
      </c>
      <c r="O353" s="299" t="n">
        <v>15750</v>
      </c>
      <c r="P353" s="299" t="n">
        <v>239750</v>
      </c>
      <c r="Q353" s="299" t="n">
        <v>77278.03999999999</v>
      </c>
      <c r="R353" s="299" t="n">
        <v>162471.96</v>
      </c>
      <c r="S353" s="300" t="n">
        <v>0.322327591240876</v>
      </c>
      <c r="T353" t="n">
        <v>36</v>
      </c>
      <c r="U353" t="n">
        <v>7</v>
      </c>
      <c r="V353" t="n">
        <v>383970.98</v>
      </c>
      <c r="W353" s="300" t="n">
        <v>0.0694</v>
      </c>
      <c r="X353" s="297" t="n">
        <v>39625</v>
      </c>
      <c r="Y353">
        <f>IF(I353="","No SIC",IFERROR(VLOOKUP(I353,Ref!$A$2:$B$65,2,FALSE),"Unclassified"))</f>
        <v/>
      </c>
      <c r="Z353">
        <f>IF(T353="","",IF(T353&lt;12,"Daily","Weekly"))</f>
        <v/>
      </c>
      <c r="AA353">
        <f>IF(T353="",0,IF(T353&lt;12,T353*Controls!$B$29,T353*5))</f>
        <v/>
      </c>
      <c r="AB353">
        <f>IF(E353="",0,NETWORKDAYS(E353,Controls!$B$36,Ref!$K$2:$K$42))</f>
        <v/>
      </c>
      <c r="AC353">
        <f>IF(AND(AA353&gt;0,AB353&gt;=Controls!$B$39*AA353),1,0)</f>
        <v/>
      </c>
      <c r="AD353">
        <f>IF(AND(E353&lt;&gt;"",E353&gt;=Controls!$B$37,E353&lt;=Controls!$B$38),1,0)</f>
        <v/>
      </c>
      <c r="AE353">
        <f>IF(IFERROR(VLOOKUP(D353,Controls!$A$64:$E$74,2,FALSE),"No")="Yes",1,0)</f>
        <v/>
      </c>
      <c r="AF353">
        <f>IF(IFERROR(VLOOKUP(D353,Controls!$A$64:$E$74,3,FALSE),"No")="Yes",1,0)</f>
        <v/>
      </c>
      <c r="AG353">
        <f>IF(IFERROR(VLOOKUP(D353,Controls!$A$64:$E$74,4,FALSE),"No")="Yes",1,0)</f>
        <v/>
      </c>
      <c r="AH353">
        <f>IF(IFERROR(VLOOKUP(D353,Controls!$A$64:$E$74,5,FALSE),"No")="Yes",1,0)</f>
        <v/>
      </c>
      <c r="AI353">
        <f>IF(ISNUMBER(MATCH(D353,Controls!$A$64:$A$74,0)),1,0)</f>
        <v/>
      </c>
      <c r="AJ353">
        <f>Q353-N353</f>
        <v/>
      </c>
      <c r="AK353">
        <f>IF(AE353=1,MAX(0,N353-Q353),0)</f>
        <v/>
      </c>
      <c r="AL353">
        <f>IF(OR(V353="",V353=0),0,N353/V353)</f>
        <v/>
      </c>
      <c r="AM353">
        <f>IF(OR(V353="",V353=0),0,1)</f>
        <v/>
      </c>
      <c r="AN353">
        <f>IF(OR(E353="",F353=""),0,NETWORKDAYS(E353,F353,Ref!$K$2:$K$42))</f>
        <v/>
      </c>
      <c r="AO353">
        <f>IF(L353="Renewal",1,0)</f>
        <v/>
      </c>
      <c r="AP353">
        <f>AC353*AD353</f>
        <v/>
      </c>
      <c r="AQ353">
        <f>IF(AND(G353&lt;&gt;"",'Historical Score'!$C$6&lt;&gt;""),IF(G353='Historical Score'!$C$6,1,0),0)</f>
        <v/>
      </c>
      <c r="AR353">
        <f>IF(AND(L353&lt;&gt;"",'Historical Score'!$C$5&lt;&gt;""),IF(L353='Historical Score'!$C$5,1,0),0)</f>
        <v/>
      </c>
      <c r="AS353">
        <f>IF(AND(Y353&lt;&gt;"",'Historical Score'!$C$7&lt;&gt;""),IF(Y353='Historical Score'!$C$7,1,0),0)</f>
        <v/>
      </c>
      <c r="AT353">
        <f>IF(AND(K353&lt;&gt;"",'Historical Score'!$C$8&lt;&gt;""),IF(K353='Historical Score'!$C$8,1,0),0)</f>
        <v/>
      </c>
      <c r="AU353">
        <f>IF(AND(J353&lt;&gt;"",'Historical Score'!$C$9&lt;&gt;""),IF(J353='Historical Score'!$C$9,1,0),0)</f>
        <v/>
      </c>
      <c r="AV353">
        <f>AR353*AS353*AQ353</f>
        <v/>
      </c>
      <c r="AW353">
        <f>AR353*AT353*AQ353</f>
        <v/>
      </c>
      <c r="AX353">
        <f>AR353*AS353</f>
        <v/>
      </c>
      <c r="AY353">
        <f>AR353*AT353</f>
        <v/>
      </c>
      <c r="AZ353">
        <f>AR353*AQ353</f>
        <v/>
      </c>
      <c r="BA353">
        <f>AR353</f>
        <v/>
      </c>
      <c r="BB353">
        <f>1</f>
        <v/>
      </c>
      <c r="BC353">
        <f>IF(AV353=1,1,IF(AW353=1,2,IF(AX353=1,3,IF(AY353=1,4,IF(AZ353=1,5,IF(BA353=1,6,7))))))</f>
        <v/>
      </c>
      <c r="BD353">
        <f>IF(AD353=1,CHOOSE('Historical Score'!$C$29,AV353,AW353,AX353,AY353,AZ353,BA353,BB353),0)</f>
        <v/>
      </c>
      <c r="BE353">
        <f>IF(BD353=1,COUNTIF($BD$2:BD353,1),"")</f>
        <v/>
      </c>
    </row>
    <row r="354">
      <c r="A354" t="inlineStr">
        <is>
          <t>5674171469</t>
        </is>
      </c>
      <c r="B354" t="inlineStr">
        <is>
          <t>BEST MOVERS FALLS CHURCH VA</t>
        </is>
      </c>
      <c r="C354" t="inlineStr">
        <is>
          <t>PIECE OF CAKE LLC,  LOCAL BEST MOVERS LLC</t>
        </is>
      </c>
      <c r="D354" t="inlineStr">
        <is>
          <t>Closed/NSF</t>
        </is>
      </c>
      <c r="E354" s="297" t="n">
        <v>45978</v>
      </c>
      <c r="F354" s="297" t="n">
        <v>46245</v>
      </c>
      <c r="G354" t="n">
        <v>2</v>
      </c>
      <c r="H354" t="inlineStr">
        <is>
          <t>4212</t>
        </is>
      </c>
      <c r="I354" t="inlineStr">
        <is>
          <t>42</t>
        </is>
      </c>
      <c r="J354" t="inlineStr">
        <is>
          <t>VA</t>
        </is>
      </c>
      <c r="K354" t="inlineStr">
        <is>
          <t>Shore Funding USA</t>
        </is>
      </c>
      <c r="L354" t="inlineStr">
        <is>
          <t>New Deal</t>
        </is>
      </c>
      <c r="M354" s="298" t="n">
        <v>1.49</v>
      </c>
      <c r="N354" s="299" t="n">
        <v>32000</v>
      </c>
      <c r="O354" s="299" t="n">
        <v>4480</v>
      </c>
      <c r="P354" s="299" t="n">
        <v>47680</v>
      </c>
      <c r="Q354" s="299" t="n">
        <v>47680</v>
      </c>
      <c r="R354" s="299" t="n">
        <v>0</v>
      </c>
      <c r="S354" s="300" t="n">
        <v>1</v>
      </c>
      <c r="T354" t="n">
        <v>24</v>
      </c>
      <c r="U354" t="n">
        <v>35</v>
      </c>
      <c r="V354" t="n">
        <v>53092.66</v>
      </c>
      <c r="W354" s="300" t="n">
        <v>0.1497</v>
      </c>
      <c r="X354" s="297" t="n">
        <v>43466</v>
      </c>
      <c r="Y354">
        <f>IF(I354="","No SIC",IFERROR(VLOOKUP(I354,Ref!$A$2:$B$65,2,FALSE),"Unclassified"))</f>
        <v/>
      </c>
      <c r="Z354">
        <f>IF(T354="","",IF(T354&lt;12,"Daily","Weekly"))</f>
        <v/>
      </c>
      <c r="AA354">
        <f>IF(T354="",0,IF(T354&lt;12,T354*Controls!$B$29,T354*5))</f>
        <v/>
      </c>
      <c r="AB354">
        <f>IF(E354="",0,NETWORKDAYS(E354,Controls!$B$36,Ref!$K$2:$K$42))</f>
        <v/>
      </c>
      <c r="AC354">
        <f>IF(AND(AA354&gt;0,AB354&gt;=Controls!$B$39*AA354),1,0)</f>
        <v/>
      </c>
      <c r="AD354">
        <f>IF(AND(E354&lt;&gt;"",E354&gt;=Controls!$B$37,E354&lt;=Controls!$B$38),1,0)</f>
        <v/>
      </c>
      <c r="AE354">
        <f>IF(IFERROR(VLOOKUP(D354,Controls!$A$64:$E$74,2,FALSE),"No")="Yes",1,0)</f>
        <v/>
      </c>
      <c r="AF354">
        <f>IF(IFERROR(VLOOKUP(D354,Controls!$A$64:$E$74,3,FALSE),"No")="Yes",1,0)</f>
        <v/>
      </c>
      <c r="AG354">
        <f>IF(IFERROR(VLOOKUP(D354,Controls!$A$64:$E$74,4,FALSE),"No")="Yes",1,0)</f>
        <v/>
      </c>
      <c r="AH354">
        <f>IF(IFERROR(VLOOKUP(D354,Controls!$A$64:$E$74,5,FALSE),"No")="Yes",1,0)</f>
        <v/>
      </c>
      <c r="AI354">
        <f>IF(ISNUMBER(MATCH(D354,Controls!$A$64:$A$74,0)),1,0)</f>
        <v/>
      </c>
      <c r="AJ354">
        <f>Q354-N354</f>
        <v/>
      </c>
      <c r="AK354">
        <f>IF(AE354=1,MAX(0,N354-Q354),0)</f>
        <v/>
      </c>
      <c r="AL354">
        <f>IF(OR(V354="",V354=0),0,N354/V354)</f>
        <v/>
      </c>
      <c r="AM354">
        <f>IF(OR(V354="",V354=0),0,1)</f>
        <v/>
      </c>
      <c r="AN354">
        <f>IF(OR(E354="",F354=""),0,NETWORKDAYS(E354,F354,Ref!$K$2:$K$42))</f>
        <v/>
      </c>
      <c r="AO354">
        <f>IF(L354="Renewal",1,0)</f>
        <v/>
      </c>
      <c r="AP354">
        <f>AC354*AD354</f>
        <v/>
      </c>
      <c r="AQ354">
        <f>IF(AND(G354&lt;&gt;"",'Historical Score'!$C$6&lt;&gt;""),IF(G354='Historical Score'!$C$6,1,0),0)</f>
        <v/>
      </c>
      <c r="AR354">
        <f>IF(AND(L354&lt;&gt;"",'Historical Score'!$C$5&lt;&gt;""),IF(L354='Historical Score'!$C$5,1,0),0)</f>
        <v/>
      </c>
      <c r="AS354">
        <f>IF(AND(Y354&lt;&gt;"",'Historical Score'!$C$7&lt;&gt;""),IF(Y354='Historical Score'!$C$7,1,0),0)</f>
        <v/>
      </c>
      <c r="AT354">
        <f>IF(AND(K354&lt;&gt;"",'Historical Score'!$C$8&lt;&gt;""),IF(K354='Historical Score'!$C$8,1,0),0)</f>
        <v/>
      </c>
      <c r="AU354">
        <f>IF(AND(J354&lt;&gt;"",'Historical Score'!$C$9&lt;&gt;""),IF(J354='Historical Score'!$C$9,1,0),0)</f>
        <v/>
      </c>
      <c r="AV354">
        <f>AR354*AS354*AQ354</f>
        <v/>
      </c>
      <c r="AW354">
        <f>AR354*AT354*AQ354</f>
        <v/>
      </c>
      <c r="AX354">
        <f>AR354*AS354</f>
        <v/>
      </c>
      <c r="AY354">
        <f>AR354*AT354</f>
        <v/>
      </c>
      <c r="AZ354">
        <f>AR354*AQ354</f>
        <v/>
      </c>
      <c r="BA354">
        <f>AR354</f>
        <v/>
      </c>
      <c r="BB354">
        <f>1</f>
        <v/>
      </c>
      <c r="BC354">
        <f>IF(AV354=1,1,IF(AW354=1,2,IF(AX354=1,3,IF(AY354=1,4,IF(AZ354=1,5,IF(BA354=1,6,7))))))</f>
        <v/>
      </c>
      <c r="BD354">
        <f>IF(AD354=1,CHOOSE('Historical Score'!$C$29,AV354,AW354,AX354,AY354,AZ354,BA354,BB354),0)</f>
        <v/>
      </c>
      <c r="BE354">
        <f>IF(BD354=1,COUNTIF($BD$2:BD354,1),"")</f>
        <v/>
      </c>
    </row>
    <row r="355">
      <c r="A355" t="inlineStr">
        <is>
          <t>5674171571</t>
        </is>
      </c>
      <c r="B355" t="inlineStr">
        <is>
          <t>Antique Kitchen Family</t>
        </is>
      </c>
      <c r="C355" t="inlineStr">
        <is>
          <t>G.A.J. INC</t>
        </is>
      </c>
      <c r="D355" t="inlineStr">
        <is>
          <t>Legal</t>
        </is>
      </c>
      <c r="E355" s="297" t="n">
        <v>45979</v>
      </c>
      <c r="F355" s="297" t="n">
        <v>46044</v>
      </c>
      <c r="G355" t="n">
        <v>3</v>
      </c>
      <c r="H355" t="inlineStr">
        <is>
          <t>5812</t>
        </is>
      </c>
      <c r="I355" t="inlineStr">
        <is>
          <t>58</t>
        </is>
      </c>
      <c r="J355" t="inlineStr">
        <is>
          <t>MI</t>
        </is>
      </c>
      <c r="K355" t="inlineStr">
        <is>
          <t>level 3 funding</t>
        </is>
      </c>
      <c r="L355" t="inlineStr">
        <is>
          <t>New Deal</t>
        </is>
      </c>
      <c r="M355" s="298" t="n">
        <v>1.49</v>
      </c>
      <c r="N355" s="299" t="n">
        <v>20000</v>
      </c>
      <c r="O355" s="299" t="n">
        <v>2800</v>
      </c>
      <c r="P355" s="299" t="n">
        <v>29800</v>
      </c>
      <c r="Q355" s="299" t="n">
        <v>9396.799999999999</v>
      </c>
      <c r="R355" s="299" t="n">
        <v>20403.2</v>
      </c>
      <c r="S355" s="300" t="n">
        <v>0.315328859060403</v>
      </c>
      <c r="T355" t="n">
        <v>3.934</v>
      </c>
      <c r="U355" t="n">
        <v>4</v>
      </c>
      <c r="V355" t="n">
        <v>52818.19</v>
      </c>
      <c r="W355" s="300" t="n">
        <v>0.0934</v>
      </c>
      <c r="X355" s="297" t="n">
        <v>45047</v>
      </c>
      <c r="Y355">
        <f>IF(I355="","No SIC",IFERROR(VLOOKUP(I355,Ref!$A$2:$B$65,2,FALSE),"Unclassified"))</f>
        <v/>
      </c>
      <c r="Z355">
        <f>IF(T355="","",IF(T355&lt;12,"Daily","Weekly"))</f>
        <v/>
      </c>
      <c r="AA355">
        <f>IF(T355="",0,IF(T355&lt;12,T355*Controls!$B$29,T355*5))</f>
        <v/>
      </c>
      <c r="AB355">
        <f>IF(E355="",0,NETWORKDAYS(E355,Controls!$B$36,Ref!$K$2:$K$42))</f>
        <v/>
      </c>
      <c r="AC355">
        <f>IF(AND(AA355&gt;0,AB355&gt;=Controls!$B$39*AA355),1,0)</f>
        <v/>
      </c>
      <c r="AD355">
        <f>IF(AND(E355&lt;&gt;"",E355&gt;=Controls!$B$37,E355&lt;=Controls!$B$38),1,0)</f>
        <v/>
      </c>
      <c r="AE355">
        <f>IF(IFERROR(VLOOKUP(D355,Controls!$A$64:$E$74,2,FALSE),"No")="Yes",1,0)</f>
        <v/>
      </c>
      <c r="AF355">
        <f>IF(IFERROR(VLOOKUP(D355,Controls!$A$64:$E$74,3,FALSE),"No")="Yes",1,0)</f>
        <v/>
      </c>
      <c r="AG355">
        <f>IF(IFERROR(VLOOKUP(D355,Controls!$A$64:$E$74,4,FALSE),"No")="Yes",1,0)</f>
        <v/>
      </c>
      <c r="AH355">
        <f>IF(IFERROR(VLOOKUP(D355,Controls!$A$64:$E$74,5,FALSE),"No")="Yes",1,0)</f>
        <v/>
      </c>
      <c r="AI355">
        <f>IF(ISNUMBER(MATCH(D355,Controls!$A$64:$A$74,0)),1,0)</f>
        <v/>
      </c>
      <c r="AJ355">
        <f>Q355-N355</f>
        <v/>
      </c>
      <c r="AK355">
        <f>IF(AE355=1,MAX(0,N355-Q355),0)</f>
        <v/>
      </c>
      <c r="AL355">
        <f>IF(OR(V355="",V355=0),0,N355/V355)</f>
        <v/>
      </c>
      <c r="AM355">
        <f>IF(OR(V355="",V355=0),0,1)</f>
        <v/>
      </c>
      <c r="AN355">
        <f>IF(OR(E355="",F355=""),0,NETWORKDAYS(E355,F355,Ref!$K$2:$K$42))</f>
        <v/>
      </c>
      <c r="AO355">
        <f>IF(L355="Renewal",1,0)</f>
        <v/>
      </c>
      <c r="AP355">
        <f>AC355*AD355</f>
        <v/>
      </c>
      <c r="AQ355">
        <f>IF(AND(G355&lt;&gt;"",'Historical Score'!$C$6&lt;&gt;""),IF(G355='Historical Score'!$C$6,1,0),0)</f>
        <v/>
      </c>
      <c r="AR355">
        <f>IF(AND(L355&lt;&gt;"",'Historical Score'!$C$5&lt;&gt;""),IF(L355='Historical Score'!$C$5,1,0),0)</f>
        <v/>
      </c>
      <c r="AS355">
        <f>IF(AND(Y355&lt;&gt;"",'Historical Score'!$C$7&lt;&gt;""),IF(Y355='Historical Score'!$C$7,1,0),0)</f>
        <v/>
      </c>
      <c r="AT355">
        <f>IF(AND(K355&lt;&gt;"",'Historical Score'!$C$8&lt;&gt;""),IF(K355='Historical Score'!$C$8,1,0),0)</f>
        <v/>
      </c>
      <c r="AU355">
        <f>IF(AND(J355&lt;&gt;"",'Historical Score'!$C$9&lt;&gt;""),IF(J355='Historical Score'!$C$9,1,0),0)</f>
        <v/>
      </c>
      <c r="AV355">
        <f>AR355*AS355*AQ355</f>
        <v/>
      </c>
      <c r="AW355">
        <f>AR355*AT355*AQ355</f>
        <v/>
      </c>
      <c r="AX355">
        <f>AR355*AS355</f>
        <v/>
      </c>
      <c r="AY355">
        <f>AR355*AT355</f>
        <v/>
      </c>
      <c r="AZ355">
        <f>AR355*AQ355</f>
        <v/>
      </c>
      <c r="BA355">
        <f>AR355</f>
        <v/>
      </c>
      <c r="BB355">
        <f>1</f>
        <v/>
      </c>
      <c r="BC355">
        <f>IF(AV355=1,1,IF(AW355=1,2,IF(AX355=1,3,IF(AY355=1,4,IF(AZ355=1,5,IF(BA355=1,6,7))))))</f>
        <v/>
      </c>
      <c r="BD355">
        <f>IF(AD355=1,CHOOSE('Historical Score'!$C$29,AV355,AW355,AX355,AY355,AZ355,BA355,BB355),0)</f>
        <v/>
      </c>
      <c r="BE355">
        <f>IF(BD355=1,COUNTIF($BD$2:BD355,1),"")</f>
        <v/>
      </c>
    </row>
    <row r="356">
      <c r="A356" t="inlineStr">
        <is>
          <t>5674171580</t>
        </is>
      </c>
      <c r="B356" t="inlineStr">
        <is>
          <t>J&amp;S ENTERPRISES UNLIMITED LLC</t>
        </is>
      </c>
      <c r="C356" t="inlineStr">
        <is>
          <t>J&amp;S ENTERPRISES UNLIMITED LLC</t>
        </is>
      </c>
      <c r="D356" t="inlineStr">
        <is>
          <t>Legal</t>
        </is>
      </c>
      <c r="E356" s="297" t="n">
        <v>45979</v>
      </c>
      <c r="F356" s="297" t="n">
        <v>46045</v>
      </c>
      <c r="G356" t="n">
        <v>4</v>
      </c>
      <c r="H356" t="inlineStr">
        <is>
          <t>4212</t>
        </is>
      </c>
      <c r="I356" t="inlineStr">
        <is>
          <t>42</t>
        </is>
      </c>
      <c r="J356" t="inlineStr">
        <is>
          <t>TX</t>
        </is>
      </c>
      <c r="K356" t="inlineStr">
        <is>
          <t>legacy funding llc</t>
        </is>
      </c>
      <c r="L356" t="inlineStr">
        <is>
          <t>New Deal</t>
        </is>
      </c>
      <c r="M356" s="298" t="n">
        <v>1.499</v>
      </c>
      <c r="N356" s="299" t="n">
        <v>10000</v>
      </c>
      <c r="O356" s="299" t="n">
        <v>1400</v>
      </c>
      <c r="P356" s="299" t="n">
        <v>14990</v>
      </c>
      <c r="Q356" s="299" t="n">
        <v>2513.2</v>
      </c>
      <c r="R356" s="299" t="n">
        <v>12476.8</v>
      </c>
      <c r="S356" s="300" t="n">
        <v>0.167658438959306</v>
      </c>
      <c r="T356" t="n">
        <v>2.623</v>
      </c>
      <c r="U356" t="n">
        <v>20</v>
      </c>
      <c r="V356" t="n">
        <v>66037.17</v>
      </c>
      <c r="W356" s="300" t="n">
        <v>0.0592</v>
      </c>
      <c r="X356" s="297" t="n"/>
      <c r="Y356">
        <f>IF(I356="","No SIC",IFERROR(VLOOKUP(I356,Ref!$A$2:$B$65,2,FALSE),"Unclassified"))</f>
        <v/>
      </c>
      <c r="Z356">
        <f>IF(T356="","",IF(T356&lt;12,"Daily","Weekly"))</f>
        <v/>
      </c>
      <c r="AA356">
        <f>IF(T356="",0,IF(T356&lt;12,T356*Controls!$B$29,T356*5))</f>
        <v/>
      </c>
      <c r="AB356">
        <f>IF(E356="",0,NETWORKDAYS(E356,Controls!$B$36,Ref!$K$2:$K$42))</f>
        <v/>
      </c>
      <c r="AC356">
        <f>IF(AND(AA356&gt;0,AB356&gt;=Controls!$B$39*AA356),1,0)</f>
        <v/>
      </c>
      <c r="AD356">
        <f>IF(AND(E356&lt;&gt;"",E356&gt;=Controls!$B$37,E356&lt;=Controls!$B$38),1,0)</f>
        <v/>
      </c>
      <c r="AE356">
        <f>IF(IFERROR(VLOOKUP(D356,Controls!$A$64:$E$74,2,FALSE),"No")="Yes",1,0)</f>
        <v/>
      </c>
      <c r="AF356">
        <f>IF(IFERROR(VLOOKUP(D356,Controls!$A$64:$E$74,3,FALSE),"No")="Yes",1,0)</f>
        <v/>
      </c>
      <c r="AG356">
        <f>IF(IFERROR(VLOOKUP(D356,Controls!$A$64:$E$74,4,FALSE),"No")="Yes",1,0)</f>
        <v/>
      </c>
      <c r="AH356">
        <f>IF(IFERROR(VLOOKUP(D356,Controls!$A$64:$E$74,5,FALSE),"No")="Yes",1,0)</f>
        <v/>
      </c>
      <c r="AI356">
        <f>IF(ISNUMBER(MATCH(D356,Controls!$A$64:$A$74,0)),1,0)</f>
        <v/>
      </c>
      <c r="AJ356">
        <f>Q356-N356</f>
        <v/>
      </c>
      <c r="AK356">
        <f>IF(AE356=1,MAX(0,N356-Q356),0)</f>
        <v/>
      </c>
      <c r="AL356">
        <f>IF(OR(V356="",V356=0),0,N356/V356)</f>
        <v/>
      </c>
      <c r="AM356">
        <f>IF(OR(V356="",V356=0),0,1)</f>
        <v/>
      </c>
      <c r="AN356">
        <f>IF(OR(E356="",F356=""),0,NETWORKDAYS(E356,F356,Ref!$K$2:$K$42))</f>
        <v/>
      </c>
      <c r="AO356">
        <f>IF(L356="Renewal",1,0)</f>
        <v/>
      </c>
      <c r="AP356">
        <f>AC356*AD356</f>
        <v/>
      </c>
      <c r="AQ356">
        <f>IF(AND(G356&lt;&gt;"",'Historical Score'!$C$6&lt;&gt;""),IF(G356='Historical Score'!$C$6,1,0),0)</f>
        <v/>
      </c>
      <c r="AR356">
        <f>IF(AND(L356&lt;&gt;"",'Historical Score'!$C$5&lt;&gt;""),IF(L356='Historical Score'!$C$5,1,0),0)</f>
        <v/>
      </c>
      <c r="AS356">
        <f>IF(AND(Y356&lt;&gt;"",'Historical Score'!$C$7&lt;&gt;""),IF(Y356='Historical Score'!$C$7,1,0),0)</f>
        <v/>
      </c>
      <c r="AT356">
        <f>IF(AND(K356&lt;&gt;"",'Historical Score'!$C$8&lt;&gt;""),IF(K356='Historical Score'!$C$8,1,0),0)</f>
        <v/>
      </c>
      <c r="AU356">
        <f>IF(AND(J356&lt;&gt;"",'Historical Score'!$C$9&lt;&gt;""),IF(J356='Historical Score'!$C$9,1,0),0)</f>
        <v/>
      </c>
      <c r="AV356">
        <f>AR356*AS356*AQ356</f>
        <v/>
      </c>
      <c r="AW356">
        <f>AR356*AT356*AQ356</f>
        <v/>
      </c>
      <c r="AX356">
        <f>AR356*AS356</f>
        <v/>
      </c>
      <c r="AY356">
        <f>AR356*AT356</f>
        <v/>
      </c>
      <c r="AZ356">
        <f>AR356*AQ356</f>
        <v/>
      </c>
      <c r="BA356">
        <f>AR356</f>
        <v/>
      </c>
      <c r="BB356">
        <f>1</f>
        <v/>
      </c>
      <c r="BC356">
        <f>IF(AV356=1,1,IF(AW356=1,2,IF(AX356=1,3,IF(AY356=1,4,IF(AZ356=1,5,IF(BA356=1,6,7))))))</f>
        <v/>
      </c>
      <c r="BD356">
        <f>IF(AD356=1,CHOOSE('Historical Score'!$C$29,AV356,AW356,AX356,AY356,AZ356,BA356,BB356),0)</f>
        <v/>
      </c>
      <c r="BE356">
        <f>IF(BD356=1,COUNTIF($BD$2:BD356,1),"")</f>
        <v/>
      </c>
    </row>
    <row r="357">
      <c r="A357" t="inlineStr">
        <is>
          <t>5674171592</t>
        </is>
      </c>
      <c r="B357" t="inlineStr">
        <is>
          <t>Mamaw's Cafe &amp; Catering</t>
        </is>
      </c>
      <c r="C357" t="inlineStr">
        <is>
          <t>Mamaw's Cafe &amp; Catering</t>
        </is>
      </c>
      <c r="D357" t="inlineStr">
        <is>
          <t>Settlement Agreement</t>
        </is>
      </c>
      <c r="E357" s="297" t="n">
        <v>45979</v>
      </c>
      <c r="F357" s="297" t="n">
        <v>46251</v>
      </c>
      <c r="G357" t="n">
        <v>4</v>
      </c>
      <c r="H357" t="inlineStr">
        <is>
          <t>5812</t>
        </is>
      </c>
      <c r="I357" t="inlineStr">
        <is>
          <t>58</t>
        </is>
      </c>
      <c r="J357" t="inlineStr">
        <is>
          <t>OK</t>
        </is>
      </c>
      <c r="K357" t="inlineStr">
        <is>
          <t>FundFlex</t>
        </is>
      </c>
      <c r="L357" t="inlineStr">
        <is>
          <t>New Deal</t>
        </is>
      </c>
      <c r="M357" s="298" t="n">
        <v>1.49</v>
      </c>
      <c r="N357" s="299" t="n">
        <v>22000</v>
      </c>
      <c r="O357" s="299" t="n">
        <v>3080</v>
      </c>
      <c r="P357" s="299" t="n">
        <v>32780</v>
      </c>
      <c r="Q357" s="299" t="n">
        <v>24449.85</v>
      </c>
      <c r="R357" s="299" t="n">
        <v>8330.15</v>
      </c>
      <c r="S357" s="300" t="n">
        <v>0.745877059182428</v>
      </c>
      <c r="T357" t="n">
        <v>2.951</v>
      </c>
      <c r="U357" t="n">
        <v>24</v>
      </c>
      <c r="V357" t="n">
        <v>101663.55</v>
      </c>
      <c r="W357" s="300" t="n">
        <v>0.0752</v>
      </c>
      <c r="X357" s="297" t="n">
        <v>45456</v>
      </c>
      <c r="Y357">
        <f>IF(I357="","No SIC",IFERROR(VLOOKUP(I357,Ref!$A$2:$B$65,2,FALSE),"Unclassified"))</f>
        <v/>
      </c>
      <c r="Z357">
        <f>IF(T357="","",IF(T357&lt;12,"Daily","Weekly"))</f>
        <v/>
      </c>
      <c r="AA357">
        <f>IF(T357="",0,IF(T357&lt;12,T357*Controls!$B$29,T357*5))</f>
        <v/>
      </c>
      <c r="AB357">
        <f>IF(E357="",0,NETWORKDAYS(E357,Controls!$B$36,Ref!$K$2:$K$42))</f>
        <v/>
      </c>
      <c r="AC357">
        <f>IF(AND(AA357&gt;0,AB357&gt;=Controls!$B$39*AA357),1,0)</f>
        <v/>
      </c>
      <c r="AD357">
        <f>IF(AND(E357&lt;&gt;"",E357&gt;=Controls!$B$37,E357&lt;=Controls!$B$38),1,0)</f>
        <v/>
      </c>
      <c r="AE357">
        <f>IF(IFERROR(VLOOKUP(D357,Controls!$A$64:$E$74,2,FALSE),"No")="Yes",1,0)</f>
        <v/>
      </c>
      <c r="AF357">
        <f>IF(IFERROR(VLOOKUP(D357,Controls!$A$64:$E$74,3,FALSE),"No")="Yes",1,0)</f>
        <v/>
      </c>
      <c r="AG357">
        <f>IF(IFERROR(VLOOKUP(D357,Controls!$A$64:$E$74,4,FALSE),"No")="Yes",1,0)</f>
        <v/>
      </c>
      <c r="AH357">
        <f>IF(IFERROR(VLOOKUP(D357,Controls!$A$64:$E$74,5,FALSE),"No")="Yes",1,0)</f>
        <v/>
      </c>
      <c r="AI357">
        <f>IF(ISNUMBER(MATCH(D357,Controls!$A$64:$A$74,0)),1,0)</f>
        <v/>
      </c>
      <c r="AJ357">
        <f>Q357-N357</f>
        <v/>
      </c>
      <c r="AK357">
        <f>IF(AE357=1,MAX(0,N357-Q357),0)</f>
        <v/>
      </c>
      <c r="AL357">
        <f>IF(OR(V357="",V357=0),0,N357/V357)</f>
        <v/>
      </c>
      <c r="AM357">
        <f>IF(OR(V357="",V357=0),0,1)</f>
        <v/>
      </c>
      <c r="AN357">
        <f>IF(OR(E357="",F357=""),0,NETWORKDAYS(E357,F357,Ref!$K$2:$K$42))</f>
        <v/>
      </c>
      <c r="AO357">
        <f>IF(L357="Renewal",1,0)</f>
        <v/>
      </c>
      <c r="AP357">
        <f>AC357*AD357</f>
        <v/>
      </c>
      <c r="AQ357">
        <f>IF(AND(G357&lt;&gt;"",'Historical Score'!$C$6&lt;&gt;""),IF(G357='Historical Score'!$C$6,1,0),0)</f>
        <v/>
      </c>
      <c r="AR357">
        <f>IF(AND(L357&lt;&gt;"",'Historical Score'!$C$5&lt;&gt;""),IF(L357='Historical Score'!$C$5,1,0),0)</f>
        <v/>
      </c>
      <c r="AS357">
        <f>IF(AND(Y357&lt;&gt;"",'Historical Score'!$C$7&lt;&gt;""),IF(Y357='Historical Score'!$C$7,1,0),0)</f>
        <v/>
      </c>
      <c r="AT357">
        <f>IF(AND(K357&lt;&gt;"",'Historical Score'!$C$8&lt;&gt;""),IF(K357='Historical Score'!$C$8,1,0),0)</f>
        <v/>
      </c>
      <c r="AU357">
        <f>IF(AND(J357&lt;&gt;"",'Historical Score'!$C$9&lt;&gt;""),IF(J357='Historical Score'!$C$9,1,0),0)</f>
        <v/>
      </c>
      <c r="AV357">
        <f>AR357*AS357*AQ357</f>
        <v/>
      </c>
      <c r="AW357">
        <f>AR357*AT357*AQ357</f>
        <v/>
      </c>
      <c r="AX357">
        <f>AR357*AS357</f>
        <v/>
      </c>
      <c r="AY357">
        <f>AR357*AT357</f>
        <v/>
      </c>
      <c r="AZ357">
        <f>AR357*AQ357</f>
        <v/>
      </c>
      <c r="BA357">
        <f>AR357</f>
        <v/>
      </c>
      <c r="BB357">
        <f>1</f>
        <v/>
      </c>
      <c r="BC357">
        <f>IF(AV357=1,1,IF(AW357=1,2,IF(AX357=1,3,IF(AY357=1,4,IF(AZ357=1,5,IF(BA357=1,6,7))))))</f>
        <v/>
      </c>
      <c r="BD357">
        <f>IF(AD357=1,CHOOSE('Historical Score'!$C$29,AV357,AW357,AX357,AY357,AZ357,BA357,BB357),0)</f>
        <v/>
      </c>
      <c r="BE357">
        <f>IF(BD357=1,COUNTIF($BD$2:BD357,1),"")</f>
        <v/>
      </c>
    </row>
    <row r="358">
      <c r="A358" t="inlineStr">
        <is>
          <t>5674171596</t>
        </is>
      </c>
      <c r="B358" t="inlineStr">
        <is>
          <t>T AND T IRRIGATION</t>
        </is>
      </c>
      <c r="C358" t="inlineStr">
        <is>
          <t>EQUIPMENT AND ENGINEERING CORPORATION</t>
        </is>
      </c>
      <c r="D358" t="inlineStr">
        <is>
          <t>Legal</t>
        </is>
      </c>
      <c r="E358" s="297" t="n">
        <v>45979</v>
      </c>
      <c r="F358" s="297" t="n">
        <v>46202</v>
      </c>
      <c r="G358" t="n">
        <v>3</v>
      </c>
      <c r="H358" t="inlineStr">
        <is>
          <t>4971</t>
        </is>
      </c>
      <c r="I358" t="inlineStr">
        <is>
          <t>49</t>
        </is>
      </c>
      <c r="J358" t="inlineStr">
        <is>
          <t>FL</t>
        </is>
      </c>
      <c r="K358" t="inlineStr">
        <is>
          <t>Fundwell</t>
        </is>
      </c>
      <c r="L358" t="inlineStr">
        <is>
          <t>New Deal</t>
        </is>
      </c>
      <c r="M358" s="298" t="n">
        <v>1.42</v>
      </c>
      <c r="N358" s="299" t="n">
        <v>150000</v>
      </c>
      <c r="O358" s="299" t="n">
        <v>21000</v>
      </c>
      <c r="P358" s="299" t="n">
        <v>213000</v>
      </c>
      <c r="Q358" s="299" t="n">
        <v>146909.96</v>
      </c>
      <c r="R358" s="299" t="n">
        <v>66090.03999999999</v>
      </c>
      <c r="S358" s="300" t="n">
        <v>0.689718122065728</v>
      </c>
      <c r="T358" t="n">
        <v>36</v>
      </c>
      <c r="U358" t="n">
        <v>1</v>
      </c>
      <c r="V358" t="n">
        <v>301146.98</v>
      </c>
      <c r="W358" s="300" t="n">
        <v>0.0786</v>
      </c>
      <c r="X358" s="297" t="n"/>
      <c r="Y358">
        <f>IF(I358="","No SIC",IFERROR(VLOOKUP(I358,Ref!$A$2:$B$65,2,FALSE),"Unclassified"))</f>
        <v/>
      </c>
      <c r="Z358">
        <f>IF(T358="","",IF(T358&lt;12,"Daily","Weekly"))</f>
        <v/>
      </c>
      <c r="AA358">
        <f>IF(T358="",0,IF(T358&lt;12,T358*Controls!$B$29,T358*5))</f>
        <v/>
      </c>
      <c r="AB358">
        <f>IF(E358="",0,NETWORKDAYS(E358,Controls!$B$36,Ref!$K$2:$K$42))</f>
        <v/>
      </c>
      <c r="AC358">
        <f>IF(AND(AA358&gt;0,AB358&gt;=Controls!$B$39*AA358),1,0)</f>
        <v/>
      </c>
      <c r="AD358">
        <f>IF(AND(E358&lt;&gt;"",E358&gt;=Controls!$B$37,E358&lt;=Controls!$B$38),1,0)</f>
        <v/>
      </c>
      <c r="AE358">
        <f>IF(IFERROR(VLOOKUP(D358,Controls!$A$64:$E$74,2,FALSE),"No")="Yes",1,0)</f>
        <v/>
      </c>
      <c r="AF358">
        <f>IF(IFERROR(VLOOKUP(D358,Controls!$A$64:$E$74,3,FALSE),"No")="Yes",1,0)</f>
        <v/>
      </c>
      <c r="AG358">
        <f>IF(IFERROR(VLOOKUP(D358,Controls!$A$64:$E$74,4,FALSE),"No")="Yes",1,0)</f>
        <v/>
      </c>
      <c r="AH358">
        <f>IF(IFERROR(VLOOKUP(D358,Controls!$A$64:$E$74,5,FALSE),"No")="Yes",1,0)</f>
        <v/>
      </c>
      <c r="AI358">
        <f>IF(ISNUMBER(MATCH(D358,Controls!$A$64:$A$74,0)),1,0)</f>
        <v/>
      </c>
      <c r="AJ358">
        <f>Q358-N358</f>
        <v/>
      </c>
      <c r="AK358">
        <f>IF(AE358=1,MAX(0,N358-Q358),0)</f>
        <v/>
      </c>
      <c r="AL358">
        <f>IF(OR(V358="",V358=0),0,N358/V358)</f>
        <v/>
      </c>
      <c r="AM358">
        <f>IF(OR(V358="",V358=0),0,1)</f>
        <v/>
      </c>
      <c r="AN358">
        <f>IF(OR(E358="",F358=""),0,NETWORKDAYS(E358,F358,Ref!$K$2:$K$42))</f>
        <v/>
      </c>
      <c r="AO358">
        <f>IF(L358="Renewal",1,0)</f>
        <v/>
      </c>
      <c r="AP358">
        <f>AC358*AD358</f>
        <v/>
      </c>
      <c r="AQ358">
        <f>IF(AND(G358&lt;&gt;"",'Historical Score'!$C$6&lt;&gt;""),IF(G358='Historical Score'!$C$6,1,0),0)</f>
        <v/>
      </c>
      <c r="AR358">
        <f>IF(AND(L358&lt;&gt;"",'Historical Score'!$C$5&lt;&gt;""),IF(L358='Historical Score'!$C$5,1,0),0)</f>
        <v/>
      </c>
      <c r="AS358">
        <f>IF(AND(Y358&lt;&gt;"",'Historical Score'!$C$7&lt;&gt;""),IF(Y358='Historical Score'!$C$7,1,0),0)</f>
        <v/>
      </c>
      <c r="AT358">
        <f>IF(AND(K358&lt;&gt;"",'Historical Score'!$C$8&lt;&gt;""),IF(K358='Historical Score'!$C$8,1,0),0)</f>
        <v/>
      </c>
      <c r="AU358">
        <f>IF(AND(J358&lt;&gt;"",'Historical Score'!$C$9&lt;&gt;""),IF(J358='Historical Score'!$C$9,1,0),0)</f>
        <v/>
      </c>
      <c r="AV358">
        <f>AR358*AS358*AQ358</f>
        <v/>
      </c>
      <c r="AW358">
        <f>AR358*AT358*AQ358</f>
        <v/>
      </c>
      <c r="AX358">
        <f>AR358*AS358</f>
        <v/>
      </c>
      <c r="AY358">
        <f>AR358*AT358</f>
        <v/>
      </c>
      <c r="AZ358">
        <f>AR358*AQ358</f>
        <v/>
      </c>
      <c r="BA358">
        <f>AR358</f>
        <v/>
      </c>
      <c r="BB358">
        <f>1</f>
        <v/>
      </c>
      <c r="BC358">
        <f>IF(AV358=1,1,IF(AW358=1,2,IF(AX358=1,3,IF(AY358=1,4,IF(AZ358=1,5,IF(BA358=1,6,7))))))</f>
        <v/>
      </c>
      <c r="BD358">
        <f>IF(AD358=1,CHOOSE('Historical Score'!$C$29,AV358,AW358,AX358,AY358,AZ358,BA358,BB358),0)</f>
        <v/>
      </c>
      <c r="BE358">
        <f>IF(BD358=1,COUNTIF($BD$2:BD358,1),"")</f>
        <v/>
      </c>
    </row>
    <row r="359">
      <c r="A359" t="inlineStr">
        <is>
          <t>5674171598</t>
        </is>
      </c>
      <c r="B359" t="inlineStr">
        <is>
          <t>FOOTS CONSTRUCTION</t>
        </is>
      </c>
      <c r="C359" t="inlineStr">
        <is>
          <t>FOOTS CONSTRUCTION</t>
        </is>
      </c>
      <c r="D359" t="inlineStr">
        <is>
          <t>Legal</t>
        </is>
      </c>
      <c r="E359" s="297" t="n">
        <v>45979</v>
      </c>
      <c r="F359" s="297" t="n">
        <v>46036</v>
      </c>
      <c r="G359" t="n">
        <v>2</v>
      </c>
      <c r="H359" t="inlineStr">
        <is>
          <t>1521</t>
        </is>
      </c>
      <c r="I359" t="inlineStr">
        <is>
          <t>15</t>
        </is>
      </c>
      <c r="J359" t="inlineStr">
        <is>
          <t>GA</t>
        </is>
      </c>
      <c r="K359" t="inlineStr">
        <is>
          <t>Secure Capital Solutions 7</t>
        </is>
      </c>
      <c r="L359" t="inlineStr">
        <is>
          <t>New Deal</t>
        </is>
      </c>
      <c r="M359" s="298" t="n">
        <v>1.499</v>
      </c>
      <c r="N359" s="299" t="n">
        <v>5000</v>
      </c>
      <c r="O359" s="299" t="n">
        <v>700</v>
      </c>
      <c r="P359" s="299" t="n">
        <v>7495</v>
      </c>
      <c r="Q359" s="299" t="n">
        <v>653.52</v>
      </c>
      <c r="R359" s="299" t="n">
        <v>6841.48</v>
      </c>
      <c r="S359" s="300" t="n">
        <v>0.0871941294196131</v>
      </c>
      <c r="T359" t="n">
        <v>2.623</v>
      </c>
      <c r="U359" t="n">
        <v>24</v>
      </c>
      <c r="V359" t="n">
        <v>20088.64</v>
      </c>
      <c r="W359" s="300" t="n">
        <v>0.09760000000000001</v>
      </c>
      <c r="X359" s="297" t="n">
        <v>42401</v>
      </c>
      <c r="Y359">
        <f>IF(I359="","No SIC",IFERROR(VLOOKUP(I359,Ref!$A$2:$B$65,2,FALSE),"Unclassified"))</f>
        <v/>
      </c>
      <c r="Z359">
        <f>IF(T359="","",IF(T359&lt;12,"Daily","Weekly"))</f>
        <v/>
      </c>
      <c r="AA359">
        <f>IF(T359="",0,IF(T359&lt;12,T359*Controls!$B$29,T359*5))</f>
        <v/>
      </c>
      <c r="AB359">
        <f>IF(E359="",0,NETWORKDAYS(E359,Controls!$B$36,Ref!$K$2:$K$42))</f>
        <v/>
      </c>
      <c r="AC359">
        <f>IF(AND(AA359&gt;0,AB359&gt;=Controls!$B$39*AA359),1,0)</f>
        <v/>
      </c>
      <c r="AD359">
        <f>IF(AND(E359&lt;&gt;"",E359&gt;=Controls!$B$37,E359&lt;=Controls!$B$38),1,0)</f>
        <v/>
      </c>
      <c r="AE359">
        <f>IF(IFERROR(VLOOKUP(D359,Controls!$A$64:$E$74,2,FALSE),"No")="Yes",1,0)</f>
        <v/>
      </c>
      <c r="AF359">
        <f>IF(IFERROR(VLOOKUP(D359,Controls!$A$64:$E$74,3,FALSE),"No")="Yes",1,0)</f>
        <v/>
      </c>
      <c r="AG359">
        <f>IF(IFERROR(VLOOKUP(D359,Controls!$A$64:$E$74,4,FALSE),"No")="Yes",1,0)</f>
        <v/>
      </c>
      <c r="AH359">
        <f>IF(IFERROR(VLOOKUP(D359,Controls!$A$64:$E$74,5,FALSE),"No")="Yes",1,0)</f>
        <v/>
      </c>
      <c r="AI359">
        <f>IF(ISNUMBER(MATCH(D359,Controls!$A$64:$A$74,0)),1,0)</f>
        <v/>
      </c>
      <c r="AJ359">
        <f>Q359-N359</f>
        <v/>
      </c>
      <c r="AK359">
        <f>IF(AE359=1,MAX(0,N359-Q359),0)</f>
        <v/>
      </c>
      <c r="AL359">
        <f>IF(OR(V359="",V359=0),0,N359/V359)</f>
        <v/>
      </c>
      <c r="AM359">
        <f>IF(OR(V359="",V359=0),0,1)</f>
        <v/>
      </c>
      <c r="AN359">
        <f>IF(OR(E359="",F359=""),0,NETWORKDAYS(E359,F359,Ref!$K$2:$K$42))</f>
        <v/>
      </c>
      <c r="AO359">
        <f>IF(L359="Renewal",1,0)</f>
        <v/>
      </c>
      <c r="AP359">
        <f>AC359*AD359</f>
        <v/>
      </c>
      <c r="AQ359">
        <f>IF(AND(G359&lt;&gt;"",'Historical Score'!$C$6&lt;&gt;""),IF(G359='Historical Score'!$C$6,1,0),0)</f>
        <v/>
      </c>
      <c r="AR359">
        <f>IF(AND(L359&lt;&gt;"",'Historical Score'!$C$5&lt;&gt;""),IF(L359='Historical Score'!$C$5,1,0),0)</f>
        <v/>
      </c>
      <c r="AS359">
        <f>IF(AND(Y359&lt;&gt;"",'Historical Score'!$C$7&lt;&gt;""),IF(Y359='Historical Score'!$C$7,1,0),0)</f>
        <v/>
      </c>
      <c r="AT359">
        <f>IF(AND(K359&lt;&gt;"",'Historical Score'!$C$8&lt;&gt;""),IF(K359='Historical Score'!$C$8,1,0),0)</f>
        <v/>
      </c>
      <c r="AU359">
        <f>IF(AND(J359&lt;&gt;"",'Historical Score'!$C$9&lt;&gt;""),IF(J359='Historical Score'!$C$9,1,0),0)</f>
        <v/>
      </c>
      <c r="AV359">
        <f>AR359*AS359*AQ359</f>
        <v/>
      </c>
      <c r="AW359">
        <f>AR359*AT359*AQ359</f>
        <v/>
      </c>
      <c r="AX359">
        <f>AR359*AS359</f>
        <v/>
      </c>
      <c r="AY359">
        <f>AR359*AT359</f>
        <v/>
      </c>
      <c r="AZ359">
        <f>AR359*AQ359</f>
        <v/>
      </c>
      <c r="BA359">
        <f>AR359</f>
        <v/>
      </c>
      <c r="BB359">
        <f>1</f>
        <v/>
      </c>
      <c r="BC359">
        <f>IF(AV359=1,1,IF(AW359=1,2,IF(AX359=1,3,IF(AY359=1,4,IF(AZ359=1,5,IF(BA359=1,6,7))))))</f>
        <v/>
      </c>
      <c r="BD359">
        <f>IF(AD359=1,CHOOSE('Historical Score'!$C$29,AV359,AW359,AX359,AY359,AZ359,BA359,BB359),0)</f>
        <v/>
      </c>
      <c r="BE359">
        <f>IF(BD359=1,COUNTIF($BD$2:BD359,1),"")</f>
        <v/>
      </c>
    </row>
    <row r="360">
      <c r="A360" t="inlineStr">
        <is>
          <t>5674171618</t>
        </is>
      </c>
      <c r="B360" t="inlineStr">
        <is>
          <t>BCD ACADEMY</t>
        </is>
      </c>
      <c r="C360" t="inlineStr">
        <is>
          <t>B.C.D ACADEMY LLC</t>
        </is>
      </c>
      <c r="D360" t="inlineStr">
        <is>
          <t>Closed</t>
        </is>
      </c>
      <c r="E360" s="297" t="n">
        <v>45979</v>
      </c>
      <c r="F360" s="297" t="n">
        <v>46050</v>
      </c>
      <c r="G360" t="n">
        <v>3</v>
      </c>
      <c r="H360" t="inlineStr">
        <is>
          <t>8211</t>
        </is>
      </c>
      <c r="I360" t="inlineStr">
        <is>
          <t>82</t>
        </is>
      </c>
      <c r="J360" t="inlineStr">
        <is>
          <t>CA</t>
        </is>
      </c>
      <c r="K360" t="inlineStr">
        <is>
          <t>Fundwell</t>
        </is>
      </c>
      <c r="L360" t="inlineStr">
        <is>
          <t>New Deal</t>
        </is>
      </c>
      <c r="M360" s="298" t="n">
        <v>1.4</v>
      </c>
      <c r="N360" s="299" t="n">
        <v>20000</v>
      </c>
      <c r="O360" s="299" t="n">
        <v>2500</v>
      </c>
      <c r="P360" s="299" t="n">
        <v>28000</v>
      </c>
      <c r="Q360" s="299" t="n">
        <v>28000</v>
      </c>
      <c r="R360" s="299" t="n">
        <v>0</v>
      </c>
      <c r="S360" s="300" t="n">
        <v>1</v>
      </c>
      <c r="T360" t="n">
        <v>20</v>
      </c>
      <c r="U360" t="n">
        <v>0</v>
      </c>
      <c r="V360" t="n">
        <v>37366.03</v>
      </c>
      <c r="W360" s="300" t="n">
        <v>0.1499</v>
      </c>
      <c r="X360" s="297" t="n">
        <v>45170</v>
      </c>
      <c r="Y360">
        <f>IF(I360="","No SIC",IFERROR(VLOOKUP(I360,Ref!$A$2:$B$65,2,FALSE),"Unclassified"))</f>
        <v/>
      </c>
      <c r="Z360">
        <f>IF(T360="","",IF(T360&lt;12,"Daily","Weekly"))</f>
        <v/>
      </c>
      <c r="AA360">
        <f>IF(T360="",0,IF(T360&lt;12,T360*Controls!$B$29,T360*5))</f>
        <v/>
      </c>
      <c r="AB360">
        <f>IF(E360="",0,NETWORKDAYS(E360,Controls!$B$36,Ref!$K$2:$K$42))</f>
        <v/>
      </c>
      <c r="AC360">
        <f>IF(AND(AA360&gt;0,AB360&gt;=Controls!$B$39*AA360),1,0)</f>
        <v/>
      </c>
      <c r="AD360">
        <f>IF(AND(E360&lt;&gt;"",E360&gt;=Controls!$B$37,E360&lt;=Controls!$B$38),1,0)</f>
        <v/>
      </c>
      <c r="AE360">
        <f>IF(IFERROR(VLOOKUP(D360,Controls!$A$64:$E$74,2,FALSE),"No")="Yes",1,0)</f>
        <v/>
      </c>
      <c r="AF360">
        <f>IF(IFERROR(VLOOKUP(D360,Controls!$A$64:$E$74,3,FALSE),"No")="Yes",1,0)</f>
        <v/>
      </c>
      <c r="AG360">
        <f>IF(IFERROR(VLOOKUP(D360,Controls!$A$64:$E$74,4,FALSE),"No")="Yes",1,0)</f>
        <v/>
      </c>
      <c r="AH360">
        <f>IF(IFERROR(VLOOKUP(D360,Controls!$A$64:$E$74,5,FALSE),"No")="Yes",1,0)</f>
        <v/>
      </c>
      <c r="AI360">
        <f>IF(ISNUMBER(MATCH(D360,Controls!$A$64:$A$74,0)),1,0)</f>
        <v/>
      </c>
      <c r="AJ360">
        <f>Q360-N360</f>
        <v/>
      </c>
      <c r="AK360">
        <f>IF(AE360=1,MAX(0,N360-Q360),0)</f>
        <v/>
      </c>
      <c r="AL360">
        <f>IF(OR(V360="",V360=0),0,N360/V360)</f>
        <v/>
      </c>
      <c r="AM360">
        <f>IF(OR(V360="",V360=0),0,1)</f>
        <v/>
      </c>
      <c r="AN360">
        <f>IF(OR(E360="",F360=""),0,NETWORKDAYS(E360,F360,Ref!$K$2:$K$42))</f>
        <v/>
      </c>
      <c r="AO360">
        <f>IF(L360="Renewal",1,0)</f>
        <v/>
      </c>
      <c r="AP360">
        <f>AC360*AD360</f>
        <v/>
      </c>
      <c r="AQ360">
        <f>IF(AND(G360&lt;&gt;"",'Historical Score'!$C$6&lt;&gt;""),IF(G360='Historical Score'!$C$6,1,0),0)</f>
        <v/>
      </c>
      <c r="AR360">
        <f>IF(AND(L360&lt;&gt;"",'Historical Score'!$C$5&lt;&gt;""),IF(L360='Historical Score'!$C$5,1,0),0)</f>
        <v/>
      </c>
      <c r="AS360">
        <f>IF(AND(Y360&lt;&gt;"",'Historical Score'!$C$7&lt;&gt;""),IF(Y360='Historical Score'!$C$7,1,0),0)</f>
        <v/>
      </c>
      <c r="AT360">
        <f>IF(AND(K360&lt;&gt;"",'Historical Score'!$C$8&lt;&gt;""),IF(K360='Historical Score'!$C$8,1,0),0)</f>
        <v/>
      </c>
      <c r="AU360">
        <f>IF(AND(J360&lt;&gt;"",'Historical Score'!$C$9&lt;&gt;""),IF(J360='Historical Score'!$C$9,1,0),0)</f>
        <v/>
      </c>
      <c r="AV360">
        <f>AR360*AS360*AQ360</f>
        <v/>
      </c>
      <c r="AW360">
        <f>AR360*AT360*AQ360</f>
        <v/>
      </c>
      <c r="AX360">
        <f>AR360*AS360</f>
        <v/>
      </c>
      <c r="AY360">
        <f>AR360*AT360</f>
        <v/>
      </c>
      <c r="AZ360">
        <f>AR360*AQ360</f>
        <v/>
      </c>
      <c r="BA360">
        <f>AR360</f>
        <v/>
      </c>
      <c r="BB360">
        <f>1</f>
        <v/>
      </c>
      <c r="BC360">
        <f>IF(AV360=1,1,IF(AW360=1,2,IF(AX360=1,3,IF(AY360=1,4,IF(AZ360=1,5,IF(BA360=1,6,7))))))</f>
        <v/>
      </c>
      <c r="BD360">
        <f>IF(AD360=1,CHOOSE('Historical Score'!$C$29,AV360,AW360,AX360,AY360,AZ360,BA360,BB360),0)</f>
        <v/>
      </c>
      <c r="BE360">
        <f>IF(BD360=1,COUNTIF($BD$2:BD360,1),"")</f>
        <v/>
      </c>
    </row>
    <row r="361">
      <c r="A361" t="inlineStr">
        <is>
          <t>5674171654</t>
        </is>
      </c>
      <c r="B361" t="inlineStr">
        <is>
          <t>Humble Baron</t>
        </is>
      </c>
      <c r="C361" t="inlineStr">
        <is>
          <t>HUMBLE BARON INC</t>
        </is>
      </c>
      <c r="D361" t="inlineStr">
        <is>
          <t>Bankruptcy</t>
        </is>
      </c>
      <c r="E361" s="297" t="n">
        <v>45980</v>
      </c>
      <c r="F361" s="297" t="n">
        <v>46168</v>
      </c>
      <c r="G361" t="n">
        <v>1</v>
      </c>
      <c r="H361" t="inlineStr">
        <is>
          <t>5813</t>
        </is>
      </c>
      <c r="I361" t="inlineStr">
        <is>
          <t>58</t>
        </is>
      </c>
      <c r="J361" t="inlineStr">
        <is>
          <t>TN</t>
        </is>
      </c>
      <c r="K361" t="inlineStr">
        <is>
          <t>Advance Consolidations</t>
        </is>
      </c>
      <c r="L361" t="inlineStr">
        <is>
          <t>New Deal</t>
        </is>
      </c>
      <c r="M361" s="298" t="n">
        <v>1.41</v>
      </c>
      <c r="N361" s="299" t="n">
        <v>100000</v>
      </c>
      <c r="O361" s="299" t="n">
        <v>10000</v>
      </c>
      <c r="P361" s="299" t="n">
        <v>141000</v>
      </c>
      <c r="Q361" s="299" t="n">
        <v>47517.15</v>
      </c>
      <c r="R361" s="299" t="n">
        <v>93482.85000000001</v>
      </c>
      <c r="S361" s="300" t="n">
        <v>0.337001063829787</v>
      </c>
      <c r="T361" t="n">
        <v>35</v>
      </c>
      <c r="U361" t="n">
        <v>64</v>
      </c>
      <c r="V361" t="n">
        <v>309166.2</v>
      </c>
      <c r="W361" s="300" t="n">
        <v>0.0521</v>
      </c>
      <c r="X361" s="297" t="n">
        <v>44256</v>
      </c>
      <c r="Y361">
        <f>IF(I361="","No SIC",IFERROR(VLOOKUP(I361,Ref!$A$2:$B$65,2,FALSE),"Unclassified"))</f>
        <v/>
      </c>
      <c r="Z361">
        <f>IF(T361="","",IF(T361&lt;12,"Daily","Weekly"))</f>
        <v/>
      </c>
      <c r="AA361">
        <f>IF(T361="",0,IF(T361&lt;12,T361*Controls!$B$29,T361*5))</f>
        <v/>
      </c>
      <c r="AB361">
        <f>IF(E361="",0,NETWORKDAYS(E361,Controls!$B$36,Ref!$K$2:$K$42))</f>
        <v/>
      </c>
      <c r="AC361">
        <f>IF(AND(AA361&gt;0,AB361&gt;=Controls!$B$39*AA361),1,0)</f>
        <v/>
      </c>
      <c r="AD361">
        <f>IF(AND(E361&lt;&gt;"",E361&gt;=Controls!$B$37,E361&lt;=Controls!$B$38),1,0)</f>
        <v/>
      </c>
      <c r="AE361">
        <f>IF(IFERROR(VLOOKUP(D361,Controls!$A$64:$E$74,2,FALSE),"No")="Yes",1,0)</f>
        <v/>
      </c>
      <c r="AF361">
        <f>IF(IFERROR(VLOOKUP(D361,Controls!$A$64:$E$74,3,FALSE),"No")="Yes",1,0)</f>
        <v/>
      </c>
      <c r="AG361">
        <f>IF(IFERROR(VLOOKUP(D361,Controls!$A$64:$E$74,4,FALSE),"No")="Yes",1,0)</f>
        <v/>
      </c>
      <c r="AH361">
        <f>IF(IFERROR(VLOOKUP(D361,Controls!$A$64:$E$74,5,FALSE),"No")="Yes",1,0)</f>
        <v/>
      </c>
      <c r="AI361">
        <f>IF(ISNUMBER(MATCH(D361,Controls!$A$64:$A$74,0)),1,0)</f>
        <v/>
      </c>
      <c r="AJ361">
        <f>Q361-N361</f>
        <v/>
      </c>
      <c r="AK361">
        <f>IF(AE361=1,MAX(0,N361-Q361),0)</f>
        <v/>
      </c>
      <c r="AL361">
        <f>IF(OR(V361="",V361=0),0,N361/V361)</f>
        <v/>
      </c>
      <c r="AM361">
        <f>IF(OR(V361="",V361=0),0,1)</f>
        <v/>
      </c>
      <c r="AN361">
        <f>IF(OR(E361="",F361=""),0,NETWORKDAYS(E361,F361,Ref!$K$2:$K$42))</f>
        <v/>
      </c>
      <c r="AO361">
        <f>IF(L361="Renewal",1,0)</f>
        <v/>
      </c>
      <c r="AP361">
        <f>AC361*AD361</f>
        <v/>
      </c>
      <c r="AQ361">
        <f>IF(AND(G361&lt;&gt;"",'Historical Score'!$C$6&lt;&gt;""),IF(G361='Historical Score'!$C$6,1,0),0)</f>
        <v/>
      </c>
      <c r="AR361">
        <f>IF(AND(L361&lt;&gt;"",'Historical Score'!$C$5&lt;&gt;""),IF(L361='Historical Score'!$C$5,1,0),0)</f>
        <v/>
      </c>
      <c r="AS361">
        <f>IF(AND(Y361&lt;&gt;"",'Historical Score'!$C$7&lt;&gt;""),IF(Y361='Historical Score'!$C$7,1,0),0)</f>
        <v/>
      </c>
      <c r="AT361">
        <f>IF(AND(K361&lt;&gt;"",'Historical Score'!$C$8&lt;&gt;""),IF(K361='Historical Score'!$C$8,1,0),0)</f>
        <v/>
      </c>
      <c r="AU361">
        <f>IF(AND(J361&lt;&gt;"",'Historical Score'!$C$9&lt;&gt;""),IF(J361='Historical Score'!$C$9,1,0),0)</f>
        <v/>
      </c>
      <c r="AV361">
        <f>AR361*AS361*AQ361</f>
        <v/>
      </c>
      <c r="AW361">
        <f>AR361*AT361*AQ361</f>
        <v/>
      </c>
      <c r="AX361">
        <f>AR361*AS361</f>
        <v/>
      </c>
      <c r="AY361">
        <f>AR361*AT361</f>
        <v/>
      </c>
      <c r="AZ361">
        <f>AR361*AQ361</f>
        <v/>
      </c>
      <c r="BA361">
        <f>AR361</f>
        <v/>
      </c>
      <c r="BB361">
        <f>1</f>
        <v/>
      </c>
      <c r="BC361">
        <f>IF(AV361=1,1,IF(AW361=1,2,IF(AX361=1,3,IF(AY361=1,4,IF(AZ361=1,5,IF(BA361=1,6,7))))))</f>
        <v/>
      </c>
      <c r="BD361">
        <f>IF(AD361=1,CHOOSE('Historical Score'!$C$29,AV361,AW361,AX361,AY361,AZ361,BA361,BB361),0)</f>
        <v/>
      </c>
      <c r="BE361">
        <f>IF(BD361=1,COUNTIF($BD$2:BD361,1),"")</f>
        <v/>
      </c>
    </row>
    <row r="362">
      <c r="A362" t="inlineStr">
        <is>
          <t>5674171672</t>
        </is>
      </c>
      <c r="B362" t="inlineStr">
        <is>
          <t>Exquisite Bride, LLC</t>
        </is>
      </c>
      <c r="C362" t="inlineStr">
        <is>
          <t>Exquisite Bride, LLC</t>
        </is>
      </c>
      <c r="D362" t="inlineStr">
        <is>
          <t>Closed</t>
        </is>
      </c>
      <c r="E362" s="297" t="n">
        <v>45980</v>
      </c>
      <c r="F362" s="297" t="n">
        <v>46029</v>
      </c>
      <c r="G362" t="n">
        <v>1</v>
      </c>
      <c r="H362" t="inlineStr">
        <is>
          <t>5999</t>
        </is>
      </c>
      <c r="I362" t="inlineStr">
        <is>
          <t>59</t>
        </is>
      </c>
      <c r="J362" t="inlineStr">
        <is>
          <t>TX</t>
        </is>
      </c>
      <c r="K362" t="inlineStr">
        <is>
          <t>Viking Funding LLC</t>
        </is>
      </c>
      <c r="L362" t="inlineStr">
        <is>
          <t>New Deal</t>
        </is>
      </c>
      <c r="M362" s="298" t="n">
        <v>1.499</v>
      </c>
      <c r="N362" s="299" t="n">
        <v>10000</v>
      </c>
      <c r="O362" s="299" t="n">
        <v>1400</v>
      </c>
      <c r="P362" s="299" t="n">
        <v>14990</v>
      </c>
      <c r="Q362" s="299" t="n">
        <v>14990</v>
      </c>
      <c r="R362" s="299" t="n">
        <v>1.81898940354586e-12</v>
      </c>
      <c r="S362" s="300" t="n">
        <v>1</v>
      </c>
      <c r="T362" t="n">
        <v>2.951</v>
      </c>
      <c r="U362" t="n">
        <v>8</v>
      </c>
      <c r="V362" t="n">
        <v>38438.18</v>
      </c>
      <c r="W362" s="300" t="n">
        <v>0.0905</v>
      </c>
      <c r="X362" s="297" t="n">
        <v>44562</v>
      </c>
      <c r="Y362">
        <f>IF(I362="","No SIC",IFERROR(VLOOKUP(I362,Ref!$A$2:$B$65,2,FALSE),"Unclassified"))</f>
        <v/>
      </c>
      <c r="Z362">
        <f>IF(T362="","",IF(T362&lt;12,"Daily","Weekly"))</f>
        <v/>
      </c>
      <c r="AA362">
        <f>IF(T362="",0,IF(T362&lt;12,T362*Controls!$B$29,T362*5))</f>
        <v/>
      </c>
      <c r="AB362">
        <f>IF(E362="",0,NETWORKDAYS(E362,Controls!$B$36,Ref!$K$2:$K$42))</f>
        <v/>
      </c>
      <c r="AC362">
        <f>IF(AND(AA362&gt;0,AB362&gt;=Controls!$B$39*AA362),1,0)</f>
        <v/>
      </c>
      <c r="AD362">
        <f>IF(AND(E362&lt;&gt;"",E362&gt;=Controls!$B$37,E362&lt;=Controls!$B$38),1,0)</f>
        <v/>
      </c>
      <c r="AE362">
        <f>IF(IFERROR(VLOOKUP(D362,Controls!$A$64:$E$74,2,FALSE),"No")="Yes",1,0)</f>
        <v/>
      </c>
      <c r="AF362">
        <f>IF(IFERROR(VLOOKUP(D362,Controls!$A$64:$E$74,3,FALSE),"No")="Yes",1,0)</f>
        <v/>
      </c>
      <c r="AG362">
        <f>IF(IFERROR(VLOOKUP(D362,Controls!$A$64:$E$74,4,FALSE),"No")="Yes",1,0)</f>
        <v/>
      </c>
      <c r="AH362">
        <f>IF(IFERROR(VLOOKUP(D362,Controls!$A$64:$E$74,5,FALSE),"No")="Yes",1,0)</f>
        <v/>
      </c>
      <c r="AI362">
        <f>IF(ISNUMBER(MATCH(D362,Controls!$A$64:$A$74,0)),1,0)</f>
        <v/>
      </c>
      <c r="AJ362">
        <f>Q362-N362</f>
        <v/>
      </c>
      <c r="AK362">
        <f>IF(AE362=1,MAX(0,N362-Q362),0)</f>
        <v/>
      </c>
      <c r="AL362">
        <f>IF(OR(V362="",V362=0),0,N362/V362)</f>
        <v/>
      </c>
      <c r="AM362">
        <f>IF(OR(V362="",V362=0),0,1)</f>
        <v/>
      </c>
      <c r="AN362">
        <f>IF(OR(E362="",F362=""),0,NETWORKDAYS(E362,F362,Ref!$K$2:$K$42))</f>
        <v/>
      </c>
      <c r="AO362">
        <f>IF(L362="Renewal",1,0)</f>
        <v/>
      </c>
      <c r="AP362">
        <f>AC362*AD362</f>
        <v/>
      </c>
      <c r="AQ362">
        <f>IF(AND(G362&lt;&gt;"",'Historical Score'!$C$6&lt;&gt;""),IF(G362='Historical Score'!$C$6,1,0),0)</f>
        <v/>
      </c>
      <c r="AR362">
        <f>IF(AND(L362&lt;&gt;"",'Historical Score'!$C$5&lt;&gt;""),IF(L362='Historical Score'!$C$5,1,0),0)</f>
        <v/>
      </c>
      <c r="AS362">
        <f>IF(AND(Y362&lt;&gt;"",'Historical Score'!$C$7&lt;&gt;""),IF(Y362='Historical Score'!$C$7,1,0),0)</f>
        <v/>
      </c>
      <c r="AT362">
        <f>IF(AND(K362&lt;&gt;"",'Historical Score'!$C$8&lt;&gt;""),IF(K362='Historical Score'!$C$8,1,0),0)</f>
        <v/>
      </c>
      <c r="AU362">
        <f>IF(AND(J362&lt;&gt;"",'Historical Score'!$C$9&lt;&gt;""),IF(J362='Historical Score'!$C$9,1,0),0)</f>
        <v/>
      </c>
      <c r="AV362">
        <f>AR362*AS362*AQ362</f>
        <v/>
      </c>
      <c r="AW362">
        <f>AR362*AT362*AQ362</f>
        <v/>
      </c>
      <c r="AX362">
        <f>AR362*AS362</f>
        <v/>
      </c>
      <c r="AY362">
        <f>AR362*AT362</f>
        <v/>
      </c>
      <c r="AZ362">
        <f>AR362*AQ362</f>
        <v/>
      </c>
      <c r="BA362">
        <f>AR362</f>
        <v/>
      </c>
      <c r="BB362">
        <f>1</f>
        <v/>
      </c>
      <c r="BC362">
        <f>IF(AV362=1,1,IF(AW362=1,2,IF(AX362=1,3,IF(AY362=1,4,IF(AZ362=1,5,IF(BA362=1,6,7))))))</f>
        <v/>
      </c>
      <c r="BD362">
        <f>IF(AD362=1,CHOOSE('Historical Score'!$C$29,AV362,AW362,AX362,AY362,AZ362,BA362,BB362),0)</f>
        <v/>
      </c>
      <c r="BE362">
        <f>IF(BD362=1,COUNTIF($BD$2:BD362,1),"")</f>
        <v/>
      </c>
    </row>
    <row r="363">
      <c r="A363" t="inlineStr">
        <is>
          <t>5674171716</t>
        </is>
      </c>
      <c r="B363" t="inlineStr">
        <is>
          <t>Diamond Painting Llc</t>
        </is>
      </c>
      <c r="C363" t="inlineStr">
        <is>
          <t>Diamond Painting Llc</t>
        </is>
      </c>
      <c r="D363" t="inlineStr">
        <is>
          <t>Legal</t>
        </is>
      </c>
      <c r="E363" s="297" t="n">
        <v>45980</v>
      </c>
      <c r="F363" s="297" t="n">
        <v>45995</v>
      </c>
      <c r="G363" t="n">
        <v>3</v>
      </c>
      <c r="H363" t="inlineStr">
        <is>
          <t>5399</t>
        </is>
      </c>
      <c r="I363" t="inlineStr">
        <is>
          <t>53</t>
        </is>
      </c>
      <c r="J363" t="inlineStr">
        <is>
          <t>OR</t>
        </is>
      </c>
      <c r="K363" t="inlineStr">
        <is>
          <t>level 3 funding</t>
        </is>
      </c>
      <c r="L363" t="inlineStr">
        <is>
          <t>New Deal</t>
        </is>
      </c>
      <c r="M363" s="298" t="n">
        <v>1.5</v>
      </c>
      <c r="N363" s="299" t="n">
        <v>3000</v>
      </c>
      <c r="O363" s="299" t="n">
        <v>0</v>
      </c>
      <c r="P363" s="299" t="n">
        <v>4500</v>
      </c>
      <c r="Q363" s="299" t="n">
        <v>382.8</v>
      </c>
      <c r="R363" s="299" t="n">
        <v>4117.2</v>
      </c>
      <c r="S363" s="300" t="n">
        <v>0.08506666666666669</v>
      </c>
      <c r="T363" t="n">
        <v>2.295</v>
      </c>
      <c r="U363" t="n">
        <v>4</v>
      </c>
      <c r="V363" t="n">
        <v>31822.32</v>
      </c>
      <c r="W363" s="300" t="n">
        <v>0.0421</v>
      </c>
      <c r="X363" s="297" t="n">
        <v>44719</v>
      </c>
      <c r="Y363">
        <f>IF(I363="","No SIC",IFERROR(VLOOKUP(I363,Ref!$A$2:$B$65,2,FALSE),"Unclassified"))</f>
        <v/>
      </c>
      <c r="Z363">
        <f>IF(T363="","",IF(T363&lt;12,"Daily","Weekly"))</f>
        <v/>
      </c>
      <c r="AA363">
        <f>IF(T363="",0,IF(T363&lt;12,T363*Controls!$B$29,T363*5))</f>
        <v/>
      </c>
      <c r="AB363">
        <f>IF(E363="",0,NETWORKDAYS(E363,Controls!$B$36,Ref!$K$2:$K$42))</f>
        <v/>
      </c>
      <c r="AC363">
        <f>IF(AND(AA363&gt;0,AB363&gt;=Controls!$B$39*AA363),1,0)</f>
        <v/>
      </c>
      <c r="AD363">
        <f>IF(AND(E363&lt;&gt;"",E363&gt;=Controls!$B$37,E363&lt;=Controls!$B$38),1,0)</f>
        <v/>
      </c>
      <c r="AE363">
        <f>IF(IFERROR(VLOOKUP(D363,Controls!$A$64:$E$74,2,FALSE),"No")="Yes",1,0)</f>
        <v/>
      </c>
      <c r="AF363">
        <f>IF(IFERROR(VLOOKUP(D363,Controls!$A$64:$E$74,3,FALSE),"No")="Yes",1,0)</f>
        <v/>
      </c>
      <c r="AG363">
        <f>IF(IFERROR(VLOOKUP(D363,Controls!$A$64:$E$74,4,FALSE),"No")="Yes",1,0)</f>
        <v/>
      </c>
      <c r="AH363">
        <f>IF(IFERROR(VLOOKUP(D363,Controls!$A$64:$E$74,5,FALSE),"No")="Yes",1,0)</f>
        <v/>
      </c>
      <c r="AI363">
        <f>IF(ISNUMBER(MATCH(D363,Controls!$A$64:$A$74,0)),1,0)</f>
        <v/>
      </c>
      <c r="AJ363">
        <f>Q363-N363</f>
        <v/>
      </c>
      <c r="AK363">
        <f>IF(AE363=1,MAX(0,N363-Q363),0)</f>
        <v/>
      </c>
      <c r="AL363">
        <f>IF(OR(V363="",V363=0),0,N363/V363)</f>
        <v/>
      </c>
      <c r="AM363">
        <f>IF(OR(V363="",V363=0),0,1)</f>
        <v/>
      </c>
      <c r="AN363">
        <f>IF(OR(E363="",F363=""),0,NETWORKDAYS(E363,F363,Ref!$K$2:$K$42))</f>
        <v/>
      </c>
      <c r="AO363">
        <f>IF(L363="Renewal",1,0)</f>
        <v/>
      </c>
      <c r="AP363">
        <f>AC363*AD363</f>
        <v/>
      </c>
      <c r="AQ363">
        <f>IF(AND(G363&lt;&gt;"",'Historical Score'!$C$6&lt;&gt;""),IF(G363='Historical Score'!$C$6,1,0),0)</f>
        <v/>
      </c>
      <c r="AR363">
        <f>IF(AND(L363&lt;&gt;"",'Historical Score'!$C$5&lt;&gt;""),IF(L363='Historical Score'!$C$5,1,0),0)</f>
        <v/>
      </c>
      <c r="AS363">
        <f>IF(AND(Y363&lt;&gt;"",'Historical Score'!$C$7&lt;&gt;""),IF(Y363='Historical Score'!$C$7,1,0),0)</f>
        <v/>
      </c>
      <c r="AT363">
        <f>IF(AND(K363&lt;&gt;"",'Historical Score'!$C$8&lt;&gt;""),IF(K363='Historical Score'!$C$8,1,0),0)</f>
        <v/>
      </c>
      <c r="AU363">
        <f>IF(AND(J363&lt;&gt;"",'Historical Score'!$C$9&lt;&gt;""),IF(J363='Historical Score'!$C$9,1,0),0)</f>
        <v/>
      </c>
      <c r="AV363">
        <f>AR363*AS363*AQ363</f>
        <v/>
      </c>
      <c r="AW363">
        <f>AR363*AT363*AQ363</f>
        <v/>
      </c>
      <c r="AX363">
        <f>AR363*AS363</f>
        <v/>
      </c>
      <c r="AY363">
        <f>AR363*AT363</f>
        <v/>
      </c>
      <c r="AZ363">
        <f>AR363*AQ363</f>
        <v/>
      </c>
      <c r="BA363">
        <f>AR363</f>
        <v/>
      </c>
      <c r="BB363">
        <f>1</f>
        <v/>
      </c>
      <c r="BC363">
        <f>IF(AV363=1,1,IF(AW363=1,2,IF(AX363=1,3,IF(AY363=1,4,IF(AZ363=1,5,IF(BA363=1,6,7))))))</f>
        <v/>
      </c>
      <c r="BD363">
        <f>IF(AD363=1,CHOOSE('Historical Score'!$C$29,AV363,AW363,AX363,AY363,AZ363,BA363,BB363),0)</f>
        <v/>
      </c>
      <c r="BE363">
        <f>IF(BD363=1,COUNTIF($BD$2:BD363,1),"")</f>
        <v/>
      </c>
    </row>
    <row r="364">
      <c r="A364" t="inlineStr">
        <is>
          <t>5674172525</t>
        </is>
      </c>
      <c r="B364" t="inlineStr">
        <is>
          <t>JIU HONG CANYIN YULE, INC</t>
        </is>
      </c>
      <c r="C364" t="inlineStr">
        <is>
          <t>JIU HONG CANYIN YULE, INC</t>
        </is>
      </c>
      <c r="D364" t="inlineStr">
        <is>
          <t>Closed</t>
        </is>
      </c>
      <c r="E364" s="297" t="n">
        <v>45981</v>
      </c>
      <c r="F364" s="297" t="n">
        <v>46051</v>
      </c>
      <c r="G364" t="n">
        <v>7</v>
      </c>
      <c r="H364" t="inlineStr">
        <is>
          <t>5812</t>
        </is>
      </c>
      <c r="I364" t="inlineStr">
        <is>
          <t>58</t>
        </is>
      </c>
      <c r="J364" t="inlineStr">
        <is>
          <t>CO</t>
        </is>
      </c>
      <c r="K364" t="inlineStr">
        <is>
          <t>United Secured Capital 8</t>
        </is>
      </c>
      <c r="L364" t="inlineStr">
        <is>
          <t>Renewal</t>
        </is>
      </c>
      <c r="M364" s="298" t="n">
        <v>1.499</v>
      </c>
      <c r="N364" s="299" t="n">
        <v>25000</v>
      </c>
      <c r="O364" s="299" t="n">
        <v>3500</v>
      </c>
      <c r="P364" s="299" t="n">
        <v>37475</v>
      </c>
      <c r="Q364" s="299" t="n">
        <v>37475</v>
      </c>
      <c r="R364" s="299" t="n">
        <v>0</v>
      </c>
      <c r="S364" s="300" t="n">
        <v>1</v>
      </c>
      <c r="T364" t="n">
        <v>3.934</v>
      </c>
      <c r="U364" t="n">
        <v>0</v>
      </c>
      <c r="V364" t="n">
        <v>42013.9</v>
      </c>
      <c r="W364" s="300" t="n">
        <v>0.1561</v>
      </c>
      <c r="X364" s="297" t="n"/>
      <c r="Y364">
        <f>IF(I364="","No SIC",IFERROR(VLOOKUP(I364,Ref!$A$2:$B$65,2,FALSE),"Unclassified"))</f>
        <v/>
      </c>
      <c r="Z364">
        <f>IF(T364="","",IF(T364&lt;12,"Daily","Weekly"))</f>
        <v/>
      </c>
      <c r="AA364">
        <f>IF(T364="",0,IF(T364&lt;12,T364*Controls!$B$29,T364*5))</f>
        <v/>
      </c>
      <c r="AB364">
        <f>IF(E364="",0,NETWORKDAYS(E364,Controls!$B$36,Ref!$K$2:$K$42))</f>
        <v/>
      </c>
      <c r="AC364">
        <f>IF(AND(AA364&gt;0,AB364&gt;=Controls!$B$39*AA364),1,0)</f>
        <v/>
      </c>
      <c r="AD364">
        <f>IF(AND(E364&lt;&gt;"",E364&gt;=Controls!$B$37,E364&lt;=Controls!$B$38),1,0)</f>
        <v/>
      </c>
      <c r="AE364">
        <f>IF(IFERROR(VLOOKUP(D364,Controls!$A$64:$E$74,2,FALSE),"No")="Yes",1,0)</f>
        <v/>
      </c>
      <c r="AF364">
        <f>IF(IFERROR(VLOOKUP(D364,Controls!$A$64:$E$74,3,FALSE),"No")="Yes",1,0)</f>
        <v/>
      </c>
      <c r="AG364">
        <f>IF(IFERROR(VLOOKUP(D364,Controls!$A$64:$E$74,4,FALSE),"No")="Yes",1,0)</f>
        <v/>
      </c>
      <c r="AH364">
        <f>IF(IFERROR(VLOOKUP(D364,Controls!$A$64:$E$74,5,FALSE),"No")="Yes",1,0)</f>
        <v/>
      </c>
      <c r="AI364">
        <f>IF(ISNUMBER(MATCH(D364,Controls!$A$64:$A$74,0)),1,0)</f>
        <v/>
      </c>
      <c r="AJ364">
        <f>Q364-N364</f>
        <v/>
      </c>
      <c r="AK364">
        <f>IF(AE364=1,MAX(0,N364-Q364),0)</f>
        <v/>
      </c>
      <c r="AL364">
        <f>IF(OR(V364="",V364=0),0,N364/V364)</f>
        <v/>
      </c>
      <c r="AM364">
        <f>IF(OR(V364="",V364=0),0,1)</f>
        <v/>
      </c>
      <c r="AN364">
        <f>IF(OR(E364="",F364=""),0,NETWORKDAYS(E364,F364,Ref!$K$2:$K$42))</f>
        <v/>
      </c>
      <c r="AO364">
        <f>IF(L364="Renewal",1,0)</f>
        <v/>
      </c>
      <c r="AP364">
        <f>AC364*AD364</f>
        <v/>
      </c>
      <c r="AQ364">
        <f>IF(AND(G364&lt;&gt;"",'Historical Score'!$C$6&lt;&gt;""),IF(G364='Historical Score'!$C$6,1,0),0)</f>
        <v/>
      </c>
      <c r="AR364">
        <f>IF(AND(L364&lt;&gt;"",'Historical Score'!$C$5&lt;&gt;""),IF(L364='Historical Score'!$C$5,1,0),0)</f>
        <v/>
      </c>
      <c r="AS364">
        <f>IF(AND(Y364&lt;&gt;"",'Historical Score'!$C$7&lt;&gt;""),IF(Y364='Historical Score'!$C$7,1,0),0)</f>
        <v/>
      </c>
      <c r="AT364">
        <f>IF(AND(K364&lt;&gt;"",'Historical Score'!$C$8&lt;&gt;""),IF(K364='Historical Score'!$C$8,1,0),0)</f>
        <v/>
      </c>
      <c r="AU364">
        <f>IF(AND(J364&lt;&gt;"",'Historical Score'!$C$9&lt;&gt;""),IF(J364='Historical Score'!$C$9,1,0),0)</f>
        <v/>
      </c>
      <c r="AV364">
        <f>AR364*AS364*AQ364</f>
        <v/>
      </c>
      <c r="AW364">
        <f>AR364*AT364*AQ364</f>
        <v/>
      </c>
      <c r="AX364">
        <f>AR364*AS364</f>
        <v/>
      </c>
      <c r="AY364">
        <f>AR364*AT364</f>
        <v/>
      </c>
      <c r="AZ364">
        <f>AR364*AQ364</f>
        <v/>
      </c>
      <c r="BA364">
        <f>AR364</f>
        <v/>
      </c>
      <c r="BB364">
        <f>1</f>
        <v/>
      </c>
      <c r="BC364">
        <f>IF(AV364=1,1,IF(AW364=1,2,IF(AX364=1,3,IF(AY364=1,4,IF(AZ364=1,5,IF(BA364=1,6,7))))))</f>
        <v/>
      </c>
      <c r="BD364">
        <f>IF(AD364=1,CHOOSE('Historical Score'!$C$29,AV364,AW364,AX364,AY364,AZ364,BA364,BB364),0)</f>
        <v/>
      </c>
      <c r="BE364">
        <f>IF(BD364=1,COUNTIF($BD$2:BD364,1),"")</f>
        <v/>
      </c>
    </row>
    <row r="365">
      <c r="A365" t="inlineStr">
        <is>
          <t>5674172531</t>
        </is>
      </c>
      <c r="B365" t="inlineStr">
        <is>
          <t>MANASSES HENRY FURNITURE</t>
        </is>
      </c>
      <c r="C365" t="inlineStr">
        <is>
          <t>MANASSES HENRY FURNITURE</t>
        </is>
      </c>
      <c r="D365" t="inlineStr">
        <is>
          <t>Closed</t>
        </is>
      </c>
      <c r="E365" s="297" t="n">
        <v>45981</v>
      </c>
      <c r="F365" s="297" t="n">
        <v>46078</v>
      </c>
      <c r="G365" t="n">
        <v>3</v>
      </c>
      <c r="H365" t="inlineStr">
        <is>
          <t>2519</t>
        </is>
      </c>
      <c r="I365" t="inlineStr">
        <is>
          <t>25</t>
        </is>
      </c>
      <c r="J365" t="inlineStr">
        <is>
          <t>IN</t>
        </is>
      </c>
      <c r="K365" t="inlineStr">
        <is>
          <t>Shield Funding</t>
        </is>
      </c>
      <c r="L365" t="inlineStr">
        <is>
          <t>Renewal</t>
        </is>
      </c>
      <c r="M365" s="298" t="n">
        <v>1.45</v>
      </c>
      <c r="N365" s="299" t="n">
        <v>30000</v>
      </c>
      <c r="O365" s="299" t="n">
        <v>3600</v>
      </c>
      <c r="P365" s="299" t="n">
        <v>43500</v>
      </c>
      <c r="Q365" s="299" t="n">
        <v>43500</v>
      </c>
      <c r="R365" s="299" t="n">
        <v>0</v>
      </c>
      <c r="S365" s="300" t="n">
        <v>1</v>
      </c>
      <c r="T365" t="n">
        <v>34</v>
      </c>
      <c r="U365" t="n">
        <v>1</v>
      </c>
      <c r="V365" t="n">
        <v>56713.1</v>
      </c>
      <c r="W365" s="300" t="n">
        <v>0.0902</v>
      </c>
      <c r="X365" s="297" t="n">
        <v>42308</v>
      </c>
      <c r="Y365">
        <f>IF(I365="","No SIC",IFERROR(VLOOKUP(I365,Ref!$A$2:$B$65,2,FALSE),"Unclassified"))</f>
        <v/>
      </c>
      <c r="Z365">
        <f>IF(T365="","",IF(T365&lt;12,"Daily","Weekly"))</f>
        <v/>
      </c>
      <c r="AA365">
        <f>IF(T365="",0,IF(T365&lt;12,T365*Controls!$B$29,T365*5))</f>
        <v/>
      </c>
      <c r="AB365">
        <f>IF(E365="",0,NETWORKDAYS(E365,Controls!$B$36,Ref!$K$2:$K$42))</f>
        <v/>
      </c>
      <c r="AC365">
        <f>IF(AND(AA365&gt;0,AB365&gt;=Controls!$B$39*AA365),1,0)</f>
        <v/>
      </c>
      <c r="AD365">
        <f>IF(AND(E365&lt;&gt;"",E365&gt;=Controls!$B$37,E365&lt;=Controls!$B$38),1,0)</f>
        <v/>
      </c>
      <c r="AE365">
        <f>IF(IFERROR(VLOOKUP(D365,Controls!$A$64:$E$74,2,FALSE),"No")="Yes",1,0)</f>
        <v/>
      </c>
      <c r="AF365">
        <f>IF(IFERROR(VLOOKUP(D365,Controls!$A$64:$E$74,3,FALSE),"No")="Yes",1,0)</f>
        <v/>
      </c>
      <c r="AG365">
        <f>IF(IFERROR(VLOOKUP(D365,Controls!$A$64:$E$74,4,FALSE),"No")="Yes",1,0)</f>
        <v/>
      </c>
      <c r="AH365">
        <f>IF(IFERROR(VLOOKUP(D365,Controls!$A$64:$E$74,5,FALSE),"No")="Yes",1,0)</f>
        <v/>
      </c>
      <c r="AI365">
        <f>IF(ISNUMBER(MATCH(D365,Controls!$A$64:$A$74,0)),1,0)</f>
        <v/>
      </c>
      <c r="AJ365">
        <f>Q365-N365</f>
        <v/>
      </c>
      <c r="AK365">
        <f>IF(AE365=1,MAX(0,N365-Q365),0)</f>
        <v/>
      </c>
      <c r="AL365">
        <f>IF(OR(V365="",V365=0),0,N365/V365)</f>
        <v/>
      </c>
      <c r="AM365">
        <f>IF(OR(V365="",V365=0),0,1)</f>
        <v/>
      </c>
      <c r="AN365">
        <f>IF(OR(E365="",F365=""),0,NETWORKDAYS(E365,F365,Ref!$K$2:$K$42))</f>
        <v/>
      </c>
      <c r="AO365">
        <f>IF(L365="Renewal",1,0)</f>
        <v/>
      </c>
      <c r="AP365">
        <f>AC365*AD365</f>
        <v/>
      </c>
      <c r="AQ365">
        <f>IF(AND(G365&lt;&gt;"",'Historical Score'!$C$6&lt;&gt;""),IF(G365='Historical Score'!$C$6,1,0),0)</f>
        <v/>
      </c>
      <c r="AR365">
        <f>IF(AND(L365&lt;&gt;"",'Historical Score'!$C$5&lt;&gt;""),IF(L365='Historical Score'!$C$5,1,0),0)</f>
        <v/>
      </c>
      <c r="AS365">
        <f>IF(AND(Y365&lt;&gt;"",'Historical Score'!$C$7&lt;&gt;""),IF(Y365='Historical Score'!$C$7,1,0),0)</f>
        <v/>
      </c>
      <c r="AT365">
        <f>IF(AND(K365&lt;&gt;"",'Historical Score'!$C$8&lt;&gt;""),IF(K365='Historical Score'!$C$8,1,0),0)</f>
        <v/>
      </c>
      <c r="AU365">
        <f>IF(AND(J365&lt;&gt;"",'Historical Score'!$C$9&lt;&gt;""),IF(J365='Historical Score'!$C$9,1,0),0)</f>
        <v/>
      </c>
      <c r="AV365">
        <f>AR365*AS365*AQ365</f>
        <v/>
      </c>
      <c r="AW365">
        <f>AR365*AT365*AQ365</f>
        <v/>
      </c>
      <c r="AX365">
        <f>AR365*AS365</f>
        <v/>
      </c>
      <c r="AY365">
        <f>AR365*AT365</f>
        <v/>
      </c>
      <c r="AZ365">
        <f>AR365*AQ365</f>
        <v/>
      </c>
      <c r="BA365">
        <f>AR365</f>
        <v/>
      </c>
      <c r="BB365">
        <f>1</f>
        <v/>
      </c>
      <c r="BC365">
        <f>IF(AV365=1,1,IF(AW365=1,2,IF(AX365=1,3,IF(AY365=1,4,IF(AZ365=1,5,IF(BA365=1,6,7))))))</f>
        <v/>
      </c>
      <c r="BD365">
        <f>IF(AD365=1,CHOOSE('Historical Score'!$C$29,AV365,AW365,AX365,AY365,AZ365,BA365,BB365),0)</f>
        <v/>
      </c>
      <c r="BE365">
        <f>IF(BD365=1,COUNTIF($BD$2:BD365,1),"")</f>
        <v/>
      </c>
    </row>
    <row r="366">
      <c r="A366" t="inlineStr">
        <is>
          <t>5674172558</t>
        </is>
      </c>
      <c r="B366" t="inlineStr">
        <is>
          <t>PMG MANAGEMENT  DBA PREMIER POOLS AND SPAS OF MIDLAND/ODESSA DBA JESSICA GAVALDON GEN PTR</t>
        </is>
      </c>
      <c r="C366" t="inlineStr">
        <is>
          <t>PMG MANAGEMENT LLC</t>
        </is>
      </c>
      <c r="D366" t="inlineStr">
        <is>
          <t>Legal</t>
        </is>
      </c>
      <c r="E366" s="297" t="n">
        <v>45981</v>
      </c>
      <c r="F366" s="297" t="n">
        <v>46203</v>
      </c>
      <c r="G366" t="n">
        <v>3</v>
      </c>
      <c r="H366" t="inlineStr">
        <is>
          <t>8741</t>
        </is>
      </c>
      <c r="I366" t="inlineStr">
        <is>
          <t>87</t>
        </is>
      </c>
      <c r="J366" t="inlineStr">
        <is>
          <t>TX</t>
        </is>
      </c>
      <c r="K366" t="inlineStr">
        <is>
          <t>United Secured Capital 8</t>
        </is>
      </c>
      <c r="L366" t="inlineStr">
        <is>
          <t>New Deal</t>
        </is>
      </c>
      <c r="M366" s="298" t="n">
        <v>1.45</v>
      </c>
      <c r="N366" s="299" t="n">
        <v>75000</v>
      </c>
      <c r="O366" s="299" t="n">
        <v>9000</v>
      </c>
      <c r="P366" s="299" t="n">
        <v>108750</v>
      </c>
      <c r="Q366" s="299" t="n">
        <v>72422.85000000001</v>
      </c>
      <c r="R366" s="299" t="n">
        <v>36327.15</v>
      </c>
      <c r="S366" s="300" t="n">
        <v>0.66595724137931</v>
      </c>
      <c r="T366" t="n">
        <v>24</v>
      </c>
      <c r="U366" t="n">
        <v>4</v>
      </c>
      <c r="V366" t="n">
        <v>570923.3100000001</v>
      </c>
      <c r="W366" s="300" t="n">
        <v>0.0317</v>
      </c>
      <c r="X366" s="297" t="n">
        <v>44394</v>
      </c>
      <c r="Y366">
        <f>IF(I366="","No SIC",IFERROR(VLOOKUP(I366,Ref!$A$2:$B$65,2,FALSE),"Unclassified"))</f>
        <v/>
      </c>
      <c r="Z366">
        <f>IF(T366="","",IF(T366&lt;12,"Daily","Weekly"))</f>
        <v/>
      </c>
      <c r="AA366">
        <f>IF(T366="",0,IF(T366&lt;12,T366*Controls!$B$29,T366*5))</f>
        <v/>
      </c>
      <c r="AB366">
        <f>IF(E366="",0,NETWORKDAYS(E366,Controls!$B$36,Ref!$K$2:$K$42))</f>
        <v/>
      </c>
      <c r="AC366">
        <f>IF(AND(AA366&gt;0,AB366&gt;=Controls!$B$39*AA366),1,0)</f>
        <v/>
      </c>
      <c r="AD366">
        <f>IF(AND(E366&lt;&gt;"",E366&gt;=Controls!$B$37,E366&lt;=Controls!$B$38),1,0)</f>
        <v/>
      </c>
      <c r="AE366">
        <f>IF(IFERROR(VLOOKUP(D366,Controls!$A$64:$E$74,2,FALSE),"No")="Yes",1,0)</f>
        <v/>
      </c>
      <c r="AF366">
        <f>IF(IFERROR(VLOOKUP(D366,Controls!$A$64:$E$74,3,FALSE),"No")="Yes",1,0)</f>
        <v/>
      </c>
      <c r="AG366">
        <f>IF(IFERROR(VLOOKUP(D366,Controls!$A$64:$E$74,4,FALSE),"No")="Yes",1,0)</f>
        <v/>
      </c>
      <c r="AH366">
        <f>IF(IFERROR(VLOOKUP(D366,Controls!$A$64:$E$74,5,FALSE),"No")="Yes",1,0)</f>
        <v/>
      </c>
      <c r="AI366">
        <f>IF(ISNUMBER(MATCH(D366,Controls!$A$64:$A$74,0)),1,0)</f>
        <v/>
      </c>
      <c r="AJ366">
        <f>Q366-N366</f>
        <v/>
      </c>
      <c r="AK366">
        <f>IF(AE366=1,MAX(0,N366-Q366),0)</f>
        <v/>
      </c>
      <c r="AL366">
        <f>IF(OR(V366="",V366=0),0,N366/V366)</f>
        <v/>
      </c>
      <c r="AM366">
        <f>IF(OR(V366="",V366=0),0,1)</f>
        <v/>
      </c>
      <c r="AN366">
        <f>IF(OR(E366="",F366=""),0,NETWORKDAYS(E366,F366,Ref!$K$2:$K$42))</f>
        <v/>
      </c>
      <c r="AO366">
        <f>IF(L366="Renewal",1,0)</f>
        <v/>
      </c>
      <c r="AP366">
        <f>AC366*AD366</f>
        <v/>
      </c>
      <c r="AQ366">
        <f>IF(AND(G366&lt;&gt;"",'Historical Score'!$C$6&lt;&gt;""),IF(G366='Historical Score'!$C$6,1,0),0)</f>
        <v/>
      </c>
      <c r="AR366">
        <f>IF(AND(L366&lt;&gt;"",'Historical Score'!$C$5&lt;&gt;""),IF(L366='Historical Score'!$C$5,1,0),0)</f>
        <v/>
      </c>
      <c r="AS366">
        <f>IF(AND(Y366&lt;&gt;"",'Historical Score'!$C$7&lt;&gt;""),IF(Y366='Historical Score'!$C$7,1,0),0)</f>
        <v/>
      </c>
      <c r="AT366">
        <f>IF(AND(K366&lt;&gt;"",'Historical Score'!$C$8&lt;&gt;""),IF(K366='Historical Score'!$C$8,1,0),0)</f>
        <v/>
      </c>
      <c r="AU366">
        <f>IF(AND(J366&lt;&gt;"",'Historical Score'!$C$9&lt;&gt;""),IF(J366='Historical Score'!$C$9,1,0),0)</f>
        <v/>
      </c>
      <c r="AV366">
        <f>AR366*AS366*AQ366</f>
        <v/>
      </c>
      <c r="AW366">
        <f>AR366*AT366*AQ366</f>
        <v/>
      </c>
      <c r="AX366">
        <f>AR366*AS366</f>
        <v/>
      </c>
      <c r="AY366">
        <f>AR366*AT366</f>
        <v/>
      </c>
      <c r="AZ366">
        <f>AR366*AQ366</f>
        <v/>
      </c>
      <c r="BA366">
        <f>AR366</f>
        <v/>
      </c>
      <c r="BB366">
        <f>1</f>
        <v/>
      </c>
      <c r="BC366">
        <f>IF(AV366=1,1,IF(AW366=1,2,IF(AX366=1,3,IF(AY366=1,4,IF(AZ366=1,5,IF(BA366=1,6,7))))))</f>
        <v/>
      </c>
      <c r="BD366">
        <f>IF(AD366=1,CHOOSE('Historical Score'!$C$29,AV366,AW366,AX366,AY366,AZ366,BA366,BB366),0)</f>
        <v/>
      </c>
      <c r="BE366">
        <f>IF(BD366=1,COUNTIF($BD$2:BD366,1),"")</f>
        <v/>
      </c>
    </row>
    <row r="367">
      <c r="A367" t="inlineStr">
        <is>
          <t>5674172559</t>
        </is>
      </c>
      <c r="B367" t="inlineStr">
        <is>
          <t>Phoenix Commerce LLC</t>
        </is>
      </c>
      <c r="C367" t="inlineStr">
        <is>
          <t>Phoenix Commerce LLC</t>
        </is>
      </c>
      <c r="D367" t="inlineStr">
        <is>
          <t>Written-Off</t>
        </is>
      </c>
      <c r="E367" s="297" t="n">
        <v>45981</v>
      </c>
      <c r="F367" s="297" t="n">
        <v>46113</v>
      </c>
      <c r="G367" t="n">
        <v>3</v>
      </c>
      <c r="H367" t="inlineStr">
        <is>
          <t>5999</t>
        </is>
      </c>
      <c r="I367" t="inlineStr">
        <is>
          <t>59</t>
        </is>
      </c>
      <c r="J367" t="inlineStr">
        <is>
          <t>TX</t>
        </is>
      </c>
      <c r="K367" t="inlineStr">
        <is>
          <t>liquidity lending group</t>
        </is>
      </c>
      <c r="L367" t="inlineStr">
        <is>
          <t>New Deal</t>
        </is>
      </c>
      <c r="M367" s="298" t="n">
        <v>1.49</v>
      </c>
      <c r="N367" s="299" t="n">
        <v>25000</v>
      </c>
      <c r="O367" s="299" t="n">
        <v>3500</v>
      </c>
      <c r="P367" s="299" t="n">
        <v>37250</v>
      </c>
      <c r="Q367" s="299" t="n">
        <v>27182</v>
      </c>
      <c r="R367" s="299" t="n">
        <v>10068</v>
      </c>
      <c r="S367" s="300" t="n">
        <v>0.729718120805369</v>
      </c>
      <c r="T367" t="n">
        <v>2.951</v>
      </c>
      <c r="U367" t="n">
        <v>6</v>
      </c>
      <c r="V367" t="n">
        <v>244687.48</v>
      </c>
      <c r="W367" s="300" t="n">
        <v>0.0355</v>
      </c>
      <c r="X367" s="297" t="n"/>
      <c r="Y367">
        <f>IF(I367="","No SIC",IFERROR(VLOOKUP(I367,Ref!$A$2:$B$65,2,FALSE),"Unclassified"))</f>
        <v/>
      </c>
      <c r="Z367">
        <f>IF(T367="","",IF(T367&lt;12,"Daily","Weekly"))</f>
        <v/>
      </c>
      <c r="AA367">
        <f>IF(T367="",0,IF(T367&lt;12,T367*Controls!$B$29,T367*5))</f>
        <v/>
      </c>
      <c r="AB367">
        <f>IF(E367="",0,NETWORKDAYS(E367,Controls!$B$36,Ref!$K$2:$K$42))</f>
        <v/>
      </c>
      <c r="AC367">
        <f>IF(AND(AA367&gt;0,AB367&gt;=Controls!$B$39*AA367),1,0)</f>
        <v/>
      </c>
      <c r="AD367">
        <f>IF(AND(E367&lt;&gt;"",E367&gt;=Controls!$B$37,E367&lt;=Controls!$B$38),1,0)</f>
        <v/>
      </c>
      <c r="AE367">
        <f>IF(IFERROR(VLOOKUP(D367,Controls!$A$64:$E$74,2,FALSE),"No")="Yes",1,0)</f>
        <v/>
      </c>
      <c r="AF367">
        <f>IF(IFERROR(VLOOKUP(D367,Controls!$A$64:$E$74,3,FALSE),"No")="Yes",1,0)</f>
        <v/>
      </c>
      <c r="AG367">
        <f>IF(IFERROR(VLOOKUP(D367,Controls!$A$64:$E$74,4,FALSE),"No")="Yes",1,0)</f>
        <v/>
      </c>
      <c r="AH367">
        <f>IF(IFERROR(VLOOKUP(D367,Controls!$A$64:$E$74,5,FALSE),"No")="Yes",1,0)</f>
        <v/>
      </c>
      <c r="AI367">
        <f>IF(ISNUMBER(MATCH(D367,Controls!$A$64:$A$74,0)),1,0)</f>
        <v/>
      </c>
      <c r="AJ367">
        <f>Q367-N367</f>
        <v/>
      </c>
      <c r="AK367">
        <f>IF(AE367=1,MAX(0,N367-Q367),0)</f>
        <v/>
      </c>
      <c r="AL367">
        <f>IF(OR(V367="",V367=0),0,N367/V367)</f>
        <v/>
      </c>
      <c r="AM367">
        <f>IF(OR(V367="",V367=0),0,1)</f>
        <v/>
      </c>
      <c r="AN367">
        <f>IF(OR(E367="",F367=""),0,NETWORKDAYS(E367,F367,Ref!$K$2:$K$42))</f>
        <v/>
      </c>
      <c r="AO367">
        <f>IF(L367="Renewal",1,0)</f>
        <v/>
      </c>
      <c r="AP367">
        <f>AC367*AD367</f>
        <v/>
      </c>
      <c r="AQ367">
        <f>IF(AND(G367&lt;&gt;"",'Historical Score'!$C$6&lt;&gt;""),IF(G367='Historical Score'!$C$6,1,0),0)</f>
        <v/>
      </c>
      <c r="AR367">
        <f>IF(AND(L367&lt;&gt;"",'Historical Score'!$C$5&lt;&gt;""),IF(L367='Historical Score'!$C$5,1,0),0)</f>
        <v/>
      </c>
      <c r="AS367">
        <f>IF(AND(Y367&lt;&gt;"",'Historical Score'!$C$7&lt;&gt;""),IF(Y367='Historical Score'!$C$7,1,0),0)</f>
        <v/>
      </c>
      <c r="AT367">
        <f>IF(AND(K367&lt;&gt;"",'Historical Score'!$C$8&lt;&gt;""),IF(K367='Historical Score'!$C$8,1,0),0)</f>
        <v/>
      </c>
      <c r="AU367">
        <f>IF(AND(J367&lt;&gt;"",'Historical Score'!$C$9&lt;&gt;""),IF(J367='Historical Score'!$C$9,1,0),0)</f>
        <v/>
      </c>
      <c r="AV367">
        <f>AR367*AS367*AQ367</f>
        <v/>
      </c>
      <c r="AW367">
        <f>AR367*AT367*AQ367</f>
        <v/>
      </c>
      <c r="AX367">
        <f>AR367*AS367</f>
        <v/>
      </c>
      <c r="AY367">
        <f>AR367*AT367</f>
        <v/>
      </c>
      <c r="AZ367">
        <f>AR367*AQ367</f>
        <v/>
      </c>
      <c r="BA367">
        <f>AR367</f>
        <v/>
      </c>
      <c r="BB367">
        <f>1</f>
        <v/>
      </c>
      <c r="BC367">
        <f>IF(AV367=1,1,IF(AW367=1,2,IF(AX367=1,3,IF(AY367=1,4,IF(AZ367=1,5,IF(BA367=1,6,7))))))</f>
        <v/>
      </c>
      <c r="BD367">
        <f>IF(AD367=1,CHOOSE('Historical Score'!$C$29,AV367,AW367,AX367,AY367,AZ367,BA367,BB367),0)</f>
        <v/>
      </c>
      <c r="BE367">
        <f>IF(BD367=1,COUNTIF($BD$2:BD367,1),"")</f>
        <v/>
      </c>
    </row>
    <row r="368">
      <c r="A368" t="inlineStr">
        <is>
          <t>5674172567</t>
        </is>
      </c>
      <c r="B368" t="inlineStr">
        <is>
          <t>R.A. MASONRY</t>
        </is>
      </c>
      <c r="C368" t="inlineStr">
        <is>
          <t>R.A. MASONRY, LLC</t>
        </is>
      </c>
      <c r="D368" t="inlineStr">
        <is>
          <t>In House Collection</t>
        </is>
      </c>
      <c r="E368" s="297" t="n">
        <v>45981</v>
      </c>
      <c r="F368" s="297" t="n">
        <v>46253</v>
      </c>
      <c r="G368" t="n">
        <v>3</v>
      </c>
      <c r="H368" t="inlineStr">
        <is>
          <t>1741</t>
        </is>
      </c>
      <c r="I368" t="inlineStr">
        <is>
          <t>17</t>
        </is>
      </c>
      <c r="J368" t="inlineStr">
        <is>
          <t>IL</t>
        </is>
      </c>
      <c r="K368" t="inlineStr">
        <is>
          <t>Shore Funding USA</t>
        </is>
      </c>
      <c r="L368" t="inlineStr">
        <is>
          <t>New Deal</t>
        </is>
      </c>
      <c r="M368" s="298" t="n">
        <v>1.49</v>
      </c>
      <c r="N368" s="299" t="n">
        <v>30000</v>
      </c>
      <c r="O368" s="299" t="n">
        <v>4200</v>
      </c>
      <c r="P368" s="299" t="n">
        <v>44700</v>
      </c>
      <c r="Q368" s="299" t="n">
        <v>20154.55</v>
      </c>
      <c r="R368" s="299" t="n">
        <v>24545.45</v>
      </c>
      <c r="S368" s="300" t="n">
        <v>0.450884787472036</v>
      </c>
      <c r="T368" t="n">
        <v>26</v>
      </c>
      <c r="U368" t="n">
        <v>22</v>
      </c>
      <c r="V368" t="n">
        <v>101173.27</v>
      </c>
      <c r="W368" s="300" t="n">
        <v>0.068</v>
      </c>
      <c r="X368" s="297" t="n">
        <v>44470</v>
      </c>
      <c r="Y368">
        <f>IF(I368="","No SIC",IFERROR(VLOOKUP(I368,Ref!$A$2:$B$65,2,FALSE),"Unclassified"))</f>
        <v/>
      </c>
      <c r="Z368">
        <f>IF(T368="","",IF(T368&lt;12,"Daily","Weekly"))</f>
        <v/>
      </c>
      <c r="AA368">
        <f>IF(T368="",0,IF(T368&lt;12,T368*Controls!$B$29,T368*5))</f>
        <v/>
      </c>
      <c r="AB368">
        <f>IF(E368="",0,NETWORKDAYS(E368,Controls!$B$36,Ref!$K$2:$K$42))</f>
        <v/>
      </c>
      <c r="AC368">
        <f>IF(AND(AA368&gt;0,AB368&gt;=Controls!$B$39*AA368),1,0)</f>
        <v/>
      </c>
      <c r="AD368">
        <f>IF(AND(E368&lt;&gt;"",E368&gt;=Controls!$B$37,E368&lt;=Controls!$B$38),1,0)</f>
        <v/>
      </c>
      <c r="AE368">
        <f>IF(IFERROR(VLOOKUP(D368,Controls!$A$64:$E$74,2,FALSE),"No")="Yes",1,0)</f>
        <v/>
      </c>
      <c r="AF368">
        <f>IF(IFERROR(VLOOKUP(D368,Controls!$A$64:$E$74,3,FALSE),"No")="Yes",1,0)</f>
        <v/>
      </c>
      <c r="AG368">
        <f>IF(IFERROR(VLOOKUP(D368,Controls!$A$64:$E$74,4,FALSE),"No")="Yes",1,0)</f>
        <v/>
      </c>
      <c r="AH368">
        <f>IF(IFERROR(VLOOKUP(D368,Controls!$A$64:$E$74,5,FALSE),"No")="Yes",1,0)</f>
        <v/>
      </c>
      <c r="AI368">
        <f>IF(ISNUMBER(MATCH(D368,Controls!$A$64:$A$74,0)),1,0)</f>
        <v/>
      </c>
      <c r="AJ368">
        <f>Q368-N368</f>
        <v/>
      </c>
      <c r="AK368">
        <f>IF(AE368=1,MAX(0,N368-Q368),0)</f>
        <v/>
      </c>
      <c r="AL368">
        <f>IF(OR(V368="",V368=0),0,N368/V368)</f>
        <v/>
      </c>
      <c r="AM368">
        <f>IF(OR(V368="",V368=0),0,1)</f>
        <v/>
      </c>
      <c r="AN368">
        <f>IF(OR(E368="",F368=""),0,NETWORKDAYS(E368,F368,Ref!$K$2:$K$42))</f>
        <v/>
      </c>
      <c r="AO368">
        <f>IF(L368="Renewal",1,0)</f>
        <v/>
      </c>
      <c r="AP368">
        <f>AC368*AD368</f>
        <v/>
      </c>
      <c r="AQ368">
        <f>IF(AND(G368&lt;&gt;"",'Historical Score'!$C$6&lt;&gt;""),IF(G368='Historical Score'!$C$6,1,0),0)</f>
        <v/>
      </c>
      <c r="AR368">
        <f>IF(AND(L368&lt;&gt;"",'Historical Score'!$C$5&lt;&gt;""),IF(L368='Historical Score'!$C$5,1,0),0)</f>
        <v/>
      </c>
      <c r="AS368">
        <f>IF(AND(Y368&lt;&gt;"",'Historical Score'!$C$7&lt;&gt;""),IF(Y368='Historical Score'!$C$7,1,0),0)</f>
        <v/>
      </c>
      <c r="AT368">
        <f>IF(AND(K368&lt;&gt;"",'Historical Score'!$C$8&lt;&gt;""),IF(K368='Historical Score'!$C$8,1,0),0)</f>
        <v/>
      </c>
      <c r="AU368">
        <f>IF(AND(J368&lt;&gt;"",'Historical Score'!$C$9&lt;&gt;""),IF(J368='Historical Score'!$C$9,1,0),0)</f>
        <v/>
      </c>
      <c r="AV368">
        <f>AR368*AS368*AQ368</f>
        <v/>
      </c>
      <c r="AW368">
        <f>AR368*AT368*AQ368</f>
        <v/>
      </c>
      <c r="AX368">
        <f>AR368*AS368</f>
        <v/>
      </c>
      <c r="AY368">
        <f>AR368*AT368</f>
        <v/>
      </c>
      <c r="AZ368">
        <f>AR368*AQ368</f>
        <v/>
      </c>
      <c r="BA368">
        <f>AR368</f>
        <v/>
      </c>
      <c r="BB368">
        <f>1</f>
        <v/>
      </c>
      <c r="BC368">
        <f>IF(AV368=1,1,IF(AW368=1,2,IF(AX368=1,3,IF(AY368=1,4,IF(AZ368=1,5,IF(BA368=1,6,7))))))</f>
        <v/>
      </c>
      <c r="BD368">
        <f>IF(AD368=1,CHOOSE('Historical Score'!$C$29,AV368,AW368,AX368,AY368,AZ368,BA368,BB368),0)</f>
        <v/>
      </c>
      <c r="BE368">
        <f>IF(BD368=1,COUNTIF($BD$2:BD368,1),"")</f>
        <v/>
      </c>
    </row>
    <row r="369">
      <c r="A369" t="inlineStr">
        <is>
          <t>5674172569</t>
        </is>
      </c>
      <c r="B369" t="inlineStr">
        <is>
          <t>JD HEAT &amp; AIR LLC</t>
        </is>
      </c>
      <c r="C369" t="inlineStr">
        <is>
          <t>JD HEAT &amp; AIR LLC</t>
        </is>
      </c>
      <c r="D369" t="inlineStr">
        <is>
          <t>Legal</t>
        </is>
      </c>
      <c r="E369" s="297" t="n">
        <v>45981</v>
      </c>
      <c r="F369" s="297" t="n">
        <v>46048</v>
      </c>
      <c r="G369" t="n">
        <v>1</v>
      </c>
      <c r="H369" t="inlineStr">
        <is>
          <t>1711</t>
        </is>
      </c>
      <c r="I369" t="inlineStr">
        <is>
          <t>17</t>
        </is>
      </c>
      <c r="J369" t="inlineStr">
        <is>
          <t>OK</t>
        </is>
      </c>
      <c r="K369" t="inlineStr">
        <is>
          <t>United Secured Capital 8</t>
        </is>
      </c>
      <c r="L369" t="inlineStr">
        <is>
          <t>New Deal</t>
        </is>
      </c>
      <c r="M369" s="298" t="n">
        <v>1.49</v>
      </c>
      <c r="N369" s="299" t="n">
        <v>11500</v>
      </c>
      <c r="O369" s="299" t="n">
        <v>1610</v>
      </c>
      <c r="P369" s="299" t="n">
        <v>17135</v>
      </c>
      <c r="Q369" s="299" t="n">
        <v>7237.1</v>
      </c>
      <c r="R369" s="299" t="n">
        <v>9897.9</v>
      </c>
      <c r="S369" s="300" t="n">
        <v>0.422357747300846</v>
      </c>
      <c r="T369" t="n">
        <v>2.951</v>
      </c>
      <c r="U369" t="n">
        <v>5</v>
      </c>
      <c r="V369" t="n">
        <v>46130.09</v>
      </c>
      <c r="W369" s="300" t="n">
        <v>0.0867</v>
      </c>
      <c r="X369" s="297" t="n">
        <v>44411</v>
      </c>
      <c r="Y369">
        <f>IF(I369="","No SIC",IFERROR(VLOOKUP(I369,Ref!$A$2:$B$65,2,FALSE),"Unclassified"))</f>
        <v/>
      </c>
      <c r="Z369">
        <f>IF(T369="","",IF(T369&lt;12,"Daily","Weekly"))</f>
        <v/>
      </c>
      <c r="AA369">
        <f>IF(T369="",0,IF(T369&lt;12,T369*Controls!$B$29,T369*5))</f>
        <v/>
      </c>
      <c r="AB369">
        <f>IF(E369="",0,NETWORKDAYS(E369,Controls!$B$36,Ref!$K$2:$K$42))</f>
        <v/>
      </c>
      <c r="AC369">
        <f>IF(AND(AA369&gt;0,AB369&gt;=Controls!$B$39*AA369),1,0)</f>
        <v/>
      </c>
      <c r="AD369">
        <f>IF(AND(E369&lt;&gt;"",E369&gt;=Controls!$B$37,E369&lt;=Controls!$B$38),1,0)</f>
        <v/>
      </c>
      <c r="AE369">
        <f>IF(IFERROR(VLOOKUP(D369,Controls!$A$64:$E$74,2,FALSE),"No")="Yes",1,0)</f>
        <v/>
      </c>
      <c r="AF369">
        <f>IF(IFERROR(VLOOKUP(D369,Controls!$A$64:$E$74,3,FALSE),"No")="Yes",1,0)</f>
        <v/>
      </c>
      <c r="AG369">
        <f>IF(IFERROR(VLOOKUP(D369,Controls!$A$64:$E$74,4,FALSE),"No")="Yes",1,0)</f>
        <v/>
      </c>
      <c r="AH369">
        <f>IF(IFERROR(VLOOKUP(D369,Controls!$A$64:$E$74,5,FALSE),"No")="Yes",1,0)</f>
        <v/>
      </c>
      <c r="AI369">
        <f>IF(ISNUMBER(MATCH(D369,Controls!$A$64:$A$74,0)),1,0)</f>
        <v/>
      </c>
      <c r="AJ369">
        <f>Q369-N369</f>
        <v/>
      </c>
      <c r="AK369">
        <f>IF(AE369=1,MAX(0,N369-Q369),0)</f>
        <v/>
      </c>
      <c r="AL369">
        <f>IF(OR(V369="",V369=0),0,N369/V369)</f>
        <v/>
      </c>
      <c r="AM369">
        <f>IF(OR(V369="",V369=0),0,1)</f>
        <v/>
      </c>
      <c r="AN369">
        <f>IF(OR(E369="",F369=""),0,NETWORKDAYS(E369,F369,Ref!$K$2:$K$42))</f>
        <v/>
      </c>
      <c r="AO369">
        <f>IF(L369="Renewal",1,0)</f>
        <v/>
      </c>
      <c r="AP369">
        <f>AC369*AD369</f>
        <v/>
      </c>
      <c r="AQ369">
        <f>IF(AND(G369&lt;&gt;"",'Historical Score'!$C$6&lt;&gt;""),IF(G369='Historical Score'!$C$6,1,0),0)</f>
        <v/>
      </c>
      <c r="AR369">
        <f>IF(AND(L369&lt;&gt;"",'Historical Score'!$C$5&lt;&gt;""),IF(L369='Historical Score'!$C$5,1,0),0)</f>
        <v/>
      </c>
      <c r="AS369">
        <f>IF(AND(Y369&lt;&gt;"",'Historical Score'!$C$7&lt;&gt;""),IF(Y369='Historical Score'!$C$7,1,0),0)</f>
        <v/>
      </c>
      <c r="AT369">
        <f>IF(AND(K369&lt;&gt;"",'Historical Score'!$C$8&lt;&gt;""),IF(K369='Historical Score'!$C$8,1,0),0)</f>
        <v/>
      </c>
      <c r="AU369">
        <f>IF(AND(J369&lt;&gt;"",'Historical Score'!$C$9&lt;&gt;""),IF(J369='Historical Score'!$C$9,1,0),0)</f>
        <v/>
      </c>
      <c r="AV369">
        <f>AR369*AS369*AQ369</f>
        <v/>
      </c>
      <c r="AW369">
        <f>AR369*AT369*AQ369</f>
        <v/>
      </c>
      <c r="AX369">
        <f>AR369*AS369</f>
        <v/>
      </c>
      <c r="AY369">
        <f>AR369*AT369</f>
        <v/>
      </c>
      <c r="AZ369">
        <f>AR369*AQ369</f>
        <v/>
      </c>
      <c r="BA369">
        <f>AR369</f>
        <v/>
      </c>
      <c r="BB369">
        <f>1</f>
        <v/>
      </c>
      <c r="BC369">
        <f>IF(AV369=1,1,IF(AW369=1,2,IF(AX369=1,3,IF(AY369=1,4,IF(AZ369=1,5,IF(BA369=1,6,7))))))</f>
        <v/>
      </c>
      <c r="BD369">
        <f>IF(AD369=1,CHOOSE('Historical Score'!$C$29,AV369,AW369,AX369,AY369,AZ369,BA369,BB369),0)</f>
        <v/>
      </c>
      <c r="BE369">
        <f>IF(BD369=1,COUNTIF($BD$2:BD369,1),"")</f>
        <v/>
      </c>
    </row>
    <row r="370">
      <c r="A370" t="inlineStr">
        <is>
          <t>5674172606</t>
        </is>
      </c>
      <c r="B370" t="inlineStr">
        <is>
          <t>GM&amp;I Services LLC</t>
        </is>
      </c>
      <c r="C370" t="inlineStr">
        <is>
          <t>GM&amp;I Services LLC</t>
        </is>
      </c>
      <c r="D370" t="inlineStr">
        <is>
          <t>Closed</t>
        </is>
      </c>
      <c r="E370" s="297" t="n">
        <v>45982</v>
      </c>
      <c r="F370" s="297" t="n">
        <v>46178</v>
      </c>
      <c r="G370" t="n">
        <v>1</v>
      </c>
      <c r="H370" t="inlineStr">
        <is>
          <t>9511</t>
        </is>
      </c>
      <c r="I370" t="inlineStr">
        <is>
          <t>95</t>
        </is>
      </c>
      <c r="J370" t="inlineStr">
        <is>
          <t>TX</t>
        </is>
      </c>
      <c r="K370" t="inlineStr">
        <is>
          <t>Fundwell</t>
        </is>
      </c>
      <c r="L370" t="inlineStr">
        <is>
          <t>New Deal</t>
        </is>
      </c>
      <c r="M370" s="298" t="n">
        <v>1.42</v>
      </c>
      <c r="N370" s="299" t="n">
        <v>85000</v>
      </c>
      <c r="O370" s="299" t="n">
        <v>11900</v>
      </c>
      <c r="P370" s="299" t="n">
        <v>120700</v>
      </c>
      <c r="Q370" s="299" t="n">
        <v>120700</v>
      </c>
      <c r="R370" s="299" t="n">
        <v>0</v>
      </c>
      <c r="S370" s="300" t="n">
        <v>1</v>
      </c>
      <c r="T370" t="n">
        <v>28</v>
      </c>
      <c r="U370" t="n">
        <v>0</v>
      </c>
      <c r="V370" t="n">
        <v>128693.84</v>
      </c>
      <c r="W370" s="300" t="n">
        <v>0.134</v>
      </c>
      <c r="X370" s="297" t="n">
        <v>45544</v>
      </c>
      <c r="Y370">
        <f>IF(I370="","No SIC",IFERROR(VLOOKUP(I370,Ref!$A$2:$B$65,2,FALSE),"Unclassified"))</f>
        <v/>
      </c>
      <c r="Z370">
        <f>IF(T370="","",IF(T370&lt;12,"Daily","Weekly"))</f>
        <v/>
      </c>
      <c r="AA370">
        <f>IF(T370="",0,IF(T370&lt;12,T370*Controls!$B$29,T370*5))</f>
        <v/>
      </c>
      <c r="AB370">
        <f>IF(E370="",0,NETWORKDAYS(E370,Controls!$B$36,Ref!$K$2:$K$42))</f>
        <v/>
      </c>
      <c r="AC370">
        <f>IF(AND(AA370&gt;0,AB370&gt;=Controls!$B$39*AA370),1,0)</f>
        <v/>
      </c>
      <c r="AD370">
        <f>IF(AND(E370&lt;&gt;"",E370&gt;=Controls!$B$37,E370&lt;=Controls!$B$38),1,0)</f>
        <v/>
      </c>
      <c r="AE370">
        <f>IF(IFERROR(VLOOKUP(D370,Controls!$A$64:$E$74,2,FALSE),"No")="Yes",1,0)</f>
        <v/>
      </c>
      <c r="AF370">
        <f>IF(IFERROR(VLOOKUP(D370,Controls!$A$64:$E$74,3,FALSE),"No")="Yes",1,0)</f>
        <v/>
      </c>
      <c r="AG370">
        <f>IF(IFERROR(VLOOKUP(D370,Controls!$A$64:$E$74,4,FALSE),"No")="Yes",1,0)</f>
        <v/>
      </c>
      <c r="AH370">
        <f>IF(IFERROR(VLOOKUP(D370,Controls!$A$64:$E$74,5,FALSE),"No")="Yes",1,0)</f>
        <v/>
      </c>
      <c r="AI370">
        <f>IF(ISNUMBER(MATCH(D370,Controls!$A$64:$A$74,0)),1,0)</f>
        <v/>
      </c>
      <c r="AJ370">
        <f>Q370-N370</f>
        <v/>
      </c>
      <c r="AK370">
        <f>IF(AE370=1,MAX(0,N370-Q370),0)</f>
        <v/>
      </c>
      <c r="AL370">
        <f>IF(OR(V370="",V370=0),0,N370/V370)</f>
        <v/>
      </c>
      <c r="AM370">
        <f>IF(OR(V370="",V370=0),0,1)</f>
        <v/>
      </c>
      <c r="AN370">
        <f>IF(OR(E370="",F370=""),0,NETWORKDAYS(E370,F370,Ref!$K$2:$K$42))</f>
        <v/>
      </c>
      <c r="AO370">
        <f>IF(L370="Renewal",1,0)</f>
        <v/>
      </c>
      <c r="AP370">
        <f>AC370*AD370</f>
        <v/>
      </c>
      <c r="AQ370">
        <f>IF(AND(G370&lt;&gt;"",'Historical Score'!$C$6&lt;&gt;""),IF(G370='Historical Score'!$C$6,1,0),0)</f>
        <v/>
      </c>
      <c r="AR370">
        <f>IF(AND(L370&lt;&gt;"",'Historical Score'!$C$5&lt;&gt;""),IF(L370='Historical Score'!$C$5,1,0),0)</f>
        <v/>
      </c>
      <c r="AS370">
        <f>IF(AND(Y370&lt;&gt;"",'Historical Score'!$C$7&lt;&gt;""),IF(Y370='Historical Score'!$C$7,1,0),0)</f>
        <v/>
      </c>
      <c r="AT370">
        <f>IF(AND(K370&lt;&gt;"",'Historical Score'!$C$8&lt;&gt;""),IF(K370='Historical Score'!$C$8,1,0),0)</f>
        <v/>
      </c>
      <c r="AU370">
        <f>IF(AND(J370&lt;&gt;"",'Historical Score'!$C$9&lt;&gt;""),IF(J370='Historical Score'!$C$9,1,0),0)</f>
        <v/>
      </c>
      <c r="AV370">
        <f>AR370*AS370*AQ370</f>
        <v/>
      </c>
      <c r="AW370">
        <f>AR370*AT370*AQ370</f>
        <v/>
      </c>
      <c r="AX370">
        <f>AR370*AS370</f>
        <v/>
      </c>
      <c r="AY370">
        <f>AR370*AT370</f>
        <v/>
      </c>
      <c r="AZ370">
        <f>AR370*AQ370</f>
        <v/>
      </c>
      <c r="BA370">
        <f>AR370</f>
        <v/>
      </c>
      <c r="BB370">
        <f>1</f>
        <v/>
      </c>
      <c r="BC370">
        <f>IF(AV370=1,1,IF(AW370=1,2,IF(AX370=1,3,IF(AY370=1,4,IF(AZ370=1,5,IF(BA370=1,6,7))))))</f>
        <v/>
      </c>
      <c r="BD370">
        <f>IF(AD370=1,CHOOSE('Historical Score'!$C$29,AV370,AW370,AX370,AY370,AZ370,BA370,BB370),0)</f>
        <v/>
      </c>
      <c r="BE370">
        <f>IF(BD370=1,COUNTIF($BD$2:BD370,1),"")</f>
        <v/>
      </c>
    </row>
    <row r="371">
      <c r="A371" t="inlineStr">
        <is>
          <t>5674172613</t>
        </is>
      </c>
      <c r="B371" t="inlineStr">
        <is>
          <t>Craft Roots Vegan Bar and Grill</t>
        </is>
      </c>
      <c r="C371" t="inlineStr">
        <is>
          <t>Gaich Group LLC</t>
        </is>
      </c>
      <c r="D371" t="inlineStr">
        <is>
          <t>Closed</t>
        </is>
      </c>
      <c r="E371" s="297" t="n">
        <v>45982</v>
      </c>
      <c r="F371" s="297" t="n">
        <v>46101</v>
      </c>
      <c r="G371" t="n">
        <v>4</v>
      </c>
      <c r="H371" t="inlineStr">
        <is>
          <t>5812</t>
        </is>
      </c>
      <c r="I371" t="inlineStr">
        <is>
          <t>58</t>
        </is>
      </c>
      <c r="J371" t="inlineStr">
        <is>
          <t>CA</t>
        </is>
      </c>
      <c r="K371" t="inlineStr">
        <is>
          <t>National Business Capital</t>
        </is>
      </c>
      <c r="L371" t="inlineStr">
        <is>
          <t>New Deal</t>
        </is>
      </c>
      <c r="M371" s="298" t="n">
        <v>1.4</v>
      </c>
      <c r="N371" s="299" t="n">
        <v>20000</v>
      </c>
      <c r="O371" s="299" t="n">
        <v>1900</v>
      </c>
      <c r="P371" s="299" t="n">
        <v>28000</v>
      </c>
      <c r="Q371" s="299" t="n">
        <v>28000</v>
      </c>
      <c r="R371" s="299" t="n">
        <v>0</v>
      </c>
      <c r="S371" s="300" t="n">
        <v>1</v>
      </c>
      <c r="T371" t="n">
        <v>2.623</v>
      </c>
      <c r="U371" t="n">
        <v>0</v>
      </c>
      <c r="V371" t="n">
        <v>131910.62</v>
      </c>
      <c r="W371" s="300" t="n">
        <v>0.0557</v>
      </c>
      <c r="X371" s="297" t="n"/>
      <c r="Y371">
        <f>IF(I371="","No SIC",IFERROR(VLOOKUP(I371,Ref!$A$2:$B$65,2,FALSE),"Unclassified"))</f>
        <v/>
      </c>
      <c r="Z371">
        <f>IF(T371="","",IF(T371&lt;12,"Daily","Weekly"))</f>
        <v/>
      </c>
      <c r="AA371">
        <f>IF(T371="",0,IF(T371&lt;12,T371*Controls!$B$29,T371*5))</f>
        <v/>
      </c>
      <c r="AB371">
        <f>IF(E371="",0,NETWORKDAYS(E371,Controls!$B$36,Ref!$K$2:$K$42))</f>
        <v/>
      </c>
      <c r="AC371">
        <f>IF(AND(AA371&gt;0,AB371&gt;=Controls!$B$39*AA371),1,0)</f>
        <v/>
      </c>
      <c r="AD371">
        <f>IF(AND(E371&lt;&gt;"",E371&gt;=Controls!$B$37,E371&lt;=Controls!$B$38),1,0)</f>
        <v/>
      </c>
      <c r="AE371">
        <f>IF(IFERROR(VLOOKUP(D371,Controls!$A$64:$E$74,2,FALSE),"No")="Yes",1,0)</f>
        <v/>
      </c>
      <c r="AF371">
        <f>IF(IFERROR(VLOOKUP(D371,Controls!$A$64:$E$74,3,FALSE),"No")="Yes",1,0)</f>
        <v/>
      </c>
      <c r="AG371">
        <f>IF(IFERROR(VLOOKUP(D371,Controls!$A$64:$E$74,4,FALSE),"No")="Yes",1,0)</f>
        <v/>
      </c>
      <c r="AH371">
        <f>IF(IFERROR(VLOOKUP(D371,Controls!$A$64:$E$74,5,FALSE),"No")="Yes",1,0)</f>
        <v/>
      </c>
      <c r="AI371">
        <f>IF(ISNUMBER(MATCH(D371,Controls!$A$64:$A$74,0)),1,0)</f>
        <v/>
      </c>
      <c r="AJ371">
        <f>Q371-N371</f>
        <v/>
      </c>
      <c r="AK371">
        <f>IF(AE371=1,MAX(0,N371-Q371),0)</f>
        <v/>
      </c>
      <c r="AL371">
        <f>IF(OR(V371="",V371=0),0,N371/V371)</f>
        <v/>
      </c>
      <c r="AM371">
        <f>IF(OR(V371="",V371=0),0,1)</f>
        <v/>
      </c>
      <c r="AN371">
        <f>IF(OR(E371="",F371=""),0,NETWORKDAYS(E371,F371,Ref!$K$2:$K$42))</f>
        <v/>
      </c>
      <c r="AO371">
        <f>IF(L371="Renewal",1,0)</f>
        <v/>
      </c>
      <c r="AP371">
        <f>AC371*AD371</f>
        <v/>
      </c>
      <c r="AQ371">
        <f>IF(AND(G371&lt;&gt;"",'Historical Score'!$C$6&lt;&gt;""),IF(G371='Historical Score'!$C$6,1,0),0)</f>
        <v/>
      </c>
      <c r="AR371">
        <f>IF(AND(L371&lt;&gt;"",'Historical Score'!$C$5&lt;&gt;""),IF(L371='Historical Score'!$C$5,1,0),0)</f>
        <v/>
      </c>
      <c r="AS371">
        <f>IF(AND(Y371&lt;&gt;"",'Historical Score'!$C$7&lt;&gt;""),IF(Y371='Historical Score'!$C$7,1,0),0)</f>
        <v/>
      </c>
      <c r="AT371">
        <f>IF(AND(K371&lt;&gt;"",'Historical Score'!$C$8&lt;&gt;""),IF(K371='Historical Score'!$C$8,1,0),0)</f>
        <v/>
      </c>
      <c r="AU371">
        <f>IF(AND(J371&lt;&gt;"",'Historical Score'!$C$9&lt;&gt;""),IF(J371='Historical Score'!$C$9,1,0),0)</f>
        <v/>
      </c>
      <c r="AV371">
        <f>AR371*AS371*AQ371</f>
        <v/>
      </c>
      <c r="AW371">
        <f>AR371*AT371*AQ371</f>
        <v/>
      </c>
      <c r="AX371">
        <f>AR371*AS371</f>
        <v/>
      </c>
      <c r="AY371">
        <f>AR371*AT371</f>
        <v/>
      </c>
      <c r="AZ371">
        <f>AR371*AQ371</f>
        <v/>
      </c>
      <c r="BA371">
        <f>AR371</f>
        <v/>
      </c>
      <c r="BB371">
        <f>1</f>
        <v/>
      </c>
      <c r="BC371">
        <f>IF(AV371=1,1,IF(AW371=1,2,IF(AX371=1,3,IF(AY371=1,4,IF(AZ371=1,5,IF(BA371=1,6,7))))))</f>
        <v/>
      </c>
      <c r="BD371">
        <f>IF(AD371=1,CHOOSE('Historical Score'!$C$29,AV371,AW371,AX371,AY371,AZ371,BA371,BB371),0)</f>
        <v/>
      </c>
      <c r="BE371">
        <f>IF(BD371=1,COUNTIF($BD$2:BD371,1),"")</f>
        <v/>
      </c>
    </row>
    <row r="372">
      <c r="A372" t="inlineStr">
        <is>
          <t>5674172631</t>
        </is>
      </c>
      <c r="B372" t="inlineStr">
        <is>
          <t>pink rabbit bar and lounge</t>
        </is>
      </c>
      <c r="C372" t="inlineStr">
        <is>
          <t>PINK RABBIT LLC</t>
        </is>
      </c>
      <c r="D372" t="inlineStr">
        <is>
          <t>Legal</t>
        </is>
      </c>
      <c r="E372" s="297" t="n">
        <v>45982</v>
      </c>
      <c r="F372" s="297" t="n">
        <v>46050</v>
      </c>
      <c r="G372" t="n">
        <v>1</v>
      </c>
      <c r="H372" t="inlineStr">
        <is>
          <t>5812</t>
        </is>
      </c>
      <c r="I372" t="inlineStr">
        <is>
          <t>58</t>
        </is>
      </c>
      <c r="J372" t="inlineStr">
        <is>
          <t>HI</t>
        </is>
      </c>
      <c r="K372" t="inlineStr">
        <is>
          <t>PMF</t>
        </is>
      </c>
      <c r="L372" t="inlineStr">
        <is>
          <t>New Deal</t>
        </is>
      </c>
      <c r="M372" s="298" t="n">
        <v>1.49</v>
      </c>
      <c r="N372" s="299" t="n">
        <v>15000</v>
      </c>
      <c r="O372" s="299" t="n">
        <v>0</v>
      </c>
      <c r="P372" s="299" t="n">
        <v>22350</v>
      </c>
      <c r="Q372" s="299" t="n">
        <v>1015.42</v>
      </c>
      <c r="R372" s="299" t="n">
        <v>21334.58</v>
      </c>
      <c r="S372" s="300" t="n">
        <v>0.0454326621923937</v>
      </c>
      <c r="T372" t="n">
        <v>22</v>
      </c>
      <c r="U372" t="n">
        <v>18</v>
      </c>
      <c r="V372" t="n">
        <v>51807.24</v>
      </c>
      <c r="W372" s="300" t="n">
        <v>0.0784</v>
      </c>
      <c r="X372" s="297" t="n">
        <v>45642</v>
      </c>
      <c r="Y372">
        <f>IF(I372="","No SIC",IFERROR(VLOOKUP(I372,Ref!$A$2:$B$65,2,FALSE),"Unclassified"))</f>
        <v/>
      </c>
      <c r="Z372">
        <f>IF(T372="","",IF(T372&lt;12,"Daily","Weekly"))</f>
        <v/>
      </c>
      <c r="AA372">
        <f>IF(T372="",0,IF(T372&lt;12,T372*Controls!$B$29,T372*5))</f>
        <v/>
      </c>
      <c r="AB372">
        <f>IF(E372="",0,NETWORKDAYS(E372,Controls!$B$36,Ref!$K$2:$K$42))</f>
        <v/>
      </c>
      <c r="AC372">
        <f>IF(AND(AA372&gt;0,AB372&gt;=Controls!$B$39*AA372),1,0)</f>
        <v/>
      </c>
      <c r="AD372">
        <f>IF(AND(E372&lt;&gt;"",E372&gt;=Controls!$B$37,E372&lt;=Controls!$B$38),1,0)</f>
        <v/>
      </c>
      <c r="AE372">
        <f>IF(IFERROR(VLOOKUP(D372,Controls!$A$64:$E$74,2,FALSE),"No")="Yes",1,0)</f>
        <v/>
      </c>
      <c r="AF372">
        <f>IF(IFERROR(VLOOKUP(D372,Controls!$A$64:$E$74,3,FALSE),"No")="Yes",1,0)</f>
        <v/>
      </c>
      <c r="AG372">
        <f>IF(IFERROR(VLOOKUP(D372,Controls!$A$64:$E$74,4,FALSE),"No")="Yes",1,0)</f>
        <v/>
      </c>
      <c r="AH372">
        <f>IF(IFERROR(VLOOKUP(D372,Controls!$A$64:$E$74,5,FALSE),"No")="Yes",1,0)</f>
        <v/>
      </c>
      <c r="AI372">
        <f>IF(ISNUMBER(MATCH(D372,Controls!$A$64:$A$74,0)),1,0)</f>
        <v/>
      </c>
      <c r="AJ372">
        <f>Q372-N372</f>
        <v/>
      </c>
      <c r="AK372">
        <f>IF(AE372=1,MAX(0,N372-Q372),0)</f>
        <v/>
      </c>
      <c r="AL372">
        <f>IF(OR(V372="",V372=0),0,N372/V372)</f>
        <v/>
      </c>
      <c r="AM372">
        <f>IF(OR(V372="",V372=0),0,1)</f>
        <v/>
      </c>
      <c r="AN372">
        <f>IF(OR(E372="",F372=""),0,NETWORKDAYS(E372,F372,Ref!$K$2:$K$42))</f>
        <v/>
      </c>
      <c r="AO372">
        <f>IF(L372="Renewal",1,0)</f>
        <v/>
      </c>
      <c r="AP372">
        <f>AC372*AD372</f>
        <v/>
      </c>
      <c r="AQ372">
        <f>IF(AND(G372&lt;&gt;"",'Historical Score'!$C$6&lt;&gt;""),IF(G372='Historical Score'!$C$6,1,0),0)</f>
        <v/>
      </c>
      <c r="AR372">
        <f>IF(AND(L372&lt;&gt;"",'Historical Score'!$C$5&lt;&gt;""),IF(L372='Historical Score'!$C$5,1,0),0)</f>
        <v/>
      </c>
      <c r="AS372">
        <f>IF(AND(Y372&lt;&gt;"",'Historical Score'!$C$7&lt;&gt;""),IF(Y372='Historical Score'!$C$7,1,0),0)</f>
        <v/>
      </c>
      <c r="AT372">
        <f>IF(AND(K372&lt;&gt;"",'Historical Score'!$C$8&lt;&gt;""),IF(K372='Historical Score'!$C$8,1,0),0)</f>
        <v/>
      </c>
      <c r="AU372">
        <f>IF(AND(J372&lt;&gt;"",'Historical Score'!$C$9&lt;&gt;""),IF(J372='Historical Score'!$C$9,1,0),0)</f>
        <v/>
      </c>
      <c r="AV372">
        <f>AR372*AS372*AQ372</f>
        <v/>
      </c>
      <c r="AW372">
        <f>AR372*AT372*AQ372</f>
        <v/>
      </c>
      <c r="AX372">
        <f>AR372*AS372</f>
        <v/>
      </c>
      <c r="AY372">
        <f>AR372*AT372</f>
        <v/>
      </c>
      <c r="AZ372">
        <f>AR372*AQ372</f>
        <v/>
      </c>
      <c r="BA372">
        <f>AR372</f>
        <v/>
      </c>
      <c r="BB372">
        <f>1</f>
        <v/>
      </c>
      <c r="BC372">
        <f>IF(AV372=1,1,IF(AW372=1,2,IF(AX372=1,3,IF(AY372=1,4,IF(AZ372=1,5,IF(BA372=1,6,7))))))</f>
        <v/>
      </c>
      <c r="BD372">
        <f>IF(AD372=1,CHOOSE('Historical Score'!$C$29,AV372,AW372,AX372,AY372,AZ372,BA372,BB372),0)</f>
        <v/>
      </c>
      <c r="BE372">
        <f>IF(BD372=1,COUNTIF($BD$2:BD372,1),"")</f>
        <v/>
      </c>
    </row>
    <row r="373">
      <c r="A373" t="inlineStr">
        <is>
          <t>5674172650</t>
        </is>
      </c>
      <c r="B373" t="inlineStr">
        <is>
          <t>EAGLE MEDICAL MANAGEMENT INC</t>
        </is>
      </c>
      <c r="C373" t="inlineStr">
        <is>
          <t>EAGLE MEDICAL MANAGEMENT INC</t>
        </is>
      </c>
      <c r="D373" t="inlineStr">
        <is>
          <t>Closed</t>
        </is>
      </c>
      <c r="E373" s="297" t="n">
        <v>45982</v>
      </c>
      <c r="F373" s="297" t="n">
        <v>46071</v>
      </c>
      <c r="G373" t="n">
        <v>1</v>
      </c>
      <c r="H373" t="inlineStr">
        <is>
          <t>8011</t>
        </is>
      </c>
      <c r="I373" t="inlineStr">
        <is>
          <t>80</t>
        </is>
      </c>
      <c r="J373" t="inlineStr">
        <is>
          <t>FL</t>
        </is>
      </c>
      <c r="K373" t="inlineStr">
        <is>
          <t>United Secured Capital 8</t>
        </is>
      </c>
      <c r="L373" t="inlineStr">
        <is>
          <t>New Deal</t>
        </is>
      </c>
      <c r="M373" s="298" t="n">
        <v>1.5</v>
      </c>
      <c r="N373" s="299" t="n">
        <v>30000</v>
      </c>
      <c r="O373" s="299" t="n">
        <v>4200</v>
      </c>
      <c r="P373" s="299" t="n">
        <v>45000</v>
      </c>
      <c r="Q373" s="299" t="n">
        <v>45000</v>
      </c>
      <c r="R373" s="299" t="n">
        <v>0</v>
      </c>
      <c r="S373" s="300" t="n">
        <v>1</v>
      </c>
      <c r="T373" t="n">
        <v>3.934</v>
      </c>
      <c r="U373" t="n">
        <v>3</v>
      </c>
      <c r="V373" t="n">
        <v>151117.26</v>
      </c>
      <c r="W373" s="300" t="n">
        <v>0.0518</v>
      </c>
      <c r="X373" s="297" t="n">
        <v>36749</v>
      </c>
      <c r="Y373">
        <f>IF(I373="","No SIC",IFERROR(VLOOKUP(I373,Ref!$A$2:$B$65,2,FALSE),"Unclassified"))</f>
        <v/>
      </c>
      <c r="Z373">
        <f>IF(T373="","",IF(T373&lt;12,"Daily","Weekly"))</f>
        <v/>
      </c>
      <c r="AA373">
        <f>IF(T373="",0,IF(T373&lt;12,T373*Controls!$B$29,T373*5))</f>
        <v/>
      </c>
      <c r="AB373">
        <f>IF(E373="",0,NETWORKDAYS(E373,Controls!$B$36,Ref!$K$2:$K$42))</f>
        <v/>
      </c>
      <c r="AC373">
        <f>IF(AND(AA373&gt;0,AB373&gt;=Controls!$B$39*AA373),1,0)</f>
        <v/>
      </c>
      <c r="AD373">
        <f>IF(AND(E373&lt;&gt;"",E373&gt;=Controls!$B$37,E373&lt;=Controls!$B$38),1,0)</f>
        <v/>
      </c>
      <c r="AE373">
        <f>IF(IFERROR(VLOOKUP(D373,Controls!$A$64:$E$74,2,FALSE),"No")="Yes",1,0)</f>
        <v/>
      </c>
      <c r="AF373">
        <f>IF(IFERROR(VLOOKUP(D373,Controls!$A$64:$E$74,3,FALSE),"No")="Yes",1,0)</f>
        <v/>
      </c>
      <c r="AG373">
        <f>IF(IFERROR(VLOOKUP(D373,Controls!$A$64:$E$74,4,FALSE),"No")="Yes",1,0)</f>
        <v/>
      </c>
      <c r="AH373">
        <f>IF(IFERROR(VLOOKUP(D373,Controls!$A$64:$E$74,5,FALSE),"No")="Yes",1,0)</f>
        <v/>
      </c>
      <c r="AI373">
        <f>IF(ISNUMBER(MATCH(D373,Controls!$A$64:$A$74,0)),1,0)</f>
        <v/>
      </c>
      <c r="AJ373">
        <f>Q373-N373</f>
        <v/>
      </c>
      <c r="AK373">
        <f>IF(AE373=1,MAX(0,N373-Q373),0)</f>
        <v/>
      </c>
      <c r="AL373">
        <f>IF(OR(V373="",V373=0),0,N373/V373)</f>
        <v/>
      </c>
      <c r="AM373">
        <f>IF(OR(V373="",V373=0),0,1)</f>
        <v/>
      </c>
      <c r="AN373">
        <f>IF(OR(E373="",F373=""),0,NETWORKDAYS(E373,F373,Ref!$K$2:$K$42))</f>
        <v/>
      </c>
      <c r="AO373">
        <f>IF(L373="Renewal",1,0)</f>
        <v/>
      </c>
      <c r="AP373">
        <f>AC373*AD373</f>
        <v/>
      </c>
      <c r="AQ373">
        <f>IF(AND(G373&lt;&gt;"",'Historical Score'!$C$6&lt;&gt;""),IF(G373='Historical Score'!$C$6,1,0),0)</f>
        <v/>
      </c>
      <c r="AR373">
        <f>IF(AND(L373&lt;&gt;"",'Historical Score'!$C$5&lt;&gt;""),IF(L373='Historical Score'!$C$5,1,0),0)</f>
        <v/>
      </c>
      <c r="AS373">
        <f>IF(AND(Y373&lt;&gt;"",'Historical Score'!$C$7&lt;&gt;""),IF(Y373='Historical Score'!$C$7,1,0),0)</f>
        <v/>
      </c>
      <c r="AT373">
        <f>IF(AND(K373&lt;&gt;"",'Historical Score'!$C$8&lt;&gt;""),IF(K373='Historical Score'!$C$8,1,0),0)</f>
        <v/>
      </c>
      <c r="AU373">
        <f>IF(AND(J373&lt;&gt;"",'Historical Score'!$C$9&lt;&gt;""),IF(J373='Historical Score'!$C$9,1,0),0)</f>
        <v/>
      </c>
      <c r="AV373">
        <f>AR373*AS373*AQ373</f>
        <v/>
      </c>
      <c r="AW373">
        <f>AR373*AT373*AQ373</f>
        <v/>
      </c>
      <c r="AX373">
        <f>AR373*AS373</f>
        <v/>
      </c>
      <c r="AY373">
        <f>AR373*AT373</f>
        <v/>
      </c>
      <c r="AZ373">
        <f>AR373*AQ373</f>
        <v/>
      </c>
      <c r="BA373">
        <f>AR373</f>
        <v/>
      </c>
      <c r="BB373">
        <f>1</f>
        <v/>
      </c>
      <c r="BC373">
        <f>IF(AV373=1,1,IF(AW373=1,2,IF(AX373=1,3,IF(AY373=1,4,IF(AZ373=1,5,IF(BA373=1,6,7))))))</f>
        <v/>
      </c>
      <c r="BD373">
        <f>IF(AD373=1,CHOOSE('Historical Score'!$C$29,AV373,AW373,AX373,AY373,AZ373,BA373,BB373),0)</f>
        <v/>
      </c>
      <c r="BE373">
        <f>IF(BD373=1,COUNTIF($BD$2:BD373,1),"")</f>
        <v/>
      </c>
    </row>
    <row r="374">
      <c r="A374" t="inlineStr">
        <is>
          <t>5674172661</t>
        </is>
      </c>
      <c r="B374" t="inlineStr">
        <is>
          <t>LASHOLOGY</t>
        </is>
      </c>
      <c r="C374" t="inlineStr">
        <is>
          <t>Iconic Holdings Inc.</t>
        </is>
      </c>
      <c r="D374" t="inlineStr">
        <is>
          <t>Closed</t>
        </is>
      </c>
      <c r="E374" s="297" t="n">
        <v>45982</v>
      </c>
      <c r="F374" s="297" t="n">
        <v>46080</v>
      </c>
      <c r="G374" t="n">
        <v>1</v>
      </c>
      <c r="H374" t="inlineStr">
        <is>
          <t>7231</t>
        </is>
      </c>
      <c r="I374" t="inlineStr">
        <is>
          <t>72</t>
        </is>
      </c>
      <c r="J374" t="inlineStr">
        <is>
          <t>CO</t>
        </is>
      </c>
      <c r="K374" t="inlineStr">
        <is>
          <t>Fundwell</t>
        </is>
      </c>
      <c r="L374" t="inlineStr">
        <is>
          <t>New Deal</t>
        </is>
      </c>
      <c r="M374" s="298" t="n">
        <v>1.39</v>
      </c>
      <c r="N374" s="299" t="n">
        <v>40000</v>
      </c>
      <c r="O374" s="299" t="n">
        <v>5000</v>
      </c>
      <c r="P374" s="299" t="n">
        <v>55600</v>
      </c>
      <c r="Q374" s="299" t="n">
        <v>55600</v>
      </c>
      <c r="R374" s="299" t="n">
        <v>-7.275957614183431e-12</v>
      </c>
      <c r="S374" s="300" t="n">
        <v>1</v>
      </c>
      <c r="T374" t="n">
        <v>36</v>
      </c>
      <c r="U374" t="n">
        <v>0</v>
      </c>
      <c r="V374" t="n">
        <v>54378.42</v>
      </c>
      <c r="W374" s="300" t="n">
        <v>0.169</v>
      </c>
      <c r="X374" s="297" t="n">
        <v>45191</v>
      </c>
      <c r="Y374">
        <f>IF(I374="","No SIC",IFERROR(VLOOKUP(I374,Ref!$A$2:$B$65,2,FALSE),"Unclassified"))</f>
        <v/>
      </c>
      <c r="Z374">
        <f>IF(T374="","",IF(T374&lt;12,"Daily","Weekly"))</f>
        <v/>
      </c>
      <c r="AA374">
        <f>IF(T374="",0,IF(T374&lt;12,T374*Controls!$B$29,T374*5))</f>
        <v/>
      </c>
      <c r="AB374">
        <f>IF(E374="",0,NETWORKDAYS(E374,Controls!$B$36,Ref!$K$2:$K$42))</f>
        <v/>
      </c>
      <c r="AC374">
        <f>IF(AND(AA374&gt;0,AB374&gt;=Controls!$B$39*AA374),1,0)</f>
        <v/>
      </c>
      <c r="AD374">
        <f>IF(AND(E374&lt;&gt;"",E374&gt;=Controls!$B$37,E374&lt;=Controls!$B$38),1,0)</f>
        <v/>
      </c>
      <c r="AE374">
        <f>IF(IFERROR(VLOOKUP(D374,Controls!$A$64:$E$74,2,FALSE),"No")="Yes",1,0)</f>
        <v/>
      </c>
      <c r="AF374">
        <f>IF(IFERROR(VLOOKUP(D374,Controls!$A$64:$E$74,3,FALSE),"No")="Yes",1,0)</f>
        <v/>
      </c>
      <c r="AG374">
        <f>IF(IFERROR(VLOOKUP(D374,Controls!$A$64:$E$74,4,FALSE),"No")="Yes",1,0)</f>
        <v/>
      </c>
      <c r="AH374">
        <f>IF(IFERROR(VLOOKUP(D374,Controls!$A$64:$E$74,5,FALSE),"No")="Yes",1,0)</f>
        <v/>
      </c>
      <c r="AI374">
        <f>IF(ISNUMBER(MATCH(D374,Controls!$A$64:$A$74,0)),1,0)</f>
        <v/>
      </c>
      <c r="AJ374">
        <f>Q374-N374</f>
        <v/>
      </c>
      <c r="AK374">
        <f>IF(AE374=1,MAX(0,N374-Q374),0)</f>
        <v/>
      </c>
      <c r="AL374">
        <f>IF(OR(V374="",V374=0),0,N374/V374)</f>
        <v/>
      </c>
      <c r="AM374">
        <f>IF(OR(V374="",V374=0),0,1)</f>
        <v/>
      </c>
      <c r="AN374">
        <f>IF(OR(E374="",F374=""),0,NETWORKDAYS(E374,F374,Ref!$K$2:$K$42))</f>
        <v/>
      </c>
      <c r="AO374">
        <f>IF(L374="Renewal",1,0)</f>
        <v/>
      </c>
      <c r="AP374">
        <f>AC374*AD374</f>
        <v/>
      </c>
      <c r="AQ374">
        <f>IF(AND(G374&lt;&gt;"",'Historical Score'!$C$6&lt;&gt;""),IF(G374='Historical Score'!$C$6,1,0),0)</f>
        <v/>
      </c>
      <c r="AR374">
        <f>IF(AND(L374&lt;&gt;"",'Historical Score'!$C$5&lt;&gt;""),IF(L374='Historical Score'!$C$5,1,0),0)</f>
        <v/>
      </c>
      <c r="AS374">
        <f>IF(AND(Y374&lt;&gt;"",'Historical Score'!$C$7&lt;&gt;""),IF(Y374='Historical Score'!$C$7,1,0),0)</f>
        <v/>
      </c>
      <c r="AT374">
        <f>IF(AND(K374&lt;&gt;"",'Historical Score'!$C$8&lt;&gt;""),IF(K374='Historical Score'!$C$8,1,0),0)</f>
        <v/>
      </c>
      <c r="AU374">
        <f>IF(AND(J374&lt;&gt;"",'Historical Score'!$C$9&lt;&gt;""),IF(J374='Historical Score'!$C$9,1,0),0)</f>
        <v/>
      </c>
      <c r="AV374">
        <f>AR374*AS374*AQ374</f>
        <v/>
      </c>
      <c r="AW374">
        <f>AR374*AT374*AQ374</f>
        <v/>
      </c>
      <c r="AX374">
        <f>AR374*AS374</f>
        <v/>
      </c>
      <c r="AY374">
        <f>AR374*AT374</f>
        <v/>
      </c>
      <c r="AZ374">
        <f>AR374*AQ374</f>
        <v/>
      </c>
      <c r="BA374">
        <f>AR374</f>
        <v/>
      </c>
      <c r="BB374">
        <f>1</f>
        <v/>
      </c>
      <c r="BC374">
        <f>IF(AV374=1,1,IF(AW374=1,2,IF(AX374=1,3,IF(AY374=1,4,IF(AZ374=1,5,IF(BA374=1,6,7))))))</f>
        <v/>
      </c>
      <c r="BD374">
        <f>IF(AD374=1,CHOOSE('Historical Score'!$C$29,AV374,AW374,AX374,AY374,AZ374,BA374,BB374),0)</f>
        <v/>
      </c>
      <c r="BE374">
        <f>IF(BD374=1,COUNTIF($BD$2:BD374,1),"")</f>
        <v/>
      </c>
    </row>
    <row r="375">
      <c r="A375" t="inlineStr">
        <is>
          <t>5674172682</t>
        </is>
      </c>
      <c r="B375" t="inlineStr">
        <is>
          <t>Benjamin's Queens</t>
        </is>
      </c>
      <c r="C375" t="inlineStr">
        <is>
          <t>Benjamin's Queens LLC</t>
        </is>
      </c>
      <c r="D375" t="inlineStr">
        <is>
          <t>In House Collection</t>
        </is>
      </c>
      <c r="E375" s="297" t="n">
        <v>45985</v>
      </c>
      <c r="F375" s="297" t="n">
        <v>46203</v>
      </c>
      <c r="G375" t="n">
        <v>1</v>
      </c>
      <c r="H375" t="inlineStr">
        <is>
          <t>5023</t>
        </is>
      </c>
      <c r="I375" t="inlineStr">
        <is>
          <t>50</t>
        </is>
      </c>
      <c r="J375" t="inlineStr">
        <is>
          <t>NC</t>
        </is>
      </c>
      <c r="K375" t="inlineStr">
        <is>
          <t>langtech</t>
        </is>
      </c>
      <c r="L375" t="inlineStr">
        <is>
          <t>New Deal</t>
        </is>
      </c>
      <c r="M375" s="298" t="n">
        <v>1.49</v>
      </c>
      <c r="N375" s="299" t="n">
        <v>3500</v>
      </c>
      <c r="O375" s="299" t="n">
        <v>490</v>
      </c>
      <c r="P375" s="299" t="n">
        <v>5215</v>
      </c>
      <c r="Q375" s="299" t="n">
        <v>325.83</v>
      </c>
      <c r="R375" s="299" t="n">
        <v>4889.17</v>
      </c>
      <c r="S375" s="300" t="n">
        <v>0.0624793863854267</v>
      </c>
      <c r="T375" t="n">
        <v>16</v>
      </c>
      <c r="U375" t="n">
        <v>14</v>
      </c>
      <c r="V375" t="n">
        <v>10056.39</v>
      </c>
      <c r="W375" s="300" t="n">
        <v>0.1296</v>
      </c>
      <c r="X375" s="297" t="n">
        <v>45788</v>
      </c>
      <c r="Y375">
        <f>IF(I375="","No SIC",IFERROR(VLOOKUP(I375,Ref!$A$2:$B$65,2,FALSE),"Unclassified"))</f>
        <v/>
      </c>
      <c r="Z375">
        <f>IF(T375="","",IF(T375&lt;12,"Daily","Weekly"))</f>
        <v/>
      </c>
      <c r="AA375">
        <f>IF(T375="",0,IF(T375&lt;12,T375*Controls!$B$29,T375*5))</f>
        <v/>
      </c>
      <c r="AB375">
        <f>IF(E375="",0,NETWORKDAYS(E375,Controls!$B$36,Ref!$K$2:$K$42))</f>
        <v/>
      </c>
      <c r="AC375">
        <f>IF(AND(AA375&gt;0,AB375&gt;=Controls!$B$39*AA375),1,0)</f>
        <v/>
      </c>
      <c r="AD375">
        <f>IF(AND(E375&lt;&gt;"",E375&gt;=Controls!$B$37,E375&lt;=Controls!$B$38),1,0)</f>
        <v/>
      </c>
      <c r="AE375">
        <f>IF(IFERROR(VLOOKUP(D375,Controls!$A$64:$E$74,2,FALSE),"No")="Yes",1,0)</f>
        <v/>
      </c>
      <c r="AF375">
        <f>IF(IFERROR(VLOOKUP(D375,Controls!$A$64:$E$74,3,FALSE),"No")="Yes",1,0)</f>
        <v/>
      </c>
      <c r="AG375">
        <f>IF(IFERROR(VLOOKUP(D375,Controls!$A$64:$E$74,4,FALSE),"No")="Yes",1,0)</f>
        <v/>
      </c>
      <c r="AH375">
        <f>IF(IFERROR(VLOOKUP(D375,Controls!$A$64:$E$74,5,FALSE),"No")="Yes",1,0)</f>
        <v/>
      </c>
      <c r="AI375">
        <f>IF(ISNUMBER(MATCH(D375,Controls!$A$64:$A$74,0)),1,0)</f>
        <v/>
      </c>
      <c r="AJ375">
        <f>Q375-N375</f>
        <v/>
      </c>
      <c r="AK375">
        <f>IF(AE375=1,MAX(0,N375-Q375),0)</f>
        <v/>
      </c>
      <c r="AL375">
        <f>IF(OR(V375="",V375=0),0,N375/V375)</f>
        <v/>
      </c>
      <c r="AM375">
        <f>IF(OR(V375="",V375=0),0,1)</f>
        <v/>
      </c>
      <c r="AN375">
        <f>IF(OR(E375="",F375=""),0,NETWORKDAYS(E375,F375,Ref!$K$2:$K$42))</f>
        <v/>
      </c>
      <c r="AO375">
        <f>IF(L375="Renewal",1,0)</f>
        <v/>
      </c>
      <c r="AP375">
        <f>AC375*AD375</f>
        <v/>
      </c>
      <c r="AQ375">
        <f>IF(AND(G375&lt;&gt;"",'Historical Score'!$C$6&lt;&gt;""),IF(G375='Historical Score'!$C$6,1,0),0)</f>
        <v/>
      </c>
      <c r="AR375">
        <f>IF(AND(L375&lt;&gt;"",'Historical Score'!$C$5&lt;&gt;""),IF(L375='Historical Score'!$C$5,1,0),0)</f>
        <v/>
      </c>
      <c r="AS375">
        <f>IF(AND(Y375&lt;&gt;"",'Historical Score'!$C$7&lt;&gt;""),IF(Y375='Historical Score'!$C$7,1,0),0)</f>
        <v/>
      </c>
      <c r="AT375">
        <f>IF(AND(K375&lt;&gt;"",'Historical Score'!$C$8&lt;&gt;""),IF(K375='Historical Score'!$C$8,1,0),0)</f>
        <v/>
      </c>
      <c r="AU375">
        <f>IF(AND(J375&lt;&gt;"",'Historical Score'!$C$9&lt;&gt;""),IF(J375='Historical Score'!$C$9,1,0),0)</f>
        <v/>
      </c>
      <c r="AV375">
        <f>AR375*AS375*AQ375</f>
        <v/>
      </c>
      <c r="AW375">
        <f>AR375*AT375*AQ375</f>
        <v/>
      </c>
      <c r="AX375">
        <f>AR375*AS375</f>
        <v/>
      </c>
      <c r="AY375">
        <f>AR375*AT375</f>
        <v/>
      </c>
      <c r="AZ375">
        <f>AR375*AQ375</f>
        <v/>
      </c>
      <c r="BA375">
        <f>AR375</f>
        <v/>
      </c>
      <c r="BB375">
        <f>1</f>
        <v/>
      </c>
      <c r="BC375">
        <f>IF(AV375=1,1,IF(AW375=1,2,IF(AX375=1,3,IF(AY375=1,4,IF(AZ375=1,5,IF(BA375=1,6,7))))))</f>
        <v/>
      </c>
      <c r="BD375">
        <f>IF(AD375=1,CHOOSE('Historical Score'!$C$29,AV375,AW375,AX375,AY375,AZ375,BA375,BB375),0)</f>
        <v/>
      </c>
      <c r="BE375">
        <f>IF(BD375=1,COUNTIF($BD$2:BD375,1),"")</f>
        <v/>
      </c>
    </row>
    <row r="376">
      <c r="A376" t="inlineStr">
        <is>
          <t>5674172690</t>
        </is>
      </c>
      <c r="B376" t="inlineStr">
        <is>
          <t>REDELIFT EQUIPMENT LIMITED LTD</t>
        </is>
      </c>
      <c r="C376" t="inlineStr">
        <is>
          <t>REDELIFT EQUIPMENT LIMITED LTD</t>
        </is>
      </c>
      <c r="D376" t="inlineStr">
        <is>
          <t>Closed</t>
        </is>
      </c>
      <c r="E376" s="297" t="n">
        <v>45985</v>
      </c>
      <c r="F376" s="297" t="n">
        <v>46073</v>
      </c>
      <c r="G376" t="n">
        <v>1</v>
      </c>
      <c r="H376" t="inlineStr">
        <is>
          <t>1442</t>
        </is>
      </c>
      <c r="I376" t="inlineStr">
        <is>
          <t>14</t>
        </is>
      </c>
      <c r="J376" t="inlineStr">
        <is>
          <t>TX</t>
        </is>
      </c>
      <c r="K376" t="inlineStr">
        <is>
          <t>level 3 funding</t>
        </is>
      </c>
      <c r="L376" t="inlineStr">
        <is>
          <t>New Deal</t>
        </is>
      </c>
      <c r="M376" s="298" t="n">
        <v>1.499</v>
      </c>
      <c r="N376" s="299" t="n">
        <v>5000</v>
      </c>
      <c r="O376" s="299" t="n">
        <v>700</v>
      </c>
      <c r="P376" s="299" t="n">
        <v>7495</v>
      </c>
      <c r="Q376" s="299" t="n">
        <v>7495</v>
      </c>
      <c r="R376" s="299" t="n">
        <v>9.09494701772928e-13</v>
      </c>
      <c r="S376" s="300" t="n">
        <v>1</v>
      </c>
      <c r="T376" t="n">
        <v>2.295</v>
      </c>
      <c r="U376" t="n">
        <v>5</v>
      </c>
      <c r="V376" t="n">
        <v>24710.48</v>
      </c>
      <c r="W376" s="300" t="n">
        <v>0.0905</v>
      </c>
      <c r="X376" s="297" t="n">
        <v>45289</v>
      </c>
      <c r="Y376">
        <f>IF(I376="","No SIC",IFERROR(VLOOKUP(I376,Ref!$A$2:$B$65,2,FALSE),"Unclassified"))</f>
        <v/>
      </c>
      <c r="Z376">
        <f>IF(T376="","",IF(T376&lt;12,"Daily","Weekly"))</f>
        <v/>
      </c>
      <c r="AA376">
        <f>IF(T376="",0,IF(T376&lt;12,T376*Controls!$B$29,T376*5))</f>
        <v/>
      </c>
      <c r="AB376">
        <f>IF(E376="",0,NETWORKDAYS(E376,Controls!$B$36,Ref!$K$2:$K$42))</f>
        <v/>
      </c>
      <c r="AC376">
        <f>IF(AND(AA376&gt;0,AB376&gt;=Controls!$B$39*AA376),1,0)</f>
        <v/>
      </c>
      <c r="AD376">
        <f>IF(AND(E376&lt;&gt;"",E376&gt;=Controls!$B$37,E376&lt;=Controls!$B$38),1,0)</f>
        <v/>
      </c>
      <c r="AE376">
        <f>IF(IFERROR(VLOOKUP(D376,Controls!$A$64:$E$74,2,FALSE),"No")="Yes",1,0)</f>
        <v/>
      </c>
      <c r="AF376">
        <f>IF(IFERROR(VLOOKUP(D376,Controls!$A$64:$E$74,3,FALSE),"No")="Yes",1,0)</f>
        <v/>
      </c>
      <c r="AG376">
        <f>IF(IFERROR(VLOOKUP(D376,Controls!$A$64:$E$74,4,FALSE),"No")="Yes",1,0)</f>
        <v/>
      </c>
      <c r="AH376">
        <f>IF(IFERROR(VLOOKUP(D376,Controls!$A$64:$E$74,5,FALSE),"No")="Yes",1,0)</f>
        <v/>
      </c>
      <c r="AI376">
        <f>IF(ISNUMBER(MATCH(D376,Controls!$A$64:$A$74,0)),1,0)</f>
        <v/>
      </c>
      <c r="AJ376">
        <f>Q376-N376</f>
        <v/>
      </c>
      <c r="AK376">
        <f>IF(AE376=1,MAX(0,N376-Q376),0)</f>
        <v/>
      </c>
      <c r="AL376">
        <f>IF(OR(V376="",V376=0),0,N376/V376)</f>
        <v/>
      </c>
      <c r="AM376">
        <f>IF(OR(V376="",V376=0),0,1)</f>
        <v/>
      </c>
      <c r="AN376">
        <f>IF(OR(E376="",F376=""),0,NETWORKDAYS(E376,F376,Ref!$K$2:$K$42))</f>
        <v/>
      </c>
      <c r="AO376">
        <f>IF(L376="Renewal",1,0)</f>
        <v/>
      </c>
      <c r="AP376">
        <f>AC376*AD376</f>
        <v/>
      </c>
      <c r="AQ376">
        <f>IF(AND(G376&lt;&gt;"",'Historical Score'!$C$6&lt;&gt;""),IF(G376='Historical Score'!$C$6,1,0),0)</f>
        <v/>
      </c>
      <c r="AR376">
        <f>IF(AND(L376&lt;&gt;"",'Historical Score'!$C$5&lt;&gt;""),IF(L376='Historical Score'!$C$5,1,0),0)</f>
        <v/>
      </c>
      <c r="AS376">
        <f>IF(AND(Y376&lt;&gt;"",'Historical Score'!$C$7&lt;&gt;""),IF(Y376='Historical Score'!$C$7,1,0),0)</f>
        <v/>
      </c>
      <c r="AT376">
        <f>IF(AND(K376&lt;&gt;"",'Historical Score'!$C$8&lt;&gt;""),IF(K376='Historical Score'!$C$8,1,0),0)</f>
        <v/>
      </c>
      <c r="AU376">
        <f>IF(AND(J376&lt;&gt;"",'Historical Score'!$C$9&lt;&gt;""),IF(J376='Historical Score'!$C$9,1,0),0)</f>
        <v/>
      </c>
      <c r="AV376">
        <f>AR376*AS376*AQ376</f>
        <v/>
      </c>
      <c r="AW376">
        <f>AR376*AT376*AQ376</f>
        <v/>
      </c>
      <c r="AX376">
        <f>AR376*AS376</f>
        <v/>
      </c>
      <c r="AY376">
        <f>AR376*AT376</f>
        <v/>
      </c>
      <c r="AZ376">
        <f>AR376*AQ376</f>
        <v/>
      </c>
      <c r="BA376">
        <f>AR376</f>
        <v/>
      </c>
      <c r="BB376">
        <f>1</f>
        <v/>
      </c>
      <c r="BC376">
        <f>IF(AV376=1,1,IF(AW376=1,2,IF(AX376=1,3,IF(AY376=1,4,IF(AZ376=1,5,IF(BA376=1,6,7))))))</f>
        <v/>
      </c>
      <c r="BD376">
        <f>IF(AD376=1,CHOOSE('Historical Score'!$C$29,AV376,AW376,AX376,AY376,AZ376,BA376,BB376),0)</f>
        <v/>
      </c>
      <c r="BE376">
        <f>IF(BD376=1,COUNTIF($BD$2:BD376,1),"")</f>
        <v/>
      </c>
    </row>
    <row r="377">
      <c r="A377" t="inlineStr">
        <is>
          <t>5674172692</t>
        </is>
      </c>
      <c r="B377" t="inlineStr">
        <is>
          <t>KATHY'S MASON JAR FAMILY DINER LLC</t>
        </is>
      </c>
      <c r="C377" t="inlineStr">
        <is>
          <t>KATHY'S MASON JAR FAMILY DINER LLC</t>
        </is>
      </c>
      <c r="D377" t="inlineStr">
        <is>
          <t>Closed</t>
        </is>
      </c>
      <c r="E377" s="297" t="n">
        <v>45985</v>
      </c>
      <c r="F377" s="297" t="n">
        <v>46062</v>
      </c>
      <c r="G377" t="n">
        <v>3</v>
      </c>
      <c r="H377" t="inlineStr">
        <is>
          <t>5812</t>
        </is>
      </c>
      <c r="I377" t="inlineStr">
        <is>
          <t>58</t>
        </is>
      </c>
      <c r="J377" t="inlineStr">
        <is>
          <t>OK</t>
        </is>
      </c>
      <c r="K377" t="inlineStr">
        <is>
          <t>United Secured Capital 8</t>
        </is>
      </c>
      <c r="L377" t="inlineStr">
        <is>
          <t>New Deal</t>
        </is>
      </c>
      <c r="M377" s="298" t="n">
        <v>1.499</v>
      </c>
      <c r="N377" s="299" t="n">
        <v>10000</v>
      </c>
      <c r="O377" s="299" t="n">
        <v>1400</v>
      </c>
      <c r="P377" s="299" t="n">
        <v>14990</v>
      </c>
      <c r="Q377" s="299" t="n">
        <v>14990</v>
      </c>
      <c r="R377" s="299" t="n">
        <v>1.81898940354586e-12</v>
      </c>
      <c r="S377" s="300" t="n">
        <v>1</v>
      </c>
      <c r="T377" t="n">
        <v>2.623</v>
      </c>
      <c r="U377" t="n">
        <v>1</v>
      </c>
      <c r="V377" t="n">
        <v>37733.39</v>
      </c>
      <c r="W377" s="300" t="n">
        <v>0.1037</v>
      </c>
      <c r="X377" s="297" t="n"/>
      <c r="Y377">
        <f>IF(I377="","No SIC",IFERROR(VLOOKUP(I377,Ref!$A$2:$B$65,2,FALSE),"Unclassified"))</f>
        <v/>
      </c>
      <c r="Z377">
        <f>IF(T377="","",IF(T377&lt;12,"Daily","Weekly"))</f>
        <v/>
      </c>
      <c r="AA377">
        <f>IF(T377="",0,IF(T377&lt;12,T377*Controls!$B$29,T377*5))</f>
        <v/>
      </c>
      <c r="AB377">
        <f>IF(E377="",0,NETWORKDAYS(E377,Controls!$B$36,Ref!$K$2:$K$42))</f>
        <v/>
      </c>
      <c r="AC377">
        <f>IF(AND(AA377&gt;0,AB377&gt;=Controls!$B$39*AA377),1,0)</f>
        <v/>
      </c>
      <c r="AD377">
        <f>IF(AND(E377&lt;&gt;"",E377&gt;=Controls!$B$37,E377&lt;=Controls!$B$38),1,0)</f>
        <v/>
      </c>
      <c r="AE377">
        <f>IF(IFERROR(VLOOKUP(D377,Controls!$A$64:$E$74,2,FALSE),"No")="Yes",1,0)</f>
        <v/>
      </c>
      <c r="AF377">
        <f>IF(IFERROR(VLOOKUP(D377,Controls!$A$64:$E$74,3,FALSE),"No")="Yes",1,0)</f>
        <v/>
      </c>
      <c r="AG377">
        <f>IF(IFERROR(VLOOKUP(D377,Controls!$A$64:$E$74,4,FALSE),"No")="Yes",1,0)</f>
        <v/>
      </c>
      <c r="AH377">
        <f>IF(IFERROR(VLOOKUP(D377,Controls!$A$64:$E$74,5,FALSE),"No")="Yes",1,0)</f>
        <v/>
      </c>
      <c r="AI377">
        <f>IF(ISNUMBER(MATCH(D377,Controls!$A$64:$A$74,0)),1,0)</f>
        <v/>
      </c>
      <c r="AJ377">
        <f>Q377-N377</f>
        <v/>
      </c>
      <c r="AK377">
        <f>IF(AE377=1,MAX(0,N377-Q377),0)</f>
        <v/>
      </c>
      <c r="AL377">
        <f>IF(OR(V377="",V377=0),0,N377/V377)</f>
        <v/>
      </c>
      <c r="AM377">
        <f>IF(OR(V377="",V377=0),0,1)</f>
        <v/>
      </c>
      <c r="AN377">
        <f>IF(OR(E377="",F377=""),0,NETWORKDAYS(E377,F377,Ref!$K$2:$K$42))</f>
        <v/>
      </c>
      <c r="AO377">
        <f>IF(L377="Renewal",1,0)</f>
        <v/>
      </c>
      <c r="AP377">
        <f>AC377*AD377</f>
        <v/>
      </c>
      <c r="AQ377">
        <f>IF(AND(G377&lt;&gt;"",'Historical Score'!$C$6&lt;&gt;""),IF(G377='Historical Score'!$C$6,1,0),0)</f>
        <v/>
      </c>
      <c r="AR377">
        <f>IF(AND(L377&lt;&gt;"",'Historical Score'!$C$5&lt;&gt;""),IF(L377='Historical Score'!$C$5,1,0),0)</f>
        <v/>
      </c>
      <c r="AS377">
        <f>IF(AND(Y377&lt;&gt;"",'Historical Score'!$C$7&lt;&gt;""),IF(Y377='Historical Score'!$C$7,1,0),0)</f>
        <v/>
      </c>
      <c r="AT377">
        <f>IF(AND(K377&lt;&gt;"",'Historical Score'!$C$8&lt;&gt;""),IF(K377='Historical Score'!$C$8,1,0),0)</f>
        <v/>
      </c>
      <c r="AU377">
        <f>IF(AND(J377&lt;&gt;"",'Historical Score'!$C$9&lt;&gt;""),IF(J377='Historical Score'!$C$9,1,0),0)</f>
        <v/>
      </c>
      <c r="AV377">
        <f>AR377*AS377*AQ377</f>
        <v/>
      </c>
      <c r="AW377">
        <f>AR377*AT377*AQ377</f>
        <v/>
      </c>
      <c r="AX377">
        <f>AR377*AS377</f>
        <v/>
      </c>
      <c r="AY377">
        <f>AR377*AT377</f>
        <v/>
      </c>
      <c r="AZ377">
        <f>AR377*AQ377</f>
        <v/>
      </c>
      <c r="BA377">
        <f>AR377</f>
        <v/>
      </c>
      <c r="BB377">
        <f>1</f>
        <v/>
      </c>
      <c r="BC377">
        <f>IF(AV377=1,1,IF(AW377=1,2,IF(AX377=1,3,IF(AY377=1,4,IF(AZ377=1,5,IF(BA377=1,6,7))))))</f>
        <v/>
      </c>
      <c r="BD377">
        <f>IF(AD377=1,CHOOSE('Historical Score'!$C$29,AV377,AW377,AX377,AY377,AZ377,BA377,BB377),0)</f>
        <v/>
      </c>
      <c r="BE377">
        <f>IF(BD377=1,COUNTIF($BD$2:BD377,1),"")</f>
        <v/>
      </c>
    </row>
    <row r="378">
      <c r="A378" t="inlineStr">
        <is>
          <t>5674172696</t>
        </is>
      </c>
      <c r="B378" t="inlineStr">
        <is>
          <t>GREATFLORIDA INSURANCE</t>
        </is>
      </c>
      <c r="C378" t="inlineStr">
        <is>
          <t>AJRANC Insurance Agency, Inc</t>
        </is>
      </c>
      <c r="D378" t="inlineStr">
        <is>
          <t>Closed</t>
        </is>
      </c>
      <c r="E378" s="297" t="n">
        <v>45985</v>
      </c>
      <c r="F378" s="297" t="n">
        <v>46161</v>
      </c>
      <c r="G378" t="n">
        <v>2</v>
      </c>
      <c r="H378" t="inlineStr">
        <is>
          <t>6411</t>
        </is>
      </c>
      <c r="I378" t="inlineStr">
        <is>
          <t>64</t>
        </is>
      </c>
      <c r="J378" t="inlineStr">
        <is>
          <t>FL</t>
        </is>
      </c>
      <c r="K378" t="inlineStr">
        <is>
          <t>Fund Simple</t>
        </is>
      </c>
      <c r="L378" t="inlineStr">
        <is>
          <t>Renewal</t>
        </is>
      </c>
      <c r="M378" s="298" t="n">
        <v>1.35</v>
      </c>
      <c r="N378" s="299" t="n">
        <v>36500</v>
      </c>
      <c r="O378" s="299" t="n">
        <v>2555</v>
      </c>
      <c r="P378" s="299" t="n">
        <v>49275</v>
      </c>
      <c r="Q378" s="299" t="n">
        <v>49275</v>
      </c>
      <c r="R378" s="299" t="n">
        <v>0</v>
      </c>
      <c r="S378" s="300" t="n">
        <v>1</v>
      </c>
      <c r="T378" t="n">
        <v>4.623</v>
      </c>
      <c r="U378" t="n">
        <v>0</v>
      </c>
      <c r="V378" t="n">
        <v>14792.77</v>
      </c>
      <c r="W378" s="300" t="n">
        <v>0.4969</v>
      </c>
      <c r="X378" s="297" t="n">
        <v>42217</v>
      </c>
      <c r="Y378">
        <f>IF(I378="","No SIC",IFERROR(VLOOKUP(I378,Ref!$A$2:$B$65,2,FALSE),"Unclassified"))</f>
        <v/>
      </c>
      <c r="Z378">
        <f>IF(T378="","",IF(T378&lt;12,"Daily","Weekly"))</f>
        <v/>
      </c>
      <c r="AA378">
        <f>IF(T378="",0,IF(T378&lt;12,T378*Controls!$B$29,T378*5))</f>
        <v/>
      </c>
      <c r="AB378">
        <f>IF(E378="",0,NETWORKDAYS(E378,Controls!$B$36,Ref!$K$2:$K$42))</f>
        <v/>
      </c>
      <c r="AC378">
        <f>IF(AND(AA378&gt;0,AB378&gt;=Controls!$B$39*AA378),1,0)</f>
        <v/>
      </c>
      <c r="AD378">
        <f>IF(AND(E378&lt;&gt;"",E378&gt;=Controls!$B$37,E378&lt;=Controls!$B$38),1,0)</f>
        <v/>
      </c>
      <c r="AE378">
        <f>IF(IFERROR(VLOOKUP(D378,Controls!$A$64:$E$74,2,FALSE),"No")="Yes",1,0)</f>
        <v/>
      </c>
      <c r="AF378">
        <f>IF(IFERROR(VLOOKUP(D378,Controls!$A$64:$E$74,3,FALSE),"No")="Yes",1,0)</f>
        <v/>
      </c>
      <c r="AG378">
        <f>IF(IFERROR(VLOOKUP(D378,Controls!$A$64:$E$74,4,FALSE),"No")="Yes",1,0)</f>
        <v/>
      </c>
      <c r="AH378">
        <f>IF(IFERROR(VLOOKUP(D378,Controls!$A$64:$E$74,5,FALSE),"No")="Yes",1,0)</f>
        <v/>
      </c>
      <c r="AI378">
        <f>IF(ISNUMBER(MATCH(D378,Controls!$A$64:$A$74,0)),1,0)</f>
        <v/>
      </c>
      <c r="AJ378">
        <f>Q378-N378</f>
        <v/>
      </c>
      <c r="AK378">
        <f>IF(AE378=1,MAX(0,N378-Q378),0)</f>
        <v/>
      </c>
      <c r="AL378">
        <f>IF(OR(V378="",V378=0),0,N378/V378)</f>
        <v/>
      </c>
      <c r="AM378">
        <f>IF(OR(V378="",V378=0),0,1)</f>
        <v/>
      </c>
      <c r="AN378">
        <f>IF(OR(E378="",F378=""),0,NETWORKDAYS(E378,F378,Ref!$K$2:$K$42))</f>
        <v/>
      </c>
      <c r="AO378">
        <f>IF(L378="Renewal",1,0)</f>
        <v/>
      </c>
      <c r="AP378">
        <f>AC378*AD378</f>
        <v/>
      </c>
      <c r="AQ378">
        <f>IF(AND(G378&lt;&gt;"",'Historical Score'!$C$6&lt;&gt;""),IF(G378='Historical Score'!$C$6,1,0),0)</f>
        <v/>
      </c>
      <c r="AR378">
        <f>IF(AND(L378&lt;&gt;"",'Historical Score'!$C$5&lt;&gt;""),IF(L378='Historical Score'!$C$5,1,0),0)</f>
        <v/>
      </c>
      <c r="AS378">
        <f>IF(AND(Y378&lt;&gt;"",'Historical Score'!$C$7&lt;&gt;""),IF(Y378='Historical Score'!$C$7,1,0),0)</f>
        <v/>
      </c>
      <c r="AT378">
        <f>IF(AND(K378&lt;&gt;"",'Historical Score'!$C$8&lt;&gt;""),IF(K378='Historical Score'!$C$8,1,0),0)</f>
        <v/>
      </c>
      <c r="AU378">
        <f>IF(AND(J378&lt;&gt;"",'Historical Score'!$C$9&lt;&gt;""),IF(J378='Historical Score'!$C$9,1,0),0)</f>
        <v/>
      </c>
      <c r="AV378">
        <f>AR378*AS378*AQ378</f>
        <v/>
      </c>
      <c r="AW378">
        <f>AR378*AT378*AQ378</f>
        <v/>
      </c>
      <c r="AX378">
        <f>AR378*AS378</f>
        <v/>
      </c>
      <c r="AY378">
        <f>AR378*AT378</f>
        <v/>
      </c>
      <c r="AZ378">
        <f>AR378*AQ378</f>
        <v/>
      </c>
      <c r="BA378">
        <f>AR378</f>
        <v/>
      </c>
      <c r="BB378">
        <f>1</f>
        <v/>
      </c>
      <c r="BC378">
        <f>IF(AV378=1,1,IF(AW378=1,2,IF(AX378=1,3,IF(AY378=1,4,IF(AZ378=1,5,IF(BA378=1,6,7))))))</f>
        <v/>
      </c>
      <c r="BD378">
        <f>IF(AD378=1,CHOOSE('Historical Score'!$C$29,AV378,AW378,AX378,AY378,AZ378,BA378,BB378),0)</f>
        <v/>
      </c>
      <c r="BE378">
        <f>IF(BD378=1,COUNTIF($BD$2:BD378,1),"")</f>
        <v/>
      </c>
    </row>
    <row r="379">
      <c r="A379" t="inlineStr">
        <is>
          <t>5674172718</t>
        </is>
      </c>
      <c r="B379" t="inlineStr">
        <is>
          <t>nisa thai cuisine</t>
        </is>
      </c>
      <c r="C379" t="inlineStr">
        <is>
          <t>nisa thai cuisine</t>
        </is>
      </c>
      <c r="D379" t="inlineStr">
        <is>
          <t>Legal</t>
        </is>
      </c>
      <c r="E379" s="297" t="n">
        <v>45985</v>
      </c>
      <c r="F379" s="297" t="n">
        <v>46029</v>
      </c>
      <c r="G379" t="n">
        <v>4</v>
      </c>
      <c r="H379" t="inlineStr">
        <is>
          <t>5812</t>
        </is>
      </c>
      <c r="I379" t="inlineStr">
        <is>
          <t>58</t>
        </is>
      </c>
      <c r="J379" t="inlineStr">
        <is>
          <t>VA</t>
        </is>
      </c>
      <c r="K379" t="inlineStr">
        <is>
          <t>The Funding Channel</t>
        </is>
      </c>
      <c r="L379" t="inlineStr">
        <is>
          <t>New Deal</t>
        </is>
      </c>
      <c r="M379" s="298" t="n">
        <v>1.499</v>
      </c>
      <c r="N379" s="299" t="n">
        <v>7500</v>
      </c>
      <c r="O379" s="299" t="n">
        <v>1050</v>
      </c>
      <c r="P379" s="299" t="n">
        <v>11242.5</v>
      </c>
      <c r="Q379" s="299" t="n">
        <v>3610.1</v>
      </c>
      <c r="R379" s="299" t="n">
        <v>7632.4</v>
      </c>
      <c r="S379" s="300" t="n">
        <v>0.321111852346008</v>
      </c>
      <c r="T379" t="n">
        <v>2.623</v>
      </c>
      <c r="U379" t="n">
        <v>3</v>
      </c>
      <c r="V379" t="n">
        <v>32383.4</v>
      </c>
      <c r="W379" s="300" t="n">
        <v>0.1015</v>
      </c>
      <c r="X379" s="297" t="n">
        <v>42476</v>
      </c>
      <c r="Y379">
        <f>IF(I379="","No SIC",IFERROR(VLOOKUP(I379,Ref!$A$2:$B$65,2,FALSE),"Unclassified"))</f>
        <v/>
      </c>
      <c r="Z379">
        <f>IF(T379="","",IF(T379&lt;12,"Daily","Weekly"))</f>
        <v/>
      </c>
      <c r="AA379">
        <f>IF(T379="",0,IF(T379&lt;12,T379*Controls!$B$29,T379*5))</f>
        <v/>
      </c>
      <c r="AB379">
        <f>IF(E379="",0,NETWORKDAYS(E379,Controls!$B$36,Ref!$K$2:$K$42))</f>
        <v/>
      </c>
      <c r="AC379">
        <f>IF(AND(AA379&gt;0,AB379&gt;=Controls!$B$39*AA379),1,0)</f>
        <v/>
      </c>
      <c r="AD379">
        <f>IF(AND(E379&lt;&gt;"",E379&gt;=Controls!$B$37,E379&lt;=Controls!$B$38),1,0)</f>
        <v/>
      </c>
      <c r="AE379">
        <f>IF(IFERROR(VLOOKUP(D379,Controls!$A$64:$E$74,2,FALSE),"No")="Yes",1,0)</f>
        <v/>
      </c>
      <c r="AF379">
        <f>IF(IFERROR(VLOOKUP(D379,Controls!$A$64:$E$74,3,FALSE),"No")="Yes",1,0)</f>
        <v/>
      </c>
      <c r="AG379">
        <f>IF(IFERROR(VLOOKUP(D379,Controls!$A$64:$E$74,4,FALSE),"No")="Yes",1,0)</f>
        <v/>
      </c>
      <c r="AH379">
        <f>IF(IFERROR(VLOOKUP(D379,Controls!$A$64:$E$74,5,FALSE),"No")="Yes",1,0)</f>
        <v/>
      </c>
      <c r="AI379">
        <f>IF(ISNUMBER(MATCH(D379,Controls!$A$64:$A$74,0)),1,0)</f>
        <v/>
      </c>
      <c r="AJ379">
        <f>Q379-N379</f>
        <v/>
      </c>
      <c r="AK379">
        <f>IF(AE379=1,MAX(0,N379-Q379),0)</f>
        <v/>
      </c>
      <c r="AL379">
        <f>IF(OR(V379="",V379=0),0,N379/V379)</f>
        <v/>
      </c>
      <c r="AM379">
        <f>IF(OR(V379="",V379=0),0,1)</f>
        <v/>
      </c>
      <c r="AN379">
        <f>IF(OR(E379="",F379=""),0,NETWORKDAYS(E379,F379,Ref!$K$2:$K$42))</f>
        <v/>
      </c>
      <c r="AO379">
        <f>IF(L379="Renewal",1,0)</f>
        <v/>
      </c>
      <c r="AP379">
        <f>AC379*AD379</f>
        <v/>
      </c>
      <c r="AQ379">
        <f>IF(AND(G379&lt;&gt;"",'Historical Score'!$C$6&lt;&gt;""),IF(G379='Historical Score'!$C$6,1,0),0)</f>
        <v/>
      </c>
      <c r="AR379">
        <f>IF(AND(L379&lt;&gt;"",'Historical Score'!$C$5&lt;&gt;""),IF(L379='Historical Score'!$C$5,1,0),0)</f>
        <v/>
      </c>
      <c r="AS379">
        <f>IF(AND(Y379&lt;&gt;"",'Historical Score'!$C$7&lt;&gt;""),IF(Y379='Historical Score'!$C$7,1,0),0)</f>
        <v/>
      </c>
      <c r="AT379">
        <f>IF(AND(K379&lt;&gt;"",'Historical Score'!$C$8&lt;&gt;""),IF(K379='Historical Score'!$C$8,1,0),0)</f>
        <v/>
      </c>
      <c r="AU379">
        <f>IF(AND(J379&lt;&gt;"",'Historical Score'!$C$9&lt;&gt;""),IF(J379='Historical Score'!$C$9,1,0),0)</f>
        <v/>
      </c>
      <c r="AV379">
        <f>AR379*AS379*AQ379</f>
        <v/>
      </c>
      <c r="AW379">
        <f>AR379*AT379*AQ379</f>
        <v/>
      </c>
      <c r="AX379">
        <f>AR379*AS379</f>
        <v/>
      </c>
      <c r="AY379">
        <f>AR379*AT379</f>
        <v/>
      </c>
      <c r="AZ379">
        <f>AR379*AQ379</f>
        <v/>
      </c>
      <c r="BA379">
        <f>AR379</f>
        <v/>
      </c>
      <c r="BB379">
        <f>1</f>
        <v/>
      </c>
      <c r="BC379">
        <f>IF(AV379=1,1,IF(AW379=1,2,IF(AX379=1,3,IF(AY379=1,4,IF(AZ379=1,5,IF(BA379=1,6,7))))))</f>
        <v/>
      </c>
      <c r="BD379">
        <f>IF(AD379=1,CHOOSE('Historical Score'!$C$29,AV379,AW379,AX379,AY379,AZ379,BA379,BB379),0)</f>
        <v/>
      </c>
      <c r="BE379">
        <f>IF(BD379=1,COUNTIF($BD$2:BD379,1),"")</f>
        <v/>
      </c>
    </row>
    <row r="380">
      <c r="A380" t="inlineStr">
        <is>
          <t>5674172721</t>
        </is>
      </c>
      <c r="B380" t="inlineStr">
        <is>
          <t>W&amp;D AUTO SALES INC</t>
        </is>
      </c>
      <c r="C380" t="inlineStr">
        <is>
          <t>W&amp;D AUTO SALES INC</t>
        </is>
      </c>
      <c r="D380" t="inlineStr">
        <is>
          <t>In House Collection</t>
        </is>
      </c>
      <c r="E380" s="297" t="n">
        <v>45985</v>
      </c>
      <c r="F380" s="297" t="n">
        <v>46009</v>
      </c>
      <c r="G380" t="n">
        <v>2</v>
      </c>
      <c r="H380" t="inlineStr">
        <is>
          <t>5599</t>
        </is>
      </c>
      <c r="I380" t="inlineStr">
        <is>
          <t>55</t>
        </is>
      </c>
      <c r="J380" t="inlineStr">
        <is>
          <t>NC</t>
        </is>
      </c>
      <c r="K380" t="inlineStr">
        <is>
          <t>United Secured Capital 8</t>
        </is>
      </c>
      <c r="L380" t="inlineStr">
        <is>
          <t>Renewal</t>
        </is>
      </c>
      <c r="M380" s="298" t="n">
        <v>1.49</v>
      </c>
      <c r="N380" s="299" t="n">
        <v>45000</v>
      </c>
      <c r="O380" s="299" t="n">
        <v>0</v>
      </c>
      <c r="P380" s="299" t="n">
        <v>67050</v>
      </c>
      <c r="Q380" s="299" t="n">
        <v>3726.7</v>
      </c>
      <c r="R380" s="299" t="n">
        <v>63323.3</v>
      </c>
      <c r="S380" s="300" t="n">
        <v>0.0555809097688292</v>
      </c>
      <c r="T380" t="n">
        <v>36</v>
      </c>
      <c r="U380" t="n">
        <v>2</v>
      </c>
      <c r="V380" t="n">
        <v>78209.86</v>
      </c>
      <c r="W380" s="300" t="n">
        <v>0.0953</v>
      </c>
      <c r="X380" s="297" t="n"/>
      <c r="Y380">
        <f>IF(I380="","No SIC",IFERROR(VLOOKUP(I380,Ref!$A$2:$B$65,2,FALSE),"Unclassified"))</f>
        <v/>
      </c>
      <c r="Z380">
        <f>IF(T380="","",IF(T380&lt;12,"Daily","Weekly"))</f>
        <v/>
      </c>
      <c r="AA380">
        <f>IF(T380="",0,IF(T380&lt;12,T380*Controls!$B$29,T380*5))</f>
        <v/>
      </c>
      <c r="AB380">
        <f>IF(E380="",0,NETWORKDAYS(E380,Controls!$B$36,Ref!$K$2:$K$42))</f>
        <v/>
      </c>
      <c r="AC380">
        <f>IF(AND(AA380&gt;0,AB380&gt;=Controls!$B$39*AA380),1,0)</f>
        <v/>
      </c>
      <c r="AD380">
        <f>IF(AND(E380&lt;&gt;"",E380&gt;=Controls!$B$37,E380&lt;=Controls!$B$38),1,0)</f>
        <v/>
      </c>
      <c r="AE380">
        <f>IF(IFERROR(VLOOKUP(D380,Controls!$A$64:$E$74,2,FALSE),"No")="Yes",1,0)</f>
        <v/>
      </c>
      <c r="AF380">
        <f>IF(IFERROR(VLOOKUP(D380,Controls!$A$64:$E$74,3,FALSE),"No")="Yes",1,0)</f>
        <v/>
      </c>
      <c r="AG380">
        <f>IF(IFERROR(VLOOKUP(D380,Controls!$A$64:$E$74,4,FALSE),"No")="Yes",1,0)</f>
        <v/>
      </c>
      <c r="AH380">
        <f>IF(IFERROR(VLOOKUP(D380,Controls!$A$64:$E$74,5,FALSE),"No")="Yes",1,0)</f>
        <v/>
      </c>
      <c r="AI380">
        <f>IF(ISNUMBER(MATCH(D380,Controls!$A$64:$A$74,0)),1,0)</f>
        <v/>
      </c>
      <c r="AJ380">
        <f>Q380-N380</f>
        <v/>
      </c>
      <c r="AK380">
        <f>IF(AE380=1,MAX(0,N380-Q380),0)</f>
        <v/>
      </c>
      <c r="AL380">
        <f>IF(OR(V380="",V380=0),0,N380/V380)</f>
        <v/>
      </c>
      <c r="AM380">
        <f>IF(OR(V380="",V380=0),0,1)</f>
        <v/>
      </c>
      <c r="AN380">
        <f>IF(OR(E380="",F380=""),0,NETWORKDAYS(E380,F380,Ref!$K$2:$K$42))</f>
        <v/>
      </c>
      <c r="AO380">
        <f>IF(L380="Renewal",1,0)</f>
        <v/>
      </c>
      <c r="AP380">
        <f>AC380*AD380</f>
        <v/>
      </c>
      <c r="AQ380">
        <f>IF(AND(G380&lt;&gt;"",'Historical Score'!$C$6&lt;&gt;""),IF(G380='Historical Score'!$C$6,1,0),0)</f>
        <v/>
      </c>
      <c r="AR380">
        <f>IF(AND(L380&lt;&gt;"",'Historical Score'!$C$5&lt;&gt;""),IF(L380='Historical Score'!$C$5,1,0),0)</f>
        <v/>
      </c>
      <c r="AS380">
        <f>IF(AND(Y380&lt;&gt;"",'Historical Score'!$C$7&lt;&gt;""),IF(Y380='Historical Score'!$C$7,1,0),0)</f>
        <v/>
      </c>
      <c r="AT380">
        <f>IF(AND(K380&lt;&gt;"",'Historical Score'!$C$8&lt;&gt;""),IF(K380='Historical Score'!$C$8,1,0),0)</f>
        <v/>
      </c>
      <c r="AU380">
        <f>IF(AND(J380&lt;&gt;"",'Historical Score'!$C$9&lt;&gt;""),IF(J380='Historical Score'!$C$9,1,0),0)</f>
        <v/>
      </c>
      <c r="AV380">
        <f>AR380*AS380*AQ380</f>
        <v/>
      </c>
      <c r="AW380">
        <f>AR380*AT380*AQ380</f>
        <v/>
      </c>
      <c r="AX380">
        <f>AR380*AS380</f>
        <v/>
      </c>
      <c r="AY380">
        <f>AR380*AT380</f>
        <v/>
      </c>
      <c r="AZ380">
        <f>AR380*AQ380</f>
        <v/>
      </c>
      <c r="BA380">
        <f>AR380</f>
        <v/>
      </c>
      <c r="BB380">
        <f>1</f>
        <v/>
      </c>
      <c r="BC380">
        <f>IF(AV380=1,1,IF(AW380=1,2,IF(AX380=1,3,IF(AY380=1,4,IF(AZ380=1,5,IF(BA380=1,6,7))))))</f>
        <v/>
      </c>
      <c r="BD380">
        <f>IF(AD380=1,CHOOSE('Historical Score'!$C$29,AV380,AW380,AX380,AY380,AZ380,BA380,BB380),0)</f>
        <v/>
      </c>
      <c r="BE380">
        <f>IF(BD380=1,COUNTIF($BD$2:BD380,1),"")</f>
        <v/>
      </c>
    </row>
    <row r="381">
      <c r="A381" t="inlineStr">
        <is>
          <t>5674172739</t>
        </is>
      </c>
      <c r="B381" t="inlineStr">
        <is>
          <t>Properties on the Go LLC</t>
        </is>
      </c>
      <c r="C381" t="inlineStr">
        <is>
          <t>Properties on the Go LLC</t>
        </is>
      </c>
      <c r="D381" t="inlineStr">
        <is>
          <t>Closed</t>
        </is>
      </c>
      <c r="E381" s="297" t="n">
        <v>45985</v>
      </c>
      <c r="F381" s="297" t="n">
        <v>46190</v>
      </c>
      <c r="G381" t="n">
        <v>1</v>
      </c>
      <c r="H381" t="inlineStr">
        <is>
          <t>7349</t>
        </is>
      </c>
      <c r="I381" t="inlineStr">
        <is>
          <t>73</t>
        </is>
      </c>
      <c r="J381" t="inlineStr">
        <is>
          <t>CA</t>
        </is>
      </c>
      <c r="K381" t="inlineStr">
        <is>
          <t>Tech Consulting Pro LLC D/B/A: Nationwide Advance</t>
        </is>
      </c>
      <c r="L381" t="inlineStr">
        <is>
          <t>Renewal</t>
        </is>
      </c>
      <c r="M381" s="298" t="n">
        <v>1.49</v>
      </c>
      <c r="N381" s="299" t="n">
        <v>65000</v>
      </c>
      <c r="O381" s="299" t="n">
        <v>9100</v>
      </c>
      <c r="P381" s="299" t="n">
        <v>96850</v>
      </c>
      <c r="Q381" s="299" t="n">
        <v>96850</v>
      </c>
      <c r="R381" s="299" t="n">
        <v>0</v>
      </c>
      <c r="S381" s="300" t="n">
        <v>1</v>
      </c>
      <c r="T381" t="n">
        <v>4.59</v>
      </c>
      <c r="U381" t="n">
        <v>0</v>
      </c>
      <c r="V381" t="n">
        <v>496879.88</v>
      </c>
      <c r="W381" s="300" t="n">
        <v>0.0292</v>
      </c>
      <c r="X381" s="297" t="n"/>
      <c r="Y381">
        <f>IF(I381="","No SIC",IFERROR(VLOOKUP(I381,Ref!$A$2:$B$65,2,FALSE),"Unclassified"))</f>
        <v/>
      </c>
      <c r="Z381">
        <f>IF(T381="","",IF(T381&lt;12,"Daily","Weekly"))</f>
        <v/>
      </c>
      <c r="AA381">
        <f>IF(T381="",0,IF(T381&lt;12,T381*Controls!$B$29,T381*5))</f>
        <v/>
      </c>
      <c r="AB381">
        <f>IF(E381="",0,NETWORKDAYS(E381,Controls!$B$36,Ref!$K$2:$K$42))</f>
        <v/>
      </c>
      <c r="AC381">
        <f>IF(AND(AA381&gt;0,AB381&gt;=Controls!$B$39*AA381),1,0)</f>
        <v/>
      </c>
      <c r="AD381">
        <f>IF(AND(E381&lt;&gt;"",E381&gt;=Controls!$B$37,E381&lt;=Controls!$B$38),1,0)</f>
        <v/>
      </c>
      <c r="AE381">
        <f>IF(IFERROR(VLOOKUP(D381,Controls!$A$64:$E$74,2,FALSE),"No")="Yes",1,0)</f>
        <v/>
      </c>
      <c r="AF381">
        <f>IF(IFERROR(VLOOKUP(D381,Controls!$A$64:$E$74,3,FALSE),"No")="Yes",1,0)</f>
        <v/>
      </c>
      <c r="AG381">
        <f>IF(IFERROR(VLOOKUP(D381,Controls!$A$64:$E$74,4,FALSE),"No")="Yes",1,0)</f>
        <v/>
      </c>
      <c r="AH381">
        <f>IF(IFERROR(VLOOKUP(D381,Controls!$A$64:$E$74,5,FALSE),"No")="Yes",1,0)</f>
        <v/>
      </c>
      <c r="AI381">
        <f>IF(ISNUMBER(MATCH(D381,Controls!$A$64:$A$74,0)),1,0)</f>
        <v/>
      </c>
      <c r="AJ381">
        <f>Q381-N381</f>
        <v/>
      </c>
      <c r="AK381">
        <f>IF(AE381=1,MAX(0,N381-Q381),0)</f>
        <v/>
      </c>
      <c r="AL381">
        <f>IF(OR(V381="",V381=0),0,N381/V381)</f>
        <v/>
      </c>
      <c r="AM381">
        <f>IF(OR(V381="",V381=0),0,1)</f>
        <v/>
      </c>
      <c r="AN381">
        <f>IF(OR(E381="",F381=""),0,NETWORKDAYS(E381,F381,Ref!$K$2:$K$42))</f>
        <v/>
      </c>
      <c r="AO381">
        <f>IF(L381="Renewal",1,0)</f>
        <v/>
      </c>
      <c r="AP381">
        <f>AC381*AD381</f>
        <v/>
      </c>
      <c r="AQ381">
        <f>IF(AND(G381&lt;&gt;"",'Historical Score'!$C$6&lt;&gt;""),IF(G381='Historical Score'!$C$6,1,0),0)</f>
        <v/>
      </c>
      <c r="AR381">
        <f>IF(AND(L381&lt;&gt;"",'Historical Score'!$C$5&lt;&gt;""),IF(L381='Historical Score'!$C$5,1,0),0)</f>
        <v/>
      </c>
      <c r="AS381">
        <f>IF(AND(Y381&lt;&gt;"",'Historical Score'!$C$7&lt;&gt;""),IF(Y381='Historical Score'!$C$7,1,0),0)</f>
        <v/>
      </c>
      <c r="AT381">
        <f>IF(AND(K381&lt;&gt;"",'Historical Score'!$C$8&lt;&gt;""),IF(K381='Historical Score'!$C$8,1,0),0)</f>
        <v/>
      </c>
      <c r="AU381">
        <f>IF(AND(J381&lt;&gt;"",'Historical Score'!$C$9&lt;&gt;""),IF(J381='Historical Score'!$C$9,1,0),0)</f>
        <v/>
      </c>
      <c r="AV381">
        <f>AR381*AS381*AQ381</f>
        <v/>
      </c>
      <c r="AW381">
        <f>AR381*AT381*AQ381</f>
        <v/>
      </c>
      <c r="AX381">
        <f>AR381*AS381</f>
        <v/>
      </c>
      <c r="AY381">
        <f>AR381*AT381</f>
        <v/>
      </c>
      <c r="AZ381">
        <f>AR381*AQ381</f>
        <v/>
      </c>
      <c r="BA381">
        <f>AR381</f>
        <v/>
      </c>
      <c r="BB381">
        <f>1</f>
        <v/>
      </c>
      <c r="BC381">
        <f>IF(AV381=1,1,IF(AW381=1,2,IF(AX381=1,3,IF(AY381=1,4,IF(AZ381=1,5,IF(BA381=1,6,7))))))</f>
        <v/>
      </c>
      <c r="BD381">
        <f>IF(AD381=1,CHOOSE('Historical Score'!$C$29,AV381,AW381,AX381,AY381,AZ381,BA381,BB381),0)</f>
        <v/>
      </c>
      <c r="BE381">
        <f>IF(BD381=1,COUNTIF($BD$2:BD381,1),"")</f>
        <v/>
      </c>
    </row>
    <row r="382">
      <c r="A382" t="inlineStr">
        <is>
          <t>5674172769</t>
        </is>
      </c>
      <c r="B382" t="inlineStr">
        <is>
          <t>PAYPERCALL.IO</t>
        </is>
      </c>
      <c r="C382" t="inlineStr">
        <is>
          <t>ARTLIVESTUDIOS</t>
        </is>
      </c>
      <c r="D382" t="inlineStr">
        <is>
          <t>Legal</t>
        </is>
      </c>
      <c r="E382" s="297" t="n">
        <v>45985</v>
      </c>
      <c r="F382" s="297" t="n">
        <v>46108</v>
      </c>
      <c r="G382" t="n">
        <v>1</v>
      </c>
      <c r="H382" t="inlineStr">
        <is>
          <t>5999</t>
        </is>
      </c>
      <c r="I382" t="inlineStr">
        <is>
          <t>59</t>
        </is>
      </c>
      <c r="J382" t="inlineStr">
        <is>
          <t>NC</t>
        </is>
      </c>
      <c r="K382" t="inlineStr">
        <is>
          <t>Fundible</t>
        </is>
      </c>
      <c r="L382" t="inlineStr">
        <is>
          <t>New Deal</t>
        </is>
      </c>
      <c r="M382" s="298" t="n">
        <v>1.499</v>
      </c>
      <c r="N382" s="299" t="n">
        <v>16000</v>
      </c>
      <c r="O382" s="299" t="n">
        <v>2240</v>
      </c>
      <c r="P382" s="299" t="n">
        <v>23984</v>
      </c>
      <c r="Q382" s="299" t="n">
        <v>3926.56</v>
      </c>
      <c r="R382" s="299" t="n">
        <v>20057.44</v>
      </c>
      <c r="S382" s="300" t="n">
        <v>0.16371581054036</v>
      </c>
      <c r="T382" t="n">
        <v>25</v>
      </c>
      <c r="U382" t="n">
        <v>13</v>
      </c>
      <c r="V382" t="n">
        <v>31082.6</v>
      </c>
      <c r="W382" s="300" t="n">
        <v>0.1227</v>
      </c>
      <c r="X382" s="297" t="n">
        <v>43831</v>
      </c>
      <c r="Y382">
        <f>IF(I382="","No SIC",IFERROR(VLOOKUP(I382,Ref!$A$2:$B$65,2,FALSE),"Unclassified"))</f>
        <v/>
      </c>
      <c r="Z382">
        <f>IF(T382="","",IF(T382&lt;12,"Daily","Weekly"))</f>
        <v/>
      </c>
      <c r="AA382">
        <f>IF(T382="",0,IF(T382&lt;12,T382*Controls!$B$29,T382*5))</f>
        <v/>
      </c>
      <c r="AB382">
        <f>IF(E382="",0,NETWORKDAYS(E382,Controls!$B$36,Ref!$K$2:$K$42))</f>
        <v/>
      </c>
      <c r="AC382">
        <f>IF(AND(AA382&gt;0,AB382&gt;=Controls!$B$39*AA382),1,0)</f>
        <v/>
      </c>
      <c r="AD382">
        <f>IF(AND(E382&lt;&gt;"",E382&gt;=Controls!$B$37,E382&lt;=Controls!$B$38),1,0)</f>
        <v/>
      </c>
      <c r="AE382">
        <f>IF(IFERROR(VLOOKUP(D382,Controls!$A$64:$E$74,2,FALSE),"No")="Yes",1,0)</f>
        <v/>
      </c>
      <c r="AF382">
        <f>IF(IFERROR(VLOOKUP(D382,Controls!$A$64:$E$74,3,FALSE),"No")="Yes",1,0)</f>
        <v/>
      </c>
      <c r="AG382">
        <f>IF(IFERROR(VLOOKUP(D382,Controls!$A$64:$E$74,4,FALSE),"No")="Yes",1,0)</f>
        <v/>
      </c>
      <c r="AH382">
        <f>IF(IFERROR(VLOOKUP(D382,Controls!$A$64:$E$74,5,FALSE),"No")="Yes",1,0)</f>
        <v/>
      </c>
      <c r="AI382">
        <f>IF(ISNUMBER(MATCH(D382,Controls!$A$64:$A$74,0)),1,0)</f>
        <v/>
      </c>
      <c r="AJ382">
        <f>Q382-N382</f>
        <v/>
      </c>
      <c r="AK382">
        <f>IF(AE382=1,MAX(0,N382-Q382),0)</f>
        <v/>
      </c>
      <c r="AL382">
        <f>IF(OR(V382="",V382=0),0,N382/V382)</f>
        <v/>
      </c>
      <c r="AM382">
        <f>IF(OR(V382="",V382=0),0,1)</f>
        <v/>
      </c>
      <c r="AN382">
        <f>IF(OR(E382="",F382=""),0,NETWORKDAYS(E382,F382,Ref!$K$2:$K$42))</f>
        <v/>
      </c>
      <c r="AO382">
        <f>IF(L382="Renewal",1,0)</f>
        <v/>
      </c>
      <c r="AP382">
        <f>AC382*AD382</f>
        <v/>
      </c>
      <c r="AQ382">
        <f>IF(AND(G382&lt;&gt;"",'Historical Score'!$C$6&lt;&gt;""),IF(G382='Historical Score'!$C$6,1,0),0)</f>
        <v/>
      </c>
      <c r="AR382">
        <f>IF(AND(L382&lt;&gt;"",'Historical Score'!$C$5&lt;&gt;""),IF(L382='Historical Score'!$C$5,1,0),0)</f>
        <v/>
      </c>
      <c r="AS382">
        <f>IF(AND(Y382&lt;&gt;"",'Historical Score'!$C$7&lt;&gt;""),IF(Y382='Historical Score'!$C$7,1,0),0)</f>
        <v/>
      </c>
      <c r="AT382">
        <f>IF(AND(K382&lt;&gt;"",'Historical Score'!$C$8&lt;&gt;""),IF(K382='Historical Score'!$C$8,1,0),0)</f>
        <v/>
      </c>
      <c r="AU382">
        <f>IF(AND(J382&lt;&gt;"",'Historical Score'!$C$9&lt;&gt;""),IF(J382='Historical Score'!$C$9,1,0),0)</f>
        <v/>
      </c>
      <c r="AV382">
        <f>AR382*AS382*AQ382</f>
        <v/>
      </c>
      <c r="AW382">
        <f>AR382*AT382*AQ382</f>
        <v/>
      </c>
      <c r="AX382">
        <f>AR382*AS382</f>
        <v/>
      </c>
      <c r="AY382">
        <f>AR382*AT382</f>
        <v/>
      </c>
      <c r="AZ382">
        <f>AR382*AQ382</f>
        <v/>
      </c>
      <c r="BA382">
        <f>AR382</f>
        <v/>
      </c>
      <c r="BB382">
        <f>1</f>
        <v/>
      </c>
      <c r="BC382">
        <f>IF(AV382=1,1,IF(AW382=1,2,IF(AX382=1,3,IF(AY382=1,4,IF(AZ382=1,5,IF(BA382=1,6,7))))))</f>
        <v/>
      </c>
      <c r="BD382">
        <f>IF(AD382=1,CHOOSE('Historical Score'!$C$29,AV382,AW382,AX382,AY382,AZ382,BA382,BB382),0)</f>
        <v/>
      </c>
      <c r="BE382">
        <f>IF(BD382=1,COUNTIF($BD$2:BD382,1),"")</f>
        <v/>
      </c>
    </row>
    <row r="383">
      <c r="A383" t="inlineStr">
        <is>
          <t>5674172792</t>
        </is>
      </c>
      <c r="B383" t="inlineStr">
        <is>
          <t>Recovery Ranch</t>
        </is>
      </c>
      <c r="C383" t="inlineStr">
        <is>
          <t>RECOVERY RANCH LLC</t>
        </is>
      </c>
      <c r="D383" t="inlineStr">
        <is>
          <t>Closed</t>
        </is>
      </c>
      <c r="E383" s="297" t="n">
        <v>45986</v>
      </c>
      <c r="F383" s="297" t="n">
        <v>46224</v>
      </c>
      <c r="G383" t="n">
        <v>1</v>
      </c>
      <c r="H383" t="inlineStr">
        <is>
          <t>6361</t>
        </is>
      </c>
      <c r="I383" t="inlineStr">
        <is>
          <t>63</t>
        </is>
      </c>
      <c r="J383" t="inlineStr">
        <is>
          <t>OH</t>
        </is>
      </c>
      <c r="K383" t="inlineStr">
        <is>
          <t>Shore Funding USA</t>
        </is>
      </c>
      <c r="L383" t="inlineStr">
        <is>
          <t>New Deal</t>
        </is>
      </c>
      <c r="M383" s="298" t="n">
        <v>1.37</v>
      </c>
      <c r="N383" s="299" t="n">
        <v>60000</v>
      </c>
      <c r="O383" s="299" t="n">
        <v>4800</v>
      </c>
      <c r="P383" s="299" t="n">
        <v>82200</v>
      </c>
      <c r="Q383" s="299" t="n">
        <v>82200</v>
      </c>
      <c r="R383" s="299" t="n">
        <v>0</v>
      </c>
      <c r="S383" s="300" t="n">
        <v>1</v>
      </c>
      <c r="T383" t="n">
        <v>32</v>
      </c>
      <c r="U383" t="n">
        <v>0</v>
      </c>
      <c r="V383" t="n">
        <v>94249.28</v>
      </c>
      <c r="W383" s="300" t="n">
        <v>0.109</v>
      </c>
      <c r="X383" s="297" t="n">
        <v>44938</v>
      </c>
      <c r="Y383">
        <f>IF(I383="","No SIC",IFERROR(VLOOKUP(I383,Ref!$A$2:$B$65,2,FALSE),"Unclassified"))</f>
        <v/>
      </c>
      <c r="Z383">
        <f>IF(T383="","",IF(T383&lt;12,"Daily","Weekly"))</f>
        <v/>
      </c>
      <c r="AA383">
        <f>IF(T383="",0,IF(T383&lt;12,T383*Controls!$B$29,T383*5))</f>
        <v/>
      </c>
      <c r="AB383">
        <f>IF(E383="",0,NETWORKDAYS(E383,Controls!$B$36,Ref!$K$2:$K$42))</f>
        <v/>
      </c>
      <c r="AC383">
        <f>IF(AND(AA383&gt;0,AB383&gt;=Controls!$B$39*AA383),1,0)</f>
        <v/>
      </c>
      <c r="AD383">
        <f>IF(AND(E383&lt;&gt;"",E383&gt;=Controls!$B$37,E383&lt;=Controls!$B$38),1,0)</f>
        <v/>
      </c>
      <c r="AE383">
        <f>IF(IFERROR(VLOOKUP(D383,Controls!$A$64:$E$74,2,FALSE),"No")="Yes",1,0)</f>
        <v/>
      </c>
      <c r="AF383">
        <f>IF(IFERROR(VLOOKUP(D383,Controls!$A$64:$E$74,3,FALSE),"No")="Yes",1,0)</f>
        <v/>
      </c>
      <c r="AG383">
        <f>IF(IFERROR(VLOOKUP(D383,Controls!$A$64:$E$74,4,FALSE),"No")="Yes",1,0)</f>
        <v/>
      </c>
      <c r="AH383">
        <f>IF(IFERROR(VLOOKUP(D383,Controls!$A$64:$E$74,5,FALSE),"No")="Yes",1,0)</f>
        <v/>
      </c>
      <c r="AI383">
        <f>IF(ISNUMBER(MATCH(D383,Controls!$A$64:$A$74,0)),1,0)</f>
        <v/>
      </c>
      <c r="AJ383">
        <f>Q383-N383</f>
        <v/>
      </c>
      <c r="AK383">
        <f>IF(AE383=1,MAX(0,N383-Q383),0)</f>
        <v/>
      </c>
      <c r="AL383">
        <f>IF(OR(V383="",V383=0),0,N383/V383)</f>
        <v/>
      </c>
      <c r="AM383">
        <f>IF(OR(V383="",V383=0),0,1)</f>
        <v/>
      </c>
      <c r="AN383">
        <f>IF(OR(E383="",F383=""),0,NETWORKDAYS(E383,F383,Ref!$K$2:$K$42))</f>
        <v/>
      </c>
      <c r="AO383">
        <f>IF(L383="Renewal",1,0)</f>
        <v/>
      </c>
      <c r="AP383">
        <f>AC383*AD383</f>
        <v/>
      </c>
      <c r="AQ383">
        <f>IF(AND(G383&lt;&gt;"",'Historical Score'!$C$6&lt;&gt;""),IF(G383='Historical Score'!$C$6,1,0),0)</f>
        <v/>
      </c>
      <c r="AR383">
        <f>IF(AND(L383&lt;&gt;"",'Historical Score'!$C$5&lt;&gt;""),IF(L383='Historical Score'!$C$5,1,0),0)</f>
        <v/>
      </c>
      <c r="AS383">
        <f>IF(AND(Y383&lt;&gt;"",'Historical Score'!$C$7&lt;&gt;""),IF(Y383='Historical Score'!$C$7,1,0),0)</f>
        <v/>
      </c>
      <c r="AT383">
        <f>IF(AND(K383&lt;&gt;"",'Historical Score'!$C$8&lt;&gt;""),IF(K383='Historical Score'!$C$8,1,0),0)</f>
        <v/>
      </c>
      <c r="AU383">
        <f>IF(AND(J383&lt;&gt;"",'Historical Score'!$C$9&lt;&gt;""),IF(J383='Historical Score'!$C$9,1,0),0)</f>
        <v/>
      </c>
      <c r="AV383">
        <f>AR383*AS383*AQ383</f>
        <v/>
      </c>
      <c r="AW383">
        <f>AR383*AT383*AQ383</f>
        <v/>
      </c>
      <c r="AX383">
        <f>AR383*AS383</f>
        <v/>
      </c>
      <c r="AY383">
        <f>AR383*AT383</f>
        <v/>
      </c>
      <c r="AZ383">
        <f>AR383*AQ383</f>
        <v/>
      </c>
      <c r="BA383">
        <f>AR383</f>
        <v/>
      </c>
      <c r="BB383">
        <f>1</f>
        <v/>
      </c>
      <c r="BC383">
        <f>IF(AV383=1,1,IF(AW383=1,2,IF(AX383=1,3,IF(AY383=1,4,IF(AZ383=1,5,IF(BA383=1,6,7))))))</f>
        <v/>
      </c>
      <c r="BD383">
        <f>IF(AD383=1,CHOOSE('Historical Score'!$C$29,AV383,AW383,AX383,AY383,AZ383,BA383,BB383),0)</f>
        <v/>
      </c>
      <c r="BE383">
        <f>IF(BD383=1,COUNTIF($BD$2:BD383,1),"")</f>
        <v/>
      </c>
    </row>
    <row r="384">
      <c r="A384" t="inlineStr">
        <is>
          <t>5674172805</t>
        </is>
      </c>
      <c r="B384" t="inlineStr">
        <is>
          <t>Bass Unique Services</t>
        </is>
      </c>
      <c r="C384" t="inlineStr">
        <is>
          <t>Bass Unique Services</t>
        </is>
      </c>
      <c r="D384" t="inlineStr">
        <is>
          <t>In House Collection</t>
        </is>
      </c>
      <c r="E384" s="297" t="n">
        <v>45986</v>
      </c>
      <c r="F384" s="297" t="n">
        <v>46099</v>
      </c>
      <c r="G384" t="n">
        <v>3</v>
      </c>
      <c r="H384" t="inlineStr">
        <is>
          <t>1521</t>
        </is>
      </c>
      <c r="I384" t="inlineStr">
        <is>
          <t>15</t>
        </is>
      </c>
      <c r="J384" t="inlineStr">
        <is>
          <t>FL</t>
        </is>
      </c>
      <c r="K384" t="inlineStr">
        <is>
          <t>WOTR Enterprise LLC</t>
        </is>
      </c>
      <c r="L384" t="inlineStr">
        <is>
          <t>Renewal</t>
        </is>
      </c>
      <c r="M384" s="298" t="n">
        <v>1.499</v>
      </c>
      <c r="N384" s="299" t="n">
        <v>28000</v>
      </c>
      <c r="O384" s="299" t="n">
        <v>3920</v>
      </c>
      <c r="P384" s="299" t="n">
        <v>41972</v>
      </c>
      <c r="Q384" s="299" t="n">
        <v>8299.48</v>
      </c>
      <c r="R384" s="299" t="n">
        <v>33672.52</v>
      </c>
      <c r="S384" s="300" t="n">
        <v>0.197738492328219</v>
      </c>
      <c r="T384" t="n">
        <v>24</v>
      </c>
      <c r="U384" t="n">
        <v>18</v>
      </c>
      <c r="V384" t="n">
        <v>50449.57</v>
      </c>
      <c r="W384" s="300" t="n">
        <v>0.1226</v>
      </c>
      <c r="X384" s="297" t="n">
        <v>43647</v>
      </c>
      <c r="Y384">
        <f>IF(I384="","No SIC",IFERROR(VLOOKUP(I384,Ref!$A$2:$B$65,2,FALSE),"Unclassified"))</f>
        <v/>
      </c>
      <c r="Z384">
        <f>IF(T384="","",IF(T384&lt;12,"Daily","Weekly"))</f>
        <v/>
      </c>
      <c r="AA384">
        <f>IF(T384="",0,IF(T384&lt;12,T384*Controls!$B$29,T384*5))</f>
        <v/>
      </c>
      <c r="AB384">
        <f>IF(E384="",0,NETWORKDAYS(E384,Controls!$B$36,Ref!$K$2:$K$42))</f>
        <v/>
      </c>
      <c r="AC384">
        <f>IF(AND(AA384&gt;0,AB384&gt;=Controls!$B$39*AA384),1,0)</f>
        <v/>
      </c>
      <c r="AD384">
        <f>IF(AND(E384&lt;&gt;"",E384&gt;=Controls!$B$37,E384&lt;=Controls!$B$38),1,0)</f>
        <v/>
      </c>
      <c r="AE384">
        <f>IF(IFERROR(VLOOKUP(D384,Controls!$A$64:$E$74,2,FALSE),"No")="Yes",1,0)</f>
        <v/>
      </c>
      <c r="AF384">
        <f>IF(IFERROR(VLOOKUP(D384,Controls!$A$64:$E$74,3,FALSE),"No")="Yes",1,0)</f>
        <v/>
      </c>
      <c r="AG384">
        <f>IF(IFERROR(VLOOKUP(D384,Controls!$A$64:$E$74,4,FALSE),"No")="Yes",1,0)</f>
        <v/>
      </c>
      <c r="AH384">
        <f>IF(IFERROR(VLOOKUP(D384,Controls!$A$64:$E$74,5,FALSE),"No")="Yes",1,0)</f>
        <v/>
      </c>
      <c r="AI384">
        <f>IF(ISNUMBER(MATCH(D384,Controls!$A$64:$A$74,0)),1,0)</f>
        <v/>
      </c>
      <c r="AJ384">
        <f>Q384-N384</f>
        <v/>
      </c>
      <c r="AK384">
        <f>IF(AE384=1,MAX(0,N384-Q384),0)</f>
        <v/>
      </c>
      <c r="AL384">
        <f>IF(OR(V384="",V384=0),0,N384/V384)</f>
        <v/>
      </c>
      <c r="AM384">
        <f>IF(OR(V384="",V384=0),0,1)</f>
        <v/>
      </c>
      <c r="AN384">
        <f>IF(OR(E384="",F384=""),0,NETWORKDAYS(E384,F384,Ref!$K$2:$K$42))</f>
        <v/>
      </c>
      <c r="AO384">
        <f>IF(L384="Renewal",1,0)</f>
        <v/>
      </c>
      <c r="AP384">
        <f>AC384*AD384</f>
        <v/>
      </c>
      <c r="AQ384">
        <f>IF(AND(G384&lt;&gt;"",'Historical Score'!$C$6&lt;&gt;""),IF(G384='Historical Score'!$C$6,1,0),0)</f>
        <v/>
      </c>
      <c r="AR384">
        <f>IF(AND(L384&lt;&gt;"",'Historical Score'!$C$5&lt;&gt;""),IF(L384='Historical Score'!$C$5,1,0),0)</f>
        <v/>
      </c>
      <c r="AS384">
        <f>IF(AND(Y384&lt;&gt;"",'Historical Score'!$C$7&lt;&gt;""),IF(Y384='Historical Score'!$C$7,1,0),0)</f>
        <v/>
      </c>
      <c r="AT384">
        <f>IF(AND(K384&lt;&gt;"",'Historical Score'!$C$8&lt;&gt;""),IF(K384='Historical Score'!$C$8,1,0),0)</f>
        <v/>
      </c>
      <c r="AU384">
        <f>IF(AND(J384&lt;&gt;"",'Historical Score'!$C$9&lt;&gt;""),IF(J384='Historical Score'!$C$9,1,0),0)</f>
        <v/>
      </c>
      <c r="AV384">
        <f>AR384*AS384*AQ384</f>
        <v/>
      </c>
      <c r="AW384">
        <f>AR384*AT384*AQ384</f>
        <v/>
      </c>
      <c r="AX384">
        <f>AR384*AS384</f>
        <v/>
      </c>
      <c r="AY384">
        <f>AR384*AT384</f>
        <v/>
      </c>
      <c r="AZ384">
        <f>AR384*AQ384</f>
        <v/>
      </c>
      <c r="BA384">
        <f>AR384</f>
        <v/>
      </c>
      <c r="BB384">
        <f>1</f>
        <v/>
      </c>
      <c r="BC384">
        <f>IF(AV384=1,1,IF(AW384=1,2,IF(AX384=1,3,IF(AY384=1,4,IF(AZ384=1,5,IF(BA384=1,6,7))))))</f>
        <v/>
      </c>
      <c r="BD384">
        <f>IF(AD384=1,CHOOSE('Historical Score'!$C$29,AV384,AW384,AX384,AY384,AZ384,BA384,BB384),0)</f>
        <v/>
      </c>
      <c r="BE384">
        <f>IF(BD384=1,COUNTIF($BD$2:BD384,1),"")</f>
        <v/>
      </c>
    </row>
    <row r="385">
      <c r="A385" t="inlineStr">
        <is>
          <t>5674172827</t>
        </is>
      </c>
      <c r="B385" t="inlineStr">
        <is>
          <t>TAQUERIA Y ANTOJITOS EL GUANACO LLC</t>
        </is>
      </c>
      <c r="C385" t="inlineStr">
        <is>
          <t>TAQUERIA Y ANTOJITOS EL GUANACO LLC</t>
        </is>
      </c>
      <c r="D385" t="inlineStr">
        <is>
          <t>Written-Off</t>
        </is>
      </c>
      <c r="E385" s="297" t="n">
        <v>45986</v>
      </c>
      <c r="F385" s="297" t="n">
        <v>46177</v>
      </c>
      <c r="G385" t="n">
        <v>3</v>
      </c>
      <c r="H385" t="inlineStr">
        <is>
          <t>5812</t>
        </is>
      </c>
      <c r="I385" t="inlineStr">
        <is>
          <t>58</t>
        </is>
      </c>
      <c r="J385" t="inlineStr">
        <is>
          <t>FL</t>
        </is>
      </c>
      <c r="K385" t="inlineStr">
        <is>
          <t>PMF</t>
        </is>
      </c>
      <c r="L385" t="inlineStr">
        <is>
          <t>Renewal</t>
        </is>
      </c>
      <c r="M385" s="298" t="n">
        <v>1.499</v>
      </c>
      <c r="N385" s="299" t="n">
        <v>40000</v>
      </c>
      <c r="O385" s="299" t="n">
        <v>5600</v>
      </c>
      <c r="P385" s="299" t="n">
        <v>59960</v>
      </c>
      <c r="Q385" s="299" t="n">
        <v>58680.32</v>
      </c>
      <c r="R385" s="299" t="n">
        <v>1279.68000000001</v>
      </c>
      <c r="S385" s="300" t="n">
        <v>0.978657771847899</v>
      </c>
      <c r="T385" t="n">
        <v>4.262</v>
      </c>
      <c r="U385" t="n">
        <v>3</v>
      </c>
      <c r="V385" t="n">
        <v>138520.32</v>
      </c>
      <c r="W385" s="300" t="n">
        <v>0.06950000000000001</v>
      </c>
      <c r="X385" s="297" t="n">
        <v>42430</v>
      </c>
      <c r="Y385">
        <f>IF(I385="","No SIC",IFERROR(VLOOKUP(I385,Ref!$A$2:$B$65,2,FALSE),"Unclassified"))</f>
        <v/>
      </c>
      <c r="Z385">
        <f>IF(T385="","",IF(T385&lt;12,"Daily","Weekly"))</f>
        <v/>
      </c>
      <c r="AA385">
        <f>IF(T385="",0,IF(T385&lt;12,T385*Controls!$B$29,T385*5))</f>
        <v/>
      </c>
      <c r="AB385">
        <f>IF(E385="",0,NETWORKDAYS(E385,Controls!$B$36,Ref!$K$2:$K$42))</f>
        <v/>
      </c>
      <c r="AC385">
        <f>IF(AND(AA385&gt;0,AB385&gt;=Controls!$B$39*AA385),1,0)</f>
        <v/>
      </c>
      <c r="AD385">
        <f>IF(AND(E385&lt;&gt;"",E385&gt;=Controls!$B$37,E385&lt;=Controls!$B$38),1,0)</f>
        <v/>
      </c>
      <c r="AE385">
        <f>IF(IFERROR(VLOOKUP(D385,Controls!$A$64:$E$74,2,FALSE),"No")="Yes",1,0)</f>
        <v/>
      </c>
      <c r="AF385">
        <f>IF(IFERROR(VLOOKUP(D385,Controls!$A$64:$E$74,3,FALSE),"No")="Yes",1,0)</f>
        <v/>
      </c>
      <c r="AG385">
        <f>IF(IFERROR(VLOOKUP(D385,Controls!$A$64:$E$74,4,FALSE),"No")="Yes",1,0)</f>
        <v/>
      </c>
      <c r="AH385">
        <f>IF(IFERROR(VLOOKUP(D385,Controls!$A$64:$E$74,5,FALSE),"No")="Yes",1,0)</f>
        <v/>
      </c>
      <c r="AI385">
        <f>IF(ISNUMBER(MATCH(D385,Controls!$A$64:$A$74,0)),1,0)</f>
        <v/>
      </c>
      <c r="AJ385">
        <f>Q385-N385</f>
        <v/>
      </c>
      <c r="AK385">
        <f>IF(AE385=1,MAX(0,N385-Q385),0)</f>
        <v/>
      </c>
      <c r="AL385">
        <f>IF(OR(V385="",V385=0),0,N385/V385)</f>
        <v/>
      </c>
      <c r="AM385">
        <f>IF(OR(V385="",V385=0),0,1)</f>
        <v/>
      </c>
      <c r="AN385">
        <f>IF(OR(E385="",F385=""),0,NETWORKDAYS(E385,F385,Ref!$K$2:$K$42))</f>
        <v/>
      </c>
      <c r="AO385">
        <f>IF(L385="Renewal",1,0)</f>
        <v/>
      </c>
      <c r="AP385">
        <f>AC385*AD385</f>
        <v/>
      </c>
      <c r="AQ385">
        <f>IF(AND(G385&lt;&gt;"",'Historical Score'!$C$6&lt;&gt;""),IF(G385='Historical Score'!$C$6,1,0),0)</f>
        <v/>
      </c>
      <c r="AR385">
        <f>IF(AND(L385&lt;&gt;"",'Historical Score'!$C$5&lt;&gt;""),IF(L385='Historical Score'!$C$5,1,0),0)</f>
        <v/>
      </c>
      <c r="AS385">
        <f>IF(AND(Y385&lt;&gt;"",'Historical Score'!$C$7&lt;&gt;""),IF(Y385='Historical Score'!$C$7,1,0),0)</f>
        <v/>
      </c>
      <c r="AT385">
        <f>IF(AND(K385&lt;&gt;"",'Historical Score'!$C$8&lt;&gt;""),IF(K385='Historical Score'!$C$8,1,0),0)</f>
        <v/>
      </c>
      <c r="AU385">
        <f>IF(AND(J385&lt;&gt;"",'Historical Score'!$C$9&lt;&gt;""),IF(J385='Historical Score'!$C$9,1,0),0)</f>
        <v/>
      </c>
      <c r="AV385">
        <f>AR385*AS385*AQ385</f>
        <v/>
      </c>
      <c r="AW385">
        <f>AR385*AT385*AQ385</f>
        <v/>
      </c>
      <c r="AX385">
        <f>AR385*AS385</f>
        <v/>
      </c>
      <c r="AY385">
        <f>AR385*AT385</f>
        <v/>
      </c>
      <c r="AZ385">
        <f>AR385*AQ385</f>
        <v/>
      </c>
      <c r="BA385">
        <f>AR385</f>
        <v/>
      </c>
      <c r="BB385">
        <f>1</f>
        <v/>
      </c>
      <c r="BC385">
        <f>IF(AV385=1,1,IF(AW385=1,2,IF(AX385=1,3,IF(AY385=1,4,IF(AZ385=1,5,IF(BA385=1,6,7))))))</f>
        <v/>
      </c>
      <c r="BD385">
        <f>IF(AD385=1,CHOOSE('Historical Score'!$C$29,AV385,AW385,AX385,AY385,AZ385,BA385,BB385),0)</f>
        <v/>
      </c>
      <c r="BE385">
        <f>IF(BD385=1,COUNTIF($BD$2:BD385,1),"")</f>
        <v/>
      </c>
    </row>
    <row r="386">
      <c r="A386" t="inlineStr">
        <is>
          <t>5674172831</t>
        </is>
      </c>
      <c r="B386" t="inlineStr">
        <is>
          <t>PROFIX</t>
        </is>
      </c>
      <c r="C386" t="inlineStr">
        <is>
          <t>MXCONCEPTS LLC</t>
        </is>
      </c>
      <c r="D386" t="inlineStr">
        <is>
          <t>Open</t>
        </is>
      </c>
      <c r="E386" s="297" t="n">
        <v>45986</v>
      </c>
      <c r="F386" s="297" t="n">
        <v>46251</v>
      </c>
      <c r="G386" t="n">
        <v>2</v>
      </c>
      <c r="H386" t="inlineStr">
        <is>
          <t>1521</t>
        </is>
      </c>
      <c r="I386" t="inlineStr">
        <is>
          <t>15</t>
        </is>
      </c>
      <c r="J386" t="inlineStr">
        <is>
          <t>TX</t>
        </is>
      </c>
      <c r="K386" t="inlineStr">
        <is>
          <t>Platform Funding</t>
        </is>
      </c>
      <c r="L386" t="inlineStr">
        <is>
          <t>New Deal</t>
        </is>
      </c>
      <c r="M386" s="298" t="n">
        <v>1.499</v>
      </c>
      <c r="N386" s="299" t="n">
        <v>20000</v>
      </c>
      <c r="O386" s="299" t="n">
        <v>2800</v>
      </c>
      <c r="P386" s="299" t="n">
        <v>29980</v>
      </c>
      <c r="Q386" s="299" t="n">
        <v>25246.76</v>
      </c>
      <c r="R386" s="299" t="n">
        <v>4733.24000000001</v>
      </c>
      <c r="S386" s="300" t="n">
        <v>0.842120080053369</v>
      </c>
      <c r="T386" t="n">
        <v>26</v>
      </c>
      <c r="U386" t="n">
        <v>15</v>
      </c>
      <c r="V386" t="n">
        <v>185093.76</v>
      </c>
      <c r="W386" s="300" t="n">
        <v>0.0248</v>
      </c>
      <c r="X386" s="297" t="n">
        <v>45064</v>
      </c>
      <c r="Y386">
        <f>IF(I386="","No SIC",IFERROR(VLOOKUP(I386,Ref!$A$2:$B$65,2,FALSE),"Unclassified"))</f>
        <v/>
      </c>
      <c r="Z386">
        <f>IF(T386="","",IF(T386&lt;12,"Daily","Weekly"))</f>
        <v/>
      </c>
      <c r="AA386">
        <f>IF(T386="",0,IF(T386&lt;12,T386*Controls!$B$29,T386*5))</f>
        <v/>
      </c>
      <c r="AB386">
        <f>IF(E386="",0,NETWORKDAYS(E386,Controls!$B$36,Ref!$K$2:$K$42))</f>
        <v/>
      </c>
      <c r="AC386">
        <f>IF(AND(AA386&gt;0,AB386&gt;=Controls!$B$39*AA386),1,0)</f>
        <v/>
      </c>
      <c r="AD386">
        <f>IF(AND(E386&lt;&gt;"",E386&gt;=Controls!$B$37,E386&lt;=Controls!$B$38),1,0)</f>
        <v/>
      </c>
      <c r="AE386">
        <f>IF(IFERROR(VLOOKUP(D386,Controls!$A$64:$E$74,2,FALSE),"No")="Yes",1,0)</f>
        <v/>
      </c>
      <c r="AF386">
        <f>IF(IFERROR(VLOOKUP(D386,Controls!$A$64:$E$74,3,FALSE),"No")="Yes",1,0)</f>
        <v/>
      </c>
      <c r="AG386">
        <f>IF(IFERROR(VLOOKUP(D386,Controls!$A$64:$E$74,4,FALSE),"No")="Yes",1,0)</f>
        <v/>
      </c>
      <c r="AH386">
        <f>IF(IFERROR(VLOOKUP(D386,Controls!$A$64:$E$74,5,FALSE),"No")="Yes",1,0)</f>
        <v/>
      </c>
      <c r="AI386">
        <f>IF(ISNUMBER(MATCH(D386,Controls!$A$64:$A$74,0)),1,0)</f>
        <v/>
      </c>
      <c r="AJ386">
        <f>Q386-N386</f>
        <v/>
      </c>
      <c r="AK386">
        <f>IF(AE386=1,MAX(0,N386-Q386),0)</f>
        <v/>
      </c>
      <c r="AL386">
        <f>IF(OR(V386="",V386=0),0,N386/V386)</f>
        <v/>
      </c>
      <c r="AM386">
        <f>IF(OR(V386="",V386=0),0,1)</f>
        <v/>
      </c>
      <c r="AN386">
        <f>IF(OR(E386="",F386=""),0,NETWORKDAYS(E386,F386,Ref!$K$2:$K$42))</f>
        <v/>
      </c>
      <c r="AO386">
        <f>IF(L386="Renewal",1,0)</f>
        <v/>
      </c>
      <c r="AP386">
        <f>AC386*AD386</f>
        <v/>
      </c>
      <c r="AQ386">
        <f>IF(AND(G386&lt;&gt;"",'Historical Score'!$C$6&lt;&gt;""),IF(G386='Historical Score'!$C$6,1,0),0)</f>
        <v/>
      </c>
      <c r="AR386">
        <f>IF(AND(L386&lt;&gt;"",'Historical Score'!$C$5&lt;&gt;""),IF(L386='Historical Score'!$C$5,1,0),0)</f>
        <v/>
      </c>
      <c r="AS386">
        <f>IF(AND(Y386&lt;&gt;"",'Historical Score'!$C$7&lt;&gt;""),IF(Y386='Historical Score'!$C$7,1,0),0)</f>
        <v/>
      </c>
      <c r="AT386">
        <f>IF(AND(K386&lt;&gt;"",'Historical Score'!$C$8&lt;&gt;""),IF(K386='Historical Score'!$C$8,1,0),0)</f>
        <v/>
      </c>
      <c r="AU386">
        <f>IF(AND(J386&lt;&gt;"",'Historical Score'!$C$9&lt;&gt;""),IF(J386='Historical Score'!$C$9,1,0),0)</f>
        <v/>
      </c>
      <c r="AV386">
        <f>AR386*AS386*AQ386</f>
        <v/>
      </c>
      <c r="AW386">
        <f>AR386*AT386*AQ386</f>
        <v/>
      </c>
      <c r="AX386">
        <f>AR386*AS386</f>
        <v/>
      </c>
      <c r="AY386">
        <f>AR386*AT386</f>
        <v/>
      </c>
      <c r="AZ386">
        <f>AR386*AQ386</f>
        <v/>
      </c>
      <c r="BA386">
        <f>AR386</f>
        <v/>
      </c>
      <c r="BB386">
        <f>1</f>
        <v/>
      </c>
      <c r="BC386">
        <f>IF(AV386=1,1,IF(AW386=1,2,IF(AX386=1,3,IF(AY386=1,4,IF(AZ386=1,5,IF(BA386=1,6,7))))))</f>
        <v/>
      </c>
      <c r="BD386">
        <f>IF(AD386=1,CHOOSE('Historical Score'!$C$29,AV386,AW386,AX386,AY386,AZ386,BA386,BB386),0)</f>
        <v/>
      </c>
      <c r="BE386">
        <f>IF(BD386=1,COUNTIF($BD$2:BD386,1),"")</f>
        <v/>
      </c>
    </row>
    <row r="387">
      <c r="A387" t="inlineStr">
        <is>
          <t>5674172872</t>
        </is>
      </c>
      <c r="B387" t="inlineStr">
        <is>
          <t>ROYS INDUSTRAIL POWER EQ.</t>
        </is>
      </c>
      <c r="C387" t="inlineStr">
        <is>
          <t>ROYS INDUSTRAIL POWER EQ.</t>
        </is>
      </c>
      <c r="D387" t="inlineStr">
        <is>
          <t>Legal</t>
        </is>
      </c>
      <c r="E387" s="297" t="n">
        <v>45986</v>
      </c>
      <c r="F387" s="297" t="n">
        <v>46002</v>
      </c>
      <c r="G387" t="n">
        <v>3</v>
      </c>
      <c r="H387" t="inlineStr">
        <is>
          <t>1521</t>
        </is>
      </c>
      <c r="I387" t="inlineStr">
        <is>
          <t>15</t>
        </is>
      </c>
      <c r="J387" t="inlineStr">
        <is>
          <t>TX</t>
        </is>
      </c>
      <c r="K387" t="inlineStr">
        <is>
          <t>Vital Funding</t>
        </is>
      </c>
      <c r="L387" t="inlineStr">
        <is>
          <t>New Deal</t>
        </is>
      </c>
      <c r="M387" s="298" t="n">
        <v>1.49</v>
      </c>
      <c r="N387" s="299" t="n">
        <v>16000</v>
      </c>
      <c r="O387" s="299" t="n">
        <v>0</v>
      </c>
      <c r="P387" s="299" t="n">
        <v>23840</v>
      </c>
      <c r="Q387" s="299" t="n">
        <v>917.22</v>
      </c>
      <c r="R387" s="299" t="n">
        <v>22922.78</v>
      </c>
      <c r="S387" s="300" t="n">
        <v>0.0384739932885906</v>
      </c>
      <c r="T387" t="n">
        <v>26</v>
      </c>
      <c r="U387" t="n">
        <v>1</v>
      </c>
      <c r="V387" t="n">
        <v>52941.75</v>
      </c>
      <c r="W387" s="300" t="n">
        <v>0.0693</v>
      </c>
      <c r="X387" s="297" t="n">
        <v>36161</v>
      </c>
      <c r="Y387">
        <f>IF(I387="","No SIC",IFERROR(VLOOKUP(I387,Ref!$A$2:$B$65,2,FALSE),"Unclassified"))</f>
        <v/>
      </c>
      <c r="Z387">
        <f>IF(T387="","",IF(T387&lt;12,"Daily","Weekly"))</f>
        <v/>
      </c>
      <c r="AA387">
        <f>IF(T387="",0,IF(T387&lt;12,T387*Controls!$B$29,T387*5))</f>
        <v/>
      </c>
      <c r="AB387">
        <f>IF(E387="",0,NETWORKDAYS(E387,Controls!$B$36,Ref!$K$2:$K$42))</f>
        <v/>
      </c>
      <c r="AC387">
        <f>IF(AND(AA387&gt;0,AB387&gt;=Controls!$B$39*AA387),1,0)</f>
        <v/>
      </c>
      <c r="AD387">
        <f>IF(AND(E387&lt;&gt;"",E387&gt;=Controls!$B$37,E387&lt;=Controls!$B$38),1,0)</f>
        <v/>
      </c>
      <c r="AE387">
        <f>IF(IFERROR(VLOOKUP(D387,Controls!$A$64:$E$74,2,FALSE),"No")="Yes",1,0)</f>
        <v/>
      </c>
      <c r="AF387">
        <f>IF(IFERROR(VLOOKUP(D387,Controls!$A$64:$E$74,3,FALSE),"No")="Yes",1,0)</f>
        <v/>
      </c>
      <c r="AG387">
        <f>IF(IFERROR(VLOOKUP(D387,Controls!$A$64:$E$74,4,FALSE),"No")="Yes",1,0)</f>
        <v/>
      </c>
      <c r="AH387">
        <f>IF(IFERROR(VLOOKUP(D387,Controls!$A$64:$E$74,5,FALSE),"No")="Yes",1,0)</f>
        <v/>
      </c>
      <c r="AI387">
        <f>IF(ISNUMBER(MATCH(D387,Controls!$A$64:$A$74,0)),1,0)</f>
        <v/>
      </c>
      <c r="AJ387">
        <f>Q387-N387</f>
        <v/>
      </c>
      <c r="AK387">
        <f>IF(AE387=1,MAX(0,N387-Q387),0)</f>
        <v/>
      </c>
      <c r="AL387">
        <f>IF(OR(V387="",V387=0),0,N387/V387)</f>
        <v/>
      </c>
      <c r="AM387">
        <f>IF(OR(V387="",V387=0),0,1)</f>
        <v/>
      </c>
      <c r="AN387">
        <f>IF(OR(E387="",F387=""),0,NETWORKDAYS(E387,F387,Ref!$K$2:$K$42))</f>
        <v/>
      </c>
      <c r="AO387">
        <f>IF(L387="Renewal",1,0)</f>
        <v/>
      </c>
      <c r="AP387">
        <f>AC387*AD387</f>
        <v/>
      </c>
      <c r="AQ387">
        <f>IF(AND(G387&lt;&gt;"",'Historical Score'!$C$6&lt;&gt;""),IF(G387='Historical Score'!$C$6,1,0),0)</f>
        <v/>
      </c>
      <c r="AR387">
        <f>IF(AND(L387&lt;&gt;"",'Historical Score'!$C$5&lt;&gt;""),IF(L387='Historical Score'!$C$5,1,0),0)</f>
        <v/>
      </c>
      <c r="AS387">
        <f>IF(AND(Y387&lt;&gt;"",'Historical Score'!$C$7&lt;&gt;""),IF(Y387='Historical Score'!$C$7,1,0),0)</f>
        <v/>
      </c>
      <c r="AT387">
        <f>IF(AND(K387&lt;&gt;"",'Historical Score'!$C$8&lt;&gt;""),IF(K387='Historical Score'!$C$8,1,0),0)</f>
        <v/>
      </c>
      <c r="AU387">
        <f>IF(AND(J387&lt;&gt;"",'Historical Score'!$C$9&lt;&gt;""),IF(J387='Historical Score'!$C$9,1,0),0)</f>
        <v/>
      </c>
      <c r="AV387">
        <f>AR387*AS387*AQ387</f>
        <v/>
      </c>
      <c r="AW387">
        <f>AR387*AT387*AQ387</f>
        <v/>
      </c>
      <c r="AX387">
        <f>AR387*AS387</f>
        <v/>
      </c>
      <c r="AY387">
        <f>AR387*AT387</f>
        <v/>
      </c>
      <c r="AZ387">
        <f>AR387*AQ387</f>
        <v/>
      </c>
      <c r="BA387">
        <f>AR387</f>
        <v/>
      </c>
      <c r="BB387">
        <f>1</f>
        <v/>
      </c>
      <c r="BC387">
        <f>IF(AV387=1,1,IF(AW387=1,2,IF(AX387=1,3,IF(AY387=1,4,IF(AZ387=1,5,IF(BA387=1,6,7))))))</f>
        <v/>
      </c>
      <c r="BD387">
        <f>IF(AD387=1,CHOOSE('Historical Score'!$C$29,AV387,AW387,AX387,AY387,AZ387,BA387,BB387),0)</f>
        <v/>
      </c>
      <c r="BE387">
        <f>IF(BD387=1,COUNTIF($BD$2:BD387,1),"")</f>
        <v/>
      </c>
    </row>
    <row r="388">
      <c r="A388" t="inlineStr">
        <is>
          <t>5674172902</t>
        </is>
      </c>
      <c r="B388" t="inlineStr">
        <is>
          <t>THE A&amp;N TEAM THE A DBA THE VIEW DBA VIEW RESTAURANT &amp; LOUNGE DBA RANA MACK MBR</t>
        </is>
      </c>
      <c r="C388" t="inlineStr">
        <is>
          <t>THE A&amp;N TEAM LLC</t>
        </is>
      </c>
      <c r="D388" t="inlineStr">
        <is>
          <t>Closed</t>
        </is>
      </c>
      <c r="E388" s="297" t="n">
        <v>45987</v>
      </c>
      <c r="F388" s="297" t="n">
        <v>46132</v>
      </c>
      <c r="G388" t="n">
        <v>4</v>
      </c>
      <c r="H388" t="inlineStr">
        <is>
          <t>5812</t>
        </is>
      </c>
      <c r="I388" t="inlineStr">
        <is>
          <t>58</t>
        </is>
      </c>
      <c r="J388" t="inlineStr">
        <is>
          <t>IL</t>
        </is>
      </c>
      <c r="K388" t="inlineStr">
        <is>
          <t>PMF</t>
        </is>
      </c>
      <c r="L388" t="inlineStr">
        <is>
          <t>Renewal</t>
        </is>
      </c>
      <c r="M388" s="298" t="n">
        <v>1.499</v>
      </c>
      <c r="N388" s="299" t="n">
        <v>100000</v>
      </c>
      <c r="O388" s="299" t="n">
        <v>14000</v>
      </c>
      <c r="P388" s="299" t="n">
        <v>149900</v>
      </c>
      <c r="Q388" s="299" t="n">
        <v>149900</v>
      </c>
      <c r="R388" s="299" t="n">
        <v>0</v>
      </c>
      <c r="S388" s="300" t="n">
        <v>1</v>
      </c>
      <c r="T388" t="n">
        <v>30</v>
      </c>
      <c r="U388" t="n">
        <v>0</v>
      </c>
      <c r="V388" t="n">
        <v>103686.75</v>
      </c>
      <c r="W388" s="300" t="n">
        <v>0.1278</v>
      </c>
      <c r="X388" s="297" t="n">
        <v>37135</v>
      </c>
      <c r="Y388">
        <f>IF(I388="","No SIC",IFERROR(VLOOKUP(I388,Ref!$A$2:$B$65,2,FALSE),"Unclassified"))</f>
        <v/>
      </c>
      <c r="Z388">
        <f>IF(T388="","",IF(T388&lt;12,"Daily","Weekly"))</f>
        <v/>
      </c>
      <c r="AA388">
        <f>IF(T388="",0,IF(T388&lt;12,T388*Controls!$B$29,T388*5))</f>
        <v/>
      </c>
      <c r="AB388">
        <f>IF(E388="",0,NETWORKDAYS(E388,Controls!$B$36,Ref!$K$2:$K$42))</f>
        <v/>
      </c>
      <c r="AC388">
        <f>IF(AND(AA388&gt;0,AB388&gt;=Controls!$B$39*AA388),1,0)</f>
        <v/>
      </c>
      <c r="AD388">
        <f>IF(AND(E388&lt;&gt;"",E388&gt;=Controls!$B$37,E388&lt;=Controls!$B$38),1,0)</f>
        <v/>
      </c>
      <c r="AE388">
        <f>IF(IFERROR(VLOOKUP(D388,Controls!$A$64:$E$74,2,FALSE),"No")="Yes",1,0)</f>
        <v/>
      </c>
      <c r="AF388">
        <f>IF(IFERROR(VLOOKUP(D388,Controls!$A$64:$E$74,3,FALSE),"No")="Yes",1,0)</f>
        <v/>
      </c>
      <c r="AG388">
        <f>IF(IFERROR(VLOOKUP(D388,Controls!$A$64:$E$74,4,FALSE),"No")="Yes",1,0)</f>
        <v/>
      </c>
      <c r="AH388">
        <f>IF(IFERROR(VLOOKUP(D388,Controls!$A$64:$E$74,5,FALSE),"No")="Yes",1,0)</f>
        <v/>
      </c>
      <c r="AI388">
        <f>IF(ISNUMBER(MATCH(D388,Controls!$A$64:$A$74,0)),1,0)</f>
        <v/>
      </c>
      <c r="AJ388">
        <f>Q388-N388</f>
        <v/>
      </c>
      <c r="AK388">
        <f>IF(AE388=1,MAX(0,N388-Q388),0)</f>
        <v/>
      </c>
      <c r="AL388">
        <f>IF(OR(V388="",V388=0),0,N388/V388)</f>
        <v/>
      </c>
      <c r="AM388">
        <f>IF(OR(V388="",V388=0),0,1)</f>
        <v/>
      </c>
      <c r="AN388">
        <f>IF(OR(E388="",F388=""),0,NETWORKDAYS(E388,F388,Ref!$K$2:$K$42))</f>
        <v/>
      </c>
      <c r="AO388">
        <f>IF(L388="Renewal",1,0)</f>
        <v/>
      </c>
      <c r="AP388">
        <f>AC388*AD388</f>
        <v/>
      </c>
      <c r="AQ388">
        <f>IF(AND(G388&lt;&gt;"",'Historical Score'!$C$6&lt;&gt;""),IF(G388='Historical Score'!$C$6,1,0),0)</f>
        <v/>
      </c>
      <c r="AR388">
        <f>IF(AND(L388&lt;&gt;"",'Historical Score'!$C$5&lt;&gt;""),IF(L388='Historical Score'!$C$5,1,0),0)</f>
        <v/>
      </c>
      <c r="AS388">
        <f>IF(AND(Y388&lt;&gt;"",'Historical Score'!$C$7&lt;&gt;""),IF(Y388='Historical Score'!$C$7,1,0),0)</f>
        <v/>
      </c>
      <c r="AT388">
        <f>IF(AND(K388&lt;&gt;"",'Historical Score'!$C$8&lt;&gt;""),IF(K388='Historical Score'!$C$8,1,0),0)</f>
        <v/>
      </c>
      <c r="AU388">
        <f>IF(AND(J388&lt;&gt;"",'Historical Score'!$C$9&lt;&gt;""),IF(J388='Historical Score'!$C$9,1,0),0)</f>
        <v/>
      </c>
      <c r="AV388">
        <f>AR388*AS388*AQ388</f>
        <v/>
      </c>
      <c r="AW388">
        <f>AR388*AT388*AQ388</f>
        <v/>
      </c>
      <c r="AX388">
        <f>AR388*AS388</f>
        <v/>
      </c>
      <c r="AY388">
        <f>AR388*AT388</f>
        <v/>
      </c>
      <c r="AZ388">
        <f>AR388*AQ388</f>
        <v/>
      </c>
      <c r="BA388">
        <f>AR388</f>
        <v/>
      </c>
      <c r="BB388">
        <f>1</f>
        <v/>
      </c>
      <c r="BC388">
        <f>IF(AV388=1,1,IF(AW388=1,2,IF(AX388=1,3,IF(AY388=1,4,IF(AZ388=1,5,IF(BA388=1,6,7))))))</f>
        <v/>
      </c>
      <c r="BD388">
        <f>IF(AD388=1,CHOOSE('Historical Score'!$C$29,AV388,AW388,AX388,AY388,AZ388,BA388,BB388),0)</f>
        <v/>
      </c>
      <c r="BE388">
        <f>IF(BD388=1,COUNTIF($BD$2:BD388,1),"")</f>
        <v/>
      </c>
    </row>
    <row r="389">
      <c r="A389" t="inlineStr">
        <is>
          <t>5674172925</t>
        </is>
      </c>
      <c r="B389" t="inlineStr">
        <is>
          <t>Map and Map</t>
        </is>
      </c>
      <c r="C389" t="inlineStr">
        <is>
          <t>Map and Map</t>
        </is>
      </c>
      <c r="D389" t="inlineStr">
        <is>
          <t>Closed</t>
        </is>
      </c>
      <c r="E389" s="297" t="n">
        <v>45987</v>
      </c>
      <c r="F389" s="297" t="n">
        <v>46142</v>
      </c>
      <c r="G389" t="n">
        <v>3</v>
      </c>
      <c r="H389" t="inlineStr">
        <is>
          <t>5399</t>
        </is>
      </c>
      <c r="I389" t="inlineStr">
        <is>
          <t>53</t>
        </is>
      </c>
      <c r="J389" t="inlineStr">
        <is>
          <t>TX</t>
        </is>
      </c>
      <c r="K389" t="inlineStr">
        <is>
          <t>PMF</t>
        </is>
      </c>
      <c r="L389" t="inlineStr">
        <is>
          <t>New Deal</t>
        </is>
      </c>
      <c r="M389" s="298" t="n">
        <v>1.49</v>
      </c>
      <c r="N389" s="299" t="n">
        <v>4000</v>
      </c>
      <c r="O389" s="299" t="n">
        <v>560</v>
      </c>
      <c r="P389" s="299" t="n">
        <v>5960</v>
      </c>
      <c r="Q389" s="299" t="n">
        <v>5960</v>
      </c>
      <c r="R389" s="299" t="n">
        <v>0</v>
      </c>
      <c r="S389" s="300" t="n">
        <v>1</v>
      </c>
      <c r="T389" t="n">
        <v>2.295</v>
      </c>
      <c r="U389" t="n">
        <v>15</v>
      </c>
      <c r="V389" t="n">
        <v>19288.41</v>
      </c>
      <c r="W389" s="300" t="n">
        <v>0.0927</v>
      </c>
      <c r="X389" s="297" t="n">
        <v>44356</v>
      </c>
      <c r="Y389">
        <f>IF(I389="","No SIC",IFERROR(VLOOKUP(I389,Ref!$A$2:$B$65,2,FALSE),"Unclassified"))</f>
        <v/>
      </c>
      <c r="Z389">
        <f>IF(T389="","",IF(T389&lt;12,"Daily","Weekly"))</f>
        <v/>
      </c>
      <c r="AA389">
        <f>IF(T389="",0,IF(T389&lt;12,T389*Controls!$B$29,T389*5))</f>
        <v/>
      </c>
      <c r="AB389">
        <f>IF(E389="",0,NETWORKDAYS(E389,Controls!$B$36,Ref!$K$2:$K$42))</f>
        <v/>
      </c>
      <c r="AC389">
        <f>IF(AND(AA389&gt;0,AB389&gt;=Controls!$B$39*AA389),1,0)</f>
        <v/>
      </c>
      <c r="AD389">
        <f>IF(AND(E389&lt;&gt;"",E389&gt;=Controls!$B$37,E389&lt;=Controls!$B$38),1,0)</f>
        <v/>
      </c>
      <c r="AE389">
        <f>IF(IFERROR(VLOOKUP(D389,Controls!$A$64:$E$74,2,FALSE),"No")="Yes",1,0)</f>
        <v/>
      </c>
      <c r="AF389">
        <f>IF(IFERROR(VLOOKUP(D389,Controls!$A$64:$E$74,3,FALSE),"No")="Yes",1,0)</f>
        <v/>
      </c>
      <c r="AG389">
        <f>IF(IFERROR(VLOOKUP(D389,Controls!$A$64:$E$74,4,FALSE),"No")="Yes",1,0)</f>
        <v/>
      </c>
      <c r="AH389">
        <f>IF(IFERROR(VLOOKUP(D389,Controls!$A$64:$E$74,5,FALSE),"No")="Yes",1,0)</f>
        <v/>
      </c>
      <c r="AI389">
        <f>IF(ISNUMBER(MATCH(D389,Controls!$A$64:$A$74,0)),1,0)</f>
        <v/>
      </c>
      <c r="AJ389">
        <f>Q389-N389</f>
        <v/>
      </c>
      <c r="AK389">
        <f>IF(AE389=1,MAX(0,N389-Q389),0)</f>
        <v/>
      </c>
      <c r="AL389">
        <f>IF(OR(V389="",V389=0),0,N389/V389)</f>
        <v/>
      </c>
      <c r="AM389">
        <f>IF(OR(V389="",V389=0),0,1)</f>
        <v/>
      </c>
      <c r="AN389">
        <f>IF(OR(E389="",F389=""),0,NETWORKDAYS(E389,F389,Ref!$K$2:$K$42))</f>
        <v/>
      </c>
      <c r="AO389">
        <f>IF(L389="Renewal",1,0)</f>
        <v/>
      </c>
      <c r="AP389">
        <f>AC389*AD389</f>
        <v/>
      </c>
      <c r="AQ389">
        <f>IF(AND(G389&lt;&gt;"",'Historical Score'!$C$6&lt;&gt;""),IF(G389='Historical Score'!$C$6,1,0),0)</f>
        <v/>
      </c>
      <c r="AR389">
        <f>IF(AND(L389&lt;&gt;"",'Historical Score'!$C$5&lt;&gt;""),IF(L389='Historical Score'!$C$5,1,0),0)</f>
        <v/>
      </c>
      <c r="AS389">
        <f>IF(AND(Y389&lt;&gt;"",'Historical Score'!$C$7&lt;&gt;""),IF(Y389='Historical Score'!$C$7,1,0),0)</f>
        <v/>
      </c>
      <c r="AT389">
        <f>IF(AND(K389&lt;&gt;"",'Historical Score'!$C$8&lt;&gt;""),IF(K389='Historical Score'!$C$8,1,0),0)</f>
        <v/>
      </c>
      <c r="AU389">
        <f>IF(AND(J389&lt;&gt;"",'Historical Score'!$C$9&lt;&gt;""),IF(J389='Historical Score'!$C$9,1,0),0)</f>
        <v/>
      </c>
      <c r="AV389">
        <f>AR389*AS389*AQ389</f>
        <v/>
      </c>
      <c r="AW389">
        <f>AR389*AT389*AQ389</f>
        <v/>
      </c>
      <c r="AX389">
        <f>AR389*AS389</f>
        <v/>
      </c>
      <c r="AY389">
        <f>AR389*AT389</f>
        <v/>
      </c>
      <c r="AZ389">
        <f>AR389*AQ389</f>
        <v/>
      </c>
      <c r="BA389">
        <f>AR389</f>
        <v/>
      </c>
      <c r="BB389">
        <f>1</f>
        <v/>
      </c>
      <c r="BC389">
        <f>IF(AV389=1,1,IF(AW389=1,2,IF(AX389=1,3,IF(AY389=1,4,IF(AZ389=1,5,IF(BA389=1,6,7))))))</f>
        <v/>
      </c>
      <c r="BD389">
        <f>IF(AD389=1,CHOOSE('Historical Score'!$C$29,AV389,AW389,AX389,AY389,AZ389,BA389,BB389),0)</f>
        <v/>
      </c>
      <c r="BE389">
        <f>IF(BD389=1,COUNTIF($BD$2:BD389,1),"")</f>
        <v/>
      </c>
    </row>
    <row r="390">
      <c r="A390" t="inlineStr">
        <is>
          <t>5674172929</t>
        </is>
      </c>
      <c r="B390" t="inlineStr">
        <is>
          <t>PEOPLE UNITED OF LOUISIANA LLC</t>
        </is>
      </c>
      <c r="C390" t="inlineStr">
        <is>
          <t>PEOPLE UNITED OF LOUISIANA LLC</t>
        </is>
      </c>
      <c r="D390" t="inlineStr">
        <is>
          <t>Closed</t>
        </is>
      </c>
      <c r="E390" s="297" t="n">
        <v>45987</v>
      </c>
      <c r="F390" s="297" t="n">
        <v>46080</v>
      </c>
      <c r="G390" t="n">
        <v>8</v>
      </c>
      <c r="H390" t="inlineStr">
        <is>
          <t>6371</t>
        </is>
      </c>
      <c r="I390" t="inlineStr">
        <is>
          <t>63</t>
        </is>
      </c>
      <c r="J390" t="inlineStr">
        <is>
          <t>LA</t>
        </is>
      </c>
      <c r="K390" t="inlineStr">
        <is>
          <t>Dubbs holding</t>
        </is>
      </c>
      <c r="L390" t="inlineStr">
        <is>
          <t>New Deal</t>
        </is>
      </c>
      <c r="M390" s="298" t="n">
        <v>1.42</v>
      </c>
      <c r="N390" s="299" t="n">
        <v>40000</v>
      </c>
      <c r="O390" s="299" t="n">
        <v>4600</v>
      </c>
      <c r="P390" s="299" t="n">
        <v>56800</v>
      </c>
      <c r="Q390" s="299" t="n">
        <v>56800</v>
      </c>
      <c r="R390" s="299" t="n">
        <v>0</v>
      </c>
      <c r="S390" s="300" t="n">
        <v>1</v>
      </c>
      <c r="T390" t="n">
        <v>30</v>
      </c>
      <c r="U390" t="n">
        <v>0</v>
      </c>
      <c r="V390" t="n">
        <v>452493.41</v>
      </c>
      <c r="W390" s="300" t="n">
        <v>0.0167</v>
      </c>
      <c r="X390" s="297" t="n">
        <v>40360</v>
      </c>
      <c r="Y390">
        <f>IF(I390="","No SIC",IFERROR(VLOOKUP(I390,Ref!$A$2:$B$65,2,FALSE),"Unclassified"))</f>
        <v/>
      </c>
      <c r="Z390">
        <f>IF(T390="","",IF(T390&lt;12,"Daily","Weekly"))</f>
        <v/>
      </c>
      <c r="AA390">
        <f>IF(T390="",0,IF(T390&lt;12,T390*Controls!$B$29,T390*5))</f>
        <v/>
      </c>
      <c r="AB390">
        <f>IF(E390="",0,NETWORKDAYS(E390,Controls!$B$36,Ref!$K$2:$K$42))</f>
        <v/>
      </c>
      <c r="AC390">
        <f>IF(AND(AA390&gt;0,AB390&gt;=Controls!$B$39*AA390),1,0)</f>
        <v/>
      </c>
      <c r="AD390">
        <f>IF(AND(E390&lt;&gt;"",E390&gt;=Controls!$B$37,E390&lt;=Controls!$B$38),1,0)</f>
        <v/>
      </c>
      <c r="AE390">
        <f>IF(IFERROR(VLOOKUP(D390,Controls!$A$64:$E$74,2,FALSE),"No")="Yes",1,0)</f>
        <v/>
      </c>
      <c r="AF390">
        <f>IF(IFERROR(VLOOKUP(D390,Controls!$A$64:$E$74,3,FALSE),"No")="Yes",1,0)</f>
        <v/>
      </c>
      <c r="AG390">
        <f>IF(IFERROR(VLOOKUP(D390,Controls!$A$64:$E$74,4,FALSE),"No")="Yes",1,0)</f>
        <v/>
      </c>
      <c r="AH390">
        <f>IF(IFERROR(VLOOKUP(D390,Controls!$A$64:$E$74,5,FALSE),"No")="Yes",1,0)</f>
        <v/>
      </c>
      <c r="AI390">
        <f>IF(ISNUMBER(MATCH(D390,Controls!$A$64:$A$74,0)),1,0)</f>
        <v/>
      </c>
      <c r="AJ390">
        <f>Q390-N390</f>
        <v/>
      </c>
      <c r="AK390">
        <f>IF(AE390=1,MAX(0,N390-Q390),0)</f>
        <v/>
      </c>
      <c r="AL390">
        <f>IF(OR(V390="",V390=0),0,N390/V390)</f>
        <v/>
      </c>
      <c r="AM390">
        <f>IF(OR(V390="",V390=0),0,1)</f>
        <v/>
      </c>
      <c r="AN390">
        <f>IF(OR(E390="",F390=""),0,NETWORKDAYS(E390,F390,Ref!$K$2:$K$42))</f>
        <v/>
      </c>
      <c r="AO390">
        <f>IF(L390="Renewal",1,0)</f>
        <v/>
      </c>
      <c r="AP390">
        <f>AC390*AD390</f>
        <v/>
      </c>
      <c r="AQ390">
        <f>IF(AND(G390&lt;&gt;"",'Historical Score'!$C$6&lt;&gt;""),IF(G390='Historical Score'!$C$6,1,0),0)</f>
        <v/>
      </c>
      <c r="AR390">
        <f>IF(AND(L390&lt;&gt;"",'Historical Score'!$C$5&lt;&gt;""),IF(L390='Historical Score'!$C$5,1,0),0)</f>
        <v/>
      </c>
      <c r="AS390">
        <f>IF(AND(Y390&lt;&gt;"",'Historical Score'!$C$7&lt;&gt;""),IF(Y390='Historical Score'!$C$7,1,0),0)</f>
        <v/>
      </c>
      <c r="AT390">
        <f>IF(AND(K390&lt;&gt;"",'Historical Score'!$C$8&lt;&gt;""),IF(K390='Historical Score'!$C$8,1,0),0)</f>
        <v/>
      </c>
      <c r="AU390">
        <f>IF(AND(J390&lt;&gt;"",'Historical Score'!$C$9&lt;&gt;""),IF(J390='Historical Score'!$C$9,1,0),0)</f>
        <v/>
      </c>
      <c r="AV390">
        <f>AR390*AS390*AQ390</f>
        <v/>
      </c>
      <c r="AW390">
        <f>AR390*AT390*AQ390</f>
        <v/>
      </c>
      <c r="AX390">
        <f>AR390*AS390</f>
        <v/>
      </c>
      <c r="AY390">
        <f>AR390*AT390</f>
        <v/>
      </c>
      <c r="AZ390">
        <f>AR390*AQ390</f>
        <v/>
      </c>
      <c r="BA390">
        <f>AR390</f>
        <v/>
      </c>
      <c r="BB390">
        <f>1</f>
        <v/>
      </c>
      <c r="BC390">
        <f>IF(AV390=1,1,IF(AW390=1,2,IF(AX390=1,3,IF(AY390=1,4,IF(AZ390=1,5,IF(BA390=1,6,7))))))</f>
        <v/>
      </c>
      <c r="BD390">
        <f>IF(AD390=1,CHOOSE('Historical Score'!$C$29,AV390,AW390,AX390,AY390,AZ390,BA390,BB390),0)</f>
        <v/>
      </c>
      <c r="BE390">
        <f>IF(BD390=1,COUNTIF($BD$2:BD390,1),"")</f>
        <v/>
      </c>
    </row>
    <row r="391">
      <c r="A391" t="inlineStr">
        <is>
          <t>5674172938</t>
        </is>
      </c>
      <c r="B391" t="inlineStr">
        <is>
          <t>Creatuity</t>
        </is>
      </c>
      <c r="C391" t="inlineStr">
        <is>
          <t>Creatuity Corp</t>
        </is>
      </c>
      <c r="D391" t="inlineStr">
        <is>
          <t>Bankruptcy</t>
        </is>
      </c>
      <c r="E391" s="297" t="n">
        <v>45987</v>
      </c>
      <c r="F391" s="297" t="n">
        <v>46142</v>
      </c>
      <c r="G391" t="n">
        <v>1</v>
      </c>
      <c r="H391" t="inlineStr">
        <is>
          <t>7353</t>
        </is>
      </c>
      <c r="I391" t="inlineStr">
        <is>
          <t>73</t>
        </is>
      </c>
      <c r="J391" t="inlineStr">
        <is>
          <t>TX</t>
        </is>
      </c>
      <c r="K391" t="inlineStr">
        <is>
          <t>Fundwell</t>
        </is>
      </c>
      <c r="L391" t="inlineStr">
        <is>
          <t>New Deal</t>
        </is>
      </c>
      <c r="M391" s="298" t="n">
        <v>1.42</v>
      </c>
      <c r="N391" s="299" t="n">
        <v>75000</v>
      </c>
      <c r="O391" s="299" t="n">
        <v>10500</v>
      </c>
      <c r="P391" s="299" t="n">
        <v>106500</v>
      </c>
      <c r="Q391" s="299" t="n">
        <v>24370.99</v>
      </c>
      <c r="R391" s="299" t="n">
        <v>82129.00999999999</v>
      </c>
      <c r="S391" s="300" t="n">
        <v>0.22883558685446</v>
      </c>
      <c r="T391" t="n">
        <v>28</v>
      </c>
      <c r="U391" t="n">
        <v>6</v>
      </c>
      <c r="V391" t="n">
        <v>241551.35</v>
      </c>
      <c r="W391" s="300" t="n">
        <v>0.063</v>
      </c>
      <c r="X391" s="297" t="n">
        <v>39541</v>
      </c>
      <c r="Y391">
        <f>IF(I391="","No SIC",IFERROR(VLOOKUP(I391,Ref!$A$2:$B$65,2,FALSE),"Unclassified"))</f>
        <v/>
      </c>
      <c r="Z391">
        <f>IF(T391="","",IF(T391&lt;12,"Daily","Weekly"))</f>
        <v/>
      </c>
      <c r="AA391">
        <f>IF(T391="",0,IF(T391&lt;12,T391*Controls!$B$29,T391*5))</f>
        <v/>
      </c>
      <c r="AB391">
        <f>IF(E391="",0,NETWORKDAYS(E391,Controls!$B$36,Ref!$K$2:$K$42))</f>
        <v/>
      </c>
      <c r="AC391">
        <f>IF(AND(AA391&gt;0,AB391&gt;=Controls!$B$39*AA391),1,0)</f>
        <v/>
      </c>
      <c r="AD391">
        <f>IF(AND(E391&lt;&gt;"",E391&gt;=Controls!$B$37,E391&lt;=Controls!$B$38),1,0)</f>
        <v/>
      </c>
      <c r="AE391">
        <f>IF(IFERROR(VLOOKUP(D391,Controls!$A$64:$E$74,2,FALSE),"No")="Yes",1,0)</f>
        <v/>
      </c>
      <c r="AF391">
        <f>IF(IFERROR(VLOOKUP(D391,Controls!$A$64:$E$74,3,FALSE),"No")="Yes",1,0)</f>
        <v/>
      </c>
      <c r="AG391">
        <f>IF(IFERROR(VLOOKUP(D391,Controls!$A$64:$E$74,4,FALSE),"No")="Yes",1,0)</f>
        <v/>
      </c>
      <c r="AH391">
        <f>IF(IFERROR(VLOOKUP(D391,Controls!$A$64:$E$74,5,FALSE),"No")="Yes",1,0)</f>
        <v/>
      </c>
      <c r="AI391">
        <f>IF(ISNUMBER(MATCH(D391,Controls!$A$64:$A$74,0)),1,0)</f>
        <v/>
      </c>
      <c r="AJ391">
        <f>Q391-N391</f>
        <v/>
      </c>
      <c r="AK391">
        <f>IF(AE391=1,MAX(0,N391-Q391),0)</f>
        <v/>
      </c>
      <c r="AL391">
        <f>IF(OR(V391="",V391=0),0,N391/V391)</f>
        <v/>
      </c>
      <c r="AM391">
        <f>IF(OR(V391="",V391=0),0,1)</f>
        <v/>
      </c>
      <c r="AN391">
        <f>IF(OR(E391="",F391=""),0,NETWORKDAYS(E391,F391,Ref!$K$2:$K$42))</f>
        <v/>
      </c>
      <c r="AO391">
        <f>IF(L391="Renewal",1,0)</f>
        <v/>
      </c>
      <c r="AP391">
        <f>AC391*AD391</f>
        <v/>
      </c>
      <c r="AQ391">
        <f>IF(AND(G391&lt;&gt;"",'Historical Score'!$C$6&lt;&gt;""),IF(G391='Historical Score'!$C$6,1,0),0)</f>
        <v/>
      </c>
      <c r="AR391">
        <f>IF(AND(L391&lt;&gt;"",'Historical Score'!$C$5&lt;&gt;""),IF(L391='Historical Score'!$C$5,1,0),0)</f>
        <v/>
      </c>
      <c r="AS391">
        <f>IF(AND(Y391&lt;&gt;"",'Historical Score'!$C$7&lt;&gt;""),IF(Y391='Historical Score'!$C$7,1,0),0)</f>
        <v/>
      </c>
      <c r="AT391">
        <f>IF(AND(K391&lt;&gt;"",'Historical Score'!$C$8&lt;&gt;""),IF(K391='Historical Score'!$C$8,1,0),0)</f>
        <v/>
      </c>
      <c r="AU391">
        <f>IF(AND(J391&lt;&gt;"",'Historical Score'!$C$9&lt;&gt;""),IF(J391='Historical Score'!$C$9,1,0),0)</f>
        <v/>
      </c>
      <c r="AV391">
        <f>AR391*AS391*AQ391</f>
        <v/>
      </c>
      <c r="AW391">
        <f>AR391*AT391*AQ391</f>
        <v/>
      </c>
      <c r="AX391">
        <f>AR391*AS391</f>
        <v/>
      </c>
      <c r="AY391">
        <f>AR391*AT391</f>
        <v/>
      </c>
      <c r="AZ391">
        <f>AR391*AQ391</f>
        <v/>
      </c>
      <c r="BA391">
        <f>AR391</f>
        <v/>
      </c>
      <c r="BB391">
        <f>1</f>
        <v/>
      </c>
      <c r="BC391">
        <f>IF(AV391=1,1,IF(AW391=1,2,IF(AX391=1,3,IF(AY391=1,4,IF(AZ391=1,5,IF(BA391=1,6,7))))))</f>
        <v/>
      </c>
      <c r="BD391">
        <f>IF(AD391=1,CHOOSE('Historical Score'!$C$29,AV391,AW391,AX391,AY391,AZ391,BA391,BB391),0)</f>
        <v/>
      </c>
      <c r="BE391">
        <f>IF(BD391=1,COUNTIF($BD$2:BD391,1),"")</f>
        <v/>
      </c>
    </row>
    <row r="392">
      <c r="A392" t="inlineStr">
        <is>
          <t>5674172976</t>
        </is>
      </c>
      <c r="B392" t="inlineStr">
        <is>
          <t>SMASHBURGER, SMASHBURGER 1787, SMASHBURGER 1788</t>
        </is>
      </c>
      <c r="C392" t="inlineStr">
        <is>
          <t>C4 Enterprises, LLC</t>
        </is>
      </c>
      <c r="D392" t="inlineStr">
        <is>
          <t>Legal</t>
        </is>
      </c>
      <c r="E392" s="297" t="n">
        <v>45987</v>
      </c>
      <c r="F392" s="297" t="n">
        <v>46217</v>
      </c>
      <c r="G392" t="n">
        <v>1</v>
      </c>
      <c r="H392" t="inlineStr">
        <is>
          <t>5812</t>
        </is>
      </c>
      <c r="I392" t="inlineStr">
        <is>
          <t>58</t>
        </is>
      </c>
      <c r="J392" t="inlineStr">
        <is>
          <t>UT</t>
        </is>
      </c>
      <c r="K392" t="inlineStr">
        <is>
          <t>black flag funding</t>
        </is>
      </c>
      <c r="L392" t="inlineStr">
        <is>
          <t>New Deal</t>
        </is>
      </c>
      <c r="M392" s="298" t="n">
        <v>1.49</v>
      </c>
      <c r="N392" s="299" t="n">
        <v>30000</v>
      </c>
      <c r="O392" s="299" t="n">
        <v>4200</v>
      </c>
      <c r="P392" s="299" t="n">
        <v>44700</v>
      </c>
      <c r="Q392" s="299" t="n">
        <v>42051.4</v>
      </c>
      <c r="R392" s="299" t="n">
        <v>2648.6</v>
      </c>
      <c r="S392" s="300" t="n">
        <v>0.940747203579418</v>
      </c>
      <c r="T392" t="n">
        <v>3.934</v>
      </c>
      <c r="U392" t="n">
        <v>30</v>
      </c>
      <c r="V392" t="n">
        <v>180000</v>
      </c>
      <c r="W392" s="300" t="n">
        <v>0.0521</v>
      </c>
      <c r="X392" s="297" t="n">
        <v>45369</v>
      </c>
      <c r="Y392">
        <f>IF(I392="","No SIC",IFERROR(VLOOKUP(I392,Ref!$A$2:$B$65,2,FALSE),"Unclassified"))</f>
        <v/>
      </c>
      <c r="Z392">
        <f>IF(T392="","",IF(T392&lt;12,"Daily","Weekly"))</f>
        <v/>
      </c>
      <c r="AA392">
        <f>IF(T392="",0,IF(T392&lt;12,T392*Controls!$B$29,T392*5))</f>
        <v/>
      </c>
      <c r="AB392">
        <f>IF(E392="",0,NETWORKDAYS(E392,Controls!$B$36,Ref!$K$2:$K$42))</f>
        <v/>
      </c>
      <c r="AC392">
        <f>IF(AND(AA392&gt;0,AB392&gt;=Controls!$B$39*AA392),1,0)</f>
        <v/>
      </c>
      <c r="AD392">
        <f>IF(AND(E392&lt;&gt;"",E392&gt;=Controls!$B$37,E392&lt;=Controls!$B$38),1,0)</f>
        <v/>
      </c>
      <c r="AE392">
        <f>IF(IFERROR(VLOOKUP(D392,Controls!$A$64:$E$74,2,FALSE),"No")="Yes",1,0)</f>
        <v/>
      </c>
      <c r="AF392">
        <f>IF(IFERROR(VLOOKUP(D392,Controls!$A$64:$E$74,3,FALSE),"No")="Yes",1,0)</f>
        <v/>
      </c>
      <c r="AG392">
        <f>IF(IFERROR(VLOOKUP(D392,Controls!$A$64:$E$74,4,FALSE),"No")="Yes",1,0)</f>
        <v/>
      </c>
      <c r="AH392">
        <f>IF(IFERROR(VLOOKUP(D392,Controls!$A$64:$E$74,5,FALSE),"No")="Yes",1,0)</f>
        <v/>
      </c>
      <c r="AI392">
        <f>IF(ISNUMBER(MATCH(D392,Controls!$A$64:$A$74,0)),1,0)</f>
        <v/>
      </c>
      <c r="AJ392">
        <f>Q392-N392</f>
        <v/>
      </c>
      <c r="AK392">
        <f>IF(AE392=1,MAX(0,N392-Q392),0)</f>
        <v/>
      </c>
      <c r="AL392">
        <f>IF(OR(V392="",V392=0),0,N392/V392)</f>
        <v/>
      </c>
      <c r="AM392">
        <f>IF(OR(V392="",V392=0),0,1)</f>
        <v/>
      </c>
      <c r="AN392">
        <f>IF(OR(E392="",F392=""),0,NETWORKDAYS(E392,F392,Ref!$K$2:$K$42))</f>
        <v/>
      </c>
      <c r="AO392">
        <f>IF(L392="Renewal",1,0)</f>
        <v/>
      </c>
      <c r="AP392">
        <f>AC392*AD392</f>
        <v/>
      </c>
      <c r="AQ392">
        <f>IF(AND(G392&lt;&gt;"",'Historical Score'!$C$6&lt;&gt;""),IF(G392='Historical Score'!$C$6,1,0),0)</f>
        <v/>
      </c>
      <c r="AR392">
        <f>IF(AND(L392&lt;&gt;"",'Historical Score'!$C$5&lt;&gt;""),IF(L392='Historical Score'!$C$5,1,0),0)</f>
        <v/>
      </c>
      <c r="AS392">
        <f>IF(AND(Y392&lt;&gt;"",'Historical Score'!$C$7&lt;&gt;""),IF(Y392='Historical Score'!$C$7,1,0),0)</f>
        <v/>
      </c>
      <c r="AT392">
        <f>IF(AND(K392&lt;&gt;"",'Historical Score'!$C$8&lt;&gt;""),IF(K392='Historical Score'!$C$8,1,0),0)</f>
        <v/>
      </c>
      <c r="AU392">
        <f>IF(AND(J392&lt;&gt;"",'Historical Score'!$C$9&lt;&gt;""),IF(J392='Historical Score'!$C$9,1,0),0)</f>
        <v/>
      </c>
      <c r="AV392">
        <f>AR392*AS392*AQ392</f>
        <v/>
      </c>
      <c r="AW392">
        <f>AR392*AT392*AQ392</f>
        <v/>
      </c>
      <c r="AX392">
        <f>AR392*AS392</f>
        <v/>
      </c>
      <c r="AY392">
        <f>AR392*AT392</f>
        <v/>
      </c>
      <c r="AZ392">
        <f>AR392*AQ392</f>
        <v/>
      </c>
      <c r="BA392">
        <f>AR392</f>
        <v/>
      </c>
      <c r="BB392">
        <f>1</f>
        <v/>
      </c>
      <c r="BC392">
        <f>IF(AV392=1,1,IF(AW392=1,2,IF(AX392=1,3,IF(AY392=1,4,IF(AZ392=1,5,IF(BA392=1,6,7))))))</f>
        <v/>
      </c>
      <c r="BD392">
        <f>IF(AD392=1,CHOOSE('Historical Score'!$C$29,AV392,AW392,AX392,AY392,AZ392,BA392,BB392),0)</f>
        <v/>
      </c>
      <c r="BE392">
        <f>IF(BD392=1,COUNTIF($BD$2:BD392,1),"")</f>
        <v/>
      </c>
    </row>
    <row r="393">
      <c r="A393" t="inlineStr">
        <is>
          <t>5674173014</t>
        </is>
      </c>
      <c r="B393" t="inlineStr">
        <is>
          <t>Innovate Insurance Agency, Inc.</t>
        </is>
      </c>
      <c r="C393" t="inlineStr">
        <is>
          <t>Innovate Insurance Agency, Inc.</t>
        </is>
      </c>
      <c r="D393" t="inlineStr">
        <is>
          <t>Closed</t>
        </is>
      </c>
      <c r="E393" s="297" t="n">
        <v>45987</v>
      </c>
      <c r="F393" s="297" t="n">
        <v>46118</v>
      </c>
      <c r="G393" t="n">
        <v>2</v>
      </c>
      <c r="H393" t="inlineStr">
        <is>
          <t>6411</t>
        </is>
      </c>
      <c r="I393" t="inlineStr">
        <is>
          <t>64</t>
        </is>
      </c>
      <c r="J393" t="inlineStr">
        <is>
          <t>NJ</t>
        </is>
      </c>
      <c r="K393" t="inlineStr">
        <is>
          <t>Westwood</t>
        </is>
      </c>
      <c r="L393" t="inlineStr">
        <is>
          <t>New Deal</t>
        </is>
      </c>
      <c r="M393" s="298" t="n">
        <v>1.49</v>
      </c>
      <c r="N393" s="299" t="n">
        <v>22000</v>
      </c>
      <c r="O393" s="299" t="n">
        <v>3080</v>
      </c>
      <c r="P393" s="299" t="n">
        <v>32780</v>
      </c>
      <c r="Q393" s="299" t="n">
        <v>32780</v>
      </c>
      <c r="R393" s="299" t="n">
        <v>0</v>
      </c>
      <c r="S393" s="300" t="n">
        <v>1</v>
      </c>
      <c r="T393" t="n">
        <v>2.951</v>
      </c>
      <c r="U393" t="n">
        <v>19</v>
      </c>
      <c r="V393" t="n">
        <v>47795.52</v>
      </c>
      <c r="W393" s="300" t="n">
        <v>0.16</v>
      </c>
      <c r="X393" s="297" t="n">
        <v>43574</v>
      </c>
      <c r="Y393">
        <f>IF(I393="","No SIC",IFERROR(VLOOKUP(I393,Ref!$A$2:$B$65,2,FALSE),"Unclassified"))</f>
        <v/>
      </c>
      <c r="Z393">
        <f>IF(T393="","",IF(T393&lt;12,"Daily","Weekly"))</f>
        <v/>
      </c>
      <c r="AA393">
        <f>IF(T393="",0,IF(T393&lt;12,T393*Controls!$B$29,T393*5))</f>
        <v/>
      </c>
      <c r="AB393">
        <f>IF(E393="",0,NETWORKDAYS(E393,Controls!$B$36,Ref!$K$2:$K$42))</f>
        <v/>
      </c>
      <c r="AC393">
        <f>IF(AND(AA393&gt;0,AB393&gt;=Controls!$B$39*AA393),1,0)</f>
        <v/>
      </c>
      <c r="AD393">
        <f>IF(AND(E393&lt;&gt;"",E393&gt;=Controls!$B$37,E393&lt;=Controls!$B$38),1,0)</f>
        <v/>
      </c>
      <c r="AE393">
        <f>IF(IFERROR(VLOOKUP(D393,Controls!$A$64:$E$74,2,FALSE),"No")="Yes",1,0)</f>
        <v/>
      </c>
      <c r="AF393">
        <f>IF(IFERROR(VLOOKUP(D393,Controls!$A$64:$E$74,3,FALSE),"No")="Yes",1,0)</f>
        <v/>
      </c>
      <c r="AG393">
        <f>IF(IFERROR(VLOOKUP(D393,Controls!$A$64:$E$74,4,FALSE),"No")="Yes",1,0)</f>
        <v/>
      </c>
      <c r="AH393">
        <f>IF(IFERROR(VLOOKUP(D393,Controls!$A$64:$E$74,5,FALSE),"No")="Yes",1,0)</f>
        <v/>
      </c>
      <c r="AI393">
        <f>IF(ISNUMBER(MATCH(D393,Controls!$A$64:$A$74,0)),1,0)</f>
        <v/>
      </c>
      <c r="AJ393">
        <f>Q393-N393</f>
        <v/>
      </c>
      <c r="AK393">
        <f>IF(AE393=1,MAX(0,N393-Q393),0)</f>
        <v/>
      </c>
      <c r="AL393">
        <f>IF(OR(V393="",V393=0),0,N393/V393)</f>
        <v/>
      </c>
      <c r="AM393">
        <f>IF(OR(V393="",V393=0),0,1)</f>
        <v/>
      </c>
      <c r="AN393">
        <f>IF(OR(E393="",F393=""),0,NETWORKDAYS(E393,F393,Ref!$K$2:$K$42))</f>
        <v/>
      </c>
      <c r="AO393">
        <f>IF(L393="Renewal",1,0)</f>
        <v/>
      </c>
      <c r="AP393">
        <f>AC393*AD393</f>
        <v/>
      </c>
      <c r="AQ393">
        <f>IF(AND(G393&lt;&gt;"",'Historical Score'!$C$6&lt;&gt;""),IF(G393='Historical Score'!$C$6,1,0),0)</f>
        <v/>
      </c>
      <c r="AR393">
        <f>IF(AND(L393&lt;&gt;"",'Historical Score'!$C$5&lt;&gt;""),IF(L393='Historical Score'!$C$5,1,0),0)</f>
        <v/>
      </c>
      <c r="AS393">
        <f>IF(AND(Y393&lt;&gt;"",'Historical Score'!$C$7&lt;&gt;""),IF(Y393='Historical Score'!$C$7,1,0),0)</f>
        <v/>
      </c>
      <c r="AT393">
        <f>IF(AND(K393&lt;&gt;"",'Historical Score'!$C$8&lt;&gt;""),IF(K393='Historical Score'!$C$8,1,0),0)</f>
        <v/>
      </c>
      <c r="AU393">
        <f>IF(AND(J393&lt;&gt;"",'Historical Score'!$C$9&lt;&gt;""),IF(J393='Historical Score'!$C$9,1,0),0)</f>
        <v/>
      </c>
      <c r="AV393">
        <f>AR393*AS393*AQ393</f>
        <v/>
      </c>
      <c r="AW393">
        <f>AR393*AT393*AQ393</f>
        <v/>
      </c>
      <c r="AX393">
        <f>AR393*AS393</f>
        <v/>
      </c>
      <c r="AY393">
        <f>AR393*AT393</f>
        <v/>
      </c>
      <c r="AZ393">
        <f>AR393*AQ393</f>
        <v/>
      </c>
      <c r="BA393">
        <f>AR393</f>
        <v/>
      </c>
      <c r="BB393">
        <f>1</f>
        <v/>
      </c>
      <c r="BC393">
        <f>IF(AV393=1,1,IF(AW393=1,2,IF(AX393=1,3,IF(AY393=1,4,IF(AZ393=1,5,IF(BA393=1,6,7))))))</f>
        <v/>
      </c>
      <c r="BD393">
        <f>IF(AD393=1,CHOOSE('Historical Score'!$C$29,AV393,AW393,AX393,AY393,AZ393,BA393,BB393),0)</f>
        <v/>
      </c>
      <c r="BE393">
        <f>IF(BD393=1,COUNTIF($BD$2:BD393,1),"")</f>
        <v/>
      </c>
    </row>
    <row r="394">
      <c r="A394" t="inlineStr">
        <is>
          <t>5674173041</t>
        </is>
      </c>
      <c r="B394" t="inlineStr">
        <is>
          <t>Firehouse Pizza</t>
        </is>
      </c>
      <c r="C394" t="inlineStr">
        <is>
          <t>Osvan Inc.</t>
        </is>
      </c>
      <c r="D394" t="inlineStr">
        <is>
          <t>Closed</t>
        </is>
      </c>
      <c r="E394" s="297" t="n">
        <v>45989</v>
      </c>
      <c r="F394" s="297" t="n">
        <v>46134</v>
      </c>
      <c r="G394" t="n">
        <v>3</v>
      </c>
      <c r="H394" t="inlineStr">
        <is>
          <t>5812</t>
        </is>
      </c>
      <c r="I394" t="inlineStr">
        <is>
          <t>58</t>
        </is>
      </c>
      <c r="J394" t="inlineStr">
        <is>
          <t>TX</t>
        </is>
      </c>
      <c r="K394" t="inlineStr">
        <is>
          <t>GREYSTONE</t>
        </is>
      </c>
      <c r="L394" t="inlineStr">
        <is>
          <t>New Deal</t>
        </is>
      </c>
      <c r="M394" s="298" t="n">
        <v>1.49</v>
      </c>
      <c r="N394" s="299" t="n">
        <v>8500</v>
      </c>
      <c r="O394" s="299" t="n">
        <v>1190</v>
      </c>
      <c r="P394" s="299" t="n">
        <v>12665</v>
      </c>
      <c r="Q394" s="299" t="n">
        <v>12665</v>
      </c>
      <c r="R394" s="299" t="n">
        <v>0</v>
      </c>
      <c r="S394" s="300" t="n">
        <v>1</v>
      </c>
      <c r="T394" t="n">
        <v>3.279</v>
      </c>
      <c r="U394" t="n">
        <v>0</v>
      </c>
      <c r="V394" t="n">
        <v>37309.67</v>
      </c>
      <c r="W394" s="300" t="n">
        <v>0.0713</v>
      </c>
      <c r="X394" s="297" t="n">
        <v>38473</v>
      </c>
      <c r="Y394">
        <f>IF(I394="","No SIC",IFERROR(VLOOKUP(I394,Ref!$A$2:$B$65,2,FALSE),"Unclassified"))</f>
        <v/>
      </c>
      <c r="Z394">
        <f>IF(T394="","",IF(T394&lt;12,"Daily","Weekly"))</f>
        <v/>
      </c>
      <c r="AA394">
        <f>IF(T394="",0,IF(T394&lt;12,T394*Controls!$B$29,T394*5))</f>
        <v/>
      </c>
      <c r="AB394">
        <f>IF(E394="",0,NETWORKDAYS(E394,Controls!$B$36,Ref!$K$2:$K$42))</f>
        <v/>
      </c>
      <c r="AC394">
        <f>IF(AND(AA394&gt;0,AB394&gt;=Controls!$B$39*AA394),1,0)</f>
        <v/>
      </c>
      <c r="AD394">
        <f>IF(AND(E394&lt;&gt;"",E394&gt;=Controls!$B$37,E394&lt;=Controls!$B$38),1,0)</f>
        <v/>
      </c>
      <c r="AE394">
        <f>IF(IFERROR(VLOOKUP(D394,Controls!$A$64:$E$74,2,FALSE),"No")="Yes",1,0)</f>
        <v/>
      </c>
      <c r="AF394">
        <f>IF(IFERROR(VLOOKUP(D394,Controls!$A$64:$E$74,3,FALSE),"No")="Yes",1,0)</f>
        <v/>
      </c>
      <c r="AG394">
        <f>IF(IFERROR(VLOOKUP(D394,Controls!$A$64:$E$74,4,FALSE),"No")="Yes",1,0)</f>
        <v/>
      </c>
      <c r="AH394">
        <f>IF(IFERROR(VLOOKUP(D394,Controls!$A$64:$E$74,5,FALSE),"No")="Yes",1,0)</f>
        <v/>
      </c>
      <c r="AI394">
        <f>IF(ISNUMBER(MATCH(D394,Controls!$A$64:$A$74,0)),1,0)</f>
        <v/>
      </c>
      <c r="AJ394">
        <f>Q394-N394</f>
        <v/>
      </c>
      <c r="AK394">
        <f>IF(AE394=1,MAX(0,N394-Q394),0)</f>
        <v/>
      </c>
      <c r="AL394">
        <f>IF(OR(V394="",V394=0),0,N394/V394)</f>
        <v/>
      </c>
      <c r="AM394">
        <f>IF(OR(V394="",V394=0),0,1)</f>
        <v/>
      </c>
      <c r="AN394">
        <f>IF(OR(E394="",F394=""),0,NETWORKDAYS(E394,F394,Ref!$K$2:$K$42))</f>
        <v/>
      </c>
      <c r="AO394">
        <f>IF(L394="Renewal",1,0)</f>
        <v/>
      </c>
      <c r="AP394">
        <f>AC394*AD394</f>
        <v/>
      </c>
      <c r="AQ394">
        <f>IF(AND(G394&lt;&gt;"",'Historical Score'!$C$6&lt;&gt;""),IF(G394='Historical Score'!$C$6,1,0),0)</f>
        <v/>
      </c>
      <c r="AR394">
        <f>IF(AND(L394&lt;&gt;"",'Historical Score'!$C$5&lt;&gt;""),IF(L394='Historical Score'!$C$5,1,0),0)</f>
        <v/>
      </c>
      <c r="AS394">
        <f>IF(AND(Y394&lt;&gt;"",'Historical Score'!$C$7&lt;&gt;""),IF(Y394='Historical Score'!$C$7,1,0),0)</f>
        <v/>
      </c>
      <c r="AT394">
        <f>IF(AND(K394&lt;&gt;"",'Historical Score'!$C$8&lt;&gt;""),IF(K394='Historical Score'!$C$8,1,0),0)</f>
        <v/>
      </c>
      <c r="AU394">
        <f>IF(AND(J394&lt;&gt;"",'Historical Score'!$C$9&lt;&gt;""),IF(J394='Historical Score'!$C$9,1,0),0)</f>
        <v/>
      </c>
      <c r="AV394">
        <f>AR394*AS394*AQ394</f>
        <v/>
      </c>
      <c r="AW394">
        <f>AR394*AT394*AQ394</f>
        <v/>
      </c>
      <c r="AX394">
        <f>AR394*AS394</f>
        <v/>
      </c>
      <c r="AY394">
        <f>AR394*AT394</f>
        <v/>
      </c>
      <c r="AZ394">
        <f>AR394*AQ394</f>
        <v/>
      </c>
      <c r="BA394">
        <f>AR394</f>
        <v/>
      </c>
      <c r="BB394">
        <f>1</f>
        <v/>
      </c>
      <c r="BC394">
        <f>IF(AV394=1,1,IF(AW394=1,2,IF(AX394=1,3,IF(AY394=1,4,IF(AZ394=1,5,IF(BA394=1,6,7))))))</f>
        <v/>
      </c>
      <c r="BD394">
        <f>IF(AD394=1,CHOOSE('Historical Score'!$C$29,AV394,AW394,AX394,AY394,AZ394,BA394,BB394),0)</f>
        <v/>
      </c>
      <c r="BE394">
        <f>IF(BD394=1,COUNTIF($BD$2:BD394,1),"")</f>
        <v/>
      </c>
    </row>
    <row r="395">
      <c r="A395" t="inlineStr">
        <is>
          <t>5674173055</t>
        </is>
      </c>
      <c r="B395" t="inlineStr">
        <is>
          <t>PRESTIGE CARE PLLC</t>
        </is>
      </c>
      <c r="C395" t="inlineStr">
        <is>
          <t>PRESTIGE CARE PLLC</t>
        </is>
      </c>
      <c r="D395" t="inlineStr">
        <is>
          <t>Closed</t>
        </is>
      </c>
      <c r="E395" s="297" t="n">
        <v>45989</v>
      </c>
      <c r="F395" s="297" t="n">
        <v>46077</v>
      </c>
      <c r="G395" t="n">
        <v>6</v>
      </c>
      <c r="H395" t="inlineStr">
        <is>
          <t>8011</t>
        </is>
      </c>
      <c r="I395" t="inlineStr">
        <is>
          <t>80</t>
        </is>
      </c>
      <c r="J395" t="inlineStr">
        <is>
          <t>AZ</t>
        </is>
      </c>
      <c r="K395" t="inlineStr">
        <is>
          <t>United Secured Capital 8</t>
        </is>
      </c>
      <c r="L395" t="inlineStr">
        <is>
          <t>New Deal</t>
        </is>
      </c>
      <c r="M395" s="298" t="n">
        <v>1.49</v>
      </c>
      <c r="N395" s="299" t="n">
        <v>25000</v>
      </c>
      <c r="O395" s="299" t="n">
        <v>3500</v>
      </c>
      <c r="P395" s="299" t="n">
        <v>37250</v>
      </c>
      <c r="Q395" s="299" t="n">
        <v>37250</v>
      </c>
      <c r="R395" s="299" t="n">
        <v>0</v>
      </c>
      <c r="S395" s="300" t="n">
        <v>1</v>
      </c>
      <c r="T395" t="n">
        <v>2.951</v>
      </c>
      <c r="U395" t="n">
        <v>12</v>
      </c>
      <c r="V395" t="n">
        <v>123266.6</v>
      </c>
      <c r="W395" s="300" t="n">
        <v>0.107</v>
      </c>
      <c r="X395" s="297" t="n">
        <v>45989</v>
      </c>
      <c r="Y395">
        <f>IF(I395="","No SIC",IFERROR(VLOOKUP(I395,Ref!$A$2:$B$65,2,FALSE),"Unclassified"))</f>
        <v/>
      </c>
      <c r="Z395">
        <f>IF(T395="","",IF(T395&lt;12,"Daily","Weekly"))</f>
        <v/>
      </c>
      <c r="AA395">
        <f>IF(T395="",0,IF(T395&lt;12,T395*Controls!$B$29,T395*5))</f>
        <v/>
      </c>
      <c r="AB395">
        <f>IF(E395="",0,NETWORKDAYS(E395,Controls!$B$36,Ref!$K$2:$K$42))</f>
        <v/>
      </c>
      <c r="AC395">
        <f>IF(AND(AA395&gt;0,AB395&gt;=Controls!$B$39*AA395),1,0)</f>
        <v/>
      </c>
      <c r="AD395">
        <f>IF(AND(E395&lt;&gt;"",E395&gt;=Controls!$B$37,E395&lt;=Controls!$B$38),1,0)</f>
        <v/>
      </c>
      <c r="AE395">
        <f>IF(IFERROR(VLOOKUP(D395,Controls!$A$64:$E$74,2,FALSE),"No")="Yes",1,0)</f>
        <v/>
      </c>
      <c r="AF395">
        <f>IF(IFERROR(VLOOKUP(D395,Controls!$A$64:$E$74,3,FALSE),"No")="Yes",1,0)</f>
        <v/>
      </c>
      <c r="AG395">
        <f>IF(IFERROR(VLOOKUP(D395,Controls!$A$64:$E$74,4,FALSE),"No")="Yes",1,0)</f>
        <v/>
      </c>
      <c r="AH395">
        <f>IF(IFERROR(VLOOKUP(D395,Controls!$A$64:$E$74,5,FALSE),"No")="Yes",1,0)</f>
        <v/>
      </c>
      <c r="AI395">
        <f>IF(ISNUMBER(MATCH(D395,Controls!$A$64:$A$74,0)),1,0)</f>
        <v/>
      </c>
      <c r="AJ395">
        <f>Q395-N395</f>
        <v/>
      </c>
      <c r="AK395">
        <f>IF(AE395=1,MAX(0,N395-Q395),0)</f>
        <v/>
      </c>
      <c r="AL395">
        <f>IF(OR(V395="",V395=0),0,N395/V395)</f>
        <v/>
      </c>
      <c r="AM395">
        <f>IF(OR(V395="",V395=0),0,1)</f>
        <v/>
      </c>
      <c r="AN395">
        <f>IF(OR(E395="",F395=""),0,NETWORKDAYS(E395,F395,Ref!$K$2:$K$42))</f>
        <v/>
      </c>
      <c r="AO395">
        <f>IF(L395="Renewal",1,0)</f>
        <v/>
      </c>
      <c r="AP395">
        <f>AC395*AD395</f>
        <v/>
      </c>
      <c r="AQ395">
        <f>IF(AND(G395&lt;&gt;"",'Historical Score'!$C$6&lt;&gt;""),IF(G395='Historical Score'!$C$6,1,0),0)</f>
        <v/>
      </c>
      <c r="AR395">
        <f>IF(AND(L395&lt;&gt;"",'Historical Score'!$C$5&lt;&gt;""),IF(L395='Historical Score'!$C$5,1,0),0)</f>
        <v/>
      </c>
      <c r="AS395">
        <f>IF(AND(Y395&lt;&gt;"",'Historical Score'!$C$7&lt;&gt;""),IF(Y395='Historical Score'!$C$7,1,0),0)</f>
        <v/>
      </c>
      <c r="AT395">
        <f>IF(AND(K395&lt;&gt;"",'Historical Score'!$C$8&lt;&gt;""),IF(K395='Historical Score'!$C$8,1,0),0)</f>
        <v/>
      </c>
      <c r="AU395">
        <f>IF(AND(J395&lt;&gt;"",'Historical Score'!$C$9&lt;&gt;""),IF(J395='Historical Score'!$C$9,1,0),0)</f>
        <v/>
      </c>
      <c r="AV395">
        <f>AR395*AS395*AQ395</f>
        <v/>
      </c>
      <c r="AW395">
        <f>AR395*AT395*AQ395</f>
        <v/>
      </c>
      <c r="AX395">
        <f>AR395*AS395</f>
        <v/>
      </c>
      <c r="AY395">
        <f>AR395*AT395</f>
        <v/>
      </c>
      <c r="AZ395">
        <f>AR395*AQ395</f>
        <v/>
      </c>
      <c r="BA395">
        <f>AR395</f>
        <v/>
      </c>
      <c r="BB395">
        <f>1</f>
        <v/>
      </c>
      <c r="BC395">
        <f>IF(AV395=1,1,IF(AW395=1,2,IF(AX395=1,3,IF(AY395=1,4,IF(AZ395=1,5,IF(BA395=1,6,7))))))</f>
        <v/>
      </c>
      <c r="BD395">
        <f>IF(AD395=1,CHOOSE('Historical Score'!$C$29,AV395,AW395,AX395,AY395,AZ395,BA395,BB395),0)</f>
        <v/>
      </c>
      <c r="BE395">
        <f>IF(BD395=1,COUNTIF($BD$2:BD395,1),"")</f>
        <v/>
      </c>
    </row>
    <row r="396">
      <c r="A396" t="inlineStr">
        <is>
          <t>5674173101</t>
        </is>
      </c>
      <c r="B396" t="inlineStr">
        <is>
          <t>Oscar Mike Security</t>
        </is>
      </c>
      <c r="C396" t="inlineStr">
        <is>
          <t>Oscar Mike Security</t>
        </is>
      </c>
      <c r="D396" t="inlineStr">
        <is>
          <t>Closed</t>
        </is>
      </c>
      <c r="E396" s="297" t="n">
        <v>45992</v>
      </c>
      <c r="F396" s="297" t="n">
        <v>46129</v>
      </c>
      <c r="G396" t="n">
        <v>3</v>
      </c>
      <c r="H396" t="inlineStr">
        <is>
          <t>7382</t>
        </is>
      </c>
      <c r="I396" t="inlineStr">
        <is>
          <t>73</t>
        </is>
      </c>
      <c r="J396" t="inlineStr">
        <is>
          <t>TX</t>
        </is>
      </c>
      <c r="K396" t="inlineStr">
        <is>
          <t>National Business Capital</t>
        </is>
      </c>
      <c r="L396" t="inlineStr">
        <is>
          <t>New Deal</t>
        </is>
      </c>
      <c r="M396" s="298" t="n">
        <v>1.49</v>
      </c>
      <c r="N396" s="299" t="n">
        <v>10000</v>
      </c>
      <c r="O396" s="299" t="n">
        <v>1400</v>
      </c>
      <c r="P396" s="299" t="n">
        <v>14900</v>
      </c>
      <c r="Q396" s="299" t="n">
        <v>14900</v>
      </c>
      <c r="R396" s="299" t="n">
        <v>0</v>
      </c>
      <c r="S396" s="300" t="n">
        <v>1</v>
      </c>
      <c r="T396" t="n">
        <v>20</v>
      </c>
      <c r="U396" t="n">
        <v>0</v>
      </c>
      <c r="V396" t="n">
        <v>83502.16</v>
      </c>
      <c r="W396" s="300" t="n">
        <v>0.0357</v>
      </c>
      <c r="X396" s="297" t="n"/>
      <c r="Y396">
        <f>IF(I396="","No SIC",IFERROR(VLOOKUP(I396,Ref!$A$2:$B$65,2,FALSE),"Unclassified"))</f>
        <v/>
      </c>
      <c r="Z396">
        <f>IF(T396="","",IF(T396&lt;12,"Daily","Weekly"))</f>
        <v/>
      </c>
      <c r="AA396">
        <f>IF(T396="",0,IF(T396&lt;12,T396*Controls!$B$29,T396*5))</f>
        <v/>
      </c>
      <c r="AB396">
        <f>IF(E396="",0,NETWORKDAYS(E396,Controls!$B$36,Ref!$K$2:$K$42))</f>
        <v/>
      </c>
      <c r="AC396">
        <f>IF(AND(AA396&gt;0,AB396&gt;=Controls!$B$39*AA396),1,0)</f>
        <v/>
      </c>
      <c r="AD396">
        <f>IF(AND(E396&lt;&gt;"",E396&gt;=Controls!$B$37,E396&lt;=Controls!$B$38),1,0)</f>
        <v/>
      </c>
      <c r="AE396">
        <f>IF(IFERROR(VLOOKUP(D396,Controls!$A$64:$E$74,2,FALSE),"No")="Yes",1,0)</f>
        <v/>
      </c>
      <c r="AF396">
        <f>IF(IFERROR(VLOOKUP(D396,Controls!$A$64:$E$74,3,FALSE),"No")="Yes",1,0)</f>
        <v/>
      </c>
      <c r="AG396">
        <f>IF(IFERROR(VLOOKUP(D396,Controls!$A$64:$E$74,4,FALSE),"No")="Yes",1,0)</f>
        <v/>
      </c>
      <c r="AH396">
        <f>IF(IFERROR(VLOOKUP(D396,Controls!$A$64:$E$74,5,FALSE),"No")="Yes",1,0)</f>
        <v/>
      </c>
      <c r="AI396">
        <f>IF(ISNUMBER(MATCH(D396,Controls!$A$64:$A$74,0)),1,0)</f>
        <v/>
      </c>
      <c r="AJ396">
        <f>Q396-N396</f>
        <v/>
      </c>
      <c r="AK396">
        <f>IF(AE396=1,MAX(0,N396-Q396),0)</f>
        <v/>
      </c>
      <c r="AL396">
        <f>IF(OR(V396="",V396=0),0,N396/V396)</f>
        <v/>
      </c>
      <c r="AM396">
        <f>IF(OR(V396="",V396=0),0,1)</f>
        <v/>
      </c>
      <c r="AN396">
        <f>IF(OR(E396="",F396=""),0,NETWORKDAYS(E396,F396,Ref!$K$2:$K$42))</f>
        <v/>
      </c>
      <c r="AO396">
        <f>IF(L396="Renewal",1,0)</f>
        <v/>
      </c>
      <c r="AP396">
        <f>AC396*AD396</f>
        <v/>
      </c>
      <c r="AQ396">
        <f>IF(AND(G396&lt;&gt;"",'Historical Score'!$C$6&lt;&gt;""),IF(G396='Historical Score'!$C$6,1,0),0)</f>
        <v/>
      </c>
      <c r="AR396">
        <f>IF(AND(L396&lt;&gt;"",'Historical Score'!$C$5&lt;&gt;""),IF(L396='Historical Score'!$C$5,1,0),0)</f>
        <v/>
      </c>
      <c r="AS396">
        <f>IF(AND(Y396&lt;&gt;"",'Historical Score'!$C$7&lt;&gt;""),IF(Y396='Historical Score'!$C$7,1,0),0)</f>
        <v/>
      </c>
      <c r="AT396">
        <f>IF(AND(K396&lt;&gt;"",'Historical Score'!$C$8&lt;&gt;""),IF(K396='Historical Score'!$C$8,1,0),0)</f>
        <v/>
      </c>
      <c r="AU396">
        <f>IF(AND(J396&lt;&gt;"",'Historical Score'!$C$9&lt;&gt;""),IF(J396='Historical Score'!$C$9,1,0),0)</f>
        <v/>
      </c>
      <c r="AV396">
        <f>AR396*AS396*AQ396</f>
        <v/>
      </c>
      <c r="AW396">
        <f>AR396*AT396*AQ396</f>
        <v/>
      </c>
      <c r="AX396">
        <f>AR396*AS396</f>
        <v/>
      </c>
      <c r="AY396">
        <f>AR396*AT396</f>
        <v/>
      </c>
      <c r="AZ396">
        <f>AR396*AQ396</f>
        <v/>
      </c>
      <c r="BA396">
        <f>AR396</f>
        <v/>
      </c>
      <c r="BB396">
        <f>1</f>
        <v/>
      </c>
      <c r="BC396">
        <f>IF(AV396=1,1,IF(AW396=1,2,IF(AX396=1,3,IF(AY396=1,4,IF(AZ396=1,5,IF(BA396=1,6,7))))))</f>
        <v/>
      </c>
      <c r="BD396">
        <f>IF(AD396=1,CHOOSE('Historical Score'!$C$29,AV396,AW396,AX396,AY396,AZ396,BA396,BB396),0)</f>
        <v/>
      </c>
      <c r="BE396">
        <f>IF(BD396=1,COUNTIF($BD$2:BD396,1),"")</f>
        <v/>
      </c>
    </row>
    <row r="397">
      <c r="A397" t="inlineStr">
        <is>
          <t>5674173153</t>
        </is>
      </c>
      <c r="B397" t="inlineStr">
        <is>
          <t>Solution Auto Center LLC</t>
        </is>
      </c>
      <c r="C397" t="inlineStr">
        <is>
          <t>Solution Auto Center LLC</t>
        </is>
      </c>
      <c r="D397" t="inlineStr">
        <is>
          <t>Closed</t>
        </is>
      </c>
      <c r="E397" s="297" t="n">
        <v>45992</v>
      </c>
      <c r="F397" s="297" t="n">
        <v>46136</v>
      </c>
      <c r="G397" t="n">
        <v>2</v>
      </c>
      <c r="H397" t="inlineStr">
        <is>
          <t>7538</t>
        </is>
      </c>
      <c r="I397" t="inlineStr">
        <is>
          <t>75</t>
        </is>
      </c>
      <c r="J397" t="inlineStr">
        <is>
          <t>CA</t>
        </is>
      </c>
      <c r="K397" t="inlineStr">
        <is>
          <t>ROK</t>
        </is>
      </c>
      <c r="L397" t="inlineStr">
        <is>
          <t>New Deal</t>
        </is>
      </c>
      <c r="M397" s="298" t="n">
        <v>1.39</v>
      </c>
      <c r="N397" s="299" t="n">
        <v>10000</v>
      </c>
      <c r="O397" s="299" t="n">
        <v>900</v>
      </c>
      <c r="P397" s="299" t="n">
        <v>13900</v>
      </c>
      <c r="Q397" s="299" t="n">
        <v>13900</v>
      </c>
      <c r="R397" s="299" t="n">
        <v>-1.81898940354586e-12</v>
      </c>
      <c r="S397" s="300" t="n">
        <v>1</v>
      </c>
      <c r="T397" t="n">
        <v>20</v>
      </c>
      <c r="U397" t="n">
        <v>0</v>
      </c>
      <c r="V397" t="n">
        <v>29347.75</v>
      </c>
      <c r="W397" s="300" t="n">
        <v>0.09470000000000001</v>
      </c>
      <c r="X397" s="297" t="n">
        <v>45047</v>
      </c>
      <c r="Y397">
        <f>IF(I397="","No SIC",IFERROR(VLOOKUP(I397,Ref!$A$2:$B$65,2,FALSE),"Unclassified"))</f>
        <v/>
      </c>
      <c r="Z397">
        <f>IF(T397="","",IF(T397&lt;12,"Daily","Weekly"))</f>
        <v/>
      </c>
      <c r="AA397">
        <f>IF(T397="",0,IF(T397&lt;12,T397*Controls!$B$29,T397*5))</f>
        <v/>
      </c>
      <c r="AB397">
        <f>IF(E397="",0,NETWORKDAYS(E397,Controls!$B$36,Ref!$K$2:$K$42))</f>
        <v/>
      </c>
      <c r="AC397">
        <f>IF(AND(AA397&gt;0,AB397&gt;=Controls!$B$39*AA397),1,0)</f>
        <v/>
      </c>
      <c r="AD397">
        <f>IF(AND(E397&lt;&gt;"",E397&gt;=Controls!$B$37,E397&lt;=Controls!$B$38),1,0)</f>
        <v/>
      </c>
      <c r="AE397">
        <f>IF(IFERROR(VLOOKUP(D397,Controls!$A$64:$E$74,2,FALSE),"No")="Yes",1,0)</f>
        <v/>
      </c>
      <c r="AF397">
        <f>IF(IFERROR(VLOOKUP(D397,Controls!$A$64:$E$74,3,FALSE),"No")="Yes",1,0)</f>
        <v/>
      </c>
      <c r="AG397">
        <f>IF(IFERROR(VLOOKUP(D397,Controls!$A$64:$E$74,4,FALSE),"No")="Yes",1,0)</f>
        <v/>
      </c>
      <c r="AH397">
        <f>IF(IFERROR(VLOOKUP(D397,Controls!$A$64:$E$74,5,FALSE),"No")="Yes",1,0)</f>
        <v/>
      </c>
      <c r="AI397">
        <f>IF(ISNUMBER(MATCH(D397,Controls!$A$64:$A$74,0)),1,0)</f>
        <v/>
      </c>
      <c r="AJ397">
        <f>Q397-N397</f>
        <v/>
      </c>
      <c r="AK397">
        <f>IF(AE397=1,MAX(0,N397-Q397),0)</f>
        <v/>
      </c>
      <c r="AL397">
        <f>IF(OR(V397="",V397=0),0,N397/V397)</f>
        <v/>
      </c>
      <c r="AM397">
        <f>IF(OR(V397="",V397=0),0,1)</f>
        <v/>
      </c>
      <c r="AN397">
        <f>IF(OR(E397="",F397=""),0,NETWORKDAYS(E397,F397,Ref!$K$2:$K$42))</f>
        <v/>
      </c>
      <c r="AO397">
        <f>IF(L397="Renewal",1,0)</f>
        <v/>
      </c>
      <c r="AP397">
        <f>AC397*AD397</f>
        <v/>
      </c>
      <c r="AQ397">
        <f>IF(AND(G397&lt;&gt;"",'Historical Score'!$C$6&lt;&gt;""),IF(G397='Historical Score'!$C$6,1,0),0)</f>
        <v/>
      </c>
      <c r="AR397">
        <f>IF(AND(L397&lt;&gt;"",'Historical Score'!$C$5&lt;&gt;""),IF(L397='Historical Score'!$C$5,1,0),0)</f>
        <v/>
      </c>
      <c r="AS397">
        <f>IF(AND(Y397&lt;&gt;"",'Historical Score'!$C$7&lt;&gt;""),IF(Y397='Historical Score'!$C$7,1,0),0)</f>
        <v/>
      </c>
      <c r="AT397">
        <f>IF(AND(K397&lt;&gt;"",'Historical Score'!$C$8&lt;&gt;""),IF(K397='Historical Score'!$C$8,1,0),0)</f>
        <v/>
      </c>
      <c r="AU397">
        <f>IF(AND(J397&lt;&gt;"",'Historical Score'!$C$9&lt;&gt;""),IF(J397='Historical Score'!$C$9,1,0),0)</f>
        <v/>
      </c>
      <c r="AV397">
        <f>AR397*AS397*AQ397</f>
        <v/>
      </c>
      <c r="AW397">
        <f>AR397*AT397*AQ397</f>
        <v/>
      </c>
      <c r="AX397">
        <f>AR397*AS397</f>
        <v/>
      </c>
      <c r="AY397">
        <f>AR397*AT397</f>
        <v/>
      </c>
      <c r="AZ397">
        <f>AR397*AQ397</f>
        <v/>
      </c>
      <c r="BA397">
        <f>AR397</f>
        <v/>
      </c>
      <c r="BB397">
        <f>1</f>
        <v/>
      </c>
      <c r="BC397">
        <f>IF(AV397=1,1,IF(AW397=1,2,IF(AX397=1,3,IF(AY397=1,4,IF(AZ397=1,5,IF(BA397=1,6,7))))))</f>
        <v/>
      </c>
      <c r="BD397">
        <f>IF(AD397=1,CHOOSE('Historical Score'!$C$29,AV397,AW397,AX397,AY397,AZ397,BA397,BB397),0)</f>
        <v/>
      </c>
      <c r="BE397">
        <f>IF(BD397=1,COUNTIF($BD$2:BD397,1),"")</f>
        <v/>
      </c>
    </row>
    <row r="398">
      <c r="A398" t="inlineStr">
        <is>
          <t>5674173197</t>
        </is>
      </c>
      <c r="B398" t="inlineStr">
        <is>
          <t>PARK HEAVY HAUL LLC</t>
        </is>
      </c>
      <c r="C398" t="inlineStr">
        <is>
          <t>PARK HEAVY HAUL LLC</t>
        </is>
      </c>
      <c r="D398" t="inlineStr">
        <is>
          <t>Closed</t>
        </is>
      </c>
      <c r="E398" s="297" t="n">
        <v>45993</v>
      </c>
      <c r="F398" s="297" t="n">
        <v>46093</v>
      </c>
      <c r="G398" t="n">
        <v>6</v>
      </c>
      <c r="H398" t="inlineStr">
        <is>
          <t>4212</t>
        </is>
      </c>
      <c r="I398" t="inlineStr">
        <is>
          <t>42</t>
        </is>
      </c>
      <c r="J398" t="inlineStr">
        <is>
          <t>CO</t>
        </is>
      </c>
      <c r="K398" t="inlineStr">
        <is>
          <t>Secure Capital Solutions 7</t>
        </is>
      </c>
      <c r="L398" t="inlineStr">
        <is>
          <t>New Deal</t>
        </is>
      </c>
      <c r="M398" s="298" t="n">
        <v>1.49</v>
      </c>
      <c r="N398" s="299" t="n">
        <v>30000</v>
      </c>
      <c r="O398" s="299" t="n">
        <v>4200</v>
      </c>
      <c r="P398" s="299" t="n">
        <v>44700</v>
      </c>
      <c r="Q398" s="299" t="n">
        <v>44700</v>
      </c>
      <c r="R398" s="299" t="n">
        <v>0</v>
      </c>
      <c r="S398" s="300" t="n">
        <v>1</v>
      </c>
      <c r="T398" t="n">
        <v>18</v>
      </c>
      <c r="U398" t="n">
        <v>1</v>
      </c>
      <c r="V398" t="n">
        <v>380215.95</v>
      </c>
      <c r="W398" s="300" t="n">
        <v>0.0261</v>
      </c>
      <c r="X398" s="297" t="n">
        <v>45227</v>
      </c>
      <c r="Y398">
        <f>IF(I398="","No SIC",IFERROR(VLOOKUP(I398,Ref!$A$2:$B$65,2,FALSE),"Unclassified"))</f>
        <v/>
      </c>
      <c r="Z398">
        <f>IF(T398="","",IF(T398&lt;12,"Daily","Weekly"))</f>
        <v/>
      </c>
      <c r="AA398">
        <f>IF(T398="",0,IF(T398&lt;12,T398*Controls!$B$29,T398*5))</f>
        <v/>
      </c>
      <c r="AB398">
        <f>IF(E398="",0,NETWORKDAYS(E398,Controls!$B$36,Ref!$K$2:$K$42))</f>
        <v/>
      </c>
      <c r="AC398">
        <f>IF(AND(AA398&gt;0,AB398&gt;=Controls!$B$39*AA398),1,0)</f>
        <v/>
      </c>
      <c r="AD398">
        <f>IF(AND(E398&lt;&gt;"",E398&gt;=Controls!$B$37,E398&lt;=Controls!$B$38),1,0)</f>
        <v/>
      </c>
      <c r="AE398">
        <f>IF(IFERROR(VLOOKUP(D398,Controls!$A$64:$E$74,2,FALSE),"No")="Yes",1,0)</f>
        <v/>
      </c>
      <c r="AF398">
        <f>IF(IFERROR(VLOOKUP(D398,Controls!$A$64:$E$74,3,FALSE),"No")="Yes",1,0)</f>
        <v/>
      </c>
      <c r="AG398">
        <f>IF(IFERROR(VLOOKUP(D398,Controls!$A$64:$E$74,4,FALSE),"No")="Yes",1,0)</f>
        <v/>
      </c>
      <c r="AH398">
        <f>IF(IFERROR(VLOOKUP(D398,Controls!$A$64:$E$74,5,FALSE),"No")="Yes",1,0)</f>
        <v/>
      </c>
      <c r="AI398">
        <f>IF(ISNUMBER(MATCH(D398,Controls!$A$64:$A$74,0)),1,0)</f>
        <v/>
      </c>
      <c r="AJ398">
        <f>Q398-N398</f>
        <v/>
      </c>
      <c r="AK398">
        <f>IF(AE398=1,MAX(0,N398-Q398),0)</f>
        <v/>
      </c>
      <c r="AL398">
        <f>IF(OR(V398="",V398=0),0,N398/V398)</f>
        <v/>
      </c>
      <c r="AM398">
        <f>IF(OR(V398="",V398=0),0,1)</f>
        <v/>
      </c>
      <c r="AN398">
        <f>IF(OR(E398="",F398=""),0,NETWORKDAYS(E398,F398,Ref!$K$2:$K$42))</f>
        <v/>
      </c>
      <c r="AO398">
        <f>IF(L398="Renewal",1,0)</f>
        <v/>
      </c>
      <c r="AP398">
        <f>AC398*AD398</f>
        <v/>
      </c>
      <c r="AQ398">
        <f>IF(AND(G398&lt;&gt;"",'Historical Score'!$C$6&lt;&gt;""),IF(G398='Historical Score'!$C$6,1,0),0)</f>
        <v/>
      </c>
      <c r="AR398">
        <f>IF(AND(L398&lt;&gt;"",'Historical Score'!$C$5&lt;&gt;""),IF(L398='Historical Score'!$C$5,1,0),0)</f>
        <v/>
      </c>
      <c r="AS398">
        <f>IF(AND(Y398&lt;&gt;"",'Historical Score'!$C$7&lt;&gt;""),IF(Y398='Historical Score'!$C$7,1,0),0)</f>
        <v/>
      </c>
      <c r="AT398">
        <f>IF(AND(K398&lt;&gt;"",'Historical Score'!$C$8&lt;&gt;""),IF(K398='Historical Score'!$C$8,1,0),0)</f>
        <v/>
      </c>
      <c r="AU398">
        <f>IF(AND(J398&lt;&gt;"",'Historical Score'!$C$9&lt;&gt;""),IF(J398='Historical Score'!$C$9,1,0),0)</f>
        <v/>
      </c>
      <c r="AV398">
        <f>AR398*AS398*AQ398</f>
        <v/>
      </c>
      <c r="AW398">
        <f>AR398*AT398*AQ398</f>
        <v/>
      </c>
      <c r="AX398">
        <f>AR398*AS398</f>
        <v/>
      </c>
      <c r="AY398">
        <f>AR398*AT398</f>
        <v/>
      </c>
      <c r="AZ398">
        <f>AR398*AQ398</f>
        <v/>
      </c>
      <c r="BA398">
        <f>AR398</f>
        <v/>
      </c>
      <c r="BB398">
        <f>1</f>
        <v/>
      </c>
      <c r="BC398">
        <f>IF(AV398=1,1,IF(AW398=1,2,IF(AX398=1,3,IF(AY398=1,4,IF(AZ398=1,5,IF(BA398=1,6,7))))))</f>
        <v/>
      </c>
      <c r="BD398">
        <f>IF(AD398=1,CHOOSE('Historical Score'!$C$29,AV398,AW398,AX398,AY398,AZ398,BA398,BB398),0)</f>
        <v/>
      </c>
      <c r="BE398">
        <f>IF(BD398=1,COUNTIF($BD$2:BD398,1),"")</f>
        <v/>
      </c>
    </row>
    <row r="399">
      <c r="A399" t="inlineStr">
        <is>
          <t>5674173257</t>
        </is>
      </c>
      <c r="B399" t="inlineStr">
        <is>
          <t>FLORES HOME COOKING</t>
        </is>
      </c>
      <c r="C399" t="inlineStr">
        <is>
          <t>LINDA MARIANA LUNA</t>
        </is>
      </c>
      <c r="D399" t="inlineStr">
        <is>
          <t>Bankruptcy</t>
        </is>
      </c>
      <c r="E399" s="297" t="n">
        <v>45993</v>
      </c>
      <c r="F399" s="297" t="n">
        <v>46153</v>
      </c>
      <c r="G399" t="n">
        <v>3</v>
      </c>
      <c r="H399" t="inlineStr">
        <is>
          <t>5812</t>
        </is>
      </c>
      <c r="I399" t="inlineStr">
        <is>
          <t>58</t>
        </is>
      </c>
      <c r="J399" t="inlineStr">
        <is>
          <t>TX</t>
        </is>
      </c>
      <c r="K399" t="inlineStr">
        <is>
          <t>level 3 funding</t>
        </is>
      </c>
      <c r="L399" t="inlineStr">
        <is>
          <t>New Deal</t>
        </is>
      </c>
      <c r="M399" s="298" t="n">
        <v>1.499</v>
      </c>
      <c r="N399" s="299" t="n">
        <v>5000</v>
      </c>
      <c r="O399" s="299" t="n">
        <v>700</v>
      </c>
      <c r="P399" s="299" t="n">
        <v>7495</v>
      </c>
      <c r="Q399" s="299" t="n">
        <v>3853.52</v>
      </c>
      <c r="R399" s="299" t="n">
        <v>3641.48</v>
      </c>
      <c r="S399" s="300" t="n">
        <v>0.514145430286858</v>
      </c>
      <c r="T399" t="n">
        <v>2.787</v>
      </c>
      <c r="U399" t="n">
        <v>16</v>
      </c>
      <c r="V399" t="n">
        <v>28918.69</v>
      </c>
      <c r="W399" s="300" t="n">
        <v>0.0636</v>
      </c>
      <c r="X399" s="297" t="n">
        <v>44278</v>
      </c>
      <c r="Y399">
        <f>IF(I399="","No SIC",IFERROR(VLOOKUP(I399,Ref!$A$2:$B$65,2,FALSE),"Unclassified"))</f>
        <v/>
      </c>
      <c r="Z399">
        <f>IF(T399="","",IF(T399&lt;12,"Daily","Weekly"))</f>
        <v/>
      </c>
      <c r="AA399">
        <f>IF(T399="",0,IF(T399&lt;12,T399*Controls!$B$29,T399*5))</f>
        <v/>
      </c>
      <c r="AB399">
        <f>IF(E399="",0,NETWORKDAYS(E399,Controls!$B$36,Ref!$K$2:$K$42))</f>
        <v/>
      </c>
      <c r="AC399">
        <f>IF(AND(AA399&gt;0,AB399&gt;=Controls!$B$39*AA399),1,0)</f>
        <v/>
      </c>
      <c r="AD399">
        <f>IF(AND(E399&lt;&gt;"",E399&gt;=Controls!$B$37,E399&lt;=Controls!$B$38),1,0)</f>
        <v/>
      </c>
      <c r="AE399">
        <f>IF(IFERROR(VLOOKUP(D399,Controls!$A$64:$E$74,2,FALSE),"No")="Yes",1,0)</f>
        <v/>
      </c>
      <c r="AF399">
        <f>IF(IFERROR(VLOOKUP(D399,Controls!$A$64:$E$74,3,FALSE),"No")="Yes",1,0)</f>
        <v/>
      </c>
      <c r="AG399">
        <f>IF(IFERROR(VLOOKUP(D399,Controls!$A$64:$E$74,4,FALSE),"No")="Yes",1,0)</f>
        <v/>
      </c>
      <c r="AH399">
        <f>IF(IFERROR(VLOOKUP(D399,Controls!$A$64:$E$74,5,FALSE),"No")="Yes",1,0)</f>
        <v/>
      </c>
      <c r="AI399">
        <f>IF(ISNUMBER(MATCH(D399,Controls!$A$64:$A$74,0)),1,0)</f>
        <v/>
      </c>
      <c r="AJ399">
        <f>Q399-N399</f>
        <v/>
      </c>
      <c r="AK399">
        <f>IF(AE399=1,MAX(0,N399-Q399),0)</f>
        <v/>
      </c>
      <c r="AL399">
        <f>IF(OR(V399="",V399=0),0,N399/V399)</f>
        <v/>
      </c>
      <c r="AM399">
        <f>IF(OR(V399="",V399=0),0,1)</f>
        <v/>
      </c>
      <c r="AN399">
        <f>IF(OR(E399="",F399=""),0,NETWORKDAYS(E399,F399,Ref!$K$2:$K$42))</f>
        <v/>
      </c>
      <c r="AO399">
        <f>IF(L399="Renewal",1,0)</f>
        <v/>
      </c>
      <c r="AP399">
        <f>AC399*AD399</f>
        <v/>
      </c>
      <c r="AQ399">
        <f>IF(AND(G399&lt;&gt;"",'Historical Score'!$C$6&lt;&gt;""),IF(G399='Historical Score'!$C$6,1,0),0)</f>
        <v/>
      </c>
      <c r="AR399">
        <f>IF(AND(L399&lt;&gt;"",'Historical Score'!$C$5&lt;&gt;""),IF(L399='Historical Score'!$C$5,1,0),0)</f>
        <v/>
      </c>
      <c r="AS399">
        <f>IF(AND(Y399&lt;&gt;"",'Historical Score'!$C$7&lt;&gt;""),IF(Y399='Historical Score'!$C$7,1,0),0)</f>
        <v/>
      </c>
      <c r="AT399">
        <f>IF(AND(K399&lt;&gt;"",'Historical Score'!$C$8&lt;&gt;""),IF(K399='Historical Score'!$C$8,1,0),0)</f>
        <v/>
      </c>
      <c r="AU399">
        <f>IF(AND(J399&lt;&gt;"",'Historical Score'!$C$9&lt;&gt;""),IF(J399='Historical Score'!$C$9,1,0),0)</f>
        <v/>
      </c>
      <c r="AV399">
        <f>AR399*AS399*AQ399</f>
        <v/>
      </c>
      <c r="AW399">
        <f>AR399*AT399*AQ399</f>
        <v/>
      </c>
      <c r="AX399">
        <f>AR399*AS399</f>
        <v/>
      </c>
      <c r="AY399">
        <f>AR399*AT399</f>
        <v/>
      </c>
      <c r="AZ399">
        <f>AR399*AQ399</f>
        <v/>
      </c>
      <c r="BA399">
        <f>AR399</f>
        <v/>
      </c>
      <c r="BB399">
        <f>1</f>
        <v/>
      </c>
      <c r="BC399">
        <f>IF(AV399=1,1,IF(AW399=1,2,IF(AX399=1,3,IF(AY399=1,4,IF(AZ399=1,5,IF(BA399=1,6,7))))))</f>
        <v/>
      </c>
      <c r="BD399">
        <f>IF(AD399=1,CHOOSE('Historical Score'!$C$29,AV399,AW399,AX399,AY399,AZ399,BA399,BB399),0)</f>
        <v/>
      </c>
      <c r="BE399">
        <f>IF(BD399=1,COUNTIF($BD$2:BD399,1),"")</f>
        <v/>
      </c>
    </row>
    <row r="400">
      <c r="A400" t="inlineStr">
        <is>
          <t>5674173261</t>
        </is>
      </c>
      <c r="B400" t="inlineStr">
        <is>
          <t>More Clean of Texas</t>
        </is>
      </c>
      <c r="C400" t="inlineStr">
        <is>
          <t>Watts Enterprises LLc</t>
        </is>
      </c>
      <c r="D400" t="inlineStr">
        <is>
          <t>Closed</t>
        </is>
      </c>
      <c r="E400" s="297" t="n">
        <v>45993</v>
      </c>
      <c r="F400" s="297" t="n">
        <v>46164</v>
      </c>
      <c r="G400" t="n">
        <v>4</v>
      </c>
      <c r="H400" t="inlineStr">
        <is>
          <t>1442</t>
        </is>
      </c>
      <c r="I400" t="inlineStr">
        <is>
          <t>14</t>
        </is>
      </c>
      <c r="J400" t="inlineStr">
        <is>
          <t>TX</t>
        </is>
      </c>
      <c r="K400" t="inlineStr">
        <is>
          <t>SNA Capital source</t>
        </is>
      </c>
      <c r="L400" t="inlineStr">
        <is>
          <t>New Deal</t>
        </is>
      </c>
      <c r="M400" s="298" t="n">
        <v>1.46</v>
      </c>
      <c r="N400" s="299" t="n">
        <v>25000</v>
      </c>
      <c r="O400" s="299" t="n">
        <v>3125</v>
      </c>
      <c r="P400" s="299" t="n">
        <v>36500</v>
      </c>
      <c r="Q400" s="299" t="n">
        <v>36500</v>
      </c>
      <c r="R400" s="299" t="n">
        <v>0</v>
      </c>
      <c r="S400" s="300" t="n">
        <v>1</v>
      </c>
      <c r="T400" t="n">
        <v>22</v>
      </c>
      <c r="U400" t="n">
        <v>3</v>
      </c>
      <c r="V400" t="n">
        <v>236224.68</v>
      </c>
      <c r="W400" s="300" t="n">
        <v>0.0359</v>
      </c>
      <c r="X400" s="297" t="n">
        <v>41640</v>
      </c>
      <c r="Y400">
        <f>IF(I400="","No SIC",IFERROR(VLOOKUP(I400,Ref!$A$2:$B$65,2,FALSE),"Unclassified"))</f>
        <v/>
      </c>
      <c r="Z400">
        <f>IF(T400="","",IF(T400&lt;12,"Daily","Weekly"))</f>
        <v/>
      </c>
      <c r="AA400">
        <f>IF(T400="",0,IF(T400&lt;12,T400*Controls!$B$29,T400*5))</f>
        <v/>
      </c>
      <c r="AB400">
        <f>IF(E400="",0,NETWORKDAYS(E400,Controls!$B$36,Ref!$K$2:$K$42))</f>
        <v/>
      </c>
      <c r="AC400">
        <f>IF(AND(AA400&gt;0,AB400&gt;=Controls!$B$39*AA400),1,0)</f>
        <v/>
      </c>
      <c r="AD400">
        <f>IF(AND(E400&lt;&gt;"",E400&gt;=Controls!$B$37,E400&lt;=Controls!$B$38),1,0)</f>
        <v/>
      </c>
      <c r="AE400">
        <f>IF(IFERROR(VLOOKUP(D400,Controls!$A$64:$E$74,2,FALSE),"No")="Yes",1,0)</f>
        <v/>
      </c>
      <c r="AF400">
        <f>IF(IFERROR(VLOOKUP(D400,Controls!$A$64:$E$74,3,FALSE),"No")="Yes",1,0)</f>
        <v/>
      </c>
      <c r="AG400">
        <f>IF(IFERROR(VLOOKUP(D400,Controls!$A$64:$E$74,4,FALSE),"No")="Yes",1,0)</f>
        <v/>
      </c>
      <c r="AH400">
        <f>IF(IFERROR(VLOOKUP(D400,Controls!$A$64:$E$74,5,FALSE),"No")="Yes",1,0)</f>
        <v/>
      </c>
      <c r="AI400">
        <f>IF(ISNUMBER(MATCH(D400,Controls!$A$64:$A$74,0)),1,0)</f>
        <v/>
      </c>
      <c r="AJ400">
        <f>Q400-N400</f>
        <v/>
      </c>
      <c r="AK400">
        <f>IF(AE400=1,MAX(0,N400-Q400),0)</f>
        <v/>
      </c>
      <c r="AL400">
        <f>IF(OR(V400="",V400=0),0,N400/V400)</f>
        <v/>
      </c>
      <c r="AM400">
        <f>IF(OR(V400="",V400=0),0,1)</f>
        <v/>
      </c>
      <c r="AN400">
        <f>IF(OR(E400="",F400=""),0,NETWORKDAYS(E400,F400,Ref!$K$2:$K$42))</f>
        <v/>
      </c>
      <c r="AO400">
        <f>IF(L400="Renewal",1,0)</f>
        <v/>
      </c>
      <c r="AP400">
        <f>AC400*AD400</f>
        <v/>
      </c>
      <c r="AQ400">
        <f>IF(AND(G400&lt;&gt;"",'Historical Score'!$C$6&lt;&gt;""),IF(G400='Historical Score'!$C$6,1,0),0)</f>
        <v/>
      </c>
      <c r="AR400">
        <f>IF(AND(L400&lt;&gt;"",'Historical Score'!$C$5&lt;&gt;""),IF(L400='Historical Score'!$C$5,1,0),0)</f>
        <v/>
      </c>
      <c r="AS400">
        <f>IF(AND(Y400&lt;&gt;"",'Historical Score'!$C$7&lt;&gt;""),IF(Y400='Historical Score'!$C$7,1,0),0)</f>
        <v/>
      </c>
      <c r="AT400">
        <f>IF(AND(K400&lt;&gt;"",'Historical Score'!$C$8&lt;&gt;""),IF(K400='Historical Score'!$C$8,1,0),0)</f>
        <v/>
      </c>
      <c r="AU400">
        <f>IF(AND(J400&lt;&gt;"",'Historical Score'!$C$9&lt;&gt;""),IF(J400='Historical Score'!$C$9,1,0),0)</f>
        <v/>
      </c>
      <c r="AV400">
        <f>AR400*AS400*AQ400</f>
        <v/>
      </c>
      <c r="AW400">
        <f>AR400*AT400*AQ400</f>
        <v/>
      </c>
      <c r="AX400">
        <f>AR400*AS400</f>
        <v/>
      </c>
      <c r="AY400">
        <f>AR400*AT400</f>
        <v/>
      </c>
      <c r="AZ400">
        <f>AR400*AQ400</f>
        <v/>
      </c>
      <c r="BA400">
        <f>AR400</f>
        <v/>
      </c>
      <c r="BB400">
        <f>1</f>
        <v/>
      </c>
      <c r="BC400">
        <f>IF(AV400=1,1,IF(AW400=1,2,IF(AX400=1,3,IF(AY400=1,4,IF(AZ400=1,5,IF(BA400=1,6,7))))))</f>
        <v/>
      </c>
      <c r="BD400">
        <f>IF(AD400=1,CHOOSE('Historical Score'!$C$29,AV400,AW400,AX400,AY400,AZ400,BA400,BB400),0)</f>
        <v/>
      </c>
      <c r="BE400">
        <f>IF(BD400=1,COUNTIF($BD$2:BD400,1),"")</f>
        <v/>
      </c>
    </row>
    <row r="401">
      <c r="A401" t="inlineStr">
        <is>
          <t>5674173324</t>
        </is>
      </c>
      <c r="B401" t="inlineStr">
        <is>
          <t>SilentG Consulting, LLC</t>
        </is>
      </c>
      <c r="C401" t="inlineStr">
        <is>
          <t>SilentG Consulting, LLC</t>
        </is>
      </c>
      <c r="D401" t="inlineStr">
        <is>
          <t>Closed</t>
        </is>
      </c>
      <c r="E401" s="297" t="n">
        <v>45994</v>
      </c>
      <c r="F401" s="297" t="n">
        <v>46115</v>
      </c>
      <c r="G401" t="n">
        <v>1</v>
      </c>
      <c r="H401" t="inlineStr">
        <is>
          <t>8742</t>
        </is>
      </c>
      <c r="I401" t="inlineStr">
        <is>
          <t>87</t>
        </is>
      </c>
      <c r="J401" t="inlineStr">
        <is>
          <t>NV</t>
        </is>
      </c>
      <c r="K401" t="inlineStr">
        <is>
          <t>Platform Funding</t>
        </is>
      </c>
      <c r="L401" t="inlineStr">
        <is>
          <t>New Deal</t>
        </is>
      </c>
      <c r="M401" s="298" t="n">
        <v>1.49</v>
      </c>
      <c r="N401" s="299" t="n">
        <v>5000</v>
      </c>
      <c r="O401" s="299" t="n">
        <v>700</v>
      </c>
      <c r="P401" s="299" t="n">
        <v>7450</v>
      </c>
      <c r="Q401" s="299" t="n">
        <v>7450</v>
      </c>
      <c r="R401" s="299" t="n">
        <v>0</v>
      </c>
      <c r="S401" s="300" t="n">
        <v>1</v>
      </c>
      <c r="T401" t="n">
        <v>18</v>
      </c>
      <c r="U401" t="n">
        <v>0</v>
      </c>
      <c r="V401" t="n">
        <v>14839.46</v>
      </c>
      <c r="W401" s="300" t="n">
        <v>0.1116</v>
      </c>
      <c r="X401" s="297" t="n">
        <v>44125</v>
      </c>
      <c r="Y401">
        <f>IF(I401="","No SIC",IFERROR(VLOOKUP(I401,Ref!$A$2:$B$65,2,FALSE),"Unclassified"))</f>
        <v/>
      </c>
      <c r="Z401">
        <f>IF(T401="","",IF(T401&lt;12,"Daily","Weekly"))</f>
        <v/>
      </c>
      <c r="AA401">
        <f>IF(T401="",0,IF(T401&lt;12,T401*Controls!$B$29,T401*5))</f>
        <v/>
      </c>
      <c r="AB401">
        <f>IF(E401="",0,NETWORKDAYS(E401,Controls!$B$36,Ref!$K$2:$K$42))</f>
        <v/>
      </c>
      <c r="AC401">
        <f>IF(AND(AA401&gt;0,AB401&gt;=Controls!$B$39*AA401),1,0)</f>
        <v/>
      </c>
      <c r="AD401">
        <f>IF(AND(E401&lt;&gt;"",E401&gt;=Controls!$B$37,E401&lt;=Controls!$B$38),1,0)</f>
        <v/>
      </c>
      <c r="AE401">
        <f>IF(IFERROR(VLOOKUP(D401,Controls!$A$64:$E$74,2,FALSE),"No")="Yes",1,0)</f>
        <v/>
      </c>
      <c r="AF401">
        <f>IF(IFERROR(VLOOKUP(D401,Controls!$A$64:$E$74,3,FALSE),"No")="Yes",1,0)</f>
        <v/>
      </c>
      <c r="AG401">
        <f>IF(IFERROR(VLOOKUP(D401,Controls!$A$64:$E$74,4,FALSE),"No")="Yes",1,0)</f>
        <v/>
      </c>
      <c r="AH401">
        <f>IF(IFERROR(VLOOKUP(D401,Controls!$A$64:$E$74,5,FALSE),"No")="Yes",1,0)</f>
        <v/>
      </c>
      <c r="AI401">
        <f>IF(ISNUMBER(MATCH(D401,Controls!$A$64:$A$74,0)),1,0)</f>
        <v/>
      </c>
      <c r="AJ401">
        <f>Q401-N401</f>
        <v/>
      </c>
      <c r="AK401">
        <f>IF(AE401=1,MAX(0,N401-Q401),0)</f>
        <v/>
      </c>
      <c r="AL401">
        <f>IF(OR(V401="",V401=0),0,N401/V401)</f>
        <v/>
      </c>
      <c r="AM401">
        <f>IF(OR(V401="",V401=0),0,1)</f>
        <v/>
      </c>
      <c r="AN401">
        <f>IF(OR(E401="",F401=""),0,NETWORKDAYS(E401,F401,Ref!$K$2:$K$42))</f>
        <v/>
      </c>
      <c r="AO401">
        <f>IF(L401="Renewal",1,0)</f>
        <v/>
      </c>
      <c r="AP401">
        <f>AC401*AD401</f>
        <v/>
      </c>
      <c r="AQ401">
        <f>IF(AND(G401&lt;&gt;"",'Historical Score'!$C$6&lt;&gt;""),IF(G401='Historical Score'!$C$6,1,0),0)</f>
        <v/>
      </c>
      <c r="AR401">
        <f>IF(AND(L401&lt;&gt;"",'Historical Score'!$C$5&lt;&gt;""),IF(L401='Historical Score'!$C$5,1,0),0)</f>
        <v/>
      </c>
      <c r="AS401">
        <f>IF(AND(Y401&lt;&gt;"",'Historical Score'!$C$7&lt;&gt;""),IF(Y401='Historical Score'!$C$7,1,0),0)</f>
        <v/>
      </c>
      <c r="AT401">
        <f>IF(AND(K401&lt;&gt;"",'Historical Score'!$C$8&lt;&gt;""),IF(K401='Historical Score'!$C$8,1,0),0)</f>
        <v/>
      </c>
      <c r="AU401">
        <f>IF(AND(J401&lt;&gt;"",'Historical Score'!$C$9&lt;&gt;""),IF(J401='Historical Score'!$C$9,1,0),0)</f>
        <v/>
      </c>
      <c r="AV401">
        <f>AR401*AS401*AQ401</f>
        <v/>
      </c>
      <c r="AW401">
        <f>AR401*AT401*AQ401</f>
        <v/>
      </c>
      <c r="AX401">
        <f>AR401*AS401</f>
        <v/>
      </c>
      <c r="AY401">
        <f>AR401*AT401</f>
        <v/>
      </c>
      <c r="AZ401">
        <f>AR401*AQ401</f>
        <v/>
      </c>
      <c r="BA401">
        <f>AR401</f>
        <v/>
      </c>
      <c r="BB401">
        <f>1</f>
        <v/>
      </c>
      <c r="BC401">
        <f>IF(AV401=1,1,IF(AW401=1,2,IF(AX401=1,3,IF(AY401=1,4,IF(AZ401=1,5,IF(BA401=1,6,7))))))</f>
        <v/>
      </c>
      <c r="BD401">
        <f>IF(AD401=1,CHOOSE('Historical Score'!$C$29,AV401,AW401,AX401,AY401,AZ401,BA401,BB401),0)</f>
        <v/>
      </c>
      <c r="BE401">
        <f>IF(BD401=1,COUNTIF($BD$2:BD401,1),"")</f>
        <v/>
      </c>
    </row>
    <row r="402">
      <c r="A402" t="inlineStr">
        <is>
          <t>5674173334</t>
        </is>
      </c>
      <c r="B402" t="inlineStr">
        <is>
          <t>Robinson Law Firm LLC</t>
        </is>
      </c>
      <c r="C402" t="inlineStr">
        <is>
          <t>Robinson Law Firm LLC</t>
        </is>
      </c>
      <c r="D402" t="inlineStr">
        <is>
          <t>Closed</t>
        </is>
      </c>
      <c r="E402" s="297" t="n">
        <v>45994</v>
      </c>
      <c r="F402" s="297" t="n">
        <v>46170</v>
      </c>
      <c r="G402" t="n">
        <v>2</v>
      </c>
      <c r="H402" t="inlineStr">
        <is>
          <t>8111</t>
        </is>
      </c>
      <c r="I402" t="inlineStr">
        <is>
          <t>81</t>
        </is>
      </c>
      <c r="J402" t="inlineStr">
        <is>
          <t>KY</t>
        </is>
      </c>
      <c r="K402" t="inlineStr">
        <is>
          <t>Linked In Funding</t>
        </is>
      </c>
      <c r="L402" t="inlineStr">
        <is>
          <t>New Deal</t>
        </is>
      </c>
      <c r="M402" s="298" t="n">
        <v>1.49</v>
      </c>
      <c r="N402" s="299" t="n">
        <v>5000</v>
      </c>
      <c r="O402" s="299" t="n">
        <v>700</v>
      </c>
      <c r="P402" s="299" t="n">
        <v>7450</v>
      </c>
      <c r="Q402" s="299" t="n">
        <v>7450</v>
      </c>
      <c r="R402" s="299" t="n">
        <v>0</v>
      </c>
      <c r="S402" s="300" t="n">
        <v>1</v>
      </c>
      <c r="T402" t="n">
        <v>3.279</v>
      </c>
      <c r="U402" t="n">
        <v>6</v>
      </c>
      <c r="V402" t="n">
        <v>14600.1</v>
      </c>
      <c r="W402" s="300" t="n">
        <v>0.1072</v>
      </c>
      <c r="X402" s="297" t="n">
        <v>40349</v>
      </c>
      <c r="Y402">
        <f>IF(I402="","No SIC",IFERROR(VLOOKUP(I402,Ref!$A$2:$B$65,2,FALSE),"Unclassified"))</f>
        <v/>
      </c>
      <c r="Z402">
        <f>IF(T402="","",IF(T402&lt;12,"Daily","Weekly"))</f>
        <v/>
      </c>
      <c r="AA402">
        <f>IF(T402="",0,IF(T402&lt;12,T402*Controls!$B$29,T402*5))</f>
        <v/>
      </c>
      <c r="AB402">
        <f>IF(E402="",0,NETWORKDAYS(E402,Controls!$B$36,Ref!$K$2:$K$42))</f>
        <v/>
      </c>
      <c r="AC402">
        <f>IF(AND(AA402&gt;0,AB402&gt;=Controls!$B$39*AA402),1,0)</f>
        <v/>
      </c>
      <c r="AD402">
        <f>IF(AND(E402&lt;&gt;"",E402&gt;=Controls!$B$37,E402&lt;=Controls!$B$38),1,0)</f>
        <v/>
      </c>
      <c r="AE402">
        <f>IF(IFERROR(VLOOKUP(D402,Controls!$A$64:$E$74,2,FALSE),"No")="Yes",1,0)</f>
        <v/>
      </c>
      <c r="AF402">
        <f>IF(IFERROR(VLOOKUP(D402,Controls!$A$64:$E$74,3,FALSE),"No")="Yes",1,0)</f>
        <v/>
      </c>
      <c r="AG402">
        <f>IF(IFERROR(VLOOKUP(D402,Controls!$A$64:$E$74,4,FALSE),"No")="Yes",1,0)</f>
        <v/>
      </c>
      <c r="AH402">
        <f>IF(IFERROR(VLOOKUP(D402,Controls!$A$64:$E$74,5,FALSE),"No")="Yes",1,0)</f>
        <v/>
      </c>
      <c r="AI402">
        <f>IF(ISNUMBER(MATCH(D402,Controls!$A$64:$A$74,0)),1,0)</f>
        <v/>
      </c>
      <c r="AJ402">
        <f>Q402-N402</f>
        <v/>
      </c>
      <c r="AK402">
        <f>IF(AE402=1,MAX(0,N402-Q402),0)</f>
        <v/>
      </c>
      <c r="AL402">
        <f>IF(OR(V402="",V402=0),0,N402/V402)</f>
        <v/>
      </c>
      <c r="AM402">
        <f>IF(OR(V402="",V402=0),0,1)</f>
        <v/>
      </c>
      <c r="AN402">
        <f>IF(OR(E402="",F402=""),0,NETWORKDAYS(E402,F402,Ref!$K$2:$K$42))</f>
        <v/>
      </c>
      <c r="AO402">
        <f>IF(L402="Renewal",1,0)</f>
        <v/>
      </c>
      <c r="AP402">
        <f>AC402*AD402</f>
        <v/>
      </c>
      <c r="AQ402">
        <f>IF(AND(G402&lt;&gt;"",'Historical Score'!$C$6&lt;&gt;""),IF(G402='Historical Score'!$C$6,1,0),0)</f>
        <v/>
      </c>
      <c r="AR402">
        <f>IF(AND(L402&lt;&gt;"",'Historical Score'!$C$5&lt;&gt;""),IF(L402='Historical Score'!$C$5,1,0),0)</f>
        <v/>
      </c>
      <c r="AS402">
        <f>IF(AND(Y402&lt;&gt;"",'Historical Score'!$C$7&lt;&gt;""),IF(Y402='Historical Score'!$C$7,1,0),0)</f>
        <v/>
      </c>
      <c r="AT402">
        <f>IF(AND(K402&lt;&gt;"",'Historical Score'!$C$8&lt;&gt;""),IF(K402='Historical Score'!$C$8,1,0),0)</f>
        <v/>
      </c>
      <c r="AU402">
        <f>IF(AND(J402&lt;&gt;"",'Historical Score'!$C$9&lt;&gt;""),IF(J402='Historical Score'!$C$9,1,0),0)</f>
        <v/>
      </c>
      <c r="AV402">
        <f>AR402*AS402*AQ402</f>
        <v/>
      </c>
      <c r="AW402">
        <f>AR402*AT402*AQ402</f>
        <v/>
      </c>
      <c r="AX402">
        <f>AR402*AS402</f>
        <v/>
      </c>
      <c r="AY402">
        <f>AR402*AT402</f>
        <v/>
      </c>
      <c r="AZ402">
        <f>AR402*AQ402</f>
        <v/>
      </c>
      <c r="BA402">
        <f>AR402</f>
        <v/>
      </c>
      <c r="BB402">
        <f>1</f>
        <v/>
      </c>
      <c r="BC402">
        <f>IF(AV402=1,1,IF(AW402=1,2,IF(AX402=1,3,IF(AY402=1,4,IF(AZ402=1,5,IF(BA402=1,6,7))))))</f>
        <v/>
      </c>
      <c r="BD402">
        <f>IF(AD402=1,CHOOSE('Historical Score'!$C$29,AV402,AW402,AX402,AY402,AZ402,BA402,BB402),0)</f>
        <v/>
      </c>
      <c r="BE402">
        <f>IF(BD402=1,COUNTIF($BD$2:BD402,1),"")</f>
        <v/>
      </c>
    </row>
    <row r="403">
      <c r="A403" t="inlineStr">
        <is>
          <t>5674173340</t>
        </is>
      </c>
      <c r="B403" t="inlineStr">
        <is>
          <t>SC GROUP LLC</t>
        </is>
      </c>
      <c r="C403" t="inlineStr">
        <is>
          <t>SC GROUP LLC</t>
        </is>
      </c>
      <c r="D403" t="inlineStr">
        <is>
          <t>Closed</t>
        </is>
      </c>
      <c r="E403" s="297" t="n">
        <v>45994</v>
      </c>
      <c r="F403" s="297" t="n">
        <v>46079</v>
      </c>
      <c r="G403" t="n">
        <v>3</v>
      </c>
      <c r="H403" t="inlineStr">
        <is>
          <t>7629</t>
        </is>
      </c>
      <c r="I403" t="inlineStr">
        <is>
          <t>76</t>
        </is>
      </c>
      <c r="J403" t="inlineStr">
        <is>
          <t>NJ</t>
        </is>
      </c>
      <c r="K403" t="inlineStr">
        <is>
          <t>level 3 funding</t>
        </is>
      </c>
      <c r="L403" t="inlineStr">
        <is>
          <t>New Deal</t>
        </is>
      </c>
      <c r="M403" s="298" t="n">
        <v>1.5</v>
      </c>
      <c r="N403" s="299" t="n">
        <v>7500</v>
      </c>
      <c r="O403" s="299" t="n">
        <v>1050</v>
      </c>
      <c r="P403" s="299" t="n">
        <v>11250</v>
      </c>
      <c r="Q403" s="299" t="n">
        <v>11250</v>
      </c>
      <c r="R403" s="299" t="n">
        <v>0</v>
      </c>
      <c r="S403" s="300" t="n">
        <v>1</v>
      </c>
      <c r="T403" t="n">
        <v>2.951</v>
      </c>
      <c r="U403" t="n">
        <v>0</v>
      </c>
      <c r="V403" t="n">
        <v>38306.63</v>
      </c>
      <c r="W403" s="300" t="n">
        <v>0.068</v>
      </c>
      <c r="X403" s="297" t="n">
        <v>43374</v>
      </c>
      <c r="Y403">
        <f>IF(I403="","No SIC",IFERROR(VLOOKUP(I403,Ref!$A$2:$B$65,2,FALSE),"Unclassified"))</f>
        <v/>
      </c>
      <c r="Z403">
        <f>IF(T403="","",IF(T403&lt;12,"Daily","Weekly"))</f>
        <v/>
      </c>
      <c r="AA403">
        <f>IF(T403="",0,IF(T403&lt;12,T403*Controls!$B$29,T403*5))</f>
        <v/>
      </c>
      <c r="AB403">
        <f>IF(E403="",0,NETWORKDAYS(E403,Controls!$B$36,Ref!$K$2:$K$42))</f>
        <v/>
      </c>
      <c r="AC403">
        <f>IF(AND(AA403&gt;0,AB403&gt;=Controls!$B$39*AA403),1,0)</f>
        <v/>
      </c>
      <c r="AD403">
        <f>IF(AND(E403&lt;&gt;"",E403&gt;=Controls!$B$37,E403&lt;=Controls!$B$38),1,0)</f>
        <v/>
      </c>
      <c r="AE403">
        <f>IF(IFERROR(VLOOKUP(D403,Controls!$A$64:$E$74,2,FALSE),"No")="Yes",1,0)</f>
        <v/>
      </c>
      <c r="AF403">
        <f>IF(IFERROR(VLOOKUP(D403,Controls!$A$64:$E$74,3,FALSE),"No")="Yes",1,0)</f>
        <v/>
      </c>
      <c r="AG403">
        <f>IF(IFERROR(VLOOKUP(D403,Controls!$A$64:$E$74,4,FALSE),"No")="Yes",1,0)</f>
        <v/>
      </c>
      <c r="AH403">
        <f>IF(IFERROR(VLOOKUP(D403,Controls!$A$64:$E$74,5,FALSE),"No")="Yes",1,0)</f>
        <v/>
      </c>
      <c r="AI403">
        <f>IF(ISNUMBER(MATCH(D403,Controls!$A$64:$A$74,0)),1,0)</f>
        <v/>
      </c>
      <c r="AJ403">
        <f>Q403-N403</f>
        <v/>
      </c>
      <c r="AK403">
        <f>IF(AE403=1,MAX(0,N403-Q403),0)</f>
        <v/>
      </c>
      <c r="AL403">
        <f>IF(OR(V403="",V403=0),0,N403/V403)</f>
        <v/>
      </c>
      <c r="AM403">
        <f>IF(OR(V403="",V403=0),0,1)</f>
        <v/>
      </c>
      <c r="AN403">
        <f>IF(OR(E403="",F403=""),0,NETWORKDAYS(E403,F403,Ref!$K$2:$K$42))</f>
        <v/>
      </c>
      <c r="AO403">
        <f>IF(L403="Renewal",1,0)</f>
        <v/>
      </c>
      <c r="AP403">
        <f>AC403*AD403</f>
        <v/>
      </c>
      <c r="AQ403">
        <f>IF(AND(G403&lt;&gt;"",'Historical Score'!$C$6&lt;&gt;""),IF(G403='Historical Score'!$C$6,1,0),0)</f>
        <v/>
      </c>
      <c r="AR403">
        <f>IF(AND(L403&lt;&gt;"",'Historical Score'!$C$5&lt;&gt;""),IF(L403='Historical Score'!$C$5,1,0),0)</f>
        <v/>
      </c>
      <c r="AS403">
        <f>IF(AND(Y403&lt;&gt;"",'Historical Score'!$C$7&lt;&gt;""),IF(Y403='Historical Score'!$C$7,1,0),0)</f>
        <v/>
      </c>
      <c r="AT403">
        <f>IF(AND(K403&lt;&gt;"",'Historical Score'!$C$8&lt;&gt;""),IF(K403='Historical Score'!$C$8,1,0),0)</f>
        <v/>
      </c>
      <c r="AU403">
        <f>IF(AND(J403&lt;&gt;"",'Historical Score'!$C$9&lt;&gt;""),IF(J403='Historical Score'!$C$9,1,0),0)</f>
        <v/>
      </c>
      <c r="AV403">
        <f>AR403*AS403*AQ403</f>
        <v/>
      </c>
      <c r="AW403">
        <f>AR403*AT403*AQ403</f>
        <v/>
      </c>
      <c r="AX403">
        <f>AR403*AS403</f>
        <v/>
      </c>
      <c r="AY403">
        <f>AR403*AT403</f>
        <v/>
      </c>
      <c r="AZ403">
        <f>AR403*AQ403</f>
        <v/>
      </c>
      <c r="BA403">
        <f>AR403</f>
        <v/>
      </c>
      <c r="BB403">
        <f>1</f>
        <v/>
      </c>
      <c r="BC403">
        <f>IF(AV403=1,1,IF(AW403=1,2,IF(AX403=1,3,IF(AY403=1,4,IF(AZ403=1,5,IF(BA403=1,6,7))))))</f>
        <v/>
      </c>
      <c r="BD403">
        <f>IF(AD403=1,CHOOSE('Historical Score'!$C$29,AV403,AW403,AX403,AY403,AZ403,BA403,BB403),0)</f>
        <v/>
      </c>
      <c r="BE403">
        <f>IF(BD403=1,COUNTIF($BD$2:BD403,1),"")</f>
        <v/>
      </c>
    </row>
    <row r="404">
      <c r="A404" t="inlineStr">
        <is>
          <t>5674173377</t>
        </is>
      </c>
      <c r="B404" t="inlineStr">
        <is>
          <t>Aero Systems LLC</t>
        </is>
      </c>
      <c r="C404" t="inlineStr">
        <is>
          <t>Aero Systems LLC</t>
        </is>
      </c>
      <c r="D404" t="inlineStr">
        <is>
          <t>Legal</t>
        </is>
      </c>
      <c r="E404" s="297" t="n">
        <v>45994</v>
      </c>
      <c r="F404" s="297" t="n">
        <v>46029</v>
      </c>
      <c r="G404" t="n">
        <v>4</v>
      </c>
      <c r="H404" t="inlineStr">
        <is>
          <t>4581</t>
        </is>
      </c>
      <c r="I404" t="inlineStr">
        <is>
          <t>45</t>
        </is>
      </c>
      <c r="J404" t="inlineStr">
        <is>
          <t>TX</t>
        </is>
      </c>
      <c r="K404" t="inlineStr">
        <is>
          <t>Fundwell</t>
        </is>
      </c>
      <c r="L404" t="inlineStr">
        <is>
          <t>New Deal</t>
        </is>
      </c>
      <c r="M404" s="298" t="n">
        <v>1.39</v>
      </c>
      <c r="N404" s="299" t="n">
        <v>50000</v>
      </c>
      <c r="O404" s="299" t="n">
        <v>6750</v>
      </c>
      <c r="P404" s="299" t="n">
        <v>69500</v>
      </c>
      <c r="Q404" s="299" t="n">
        <v>7721.72</v>
      </c>
      <c r="R404" s="299" t="n">
        <v>61778.28</v>
      </c>
      <c r="S404" s="300" t="n">
        <v>0.111103884892086</v>
      </c>
      <c r="T404" t="n">
        <v>36</v>
      </c>
      <c r="U404" t="n">
        <v>1</v>
      </c>
      <c r="V404" t="n">
        <v>142205.11</v>
      </c>
      <c r="W404" s="300" t="n">
        <v>0.0543</v>
      </c>
      <c r="X404" s="297" t="n"/>
      <c r="Y404">
        <f>IF(I404="","No SIC",IFERROR(VLOOKUP(I404,Ref!$A$2:$B$65,2,FALSE),"Unclassified"))</f>
        <v/>
      </c>
      <c r="Z404">
        <f>IF(T404="","",IF(T404&lt;12,"Daily","Weekly"))</f>
        <v/>
      </c>
      <c r="AA404">
        <f>IF(T404="",0,IF(T404&lt;12,T404*Controls!$B$29,T404*5))</f>
        <v/>
      </c>
      <c r="AB404">
        <f>IF(E404="",0,NETWORKDAYS(E404,Controls!$B$36,Ref!$K$2:$K$42))</f>
        <v/>
      </c>
      <c r="AC404">
        <f>IF(AND(AA404&gt;0,AB404&gt;=Controls!$B$39*AA404),1,0)</f>
        <v/>
      </c>
      <c r="AD404">
        <f>IF(AND(E404&lt;&gt;"",E404&gt;=Controls!$B$37,E404&lt;=Controls!$B$38),1,0)</f>
        <v/>
      </c>
      <c r="AE404">
        <f>IF(IFERROR(VLOOKUP(D404,Controls!$A$64:$E$74,2,FALSE),"No")="Yes",1,0)</f>
        <v/>
      </c>
      <c r="AF404">
        <f>IF(IFERROR(VLOOKUP(D404,Controls!$A$64:$E$74,3,FALSE),"No")="Yes",1,0)</f>
        <v/>
      </c>
      <c r="AG404">
        <f>IF(IFERROR(VLOOKUP(D404,Controls!$A$64:$E$74,4,FALSE),"No")="Yes",1,0)</f>
        <v/>
      </c>
      <c r="AH404">
        <f>IF(IFERROR(VLOOKUP(D404,Controls!$A$64:$E$74,5,FALSE),"No")="Yes",1,0)</f>
        <v/>
      </c>
      <c r="AI404">
        <f>IF(ISNUMBER(MATCH(D404,Controls!$A$64:$A$74,0)),1,0)</f>
        <v/>
      </c>
      <c r="AJ404">
        <f>Q404-N404</f>
        <v/>
      </c>
      <c r="AK404">
        <f>IF(AE404=1,MAX(0,N404-Q404),0)</f>
        <v/>
      </c>
      <c r="AL404">
        <f>IF(OR(V404="",V404=0),0,N404/V404)</f>
        <v/>
      </c>
      <c r="AM404">
        <f>IF(OR(V404="",V404=0),0,1)</f>
        <v/>
      </c>
      <c r="AN404">
        <f>IF(OR(E404="",F404=""),0,NETWORKDAYS(E404,F404,Ref!$K$2:$K$42))</f>
        <v/>
      </c>
      <c r="AO404">
        <f>IF(L404="Renewal",1,0)</f>
        <v/>
      </c>
      <c r="AP404">
        <f>AC404*AD404</f>
        <v/>
      </c>
      <c r="AQ404">
        <f>IF(AND(G404&lt;&gt;"",'Historical Score'!$C$6&lt;&gt;""),IF(G404='Historical Score'!$C$6,1,0),0)</f>
        <v/>
      </c>
      <c r="AR404">
        <f>IF(AND(L404&lt;&gt;"",'Historical Score'!$C$5&lt;&gt;""),IF(L404='Historical Score'!$C$5,1,0),0)</f>
        <v/>
      </c>
      <c r="AS404">
        <f>IF(AND(Y404&lt;&gt;"",'Historical Score'!$C$7&lt;&gt;""),IF(Y404='Historical Score'!$C$7,1,0),0)</f>
        <v/>
      </c>
      <c r="AT404">
        <f>IF(AND(K404&lt;&gt;"",'Historical Score'!$C$8&lt;&gt;""),IF(K404='Historical Score'!$C$8,1,0),0)</f>
        <v/>
      </c>
      <c r="AU404">
        <f>IF(AND(J404&lt;&gt;"",'Historical Score'!$C$9&lt;&gt;""),IF(J404='Historical Score'!$C$9,1,0),0)</f>
        <v/>
      </c>
      <c r="AV404">
        <f>AR404*AS404*AQ404</f>
        <v/>
      </c>
      <c r="AW404">
        <f>AR404*AT404*AQ404</f>
        <v/>
      </c>
      <c r="AX404">
        <f>AR404*AS404</f>
        <v/>
      </c>
      <c r="AY404">
        <f>AR404*AT404</f>
        <v/>
      </c>
      <c r="AZ404">
        <f>AR404*AQ404</f>
        <v/>
      </c>
      <c r="BA404">
        <f>AR404</f>
        <v/>
      </c>
      <c r="BB404">
        <f>1</f>
        <v/>
      </c>
      <c r="BC404">
        <f>IF(AV404=1,1,IF(AW404=1,2,IF(AX404=1,3,IF(AY404=1,4,IF(AZ404=1,5,IF(BA404=1,6,7))))))</f>
        <v/>
      </c>
      <c r="BD404">
        <f>IF(AD404=1,CHOOSE('Historical Score'!$C$29,AV404,AW404,AX404,AY404,AZ404,BA404,BB404),0)</f>
        <v/>
      </c>
      <c r="BE404">
        <f>IF(BD404=1,COUNTIF($BD$2:BD404,1),"")</f>
        <v/>
      </c>
    </row>
    <row r="405">
      <c r="A405" t="inlineStr">
        <is>
          <t>5674173462</t>
        </is>
      </c>
      <c r="B405" t="inlineStr">
        <is>
          <t>F AND K HOMECARE SERVICES LLC</t>
        </is>
      </c>
      <c r="C405" t="inlineStr">
        <is>
          <t>F AND K HOMECARE SERVICES LLC</t>
        </is>
      </c>
      <c r="D405" t="inlineStr">
        <is>
          <t>In House Collection</t>
        </is>
      </c>
      <c r="E405" s="297" t="n">
        <v>45995</v>
      </c>
      <c r="F405" s="297" t="n">
        <v>46178</v>
      </c>
      <c r="G405" t="n">
        <v>2</v>
      </c>
      <c r="H405" t="inlineStr">
        <is>
          <t>8082</t>
        </is>
      </c>
      <c r="I405" t="inlineStr">
        <is>
          <t>80</t>
        </is>
      </c>
      <c r="J405" t="inlineStr">
        <is>
          <t>MN</t>
        </is>
      </c>
      <c r="K405" t="inlineStr">
        <is>
          <t>Westwood</t>
        </is>
      </c>
      <c r="L405" t="inlineStr">
        <is>
          <t>New Deal</t>
        </is>
      </c>
      <c r="M405" s="298" t="n">
        <v>1.49</v>
      </c>
      <c r="N405" s="299" t="n">
        <v>12000</v>
      </c>
      <c r="O405" s="299" t="n">
        <v>1680</v>
      </c>
      <c r="P405" s="299" t="n">
        <v>17880</v>
      </c>
      <c r="Q405" s="299" t="n">
        <v>7947.39</v>
      </c>
      <c r="R405" s="299" t="n">
        <v>9932.610000000001</v>
      </c>
      <c r="S405" s="300" t="n">
        <v>0.444484899328859</v>
      </c>
      <c r="T405" t="n">
        <v>18</v>
      </c>
      <c r="U405" t="n">
        <v>14</v>
      </c>
      <c r="V405" t="n">
        <v>45727.67</v>
      </c>
      <c r="W405" s="300" t="n">
        <v>0.08690000000000001</v>
      </c>
      <c r="X405" s="297" t="n">
        <v>43831</v>
      </c>
      <c r="Y405">
        <f>IF(I405="","No SIC",IFERROR(VLOOKUP(I405,Ref!$A$2:$B$65,2,FALSE),"Unclassified"))</f>
        <v/>
      </c>
      <c r="Z405">
        <f>IF(T405="","",IF(T405&lt;12,"Daily","Weekly"))</f>
        <v/>
      </c>
      <c r="AA405">
        <f>IF(T405="",0,IF(T405&lt;12,T405*Controls!$B$29,T405*5))</f>
        <v/>
      </c>
      <c r="AB405">
        <f>IF(E405="",0,NETWORKDAYS(E405,Controls!$B$36,Ref!$K$2:$K$42))</f>
        <v/>
      </c>
      <c r="AC405">
        <f>IF(AND(AA405&gt;0,AB405&gt;=Controls!$B$39*AA405),1,0)</f>
        <v/>
      </c>
      <c r="AD405">
        <f>IF(AND(E405&lt;&gt;"",E405&gt;=Controls!$B$37,E405&lt;=Controls!$B$38),1,0)</f>
        <v/>
      </c>
      <c r="AE405">
        <f>IF(IFERROR(VLOOKUP(D405,Controls!$A$64:$E$74,2,FALSE),"No")="Yes",1,0)</f>
        <v/>
      </c>
      <c r="AF405">
        <f>IF(IFERROR(VLOOKUP(D405,Controls!$A$64:$E$74,3,FALSE),"No")="Yes",1,0)</f>
        <v/>
      </c>
      <c r="AG405">
        <f>IF(IFERROR(VLOOKUP(D405,Controls!$A$64:$E$74,4,FALSE),"No")="Yes",1,0)</f>
        <v/>
      </c>
      <c r="AH405">
        <f>IF(IFERROR(VLOOKUP(D405,Controls!$A$64:$E$74,5,FALSE),"No")="Yes",1,0)</f>
        <v/>
      </c>
      <c r="AI405">
        <f>IF(ISNUMBER(MATCH(D405,Controls!$A$64:$A$74,0)),1,0)</f>
        <v/>
      </c>
      <c r="AJ405">
        <f>Q405-N405</f>
        <v/>
      </c>
      <c r="AK405">
        <f>IF(AE405=1,MAX(0,N405-Q405),0)</f>
        <v/>
      </c>
      <c r="AL405">
        <f>IF(OR(V405="",V405=0),0,N405/V405)</f>
        <v/>
      </c>
      <c r="AM405">
        <f>IF(OR(V405="",V405=0),0,1)</f>
        <v/>
      </c>
      <c r="AN405">
        <f>IF(OR(E405="",F405=""),0,NETWORKDAYS(E405,F405,Ref!$K$2:$K$42))</f>
        <v/>
      </c>
      <c r="AO405">
        <f>IF(L405="Renewal",1,0)</f>
        <v/>
      </c>
      <c r="AP405">
        <f>AC405*AD405</f>
        <v/>
      </c>
      <c r="AQ405">
        <f>IF(AND(G405&lt;&gt;"",'Historical Score'!$C$6&lt;&gt;""),IF(G405='Historical Score'!$C$6,1,0),0)</f>
        <v/>
      </c>
      <c r="AR405">
        <f>IF(AND(L405&lt;&gt;"",'Historical Score'!$C$5&lt;&gt;""),IF(L405='Historical Score'!$C$5,1,0),0)</f>
        <v/>
      </c>
      <c r="AS405">
        <f>IF(AND(Y405&lt;&gt;"",'Historical Score'!$C$7&lt;&gt;""),IF(Y405='Historical Score'!$C$7,1,0),0)</f>
        <v/>
      </c>
      <c r="AT405">
        <f>IF(AND(K405&lt;&gt;"",'Historical Score'!$C$8&lt;&gt;""),IF(K405='Historical Score'!$C$8,1,0),0)</f>
        <v/>
      </c>
      <c r="AU405">
        <f>IF(AND(J405&lt;&gt;"",'Historical Score'!$C$9&lt;&gt;""),IF(J405='Historical Score'!$C$9,1,0),0)</f>
        <v/>
      </c>
      <c r="AV405">
        <f>AR405*AS405*AQ405</f>
        <v/>
      </c>
      <c r="AW405">
        <f>AR405*AT405*AQ405</f>
        <v/>
      </c>
      <c r="AX405">
        <f>AR405*AS405</f>
        <v/>
      </c>
      <c r="AY405">
        <f>AR405*AT405</f>
        <v/>
      </c>
      <c r="AZ405">
        <f>AR405*AQ405</f>
        <v/>
      </c>
      <c r="BA405">
        <f>AR405</f>
        <v/>
      </c>
      <c r="BB405">
        <f>1</f>
        <v/>
      </c>
      <c r="BC405">
        <f>IF(AV405=1,1,IF(AW405=1,2,IF(AX405=1,3,IF(AY405=1,4,IF(AZ405=1,5,IF(BA405=1,6,7))))))</f>
        <v/>
      </c>
      <c r="BD405">
        <f>IF(AD405=1,CHOOSE('Historical Score'!$C$29,AV405,AW405,AX405,AY405,AZ405,BA405,BB405),0)</f>
        <v/>
      </c>
      <c r="BE405">
        <f>IF(BD405=1,COUNTIF($BD$2:BD405,1),"")</f>
        <v/>
      </c>
    </row>
    <row r="406">
      <c r="A406" t="inlineStr">
        <is>
          <t>5674173466</t>
        </is>
      </c>
      <c r="B406" t="inlineStr">
        <is>
          <t>CASTROS CARGO EXPRESS LLC</t>
        </is>
      </c>
      <c r="C406" t="inlineStr">
        <is>
          <t>CASTROS CARGO EXPRESS LLC</t>
        </is>
      </c>
      <c r="D406" t="inlineStr">
        <is>
          <t>Closed</t>
        </is>
      </c>
      <c r="E406" s="297" t="n">
        <v>45995</v>
      </c>
      <c r="F406" s="297" t="n">
        <v>46051</v>
      </c>
      <c r="G406" t="n">
        <v>2</v>
      </c>
      <c r="H406" t="inlineStr">
        <is>
          <t>4212</t>
        </is>
      </c>
      <c r="I406" t="inlineStr">
        <is>
          <t>42</t>
        </is>
      </c>
      <c r="J406" t="inlineStr">
        <is>
          <t>NJ</t>
        </is>
      </c>
      <c r="K406" t="inlineStr">
        <is>
          <t>United Secured Capital 8</t>
        </is>
      </c>
      <c r="L406" t="inlineStr">
        <is>
          <t>New Deal</t>
        </is>
      </c>
      <c r="M406" s="298" t="n">
        <v>1.499</v>
      </c>
      <c r="N406" s="299" t="n">
        <v>8000</v>
      </c>
      <c r="O406" s="299" t="n">
        <v>1120</v>
      </c>
      <c r="P406" s="299" t="n">
        <v>11992</v>
      </c>
      <c r="Q406" s="299" t="n">
        <v>11992</v>
      </c>
      <c r="R406" s="299" t="n">
        <v>0</v>
      </c>
      <c r="S406" s="300" t="n">
        <v>1</v>
      </c>
      <c r="T406" t="n">
        <v>2.295</v>
      </c>
      <c r="U406" t="n">
        <v>0</v>
      </c>
      <c r="V406" t="n">
        <v>8926.51</v>
      </c>
      <c r="W406" s="300" t="n">
        <v>0.4006</v>
      </c>
      <c r="X406" s="297" t="n"/>
      <c r="Y406">
        <f>IF(I406="","No SIC",IFERROR(VLOOKUP(I406,Ref!$A$2:$B$65,2,FALSE),"Unclassified"))</f>
        <v/>
      </c>
      <c r="Z406">
        <f>IF(T406="","",IF(T406&lt;12,"Daily","Weekly"))</f>
        <v/>
      </c>
      <c r="AA406">
        <f>IF(T406="",0,IF(T406&lt;12,T406*Controls!$B$29,T406*5))</f>
        <v/>
      </c>
      <c r="AB406">
        <f>IF(E406="",0,NETWORKDAYS(E406,Controls!$B$36,Ref!$K$2:$K$42))</f>
        <v/>
      </c>
      <c r="AC406">
        <f>IF(AND(AA406&gt;0,AB406&gt;=Controls!$B$39*AA406),1,0)</f>
        <v/>
      </c>
      <c r="AD406">
        <f>IF(AND(E406&lt;&gt;"",E406&gt;=Controls!$B$37,E406&lt;=Controls!$B$38),1,0)</f>
        <v/>
      </c>
      <c r="AE406">
        <f>IF(IFERROR(VLOOKUP(D406,Controls!$A$64:$E$74,2,FALSE),"No")="Yes",1,0)</f>
        <v/>
      </c>
      <c r="AF406">
        <f>IF(IFERROR(VLOOKUP(D406,Controls!$A$64:$E$74,3,FALSE),"No")="Yes",1,0)</f>
        <v/>
      </c>
      <c r="AG406">
        <f>IF(IFERROR(VLOOKUP(D406,Controls!$A$64:$E$74,4,FALSE),"No")="Yes",1,0)</f>
        <v/>
      </c>
      <c r="AH406">
        <f>IF(IFERROR(VLOOKUP(D406,Controls!$A$64:$E$74,5,FALSE),"No")="Yes",1,0)</f>
        <v/>
      </c>
      <c r="AI406">
        <f>IF(ISNUMBER(MATCH(D406,Controls!$A$64:$A$74,0)),1,0)</f>
        <v/>
      </c>
      <c r="AJ406">
        <f>Q406-N406</f>
        <v/>
      </c>
      <c r="AK406">
        <f>IF(AE406=1,MAX(0,N406-Q406),0)</f>
        <v/>
      </c>
      <c r="AL406">
        <f>IF(OR(V406="",V406=0),0,N406/V406)</f>
        <v/>
      </c>
      <c r="AM406">
        <f>IF(OR(V406="",V406=0),0,1)</f>
        <v/>
      </c>
      <c r="AN406">
        <f>IF(OR(E406="",F406=""),0,NETWORKDAYS(E406,F406,Ref!$K$2:$K$42))</f>
        <v/>
      </c>
      <c r="AO406">
        <f>IF(L406="Renewal",1,0)</f>
        <v/>
      </c>
      <c r="AP406">
        <f>AC406*AD406</f>
        <v/>
      </c>
      <c r="AQ406">
        <f>IF(AND(G406&lt;&gt;"",'Historical Score'!$C$6&lt;&gt;""),IF(G406='Historical Score'!$C$6,1,0),0)</f>
        <v/>
      </c>
      <c r="AR406">
        <f>IF(AND(L406&lt;&gt;"",'Historical Score'!$C$5&lt;&gt;""),IF(L406='Historical Score'!$C$5,1,0),0)</f>
        <v/>
      </c>
      <c r="AS406">
        <f>IF(AND(Y406&lt;&gt;"",'Historical Score'!$C$7&lt;&gt;""),IF(Y406='Historical Score'!$C$7,1,0),0)</f>
        <v/>
      </c>
      <c r="AT406">
        <f>IF(AND(K406&lt;&gt;"",'Historical Score'!$C$8&lt;&gt;""),IF(K406='Historical Score'!$C$8,1,0),0)</f>
        <v/>
      </c>
      <c r="AU406">
        <f>IF(AND(J406&lt;&gt;"",'Historical Score'!$C$9&lt;&gt;""),IF(J406='Historical Score'!$C$9,1,0),0)</f>
        <v/>
      </c>
      <c r="AV406">
        <f>AR406*AS406*AQ406</f>
        <v/>
      </c>
      <c r="AW406">
        <f>AR406*AT406*AQ406</f>
        <v/>
      </c>
      <c r="AX406">
        <f>AR406*AS406</f>
        <v/>
      </c>
      <c r="AY406">
        <f>AR406*AT406</f>
        <v/>
      </c>
      <c r="AZ406">
        <f>AR406*AQ406</f>
        <v/>
      </c>
      <c r="BA406">
        <f>AR406</f>
        <v/>
      </c>
      <c r="BB406">
        <f>1</f>
        <v/>
      </c>
      <c r="BC406">
        <f>IF(AV406=1,1,IF(AW406=1,2,IF(AX406=1,3,IF(AY406=1,4,IF(AZ406=1,5,IF(BA406=1,6,7))))))</f>
        <v/>
      </c>
      <c r="BD406">
        <f>IF(AD406=1,CHOOSE('Historical Score'!$C$29,AV406,AW406,AX406,AY406,AZ406,BA406,BB406),0)</f>
        <v/>
      </c>
      <c r="BE406">
        <f>IF(BD406=1,COUNTIF($BD$2:BD406,1),"")</f>
        <v/>
      </c>
    </row>
    <row r="407">
      <c r="A407" t="inlineStr">
        <is>
          <t>5674173467</t>
        </is>
      </c>
      <c r="B407" t="inlineStr">
        <is>
          <t>B&amp;T Construction And Remodels</t>
        </is>
      </c>
      <c r="C407" t="inlineStr">
        <is>
          <t>B&amp;T CONSTRUCTION AND REMODELS LLC</t>
        </is>
      </c>
      <c r="D407" t="inlineStr">
        <is>
          <t>Open</t>
        </is>
      </c>
      <c r="E407" s="297" t="n">
        <v>45995</v>
      </c>
      <c r="F407" s="297" t="n">
        <v>46248</v>
      </c>
      <c r="G407" t="n">
        <v>3</v>
      </c>
      <c r="H407" t="inlineStr">
        <is>
          <t>1442</t>
        </is>
      </c>
      <c r="I407" t="inlineStr">
        <is>
          <t>14</t>
        </is>
      </c>
      <c r="J407" t="inlineStr">
        <is>
          <t>ID</t>
        </is>
      </c>
      <c r="K407" t="inlineStr">
        <is>
          <t>Fundwell</t>
        </is>
      </c>
      <c r="L407" t="inlineStr">
        <is>
          <t>New Deal</t>
        </is>
      </c>
      <c r="M407" s="298" t="n">
        <v>1.46</v>
      </c>
      <c r="N407" s="299" t="n">
        <v>40000</v>
      </c>
      <c r="O407" s="299" t="n">
        <v>6200</v>
      </c>
      <c r="P407" s="299" t="n">
        <v>58400</v>
      </c>
      <c r="Q407" s="299" t="n">
        <v>58400</v>
      </c>
      <c r="R407" s="299" t="n">
        <v>0</v>
      </c>
      <c r="S407" s="300" t="n">
        <v>1</v>
      </c>
      <c r="T407" t="n">
        <v>40</v>
      </c>
      <c r="U407" t="n">
        <v>1</v>
      </c>
      <c r="V407" t="n">
        <v>100259.01</v>
      </c>
      <c r="W407" s="300" t="n">
        <v>0.0582</v>
      </c>
      <c r="X407" s="297" t="n">
        <v>42382</v>
      </c>
      <c r="Y407">
        <f>IF(I407="","No SIC",IFERROR(VLOOKUP(I407,Ref!$A$2:$B$65,2,FALSE),"Unclassified"))</f>
        <v/>
      </c>
      <c r="Z407">
        <f>IF(T407="","",IF(T407&lt;12,"Daily","Weekly"))</f>
        <v/>
      </c>
      <c r="AA407">
        <f>IF(T407="",0,IF(T407&lt;12,T407*Controls!$B$29,T407*5))</f>
        <v/>
      </c>
      <c r="AB407">
        <f>IF(E407="",0,NETWORKDAYS(E407,Controls!$B$36,Ref!$K$2:$K$42))</f>
        <v/>
      </c>
      <c r="AC407">
        <f>IF(AND(AA407&gt;0,AB407&gt;=Controls!$B$39*AA407),1,0)</f>
        <v/>
      </c>
      <c r="AD407">
        <f>IF(AND(E407&lt;&gt;"",E407&gt;=Controls!$B$37,E407&lt;=Controls!$B$38),1,0)</f>
        <v/>
      </c>
      <c r="AE407">
        <f>IF(IFERROR(VLOOKUP(D407,Controls!$A$64:$E$74,2,FALSE),"No")="Yes",1,0)</f>
        <v/>
      </c>
      <c r="AF407">
        <f>IF(IFERROR(VLOOKUP(D407,Controls!$A$64:$E$74,3,FALSE),"No")="Yes",1,0)</f>
        <v/>
      </c>
      <c r="AG407">
        <f>IF(IFERROR(VLOOKUP(D407,Controls!$A$64:$E$74,4,FALSE),"No")="Yes",1,0)</f>
        <v/>
      </c>
      <c r="AH407">
        <f>IF(IFERROR(VLOOKUP(D407,Controls!$A$64:$E$74,5,FALSE),"No")="Yes",1,0)</f>
        <v/>
      </c>
      <c r="AI407">
        <f>IF(ISNUMBER(MATCH(D407,Controls!$A$64:$A$74,0)),1,0)</f>
        <v/>
      </c>
      <c r="AJ407">
        <f>Q407-N407</f>
        <v/>
      </c>
      <c r="AK407">
        <f>IF(AE407=1,MAX(0,N407-Q407),0)</f>
        <v/>
      </c>
      <c r="AL407">
        <f>IF(OR(V407="",V407=0),0,N407/V407)</f>
        <v/>
      </c>
      <c r="AM407">
        <f>IF(OR(V407="",V407=0),0,1)</f>
        <v/>
      </c>
      <c r="AN407">
        <f>IF(OR(E407="",F407=""),0,NETWORKDAYS(E407,F407,Ref!$K$2:$K$42))</f>
        <v/>
      </c>
      <c r="AO407">
        <f>IF(L407="Renewal",1,0)</f>
        <v/>
      </c>
      <c r="AP407">
        <f>AC407*AD407</f>
        <v/>
      </c>
      <c r="AQ407">
        <f>IF(AND(G407&lt;&gt;"",'Historical Score'!$C$6&lt;&gt;""),IF(G407='Historical Score'!$C$6,1,0),0)</f>
        <v/>
      </c>
      <c r="AR407">
        <f>IF(AND(L407&lt;&gt;"",'Historical Score'!$C$5&lt;&gt;""),IF(L407='Historical Score'!$C$5,1,0),0)</f>
        <v/>
      </c>
      <c r="AS407">
        <f>IF(AND(Y407&lt;&gt;"",'Historical Score'!$C$7&lt;&gt;""),IF(Y407='Historical Score'!$C$7,1,0),0)</f>
        <v/>
      </c>
      <c r="AT407">
        <f>IF(AND(K407&lt;&gt;"",'Historical Score'!$C$8&lt;&gt;""),IF(K407='Historical Score'!$C$8,1,0),0)</f>
        <v/>
      </c>
      <c r="AU407">
        <f>IF(AND(J407&lt;&gt;"",'Historical Score'!$C$9&lt;&gt;""),IF(J407='Historical Score'!$C$9,1,0),0)</f>
        <v/>
      </c>
      <c r="AV407">
        <f>AR407*AS407*AQ407</f>
        <v/>
      </c>
      <c r="AW407">
        <f>AR407*AT407*AQ407</f>
        <v/>
      </c>
      <c r="AX407">
        <f>AR407*AS407</f>
        <v/>
      </c>
      <c r="AY407">
        <f>AR407*AT407</f>
        <v/>
      </c>
      <c r="AZ407">
        <f>AR407*AQ407</f>
        <v/>
      </c>
      <c r="BA407">
        <f>AR407</f>
        <v/>
      </c>
      <c r="BB407">
        <f>1</f>
        <v/>
      </c>
      <c r="BC407">
        <f>IF(AV407=1,1,IF(AW407=1,2,IF(AX407=1,3,IF(AY407=1,4,IF(AZ407=1,5,IF(BA407=1,6,7))))))</f>
        <v/>
      </c>
      <c r="BD407">
        <f>IF(AD407=1,CHOOSE('Historical Score'!$C$29,AV407,AW407,AX407,AY407,AZ407,BA407,BB407),0)</f>
        <v/>
      </c>
      <c r="BE407">
        <f>IF(BD407=1,COUNTIF($BD$2:BD407,1),"")</f>
        <v/>
      </c>
    </row>
    <row r="408">
      <c r="A408" t="inlineStr">
        <is>
          <t>5674173477</t>
        </is>
      </c>
      <c r="B408" t="inlineStr">
        <is>
          <t>SFV BUILDERS CORPORATION</t>
        </is>
      </c>
      <c r="C408" t="inlineStr">
        <is>
          <t>SFV BUILDERS CORPORATION</t>
        </is>
      </c>
      <c r="D408" t="inlineStr">
        <is>
          <t>Legal</t>
        </is>
      </c>
      <c r="E408" s="297" t="n">
        <v>45995</v>
      </c>
      <c r="F408" s="297" t="n">
        <v>46112</v>
      </c>
      <c r="G408" t="n">
        <v>2</v>
      </c>
      <c r="H408" t="inlineStr">
        <is>
          <t>1521</t>
        </is>
      </c>
      <c r="I408" t="inlineStr">
        <is>
          <t>15</t>
        </is>
      </c>
      <c r="J408" t="inlineStr">
        <is>
          <t>CA</t>
        </is>
      </c>
      <c r="K408" t="inlineStr">
        <is>
          <t>BizFin LLC</t>
        </is>
      </c>
      <c r="L408" t="inlineStr">
        <is>
          <t>New Deal</t>
        </is>
      </c>
      <c r="M408" s="298" t="n">
        <v>1.49</v>
      </c>
      <c r="N408" s="299" t="n">
        <v>7500</v>
      </c>
      <c r="O408" s="299" t="n">
        <v>1050</v>
      </c>
      <c r="P408" s="299" t="n">
        <v>11175</v>
      </c>
      <c r="Q408" s="299" t="n">
        <v>3916.15</v>
      </c>
      <c r="R408" s="299" t="n">
        <v>7258.85</v>
      </c>
      <c r="S408" s="300" t="n">
        <v>0.350438478747204</v>
      </c>
      <c r="T408" t="n">
        <v>20</v>
      </c>
      <c r="U408" t="n">
        <v>13</v>
      </c>
      <c r="V408" t="n">
        <v>78518.78</v>
      </c>
      <c r="W408" s="300" t="n">
        <v>0.0285</v>
      </c>
      <c r="X408" s="297" t="n">
        <v>44358</v>
      </c>
      <c r="Y408">
        <f>IF(I408="","No SIC",IFERROR(VLOOKUP(I408,Ref!$A$2:$B$65,2,FALSE),"Unclassified"))</f>
        <v/>
      </c>
      <c r="Z408">
        <f>IF(T408="","",IF(T408&lt;12,"Daily","Weekly"))</f>
        <v/>
      </c>
      <c r="AA408">
        <f>IF(T408="",0,IF(T408&lt;12,T408*Controls!$B$29,T408*5))</f>
        <v/>
      </c>
      <c r="AB408">
        <f>IF(E408="",0,NETWORKDAYS(E408,Controls!$B$36,Ref!$K$2:$K$42))</f>
        <v/>
      </c>
      <c r="AC408">
        <f>IF(AND(AA408&gt;0,AB408&gt;=Controls!$B$39*AA408),1,0)</f>
        <v/>
      </c>
      <c r="AD408">
        <f>IF(AND(E408&lt;&gt;"",E408&gt;=Controls!$B$37,E408&lt;=Controls!$B$38),1,0)</f>
        <v/>
      </c>
      <c r="AE408">
        <f>IF(IFERROR(VLOOKUP(D408,Controls!$A$64:$E$74,2,FALSE),"No")="Yes",1,0)</f>
        <v/>
      </c>
      <c r="AF408">
        <f>IF(IFERROR(VLOOKUP(D408,Controls!$A$64:$E$74,3,FALSE),"No")="Yes",1,0)</f>
        <v/>
      </c>
      <c r="AG408">
        <f>IF(IFERROR(VLOOKUP(D408,Controls!$A$64:$E$74,4,FALSE),"No")="Yes",1,0)</f>
        <v/>
      </c>
      <c r="AH408">
        <f>IF(IFERROR(VLOOKUP(D408,Controls!$A$64:$E$74,5,FALSE),"No")="Yes",1,0)</f>
        <v/>
      </c>
      <c r="AI408">
        <f>IF(ISNUMBER(MATCH(D408,Controls!$A$64:$A$74,0)),1,0)</f>
        <v/>
      </c>
      <c r="AJ408">
        <f>Q408-N408</f>
        <v/>
      </c>
      <c r="AK408">
        <f>IF(AE408=1,MAX(0,N408-Q408),0)</f>
        <v/>
      </c>
      <c r="AL408">
        <f>IF(OR(V408="",V408=0),0,N408/V408)</f>
        <v/>
      </c>
      <c r="AM408">
        <f>IF(OR(V408="",V408=0),0,1)</f>
        <v/>
      </c>
      <c r="AN408">
        <f>IF(OR(E408="",F408=""),0,NETWORKDAYS(E408,F408,Ref!$K$2:$K$42))</f>
        <v/>
      </c>
      <c r="AO408">
        <f>IF(L408="Renewal",1,0)</f>
        <v/>
      </c>
      <c r="AP408">
        <f>AC408*AD408</f>
        <v/>
      </c>
      <c r="AQ408">
        <f>IF(AND(G408&lt;&gt;"",'Historical Score'!$C$6&lt;&gt;""),IF(G408='Historical Score'!$C$6,1,0),0)</f>
        <v/>
      </c>
      <c r="AR408">
        <f>IF(AND(L408&lt;&gt;"",'Historical Score'!$C$5&lt;&gt;""),IF(L408='Historical Score'!$C$5,1,0),0)</f>
        <v/>
      </c>
      <c r="AS408">
        <f>IF(AND(Y408&lt;&gt;"",'Historical Score'!$C$7&lt;&gt;""),IF(Y408='Historical Score'!$C$7,1,0),0)</f>
        <v/>
      </c>
      <c r="AT408">
        <f>IF(AND(K408&lt;&gt;"",'Historical Score'!$C$8&lt;&gt;""),IF(K408='Historical Score'!$C$8,1,0),0)</f>
        <v/>
      </c>
      <c r="AU408">
        <f>IF(AND(J408&lt;&gt;"",'Historical Score'!$C$9&lt;&gt;""),IF(J408='Historical Score'!$C$9,1,0),0)</f>
        <v/>
      </c>
      <c r="AV408">
        <f>AR408*AS408*AQ408</f>
        <v/>
      </c>
      <c r="AW408">
        <f>AR408*AT408*AQ408</f>
        <v/>
      </c>
      <c r="AX408">
        <f>AR408*AS408</f>
        <v/>
      </c>
      <c r="AY408">
        <f>AR408*AT408</f>
        <v/>
      </c>
      <c r="AZ408">
        <f>AR408*AQ408</f>
        <v/>
      </c>
      <c r="BA408">
        <f>AR408</f>
        <v/>
      </c>
      <c r="BB408">
        <f>1</f>
        <v/>
      </c>
      <c r="BC408">
        <f>IF(AV408=1,1,IF(AW408=1,2,IF(AX408=1,3,IF(AY408=1,4,IF(AZ408=1,5,IF(BA408=1,6,7))))))</f>
        <v/>
      </c>
      <c r="BD408">
        <f>IF(AD408=1,CHOOSE('Historical Score'!$C$29,AV408,AW408,AX408,AY408,AZ408,BA408,BB408),0)</f>
        <v/>
      </c>
      <c r="BE408">
        <f>IF(BD408=1,COUNTIF($BD$2:BD408,1),"")</f>
        <v/>
      </c>
    </row>
    <row r="409">
      <c r="A409" t="inlineStr">
        <is>
          <t>5674173492</t>
        </is>
      </c>
      <c r="B409" t="inlineStr">
        <is>
          <t>1234 ENTERPRISES INC.</t>
        </is>
      </c>
      <c r="C409" t="inlineStr">
        <is>
          <t>1234 ENTERPRISES INC.</t>
        </is>
      </c>
      <c r="D409" t="inlineStr">
        <is>
          <t>Lowered Payments</t>
        </is>
      </c>
      <c r="E409" s="297" t="n">
        <v>45995</v>
      </c>
      <c r="F409" s="297" t="n">
        <v>46247</v>
      </c>
      <c r="G409" t="n">
        <v>1</v>
      </c>
      <c r="H409" t="inlineStr">
        <is>
          <t>2396</t>
        </is>
      </c>
      <c r="I409" t="inlineStr">
        <is>
          <t>23</t>
        </is>
      </c>
      <c r="J409" t="inlineStr">
        <is>
          <t>UT</t>
        </is>
      </c>
      <c r="K409" t="inlineStr">
        <is>
          <t>Fundwell</t>
        </is>
      </c>
      <c r="L409" t="inlineStr">
        <is>
          <t>New Deal</t>
        </is>
      </c>
      <c r="M409" s="298" t="n">
        <v>1.44</v>
      </c>
      <c r="N409" s="299" t="n">
        <v>16000</v>
      </c>
      <c r="O409" s="299" t="n">
        <v>2400</v>
      </c>
      <c r="P409" s="299" t="n">
        <v>23040</v>
      </c>
      <c r="Q409" s="299" t="n">
        <v>5760.6</v>
      </c>
      <c r="R409" s="299" t="n">
        <v>17279.4</v>
      </c>
      <c r="S409" s="300" t="n">
        <v>0.250026041666667</v>
      </c>
      <c r="T409" t="n">
        <v>20</v>
      </c>
      <c r="U409" t="n">
        <v>26</v>
      </c>
      <c r="V409" t="n">
        <v>9644.16</v>
      </c>
      <c r="W409" s="300" t="n"/>
      <c r="X409" s="297" t="n">
        <v>45218</v>
      </c>
      <c r="Y409">
        <f>IF(I409="","No SIC",IFERROR(VLOOKUP(I409,Ref!$A$2:$B$65,2,FALSE),"Unclassified"))</f>
        <v/>
      </c>
      <c r="Z409">
        <f>IF(T409="","",IF(T409&lt;12,"Daily","Weekly"))</f>
        <v/>
      </c>
      <c r="AA409">
        <f>IF(T409="",0,IF(T409&lt;12,T409*Controls!$B$29,T409*5))</f>
        <v/>
      </c>
      <c r="AB409">
        <f>IF(E409="",0,NETWORKDAYS(E409,Controls!$B$36,Ref!$K$2:$K$42))</f>
        <v/>
      </c>
      <c r="AC409">
        <f>IF(AND(AA409&gt;0,AB409&gt;=Controls!$B$39*AA409),1,0)</f>
        <v/>
      </c>
      <c r="AD409">
        <f>IF(AND(E409&lt;&gt;"",E409&gt;=Controls!$B$37,E409&lt;=Controls!$B$38),1,0)</f>
        <v/>
      </c>
      <c r="AE409">
        <f>IF(IFERROR(VLOOKUP(D409,Controls!$A$64:$E$74,2,FALSE),"No")="Yes",1,0)</f>
        <v/>
      </c>
      <c r="AF409">
        <f>IF(IFERROR(VLOOKUP(D409,Controls!$A$64:$E$74,3,FALSE),"No")="Yes",1,0)</f>
        <v/>
      </c>
      <c r="AG409">
        <f>IF(IFERROR(VLOOKUP(D409,Controls!$A$64:$E$74,4,FALSE),"No")="Yes",1,0)</f>
        <v/>
      </c>
      <c r="AH409">
        <f>IF(IFERROR(VLOOKUP(D409,Controls!$A$64:$E$74,5,FALSE),"No")="Yes",1,0)</f>
        <v/>
      </c>
      <c r="AI409">
        <f>IF(ISNUMBER(MATCH(D409,Controls!$A$64:$A$74,0)),1,0)</f>
        <v/>
      </c>
      <c r="AJ409">
        <f>Q409-N409</f>
        <v/>
      </c>
      <c r="AK409">
        <f>IF(AE409=1,MAX(0,N409-Q409),0)</f>
        <v/>
      </c>
      <c r="AL409">
        <f>IF(OR(V409="",V409=0),0,N409/V409)</f>
        <v/>
      </c>
      <c r="AM409">
        <f>IF(OR(V409="",V409=0),0,1)</f>
        <v/>
      </c>
      <c r="AN409">
        <f>IF(OR(E409="",F409=""),0,NETWORKDAYS(E409,F409,Ref!$K$2:$K$42))</f>
        <v/>
      </c>
      <c r="AO409">
        <f>IF(L409="Renewal",1,0)</f>
        <v/>
      </c>
      <c r="AP409">
        <f>AC409*AD409</f>
        <v/>
      </c>
      <c r="AQ409">
        <f>IF(AND(G409&lt;&gt;"",'Historical Score'!$C$6&lt;&gt;""),IF(G409='Historical Score'!$C$6,1,0),0)</f>
        <v/>
      </c>
      <c r="AR409">
        <f>IF(AND(L409&lt;&gt;"",'Historical Score'!$C$5&lt;&gt;""),IF(L409='Historical Score'!$C$5,1,0),0)</f>
        <v/>
      </c>
      <c r="AS409">
        <f>IF(AND(Y409&lt;&gt;"",'Historical Score'!$C$7&lt;&gt;""),IF(Y409='Historical Score'!$C$7,1,0),0)</f>
        <v/>
      </c>
      <c r="AT409">
        <f>IF(AND(K409&lt;&gt;"",'Historical Score'!$C$8&lt;&gt;""),IF(K409='Historical Score'!$C$8,1,0),0)</f>
        <v/>
      </c>
      <c r="AU409">
        <f>IF(AND(J409&lt;&gt;"",'Historical Score'!$C$9&lt;&gt;""),IF(J409='Historical Score'!$C$9,1,0),0)</f>
        <v/>
      </c>
      <c r="AV409">
        <f>AR409*AS409*AQ409</f>
        <v/>
      </c>
      <c r="AW409">
        <f>AR409*AT409*AQ409</f>
        <v/>
      </c>
      <c r="AX409">
        <f>AR409*AS409</f>
        <v/>
      </c>
      <c r="AY409">
        <f>AR409*AT409</f>
        <v/>
      </c>
      <c r="AZ409">
        <f>AR409*AQ409</f>
        <v/>
      </c>
      <c r="BA409">
        <f>AR409</f>
        <v/>
      </c>
      <c r="BB409">
        <f>1</f>
        <v/>
      </c>
      <c r="BC409">
        <f>IF(AV409=1,1,IF(AW409=1,2,IF(AX409=1,3,IF(AY409=1,4,IF(AZ409=1,5,IF(BA409=1,6,7))))))</f>
        <v/>
      </c>
      <c r="BD409">
        <f>IF(AD409=1,CHOOSE('Historical Score'!$C$29,AV409,AW409,AX409,AY409,AZ409,BA409,BB409),0)</f>
        <v/>
      </c>
      <c r="BE409">
        <f>IF(BD409=1,COUNTIF($BD$2:BD409,1),"")</f>
        <v/>
      </c>
    </row>
    <row r="410">
      <c r="A410" t="inlineStr">
        <is>
          <t>5674173525</t>
        </is>
      </c>
      <c r="B410" t="inlineStr">
        <is>
          <t>PIG COW SPUD LLC</t>
        </is>
      </c>
      <c r="C410" t="inlineStr">
        <is>
          <t>PIG COW SPUD LLC</t>
        </is>
      </c>
      <c r="D410" t="inlineStr">
        <is>
          <t>Legal</t>
        </is>
      </c>
      <c r="E410" s="297" t="n">
        <v>45995</v>
      </c>
      <c r="F410" s="297" t="n">
        <v>46024</v>
      </c>
      <c r="G410" t="n">
        <v>8</v>
      </c>
      <c r="H410" t="inlineStr">
        <is>
          <t>5812</t>
        </is>
      </c>
      <c r="I410" t="inlineStr">
        <is>
          <t>58</t>
        </is>
      </c>
      <c r="J410" t="inlineStr">
        <is>
          <t>OR</t>
        </is>
      </c>
      <c r="K410" t="inlineStr">
        <is>
          <t>United Secured Capital 8</t>
        </is>
      </c>
      <c r="L410" t="inlineStr">
        <is>
          <t>New Deal</t>
        </is>
      </c>
      <c r="M410" s="298" t="n">
        <v>1.499</v>
      </c>
      <c r="N410" s="299" t="n">
        <v>15000</v>
      </c>
      <c r="O410" s="299" t="n">
        <v>2100</v>
      </c>
      <c r="P410" s="299" t="n">
        <v>22485</v>
      </c>
      <c r="Q410" s="299" t="n">
        <v>7159.04</v>
      </c>
      <c r="R410" s="299" t="n">
        <v>15325.96</v>
      </c>
      <c r="S410" s="300" t="n">
        <v>0.318391816766733</v>
      </c>
      <c r="T410" t="n">
        <v>1.639</v>
      </c>
      <c r="U410" t="n">
        <v>3</v>
      </c>
      <c r="V410" t="n">
        <v>130322.36</v>
      </c>
      <c r="W410" s="300" t="n">
        <v>0.0721</v>
      </c>
      <c r="X410" s="297" t="n">
        <v>45017</v>
      </c>
      <c r="Y410">
        <f>IF(I410="","No SIC",IFERROR(VLOOKUP(I410,Ref!$A$2:$B$65,2,FALSE),"Unclassified"))</f>
        <v/>
      </c>
      <c r="Z410">
        <f>IF(T410="","",IF(T410&lt;12,"Daily","Weekly"))</f>
        <v/>
      </c>
      <c r="AA410">
        <f>IF(T410="",0,IF(T410&lt;12,T410*Controls!$B$29,T410*5))</f>
        <v/>
      </c>
      <c r="AB410">
        <f>IF(E410="",0,NETWORKDAYS(E410,Controls!$B$36,Ref!$K$2:$K$42))</f>
        <v/>
      </c>
      <c r="AC410">
        <f>IF(AND(AA410&gt;0,AB410&gt;=Controls!$B$39*AA410),1,0)</f>
        <v/>
      </c>
      <c r="AD410">
        <f>IF(AND(E410&lt;&gt;"",E410&gt;=Controls!$B$37,E410&lt;=Controls!$B$38),1,0)</f>
        <v/>
      </c>
      <c r="AE410">
        <f>IF(IFERROR(VLOOKUP(D410,Controls!$A$64:$E$74,2,FALSE),"No")="Yes",1,0)</f>
        <v/>
      </c>
      <c r="AF410">
        <f>IF(IFERROR(VLOOKUP(D410,Controls!$A$64:$E$74,3,FALSE),"No")="Yes",1,0)</f>
        <v/>
      </c>
      <c r="AG410">
        <f>IF(IFERROR(VLOOKUP(D410,Controls!$A$64:$E$74,4,FALSE),"No")="Yes",1,0)</f>
        <v/>
      </c>
      <c r="AH410">
        <f>IF(IFERROR(VLOOKUP(D410,Controls!$A$64:$E$74,5,FALSE),"No")="Yes",1,0)</f>
        <v/>
      </c>
      <c r="AI410">
        <f>IF(ISNUMBER(MATCH(D410,Controls!$A$64:$A$74,0)),1,0)</f>
        <v/>
      </c>
      <c r="AJ410">
        <f>Q410-N410</f>
        <v/>
      </c>
      <c r="AK410">
        <f>IF(AE410=1,MAX(0,N410-Q410),0)</f>
        <v/>
      </c>
      <c r="AL410">
        <f>IF(OR(V410="",V410=0),0,N410/V410)</f>
        <v/>
      </c>
      <c r="AM410">
        <f>IF(OR(V410="",V410=0),0,1)</f>
        <v/>
      </c>
      <c r="AN410">
        <f>IF(OR(E410="",F410=""),0,NETWORKDAYS(E410,F410,Ref!$K$2:$K$42))</f>
        <v/>
      </c>
      <c r="AO410">
        <f>IF(L410="Renewal",1,0)</f>
        <v/>
      </c>
      <c r="AP410">
        <f>AC410*AD410</f>
        <v/>
      </c>
      <c r="AQ410">
        <f>IF(AND(G410&lt;&gt;"",'Historical Score'!$C$6&lt;&gt;""),IF(G410='Historical Score'!$C$6,1,0),0)</f>
        <v/>
      </c>
      <c r="AR410">
        <f>IF(AND(L410&lt;&gt;"",'Historical Score'!$C$5&lt;&gt;""),IF(L410='Historical Score'!$C$5,1,0),0)</f>
        <v/>
      </c>
      <c r="AS410">
        <f>IF(AND(Y410&lt;&gt;"",'Historical Score'!$C$7&lt;&gt;""),IF(Y410='Historical Score'!$C$7,1,0),0)</f>
        <v/>
      </c>
      <c r="AT410">
        <f>IF(AND(K410&lt;&gt;"",'Historical Score'!$C$8&lt;&gt;""),IF(K410='Historical Score'!$C$8,1,0),0)</f>
        <v/>
      </c>
      <c r="AU410">
        <f>IF(AND(J410&lt;&gt;"",'Historical Score'!$C$9&lt;&gt;""),IF(J410='Historical Score'!$C$9,1,0),0)</f>
        <v/>
      </c>
      <c r="AV410">
        <f>AR410*AS410*AQ410</f>
        <v/>
      </c>
      <c r="AW410">
        <f>AR410*AT410*AQ410</f>
        <v/>
      </c>
      <c r="AX410">
        <f>AR410*AS410</f>
        <v/>
      </c>
      <c r="AY410">
        <f>AR410*AT410</f>
        <v/>
      </c>
      <c r="AZ410">
        <f>AR410*AQ410</f>
        <v/>
      </c>
      <c r="BA410">
        <f>AR410</f>
        <v/>
      </c>
      <c r="BB410">
        <f>1</f>
        <v/>
      </c>
      <c r="BC410">
        <f>IF(AV410=1,1,IF(AW410=1,2,IF(AX410=1,3,IF(AY410=1,4,IF(AZ410=1,5,IF(BA410=1,6,7))))))</f>
        <v/>
      </c>
      <c r="BD410">
        <f>IF(AD410=1,CHOOSE('Historical Score'!$C$29,AV410,AW410,AX410,AY410,AZ410,BA410,BB410),0)</f>
        <v/>
      </c>
      <c r="BE410">
        <f>IF(BD410=1,COUNTIF($BD$2:BD410,1),"")</f>
        <v/>
      </c>
    </row>
    <row r="411">
      <c r="A411" t="inlineStr">
        <is>
          <t>5674173531</t>
        </is>
      </c>
      <c r="B411" t="inlineStr">
        <is>
          <t>IMPORT AUTOMOTIVE REPAIR</t>
        </is>
      </c>
      <c r="C411" t="inlineStr">
        <is>
          <t>TK FAMILY LLC</t>
        </is>
      </c>
      <c r="D411" t="inlineStr">
        <is>
          <t>Closed/NSF Unpaid</t>
        </is>
      </c>
      <c r="E411" s="297" t="n">
        <v>45995</v>
      </c>
      <c r="F411" s="297" t="n">
        <v>46154</v>
      </c>
      <c r="G411" t="n">
        <v>3</v>
      </c>
      <c r="H411" t="inlineStr">
        <is>
          <t>7538</t>
        </is>
      </c>
      <c r="I411" t="inlineStr">
        <is>
          <t>75</t>
        </is>
      </c>
      <c r="J411" t="inlineStr">
        <is>
          <t>CA</t>
        </is>
      </c>
      <c r="K411" t="inlineStr">
        <is>
          <t>Linked In Funding</t>
        </is>
      </c>
      <c r="L411" t="inlineStr">
        <is>
          <t>New Deal</t>
        </is>
      </c>
      <c r="M411" s="298" t="n">
        <v>1.44</v>
      </c>
      <c r="N411" s="299" t="n">
        <v>20000</v>
      </c>
      <c r="O411" s="299" t="n">
        <v>2300</v>
      </c>
      <c r="P411" s="299" t="n">
        <v>28800</v>
      </c>
      <c r="Q411" s="299" t="n">
        <v>28800</v>
      </c>
      <c r="R411" s="299" t="n">
        <v>0</v>
      </c>
      <c r="S411" s="300" t="n">
        <v>1</v>
      </c>
      <c r="T411" t="n">
        <v>2.951</v>
      </c>
      <c r="U411" t="n">
        <v>18</v>
      </c>
      <c r="V411" t="n">
        <v>55841.27</v>
      </c>
      <c r="W411" s="300" t="n">
        <v>0.1203</v>
      </c>
      <c r="X411" s="297" t="n">
        <v>44550</v>
      </c>
      <c r="Y411">
        <f>IF(I411="","No SIC",IFERROR(VLOOKUP(I411,Ref!$A$2:$B$65,2,FALSE),"Unclassified"))</f>
        <v/>
      </c>
      <c r="Z411">
        <f>IF(T411="","",IF(T411&lt;12,"Daily","Weekly"))</f>
        <v/>
      </c>
      <c r="AA411">
        <f>IF(T411="",0,IF(T411&lt;12,T411*Controls!$B$29,T411*5))</f>
        <v/>
      </c>
      <c r="AB411">
        <f>IF(E411="",0,NETWORKDAYS(E411,Controls!$B$36,Ref!$K$2:$K$42))</f>
        <v/>
      </c>
      <c r="AC411">
        <f>IF(AND(AA411&gt;0,AB411&gt;=Controls!$B$39*AA411),1,0)</f>
        <v/>
      </c>
      <c r="AD411">
        <f>IF(AND(E411&lt;&gt;"",E411&gt;=Controls!$B$37,E411&lt;=Controls!$B$38),1,0)</f>
        <v/>
      </c>
      <c r="AE411">
        <f>IF(IFERROR(VLOOKUP(D411,Controls!$A$64:$E$74,2,FALSE),"No")="Yes",1,0)</f>
        <v/>
      </c>
      <c r="AF411">
        <f>IF(IFERROR(VLOOKUP(D411,Controls!$A$64:$E$74,3,FALSE),"No")="Yes",1,0)</f>
        <v/>
      </c>
      <c r="AG411">
        <f>IF(IFERROR(VLOOKUP(D411,Controls!$A$64:$E$74,4,FALSE),"No")="Yes",1,0)</f>
        <v/>
      </c>
      <c r="AH411">
        <f>IF(IFERROR(VLOOKUP(D411,Controls!$A$64:$E$74,5,FALSE),"No")="Yes",1,0)</f>
        <v/>
      </c>
      <c r="AI411">
        <f>IF(ISNUMBER(MATCH(D411,Controls!$A$64:$A$74,0)),1,0)</f>
        <v/>
      </c>
      <c r="AJ411">
        <f>Q411-N411</f>
        <v/>
      </c>
      <c r="AK411">
        <f>IF(AE411=1,MAX(0,N411-Q411),0)</f>
        <v/>
      </c>
      <c r="AL411">
        <f>IF(OR(V411="",V411=0),0,N411/V411)</f>
        <v/>
      </c>
      <c r="AM411">
        <f>IF(OR(V411="",V411=0),0,1)</f>
        <v/>
      </c>
      <c r="AN411">
        <f>IF(OR(E411="",F411=""),0,NETWORKDAYS(E411,F411,Ref!$K$2:$K$42))</f>
        <v/>
      </c>
      <c r="AO411">
        <f>IF(L411="Renewal",1,0)</f>
        <v/>
      </c>
      <c r="AP411">
        <f>AC411*AD411</f>
        <v/>
      </c>
      <c r="AQ411">
        <f>IF(AND(G411&lt;&gt;"",'Historical Score'!$C$6&lt;&gt;""),IF(G411='Historical Score'!$C$6,1,0),0)</f>
        <v/>
      </c>
      <c r="AR411">
        <f>IF(AND(L411&lt;&gt;"",'Historical Score'!$C$5&lt;&gt;""),IF(L411='Historical Score'!$C$5,1,0),0)</f>
        <v/>
      </c>
      <c r="AS411">
        <f>IF(AND(Y411&lt;&gt;"",'Historical Score'!$C$7&lt;&gt;""),IF(Y411='Historical Score'!$C$7,1,0),0)</f>
        <v/>
      </c>
      <c r="AT411">
        <f>IF(AND(K411&lt;&gt;"",'Historical Score'!$C$8&lt;&gt;""),IF(K411='Historical Score'!$C$8,1,0),0)</f>
        <v/>
      </c>
      <c r="AU411">
        <f>IF(AND(J411&lt;&gt;"",'Historical Score'!$C$9&lt;&gt;""),IF(J411='Historical Score'!$C$9,1,0),0)</f>
        <v/>
      </c>
      <c r="AV411">
        <f>AR411*AS411*AQ411</f>
        <v/>
      </c>
      <c r="AW411">
        <f>AR411*AT411*AQ411</f>
        <v/>
      </c>
      <c r="AX411">
        <f>AR411*AS411</f>
        <v/>
      </c>
      <c r="AY411">
        <f>AR411*AT411</f>
        <v/>
      </c>
      <c r="AZ411">
        <f>AR411*AQ411</f>
        <v/>
      </c>
      <c r="BA411">
        <f>AR411</f>
        <v/>
      </c>
      <c r="BB411">
        <f>1</f>
        <v/>
      </c>
      <c r="BC411">
        <f>IF(AV411=1,1,IF(AW411=1,2,IF(AX411=1,3,IF(AY411=1,4,IF(AZ411=1,5,IF(BA411=1,6,7))))))</f>
        <v/>
      </c>
      <c r="BD411">
        <f>IF(AD411=1,CHOOSE('Historical Score'!$C$29,AV411,AW411,AX411,AY411,AZ411,BA411,BB411),0)</f>
        <v/>
      </c>
      <c r="BE411">
        <f>IF(BD411=1,COUNTIF($BD$2:BD411,1),"")</f>
        <v/>
      </c>
    </row>
    <row r="412">
      <c r="A412" t="inlineStr">
        <is>
          <t>5674173574</t>
        </is>
      </c>
      <c r="B412" t="inlineStr">
        <is>
          <t>VITALIS WELLNESS CENTER</t>
        </is>
      </c>
      <c r="C412" t="inlineStr">
        <is>
          <t>VITALIS WELLNESS CENTER LLC</t>
        </is>
      </c>
      <c r="D412" t="inlineStr">
        <is>
          <t>Closed</t>
        </is>
      </c>
      <c r="E412" s="297" t="n">
        <v>45996</v>
      </c>
      <c r="F412" s="297" t="n">
        <v>46087</v>
      </c>
      <c r="G412" t="n">
        <v>2</v>
      </c>
      <c r="H412" t="inlineStr">
        <is>
          <t>8011</t>
        </is>
      </c>
      <c r="I412" t="inlineStr">
        <is>
          <t>80</t>
        </is>
      </c>
      <c r="J412" t="inlineStr">
        <is>
          <t>FL</t>
        </is>
      </c>
      <c r="K412" t="inlineStr">
        <is>
          <t>Tech Consulting Pro LLC D/B/A: Nationwide Advance</t>
        </is>
      </c>
      <c r="L412" t="inlineStr">
        <is>
          <t>New Deal</t>
        </is>
      </c>
      <c r="M412" s="298" t="n">
        <v>1.45</v>
      </c>
      <c r="N412" s="299" t="n">
        <v>20000</v>
      </c>
      <c r="O412" s="299" t="n">
        <v>2400</v>
      </c>
      <c r="P412" s="299" t="n">
        <v>29000</v>
      </c>
      <c r="Q412" s="299" t="n">
        <v>29000</v>
      </c>
      <c r="R412" s="299" t="n">
        <v>0</v>
      </c>
      <c r="S412" s="300" t="n">
        <v>1</v>
      </c>
      <c r="T412" t="n">
        <v>3.934</v>
      </c>
      <c r="U412" t="n">
        <v>1</v>
      </c>
      <c r="V412" t="n">
        <v>22922.57</v>
      </c>
      <c r="W412" s="300" t="n">
        <v>0.2214</v>
      </c>
      <c r="X412" s="297" t="n"/>
      <c r="Y412">
        <f>IF(I412="","No SIC",IFERROR(VLOOKUP(I412,Ref!$A$2:$B$65,2,FALSE),"Unclassified"))</f>
        <v/>
      </c>
      <c r="Z412">
        <f>IF(T412="","",IF(T412&lt;12,"Daily","Weekly"))</f>
        <v/>
      </c>
      <c r="AA412">
        <f>IF(T412="",0,IF(T412&lt;12,T412*Controls!$B$29,T412*5))</f>
        <v/>
      </c>
      <c r="AB412">
        <f>IF(E412="",0,NETWORKDAYS(E412,Controls!$B$36,Ref!$K$2:$K$42))</f>
        <v/>
      </c>
      <c r="AC412">
        <f>IF(AND(AA412&gt;0,AB412&gt;=Controls!$B$39*AA412),1,0)</f>
        <v/>
      </c>
      <c r="AD412">
        <f>IF(AND(E412&lt;&gt;"",E412&gt;=Controls!$B$37,E412&lt;=Controls!$B$38),1,0)</f>
        <v/>
      </c>
      <c r="AE412">
        <f>IF(IFERROR(VLOOKUP(D412,Controls!$A$64:$E$74,2,FALSE),"No")="Yes",1,0)</f>
        <v/>
      </c>
      <c r="AF412">
        <f>IF(IFERROR(VLOOKUP(D412,Controls!$A$64:$E$74,3,FALSE),"No")="Yes",1,0)</f>
        <v/>
      </c>
      <c r="AG412">
        <f>IF(IFERROR(VLOOKUP(D412,Controls!$A$64:$E$74,4,FALSE),"No")="Yes",1,0)</f>
        <v/>
      </c>
      <c r="AH412">
        <f>IF(IFERROR(VLOOKUP(D412,Controls!$A$64:$E$74,5,FALSE),"No")="Yes",1,0)</f>
        <v/>
      </c>
      <c r="AI412">
        <f>IF(ISNUMBER(MATCH(D412,Controls!$A$64:$A$74,0)),1,0)</f>
        <v/>
      </c>
      <c r="AJ412">
        <f>Q412-N412</f>
        <v/>
      </c>
      <c r="AK412">
        <f>IF(AE412=1,MAX(0,N412-Q412),0)</f>
        <v/>
      </c>
      <c r="AL412">
        <f>IF(OR(V412="",V412=0),0,N412/V412)</f>
        <v/>
      </c>
      <c r="AM412">
        <f>IF(OR(V412="",V412=0),0,1)</f>
        <v/>
      </c>
      <c r="AN412">
        <f>IF(OR(E412="",F412=""),0,NETWORKDAYS(E412,F412,Ref!$K$2:$K$42))</f>
        <v/>
      </c>
      <c r="AO412">
        <f>IF(L412="Renewal",1,0)</f>
        <v/>
      </c>
      <c r="AP412">
        <f>AC412*AD412</f>
        <v/>
      </c>
      <c r="AQ412">
        <f>IF(AND(G412&lt;&gt;"",'Historical Score'!$C$6&lt;&gt;""),IF(G412='Historical Score'!$C$6,1,0),0)</f>
        <v/>
      </c>
      <c r="AR412">
        <f>IF(AND(L412&lt;&gt;"",'Historical Score'!$C$5&lt;&gt;""),IF(L412='Historical Score'!$C$5,1,0),0)</f>
        <v/>
      </c>
      <c r="AS412">
        <f>IF(AND(Y412&lt;&gt;"",'Historical Score'!$C$7&lt;&gt;""),IF(Y412='Historical Score'!$C$7,1,0),0)</f>
        <v/>
      </c>
      <c r="AT412">
        <f>IF(AND(K412&lt;&gt;"",'Historical Score'!$C$8&lt;&gt;""),IF(K412='Historical Score'!$C$8,1,0),0)</f>
        <v/>
      </c>
      <c r="AU412">
        <f>IF(AND(J412&lt;&gt;"",'Historical Score'!$C$9&lt;&gt;""),IF(J412='Historical Score'!$C$9,1,0),0)</f>
        <v/>
      </c>
      <c r="AV412">
        <f>AR412*AS412*AQ412</f>
        <v/>
      </c>
      <c r="AW412">
        <f>AR412*AT412*AQ412</f>
        <v/>
      </c>
      <c r="AX412">
        <f>AR412*AS412</f>
        <v/>
      </c>
      <c r="AY412">
        <f>AR412*AT412</f>
        <v/>
      </c>
      <c r="AZ412">
        <f>AR412*AQ412</f>
        <v/>
      </c>
      <c r="BA412">
        <f>AR412</f>
        <v/>
      </c>
      <c r="BB412">
        <f>1</f>
        <v/>
      </c>
      <c r="BC412">
        <f>IF(AV412=1,1,IF(AW412=1,2,IF(AX412=1,3,IF(AY412=1,4,IF(AZ412=1,5,IF(BA412=1,6,7))))))</f>
        <v/>
      </c>
      <c r="BD412">
        <f>IF(AD412=1,CHOOSE('Historical Score'!$C$29,AV412,AW412,AX412,AY412,AZ412,BA412,BB412),0)</f>
        <v/>
      </c>
      <c r="BE412">
        <f>IF(BD412=1,COUNTIF($BD$2:BD412,1),"")</f>
        <v/>
      </c>
    </row>
    <row r="413">
      <c r="A413" t="inlineStr">
        <is>
          <t>5674173588</t>
        </is>
      </c>
      <c r="B413" t="inlineStr">
        <is>
          <t>Bailey's Auto Crushing &amp; Recycling</t>
        </is>
      </c>
      <c r="C413" t="inlineStr">
        <is>
          <t>ROBERT M BAILEY</t>
        </is>
      </c>
      <c r="D413" t="inlineStr">
        <is>
          <t>Closed</t>
        </is>
      </c>
      <c r="E413" s="297" t="n">
        <v>45996</v>
      </c>
      <c r="F413" s="297" t="n">
        <v>46174</v>
      </c>
      <c r="G413" t="n">
        <v>1</v>
      </c>
      <c r="H413" t="inlineStr">
        <is>
          <t>3465</t>
        </is>
      </c>
      <c r="I413" t="inlineStr">
        <is>
          <t>34</t>
        </is>
      </c>
      <c r="J413" t="inlineStr">
        <is>
          <t>TX</t>
        </is>
      </c>
      <c r="K413" t="inlineStr">
        <is>
          <t>Birkin Capital Inc</t>
        </is>
      </c>
      <c r="L413" t="inlineStr">
        <is>
          <t>New Deal</t>
        </is>
      </c>
      <c r="M413" s="298" t="n">
        <v>1.46</v>
      </c>
      <c r="N413" s="299" t="n">
        <v>100000</v>
      </c>
      <c r="O413" s="299" t="n">
        <v>15000</v>
      </c>
      <c r="P413" s="299" t="n">
        <v>146000</v>
      </c>
      <c r="Q413" s="299" t="n">
        <v>146000</v>
      </c>
      <c r="R413" s="299" t="n">
        <v>0</v>
      </c>
      <c r="S413" s="300" t="n">
        <v>1</v>
      </c>
      <c r="T413" t="n">
        <v>24</v>
      </c>
      <c r="U413" t="n">
        <v>0</v>
      </c>
      <c r="V413" t="n">
        <v>328464.36</v>
      </c>
      <c r="W413" s="300" t="n">
        <v>0.074</v>
      </c>
      <c r="X413" s="297" t="n">
        <v>43619</v>
      </c>
      <c r="Y413">
        <f>IF(I413="","No SIC",IFERROR(VLOOKUP(I413,Ref!$A$2:$B$65,2,FALSE),"Unclassified"))</f>
        <v/>
      </c>
      <c r="Z413">
        <f>IF(T413="","",IF(T413&lt;12,"Daily","Weekly"))</f>
        <v/>
      </c>
      <c r="AA413">
        <f>IF(T413="",0,IF(T413&lt;12,T413*Controls!$B$29,T413*5))</f>
        <v/>
      </c>
      <c r="AB413">
        <f>IF(E413="",0,NETWORKDAYS(E413,Controls!$B$36,Ref!$K$2:$K$42))</f>
        <v/>
      </c>
      <c r="AC413">
        <f>IF(AND(AA413&gt;0,AB413&gt;=Controls!$B$39*AA413),1,0)</f>
        <v/>
      </c>
      <c r="AD413">
        <f>IF(AND(E413&lt;&gt;"",E413&gt;=Controls!$B$37,E413&lt;=Controls!$B$38),1,0)</f>
        <v/>
      </c>
      <c r="AE413">
        <f>IF(IFERROR(VLOOKUP(D413,Controls!$A$64:$E$74,2,FALSE),"No")="Yes",1,0)</f>
        <v/>
      </c>
      <c r="AF413">
        <f>IF(IFERROR(VLOOKUP(D413,Controls!$A$64:$E$74,3,FALSE),"No")="Yes",1,0)</f>
        <v/>
      </c>
      <c r="AG413">
        <f>IF(IFERROR(VLOOKUP(D413,Controls!$A$64:$E$74,4,FALSE),"No")="Yes",1,0)</f>
        <v/>
      </c>
      <c r="AH413">
        <f>IF(IFERROR(VLOOKUP(D413,Controls!$A$64:$E$74,5,FALSE),"No")="Yes",1,0)</f>
        <v/>
      </c>
      <c r="AI413">
        <f>IF(ISNUMBER(MATCH(D413,Controls!$A$64:$A$74,0)),1,0)</f>
        <v/>
      </c>
      <c r="AJ413">
        <f>Q413-N413</f>
        <v/>
      </c>
      <c r="AK413">
        <f>IF(AE413=1,MAX(0,N413-Q413),0)</f>
        <v/>
      </c>
      <c r="AL413">
        <f>IF(OR(V413="",V413=0),0,N413/V413)</f>
        <v/>
      </c>
      <c r="AM413">
        <f>IF(OR(V413="",V413=0),0,1)</f>
        <v/>
      </c>
      <c r="AN413">
        <f>IF(OR(E413="",F413=""),0,NETWORKDAYS(E413,F413,Ref!$K$2:$K$42))</f>
        <v/>
      </c>
      <c r="AO413">
        <f>IF(L413="Renewal",1,0)</f>
        <v/>
      </c>
      <c r="AP413">
        <f>AC413*AD413</f>
        <v/>
      </c>
      <c r="AQ413">
        <f>IF(AND(G413&lt;&gt;"",'Historical Score'!$C$6&lt;&gt;""),IF(G413='Historical Score'!$C$6,1,0),0)</f>
        <v/>
      </c>
      <c r="AR413">
        <f>IF(AND(L413&lt;&gt;"",'Historical Score'!$C$5&lt;&gt;""),IF(L413='Historical Score'!$C$5,1,0),0)</f>
        <v/>
      </c>
      <c r="AS413">
        <f>IF(AND(Y413&lt;&gt;"",'Historical Score'!$C$7&lt;&gt;""),IF(Y413='Historical Score'!$C$7,1,0),0)</f>
        <v/>
      </c>
      <c r="AT413">
        <f>IF(AND(K413&lt;&gt;"",'Historical Score'!$C$8&lt;&gt;""),IF(K413='Historical Score'!$C$8,1,0),0)</f>
        <v/>
      </c>
      <c r="AU413">
        <f>IF(AND(J413&lt;&gt;"",'Historical Score'!$C$9&lt;&gt;""),IF(J413='Historical Score'!$C$9,1,0),0)</f>
        <v/>
      </c>
      <c r="AV413">
        <f>AR413*AS413*AQ413</f>
        <v/>
      </c>
      <c r="AW413">
        <f>AR413*AT413*AQ413</f>
        <v/>
      </c>
      <c r="AX413">
        <f>AR413*AS413</f>
        <v/>
      </c>
      <c r="AY413">
        <f>AR413*AT413</f>
        <v/>
      </c>
      <c r="AZ413">
        <f>AR413*AQ413</f>
        <v/>
      </c>
      <c r="BA413">
        <f>AR413</f>
        <v/>
      </c>
      <c r="BB413">
        <f>1</f>
        <v/>
      </c>
      <c r="BC413">
        <f>IF(AV413=1,1,IF(AW413=1,2,IF(AX413=1,3,IF(AY413=1,4,IF(AZ413=1,5,IF(BA413=1,6,7))))))</f>
        <v/>
      </c>
      <c r="BD413">
        <f>IF(AD413=1,CHOOSE('Historical Score'!$C$29,AV413,AW413,AX413,AY413,AZ413,BA413,BB413),0)</f>
        <v/>
      </c>
      <c r="BE413">
        <f>IF(BD413=1,COUNTIF($BD$2:BD413,1),"")</f>
        <v/>
      </c>
    </row>
    <row r="414">
      <c r="A414" t="inlineStr">
        <is>
          <t>5674173593</t>
        </is>
      </c>
      <c r="B414" t="inlineStr">
        <is>
          <t>YOUNGSTOWN FOOD MART</t>
        </is>
      </c>
      <c r="C414" t="inlineStr">
        <is>
          <t>YOUNGSTOWN FOOD MART</t>
        </is>
      </c>
      <c r="D414" t="inlineStr">
        <is>
          <t>Legal</t>
        </is>
      </c>
      <c r="E414" s="297" t="n">
        <v>45996</v>
      </c>
      <c r="F414" s="297" t="n">
        <v>46174</v>
      </c>
      <c r="G414" t="n">
        <v>2</v>
      </c>
      <c r="H414" t="inlineStr">
        <is>
          <t>5999</t>
        </is>
      </c>
      <c r="I414" t="inlineStr">
        <is>
          <t>59</t>
        </is>
      </c>
      <c r="J414" t="inlineStr">
        <is>
          <t>FL</t>
        </is>
      </c>
      <c r="K414" t="inlineStr">
        <is>
          <t>Fund Simple</t>
        </is>
      </c>
      <c r="L414" t="inlineStr">
        <is>
          <t>New Deal</t>
        </is>
      </c>
      <c r="M414" s="298" t="n">
        <v>1.36</v>
      </c>
      <c r="N414" s="299" t="n">
        <v>10000</v>
      </c>
      <c r="O414" s="299" t="n">
        <v>750</v>
      </c>
      <c r="P414" s="299" t="n">
        <v>13600</v>
      </c>
      <c r="Q414" s="299" t="n">
        <v>6508.46</v>
      </c>
      <c r="R414" s="299" t="n">
        <v>7091.54</v>
      </c>
      <c r="S414" s="300" t="n">
        <v>0.478563235294118</v>
      </c>
      <c r="T414" t="n">
        <v>2.623</v>
      </c>
      <c r="U414" t="n">
        <v>18</v>
      </c>
      <c r="V414" t="n">
        <v>43908.19</v>
      </c>
      <c r="W414" s="300" t="n">
        <v>0.0813</v>
      </c>
      <c r="X414" s="297" t="n">
        <v>43371</v>
      </c>
      <c r="Y414">
        <f>IF(I414="","No SIC",IFERROR(VLOOKUP(I414,Ref!$A$2:$B$65,2,FALSE),"Unclassified"))</f>
        <v/>
      </c>
      <c r="Z414">
        <f>IF(T414="","",IF(T414&lt;12,"Daily","Weekly"))</f>
        <v/>
      </c>
      <c r="AA414">
        <f>IF(T414="",0,IF(T414&lt;12,T414*Controls!$B$29,T414*5))</f>
        <v/>
      </c>
      <c r="AB414">
        <f>IF(E414="",0,NETWORKDAYS(E414,Controls!$B$36,Ref!$K$2:$K$42))</f>
        <v/>
      </c>
      <c r="AC414">
        <f>IF(AND(AA414&gt;0,AB414&gt;=Controls!$B$39*AA414),1,0)</f>
        <v/>
      </c>
      <c r="AD414">
        <f>IF(AND(E414&lt;&gt;"",E414&gt;=Controls!$B$37,E414&lt;=Controls!$B$38),1,0)</f>
        <v/>
      </c>
      <c r="AE414">
        <f>IF(IFERROR(VLOOKUP(D414,Controls!$A$64:$E$74,2,FALSE),"No")="Yes",1,0)</f>
        <v/>
      </c>
      <c r="AF414">
        <f>IF(IFERROR(VLOOKUP(D414,Controls!$A$64:$E$74,3,FALSE),"No")="Yes",1,0)</f>
        <v/>
      </c>
      <c r="AG414">
        <f>IF(IFERROR(VLOOKUP(D414,Controls!$A$64:$E$74,4,FALSE),"No")="Yes",1,0)</f>
        <v/>
      </c>
      <c r="AH414">
        <f>IF(IFERROR(VLOOKUP(D414,Controls!$A$64:$E$74,5,FALSE),"No")="Yes",1,0)</f>
        <v/>
      </c>
      <c r="AI414">
        <f>IF(ISNUMBER(MATCH(D414,Controls!$A$64:$A$74,0)),1,0)</f>
        <v/>
      </c>
      <c r="AJ414">
        <f>Q414-N414</f>
        <v/>
      </c>
      <c r="AK414">
        <f>IF(AE414=1,MAX(0,N414-Q414),0)</f>
        <v/>
      </c>
      <c r="AL414">
        <f>IF(OR(V414="",V414=0),0,N414/V414)</f>
        <v/>
      </c>
      <c r="AM414">
        <f>IF(OR(V414="",V414=0),0,1)</f>
        <v/>
      </c>
      <c r="AN414">
        <f>IF(OR(E414="",F414=""),0,NETWORKDAYS(E414,F414,Ref!$K$2:$K$42))</f>
        <v/>
      </c>
      <c r="AO414">
        <f>IF(L414="Renewal",1,0)</f>
        <v/>
      </c>
      <c r="AP414">
        <f>AC414*AD414</f>
        <v/>
      </c>
      <c r="AQ414">
        <f>IF(AND(G414&lt;&gt;"",'Historical Score'!$C$6&lt;&gt;""),IF(G414='Historical Score'!$C$6,1,0),0)</f>
        <v/>
      </c>
      <c r="AR414">
        <f>IF(AND(L414&lt;&gt;"",'Historical Score'!$C$5&lt;&gt;""),IF(L414='Historical Score'!$C$5,1,0),0)</f>
        <v/>
      </c>
      <c r="AS414">
        <f>IF(AND(Y414&lt;&gt;"",'Historical Score'!$C$7&lt;&gt;""),IF(Y414='Historical Score'!$C$7,1,0),0)</f>
        <v/>
      </c>
      <c r="AT414">
        <f>IF(AND(K414&lt;&gt;"",'Historical Score'!$C$8&lt;&gt;""),IF(K414='Historical Score'!$C$8,1,0),0)</f>
        <v/>
      </c>
      <c r="AU414">
        <f>IF(AND(J414&lt;&gt;"",'Historical Score'!$C$9&lt;&gt;""),IF(J414='Historical Score'!$C$9,1,0),0)</f>
        <v/>
      </c>
      <c r="AV414">
        <f>AR414*AS414*AQ414</f>
        <v/>
      </c>
      <c r="AW414">
        <f>AR414*AT414*AQ414</f>
        <v/>
      </c>
      <c r="AX414">
        <f>AR414*AS414</f>
        <v/>
      </c>
      <c r="AY414">
        <f>AR414*AT414</f>
        <v/>
      </c>
      <c r="AZ414">
        <f>AR414*AQ414</f>
        <v/>
      </c>
      <c r="BA414">
        <f>AR414</f>
        <v/>
      </c>
      <c r="BB414">
        <f>1</f>
        <v/>
      </c>
      <c r="BC414">
        <f>IF(AV414=1,1,IF(AW414=1,2,IF(AX414=1,3,IF(AY414=1,4,IF(AZ414=1,5,IF(BA414=1,6,7))))))</f>
        <v/>
      </c>
      <c r="BD414">
        <f>IF(AD414=1,CHOOSE('Historical Score'!$C$29,AV414,AW414,AX414,AY414,AZ414,BA414,BB414),0)</f>
        <v/>
      </c>
      <c r="BE414">
        <f>IF(BD414=1,COUNTIF($BD$2:BD414,1),"")</f>
        <v/>
      </c>
    </row>
    <row r="415">
      <c r="A415" t="inlineStr">
        <is>
          <t>5674173607</t>
        </is>
      </c>
      <c r="B415" t="inlineStr">
        <is>
          <t>M. Delaney LLC</t>
        </is>
      </c>
      <c r="C415" t="inlineStr">
        <is>
          <t>M. Delaney LLC</t>
        </is>
      </c>
      <c r="D415" t="inlineStr">
        <is>
          <t>Bankruptcy</t>
        </is>
      </c>
      <c r="E415" s="297" t="n">
        <v>45996</v>
      </c>
      <c r="F415" s="297" t="n">
        <v>46153</v>
      </c>
      <c r="G415" t="n">
        <v>3</v>
      </c>
      <c r="H415" t="inlineStr">
        <is>
          <t>5812</t>
        </is>
      </c>
      <c r="I415" t="inlineStr">
        <is>
          <t>58</t>
        </is>
      </c>
      <c r="J415" t="inlineStr">
        <is>
          <t>GA</t>
        </is>
      </c>
      <c r="K415" t="inlineStr">
        <is>
          <t>Llama Loan</t>
        </is>
      </c>
      <c r="L415" t="inlineStr">
        <is>
          <t>Renewal</t>
        </is>
      </c>
      <c r="M415" s="298" t="n">
        <v>1.42</v>
      </c>
      <c r="N415" s="299" t="n">
        <v>25000</v>
      </c>
      <c r="O415" s="299" t="n">
        <v>2625</v>
      </c>
      <c r="P415" s="299" t="n">
        <v>35500</v>
      </c>
      <c r="Q415" s="299" t="n">
        <v>14205.36</v>
      </c>
      <c r="R415" s="299" t="n">
        <v>21294.64</v>
      </c>
      <c r="S415" s="300" t="n">
        <v>0.400150985915493</v>
      </c>
      <c r="T415" t="n">
        <v>4.262</v>
      </c>
      <c r="U415" t="n">
        <v>8</v>
      </c>
      <c r="V415" t="n">
        <v>51823.33</v>
      </c>
      <c r="W415" s="300" t="n">
        <v>0.1107</v>
      </c>
      <c r="X415" s="297" t="n"/>
      <c r="Y415">
        <f>IF(I415="","No SIC",IFERROR(VLOOKUP(I415,Ref!$A$2:$B$65,2,FALSE),"Unclassified"))</f>
        <v/>
      </c>
      <c r="Z415">
        <f>IF(T415="","",IF(T415&lt;12,"Daily","Weekly"))</f>
        <v/>
      </c>
      <c r="AA415">
        <f>IF(T415="",0,IF(T415&lt;12,T415*Controls!$B$29,T415*5))</f>
        <v/>
      </c>
      <c r="AB415">
        <f>IF(E415="",0,NETWORKDAYS(E415,Controls!$B$36,Ref!$K$2:$K$42))</f>
        <v/>
      </c>
      <c r="AC415">
        <f>IF(AND(AA415&gt;0,AB415&gt;=Controls!$B$39*AA415),1,0)</f>
        <v/>
      </c>
      <c r="AD415">
        <f>IF(AND(E415&lt;&gt;"",E415&gt;=Controls!$B$37,E415&lt;=Controls!$B$38),1,0)</f>
        <v/>
      </c>
      <c r="AE415">
        <f>IF(IFERROR(VLOOKUP(D415,Controls!$A$64:$E$74,2,FALSE),"No")="Yes",1,0)</f>
        <v/>
      </c>
      <c r="AF415">
        <f>IF(IFERROR(VLOOKUP(D415,Controls!$A$64:$E$74,3,FALSE),"No")="Yes",1,0)</f>
        <v/>
      </c>
      <c r="AG415">
        <f>IF(IFERROR(VLOOKUP(D415,Controls!$A$64:$E$74,4,FALSE),"No")="Yes",1,0)</f>
        <v/>
      </c>
      <c r="AH415">
        <f>IF(IFERROR(VLOOKUP(D415,Controls!$A$64:$E$74,5,FALSE),"No")="Yes",1,0)</f>
        <v/>
      </c>
      <c r="AI415">
        <f>IF(ISNUMBER(MATCH(D415,Controls!$A$64:$A$74,0)),1,0)</f>
        <v/>
      </c>
      <c r="AJ415">
        <f>Q415-N415</f>
        <v/>
      </c>
      <c r="AK415">
        <f>IF(AE415=1,MAX(0,N415-Q415),0)</f>
        <v/>
      </c>
      <c r="AL415">
        <f>IF(OR(V415="",V415=0),0,N415/V415)</f>
        <v/>
      </c>
      <c r="AM415">
        <f>IF(OR(V415="",V415=0),0,1)</f>
        <v/>
      </c>
      <c r="AN415">
        <f>IF(OR(E415="",F415=""),0,NETWORKDAYS(E415,F415,Ref!$K$2:$K$42))</f>
        <v/>
      </c>
      <c r="AO415">
        <f>IF(L415="Renewal",1,0)</f>
        <v/>
      </c>
      <c r="AP415">
        <f>AC415*AD415</f>
        <v/>
      </c>
      <c r="AQ415">
        <f>IF(AND(G415&lt;&gt;"",'Historical Score'!$C$6&lt;&gt;""),IF(G415='Historical Score'!$C$6,1,0),0)</f>
        <v/>
      </c>
      <c r="AR415">
        <f>IF(AND(L415&lt;&gt;"",'Historical Score'!$C$5&lt;&gt;""),IF(L415='Historical Score'!$C$5,1,0),0)</f>
        <v/>
      </c>
      <c r="AS415">
        <f>IF(AND(Y415&lt;&gt;"",'Historical Score'!$C$7&lt;&gt;""),IF(Y415='Historical Score'!$C$7,1,0),0)</f>
        <v/>
      </c>
      <c r="AT415">
        <f>IF(AND(K415&lt;&gt;"",'Historical Score'!$C$8&lt;&gt;""),IF(K415='Historical Score'!$C$8,1,0),0)</f>
        <v/>
      </c>
      <c r="AU415">
        <f>IF(AND(J415&lt;&gt;"",'Historical Score'!$C$9&lt;&gt;""),IF(J415='Historical Score'!$C$9,1,0),0)</f>
        <v/>
      </c>
      <c r="AV415">
        <f>AR415*AS415*AQ415</f>
        <v/>
      </c>
      <c r="AW415">
        <f>AR415*AT415*AQ415</f>
        <v/>
      </c>
      <c r="AX415">
        <f>AR415*AS415</f>
        <v/>
      </c>
      <c r="AY415">
        <f>AR415*AT415</f>
        <v/>
      </c>
      <c r="AZ415">
        <f>AR415*AQ415</f>
        <v/>
      </c>
      <c r="BA415">
        <f>AR415</f>
        <v/>
      </c>
      <c r="BB415">
        <f>1</f>
        <v/>
      </c>
      <c r="BC415">
        <f>IF(AV415=1,1,IF(AW415=1,2,IF(AX415=1,3,IF(AY415=1,4,IF(AZ415=1,5,IF(BA415=1,6,7))))))</f>
        <v/>
      </c>
      <c r="BD415">
        <f>IF(AD415=1,CHOOSE('Historical Score'!$C$29,AV415,AW415,AX415,AY415,AZ415,BA415,BB415),0)</f>
        <v/>
      </c>
      <c r="BE415">
        <f>IF(BD415=1,COUNTIF($BD$2:BD415,1),"")</f>
        <v/>
      </c>
    </row>
    <row r="416">
      <c r="A416" t="inlineStr">
        <is>
          <t>5674173616</t>
        </is>
      </c>
      <c r="B416" t="inlineStr">
        <is>
          <t>WILLIE'S REPAIR SERVICE</t>
        </is>
      </c>
      <c r="C416" t="inlineStr">
        <is>
          <t>Willie's Repair Service LLC</t>
        </is>
      </c>
      <c r="D416" t="inlineStr">
        <is>
          <t>Closed</t>
        </is>
      </c>
      <c r="E416" s="297" t="n">
        <v>45996</v>
      </c>
      <c r="F416" s="297" t="n">
        <v>46106</v>
      </c>
      <c r="G416" t="n">
        <v>4</v>
      </c>
      <c r="H416" t="inlineStr">
        <is>
          <t>7538</t>
        </is>
      </c>
      <c r="I416" t="inlineStr">
        <is>
          <t>75</t>
        </is>
      </c>
      <c r="J416" t="inlineStr">
        <is>
          <t>VA</t>
        </is>
      </c>
      <c r="K416" t="inlineStr">
        <is>
          <t>ROYAL FUNDING GROUP</t>
        </is>
      </c>
      <c r="L416" t="inlineStr">
        <is>
          <t>New Deal</t>
        </is>
      </c>
      <c r="M416" s="298" t="n">
        <v>1.49</v>
      </c>
      <c r="N416" s="299" t="n">
        <v>15000</v>
      </c>
      <c r="O416" s="299" t="n">
        <v>2100</v>
      </c>
      <c r="P416" s="299" t="n">
        <v>22350</v>
      </c>
      <c r="Q416" s="299" t="n">
        <v>22350</v>
      </c>
      <c r="R416" s="299" t="n">
        <v>0</v>
      </c>
      <c r="S416" s="300" t="n">
        <v>1</v>
      </c>
      <c r="T416" t="n">
        <v>3.279</v>
      </c>
      <c r="U416" t="n">
        <v>0</v>
      </c>
      <c r="V416" t="n">
        <v>49372.77</v>
      </c>
      <c r="W416" s="300" t="n">
        <v>0.1285</v>
      </c>
      <c r="X416" s="297" t="n">
        <v>30767</v>
      </c>
      <c r="Y416">
        <f>IF(I416="","No SIC",IFERROR(VLOOKUP(I416,Ref!$A$2:$B$65,2,FALSE),"Unclassified"))</f>
        <v/>
      </c>
      <c r="Z416">
        <f>IF(T416="","",IF(T416&lt;12,"Daily","Weekly"))</f>
        <v/>
      </c>
      <c r="AA416">
        <f>IF(T416="",0,IF(T416&lt;12,T416*Controls!$B$29,T416*5))</f>
        <v/>
      </c>
      <c r="AB416">
        <f>IF(E416="",0,NETWORKDAYS(E416,Controls!$B$36,Ref!$K$2:$K$42))</f>
        <v/>
      </c>
      <c r="AC416">
        <f>IF(AND(AA416&gt;0,AB416&gt;=Controls!$B$39*AA416),1,0)</f>
        <v/>
      </c>
      <c r="AD416">
        <f>IF(AND(E416&lt;&gt;"",E416&gt;=Controls!$B$37,E416&lt;=Controls!$B$38),1,0)</f>
        <v/>
      </c>
      <c r="AE416">
        <f>IF(IFERROR(VLOOKUP(D416,Controls!$A$64:$E$74,2,FALSE),"No")="Yes",1,0)</f>
        <v/>
      </c>
      <c r="AF416">
        <f>IF(IFERROR(VLOOKUP(D416,Controls!$A$64:$E$74,3,FALSE),"No")="Yes",1,0)</f>
        <v/>
      </c>
      <c r="AG416">
        <f>IF(IFERROR(VLOOKUP(D416,Controls!$A$64:$E$74,4,FALSE),"No")="Yes",1,0)</f>
        <v/>
      </c>
      <c r="AH416">
        <f>IF(IFERROR(VLOOKUP(D416,Controls!$A$64:$E$74,5,FALSE),"No")="Yes",1,0)</f>
        <v/>
      </c>
      <c r="AI416">
        <f>IF(ISNUMBER(MATCH(D416,Controls!$A$64:$A$74,0)),1,0)</f>
        <v/>
      </c>
      <c r="AJ416">
        <f>Q416-N416</f>
        <v/>
      </c>
      <c r="AK416">
        <f>IF(AE416=1,MAX(0,N416-Q416),0)</f>
        <v/>
      </c>
      <c r="AL416">
        <f>IF(OR(V416="",V416=0),0,N416/V416)</f>
        <v/>
      </c>
      <c r="AM416">
        <f>IF(OR(V416="",V416=0),0,1)</f>
        <v/>
      </c>
      <c r="AN416">
        <f>IF(OR(E416="",F416=""),0,NETWORKDAYS(E416,F416,Ref!$K$2:$K$42))</f>
        <v/>
      </c>
      <c r="AO416">
        <f>IF(L416="Renewal",1,0)</f>
        <v/>
      </c>
      <c r="AP416">
        <f>AC416*AD416</f>
        <v/>
      </c>
      <c r="AQ416">
        <f>IF(AND(G416&lt;&gt;"",'Historical Score'!$C$6&lt;&gt;""),IF(G416='Historical Score'!$C$6,1,0),0)</f>
        <v/>
      </c>
      <c r="AR416">
        <f>IF(AND(L416&lt;&gt;"",'Historical Score'!$C$5&lt;&gt;""),IF(L416='Historical Score'!$C$5,1,0),0)</f>
        <v/>
      </c>
      <c r="AS416">
        <f>IF(AND(Y416&lt;&gt;"",'Historical Score'!$C$7&lt;&gt;""),IF(Y416='Historical Score'!$C$7,1,0),0)</f>
        <v/>
      </c>
      <c r="AT416">
        <f>IF(AND(K416&lt;&gt;"",'Historical Score'!$C$8&lt;&gt;""),IF(K416='Historical Score'!$C$8,1,0),0)</f>
        <v/>
      </c>
      <c r="AU416">
        <f>IF(AND(J416&lt;&gt;"",'Historical Score'!$C$9&lt;&gt;""),IF(J416='Historical Score'!$C$9,1,0),0)</f>
        <v/>
      </c>
      <c r="AV416">
        <f>AR416*AS416*AQ416</f>
        <v/>
      </c>
      <c r="AW416">
        <f>AR416*AT416*AQ416</f>
        <v/>
      </c>
      <c r="AX416">
        <f>AR416*AS416</f>
        <v/>
      </c>
      <c r="AY416">
        <f>AR416*AT416</f>
        <v/>
      </c>
      <c r="AZ416">
        <f>AR416*AQ416</f>
        <v/>
      </c>
      <c r="BA416">
        <f>AR416</f>
        <v/>
      </c>
      <c r="BB416">
        <f>1</f>
        <v/>
      </c>
      <c r="BC416">
        <f>IF(AV416=1,1,IF(AW416=1,2,IF(AX416=1,3,IF(AY416=1,4,IF(AZ416=1,5,IF(BA416=1,6,7))))))</f>
        <v/>
      </c>
      <c r="BD416">
        <f>IF(AD416=1,CHOOSE('Historical Score'!$C$29,AV416,AW416,AX416,AY416,AZ416,BA416,BB416),0)</f>
        <v/>
      </c>
      <c r="BE416">
        <f>IF(BD416=1,COUNTIF($BD$2:BD416,1),"")</f>
        <v/>
      </c>
    </row>
    <row r="417">
      <c r="A417" t="inlineStr">
        <is>
          <t>5674173621</t>
        </is>
      </c>
      <c r="B417" t="inlineStr">
        <is>
          <t>AS ONE TRANSPORTATION</t>
        </is>
      </c>
      <c r="C417" t="inlineStr">
        <is>
          <t>AS ONE TRANSPORTATION</t>
        </is>
      </c>
      <c r="D417" t="inlineStr">
        <is>
          <t>Closed</t>
        </is>
      </c>
      <c r="E417" s="297" t="n">
        <v>45996</v>
      </c>
      <c r="F417" s="297" t="n">
        <v>46120</v>
      </c>
      <c r="G417" t="n">
        <v>3</v>
      </c>
      <c r="H417" t="inlineStr">
        <is>
          <t>4212</t>
        </is>
      </c>
      <c r="I417" t="inlineStr">
        <is>
          <t>42</t>
        </is>
      </c>
      <c r="J417" t="inlineStr">
        <is>
          <t>MO</t>
        </is>
      </c>
      <c r="K417" t="inlineStr">
        <is>
          <t>Westwood</t>
        </is>
      </c>
      <c r="L417" t="inlineStr">
        <is>
          <t>New Deal</t>
        </is>
      </c>
      <c r="M417" s="298" t="n">
        <v>1.35</v>
      </c>
      <c r="N417" s="299" t="n">
        <v>17000</v>
      </c>
      <c r="O417" s="299" t="n">
        <v>1190</v>
      </c>
      <c r="P417" s="299" t="n">
        <v>22950</v>
      </c>
      <c r="Q417" s="299" t="n">
        <v>22950</v>
      </c>
      <c r="R417" s="299" t="n">
        <v>0</v>
      </c>
      <c r="S417" s="300" t="n">
        <v>1</v>
      </c>
      <c r="T417" t="n">
        <v>24</v>
      </c>
      <c r="U417" t="n">
        <v>1</v>
      </c>
      <c r="V417" t="n">
        <v>99070.63</v>
      </c>
      <c r="W417" s="300" t="n">
        <v>0.0386</v>
      </c>
      <c r="X417" s="297" t="n"/>
      <c r="Y417">
        <f>IF(I417="","No SIC",IFERROR(VLOOKUP(I417,Ref!$A$2:$B$65,2,FALSE),"Unclassified"))</f>
        <v/>
      </c>
      <c r="Z417">
        <f>IF(T417="","",IF(T417&lt;12,"Daily","Weekly"))</f>
        <v/>
      </c>
      <c r="AA417">
        <f>IF(T417="",0,IF(T417&lt;12,T417*Controls!$B$29,T417*5))</f>
        <v/>
      </c>
      <c r="AB417">
        <f>IF(E417="",0,NETWORKDAYS(E417,Controls!$B$36,Ref!$K$2:$K$42))</f>
        <v/>
      </c>
      <c r="AC417">
        <f>IF(AND(AA417&gt;0,AB417&gt;=Controls!$B$39*AA417),1,0)</f>
        <v/>
      </c>
      <c r="AD417">
        <f>IF(AND(E417&lt;&gt;"",E417&gt;=Controls!$B$37,E417&lt;=Controls!$B$38),1,0)</f>
        <v/>
      </c>
      <c r="AE417">
        <f>IF(IFERROR(VLOOKUP(D417,Controls!$A$64:$E$74,2,FALSE),"No")="Yes",1,0)</f>
        <v/>
      </c>
      <c r="AF417">
        <f>IF(IFERROR(VLOOKUP(D417,Controls!$A$64:$E$74,3,FALSE),"No")="Yes",1,0)</f>
        <v/>
      </c>
      <c r="AG417">
        <f>IF(IFERROR(VLOOKUP(D417,Controls!$A$64:$E$74,4,FALSE),"No")="Yes",1,0)</f>
        <v/>
      </c>
      <c r="AH417">
        <f>IF(IFERROR(VLOOKUP(D417,Controls!$A$64:$E$74,5,FALSE),"No")="Yes",1,0)</f>
        <v/>
      </c>
      <c r="AI417">
        <f>IF(ISNUMBER(MATCH(D417,Controls!$A$64:$A$74,0)),1,0)</f>
        <v/>
      </c>
      <c r="AJ417">
        <f>Q417-N417</f>
        <v/>
      </c>
      <c r="AK417">
        <f>IF(AE417=1,MAX(0,N417-Q417),0)</f>
        <v/>
      </c>
      <c r="AL417">
        <f>IF(OR(V417="",V417=0),0,N417/V417)</f>
        <v/>
      </c>
      <c r="AM417">
        <f>IF(OR(V417="",V417=0),0,1)</f>
        <v/>
      </c>
      <c r="AN417">
        <f>IF(OR(E417="",F417=""),0,NETWORKDAYS(E417,F417,Ref!$K$2:$K$42))</f>
        <v/>
      </c>
      <c r="AO417">
        <f>IF(L417="Renewal",1,0)</f>
        <v/>
      </c>
      <c r="AP417">
        <f>AC417*AD417</f>
        <v/>
      </c>
      <c r="AQ417">
        <f>IF(AND(G417&lt;&gt;"",'Historical Score'!$C$6&lt;&gt;""),IF(G417='Historical Score'!$C$6,1,0),0)</f>
        <v/>
      </c>
      <c r="AR417">
        <f>IF(AND(L417&lt;&gt;"",'Historical Score'!$C$5&lt;&gt;""),IF(L417='Historical Score'!$C$5,1,0),0)</f>
        <v/>
      </c>
      <c r="AS417">
        <f>IF(AND(Y417&lt;&gt;"",'Historical Score'!$C$7&lt;&gt;""),IF(Y417='Historical Score'!$C$7,1,0),0)</f>
        <v/>
      </c>
      <c r="AT417">
        <f>IF(AND(K417&lt;&gt;"",'Historical Score'!$C$8&lt;&gt;""),IF(K417='Historical Score'!$C$8,1,0),0)</f>
        <v/>
      </c>
      <c r="AU417">
        <f>IF(AND(J417&lt;&gt;"",'Historical Score'!$C$9&lt;&gt;""),IF(J417='Historical Score'!$C$9,1,0),0)</f>
        <v/>
      </c>
      <c r="AV417">
        <f>AR417*AS417*AQ417</f>
        <v/>
      </c>
      <c r="AW417">
        <f>AR417*AT417*AQ417</f>
        <v/>
      </c>
      <c r="AX417">
        <f>AR417*AS417</f>
        <v/>
      </c>
      <c r="AY417">
        <f>AR417*AT417</f>
        <v/>
      </c>
      <c r="AZ417">
        <f>AR417*AQ417</f>
        <v/>
      </c>
      <c r="BA417">
        <f>AR417</f>
        <v/>
      </c>
      <c r="BB417">
        <f>1</f>
        <v/>
      </c>
      <c r="BC417">
        <f>IF(AV417=1,1,IF(AW417=1,2,IF(AX417=1,3,IF(AY417=1,4,IF(AZ417=1,5,IF(BA417=1,6,7))))))</f>
        <v/>
      </c>
      <c r="BD417">
        <f>IF(AD417=1,CHOOSE('Historical Score'!$C$29,AV417,AW417,AX417,AY417,AZ417,BA417,BB417),0)</f>
        <v/>
      </c>
      <c r="BE417">
        <f>IF(BD417=1,COUNTIF($BD$2:BD417,1),"")</f>
        <v/>
      </c>
    </row>
    <row r="418">
      <c r="A418" t="inlineStr">
        <is>
          <t>5674173625</t>
        </is>
      </c>
      <c r="B418" t="inlineStr">
        <is>
          <t>JWS OUTPOST 421 LLC</t>
        </is>
      </c>
      <c r="C418" t="inlineStr">
        <is>
          <t>JWS OUTPOST 421 LLC</t>
        </is>
      </c>
      <c r="D418" t="inlineStr">
        <is>
          <t>Closed</t>
        </is>
      </c>
      <c r="E418" s="297" t="n">
        <v>45996</v>
      </c>
      <c r="F418" s="297" t="n">
        <v>46048</v>
      </c>
      <c r="G418" t="n">
        <v>2</v>
      </c>
      <c r="H418" t="inlineStr">
        <is>
          <t>5999</t>
        </is>
      </c>
      <c r="I418" t="inlineStr">
        <is>
          <t>59</t>
        </is>
      </c>
      <c r="J418" t="inlineStr">
        <is>
          <t>IN</t>
        </is>
      </c>
      <c r="K418" t="inlineStr">
        <is>
          <t>United Secured Capital 8</t>
        </is>
      </c>
      <c r="L418" t="inlineStr">
        <is>
          <t>New Deal</t>
        </is>
      </c>
      <c r="M418" s="298" t="n">
        <v>1.49</v>
      </c>
      <c r="N418" s="299" t="n">
        <v>10000</v>
      </c>
      <c r="O418" s="299" t="n">
        <v>1400</v>
      </c>
      <c r="P418" s="299" t="n">
        <v>14900</v>
      </c>
      <c r="Q418" s="299" t="n">
        <v>14900</v>
      </c>
      <c r="R418" s="299" t="n">
        <v>0</v>
      </c>
      <c r="S418" s="300" t="n">
        <v>1</v>
      </c>
      <c r="T418" t="n">
        <v>2.295</v>
      </c>
      <c r="U418" t="n">
        <v>7</v>
      </c>
      <c r="V418" t="n">
        <v>93274.12</v>
      </c>
      <c r="W418" s="300" t="n">
        <v>0.0479</v>
      </c>
      <c r="X418" s="297" t="n"/>
      <c r="Y418">
        <f>IF(I418="","No SIC",IFERROR(VLOOKUP(I418,Ref!$A$2:$B$65,2,FALSE),"Unclassified"))</f>
        <v/>
      </c>
      <c r="Z418">
        <f>IF(T418="","",IF(T418&lt;12,"Daily","Weekly"))</f>
        <v/>
      </c>
      <c r="AA418">
        <f>IF(T418="",0,IF(T418&lt;12,T418*Controls!$B$29,T418*5))</f>
        <v/>
      </c>
      <c r="AB418">
        <f>IF(E418="",0,NETWORKDAYS(E418,Controls!$B$36,Ref!$K$2:$K$42))</f>
        <v/>
      </c>
      <c r="AC418">
        <f>IF(AND(AA418&gt;0,AB418&gt;=Controls!$B$39*AA418),1,0)</f>
        <v/>
      </c>
      <c r="AD418">
        <f>IF(AND(E418&lt;&gt;"",E418&gt;=Controls!$B$37,E418&lt;=Controls!$B$38),1,0)</f>
        <v/>
      </c>
      <c r="AE418">
        <f>IF(IFERROR(VLOOKUP(D418,Controls!$A$64:$E$74,2,FALSE),"No")="Yes",1,0)</f>
        <v/>
      </c>
      <c r="AF418">
        <f>IF(IFERROR(VLOOKUP(D418,Controls!$A$64:$E$74,3,FALSE),"No")="Yes",1,0)</f>
        <v/>
      </c>
      <c r="AG418">
        <f>IF(IFERROR(VLOOKUP(D418,Controls!$A$64:$E$74,4,FALSE),"No")="Yes",1,0)</f>
        <v/>
      </c>
      <c r="AH418">
        <f>IF(IFERROR(VLOOKUP(D418,Controls!$A$64:$E$74,5,FALSE),"No")="Yes",1,0)</f>
        <v/>
      </c>
      <c r="AI418">
        <f>IF(ISNUMBER(MATCH(D418,Controls!$A$64:$A$74,0)),1,0)</f>
        <v/>
      </c>
      <c r="AJ418">
        <f>Q418-N418</f>
        <v/>
      </c>
      <c r="AK418">
        <f>IF(AE418=1,MAX(0,N418-Q418),0)</f>
        <v/>
      </c>
      <c r="AL418">
        <f>IF(OR(V418="",V418=0),0,N418/V418)</f>
        <v/>
      </c>
      <c r="AM418">
        <f>IF(OR(V418="",V418=0),0,1)</f>
        <v/>
      </c>
      <c r="AN418">
        <f>IF(OR(E418="",F418=""),0,NETWORKDAYS(E418,F418,Ref!$K$2:$K$42))</f>
        <v/>
      </c>
      <c r="AO418">
        <f>IF(L418="Renewal",1,0)</f>
        <v/>
      </c>
      <c r="AP418">
        <f>AC418*AD418</f>
        <v/>
      </c>
      <c r="AQ418">
        <f>IF(AND(G418&lt;&gt;"",'Historical Score'!$C$6&lt;&gt;""),IF(G418='Historical Score'!$C$6,1,0),0)</f>
        <v/>
      </c>
      <c r="AR418">
        <f>IF(AND(L418&lt;&gt;"",'Historical Score'!$C$5&lt;&gt;""),IF(L418='Historical Score'!$C$5,1,0),0)</f>
        <v/>
      </c>
      <c r="AS418">
        <f>IF(AND(Y418&lt;&gt;"",'Historical Score'!$C$7&lt;&gt;""),IF(Y418='Historical Score'!$C$7,1,0),0)</f>
        <v/>
      </c>
      <c r="AT418">
        <f>IF(AND(K418&lt;&gt;"",'Historical Score'!$C$8&lt;&gt;""),IF(K418='Historical Score'!$C$8,1,0),0)</f>
        <v/>
      </c>
      <c r="AU418">
        <f>IF(AND(J418&lt;&gt;"",'Historical Score'!$C$9&lt;&gt;""),IF(J418='Historical Score'!$C$9,1,0),0)</f>
        <v/>
      </c>
      <c r="AV418">
        <f>AR418*AS418*AQ418</f>
        <v/>
      </c>
      <c r="AW418">
        <f>AR418*AT418*AQ418</f>
        <v/>
      </c>
      <c r="AX418">
        <f>AR418*AS418</f>
        <v/>
      </c>
      <c r="AY418">
        <f>AR418*AT418</f>
        <v/>
      </c>
      <c r="AZ418">
        <f>AR418*AQ418</f>
        <v/>
      </c>
      <c r="BA418">
        <f>AR418</f>
        <v/>
      </c>
      <c r="BB418">
        <f>1</f>
        <v/>
      </c>
      <c r="BC418">
        <f>IF(AV418=1,1,IF(AW418=1,2,IF(AX418=1,3,IF(AY418=1,4,IF(AZ418=1,5,IF(BA418=1,6,7))))))</f>
        <v/>
      </c>
      <c r="BD418">
        <f>IF(AD418=1,CHOOSE('Historical Score'!$C$29,AV418,AW418,AX418,AY418,AZ418,BA418,BB418),0)</f>
        <v/>
      </c>
      <c r="BE418">
        <f>IF(BD418=1,COUNTIF($BD$2:BD418,1),"")</f>
        <v/>
      </c>
    </row>
    <row r="419">
      <c r="A419" t="inlineStr">
        <is>
          <t>5674173638</t>
        </is>
      </c>
      <c r="B419" t="inlineStr">
        <is>
          <t>GENERATOR SUPERCENTER OF ORLANDO</t>
        </is>
      </c>
      <c r="C419" t="inlineStr">
        <is>
          <t>CENTRAL BACKUP LLC</t>
        </is>
      </c>
      <c r="D419" t="inlineStr">
        <is>
          <t>Open</t>
        </is>
      </c>
      <c r="E419" s="297" t="n">
        <v>45996</v>
      </c>
      <c r="F419" s="297" t="n">
        <v>46253</v>
      </c>
      <c r="G419" t="n">
        <v>4</v>
      </c>
      <c r="H419" t="inlineStr">
        <is>
          <t>3621</t>
        </is>
      </c>
      <c r="I419" t="inlineStr">
        <is>
          <t>36</t>
        </is>
      </c>
      <c r="J419" t="inlineStr">
        <is>
          <t>FL</t>
        </is>
      </c>
      <c r="K419" t="inlineStr">
        <is>
          <t>J Capital Solutions</t>
        </is>
      </c>
      <c r="L419" t="inlineStr">
        <is>
          <t>New Deal</t>
        </is>
      </c>
      <c r="M419" s="298" t="n">
        <v>1.48</v>
      </c>
      <c r="N419" s="299" t="n">
        <v>150000</v>
      </c>
      <c r="O419" s="299" t="n">
        <v>20250</v>
      </c>
      <c r="P419" s="299" t="n">
        <v>222000</v>
      </c>
      <c r="Q419" s="299" t="n">
        <v>145825.7</v>
      </c>
      <c r="R419" s="299" t="n">
        <v>76174.3</v>
      </c>
      <c r="S419" s="300" t="n">
        <v>0.656872522522523</v>
      </c>
      <c r="T419" t="n">
        <v>28</v>
      </c>
      <c r="U419" t="n">
        <v>74</v>
      </c>
      <c r="V419" t="n">
        <v>425520.28</v>
      </c>
      <c r="W419" s="300" t="n">
        <v>0.0745</v>
      </c>
      <c r="X419" s="297" t="n"/>
      <c r="Y419">
        <f>IF(I419="","No SIC",IFERROR(VLOOKUP(I419,Ref!$A$2:$B$65,2,FALSE),"Unclassified"))</f>
        <v/>
      </c>
      <c r="Z419">
        <f>IF(T419="","",IF(T419&lt;12,"Daily","Weekly"))</f>
        <v/>
      </c>
      <c r="AA419">
        <f>IF(T419="",0,IF(T419&lt;12,T419*Controls!$B$29,T419*5))</f>
        <v/>
      </c>
      <c r="AB419">
        <f>IF(E419="",0,NETWORKDAYS(E419,Controls!$B$36,Ref!$K$2:$K$42))</f>
        <v/>
      </c>
      <c r="AC419">
        <f>IF(AND(AA419&gt;0,AB419&gt;=Controls!$B$39*AA419),1,0)</f>
        <v/>
      </c>
      <c r="AD419">
        <f>IF(AND(E419&lt;&gt;"",E419&gt;=Controls!$B$37,E419&lt;=Controls!$B$38),1,0)</f>
        <v/>
      </c>
      <c r="AE419">
        <f>IF(IFERROR(VLOOKUP(D419,Controls!$A$64:$E$74,2,FALSE),"No")="Yes",1,0)</f>
        <v/>
      </c>
      <c r="AF419">
        <f>IF(IFERROR(VLOOKUP(D419,Controls!$A$64:$E$74,3,FALSE),"No")="Yes",1,0)</f>
        <v/>
      </c>
      <c r="AG419">
        <f>IF(IFERROR(VLOOKUP(D419,Controls!$A$64:$E$74,4,FALSE),"No")="Yes",1,0)</f>
        <v/>
      </c>
      <c r="AH419">
        <f>IF(IFERROR(VLOOKUP(D419,Controls!$A$64:$E$74,5,FALSE),"No")="Yes",1,0)</f>
        <v/>
      </c>
      <c r="AI419">
        <f>IF(ISNUMBER(MATCH(D419,Controls!$A$64:$A$74,0)),1,0)</f>
        <v/>
      </c>
      <c r="AJ419">
        <f>Q419-N419</f>
        <v/>
      </c>
      <c r="AK419">
        <f>IF(AE419=1,MAX(0,N419-Q419),0)</f>
        <v/>
      </c>
      <c r="AL419">
        <f>IF(OR(V419="",V419=0),0,N419/V419)</f>
        <v/>
      </c>
      <c r="AM419">
        <f>IF(OR(V419="",V419=0),0,1)</f>
        <v/>
      </c>
      <c r="AN419">
        <f>IF(OR(E419="",F419=""),0,NETWORKDAYS(E419,F419,Ref!$K$2:$K$42))</f>
        <v/>
      </c>
      <c r="AO419">
        <f>IF(L419="Renewal",1,0)</f>
        <v/>
      </c>
      <c r="AP419">
        <f>AC419*AD419</f>
        <v/>
      </c>
      <c r="AQ419">
        <f>IF(AND(G419&lt;&gt;"",'Historical Score'!$C$6&lt;&gt;""),IF(G419='Historical Score'!$C$6,1,0),0)</f>
        <v/>
      </c>
      <c r="AR419">
        <f>IF(AND(L419&lt;&gt;"",'Historical Score'!$C$5&lt;&gt;""),IF(L419='Historical Score'!$C$5,1,0),0)</f>
        <v/>
      </c>
      <c r="AS419">
        <f>IF(AND(Y419&lt;&gt;"",'Historical Score'!$C$7&lt;&gt;""),IF(Y419='Historical Score'!$C$7,1,0),0)</f>
        <v/>
      </c>
      <c r="AT419">
        <f>IF(AND(K419&lt;&gt;"",'Historical Score'!$C$8&lt;&gt;""),IF(K419='Historical Score'!$C$8,1,0),0)</f>
        <v/>
      </c>
      <c r="AU419">
        <f>IF(AND(J419&lt;&gt;"",'Historical Score'!$C$9&lt;&gt;""),IF(J419='Historical Score'!$C$9,1,0),0)</f>
        <v/>
      </c>
      <c r="AV419">
        <f>AR419*AS419*AQ419</f>
        <v/>
      </c>
      <c r="AW419">
        <f>AR419*AT419*AQ419</f>
        <v/>
      </c>
      <c r="AX419">
        <f>AR419*AS419</f>
        <v/>
      </c>
      <c r="AY419">
        <f>AR419*AT419</f>
        <v/>
      </c>
      <c r="AZ419">
        <f>AR419*AQ419</f>
        <v/>
      </c>
      <c r="BA419">
        <f>AR419</f>
        <v/>
      </c>
      <c r="BB419">
        <f>1</f>
        <v/>
      </c>
      <c r="BC419">
        <f>IF(AV419=1,1,IF(AW419=1,2,IF(AX419=1,3,IF(AY419=1,4,IF(AZ419=1,5,IF(BA419=1,6,7))))))</f>
        <v/>
      </c>
      <c r="BD419">
        <f>IF(AD419=1,CHOOSE('Historical Score'!$C$29,AV419,AW419,AX419,AY419,AZ419,BA419,BB419),0)</f>
        <v/>
      </c>
      <c r="BE419">
        <f>IF(BD419=1,COUNTIF($BD$2:BD419,1),"")</f>
        <v/>
      </c>
    </row>
    <row r="420">
      <c r="A420" t="inlineStr">
        <is>
          <t>5674173690</t>
        </is>
      </c>
      <c r="B420" t="inlineStr">
        <is>
          <t>Discovery Water Management LLC.</t>
        </is>
      </c>
      <c r="C420" t="inlineStr">
        <is>
          <t>Discovery Water Management LLC.</t>
        </is>
      </c>
      <c r="D420" t="inlineStr">
        <is>
          <t>Settlement Agreement</t>
        </is>
      </c>
      <c r="E420" s="297" t="n">
        <v>45999</v>
      </c>
      <c r="F420" s="297" t="n">
        <v>46246</v>
      </c>
      <c r="G420" t="n">
        <v>2</v>
      </c>
      <c r="H420" t="inlineStr">
        <is>
          <t>1623</t>
        </is>
      </c>
      <c r="I420" t="inlineStr">
        <is>
          <t>16</t>
        </is>
      </c>
      <c r="J420" t="inlineStr">
        <is>
          <t>WI</t>
        </is>
      </c>
      <c r="K420" t="inlineStr">
        <is>
          <t>Platform Funding</t>
        </is>
      </c>
      <c r="L420" t="inlineStr">
        <is>
          <t>New Deal</t>
        </is>
      </c>
      <c r="M420" s="298" t="n">
        <v>1.499</v>
      </c>
      <c r="N420" s="299" t="n">
        <v>20000</v>
      </c>
      <c r="O420" s="299" t="n">
        <v>2800</v>
      </c>
      <c r="P420" s="299" t="n">
        <v>29980</v>
      </c>
      <c r="Q420" s="299" t="n">
        <v>22769.95</v>
      </c>
      <c r="R420" s="299" t="n">
        <v>7210.05</v>
      </c>
      <c r="S420" s="300" t="n">
        <v>0.759504669779853</v>
      </c>
      <c r="T420" t="n">
        <v>2.787</v>
      </c>
      <c r="U420" t="n">
        <v>40</v>
      </c>
      <c r="V420" t="n">
        <v>80290.60000000001</v>
      </c>
      <c r="W420" s="300" t="n">
        <v>0.1619</v>
      </c>
      <c r="X420" s="297" t="n">
        <v>40970</v>
      </c>
      <c r="Y420">
        <f>IF(I420="","No SIC",IFERROR(VLOOKUP(I420,Ref!$A$2:$B$65,2,FALSE),"Unclassified"))</f>
        <v/>
      </c>
      <c r="Z420">
        <f>IF(T420="","",IF(T420&lt;12,"Daily","Weekly"))</f>
        <v/>
      </c>
      <c r="AA420">
        <f>IF(T420="",0,IF(T420&lt;12,T420*Controls!$B$29,T420*5))</f>
        <v/>
      </c>
      <c r="AB420">
        <f>IF(E420="",0,NETWORKDAYS(E420,Controls!$B$36,Ref!$K$2:$K$42))</f>
        <v/>
      </c>
      <c r="AC420">
        <f>IF(AND(AA420&gt;0,AB420&gt;=Controls!$B$39*AA420),1,0)</f>
        <v/>
      </c>
      <c r="AD420">
        <f>IF(AND(E420&lt;&gt;"",E420&gt;=Controls!$B$37,E420&lt;=Controls!$B$38),1,0)</f>
        <v/>
      </c>
      <c r="AE420">
        <f>IF(IFERROR(VLOOKUP(D420,Controls!$A$64:$E$74,2,FALSE),"No")="Yes",1,0)</f>
        <v/>
      </c>
      <c r="AF420">
        <f>IF(IFERROR(VLOOKUP(D420,Controls!$A$64:$E$74,3,FALSE),"No")="Yes",1,0)</f>
        <v/>
      </c>
      <c r="AG420">
        <f>IF(IFERROR(VLOOKUP(D420,Controls!$A$64:$E$74,4,FALSE),"No")="Yes",1,0)</f>
        <v/>
      </c>
      <c r="AH420">
        <f>IF(IFERROR(VLOOKUP(D420,Controls!$A$64:$E$74,5,FALSE),"No")="Yes",1,0)</f>
        <v/>
      </c>
      <c r="AI420">
        <f>IF(ISNUMBER(MATCH(D420,Controls!$A$64:$A$74,0)),1,0)</f>
        <v/>
      </c>
      <c r="AJ420">
        <f>Q420-N420</f>
        <v/>
      </c>
      <c r="AK420">
        <f>IF(AE420=1,MAX(0,N420-Q420),0)</f>
        <v/>
      </c>
      <c r="AL420">
        <f>IF(OR(V420="",V420=0),0,N420/V420)</f>
        <v/>
      </c>
      <c r="AM420">
        <f>IF(OR(V420="",V420=0),0,1)</f>
        <v/>
      </c>
      <c r="AN420">
        <f>IF(OR(E420="",F420=""),0,NETWORKDAYS(E420,F420,Ref!$K$2:$K$42))</f>
        <v/>
      </c>
      <c r="AO420">
        <f>IF(L420="Renewal",1,0)</f>
        <v/>
      </c>
      <c r="AP420">
        <f>AC420*AD420</f>
        <v/>
      </c>
      <c r="AQ420">
        <f>IF(AND(G420&lt;&gt;"",'Historical Score'!$C$6&lt;&gt;""),IF(G420='Historical Score'!$C$6,1,0),0)</f>
        <v/>
      </c>
      <c r="AR420">
        <f>IF(AND(L420&lt;&gt;"",'Historical Score'!$C$5&lt;&gt;""),IF(L420='Historical Score'!$C$5,1,0),0)</f>
        <v/>
      </c>
      <c r="AS420">
        <f>IF(AND(Y420&lt;&gt;"",'Historical Score'!$C$7&lt;&gt;""),IF(Y420='Historical Score'!$C$7,1,0),0)</f>
        <v/>
      </c>
      <c r="AT420">
        <f>IF(AND(K420&lt;&gt;"",'Historical Score'!$C$8&lt;&gt;""),IF(K420='Historical Score'!$C$8,1,0),0)</f>
        <v/>
      </c>
      <c r="AU420">
        <f>IF(AND(J420&lt;&gt;"",'Historical Score'!$C$9&lt;&gt;""),IF(J420='Historical Score'!$C$9,1,0),0)</f>
        <v/>
      </c>
      <c r="AV420">
        <f>AR420*AS420*AQ420</f>
        <v/>
      </c>
      <c r="AW420">
        <f>AR420*AT420*AQ420</f>
        <v/>
      </c>
      <c r="AX420">
        <f>AR420*AS420</f>
        <v/>
      </c>
      <c r="AY420">
        <f>AR420*AT420</f>
        <v/>
      </c>
      <c r="AZ420">
        <f>AR420*AQ420</f>
        <v/>
      </c>
      <c r="BA420">
        <f>AR420</f>
        <v/>
      </c>
      <c r="BB420">
        <f>1</f>
        <v/>
      </c>
      <c r="BC420">
        <f>IF(AV420=1,1,IF(AW420=1,2,IF(AX420=1,3,IF(AY420=1,4,IF(AZ420=1,5,IF(BA420=1,6,7))))))</f>
        <v/>
      </c>
      <c r="BD420">
        <f>IF(AD420=1,CHOOSE('Historical Score'!$C$29,AV420,AW420,AX420,AY420,AZ420,BA420,BB420),0)</f>
        <v/>
      </c>
      <c r="BE420">
        <f>IF(BD420=1,COUNTIF($BD$2:BD420,1),"")</f>
        <v/>
      </c>
    </row>
    <row r="421">
      <c r="A421" t="inlineStr">
        <is>
          <t>5674173726</t>
        </is>
      </c>
      <c r="B421" t="inlineStr">
        <is>
          <t>BLACKBURN BUSINESS MANAGEMENT</t>
        </is>
      </c>
      <c r="C421" t="inlineStr">
        <is>
          <t>BLACKBURN BUSINESS MANAGEMENT LLC</t>
        </is>
      </c>
      <c r="D421" t="inlineStr">
        <is>
          <t>Closed</t>
        </is>
      </c>
      <c r="E421" s="297" t="n">
        <v>45999</v>
      </c>
      <c r="F421" s="297" t="n">
        <v>46106</v>
      </c>
      <c r="G421" t="n">
        <v>2</v>
      </c>
      <c r="H421" t="inlineStr">
        <is>
          <t>1442</t>
        </is>
      </c>
      <c r="I421" t="inlineStr">
        <is>
          <t>14</t>
        </is>
      </c>
      <c r="J421" t="inlineStr">
        <is>
          <t>TX</t>
        </is>
      </c>
      <c r="K421" t="inlineStr">
        <is>
          <t>EZ ADVANCE LLC</t>
        </is>
      </c>
      <c r="L421" t="inlineStr">
        <is>
          <t>New Deal</t>
        </is>
      </c>
      <c r="M421" s="298" t="n">
        <v>1.434095</v>
      </c>
      <c r="N421" s="299" t="n">
        <v>30000</v>
      </c>
      <c r="O421" s="299" t="n">
        <v>4200</v>
      </c>
      <c r="P421" s="299" t="n">
        <v>43022.85</v>
      </c>
      <c r="Q421" s="299" t="n">
        <v>43022.85</v>
      </c>
      <c r="R421" s="299" t="n">
        <v>0</v>
      </c>
      <c r="S421" s="300" t="n">
        <v>1</v>
      </c>
      <c r="T421" t="n">
        <v>24</v>
      </c>
      <c r="U421" t="n">
        <v>0</v>
      </c>
      <c r="V421" t="n">
        <v>31354.76</v>
      </c>
      <c r="W421" s="300" t="n">
        <v>0.2376</v>
      </c>
      <c r="X421" s="297" t="n"/>
      <c r="Y421">
        <f>IF(I421="","No SIC",IFERROR(VLOOKUP(I421,Ref!$A$2:$B$65,2,FALSE),"Unclassified"))</f>
        <v/>
      </c>
      <c r="Z421">
        <f>IF(T421="","",IF(T421&lt;12,"Daily","Weekly"))</f>
        <v/>
      </c>
      <c r="AA421">
        <f>IF(T421="",0,IF(T421&lt;12,T421*Controls!$B$29,T421*5))</f>
        <v/>
      </c>
      <c r="AB421">
        <f>IF(E421="",0,NETWORKDAYS(E421,Controls!$B$36,Ref!$K$2:$K$42))</f>
        <v/>
      </c>
      <c r="AC421">
        <f>IF(AND(AA421&gt;0,AB421&gt;=Controls!$B$39*AA421),1,0)</f>
        <v/>
      </c>
      <c r="AD421">
        <f>IF(AND(E421&lt;&gt;"",E421&gt;=Controls!$B$37,E421&lt;=Controls!$B$38),1,0)</f>
        <v/>
      </c>
      <c r="AE421">
        <f>IF(IFERROR(VLOOKUP(D421,Controls!$A$64:$E$74,2,FALSE),"No")="Yes",1,0)</f>
        <v/>
      </c>
      <c r="AF421">
        <f>IF(IFERROR(VLOOKUP(D421,Controls!$A$64:$E$74,3,FALSE),"No")="Yes",1,0)</f>
        <v/>
      </c>
      <c r="AG421">
        <f>IF(IFERROR(VLOOKUP(D421,Controls!$A$64:$E$74,4,FALSE),"No")="Yes",1,0)</f>
        <v/>
      </c>
      <c r="AH421">
        <f>IF(IFERROR(VLOOKUP(D421,Controls!$A$64:$E$74,5,FALSE),"No")="Yes",1,0)</f>
        <v/>
      </c>
      <c r="AI421">
        <f>IF(ISNUMBER(MATCH(D421,Controls!$A$64:$A$74,0)),1,0)</f>
        <v/>
      </c>
      <c r="AJ421">
        <f>Q421-N421</f>
        <v/>
      </c>
      <c r="AK421">
        <f>IF(AE421=1,MAX(0,N421-Q421),0)</f>
        <v/>
      </c>
      <c r="AL421">
        <f>IF(OR(V421="",V421=0),0,N421/V421)</f>
        <v/>
      </c>
      <c r="AM421">
        <f>IF(OR(V421="",V421=0),0,1)</f>
        <v/>
      </c>
      <c r="AN421">
        <f>IF(OR(E421="",F421=""),0,NETWORKDAYS(E421,F421,Ref!$K$2:$K$42))</f>
        <v/>
      </c>
      <c r="AO421">
        <f>IF(L421="Renewal",1,0)</f>
        <v/>
      </c>
      <c r="AP421">
        <f>AC421*AD421</f>
        <v/>
      </c>
      <c r="AQ421">
        <f>IF(AND(G421&lt;&gt;"",'Historical Score'!$C$6&lt;&gt;""),IF(G421='Historical Score'!$C$6,1,0),0)</f>
        <v/>
      </c>
      <c r="AR421">
        <f>IF(AND(L421&lt;&gt;"",'Historical Score'!$C$5&lt;&gt;""),IF(L421='Historical Score'!$C$5,1,0),0)</f>
        <v/>
      </c>
      <c r="AS421">
        <f>IF(AND(Y421&lt;&gt;"",'Historical Score'!$C$7&lt;&gt;""),IF(Y421='Historical Score'!$C$7,1,0),0)</f>
        <v/>
      </c>
      <c r="AT421">
        <f>IF(AND(K421&lt;&gt;"",'Historical Score'!$C$8&lt;&gt;""),IF(K421='Historical Score'!$C$8,1,0),0)</f>
        <v/>
      </c>
      <c r="AU421">
        <f>IF(AND(J421&lt;&gt;"",'Historical Score'!$C$9&lt;&gt;""),IF(J421='Historical Score'!$C$9,1,0),0)</f>
        <v/>
      </c>
      <c r="AV421">
        <f>AR421*AS421*AQ421</f>
        <v/>
      </c>
      <c r="AW421">
        <f>AR421*AT421*AQ421</f>
        <v/>
      </c>
      <c r="AX421">
        <f>AR421*AS421</f>
        <v/>
      </c>
      <c r="AY421">
        <f>AR421*AT421</f>
        <v/>
      </c>
      <c r="AZ421">
        <f>AR421*AQ421</f>
        <v/>
      </c>
      <c r="BA421">
        <f>AR421</f>
        <v/>
      </c>
      <c r="BB421">
        <f>1</f>
        <v/>
      </c>
      <c r="BC421">
        <f>IF(AV421=1,1,IF(AW421=1,2,IF(AX421=1,3,IF(AY421=1,4,IF(AZ421=1,5,IF(BA421=1,6,7))))))</f>
        <v/>
      </c>
      <c r="BD421">
        <f>IF(AD421=1,CHOOSE('Historical Score'!$C$29,AV421,AW421,AX421,AY421,AZ421,BA421,BB421),0)</f>
        <v/>
      </c>
      <c r="BE421">
        <f>IF(BD421=1,COUNTIF($BD$2:BD421,1),"")</f>
        <v/>
      </c>
    </row>
    <row r="422">
      <c r="A422" t="inlineStr">
        <is>
          <t>5674173770</t>
        </is>
      </c>
      <c r="B422" t="inlineStr">
        <is>
          <t>CP INFINITY CONSULTING LLC</t>
        </is>
      </c>
      <c r="C422" t="inlineStr">
        <is>
          <t>CP INFINITY CONSULTING LLC</t>
        </is>
      </c>
      <c r="D422" t="inlineStr">
        <is>
          <t>Closed</t>
        </is>
      </c>
      <c r="E422" s="297" t="n">
        <v>45999</v>
      </c>
      <c r="F422" s="297" t="n">
        <v>46129</v>
      </c>
      <c r="G422" t="n">
        <v>1</v>
      </c>
      <c r="H422" t="inlineStr">
        <is>
          <t>8742</t>
        </is>
      </c>
      <c r="I422" t="inlineStr">
        <is>
          <t>87</t>
        </is>
      </c>
      <c r="J422" t="inlineStr">
        <is>
          <t>FL</t>
        </is>
      </c>
      <c r="K422" t="inlineStr">
        <is>
          <t>level 3 funding</t>
        </is>
      </c>
      <c r="L422" t="inlineStr">
        <is>
          <t>New Deal</t>
        </is>
      </c>
      <c r="M422" s="298" t="n">
        <v>1.49</v>
      </c>
      <c r="N422" s="299" t="n">
        <v>3500</v>
      </c>
      <c r="O422" s="299" t="n">
        <v>490</v>
      </c>
      <c r="P422" s="299" t="n">
        <v>5215</v>
      </c>
      <c r="Q422" s="299" t="n">
        <v>5215</v>
      </c>
      <c r="R422" s="299" t="n">
        <v>0</v>
      </c>
      <c r="S422" s="300" t="n">
        <v>1</v>
      </c>
      <c r="T422" t="n">
        <v>18</v>
      </c>
      <c r="U422" t="n">
        <v>1</v>
      </c>
      <c r="V422" t="n">
        <v>6400.67</v>
      </c>
      <c r="W422" s="300" t="n">
        <v>0.1811</v>
      </c>
      <c r="X422" s="297" t="n">
        <v>45627</v>
      </c>
      <c r="Y422">
        <f>IF(I422="","No SIC",IFERROR(VLOOKUP(I422,Ref!$A$2:$B$65,2,FALSE),"Unclassified"))</f>
        <v/>
      </c>
      <c r="Z422">
        <f>IF(T422="","",IF(T422&lt;12,"Daily","Weekly"))</f>
        <v/>
      </c>
      <c r="AA422">
        <f>IF(T422="",0,IF(T422&lt;12,T422*Controls!$B$29,T422*5))</f>
        <v/>
      </c>
      <c r="AB422">
        <f>IF(E422="",0,NETWORKDAYS(E422,Controls!$B$36,Ref!$K$2:$K$42))</f>
        <v/>
      </c>
      <c r="AC422">
        <f>IF(AND(AA422&gt;0,AB422&gt;=Controls!$B$39*AA422),1,0)</f>
        <v/>
      </c>
      <c r="AD422">
        <f>IF(AND(E422&lt;&gt;"",E422&gt;=Controls!$B$37,E422&lt;=Controls!$B$38),1,0)</f>
        <v/>
      </c>
      <c r="AE422">
        <f>IF(IFERROR(VLOOKUP(D422,Controls!$A$64:$E$74,2,FALSE),"No")="Yes",1,0)</f>
        <v/>
      </c>
      <c r="AF422">
        <f>IF(IFERROR(VLOOKUP(D422,Controls!$A$64:$E$74,3,FALSE),"No")="Yes",1,0)</f>
        <v/>
      </c>
      <c r="AG422">
        <f>IF(IFERROR(VLOOKUP(D422,Controls!$A$64:$E$74,4,FALSE),"No")="Yes",1,0)</f>
        <v/>
      </c>
      <c r="AH422">
        <f>IF(IFERROR(VLOOKUP(D422,Controls!$A$64:$E$74,5,FALSE),"No")="Yes",1,0)</f>
        <v/>
      </c>
      <c r="AI422">
        <f>IF(ISNUMBER(MATCH(D422,Controls!$A$64:$A$74,0)),1,0)</f>
        <v/>
      </c>
      <c r="AJ422">
        <f>Q422-N422</f>
        <v/>
      </c>
      <c r="AK422">
        <f>IF(AE422=1,MAX(0,N422-Q422),0)</f>
        <v/>
      </c>
      <c r="AL422">
        <f>IF(OR(V422="",V422=0),0,N422/V422)</f>
        <v/>
      </c>
      <c r="AM422">
        <f>IF(OR(V422="",V422=0),0,1)</f>
        <v/>
      </c>
      <c r="AN422">
        <f>IF(OR(E422="",F422=""),0,NETWORKDAYS(E422,F422,Ref!$K$2:$K$42))</f>
        <v/>
      </c>
      <c r="AO422">
        <f>IF(L422="Renewal",1,0)</f>
        <v/>
      </c>
      <c r="AP422">
        <f>AC422*AD422</f>
        <v/>
      </c>
      <c r="AQ422">
        <f>IF(AND(G422&lt;&gt;"",'Historical Score'!$C$6&lt;&gt;""),IF(G422='Historical Score'!$C$6,1,0),0)</f>
        <v/>
      </c>
      <c r="AR422">
        <f>IF(AND(L422&lt;&gt;"",'Historical Score'!$C$5&lt;&gt;""),IF(L422='Historical Score'!$C$5,1,0),0)</f>
        <v/>
      </c>
      <c r="AS422">
        <f>IF(AND(Y422&lt;&gt;"",'Historical Score'!$C$7&lt;&gt;""),IF(Y422='Historical Score'!$C$7,1,0),0)</f>
        <v/>
      </c>
      <c r="AT422">
        <f>IF(AND(K422&lt;&gt;"",'Historical Score'!$C$8&lt;&gt;""),IF(K422='Historical Score'!$C$8,1,0),0)</f>
        <v/>
      </c>
      <c r="AU422">
        <f>IF(AND(J422&lt;&gt;"",'Historical Score'!$C$9&lt;&gt;""),IF(J422='Historical Score'!$C$9,1,0),0)</f>
        <v/>
      </c>
      <c r="AV422">
        <f>AR422*AS422*AQ422</f>
        <v/>
      </c>
      <c r="AW422">
        <f>AR422*AT422*AQ422</f>
        <v/>
      </c>
      <c r="AX422">
        <f>AR422*AS422</f>
        <v/>
      </c>
      <c r="AY422">
        <f>AR422*AT422</f>
        <v/>
      </c>
      <c r="AZ422">
        <f>AR422*AQ422</f>
        <v/>
      </c>
      <c r="BA422">
        <f>AR422</f>
        <v/>
      </c>
      <c r="BB422">
        <f>1</f>
        <v/>
      </c>
      <c r="BC422">
        <f>IF(AV422=1,1,IF(AW422=1,2,IF(AX422=1,3,IF(AY422=1,4,IF(AZ422=1,5,IF(BA422=1,6,7))))))</f>
        <v/>
      </c>
      <c r="BD422">
        <f>IF(AD422=1,CHOOSE('Historical Score'!$C$29,AV422,AW422,AX422,AY422,AZ422,BA422,BB422),0)</f>
        <v/>
      </c>
      <c r="BE422">
        <f>IF(BD422=1,COUNTIF($BD$2:BD422,1),"")</f>
        <v/>
      </c>
    </row>
    <row r="423">
      <c r="A423" t="inlineStr">
        <is>
          <t>5674173789</t>
        </is>
      </c>
      <c r="B423" t="inlineStr">
        <is>
          <t>BAD HABITS</t>
        </is>
      </c>
      <c r="C423" t="inlineStr">
        <is>
          <t>BAD HABITS HTX LLC</t>
        </is>
      </c>
      <c r="D423" t="inlineStr">
        <is>
          <t>Closed</t>
        </is>
      </c>
      <c r="E423" s="297" t="n">
        <v>46000</v>
      </c>
      <c r="F423" s="297" t="n">
        <v>46196</v>
      </c>
      <c r="G423" t="n">
        <v>2</v>
      </c>
      <c r="H423" t="inlineStr">
        <is>
          <t>7911</t>
        </is>
      </c>
      <c r="I423" t="inlineStr">
        <is>
          <t>79</t>
        </is>
      </c>
      <c r="J423" t="inlineStr">
        <is>
          <t>TX</t>
        </is>
      </c>
      <c r="K423" t="inlineStr">
        <is>
          <t>Fundwell</t>
        </is>
      </c>
      <c r="L423" t="inlineStr">
        <is>
          <t>New Deal</t>
        </is>
      </c>
      <c r="M423" s="298" t="n">
        <v>1.42</v>
      </c>
      <c r="N423" s="299" t="n">
        <v>70000</v>
      </c>
      <c r="O423" s="299" t="n">
        <v>10150</v>
      </c>
      <c r="P423" s="299" t="n">
        <v>99400</v>
      </c>
      <c r="Q423" s="299" t="n">
        <v>99400</v>
      </c>
      <c r="R423" s="299" t="n">
        <v>0</v>
      </c>
      <c r="S423" s="300" t="n">
        <v>1</v>
      </c>
      <c r="T423" t="n">
        <v>28</v>
      </c>
      <c r="U423" t="n">
        <v>2</v>
      </c>
      <c r="V423" t="n">
        <v>189356.07</v>
      </c>
      <c r="W423" s="300" t="n">
        <v>0.075</v>
      </c>
      <c r="X423" s="297" t="n">
        <v>45460</v>
      </c>
      <c r="Y423">
        <f>IF(I423="","No SIC",IFERROR(VLOOKUP(I423,Ref!$A$2:$B$65,2,FALSE),"Unclassified"))</f>
        <v/>
      </c>
      <c r="Z423">
        <f>IF(T423="","",IF(T423&lt;12,"Daily","Weekly"))</f>
        <v/>
      </c>
      <c r="AA423">
        <f>IF(T423="",0,IF(T423&lt;12,T423*Controls!$B$29,T423*5))</f>
        <v/>
      </c>
      <c r="AB423">
        <f>IF(E423="",0,NETWORKDAYS(E423,Controls!$B$36,Ref!$K$2:$K$42))</f>
        <v/>
      </c>
      <c r="AC423">
        <f>IF(AND(AA423&gt;0,AB423&gt;=Controls!$B$39*AA423),1,0)</f>
        <v/>
      </c>
      <c r="AD423">
        <f>IF(AND(E423&lt;&gt;"",E423&gt;=Controls!$B$37,E423&lt;=Controls!$B$38),1,0)</f>
        <v/>
      </c>
      <c r="AE423">
        <f>IF(IFERROR(VLOOKUP(D423,Controls!$A$64:$E$74,2,FALSE),"No")="Yes",1,0)</f>
        <v/>
      </c>
      <c r="AF423">
        <f>IF(IFERROR(VLOOKUP(D423,Controls!$A$64:$E$74,3,FALSE),"No")="Yes",1,0)</f>
        <v/>
      </c>
      <c r="AG423">
        <f>IF(IFERROR(VLOOKUP(D423,Controls!$A$64:$E$74,4,FALSE),"No")="Yes",1,0)</f>
        <v/>
      </c>
      <c r="AH423">
        <f>IF(IFERROR(VLOOKUP(D423,Controls!$A$64:$E$74,5,FALSE),"No")="Yes",1,0)</f>
        <v/>
      </c>
      <c r="AI423">
        <f>IF(ISNUMBER(MATCH(D423,Controls!$A$64:$A$74,0)),1,0)</f>
        <v/>
      </c>
      <c r="AJ423">
        <f>Q423-N423</f>
        <v/>
      </c>
      <c r="AK423">
        <f>IF(AE423=1,MAX(0,N423-Q423),0)</f>
        <v/>
      </c>
      <c r="AL423">
        <f>IF(OR(V423="",V423=0),0,N423/V423)</f>
        <v/>
      </c>
      <c r="AM423">
        <f>IF(OR(V423="",V423=0),0,1)</f>
        <v/>
      </c>
      <c r="AN423">
        <f>IF(OR(E423="",F423=""),0,NETWORKDAYS(E423,F423,Ref!$K$2:$K$42))</f>
        <v/>
      </c>
      <c r="AO423">
        <f>IF(L423="Renewal",1,0)</f>
        <v/>
      </c>
      <c r="AP423">
        <f>AC423*AD423</f>
        <v/>
      </c>
      <c r="AQ423">
        <f>IF(AND(G423&lt;&gt;"",'Historical Score'!$C$6&lt;&gt;""),IF(G423='Historical Score'!$C$6,1,0),0)</f>
        <v/>
      </c>
      <c r="AR423">
        <f>IF(AND(L423&lt;&gt;"",'Historical Score'!$C$5&lt;&gt;""),IF(L423='Historical Score'!$C$5,1,0),0)</f>
        <v/>
      </c>
      <c r="AS423">
        <f>IF(AND(Y423&lt;&gt;"",'Historical Score'!$C$7&lt;&gt;""),IF(Y423='Historical Score'!$C$7,1,0),0)</f>
        <v/>
      </c>
      <c r="AT423">
        <f>IF(AND(K423&lt;&gt;"",'Historical Score'!$C$8&lt;&gt;""),IF(K423='Historical Score'!$C$8,1,0),0)</f>
        <v/>
      </c>
      <c r="AU423">
        <f>IF(AND(J423&lt;&gt;"",'Historical Score'!$C$9&lt;&gt;""),IF(J423='Historical Score'!$C$9,1,0),0)</f>
        <v/>
      </c>
      <c r="AV423">
        <f>AR423*AS423*AQ423</f>
        <v/>
      </c>
      <c r="AW423">
        <f>AR423*AT423*AQ423</f>
        <v/>
      </c>
      <c r="AX423">
        <f>AR423*AS423</f>
        <v/>
      </c>
      <c r="AY423">
        <f>AR423*AT423</f>
        <v/>
      </c>
      <c r="AZ423">
        <f>AR423*AQ423</f>
        <v/>
      </c>
      <c r="BA423">
        <f>AR423</f>
        <v/>
      </c>
      <c r="BB423">
        <f>1</f>
        <v/>
      </c>
      <c r="BC423">
        <f>IF(AV423=1,1,IF(AW423=1,2,IF(AX423=1,3,IF(AY423=1,4,IF(AZ423=1,5,IF(BA423=1,6,7))))))</f>
        <v/>
      </c>
      <c r="BD423">
        <f>IF(AD423=1,CHOOSE('Historical Score'!$C$29,AV423,AW423,AX423,AY423,AZ423,BA423,BB423),0)</f>
        <v/>
      </c>
      <c r="BE423">
        <f>IF(BD423=1,COUNTIF($BD$2:BD423,1),"")</f>
        <v/>
      </c>
    </row>
    <row r="424">
      <c r="A424" t="inlineStr">
        <is>
          <t>5674173818</t>
        </is>
      </c>
      <c r="B424" t="inlineStr">
        <is>
          <t>PAGANOTTIS CLEANING SERVICES</t>
        </is>
      </c>
      <c r="C424" t="inlineStr">
        <is>
          <t>PAGANOTTIS CLEANING SERVICES INC</t>
        </is>
      </c>
      <c r="D424" t="inlineStr">
        <is>
          <t>Legal</t>
        </is>
      </c>
      <c r="E424" s="297" t="n">
        <v>46000</v>
      </c>
      <c r="F424" s="297" t="n">
        <v>46079</v>
      </c>
      <c r="G424" t="n">
        <v>2</v>
      </c>
      <c r="H424" t="inlineStr">
        <is>
          <t>7217</t>
        </is>
      </c>
      <c r="I424" t="inlineStr">
        <is>
          <t>72</t>
        </is>
      </c>
      <c r="J424" t="inlineStr">
        <is>
          <t>MA</t>
        </is>
      </c>
      <c r="K424" t="inlineStr">
        <is>
          <t>Fundwell</t>
        </is>
      </c>
      <c r="L424" t="inlineStr">
        <is>
          <t>New Deal</t>
        </is>
      </c>
      <c r="M424" s="298" t="n">
        <v>1.42</v>
      </c>
      <c r="N424" s="299" t="n">
        <v>20000</v>
      </c>
      <c r="O424" s="299" t="n">
        <v>2900</v>
      </c>
      <c r="P424" s="299" t="n">
        <v>28400</v>
      </c>
      <c r="Q424" s="299" t="n">
        <v>5917.3</v>
      </c>
      <c r="R424" s="299" t="n">
        <v>22482.7</v>
      </c>
      <c r="S424" s="300" t="n">
        <v>0.208355633802817</v>
      </c>
      <c r="T424" t="n">
        <v>24</v>
      </c>
      <c r="U424" t="n">
        <v>7</v>
      </c>
      <c r="V424" t="n">
        <v>30980.57</v>
      </c>
      <c r="W424" s="300" t="n">
        <v>0.1528</v>
      </c>
      <c r="X424" s="297" t="n">
        <v>44095</v>
      </c>
      <c r="Y424">
        <f>IF(I424="","No SIC",IFERROR(VLOOKUP(I424,Ref!$A$2:$B$65,2,FALSE),"Unclassified"))</f>
        <v/>
      </c>
      <c r="Z424">
        <f>IF(T424="","",IF(T424&lt;12,"Daily","Weekly"))</f>
        <v/>
      </c>
      <c r="AA424">
        <f>IF(T424="",0,IF(T424&lt;12,T424*Controls!$B$29,T424*5))</f>
        <v/>
      </c>
      <c r="AB424">
        <f>IF(E424="",0,NETWORKDAYS(E424,Controls!$B$36,Ref!$K$2:$K$42))</f>
        <v/>
      </c>
      <c r="AC424">
        <f>IF(AND(AA424&gt;0,AB424&gt;=Controls!$B$39*AA424),1,0)</f>
        <v/>
      </c>
      <c r="AD424">
        <f>IF(AND(E424&lt;&gt;"",E424&gt;=Controls!$B$37,E424&lt;=Controls!$B$38),1,0)</f>
        <v/>
      </c>
      <c r="AE424">
        <f>IF(IFERROR(VLOOKUP(D424,Controls!$A$64:$E$74,2,FALSE),"No")="Yes",1,0)</f>
        <v/>
      </c>
      <c r="AF424">
        <f>IF(IFERROR(VLOOKUP(D424,Controls!$A$64:$E$74,3,FALSE),"No")="Yes",1,0)</f>
        <v/>
      </c>
      <c r="AG424">
        <f>IF(IFERROR(VLOOKUP(D424,Controls!$A$64:$E$74,4,FALSE),"No")="Yes",1,0)</f>
        <v/>
      </c>
      <c r="AH424">
        <f>IF(IFERROR(VLOOKUP(D424,Controls!$A$64:$E$74,5,FALSE),"No")="Yes",1,0)</f>
        <v/>
      </c>
      <c r="AI424">
        <f>IF(ISNUMBER(MATCH(D424,Controls!$A$64:$A$74,0)),1,0)</f>
        <v/>
      </c>
      <c r="AJ424">
        <f>Q424-N424</f>
        <v/>
      </c>
      <c r="AK424">
        <f>IF(AE424=1,MAX(0,N424-Q424),0)</f>
        <v/>
      </c>
      <c r="AL424">
        <f>IF(OR(V424="",V424=0),0,N424/V424)</f>
        <v/>
      </c>
      <c r="AM424">
        <f>IF(OR(V424="",V424=0),0,1)</f>
        <v/>
      </c>
      <c r="AN424">
        <f>IF(OR(E424="",F424=""),0,NETWORKDAYS(E424,F424,Ref!$K$2:$K$42))</f>
        <v/>
      </c>
      <c r="AO424">
        <f>IF(L424="Renewal",1,0)</f>
        <v/>
      </c>
      <c r="AP424">
        <f>AC424*AD424</f>
        <v/>
      </c>
      <c r="AQ424">
        <f>IF(AND(G424&lt;&gt;"",'Historical Score'!$C$6&lt;&gt;""),IF(G424='Historical Score'!$C$6,1,0),0)</f>
        <v/>
      </c>
      <c r="AR424">
        <f>IF(AND(L424&lt;&gt;"",'Historical Score'!$C$5&lt;&gt;""),IF(L424='Historical Score'!$C$5,1,0),0)</f>
        <v/>
      </c>
      <c r="AS424">
        <f>IF(AND(Y424&lt;&gt;"",'Historical Score'!$C$7&lt;&gt;""),IF(Y424='Historical Score'!$C$7,1,0),0)</f>
        <v/>
      </c>
      <c r="AT424">
        <f>IF(AND(K424&lt;&gt;"",'Historical Score'!$C$8&lt;&gt;""),IF(K424='Historical Score'!$C$8,1,0),0)</f>
        <v/>
      </c>
      <c r="AU424">
        <f>IF(AND(J424&lt;&gt;"",'Historical Score'!$C$9&lt;&gt;""),IF(J424='Historical Score'!$C$9,1,0),0)</f>
        <v/>
      </c>
      <c r="AV424">
        <f>AR424*AS424*AQ424</f>
        <v/>
      </c>
      <c r="AW424">
        <f>AR424*AT424*AQ424</f>
        <v/>
      </c>
      <c r="AX424">
        <f>AR424*AS424</f>
        <v/>
      </c>
      <c r="AY424">
        <f>AR424*AT424</f>
        <v/>
      </c>
      <c r="AZ424">
        <f>AR424*AQ424</f>
        <v/>
      </c>
      <c r="BA424">
        <f>AR424</f>
        <v/>
      </c>
      <c r="BB424">
        <f>1</f>
        <v/>
      </c>
      <c r="BC424">
        <f>IF(AV424=1,1,IF(AW424=1,2,IF(AX424=1,3,IF(AY424=1,4,IF(AZ424=1,5,IF(BA424=1,6,7))))))</f>
        <v/>
      </c>
      <c r="BD424">
        <f>IF(AD424=1,CHOOSE('Historical Score'!$C$29,AV424,AW424,AX424,AY424,AZ424,BA424,BB424),0)</f>
        <v/>
      </c>
      <c r="BE424">
        <f>IF(BD424=1,COUNTIF($BD$2:BD424,1),"")</f>
        <v/>
      </c>
    </row>
    <row r="425">
      <c r="A425" t="inlineStr">
        <is>
          <t>5674173826</t>
        </is>
      </c>
      <c r="B425" t="inlineStr">
        <is>
          <t>PANZA XPRESS INC</t>
        </is>
      </c>
      <c r="C425" t="inlineStr">
        <is>
          <t>PANZA XPRESS INC</t>
        </is>
      </c>
      <c r="D425" t="inlineStr">
        <is>
          <t>Legal</t>
        </is>
      </c>
      <c r="E425" s="297" t="n">
        <v>46000</v>
      </c>
      <c r="F425" s="297" t="n">
        <v>46177</v>
      </c>
      <c r="G425" t="n">
        <v>1</v>
      </c>
      <c r="H425" t="inlineStr">
        <is>
          <t>5812</t>
        </is>
      </c>
      <c r="I425" t="inlineStr">
        <is>
          <t>58</t>
        </is>
      </c>
      <c r="J425" t="inlineStr">
        <is>
          <t>CA</t>
        </is>
      </c>
      <c r="K425" t="inlineStr">
        <is>
          <t>United Secured Capital 8</t>
        </is>
      </c>
      <c r="L425" t="inlineStr">
        <is>
          <t>New Deal</t>
        </is>
      </c>
      <c r="M425" s="298" t="n">
        <v>1.499</v>
      </c>
      <c r="N425" s="299" t="n">
        <v>15000</v>
      </c>
      <c r="O425" s="299" t="n">
        <v>0</v>
      </c>
      <c r="P425" s="299" t="n">
        <v>22485</v>
      </c>
      <c r="Q425" s="299" t="n">
        <v>248.47</v>
      </c>
      <c r="R425" s="299" t="n">
        <v>22236.53</v>
      </c>
      <c r="S425" s="300" t="n">
        <v>0.0110504780965088</v>
      </c>
      <c r="T425" t="n">
        <v>2.951</v>
      </c>
      <c r="U425" t="n">
        <v>23</v>
      </c>
      <c r="V425" t="n">
        <v>43266.17</v>
      </c>
      <c r="W425" s="300" t="n">
        <v>0.1206</v>
      </c>
      <c r="X425" s="297" t="n">
        <v>45222</v>
      </c>
      <c r="Y425">
        <f>IF(I425="","No SIC",IFERROR(VLOOKUP(I425,Ref!$A$2:$B$65,2,FALSE),"Unclassified"))</f>
        <v/>
      </c>
      <c r="Z425">
        <f>IF(T425="","",IF(T425&lt;12,"Daily","Weekly"))</f>
        <v/>
      </c>
      <c r="AA425">
        <f>IF(T425="",0,IF(T425&lt;12,T425*Controls!$B$29,T425*5))</f>
        <v/>
      </c>
      <c r="AB425">
        <f>IF(E425="",0,NETWORKDAYS(E425,Controls!$B$36,Ref!$K$2:$K$42))</f>
        <v/>
      </c>
      <c r="AC425">
        <f>IF(AND(AA425&gt;0,AB425&gt;=Controls!$B$39*AA425),1,0)</f>
        <v/>
      </c>
      <c r="AD425">
        <f>IF(AND(E425&lt;&gt;"",E425&gt;=Controls!$B$37,E425&lt;=Controls!$B$38),1,0)</f>
        <v/>
      </c>
      <c r="AE425">
        <f>IF(IFERROR(VLOOKUP(D425,Controls!$A$64:$E$74,2,FALSE),"No")="Yes",1,0)</f>
        <v/>
      </c>
      <c r="AF425">
        <f>IF(IFERROR(VLOOKUP(D425,Controls!$A$64:$E$74,3,FALSE),"No")="Yes",1,0)</f>
        <v/>
      </c>
      <c r="AG425">
        <f>IF(IFERROR(VLOOKUP(D425,Controls!$A$64:$E$74,4,FALSE),"No")="Yes",1,0)</f>
        <v/>
      </c>
      <c r="AH425">
        <f>IF(IFERROR(VLOOKUP(D425,Controls!$A$64:$E$74,5,FALSE),"No")="Yes",1,0)</f>
        <v/>
      </c>
      <c r="AI425">
        <f>IF(ISNUMBER(MATCH(D425,Controls!$A$64:$A$74,0)),1,0)</f>
        <v/>
      </c>
      <c r="AJ425">
        <f>Q425-N425</f>
        <v/>
      </c>
      <c r="AK425">
        <f>IF(AE425=1,MAX(0,N425-Q425),0)</f>
        <v/>
      </c>
      <c r="AL425">
        <f>IF(OR(V425="",V425=0),0,N425/V425)</f>
        <v/>
      </c>
      <c r="AM425">
        <f>IF(OR(V425="",V425=0),0,1)</f>
        <v/>
      </c>
      <c r="AN425">
        <f>IF(OR(E425="",F425=""),0,NETWORKDAYS(E425,F425,Ref!$K$2:$K$42))</f>
        <v/>
      </c>
      <c r="AO425">
        <f>IF(L425="Renewal",1,0)</f>
        <v/>
      </c>
      <c r="AP425">
        <f>AC425*AD425</f>
        <v/>
      </c>
      <c r="AQ425">
        <f>IF(AND(G425&lt;&gt;"",'Historical Score'!$C$6&lt;&gt;""),IF(G425='Historical Score'!$C$6,1,0),0)</f>
        <v/>
      </c>
      <c r="AR425">
        <f>IF(AND(L425&lt;&gt;"",'Historical Score'!$C$5&lt;&gt;""),IF(L425='Historical Score'!$C$5,1,0),0)</f>
        <v/>
      </c>
      <c r="AS425">
        <f>IF(AND(Y425&lt;&gt;"",'Historical Score'!$C$7&lt;&gt;""),IF(Y425='Historical Score'!$C$7,1,0),0)</f>
        <v/>
      </c>
      <c r="AT425">
        <f>IF(AND(K425&lt;&gt;"",'Historical Score'!$C$8&lt;&gt;""),IF(K425='Historical Score'!$C$8,1,0),0)</f>
        <v/>
      </c>
      <c r="AU425">
        <f>IF(AND(J425&lt;&gt;"",'Historical Score'!$C$9&lt;&gt;""),IF(J425='Historical Score'!$C$9,1,0),0)</f>
        <v/>
      </c>
      <c r="AV425">
        <f>AR425*AS425*AQ425</f>
        <v/>
      </c>
      <c r="AW425">
        <f>AR425*AT425*AQ425</f>
        <v/>
      </c>
      <c r="AX425">
        <f>AR425*AS425</f>
        <v/>
      </c>
      <c r="AY425">
        <f>AR425*AT425</f>
        <v/>
      </c>
      <c r="AZ425">
        <f>AR425*AQ425</f>
        <v/>
      </c>
      <c r="BA425">
        <f>AR425</f>
        <v/>
      </c>
      <c r="BB425">
        <f>1</f>
        <v/>
      </c>
      <c r="BC425">
        <f>IF(AV425=1,1,IF(AW425=1,2,IF(AX425=1,3,IF(AY425=1,4,IF(AZ425=1,5,IF(BA425=1,6,7))))))</f>
        <v/>
      </c>
      <c r="BD425">
        <f>IF(AD425=1,CHOOSE('Historical Score'!$C$29,AV425,AW425,AX425,AY425,AZ425,BA425,BB425),0)</f>
        <v/>
      </c>
      <c r="BE425">
        <f>IF(BD425=1,COUNTIF($BD$2:BD425,1),"")</f>
        <v/>
      </c>
    </row>
    <row r="426">
      <c r="A426" t="inlineStr">
        <is>
          <t>5674173833</t>
        </is>
      </c>
      <c r="B426" t="inlineStr">
        <is>
          <t>TACOS BROTHERS LLC</t>
        </is>
      </c>
      <c r="C426" t="inlineStr">
        <is>
          <t>TACOS BROTHERS LLC</t>
        </is>
      </c>
      <c r="D426" t="inlineStr">
        <is>
          <t>Open</t>
        </is>
      </c>
      <c r="E426" s="297" t="n">
        <v>46000</v>
      </c>
      <c r="F426" s="297" t="n">
        <v>46253</v>
      </c>
      <c r="G426" t="n">
        <v>2</v>
      </c>
      <c r="H426" t="inlineStr">
        <is>
          <t>5812</t>
        </is>
      </c>
      <c r="I426" t="inlineStr">
        <is>
          <t>58</t>
        </is>
      </c>
      <c r="J426" t="inlineStr">
        <is>
          <t>WA</t>
        </is>
      </c>
      <c r="K426" t="inlineStr">
        <is>
          <t>United Secured Capital 8</t>
        </is>
      </c>
      <c r="L426" t="inlineStr">
        <is>
          <t>New Deal</t>
        </is>
      </c>
      <c r="M426" s="298" t="n">
        <v>1.49</v>
      </c>
      <c r="N426" s="299" t="n">
        <v>15000</v>
      </c>
      <c r="O426" s="299" t="n">
        <v>2100</v>
      </c>
      <c r="P426" s="299" t="n">
        <v>22350</v>
      </c>
      <c r="Q426" s="299" t="n">
        <v>21081.62</v>
      </c>
      <c r="R426" s="299" t="n">
        <v>1268.38</v>
      </c>
      <c r="S426" s="300" t="n">
        <v>0.943249217002237</v>
      </c>
      <c r="T426" t="n">
        <v>18</v>
      </c>
      <c r="U426" t="n">
        <v>13</v>
      </c>
      <c r="V426" t="n">
        <v>58844.77</v>
      </c>
      <c r="W426" s="300" t="n">
        <v>0.0844</v>
      </c>
      <c r="X426" s="297" t="n">
        <v>43879</v>
      </c>
      <c r="Y426">
        <f>IF(I426="","No SIC",IFERROR(VLOOKUP(I426,Ref!$A$2:$B$65,2,FALSE),"Unclassified"))</f>
        <v/>
      </c>
      <c r="Z426">
        <f>IF(T426="","",IF(T426&lt;12,"Daily","Weekly"))</f>
        <v/>
      </c>
      <c r="AA426">
        <f>IF(T426="",0,IF(T426&lt;12,T426*Controls!$B$29,T426*5))</f>
        <v/>
      </c>
      <c r="AB426">
        <f>IF(E426="",0,NETWORKDAYS(E426,Controls!$B$36,Ref!$K$2:$K$42))</f>
        <v/>
      </c>
      <c r="AC426">
        <f>IF(AND(AA426&gt;0,AB426&gt;=Controls!$B$39*AA426),1,0)</f>
        <v/>
      </c>
      <c r="AD426">
        <f>IF(AND(E426&lt;&gt;"",E426&gt;=Controls!$B$37,E426&lt;=Controls!$B$38),1,0)</f>
        <v/>
      </c>
      <c r="AE426">
        <f>IF(IFERROR(VLOOKUP(D426,Controls!$A$64:$E$74,2,FALSE),"No")="Yes",1,0)</f>
        <v/>
      </c>
      <c r="AF426">
        <f>IF(IFERROR(VLOOKUP(D426,Controls!$A$64:$E$74,3,FALSE),"No")="Yes",1,0)</f>
        <v/>
      </c>
      <c r="AG426">
        <f>IF(IFERROR(VLOOKUP(D426,Controls!$A$64:$E$74,4,FALSE),"No")="Yes",1,0)</f>
        <v/>
      </c>
      <c r="AH426">
        <f>IF(IFERROR(VLOOKUP(D426,Controls!$A$64:$E$74,5,FALSE),"No")="Yes",1,0)</f>
        <v/>
      </c>
      <c r="AI426">
        <f>IF(ISNUMBER(MATCH(D426,Controls!$A$64:$A$74,0)),1,0)</f>
        <v/>
      </c>
      <c r="AJ426">
        <f>Q426-N426</f>
        <v/>
      </c>
      <c r="AK426">
        <f>IF(AE426=1,MAX(0,N426-Q426),0)</f>
        <v/>
      </c>
      <c r="AL426">
        <f>IF(OR(V426="",V426=0),0,N426/V426)</f>
        <v/>
      </c>
      <c r="AM426">
        <f>IF(OR(V426="",V426=0),0,1)</f>
        <v/>
      </c>
      <c r="AN426">
        <f>IF(OR(E426="",F426=""),0,NETWORKDAYS(E426,F426,Ref!$K$2:$K$42))</f>
        <v/>
      </c>
      <c r="AO426">
        <f>IF(L426="Renewal",1,0)</f>
        <v/>
      </c>
      <c r="AP426">
        <f>AC426*AD426</f>
        <v/>
      </c>
      <c r="AQ426">
        <f>IF(AND(G426&lt;&gt;"",'Historical Score'!$C$6&lt;&gt;""),IF(G426='Historical Score'!$C$6,1,0),0)</f>
        <v/>
      </c>
      <c r="AR426">
        <f>IF(AND(L426&lt;&gt;"",'Historical Score'!$C$5&lt;&gt;""),IF(L426='Historical Score'!$C$5,1,0),0)</f>
        <v/>
      </c>
      <c r="AS426">
        <f>IF(AND(Y426&lt;&gt;"",'Historical Score'!$C$7&lt;&gt;""),IF(Y426='Historical Score'!$C$7,1,0),0)</f>
        <v/>
      </c>
      <c r="AT426">
        <f>IF(AND(K426&lt;&gt;"",'Historical Score'!$C$8&lt;&gt;""),IF(K426='Historical Score'!$C$8,1,0),0)</f>
        <v/>
      </c>
      <c r="AU426">
        <f>IF(AND(J426&lt;&gt;"",'Historical Score'!$C$9&lt;&gt;""),IF(J426='Historical Score'!$C$9,1,0),0)</f>
        <v/>
      </c>
      <c r="AV426">
        <f>AR426*AS426*AQ426</f>
        <v/>
      </c>
      <c r="AW426">
        <f>AR426*AT426*AQ426</f>
        <v/>
      </c>
      <c r="AX426">
        <f>AR426*AS426</f>
        <v/>
      </c>
      <c r="AY426">
        <f>AR426*AT426</f>
        <v/>
      </c>
      <c r="AZ426">
        <f>AR426*AQ426</f>
        <v/>
      </c>
      <c r="BA426">
        <f>AR426</f>
        <v/>
      </c>
      <c r="BB426">
        <f>1</f>
        <v/>
      </c>
      <c r="BC426">
        <f>IF(AV426=1,1,IF(AW426=1,2,IF(AX426=1,3,IF(AY426=1,4,IF(AZ426=1,5,IF(BA426=1,6,7))))))</f>
        <v/>
      </c>
      <c r="BD426">
        <f>IF(AD426=1,CHOOSE('Historical Score'!$C$29,AV426,AW426,AX426,AY426,AZ426,BA426,BB426),0)</f>
        <v/>
      </c>
      <c r="BE426">
        <f>IF(BD426=1,COUNTIF($BD$2:BD426,1),"")</f>
        <v/>
      </c>
    </row>
    <row r="427">
      <c r="A427" t="inlineStr">
        <is>
          <t>5674173877</t>
        </is>
      </c>
      <c r="B427" t="inlineStr">
        <is>
          <t>RON KING LLC</t>
        </is>
      </c>
      <c r="C427" t="inlineStr">
        <is>
          <t>RON KING LLC</t>
        </is>
      </c>
      <c r="D427" t="inlineStr">
        <is>
          <t>Closed</t>
        </is>
      </c>
      <c r="E427" s="297" t="n">
        <v>46000</v>
      </c>
      <c r="F427" s="297" t="n">
        <v>46086</v>
      </c>
      <c r="G427" t="n">
        <v>4</v>
      </c>
      <c r="H427" t="inlineStr">
        <is>
          <t>1521</t>
        </is>
      </c>
      <c r="I427" t="inlineStr">
        <is>
          <t>15</t>
        </is>
      </c>
      <c r="J427" t="inlineStr">
        <is>
          <t>TX</t>
        </is>
      </c>
      <c r="K427" t="inlineStr">
        <is>
          <t>Westwood</t>
        </is>
      </c>
      <c r="L427" t="inlineStr">
        <is>
          <t>Renewal</t>
        </is>
      </c>
      <c r="M427" s="298" t="n">
        <v>1.499</v>
      </c>
      <c r="N427" s="299" t="n">
        <v>35000</v>
      </c>
      <c r="O427" s="299" t="n">
        <v>4900</v>
      </c>
      <c r="P427" s="299" t="n">
        <v>52465</v>
      </c>
      <c r="Q427" s="299" t="n">
        <v>52465</v>
      </c>
      <c r="R427" s="299" t="n">
        <v>7.275957614183431e-12</v>
      </c>
      <c r="S427" s="300" t="n">
        <v>1</v>
      </c>
      <c r="T427" t="n">
        <v>3.607</v>
      </c>
      <c r="U427" t="n">
        <v>0</v>
      </c>
      <c r="V427" t="n">
        <v>54257.4</v>
      </c>
      <c r="W427" s="300" t="n">
        <v>0.1824</v>
      </c>
      <c r="X427" s="297" t="n">
        <v>43910</v>
      </c>
      <c r="Y427">
        <f>IF(I427="","No SIC",IFERROR(VLOOKUP(I427,Ref!$A$2:$B$65,2,FALSE),"Unclassified"))</f>
        <v/>
      </c>
      <c r="Z427">
        <f>IF(T427="","",IF(T427&lt;12,"Daily","Weekly"))</f>
        <v/>
      </c>
      <c r="AA427">
        <f>IF(T427="",0,IF(T427&lt;12,T427*Controls!$B$29,T427*5))</f>
        <v/>
      </c>
      <c r="AB427">
        <f>IF(E427="",0,NETWORKDAYS(E427,Controls!$B$36,Ref!$K$2:$K$42))</f>
        <v/>
      </c>
      <c r="AC427">
        <f>IF(AND(AA427&gt;0,AB427&gt;=Controls!$B$39*AA427),1,0)</f>
        <v/>
      </c>
      <c r="AD427">
        <f>IF(AND(E427&lt;&gt;"",E427&gt;=Controls!$B$37,E427&lt;=Controls!$B$38),1,0)</f>
        <v/>
      </c>
      <c r="AE427">
        <f>IF(IFERROR(VLOOKUP(D427,Controls!$A$64:$E$74,2,FALSE),"No")="Yes",1,0)</f>
        <v/>
      </c>
      <c r="AF427">
        <f>IF(IFERROR(VLOOKUP(D427,Controls!$A$64:$E$74,3,FALSE),"No")="Yes",1,0)</f>
        <v/>
      </c>
      <c r="AG427">
        <f>IF(IFERROR(VLOOKUP(D427,Controls!$A$64:$E$74,4,FALSE),"No")="Yes",1,0)</f>
        <v/>
      </c>
      <c r="AH427">
        <f>IF(IFERROR(VLOOKUP(D427,Controls!$A$64:$E$74,5,FALSE),"No")="Yes",1,0)</f>
        <v/>
      </c>
      <c r="AI427">
        <f>IF(ISNUMBER(MATCH(D427,Controls!$A$64:$A$74,0)),1,0)</f>
        <v/>
      </c>
      <c r="AJ427">
        <f>Q427-N427</f>
        <v/>
      </c>
      <c r="AK427">
        <f>IF(AE427=1,MAX(0,N427-Q427),0)</f>
        <v/>
      </c>
      <c r="AL427">
        <f>IF(OR(V427="",V427=0),0,N427/V427)</f>
        <v/>
      </c>
      <c r="AM427">
        <f>IF(OR(V427="",V427=0),0,1)</f>
        <v/>
      </c>
      <c r="AN427">
        <f>IF(OR(E427="",F427=""),0,NETWORKDAYS(E427,F427,Ref!$K$2:$K$42))</f>
        <v/>
      </c>
      <c r="AO427">
        <f>IF(L427="Renewal",1,0)</f>
        <v/>
      </c>
      <c r="AP427">
        <f>AC427*AD427</f>
        <v/>
      </c>
      <c r="AQ427">
        <f>IF(AND(G427&lt;&gt;"",'Historical Score'!$C$6&lt;&gt;""),IF(G427='Historical Score'!$C$6,1,0),0)</f>
        <v/>
      </c>
      <c r="AR427">
        <f>IF(AND(L427&lt;&gt;"",'Historical Score'!$C$5&lt;&gt;""),IF(L427='Historical Score'!$C$5,1,0),0)</f>
        <v/>
      </c>
      <c r="AS427">
        <f>IF(AND(Y427&lt;&gt;"",'Historical Score'!$C$7&lt;&gt;""),IF(Y427='Historical Score'!$C$7,1,0),0)</f>
        <v/>
      </c>
      <c r="AT427">
        <f>IF(AND(K427&lt;&gt;"",'Historical Score'!$C$8&lt;&gt;""),IF(K427='Historical Score'!$C$8,1,0),0)</f>
        <v/>
      </c>
      <c r="AU427">
        <f>IF(AND(J427&lt;&gt;"",'Historical Score'!$C$9&lt;&gt;""),IF(J427='Historical Score'!$C$9,1,0),0)</f>
        <v/>
      </c>
      <c r="AV427">
        <f>AR427*AS427*AQ427</f>
        <v/>
      </c>
      <c r="AW427">
        <f>AR427*AT427*AQ427</f>
        <v/>
      </c>
      <c r="AX427">
        <f>AR427*AS427</f>
        <v/>
      </c>
      <c r="AY427">
        <f>AR427*AT427</f>
        <v/>
      </c>
      <c r="AZ427">
        <f>AR427*AQ427</f>
        <v/>
      </c>
      <c r="BA427">
        <f>AR427</f>
        <v/>
      </c>
      <c r="BB427">
        <f>1</f>
        <v/>
      </c>
      <c r="BC427">
        <f>IF(AV427=1,1,IF(AW427=1,2,IF(AX427=1,3,IF(AY427=1,4,IF(AZ427=1,5,IF(BA427=1,6,7))))))</f>
        <v/>
      </c>
      <c r="BD427">
        <f>IF(AD427=1,CHOOSE('Historical Score'!$C$29,AV427,AW427,AX427,AY427,AZ427,BA427,BB427),0)</f>
        <v/>
      </c>
      <c r="BE427">
        <f>IF(BD427=1,COUNTIF($BD$2:BD427,1),"")</f>
        <v/>
      </c>
    </row>
    <row r="428">
      <c r="A428" t="inlineStr">
        <is>
          <t>5674173879</t>
        </is>
      </c>
      <c r="B428" t="inlineStr">
        <is>
          <t>mobilized retail marketing</t>
        </is>
      </c>
      <c r="C428" t="inlineStr">
        <is>
          <t>moreable llc</t>
        </is>
      </c>
      <c r="D428" t="inlineStr">
        <is>
          <t>Open</t>
        </is>
      </c>
      <c r="E428" s="297" t="n">
        <v>46000</v>
      </c>
      <c r="F428" s="297" t="n">
        <v>46244</v>
      </c>
      <c r="G428" t="n">
        <v>1</v>
      </c>
      <c r="H428" t="inlineStr">
        <is>
          <t>4813</t>
        </is>
      </c>
      <c r="I428" t="inlineStr">
        <is>
          <t>48</t>
        </is>
      </c>
      <c r="J428" t="inlineStr">
        <is>
          <t>MO</t>
        </is>
      </c>
      <c r="K428" t="inlineStr">
        <is>
          <t>Fundwell</t>
        </is>
      </c>
      <c r="L428" t="inlineStr">
        <is>
          <t>New Deal</t>
        </is>
      </c>
      <c r="M428" s="298" t="n">
        <v>1.42</v>
      </c>
      <c r="N428" s="299" t="n">
        <v>100000</v>
      </c>
      <c r="O428" s="299" t="n">
        <v>14500</v>
      </c>
      <c r="P428" s="299" t="n">
        <v>142000</v>
      </c>
      <c r="Q428" s="299" t="n">
        <v>130009.44</v>
      </c>
      <c r="R428" s="299" t="n">
        <v>11990.56</v>
      </c>
      <c r="S428" s="300" t="n">
        <v>0.9155594366197179</v>
      </c>
      <c r="T428" t="n">
        <v>36</v>
      </c>
      <c r="U428" t="n">
        <v>2</v>
      </c>
      <c r="V428" t="n">
        <v>454141.36</v>
      </c>
      <c r="W428" s="300" t="n">
        <v>0.0347</v>
      </c>
      <c r="X428" s="297" t="n">
        <v>43191</v>
      </c>
      <c r="Y428">
        <f>IF(I428="","No SIC",IFERROR(VLOOKUP(I428,Ref!$A$2:$B$65,2,FALSE),"Unclassified"))</f>
        <v/>
      </c>
      <c r="Z428">
        <f>IF(T428="","",IF(T428&lt;12,"Daily","Weekly"))</f>
        <v/>
      </c>
      <c r="AA428">
        <f>IF(T428="",0,IF(T428&lt;12,T428*Controls!$B$29,T428*5))</f>
        <v/>
      </c>
      <c r="AB428">
        <f>IF(E428="",0,NETWORKDAYS(E428,Controls!$B$36,Ref!$K$2:$K$42))</f>
        <v/>
      </c>
      <c r="AC428">
        <f>IF(AND(AA428&gt;0,AB428&gt;=Controls!$B$39*AA428),1,0)</f>
        <v/>
      </c>
      <c r="AD428">
        <f>IF(AND(E428&lt;&gt;"",E428&gt;=Controls!$B$37,E428&lt;=Controls!$B$38),1,0)</f>
        <v/>
      </c>
      <c r="AE428">
        <f>IF(IFERROR(VLOOKUP(D428,Controls!$A$64:$E$74,2,FALSE),"No")="Yes",1,0)</f>
        <v/>
      </c>
      <c r="AF428">
        <f>IF(IFERROR(VLOOKUP(D428,Controls!$A$64:$E$74,3,FALSE),"No")="Yes",1,0)</f>
        <v/>
      </c>
      <c r="AG428">
        <f>IF(IFERROR(VLOOKUP(D428,Controls!$A$64:$E$74,4,FALSE),"No")="Yes",1,0)</f>
        <v/>
      </c>
      <c r="AH428">
        <f>IF(IFERROR(VLOOKUP(D428,Controls!$A$64:$E$74,5,FALSE),"No")="Yes",1,0)</f>
        <v/>
      </c>
      <c r="AI428">
        <f>IF(ISNUMBER(MATCH(D428,Controls!$A$64:$A$74,0)),1,0)</f>
        <v/>
      </c>
      <c r="AJ428">
        <f>Q428-N428</f>
        <v/>
      </c>
      <c r="AK428">
        <f>IF(AE428=1,MAX(0,N428-Q428),0)</f>
        <v/>
      </c>
      <c r="AL428">
        <f>IF(OR(V428="",V428=0),0,N428/V428)</f>
        <v/>
      </c>
      <c r="AM428">
        <f>IF(OR(V428="",V428=0),0,1)</f>
        <v/>
      </c>
      <c r="AN428">
        <f>IF(OR(E428="",F428=""),0,NETWORKDAYS(E428,F428,Ref!$K$2:$K$42))</f>
        <v/>
      </c>
      <c r="AO428">
        <f>IF(L428="Renewal",1,0)</f>
        <v/>
      </c>
      <c r="AP428">
        <f>AC428*AD428</f>
        <v/>
      </c>
      <c r="AQ428">
        <f>IF(AND(G428&lt;&gt;"",'Historical Score'!$C$6&lt;&gt;""),IF(G428='Historical Score'!$C$6,1,0),0)</f>
        <v/>
      </c>
      <c r="AR428">
        <f>IF(AND(L428&lt;&gt;"",'Historical Score'!$C$5&lt;&gt;""),IF(L428='Historical Score'!$C$5,1,0),0)</f>
        <v/>
      </c>
      <c r="AS428">
        <f>IF(AND(Y428&lt;&gt;"",'Historical Score'!$C$7&lt;&gt;""),IF(Y428='Historical Score'!$C$7,1,0),0)</f>
        <v/>
      </c>
      <c r="AT428">
        <f>IF(AND(K428&lt;&gt;"",'Historical Score'!$C$8&lt;&gt;""),IF(K428='Historical Score'!$C$8,1,0),0)</f>
        <v/>
      </c>
      <c r="AU428">
        <f>IF(AND(J428&lt;&gt;"",'Historical Score'!$C$9&lt;&gt;""),IF(J428='Historical Score'!$C$9,1,0),0)</f>
        <v/>
      </c>
      <c r="AV428">
        <f>AR428*AS428*AQ428</f>
        <v/>
      </c>
      <c r="AW428">
        <f>AR428*AT428*AQ428</f>
        <v/>
      </c>
      <c r="AX428">
        <f>AR428*AS428</f>
        <v/>
      </c>
      <c r="AY428">
        <f>AR428*AT428</f>
        <v/>
      </c>
      <c r="AZ428">
        <f>AR428*AQ428</f>
        <v/>
      </c>
      <c r="BA428">
        <f>AR428</f>
        <v/>
      </c>
      <c r="BB428">
        <f>1</f>
        <v/>
      </c>
      <c r="BC428">
        <f>IF(AV428=1,1,IF(AW428=1,2,IF(AX428=1,3,IF(AY428=1,4,IF(AZ428=1,5,IF(BA428=1,6,7))))))</f>
        <v/>
      </c>
      <c r="BD428">
        <f>IF(AD428=1,CHOOSE('Historical Score'!$C$29,AV428,AW428,AX428,AY428,AZ428,BA428,BB428),0)</f>
        <v/>
      </c>
      <c r="BE428">
        <f>IF(BD428=1,COUNTIF($BD$2:BD428,1),"")</f>
        <v/>
      </c>
    </row>
    <row r="429">
      <c r="A429" t="inlineStr">
        <is>
          <t>5674173880</t>
        </is>
      </c>
      <c r="B429" t="inlineStr">
        <is>
          <t>Platinum distribution services LLC</t>
        </is>
      </c>
      <c r="C429" t="inlineStr">
        <is>
          <t>Platinum distribution services LLC</t>
        </is>
      </c>
      <c r="D429" t="inlineStr">
        <is>
          <t>In House Collection</t>
        </is>
      </c>
      <c r="E429" s="297" t="n">
        <v>46000</v>
      </c>
      <c r="F429" s="297" t="n">
        <v>46217</v>
      </c>
      <c r="G429" t="n">
        <v>1</v>
      </c>
      <c r="H429" t="inlineStr">
        <is>
          <t>3537</t>
        </is>
      </c>
      <c r="I429" t="inlineStr">
        <is>
          <t>35</t>
        </is>
      </c>
      <c r="J429" t="inlineStr">
        <is>
          <t>MA</t>
        </is>
      </c>
      <c r="K429" t="inlineStr">
        <is>
          <t>Fundwell</t>
        </is>
      </c>
      <c r="L429" t="inlineStr">
        <is>
          <t>New Deal</t>
        </is>
      </c>
      <c r="M429" s="298" t="n">
        <v>1.4</v>
      </c>
      <c r="N429" s="299" t="n">
        <v>10000</v>
      </c>
      <c r="O429" s="299" t="n">
        <v>1350</v>
      </c>
      <c r="P429" s="299" t="n">
        <v>14000</v>
      </c>
      <c r="Q429" s="299" t="n">
        <v>4122.34</v>
      </c>
      <c r="R429" s="299" t="n">
        <v>9877.66</v>
      </c>
      <c r="S429" s="300" t="n">
        <v>0.294452857142857</v>
      </c>
      <c r="T429" t="n">
        <v>2.951</v>
      </c>
      <c r="U429" t="n">
        <v>79</v>
      </c>
      <c r="V429" t="n">
        <v>15548.18</v>
      </c>
      <c r="W429" s="300" t="n">
        <v>0.2101</v>
      </c>
      <c r="X429" s="297" t="n">
        <v>44219</v>
      </c>
      <c r="Y429">
        <f>IF(I429="","No SIC",IFERROR(VLOOKUP(I429,Ref!$A$2:$B$65,2,FALSE),"Unclassified"))</f>
        <v/>
      </c>
      <c r="Z429">
        <f>IF(T429="","",IF(T429&lt;12,"Daily","Weekly"))</f>
        <v/>
      </c>
      <c r="AA429">
        <f>IF(T429="",0,IF(T429&lt;12,T429*Controls!$B$29,T429*5))</f>
        <v/>
      </c>
      <c r="AB429">
        <f>IF(E429="",0,NETWORKDAYS(E429,Controls!$B$36,Ref!$K$2:$K$42))</f>
        <v/>
      </c>
      <c r="AC429">
        <f>IF(AND(AA429&gt;0,AB429&gt;=Controls!$B$39*AA429),1,0)</f>
        <v/>
      </c>
      <c r="AD429">
        <f>IF(AND(E429&lt;&gt;"",E429&gt;=Controls!$B$37,E429&lt;=Controls!$B$38),1,0)</f>
        <v/>
      </c>
      <c r="AE429">
        <f>IF(IFERROR(VLOOKUP(D429,Controls!$A$64:$E$74,2,FALSE),"No")="Yes",1,0)</f>
        <v/>
      </c>
      <c r="AF429">
        <f>IF(IFERROR(VLOOKUP(D429,Controls!$A$64:$E$74,3,FALSE),"No")="Yes",1,0)</f>
        <v/>
      </c>
      <c r="AG429">
        <f>IF(IFERROR(VLOOKUP(D429,Controls!$A$64:$E$74,4,FALSE),"No")="Yes",1,0)</f>
        <v/>
      </c>
      <c r="AH429">
        <f>IF(IFERROR(VLOOKUP(D429,Controls!$A$64:$E$74,5,FALSE),"No")="Yes",1,0)</f>
        <v/>
      </c>
      <c r="AI429">
        <f>IF(ISNUMBER(MATCH(D429,Controls!$A$64:$A$74,0)),1,0)</f>
        <v/>
      </c>
      <c r="AJ429">
        <f>Q429-N429</f>
        <v/>
      </c>
      <c r="AK429">
        <f>IF(AE429=1,MAX(0,N429-Q429),0)</f>
        <v/>
      </c>
      <c r="AL429">
        <f>IF(OR(V429="",V429=0),0,N429/V429)</f>
        <v/>
      </c>
      <c r="AM429">
        <f>IF(OR(V429="",V429=0),0,1)</f>
        <v/>
      </c>
      <c r="AN429">
        <f>IF(OR(E429="",F429=""),0,NETWORKDAYS(E429,F429,Ref!$K$2:$K$42))</f>
        <v/>
      </c>
      <c r="AO429">
        <f>IF(L429="Renewal",1,0)</f>
        <v/>
      </c>
      <c r="AP429">
        <f>AC429*AD429</f>
        <v/>
      </c>
      <c r="AQ429">
        <f>IF(AND(G429&lt;&gt;"",'Historical Score'!$C$6&lt;&gt;""),IF(G429='Historical Score'!$C$6,1,0),0)</f>
        <v/>
      </c>
      <c r="AR429">
        <f>IF(AND(L429&lt;&gt;"",'Historical Score'!$C$5&lt;&gt;""),IF(L429='Historical Score'!$C$5,1,0),0)</f>
        <v/>
      </c>
      <c r="AS429">
        <f>IF(AND(Y429&lt;&gt;"",'Historical Score'!$C$7&lt;&gt;""),IF(Y429='Historical Score'!$C$7,1,0),0)</f>
        <v/>
      </c>
      <c r="AT429">
        <f>IF(AND(K429&lt;&gt;"",'Historical Score'!$C$8&lt;&gt;""),IF(K429='Historical Score'!$C$8,1,0),0)</f>
        <v/>
      </c>
      <c r="AU429">
        <f>IF(AND(J429&lt;&gt;"",'Historical Score'!$C$9&lt;&gt;""),IF(J429='Historical Score'!$C$9,1,0),0)</f>
        <v/>
      </c>
      <c r="AV429">
        <f>AR429*AS429*AQ429</f>
        <v/>
      </c>
      <c r="AW429">
        <f>AR429*AT429*AQ429</f>
        <v/>
      </c>
      <c r="AX429">
        <f>AR429*AS429</f>
        <v/>
      </c>
      <c r="AY429">
        <f>AR429*AT429</f>
        <v/>
      </c>
      <c r="AZ429">
        <f>AR429*AQ429</f>
        <v/>
      </c>
      <c r="BA429">
        <f>AR429</f>
        <v/>
      </c>
      <c r="BB429">
        <f>1</f>
        <v/>
      </c>
      <c r="BC429">
        <f>IF(AV429=1,1,IF(AW429=1,2,IF(AX429=1,3,IF(AY429=1,4,IF(AZ429=1,5,IF(BA429=1,6,7))))))</f>
        <v/>
      </c>
      <c r="BD429">
        <f>IF(AD429=1,CHOOSE('Historical Score'!$C$29,AV429,AW429,AX429,AY429,AZ429,BA429,BB429),0)</f>
        <v/>
      </c>
      <c r="BE429">
        <f>IF(BD429=1,COUNTIF($BD$2:BD429,1),"")</f>
        <v/>
      </c>
    </row>
    <row r="430">
      <c r="A430" t="inlineStr">
        <is>
          <t>5674173916</t>
        </is>
      </c>
      <c r="B430" t="inlineStr">
        <is>
          <t>Nest protection</t>
        </is>
      </c>
      <c r="C430" t="inlineStr">
        <is>
          <t>Miami Valley environmental services</t>
        </is>
      </c>
      <c r="D430" t="inlineStr">
        <is>
          <t>Closed</t>
        </is>
      </c>
      <c r="E430" s="297" t="n">
        <v>46001</v>
      </c>
      <c r="F430" s="297" t="n">
        <v>46097</v>
      </c>
      <c r="G430" t="n">
        <v>1</v>
      </c>
      <c r="H430" t="inlineStr">
        <is>
          <t>3822</t>
        </is>
      </c>
      <c r="I430" t="inlineStr">
        <is>
          <t>38</t>
        </is>
      </c>
      <c r="J430" t="inlineStr">
        <is>
          <t>OH</t>
        </is>
      </c>
      <c r="K430" t="inlineStr">
        <is>
          <t>Fundwell</t>
        </is>
      </c>
      <c r="L430" t="inlineStr">
        <is>
          <t>New Deal</t>
        </is>
      </c>
      <c r="M430" s="298" t="n">
        <v>1.46</v>
      </c>
      <c r="N430" s="299" t="n">
        <v>15000</v>
      </c>
      <c r="O430" s="299" t="n">
        <v>2325</v>
      </c>
      <c r="P430" s="299" t="n">
        <v>21900</v>
      </c>
      <c r="Q430" s="299" t="n">
        <v>21900</v>
      </c>
      <c r="R430" s="299" t="n">
        <v>0</v>
      </c>
      <c r="S430" s="300" t="n">
        <v>1</v>
      </c>
      <c r="T430" t="n">
        <v>3.607</v>
      </c>
      <c r="U430" t="n">
        <v>0</v>
      </c>
      <c r="V430" t="n">
        <v>28564.11</v>
      </c>
      <c r="W430" s="300" t="n">
        <v>0.1464</v>
      </c>
      <c r="X430" s="297" t="n">
        <v>45527</v>
      </c>
      <c r="Y430">
        <f>IF(I430="","No SIC",IFERROR(VLOOKUP(I430,Ref!$A$2:$B$65,2,FALSE),"Unclassified"))</f>
        <v/>
      </c>
      <c r="Z430">
        <f>IF(T430="","",IF(T430&lt;12,"Daily","Weekly"))</f>
        <v/>
      </c>
      <c r="AA430">
        <f>IF(T430="",0,IF(T430&lt;12,T430*Controls!$B$29,T430*5))</f>
        <v/>
      </c>
      <c r="AB430">
        <f>IF(E430="",0,NETWORKDAYS(E430,Controls!$B$36,Ref!$K$2:$K$42))</f>
        <v/>
      </c>
      <c r="AC430">
        <f>IF(AND(AA430&gt;0,AB430&gt;=Controls!$B$39*AA430),1,0)</f>
        <v/>
      </c>
      <c r="AD430">
        <f>IF(AND(E430&lt;&gt;"",E430&gt;=Controls!$B$37,E430&lt;=Controls!$B$38),1,0)</f>
        <v/>
      </c>
      <c r="AE430">
        <f>IF(IFERROR(VLOOKUP(D430,Controls!$A$64:$E$74,2,FALSE),"No")="Yes",1,0)</f>
        <v/>
      </c>
      <c r="AF430">
        <f>IF(IFERROR(VLOOKUP(D430,Controls!$A$64:$E$74,3,FALSE),"No")="Yes",1,0)</f>
        <v/>
      </c>
      <c r="AG430">
        <f>IF(IFERROR(VLOOKUP(D430,Controls!$A$64:$E$74,4,FALSE),"No")="Yes",1,0)</f>
        <v/>
      </c>
      <c r="AH430">
        <f>IF(IFERROR(VLOOKUP(D430,Controls!$A$64:$E$74,5,FALSE),"No")="Yes",1,0)</f>
        <v/>
      </c>
      <c r="AI430">
        <f>IF(ISNUMBER(MATCH(D430,Controls!$A$64:$A$74,0)),1,0)</f>
        <v/>
      </c>
      <c r="AJ430">
        <f>Q430-N430</f>
        <v/>
      </c>
      <c r="AK430">
        <f>IF(AE430=1,MAX(0,N430-Q430),0)</f>
        <v/>
      </c>
      <c r="AL430">
        <f>IF(OR(V430="",V430=0),0,N430/V430)</f>
        <v/>
      </c>
      <c r="AM430">
        <f>IF(OR(V430="",V430=0),0,1)</f>
        <v/>
      </c>
      <c r="AN430">
        <f>IF(OR(E430="",F430=""),0,NETWORKDAYS(E430,F430,Ref!$K$2:$K$42))</f>
        <v/>
      </c>
      <c r="AO430">
        <f>IF(L430="Renewal",1,0)</f>
        <v/>
      </c>
      <c r="AP430">
        <f>AC430*AD430</f>
        <v/>
      </c>
      <c r="AQ430">
        <f>IF(AND(G430&lt;&gt;"",'Historical Score'!$C$6&lt;&gt;""),IF(G430='Historical Score'!$C$6,1,0),0)</f>
        <v/>
      </c>
      <c r="AR430">
        <f>IF(AND(L430&lt;&gt;"",'Historical Score'!$C$5&lt;&gt;""),IF(L430='Historical Score'!$C$5,1,0),0)</f>
        <v/>
      </c>
      <c r="AS430">
        <f>IF(AND(Y430&lt;&gt;"",'Historical Score'!$C$7&lt;&gt;""),IF(Y430='Historical Score'!$C$7,1,0),0)</f>
        <v/>
      </c>
      <c r="AT430">
        <f>IF(AND(K430&lt;&gt;"",'Historical Score'!$C$8&lt;&gt;""),IF(K430='Historical Score'!$C$8,1,0),0)</f>
        <v/>
      </c>
      <c r="AU430">
        <f>IF(AND(J430&lt;&gt;"",'Historical Score'!$C$9&lt;&gt;""),IF(J430='Historical Score'!$C$9,1,0),0)</f>
        <v/>
      </c>
      <c r="AV430">
        <f>AR430*AS430*AQ430</f>
        <v/>
      </c>
      <c r="AW430">
        <f>AR430*AT430*AQ430</f>
        <v/>
      </c>
      <c r="AX430">
        <f>AR430*AS430</f>
        <v/>
      </c>
      <c r="AY430">
        <f>AR430*AT430</f>
        <v/>
      </c>
      <c r="AZ430">
        <f>AR430*AQ430</f>
        <v/>
      </c>
      <c r="BA430">
        <f>AR430</f>
        <v/>
      </c>
      <c r="BB430">
        <f>1</f>
        <v/>
      </c>
      <c r="BC430">
        <f>IF(AV430=1,1,IF(AW430=1,2,IF(AX430=1,3,IF(AY430=1,4,IF(AZ430=1,5,IF(BA430=1,6,7))))))</f>
        <v/>
      </c>
      <c r="BD430">
        <f>IF(AD430=1,CHOOSE('Historical Score'!$C$29,AV430,AW430,AX430,AY430,AZ430,BA430,BB430),0)</f>
        <v/>
      </c>
      <c r="BE430">
        <f>IF(BD430=1,COUNTIF($BD$2:BD430,1),"")</f>
        <v/>
      </c>
    </row>
    <row r="431">
      <c r="A431" t="inlineStr">
        <is>
          <t>5674173923</t>
        </is>
      </c>
      <c r="B431" t="inlineStr">
        <is>
          <t>J SHOP</t>
        </is>
      </c>
      <c r="C431" t="inlineStr">
        <is>
          <t>JAE H IM</t>
        </is>
      </c>
      <c r="D431" t="inlineStr">
        <is>
          <t>Written-Off</t>
        </is>
      </c>
      <c r="E431" s="297" t="n">
        <v>46001</v>
      </c>
      <c r="F431" s="297" t="n">
        <v>46132</v>
      </c>
      <c r="G431" t="n">
        <v>5</v>
      </c>
      <c r="H431" t="inlineStr">
        <is>
          <t>5399</t>
        </is>
      </c>
      <c r="I431" t="inlineStr">
        <is>
          <t>53</t>
        </is>
      </c>
      <c r="J431" t="inlineStr">
        <is>
          <t>PA</t>
        </is>
      </c>
      <c r="K431" t="inlineStr">
        <is>
          <t>United Secured Capital 8</t>
        </is>
      </c>
      <c r="L431" t="inlineStr">
        <is>
          <t>New Deal</t>
        </is>
      </c>
      <c r="M431" s="298" t="n">
        <v>1.5</v>
      </c>
      <c r="N431" s="299" t="n">
        <v>7000</v>
      </c>
      <c r="O431" s="299" t="n">
        <v>980</v>
      </c>
      <c r="P431" s="299" t="n">
        <v>10500</v>
      </c>
      <c r="Q431" s="299" t="n">
        <v>2682.54</v>
      </c>
      <c r="R431" s="299" t="n">
        <v>7817.46</v>
      </c>
      <c r="S431" s="300" t="n">
        <v>0.25548</v>
      </c>
      <c r="T431" t="n">
        <v>2.295</v>
      </c>
      <c r="U431" t="n">
        <v>22</v>
      </c>
      <c r="W431" s="300" t="n">
        <v>0.0514</v>
      </c>
      <c r="X431" s="297" t="n"/>
      <c r="Y431">
        <f>IF(I431="","No SIC",IFERROR(VLOOKUP(I431,Ref!$A$2:$B$65,2,FALSE),"Unclassified"))</f>
        <v/>
      </c>
      <c r="Z431">
        <f>IF(T431="","",IF(T431&lt;12,"Daily","Weekly"))</f>
        <v/>
      </c>
      <c r="AA431">
        <f>IF(T431="",0,IF(T431&lt;12,T431*Controls!$B$29,T431*5))</f>
        <v/>
      </c>
      <c r="AB431">
        <f>IF(E431="",0,NETWORKDAYS(E431,Controls!$B$36,Ref!$K$2:$K$42))</f>
        <v/>
      </c>
      <c r="AC431">
        <f>IF(AND(AA431&gt;0,AB431&gt;=Controls!$B$39*AA431),1,0)</f>
        <v/>
      </c>
      <c r="AD431">
        <f>IF(AND(E431&lt;&gt;"",E431&gt;=Controls!$B$37,E431&lt;=Controls!$B$38),1,0)</f>
        <v/>
      </c>
      <c r="AE431">
        <f>IF(IFERROR(VLOOKUP(D431,Controls!$A$64:$E$74,2,FALSE),"No")="Yes",1,0)</f>
        <v/>
      </c>
      <c r="AF431">
        <f>IF(IFERROR(VLOOKUP(D431,Controls!$A$64:$E$74,3,FALSE),"No")="Yes",1,0)</f>
        <v/>
      </c>
      <c r="AG431">
        <f>IF(IFERROR(VLOOKUP(D431,Controls!$A$64:$E$74,4,FALSE),"No")="Yes",1,0)</f>
        <v/>
      </c>
      <c r="AH431">
        <f>IF(IFERROR(VLOOKUP(D431,Controls!$A$64:$E$74,5,FALSE),"No")="Yes",1,0)</f>
        <v/>
      </c>
      <c r="AI431">
        <f>IF(ISNUMBER(MATCH(D431,Controls!$A$64:$A$74,0)),1,0)</f>
        <v/>
      </c>
      <c r="AJ431">
        <f>Q431-N431</f>
        <v/>
      </c>
      <c r="AK431">
        <f>IF(AE431=1,MAX(0,N431-Q431),0)</f>
        <v/>
      </c>
      <c r="AL431">
        <f>IF(OR(V431="",V431=0),0,N431/V431)</f>
        <v/>
      </c>
      <c r="AM431">
        <f>IF(OR(V431="",V431=0),0,1)</f>
        <v/>
      </c>
      <c r="AN431">
        <f>IF(OR(E431="",F431=""),0,NETWORKDAYS(E431,F431,Ref!$K$2:$K$42))</f>
        <v/>
      </c>
      <c r="AO431">
        <f>IF(L431="Renewal",1,0)</f>
        <v/>
      </c>
      <c r="AP431">
        <f>AC431*AD431</f>
        <v/>
      </c>
      <c r="AQ431">
        <f>IF(AND(G431&lt;&gt;"",'Historical Score'!$C$6&lt;&gt;""),IF(G431='Historical Score'!$C$6,1,0),0)</f>
        <v/>
      </c>
      <c r="AR431">
        <f>IF(AND(L431&lt;&gt;"",'Historical Score'!$C$5&lt;&gt;""),IF(L431='Historical Score'!$C$5,1,0),0)</f>
        <v/>
      </c>
      <c r="AS431">
        <f>IF(AND(Y431&lt;&gt;"",'Historical Score'!$C$7&lt;&gt;""),IF(Y431='Historical Score'!$C$7,1,0),0)</f>
        <v/>
      </c>
      <c r="AT431">
        <f>IF(AND(K431&lt;&gt;"",'Historical Score'!$C$8&lt;&gt;""),IF(K431='Historical Score'!$C$8,1,0),0)</f>
        <v/>
      </c>
      <c r="AU431">
        <f>IF(AND(J431&lt;&gt;"",'Historical Score'!$C$9&lt;&gt;""),IF(J431='Historical Score'!$C$9,1,0),0)</f>
        <v/>
      </c>
      <c r="AV431">
        <f>AR431*AS431*AQ431</f>
        <v/>
      </c>
      <c r="AW431">
        <f>AR431*AT431*AQ431</f>
        <v/>
      </c>
      <c r="AX431">
        <f>AR431*AS431</f>
        <v/>
      </c>
      <c r="AY431">
        <f>AR431*AT431</f>
        <v/>
      </c>
      <c r="AZ431">
        <f>AR431*AQ431</f>
        <v/>
      </c>
      <c r="BA431">
        <f>AR431</f>
        <v/>
      </c>
      <c r="BB431">
        <f>1</f>
        <v/>
      </c>
      <c r="BC431">
        <f>IF(AV431=1,1,IF(AW431=1,2,IF(AX431=1,3,IF(AY431=1,4,IF(AZ431=1,5,IF(BA431=1,6,7))))))</f>
        <v/>
      </c>
      <c r="BD431">
        <f>IF(AD431=1,CHOOSE('Historical Score'!$C$29,AV431,AW431,AX431,AY431,AZ431,BA431,BB431),0)</f>
        <v/>
      </c>
      <c r="BE431">
        <f>IF(BD431=1,COUNTIF($BD$2:BD431,1),"")</f>
        <v/>
      </c>
    </row>
    <row r="432">
      <c r="A432" t="inlineStr">
        <is>
          <t>5674173969</t>
        </is>
      </c>
      <c r="B432" t="inlineStr">
        <is>
          <t>Recharge Exteriors</t>
        </is>
      </c>
      <c r="C432" t="inlineStr">
        <is>
          <t>Recharge Exteriors</t>
        </is>
      </c>
      <c r="D432" t="inlineStr">
        <is>
          <t>Closed</t>
        </is>
      </c>
      <c r="E432" s="297" t="n">
        <v>46001</v>
      </c>
      <c r="F432" s="297" t="n">
        <v>46157</v>
      </c>
      <c r="G432" t="n">
        <v>3</v>
      </c>
      <c r="H432" t="inlineStr">
        <is>
          <t>1521</t>
        </is>
      </c>
      <c r="I432" t="inlineStr">
        <is>
          <t>15</t>
        </is>
      </c>
      <c r="J432" t="inlineStr">
        <is>
          <t>FL</t>
        </is>
      </c>
      <c r="K432" t="inlineStr">
        <is>
          <t>United Secured Capital 8</t>
        </is>
      </c>
      <c r="L432" t="inlineStr">
        <is>
          <t>New Deal</t>
        </is>
      </c>
      <c r="M432" s="298" t="n">
        <v>1.49</v>
      </c>
      <c r="N432" s="299" t="n">
        <v>30000</v>
      </c>
      <c r="O432" s="299" t="n">
        <v>4200</v>
      </c>
      <c r="P432" s="299" t="n">
        <v>44700</v>
      </c>
      <c r="Q432" s="299" t="n">
        <v>44700</v>
      </c>
      <c r="R432" s="299" t="n">
        <v>0</v>
      </c>
      <c r="S432" s="300" t="n">
        <v>1</v>
      </c>
      <c r="T432" t="n">
        <v>25</v>
      </c>
      <c r="U432" t="n">
        <v>2</v>
      </c>
      <c r="V432" t="n">
        <v>40722.38</v>
      </c>
      <c r="W432" s="300" t="n">
        <v>0.1709</v>
      </c>
      <c r="X432" s="297" t="n">
        <v>44835</v>
      </c>
      <c r="Y432">
        <f>IF(I432="","No SIC",IFERROR(VLOOKUP(I432,Ref!$A$2:$B$65,2,FALSE),"Unclassified"))</f>
        <v/>
      </c>
      <c r="Z432">
        <f>IF(T432="","",IF(T432&lt;12,"Daily","Weekly"))</f>
        <v/>
      </c>
      <c r="AA432">
        <f>IF(T432="",0,IF(T432&lt;12,T432*Controls!$B$29,T432*5))</f>
        <v/>
      </c>
      <c r="AB432">
        <f>IF(E432="",0,NETWORKDAYS(E432,Controls!$B$36,Ref!$K$2:$K$42))</f>
        <v/>
      </c>
      <c r="AC432">
        <f>IF(AND(AA432&gt;0,AB432&gt;=Controls!$B$39*AA432),1,0)</f>
        <v/>
      </c>
      <c r="AD432">
        <f>IF(AND(E432&lt;&gt;"",E432&gt;=Controls!$B$37,E432&lt;=Controls!$B$38),1,0)</f>
        <v/>
      </c>
      <c r="AE432">
        <f>IF(IFERROR(VLOOKUP(D432,Controls!$A$64:$E$74,2,FALSE),"No")="Yes",1,0)</f>
        <v/>
      </c>
      <c r="AF432">
        <f>IF(IFERROR(VLOOKUP(D432,Controls!$A$64:$E$74,3,FALSE),"No")="Yes",1,0)</f>
        <v/>
      </c>
      <c r="AG432">
        <f>IF(IFERROR(VLOOKUP(D432,Controls!$A$64:$E$74,4,FALSE),"No")="Yes",1,0)</f>
        <v/>
      </c>
      <c r="AH432">
        <f>IF(IFERROR(VLOOKUP(D432,Controls!$A$64:$E$74,5,FALSE),"No")="Yes",1,0)</f>
        <v/>
      </c>
      <c r="AI432">
        <f>IF(ISNUMBER(MATCH(D432,Controls!$A$64:$A$74,0)),1,0)</f>
        <v/>
      </c>
      <c r="AJ432">
        <f>Q432-N432</f>
        <v/>
      </c>
      <c r="AK432">
        <f>IF(AE432=1,MAX(0,N432-Q432),0)</f>
        <v/>
      </c>
      <c r="AL432">
        <f>IF(OR(V432="",V432=0),0,N432/V432)</f>
        <v/>
      </c>
      <c r="AM432">
        <f>IF(OR(V432="",V432=0),0,1)</f>
        <v/>
      </c>
      <c r="AN432">
        <f>IF(OR(E432="",F432=""),0,NETWORKDAYS(E432,F432,Ref!$K$2:$K$42))</f>
        <v/>
      </c>
      <c r="AO432">
        <f>IF(L432="Renewal",1,0)</f>
        <v/>
      </c>
      <c r="AP432">
        <f>AC432*AD432</f>
        <v/>
      </c>
      <c r="AQ432">
        <f>IF(AND(G432&lt;&gt;"",'Historical Score'!$C$6&lt;&gt;""),IF(G432='Historical Score'!$C$6,1,0),0)</f>
        <v/>
      </c>
      <c r="AR432">
        <f>IF(AND(L432&lt;&gt;"",'Historical Score'!$C$5&lt;&gt;""),IF(L432='Historical Score'!$C$5,1,0),0)</f>
        <v/>
      </c>
      <c r="AS432">
        <f>IF(AND(Y432&lt;&gt;"",'Historical Score'!$C$7&lt;&gt;""),IF(Y432='Historical Score'!$C$7,1,0),0)</f>
        <v/>
      </c>
      <c r="AT432">
        <f>IF(AND(K432&lt;&gt;"",'Historical Score'!$C$8&lt;&gt;""),IF(K432='Historical Score'!$C$8,1,0),0)</f>
        <v/>
      </c>
      <c r="AU432">
        <f>IF(AND(J432&lt;&gt;"",'Historical Score'!$C$9&lt;&gt;""),IF(J432='Historical Score'!$C$9,1,0),0)</f>
        <v/>
      </c>
      <c r="AV432">
        <f>AR432*AS432*AQ432</f>
        <v/>
      </c>
      <c r="AW432">
        <f>AR432*AT432*AQ432</f>
        <v/>
      </c>
      <c r="AX432">
        <f>AR432*AS432</f>
        <v/>
      </c>
      <c r="AY432">
        <f>AR432*AT432</f>
        <v/>
      </c>
      <c r="AZ432">
        <f>AR432*AQ432</f>
        <v/>
      </c>
      <c r="BA432">
        <f>AR432</f>
        <v/>
      </c>
      <c r="BB432">
        <f>1</f>
        <v/>
      </c>
      <c r="BC432">
        <f>IF(AV432=1,1,IF(AW432=1,2,IF(AX432=1,3,IF(AY432=1,4,IF(AZ432=1,5,IF(BA432=1,6,7))))))</f>
        <v/>
      </c>
      <c r="BD432">
        <f>IF(AD432=1,CHOOSE('Historical Score'!$C$29,AV432,AW432,AX432,AY432,AZ432,BA432,BB432),0)</f>
        <v/>
      </c>
      <c r="BE432">
        <f>IF(BD432=1,COUNTIF($BD$2:BD432,1),"")</f>
        <v/>
      </c>
    </row>
    <row r="433">
      <c r="A433" t="inlineStr">
        <is>
          <t>5674173981</t>
        </is>
      </c>
      <c r="B433" t="inlineStr">
        <is>
          <t>FIRST ELECTRIC</t>
        </is>
      </c>
      <c r="C433" t="inlineStr">
        <is>
          <t>WNT LLC</t>
        </is>
      </c>
      <c r="D433" t="inlineStr">
        <is>
          <t>Open</t>
        </is>
      </c>
      <c r="E433" s="297" t="n">
        <v>46001</v>
      </c>
      <c r="F433" s="297" t="n">
        <v>46253</v>
      </c>
      <c r="G433" t="n">
        <v>4</v>
      </c>
      <c r="H433" t="inlineStr">
        <is>
          <t>1731</t>
        </is>
      </c>
      <c r="I433" t="inlineStr">
        <is>
          <t>17</t>
        </is>
      </c>
      <c r="J433" t="inlineStr">
        <is>
          <t>AZ</t>
        </is>
      </c>
      <c r="K433" t="inlineStr">
        <is>
          <t>PMF</t>
        </is>
      </c>
      <c r="L433" t="inlineStr">
        <is>
          <t>New Deal</t>
        </is>
      </c>
      <c r="M433" s="298" t="n">
        <v>1.44</v>
      </c>
      <c r="N433" s="299" t="n">
        <v>175000</v>
      </c>
      <c r="O433" s="299" t="n">
        <v>19250</v>
      </c>
      <c r="P433" s="299" t="n">
        <v>252000</v>
      </c>
      <c r="Q433" s="299" t="n">
        <v>226786.68</v>
      </c>
      <c r="R433" s="299" t="n">
        <v>25213.32</v>
      </c>
      <c r="S433" s="300" t="n">
        <v>0.8999471428571429</v>
      </c>
      <c r="T433" t="n">
        <v>40</v>
      </c>
      <c r="U433" t="n">
        <v>0</v>
      </c>
      <c r="V433" t="n">
        <v>415741.38</v>
      </c>
      <c r="W433" s="300" t="n">
        <v>0.0507</v>
      </c>
      <c r="X433" s="297" t="n">
        <v>43313</v>
      </c>
      <c r="Y433">
        <f>IF(I433="","No SIC",IFERROR(VLOOKUP(I433,Ref!$A$2:$B$65,2,FALSE),"Unclassified"))</f>
        <v/>
      </c>
      <c r="Z433">
        <f>IF(T433="","",IF(T433&lt;12,"Daily","Weekly"))</f>
        <v/>
      </c>
      <c r="AA433">
        <f>IF(T433="",0,IF(T433&lt;12,T433*Controls!$B$29,T433*5))</f>
        <v/>
      </c>
      <c r="AB433">
        <f>IF(E433="",0,NETWORKDAYS(E433,Controls!$B$36,Ref!$K$2:$K$42))</f>
        <v/>
      </c>
      <c r="AC433">
        <f>IF(AND(AA433&gt;0,AB433&gt;=Controls!$B$39*AA433),1,0)</f>
        <v/>
      </c>
      <c r="AD433">
        <f>IF(AND(E433&lt;&gt;"",E433&gt;=Controls!$B$37,E433&lt;=Controls!$B$38),1,0)</f>
        <v/>
      </c>
      <c r="AE433">
        <f>IF(IFERROR(VLOOKUP(D433,Controls!$A$64:$E$74,2,FALSE),"No")="Yes",1,0)</f>
        <v/>
      </c>
      <c r="AF433">
        <f>IF(IFERROR(VLOOKUP(D433,Controls!$A$64:$E$74,3,FALSE),"No")="Yes",1,0)</f>
        <v/>
      </c>
      <c r="AG433">
        <f>IF(IFERROR(VLOOKUP(D433,Controls!$A$64:$E$74,4,FALSE),"No")="Yes",1,0)</f>
        <v/>
      </c>
      <c r="AH433">
        <f>IF(IFERROR(VLOOKUP(D433,Controls!$A$64:$E$74,5,FALSE),"No")="Yes",1,0)</f>
        <v/>
      </c>
      <c r="AI433">
        <f>IF(ISNUMBER(MATCH(D433,Controls!$A$64:$A$74,0)),1,0)</f>
        <v/>
      </c>
      <c r="AJ433">
        <f>Q433-N433</f>
        <v/>
      </c>
      <c r="AK433">
        <f>IF(AE433=1,MAX(0,N433-Q433),0)</f>
        <v/>
      </c>
      <c r="AL433">
        <f>IF(OR(V433="",V433=0),0,N433/V433)</f>
        <v/>
      </c>
      <c r="AM433">
        <f>IF(OR(V433="",V433=0),0,1)</f>
        <v/>
      </c>
      <c r="AN433">
        <f>IF(OR(E433="",F433=""),0,NETWORKDAYS(E433,F433,Ref!$K$2:$K$42))</f>
        <v/>
      </c>
      <c r="AO433">
        <f>IF(L433="Renewal",1,0)</f>
        <v/>
      </c>
      <c r="AP433">
        <f>AC433*AD433</f>
        <v/>
      </c>
      <c r="AQ433">
        <f>IF(AND(G433&lt;&gt;"",'Historical Score'!$C$6&lt;&gt;""),IF(G433='Historical Score'!$C$6,1,0),0)</f>
        <v/>
      </c>
      <c r="AR433">
        <f>IF(AND(L433&lt;&gt;"",'Historical Score'!$C$5&lt;&gt;""),IF(L433='Historical Score'!$C$5,1,0),0)</f>
        <v/>
      </c>
      <c r="AS433">
        <f>IF(AND(Y433&lt;&gt;"",'Historical Score'!$C$7&lt;&gt;""),IF(Y433='Historical Score'!$C$7,1,0),0)</f>
        <v/>
      </c>
      <c r="AT433">
        <f>IF(AND(K433&lt;&gt;"",'Historical Score'!$C$8&lt;&gt;""),IF(K433='Historical Score'!$C$8,1,0),0)</f>
        <v/>
      </c>
      <c r="AU433">
        <f>IF(AND(J433&lt;&gt;"",'Historical Score'!$C$9&lt;&gt;""),IF(J433='Historical Score'!$C$9,1,0),0)</f>
        <v/>
      </c>
      <c r="AV433">
        <f>AR433*AS433*AQ433</f>
        <v/>
      </c>
      <c r="AW433">
        <f>AR433*AT433*AQ433</f>
        <v/>
      </c>
      <c r="AX433">
        <f>AR433*AS433</f>
        <v/>
      </c>
      <c r="AY433">
        <f>AR433*AT433</f>
        <v/>
      </c>
      <c r="AZ433">
        <f>AR433*AQ433</f>
        <v/>
      </c>
      <c r="BA433">
        <f>AR433</f>
        <v/>
      </c>
      <c r="BB433">
        <f>1</f>
        <v/>
      </c>
      <c r="BC433">
        <f>IF(AV433=1,1,IF(AW433=1,2,IF(AX433=1,3,IF(AY433=1,4,IF(AZ433=1,5,IF(BA433=1,6,7))))))</f>
        <v/>
      </c>
      <c r="BD433">
        <f>IF(AD433=1,CHOOSE('Historical Score'!$C$29,AV433,AW433,AX433,AY433,AZ433,BA433,BB433),0)</f>
        <v/>
      </c>
      <c r="BE433">
        <f>IF(BD433=1,COUNTIF($BD$2:BD433,1),"")</f>
        <v/>
      </c>
    </row>
    <row r="434">
      <c r="A434" t="inlineStr">
        <is>
          <t>5674173985</t>
        </is>
      </c>
      <c r="B434" t="inlineStr">
        <is>
          <t>WORKFORCE READY KONCEPTS</t>
        </is>
      </c>
      <c r="C434" t="inlineStr">
        <is>
          <t>WORKFORCE READY KONCEPTS, LLC</t>
        </is>
      </c>
      <c r="D434" t="inlineStr">
        <is>
          <t>Legal</t>
        </is>
      </c>
      <c r="E434" s="297" t="n">
        <v>46001</v>
      </c>
      <c r="F434" s="297" t="n">
        <v>46178</v>
      </c>
      <c r="G434" t="n">
        <v>2</v>
      </c>
      <c r="H434" t="inlineStr">
        <is>
          <t>1731</t>
        </is>
      </c>
      <c r="I434" t="inlineStr">
        <is>
          <t>17</t>
        </is>
      </c>
      <c r="J434" t="inlineStr">
        <is>
          <t>TX</t>
        </is>
      </c>
      <c r="K434" t="inlineStr">
        <is>
          <t>Fidelity Funding</t>
        </is>
      </c>
      <c r="L434" t="inlineStr">
        <is>
          <t>New Deal</t>
        </is>
      </c>
      <c r="M434" s="298" t="n">
        <v>1.49</v>
      </c>
      <c r="N434" s="299" t="n">
        <v>20000</v>
      </c>
      <c r="O434" s="299" t="n">
        <v>2800</v>
      </c>
      <c r="P434" s="299" t="n">
        <v>29800</v>
      </c>
      <c r="Q434" s="299" t="n">
        <v>16244.27</v>
      </c>
      <c r="R434" s="299" t="n">
        <v>13555.73</v>
      </c>
      <c r="S434" s="300" t="n">
        <v>0.545109731543624</v>
      </c>
      <c r="T434" t="n">
        <v>3.279</v>
      </c>
      <c r="U434" t="n">
        <v>55</v>
      </c>
      <c r="V434" t="n">
        <v>46296.11</v>
      </c>
      <c r="W434" s="300" t="n">
        <v>0.1352</v>
      </c>
      <c r="X434" s="297" t="n">
        <v>42673</v>
      </c>
      <c r="Y434">
        <f>IF(I434="","No SIC",IFERROR(VLOOKUP(I434,Ref!$A$2:$B$65,2,FALSE),"Unclassified"))</f>
        <v/>
      </c>
      <c r="Z434">
        <f>IF(T434="","",IF(T434&lt;12,"Daily","Weekly"))</f>
        <v/>
      </c>
      <c r="AA434">
        <f>IF(T434="",0,IF(T434&lt;12,T434*Controls!$B$29,T434*5))</f>
        <v/>
      </c>
      <c r="AB434">
        <f>IF(E434="",0,NETWORKDAYS(E434,Controls!$B$36,Ref!$K$2:$K$42))</f>
        <v/>
      </c>
      <c r="AC434">
        <f>IF(AND(AA434&gt;0,AB434&gt;=Controls!$B$39*AA434),1,0)</f>
        <v/>
      </c>
      <c r="AD434">
        <f>IF(AND(E434&lt;&gt;"",E434&gt;=Controls!$B$37,E434&lt;=Controls!$B$38),1,0)</f>
        <v/>
      </c>
      <c r="AE434">
        <f>IF(IFERROR(VLOOKUP(D434,Controls!$A$64:$E$74,2,FALSE),"No")="Yes",1,0)</f>
        <v/>
      </c>
      <c r="AF434">
        <f>IF(IFERROR(VLOOKUP(D434,Controls!$A$64:$E$74,3,FALSE),"No")="Yes",1,0)</f>
        <v/>
      </c>
      <c r="AG434">
        <f>IF(IFERROR(VLOOKUP(D434,Controls!$A$64:$E$74,4,FALSE),"No")="Yes",1,0)</f>
        <v/>
      </c>
      <c r="AH434">
        <f>IF(IFERROR(VLOOKUP(D434,Controls!$A$64:$E$74,5,FALSE),"No")="Yes",1,0)</f>
        <v/>
      </c>
      <c r="AI434">
        <f>IF(ISNUMBER(MATCH(D434,Controls!$A$64:$A$74,0)),1,0)</f>
        <v/>
      </c>
      <c r="AJ434">
        <f>Q434-N434</f>
        <v/>
      </c>
      <c r="AK434">
        <f>IF(AE434=1,MAX(0,N434-Q434),0)</f>
        <v/>
      </c>
      <c r="AL434">
        <f>IF(OR(V434="",V434=0),0,N434/V434)</f>
        <v/>
      </c>
      <c r="AM434">
        <f>IF(OR(V434="",V434=0),0,1)</f>
        <v/>
      </c>
      <c r="AN434">
        <f>IF(OR(E434="",F434=""),0,NETWORKDAYS(E434,F434,Ref!$K$2:$K$42))</f>
        <v/>
      </c>
      <c r="AO434">
        <f>IF(L434="Renewal",1,0)</f>
        <v/>
      </c>
      <c r="AP434">
        <f>AC434*AD434</f>
        <v/>
      </c>
      <c r="AQ434">
        <f>IF(AND(G434&lt;&gt;"",'Historical Score'!$C$6&lt;&gt;""),IF(G434='Historical Score'!$C$6,1,0),0)</f>
        <v/>
      </c>
      <c r="AR434">
        <f>IF(AND(L434&lt;&gt;"",'Historical Score'!$C$5&lt;&gt;""),IF(L434='Historical Score'!$C$5,1,0),0)</f>
        <v/>
      </c>
      <c r="AS434">
        <f>IF(AND(Y434&lt;&gt;"",'Historical Score'!$C$7&lt;&gt;""),IF(Y434='Historical Score'!$C$7,1,0),0)</f>
        <v/>
      </c>
      <c r="AT434">
        <f>IF(AND(K434&lt;&gt;"",'Historical Score'!$C$8&lt;&gt;""),IF(K434='Historical Score'!$C$8,1,0),0)</f>
        <v/>
      </c>
      <c r="AU434">
        <f>IF(AND(J434&lt;&gt;"",'Historical Score'!$C$9&lt;&gt;""),IF(J434='Historical Score'!$C$9,1,0),0)</f>
        <v/>
      </c>
      <c r="AV434">
        <f>AR434*AS434*AQ434</f>
        <v/>
      </c>
      <c r="AW434">
        <f>AR434*AT434*AQ434</f>
        <v/>
      </c>
      <c r="AX434">
        <f>AR434*AS434</f>
        <v/>
      </c>
      <c r="AY434">
        <f>AR434*AT434</f>
        <v/>
      </c>
      <c r="AZ434">
        <f>AR434*AQ434</f>
        <v/>
      </c>
      <c r="BA434">
        <f>AR434</f>
        <v/>
      </c>
      <c r="BB434">
        <f>1</f>
        <v/>
      </c>
      <c r="BC434">
        <f>IF(AV434=1,1,IF(AW434=1,2,IF(AX434=1,3,IF(AY434=1,4,IF(AZ434=1,5,IF(BA434=1,6,7))))))</f>
        <v/>
      </c>
      <c r="BD434">
        <f>IF(AD434=1,CHOOSE('Historical Score'!$C$29,AV434,AW434,AX434,AY434,AZ434,BA434,BB434),0)</f>
        <v/>
      </c>
      <c r="BE434">
        <f>IF(BD434=1,COUNTIF($BD$2:BD434,1),"")</f>
        <v/>
      </c>
    </row>
    <row r="435">
      <c r="A435" t="inlineStr">
        <is>
          <t>5674174100</t>
        </is>
      </c>
      <c r="B435" t="inlineStr">
        <is>
          <t>Fresh Dental</t>
        </is>
      </c>
      <c r="C435" t="inlineStr">
        <is>
          <t>Fresh Dental LLC</t>
        </is>
      </c>
      <c r="D435" t="inlineStr">
        <is>
          <t>Closed</t>
        </is>
      </c>
      <c r="E435" s="297" t="n">
        <v>46002</v>
      </c>
      <c r="F435" s="297" t="n">
        <v>46136</v>
      </c>
      <c r="G435" t="n">
        <v>3</v>
      </c>
      <c r="H435" t="inlineStr">
        <is>
          <t>5047</t>
        </is>
      </c>
      <c r="I435" t="inlineStr">
        <is>
          <t>50</t>
        </is>
      </c>
      <c r="J435" t="inlineStr">
        <is>
          <t>GA</t>
        </is>
      </c>
      <c r="K435" t="inlineStr">
        <is>
          <t>Westwood</t>
        </is>
      </c>
      <c r="L435" t="inlineStr">
        <is>
          <t>Renewal</t>
        </is>
      </c>
      <c r="M435" s="298" t="n">
        <v>1.459</v>
      </c>
      <c r="N435" s="299" t="n">
        <v>165000</v>
      </c>
      <c r="O435" s="299" t="n">
        <v>21450</v>
      </c>
      <c r="P435" s="299" t="n">
        <v>240735</v>
      </c>
      <c r="Q435" s="299" t="n">
        <v>240735</v>
      </c>
      <c r="R435" s="299" t="n">
        <v>0</v>
      </c>
      <c r="S435" s="300" t="n">
        <v>1</v>
      </c>
      <c r="T435" t="n">
        <v>5.738</v>
      </c>
      <c r="U435" t="n">
        <v>2</v>
      </c>
      <c r="V435" t="n">
        <v>237338.07</v>
      </c>
      <c r="W435" s="300" t="n">
        <v>0.1208</v>
      </c>
      <c r="X435" s="297" t="n">
        <v>43714</v>
      </c>
      <c r="Y435">
        <f>IF(I435="","No SIC",IFERROR(VLOOKUP(I435,Ref!$A$2:$B$65,2,FALSE),"Unclassified"))</f>
        <v/>
      </c>
      <c r="Z435">
        <f>IF(T435="","",IF(T435&lt;12,"Daily","Weekly"))</f>
        <v/>
      </c>
      <c r="AA435">
        <f>IF(T435="",0,IF(T435&lt;12,T435*Controls!$B$29,T435*5))</f>
        <v/>
      </c>
      <c r="AB435">
        <f>IF(E435="",0,NETWORKDAYS(E435,Controls!$B$36,Ref!$K$2:$K$42))</f>
        <v/>
      </c>
      <c r="AC435">
        <f>IF(AND(AA435&gt;0,AB435&gt;=Controls!$B$39*AA435),1,0)</f>
        <v/>
      </c>
      <c r="AD435">
        <f>IF(AND(E435&lt;&gt;"",E435&gt;=Controls!$B$37,E435&lt;=Controls!$B$38),1,0)</f>
        <v/>
      </c>
      <c r="AE435">
        <f>IF(IFERROR(VLOOKUP(D435,Controls!$A$64:$E$74,2,FALSE),"No")="Yes",1,0)</f>
        <v/>
      </c>
      <c r="AF435">
        <f>IF(IFERROR(VLOOKUP(D435,Controls!$A$64:$E$74,3,FALSE),"No")="Yes",1,0)</f>
        <v/>
      </c>
      <c r="AG435">
        <f>IF(IFERROR(VLOOKUP(D435,Controls!$A$64:$E$74,4,FALSE),"No")="Yes",1,0)</f>
        <v/>
      </c>
      <c r="AH435">
        <f>IF(IFERROR(VLOOKUP(D435,Controls!$A$64:$E$74,5,FALSE),"No")="Yes",1,0)</f>
        <v/>
      </c>
      <c r="AI435">
        <f>IF(ISNUMBER(MATCH(D435,Controls!$A$64:$A$74,0)),1,0)</f>
        <v/>
      </c>
      <c r="AJ435">
        <f>Q435-N435</f>
        <v/>
      </c>
      <c r="AK435">
        <f>IF(AE435=1,MAX(0,N435-Q435),0)</f>
        <v/>
      </c>
      <c r="AL435">
        <f>IF(OR(V435="",V435=0),0,N435/V435)</f>
        <v/>
      </c>
      <c r="AM435">
        <f>IF(OR(V435="",V435=0),0,1)</f>
        <v/>
      </c>
      <c r="AN435">
        <f>IF(OR(E435="",F435=""),0,NETWORKDAYS(E435,F435,Ref!$K$2:$K$42))</f>
        <v/>
      </c>
      <c r="AO435">
        <f>IF(L435="Renewal",1,0)</f>
        <v/>
      </c>
      <c r="AP435">
        <f>AC435*AD435</f>
        <v/>
      </c>
      <c r="AQ435">
        <f>IF(AND(G435&lt;&gt;"",'Historical Score'!$C$6&lt;&gt;""),IF(G435='Historical Score'!$C$6,1,0),0)</f>
        <v/>
      </c>
      <c r="AR435">
        <f>IF(AND(L435&lt;&gt;"",'Historical Score'!$C$5&lt;&gt;""),IF(L435='Historical Score'!$C$5,1,0),0)</f>
        <v/>
      </c>
      <c r="AS435">
        <f>IF(AND(Y435&lt;&gt;"",'Historical Score'!$C$7&lt;&gt;""),IF(Y435='Historical Score'!$C$7,1,0),0)</f>
        <v/>
      </c>
      <c r="AT435">
        <f>IF(AND(K435&lt;&gt;"",'Historical Score'!$C$8&lt;&gt;""),IF(K435='Historical Score'!$C$8,1,0),0)</f>
        <v/>
      </c>
      <c r="AU435">
        <f>IF(AND(J435&lt;&gt;"",'Historical Score'!$C$9&lt;&gt;""),IF(J435='Historical Score'!$C$9,1,0),0)</f>
        <v/>
      </c>
      <c r="AV435">
        <f>AR435*AS435*AQ435</f>
        <v/>
      </c>
      <c r="AW435">
        <f>AR435*AT435*AQ435</f>
        <v/>
      </c>
      <c r="AX435">
        <f>AR435*AS435</f>
        <v/>
      </c>
      <c r="AY435">
        <f>AR435*AT435</f>
        <v/>
      </c>
      <c r="AZ435">
        <f>AR435*AQ435</f>
        <v/>
      </c>
      <c r="BA435">
        <f>AR435</f>
        <v/>
      </c>
      <c r="BB435">
        <f>1</f>
        <v/>
      </c>
      <c r="BC435">
        <f>IF(AV435=1,1,IF(AW435=1,2,IF(AX435=1,3,IF(AY435=1,4,IF(AZ435=1,5,IF(BA435=1,6,7))))))</f>
        <v/>
      </c>
      <c r="BD435">
        <f>IF(AD435=1,CHOOSE('Historical Score'!$C$29,AV435,AW435,AX435,AY435,AZ435,BA435,BB435),0)</f>
        <v/>
      </c>
      <c r="BE435">
        <f>IF(BD435=1,COUNTIF($BD$2:BD435,1),"")</f>
        <v/>
      </c>
    </row>
    <row r="436">
      <c r="A436" t="inlineStr">
        <is>
          <t>5674174106</t>
        </is>
      </c>
      <c r="B436" t="inlineStr">
        <is>
          <t>Mile shop</t>
        </is>
      </c>
      <c r="C436" t="inlineStr">
        <is>
          <t>MHS shop llc</t>
        </is>
      </c>
      <c r="D436" t="inlineStr">
        <is>
          <t>Closed</t>
        </is>
      </c>
      <c r="E436" s="297" t="n">
        <v>46002</v>
      </c>
      <c r="F436" s="297" t="n">
        <v>46043</v>
      </c>
      <c r="G436" t="n">
        <v>2</v>
      </c>
      <c r="H436" t="inlineStr">
        <is>
          <t>5399</t>
        </is>
      </c>
      <c r="I436" t="inlineStr">
        <is>
          <t>53</t>
        </is>
      </c>
      <c r="J436" t="inlineStr">
        <is>
          <t>FL</t>
        </is>
      </c>
      <c r="K436" t="inlineStr">
        <is>
          <t>Fundwell</t>
        </is>
      </c>
      <c r="L436" t="inlineStr">
        <is>
          <t>New Deal</t>
        </is>
      </c>
      <c r="M436" s="298" t="n">
        <v>1.15</v>
      </c>
      <c r="N436" s="299" t="n">
        <v>12000</v>
      </c>
      <c r="O436" s="299" t="n">
        <v>1200</v>
      </c>
      <c r="P436" s="299" t="n">
        <v>13800</v>
      </c>
      <c r="Q436" s="299" t="n">
        <v>13800</v>
      </c>
      <c r="R436" s="299" t="n">
        <v>-1.81898940354586e-12</v>
      </c>
      <c r="S436" s="300" t="n">
        <v>1</v>
      </c>
      <c r="T436" t="n">
        <v>22</v>
      </c>
      <c r="U436" t="n">
        <v>0</v>
      </c>
      <c r="V436" t="n">
        <v>29244.59</v>
      </c>
      <c r="W436" s="300" t="n">
        <v>0.1112</v>
      </c>
      <c r="X436" s="297" t="n">
        <v>45573</v>
      </c>
      <c r="Y436">
        <f>IF(I436="","No SIC",IFERROR(VLOOKUP(I436,Ref!$A$2:$B$65,2,FALSE),"Unclassified"))</f>
        <v/>
      </c>
      <c r="Z436">
        <f>IF(T436="","",IF(T436&lt;12,"Daily","Weekly"))</f>
        <v/>
      </c>
      <c r="AA436">
        <f>IF(T436="",0,IF(T436&lt;12,T436*Controls!$B$29,T436*5))</f>
        <v/>
      </c>
      <c r="AB436">
        <f>IF(E436="",0,NETWORKDAYS(E436,Controls!$B$36,Ref!$K$2:$K$42))</f>
        <v/>
      </c>
      <c r="AC436">
        <f>IF(AND(AA436&gt;0,AB436&gt;=Controls!$B$39*AA436),1,0)</f>
        <v/>
      </c>
      <c r="AD436">
        <f>IF(AND(E436&lt;&gt;"",E436&gt;=Controls!$B$37,E436&lt;=Controls!$B$38),1,0)</f>
        <v/>
      </c>
      <c r="AE436">
        <f>IF(IFERROR(VLOOKUP(D436,Controls!$A$64:$E$74,2,FALSE),"No")="Yes",1,0)</f>
        <v/>
      </c>
      <c r="AF436">
        <f>IF(IFERROR(VLOOKUP(D436,Controls!$A$64:$E$74,3,FALSE),"No")="Yes",1,0)</f>
        <v/>
      </c>
      <c r="AG436">
        <f>IF(IFERROR(VLOOKUP(D436,Controls!$A$64:$E$74,4,FALSE),"No")="Yes",1,0)</f>
        <v/>
      </c>
      <c r="AH436">
        <f>IF(IFERROR(VLOOKUP(D436,Controls!$A$64:$E$74,5,FALSE),"No")="Yes",1,0)</f>
        <v/>
      </c>
      <c r="AI436">
        <f>IF(ISNUMBER(MATCH(D436,Controls!$A$64:$A$74,0)),1,0)</f>
        <v/>
      </c>
      <c r="AJ436">
        <f>Q436-N436</f>
        <v/>
      </c>
      <c r="AK436">
        <f>IF(AE436=1,MAX(0,N436-Q436),0)</f>
        <v/>
      </c>
      <c r="AL436">
        <f>IF(OR(V436="",V436=0),0,N436/V436)</f>
        <v/>
      </c>
      <c r="AM436">
        <f>IF(OR(V436="",V436=0),0,1)</f>
        <v/>
      </c>
      <c r="AN436">
        <f>IF(OR(E436="",F436=""),0,NETWORKDAYS(E436,F436,Ref!$K$2:$K$42))</f>
        <v/>
      </c>
      <c r="AO436">
        <f>IF(L436="Renewal",1,0)</f>
        <v/>
      </c>
      <c r="AP436">
        <f>AC436*AD436</f>
        <v/>
      </c>
      <c r="AQ436">
        <f>IF(AND(G436&lt;&gt;"",'Historical Score'!$C$6&lt;&gt;""),IF(G436='Historical Score'!$C$6,1,0),0)</f>
        <v/>
      </c>
      <c r="AR436">
        <f>IF(AND(L436&lt;&gt;"",'Historical Score'!$C$5&lt;&gt;""),IF(L436='Historical Score'!$C$5,1,0),0)</f>
        <v/>
      </c>
      <c r="AS436">
        <f>IF(AND(Y436&lt;&gt;"",'Historical Score'!$C$7&lt;&gt;""),IF(Y436='Historical Score'!$C$7,1,0),0)</f>
        <v/>
      </c>
      <c r="AT436">
        <f>IF(AND(K436&lt;&gt;"",'Historical Score'!$C$8&lt;&gt;""),IF(K436='Historical Score'!$C$8,1,0),0)</f>
        <v/>
      </c>
      <c r="AU436">
        <f>IF(AND(J436&lt;&gt;"",'Historical Score'!$C$9&lt;&gt;""),IF(J436='Historical Score'!$C$9,1,0),0)</f>
        <v/>
      </c>
      <c r="AV436">
        <f>AR436*AS436*AQ436</f>
        <v/>
      </c>
      <c r="AW436">
        <f>AR436*AT436*AQ436</f>
        <v/>
      </c>
      <c r="AX436">
        <f>AR436*AS436</f>
        <v/>
      </c>
      <c r="AY436">
        <f>AR436*AT436</f>
        <v/>
      </c>
      <c r="AZ436">
        <f>AR436*AQ436</f>
        <v/>
      </c>
      <c r="BA436">
        <f>AR436</f>
        <v/>
      </c>
      <c r="BB436">
        <f>1</f>
        <v/>
      </c>
      <c r="BC436">
        <f>IF(AV436=1,1,IF(AW436=1,2,IF(AX436=1,3,IF(AY436=1,4,IF(AZ436=1,5,IF(BA436=1,6,7))))))</f>
        <v/>
      </c>
      <c r="BD436">
        <f>IF(AD436=1,CHOOSE('Historical Score'!$C$29,AV436,AW436,AX436,AY436,AZ436,BA436,BB436),0)</f>
        <v/>
      </c>
      <c r="BE436">
        <f>IF(BD436=1,COUNTIF($BD$2:BD436,1),"")</f>
        <v/>
      </c>
    </row>
    <row r="437">
      <c r="A437" t="inlineStr">
        <is>
          <t>5674174119</t>
        </is>
      </c>
      <c r="B437" t="inlineStr">
        <is>
          <t>VENTURE Vs</t>
        </is>
      </c>
      <c r="C437" t="inlineStr">
        <is>
          <t>VENTURE V &amp; S LLC</t>
        </is>
      </c>
      <c r="D437" t="inlineStr">
        <is>
          <t>Closed</t>
        </is>
      </c>
      <c r="E437" s="297" t="n">
        <v>46002</v>
      </c>
      <c r="F437" s="297" t="n">
        <v>46083</v>
      </c>
      <c r="G437" t="n">
        <v>1</v>
      </c>
      <c r="H437" t="inlineStr">
        <is>
          <t>5399</t>
        </is>
      </c>
      <c r="I437" t="inlineStr">
        <is>
          <t>53</t>
        </is>
      </c>
      <c r="J437" t="inlineStr">
        <is>
          <t>KY</t>
        </is>
      </c>
      <c r="K437" t="inlineStr">
        <is>
          <t>United Secured Capital 8</t>
        </is>
      </c>
      <c r="L437" t="inlineStr">
        <is>
          <t>New Deal</t>
        </is>
      </c>
      <c r="M437" s="298" t="n">
        <v>1.499</v>
      </c>
      <c r="N437" s="299" t="n">
        <v>12500</v>
      </c>
      <c r="O437" s="299" t="n">
        <v>1750</v>
      </c>
      <c r="P437" s="299" t="n">
        <v>18737.5</v>
      </c>
      <c r="Q437" s="299" t="n">
        <v>18737.5</v>
      </c>
      <c r="R437" s="299" t="n">
        <v>0</v>
      </c>
      <c r="S437" s="300" t="n">
        <v>1</v>
      </c>
      <c r="T437" t="n">
        <v>18</v>
      </c>
      <c r="U437" t="n">
        <v>0</v>
      </c>
      <c r="V437" t="n">
        <v>63273.55</v>
      </c>
      <c r="W437" s="300" t="n">
        <v>0.0654</v>
      </c>
      <c r="X437" s="297" t="n">
        <v>45686</v>
      </c>
      <c r="Y437">
        <f>IF(I437="","No SIC",IFERROR(VLOOKUP(I437,Ref!$A$2:$B$65,2,FALSE),"Unclassified"))</f>
        <v/>
      </c>
      <c r="Z437">
        <f>IF(T437="","",IF(T437&lt;12,"Daily","Weekly"))</f>
        <v/>
      </c>
      <c r="AA437">
        <f>IF(T437="",0,IF(T437&lt;12,T437*Controls!$B$29,T437*5))</f>
        <v/>
      </c>
      <c r="AB437">
        <f>IF(E437="",0,NETWORKDAYS(E437,Controls!$B$36,Ref!$K$2:$K$42))</f>
        <v/>
      </c>
      <c r="AC437">
        <f>IF(AND(AA437&gt;0,AB437&gt;=Controls!$B$39*AA437),1,0)</f>
        <v/>
      </c>
      <c r="AD437">
        <f>IF(AND(E437&lt;&gt;"",E437&gt;=Controls!$B$37,E437&lt;=Controls!$B$38),1,0)</f>
        <v/>
      </c>
      <c r="AE437">
        <f>IF(IFERROR(VLOOKUP(D437,Controls!$A$64:$E$74,2,FALSE),"No")="Yes",1,0)</f>
        <v/>
      </c>
      <c r="AF437">
        <f>IF(IFERROR(VLOOKUP(D437,Controls!$A$64:$E$74,3,FALSE),"No")="Yes",1,0)</f>
        <v/>
      </c>
      <c r="AG437">
        <f>IF(IFERROR(VLOOKUP(D437,Controls!$A$64:$E$74,4,FALSE),"No")="Yes",1,0)</f>
        <v/>
      </c>
      <c r="AH437">
        <f>IF(IFERROR(VLOOKUP(D437,Controls!$A$64:$E$74,5,FALSE),"No")="Yes",1,0)</f>
        <v/>
      </c>
      <c r="AI437">
        <f>IF(ISNUMBER(MATCH(D437,Controls!$A$64:$A$74,0)),1,0)</f>
        <v/>
      </c>
      <c r="AJ437">
        <f>Q437-N437</f>
        <v/>
      </c>
      <c r="AK437">
        <f>IF(AE437=1,MAX(0,N437-Q437),0)</f>
        <v/>
      </c>
      <c r="AL437">
        <f>IF(OR(V437="",V437=0),0,N437/V437)</f>
        <v/>
      </c>
      <c r="AM437">
        <f>IF(OR(V437="",V437=0),0,1)</f>
        <v/>
      </c>
      <c r="AN437">
        <f>IF(OR(E437="",F437=""),0,NETWORKDAYS(E437,F437,Ref!$K$2:$K$42))</f>
        <v/>
      </c>
      <c r="AO437">
        <f>IF(L437="Renewal",1,0)</f>
        <v/>
      </c>
      <c r="AP437">
        <f>AC437*AD437</f>
        <v/>
      </c>
      <c r="AQ437">
        <f>IF(AND(G437&lt;&gt;"",'Historical Score'!$C$6&lt;&gt;""),IF(G437='Historical Score'!$C$6,1,0),0)</f>
        <v/>
      </c>
      <c r="AR437">
        <f>IF(AND(L437&lt;&gt;"",'Historical Score'!$C$5&lt;&gt;""),IF(L437='Historical Score'!$C$5,1,0),0)</f>
        <v/>
      </c>
      <c r="AS437">
        <f>IF(AND(Y437&lt;&gt;"",'Historical Score'!$C$7&lt;&gt;""),IF(Y437='Historical Score'!$C$7,1,0),0)</f>
        <v/>
      </c>
      <c r="AT437">
        <f>IF(AND(K437&lt;&gt;"",'Historical Score'!$C$8&lt;&gt;""),IF(K437='Historical Score'!$C$8,1,0),0)</f>
        <v/>
      </c>
      <c r="AU437">
        <f>IF(AND(J437&lt;&gt;"",'Historical Score'!$C$9&lt;&gt;""),IF(J437='Historical Score'!$C$9,1,0),0)</f>
        <v/>
      </c>
      <c r="AV437">
        <f>AR437*AS437*AQ437</f>
        <v/>
      </c>
      <c r="AW437">
        <f>AR437*AT437*AQ437</f>
        <v/>
      </c>
      <c r="AX437">
        <f>AR437*AS437</f>
        <v/>
      </c>
      <c r="AY437">
        <f>AR437*AT437</f>
        <v/>
      </c>
      <c r="AZ437">
        <f>AR437*AQ437</f>
        <v/>
      </c>
      <c r="BA437">
        <f>AR437</f>
        <v/>
      </c>
      <c r="BB437">
        <f>1</f>
        <v/>
      </c>
      <c r="BC437">
        <f>IF(AV437=1,1,IF(AW437=1,2,IF(AX437=1,3,IF(AY437=1,4,IF(AZ437=1,5,IF(BA437=1,6,7))))))</f>
        <v/>
      </c>
      <c r="BD437">
        <f>IF(AD437=1,CHOOSE('Historical Score'!$C$29,AV437,AW437,AX437,AY437,AZ437,BA437,BB437),0)</f>
        <v/>
      </c>
      <c r="BE437">
        <f>IF(BD437=1,COUNTIF($BD$2:BD437,1),"")</f>
        <v/>
      </c>
    </row>
    <row r="438">
      <c r="A438" t="inlineStr">
        <is>
          <t>5674174125</t>
        </is>
      </c>
      <c r="B438" t="inlineStr">
        <is>
          <t>Diamond M Group</t>
        </is>
      </c>
      <c r="C438" t="inlineStr">
        <is>
          <t>Bruce A Messer</t>
        </is>
      </c>
      <c r="D438" t="inlineStr">
        <is>
          <t>In House Collection</t>
        </is>
      </c>
      <c r="E438" s="297" t="n">
        <v>46002</v>
      </c>
      <c r="F438" s="297" t="n">
        <v>46052</v>
      </c>
      <c r="G438" t="n">
        <v>2</v>
      </c>
      <c r="H438" t="inlineStr">
        <is>
          <t>1521</t>
        </is>
      </c>
      <c r="I438" t="inlineStr">
        <is>
          <t>15</t>
        </is>
      </c>
      <c r="J438" t="inlineStr">
        <is>
          <t>WV</t>
        </is>
      </c>
      <c r="K438" t="inlineStr">
        <is>
          <t>National Business Capital</t>
        </is>
      </c>
      <c r="L438" t="inlineStr">
        <is>
          <t>New Deal</t>
        </is>
      </c>
      <c r="M438" s="298" t="n">
        <v>1.49</v>
      </c>
      <c r="N438" s="299" t="n">
        <v>20000</v>
      </c>
      <c r="O438" s="299" t="n">
        <v>0</v>
      </c>
      <c r="P438" s="299" t="n">
        <v>29800</v>
      </c>
      <c r="Q438" s="299" t="n">
        <v>3724.59</v>
      </c>
      <c r="R438" s="299" t="n">
        <v>26075.41</v>
      </c>
      <c r="S438" s="300" t="n">
        <v>0.124986241610738</v>
      </c>
      <c r="T438" t="n">
        <v>24</v>
      </c>
      <c r="U438" t="n">
        <v>5</v>
      </c>
      <c r="V438" t="n">
        <v>50417.29</v>
      </c>
      <c r="W438" s="300" t="n">
        <v>0.0985</v>
      </c>
      <c r="X438" s="297" t="n"/>
      <c r="Y438">
        <f>IF(I438="","No SIC",IFERROR(VLOOKUP(I438,Ref!$A$2:$B$65,2,FALSE),"Unclassified"))</f>
        <v/>
      </c>
      <c r="Z438">
        <f>IF(T438="","",IF(T438&lt;12,"Daily","Weekly"))</f>
        <v/>
      </c>
      <c r="AA438">
        <f>IF(T438="",0,IF(T438&lt;12,T438*Controls!$B$29,T438*5))</f>
        <v/>
      </c>
      <c r="AB438">
        <f>IF(E438="",0,NETWORKDAYS(E438,Controls!$B$36,Ref!$K$2:$K$42))</f>
        <v/>
      </c>
      <c r="AC438">
        <f>IF(AND(AA438&gt;0,AB438&gt;=Controls!$B$39*AA438),1,0)</f>
        <v/>
      </c>
      <c r="AD438">
        <f>IF(AND(E438&lt;&gt;"",E438&gt;=Controls!$B$37,E438&lt;=Controls!$B$38),1,0)</f>
        <v/>
      </c>
      <c r="AE438">
        <f>IF(IFERROR(VLOOKUP(D438,Controls!$A$64:$E$74,2,FALSE),"No")="Yes",1,0)</f>
        <v/>
      </c>
      <c r="AF438">
        <f>IF(IFERROR(VLOOKUP(D438,Controls!$A$64:$E$74,3,FALSE),"No")="Yes",1,0)</f>
        <v/>
      </c>
      <c r="AG438">
        <f>IF(IFERROR(VLOOKUP(D438,Controls!$A$64:$E$74,4,FALSE),"No")="Yes",1,0)</f>
        <v/>
      </c>
      <c r="AH438">
        <f>IF(IFERROR(VLOOKUP(D438,Controls!$A$64:$E$74,5,FALSE),"No")="Yes",1,0)</f>
        <v/>
      </c>
      <c r="AI438">
        <f>IF(ISNUMBER(MATCH(D438,Controls!$A$64:$A$74,0)),1,0)</f>
        <v/>
      </c>
      <c r="AJ438">
        <f>Q438-N438</f>
        <v/>
      </c>
      <c r="AK438">
        <f>IF(AE438=1,MAX(0,N438-Q438),0)</f>
        <v/>
      </c>
      <c r="AL438">
        <f>IF(OR(V438="",V438=0),0,N438/V438)</f>
        <v/>
      </c>
      <c r="AM438">
        <f>IF(OR(V438="",V438=0),0,1)</f>
        <v/>
      </c>
      <c r="AN438">
        <f>IF(OR(E438="",F438=""),0,NETWORKDAYS(E438,F438,Ref!$K$2:$K$42))</f>
        <v/>
      </c>
      <c r="AO438">
        <f>IF(L438="Renewal",1,0)</f>
        <v/>
      </c>
      <c r="AP438">
        <f>AC438*AD438</f>
        <v/>
      </c>
      <c r="AQ438">
        <f>IF(AND(G438&lt;&gt;"",'Historical Score'!$C$6&lt;&gt;""),IF(G438='Historical Score'!$C$6,1,0),0)</f>
        <v/>
      </c>
      <c r="AR438">
        <f>IF(AND(L438&lt;&gt;"",'Historical Score'!$C$5&lt;&gt;""),IF(L438='Historical Score'!$C$5,1,0),0)</f>
        <v/>
      </c>
      <c r="AS438">
        <f>IF(AND(Y438&lt;&gt;"",'Historical Score'!$C$7&lt;&gt;""),IF(Y438='Historical Score'!$C$7,1,0),0)</f>
        <v/>
      </c>
      <c r="AT438">
        <f>IF(AND(K438&lt;&gt;"",'Historical Score'!$C$8&lt;&gt;""),IF(K438='Historical Score'!$C$8,1,0),0)</f>
        <v/>
      </c>
      <c r="AU438">
        <f>IF(AND(J438&lt;&gt;"",'Historical Score'!$C$9&lt;&gt;""),IF(J438='Historical Score'!$C$9,1,0),0)</f>
        <v/>
      </c>
      <c r="AV438">
        <f>AR438*AS438*AQ438</f>
        <v/>
      </c>
      <c r="AW438">
        <f>AR438*AT438*AQ438</f>
        <v/>
      </c>
      <c r="AX438">
        <f>AR438*AS438</f>
        <v/>
      </c>
      <c r="AY438">
        <f>AR438*AT438</f>
        <v/>
      </c>
      <c r="AZ438">
        <f>AR438*AQ438</f>
        <v/>
      </c>
      <c r="BA438">
        <f>AR438</f>
        <v/>
      </c>
      <c r="BB438">
        <f>1</f>
        <v/>
      </c>
      <c r="BC438">
        <f>IF(AV438=1,1,IF(AW438=1,2,IF(AX438=1,3,IF(AY438=1,4,IF(AZ438=1,5,IF(BA438=1,6,7))))))</f>
        <v/>
      </c>
      <c r="BD438">
        <f>IF(AD438=1,CHOOSE('Historical Score'!$C$29,AV438,AW438,AX438,AY438,AZ438,BA438,BB438),0)</f>
        <v/>
      </c>
      <c r="BE438">
        <f>IF(BD438=1,COUNTIF($BD$2:BD438,1),"")</f>
        <v/>
      </c>
    </row>
    <row r="439">
      <c r="A439" t="inlineStr">
        <is>
          <t>5674174148</t>
        </is>
      </c>
      <c r="B439" t="inlineStr">
        <is>
          <t>Osuna Dental Care</t>
        </is>
      </c>
      <c r="C439" t="inlineStr">
        <is>
          <t>Chris Y. Kim, DDS LLC</t>
        </is>
      </c>
      <c r="D439" t="inlineStr">
        <is>
          <t>Open</t>
        </is>
      </c>
      <c r="E439" s="297" t="n">
        <v>46003</v>
      </c>
      <c r="F439" s="297" t="n">
        <v>46248</v>
      </c>
      <c r="G439" t="n">
        <v>3</v>
      </c>
      <c r="H439" t="inlineStr">
        <is>
          <t>8021</t>
        </is>
      </c>
      <c r="I439" t="inlineStr">
        <is>
          <t>80</t>
        </is>
      </c>
      <c r="J439" t="inlineStr">
        <is>
          <t>NM</t>
        </is>
      </c>
      <c r="K439" t="inlineStr">
        <is>
          <t>Fundwell</t>
        </is>
      </c>
      <c r="L439" t="inlineStr">
        <is>
          <t>New Deal</t>
        </is>
      </c>
      <c r="M439" s="298" t="n">
        <v>1.38</v>
      </c>
      <c r="N439" s="299" t="n">
        <v>160000</v>
      </c>
      <c r="O439" s="299" t="n">
        <v>20000</v>
      </c>
      <c r="P439" s="299" t="n">
        <v>220800</v>
      </c>
      <c r="Q439" s="299" t="n">
        <v>137948.65</v>
      </c>
      <c r="R439" s="299" t="n">
        <v>82851.35000000001</v>
      </c>
      <c r="S439" s="300" t="n">
        <v>0.624767436594203</v>
      </c>
      <c r="T439" t="n">
        <v>56</v>
      </c>
      <c r="U439" t="n">
        <v>0</v>
      </c>
      <c r="V439" t="n">
        <v>310957.45</v>
      </c>
      <c r="W439" s="300" t="n">
        <v>0.0507</v>
      </c>
      <c r="X439" s="297" t="n">
        <v>43647</v>
      </c>
      <c r="Y439">
        <f>IF(I439="","No SIC",IFERROR(VLOOKUP(I439,Ref!$A$2:$B$65,2,FALSE),"Unclassified"))</f>
        <v/>
      </c>
      <c r="Z439">
        <f>IF(T439="","",IF(T439&lt;12,"Daily","Weekly"))</f>
        <v/>
      </c>
      <c r="AA439">
        <f>IF(T439="",0,IF(T439&lt;12,T439*Controls!$B$29,T439*5))</f>
        <v/>
      </c>
      <c r="AB439">
        <f>IF(E439="",0,NETWORKDAYS(E439,Controls!$B$36,Ref!$K$2:$K$42))</f>
        <v/>
      </c>
      <c r="AC439">
        <f>IF(AND(AA439&gt;0,AB439&gt;=Controls!$B$39*AA439),1,0)</f>
        <v/>
      </c>
      <c r="AD439">
        <f>IF(AND(E439&lt;&gt;"",E439&gt;=Controls!$B$37,E439&lt;=Controls!$B$38),1,0)</f>
        <v/>
      </c>
      <c r="AE439">
        <f>IF(IFERROR(VLOOKUP(D439,Controls!$A$64:$E$74,2,FALSE),"No")="Yes",1,0)</f>
        <v/>
      </c>
      <c r="AF439">
        <f>IF(IFERROR(VLOOKUP(D439,Controls!$A$64:$E$74,3,FALSE),"No")="Yes",1,0)</f>
        <v/>
      </c>
      <c r="AG439">
        <f>IF(IFERROR(VLOOKUP(D439,Controls!$A$64:$E$74,4,FALSE),"No")="Yes",1,0)</f>
        <v/>
      </c>
      <c r="AH439">
        <f>IF(IFERROR(VLOOKUP(D439,Controls!$A$64:$E$74,5,FALSE),"No")="Yes",1,0)</f>
        <v/>
      </c>
      <c r="AI439">
        <f>IF(ISNUMBER(MATCH(D439,Controls!$A$64:$A$74,0)),1,0)</f>
        <v/>
      </c>
      <c r="AJ439">
        <f>Q439-N439</f>
        <v/>
      </c>
      <c r="AK439">
        <f>IF(AE439=1,MAX(0,N439-Q439),0)</f>
        <v/>
      </c>
      <c r="AL439">
        <f>IF(OR(V439="",V439=0),0,N439/V439)</f>
        <v/>
      </c>
      <c r="AM439">
        <f>IF(OR(V439="",V439=0),0,1)</f>
        <v/>
      </c>
      <c r="AN439">
        <f>IF(OR(E439="",F439=""),0,NETWORKDAYS(E439,F439,Ref!$K$2:$K$42))</f>
        <v/>
      </c>
      <c r="AO439">
        <f>IF(L439="Renewal",1,0)</f>
        <v/>
      </c>
      <c r="AP439">
        <f>AC439*AD439</f>
        <v/>
      </c>
      <c r="AQ439">
        <f>IF(AND(G439&lt;&gt;"",'Historical Score'!$C$6&lt;&gt;""),IF(G439='Historical Score'!$C$6,1,0),0)</f>
        <v/>
      </c>
      <c r="AR439">
        <f>IF(AND(L439&lt;&gt;"",'Historical Score'!$C$5&lt;&gt;""),IF(L439='Historical Score'!$C$5,1,0),0)</f>
        <v/>
      </c>
      <c r="AS439">
        <f>IF(AND(Y439&lt;&gt;"",'Historical Score'!$C$7&lt;&gt;""),IF(Y439='Historical Score'!$C$7,1,0),0)</f>
        <v/>
      </c>
      <c r="AT439">
        <f>IF(AND(K439&lt;&gt;"",'Historical Score'!$C$8&lt;&gt;""),IF(K439='Historical Score'!$C$8,1,0),0)</f>
        <v/>
      </c>
      <c r="AU439">
        <f>IF(AND(J439&lt;&gt;"",'Historical Score'!$C$9&lt;&gt;""),IF(J439='Historical Score'!$C$9,1,0),0)</f>
        <v/>
      </c>
      <c r="AV439">
        <f>AR439*AS439*AQ439</f>
        <v/>
      </c>
      <c r="AW439">
        <f>AR439*AT439*AQ439</f>
        <v/>
      </c>
      <c r="AX439">
        <f>AR439*AS439</f>
        <v/>
      </c>
      <c r="AY439">
        <f>AR439*AT439</f>
        <v/>
      </c>
      <c r="AZ439">
        <f>AR439*AQ439</f>
        <v/>
      </c>
      <c r="BA439">
        <f>AR439</f>
        <v/>
      </c>
      <c r="BB439">
        <f>1</f>
        <v/>
      </c>
      <c r="BC439">
        <f>IF(AV439=1,1,IF(AW439=1,2,IF(AX439=1,3,IF(AY439=1,4,IF(AZ439=1,5,IF(BA439=1,6,7))))))</f>
        <v/>
      </c>
      <c r="BD439">
        <f>IF(AD439=1,CHOOSE('Historical Score'!$C$29,AV439,AW439,AX439,AY439,AZ439,BA439,BB439),0)</f>
        <v/>
      </c>
      <c r="BE439">
        <f>IF(BD439=1,COUNTIF($BD$2:BD439,1),"")</f>
        <v/>
      </c>
    </row>
    <row r="440">
      <c r="A440" t="inlineStr">
        <is>
          <t>5674174218</t>
        </is>
      </c>
      <c r="B440" t="inlineStr">
        <is>
          <t>LOS JIMADORES TEX MEX &amp; TEQUILA FACTORY</t>
        </is>
      </c>
      <c r="C440" t="inlineStr">
        <is>
          <t>LOS JIMADORES TEX MEX &amp; TEQUILA FACTORY</t>
        </is>
      </c>
      <c r="D440" t="inlineStr">
        <is>
          <t>Closed</t>
        </is>
      </c>
      <c r="E440" s="297" t="n">
        <v>46003</v>
      </c>
      <c r="F440" s="297" t="n">
        <v>46216</v>
      </c>
      <c r="G440" t="n">
        <v>3</v>
      </c>
      <c r="H440" t="inlineStr">
        <is>
          <t>5812</t>
        </is>
      </c>
      <c r="I440" t="inlineStr">
        <is>
          <t>58</t>
        </is>
      </c>
      <c r="J440" t="inlineStr">
        <is>
          <t>TX</t>
        </is>
      </c>
      <c r="K440" t="inlineStr">
        <is>
          <t>Westwood</t>
        </is>
      </c>
      <c r="L440" t="inlineStr">
        <is>
          <t>New Deal</t>
        </is>
      </c>
      <c r="M440" s="298" t="n">
        <v>1.37</v>
      </c>
      <c r="N440" s="299" t="n">
        <v>22000</v>
      </c>
      <c r="O440" s="299" t="n">
        <v>1760</v>
      </c>
      <c r="P440" s="299" t="n">
        <v>30140</v>
      </c>
      <c r="Q440" s="299" t="n">
        <v>30140</v>
      </c>
      <c r="R440" s="299" t="n">
        <v>3.63797880709171e-12</v>
      </c>
      <c r="S440" s="300" t="n">
        <v>1</v>
      </c>
      <c r="T440" t="n">
        <v>2.623</v>
      </c>
      <c r="U440" t="n">
        <v>10</v>
      </c>
      <c r="V440" t="n">
        <v>62114.87</v>
      </c>
      <c r="W440" s="300" t="n">
        <v>0.1274</v>
      </c>
      <c r="X440" s="297" t="n">
        <v>40625</v>
      </c>
      <c r="Y440">
        <f>IF(I440="","No SIC",IFERROR(VLOOKUP(I440,Ref!$A$2:$B$65,2,FALSE),"Unclassified"))</f>
        <v/>
      </c>
      <c r="Z440">
        <f>IF(T440="","",IF(T440&lt;12,"Daily","Weekly"))</f>
        <v/>
      </c>
      <c r="AA440">
        <f>IF(T440="",0,IF(T440&lt;12,T440*Controls!$B$29,T440*5))</f>
        <v/>
      </c>
      <c r="AB440">
        <f>IF(E440="",0,NETWORKDAYS(E440,Controls!$B$36,Ref!$K$2:$K$42))</f>
        <v/>
      </c>
      <c r="AC440">
        <f>IF(AND(AA440&gt;0,AB440&gt;=Controls!$B$39*AA440),1,0)</f>
        <v/>
      </c>
      <c r="AD440">
        <f>IF(AND(E440&lt;&gt;"",E440&gt;=Controls!$B$37,E440&lt;=Controls!$B$38),1,0)</f>
        <v/>
      </c>
      <c r="AE440">
        <f>IF(IFERROR(VLOOKUP(D440,Controls!$A$64:$E$74,2,FALSE),"No")="Yes",1,0)</f>
        <v/>
      </c>
      <c r="AF440">
        <f>IF(IFERROR(VLOOKUP(D440,Controls!$A$64:$E$74,3,FALSE),"No")="Yes",1,0)</f>
        <v/>
      </c>
      <c r="AG440">
        <f>IF(IFERROR(VLOOKUP(D440,Controls!$A$64:$E$74,4,FALSE),"No")="Yes",1,0)</f>
        <v/>
      </c>
      <c r="AH440">
        <f>IF(IFERROR(VLOOKUP(D440,Controls!$A$64:$E$74,5,FALSE),"No")="Yes",1,0)</f>
        <v/>
      </c>
      <c r="AI440">
        <f>IF(ISNUMBER(MATCH(D440,Controls!$A$64:$A$74,0)),1,0)</f>
        <v/>
      </c>
      <c r="AJ440">
        <f>Q440-N440</f>
        <v/>
      </c>
      <c r="AK440">
        <f>IF(AE440=1,MAX(0,N440-Q440),0)</f>
        <v/>
      </c>
      <c r="AL440">
        <f>IF(OR(V440="",V440=0),0,N440/V440)</f>
        <v/>
      </c>
      <c r="AM440">
        <f>IF(OR(V440="",V440=0),0,1)</f>
        <v/>
      </c>
      <c r="AN440">
        <f>IF(OR(E440="",F440=""),0,NETWORKDAYS(E440,F440,Ref!$K$2:$K$42))</f>
        <v/>
      </c>
      <c r="AO440">
        <f>IF(L440="Renewal",1,0)</f>
        <v/>
      </c>
      <c r="AP440">
        <f>AC440*AD440</f>
        <v/>
      </c>
      <c r="AQ440">
        <f>IF(AND(G440&lt;&gt;"",'Historical Score'!$C$6&lt;&gt;""),IF(G440='Historical Score'!$C$6,1,0),0)</f>
        <v/>
      </c>
      <c r="AR440">
        <f>IF(AND(L440&lt;&gt;"",'Historical Score'!$C$5&lt;&gt;""),IF(L440='Historical Score'!$C$5,1,0),0)</f>
        <v/>
      </c>
      <c r="AS440">
        <f>IF(AND(Y440&lt;&gt;"",'Historical Score'!$C$7&lt;&gt;""),IF(Y440='Historical Score'!$C$7,1,0),0)</f>
        <v/>
      </c>
      <c r="AT440">
        <f>IF(AND(K440&lt;&gt;"",'Historical Score'!$C$8&lt;&gt;""),IF(K440='Historical Score'!$C$8,1,0),0)</f>
        <v/>
      </c>
      <c r="AU440">
        <f>IF(AND(J440&lt;&gt;"",'Historical Score'!$C$9&lt;&gt;""),IF(J440='Historical Score'!$C$9,1,0),0)</f>
        <v/>
      </c>
      <c r="AV440">
        <f>AR440*AS440*AQ440</f>
        <v/>
      </c>
      <c r="AW440">
        <f>AR440*AT440*AQ440</f>
        <v/>
      </c>
      <c r="AX440">
        <f>AR440*AS440</f>
        <v/>
      </c>
      <c r="AY440">
        <f>AR440*AT440</f>
        <v/>
      </c>
      <c r="AZ440">
        <f>AR440*AQ440</f>
        <v/>
      </c>
      <c r="BA440">
        <f>AR440</f>
        <v/>
      </c>
      <c r="BB440">
        <f>1</f>
        <v/>
      </c>
      <c r="BC440">
        <f>IF(AV440=1,1,IF(AW440=1,2,IF(AX440=1,3,IF(AY440=1,4,IF(AZ440=1,5,IF(BA440=1,6,7))))))</f>
        <v/>
      </c>
      <c r="BD440">
        <f>IF(AD440=1,CHOOSE('Historical Score'!$C$29,AV440,AW440,AX440,AY440,AZ440,BA440,BB440),0)</f>
        <v/>
      </c>
      <c r="BE440">
        <f>IF(BD440=1,COUNTIF($BD$2:BD440,1),"")</f>
        <v/>
      </c>
    </row>
    <row r="441">
      <c r="A441" t="inlineStr">
        <is>
          <t>5674174240</t>
        </is>
      </c>
      <c r="B441" t="inlineStr">
        <is>
          <t>CAROL &amp; COMPANY LLC</t>
        </is>
      </c>
      <c r="C441" t="inlineStr">
        <is>
          <t>CAROL &amp; COMPANY LLC</t>
        </is>
      </c>
      <c r="D441" t="inlineStr">
        <is>
          <t>Legal</t>
        </is>
      </c>
      <c r="E441" s="297" t="n">
        <v>46006</v>
      </c>
      <c r="F441" s="297" t="n">
        <v>46234</v>
      </c>
      <c r="G441" t="n">
        <v>4</v>
      </c>
      <c r="H441" t="inlineStr">
        <is>
          <t>5399</t>
        </is>
      </c>
      <c r="I441" t="inlineStr">
        <is>
          <t>53</t>
        </is>
      </c>
      <c r="J441" t="inlineStr">
        <is>
          <t>FL</t>
        </is>
      </c>
      <c r="K441" t="inlineStr">
        <is>
          <t>PMF</t>
        </is>
      </c>
      <c r="L441" t="inlineStr">
        <is>
          <t>New Deal</t>
        </is>
      </c>
      <c r="M441" s="298" t="n">
        <v>1.5</v>
      </c>
      <c r="N441" s="299" t="n">
        <v>15000</v>
      </c>
      <c r="O441" s="299" t="n">
        <v>2100</v>
      </c>
      <c r="P441" s="299" t="n">
        <v>22500</v>
      </c>
      <c r="Q441" s="299" t="n">
        <v>7080.48</v>
      </c>
      <c r="R441" s="299" t="n">
        <v>15419.52</v>
      </c>
      <c r="S441" s="300" t="n">
        <v>0.314688</v>
      </c>
      <c r="T441" t="n">
        <v>2.787</v>
      </c>
      <c r="U441" t="n">
        <v>40</v>
      </c>
      <c r="V441" t="n">
        <v>45042.55</v>
      </c>
      <c r="W441" s="300" t="n">
        <v>0.1226</v>
      </c>
      <c r="X441" s="297" t="n">
        <v>44652</v>
      </c>
      <c r="Y441">
        <f>IF(I441="","No SIC",IFERROR(VLOOKUP(I441,Ref!$A$2:$B$65,2,FALSE),"Unclassified"))</f>
        <v/>
      </c>
      <c r="Z441">
        <f>IF(T441="","",IF(T441&lt;12,"Daily","Weekly"))</f>
        <v/>
      </c>
      <c r="AA441">
        <f>IF(T441="",0,IF(T441&lt;12,T441*Controls!$B$29,T441*5))</f>
        <v/>
      </c>
      <c r="AB441">
        <f>IF(E441="",0,NETWORKDAYS(E441,Controls!$B$36,Ref!$K$2:$K$42))</f>
        <v/>
      </c>
      <c r="AC441">
        <f>IF(AND(AA441&gt;0,AB441&gt;=Controls!$B$39*AA441),1,0)</f>
        <v/>
      </c>
      <c r="AD441">
        <f>IF(AND(E441&lt;&gt;"",E441&gt;=Controls!$B$37,E441&lt;=Controls!$B$38),1,0)</f>
        <v/>
      </c>
      <c r="AE441">
        <f>IF(IFERROR(VLOOKUP(D441,Controls!$A$64:$E$74,2,FALSE),"No")="Yes",1,0)</f>
        <v/>
      </c>
      <c r="AF441">
        <f>IF(IFERROR(VLOOKUP(D441,Controls!$A$64:$E$74,3,FALSE),"No")="Yes",1,0)</f>
        <v/>
      </c>
      <c r="AG441">
        <f>IF(IFERROR(VLOOKUP(D441,Controls!$A$64:$E$74,4,FALSE),"No")="Yes",1,0)</f>
        <v/>
      </c>
      <c r="AH441">
        <f>IF(IFERROR(VLOOKUP(D441,Controls!$A$64:$E$74,5,FALSE),"No")="Yes",1,0)</f>
        <v/>
      </c>
      <c r="AI441">
        <f>IF(ISNUMBER(MATCH(D441,Controls!$A$64:$A$74,0)),1,0)</f>
        <v/>
      </c>
      <c r="AJ441">
        <f>Q441-N441</f>
        <v/>
      </c>
      <c r="AK441">
        <f>IF(AE441=1,MAX(0,N441-Q441),0)</f>
        <v/>
      </c>
      <c r="AL441">
        <f>IF(OR(V441="",V441=0),0,N441/V441)</f>
        <v/>
      </c>
      <c r="AM441">
        <f>IF(OR(V441="",V441=0),0,1)</f>
        <v/>
      </c>
      <c r="AN441">
        <f>IF(OR(E441="",F441=""),0,NETWORKDAYS(E441,F441,Ref!$K$2:$K$42))</f>
        <v/>
      </c>
      <c r="AO441">
        <f>IF(L441="Renewal",1,0)</f>
        <v/>
      </c>
      <c r="AP441">
        <f>AC441*AD441</f>
        <v/>
      </c>
      <c r="AQ441">
        <f>IF(AND(G441&lt;&gt;"",'Historical Score'!$C$6&lt;&gt;""),IF(G441='Historical Score'!$C$6,1,0),0)</f>
        <v/>
      </c>
      <c r="AR441">
        <f>IF(AND(L441&lt;&gt;"",'Historical Score'!$C$5&lt;&gt;""),IF(L441='Historical Score'!$C$5,1,0),0)</f>
        <v/>
      </c>
      <c r="AS441">
        <f>IF(AND(Y441&lt;&gt;"",'Historical Score'!$C$7&lt;&gt;""),IF(Y441='Historical Score'!$C$7,1,0),0)</f>
        <v/>
      </c>
      <c r="AT441">
        <f>IF(AND(K441&lt;&gt;"",'Historical Score'!$C$8&lt;&gt;""),IF(K441='Historical Score'!$C$8,1,0),0)</f>
        <v/>
      </c>
      <c r="AU441">
        <f>IF(AND(J441&lt;&gt;"",'Historical Score'!$C$9&lt;&gt;""),IF(J441='Historical Score'!$C$9,1,0),0)</f>
        <v/>
      </c>
      <c r="AV441">
        <f>AR441*AS441*AQ441</f>
        <v/>
      </c>
      <c r="AW441">
        <f>AR441*AT441*AQ441</f>
        <v/>
      </c>
      <c r="AX441">
        <f>AR441*AS441</f>
        <v/>
      </c>
      <c r="AY441">
        <f>AR441*AT441</f>
        <v/>
      </c>
      <c r="AZ441">
        <f>AR441*AQ441</f>
        <v/>
      </c>
      <c r="BA441">
        <f>AR441</f>
        <v/>
      </c>
      <c r="BB441">
        <f>1</f>
        <v/>
      </c>
      <c r="BC441">
        <f>IF(AV441=1,1,IF(AW441=1,2,IF(AX441=1,3,IF(AY441=1,4,IF(AZ441=1,5,IF(BA441=1,6,7))))))</f>
        <v/>
      </c>
      <c r="BD441">
        <f>IF(AD441=1,CHOOSE('Historical Score'!$C$29,AV441,AW441,AX441,AY441,AZ441,BA441,BB441),0)</f>
        <v/>
      </c>
      <c r="BE441">
        <f>IF(BD441=1,COUNTIF($BD$2:BD441,1),"")</f>
        <v/>
      </c>
    </row>
    <row r="442">
      <c r="A442" t="inlineStr">
        <is>
          <t>5674174299</t>
        </is>
      </c>
      <c r="B442" t="inlineStr">
        <is>
          <t>pivotal key</t>
        </is>
      </c>
      <c r="C442" t="inlineStr">
        <is>
          <t>PIVOTAL KEY, LLC</t>
        </is>
      </c>
      <c r="D442" t="inlineStr">
        <is>
          <t>Closed</t>
        </is>
      </c>
      <c r="E442" s="297" t="n">
        <v>46006</v>
      </c>
      <c r="F442" s="297" t="n">
        <v>46125</v>
      </c>
      <c r="G442" t="n">
        <v>3</v>
      </c>
      <c r="H442" t="inlineStr">
        <is>
          <t>6311</t>
        </is>
      </c>
      <c r="I442" t="inlineStr">
        <is>
          <t>63</t>
        </is>
      </c>
      <c r="J442" t="inlineStr">
        <is>
          <t>FL</t>
        </is>
      </c>
      <c r="K442" t="inlineStr">
        <is>
          <t>Fundwell</t>
        </is>
      </c>
      <c r="L442" t="inlineStr">
        <is>
          <t>New Deal</t>
        </is>
      </c>
      <c r="M442" s="298" t="n">
        <v>1.41</v>
      </c>
      <c r="N442" s="299" t="n">
        <v>17000</v>
      </c>
      <c r="O442" s="299" t="n">
        <v>2295</v>
      </c>
      <c r="P442" s="299" t="n">
        <v>23970</v>
      </c>
      <c r="Q442" s="299" t="n">
        <v>23970</v>
      </c>
      <c r="R442" s="299" t="n">
        <v>0</v>
      </c>
      <c r="S442" s="300" t="n">
        <v>1</v>
      </c>
      <c r="T442" t="n">
        <v>24</v>
      </c>
      <c r="U442" t="n">
        <v>0</v>
      </c>
      <c r="V442" t="n">
        <v>133410.6</v>
      </c>
      <c r="W442" s="300" t="n">
        <v>0.0299</v>
      </c>
      <c r="X442" s="297" t="n">
        <v>42340</v>
      </c>
      <c r="Y442">
        <f>IF(I442="","No SIC",IFERROR(VLOOKUP(I442,Ref!$A$2:$B$65,2,FALSE),"Unclassified"))</f>
        <v/>
      </c>
      <c r="Z442">
        <f>IF(T442="","",IF(T442&lt;12,"Daily","Weekly"))</f>
        <v/>
      </c>
      <c r="AA442">
        <f>IF(T442="",0,IF(T442&lt;12,T442*Controls!$B$29,T442*5))</f>
        <v/>
      </c>
      <c r="AB442">
        <f>IF(E442="",0,NETWORKDAYS(E442,Controls!$B$36,Ref!$K$2:$K$42))</f>
        <v/>
      </c>
      <c r="AC442">
        <f>IF(AND(AA442&gt;0,AB442&gt;=Controls!$B$39*AA442),1,0)</f>
        <v/>
      </c>
      <c r="AD442">
        <f>IF(AND(E442&lt;&gt;"",E442&gt;=Controls!$B$37,E442&lt;=Controls!$B$38),1,0)</f>
        <v/>
      </c>
      <c r="AE442">
        <f>IF(IFERROR(VLOOKUP(D442,Controls!$A$64:$E$74,2,FALSE),"No")="Yes",1,0)</f>
        <v/>
      </c>
      <c r="AF442">
        <f>IF(IFERROR(VLOOKUP(D442,Controls!$A$64:$E$74,3,FALSE),"No")="Yes",1,0)</f>
        <v/>
      </c>
      <c r="AG442">
        <f>IF(IFERROR(VLOOKUP(D442,Controls!$A$64:$E$74,4,FALSE),"No")="Yes",1,0)</f>
        <v/>
      </c>
      <c r="AH442">
        <f>IF(IFERROR(VLOOKUP(D442,Controls!$A$64:$E$74,5,FALSE),"No")="Yes",1,0)</f>
        <v/>
      </c>
      <c r="AI442">
        <f>IF(ISNUMBER(MATCH(D442,Controls!$A$64:$A$74,0)),1,0)</f>
        <v/>
      </c>
      <c r="AJ442">
        <f>Q442-N442</f>
        <v/>
      </c>
      <c r="AK442">
        <f>IF(AE442=1,MAX(0,N442-Q442),0)</f>
        <v/>
      </c>
      <c r="AL442">
        <f>IF(OR(V442="",V442=0),0,N442/V442)</f>
        <v/>
      </c>
      <c r="AM442">
        <f>IF(OR(V442="",V442=0),0,1)</f>
        <v/>
      </c>
      <c r="AN442">
        <f>IF(OR(E442="",F442=""),0,NETWORKDAYS(E442,F442,Ref!$K$2:$K$42))</f>
        <v/>
      </c>
      <c r="AO442">
        <f>IF(L442="Renewal",1,0)</f>
        <v/>
      </c>
      <c r="AP442">
        <f>AC442*AD442</f>
        <v/>
      </c>
      <c r="AQ442">
        <f>IF(AND(G442&lt;&gt;"",'Historical Score'!$C$6&lt;&gt;""),IF(G442='Historical Score'!$C$6,1,0),0)</f>
        <v/>
      </c>
      <c r="AR442">
        <f>IF(AND(L442&lt;&gt;"",'Historical Score'!$C$5&lt;&gt;""),IF(L442='Historical Score'!$C$5,1,0),0)</f>
        <v/>
      </c>
      <c r="AS442">
        <f>IF(AND(Y442&lt;&gt;"",'Historical Score'!$C$7&lt;&gt;""),IF(Y442='Historical Score'!$C$7,1,0),0)</f>
        <v/>
      </c>
      <c r="AT442">
        <f>IF(AND(K442&lt;&gt;"",'Historical Score'!$C$8&lt;&gt;""),IF(K442='Historical Score'!$C$8,1,0),0)</f>
        <v/>
      </c>
      <c r="AU442">
        <f>IF(AND(J442&lt;&gt;"",'Historical Score'!$C$9&lt;&gt;""),IF(J442='Historical Score'!$C$9,1,0),0)</f>
        <v/>
      </c>
      <c r="AV442">
        <f>AR442*AS442*AQ442</f>
        <v/>
      </c>
      <c r="AW442">
        <f>AR442*AT442*AQ442</f>
        <v/>
      </c>
      <c r="AX442">
        <f>AR442*AS442</f>
        <v/>
      </c>
      <c r="AY442">
        <f>AR442*AT442</f>
        <v/>
      </c>
      <c r="AZ442">
        <f>AR442*AQ442</f>
        <v/>
      </c>
      <c r="BA442">
        <f>AR442</f>
        <v/>
      </c>
      <c r="BB442">
        <f>1</f>
        <v/>
      </c>
      <c r="BC442">
        <f>IF(AV442=1,1,IF(AW442=1,2,IF(AX442=1,3,IF(AY442=1,4,IF(AZ442=1,5,IF(BA442=1,6,7))))))</f>
        <v/>
      </c>
      <c r="BD442">
        <f>IF(AD442=1,CHOOSE('Historical Score'!$C$29,AV442,AW442,AX442,AY442,AZ442,BA442,BB442),0)</f>
        <v/>
      </c>
      <c r="BE442">
        <f>IF(BD442=1,COUNTIF($BD$2:BD442,1),"")</f>
        <v/>
      </c>
    </row>
    <row r="443">
      <c r="A443" t="inlineStr">
        <is>
          <t>5674174308</t>
        </is>
      </c>
      <c r="B443" t="inlineStr">
        <is>
          <t>America's Best Vacuum LLC</t>
        </is>
      </c>
      <c r="C443" t="inlineStr">
        <is>
          <t>America's Best Vacuum LLC</t>
        </is>
      </c>
      <c r="D443" t="inlineStr">
        <is>
          <t>Closed</t>
        </is>
      </c>
      <c r="E443" s="297" t="n">
        <v>46006</v>
      </c>
      <c r="F443" s="297" t="n">
        <v>46122</v>
      </c>
      <c r="G443" t="n">
        <v>5</v>
      </c>
      <c r="H443" t="inlineStr">
        <is>
          <t>5999</t>
        </is>
      </c>
      <c r="I443" t="inlineStr">
        <is>
          <t>59</t>
        </is>
      </c>
      <c r="J443" t="inlineStr">
        <is>
          <t>TX</t>
        </is>
      </c>
      <c r="K443" t="inlineStr">
        <is>
          <t>Westwood</t>
        </is>
      </c>
      <c r="L443" t="inlineStr">
        <is>
          <t>New Deal</t>
        </is>
      </c>
      <c r="M443" s="298" t="n">
        <v>1.5</v>
      </c>
      <c r="N443" s="299" t="n">
        <v>20000</v>
      </c>
      <c r="O443" s="299" t="n">
        <v>2800</v>
      </c>
      <c r="P443" s="299" t="n">
        <v>30000</v>
      </c>
      <c r="Q443" s="299" t="n">
        <v>30000</v>
      </c>
      <c r="R443" s="299" t="n">
        <v>0</v>
      </c>
      <c r="S443" s="300" t="n">
        <v>1</v>
      </c>
      <c r="T443" t="n">
        <v>2.623</v>
      </c>
      <c r="U443" t="n">
        <v>0</v>
      </c>
      <c r="V443" t="n">
        <v>98681.22</v>
      </c>
      <c r="W443" s="300" t="n">
        <v>0.0793</v>
      </c>
      <c r="X443" s="297" t="n">
        <v>36739</v>
      </c>
      <c r="Y443">
        <f>IF(I443="","No SIC",IFERROR(VLOOKUP(I443,Ref!$A$2:$B$65,2,FALSE),"Unclassified"))</f>
        <v/>
      </c>
      <c r="Z443">
        <f>IF(T443="","",IF(T443&lt;12,"Daily","Weekly"))</f>
        <v/>
      </c>
      <c r="AA443">
        <f>IF(T443="",0,IF(T443&lt;12,T443*Controls!$B$29,T443*5))</f>
        <v/>
      </c>
      <c r="AB443">
        <f>IF(E443="",0,NETWORKDAYS(E443,Controls!$B$36,Ref!$K$2:$K$42))</f>
        <v/>
      </c>
      <c r="AC443">
        <f>IF(AND(AA443&gt;0,AB443&gt;=Controls!$B$39*AA443),1,0)</f>
        <v/>
      </c>
      <c r="AD443">
        <f>IF(AND(E443&lt;&gt;"",E443&gt;=Controls!$B$37,E443&lt;=Controls!$B$38),1,0)</f>
        <v/>
      </c>
      <c r="AE443">
        <f>IF(IFERROR(VLOOKUP(D443,Controls!$A$64:$E$74,2,FALSE),"No")="Yes",1,0)</f>
        <v/>
      </c>
      <c r="AF443">
        <f>IF(IFERROR(VLOOKUP(D443,Controls!$A$64:$E$74,3,FALSE),"No")="Yes",1,0)</f>
        <v/>
      </c>
      <c r="AG443">
        <f>IF(IFERROR(VLOOKUP(D443,Controls!$A$64:$E$74,4,FALSE),"No")="Yes",1,0)</f>
        <v/>
      </c>
      <c r="AH443">
        <f>IF(IFERROR(VLOOKUP(D443,Controls!$A$64:$E$74,5,FALSE),"No")="Yes",1,0)</f>
        <v/>
      </c>
      <c r="AI443">
        <f>IF(ISNUMBER(MATCH(D443,Controls!$A$64:$A$74,0)),1,0)</f>
        <v/>
      </c>
      <c r="AJ443">
        <f>Q443-N443</f>
        <v/>
      </c>
      <c r="AK443">
        <f>IF(AE443=1,MAX(0,N443-Q443),0)</f>
        <v/>
      </c>
      <c r="AL443">
        <f>IF(OR(V443="",V443=0),0,N443/V443)</f>
        <v/>
      </c>
      <c r="AM443">
        <f>IF(OR(V443="",V443=0),0,1)</f>
        <v/>
      </c>
      <c r="AN443">
        <f>IF(OR(E443="",F443=""),0,NETWORKDAYS(E443,F443,Ref!$K$2:$K$42))</f>
        <v/>
      </c>
      <c r="AO443">
        <f>IF(L443="Renewal",1,0)</f>
        <v/>
      </c>
      <c r="AP443">
        <f>AC443*AD443</f>
        <v/>
      </c>
      <c r="AQ443">
        <f>IF(AND(G443&lt;&gt;"",'Historical Score'!$C$6&lt;&gt;""),IF(G443='Historical Score'!$C$6,1,0),0)</f>
        <v/>
      </c>
      <c r="AR443">
        <f>IF(AND(L443&lt;&gt;"",'Historical Score'!$C$5&lt;&gt;""),IF(L443='Historical Score'!$C$5,1,0),0)</f>
        <v/>
      </c>
      <c r="AS443">
        <f>IF(AND(Y443&lt;&gt;"",'Historical Score'!$C$7&lt;&gt;""),IF(Y443='Historical Score'!$C$7,1,0),0)</f>
        <v/>
      </c>
      <c r="AT443">
        <f>IF(AND(K443&lt;&gt;"",'Historical Score'!$C$8&lt;&gt;""),IF(K443='Historical Score'!$C$8,1,0),0)</f>
        <v/>
      </c>
      <c r="AU443">
        <f>IF(AND(J443&lt;&gt;"",'Historical Score'!$C$9&lt;&gt;""),IF(J443='Historical Score'!$C$9,1,0),0)</f>
        <v/>
      </c>
      <c r="AV443">
        <f>AR443*AS443*AQ443</f>
        <v/>
      </c>
      <c r="AW443">
        <f>AR443*AT443*AQ443</f>
        <v/>
      </c>
      <c r="AX443">
        <f>AR443*AS443</f>
        <v/>
      </c>
      <c r="AY443">
        <f>AR443*AT443</f>
        <v/>
      </c>
      <c r="AZ443">
        <f>AR443*AQ443</f>
        <v/>
      </c>
      <c r="BA443">
        <f>AR443</f>
        <v/>
      </c>
      <c r="BB443">
        <f>1</f>
        <v/>
      </c>
      <c r="BC443">
        <f>IF(AV443=1,1,IF(AW443=1,2,IF(AX443=1,3,IF(AY443=1,4,IF(AZ443=1,5,IF(BA443=1,6,7))))))</f>
        <v/>
      </c>
      <c r="BD443">
        <f>IF(AD443=1,CHOOSE('Historical Score'!$C$29,AV443,AW443,AX443,AY443,AZ443,BA443,BB443),0)</f>
        <v/>
      </c>
      <c r="BE443">
        <f>IF(BD443=1,COUNTIF($BD$2:BD443,1),"")</f>
        <v/>
      </c>
    </row>
    <row r="444">
      <c r="A444" t="inlineStr">
        <is>
          <t>5674174336</t>
        </is>
      </c>
      <c r="B444" t="inlineStr">
        <is>
          <t>SOUTH CITY SHOP LLC</t>
        </is>
      </c>
      <c r="C444" t="inlineStr">
        <is>
          <t>SOUTH CITY SHOP LLC</t>
        </is>
      </c>
      <c r="D444" t="inlineStr">
        <is>
          <t>Closed</t>
        </is>
      </c>
      <c r="E444" s="297" t="n">
        <v>46007</v>
      </c>
      <c r="F444" s="297" t="n">
        <v>46169</v>
      </c>
      <c r="G444" t="n">
        <v>2</v>
      </c>
      <c r="H444" t="inlineStr">
        <is>
          <t>5399</t>
        </is>
      </c>
      <c r="I444" t="inlineStr">
        <is>
          <t>53</t>
        </is>
      </c>
      <c r="J444" t="inlineStr">
        <is>
          <t>GA</t>
        </is>
      </c>
      <c r="K444" t="inlineStr">
        <is>
          <t>Llama Loan</t>
        </is>
      </c>
      <c r="L444" t="inlineStr">
        <is>
          <t>New Deal</t>
        </is>
      </c>
      <c r="M444" s="298" t="n">
        <v>1.35</v>
      </c>
      <c r="N444" s="299" t="n">
        <v>7000</v>
      </c>
      <c r="O444" s="299" t="n">
        <v>490</v>
      </c>
      <c r="P444" s="299" t="n">
        <v>9450</v>
      </c>
      <c r="Q444" s="299" t="n">
        <v>9450</v>
      </c>
      <c r="R444" s="299" t="n">
        <v>0</v>
      </c>
      <c r="S444" s="300" t="n">
        <v>1</v>
      </c>
      <c r="T444" t="n">
        <v>3.607</v>
      </c>
      <c r="U444" t="n">
        <v>1</v>
      </c>
      <c r="V444" t="n">
        <v>23892.05</v>
      </c>
      <c r="W444" s="300" t="n">
        <v>0.0755</v>
      </c>
      <c r="X444" s="297" t="n">
        <v>44520</v>
      </c>
      <c r="Y444">
        <f>IF(I444="","No SIC",IFERROR(VLOOKUP(I444,Ref!$A$2:$B$65,2,FALSE),"Unclassified"))</f>
        <v/>
      </c>
      <c r="Z444">
        <f>IF(T444="","",IF(T444&lt;12,"Daily","Weekly"))</f>
        <v/>
      </c>
      <c r="AA444">
        <f>IF(T444="",0,IF(T444&lt;12,T444*Controls!$B$29,T444*5))</f>
        <v/>
      </c>
      <c r="AB444">
        <f>IF(E444="",0,NETWORKDAYS(E444,Controls!$B$36,Ref!$K$2:$K$42))</f>
        <v/>
      </c>
      <c r="AC444">
        <f>IF(AND(AA444&gt;0,AB444&gt;=Controls!$B$39*AA444),1,0)</f>
        <v/>
      </c>
      <c r="AD444">
        <f>IF(AND(E444&lt;&gt;"",E444&gt;=Controls!$B$37,E444&lt;=Controls!$B$38),1,0)</f>
        <v/>
      </c>
      <c r="AE444">
        <f>IF(IFERROR(VLOOKUP(D444,Controls!$A$64:$E$74,2,FALSE),"No")="Yes",1,0)</f>
        <v/>
      </c>
      <c r="AF444">
        <f>IF(IFERROR(VLOOKUP(D444,Controls!$A$64:$E$74,3,FALSE),"No")="Yes",1,0)</f>
        <v/>
      </c>
      <c r="AG444">
        <f>IF(IFERROR(VLOOKUP(D444,Controls!$A$64:$E$74,4,FALSE),"No")="Yes",1,0)</f>
        <v/>
      </c>
      <c r="AH444">
        <f>IF(IFERROR(VLOOKUP(D444,Controls!$A$64:$E$74,5,FALSE),"No")="Yes",1,0)</f>
        <v/>
      </c>
      <c r="AI444">
        <f>IF(ISNUMBER(MATCH(D444,Controls!$A$64:$A$74,0)),1,0)</f>
        <v/>
      </c>
      <c r="AJ444">
        <f>Q444-N444</f>
        <v/>
      </c>
      <c r="AK444">
        <f>IF(AE444=1,MAX(0,N444-Q444),0)</f>
        <v/>
      </c>
      <c r="AL444">
        <f>IF(OR(V444="",V444=0),0,N444/V444)</f>
        <v/>
      </c>
      <c r="AM444">
        <f>IF(OR(V444="",V444=0),0,1)</f>
        <v/>
      </c>
      <c r="AN444">
        <f>IF(OR(E444="",F444=""),0,NETWORKDAYS(E444,F444,Ref!$K$2:$K$42))</f>
        <v/>
      </c>
      <c r="AO444">
        <f>IF(L444="Renewal",1,0)</f>
        <v/>
      </c>
      <c r="AP444">
        <f>AC444*AD444</f>
        <v/>
      </c>
      <c r="AQ444">
        <f>IF(AND(G444&lt;&gt;"",'Historical Score'!$C$6&lt;&gt;""),IF(G444='Historical Score'!$C$6,1,0),0)</f>
        <v/>
      </c>
      <c r="AR444">
        <f>IF(AND(L444&lt;&gt;"",'Historical Score'!$C$5&lt;&gt;""),IF(L444='Historical Score'!$C$5,1,0),0)</f>
        <v/>
      </c>
      <c r="AS444">
        <f>IF(AND(Y444&lt;&gt;"",'Historical Score'!$C$7&lt;&gt;""),IF(Y444='Historical Score'!$C$7,1,0),0)</f>
        <v/>
      </c>
      <c r="AT444">
        <f>IF(AND(K444&lt;&gt;"",'Historical Score'!$C$8&lt;&gt;""),IF(K444='Historical Score'!$C$8,1,0),0)</f>
        <v/>
      </c>
      <c r="AU444">
        <f>IF(AND(J444&lt;&gt;"",'Historical Score'!$C$9&lt;&gt;""),IF(J444='Historical Score'!$C$9,1,0),0)</f>
        <v/>
      </c>
      <c r="AV444">
        <f>AR444*AS444*AQ444</f>
        <v/>
      </c>
      <c r="AW444">
        <f>AR444*AT444*AQ444</f>
        <v/>
      </c>
      <c r="AX444">
        <f>AR444*AS444</f>
        <v/>
      </c>
      <c r="AY444">
        <f>AR444*AT444</f>
        <v/>
      </c>
      <c r="AZ444">
        <f>AR444*AQ444</f>
        <v/>
      </c>
      <c r="BA444">
        <f>AR444</f>
        <v/>
      </c>
      <c r="BB444">
        <f>1</f>
        <v/>
      </c>
      <c r="BC444">
        <f>IF(AV444=1,1,IF(AW444=1,2,IF(AX444=1,3,IF(AY444=1,4,IF(AZ444=1,5,IF(BA444=1,6,7))))))</f>
        <v/>
      </c>
      <c r="BD444">
        <f>IF(AD444=1,CHOOSE('Historical Score'!$C$29,AV444,AW444,AX444,AY444,AZ444,BA444,BB444),0)</f>
        <v/>
      </c>
      <c r="BE444">
        <f>IF(BD444=1,COUNTIF($BD$2:BD444,1),"")</f>
        <v/>
      </c>
    </row>
    <row r="445">
      <c r="A445" t="inlineStr">
        <is>
          <t>5674174341</t>
        </is>
      </c>
      <c r="B445" t="inlineStr">
        <is>
          <t>Triple D Financial Inc</t>
        </is>
      </c>
      <c r="C445" t="inlineStr">
        <is>
          <t>Triple D Financial Inc</t>
        </is>
      </c>
      <c r="D445" t="inlineStr">
        <is>
          <t>Closed/NSF</t>
        </is>
      </c>
      <c r="E445" s="297" t="n">
        <v>46007</v>
      </c>
      <c r="F445" s="297" t="n">
        <v>46225</v>
      </c>
      <c r="G445" t="n">
        <v>2</v>
      </c>
      <c r="H445" t="inlineStr">
        <is>
          <t>7291</t>
        </is>
      </c>
      <c r="I445" t="inlineStr">
        <is>
          <t>72</t>
        </is>
      </c>
      <c r="J445" t="inlineStr">
        <is>
          <t>TX</t>
        </is>
      </c>
      <c r="K445" t="inlineStr">
        <is>
          <t>Fundwell</t>
        </is>
      </c>
      <c r="L445" t="inlineStr">
        <is>
          <t>Renewal</t>
        </is>
      </c>
      <c r="M445" s="298" t="n">
        <v>1.41</v>
      </c>
      <c r="N445" s="299" t="n">
        <v>40000</v>
      </c>
      <c r="O445" s="299" t="n">
        <v>5400</v>
      </c>
      <c r="P445" s="299" t="n">
        <v>56400</v>
      </c>
      <c r="Q445" s="299" t="n">
        <v>56400</v>
      </c>
      <c r="R445" s="299" t="n">
        <v>0</v>
      </c>
      <c r="S445" s="300" t="n">
        <v>1</v>
      </c>
      <c r="T445" t="n">
        <v>28</v>
      </c>
      <c r="U445" t="n">
        <v>3</v>
      </c>
      <c r="V445" t="n">
        <v>64826.4</v>
      </c>
      <c r="W445" s="300" t="n">
        <v>0.1726</v>
      </c>
      <c r="X445" s="297" t="n">
        <v>44490</v>
      </c>
      <c r="Y445">
        <f>IF(I445="","No SIC",IFERROR(VLOOKUP(I445,Ref!$A$2:$B$65,2,FALSE),"Unclassified"))</f>
        <v/>
      </c>
      <c r="Z445">
        <f>IF(T445="","",IF(T445&lt;12,"Daily","Weekly"))</f>
        <v/>
      </c>
      <c r="AA445">
        <f>IF(T445="",0,IF(T445&lt;12,T445*Controls!$B$29,T445*5))</f>
        <v/>
      </c>
      <c r="AB445">
        <f>IF(E445="",0,NETWORKDAYS(E445,Controls!$B$36,Ref!$K$2:$K$42))</f>
        <v/>
      </c>
      <c r="AC445">
        <f>IF(AND(AA445&gt;0,AB445&gt;=Controls!$B$39*AA445),1,0)</f>
        <v/>
      </c>
      <c r="AD445">
        <f>IF(AND(E445&lt;&gt;"",E445&gt;=Controls!$B$37,E445&lt;=Controls!$B$38),1,0)</f>
        <v/>
      </c>
      <c r="AE445">
        <f>IF(IFERROR(VLOOKUP(D445,Controls!$A$64:$E$74,2,FALSE),"No")="Yes",1,0)</f>
        <v/>
      </c>
      <c r="AF445">
        <f>IF(IFERROR(VLOOKUP(D445,Controls!$A$64:$E$74,3,FALSE),"No")="Yes",1,0)</f>
        <v/>
      </c>
      <c r="AG445">
        <f>IF(IFERROR(VLOOKUP(D445,Controls!$A$64:$E$74,4,FALSE),"No")="Yes",1,0)</f>
        <v/>
      </c>
      <c r="AH445">
        <f>IF(IFERROR(VLOOKUP(D445,Controls!$A$64:$E$74,5,FALSE),"No")="Yes",1,0)</f>
        <v/>
      </c>
      <c r="AI445">
        <f>IF(ISNUMBER(MATCH(D445,Controls!$A$64:$A$74,0)),1,0)</f>
        <v/>
      </c>
      <c r="AJ445">
        <f>Q445-N445</f>
        <v/>
      </c>
      <c r="AK445">
        <f>IF(AE445=1,MAX(0,N445-Q445),0)</f>
        <v/>
      </c>
      <c r="AL445">
        <f>IF(OR(V445="",V445=0),0,N445/V445)</f>
        <v/>
      </c>
      <c r="AM445">
        <f>IF(OR(V445="",V445=0),0,1)</f>
        <v/>
      </c>
      <c r="AN445">
        <f>IF(OR(E445="",F445=""),0,NETWORKDAYS(E445,F445,Ref!$K$2:$K$42))</f>
        <v/>
      </c>
      <c r="AO445">
        <f>IF(L445="Renewal",1,0)</f>
        <v/>
      </c>
      <c r="AP445">
        <f>AC445*AD445</f>
        <v/>
      </c>
      <c r="AQ445">
        <f>IF(AND(G445&lt;&gt;"",'Historical Score'!$C$6&lt;&gt;""),IF(G445='Historical Score'!$C$6,1,0),0)</f>
        <v/>
      </c>
      <c r="AR445">
        <f>IF(AND(L445&lt;&gt;"",'Historical Score'!$C$5&lt;&gt;""),IF(L445='Historical Score'!$C$5,1,0),0)</f>
        <v/>
      </c>
      <c r="AS445">
        <f>IF(AND(Y445&lt;&gt;"",'Historical Score'!$C$7&lt;&gt;""),IF(Y445='Historical Score'!$C$7,1,0),0)</f>
        <v/>
      </c>
      <c r="AT445">
        <f>IF(AND(K445&lt;&gt;"",'Historical Score'!$C$8&lt;&gt;""),IF(K445='Historical Score'!$C$8,1,0),0)</f>
        <v/>
      </c>
      <c r="AU445">
        <f>IF(AND(J445&lt;&gt;"",'Historical Score'!$C$9&lt;&gt;""),IF(J445='Historical Score'!$C$9,1,0),0)</f>
        <v/>
      </c>
      <c r="AV445">
        <f>AR445*AS445*AQ445</f>
        <v/>
      </c>
      <c r="AW445">
        <f>AR445*AT445*AQ445</f>
        <v/>
      </c>
      <c r="AX445">
        <f>AR445*AS445</f>
        <v/>
      </c>
      <c r="AY445">
        <f>AR445*AT445</f>
        <v/>
      </c>
      <c r="AZ445">
        <f>AR445*AQ445</f>
        <v/>
      </c>
      <c r="BA445">
        <f>AR445</f>
        <v/>
      </c>
      <c r="BB445">
        <f>1</f>
        <v/>
      </c>
      <c r="BC445">
        <f>IF(AV445=1,1,IF(AW445=1,2,IF(AX445=1,3,IF(AY445=1,4,IF(AZ445=1,5,IF(BA445=1,6,7))))))</f>
        <v/>
      </c>
      <c r="BD445">
        <f>IF(AD445=1,CHOOSE('Historical Score'!$C$29,AV445,AW445,AX445,AY445,AZ445,BA445,BB445),0)</f>
        <v/>
      </c>
      <c r="BE445">
        <f>IF(BD445=1,COUNTIF($BD$2:BD445,1),"")</f>
        <v/>
      </c>
    </row>
    <row r="446">
      <c r="A446" t="inlineStr">
        <is>
          <t>5674174352</t>
        </is>
      </c>
      <c r="B446" t="inlineStr">
        <is>
          <t>EVERSAFE</t>
        </is>
      </c>
      <c r="C446" t="inlineStr">
        <is>
          <t>ElderScan LLC</t>
        </is>
      </c>
      <c r="D446" t="inlineStr">
        <is>
          <t>Closed</t>
        </is>
      </c>
      <c r="E446" s="297" t="n">
        <v>46007</v>
      </c>
      <c r="F446" s="297" t="n">
        <v>46098</v>
      </c>
      <c r="G446" t="n">
        <v>5</v>
      </c>
      <c r="H446" t="inlineStr">
        <is>
          <t>7382</t>
        </is>
      </c>
      <c r="I446" t="inlineStr">
        <is>
          <t>73</t>
        </is>
      </c>
      <c r="J446" t="inlineStr">
        <is>
          <t>MD</t>
        </is>
      </c>
      <c r="K446" t="inlineStr">
        <is>
          <t>PMF</t>
        </is>
      </c>
      <c r="L446" t="inlineStr">
        <is>
          <t>Renewal</t>
        </is>
      </c>
      <c r="M446" s="298" t="n">
        <v>1.46</v>
      </c>
      <c r="N446" s="299" t="n">
        <v>60000</v>
      </c>
      <c r="O446" s="299" t="n">
        <v>7200</v>
      </c>
      <c r="P446" s="299" t="n">
        <v>87600</v>
      </c>
      <c r="Q446" s="299" t="n">
        <v>87600</v>
      </c>
      <c r="R446" s="299" t="n">
        <v>0</v>
      </c>
      <c r="S446" s="300" t="n">
        <v>1</v>
      </c>
      <c r="T446" t="n">
        <v>30</v>
      </c>
      <c r="U446" t="n">
        <v>0</v>
      </c>
      <c r="V446" t="n">
        <v>127582.63</v>
      </c>
      <c r="W446" s="300" t="n">
        <v>0.4806</v>
      </c>
      <c r="X446" s="297" t="n">
        <v>40920</v>
      </c>
      <c r="Y446">
        <f>IF(I446="","No SIC",IFERROR(VLOOKUP(I446,Ref!$A$2:$B$65,2,FALSE),"Unclassified"))</f>
        <v/>
      </c>
      <c r="Z446">
        <f>IF(T446="","",IF(T446&lt;12,"Daily","Weekly"))</f>
        <v/>
      </c>
      <c r="AA446">
        <f>IF(T446="",0,IF(T446&lt;12,T446*Controls!$B$29,T446*5))</f>
        <v/>
      </c>
      <c r="AB446">
        <f>IF(E446="",0,NETWORKDAYS(E446,Controls!$B$36,Ref!$K$2:$K$42))</f>
        <v/>
      </c>
      <c r="AC446">
        <f>IF(AND(AA446&gt;0,AB446&gt;=Controls!$B$39*AA446),1,0)</f>
        <v/>
      </c>
      <c r="AD446">
        <f>IF(AND(E446&lt;&gt;"",E446&gt;=Controls!$B$37,E446&lt;=Controls!$B$38),1,0)</f>
        <v/>
      </c>
      <c r="AE446">
        <f>IF(IFERROR(VLOOKUP(D446,Controls!$A$64:$E$74,2,FALSE),"No")="Yes",1,0)</f>
        <v/>
      </c>
      <c r="AF446">
        <f>IF(IFERROR(VLOOKUP(D446,Controls!$A$64:$E$74,3,FALSE),"No")="Yes",1,0)</f>
        <v/>
      </c>
      <c r="AG446">
        <f>IF(IFERROR(VLOOKUP(D446,Controls!$A$64:$E$74,4,FALSE),"No")="Yes",1,0)</f>
        <v/>
      </c>
      <c r="AH446">
        <f>IF(IFERROR(VLOOKUP(D446,Controls!$A$64:$E$74,5,FALSE),"No")="Yes",1,0)</f>
        <v/>
      </c>
      <c r="AI446">
        <f>IF(ISNUMBER(MATCH(D446,Controls!$A$64:$A$74,0)),1,0)</f>
        <v/>
      </c>
      <c r="AJ446">
        <f>Q446-N446</f>
        <v/>
      </c>
      <c r="AK446">
        <f>IF(AE446=1,MAX(0,N446-Q446),0)</f>
        <v/>
      </c>
      <c r="AL446">
        <f>IF(OR(V446="",V446=0),0,N446/V446)</f>
        <v/>
      </c>
      <c r="AM446">
        <f>IF(OR(V446="",V446=0),0,1)</f>
        <v/>
      </c>
      <c r="AN446">
        <f>IF(OR(E446="",F446=""),0,NETWORKDAYS(E446,F446,Ref!$K$2:$K$42))</f>
        <v/>
      </c>
      <c r="AO446">
        <f>IF(L446="Renewal",1,0)</f>
        <v/>
      </c>
      <c r="AP446">
        <f>AC446*AD446</f>
        <v/>
      </c>
      <c r="AQ446">
        <f>IF(AND(G446&lt;&gt;"",'Historical Score'!$C$6&lt;&gt;""),IF(G446='Historical Score'!$C$6,1,0),0)</f>
        <v/>
      </c>
      <c r="AR446">
        <f>IF(AND(L446&lt;&gt;"",'Historical Score'!$C$5&lt;&gt;""),IF(L446='Historical Score'!$C$5,1,0),0)</f>
        <v/>
      </c>
      <c r="AS446">
        <f>IF(AND(Y446&lt;&gt;"",'Historical Score'!$C$7&lt;&gt;""),IF(Y446='Historical Score'!$C$7,1,0),0)</f>
        <v/>
      </c>
      <c r="AT446">
        <f>IF(AND(K446&lt;&gt;"",'Historical Score'!$C$8&lt;&gt;""),IF(K446='Historical Score'!$C$8,1,0),0)</f>
        <v/>
      </c>
      <c r="AU446">
        <f>IF(AND(J446&lt;&gt;"",'Historical Score'!$C$9&lt;&gt;""),IF(J446='Historical Score'!$C$9,1,0),0)</f>
        <v/>
      </c>
      <c r="AV446">
        <f>AR446*AS446*AQ446</f>
        <v/>
      </c>
      <c r="AW446">
        <f>AR446*AT446*AQ446</f>
        <v/>
      </c>
      <c r="AX446">
        <f>AR446*AS446</f>
        <v/>
      </c>
      <c r="AY446">
        <f>AR446*AT446</f>
        <v/>
      </c>
      <c r="AZ446">
        <f>AR446*AQ446</f>
        <v/>
      </c>
      <c r="BA446">
        <f>AR446</f>
        <v/>
      </c>
      <c r="BB446">
        <f>1</f>
        <v/>
      </c>
      <c r="BC446">
        <f>IF(AV446=1,1,IF(AW446=1,2,IF(AX446=1,3,IF(AY446=1,4,IF(AZ446=1,5,IF(BA446=1,6,7))))))</f>
        <v/>
      </c>
      <c r="BD446">
        <f>IF(AD446=1,CHOOSE('Historical Score'!$C$29,AV446,AW446,AX446,AY446,AZ446,BA446,BB446),0)</f>
        <v/>
      </c>
      <c r="BE446">
        <f>IF(BD446=1,COUNTIF($BD$2:BD446,1),"")</f>
        <v/>
      </c>
    </row>
    <row r="447">
      <c r="A447" t="inlineStr">
        <is>
          <t>5674174365</t>
        </is>
      </c>
      <c r="B447" t="inlineStr">
        <is>
          <t>DBA EL TACO LOCO AL VAPOR</t>
        </is>
      </c>
      <c r="C447" t="inlineStr">
        <is>
          <t>DBA EL TACO LOCO AL VAPOR</t>
        </is>
      </c>
      <c r="D447" t="inlineStr">
        <is>
          <t>Closed</t>
        </is>
      </c>
      <c r="E447" s="297" t="n">
        <v>46007</v>
      </c>
      <c r="F447" s="297" t="n">
        <v>46120</v>
      </c>
      <c r="G447" t="n">
        <v>1</v>
      </c>
      <c r="H447" t="inlineStr">
        <is>
          <t>5812</t>
        </is>
      </c>
      <c r="I447" t="inlineStr">
        <is>
          <t>58</t>
        </is>
      </c>
      <c r="J447" t="inlineStr">
        <is>
          <t>TX</t>
        </is>
      </c>
      <c r="K447" t="inlineStr">
        <is>
          <t>Westwood</t>
        </is>
      </c>
      <c r="L447" t="inlineStr">
        <is>
          <t>Renewal</t>
        </is>
      </c>
      <c r="M447" s="298" t="n">
        <v>1.49</v>
      </c>
      <c r="N447" s="299" t="n">
        <v>20000</v>
      </c>
      <c r="O447" s="299" t="n">
        <v>2800</v>
      </c>
      <c r="P447" s="299" t="n">
        <v>29800</v>
      </c>
      <c r="Q447" s="299" t="n">
        <v>29800</v>
      </c>
      <c r="R447" s="299" t="n">
        <v>0</v>
      </c>
      <c r="S447" s="300" t="n">
        <v>1</v>
      </c>
      <c r="T447" t="n">
        <v>3.934</v>
      </c>
      <c r="U447" t="n">
        <v>0</v>
      </c>
      <c r="V447" t="n">
        <v>52000</v>
      </c>
      <c r="W447" s="300" t="n">
        <v>0.1043</v>
      </c>
      <c r="X447" s="297" t="n">
        <v>44977</v>
      </c>
      <c r="Y447">
        <f>IF(I447="","No SIC",IFERROR(VLOOKUP(I447,Ref!$A$2:$B$65,2,FALSE),"Unclassified"))</f>
        <v/>
      </c>
      <c r="Z447">
        <f>IF(T447="","",IF(T447&lt;12,"Daily","Weekly"))</f>
        <v/>
      </c>
      <c r="AA447">
        <f>IF(T447="",0,IF(T447&lt;12,T447*Controls!$B$29,T447*5))</f>
        <v/>
      </c>
      <c r="AB447">
        <f>IF(E447="",0,NETWORKDAYS(E447,Controls!$B$36,Ref!$K$2:$K$42))</f>
        <v/>
      </c>
      <c r="AC447">
        <f>IF(AND(AA447&gt;0,AB447&gt;=Controls!$B$39*AA447),1,0)</f>
        <v/>
      </c>
      <c r="AD447">
        <f>IF(AND(E447&lt;&gt;"",E447&gt;=Controls!$B$37,E447&lt;=Controls!$B$38),1,0)</f>
        <v/>
      </c>
      <c r="AE447">
        <f>IF(IFERROR(VLOOKUP(D447,Controls!$A$64:$E$74,2,FALSE),"No")="Yes",1,0)</f>
        <v/>
      </c>
      <c r="AF447">
        <f>IF(IFERROR(VLOOKUP(D447,Controls!$A$64:$E$74,3,FALSE),"No")="Yes",1,0)</f>
        <v/>
      </c>
      <c r="AG447">
        <f>IF(IFERROR(VLOOKUP(D447,Controls!$A$64:$E$74,4,FALSE),"No")="Yes",1,0)</f>
        <v/>
      </c>
      <c r="AH447">
        <f>IF(IFERROR(VLOOKUP(D447,Controls!$A$64:$E$74,5,FALSE),"No")="Yes",1,0)</f>
        <v/>
      </c>
      <c r="AI447">
        <f>IF(ISNUMBER(MATCH(D447,Controls!$A$64:$A$74,0)),1,0)</f>
        <v/>
      </c>
      <c r="AJ447">
        <f>Q447-N447</f>
        <v/>
      </c>
      <c r="AK447">
        <f>IF(AE447=1,MAX(0,N447-Q447),0)</f>
        <v/>
      </c>
      <c r="AL447">
        <f>IF(OR(V447="",V447=0),0,N447/V447)</f>
        <v/>
      </c>
      <c r="AM447">
        <f>IF(OR(V447="",V447=0),0,1)</f>
        <v/>
      </c>
      <c r="AN447">
        <f>IF(OR(E447="",F447=""),0,NETWORKDAYS(E447,F447,Ref!$K$2:$K$42))</f>
        <v/>
      </c>
      <c r="AO447">
        <f>IF(L447="Renewal",1,0)</f>
        <v/>
      </c>
      <c r="AP447">
        <f>AC447*AD447</f>
        <v/>
      </c>
      <c r="AQ447">
        <f>IF(AND(G447&lt;&gt;"",'Historical Score'!$C$6&lt;&gt;""),IF(G447='Historical Score'!$C$6,1,0),0)</f>
        <v/>
      </c>
      <c r="AR447">
        <f>IF(AND(L447&lt;&gt;"",'Historical Score'!$C$5&lt;&gt;""),IF(L447='Historical Score'!$C$5,1,0),0)</f>
        <v/>
      </c>
      <c r="AS447">
        <f>IF(AND(Y447&lt;&gt;"",'Historical Score'!$C$7&lt;&gt;""),IF(Y447='Historical Score'!$C$7,1,0),0)</f>
        <v/>
      </c>
      <c r="AT447">
        <f>IF(AND(K447&lt;&gt;"",'Historical Score'!$C$8&lt;&gt;""),IF(K447='Historical Score'!$C$8,1,0),0)</f>
        <v/>
      </c>
      <c r="AU447">
        <f>IF(AND(J447&lt;&gt;"",'Historical Score'!$C$9&lt;&gt;""),IF(J447='Historical Score'!$C$9,1,0),0)</f>
        <v/>
      </c>
      <c r="AV447">
        <f>AR447*AS447*AQ447</f>
        <v/>
      </c>
      <c r="AW447">
        <f>AR447*AT447*AQ447</f>
        <v/>
      </c>
      <c r="AX447">
        <f>AR447*AS447</f>
        <v/>
      </c>
      <c r="AY447">
        <f>AR447*AT447</f>
        <v/>
      </c>
      <c r="AZ447">
        <f>AR447*AQ447</f>
        <v/>
      </c>
      <c r="BA447">
        <f>AR447</f>
        <v/>
      </c>
      <c r="BB447">
        <f>1</f>
        <v/>
      </c>
      <c r="BC447">
        <f>IF(AV447=1,1,IF(AW447=1,2,IF(AX447=1,3,IF(AY447=1,4,IF(AZ447=1,5,IF(BA447=1,6,7))))))</f>
        <v/>
      </c>
      <c r="BD447">
        <f>IF(AD447=1,CHOOSE('Historical Score'!$C$29,AV447,AW447,AX447,AY447,AZ447,BA447,BB447),0)</f>
        <v/>
      </c>
      <c r="BE447">
        <f>IF(BD447=1,COUNTIF($BD$2:BD447,1),"")</f>
        <v/>
      </c>
    </row>
    <row r="448">
      <c r="A448" t="inlineStr">
        <is>
          <t>5674174367</t>
        </is>
      </c>
      <c r="B448" t="inlineStr">
        <is>
          <t>Shells and tails</t>
        </is>
      </c>
      <c r="C448" t="inlineStr">
        <is>
          <t>Shells and tails 2 Geaux</t>
        </is>
      </c>
      <c r="D448" t="inlineStr">
        <is>
          <t>Closed</t>
        </is>
      </c>
      <c r="E448" s="297" t="n">
        <v>46007</v>
      </c>
      <c r="F448" s="297" t="n">
        <v>46132</v>
      </c>
      <c r="G448" t="n">
        <v>3</v>
      </c>
      <c r="H448" t="inlineStr">
        <is>
          <t>5812</t>
        </is>
      </c>
      <c r="I448" t="inlineStr">
        <is>
          <t>58</t>
        </is>
      </c>
      <c r="J448" t="inlineStr">
        <is>
          <t>TX</t>
        </is>
      </c>
      <c r="K448" t="inlineStr">
        <is>
          <t>Bingo advance LLC</t>
        </is>
      </c>
      <c r="L448" t="inlineStr">
        <is>
          <t>New Deal</t>
        </is>
      </c>
      <c r="M448" s="298" t="n">
        <v>1.45</v>
      </c>
      <c r="N448" s="299" t="n">
        <v>10000</v>
      </c>
      <c r="O448" s="299" t="n">
        <v>1200</v>
      </c>
      <c r="P448" s="299" t="n">
        <v>14500</v>
      </c>
      <c r="Q448" s="299" t="n">
        <v>14500</v>
      </c>
      <c r="R448" s="299" t="n">
        <v>0</v>
      </c>
      <c r="S448" s="300" t="n">
        <v>1</v>
      </c>
      <c r="T448" t="n">
        <v>2.787</v>
      </c>
      <c r="U448" t="n">
        <v>1</v>
      </c>
      <c r="V448" t="n">
        <v>49623.58</v>
      </c>
      <c r="W448" s="300" t="n">
        <v>0.0722</v>
      </c>
      <c r="X448" s="297" t="n">
        <v>42353</v>
      </c>
      <c r="Y448">
        <f>IF(I448="","No SIC",IFERROR(VLOOKUP(I448,Ref!$A$2:$B$65,2,FALSE),"Unclassified"))</f>
        <v/>
      </c>
      <c r="Z448">
        <f>IF(T448="","",IF(T448&lt;12,"Daily","Weekly"))</f>
        <v/>
      </c>
      <c r="AA448">
        <f>IF(T448="",0,IF(T448&lt;12,T448*Controls!$B$29,T448*5))</f>
        <v/>
      </c>
      <c r="AB448">
        <f>IF(E448="",0,NETWORKDAYS(E448,Controls!$B$36,Ref!$K$2:$K$42))</f>
        <v/>
      </c>
      <c r="AC448">
        <f>IF(AND(AA448&gt;0,AB448&gt;=Controls!$B$39*AA448),1,0)</f>
        <v/>
      </c>
      <c r="AD448">
        <f>IF(AND(E448&lt;&gt;"",E448&gt;=Controls!$B$37,E448&lt;=Controls!$B$38),1,0)</f>
        <v/>
      </c>
      <c r="AE448">
        <f>IF(IFERROR(VLOOKUP(D448,Controls!$A$64:$E$74,2,FALSE),"No")="Yes",1,0)</f>
        <v/>
      </c>
      <c r="AF448">
        <f>IF(IFERROR(VLOOKUP(D448,Controls!$A$64:$E$74,3,FALSE),"No")="Yes",1,0)</f>
        <v/>
      </c>
      <c r="AG448">
        <f>IF(IFERROR(VLOOKUP(D448,Controls!$A$64:$E$74,4,FALSE),"No")="Yes",1,0)</f>
        <v/>
      </c>
      <c r="AH448">
        <f>IF(IFERROR(VLOOKUP(D448,Controls!$A$64:$E$74,5,FALSE),"No")="Yes",1,0)</f>
        <v/>
      </c>
      <c r="AI448">
        <f>IF(ISNUMBER(MATCH(D448,Controls!$A$64:$A$74,0)),1,0)</f>
        <v/>
      </c>
      <c r="AJ448">
        <f>Q448-N448</f>
        <v/>
      </c>
      <c r="AK448">
        <f>IF(AE448=1,MAX(0,N448-Q448),0)</f>
        <v/>
      </c>
      <c r="AL448">
        <f>IF(OR(V448="",V448=0),0,N448/V448)</f>
        <v/>
      </c>
      <c r="AM448">
        <f>IF(OR(V448="",V448=0),0,1)</f>
        <v/>
      </c>
      <c r="AN448">
        <f>IF(OR(E448="",F448=""),0,NETWORKDAYS(E448,F448,Ref!$K$2:$K$42))</f>
        <v/>
      </c>
      <c r="AO448">
        <f>IF(L448="Renewal",1,0)</f>
        <v/>
      </c>
      <c r="AP448">
        <f>AC448*AD448</f>
        <v/>
      </c>
      <c r="AQ448">
        <f>IF(AND(G448&lt;&gt;"",'Historical Score'!$C$6&lt;&gt;""),IF(G448='Historical Score'!$C$6,1,0),0)</f>
        <v/>
      </c>
      <c r="AR448">
        <f>IF(AND(L448&lt;&gt;"",'Historical Score'!$C$5&lt;&gt;""),IF(L448='Historical Score'!$C$5,1,0),0)</f>
        <v/>
      </c>
      <c r="AS448">
        <f>IF(AND(Y448&lt;&gt;"",'Historical Score'!$C$7&lt;&gt;""),IF(Y448='Historical Score'!$C$7,1,0),0)</f>
        <v/>
      </c>
      <c r="AT448">
        <f>IF(AND(K448&lt;&gt;"",'Historical Score'!$C$8&lt;&gt;""),IF(K448='Historical Score'!$C$8,1,0),0)</f>
        <v/>
      </c>
      <c r="AU448">
        <f>IF(AND(J448&lt;&gt;"",'Historical Score'!$C$9&lt;&gt;""),IF(J448='Historical Score'!$C$9,1,0),0)</f>
        <v/>
      </c>
      <c r="AV448">
        <f>AR448*AS448*AQ448</f>
        <v/>
      </c>
      <c r="AW448">
        <f>AR448*AT448*AQ448</f>
        <v/>
      </c>
      <c r="AX448">
        <f>AR448*AS448</f>
        <v/>
      </c>
      <c r="AY448">
        <f>AR448*AT448</f>
        <v/>
      </c>
      <c r="AZ448">
        <f>AR448*AQ448</f>
        <v/>
      </c>
      <c r="BA448">
        <f>AR448</f>
        <v/>
      </c>
      <c r="BB448">
        <f>1</f>
        <v/>
      </c>
      <c r="BC448">
        <f>IF(AV448=1,1,IF(AW448=1,2,IF(AX448=1,3,IF(AY448=1,4,IF(AZ448=1,5,IF(BA448=1,6,7))))))</f>
        <v/>
      </c>
      <c r="BD448">
        <f>IF(AD448=1,CHOOSE('Historical Score'!$C$29,AV448,AW448,AX448,AY448,AZ448,BA448,BB448),0)</f>
        <v/>
      </c>
      <c r="BE448">
        <f>IF(BD448=1,COUNTIF($BD$2:BD448,1),"")</f>
        <v/>
      </c>
    </row>
    <row r="449">
      <c r="A449" t="inlineStr">
        <is>
          <t>5674174403</t>
        </is>
      </c>
      <c r="B449" t="inlineStr">
        <is>
          <t>RIVERSIDE AUTOMOTIVE AND TIRE LLC</t>
        </is>
      </c>
      <c r="C449" t="inlineStr">
        <is>
          <t>RIVERSIDE AUTOMOTIVE AND TIRE LLC</t>
        </is>
      </c>
      <c r="D449" t="inlineStr">
        <is>
          <t>Closed/NSF</t>
        </is>
      </c>
      <c r="E449" s="297" t="n">
        <v>46007</v>
      </c>
      <c r="F449" s="297" t="n">
        <v>46230</v>
      </c>
      <c r="G449" t="n">
        <v>5</v>
      </c>
      <c r="H449" t="inlineStr">
        <is>
          <t>7538</t>
        </is>
      </c>
      <c r="I449" t="inlineStr">
        <is>
          <t>75</t>
        </is>
      </c>
      <c r="J449" t="inlineStr">
        <is>
          <t>NC</t>
        </is>
      </c>
      <c r="K449" t="inlineStr">
        <is>
          <t>GROWTH RATE CAPITAL INC</t>
        </is>
      </c>
      <c r="L449" t="inlineStr">
        <is>
          <t>New Deal</t>
        </is>
      </c>
      <c r="M449" s="298" t="n">
        <v>1.49</v>
      </c>
      <c r="N449" s="299" t="n">
        <v>20000</v>
      </c>
      <c r="O449" s="299" t="n">
        <v>2800</v>
      </c>
      <c r="P449" s="299" t="n">
        <v>29800</v>
      </c>
      <c r="Q449" s="299" t="n">
        <v>29800</v>
      </c>
      <c r="R449" s="299" t="n">
        <v>0</v>
      </c>
      <c r="S449" s="300" t="n">
        <v>1</v>
      </c>
      <c r="T449" t="n">
        <v>28</v>
      </c>
      <c r="U449" t="n">
        <v>1</v>
      </c>
      <c r="V449" t="n">
        <v>155935.8</v>
      </c>
      <c r="W449" s="300" t="n">
        <v>0.0273</v>
      </c>
      <c r="X449" s="297" t="n"/>
      <c r="Y449">
        <f>IF(I449="","No SIC",IFERROR(VLOOKUP(I449,Ref!$A$2:$B$65,2,FALSE),"Unclassified"))</f>
        <v/>
      </c>
      <c r="Z449">
        <f>IF(T449="","",IF(T449&lt;12,"Daily","Weekly"))</f>
        <v/>
      </c>
      <c r="AA449">
        <f>IF(T449="",0,IF(T449&lt;12,T449*Controls!$B$29,T449*5))</f>
        <v/>
      </c>
      <c r="AB449">
        <f>IF(E449="",0,NETWORKDAYS(E449,Controls!$B$36,Ref!$K$2:$K$42))</f>
        <v/>
      </c>
      <c r="AC449">
        <f>IF(AND(AA449&gt;0,AB449&gt;=Controls!$B$39*AA449),1,0)</f>
        <v/>
      </c>
      <c r="AD449">
        <f>IF(AND(E449&lt;&gt;"",E449&gt;=Controls!$B$37,E449&lt;=Controls!$B$38),1,0)</f>
        <v/>
      </c>
      <c r="AE449">
        <f>IF(IFERROR(VLOOKUP(D449,Controls!$A$64:$E$74,2,FALSE),"No")="Yes",1,0)</f>
        <v/>
      </c>
      <c r="AF449">
        <f>IF(IFERROR(VLOOKUP(D449,Controls!$A$64:$E$74,3,FALSE),"No")="Yes",1,0)</f>
        <v/>
      </c>
      <c r="AG449">
        <f>IF(IFERROR(VLOOKUP(D449,Controls!$A$64:$E$74,4,FALSE),"No")="Yes",1,0)</f>
        <v/>
      </c>
      <c r="AH449">
        <f>IF(IFERROR(VLOOKUP(D449,Controls!$A$64:$E$74,5,FALSE),"No")="Yes",1,0)</f>
        <v/>
      </c>
      <c r="AI449">
        <f>IF(ISNUMBER(MATCH(D449,Controls!$A$64:$A$74,0)),1,0)</f>
        <v/>
      </c>
      <c r="AJ449">
        <f>Q449-N449</f>
        <v/>
      </c>
      <c r="AK449">
        <f>IF(AE449=1,MAX(0,N449-Q449),0)</f>
        <v/>
      </c>
      <c r="AL449">
        <f>IF(OR(V449="",V449=0),0,N449/V449)</f>
        <v/>
      </c>
      <c r="AM449">
        <f>IF(OR(V449="",V449=0),0,1)</f>
        <v/>
      </c>
      <c r="AN449">
        <f>IF(OR(E449="",F449=""),0,NETWORKDAYS(E449,F449,Ref!$K$2:$K$42))</f>
        <v/>
      </c>
      <c r="AO449">
        <f>IF(L449="Renewal",1,0)</f>
        <v/>
      </c>
      <c r="AP449">
        <f>AC449*AD449</f>
        <v/>
      </c>
      <c r="AQ449">
        <f>IF(AND(G449&lt;&gt;"",'Historical Score'!$C$6&lt;&gt;""),IF(G449='Historical Score'!$C$6,1,0),0)</f>
        <v/>
      </c>
      <c r="AR449">
        <f>IF(AND(L449&lt;&gt;"",'Historical Score'!$C$5&lt;&gt;""),IF(L449='Historical Score'!$C$5,1,0),0)</f>
        <v/>
      </c>
      <c r="AS449">
        <f>IF(AND(Y449&lt;&gt;"",'Historical Score'!$C$7&lt;&gt;""),IF(Y449='Historical Score'!$C$7,1,0),0)</f>
        <v/>
      </c>
      <c r="AT449">
        <f>IF(AND(K449&lt;&gt;"",'Historical Score'!$C$8&lt;&gt;""),IF(K449='Historical Score'!$C$8,1,0),0)</f>
        <v/>
      </c>
      <c r="AU449">
        <f>IF(AND(J449&lt;&gt;"",'Historical Score'!$C$9&lt;&gt;""),IF(J449='Historical Score'!$C$9,1,0),0)</f>
        <v/>
      </c>
      <c r="AV449">
        <f>AR449*AS449*AQ449</f>
        <v/>
      </c>
      <c r="AW449">
        <f>AR449*AT449*AQ449</f>
        <v/>
      </c>
      <c r="AX449">
        <f>AR449*AS449</f>
        <v/>
      </c>
      <c r="AY449">
        <f>AR449*AT449</f>
        <v/>
      </c>
      <c r="AZ449">
        <f>AR449*AQ449</f>
        <v/>
      </c>
      <c r="BA449">
        <f>AR449</f>
        <v/>
      </c>
      <c r="BB449">
        <f>1</f>
        <v/>
      </c>
      <c r="BC449">
        <f>IF(AV449=1,1,IF(AW449=1,2,IF(AX449=1,3,IF(AY449=1,4,IF(AZ449=1,5,IF(BA449=1,6,7))))))</f>
        <v/>
      </c>
      <c r="BD449">
        <f>IF(AD449=1,CHOOSE('Historical Score'!$C$29,AV449,AW449,AX449,AY449,AZ449,BA449,BB449),0)</f>
        <v/>
      </c>
      <c r="BE449">
        <f>IF(BD449=1,COUNTIF($BD$2:BD449,1),"")</f>
        <v/>
      </c>
    </row>
    <row r="450">
      <c r="A450" t="inlineStr">
        <is>
          <t>5674174433</t>
        </is>
      </c>
      <c r="B450" t="inlineStr">
        <is>
          <t>Wcs All Immigration Document Service</t>
        </is>
      </c>
      <c r="C450" t="inlineStr">
        <is>
          <t>WORLD COMPUTER SYSTEMS INC</t>
        </is>
      </c>
      <c r="D450" t="inlineStr">
        <is>
          <t>Closed</t>
        </is>
      </c>
      <c r="E450" s="297" t="n">
        <v>46007</v>
      </c>
      <c r="F450" s="297" t="n">
        <v>46105</v>
      </c>
      <c r="G450" t="n">
        <v>2</v>
      </c>
      <c r="H450" t="inlineStr">
        <is>
          <t>7371</t>
        </is>
      </c>
      <c r="I450" t="inlineStr">
        <is>
          <t>73</t>
        </is>
      </c>
      <c r="J450" t="inlineStr">
        <is>
          <t>DC</t>
        </is>
      </c>
      <c r="K450" t="inlineStr">
        <is>
          <t>LENDCAP SOLUTIONS</t>
        </is>
      </c>
      <c r="L450" t="inlineStr">
        <is>
          <t>New Deal</t>
        </is>
      </c>
      <c r="M450" s="298" t="n">
        <v>1.499</v>
      </c>
      <c r="N450" s="299" t="n">
        <v>12000</v>
      </c>
      <c r="O450" s="299" t="n">
        <v>1680</v>
      </c>
      <c r="P450" s="299" t="n">
        <v>17988</v>
      </c>
      <c r="Q450" s="299" t="n">
        <v>17988</v>
      </c>
      <c r="R450" s="299" t="n">
        <v>0</v>
      </c>
      <c r="S450" s="300" t="n">
        <v>1</v>
      </c>
      <c r="T450" t="n">
        <v>1.967</v>
      </c>
      <c r="U450" t="n">
        <v>4</v>
      </c>
      <c r="V450" t="n">
        <v>51809.99</v>
      </c>
      <c r="W450" s="300" t="n">
        <v>0.1208</v>
      </c>
      <c r="X450" s="297" t="n"/>
      <c r="Y450">
        <f>IF(I450="","No SIC",IFERROR(VLOOKUP(I450,Ref!$A$2:$B$65,2,FALSE),"Unclassified"))</f>
        <v/>
      </c>
      <c r="Z450">
        <f>IF(T450="","",IF(T450&lt;12,"Daily","Weekly"))</f>
        <v/>
      </c>
      <c r="AA450">
        <f>IF(T450="",0,IF(T450&lt;12,T450*Controls!$B$29,T450*5))</f>
        <v/>
      </c>
      <c r="AB450">
        <f>IF(E450="",0,NETWORKDAYS(E450,Controls!$B$36,Ref!$K$2:$K$42))</f>
        <v/>
      </c>
      <c r="AC450">
        <f>IF(AND(AA450&gt;0,AB450&gt;=Controls!$B$39*AA450),1,0)</f>
        <v/>
      </c>
      <c r="AD450">
        <f>IF(AND(E450&lt;&gt;"",E450&gt;=Controls!$B$37,E450&lt;=Controls!$B$38),1,0)</f>
        <v/>
      </c>
      <c r="AE450">
        <f>IF(IFERROR(VLOOKUP(D450,Controls!$A$64:$E$74,2,FALSE),"No")="Yes",1,0)</f>
        <v/>
      </c>
      <c r="AF450">
        <f>IF(IFERROR(VLOOKUP(D450,Controls!$A$64:$E$74,3,FALSE),"No")="Yes",1,0)</f>
        <v/>
      </c>
      <c r="AG450">
        <f>IF(IFERROR(VLOOKUP(D450,Controls!$A$64:$E$74,4,FALSE),"No")="Yes",1,0)</f>
        <v/>
      </c>
      <c r="AH450">
        <f>IF(IFERROR(VLOOKUP(D450,Controls!$A$64:$E$74,5,FALSE),"No")="Yes",1,0)</f>
        <v/>
      </c>
      <c r="AI450">
        <f>IF(ISNUMBER(MATCH(D450,Controls!$A$64:$A$74,0)),1,0)</f>
        <v/>
      </c>
      <c r="AJ450">
        <f>Q450-N450</f>
        <v/>
      </c>
      <c r="AK450">
        <f>IF(AE450=1,MAX(0,N450-Q450),0)</f>
        <v/>
      </c>
      <c r="AL450">
        <f>IF(OR(V450="",V450=0),0,N450/V450)</f>
        <v/>
      </c>
      <c r="AM450">
        <f>IF(OR(V450="",V450=0),0,1)</f>
        <v/>
      </c>
      <c r="AN450">
        <f>IF(OR(E450="",F450=""),0,NETWORKDAYS(E450,F450,Ref!$K$2:$K$42))</f>
        <v/>
      </c>
      <c r="AO450">
        <f>IF(L450="Renewal",1,0)</f>
        <v/>
      </c>
      <c r="AP450">
        <f>AC450*AD450</f>
        <v/>
      </c>
      <c r="AQ450">
        <f>IF(AND(G450&lt;&gt;"",'Historical Score'!$C$6&lt;&gt;""),IF(G450='Historical Score'!$C$6,1,0),0)</f>
        <v/>
      </c>
      <c r="AR450">
        <f>IF(AND(L450&lt;&gt;"",'Historical Score'!$C$5&lt;&gt;""),IF(L450='Historical Score'!$C$5,1,0),0)</f>
        <v/>
      </c>
      <c r="AS450">
        <f>IF(AND(Y450&lt;&gt;"",'Historical Score'!$C$7&lt;&gt;""),IF(Y450='Historical Score'!$C$7,1,0),0)</f>
        <v/>
      </c>
      <c r="AT450">
        <f>IF(AND(K450&lt;&gt;"",'Historical Score'!$C$8&lt;&gt;""),IF(K450='Historical Score'!$C$8,1,0),0)</f>
        <v/>
      </c>
      <c r="AU450">
        <f>IF(AND(J450&lt;&gt;"",'Historical Score'!$C$9&lt;&gt;""),IF(J450='Historical Score'!$C$9,1,0),0)</f>
        <v/>
      </c>
      <c r="AV450">
        <f>AR450*AS450*AQ450</f>
        <v/>
      </c>
      <c r="AW450">
        <f>AR450*AT450*AQ450</f>
        <v/>
      </c>
      <c r="AX450">
        <f>AR450*AS450</f>
        <v/>
      </c>
      <c r="AY450">
        <f>AR450*AT450</f>
        <v/>
      </c>
      <c r="AZ450">
        <f>AR450*AQ450</f>
        <v/>
      </c>
      <c r="BA450">
        <f>AR450</f>
        <v/>
      </c>
      <c r="BB450">
        <f>1</f>
        <v/>
      </c>
      <c r="BC450">
        <f>IF(AV450=1,1,IF(AW450=1,2,IF(AX450=1,3,IF(AY450=1,4,IF(AZ450=1,5,IF(BA450=1,6,7))))))</f>
        <v/>
      </c>
      <c r="BD450">
        <f>IF(AD450=1,CHOOSE('Historical Score'!$C$29,AV450,AW450,AX450,AY450,AZ450,BA450,BB450),0)</f>
        <v/>
      </c>
      <c r="BE450">
        <f>IF(BD450=1,COUNTIF($BD$2:BD450,1),"")</f>
        <v/>
      </c>
    </row>
    <row r="451">
      <c r="A451" t="inlineStr">
        <is>
          <t>5674174462</t>
        </is>
      </c>
      <c r="B451" t="inlineStr">
        <is>
          <t>Roseville Walmart Baugus Corporation d/b/a Subway</t>
        </is>
      </c>
      <c r="C451" t="inlineStr">
        <is>
          <t>Roseville Walmart Baugus Corporation</t>
        </is>
      </c>
      <c r="D451" t="inlineStr">
        <is>
          <t>Open</t>
        </is>
      </c>
      <c r="E451" s="297" t="n">
        <v>46008</v>
      </c>
      <c r="F451" s="297" t="n">
        <v>46252</v>
      </c>
      <c r="G451" t="n">
        <v>1</v>
      </c>
      <c r="H451" t="inlineStr">
        <is>
          <t>3556</t>
        </is>
      </c>
      <c r="I451" t="inlineStr">
        <is>
          <t>35</t>
        </is>
      </c>
      <c r="J451" t="inlineStr">
        <is>
          <t>MN</t>
        </is>
      </c>
      <c r="K451" t="inlineStr">
        <is>
          <t>Fundwell</t>
        </is>
      </c>
      <c r="L451" t="inlineStr">
        <is>
          <t>New Deal</t>
        </is>
      </c>
      <c r="M451" s="298" t="n">
        <v>1.35</v>
      </c>
      <c r="N451" s="299" t="n">
        <v>125000</v>
      </c>
      <c r="O451" s="299" t="n">
        <v>11250</v>
      </c>
      <c r="P451" s="299" t="n">
        <v>168750</v>
      </c>
      <c r="Q451" s="299" t="n">
        <v>113631.35</v>
      </c>
      <c r="R451" s="299" t="n">
        <v>55118.65</v>
      </c>
      <c r="S451" s="300" t="n">
        <v>0.6733709629629629</v>
      </c>
      <c r="T451" t="n">
        <v>52</v>
      </c>
      <c r="U451" t="n">
        <v>0</v>
      </c>
      <c r="V451" t="n">
        <v>50132.07</v>
      </c>
      <c r="W451" s="300" t="n">
        <v>0.08649999999999999</v>
      </c>
      <c r="X451" s="297" t="n">
        <v>43384</v>
      </c>
      <c r="Y451">
        <f>IF(I451="","No SIC",IFERROR(VLOOKUP(I451,Ref!$A$2:$B$65,2,FALSE),"Unclassified"))</f>
        <v/>
      </c>
      <c r="Z451">
        <f>IF(T451="","",IF(T451&lt;12,"Daily","Weekly"))</f>
        <v/>
      </c>
      <c r="AA451">
        <f>IF(T451="",0,IF(T451&lt;12,T451*Controls!$B$29,T451*5))</f>
        <v/>
      </c>
      <c r="AB451">
        <f>IF(E451="",0,NETWORKDAYS(E451,Controls!$B$36,Ref!$K$2:$K$42))</f>
        <v/>
      </c>
      <c r="AC451">
        <f>IF(AND(AA451&gt;0,AB451&gt;=Controls!$B$39*AA451),1,0)</f>
        <v/>
      </c>
      <c r="AD451">
        <f>IF(AND(E451&lt;&gt;"",E451&gt;=Controls!$B$37,E451&lt;=Controls!$B$38),1,0)</f>
        <v/>
      </c>
      <c r="AE451">
        <f>IF(IFERROR(VLOOKUP(D451,Controls!$A$64:$E$74,2,FALSE),"No")="Yes",1,0)</f>
        <v/>
      </c>
      <c r="AF451">
        <f>IF(IFERROR(VLOOKUP(D451,Controls!$A$64:$E$74,3,FALSE),"No")="Yes",1,0)</f>
        <v/>
      </c>
      <c r="AG451">
        <f>IF(IFERROR(VLOOKUP(D451,Controls!$A$64:$E$74,4,FALSE),"No")="Yes",1,0)</f>
        <v/>
      </c>
      <c r="AH451">
        <f>IF(IFERROR(VLOOKUP(D451,Controls!$A$64:$E$74,5,FALSE),"No")="Yes",1,0)</f>
        <v/>
      </c>
      <c r="AI451">
        <f>IF(ISNUMBER(MATCH(D451,Controls!$A$64:$A$74,0)),1,0)</f>
        <v/>
      </c>
      <c r="AJ451">
        <f>Q451-N451</f>
        <v/>
      </c>
      <c r="AK451">
        <f>IF(AE451=1,MAX(0,N451-Q451),0)</f>
        <v/>
      </c>
      <c r="AL451">
        <f>IF(OR(V451="",V451=0),0,N451/V451)</f>
        <v/>
      </c>
      <c r="AM451">
        <f>IF(OR(V451="",V451=0),0,1)</f>
        <v/>
      </c>
      <c r="AN451">
        <f>IF(OR(E451="",F451=""),0,NETWORKDAYS(E451,F451,Ref!$K$2:$K$42))</f>
        <v/>
      </c>
      <c r="AO451">
        <f>IF(L451="Renewal",1,0)</f>
        <v/>
      </c>
      <c r="AP451">
        <f>AC451*AD451</f>
        <v/>
      </c>
      <c r="AQ451">
        <f>IF(AND(G451&lt;&gt;"",'Historical Score'!$C$6&lt;&gt;""),IF(G451='Historical Score'!$C$6,1,0),0)</f>
        <v/>
      </c>
      <c r="AR451">
        <f>IF(AND(L451&lt;&gt;"",'Historical Score'!$C$5&lt;&gt;""),IF(L451='Historical Score'!$C$5,1,0),0)</f>
        <v/>
      </c>
      <c r="AS451">
        <f>IF(AND(Y451&lt;&gt;"",'Historical Score'!$C$7&lt;&gt;""),IF(Y451='Historical Score'!$C$7,1,0),0)</f>
        <v/>
      </c>
      <c r="AT451">
        <f>IF(AND(K451&lt;&gt;"",'Historical Score'!$C$8&lt;&gt;""),IF(K451='Historical Score'!$C$8,1,0),0)</f>
        <v/>
      </c>
      <c r="AU451">
        <f>IF(AND(J451&lt;&gt;"",'Historical Score'!$C$9&lt;&gt;""),IF(J451='Historical Score'!$C$9,1,0),0)</f>
        <v/>
      </c>
      <c r="AV451">
        <f>AR451*AS451*AQ451</f>
        <v/>
      </c>
      <c r="AW451">
        <f>AR451*AT451*AQ451</f>
        <v/>
      </c>
      <c r="AX451">
        <f>AR451*AS451</f>
        <v/>
      </c>
      <c r="AY451">
        <f>AR451*AT451</f>
        <v/>
      </c>
      <c r="AZ451">
        <f>AR451*AQ451</f>
        <v/>
      </c>
      <c r="BA451">
        <f>AR451</f>
        <v/>
      </c>
      <c r="BB451">
        <f>1</f>
        <v/>
      </c>
      <c r="BC451">
        <f>IF(AV451=1,1,IF(AW451=1,2,IF(AX451=1,3,IF(AY451=1,4,IF(AZ451=1,5,IF(BA451=1,6,7))))))</f>
        <v/>
      </c>
      <c r="BD451">
        <f>IF(AD451=1,CHOOSE('Historical Score'!$C$29,AV451,AW451,AX451,AY451,AZ451,BA451,BB451),0)</f>
        <v/>
      </c>
      <c r="BE451">
        <f>IF(BD451=1,COUNTIF($BD$2:BD451,1),"")</f>
        <v/>
      </c>
    </row>
    <row r="452">
      <c r="A452" t="inlineStr">
        <is>
          <t>5674174514</t>
        </is>
      </c>
      <c r="B452" t="inlineStr">
        <is>
          <t>Compassionate Heart Services LLC</t>
        </is>
      </c>
      <c r="C452" t="inlineStr">
        <is>
          <t>Compassionate Heart Services LLC</t>
        </is>
      </c>
      <c r="D452" t="inlineStr">
        <is>
          <t>Legal</t>
        </is>
      </c>
      <c r="E452" s="297" t="n">
        <v>46008</v>
      </c>
      <c r="F452" s="297" t="n">
        <v>46080</v>
      </c>
      <c r="G452" t="n">
        <v>3</v>
      </c>
      <c r="H452" t="inlineStr">
        <is>
          <t>8082</t>
        </is>
      </c>
      <c r="I452" t="inlineStr">
        <is>
          <t>80</t>
        </is>
      </c>
      <c r="J452" t="inlineStr">
        <is>
          <t>PA</t>
        </is>
      </c>
      <c r="K452" t="inlineStr">
        <is>
          <t>LENDCAP SOLUTIONS</t>
        </is>
      </c>
      <c r="L452" t="inlineStr">
        <is>
          <t>New Deal</t>
        </is>
      </c>
      <c r="M452" s="298" t="n">
        <v>1.499</v>
      </c>
      <c r="N452" s="299" t="n">
        <v>18000</v>
      </c>
      <c r="O452" s="299" t="n">
        <v>2520</v>
      </c>
      <c r="P452" s="299" t="n">
        <v>26982</v>
      </c>
      <c r="Q452" s="299" t="n">
        <v>5960.2</v>
      </c>
      <c r="R452" s="299" t="n">
        <v>21021.8</v>
      </c>
      <c r="S452" s="300" t="n">
        <v>0.220895411755985</v>
      </c>
      <c r="T452" t="n">
        <v>18</v>
      </c>
      <c r="U452" t="n">
        <v>8</v>
      </c>
      <c r="V452" t="n">
        <v>72596.8</v>
      </c>
      <c r="W452" s="300" t="n">
        <v>0.08210000000000001</v>
      </c>
      <c r="X452" s="297" t="n">
        <v>43770</v>
      </c>
      <c r="Y452">
        <f>IF(I452="","No SIC",IFERROR(VLOOKUP(I452,Ref!$A$2:$B$65,2,FALSE),"Unclassified"))</f>
        <v/>
      </c>
      <c r="Z452">
        <f>IF(T452="","",IF(T452&lt;12,"Daily","Weekly"))</f>
        <v/>
      </c>
      <c r="AA452">
        <f>IF(T452="",0,IF(T452&lt;12,T452*Controls!$B$29,T452*5))</f>
        <v/>
      </c>
      <c r="AB452">
        <f>IF(E452="",0,NETWORKDAYS(E452,Controls!$B$36,Ref!$K$2:$K$42))</f>
        <v/>
      </c>
      <c r="AC452">
        <f>IF(AND(AA452&gt;0,AB452&gt;=Controls!$B$39*AA452),1,0)</f>
        <v/>
      </c>
      <c r="AD452">
        <f>IF(AND(E452&lt;&gt;"",E452&gt;=Controls!$B$37,E452&lt;=Controls!$B$38),1,0)</f>
        <v/>
      </c>
      <c r="AE452">
        <f>IF(IFERROR(VLOOKUP(D452,Controls!$A$64:$E$74,2,FALSE),"No")="Yes",1,0)</f>
        <v/>
      </c>
      <c r="AF452">
        <f>IF(IFERROR(VLOOKUP(D452,Controls!$A$64:$E$74,3,FALSE),"No")="Yes",1,0)</f>
        <v/>
      </c>
      <c r="AG452">
        <f>IF(IFERROR(VLOOKUP(D452,Controls!$A$64:$E$74,4,FALSE),"No")="Yes",1,0)</f>
        <v/>
      </c>
      <c r="AH452">
        <f>IF(IFERROR(VLOOKUP(D452,Controls!$A$64:$E$74,5,FALSE),"No")="Yes",1,0)</f>
        <v/>
      </c>
      <c r="AI452">
        <f>IF(ISNUMBER(MATCH(D452,Controls!$A$64:$A$74,0)),1,0)</f>
        <v/>
      </c>
      <c r="AJ452">
        <f>Q452-N452</f>
        <v/>
      </c>
      <c r="AK452">
        <f>IF(AE452=1,MAX(0,N452-Q452),0)</f>
        <v/>
      </c>
      <c r="AL452">
        <f>IF(OR(V452="",V452=0),0,N452/V452)</f>
        <v/>
      </c>
      <c r="AM452">
        <f>IF(OR(V452="",V452=0),0,1)</f>
        <v/>
      </c>
      <c r="AN452">
        <f>IF(OR(E452="",F452=""),0,NETWORKDAYS(E452,F452,Ref!$K$2:$K$42))</f>
        <v/>
      </c>
      <c r="AO452">
        <f>IF(L452="Renewal",1,0)</f>
        <v/>
      </c>
      <c r="AP452">
        <f>AC452*AD452</f>
        <v/>
      </c>
      <c r="AQ452">
        <f>IF(AND(G452&lt;&gt;"",'Historical Score'!$C$6&lt;&gt;""),IF(G452='Historical Score'!$C$6,1,0),0)</f>
        <v/>
      </c>
      <c r="AR452">
        <f>IF(AND(L452&lt;&gt;"",'Historical Score'!$C$5&lt;&gt;""),IF(L452='Historical Score'!$C$5,1,0),0)</f>
        <v/>
      </c>
      <c r="AS452">
        <f>IF(AND(Y452&lt;&gt;"",'Historical Score'!$C$7&lt;&gt;""),IF(Y452='Historical Score'!$C$7,1,0),0)</f>
        <v/>
      </c>
      <c r="AT452">
        <f>IF(AND(K452&lt;&gt;"",'Historical Score'!$C$8&lt;&gt;""),IF(K452='Historical Score'!$C$8,1,0),0)</f>
        <v/>
      </c>
      <c r="AU452">
        <f>IF(AND(J452&lt;&gt;"",'Historical Score'!$C$9&lt;&gt;""),IF(J452='Historical Score'!$C$9,1,0),0)</f>
        <v/>
      </c>
      <c r="AV452">
        <f>AR452*AS452*AQ452</f>
        <v/>
      </c>
      <c r="AW452">
        <f>AR452*AT452*AQ452</f>
        <v/>
      </c>
      <c r="AX452">
        <f>AR452*AS452</f>
        <v/>
      </c>
      <c r="AY452">
        <f>AR452*AT452</f>
        <v/>
      </c>
      <c r="AZ452">
        <f>AR452*AQ452</f>
        <v/>
      </c>
      <c r="BA452">
        <f>AR452</f>
        <v/>
      </c>
      <c r="BB452">
        <f>1</f>
        <v/>
      </c>
      <c r="BC452">
        <f>IF(AV452=1,1,IF(AW452=1,2,IF(AX452=1,3,IF(AY452=1,4,IF(AZ452=1,5,IF(BA452=1,6,7))))))</f>
        <v/>
      </c>
      <c r="BD452">
        <f>IF(AD452=1,CHOOSE('Historical Score'!$C$29,AV452,AW452,AX452,AY452,AZ452,BA452,BB452),0)</f>
        <v/>
      </c>
      <c r="BE452">
        <f>IF(BD452=1,COUNTIF($BD$2:BD452,1),"")</f>
        <v/>
      </c>
    </row>
    <row r="453">
      <c r="A453" t="inlineStr">
        <is>
          <t>5674174537</t>
        </is>
      </c>
      <c r="B453" t="inlineStr">
        <is>
          <t>ECW lawn &amp; Tree Service LLC</t>
        </is>
      </c>
      <c r="C453" t="inlineStr">
        <is>
          <t>ECW lawn &amp; Tree Service LLC</t>
        </is>
      </c>
      <c r="D453" t="inlineStr">
        <is>
          <t>Lowered Payments</t>
        </is>
      </c>
      <c r="E453" s="297" t="n">
        <v>46008</v>
      </c>
      <c r="F453" s="297" t="n">
        <v>46253</v>
      </c>
      <c r="G453" t="n">
        <v>4</v>
      </c>
      <c r="H453" t="inlineStr">
        <is>
          <t>3524</t>
        </is>
      </c>
      <c r="I453" t="inlineStr">
        <is>
          <t>35</t>
        </is>
      </c>
      <c r="J453" t="inlineStr">
        <is>
          <t>TX</t>
        </is>
      </c>
      <c r="K453" t="inlineStr">
        <is>
          <t>Fundwell</t>
        </is>
      </c>
      <c r="L453" t="inlineStr">
        <is>
          <t>Renewal</t>
        </is>
      </c>
      <c r="M453" s="298" t="n">
        <v>1.46</v>
      </c>
      <c r="N453" s="299" t="n">
        <v>11000</v>
      </c>
      <c r="O453" s="299" t="n">
        <v>1705</v>
      </c>
      <c r="P453" s="299" t="n">
        <v>16060</v>
      </c>
      <c r="Q453" s="299" t="n">
        <v>11066.02</v>
      </c>
      <c r="R453" s="299" t="n">
        <v>4993.98</v>
      </c>
      <c r="S453" s="300" t="n">
        <v>0.689042341220423</v>
      </c>
      <c r="T453" t="n">
        <v>29</v>
      </c>
      <c r="U453" t="n">
        <v>50</v>
      </c>
      <c r="V453" t="n">
        <v>39796.88</v>
      </c>
      <c r="W453" s="300" t="n">
        <v>0.0508</v>
      </c>
      <c r="X453" s="297" t="n">
        <v>43770</v>
      </c>
      <c r="Y453">
        <f>IF(I453="","No SIC",IFERROR(VLOOKUP(I453,Ref!$A$2:$B$65,2,FALSE),"Unclassified"))</f>
        <v/>
      </c>
      <c r="Z453">
        <f>IF(T453="","",IF(T453&lt;12,"Daily","Weekly"))</f>
        <v/>
      </c>
      <c r="AA453">
        <f>IF(T453="",0,IF(T453&lt;12,T453*Controls!$B$29,T453*5))</f>
        <v/>
      </c>
      <c r="AB453">
        <f>IF(E453="",0,NETWORKDAYS(E453,Controls!$B$36,Ref!$K$2:$K$42))</f>
        <v/>
      </c>
      <c r="AC453">
        <f>IF(AND(AA453&gt;0,AB453&gt;=Controls!$B$39*AA453),1,0)</f>
        <v/>
      </c>
      <c r="AD453">
        <f>IF(AND(E453&lt;&gt;"",E453&gt;=Controls!$B$37,E453&lt;=Controls!$B$38),1,0)</f>
        <v/>
      </c>
      <c r="AE453">
        <f>IF(IFERROR(VLOOKUP(D453,Controls!$A$64:$E$74,2,FALSE),"No")="Yes",1,0)</f>
        <v/>
      </c>
      <c r="AF453">
        <f>IF(IFERROR(VLOOKUP(D453,Controls!$A$64:$E$74,3,FALSE),"No")="Yes",1,0)</f>
        <v/>
      </c>
      <c r="AG453">
        <f>IF(IFERROR(VLOOKUP(D453,Controls!$A$64:$E$74,4,FALSE),"No")="Yes",1,0)</f>
        <v/>
      </c>
      <c r="AH453">
        <f>IF(IFERROR(VLOOKUP(D453,Controls!$A$64:$E$74,5,FALSE),"No")="Yes",1,0)</f>
        <v/>
      </c>
      <c r="AI453">
        <f>IF(ISNUMBER(MATCH(D453,Controls!$A$64:$A$74,0)),1,0)</f>
        <v/>
      </c>
      <c r="AJ453">
        <f>Q453-N453</f>
        <v/>
      </c>
      <c r="AK453">
        <f>IF(AE453=1,MAX(0,N453-Q453),0)</f>
        <v/>
      </c>
      <c r="AL453">
        <f>IF(OR(V453="",V453=0),0,N453/V453)</f>
        <v/>
      </c>
      <c r="AM453">
        <f>IF(OR(V453="",V453=0),0,1)</f>
        <v/>
      </c>
      <c r="AN453">
        <f>IF(OR(E453="",F453=""),0,NETWORKDAYS(E453,F453,Ref!$K$2:$K$42))</f>
        <v/>
      </c>
      <c r="AO453">
        <f>IF(L453="Renewal",1,0)</f>
        <v/>
      </c>
      <c r="AP453">
        <f>AC453*AD453</f>
        <v/>
      </c>
      <c r="AQ453">
        <f>IF(AND(G453&lt;&gt;"",'Historical Score'!$C$6&lt;&gt;""),IF(G453='Historical Score'!$C$6,1,0),0)</f>
        <v/>
      </c>
      <c r="AR453">
        <f>IF(AND(L453&lt;&gt;"",'Historical Score'!$C$5&lt;&gt;""),IF(L453='Historical Score'!$C$5,1,0),0)</f>
        <v/>
      </c>
      <c r="AS453">
        <f>IF(AND(Y453&lt;&gt;"",'Historical Score'!$C$7&lt;&gt;""),IF(Y453='Historical Score'!$C$7,1,0),0)</f>
        <v/>
      </c>
      <c r="AT453">
        <f>IF(AND(K453&lt;&gt;"",'Historical Score'!$C$8&lt;&gt;""),IF(K453='Historical Score'!$C$8,1,0),0)</f>
        <v/>
      </c>
      <c r="AU453">
        <f>IF(AND(J453&lt;&gt;"",'Historical Score'!$C$9&lt;&gt;""),IF(J453='Historical Score'!$C$9,1,0),0)</f>
        <v/>
      </c>
      <c r="AV453">
        <f>AR453*AS453*AQ453</f>
        <v/>
      </c>
      <c r="AW453">
        <f>AR453*AT453*AQ453</f>
        <v/>
      </c>
      <c r="AX453">
        <f>AR453*AS453</f>
        <v/>
      </c>
      <c r="AY453">
        <f>AR453*AT453</f>
        <v/>
      </c>
      <c r="AZ453">
        <f>AR453*AQ453</f>
        <v/>
      </c>
      <c r="BA453">
        <f>AR453</f>
        <v/>
      </c>
      <c r="BB453">
        <f>1</f>
        <v/>
      </c>
      <c r="BC453">
        <f>IF(AV453=1,1,IF(AW453=1,2,IF(AX453=1,3,IF(AY453=1,4,IF(AZ453=1,5,IF(BA453=1,6,7))))))</f>
        <v/>
      </c>
      <c r="BD453">
        <f>IF(AD453=1,CHOOSE('Historical Score'!$C$29,AV453,AW453,AX453,AY453,AZ453,BA453,BB453),0)</f>
        <v/>
      </c>
      <c r="BE453">
        <f>IF(BD453=1,COUNTIF($BD$2:BD453,1),"")</f>
        <v/>
      </c>
    </row>
    <row r="454">
      <c r="A454" t="inlineStr">
        <is>
          <t>5674174583</t>
        </is>
      </c>
      <c r="B454" t="inlineStr">
        <is>
          <t>ELITE ROOFING LLC</t>
        </is>
      </c>
      <c r="C454" t="inlineStr">
        <is>
          <t>ELITE ROOFING LLC</t>
        </is>
      </c>
      <c r="D454" t="inlineStr">
        <is>
          <t>Legal</t>
        </is>
      </c>
      <c r="E454" s="297" t="n">
        <v>46009</v>
      </c>
      <c r="F454" s="297" t="n">
        <v>46128</v>
      </c>
      <c r="G454" t="n">
        <v>3</v>
      </c>
      <c r="H454" t="inlineStr">
        <is>
          <t>1761</t>
        </is>
      </c>
      <c r="I454" t="inlineStr">
        <is>
          <t>17</t>
        </is>
      </c>
      <c r="J454" t="inlineStr">
        <is>
          <t>ID</t>
        </is>
      </c>
      <c r="K454" t="inlineStr">
        <is>
          <t>Fidelity Funding</t>
        </is>
      </c>
      <c r="L454" t="inlineStr">
        <is>
          <t>New Deal</t>
        </is>
      </c>
      <c r="M454" s="298" t="n">
        <v>1.32</v>
      </c>
      <c r="N454" s="299" t="n">
        <v>60000</v>
      </c>
      <c r="O454" s="299" t="n">
        <v>3600</v>
      </c>
      <c r="P454" s="299" t="n">
        <v>79200</v>
      </c>
      <c r="Q454" s="299" t="n">
        <v>42246.4</v>
      </c>
      <c r="R454" s="299" t="n">
        <v>36953.6</v>
      </c>
      <c r="S454" s="300" t="n">
        <v>0.533414141414142</v>
      </c>
      <c r="T454" t="n">
        <v>30</v>
      </c>
      <c r="U454" t="n">
        <v>1</v>
      </c>
      <c r="V454" t="n">
        <v>162987.84</v>
      </c>
      <c r="W454" s="300" t="n">
        <v>0.0648</v>
      </c>
      <c r="X454" s="297" t="n">
        <v>44044</v>
      </c>
      <c r="Y454">
        <f>IF(I454="","No SIC",IFERROR(VLOOKUP(I454,Ref!$A$2:$B$65,2,FALSE),"Unclassified"))</f>
        <v/>
      </c>
      <c r="Z454">
        <f>IF(T454="","",IF(T454&lt;12,"Daily","Weekly"))</f>
        <v/>
      </c>
      <c r="AA454">
        <f>IF(T454="",0,IF(T454&lt;12,T454*Controls!$B$29,T454*5))</f>
        <v/>
      </c>
      <c r="AB454">
        <f>IF(E454="",0,NETWORKDAYS(E454,Controls!$B$36,Ref!$K$2:$K$42))</f>
        <v/>
      </c>
      <c r="AC454">
        <f>IF(AND(AA454&gt;0,AB454&gt;=Controls!$B$39*AA454),1,0)</f>
        <v/>
      </c>
      <c r="AD454">
        <f>IF(AND(E454&lt;&gt;"",E454&gt;=Controls!$B$37,E454&lt;=Controls!$B$38),1,0)</f>
        <v/>
      </c>
      <c r="AE454">
        <f>IF(IFERROR(VLOOKUP(D454,Controls!$A$64:$E$74,2,FALSE),"No")="Yes",1,0)</f>
        <v/>
      </c>
      <c r="AF454">
        <f>IF(IFERROR(VLOOKUP(D454,Controls!$A$64:$E$74,3,FALSE),"No")="Yes",1,0)</f>
        <v/>
      </c>
      <c r="AG454">
        <f>IF(IFERROR(VLOOKUP(D454,Controls!$A$64:$E$74,4,FALSE),"No")="Yes",1,0)</f>
        <v/>
      </c>
      <c r="AH454">
        <f>IF(IFERROR(VLOOKUP(D454,Controls!$A$64:$E$74,5,FALSE),"No")="Yes",1,0)</f>
        <v/>
      </c>
      <c r="AI454">
        <f>IF(ISNUMBER(MATCH(D454,Controls!$A$64:$A$74,0)),1,0)</f>
        <v/>
      </c>
      <c r="AJ454">
        <f>Q454-N454</f>
        <v/>
      </c>
      <c r="AK454">
        <f>IF(AE454=1,MAX(0,N454-Q454),0)</f>
        <v/>
      </c>
      <c r="AL454">
        <f>IF(OR(V454="",V454=0),0,N454/V454)</f>
        <v/>
      </c>
      <c r="AM454">
        <f>IF(OR(V454="",V454=0),0,1)</f>
        <v/>
      </c>
      <c r="AN454">
        <f>IF(OR(E454="",F454=""),0,NETWORKDAYS(E454,F454,Ref!$K$2:$K$42))</f>
        <v/>
      </c>
      <c r="AO454">
        <f>IF(L454="Renewal",1,0)</f>
        <v/>
      </c>
      <c r="AP454">
        <f>AC454*AD454</f>
        <v/>
      </c>
      <c r="AQ454">
        <f>IF(AND(G454&lt;&gt;"",'Historical Score'!$C$6&lt;&gt;""),IF(G454='Historical Score'!$C$6,1,0),0)</f>
        <v/>
      </c>
      <c r="AR454">
        <f>IF(AND(L454&lt;&gt;"",'Historical Score'!$C$5&lt;&gt;""),IF(L454='Historical Score'!$C$5,1,0),0)</f>
        <v/>
      </c>
      <c r="AS454">
        <f>IF(AND(Y454&lt;&gt;"",'Historical Score'!$C$7&lt;&gt;""),IF(Y454='Historical Score'!$C$7,1,0),0)</f>
        <v/>
      </c>
      <c r="AT454">
        <f>IF(AND(K454&lt;&gt;"",'Historical Score'!$C$8&lt;&gt;""),IF(K454='Historical Score'!$C$8,1,0),0)</f>
        <v/>
      </c>
      <c r="AU454">
        <f>IF(AND(J454&lt;&gt;"",'Historical Score'!$C$9&lt;&gt;""),IF(J454='Historical Score'!$C$9,1,0),0)</f>
        <v/>
      </c>
      <c r="AV454">
        <f>AR454*AS454*AQ454</f>
        <v/>
      </c>
      <c r="AW454">
        <f>AR454*AT454*AQ454</f>
        <v/>
      </c>
      <c r="AX454">
        <f>AR454*AS454</f>
        <v/>
      </c>
      <c r="AY454">
        <f>AR454*AT454</f>
        <v/>
      </c>
      <c r="AZ454">
        <f>AR454*AQ454</f>
        <v/>
      </c>
      <c r="BA454">
        <f>AR454</f>
        <v/>
      </c>
      <c r="BB454">
        <f>1</f>
        <v/>
      </c>
      <c r="BC454">
        <f>IF(AV454=1,1,IF(AW454=1,2,IF(AX454=1,3,IF(AY454=1,4,IF(AZ454=1,5,IF(BA454=1,6,7))))))</f>
        <v/>
      </c>
      <c r="BD454">
        <f>IF(AD454=1,CHOOSE('Historical Score'!$C$29,AV454,AW454,AX454,AY454,AZ454,BA454,BB454),0)</f>
        <v/>
      </c>
      <c r="BE454">
        <f>IF(BD454=1,COUNTIF($BD$2:BD454,1),"")</f>
        <v/>
      </c>
    </row>
    <row r="455">
      <c r="A455" t="inlineStr">
        <is>
          <t>5674174595</t>
        </is>
      </c>
      <c r="B455" t="inlineStr">
        <is>
          <t>KNIGHT MAINTENANCE LLC</t>
        </is>
      </c>
      <c r="C455" t="inlineStr">
        <is>
          <t>KNIGHT MAINTENANCE LLC</t>
        </is>
      </c>
      <c r="D455" t="inlineStr">
        <is>
          <t>Closed</t>
        </is>
      </c>
      <c r="E455" s="297" t="n">
        <v>46009</v>
      </c>
      <c r="F455" s="297" t="n">
        <v>46129</v>
      </c>
      <c r="G455" t="n">
        <v>7</v>
      </c>
      <c r="H455" t="inlineStr">
        <is>
          <t>7349</t>
        </is>
      </c>
      <c r="I455" t="inlineStr">
        <is>
          <t>73</t>
        </is>
      </c>
      <c r="J455" t="inlineStr">
        <is>
          <t>NJ</t>
        </is>
      </c>
      <c r="K455" t="inlineStr">
        <is>
          <t>Triumph Cap Fund</t>
        </is>
      </c>
      <c r="L455" t="inlineStr">
        <is>
          <t>New Deal</t>
        </is>
      </c>
      <c r="M455" s="298" t="n">
        <v>1.49</v>
      </c>
      <c r="N455" s="299" t="n">
        <v>10000</v>
      </c>
      <c r="O455" s="299" t="n">
        <v>1400</v>
      </c>
      <c r="P455" s="299" t="n">
        <v>14900</v>
      </c>
      <c r="Q455" s="299" t="n">
        <v>14900</v>
      </c>
      <c r="R455" s="299" t="n">
        <v>0</v>
      </c>
      <c r="S455" s="300" t="n">
        <v>1</v>
      </c>
      <c r="T455" t="n">
        <v>3.279</v>
      </c>
      <c r="U455" t="n">
        <v>1</v>
      </c>
      <c r="V455" t="n">
        <v>56609.08</v>
      </c>
      <c r="W455" s="300" t="n">
        <v>0.0553</v>
      </c>
      <c r="X455" s="297" t="n">
        <v>42223</v>
      </c>
      <c r="Y455">
        <f>IF(I455="","No SIC",IFERROR(VLOOKUP(I455,Ref!$A$2:$B$65,2,FALSE),"Unclassified"))</f>
        <v/>
      </c>
      <c r="Z455">
        <f>IF(T455="","",IF(T455&lt;12,"Daily","Weekly"))</f>
        <v/>
      </c>
      <c r="AA455">
        <f>IF(T455="",0,IF(T455&lt;12,T455*Controls!$B$29,T455*5))</f>
        <v/>
      </c>
      <c r="AB455">
        <f>IF(E455="",0,NETWORKDAYS(E455,Controls!$B$36,Ref!$K$2:$K$42))</f>
        <v/>
      </c>
      <c r="AC455">
        <f>IF(AND(AA455&gt;0,AB455&gt;=Controls!$B$39*AA455),1,0)</f>
        <v/>
      </c>
      <c r="AD455">
        <f>IF(AND(E455&lt;&gt;"",E455&gt;=Controls!$B$37,E455&lt;=Controls!$B$38),1,0)</f>
        <v/>
      </c>
      <c r="AE455">
        <f>IF(IFERROR(VLOOKUP(D455,Controls!$A$64:$E$74,2,FALSE),"No")="Yes",1,0)</f>
        <v/>
      </c>
      <c r="AF455">
        <f>IF(IFERROR(VLOOKUP(D455,Controls!$A$64:$E$74,3,FALSE),"No")="Yes",1,0)</f>
        <v/>
      </c>
      <c r="AG455">
        <f>IF(IFERROR(VLOOKUP(D455,Controls!$A$64:$E$74,4,FALSE),"No")="Yes",1,0)</f>
        <v/>
      </c>
      <c r="AH455">
        <f>IF(IFERROR(VLOOKUP(D455,Controls!$A$64:$E$74,5,FALSE),"No")="Yes",1,0)</f>
        <v/>
      </c>
      <c r="AI455">
        <f>IF(ISNUMBER(MATCH(D455,Controls!$A$64:$A$74,0)),1,0)</f>
        <v/>
      </c>
      <c r="AJ455">
        <f>Q455-N455</f>
        <v/>
      </c>
      <c r="AK455">
        <f>IF(AE455=1,MAX(0,N455-Q455),0)</f>
        <v/>
      </c>
      <c r="AL455">
        <f>IF(OR(V455="",V455=0),0,N455/V455)</f>
        <v/>
      </c>
      <c r="AM455">
        <f>IF(OR(V455="",V455=0),0,1)</f>
        <v/>
      </c>
      <c r="AN455">
        <f>IF(OR(E455="",F455=""),0,NETWORKDAYS(E455,F455,Ref!$K$2:$K$42))</f>
        <v/>
      </c>
      <c r="AO455">
        <f>IF(L455="Renewal",1,0)</f>
        <v/>
      </c>
      <c r="AP455">
        <f>AC455*AD455</f>
        <v/>
      </c>
      <c r="AQ455">
        <f>IF(AND(G455&lt;&gt;"",'Historical Score'!$C$6&lt;&gt;""),IF(G455='Historical Score'!$C$6,1,0),0)</f>
        <v/>
      </c>
      <c r="AR455">
        <f>IF(AND(L455&lt;&gt;"",'Historical Score'!$C$5&lt;&gt;""),IF(L455='Historical Score'!$C$5,1,0),0)</f>
        <v/>
      </c>
      <c r="AS455">
        <f>IF(AND(Y455&lt;&gt;"",'Historical Score'!$C$7&lt;&gt;""),IF(Y455='Historical Score'!$C$7,1,0),0)</f>
        <v/>
      </c>
      <c r="AT455">
        <f>IF(AND(K455&lt;&gt;"",'Historical Score'!$C$8&lt;&gt;""),IF(K455='Historical Score'!$C$8,1,0),0)</f>
        <v/>
      </c>
      <c r="AU455">
        <f>IF(AND(J455&lt;&gt;"",'Historical Score'!$C$9&lt;&gt;""),IF(J455='Historical Score'!$C$9,1,0),0)</f>
        <v/>
      </c>
      <c r="AV455">
        <f>AR455*AS455*AQ455</f>
        <v/>
      </c>
      <c r="AW455">
        <f>AR455*AT455*AQ455</f>
        <v/>
      </c>
      <c r="AX455">
        <f>AR455*AS455</f>
        <v/>
      </c>
      <c r="AY455">
        <f>AR455*AT455</f>
        <v/>
      </c>
      <c r="AZ455">
        <f>AR455*AQ455</f>
        <v/>
      </c>
      <c r="BA455">
        <f>AR455</f>
        <v/>
      </c>
      <c r="BB455">
        <f>1</f>
        <v/>
      </c>
      <c r="BC455">
        <f>IF(AV455=1,1,IF(AW455=1,2,IF(AX455=1,3,IF(AY455=1,4,IF(AZ455=1,5,IF(BA455=1,6,7))))))</f>
        <v/>
      </c>
      <c r="BD455">
        <f>IF(AD455=1,CHOOSE('Historical Score'!$C$29,AV455,AW455,AX455,AY455,AZ455,BA455,BB455),0)</f>
        <v/>
      </c>
      <c r="BE455">
        <f>IF(BD455=1,COUNTIF($BD$2:BD455,1),"")</f>
        <v/>
      </c>
    </row>
    <row r="456">
      <c r="A456" t="inlineStr">
        <is>
          <t>5674174626</t>
        </is>
      </c>
      <c r="B456" t="inlineStr">
        <is>
          <t>PAUGUS BAY LANDSCAPE LLC</t>
        </is>
      </c>
      <c r="C456" t="inlineStr">
        <is>
          <t>PAUGUS BAY LANDSCAPE LLC</t>
        </is>
      </c>
      <c r="D456" t="inlineStr">
        <is>
          <t>Closed</t>
        </is>
      </c>
      <c r="E456" s="297" t="n">
        <v>46009</v>
      </c>
      <c r="F456" s="297" t="n">
        <v>46055</v>
      </c>
      <c r="G456" t="n">
        <v>1</v>
      </c>
      <c r="H456" t="inlineStr">
        <is>
          <t>0781</t>
        </is>
      </c>
      <c r="I456" t="inlineStr">
        <is>
          <t>07</t>
        </is>
      </c>
      <c r="J456" t="inlineStr">
        <is>
          <t>NH</t>
        </is>
      </c>
      <c r="K456" t="inlineStr">
        <is>
          <t>United Secured Capital 8</t>
        </is>
      </c>
      <c r="L456" t="inlineStr">
        <is>
          <t>New Deal</t>
        </is>
      </c>
      <c r="M456" s="298" t="n">
        <v>1.49</v>
      </c>
      <c r="N456" s="299" t="n">
        <v>7500</v>
      </c>
      <c r="O456" s="299" t="n">
        <v>1050</v>
      </c>
      <c r="P456" s="299" t="n">
        <v>11175</v>
      </c>
      <c r="Q456" s="299" t="n">
        <v>11175</v>
      </c>
      <c r="R456" s="299" t="n">
        <v>0</v>
      </c>
      <c r="S456" s="300" t="n">
        <v>1</v>
      </c>
      <c r="T456" t="n">
        <v>2.295</v>
      </c>
      <c r="U456" t="n">
        <v>0</v>
      </c>
      <c r="V456" t="n">
        <v>25000</v>
      </c>
      <c r="W456" s="300" t="n">
        <v>0.1812</v>
      </c>
      <c r="X456" s="297" t="n">
        <v>45292</v>
      </c>
      <c r="Y456">
        <f>IF(I456="","No SIC",IFERROR(VLOOKUP(I456,Ref!$A$2:$B$65,2,FALSE),"Unclassified"))</f>
        <v/>
      </c>
      <c r="Z456">
        <f>IF(T456="","",IF(T456&lt;12,"Daily","Weekly"))</f>
        <v/>
      </c>
      <c r="AA456">
        <f>IF(T456="",0,IF(T456&lt;12,T456*Controls!$B$29,T456*5))</f>
        <v/>
      </c>
      <c r="AB456">
        <f>IF(E456="",0,NETWORKDAYS(E456,Controls!$B$36,Ref!$K$2:$K$42))</f>
        <v/>
      </c>
      <c r="AC456">
        <f>IF(AND(AA456&gt;0,AB456&gt;=Controls!$B$39*AA456),1,0)</f>
        <v/>
      </c>
      <c r="AD456">
        <f>IF(AND(E456&lt;&gt;"",E456&gt;=Controls!$B$37,E456&lt;=Controls!$B$38),1,0)</f>
        <v/>
      </c>
      <c r="AE456">
        <f>IF(IFERROR(VLOOKUP(D456,Controls!$A$64:$E$74,2,FALSE),"No")="Yes",1,0)</f>
        <v/>
      </c>
      <c r="AF456">
        <f>IF(IFERROR(VLOOKUP(D456,Controls!$A$64:$E$74,3,FALSE),"No")="Yes",1,0)</f>
        <v/>
      </c>
      <c r="AG456">
        <f>IF(IFERROR(VLOOKUP(D456,Controls!$A$64:$E$74,4,FALSE),"No")="Yes",1,0)</f>
        <v/>
      </c>
      <c r="AH456">
        <f>IF(IFERROR(VLOOKUP(D456,Controls!$A$64:$E$74,5,FALSE),"No")="Yes",1,0)</f>
        <v/>
      </c>
      <c r="AI456">
        <f>IF(ISNUMBER(MATCH(D456,Controls!$A$64:$A$74,0)),1,0)</f>
        <v/>
      </c>
      <c r="AJ456">
        <f>Q456-N456</f>
        <v/>
      </c>
      <c r="AK456">
        <f>IF(AE456=1,MAX(0,N456-Q456),0)</f>
        <v/>
      </c>
      <c r="AL456">
        <f>IF(OR(V456="",V456=0),0,N456/V456)</f>
        <v/>
      </c>
      <c r="AM456">
        <f>IF(OR(V456="",V456=0),0,1)</f>
        <v/>
      </c>
      <c r="AN456">
        <f>IF(OR(E456="",F456=""),0,NETWORKDAYS(E456,F456,Ref!$K$2:$K$42))</f>
        <v/>
      </c>
      <c r="AO456">
        <f>IF(L456="Renewal",1,0)</f>
        <v/>
      </c>
      <c r="AP456">
        <f>AC456*AD456</f>
        <v/>
      </c>
      <c r="AQ456">
        <f>IF(AND(G456&lt;&gt;"",'Historical Score'!$C$6&lt;&gt;""),IF(G456='Historical Score'!$C$6,1,0),0)</f>
        <v/>
      </c>
      <c r="AR456">
        <f>IF(AND(L456&lt;&gt;"",'Historical Score'!$C$5&lt;&gt;""),IF(L456='Historical Score'!$C$5,1,0),0)</f>
        <v/>
      </c>
      <c r="AS456">
        <f>IF(AND(Y456&lt;&gt;"",'Historical Score'!$C$7&lt;&gt;""),IF(Y456='Historical Score'!$C$7,1,0),0)</f>
        <v/>
      </c>
      <c r="AT456">
        <f>IF(AND(K456&lt;&gt;"",'Historical Score'!$C$8&lt;&gt;""),IF(K456='Historical Score'!$C$8,1,0),0)</f>
        <v/>
      </c>
      <c r="AU456">
        <f>IF(AND(J456&lt;&gt;"",'Historical Score'!$C$9&lt;&gt;""),IF(J456='Historical Score'!$C$9,1,0),0)</f>
        <v/>
      </c>
      <c r="AV456">
        <f>AR456*AS456*AQ456</f>
        <v/>
      </c>
      <c r="AW456">
        <f>AR456*AT456*AQ456</f>
        <v/>
      </c>
      <c r="AX456">
        <f>AR456*AS456</f>
        <v/>
      </c>
      <c r="AY456">
        <f>AR456*AT456</f>
        <v/>
      </c>
      <c r="AZ456">
        <f>AR456*AQ456</f>
        <v/>
      </c>
      <c r="BA456">
        <f>AR456</f>
        <v/>
      </c>
      <c r="BB456">
        <f>1</f>
        <v/>
      </c>
      <c r="BC456">
        <f>IF(AV456=1,1,IF(AW456=1,2,IF(AX456=1,3,IF(AY456=1,4,IF(AZ456=1,5,IF(BA456=1,6,7))))))</f>
        <v/>
      </c>
      <c r="BD456">
        <f>IF(AD456=1,CHOOSE('Historical Score'!$C$29,AV456,AW456,AX456,AY456,AZ456,BA456,BB456),0)</f>
        <v/>
      </c>
      <c r="BE456">
        <f>IF(BD456=1,COUNTIF($BD$2:BD456,1),"")</f>
        <v/>
      </c>
    </row>
    <row r="457">
      <c r="A457" t="inlineStr">
        <is>
          <t>5674174627</t>
        </is>
      </c>
      <c r="B457" t="inlineStr">
        <is>
          <t>VILLI ELECTRICAL SERVICES</t>
        </is>
      </c>
      <c r="C457" t="inlineStr">
        <is>
          <t>LUNA LUCE LLC</t>
        </is>
      </c>
      <c r="D457" t="inlineStr">
        <is>
          <t>Closed</t>
        </is>
      </c>
      <c r="E457" s="297" t="n">
        <v>46009</v>
      </c>
      <c r="F457" s="297" t="n">
        <v>46132</v>
      </c>
      <c r="G457" t="n">
        <v>1</v>
      </c>
      <c r="H457" t="inlineStr">
        <is>
          <t>1731</t>
        </is>
      </c>
      <c r="I457" t="inlineStr">
        <is>
          <t>17</t>
        </is>
      </c>
      <c r="J457" t="inlineStr">
        <is>
          <t>PA</t>
        </is>
      </c>
      <c r="K457" t="inlineStr">
        <is>
          <t>Fundwell</t>
        </is>
      </c>
      <c r="L457" t="inlineStr">
        <is>
          <t>New Deal</t>
        </is>
      </c>
      <c r="M457" s="298" t="n">
        <v>1.38</v>
      </c>
      <c r="N457" s="299" t="n">
        <v>75000</v>
      </c>
      <c r="O457" s="299" t="n">
        <v>9375</v>
      </c>
      <c r="P457" s="299" t="n">
        <v>103500</v>
      </c>
      <c r="Q457" s="299" t="n">
        <v>103500</v>
      </c>
      <c r="R457" s="299" t="n">
        <v>-1.45519152283669e-11</v>
      </c>
      <c r="S457" s="300" t="n">
        <v>1</v>
      </c>
      <c r="T457" t="n">
        <v>28</v>
      </c>
      <c r="U457" t="n">
        <v>1</v>
      </c>
      <c r="V457" t="n">
        <v>125984.36</v>
      </c>
      <c r="W457" s="300" t="n">
        <v>0.1174</v>
      </c>
      <c r="X457" s="297" t="n">
        <v>43283</v>
      </c>
      <c r="Y457">
        <f>IF(I457="","No SIC",IFERROR(VLOOKUP(I457,Ref!$A$2:$B$65,2,FALSE),"Unclassified"))</f>
        <v/>
      </c>
      <c r="Z457">
        <f>IF(T457="","",IF(T457&lt;12,"Daily","Weekly"))</f>
        <v/>
      </c>
      <c r="AA457">
        <f>IF(T457="",0,IF(T457&lt;12,T457*Controls!$B$29,T457*5))</f>
        <v/>
      </c>
      <c r="AB457">
        <f>IF(E457="",0,NETWORKDAYS(E457,Controls!$B$36,Ref!$K$2:$K$42))</f>
        <v/>
      </c>
      <c r="AC457">
        <f>IF(AND(AA457&gt;0,AB457&gt;=Controls!$B$39*AA457),1,0)</f>
        <v/>
      </c>
      <c r="AD457">
        <f>IF(AND(E457&lt;&gt;"",E457&gt;=Controls!$B$37,E457&lt;=Controls!$B$38),1,0)</f>
        <v/>
      </c>
      <c r="AE457">
        <f>IF(IFERROR(VLOOKUP(D457,Controls!$A$64:$E$74,2,FALSE),"No")="Yes",1,0)</f>
        <v/>
      </c>
      <c r="AF457">
        <f>IF(IFERROR(VLOOKUP(D457,Controls!$A$64:$E$74,3,FALSE),"No")="Yes",1,0)</f>
        <v/>
      </c>
      <c r="AG457">
        <f>IF(IFERROR(VLOOKUP(D457,Controls!$A$64:$E$74,4,FALSE),"No")="Yes",1,0)</f>
        <v/>
      </c>
      <c r="AH457">
        <f>IF(IFERROR(VLOOKUP(D457,Controls!$A$64:$E$74,5,FALSE),"No")="Yes",1,0)</f>
        <v/>
      </c>
      <c r="AI457">
        <f>IF(ISNUMBER(MATCH(D457,Controls!$A$64:$A$74,0)),1,0)</f>
        <v/>
      </c>
      <c r="AJ457">
        <f>Q457-N457</f>
        <v/>
      </c>
      <c r="AK457">
        <f>IF(AE457=1,MAX(0,N457-Q457),0)</f>
        <v/>
      </c>
      <c r="AL457">
        <f>IF(OR(V457="",V457=0),0,N457/V457)</f>
        <v/>
      </c>
      <c r="AM457">
        <f>IF(OR(V457="",V457=0),0,1)</f>
        <v/>
      </c>
      <c r="AN457">
        <f>IF(OR(E457="",F457=""),0,NETWORKDAYS(E457,F457,Ref!$K$2:$K$42))</f>
        <v/>
      </c>
      <c r="AO457">
        <f>IF(L457="Renewal",1,0)</f>
        <v/>
      </c>
      <c r="AP457">
        <f>AC457*AD457</f>
        <v/>
      </c>
      <c r="AQ457">
        <f>IF(AND(G457&lt;&gt;"",'Historical Score'!$C$6&lt;&gt;""),IF(G457='Historical Score'!$C$6,1,0),0)</f>
        <v/>
      </c>
      <c r="AR457">
        <f>IF(AND(L457&lt;&gt;"",'Historical Score'!$C$5&lt;&gt;""),IF(L457='Historical Score'!$C$5,1,0),0)</f>
        <v/>
      </c>
      <c r="AS457">
        <f>IF(AND(Y457&lt;&gt;"",'Historical Score'!$C$7&lt;&gt;""),IF(Y457='Historical Score'!$C$7,1,0),0)</f>
        <v/>
      </c>
      <c r="AT457">
        <f>IF(AND(K457&lt;&gt;"",'Historical Score'!$C$8&lt;&gt;""),IF(K457='Historical Score'!$C$8,1,0),0)</f>
        <v/>
      </c>
      <c r="AU457">
        <f>IF(AND(J457&lt;&gt;"",'Historical Score'!$C$9&lt;&gt;""),IF(J457='Historical Score'!$C$9,1,0),0)</f>
        <v/>
      </c>
      <c r="AV457">
        <f>AR457*AS457*AQ457</f>
        <v/>
      </c>
      <c r="AW457">
        <f>AR457*AT457*AQ457</f>
        <v/>
      </c>
      <c r="AX457">
        <f>AR457*AS457</f>
        <v/>
      </c>
      <c r="AY457">
        <f>AR457*AT457</f>
        <v/>
      </c>
      <c r="AZ457">
        <f>AR457*AQ457</f>
        <v/>
      </c>
      <c r="BA457">
        <f>AR457</f>
        <v/>
      </c>
      <c r="BB457">
        <f>1</f>
        <v/>
      </c>
      <c r="BC457">
        <f>IF(AV457=1,1,IF(AW457=1,2,IF(AX457=1,3,IF(AY457=1,4,IF(AZ457=1,5,IF(BA457=1,6,7))))))</f>
        <v/>
      </c>
      <c r="BD457">
        <f>IF(AD457=1,CHOOSE('Historical Score'!$C$29,AV457,AW457,AX457,AY457,AZ457,BA457,BB457),0)</f>
        <v/>
      </c>
      <c r="BE457">
        <f>IF(BD457=1,COUNTIF($BD$2:BD457,1),"")</f>
        <v/>
      </c>
    </row>
    <row r="458">
      <c r="A458" t="inlineStr">
        <is>
          <t>5674174652</t>
        </is>
      </c>
      <c r="B458" t="inlineStr">
        <is>
          <t>PROFESSIONAL SYSTEMS INSTALLATION</t>
        </is>
      </c>
      <c r="C458" t="inlineStr">
        <is>
          <t>professional systems installation, inc</t>
        </is>
      </c>
      <c r="D458" t="inlineStr">
        <is>
          <t>Closed</t>
        </is>
      </c>
      <c r="E458" s="297" t="n">
        <v>46009</v>
      </c>
      <c r="F458" s="297" t="n">
        <v>46150</v>
      </c>
      <c r="G458" t="n">
        <v>3</v>
      </c>
      <c r="H458" t="inlineStr">
        <is>
          <t>4225</t>
        </is>
      </c>
      <c r="I458" t="inlineStr">
        <is>
          <t>42</t>
        </is>
      </c>
      <c r="J458" t="inlineStr">
        <is>
          <t>MI</t>
        </is>
      </c>
      <c r="K458" t="inlineStr">
        <is>
          <t>EZ ADVANCE LLC</t>
        </is>
      </c>
      <c r="L458" t="inlineStr">
        <is>
          <t>New Deal</t>
        </is>
      </c>
      <c r="M458" s="298" t="n">
        <v>1.42</v>
      </c>
      <c r="N458" s="299" t="n">
        <v>200000</v>
      </c>
      <c r="O458" s="299" t="n">
        <v>21000</v>
      </c>
      <c r="P458" s="299" t="n">
        <v>284000</v>
      </c>
      <c r="Q458" s="299" t="n">
        <v>284000</v>
      </c>
      <c r="R458" s="299" t="n">
        <v>0</v>
      </c>
      <c r="S458" s="300" t="n">
        <v>1</v>
      </c>
      <c r="T458" t="n">
        <v>38</v>
      </c>
      <c r="U458" t="n">
        <v>0</v>
      </c>
      <c r="V458" t="n">
        <v>619888.4399999999</v>
      </c>
      <c r="W458" s="300" t="n">
        <v>0.0482</v>
      </c>
      <c r="X458" s="297" t="n">
        <v>41377</v>
      </c>
      <c r="Y458">
        <f>IF(I458="","No SIC",IFERROR(VLOOKUP(I458,Ref!$A$2:$B$65,2,FALSE),"Unclassified"))</f>
        <v/>
      </c>
      <c r="Z458">
        <f>IF(T458="","",IF(T458&lt;12,"Daily","Weekly"))</f>
        <v/>
      </c>
      <c r="AA458">
        <f>IF(T458="",0,IF(T458&lt;12,T458*Controls!$B$29,T458*5))</f>
        <v/>
      </c>
      <c r="AB458">
        <f>IF(E458="",0,NETWORKDAYS(E458,Controls!$B$36,Ref!$K$2:$K$42))</f>
        <v/>
      </c>
      <c r="AC458">
        <f>IF(AND(AA458&gt;0,AB458&gt;=Controls!$B$39*AA458),1,0)</f>
        <v/>
      </c>
      <c r="AD458">
        <f>IF(AND(E458&lt;&gt;"",E458&gt;=Controls!$B$37,E458&lt;=Controls!$B$38),1,0)</f>
        <v/>
      </c>
      <c r="AE458">
        <f>IF(IFERROR(VLOOKUP(D458,Controls!$A$64:$E$74,2,FALSE),"No")="Yes",1,0)</f>
        <v/>
      </c>
      <c r="AF458">
        <f>IF(IFERROR(VLOOKUP(D458,Controls!$A$64:$E$74,3,FALSE),"No")="Yes",1,0)</f>
        <v/>
      </c>
      <c r="AG458">
        <f>IF(IFERROR(VLOOKUP(D458,Controls!$A$64:$E$74,4,FALSE),"No")="Yes",1,0)</f>
        <v/>
      </c>
      <c r="AH458">
        <f>IF(IFERROR(VLOOKUP(D458,Controls!$A$64:$E$74,5,FALSE),"No")="Yes",1,0)</f>
        <v/>
      </c>
      <c r="AI458">
        <f>IF(ISNUMBER(MATCH(D458,Controls!$A$64:$A$74,0)),1,0)</f>
        <v/>
      </c>
      <c r="AJ458">
        <f>Q458-N458</f>
        <v/>
      </c>
      <c r="AK458">
        <f>IF(AE458=1,MAX(0,N458-Q458),0)</f>
        <v/>
      </c>
      <c r="AL458">
        <f>IF(OR(V458="",V458=0),0,N458/V458)</f>
        <v/>
      </c>
      <c r="AM458">
        <f>IF(OR(V458="",V458=0),0,1)</f>
        <v/>
      </c>
      <c r="AN458">
        <f>IF(OR(E458="",F458=""),0,NETWORKDAYS(E458,F458,Ref!$K$2:$K$42))</f>
        <v/>
      </c>
      <c r="AO458">
        <f>IF(L458="Renewal",1,0)</f>
        <v/>
      </c>
      <c r="AP458">
        <f>AC458*AD458</f>
        <v/>
      </c>
      <c r="AQ458">
        <f>IF(AND(G458&lt;&gt;"",'Historical Score'!$C$6&lt;&gt;""),IF(G458='Historical Score'!$C$6,1,0),0)</f>
        <v/>
      </c>
      <c r="AR458">
        <f>IF(AND(L458&lt;&gt;"",'Historical Score'!$C$5&lt;&gt;""),IF(L458='Historical Score'!$C$5,1,0),0)</f>
        <v/>
      </c>
      <c r="AS458">
        <f>IF(AND(Y458&lt;&gt;"",'Historical Score'!$C$7&lt;&gt;""),IF(Y458='Historical Score'!$C$7,1,0),0)</f>
        <v/>
      </c>
      <c r="AT458">
        <f>IF(AND(K458&lt;&gt;"",'Historical Score'!$C$8&lt;&gt;""),IF(K458='Historical Score'!$C$8,1,0),0)</f>
        <v/>
      </c>
      <c r="AU458">
        <f>IF(AND(J458&lt;&gt;"",'Historical Score'!$C$9&lt;&gt;""),IF(J458='Historical Score'!$C$9,1,0),0)</f>
        <v/>
      </c>
      <c r="AV458">
        <f>AR458*AS458*AQ458</f>
        <v/>
      </c>
      <c r="AW458">
        <f>AR458*AT458*AQ458</f>
        <v/>
      </c>
      <c r="AX458">
        <f>AR458*AS458</f>
        <v/>
      </c>
      <c r="AY458">
        <f>AR458*AT458</f>
        <v/>
      </c>
      <c r="AZ458">
        <f>AR458*AQ458</f>
        <v/>
      </c>
      <c r="BA458">
        <f>AR458</f>
        <v/>
      </c>
      <c r="BB458">
        <f>1</f>
        <v/>
      </c>
      <c r="BC458">
        <f>IF(AV458=1,1,IF(AW458=1,2,IF(AX458=1,3,IF(AY458=1,4,IF(AZ458=1,5,IF(BA458=1,6,7))))))</f>
        <v/>
      </c>
      <c r="BD458">
        <f>IF(AD458=1,CHOOSE('Historical Score'!$C$29,AV458,AW458,AX458,AY458,AZ458,BA458,BB458),0)</f>
        <v/>
      </c>
      <c r="BE458">
        <f>IF(BD458=1,COUNTIF($BD$2:BD458,1),"")</f>
        <v/>
      </c>
    </row>
    <row r="459">
      <c r="A459" t="inlineStr">
        <is>
          <t>5674174654</t>
        </is>
      </c>
      <c r="B459" t="inlineStr">
        <is>
          <t>Obys Auto Restoration LLC</t>
        </is>
      </c>
      <c r="C459" t="inlineStr">
        <is>
          <t>Obys Auto Restoration LLC</t>
        </is>
      </c>
      <c r="D459" t="inlineStr">
        <is>
          <t>Closed</t>
        </is>
      </c>
      <c r="E459" s="297" t="n">
        <v>46009</v>
      </c>
      <c r="F459" s="297" t="n">
        <v>46118</v>
      </c>
      <c r="G459" t="n">
        <v>1</v>
      </c>
      <c r="H459" t="inlineStr">
        <is>
          <t>7538</t>
        </is>
      </c>
      <c r="I459" t="inlineStr">
        <is>
          <t>75</t>
        </is>
      </c>
      <c r="J459" t="inlineStr">
        <is>
          <t>WI</t>
        </is>
      </c>
      <c r="K459" t="inlineStr">
        <is>
          <t>United Secured Capital 8</t>
        </is>
      </c>
      <c r="L459" t="inlineStr">
        <is>
          <t>New Deal</t>
        </is>
      </c>
      <c r="M459" s="298" t="n">
        <v>1.49</v>
      </c>
      <c r="N459" s="299" t="n">
        <v>15000</v>
      </c>
      <c r="O459" s="299" t="n">
        <v>2100</v>
      </c>
      <c r="P459" s="299" t="n">
        <v>22350</v>
      </c>
      <c r="Q459" s="299" t="n">
        <v>22350</v>
      </c>
      <c r="R459" s="299" t="n">
        <v>0</v>
      </c>
      <c r="S459" s="300" t="n">
        <v>1</v>
      </c>
      <c r="T459" t="n">
        <v>18</v>
      </c>
      <c r="U459" t="n">
        <v>2</v>
      </c>
      <c r="V459" t="n">
        <v>36089.77</v>
      </c>
      <c r="W459" s="300" t="n">
        <v>0.1376</v>
      </c>
      <c r="X459" s="297" t="n">
        <v>45812</v>
      </c>
      <c r="Y459">
        <f>IF(I459="","No SIC",IFERROR(VLOOKUP(I459,Ref!$A$2:$B$65,2,FALSE),"Unclassified"))</f>
        <v/>
      </c>
      <c r="Z459">
        <f>IF(T459="","",IF(T459&lt;12,"Daily","Weekly"))</f>
        <v/>
      </c>
      <c r="AA459">
        <f>IF(T459="",0,IF(T459&lt;12,T459*Controls!$B$29,T459*5))</f>
        <v/>
      </c>
      <c r="AB459">
        <f>IF(E459="",0,NETWORKDAYS(E459,Controls!$B$36,Ref!$K$2:$K$42))</f>
        <v/>
      </c>
      <c r="AC459">
        <f>IF(AND(AA459&gt;0,AB459&gt;=Controls!$B$39*AA459),1,0)</f>
        <v/>
      </c>
      <c r="AD459">
        <f>IF(AND(E459&lt;&gt;"",E459&gt;=Controls!$B$37,E459&lt;=Controls!$B$38),1,0)</f>
        <v/>
      </c>
      <c r="AE459">
        <f>IF(IFERROR(VLOOKUP(D459,Controls!$A$64:$E$74,2,FALSE),"No")="Yes",1,0)</f>
        <v/>
      </c>
      <c r="AF459">
        <f>IF(IFERROR(VLOOKUP(D459,Controls!$A$64:$E$74,3,FALSE),"No")="Yes",1,0)</f>
        <v/>
      </c>
      <c r="AG459">
        <f>IF(IFERROR(VLOOKUP(D459,Controls!$A$64:$E$74,4,FALSE),"No")="Yes",1,0)</f>
        <v/>
      </c>
      <c r="AH459">
        <f>IF(IFERROR(VLOOKUP(D459,Controls!$A$64:$E$74,5,FALSE),"No")="Yes",1,0)</f>
        <v/>
      </c>
      <c r="AI459">
        <f>IF(ISNUMBER(MATCH(D459,Controls!$A$64:$A$74,0)),1,0)</f>
        <v/>
      </c>
      <c r="AJ459">
        <f>Q459-N459</f>
        <v/>
      </c>
      <c r="AK459">
        <f>IF(AE459=1,MAX(0,N459-Q459),0)</f>
        <v/>
      </c>
      <c r="AL459">
        <f>IF(OR(V459="",V459=0),0,N459/V459)</f>
        <v/>
      </c>
      <c r="AM459">
        <f>IF(OR(V459="",V459=0),0,1)</f>
        <v/>
      </c>
      <c r="AN459">
        <f>IF(OR(E459="",F459=""),0,NETWORKDAYS(E459,F459,Ref!$K$2:$K$42))</f>
        <v/>
      </c>
      <c r="AO459">
        <f>IF(L459="Renewal",1,0)</f>
        <v/>
      </c>
      <c r="AP459">
        <f>AC459*AD459</f>
        <v/>
      </c>
      <c r="AQ459">
        <f>IF(AND(G459&lt;&gt;"",'Historical Score'!$C$6&lt;&gt;""),IF(G459='Historical Score'!$C$6,1,0),0)</f>
        <v/>
      </c>
      <c r="AR459">
        <f>IF(AND(L459&lt;&gt;"",'Historical Score'!$C$5&lt;&gt;""),IF(L459='Historical Score'!$C$5,1,0),0)</f>
        <v/>
      </c>
      <c r="AS459">
        <f>IF(AND(Y459&lt;&gt;"",'Historical Score'!$C$7&lt;&gt;""),IF(Y459='Historical Score'!$C$7,1,0),0)</f>
        <v/>
      </c>
      <c r="AT459">
        <f>IF(AND(K459&lt;&gt;"",'Historical Score'!$C$8&lt;&gt;""),IF(K459='Historical Score'!$C$8,1,0),0)</f>
        <v/>
      </c>
      <c r="AU459">
        <f>IF(AND(J459&lt;&gt;"",'Historical Score'!$C$9&lt;&gt;""),IF(J459='Historical Score'!$C$9,1,0),0)</f>
        <v/>
      </c>
      <c r="AV459">
        <f>AR459*AS459*AQ459</f>
        <v/>
      </c>
      <c r="AW459">
        <f>AR459*AT459*AQ459</f>
        <v/>
      </c>
      <c r="AX459">
        <f>AR459*AS459</f>
        <v/>
      </c>
      <c r="AY459">
        <f>AR459*AT459</f>
        <v/>
      </c>
      <c r="AZ459">
        <f>AR459*AQ459</f>
        <v/>
      </c>
      <c r="BA459">
        <f>AR459</f>
        <v/>
      </c>
      <c r="BB459">
        <f>1</f>
        <v/>
      </c>
      <c r="BC459">
        <f>IF(AV459=1,1,IF(AW459=1,2,IF(AX459=1,3,IF(AY459=1,4,IF(AZ459=1,5,IF(BA459=1,6,7))))))</f>
        <v/>
      </c>
      <c r="BD459">
        <f>IF(AD459=1,CHOOSE('Historical Score'!$C$29,AV459,AW459,AX459,AY459,AZ459,BA459,BB459),0)</f>
        <v/>
      </c>
      <c r="BE459">
        <f>IF(BD459=1,COUNTIF($BD$2:BD459,1),"")</f>
        <v/>
      </c>
    </row>
    <row r="460">
      <c r="A460" t="inlineStr">
        <is>
          <t>5674174716</t>
        </is>
      </c>
      <c r="B460" t="inlineStr">
        <is>
          <t>WILLIAMS FIRE PROTECTION</t>
        </is>
      </c>
      <c r="C460" t="inlineStr">
        <is>
          <t>WILLIAMS FIRE PROTECTION</t>
        </is>
      </c>
      <c r="D460" t="inlineStr">
        <is>
          <t>Lowered Payments</t>
        </is>
      </c>
      <c r="E460" s="297" t="n">
        <v>46010</v>
      </c>
      <c r="F460" s="297" t="n">
        <v>46227</v>
      </c>
      <c r="G460" t="n">
        <v>1</v>
      </c>
      <c r="H460" t="inlineStr">
        <is>
          <t>9224</t>
        </is>
      </c>
      <c r="I460" t="inlineStr">
        <is>
          <t>92</t>
        </is>
      </c>
      <c r="J460" t="inlineStr">
        <is>
          <t>CA</t>
        </is>
      </c>
      <c r="K460" t="inlineStr">
        <is>
          <t>Fundwell</t>
        </is>
      </c>
      <c r="L460" t="inlineStr">
        <is>
          <t>New Deal</t>
        </is>
      </c>
      <c r="M460" s="298" t="n">
        <v>1.46</v>
      </c>
      <c r="N460" s="299" t="n">
        <v>30000</v>
      </c>
      <c r="O460" s="299" t="n">
        <v>4650</v>
      </c>
      <c r="P460" s="299" t="n">
        <v>43800</v>
      </c>
      <c r="Q460" s="299" t="n">
        <v>13928.32</v>
      </c>
      <c r="R460" s="299" t="n">
        <v>29871.68</v>
      </c>
      <c r="S460" s="300" t="n">
        <v>0.317998173515982</v>
      </c>
      <c r="T460" t="n">
        <v>30</v>
      </c>
      <c r="U460" t="n">
        <v>20</v>
      </c>
      <c r="V460" t="n">
        <v>78496.8</v>
      </c>
      <c r="W460" s="300" t="n">
        <v>0.07439999999999999</v>
      </c>
      <c r="X460" s="297" t="n">
        <v>45273</v>
      </c>
      <c r="Y460">
        <f>IF(I460="","No SIC",IFERROR(VLOOKUP(I460,Ref!$A$2:$B$65,2,FALSE),"Unclassified"))</f>
        <v/>
      </c>
      <c r="Z460">
        <f>IF(T460="","",IF(T460&lt;12,"Daily","Weekly"))</f>
        <v/>
      </c>
      <c r="AA460">
        <f>IF(T460="",0,IF(T460&lt;12,T460*Controls!$B$29,T460*5))</f>
        <v/>
      </c>
      <c r="AB460">
        <f>IF(E460="",0,NETWORKDAYS(E460,Controls!$B$36,Ref!$K$2:$K$42))</f>
        <v/>
      </c>
      <c r="AC460">
        <f>IF(AND(AA460&gt;0,AB460&gt;=Controls!$B$39*AA460),1,0)</f>
        <v/>
      </c>
      <c r="AD460">
        <f>IF(AND(E460&lt;&gt;"",E460&gt;=Controls!$B$37,E460&lt;=Controls!$B$38),1,0)</f>
        <v/>
      </c>
      <c r="AE460">
        <f>IF(IFERROR(VLOOKUP(D460,Controls!$A$64:$E$74,2,FALSE),"No")="Yes",1,0)</f>
        <v/>
      </c>
      <c r="AF460">
        <f>IF(IFERROR(VLOOKUP(D460,Controls!$A$64:$E$74,3,FALSE),"No")="Yes",1,0)</f>
        <v/>
      </c>
      <c r="AG460">
        <f>IF(IFERROR(VLOOKUP(D460,Controls!$A$64:$E$74,4,FALSE),"No")="Yes",1,0)</f>
        <v/>
      </c>
      <c r="AH460">
        <f>IF(IFERROR(VLOOKUP(D460,Controls!$A$64:$E$74,5,FALSE),"No")="Yes",1,0)</f>
        <v/>
      </c>
      <c r="AI460">
        <f>IF(ISNUMBER(MATCH(D460,Controls!$A$64:$A$74,0)),1,0)</f>
        <v/>
      </c>
      <c r="AJ460">
        <f>Q460-N460</f>
        <v/>
      </c>
      <c r="AK460">
        <f>IF(AE460=1,MAX(0,N460-Q460),0)</f>
        <v/>
      </c>
      <c r="AL460">
        <f>IF(OR(V460="",V460=0),0,N460/V460)</f>
        <v/>
      </c>
      <c r="AM460">
        <f>IF(OR(V460="",V460=0),0,1)</f>
        <v/>
      </c>
      <c r="AN460">
        <f>IF(OR(E460="",F460=""),0,NETWORKDAYS(E460,F460,Ref!$K$2:$K$42))</f>
        <v/>
      </c>
      <c r="AO460">
        <f>IF(L460="Renewal",1,0)</f>
        <v/>
      </c>
      <c r="AP460">
        <f>AC460*AD460</f>
        <v/>
      </c>
      <c r="AQ460">
        <f>IF(AND(G460&lt;&gt;"",'Historical Score'!$C$6&lt;&gt;""),IF(G460='Historical Score'!$C$6,1,0),0)</f>
        <v/>
      </c>
      <c r="AR460">
        <f>IF(AND(L460&lt;&gt;"",'Historical Score'!$C$5&lt;&gt;""),IF(L460='Historical Score'!$C$5,1,0),0)</f>
        <v/>
      </c>
      <c r="AS460">
        <f>IF(AND(Y460&lt;&gt;"",'Historical Score'!$C$7&lt;&gt;""),IF(Y460='Historical Score'!$C$7,1,0),0)</f>
        <v/>
      </c>
      <c r="AT460">
        <f>IF(AND(K460&lt;&gt;"",'Historical Score'!$C$8&lt;&gt;""),IF(K460='Historical Score'!$C$8,1,0),0)</f>
        <v/>
      </c>
      <c r="AU460">
        <f>IF(AND(J460&lt;&gt;"",'Historical Score'!$C$9&lt;&gt;""),IF(J460='Historical Score'!$C$9,1,0),0)</f>
        <v/>
      </c>
      <c r="AV460">
        <f>AR460*AS460*AQ460</f>
        <v/>
      </c>
      <c r="AW460">
        <f>AR460*AT460*AQ460</f>
        <v/>
      </c>
      <c r="AX460">
        <f>AR460*AS460</f>
        <v/>
      </c>
      <c r="AY460">
        <f>AR460*AT460</f>
        <v/>
      </c>
      <c r="AZ460">
        <f>AR460*AQ460</f>
        <v/>
      </c>
      <c r="BA460">
        <f>AR460</f>
        <v/>
      </c>
      <c r="BB460">
        <f>1</f>
        <v/>
      </c>
      <c r="BC460">
        <f>IF(AV460=1,1,IF(AW460=1,2,IF(AX460=1,3,IF(AY460=1,4,IF(AZ460=1,5,IF(BA460=1,6,7))))))</f>
        <v/>
      </c>
      <c r="BD460">
        <f>IF(AD460=1,CHOOSE('Historical Score'!$C$29,AV460,AW460,AX460,AY460,AZ460,BA460,BB460),0)</f>
        <v/>
      </c>
      <c r="BE460">
        <f>IF(BD460=1,COUNTIF($BD$2:BD460,1),"")</f>
        <v/>
      </c>
    </row>
    <row r="461">
      <c r="A461" t="inlineStr">
        <is>
          <t>5674174762</t>
        </is>
      </c>
      <c r="B461" t="inlineStr">
        <is>
          <t>ON SITE REPAIR SERVICES LLC</t>
        </is>
      </c>
      <c r="C461" t="inlineStr">
        <is>
          <t>ON SITE REPAIR SERVICES LLC</t>
        </is>
      </c>
      <c r="D461" t="inlineStr">
        <is>
          <t>Closed</t>
        </is>
      </c>
      <c r="E461" s="297" t="n">
        <v>46010</v>
      </c>
      <c r="F461" s="297" t="n">
        <v>46113</v>
      </c>
      <c r="G461" t="n">
        <v>2</v>
      </c>
      <c r="H461" t="inlineStr">
        <is>
          <t>1522</t>
        </is>
      </c>
      <c r="I461" t="inlineStr">
        <is>
          <t>15</t>
        </is>
      </c>
      <c r="J461" t="inlineStr">
        <is>
          <t>TX</t>
        </is>
      </c>
      <c r="K461" t="inlineStr">
        <is>
          <t>Ballicci</t>
        </is>
      </c>
      <c r="L461" t="inlineStr">
        <is>
          <t>New Deal</t>
        </is>
      </c>
      <c r="M461" s="298" t="n">
        <v>1.39</v>
      </c>
      <c r="N461" s="299" t="n">
        <v>30000</v>
      </c>
      <c r="O461" s="299" t="n">
        <v>2700</v>
      </c>
      <c r="P461" s="299" t="n">
        <v>41700</v>
      </c>
      <c r="Q461" s="299" t="n">
        <v>41700</v>
      </c>
      <c r="R461" s="299" t="n">
        <v>0</v>
      </c>
      <c r="S461" s="300" t="n">
        <v>1</v>
      </c>
      <c r="T461" t="n">
        <v>3.607</v>
      </c>
      <c r="U461" t="n">
        <v>0</v>
      </c>
      <c r="V461" t="n">
        <v>63010.24</v>
      </c>
      <c r="W461" s="300" t="n">
        <v>0.1263</v>
      </c>
      <c r="X461" s="297" t="n"/>
      <c r="Y461">
        <f>IF(I461="","No SIC",IFERROR(VLOOKUP(I461,Ref!$A$2:$B$65,2,FALSE),"Unclassified"))</f>
        <v/>
      </c>
      <c r="Z461">
        <f>IF(T461="","",IF(T461&lt;12,"Daily","Weekly"))</f>
        <v/>
      </c>
      <c r="AA461">
        <f>IF(T461="",0,IF(T461&lt;12,T461*Controls!$B$29,T461*5))</f>
        <v/>
      </c>
      <c r="AB461">
        <f>IF(E461="",0,NETWORKDAYS(E461,Controls!$B$36,Ref!$K$2:$K$42))</f>
        <v/>
      </c>
      <c r="AC461">
        <f>IF(AND(AA461&gt;0,AB461&gt;=Controls!$B$39*AA461),1,0)</f>
        <v/>
      </c>
      <c r="AD461">
        <f>IF(AND(E461&lt;&gt;"",E461&gt;=Controls!$B$37,E461&lt;=Controls!$B$38),1,0)</f>
        <v/>
      </c>
      <c r="AE461">
        <f>IF(IFERROR(VLOOKUP(D461,Controls!$A$64:$E$74,2,FALSE),"No")="Yes",1,0)</f>
        <v/>
      </c>
      <c r="AF461">
        <f>IF(IFERROR(VLOOKUP(D461,Controls!$A$64:$E$74,3,FALSE),"No")="Yes",1,0)</f>
        <v/>
      </c>
      <c r="AG461">
        <f>IF(IFERROR(VLOOKUP(D461,Controls!$A$64:$E$74,4,FALSE),"No")="Yes",1,0)</f>
        <v/>
      </c>
      <c r="AH461">
        <f>IF(IFERROR(VLOOKUP(D461,Controls!$A$64:$E$74,5,FALSE),"No")="Yes",1,0)</f>
        <v/>
      </c>
      <c r="AI461">
        <f>IF(ISNUMBER(MATCH(D461,Controls!$A$64:$A$74,0)),1,0)</f>
        <v/>
      </c>
      <c r="AJ461">
        <f>Q461-N461</f>
        <v/>
      </c>
      <c r="AK461">
        <f>IF(AE461=1,MAX(0,N461-Q461),0)</f>
        <v/>
      </c>
      <c r="AL461">
        <f>IF(OR(V461="",V461=0),0,N461/V461)</f>
        <v/>
      </c>
      <c r="AM461">
        <f>IF(OR(V461="",V461=0),0,1)</f>
        <v/>
      </c>
      <c r="AN461">
        <f>IF(OR(E461="",F461=""),0,NETWORKDAYS(E461,F461,Ref!$K$2:$K$42))</f>
        <v/>
      </c>
      <c r="AO461">
        <f>IF(L461="Renewal",1,0)</f>
        <v/>
      </c>
      <c r="AP461">
        <f>AC461*AD461</f>
        <v/>
      </c>
      <c r="AQ461">
        <f>IF(AND(G461&lt;&gt;"",'Historical Score'!$C$6&lt;&gt;""),IF(G461='Historical Score'!$C$6,1,0),0)</f>
        <v/>
      </c>
      <c r="AR461">
        <f>IF(AND(L461&lt;&gt;"",'Historical Score'!$C$5&lt;&gt;""),IF(L461='Historical Score'!$C$5,1,0),0)</f>
        <v/>
      </c>
      <c r="AS461">
        <f>IF(AND(Y461&lt;&gt;"",'Historical Score'!$C$7&lt;&gt;""),IF(Y461='Historical Score'!$C$7,1,0),0)</f>
        <v/>
      </c>
      <c r="AT461">
        <f>IF(AND(K461&lt;&gt;"",'Historical Score'!$C$8&lt;&gt;""),IF(K461='Historical Score'!$C$8,1,0),0)</f>
        <v/>
      </c>
      <c r="AU461">
        <f>IF(AND(J461&lt;&gt;"",'Historical Score'!$C$9&lt;&gt;""),IF(J461='Historical Score'!$C$9,1,0),0)</f>
        <v/>
      </c>
      <c r="AV461">
        <f>AR461*AS461*AQ461</f>
        <v/>
      </c>
      <c r="AW461">
        <f>AR461*AT461*AQ461</f>
        <v/>
      </c>
      <c r="AX461">
        <f>AR461*AS461</f>
        <v/>
      </c>
      <c r="AY461">
        <f>AR461*AT461</f>
        <v/>
      </c>
      <c r="AZ461">
        <f>AR461*AQ461</f>
        <v/>
      </c>
      <c r="BA461">
        <f>AR461</f>
        <v/>
      </c>
      <c r="BB461">
        <f>1</f>
        <v/>
      </c>
      <c r="BC461">
        <f>IF(AV461=1,1,IF(AW461=1,2,IF(AX461=1,3,IF(AY461=1,4,IF(AZ461=1,5,IF(BA461=1,6,7))))))</f>
        <v/>
      </c>
      <c r="BD461">
        <f>IF(AD461=1,CHOOSE('Historical Score'!$C$29,AV461,AW461,AX461,AY461,AZ461,BA461,BB461),0)</f>
        <v/>
      </c>
      <c r="BE461">
        <f>IF(BD461=1,COUNTIF($BD$2:BD461,1),"")</f>
        <v/>
      </c>
    </row>
    <row r="462">
      <c r="A462" t="inlineStr">
        <is>
          <t>5674174763</t>
        </is>
      </c>
      <c r="B462" t="inlineStr">
        <is>
          <t>Hd Builders And Construction LLC</t>
        </is>
      </c>
      <c r="C462" t="inlineStr">
        <is>
          <t>Hd Builders And Construction LLC</t>
        </is>
      </c>
      <c r="D462" t="inlineStr">
        <is>
          <t>Closed</t>
        </is>
      </c>
      <c r="E462" s="297" t="n">
        <v>46010</v>
      </c>
      <c r="F462" s="297" t="n">
        <v>46090</v>
      </c>
      <c r="G462" t="n">
        <v>2</v>
      </c>
      <c r="H462" t="inlineStr">
        <is>
          <t>1521</t>
        </is>
      </c>
      <c r="I462" t="inlineStr">
        <is>
          <t>15</t>
        </is>
      </c>
      <c r="J462" t="inlineStr">
        <is>
          <t>NM</t>
        </is>
      </c>
      <c r="K462" t="inlineStr">
        <is>
          <t>AVON ADVANCE</t>
        </is>
      </c>
      <c r="L462" t="inlineStr">
        <is>
          <t>New Deal</t>
        </is>
      </c>
      <c r="M462" s="298" t="n">
        <v>1.49</v>
      </c>
      <c r="N462" s="299" t="n">
        <v>6000</v>
      </c>
      <c r="O462" s="299" t="n">
        <v>840</v>
      </c>
      <c r="P462" s="299" t="n">
        <v>8940</v>
      </c>
      <c r="Q462" s="299" t="n">
        <v>8940</v>
      </c>
      <c r="R462" s="299" t="n">
        <v>0</v>
      </c>
      <c r="S462" s="300" t="n">
        <v>1</v>
      </c>
      <c r="T462" t="n">
        <v>2.623</v>
      </c>
      <c r="U462" t="n">
        <v>4</v>
      </c>
      <c r="V462" t="n">
        <v>50226.03</v>
      </c>
      <c r="W462" s="300" t="n">
        <v>0.0467</v>
      </c>
      <c r="X462" s="297" t="n">
        <v>44627</v>
      </c>
      <c r="Y462">
        <f>IF(I462="","No SIC",IFERROR(VLOOKUP(I462,Ref!$A$2:$B$65,2,FALSE),"Unclassified"))</f>
        <v/>
      </c>
      <c r="Z462">
        <f>IF(T462="","",IF(T462&lt;12,"Daily","Weekly"))</f>
        <v/>
      </c>
      <c r="AA462">
        <f>IF(T462="",0,IF(T462&lt;12,T462*Controls!$B$29,T462*5))</f>
        <v/>
      </c>
      <c r="AB462">
        <f>IF(E462="",0,NETWORKDAYS(E462,Controls!$B$36,Ref!$K$2:$K$42))</f>
        <v/>
      </c>
      <c r="AC462">
        <f>IF(AND(AA462&gt;0,AB462&gt;=Controls!$B$39*AA462),1,0)</f>
        <v/>
      </c>
      <c r="AD462">
        <f>IF(AND(E462&lt;&gt;"",E462&gt;=Controls!$B$37,E462&lt;=Controls!$B$38),1,0)</f>
        <v/>
      </c>
      <c r="AE462">
        <f>IF(IFERROR(VLOOKUP(D462,Controls!$A$64:$E$74,2,FALSE),"No")="Yes",1,0)</f>
        <v/>
      </c>
      <c r="AF462">
        <f>IF(IFERROR(VLOOKUP(D462,Controls!$A$64:$E$74,3,FALSE),"No")="Yes",1,0)</f>
        <v/>
      </c>
      <c r="AG462">
        <f>IF(IFERROR(VLOOKUP(D462,Controls!$A$64:$E$74,4,FALSE),"No")="Yes",1,0)</f>
        <v/>
      </c>
      <c r="AH462">
        <f>IF(IFERROR(VLOOKUP(D462,Controls!$A$64:$E$74,5,FALSE),"No")="Yes",1,0)</f>
        <v/>
      </c>
      <c r="AI462">
        <f>IF(ISNUMBER(MATCH(D462,Controls!$A$64:$A$74,0)),1,0)</f>
        <v/>
      </c>
      <c r="AJ462">
        <f>Q462-N462</f>
        <v/>
      </c>
      <c r="AK462">
        <f>IF(AE462=1,MAX(0,N462-Q462),0)</f>
        <v/>
      </c>
      <c r="AL462">
        <f>IF(OR(V462="",V462=0),0,N462/V462)</f>
        <v/>
      </c>
      <c r="AM462">
        <f>IF(OR(V462="",V462=0),0,1)</f>
        <v/>
      </c>
      <c r="AN462">
        <f>IF(OR(E462="",F462=""),0,NETWORKDAYS(E462,F462,Ref!$K$2:$K$42))</f>
        <v/>
      </c>
      <c r="AO462">
        <f>IF(L462="Renewal",1,0)</f>
        <v/>
      </c>
      <c r="AP462">
        <f>AC462*AD462</f>
        <v/>
      </c>
      <c r="AQ462">
        <f>IF(AND(G462&lt;&gt;"",'Historical Score'!$C$6&lt;&gt;""),IF(G462='Historical Score'!$C$6,1,0),0)</f>
        <v/>
      </c>
      <c r="AR462">
        <f>IF(AND(L462&lt;&gt;"",'Historical Score'!$C$5&lt;&gt;""),IF(L462='Historical Score'!$C$5,1,0),0)</f>
        <v/>
      </c>
      <c r="AS462">
        <f>IF(AND(Y462&lt;&gt;"",'Historical Score'!$C$7&lt;&gt;""),IF(Y462='Historical Score'!$C$7,1,0),0)</f>
        <v/>
      </c>
      <c r="AT462">
        <f>IF(AND(K462&lt;&gt;"",'Historical Score'!$C$8&lt;&gt;""),IF(K462='Historical Score'!$C$8,1,0),0)</f>
        <v/>
      </c>
      <c r="AU462">
        <f>IF(AND(J462&lt;&gt;"",'Historical Score'!$C$9&lt;&gt;""),IF(J462='Historical Score'!$C$9,1,0),0)</f>
        <v/>
      </c>
      <c r="AV462">
        <f>AR462*AS462*AQ462</f>
        <v/>
      </c>
      <c r="AW462">
        <f>AR462*AT462*AQ462</f>
        <v/>
      </c>
      <c r="AX462">
        <f>AR462*AS462</f>
        <v/>
      </c>
      <c r="AY462">
        <f>AR462*AT462</f>
        <v/>
      </c>
      <c r="AZ462">
        <f>AR462*AQ462</f>
        <v/>
      </c>
      <c r="BA462">
        <f>AR462</f>
        <v/>
      </c>
      <c r="BB462">
        <f>1</f>
        <v/>
      </c>
      <c r="BC462">
        <f>IF(AV462=1,1,IF(AW462=1,2,IF(AX462=1,3,IF(AY462=1,4,IF(AZ462=1,5,IF(BA462=1,6,7))))))</f>
        <v/>
      </c>
      <c r="BD462">
        <f>IF(AD462=1,CHOOSE('Historical Score'!$C$29,AV462,AW462,AX462,AY462,AZ462,BA462,BB462),0)</f>
        <v/>
      </c>
      <c r="BE462">
        <f>IF(BD462=1,COUNTIF($BD$2:BD462,1),"")</f>
        <v/>
      </c>
    </row>
    <row r="463">
      <c r="A463" t="inlineStr">
        <is>
          <t>5674174814</t>
        </is>
      </c>
      <c r="B463" t="inlineStr">
        <is>
          <t>LOW-COUNTRY INSURANCE SOLUTIONS</t>
        </is>
      </c>
      <c r="C463" t="inlineStr">
        <is>
          <t>FORREST S SMITH</t>
        </is>
      </c>
      <c r="D463" t="inlineStr">
        <is>
          <t>Closed</t>
        </is>
      </c>
      <c r="E463" s="297" t="n">
        <v>46013</v>
      </c>
      <c r="F463" s="297" t="n">
        <v>46092</v>
      </c>
      <c r="G463" t="n">
        <v>1</v>
      </c>
      <c r="H463" t="inlineStr">
        <is>
          <t>6411</t>
        </is>
      </c>
      <c r="I463" t="inlineStr">
        <is>
          <t>64</t>
        </is>
      </c>
      <c r="J463" t="inlineStr">
        <is>
          <t>SC</t>
        </is>
      </c>
      <c r="K463" t="inlineStr">
        <is>
          <t>United Secured Capital 8</t>
        </is>
      </c>
      <c r="L463" t="inlineStr">
        <is>
          <t>New Deal</t>
        </is>
      </c>
      <c r="M463" s="298" t="n">
        <v>1.49</v>
      </c>
      <c r="N463" s="299" t="n">
        <v>15000</v>
      </c>
      <c r="O463" s="299" t="n">
        <v>2100</v>
      </c>
      <c r="P463" s="299" t="n">
        <v>22350</v>
      </c>
      <c r="Q463" s="299" t="n">
        <v>22350</v>
      </c>
      <c r="R463" s="299" t="n">
        <v>0</v>
      </c>
      <c r="S463" s="300" t="n">
        <v>1</v>
      </c>
      <c r="T463" t="n">
        <v>2.951</v>
      </c>
      <c r="U463" t="n">
        <v>1</v>
      </c>
      <c r="V463" t="n">
        <v>40000</v>
      </c>
      <c r="W463" s="300" t="n">
        <v>0.1159</v>
      </c>
      <c r="X463" s="297" t="n">
        <v>38325</v>
      </c>
      <c r="Y463">
        <f>IF(I463="","No SIC",IFERROR(VLOOKUP(I463,Ref!$A$2:$B$65,2,FALSE),"Unclassified"))</f>
        <v/>
      </c>
      <c r="Z463">
        <f>IF(T463="","",IF(T463&lt;12,"Daily","Weekly"))</f>
        <v/>
      </c>
      <c r="AA463">
        <f>IF(T463="",0,IF(T463&lt;12,T463*Controls!$B$29,T463*5))</f>
        <v/>
      </c>
      <c r="AB463">
        <f>IF(E463="",0,NETWORKDAYS(E463,Controls!$B$36,Ref!$K$2:$K$42))</f>
        <v/>
      </c>
      <c r="AC463">
        <f>IF(AND(AA463&gt;0,AB463&gt;=Controls!$B$39*AA463),1,0)</f>
        <v/>
      </c>
      <c r="AD463">
        <f>IF(AND(E463&lt;&gt;"",E463&gt;=Controls!$B$37,E463&lt;=Controls!$B$38),1,0)</f>
        <v/>
      </c>
      <c r="AE463">
        <f>IF(IFERROR(VLOOKUP(D463,Controls!$A$64:$E$74,2,FALSE),"No")="Yes",1,0)</f>
        <v/>
      </c>
      <c r="AF463">
        <f>IF(IFERROR(VLOOKUP(D463,Controls!$A$64:$E$74,3,FALSE),"No")="Yes",1,0)</f>
        <v/>
      </c>
      <c r="AG463">
        <f>IF(IFERROR(VLOOKUP(D463,Controls!$A$64:$E$74,4,FALSE),"No")="Yes",1,0)</f>
        <v/>
      </c>
      <c r="AH463">
        <f>IF(IFERROR(VLOOKUP(D463,Controls!$A$64:$E$74,5,FALSE),"No")="Yes",1,0)</f>
        <v/>
      </c>
      <c r="AI463">
        <f>IF(ISNUMBER(MATCH(D463,Controls!$A$64:$A$74,0)),1,0)</f>
        <v/>
      </c>
      <c r="AJ463">
        <f>Q463-N463</f>
        <v/>
      </c>
      <c r="AK463">
        <f>IF(AE463=1,MAX(0,N463-Q463),0)</f>
        <v/>
      </c>
      <c r="AL463">
        <f>IF(OR(V463="",V463=0),0,N463/V463)</f>
        <v/>
      </c>
      <c r="AM463">
        <f>IF(OR(V463="",V463=0),0,1)</f>
        <v/>
      </c>
      <c r="AN463">
        <f>IF(OR(E463="",F463=""),0,NETWORKDAYS(E463,F463,Ref!$K$2:$K$42))</f>
        <v/>
      </c>
      <c r="AO463">
        <f>IF(L463="Renewal",1,0)</f>
        <v/>
      </c>
      <c r="AP463">
        <f>AC463*AD463</f>
        <v/>
      </c>
      <c r="AQ463">
        <f>IF(AND(G463&lt;&gt;"",'Historical Score'!$C$6&lt;&gt;""),IF(G463='Historical Score'!$C$6,1,0),0)</f>
        <v/>
      </c>
      <c r="AR463">
        <f>IF(AND(L463&lt;&gt;"",'Historical Score'!$C$5&lt;&gt;""),IF(L463='Historical Score'!$C$5,1,0),0)</f>
        <v/>
      </c>
      <c r="AS463">
        <f>IF(AND(Y463&lt;&gt;"",'Historical Score'!$C$7&lt;&gt;""),IF(Y463='Historical Score'!$C$7,1,0),0)</f>
        <v/>
      </c>
      <c r="AT463">
        <f>IF(AND(K463&lt;&gt;"",'Historical Score'!$C$8&lt;&gt;""),IF(K463='Historical Score'!$C$8,1,0),0)</f>
        <v/>
      </c>
      <c r="AU463">
        <f>IF(AND(J463&lt;&gt;"",'Historical Score'!$C$9&lt;&gt;""),IF(J463='Historical Score'!$C$9,1,0),0)</f>
        <v/>
      </c>
      <c r="AV463">
        <f>AR463*AS463*AQ463</f>
        <v/>
      </c>
      <c r="AW463">
        <f>AR463*AT463*AQ463</f>
        <v/>
      </c>
      <c r="AX463">
        <f>AR463*AS463</f>
        <v/>
      </c>
      <c r="AY463">
        <f>AR463*AT463</f>
        <v/>
      </c>
      <c r="AZ463">
        <f>AR463*AQ463</f>
        <v/>
      </c>
      <c r="BA463">
        <f>AR463</f>
        <v/>
      </c>
      <c r="BB463">
        <f>1</f>
        <v/>
      </c>
      <c r="BC463">
        <f>IF(AV463=1,1,IF(AW463=1,2,IF(AX463=1,3,IF(AY463=1,4,IF(AZ463=1,5,IF(BA463=1,6,7))))))</f>
        <v/>
      </c>
      <c r="BD463">
        <f>IF(AD463=1,CHOOSE('Historical Score'!$C$29,AV463,AW463,AX463,AY463,AZ463,BA463,BB463),0)</f>
        <v/>
      </c>
      <c r="BE463">
        <f>IF(BD463=1,COUNTIF($BD$2:BD463,1),"")</f>
        <v/>
      </c>
    </row>
    <row r="464">
      <c r="A464" t="inlineStr">
        <is>
          <t>5674174820</t>
        </is>
      </c>
      <c r="B464" t="inlineStr">
        <is>
          <t>Cream Ridge Golf Course</t>
        </is>
      </c>
      <c r="C464" t="inlineStr">
        <is>
          <t>CR Golf Management LLC</t>
        </is>
      </c>
      <c r="D464" t="inlineStr">
        <is>
          <t>Lowered Payments</t>
        </is>
      </c>
      <c r="E464" s="297" t="n">
        <v>46013</v>
      </c>
      <c r="F464" s="297" t="n">
        <v>46253</v>
      </c>
      <c r="G464" t="n">
        <v>1</v>
      </c>
      <c r="H464" t="inlineStr">
        <is>
          <t>7992</t>
        </is>
      </c>
      <c r="I464" t="inlineStr">
        <is>
          <t>79</t>
        </is>
      </c>
      <c r="J464" t="inlineStr">
        <is>
          <t>NJ</t>
        </is>
      </c>
      <c r="K464" t="inlineStr">
        <is>
          <t>Fundwell</t>
        </is>
      </c>
      <c r="L464" t="inlineStr">
        <is>
          <t>New Deal</t>
        </is>
      </c>
      <c r="M464" s="298" t="n">
        <v>1.38</v>
      </c>
      <c r="N464" s="299" t="n">
        <v>50000</v>
      </c>
      <c r="O464" s="299" t="n">
        <v>6250</v>
      </c>
      <c r="P464" s="299" t="n">
        <v>69000</v>
      </c>
      <c r="Q464" s="299" t="n">
        <v>37385.22</v>
      </c>
      <c r="R464" s="299" t="n">
        <v>31614.78</v>
      </c>
      <c r="S464" s="300" t="n">
        <v>0.541814782608696</v>
      </c>
      <c r="T464" t="n">
        <v>24</v>
      </c>
      <c r="U464" t="n">
        <v>31</v>
      </c>
      <c r="V464" t="n">
        <v>87944.36</v>
      </c>
      <c r="W464" s="300" t="n">
        <v>0.1308</v>
      </c>
      <c r="X464" s="297" t="n">
        <v>43339</v>
      </c>
      <c r="Y464">
        <f>IF(I464="","No SIC",IFERROR(VLOOKUP(I464,Ref!$A$2:$B$65,2,FALSE),"Unclassified"))</f>
        <v/>
      </c>
      <c r="Z464">
        <f>IF(T464="","",IF(T464&lt;12,"Daily","Weekly"))</f>
        <v/>
      </c>
      <c r="AA464">
        <f>IF(T464="",0,IF(T464&lt;12,T464*Controls!$B$29,T464*5))</f>
        <v/>
      </c>
      <c r="AB464">
        <f>IF(E464="",0,NETWORKDAYS(E464,Controls!$B$36,Ref!$K$2:$K$42))</f>
        <v/>
      </c>
      <c r="AC464">
        <f>IF(AND(AA464&gt;0,AB464&gt;=Controls!$B$39*AA464),1,0)</f>
        <v/>
      </c>
      <c r="AD464">
        <f>IF(AND(E464&lt;&gt;"",E464&gt;=Controls!$B$37,E464&lt;=Controls!$B$38),1,0)</f>
        <v/>
      </c>
      <c r="AE464">
        <f>IF(IFERROR(VLOOKUP(D464,Controls!$A$64:$E$74,2,FALSE),"No")="Yes",1,0)</f>
        <v/>
      </c>
      <c r="AF464">
        <f>IF(IFERROR(VLOOKUP(D464,Controls!$A$64:$E$74,3,FALSE),"No")="Yes",1,0)</f>
        <v/>
      </c>
      <c r="AG464">
        <f>IF(IFERROR(VLOOKUP(D464,Controls!$A$64:$E$74,4,FALSE),"No")="Yes",1,0)</f>
        <v/>
      </c>
      <c r="AH464">
        <f>IF(IFERROR(VLOOKUP(D464,Controls!$A$64:$E$74,5,FALSE),"No")="Yes",1,0)</f>
        <v/>
      </c>
      <c r="AI464">
        <f>IF(ISNUMBER(MATCH(D464,Controls!$A$64:$A$74,0)),1,0)</f>
        <v/>
      </c>
      <c r="AJ464">
        <f>Q464-N464</f>
        <v/>
      </c>
      <c r="AK464">
        <f>IF(AE464=1,MAX(0,N464-Q464),0)</f>
        <v/>
      </c>
      <c r="AL464">
        <f>IF(OR(V464="",V464=0),0,N464/V464)</f>
        <v/>
      </c>
      <c r="AM464">
        <f>IF(OR(V464="",V464=0),0,1)</f>
        <v/>
      </c>
      <c r="AN464">
        <f>IF(OR(E464="",F464=""),0,NETWORKDAYS(E464,F464,Ref!$K$2:$K$42))</f>
        <v/>
      </c>
      <c r="AO464">
        <f>IF(L464="Renewal",1,0)</f>
        <v/>
      </c>
      <c r="AP464">
        <f>AC464*AD464</f>
        <v/>
      </c>
      <c r="AQ464">
        <f>IF(AND(G464&lt;&gt;"",'Historical Score'!$C$6&lt;&gt;""),IF(G464='Historical Score'!$C$6,1,0),0)</f>
        <v/>
      </c>
      <c r="AR464">
        <f>IF(AND(L464&lt;&gt;"",'Historical Score'!$C$5&lt;&gt;""),IF(L464='Historical Score'!$C$5,1,0),0)</f>
        <v/>
      </c>
      <c r="AS464">
        <f>IF(AND(Y464&lt;&gt;"",'Historical Score'!$C$7&lt;&gt;""),IF(Y464='Historical Score'!$C$7,1,0),0)</f>
        <v/>
      </c>
      <c r="AT464">
        <f>IF(AND(K464&lt;&gt;"",'Historical Score'!$C$8&lt;&gt;""),IF(K464='Historical Score'!$C$8,1,0),0)</f>
        <v/>
      </c>
      <c r="AU464">
        <f>IF(AND(J464&lt;&gt;"",'Historical Score'!$C$9&lt;&gt;""),IF(J464='Historical Score'!$C$9,1,0),0)</f>
        <v/>
      </c>
      <c r="AV464">
        <f>AR464*AS464*AQ464</f>
        <v/>
      </c>
      <c r="AW464">
        <f>AR464*AT464*AQ464</f>
        <v/>
      </c>
      <c r="AX464">
        <f>AR464*AS464</f>
        <v/>
      </c>
      <c r="AY464">
        <f>AR464*AT464</f>
        <v/>
      </c>
      <c r="AZ464">
        <f>AR464*AQ464</f>
        <v/>
      </c>
      <c r="BA464">
        <f>AR464</f>
        <v/>
      </c>
      <c r="BB464">
        <f>1</f>
        <v/>
      </c>
      <c r="BC464">
        <f>IF(AV464=1,1,IF(AW464=1,2,IF(AX464=1,3,IF(AY464=1,4,IF(AZ464=1,5,IF(BA464=1,6,7))))))</f>
        <v/>
      </c>
      <c r="BD464">
        <f>IF(AD464=1,CHOOSE('Historical Score'!$C$29,AV464,AW464,AX464,AY464,AZ464,BA464,BB464),0)</f>
        <v/>
      </c>
      <c r="BE464">
        <f>IF(BD464=1,COUNTIF($BD$2:BD464,1),"")</f>
        <v/>
      </c>
    </row>
    <row r="465">
      <c r="A465" t="inlineStr">
        <is>
          <t>5674174823</t>
        </is>
      </c>
      <c r="B465" t="inlineStr">
        <is>
          <t>Jacalito Taqueria Inc</t>
        </is>
      </c>
      <c r="C465" t="inlineStr">
        <is>
          <t>Jacalito Taqueria Inc</t>
        </is>
      </c>
      <c r="D465" t="inlineStr">
        <is>
          <t>Open</t>
        </is>
      </c>
      <c r="E465" s="297" t="n">
        <v>46013</v>
      </c>
      <c r="F465" s="297" t="n">
        <v>46253</v>
      </c>
      <c r="G465" t="n">
        <v>5</v>
      </c>
      <c r="H465" t="inlineStr">
        <is>
          <t>5812</t>
        </is>
      </c>
      <c r="I465" t="inlineStr">
        <is>
          <t>58</t>
        </is>
      </c>
      <c r="J465" t="inlineStr">
        <is>
          <t>FL</t>
        </is>
      </c>
      <c r="K465" t="inlineStr">
        <is>
          <t>Ballicci</t>
        </is>
      </c>
      <c r="L465" t="inlineStr">
        <is>
          <t>New Deal</t>
        </is>
      </c>
      <c r="M465" s="298" t="n">
        <v>1.49</v>
      </c>
      <c r="N465" s="299" t="n">
        <v>30000</v>
      </c>
      <c r="O465" s="299" t="n">
        <v>4200</v>
      </c>
      <c r="P465" s="299" t="n">
        <v>44700</v>
      </c>
      <c r="Q465" s="299" t="n">
        <v>32038.44</v>
      </c>
      <c r="R465" s="299" t="n">
        <v>12661.56</v>
      </c>
      <c r="S465" s="300" t="n">
        <v>0.716743624161074</v>
      </c>
      <c r="T465" t="n">
        <v>3.934</v>
      </c>
      <c r="U465" t="n">
        <v>81</v>
      </c>
      <c r="V465" t="n">
        <v>58513.79</v>
      </c>
      <c r="W465" s="300" t="n">
        <v>0.1337</v>
      </c>
      <c r="X465" s="297" t="n">
        <v>40118</v>
      </c>
      <c r="Y465">
        <f>IF(I465="","No SIC",IFERROR(VLOOKUP(I465,Ref!$A$2:$B$65,2,FALSE),"Unclassified"))</f>
        <v/>
      </c>
      <c r="Z465">
        <f>IF(T465="","",IF(T465&lt;12,"Daily","Weekly"))</f>
        <v/>
      </c>
      <c r="AA465">
        <f>IF(T465="",0,IF(T465&lt;12,T465*Controls!$B$29,T465*5))</f>
        <v/>
      </c>
      <c r="AB465">
        <f>IF(E465="",0,NETWORKDAYS(E465,Controls!$B$36,Ref!$K$2:$K$42))</f>
        <v/>
      </c>
      <c r="AC465">
        <f>IF(AND(AA465&gt;0,AB465&gt;=Controls!$B$39*AA465),1,0)</f>
        <v/>
      </c>
      <c r="AD465">
        <f>IF(AND(E465&lt;&gt;"",E465&gt;=Controls!$B$37,E465&lt;=Controls!$B$38),1,0)</f>
        <v/>
      </c>
      <c r="AE465">
        <f>IF(IFERROR(VLOOKUP(D465,Controls!$A$64:$E$74,2,FALSE),"No")="Yes",1,0)</f>
        <v/>
      </c>
      <c r="AF465">
        <f>IF(IFERROR(VLOOKUP(D465,Controls!$A$64:$E$74,3,FALSE),"No")="Yes",1,0)</f>
        <v/>
      </c>
      <c r="AG465">
        <f>IF(IFERROR(VLOOKUP(D465,Controls!$A$64:$E$74,4,FALSE),"No")="Yes",1,0)</f>
        <v/>
      </c>
      <c r="AH465">
        <f>IF(IFERROR(VLOOKUP(D465,Controls!$A$64:$E$74,5,FALSE),"No")="Yes",1,0)</f>
        <v/>
      </c>
      <c r="AI465">
        <f>IF(ISNUMBER(MATCH(D465,Controls!$A$64:$A$74,0)),1,0)</f>
        <v/>
      </c>
      <c r="AJ465">
        <f>Q465-N465</f>
        <v/>
      </c>
      <c r="AK465">
        <f>IF(AE465=1,MAX(0,N465-Q465),0)</f>
        <v/>
      </c>
      <c r="AL465">
        <f>IF(OR(V465="",V465=0),0,N465/V465)</f>
        <v/>
      </c>
      <c r="AM465">
        <f>IF(OR(V465="",V465=0),0,1)</f>
        <v/>
      </c>
      <c r="AN465">
        <f>IF(OR(E465="",F465=""),0,NETWORKDAYS(E465,F465,Ref!$K$2:$K$42))</f>
        <v/>
      </c>
      <c r="AO465">
        <f>IF(L465="Renewal",1,0)</f>
        <v/>
      </c>
      <c r="AP465">
        <f>AC465*AD465</f>
        <v/>
      </c>
      <c r="AQ465">
        <f>IF(AND(G465&lt;&gt;"",'Historical Score'!$C$6&lt;&gt;""),IF(G465='Historical Score'!$C$6,1,0),0)</f>
        <v/>
      </c>
      <c r="AR465">
        <f>IF(AND(L465&lt;&gt;"",'Historical Score'!$C$5&lt;&gt;""),IF(L465='Historical Score'!$C$5,1,0),0)</f>
        <v/>
      </c>
      <c r="AS465">
        <f>IF(AND(Y465&lt;&gt;"",'Historical Score'!$C$7&lt;&gt;""),IF(Y465='Historical Score'!$C$7,1,0),0)</f>
        <v/>
      </c>
      <c r="AT465">
        <f>IF(AND(K465&lt;&gt;"",'Historical Score'!$C$8&lt;&gt;""),IF(K465='Historical Score'!$C$8,1,0),0)</f>
        <v/>
      </c>
      <c r="AU465">
        <f>IF(AND(J465&lt;&gt;"",'Historical Score'!$C$9&lt;&gt;""),IF(J465='Historical Score'!$C$9,1,0),0)</f>
        <v/>
      </c>
      <c r="AV465">
        <f>AR465*AS465*AQ465</f>
        <v/>
      </c>
      <c r="AW465">
        <f>AR465*AT465*AQ465</f>
        <v/>
      </c>
      <c r="AX465">
        <f>AR465*AS465</f>
        <v/>
      </c>
      <c r="AY465">
        <f>AR465*AT465</f>
        <v/>
      </c>
      <c r="AZ465">
        <f>AR465*AQ465</f>
        <v/>
      </c>
      <c r="BA465">
        <f>AR465</f>
        <v/>
      </c>
      <c r="BB465">
        <f>1</f>
        <v/>
      </c>
      <c r="BC465">
        <f>IF(AV465=1,1,IF(AW465=1,2,IF(AX465=1,3,IF(AY465=1,4,IF(AZ465=1,5,IF(BA465=1,6,7))))))</f>
        <v/>
      </c>
      <c r="BD465">
        <f>IF(AD465=1,CHOOSE('Historical Score'!$C$29,AV465,AW465,AX465,AY465,AZ465,BA465,BB465),0)</f>
        <v/>
      </c>
      <c r="BE465">
        <f>IF(BD465=1,COUNTIF($BD$2:BD465,1),"")</f>
        <v/>
      </c>
    </row>
    <row r="466">
      <c r="A466" t="inlineStr">
        <is>
          <t>5674174897</t>
        </is>
      </c>
      <c r="B466" t="inlineStr">
        <is>
          <t>Carlyle Care Clinic PLLC</t>
        </is>
      </c>
      <c r="C466" t="inlineStr">
        <is>
          <t>Carlyle Care Clinic PLLC</t>
        </is>
      </c>
      <c r="D466" t="inlineStr">
        <is>
          <t>Legal</t>
        </is>
      </c>
      <c r="E466" s="297" t="n">
        <v>46014</v>
      </c>
      <c r="F466" s="297" t="n">
        <v>46149</v>
      </c>
      <c r="G466" t="n">
        <v>3</v>
      </c>
      <c r="H466" t="inlineStr">
        <is>
          <t>8082</t>
        </is>
      </c>
      <c r="I466" t="inlineStr">
        <is>
          <t>80</t>
        </is>
      </c>
      <c r="J466" t="inlineStr">
        <is>
          <t>AR</t>
        </is>
      </c>
      <c r="K466" t="inlineStr">
        <is>
          <t>United Secured Capital 8</t>
        </is>
      </c>
      <c r="L466" t="inlineStr">
        <is>
          <t>New Deal</t>
        </is>
      </c>
      <c r="M466" s="298" t="n">
        <v>1.49</v>
      </c>
      <c r="N466" s="299" t="n">
        <v>40000</v>
      </c>
      <c r="O466" s="299" t="n">
        <v>0</v>
      </c>
      <c r="P466" s="299" t="n">
        <v>59600</v>
      </c>
      <c r="Q466" s="299" t="n">
        <v>9535.440000000001</v>
      </c>
      <c r="R466" s="299" t="n">
        <v>50064.56</v>
      </c>
      <c r="S466" s="300" t="n">
        <v>0.159990604026846</v>
      </c>
      <c r="T466" t="n">
        <v>2.459</v>
      </c>
      <c r="U466" t="n">
        <v>73</v>
      </c>
      <c r="V466" t="n">
        <v>31520.5</v>
      </c>
      <c r="W466" s="300" t="n">
        <v>0.5294</v>
      </c>
      <c r="X466" s="297" t="n">
        <v>44655</v>
      </c>
      <c r="Y466">
        <f>IF(I466="","No SIC",IFERROR(VLOOKUP(I466,Ref!$A$2:$B$65,2,FALSE),"Unclassified"))</f>
        <v/>
      </c>
      <c r="Z466">
        <f>IF(T466="","",IF(T466&lt;12,"Daily","Weekly"))</f>
        <v/>
      </c>
      <c r="AA466">
        <f>IF(T466="",0,IF(T466&lt;12,T466*Controls!$B$29,T466*5))</f>
        <v/>
      </c>
      <c r="AB466">
        <f>IF(E466="",0,NETWORKDAYS(E466,Controls!$B$36,Ref!$K$2:$K$42))</f>
        <v/>
      </c>
      <c r="AC466">
        <f>IF(AND(AA466&gt;0,AB466&gt;=Controls!$B$39*AA466),1,0)</f>
        <v/>
      </c>
      <c r="AD466">
        <f>IF(AND(E466&lt;&gt;"",E466&gt;=Controls!$B$37,E466&lt;=Controls!$B$38),1,0)</f>
        <v/>
      </c>
      <c r="AE466">
        <f>IF(IFERROR(VLOOKUP(D466,Controls!$A$64:$E$74,2,FALSE),"No")="Yes",1,0)</f>
        <v/>
      </c>
      <c r="AF466">
        <f>IF(IFERROR(VLOOKUP(D466,Controls!$A$64:$E$74,3,FALSE),"No")="Yes",1,0)</f>
        <v/>
      </c>
      <c r="AG466">
        <f>IF(IFERROR(VLOOKUP(D466,Controls!$A$64:$E$74,4,FALSE),"No")="Yes",1,0)</f>
        <v/>
      </c>
      <c r="AH466">
        <f>IF(IFERROR(VLOOKUP(D466,Controls!$A$64:$E$74,5,FALSE),"No")="Yes",1,0)</f>
        <v/>
      </c>
      <c r="AI466">
        <f>IF(ISNUMBER(MATCH(D466,Controls!$A$64:$A$74,0)),1,0)</f>
        <v/>
      </c>
      <c r="AJ466">
        <f>Q466-N466</f>
        <v/>
      </c>
      <c r="AK466">
        <f>IF(AE466=1,MAX(0,N466-Q466),0)</f>
        <v/>
      </c>
      <c r="AL466">
        <f>IF(OR(V466="",V466=0),0,N466/V466)</f>
        <v/>
      </c>
      <c r="AM466">
        <f>IF(OR(V466="",V466=0),0,1)</f>
        <v/>
      </c>
      <c r="AN466">
        <f>IF(OR(E466="",F466=""),0,NETWORKDAYS(E466,F466,Ref!$K$2:$K$42))</f>
        <v/>
      </c>
      <c r="AO466">
        <f>IF(L466="Renewal",1,0)</f>
        <v/>
      </c>
      <c r="AP466">
        <f>AC466*AD466</f>
        <v/>
      </c>
      <c r="AQ466">
        <f>IF(AND(G466&lt;&gt;"",'Historical Score'!$C$6&lt;&gt;""),IF(G466='Historical Score'!$C$6,1,0),0)</f>
        <v/>
      </c>
      <c r="AR466">
        <f>IF(AND(L466&lt;&gt;"",'Historical Score'!$C$5&lt;&gt;""),IF(L466='Historical Score'!$C$5,1,0),0)</f>
        <v/>
      </c>
      <c r="AS466">
        <f>IF(AND(Y466&lt;&gt;"",'Historical Score'!$C$7&lt;&gt;""),IF(Y466='Historical Score'!$C$7,1,0),0)</f>
        <v/>
      </c>
      <c r="AT466">
        <f>IF(AND(K466&lt;&gt;"",'Historical Score'!$C$8&lt;&gt;""),IF(K466='Historical Score'!$C$8,1,0),0)</f>
        <v/>
      </c>
      <c r="AU466">
        <f>IF(AND(J466&lt;&gt;"",'Historical Score'!$C$9&lt;&gt;""),IF(J466='Historical Score'!$C$9,1,0),0)</f>
        <v/>
      </c>
      <c r="AV466">
        <f>AR466*AS466*AQ466</f>
        <v/>
      </c>
      <c r="AW466">
        <f>AR466*AT466*AQ466</f>
        <v/>
      </c>
      <c r="AX466">
        <f>AR466*AS466</f>
        <v/>
      </c>
      <c r="AY466">
        <f>AR466*AT466</f>
        <v/>
      </c>
      <c r="AZ466">
        <f>AR466*AQ466</f>
        <v/>
      </c>
      <c r="BA466">
        <f>AR466</f>
        <v/>
      </c>
      <c r="BB466">
        <f>1</f>
        <v/>
      </c>
      <c r="BC466">
        <f>IF(AV466=1,1,IF(AW466=1,2,IF(AX466=1,3,IF(AY466=1,4,IF(AZ466=1,5,IF(BA466=1,6,7))))))</f>
        <v/>
      </c>
      <c r="BD466">
        <f>IF(AD466=1,CHOOSE('Historical Score'!$C$29,AV466,AW466,AX466,AY466,AZ466,BA466,BB466),0)</f>
        <v/>
      </c>
      <c r="BE466">
        <f>IF(BD466=1,COUNTIF($BD$2:BD466,1),"")</f>
        <v/>
      </c>
    </row>
    <row r="467">
      <c r="A467" t="inlineStr">
        <is>
          <t>5674174903</t>
        </is>
      </c>
      <c r="B467" t="inlineStr">
        <is>
          <t>JB AUTOMOTIVE REPAIRS, JB AUTOMOTIVE</t>
        </is>
      </c>
      <c r="C467" t="inlineStr">
        <is>
          <t>WILLIAMS MOBILE LLC</t>
        </is>
      </c>
      <c r="D467" t="inlineStr">
        <is>
          <t>In House Collection</t>
        </is>
      </c>
      <c r="E467" s="297" t="n">
        <v>46014</v>
      </c>
      <c r="F467" s="297" t="n">
        <v>46150</v>
      </c>
      <c r="G467" t="n">
        <v>1</v>
      </c>
      <c r="H467" t="inlineStr">
        <is>
          <t>7538</t>
        </is>
      </c>
      <c r="I467" t="inlineStr">
        <is>
          <t>75</t>
        </is>
      </c>
      <c r="J467" t="inlineStr">
        <is>
          <t>CA</t>
        </is>
      </c>
      <c r="K467" t="inlineStr">
        <is>
          <t>PMF</t>
        </is>
      </c>
      <c r="L467" t="inlineStr">
        <is>
          <t>New Deal</t>
        </is>
      </c>
      <c r="M467" s="298" t="n">
        <v>1.49</v>
      </c>
      <c r="N467" s="299" t="n">
        <v>20000</v>
      </c>
      <c r="O467" s="299" t="n">
        <v>2800</v>
      </c>
      <c r="P467" s="299" t="n">
        <v>29800</v>
      </c>
      <c r="Q467" s="299" t="n">
        <v>13020.24</v>
      </c>
      <c r="R467" s="299" t="n">
        <v>16779.76</v>
      </c>
      <c r="S467" s="300" t="n">
        <v>0.436920805369128</v>
      </c>
      <c r="T467" t="n">
        <v>26</v>
      </c>
      <c r="U467" t="n">
        <v>4</v>
      </c>
      <c r="V467" t="n">
        <v>37862.35</v>
      </c>
      <c r="W467" s="300" t="n">
        <v>0.1211</v>
      </c>
      <c r="X467" s="297" t="n">
        <v>44825</v>
      </c>
      <c r="Y467">
        <f>IF(I467="","No SIC",IFERROR(VLOOKUP(I467,Ref!$A$2:$B$65,2,FALSE),"Unclassified"))</f>
        <v/>
      </c>
      <c r="Z467">
        <f>IF(T467="","",IF(T467&lt;12,"Daily","Weekly"))</f>
        <v/>
      </c>
      <c r="AA467">
        <f>IF(T467="",0,IF(T467&lt;12,T467*Controls!$B$29,T467*5))</f>
        <v/>
      </c>
      <c r="AB467">
        <f>IF(E467="",0,NETWORKDAYS(E467,Controls!$B$36,Ref!$K$2:$K$42))</f>
        <v/>
      </c>
      <c r="AC467">
        <f>IF(AND(AA467&gt;0,AB467&gt;=Controls!$B$39*AA467),1,0)</f>
        <v/>
      </c>
      <c r="AD467">
        <f>IF(AND(E467&lt;&gt;"",E467&gt;=Controls!$B$37,E467&lt;=Controls!$B$38),1,0)</f>
        <v/>
      </c>
      <c r="AE467">
        <f>IF(IFERROR(VLOOKUP(D467,Controls!$A$64:$E$74,2,FALSE),"No")="Yes",1,0)</f>
        <v/>
      </c>
      <c r="AF467">
        <f>IF(IFERROR(VLOOKUP(D467,Controls!$A$64:$E$74,3,FALSE),"No")="Yes",1,0)</f>
        <v/>
      </c>
      <c r="AG467">
        <f>IF(IFERROR(VLOOKUP(D467,Controls!$A$64:$E$74,4,FALSE),"No")="Yes",1,0)</f>
        <v/>
      </c>
      <c r="AH467">
        <f>IF(IFERROR(VLOOKUP(D467,Controls!$A$64:$E$74,5,FALSE),"No")="Yes",1,0)</f>
        <v/>
      </c>
      <c r="AI467">
        <f>IF(ISNUMBER(MATCH(D467,Controls!$A$64:$A$74,0)),1,0)</f>
        <v/>
      </c>
      <c r="AJ467">
        <f>Q467-N467</f>
        <v/>
      </c>
      <c r="AK467">
        <f>IF(AE467=1,MAX(0,N467-Q467),0)</f>
        <v/>
      </c>
      <c r="AL467">
        <f>IF(OR(V467="",V467=0),0,N467/V467)</f>
        <v/>
      </c>
      <c r="AM467">
        <f>IF(OR(V467="",V467=0),0,1)</f>
        <v/>
      </c>
      <c r="AN467">
        <f>IF(OR(E467="",F467=""),0,NETWORKDAYS(E467,F467,Ref!$K$2:$K$42))</f>
        <v/>
      </c>
      <c r="AO467">
        <f>IF(L467="Renewal",1,0)</f>
        <v/>
      </c>
      <c r="AP467">
        <f>AC467*AD467</f>
        <v/>
      </c>
      <c r="AQ467">
        <f>IF(AND(G467&lt;&gt;"",'Historical Score'!$C$6&lt;&gt;""),IF(G467='Historical Score'!$C$6,1,0),0)</f>
        <v/>
      </c>
      <c r="AR467">
        <f>IF(AND(L467&lt;&gt;"",'Historical Score'!$C$5&lt;&gt;""),IF(L467='Historical Score'!$C$5,1,0),0)</f>
        <v/>
      </c>
      <c r="AS467">
        <f>IF(AND(Y467&lt;&gt;"",'Historical Score'!$C$7&lt;&gt;""),IF(Y467='Historical Score'!$C$7,1,0),0)</f>
        <v/>
      </c>
      <c r="AT467">
        <f>IF(AND(K467&lt;&gt;"",'Historical Score'!$C$8&lt;&gt;""),IF(K467='Historical Score'!$C$8,1,0),0)</f>
        <v/>
      </c>
      <c r="AU467">
        <f>IF(AND(J467&lt;&gt;"",'Historical Score'!$C$9&lt;&gt;""),IF(J467='Historical Score'!$C$9,1,0),0)</f>
        <v/>
      </c>
      <c r="AV467">
        <f>AR467*AS467*AQ467</f>
        <v/>
      </c>
      <c r="AW467">
        <f>AR467*AT467*AQ467</f>
        <v/>
      </c>
      <c r="AX467">
        <f>AR467*AS467</f>
        <v/>
      </c>
      <c r="AY467">
        <f>AR467*AT467</f>
        <v/>
      </c>
      <c r="AZ467">
        <f>AR467*AQ467</f>
        <v/>
      </c>
      <c r="BA467">
        <f>AR467</f>
        <v/>
      </c>
      <c r="BB467">
        <f>1</f>
        <v/>
      </c>
      <c r="BC467">
        <f>IF(AV467=1,1,IF(AW467=1,2,IF(AX467=1,3,IF(AY467=1,4,IF(AZ467=1,5,IF(BA467=1,6,7))))))</f>
        <v/>
      </c>
      <c r="BD467">
        <f>IF(AD467=1,CHOOSE('Historical Score'!$C$29,AV467,AW467,AX467,AY467,AZ467,BA467,BB467),0)</f>
        <v/>
      </c>
      <c r="BE467">
        <f>IF(BD467=1,COUNTIF($BD$2:BD467,1),"")</f>
        <v/>
      </c>
    </row>
    <row r="468">
      <c r="A468" t="inlineStr">
        <is>
          <t>5674174932</t>
        </is>
      </c>
      <c r="B468" t="inlineStr">
        <is>
          <t>EL TACO LOCO AL VAPOR II,</t>
        </is>
      </c>
      <c r="C468" t="inlineStr">
        <is>
          <t>EL TACO LOCO AL VAPOR II,</t>
        </is>
      </c>
      <c r="D468" t="inlineStr">
        <is>
          <t>Closed</t>
        </is>
      </c>
      <c r="E468" s="297" t="n">
        <v>46014</v>
      </c>
      <c r="F468" s="297" t="n">
        <v>46078</v>
      </c>
      <c r="G468" t="n">
        <v>1</v>
      </c>
      <c r="H468" t="inlineStr">
        <is>
          <t>5812</t>
        </is>
      </c>
      <c r="I468" t="inlineStr">
        <is>
          <t>58</t>
        </is>
      </c>
      <c r="J468" t="inlineStr">
        <is>
          <t>TX</t>
        </is>
      </c>
      <c r="K468" t="inlineStr">
        <is>
          <t>Westwood</t>
        </is>
      </c>
      <c r="L468" t="inlineStr">
        <is>
          <t>New Deal</t>
        </is>
      </c>
      <c r="M468" s="298" t="n">
        <v>1.49</v>
      </c>
      <c r="N468" s="299" t="n">
        <v>12000</v>
      </c>
      <c r="O468" s="299" t="n">
        <v>1680</v>
      </c>
      <c r="P468" s="299" t="n">
        <v>17880</v>
      </c>
      <c r="Q468" s="299" t="n">
        <v>17880</v>
      </c>
      <c r="R468" s="299" t="n">
        <v>0</v>
      </c>
      <c r="S468" s="300" t="n">
        <v>1</v>
      </c>
      <c r="T468" t="n">
        <v>2.951</v>
      </c>
      <c r="U468" t="n">
        <v>0</v>
      </c>
      <c r="V468" t="n">
        <v>30000</v>
      </c>
      <c r="W468" s="300" t="n">
        <v>0.1192</v>
      </c>
      <c r="X468" s="297" t="n"/>
      <c r="Y468">
        <f>IF(I468="","No SIC",IFERROR(VLOOKUP(I468,Ref!$A$2:$B$65,2,FALSE),"Unclassified"))</f>
        <v/>
      </c>
      <c r="Z468">
        <f>IF(T468="","",IF(T468&lt;12,"Daily","Weekly"))</f>
        <v/>
      </c>
      <c r="AA468">
        <f>IF(T468="",0,IF(T468&lt;12,T468*Controls!$B$29,T468*5))</f>
        <v/>
      </c>
      <c r="AB468">
        <f>IF(E468="",0,NETWORKDAYS(E468,Controls!$B$36,Ref!$K$2:$K$42))</f>
        <v/>
      </c>
      <c r="AC468">
        <f>IF(AND(AA468&gt;0,AB468&gt;=Controls!$B$39*AA468),1,0)</f>
        <v/>
      </c>
      <c r="AD468">
        <f>IF(AND(E468&lt;&gt;"",E468&gt;=Controls!$B$37,E468&lt;=Controls!$B$38),1,0)</f>
        <v/>
      </c>
      <c r="AE468">
        <f>IF(IFERROR(VLOOKUP(D468,Controls!$A$64:$E$74,2,FALSE),"No")="Yes",1,0)</f>
        <v/>
      </c>
      <c r="AF468">
        <f>IF(IFERROR(VLOOKUP(D468,Controls!$A$64:$E$74,3,FALSE),"No")="Yes",1,0)</f>
        <v/>
      </c>
      <c r="AG468">
        <f>IF(IFERROR(VLOOKUP(D468,Controls!$A$64:$E$74,4,FALSE),"No")="Yes",1,0)</f>
        <v/>
      </c>
      <c r="AH468">
        <f>IF(IFERROR(VLOOKUP(D468,Controls!$A$64:$E$74,5,FALSE),"No")="Yes",1,0)</f>
        <v/>
      </c>
      <c r="AI468">
        <f>IF(ISNUMBER(MATCH(D468,Controls!$A$64:$A$74,0)),1,0)</f>
        <v/>
      </c>
      <c r="AJ468">
        <f>Q468-N468</f>
        <v/>
      </c>
      <c r="AK468">
        <f>IF(AE468=1,MAX(0,N468-Q468),0)</f>
        <v/>
      </c>
      <c r="AL468">
        <f>IF(OR(V468="",V468=0),0,N468/V468)</f>
        <v/>
      </c>
      <c r="AM468">
        <f>IF(OR(V468="",V468=0),0,1)</f>
        <v/>
      </c>
      <c r="AN468">
        <f>IF(OR(E468="",F468=""),0,NETWORKDAYS(E468,F468,Ref!$K$2:$K$42))</f>
        <v/>
      </c>
      <c r="AO468">
        <f>IF(L468="Renewal",1,0)</f>
        <v/>
      </c>
      <c r="AP468">
        <f>AC468*AD468</f>
        <v/>
      </c>
      <c r="AQ468">
        <f>IF(AND(G468&lt;&gt;"",'Historical Score'!$C$6&lt;&gt;""),IF(G468='Historical Score'!$C$6,1,0),0)</f>
        <v/>
      </c>
      <c r="AR468">
        <f>IF(AND(L468&lt;&gt;"",'Historical Score'!$C$5&lt;&gt;""),IF(L468='Historical Score'!$C$5,1,0),0)</f>
        <v/>
      </c>
      <c r="AS468">
        <f>IF(AND(Y468&lt;&gt;"",'Historical Score'!$C$7&lt;&gt;""),IF(Y468='Historical Score'!$C$7,1,0),0)</f>
        <v/>
      </c>
      <c r="AT468">
        <f>IF(AND(K468&lt;&gt;"",'Historical Score'!$C$8&lt;&gt;""),IF(K468='Historical Score'!$C$8,1,0),0)</f>
        <v/>
      </c>
      <c r="AU468">
        <f>IF(AND(J468&lt;&gt;"",'Historical Score'!$C$9&lt;&gt;""),IF(J468='Historical Score'!$C$9,1,0),0)</f>
        <v/>
      </c>
      <c r="AV468">
        <f>AR468*AS468*AQ468</f>
        <v/>
      </c>
      <c r="AW468">
        <f>AR468*AT468*AQ468</f>
        <v/>
      </c>
      <c r="AX468">
        <f>AR468*AS468</f>
        <v/>
      </c>
      <c r="AY468">
        <f>AR468*AT468</f>
        <v/>
      </c>
      <c r="AZ468">
        <f>AR468*AQ468</f>
        <v/>
      </c>
      <c r="BA468">
        <f>AR468</f>
        <v/>
      </c>
      <c r="BB468">
        <f>1</f>
        <v/>
      </c>
      <c r="BC468">
        <f>IF(AV468=1,1,IF(AW468=1,2,IF(AX468=1,3,IF(AY468=1,4,IF(AZ468=1,5,IF(BA468=1,6,7))))))</f>
        <v/>
      </c>
      <c r="BD468">
        <f>IF(AD468=1,CHOOSE('Historical Score'!$C$29,AV468,AW468,AX468,AY468,AZ468,BA468,BB468),0)</f>
        <v/>
      </c>
      <c r="BE468">
        <f>IF(BD468=1,COUNTIF($BD$2:BD468,1),"")</f>
        <v/>
      </c>
    </row>
    <row r="469">
      <c r="A469" t="inlineStr">
        <is>
          <t>5674174937</t>
        </is>
      </c>
      <c r="B469" t="inlineStr">
        <is>
          <t>JACKS PEST MGMT LLC</t>
        </is>
      </c>
      <c r="C469" t="inlineStr">
        <is>
          <t>JACKS PEST MGMT LLC</t>
        </is>
      </c>
      <c r="D469" t="inlineStr">
        <is>
          <t>Closed</t>
        </is>
      </c>
      <c r="E469" s="297" t="n">
        <v>46014</v>
      </c>
      <c r="F469" s="297" t="n">
        <v>46162</v>
      </c>
      <c r="G469" t="n">
        <v>2</v>
      </c>
      <c r="H469" t="inlineStr">
        <is>
          <t>7342</t>
        </is>
      </c>
      <c r="I469" t="inlineStr">
        <is>
          <t>73</t>
        </is>
      </c>
      <c r="J469" t="inlineStr">
        <is>
          <t>MO</t>
        </is>
      </c>
      <c r="K469" t="inlineStr">
        <is>
          <t>Samson Funding</t>
        </is>
      </c>
      <c r="L469" t="inlineStr">
        <is>
          <t>Renewal</t>
        </is>
      </c>
      <c r="M469" s="298" t="n">
        <v>1.45</v>
      </c>
      <c r="N469" s="299" t="n">
        <v>10000</v>
      </c>
      <c r="O469" s="299" t="n">
        <v>1200</v>
      </c>
      <c r="P469" s="299" t="n">
        <v>14500</v>
      </c>
      <c r="Q469" s="299" t="n">
        <v>14500</v>
      </c>
      <c r="R469" s="299" t="n">
        <v>0</v>
      </c>
      <c r="S469" s="300" t="n">
        <v>1</v>
      </c>
      <c r="T469" t="n">
        <v>3.934</v>
      </c>
      <c r="U469" t="n">
        <v>0</v>
      </c>
      <c r="V469" t="n">
        <v>12993</v>
      </c>
      <c r="W469" s="300" t="n">
        <v>0.1953</v>
      </c>
      <c r="X469" s="297" t="n">
        <v>45280</v>
      </c>
      <c r="Y469">
        <f>IF(I469="","No SIC",IFERROR(VLOOKUP(I469,Ref!$A$2:$B$65,2,FALSE),"Unclassified"))</f>
        <v/>
      </c>
      <c r="Z469">
        <f>IF(T469="","",IF(T469&lt;12,"Daily","Weekly"))</f>
        <v/>
      </c>
      <c r="AA469">
        <f>IF(T469="",0,IF(T469&lt;12,T469*Controls!$B$29,T469*5))</f>
        <v/>
      </c>
      <c r="AB469">
        <f>IF(E469="",0,NETWORKDAYS(E469,Controls!$B$36,Ref!$K$2:$K$42))</f>
        <v/>
      </c>
      <c r="AC469">
        <f>IF(AND(AA469&gt;0,AB469&gt;=Controls!$B$39*AA469),1,0)</f>
        <v/>
      </c>
      <c r="AD469">
        <f>IF(AND(E469&lt;&gt;"",E469&gt;=Controls!$B$37,E469&lt;=Controls!$B$38),1,0)</f>
        <v/>
      </c>
      <c r="AE469">
        <f>IF(IFERROR(VLOOKUP(D469,Controls!$A$64:$E$74,2,FALSE),"No")="Yes",1,0)</f>
        <v/>
      </c>
      <c r="AF469">
        <f>IF(IFERROR(VLOOKUP(D469,Controls!$A$64:$E$74,3,FALSE),"No")="Yes",1,0)</f>
        <v/>
      </c>
      <c r="AG469">
        <f>IF(IFERROR(VLOOKUP(D469,Controls!$A$64:$E$74,4,FALSE),"No")="Yes",1,0)</f>
        <v/>
      </c>
      <c r="AH469">
        <f>IF(IFERROR(VLOOKUP(D469,Controls!$A$64:$E$74,5,FALSE),"No")="Yes",1,0)</f>
        <v/>
      </c>
      <c r="AI469">
        <f>IF(ISNUMBER(MATCH(D469,Controls!$A$64:$A$74,0)),1,0)</f>
        <v/>
      </c>
      <c r="AJ469">
        <f>Q469-N469</f>
        <v/>
      </c>
      <c r="AK469">
        <f>IF(AE469=1,MAX(0,N469-Q469),0)</f>
        <v/>
      </c>
      <c r="AL469">
        <f>IF(OR(V469="",V469=0),0,N469/V469)</f>
        <v/>
      </c>
      <c r="AM469">
        <f>IF(OR(V469="",V469=0),0,1)</f>
        <v/>
      </c>
      <c r="AN469">
        <f>IF(OR(E469="",F469=""),0,NETWORKDAYS(E469,F469,Ref!$K$2:$K$42))</f>
        <v/>
      </c>
      <c r="AO469">
        <f>IF(L469="Renewal",1,0)</f>
        <v/>
      </c>
      <c r="AP469">
        <f>AC469*AD469</f>
        <v/>
      </c>
      <c r="AQ469">
        <f>IF(AND(G469&lt;&gt;"",'Historical Score'!$C$6&lt;&gt;""),IF(G469='Historical Score'!$C$6,1,0),0)</f>
        <v/>
      </c>
      <c r="AR469">
        <f>IF(AND(L469&lt;&gt;"",'Historical Score'!$C$5&lt;&gt;""),IF(L469='Historical Score'!$C$5,1,0),0)</f>
        <v/>
      </c>
      <c r="AS469">
        <f>IF(AND(Y469&lt;&gt;"",'Historical Score'!$C$7&lt;&gt;""),IF(Y469='Historical Score'!$C$7,1,0),0)</f>
        <v/>
      </c>
      <c r="AT469">
        <f>IF(AND(K469&lt;&gt;"",'Historical Score'!$C$8&lt;&gt;""),IF(K469='Historical Score'!$C$8,1,0),0)</f>
        <v/>
      </c>
      <c r="AU469">
        <f>IF(AND(J469&lt;&gt;"",'Historical Score'!$C$9&lt;&gt;""),IF(J469='Historical Score'!$C$9,1,0),0)</f>
        <v/>
      </c>
      <c r="AV469">
        <f>AR469*AS469*AQ469</f>
        <v/>
      </c>
      <c r="AW469">
        <f>AR469*AT469*AQ469</f>
        <v/>
      </c>
      <c r="AX469">
        <f>AR469*AS469</f>
        <v/>
      </c>
      <c r="AY469">
        <f>AR469*AT469</f>
        <v/>
      </c>
      <c r="AZ469">
        <f>AR469*AQ469</f>
        <v/>
      </c>
      <c r="BA469">
        <f>AR469</f>
        <v/>
      </c>
      <c r="BB469">
        <f>1</f>
        <v/>
      </c>
      <c r="BC469">
        <f>IF(AV469=1,1,IF(AW469=1,2,IF(AX469=1,3,IF(AY469=1,4,IF(AZ469=1,5,IF(BA469=1,6,7))))))</f>
        <v/>
      </c>
      <c r="BD469">
        <f>IF(AD469=1,CHOOSE('Historical Score'!$C$29,AV469,AW469,AX469,AY469,AZ469,BA469,BB469),0)</f>
        <v/>
      </c>
      <c r="BE469">
        <f>IF(BD469=1,COUNTIF($BD$2:BD469,1),"")</f>
        <v/>
      </c>
    </row>
    <row r="470">
      <c r="A470" t="inlineStr">
        <is>
          <t>5674174940</t>
        </is>
      </c>
      <c r="B470" t="inlineStr">
        <is>
          <t>Precisely Pandas LLC</t>
        </is>
      </c>
      <c r="C470" t="inlineStr">
        <is>
          <t>Precisely Pandas LLC</t>
        </is>
      </c>
      <c r="D470" t="inlineStr">
        <is>
          <t>Closed</t>
        </is>
      </c>
      <c r="E470" s="297" t="n">
        <v>46014</v>
      </c>
      <c r="F470" s="297" t="n">
        <v>46223</v>
      </c>
      <c r="G470" t="n">
        <v>3</v>
      </c>
      <c r="H470" t="inlineStr">
        <is>
          <t>8351</t>
        </is>
      </c>
      <c r="I470" t="inlineStr">
        <is>
          <t>83</t>
        </is>
      </c>
      <c r="J470" t="inlineStr">
        <is>
          <t>CT</t>
        </is>
      </c>
      <c r="K470" t="inlineStr">
        <is>
          <t>National Business Capital</t>
        </is>
      </c>
      <c r="L470" t="inlineStr">
        <is>
          <t>Renewal</t>
        </is>
      </c>
      <c r="M470" s="298" t="n">
        <v>1.39</v>
      </c>
      <c r="N470" s="299" t="n">
        <v>30000</v>
      </c>
      <c r="O470" s="299" t="n">
        <v>2700</v>
      </c>
      <c r="P470" s="299" t="n">
        <v>41700</v>
      </c>
      <c r="Q470" s="299" t="n">
        <v>41700</v>
      </c>
      <c r="R470" s="299" t="n">
        <v>0</v>
      </c>
      <c r="S470" s="300" t="n">
        <v>1</v>
      </c>
      <c r="T470" t="n">
        <v>30</v>
      </c>
      <c r="U470" t="n">
        <v>1</v>
      </c>
      <c r="V470" t="n">
        <v>80453.13</v>
      </c>
      <c r="W470" s="300" t="n">
        <v>0.0619</v>
      </c>
      <c r="X470" s="297" t="n"/>
      <c r="Y470">
        <f>IF(I470="","No SIC",IFERROR(VLOOKUP(I470,Ref!$A$2:$B$65,2,FALSE),"Unclassified"))</f>
        <v/>
      </c>
      <c r="Z470">
        <f>IF(T470="","",IF(T470&lt;12,"Daily","Weekly"))</f>
        <v/>
      </c>
      <c r="AA470">
        <f>IF(T470="",0,IF(T470&lt;12,T470*Controls!$B$29,T470*5))</f>
        <v/>
      </c>
      <c r="AB470">
        <f>IF(E470="",0,NETWORKDAYS(E470,Controls!$B$36,Ref!$K$2:$K$42))</f>
        <v/>
      </c>
      <c r="AC470">
        <f>IF(AND(AA470&gt;0,AB470&gt;=Controls!$B$39*AA470),1,0)</f>
        <v/>
      </c>
      <c r="AD470">
        <f>IF(AND(E470&lt;&gt;"",E470&gt;=Controls!$B$37,E470&lt;=Controls!$B$38),1,0)</f>
        <v/>
      </c>
      <c r="AE470">
        <f>IF(IFERROR(VLOOKUP(D470,Controls!$A$64:$E$74,2,FALSE),"No")="Yes",1,0)</f>
        <v/>
      </c>
      <c r="AF470">
        <f>IF(IFERROR(VLOOKUP(D470,Controls!$A$64:$E$74,3,FALSE),"No")="Yes",1,0)</f>
        <v/>
      </c>
      <c r="AG470">
        <f>IF(IFERROR(VLOOKUP(D470,Controls!$A$64:$E$74,4,FALSE),"No")="Yes",1,0)</f>
        <v/>
      </c>
      <c r="AH470">
        <f>IF(IFERROR(VLOOKUP(D470,Controls!$A$64:$E$74,5,FALSE),"No")="Yes",1,0)</f>
        <v/>
      </c>
      <c r="AI470">
        <f>IF(ISNUMBER(MATCH(D470,Controls!$A$64:$A$74,0)),1,0)</f>
        <v/>
      </c>
      <c r="AJ470">
        <f>Q470-N470</f>
        <v/>
      </c>
      <c r="AK470">
        <f>IF(AE470=1,MAX(0,N470-Q470),0)</f>
        <v/>
      </c>
      <c r="AL470">
        <f>IF(OR(V470="",V470=0),0,N470/V470)</f>
        <v/>
      </c>
      <c r="AM470">
        <f>IF(OR(V470="",V470=0),0,1)</f>
        <v/>
      </c>
      <c r="AN470">
        <f>IF(OR(E470="",F470=""),0,NETWORKDAYS(E470,F470,Ref!$K$2:$K$42))</f>
        <v/>
      </c>
      <c r="AO470">
        <f>IF(L470="Renewal",1,0)</f>
        <v/>
      </c>
      <c r="AP470">
        <f>AC470*AD470</f>
        <v/>
      </c>
      <c r="AQ470">
        <f>IF(AND(G470&lt;&gt;"",'Historical Score'!$C$6&lt;&gt;""),IF(G470='Historical Score'!$C$6,1,0),0)</f>
        <v/>
      </c>
      <c r="AR470">
        <f>IF(AND(L470&lt;&gt;"",'Historical Score'!$C$5&lt;&gt;""),IF(L470='Historical Score'!$C$5,1,0),0)</f>
        <v/>
      </c>
      <c r="AS470">
        <f>IF(AND(Y470&lt;&gt;"",'Historical Score'!$C$7&lt;&gt;""),IF(Y470='Historical Score'!$C$7,1,0),0)</f>
        <v/>
      </c>
      <c r="AT470">
        <f>IF(AND(K470&lt;&gt;"",'Historical Score'!$C$8&lt;&gt;""),IF(K470='Historical Score'!$C$8,1,0),0)</f>
        <v/>
      </c>
      <c r="AU470">
        <f>IF(AND(J470&lt;&gt;"",'Historical Score'!$C$9&lt;&gt;""),IF(J470='Historical Score'!$C$9,1,0),0)</f>
        <v/>
      </c>
      <c r="AV470">
        <f>AR470*AS470*AQ470</f>
        <v/>
      </c>
      <c r="AW470">
        <f>AR470*AT470*AQ470</f>
        <v/>
      </c>
      <c r="AX470">
        <f>AR470*AS470</f>
        <v/>
      </c>
      <c r="AY470">
        <f>AR470*AT470</f>
        <v/>
      </c>
      <c r="AZ470">
        <f>AR470*AQ470</f>
        <v/>
      </c>
      <c r="BA470">
        <f>AR470</f>
        <v/>
      </c>
      <c r="BB470">
        <f>1</f>
        <v/>
      </c>
      <c r="BC470">
        <f>IF(AV470=1,1,IF(AW470=1,2,IF(AX470=1,3,IF(AY470=1,4,IF(AZ470=1,5,IF(BA470=1,6,7))))))</f>
        <v/>
      </c>
      <c r="BD470">
        <f>IF(AD470=1,CHOOSE('Historical Score'!$C$29,AV470,AW470,AX470,AY470,AZ470,BA470,BB470),0)</f>
        <v/>
      </c>
      <c r="BE470">
        <f>IF(BD470=1,COUNTIF($BD$2:BD470,1),"")</f>
        <v/>
      </c>
    </row>
    <row r="471">
      <c r="A471" t="inlineStr">
        <is>
          <t>5674174945</t>
        </is>
      </c>
      <c r="B471" t="inlineStr">
        <is>
          <t>S&amp;R JANITORIAL SERVICE LLC</t>
        </is>
      </c>
      <c r="C471" t="inlineStr">
        <is>
          <t>S&amp;R JANITORIAL SERVICE LLC</t>
        </is>
      </c>
      <c r="D471" t="inlineStr">
        <is>
          <t>Closed</t>
        </is>
      </c>
      <c r="E471" s="297" t="n">
        <v>46014</v>
      </c>
      <c r="F471" s="297" t="n">
        <v>46163</v>
      </c>
      <c r="G471" t="n">
        <v>4</v>
      </c>
      <c r="J471" t="inlineStr">
        <is>
          <t>CA</t>
        </is>
      </c>
      <c r="K471" t="inlineStr">
        <is>
          <t>Linked In Funding</t>
        </is>
      </c>
      <c r="L471" t="inlineStr">
        <is>
          <t>New Deal</t>
        </is>
      </c>
      <c r="M471" s="298" t="n">
        <v>1.49</v>
      </c>
      <c r="N471" s="299" t="n">
        <v>15000</v>
      </c>
      <c r="O471" s="299" t="n">
        <v>2100</v>
      </c>
      <c r="P471" s="299" t="n">
        <v>22350</v>
      </c>
      <c r="Q471" s="299" t="n">
        <v>22350</v>
      </c>
      <c r="R471" s="299" t="n">
        <v>0</v>
      </c>
      <c r="S471" s="300" t="n">
        <v>1</v>
      </c>
      <c r="T471" t="n">
        <v>3.279</v>
      </c>
      <c r="U471" t="n">
        <v>1</v>
      </c>
      <c r="V471" t="n">
        <v>94527.25999999999</v>
      </c>
      <c r="W471" s="300" t="n">
        <v>0.0497</v>
      </c>
      <c r="X471" s="297" t="n">
        <v>42906</v>
      </c>
      <c r="Y471">
        <f>IF(I471="","No SIC",IFERROR(VLOOKUP(I471,Ref!$A$2:$B$65,2,FALSE),"Unclassified"))</f>
        <v/>
      </c>
      <c r="Z471">
        <f>IF(T471="","",IF(T471&lt;12,"Daily","Weekly"))</f>
        <v/>
      </c>
      <c r="AA471">
        <f>IF(T471="",0,IF(T471&lt;12,T471*Controls!$B$29,T471*5))</f>
        <v/>
      </c>
      <c r="AB471">
        <f>IF(E471="",0,NETWORKDAYS(E471,Controls!$B$36,Ref!$K$2:$K$42))</f>
        <v/>
      </c>
      <c r="AC471">
        <f>IF(AND(AA471&gt;0,AB471&gt;=Controls!$B$39*AA471),1,0)</f>
        <v/>
      </c>
      <c r="AD471">
        <f>IF(AND(E471&lt;&gt;"",E471&gt;=Controls!$B$37,E471&lt;=Controls!$B$38),1,0)</f>
        <v/>
      </c>
      <c r="AE471">
        <f>IF(IFERROR(VLOOKUP(D471,Controls!$A$64:$E$74,2,FALSE),"No")="Yes",1,0)</f>
        <v/>
      </c>
      <c r="AF471">
        <f>IF(IFERROR(VLOOKUP(D471,Controls!$A$64:$E$74,3,FALSE),"No")="Yes",1,0)</f>
        <v/>
      </c>
      <c r="AG471">
        <f>IF(IFERROR(VLOOKUP(D471,Controls!$A$64:$E$74,4,FALSE),"No")="Yes",1,0)</f>
        <v/>
      </c>
      <c r="AH471">
        <f>IF(IFERROR(VLOOKUP(D471,Controls!$A$64:$E$74,5,FALSE),"No")="Yes",1,0)</f>
        <v/>
      </c>
      <c r="AI471">
        <f>IF(ISNUMBER(MATCH(D471,Controls!$A$64:$A$74,0)),1,0)</f>
        <v/>
      </c>
      <c r="AJ471">
        <f>Q471-N471</f>
        <v/>
      </c>
      <c r="AK471">
        <f>IF(AE471=1,MAX(0,N471-Q471),0)</f>
        <v/>
      </c>
      <c r="AL471">
        <f>IF(OR(V471="",V471=0),0,N471/V471)</f>
        <v/>
      </c>
      <c r="AM471">
        <f>IF(OR(V471="",V471=0),0,1)</f>
        <v/>
      </c>
      <c r="AN471">
        <f>IF(OR(E471="",F471=""),0,NETWORKDAYS(E471,F471,Ref!$K$2:$K$42))</f>
        <v/>
      </c>
      <c r="AO471">
        <f>IF(L471="Renewal",1,0)</f>
        <v/>
      </c>
      <c r="AP471">
        <f>AC471*AD471</f>
        <v/>
      </c>
      <c r="AQ471">
        <f>IF(AND(G471&lt;&gt;"",'Historical Score'!$C$6&lt;&gt;""),IF(G471='Historical Score'!$C$6,1,0),0)</f>
        <v/>
      </c>
      <c r="AR471">
        <f>IF(AND(L471&lt;&gt;"",'Historical Score'!$C$5&lt;&gt;""),IF(L471='Historical Score'!$C$5,1,0),0)</f>
        <v/>
      </c>
      <c r="AS471">
        <f>IF(AND(Y471&lt;&gt;"",'Historical Score'!$C$7&lt;&gt;""),IF(Y471='Historical Score'!$C$7,1,0),0)</f>
        <v/>
      </c>
      <c r="AT471">
        <f>IF(AND(K471&lt;&gt;"",'Historical Score'!$C$8&lt;&gt;""),IF(K471='Historical Score'!$C$8,1,0),0)</f>
        <v/>
      </c>
      <c r="AU471">
        <f>IF(AND(J471&lt;&gt;"",'Historical Score'!$C$9&lt;&gt;""),IF(J471='Historical Score'!$C$9,1,0),0)</f>
        <v/>
      </c>
      <c r="AV471">
        <f>AR471*AS471*AQ471</f>
        <v/>
      </c>
      <c r="AW471">
        <f>AR471*AT471*AQ471</f>
        <v/>
      </c>
      <c r="AX471">
        <f>AR471*AS471</f>
        <v/>
      </c>
      <c r="AY471">
        <f>AR471*AT471</f>
        <v/>
      </c>
      <c r="AZ471">
        <f>AR471*AQ471</f>
        <v/>
      </c>
      <c r="BA471">
        <f>AR471</f>
        <v/>
      </c>
      <c r="BB471">
        <f>1</f>
        <v/>
      </c>
      <c r="BC471">
        <f>IF(AV471=1,1,IF(AW471=1,2,IF(AX471=1,3,IF(AY471=1,4,IF(AZ471=1,5,IF(BA471=1,6,7))))))</f>
        <v/>
      </c>
      <c r="BD471">
        <f>IF(AD471=1,CHOOSE('Historical Score'!$C$29,AV471,AW471,AX471,AY471,AZ471,BA471,BB471),0)</f>
        <v/>
      </c>
      <c r="BE471">
        <f>IF(BD471=1,COUNTIF($BD$2:BD471,1),"")</f>
        <v/>
      </c>
    </row>
    <row r="472">
      <c r="A472" t="inlineStr">
        <is>
          <t>5674174958</t>
        </is>
      </c>
      <c r="B472" t="inlineStr">
        <is>
          <t>Oaceus Insurance Services LLC</t>
        </is>
      </c>
      <c r="C472" t="inlineStr">
        <is>
          <t>Smith Delliquadri &amp; Co</t>
        </is>
      </c>
      <c r="D472" t="inlineStr">
        <is>
          <t>In House Collection</t>
        </is>
      </c>
      <c r="E472" s="297" t="n">
        <v>46014</v>
      </c>
      <c r="F472" s="297" t="n">
        <v>46252</v>
      </c>
      <c r="G472" t="n">
        <v>3</v>
      </c>
      <c r="H472" t="inlineStr">
        <is>
          <t>6311</t>
        </is>
      </c>
      <c r="I472" t="inlineStr">
        <is>
          <t>63</t>
        </is>
      </c>
      <c r="J472" t="inlineStr">
        <is>
          <t>CA</t>
        </is>
      </c>
      <c r="K472" t="inlineStr">
        <is>
          <t>Fundwell</t>
        </is>
      </c>
      <c r="L472" t="inlineStr">
        <is>
          <t>New Deal</t>
        </is>
      </c>
      <c r="M472" s="298" t="n">
        <v>1.39</v>
      </c>
      <c r="N472" s="299" t="n">
        <v>155000</v>
      </c>
      <c r="O472" s="299" t="n">
        <v>19375</v>
      </c>
      <c r="P472" s="299" t="n">
        <v>215450</v>
      </c>
      <c r="Q472" s="299" t="n">
        <v>132370.03</v>
      </c>
      <c r="R472" s="299" t="n">
        <v>83079.97</v>
      </c>
      <c r="S472" s="300" t="n">
        <v>0.614388628452077</v>
      </c>
      <c r="T472" t="n">
        <v>30</v>
      </c>
      <c r="U472" t="n">
        <v>6</v>
      </c>
      <c r="V472" t="n">
        <v>668121.63</v>
      </c>
      <c r="W472" s="300" t="n">
        <v>0.043</v>
      </c>
      <c r="X472" s="297" t="n">
        <v>43466</v>
      </c>
      <c r="Y472">
        <f>IF(I472="","No SIC",IFERROR(VLOOKUP(I472,Ref!$A$2:$B$65,2,FALSE),"Unclassified"))</f>
        <v/>
      </c>
      <c r="Z472">
        <f>IF(T472="","",IF(T472&lt;12,"Daily","Weekly"))</f>
        <v/>
      </c>
      <c r="AA472">
        <f>IF(T472="",0,IF(T472&lt;12,T472*Controls!$B$29,T472*5))</f>
        <v/>
      </c>
      <c r="AB472">
        <f>IF(E472="",0,NETWORKDAYS(E472,Controls!$B$36,Ref!$K$2:$K$42))</f>
        <v/>
      </c>
      <c r="AC472">
        <f>IF(AND(AA472&gt;0,AB472&gt;=Controls!$B$39*AA472),1,0)</f>
        <v/>
      </c>
      <c r="AD472">
        <f>IF(AND(E472&lt;&gt;"",E472&gt;=Controls!$B$37,E472&lt;=Controls!$B$38),1,0)</f>
        <v/>
      </c>
      <c r="AE472">
        <f>IF(IFERROR(VLOOKUP(D472,Controls!$A$64:$E$74,2,FALSE),"No")="Yes",1,0)</f>
        <v/>
      </c>
      <c r="AF472">
        <f>IF(IFERROR(VLOOKUP(D472,Controls!$A$64:$E$74,3,FALSE),"No")="Yes",1,0)</f>
        <v/>
      </c>
      <c r="AG472">
        <f>IF(IFERROR(VLOOKUP(D472,Controls!$A$64:$E$74,4,FALSE),"No")="Yes",1,0)</f>
        <v/>
      </c>
      <c r="AH472">
        <f>IF(IFERROR(VLOOKUP(D472,Controls!$A$64:$E$74,5,FALSE),"No")="Yes",1,0)</f>
        <v/>
      </c>
      <c r="AI472">
        <f>IF(ISNUMBER(MATCH(D472,Controls!$A$64:$A$74,0)),1,0)</f>
        <v/>
      </c>
      <c r="AJ472">
        <f>Q472-N472</f>
        <v/>
      </c>
      <c r="AK472">
        <f>IF(AE472=1,MAX(0,N472-Q472),0)</f>
        <v/>
      </c>
      <c r="AL472">
        <f>IF(OR(V472="",V472=0),0,N472/V472)</f>
        <v/>
      </c>
      <c r="AM472">
        <f>IF(OR(V472="",V472=0),0,1)</f>
        <v/>
      </c>
      <c r="AN472">
        <f>IF(OR(E472="",F472=""),0,NETWORKDAYS(E472,F472,Ref!$K$2:$K$42))</f>
        <v/>
      </c>
      <c r="AO472">
        <f>IF(L472="Renewal",1,0)</f>
        <v/>
      </c>
      <c r="AP472">
        <f>AC472*AD472</f>
        <v/>
      </c>
      <c r="AQ472">
        <f>IF(AND(G472&lt;&gt;"",'Historical Score'!$C$6&lt;&gt;""),IF(G472='Historical Score'!$C$6,1,0),0)</f>
        <v/>
      </c>
      <c r="AR472">
        <f>IF(AND(L472&lt;&gt;"",'Historical Score'!$C$5&lt;&gt;""),IF(L472='Historical Score'!$C$5,1,0),0)</f>
        <v/>
      </c>
      <c r="AS472">
        <f>IF(AND(Y472&lt;&gt;"",'Historical Score'!$C$7&lt;&gt;""),IF(Y472='Historical Score'!$C$7,1,0),0)</f>
        <v/>
      </c>
      <c r="AT472">
        <f>IF(AND(K472&lt;&gt;"",'Historical Score'!$C$8&lt;&gt;""),IF(K472='Historical Score'!$C$8,1,0),0)</f>
        <v/>
      </c>
      <c r="AU472">
        <f>IF(AND(J472&lt;&gt;"",'Historical Score'!$C$9&lt;&gt;""),IF(J472='Historical Score'!$C$9,1,0),0)</f>
        <v/>
      </c>
      <c r="AV472">
        <f>AR472*AS472*AQ472</f>
        <v/>
      </c>
      <c r="AW472">
        <f>AR472*AT472*AQ472</f>
        <v/>
      </c>
      <c r="AX472">
        <f>AR472*AS472</f>
        <v/>
      </c>
      <c r="AY472">
        <f>AR472*AT472</f>
        <v/>
      </c>
      <c r="AZ472">
        <f>AR472*AQ472</f>
        <v/>
      </c>
      <c r="BA472">
        <f>AR472</f>
        <v/>
      </c>
      <c r="BB472">
        <f>1</f>
        <v/>
      </c>
      <c r="BC472">
        <f>IF(AV472=1,1,IF(AW472=1,2,IF(AX472=1,3,IF(AY472=1,4,IF(AZ472=1,5,IF(BA472=1,6,7))))))</f>
        <v/>
      </c>
      <c r="BD472">
        <f>IF(AD472=1,CHOOSE('Historical Score'!$C$29,AV472,AW472,AX472,AY472,AZ472,BA472,BB472),0)</f>
        <v/>
      </c>
      <c r="BE472">
        <f>IF(BD472=1,COUNTIF($BD$2:BD472,1),"")</f>
        <v/>
      </c>
    </row>
    <row r="473">
      <c r="A473" t="inlineStr">
        <is>
          <t>5674174960</t>
        </is>
      </c>
      <c r="B473" t="inlineStr">
        <is>
          <t>PROSPECT MASTER</t>
        </is>
      </c>
      <c r="C473" t="inlineStr">
        <is>
          <t>PROSPECT MASTER LLC</t>
        </is>
      </c>
      <c r="D473" t="inlineStr">
        <is>
          <t>Closed</t>
        </is>
      </c>
      <c r="E473" s="297" t="n">
        <v>46014</v>
      </c>
      <c r="F473" s="297" t="n">
        <v>46100</v>
      </c>
      <c r="G473" t="n">
        <v>3</v>
      </c>
      <c r="H473" t="inlineStr">
        <is>
          <t>6531</t>
        </is>
      </c>
      <c r="I473" t="inlineStr">
        <is>
          <t>65</t>
        </is>
      </c>
      <c r="J473" t="inlineStr">
        <is>
          <t>FL</t>
        </is>
      </c>
      <c r="K473" t="inlineStr">
        <is>
          <t>Fundwell</t>
        </is>
      </c>
      <c r="L473" t="inlineStr">
        <is>
          <t>New Deal</t>
        </is>
      </c>
      <c r="M473" s="298" t="n">
        <v>1.42</v>
      </c>
      <c r="N473" s="299" t="n">
        <v>21500</v>
      </c>
      <c r="O473" s="299" t="n">
        <v>3117.5</v>
      </c>
      <c r="P473" s="299" t="n">
        <v>30530</v>
      </c>
      <c r="Q473" s="299" t="n">
        <v>30530</v>
      </c>
      <c r="R473" s="299" t="n">
        <v>0</v>
      </c>
      <c r="S473" s="300" t="n">
        <v>1</v>
      </c>
      <c r="T473" t="n">
        <v>3.934</v>
      </c>
      <c r="U473" t="n">
        <v>0</v>
      </c>
      <c r="V473" t="n">
        <v>23515.99</v>
      </c>
      <c r="W473" s="300" t="n">
        <v>0.2272</v>
      </c>
      <c r="X473" s="297" t="n">
        <v>42017</v>
      </c>
      <c r="Y473">
        <f>IF(I473="","No SIC",IFERROR(VLOOKUP(I473,Ref!$A$2:$B$65,2,FALSE),"Unclassified"))</f>
        <v/>
      </c>
      <c r="Z473">
        <f>IF(T473="","",IF(T473&lt;12,"Daily","Weekly"))</f>
        <v/>
      </c>
      <c r="AA473">
        <f>IF(T473="",0,IF(T473&lt;12,T473*Controls!$B$29,T473*5))</f>
        <v/>
      </c>
      <c r="AB473">
        <f>IF(E473="",0,NETWORKDAYS(E473,Controls!$B$36,Ref!$K$2:$K$42))</f>
        <v/>
      </c>
      <c r="AC473">
        <f>IF(AND(AA473&gt;0,AB473&gt;=Controls!$B$39*AA473),1,0)</f>
        <v/>
      </c>
      <c r="AD473">
        <f>IF(AND(E473&lt;&gt;"",E473&gt;=Controls!$B$37,E473&lt;=Controls!$B$38),1,0)</f>
        <v/>
      </c>
      <c r="AE473">
        <f>IF(IFERROR(VLOOKUP(D473,Controls!$A$64:$E$74,2,FALSE),"No")="Yes",1,0)</f>
        <v/>
      </c>
      <c r="AF473">
        <f>IF(IFERROR(VLOOKUP(D473,Controls!$A$64:$E$74,3,FALSE),"No")="Yes",1,0)</f>
        <v/>
      </c>
      <c r="AG473">
        <f>IF(IFERROR(VLOOKUP(D473,Controls!$A$64:$E$74,4,FALSE),"No")="Yes",1,0)</f>
        <v/>
      </c>
      <c r="AH473">
        <f>IF(IFERROR(VLOOKUP(D473,Controls!$A$64:$E$74,5,FALSE),"No")="Yes",1,0)</f>
        <v/>
      </c>
      <c r="AI473">
        <f>IF(ISNUMBER(MATCH(D473,Controls!$A$64:$A$74,0)),1,0)</f>
        <v/>
      </c>
      <c r="AJ473">
        <f>Q473-N473</f>
        <v/>
      </c>
      <c r="AK473">
        <f>IF(AE473=1,MAX(0,N473-Q473),0)</f>
        <v/>
      </c>
      <c r="AL473">
        <f>IF(OR(V473="",V473=0),0,N473/V473)</f>
        <v/>
      </c>
      <c r="AM473">
        <f>IF(OR(V473="",V473=0),0,1)</f>
        <v/>
      </c>
      <c r="AN473">
        <f>IF(OR(E473="",F473=""),0,NETWORKDAYS(E473,F473,Ref!$K$2:$K$42))</f>
        <v/>
      </c>
      <c r="AO473">
        <f>IF(L473="Renewal",1,0)</f>
        <v/>
      </c>
      <c r="AP473">
        <f>AC473*AD473</f>
        <v/>
      </c>
      <c r="AQ473">
        <f>IF(AND(G473&lt;&gt;"",'Historical Score'!$C$6&lt;&gt;""),IF(G473='Historical Score'!$C$6,1,0),0)</f>
        <v/>
      </c>
      <c r="AR473">
        <f>IF(AND(L473&lt;&gt;"",'Historical Score'!$C$5&lt;&gt;""),IF(L473='Historical Score'!$C$5,1,0),0)</f>
        <v/>
      </c>
      <c r="AS473">
        <f>IF(AND(Y473&lt;&gt;"",'Historical Score'!$C$7&lt;&gt;""),IF(Y473='Historical Score'!$C$7,1,0),0)</f>
        <v/>
      </c>
      <c r="AT473">
        <f>IF(AND(K473&lt;&gt;"",'Historical Score'!$C$8&lt;&gt;""),IF(K473='Historical Score'!$C$8,1,0),0)</f>
        <v/>
      </c>
      <c r="AU473">
        <f>IF(AND(J473&lt;&gt;"",'Historical Score'!$C$9&lt;&gt;""),IF(J473='Historical Score'!$C$9,1,0),0)</f>
        <v/>
      </c>
      <c r="AV473">
        <f>AR473*AS473*AQ473</f>
        <v/>
      </c>
      <c r="AW473">
        <f>AR473*AT473*AQ473</f>
        <v/>
      </c>
      <c r="AX473">
        <f>AR473*AS473</f>
        <v/>
      </c>
      <c r="AY473">
        <f>AR473*AT473</f>
        <v/>
      </c>
      <c r="AZ473">
        <f>AR473*AQ473</f>
        <v/>
      </c>
      <c r="BA473">
        <f>AR473</f>
        <v/>
      </c>
      <c r="BB473">
        <f>1</f>
        <v/>
      </c>
      <c r="BC473">
        <f>IF(AV473=1,1,IF(AW473=1,2,IF(AX473=1,3,IF(AY473=1,4,IF(AZ473=1,5,IF(BA473=1,6,7))))))</f>
        <v/>
      </c>
      <c r="BD473">
        <f>IF(AD473=1,CHOOSE('Historical Score'!$C$29,AV473,AW473,AX473,AY473,AZ473,BA473,BB473),0)</f>
        <v/>
      </c>
      <c r="BE473">
        <f>IF(BD473=1,COUNTIF($BD$2:BD473,1),"")</f>
        <v/>
      </c>
    </row>
    <row r="474">
      <c r="A474" t="inlineStr">
        <is>
          <t>5674174968</t>
        </is>
      </c>
      <c r="B474" t="inlineStr">
        <is>
          <t>Rodeo 29 Bar &amp; Grill</t>
        </is>
      </c>
      <c r="C474" t="inlineStr">
        <is>
          <t>Rodeo 29 Bar &amp; Grill</t>
        </is>
      </c>
      <c r="D474" t="inlineStr">
        <is>
          <t>Closed</t>
        </is>
      </c>
      <c r="E474" s="297" t="n">
        <v>46014</v>
      </c>
      <c r="F474" s="297" t="n">
        <v>46079</v>
      </c>
      <c r="G474" t="n">
        <v>2</v>
      </c>
      <c r="H474" t="inlineStr">
        <is>
          <t>5812</t>
        </is>
      </c>
      <c r="I474" t="inlineStr">
        <is>
          <t>58</t>
        </is>
      </c>
      <c r="J474" t="inlineStr">
        <is>
          <t>IL</t>
        </is>
      </c>
      <c r="K474" t="inlineStr">
        <is>
          <t>Ballicci</t>
        </is>
      </c>
      <c r="L474" t="inlineStr">
        <is>
          <t>New Deal</t>
        </is>
      </c>
      <c r="M474" s="298" t="n">
        <v>1.49</v>
      </c>
      <c r="N474" s="299" t="n">
        <v>20000</v>
      </c>
      <c r="O474" s="299" t="n">
        <v>2800</v>
      </c>
      <c r="P474" s="299" t="n">
        <v>29800</v>
      </c>
      <c r="Q474" s="299" t="n">
        <v>29800</v>
      </c>
      <c r="R474" s="299" t="n">
        <v>0</v>
      </c>
      <c r="S474" s="300" t="n">
        <v>1</v>
      </c>
      <c r="T474" t="n">
        <v>2.951</v>
      </c>
      <c r="U474" t="n">
        <v>0</v>
      </c>
      <c r="V474" t="n">
        <v>51003.83</v>
      </c>
      <c r="W474" s="300" t="n">
        <v>0.1363</v>
      </c>
      <c r="X474" s="297" t="n"/>
      <c r="Y474">
        <f>IF(I474="","No SIC",IFERROR(VLOOKUP(I474,Ref!$A$2:$B$65,2,FALSE),"Unclassified"))</f>
        <v/>
      </c>
      <c r="Z474">
        <f>IF(T474="","",IF(T474&lt;12,"Daily","Weekly"))</f>
        <v/>
      </c>
      <c r="AA474">
        <f>IF(T474="",0,IF(T474&lt;12,T474*Controls!$B$29,T474*5))</f>
        <v/>
      </c>
      <c r="AB474">
        <f>IF(E474="",0,NETWORKDAYS(E474,Controls!$B$36,Ref!$K$2:$K$42))</f>
        <v/>
      </c>
      <c r="AC474">
        <f>IF(AND(AA474&gt;0,AB474&gt;=Controls!$B$39*AA474),1,0)</f>
        <v/>
      </c>
      <c r="AD474">
        <f>IF(AND(E474&lt;&gt;"",E474&gt;=Controls!$B$37,E474&lt;=Controls!$B$38),1,0)</f>
        <v/>
      </c>
      <c r="AE474">
        <f>IF(IFERROR(VLOOKUP(D474,Controls!$A$64:$E$74,2,FALSE),"No")="Yes",1,0)</f>
        <v/>
      </c>
      <c r="AF474">
        <f>IF(IFERROR(VLOOKUP(D474,Controls!$A$64:$E$74,3,FALSE),"No")="Yes",1,0)</f>
        <v/>
      </c>
      <c r="AG474">
        <f>IF(IFERROR(VLOOKUP(D474,Controls!$A$64:$E$74,4,FALSE),"No")="Yes",1,0)</f>
        <v/>
      </c>
      <c r="AH474">
        <f>IF(IFERROR(VLOOKUP(D474,Controls!$A$64:$E$74,5,FALSE),"No")="Yes",1,0)</f>
        <v/>
      </c>
      <c r="AI474">
        <f>IF(ISNUMBER(MATCH(D474,Controls!$A$64:$A$74,0)),1,0)</f>
        <v/>
      </c>
      <c r="AJ474">
        <f>Q474-N474</f>
        <v/>
      </c>
      <c r="AK474">
        <f>IF(AE474=1,MAX(0,N474-Q474),0)</f>
        <v/>
      </c>
      <c r="AL474">
        <f>IF(OR(V474="",V474=0),0,N474/V474)</f>
        <v/>
      </c>
      <c r="AM474">
        <f>IF(OR(V474="",V474=0),0,1)</f>
        <v/>
      </c>
      <c r="AN474">
        <f>IF(OR(E474="",F474=""),0,NETWORKDAYS(E474,F474,Ref!$K$2:$K$42))</f>
        <v/>
      </c>
      <c r="AO474">
        <f>IF(L474="Renewal",1,0)</f>
        <v/>
      </c>
      <c r="AP474">
        <f>AC474*AD474</f>
        <v/>
      </c>
      <c r="AQ474">
        <f>IF(AND(G474&lt;&gt;"",'Historical Score'!$C$6&lt;&gt;""),IF(G474='Historical Score'!$C$6,1,0),0)</f>
        <v/>
      </c>
      <c r="AR474">
        <f>IF(AND(L474&lt;&gt;"",'Historical Score'!$C$5&lt;&gt;""),IF(L474='Historical Score'!$C$5,1,0),0)</f>
        <v/>
      </c>
      <c r="AS474">
        <f>IF(AND(Y474&lt;&gt;"",'Historical Score'!$C$7&lt;&gt;""),IF(Y474='Historical Score'!$C$7,1,0),0)</f>
        <v/>
      </c>
      <c r="AT474">
        <f>IF(AND(K474&lt;&gt;"",'Historical Score'!$C$8&lt;&gt;""),IF(K474='Historical Score'!$C$8,1,0),0)</f>
        <v/>
      </c>
      <c r="AU474">
        <f>IF(AND(J474&lt;&gt;"",'Historical Score'!$C$9&lt;&gt;""),IF(J474='Historical Score'!$C$9,1,0),0)</f>
        <v/>
      </c>
      <c r="AV474">
        <f>AR474*AS474*AQ474</f>
        <v/>
      </c>
      <c r="AW474">
        <f>AR474*AT474*AQ474</f>
        <v/>
      </c>
      <c r="AX474">
        <f>AR474*AS474</f>
        <v/>
      </c>
      <c r="AY474">
        <f>AR474*AT474</f>
        <v/>
      </c>
      <c r="AZ474">
        <f>AR474*AQ474</f>
        <v/>
      </c>
      <c r="BA474">
        <f>AR474</f>
        <v/>
      </c>
      <c r="BB474">
        <f>1</f>
        <v/>
      </c>
      <c r="BC474">
        <f>IF(AV474=1,1,IF(AW474=1,2,IF(AX474=1,3,IF(AY474=1,4,IF(AZ474=1,5,IF(BA474=1,6,7))))))</f>
        <v/>
      </c>
      <c r="BD474">
        <f>IF(AD474=1,CHOOSE('Historical Score'!$C$29,AV474,AW474,AX474,AY474,AZ474,BA474,BB474),0)</f>
        <v/>
      </c>
      <c r="BE474">
        <f>IF(BD474=1,COUNTIF($BD$2:BD474,1),"")</f>
        <v/>
      </c>
    </row>
    <row r="475">
      <c r="A475" t="inlineStr">
        <is>
          <t>5674174982</t>
        </is>
      </c>
      <c r="B475" t="inlineStr">
        <is>
          <t>GEM TAKEOFFS</t>
        </is>
      </c>
      <c r="C475" t="inlineStr">
        <is>
          <t>GEM TAKEOFFS</t>
        </is>
      </c>
      <c r="D475" t="inlineStr">
        <is>
          <t>Closed</t>
        </is>
      </c>
      <c r="E475" s="297" t="n">
        <v>46014</v>
      </c>
      <c r="F475" s="297" t="n">
        <v>46105</v>
      </c>
      <c r="G475" t="n">
        <v>3</v>
      </c>
      <c r="H475" t="inlineStr">
        <is>
          <t>1499</t>
        </is>
      </c>
      <c r="I475" t="inlineStr">
        <is>
          <t>14</t>
        </is>
      </c>
      <c r="J475" t="inlineStr">
        <is>
          <t>TX</t>
        </is>
      </c>
      <c r="K475" t="inlineStr">
        <is>
          <t>GROWTH RATE CAPITAL INC</t>
        </is>
      </c>
      <c r="L475" t="inlineStr">
        <is>
          <t>New Deal</t>
        </is>
      </c>
      <c r="M475" s="298" t="n">
        <v>1.499</v>
      </c>
      <c r="N475" s="299" t="n">
        <v>7500</v>
      </c>
      <c r="O475" s="299" t="n">
        <v>1050</v>
      </c>
      <c r="P475" s="299" t="n">
        <v>11242.5</v>
      </c>
      <c r="Q475" s="299" t="n">
        <v>11242.5</v>
      </c>
      <c r="R475" s="299" t="n">
        <v>0</v>
      </c>
      <c r="S475" s="300" t="n">
        <v>1</v>
      </c>
      <c r="T475" t="n">
        <v>1.967</v>
      </c>
      <c r="U475" t="n">
        <v>2</v>
      </c>
      <c r="V475" t="n">
        <v>28125.72</v>
      </c>
      <c r="W475" s="300" t="n">
        <v>0.1297</v>
      </c>
      <c r="X475" s="297" t="n"/>
      <c r="Y475">
        <f>IF(I475="","No SIC",IFERROR(VLOOKUP(I475,Ref!$A$2:$B$65,2,FALSE),"Unclassified"))</f>
        <v/>
      </c>
      <c r="Z475">
        <f>IF(T475="","",IF(T475&lt;12,"Daily","Weekly"))</f>
        <v/>
      </c>
      <c r="AA475">
        <f>IF(T475="",0,IF(T475&lt;12,T475*Controls!$B$29,T475*5))</f>
        <v/>
      </c>
      <c r="AB475">
        <f>IF(E475="",0,NETWORKDAYS(E475,Controls!$B$36,Ref!$K$2:$K$42))</f>
        <v/>
      </c>
      <c r="AC475">
        <f>IF(AND(AA475&gt;0,AB475&gt;=Controls!$B$39*AA475),1,0)</f>
        <v/>
      </c>
      <c r="AD475">
        <f>IF(AND(E475&lt;&gt;"",E475&gt;=Controls!$B$37,E475&lt;=Controls!$B$38),1,0)</f>
        <v/>
      </c>
      <c r="AE475">
        <f>IF(IFERROR(VLOOKUP(D475,Controls!$A$64:$E$74,2,FALSE),"No")="Yes",1,0)</f>
        <v/>
      </c>
      <c r="AF475">
        <f>IF(IFERROR(VLOOKUP(D475,Controls!$A$64:$E$74,3,FALSE),"No")="Yes",1,0)</f>
        <v/>
      </c>
      <c r="AG475">
        <f>IF(IFERROR(VLOOKUP(D475,Controls!$A$64:$E$74,4,FALSE),"No")="Yes",1,0)</f>
        <v/>
      </c>
      <c r="AH475">
        <f>IF(IFERROR(VLOOKUP(D475,Controls!$A$64:$E$74,5,FALSE),"No")="Yes",1,0)</f>
        <v/>
      </c>
      <c r="AI475">
        <f>IF(ISNUMBER(MATCH(D475,Controls!$A$64:$A$74,0)),1,0)</f>
        <v/>
      </c>
      <c r="AJ475">
        <f>Q475-N475</f>
        <v/>
      </c>
      <c r="AK475">
        <f>IF(AE475=1,MAX(0,N475-Q475),0)</f>
        <v/>
      </c>
      <c r="AL475">
        <f>IF(OR(V475="",V475=0),0,N475/V475)</f>
        <v/>
      </c>
      <c r="AM475">
        <f>IF(OR(V475="",V475=0),0,1)</f>
        <v/>
      </c>
      <c r="AN475">
        <f>IF(OR(E475="",F475=""),0,NETWORKDAYS(E475,F475,Ref!$K$2:$K$42))</f>
        <v/>
      </c>
      <c r="AO475">
        <f>IF(L475="Renewal",1,0)</f>
        <v/>
      </c>
      <c r="AP475">
        <f>AC475*AD475</f>
        <v/>
      </c>
      <c r="AQ475">
        <f>IF(AND(G475&lt;&gt;"",'Historical Score'!$C$6&lt;&gt;""),IF(G475='Historical Score'!$C$6,1,0),0)</f>
        <v/>
      </c>
      <c r="AR475">
        <f>IF(AND(L475&lt;&gt;"",'Historical Score'!$C$5&lt;&gt;""),IF(L475='Historical Score'!$C$5,1,0),0)</f>
        <v/>
      </c>
      <c r="AS475">
        <f>IF(AND(Y475&lt;&gt;"",'Historical Score'!$C$7&lt;&gt;""),IF(Y475='Historical Score'!$C$7,1,0),0)</f>
        <v/>
      </c>
      <c r="AT475">
        <f>IF(AND(K475&lt;&gt;"",'Historical Score'!$C$8&lt;&gt;""),IF(K475='Historical Score'!$C$8,1,0),0)</f>
        <v/>
      </c>
      <c r="AU475">
        <f>IF(AND(J475&lt;&gt;"",'Historical Score'!$C$9&lt;&gt;""),IF(J475='Historical Score'!$C$9,1,0),0)</f>
        <v/>
      </c>
      <c r="AV475">
        <f>AR475*AS475*AQ475</f>
        <v/>
      </c>
      <c r="AW475">
        <f>AR475*AT475*AQ475</f>
        <v/>
      </c>
      <c r="AX475">
        <f>AR475*AS475</f>
        <v/>
      </c>
      <c r="AY475">
        <f>AR475*AT475</f>
        <v/>
      </c>
      <c r="AZ475">
        <f>AR475*AQ475</f>
        <v/>
      </c>
      <c r="BA475">
        <f>AR475</f>
        <v/>
      </c>
      <c r="BB475">
        <f>1</f>
        <v/>
      </c>
      <c r="BC475">
        <f>IF(AV475=1,1,IF(AW475=1,2,IF(AX475=1,3,IF(AY475=1,4,IF(AZ475=1,5,IF(BA475=1,6,7))))))</f>
        <v/>
      </c>
      <c r="BD475">
        <f>IF(AD475=1,CHOOSE('Historical Score'!$C$29,AV475,AW475,AX475,AY475,AZ475,BA475,BB475),0)</f>
        <v/>
      </c>
      <c r="BE475">
        <f>IF(BD475=1,COUNTIF($BD$2:BD475,1),"")</f>
        <v/>
      </c>
    </row>
    <row r="476">
      <c r="A476" t="inlineStr">
        <is>
          <t>5674175013</t>
        </is>
      </c>
      <c r="B476" t="inlineStr">
        <is>
          <t>R And R Transit LLC</t>
        </is>
      </c>
      <c r="C476" t="inlineStr">
        <is>
          <t>R And R Transit LLC</t>
        </is>
      </c>
      <c r="D476" t="inlineStr">
        <is>
          <t>Closed</t>
        </is>
      </c>
      <c r="E476" s="297" t="n">
        <v>46015</v>
      </c>
      <c r="F476" s="297" t="n">
        <v>46252</v>
      </c>
      <c r="G476" t="n">
        <v>4</v>
      </c>
      <c r="H476" t="inlineStr">
        <is>
          <t>4213</t>
        </is>
      </c>
      <c r="I476" t="inlineStr">
        <is>
          <t>42</t>
        </is>
      </c>
      <c r="J476" t="inlineStr">
        <is>
          <t>FL</t>
        </is>
      </c>
      <c r="K476" t="inlineStr">
        <is>
          <t>EZ ADVANCE LLC</t>
        </is>
      </c>
      <c r="L476" t="inlineStr">
        <is>
          <t>New Deal</t>
        </is>
      </c>
      <c r="M476" s="298" t="n">
        <v>1.49</v>
      </c>
      <c r="N476" s="299" t="n">
        <v>15000</v>
      </c>
      <c r="O476" s="299" t="n">
        <v>2100</v>
      </c>
      <c r="P476" s="299" t="n">
        <v>22350</v>
      </c>
      <c r="Q476" s="299" t="n">
        <v>22350</v>
      </c>
      <c r="R476" s="299" t="n">
        <v>0</v>
      </c>
      <c r="S476" s="300" t="n">
        <v>1</v>
      </c>
      <c r="T476" t="n">
        <v>24</v>
      </c>
      <c r="U476" t="n">
        <v>3</v>
      </c>
      <c r="V476" t="n">
        <v>83734.99000000001</v>
      </c>
      <c r="W476" s="300" t="n">
        <v>0.0445</v>
      </c>
      <c r="X476" s="297" t="n"/>
      <c r="Y476">
        <f>IF(I476="","No SIC",IFERROR(VLOOKUP(I476,Ref!$A$2:$B$65,2,FALSE),"Unclassified"))</f>
        <v/>
      </c>
      <c r="Z476">
        <f>IF(T476="","",IF(T476&lt;12,"Daily","Weekly"))</f>
        <v/>
      </c>
      <c r="AA476">
        <f>IF(T476="",0,IF(T476&lt;12,T476*Controls!$B$29,T476*5))</f>
        <v/>
      </c>
      <c r="AB476">
        <f>IF(E476="",0,NETWORKDAYS(E476,Controls!$B$36,Ref!$K$2:$K$42))</f>
        <v/>
      </c>
      <c r="AC476">
        <f>IF(AND(AA476&gt;0,AB476&gt;=Controls!$B$39*AA476),1,0)</f>
        <v/>
      </c>
      <c r="AD476">
        <f>IF(AND(E476&lt;&gt;"",E476&gt;=Controls!$B$37,E476&lt;=Controls!$B$38),1,0)</f>
        <v/>
      </c>
      <c r="AE476">
        <f>IF(IFERROR(VLOOKUP(D476,Controls!$A$64:$E$74,2,FALSE),"No")="Yes",1,0)</f>
        <v/>
      </c>
      <c r="AF476">
        <f>IF(IFERROR(VLOOKUP(D476,Controls!$A$64:$E$74,3,FALSE),"No")="Yes",1,0)</f>
        <v/>
      </c>
      <c r="AG476">
        <f>IF(IFERROR(VLOOKUP(D476,Controls!$A$64:$E$74,4,FALSE),"No")="Yes",1,0)</f>
        <v/>
      </c>
      <c r="AH476">
        <f>IF(IFERROR(VLOOKUP(D476,Controls!$A$64:$E$74,5,FALSE),"No")="Yes",1,0)</f>
        <v/>
      </c>
      <c r="AI476">
        <f>IF(ISNUMBER(MATCH(D476,Controls!$A$64:$A$74,0)),1,0)</f>
        <v/>
      </c>
      <c r="AJ476">
        <f>Q476-N476</f>
        <v/>
      </c>
      <c r="AK476">
        <f>IF(AE476=1,MAX(0,N476-Q476),0)</f>
        <v/>
      </c>
      <c r="AL476">
        <f>IF(OR(V476="",V476=0),0,N476/V476)</f>
        <v/>
      </c>
      <c r="AM476">
        <f>IF(OR(V476="",V476=0),0,1)</f>
        <v/>
      </c>
      <c r="AN476">
        <f>IF(OR(E476="",F476=""),0,NETWORKDAYS(E476,F476,Ref!$K$2:$K$42))</f>
        <v/>
      </c>
      <c r="AO476">
        <f>IF(L476="Renewal",1,0)</f>
        <v/>
      </c>
      <c r="AP476">
        <f>AC476*AD476</f>
        <v/>
      </c>
      <c r="AQ476">
        <f>IF(AND(G476&lt;&gt;"",'Historical Score'!$C$6&lt;&gt;""),IF(G476='Historical Score'!$C$6,1,0),0)</f>
        <v/>
      </c>
      <c r="AR476">
        <f>IF(AND(L476&lt;&gt;"",'Historical Score'!$C$5&lt;&gt;""),IF(L476='Historical Score'!$C$5,1,0),0)</f>
        <v/>
      </c>
      <c r="AS476">
        <f>IF(AND(Y476&lt;&gt;"",'Historical Score'!$C$7&lt;&gt;""),IF(Y476='Historical Score'!$C$7,1,0),0)</f>
        <v/>
      </c>
      <c r="AT476">
        <f>IF(AND(K476&lt;&gt;"",'Historical Score'!$C$8&lt;&gt;""),IF(K476='Historical Score'!$C$8,1,0),0)</f>
        <v/>
      </c>
      <c r="AU476">
        <f>IF(AND(J476&lt;&gt;"",'Historical Score'!$C$9&lt;&gt;""),IF(J476='Historical Score'!$C$9,1,0),0)</f>
        <v/>
      </c>
      <c r="AV476">
        <f>AR476*AS476*AQ476</f>
        <v/>
      </c>
      <c r="AW476">
        <f>AR476*AT476*AQ476</f>
        <v/>
      </c>
      <c r="AX476">
        <f>AR476*AS476</f>
        <v/>
      </c>
      <c r="AY476">
        <f>AR476*AT476</f>
        <v/>
      </c>
      <c r="AZ476">
        <f>AR476*AQ476</f>
        <v/>
      </c>
      <c r="BA476">
        <f>AR476</f>
        <v/>
      </c>
      <c r="BB476">
        <f>1</f>
        <v/>
      </c>
      <c r="BC476">
        <f>IF(AV476=1,1,IF(AW476=1,2,IF(AX476=1,3,IF(AY476=1,4,IF(AZ476=1,5,IF(BA476=1,6,7))))))</f>
        <v/>
      </c>
      <c r="BD476">
        <f>IF(AD476=1,CHOOSE('Historical Score'!$C$29,AV476,AW476,AX476,AY476,AZ476,BA476,BB476),0)</f>
        <v/>
      </c>
      <c r="BE476">
        <f>IF(BD476=1,COUNTIF($BD$2:BD476,1),"")</f>
        <v/>
      </c>
    </row>
    <row r="477">
      <c r="A477" t="inlineStr">
        <is>
          <t>5674175022</t>
        </is>
      </c>
      <c r="B477" t="inlineStr">
        <is>
          <t>FIT MEDICAL SUPPLY LLC</t>
        </is>
      </c>
      <c r="C477" t="inlineStr">
        <is>
          <t>FIT MEDICAL SUPPLY LLC</t>
        </is>
      </c>
      <c r="D477" t="inlineStr">
        <is>
          <t>Lowered Payments</t>
        </is>
      </c>
      <c r="E477" s="297" t="n">
        <v>46015</v>
      </c>
      <c r="F477" s="297" t="n">
        <v>46247</v>
      </c>
      <c r="G477" t="n">
        <v>2</v>
      </c>
      <c r="H477" t="inlineStr">
        <is>
          <t>5047</t>
        </is>
      </c>
      <c r="I477" t="inlineStr">
        <is>
          <t>50</t>
        </is>
      </c>
      <c r="J477" t="inlineStr">
        <is>
          <t>FL</t>
        </is>
      </c>
      <c r="K477" t="inlineStr">
        <is>
          <t>Fundwell</t>
        </is>
      </c>
      <c r="L477" t="inlineStr">
        <is>
          <t>New Deal</t>
        </is>
      </c>
      <c r="M477" s="298" t="n">
        <v>1.38</v>
      </c>
      <c r="N477" s="299" t="n">
        <v>30000</v>
      </c>
      <c r="O477" s="299" t="n">
        <v>3450</v>
      </c>
      <c r="P477" s="299" t="n">
        <v>41400</v>
      </c>
      <c r="Q477" s="299" t="n">
        <v>13926.88</v>
      </c>
      <c r="R477" s="299" t="n">
        <v>27473.12</v>
      </c>
      <c r="S477" s="300" t="n">
        <v>0.33639806763285</v>
      </c>
      <c r="T477" t="n">
        <v>32</v>
      </c>
      <c r="U477" t="n">
        <v>0</v>
      </c>
      <c r="V477" t="n">
        <v>64130.95</v>
      </c>
      <c r="W477" s="300" t="n">
        <v>0.08069999999999999</v>
      </c>
      <c r="X477" s="297" t="n">
        <v>45383</v>
      </c>
      <c r="Y477">
        <f>IF(I477="","No SIC",IFERROR(VLOOKUP(I477,Ref!$A$2:$B$65,2,FALSE),"Unclassified"))</f>
        <v/>
      </c>
      <c r="Z477">
        <f>IF(T477="","",IF(T477&lt;12,"Daily","Weekly"))</f>
        <v/>
      </c>
      <c r="AA477">
        <f>IF(T477="",0,IF(T477&lt;12,T477*Controls!$B$29,T477*5))</f>
        <v/>
      </c>
      <c r="AB477">
        <f>IF(E477="",0,NETWORKDAYS(E477,Controls!$B$36,Ref!$K$2:$K$42))</f>
        <v/>
      </c>
      <c r="AC477">
        <f>IF(AND(AA477&gt;0,AB477&gt;=Controls!$B$39*AA477),1,0)</f>
        <v/>
      </c>
      <c r="AD477">
        <f>IF(AND(E477&lt;&gt;"",E477&gt;=Controls!$B$37,E477&lt;=Controls!$B$38),1,0)</f>
        <v/>
      </c>
      <c r="AE477">
        <f>IF(IFERROR(VLOOKUP(D477,Controls!$A$64:$E$74,2,FALSE),"No")="Yes",1,0)</f>
        <v/>
      </c>
      <c r="AF477">
        <f>IF(IFERROR(VLOOKUP(D477,Controls!$A$64:$E$74,3,FALSE),"No")="Yes",1,0)</f>
        <v/>
      </c>
      <c r="AG477">
        <f>IF(IFERROR(VLOOKUP(D477,Controls!$A$64:$E$74,4,FALSE),"No")="Yes",1,0)</f>
        <v/>
      </c>
      <c r="AH477">
        <f>IF(IFERROR(VLOOKUP(D477,Controls!$A$64:$E$74,5,FALSE),"No")="Yes",1,0)</f>
        <v/>
      </c>
      <c r="AI477">
        <f>IF(ISNUMBER(MATCH(D477,Controls!$A$64:$A$74,0)),1,0)</f>
        <v/>
      </c>
      <c r="AJ477">
        <f>Q477-N477</f>
        <v/>
      </c>
      <c r="AK477">
        <f>IF(AE477=1,MAX(0,N477-Q477),0)</f>
        <v/>
      </c>
      <c r="AL477">
        <f>IF(OR(V477="",V477=0),0,N477/V477)</f>
        <v/>
      </c>
      <c r="AM477">
        <f>IF(OR(V477="",V477=0),0,1)</f>
        <v/>
      </c>
      <c r="AN477">
        <f>IF(OR(E477="",F477=""),0,NETWORKDAYS(E477,F477,Ref!$K$2:$K$42))</f>
        <v/>
      </c>
      <c r="AO477">
        <f>IF(L477="Renewal",1,0)</f>
        <v/>
      </c>
      <c r="AP477">
        <f>AC477*AD477</f>
        <v/>
      </c>
      <c r="AQ477">
        <f>IF(AND(G477&lt;&gt;"",'Historical Score'!$C$6&lt;&gt;""),IF(G477='Historical Score'!$C$6,1,0),0)</f>
        <v/>
      </c>
      <c r="AR477">
        <f>IF(AND(L477&lt;&gt;"",'Historical Score'!$C$5&lt;&gt;""),IF(L477='Historical Score'!$C$5,1,0),0)</f>
        <v/>
      </c>
      <c r="AS477">
        <f>IF(AND(Y477&lt;&gt;"",'Historical Score'!$C$7&lt;&gt;""),IF(Y477='Historical Score'!$C$7,1,0),0)</f>
        <v/>
      </c>
      <c r="AT477">
        <f>IF(AND(K477&lt;&gt;"",'Historical Score'!$C$8&lt;&gt;""),IF(K477='Historical Score'!$C$8,1,0),0)</f>
        <v/>
      </c>
      <c r="AU477">
        <f>IF(AND(J477&lt;&gt;"",'Historical Score'!$C$9&lt;&gt;""),IF(J477='Historical Score'!$C$9,1,0),0)</f>
        <v/>
      </c>
      <c r="AV477">
        <f>AR477*AS477*AQ477</f>
        <v/>
      </c>
      <c r="AW477">
        <f>AR477*AT477*AQ477</f>
        <v/>
      </c>
      <c r="AX477">
        <f>AR477*AS477</f>
        <v/>
      </c>
      <c r="AY477">
        <f>AR477*AT477</f>
        <v/>
      </c>
      <c r="AZ477">
        <f>AR477*AQ477</f>
        <v/>
      </c>
      <c r="BA477">
        <f>AR477</f>
        <v/>
      </c>
      <c r="BB477">
        <f>1</f>
        <v/>
      </c>
      <c r="BC477">
        <f>IF(AV477=1,1,IF(AW477=1,2,IF(AX477=1,3,IF(AY477=1,4,IF(AZ477=1,5,IF(BA477=1,6,7))))))</f>
        <v/>
      </c>
      <c r="BD477">
        <f>IF(AD477=1,CHOOSE('Historical Score'!$C$29,AV477,AW477,AX477,AY477,AZ477,BA477,BB477),0)</f>
        <v/>
      </c>
      <c r="BE477">
        <f>IF(BD477=1,COUNTIF($BD$2:BD477,1),"")</f>
        <v/>
      </c>
    </row>
    <row r="478">
      <c r="A478" t="inlineStr">
        <is>
          <t>5674175024</t>
        </is>
      </c>
      <c r="B478" t="inlineStr">
        <is>
          <t>c BROOKS TRANS LLC</t>
        </is>
      </c>
      <c r="C478" t="inlineStr">
        <is>
          <t>c BROOKS TRANS LLC</t>
        </is>
      </c>
      <c r="D478" t="inlineStr">
        <is>
          <t>Closed</t>
        </is>
      </c>
      <c r="E478" s="297" t="n">
        <v>46015</v>
      </c>
      <c r="F478" s="297" t="n">
        <v>46129</v>
      </c>
      <c r="G478" t="n">
        <v>3</v>
      </c>
      <c r="H478" t="inlineStr">
        <is>
          <t>4212</t>
        </is>
      </c>
      <c r="I478" t="inlineStr">
        <is>
          <t>42</t>
        </is>
      </c>
      <c r="J478" t="inlineStr">
        <is>
          <t>MD</t>
        </is>
      </c>
      <c r="K478" t="inlineStr">
        <is>
          <t>penco holdings</t>
        </is>
      </c>
      <c r="L478" t="inlineStr">
        <is>
          <t>New Deal</t>
        </is>
      </c>
      <c r="M478" s="298" t="n">
        <v>1.49</v>
      </c>
      <c r="N478" s="299" t="n">
        <v>3500</v>
      </c>
      <c r="O478" s="299" t="n">
        <v>490</v>
      </c>
      <c r="P478" s="299" t="n">
        <v>5215</v>
      </c>
      <c r="Q478" s="299" t="n">
        <v>5215</v>
      </c>
      <c r="R478" s="299" t="n">
        <v>0</v>
      </c>
      <c r="S478" s="300" t="n">
        <v>1</v>
      </c>
      <c r="T478" t="n">
        <v>16</v>
      </c>
      <c r="U478" t="n">
        <v>0</v>
      </c>
      <c r="V478" t="n">
        <v>21609.52</v>
      </c>
      <c r="W478" s="300" t="n">
        <v>0.0603</v>
      </c>
      <c r="X478" s="297" t="n">
        <v>43277</v>
      </c>
      <c r="Y478">
        <f>IF(I478="","No SIC",IFERROR(VLOOKUP(I478,Ref!$A$2:$B$65,2,FALSE),"Unclassified"))</f>
        <v/>
      </c>
      <c r="Z478">
        <f>IF(T478="","",IF(T478&lt;12,"Daily","Weekly"))</f>
        <v/>
      </c>
      <c r="AA478">
        <f>IF(T478="",0,IF(T478&lt;12,T478*Controls!$B$29,T478*5))</f>
        <v/>
      </c>
      <c r="AB478">
        <f>IF(E478="",0,NETWORKDAYS(E478,Controls!$B$36,Ref!$K$2:$K$42))</f>
        <v/>
      </c>
      <c r="AC478">
        <f>IF(AND(AA478&gt;0,AB478&gt;=Controls!$B$39*AA478),1,0)</f>
        <v/>
      </c>
      <c r="AD478">
        <f>IF(AND(E478&lt;&gt;"",E478&gt;=Controls!$B$37,E478&lt;=Controls!$B$38),1,0)</f>
        <v/>
      </c>
      <c r="AE478">
        <f>IF(IFERROR(VLOOKUP(D478,Controls!$A$64:$E$74,2,FALSE),"No")="Yes",1,0)</f>
        <v/>
      </c>
      <c r="AF478">
        <f>IF(IFERROR(VLOOKUP(D478,Controls!$A$64:$E$74,3,FALSE),"No")="Yes",1,0)</f>
        <v/>
      </c>
      <c r="AG478">
        <f>IF(IFERROR(VLOOKUP(D478,Controls!$A$64:$E$74,4,FALSE),"No")="Yes",1,0)</f>
        <v/>
      </c>
      <c r="AH478">
        <f>IF(IFERROR(VLOOKUP(D478,Controls!$A$64:$E$74,5,FALSE),"No")="Yes",1,0)</f>
        <v/>
      </c>
      <c r="AI478">
        <f>IF(ISNUMBER(MATCH(D478,Controls!$A$64:$A$74,0)),1,0)</f>
        <v/>
      </c>
      <c r="AJ478">
        <f>Q478-N478</f>
        <v/>
      </c>
      <c r="AK478">
        <f>IF(AE478=1,MAX(0,N478-Q478),0)</f>
        <v/>
      </c>
      <c r="AL478">
        <f>IF(OR(V478="",V478=0),0,N478/V478)</f>
        <v/>
      </c>
      <c r="AM478">
        <f>IF(OR(V478="",V478=0),0,1)</f>
        <v/>
      </c>
      <c r="AN478">
        <f>IF(OR(E478="",F478=""),0,NETWORKDAYS(E478,F478,Ref!$K$2:$K$42))</f>
        <v/>
      </c>
      <c r="AO478">
        <f>IF(L478="Renewal",1,0)</f>
        <v/>
      </c>
      <c r="AP478">
        <f>AC478*AD478</f>
        <v/>
      </c>
      <c r="AQ478">
        <f>IF(AND(G478&lt;&gt;"",'Historical Score'!$C$6&lt;&gt;""),IF(G478='Historical Score'!$C$6,1,0),0)</f>
        <v/>
      </c>
      <c r="AR478">
        <f>IF(AND(L478&lt;&gt;"",'Historical Score'!$C$5&lt;&gt;""),IF(L478='Historical Score'!$C$5,1,0),0)</f>
        <v/>
      </c>
      <c r="AS478">
        <f>IF(AND(Y478&lt;&gt;"",'Historical Score'!$C$7&lt;&gt;""),IF(Y478='Historical Score'!$C$7,1,0),0)</f>
        <v/>
      </c>
      <c r="AT478">
        <f>IF(AND(K478&lt;&gt;"",'Historical Score'!$C$8&lt;&gt;""),IF(K478='Historical Score'!$C$8,1,0),0)</f>
        <v/>
      </c>
      <c r="AU478">
        <f>IF(AND(J478&lt;&gt;"",'Historical Score'!$C$9&lt;&gt;""),IF(J478='Historical Score'!$C$9,1,0),0)</f>
        <v/>
      </c>
      <c r="AV478">
        <f>AR478*AS478*AQ478</f>
        <v/>
      </c>
      <c r="AW478">
        <f>AR478*AT478*AQ478</f>
        <v/>
      </c>
      <c r="AX478">
        <f>AR478*AS478</f>
        <v/>
      </c>
      <c r="AY478">
        <f>AR478*AT478</f>
        <v/>
      </c>
      <c r="AZ478">
        <f>AR478*AQ478</f>
        <v/>
      </c>
      <c r="BA478">
        <f>AR478</f>
        <v/>
      </c>
      <c r="BB478">
        <f>1</f>
        <v/>
      </c>
      <c r="BC478">
        <f>IF(AV478=1,1,IF(AW478=1,2,IF(AX478=1,3,IF(AY478=1,4,IF(AZ478=1,5,IF(BA478=1,6,7))))))</f>
        <v/>
      </c>
      <c r="BD478">
        <f>IF(AD478=1,CHOOSE('Historical Score'!$C$29,AV478,AW478,AX478,AY478,AZ478,BA478,BB478),0)</f>
        <v/>
      </c>
      <c r="BE478">
        <f>IF(BD478=1,COUNTIF($BD$2:BD478,1),"")</f>
        <v/>
      </c>
    </row>
    <row r="479">
      <c r="A479" t="inlineStr">
        <is>
          <t>5674175027</t>
        </is>
      </c>
      <c r="B479" t="inlineStr">
        <is>
          <t>A AND K ASSOCIATES</t>
        </is>
      </c>
      <c r="C479" t="inlineStr">
        <is>
          <t>KAY INVESTMENT INC</t>
        </is>
      </c>
      <c r="D479" t="inlineStr">
        <is>
          <t>Closed</t>
        </is>
      </c>
      <c r="E479" s="297" t="n">
        <v>46015</v>
      </c>
      <c r="F479" s="297" t="n">
        <v>46140</v>
      </c>
      <c r="G479" t="n">
        <v>4</v>
      </c>
      <c r="H479" t="inlineStr">
        <is>
          <t>8748</t>
        </is>
      </c>
      <c r="I479" t="inlineStr">
        <is>
          <t>87</t>
        </is>
      </c>
      <c r="J479" t="inlineStr">
        <is>
          <t>TX</t>
        </is>
      </c>
      <c r="K479" t="inlineStr">
        <is>
          <t>Triumph Cap Fund</t>
        </is>
      </c>
      <c r="L479" t="inlineStr">
        <is>
          <t>New Deal</t>
        </is>
      </c>
      <c r="M479" s="298" t="n">
        <v>1.49</v>
      </c>
      <c r="N479" s="299" t="n">
        <v>20000</v>
      </c>
      <c r="O479" s="299" t="n">
        <v>2800</v>
      </c>
      <c r="P479" s="299" t="n">
        <v>29800</v>
      </c>
      <c r="Q479" s="299" t="n">
        <v>29800</v>
      </c>
      <c r="R479" s="299" t="n">
        <v>0</v>
      </c>
      <c r="S479" s="300" t="n">
        <v>1</v>
      </c>
      <c r="T479" t="n">
        <v>22</v>
      </c>
      <c r="U479" t="n">
        <v>0</v>
      </c>
      <c r="V479" t="n">
        <v>50516.18</v>
      </c>
      <c r="W479" s="300" t="n">
        <v>0.1073</v>
      </c>
      <c r="X479" s="297" t="n">
        <v>44341</v>
      </c>
      <c r="Y479">
        <f>IF(I479="","No SIC",IFERROR(VLOOKUP(I479,Ref!$A$2:$B$65,2,FALSE),"Unclassified"))</f>
        <v/>
      </c>
      <c r="Z479">
        <f>IF(T479="","",IF(T479&lt;12,"Daily","Weekly"))</f>
        <v/>
      </c>
      <c r="AA479">
        <f>IF(T479="",0,IF(T479&lt;12,T479*Controls!$B$29,T479*5))</f>
        <v/>
      </c>
      <c r="AB479">
        <f>IF(E479="",0,NETWORKDAYS(E479,Controls!$B$36,Ref!$K$2:$K$42))</f>
        <v/>
      </c>
      <c r="AC479">
        <f>IF(AND(AA479&gt;0,AB479&gt;=Controls!$B$39*AA479),1,0)</f>
        <v/>
      </c>
      <c r="AD479">
        <f>IF(AND(E479&lt;&gt;"",E479&gt;=Controls!$B$37,E479&lt;=Controls!$B$38),1,0)</f>
        <v/>
      </c>
      <c r="AE479">
        <f>IF(IFERROR(VLOOKUP(D479,Controls!$A$64:$E$74,2,FALSE),"No")="Yes",1,0)</f>
        <v/>
      </c>
      <c r="AF479">
        <f>IF(IFERROR(VLOOKUP(D479,Controls!$A$64:$E$74,3,FALSE),"No")="Yes",1,0)</f>
        <v/>
      </c>
      <c r="AG479">
        <f>IF(IFERROR(VLOOKUP(D479,Controls!$A$64:$E$74,4,FALSE),"No")="Yes",1,0)</f>
        <v/>
      </c>
      <c r="AH479">
        <f>IF(IFERROR(VLOOKUP(D479,Controls!$A$64:$E$74,5,FALSE),"No")="Yes",1,0)</f>
        <v/>
      </c>
      <c r="AI479">
        <f>IF(ISNUMBER(MATCH(D479,Controls!$A$64:$A$74,0)),1,0)</f>
        <v/>
      </c>
      <c r="AJ479">
        <f>Q479-N479</f>
        <v/>
      </c>
      <c r="AK479">
        <f>IF(AE479=1,MAX(0,N479-Q479),0)</f>
        <v/>
      </c>
      <c r="AL479">
        <f>IF(OR(V479="",V479=0),0,N479/V479)</f>
        <v/>
      </c>
      <c r="AM479">
        <f>IF(OR(V479="",V479=0),0,1)</f>
        <v/>
      </c>
      <c r="AN479">
        <f>IF(OR(E479="",F479=""),0,NETWORKDAYS(E479,F479,Ref!$K$2:$K$42))</f>
        <v/>
      </c>
      <c r="AO479">
        <f>IF(L479="Renewal",1,0)</f>
        <v/>
      </c>
      <c r="AP479">
        <f>AC479*AD479</f>
        <v/>
      </c>
      <c r="AQ479">
        <f>IF(AND(G479&lt;&gt;"",'Historical Score'!$C$6&lt;&gt;""),IF(G479='Historical Score'!$C$6,1,0),0)</f>
        <v/>
      </c>
      <c r="AR479">
        <f>IF(AND(L479&lt;&gt;"",'Historical Score'!$C$5&lt;&gt;""),IF(L479='Historical Score'!$C$5,1,0),0)</f>
        <v/>
      </c>
      <c r="AS479">
        <f>IF(AND(Y479&lt;&gt;"",'Historical Score'!$C$7&lt;&gt;""),IF(Y479='Historical Score'!$C$7,1,0),0)</f>
        <v/>
      </c>
      <c r="AT479">
        <f>IF(AND(K479&lt;&gt;"",'Historical Score'!$C$8&lt;&gt;""),IF(K479='Historical Score'!$C$8,1,0),0)</f>
        <v/>
      </c>
      <c r="AU479">
        <f>IF(AND(J479&lt;&gt;"",'Historical Score'!$C$9&lt;&gt;""),IF(J479='Historical Score'!$C$9,1,0),0)</f>
        <v/>
      </c>
      <c r="AV479">
        <f>AR479*AS479*AQ479</f>
        <v/>
      </c>
      <c r="AW479">
        <f>AR479*AT479*AQ479</f>
        <v/>
      </c>
      <c r="AX479">
        <f>AR479*AS479</f>
        <v/>
      </c>
      <c r="AY479">
        <f>AR479*AT479</f>
        <v/>
      </c>
      <c r="AZ479">
        <f>AR479*AQ479</f>
        <v/>
      </c>
      <c r="BA479">
        <f>AR479</f>
        <v/>
      </c>
      <c r="BB479">
        <f>1</f>
        <v/>
      </c>
      <c r="BC479">
        <f>IF(AV479=1,1,IF(AW479=1,2,IF(AX479=1,3,IF(AY479=1,4,IF(AZ479=1,5,IF(BA479=1,6,7))))))</f>
        <v/>
      </c>
      <c r="BD479">
        <f>IF(AD479=1,CHOOSE('Historical Score'!$C$29,AV479,AW479,AX479,AY479,AZ479,BA479,BB479),0)</f>
        <v/>
      </c>
      <c r="BE479">
        <f>IF(BD479=1,COUNTIF($BD$2:BD479,1),"")</f>
        <v/>
      </c>
    </row>
    <row r="480">
      <c r="A480" t="inlineStr">
        <is>
          <t>5674175075</t>
        </is>
      </c>
      <c r="B480" t="inlineStr">
        <is>
          <t>Cider Hill Construction LLC</t>
        </is>
      </c>
      <c r="C480" t="inlineStr">
        <is>
          <t>THBH investments Limited LLC</t>
        </is>
      </c>
      <c r="D480" t="inlineStr">
        <is>
          <t>In House Collection</t>
        </is>
      </c>
      <c r="E480" s="297" t="n">
        <v>46017</v>
      </c>
      <c r="F480" s="297" t="n">
        <v>46206</v>
      </c>
      <c r="G480" t="n">
        <v>1</v>
      </c>
      <c r="H480" t="inlineStr">
        <is>
          <t>1521</t>
        </is>
      </c>
      <c r="I480" t="inlineStr">
        <is>
          <t>15</t>
        </is>
      </c>
      <c r="J480" t="inlineStr">
        <is>
          <t>SC</t>
        </is>
      </c>
      <c r="K480" t="inlineStr">
        <is>
          <t>cavala funding</t>
        </is>
      </c>
      <c r="L480" t="inlineStr">
        <is>
          <t>New Deal</t>
        </is>
      </c>
      <c r="M480" s="298" t="n">
        <v>1.35</v>
      </c>
      <c r="N480" s="299" t="n">
        <v>5000</v>
      </c>
      <c r="O480" s="299" t="n">
        <v>350</v>
      </c>
      <c r="P480" s="299" t="n">
        <v>6750</v>
      </c>
      <c r="Q480" s="299" t="n">
        <v>4371.65</v>
      </c>
      <c r="R480" s="299" t="n">
        <v>2378.35</v>
      </c>
      <c r="S480" s="300" t="n">
        <v>0.647651851851852</v>
      </c>
      <c r="T480" t="n">
        <v>2.787</v>
      </c>
      <c r="U480" t="n">
        <v>60</v>
      </c>
      <c r="V480" t="n">
        <v>25524.55</v>
      </c>
      <c r="W480" s="300" t="n">
        <v>0.0653</v>
      </c>
      <c r="X480" s="297" t="n">
        <v>44993</v>
      </c>
      <c r="Y480">
        <f>IF(I480="","No SIC",IFERROR(VLOOKUP(I480,Ref!$A$2:$B$65,2,FALSE),"Unclassified"))</f>
        <v/>
      </c>
      <c r="Z480">
        <f>IF(T480="","",IF(T480&lt;12,"Daily","Weekly"))</f>
        <v/>
      </c>
      <c r="AA480">
        <f>IF(T480="",0,IF(T480&lt;12,T480*Controls!$B$29,T480*5))</f>
        <v/>
      </c>
      <c r="AB480">
        <f>IF(E480="",0,NETWORKDAYS(E480,Controls!$B$36,Ref!$K$2:$K$42))</f>
        <v/>
      </c>
      <c r="AC480">
        <f>IF(AND(AA480&gt;0,AB480&gt;=Controls!$B$39*AA480),1,0)</f>
        <v/>
      </c>
      <c r="AD480">
        <f>IF(AND(E480&lt;&gt;"",E480&gt;=Controls!$B$37,E480&lt;=Controls!$B$38),1,0)</f>
        <v/>
      </c>
      <c r="AE480">
        <f>IF(IFERROR(VLOOKUP(D480,Controls!$A$64:$E$74,2,FALSE),"No")="Yes",1,0)</f>
        <v/>
      </c>
      <c r="AF480">
        <f>IF(IFERROR(VLOOKUP(D480,Controls!$A$64:$E$74,3,FALSE),"No")="Yes",1,0)</f>
        <v/>
      </c>
      <c r="AG480">
        <f>IF(IFERROR(VLOOKUP(D480,Controls!$A$64:$E$74,4,FALSE),"No")="Yes",1,0)</f>
        <v/>
      </c>
      <c r="AH480">
        <f>IF(IFERROR(VLOOKUP(D480,Controls!$A$64:$E$74,5,FALSE),"No")="Yes",1,0)</f>
        <v/>
      </c>
      <c r="AI480">
        <f>IF(ISNUMBER(MATCH(D480,Controls!$A$64:$A$74,0)),1,0)</f>
        <v/>
      </c>
      <c r="AJ480">
        <f>Q480-N480</f>
        <v/>
      </c>
      <c r="AK480">
        <f>IF(AE480=1,MAX(0,N480-Q480),0)</f>
        <v/>
      </c>
      <c r="AL480">
        <f>IF(OR(V480="",V480=0),0,N480/V480)</f>
        <v/>
      </c>
      <c r="AM480">
        <f>IF(OR(V480="",V480=0),0,1)</f>
        <v/>
      </c>
      <c r="AN480">
        <f>IF(OR(E480="",F480=""),0,NETWORKDAYS(E480,F480,Ref!$K$2:$K$42))</f>
        <v/>
      </c>
      <c r="AO480">
        <f>IF(L480="Renewal",1,0)</f>
        <v/>
      </c>
      <c r="AP480">
        <f>AC480*AD480</f>
        <v/>
      </c>
      <c r="AQ480">
        <f>IF(AND(G480&lt;&gt;"",'Historical Score'!$C$6&lt;&gt;""),IF(G480='Historical Score'!$C$6,1,0),0)</f>
        <v/>
      </c>
      <c r="AR480">
        <f>IF(AND(L480&lt;&gt;"",'Historical Score'!$C$5&lt;&gt;""),IF(L480='Historical Score'!$C$5,1,0),0)</f>
        <v/>
      </c>
      <c r="AS480">
        <f>IF(AND(Y480&lt;&gt;"",'Historical Score'!$C$7&lt;&gt;""),IF(Y480='Historical Score'!$C$7,1,0),0)</f>
        <v/>
      </c>
      <c r="AT480">
        <f>IF(AND(K480&lt;&gt;"",'Historical Score'!$C$8&lt;&gt;""),IF(K480='Historical Score'!$C$8,1,0),0)</f>
        <v/>
      </c>
      <c r="AU480">
        <f>IF(AND(J480&lt;&gt;"",'Historical Score'!$C$9&lt;&gt;""),IF(J480='Historical Score'!$C$9,1,0),0)</f>
        <v/>
      </c>
      <c r="AV480">
        <f>AR480*AS480*AQ480</f>
        <v/>
      </c>
      <c r="AW480">
        <f>AR480*AT480*AQ480</f>
        <v/>
      </c>
      <c r="AX480">
        <f>AR480*AS480</f>
        <v/>
      </c>
      <c r="AY480">
        <f>AR480*AT480</f>
        <v/>
      </c>
      <c r="AZ480">
        <f>AR480*AQ480</f>
        <v/>
      </c>
      <c r="BA480">
        <f>AR480</f>
        <v/>
      </c>
      <c r="BB480">
        <f>1</f>
        <v/>
      </c>
      <c r="BC480">
        <f>IF(AV480=1,1,IF(AW480=1,2,IF(AX480=1,3,IF(AY480=1,4,IF(AZ480=1,5,IF(BA480=1,6,7))))))</f>
        <v/>
      </c>
      <c r="BD480">
        <f>IF(AD480=1,CHOOSE('Historical Score'!$C$29,AV480,AW480,AX480,AY480,AZ480,BA480,BB480),0)</f>
        <v/>
      </c>
      <c r="BE480">
        <f>IF(BD480=1,COUNTIF($BD$2:BD480,1),"")</f>
        <v/>
      </c>
    </row>
    <row r="481">
      <c r="A481" t="inlineStr">
        <is>
          <t>5674175090</t>
        </is>
      </c>
      <c r="B481" t="inlineStr">
        <is>
          <t>LANDSCAPE ASSOCIATES OF GA</t>
        </is>
      </c>
      <c r="C481" t="inlineStr">
        <is>
          <t>LANDSCAPE ASSOCIATES OF GA LLC</t>
        </is>
      </c>
      <c r="D481" t="inlineStr">
        <is>
          <t>Closed</t>
        </is>
      </c>
      <c r="E481" s="297" t="n">
        <v>46017</v>
      </c>
      <c r="F481" s="297" t="n">
        <v>46143</v>
      </c>
      <c r="G481" t="n">
        <v>2</v>
      </c>
      <c r="H481" t="inlineStr">
        <is>
          <t>0781</t>
        </is>
      </c>
      <c r="I481" t="inlineStr">
        <is>
          <t>07</t>
        </is>
      </c>
      <c r="J481" t="inlineStr">
        <is>
          <t>GA</t>
        </is>
      </c>
      <c r="K481" t="inlineStr">
        <is>
          <t>cavala funding</t>
        </is>
      </c>
      <c r="L481" t="inlineStr">
        <is>
          <t>New Deal</t>
        </is>
      </c>
      <c r="M481" s="298" t="n">
        <v>1.5</v>
      </c>
      <c r="N481" s="299" t="n">
        <v>22000</v>
      </c>
      <c r="O481" s="299" t="n">
        <v>3080</v>
      </c>
      <c r="P481" s="299" t="n">
        <v>33000</v>
      </c>
      <c r="Q481" s="299" t="n">
        <v>33000</v>
      </c>
      <c r="R481" s="299" t="n">
        <v>0</v>
      </c>
      <c r="S481" s="300" t="n">
        <v>1</v>
      </c>
      <c r="T481" t="n">
        <v>24</v>
      </c>
      <c r="U481" t="n">
        <v>0</v>
      </c>
      <c r="V481" t="n">
        <v>184725.89</v>
      </c>
      <c r="W481" s="300" t="n">
        <v>0.0296</v>
      </c>
      <c r="X481" s="297" t="n">
        <v>36526</v>
      </c>
      <c r="Y481">
        <f>IF(I481="","No SIC",IFERROR(VLOOKUP(I481,Ref!$A$2:$B$65,2,FALSE),"Unclassified"))</f>
        <v/>
      </c>
      <c r="Z481">
        <f>IF(T481="","",IF(T481&lt;12,"Daily","Weekly"))</f>
        <v/>
      </c>
      <c r="AA481">
        <f>IF(T481="",0,IF(T481&lt;12,T481*Controls!$B$29,T481*5))</f>
        <v/>
      </c>
      <c r="AB481">
        <f>IF(E481="",0,NETWORKDAYS(E481,Controls!$B$36,Ref!$K$2:$K$42))</f>
        <v/>
      </c>
      <c r="AC481">
        <f>IF(AND(AA481&gt;0,AB481&gt;=Controls!$B$39*AA481),1,0)</f>
        <v/>
      </c>
      <c r="AD481">
        <f>IF(AND(E481&lt;&gt;"",E481&gt;=Controls!$B$37,E481&lt;=Controls!$B$38),1,0)</f>
        <v/>
      </c>
      <c r="AE481">
        <f>IF(IFERROR(VLOOKUP(D481,Controls!$A$64:$E$74,2,FALSE),"No")="Yes",1,0)</f>
        <v/>
      </c>
      <c r="AF481">
        <f>IF(IFERROR(VLOOKUP(D481,Controls!$A$64:$E$74,3,FALSE),"No")="Yes",1,0)</f>
        <v/>
      </c>
      <c r="AG481">
        <f>IF(IFERROR(VLOOKUP(D481,Controls!$A$64:$E$74,4,FALSE),"No")="Yes",1,0)</f>
        <v/>
      </c>
      <c r="AH481">
        <f>IF(IFERROR(VLOOKUP(D481,Controls!$A$64:$E$74,5,FALSE),"No")="Yes",1,0)</f>
        <v/>
      </c>
      <c r="AI481">
        <f>IF(ISNUMBER(MATCH(D481,Controls!$A$64:$A$74,0)),1,0)</f>
        <v/>
      </c>
      <c r="AJ481">
        <f>Q481-N481</f>
        <v/>
      </c>
      <c r="AK481">
        <f>IF(AE481=1,MAX(0,N481-Q481),0)</f>
        <v/>
      </c>
      <c r="AL481">
        <f>IF(OR(V481="",V481=0),0,N481/V481)</f>
        <v/>
      </c>
      <c r="AM481">
        <f>IF(OR(V481="",V481=0),0,1)</f>
        <v/>
      </c>
      <c r="AN481">
        <f>IF(OR(E481="",F481=""),0,NETWORKDAYS(E481,F481,Ref!$K$2:$K$42))</f>
        <v/>
      </c>
      <c r="AO481">
        <f>IF(L481="Renewal",1,0)</f>
        <v/>
      </c>
      <c r="AP481">
        <f>AC481*AD481</f>
        <v/>
      </c>
      <c r="AQ481">
        <f>IF(AND(G481&lt;&gt;"",'Historical Score'!$C$6&lt;&gt;""),IF(G481='Historical Score'!$C$6,1,0),0)</f>
        <v/>
      </c>
      <c r="AR481">
        <f>IF(AND(L481&lt;&gt;"",'Historical Score'!$C$5&lt;&gt;""),IF(L481='Historical Score'!$C$5,1,0),0)</f>
        <v/>
      </c>
      <c r="AS481">
        <f>IF(AND(Y481&lt;&gt;"",'Historical Score'!$C$7&lt;&gt;""),IF(Y481='Historical Score'!$C$7,1,0),0)</f>
        <v/>
      </c>
      <c r="AT481">
        <f>IF(AND(K481&lt;&gt;"",'Historical Score'!$C$8&lt;&gt;""),IF(K481='Historical Score'!$C$8,1,0),0)</f>
        <v/>
      </c>
      <c r="AU481">
        <f>IF(AND(J481&lt;&gt;"",'Historical Score'!$C$9&lt;&gt;""),IF(J481='Historical Score'!$C$9,1,0),0)</f>
        <v/>
      </c>
      <c r="AV481">
        <f>AR481*AS481*AQ481</f>
        <v/>
      </c>
      <c r="AW481">
        <f>AR481*AT481*AQ481</f>
        <v/>
      </c>
      <c r="AX481">
        <f>AR481*AS481</f>
        <v/>
      </c>
      <c r="AY481">
        <f>AR481*AT481</f>
        <v/>
      </c>
      <c r="AZ481">
        <f>AR481*AQ481</f>
        <v/>
      </c>
      <c r="BA481">
        <f>AR481</f>
        <v/>
      </c>
      <c r="BB481">
        <f>1</f>
        <v/>
      </c>
      <c r="BC481">
        <f>IF(AV481=1,1,IF(AW481=1,2,IF(AX481=1,3,IF(AY481=1,4,IF(AZ481=1,5,IF(BA481=1,6,7))))))</f>
        <v/>
      </c>
      <c r="BD481">
        <f>IF(AD481=1,CHOOSE('Historical Score'!$C$29,AV481,AW481,AX481,AY481,AZ481,BA481,BB481),0)</f>
        <v/>
      </c>
      <c r="BE481">
        <f>IF(BD481=1,COUNTIF($BD$2:BD481,1),"")</f>
        <v/>
      </c>
    </row>
    <row r="482">
      <c r="A482" t="inlineStr">
        <is>
          <t>5674175097</t>
        </is>
      </c>
      <c r="B482" t="inlineStr">
        <is>
          <t>NC Top Service LLC</t>
        </is>
      </c>
      <c r="C482" t="inlineStr">
        <is>
          <t>NC Top Service LLC</t>
        </is>
      </c>
      <c r="D482" t="inlineStr">
        <is>
          <t>Closed</t>
        </is>
      </c>
      <c r="E482" s="297" t="n">
        <v>46017</v>
      </c>
      <c r="F482" s="297" t="n">
        <v>46106</v>
      </c>
      <c r="G482" t="n">
        <v>2</v>
      </c>
      <c r="H482" t="inlineStr">
        <is>
          <t>1521</t>
        </is>
      </c>
      <c r="I482" t="inlineStr">
        <is>
          <t>15</t>
        </is>
      </c>
      <c r="J482" t="inlineStr">
        <is>
          <t>NC</t>
        </is>
      </c>
      <c r="K482" t="inlineStr">
        <is>
          <t>United Secured Capital 8</t>
        </is>
      </c>
      <c r="L482" t="inlineStr">
        <is>
          <t>New Deal</t>
        </is>
      </c>
      <c r="M482" s="298" t="n">
        <v>1.42</v>
      </c>
      <c r="N482" s="299" t="n">
        <v>31000</v>
      </c>
      <c r="O482" s="299" t="n">
        <v>3255</v>
      </c>
      <c r="P482" s="299" t="n">
        <v>44020</v>
      </c>
      <c r="Q482" s="299" t="n">
        <v>44020</v>
      </c>
      <c r="R482" s="299" t="n">
        <v>0</v>
      </c>
      <c r="S482" s="300" t="n">
        <v>1</v>
      </c>
      <c r="T482" t="n">
        <v>28</v>
      </c>
      <c r="U482" t="n">
        <v>0</v>
      </c>
      <c r="V482" t="n">
        <v>94340.63</v>
      </c>
      <c r="W482" s="300" t="n">
        <v>0.0667</v>
      </c>
      <c r="X482" s="297" t="n"/>
      <c r="Y482">
        <f>IF(I482="","No SIC",IFERROR(VLOOKUP(I482,Ref!$A$2:$B$65,2,FALSE),"Unclassified"))</f>
        <v/>
      </c>
      <c r="Z482">
        <f>IF(T482="","",IF(T482&lt;12,"Daily","Weekly"))</f>
        <v/>
      </c>
      <c r="AA482">
        <f>IF(T482="",0,IF(T482&lt;12,T482*Controls!$B$29,T482*5))</f>
        <v/>
      </c>
      <c r="AB482">
        <f>IF(E482="",0,NETWORKDAYS(E482,Controls!$B$36,Ref!$K$2:$K$42))</f>
        <v/>
      </c>
      <c r="AC482">
        <f>IF(AND(AA482&gt;0,AB482&gt;=Controls!$B$39*AA482),1,0)</f>
        <v/>
      </c>
      <c r="AD482">
        <f>IF(AND(E482&lt;&gt;"",E482&gt;=Controls!$B$37,E482&lt;=Controls!$B$38),1,0)</f>
        <v/>
      </c>
      <c r="AE482">
        <f>IF(IFERROR(VLOOKUP(D482,Controls!$A$64:$E$74,2,FALSE),"No")="Yes",1,0)</f>
        <v/>
      </c>
      <c r="AF482">
        <f>IF(IFERROR(VLOOKUP(D482,Controls!$A$64:$E$74,3,FALSE),"No")="Yes",1,0)</f>
        <v/>
      </c>
      <c r="AG482">
        <f>IF(IFERROR(VLOOKUP(D482,Controls!$A$64:$E$74,4,FALSE),"No")="Yes",1,0)</f>
        <v/>
      </c>
      <c r="AH482">
        <f>IF(IFERROR(VLOOKUP(D482,Controls!$A$64:$E$74,5,FALSE),"No")="Yes",1,0)</f>
        <v/>
      </c>
      <c r="AI482">
        <f>IF(ISNUMBER(MATCH(D482,Controls!$A$64:$A$74,0)),1,0)</f>
        <v/>
      </c>
      <c r="AJ482">
        <f>Q482-N482</f>
        <v/>
      </c>
      <c r="AK482">
        <f>IF(AE482=1,MAX(0,N482-Q482),0)</f>
        <v/>
      </c>
      <c r="AL482">
        <f>IF(OR(V482="",V482=0),0,N482/V482)</f>
        <v/>
      </c>
      <c r="AM482">
        <f>IF(OR(V482="",V482=0),0,1)</f>
        <v/>
      </c>
      <c r="AN482">
        <f>IF(OR(E482="",F482=""),0,NETWORKDAYS(E482,F482,Ref!$K$2:$K$42))</f>
        <v/>
      </c>
      <c r="AO482">
        <f>IF(L482="Renewal",1,0)</f>
        <v/>
      </c>
      <c r="AP482">
        <f>AC482*AD482</f>
        <v/>
      </c>
      <c r="AQ482">
        <f>IF(AND(G482&lt;&gt;"",'Historical Score'!$C$6&lt;&gt;""),IF(G482='Historical Score'!$C$6,1,0),0)</f>
        <v/>
      </c>
      <c r="AR482">
        <f>IF(AND(L482&lt;&gt;"",'Historical Score'!$C$5&lt;&gt;""),IF(L482='Historical Score'!$C$5,1,0),0)</f>
        <v/>
      </c>
      <c r="AS482">
        <f>IF(AND(Y482&lt;&gt;"",'Historical Score'!$C$7&lt;&gt;""),IF(Y482='Historical Score'!$C$7,1,0),0)</f>
        <v/>
      </c>
      <c r="AT482">
        <f>IF(AND(K482&lt;&gt;"",'Historical Score'!$C$8&lt;&gt;""),IF(K482='Historical Score'!$C$8,1,0),0)</f>
        <v/>
      </c>
      <c r="AU482">
        <f>IF(AND(J482&lt;&gt;"",'Historical Score'!$C$9&lt;&gt;""),IF(J482='Historical Score'!$C$9,1,0),0)</f>
        <v/>
      </c>
      <c r="AV482">
        <f>AR482*AS482*AQ482</f>
        <v/>
      </c>
      <c r="AW482">
        <f>AR482*AT482*AQ482</f>
        <v/>
      </c>
      <c r="AX482">
        <f>AR482*AS482</f>
        <v/>
      </c>
      <c r="AY482">
        <f>AR482*AT482</f>
        <v/>
      </c>
      <c r="AZ482">
        <f>AR482*AQ482</f>
        <v/>
      </c>
      <c r="BA482">
        <f>AR482</f>
        <v/>
      </c>
      <c r="BB482">
        <f>1</f>
        <v/>
      </c>
      <c r="BC482">
        <f>IF(AV482=1,1,IF(AW482=1,2,IF(AX482=1,3,IF(AY482=1,4,IF(AZ482=1,5,IF(BA482=1,6,7))))))</f>
        <v/>
      </c>
      <c r="BD482">
        <f>IF(AD482=1,CHOOSE('Historical Score'!$C$29,AV482,AW482,AX482,AY482,AZ482,BA482,BB482),0)</f>
        <v/>
      </c>
      <c r="BE482">
        <f>IF(BD482=1,COUNTIF($BD$2:BD482,1),"")</f>
        <v/>
      </c>
    </row>
    <row r="483">
      <c r="A483" t="inlineStr">
        <is>
          <t>5674175232</t>
        </is>
      </c>
      <c r="B483" t="inlineStr">
        <is>
          <t>DABUILT HOMES AND CONSTRUCTION</t>
        </is>
      </c>
      <c r="C483" t="inlineStr">
        <is>
          <t>Dabuilt Homes and Construction LLC</t>
        </is>
      </c>
      <c r="D483" t="inlineStr">
        <is>
          <t>Closed</t>
        </is>
      </c>
      <c r="E483" s="297" t="n">
        <v>46020</v>
      </c>
      <c r="F483" s="297" t="n">
        <v>46188</v>
      </c>
      <c r="G483" t="n">
        <v>2</v>
      </c>
      <c r="H483" t="inlineStr">
        <is>
          <t>1521</t>
        </is>
      </c>
      <c r="I483" t="inlineStr">
        <is>
          <t>15</t>
        </is>
      </c>
      <c r="J483" t="inlineStr">
        <is>
          <t>TX</t>
        </is>
      </c>
      <c r="K483" t="inlineStr">
        <is>
          <t>MONETCAP</t>
        </is>
      </c>
      <c r="L483" t="inlineStr">
        <is>
          <t>New Deal</t>
        </is>
      </c>
      <c r="M483" s="298" t="n">
        <v>1.49</v>
      </c>
      <c r="N483" s="299" t="n">
        <v>20000</v>
      </c>
      <c r="O483" s="299" t="n">
        <v>2800</v>
      </c>
      <c r="P483" s="299" t="n">
        <v>29800</v>
      </c>
      <c r="Q483" s="299" t="n">
        <v>29800</v>
      </c>
      <c r="R483" s="299" t="n">
        <v>0</v>
      </c>
      <c r="S483" s="300" t="n">
        <v>1</v>
      </c>
      <c r="T483" t="n">
        <v>3.705</v>
      </c>
      <c r="U483" t="n">
        <v>4</v>
      </c>
      <c r="V483" t="n">
        <v>33511.28</v>
      </c>
      <c r="W483" s="300" t="n">
        <v>0.1653</v>
      </c>
      <c r="X483" s="297" t="n">
        <v>44337</v>
      </c>
      <c r="Y483">
        <f>IF(I483="","No SIC",IFERROR(VLOOKUP(I483,Ref!$A$2:$B$65,2,FALSE),"Unclassified"))</f>
        <v/>
      </c>
      <c r="Z483">
        <f>IF(T483="","",IF(T483&lt;12,"Daily","Weekly"))</f>
        <v/>
      </c>
      <c r="AA483">
        <f>IF(T483="",0,IF(T483&lt;12,T483*Controls!$B$29,T483*5))</f>
        <v/>
      </c>
      <c r="AB483">
        <f>IF(E483="",0,NETWORKDAYS(E483,Controls!$B$36,Ref!$K$2:$K$42))</f>
        <v/>
      </c>
      <c r="AC483">
        <f>IF(AND(AA483&gt;0,AB483&gt;=Controls!$B$39*AA483),1,0)</f>
        <v/>
      </c>
      <c r="AD483">
        <f>IF(AND(E483&lt;&gt;"",E483&gt;=Controls!$B$37,E483&lt;=Controls!$B$38),1,0)</f>
        <v/>
      </c>
      <c r="AE483">
        <f>IF(IFERROR(VLOOKUP(D483,Controls!$A$64:$E$74,2,FALSE),"No")="Yes",1,0)</f>
        <v/>
      </c>
      <c r="AF483">
        <f>IF(IFERROR(VLOOKUP(D483,Controls!$A$64:$E$74,3,FALSE),"No")="Yes",1,0)</f>
        <v/>
      </c>
      <c r="AG483">
        <f>IF(IFERROR(VLOOKUP(D483,Controls!$A$64:$E$74,4,FALSE),"No")="Yes",1,0)</f>
        <v/>
      </c>
      <c r="AH483">
        <f>IF(IFERROR(VLOOKUP(D483,Controls!$A$64:$E$74,5,FALSE),"No")="Yes",1,0)</f>
        <v/>
      </c>
      <c r="AI483">
        <f>IF(ISNUMBER(MATCH(D483,Controls!$A$64:$A$74,0)),1,0)</f>
        <v/>
      </c>
      <c r="AJ483">
        <f>Q483-N483</f>
        <v/>
      </c>
      <c r="AK483">
        <f>IF(AE483=1,MAX(0,N483-Q483),0)</f>
        <v/>
      </c>
      <c r="AL483">
        <f>IF(OR(V483="",V483=0),0,N483/V483)</f>
        <v/>
      </c>
      <c r="AM483">
        <f>IF(OR(V483="",V483=0),0,1)</f>
        <v/>
      </c>
      <c r="AN483">
        <f>IF(OR(E483="",F483=""),0,NETWORKDAYS(E483,F483,Ref!$K$2:$K$42))</f>
        <v/>
      </c>
      <c r="AO483">
        <f>IF(L483="Renewal",1,0)</f>
        <v/>
      </c>
      <c r="AP483">
        <f>AC483*AD483</f>
        <v/>
      </c>
      <c r="AQ483">
        <f>IF(AND(G483&lt;&gt;"",'Historical Score'!$C$6&lt;&gt;""),IF(G483='Historical Score'!$C$6,1,0),0)</f>
        <v/>
      </c>
      <c r="AR483">
        <f>IF(AND(L483&lt;&gt;"",'Historical Score'!$C$5&lt;&gt;""),IF(L483='Historical Score'!$C$5,1,0),0)</f>
        <v/>
      </c>
      <c r="AS483">
        <f>IF(AND(Y483&lt;&gt;"",'Historical Score'!$C$7&lt;&gt;""),IF(Y483='Historical Score'!$C$7,1,0),0)</f>
        <v/>
      </c>
      <c r="AT483">
        <f>IF(AND(K483&lt;&gt;"",'Historical Score'!$C$8&lt;&gt;""),IF(K483='Historical Score'!$C$8,1,0),0)</f>
        <v/>
      </c>
      <c r="AU483">
        <f>IF(AND(J483&lt;&gt;"",'Historical Score'!$C$9&lt;&gt;""),IF(J483='Historical Score'!$C$9,1,0),0)</f>
        <v/>
      </c>
      <c r="AV483">
        <f>AR483*AS483*AQ483</f>
        <v/>
      </c>
      <c r="AW483">
        <f>AR483*AT483*AQ483</f>
        <v/>
      </c>
      <c r="AX483">
        <f>AR483*AS483</f>
        <v/>
      </c>
      <c r="AY483">
        <f>AR483*AT483</f>
        <v/>
      </c>
      <c r="AZ483">
        <f>AR483*AQ483</f>
        <v/>
      </c>
      <c r="BA483">
        <f>AR483</f>
        <v/>
      </c>
      <c r="BB483">
        <f>1</f>
        <v/>
      </c>
      <c r="BC483">
        <f>IF(AV483=1,1,IF(AW483=1,2,IF(AX483=1,3,IF(AY483=1,4,IF(AZ483=1,5,IF(BA483=1,6,7))))))</f>
        <v/>
      </c>
      <c r="BD483">
        <f>IF(AD483=1,CHOOSE('Historical Score'!$C$29,AV483,AW483,AX483,AY483,AZ483,BA483,BB483),0)</f>
        <v/>
      </c>
      <c r="BE483">
        <f>IF(BD483=1,COUNTIF($BD$2:BD483,1),"")</f>
        <v/>
      </c>
    </row>
    <row r="484">
      <c r="A484" t="inlineStr">
        <is>
          <t>5674175240</t>
        </is>
      </c>
      <c r="B484" t="inlineStr">
        <is>
          <t>LIT ELECTRICAL CONTRACTORS</t>
        </is>
      </c>
      <c r="C484" t="inlineStr">
        <is>
          <t>LIT ELECTRICAL CONTRACTORS</t>
        </is>
      </c>
      <c r="D484" t="inlineStr">
        <is>
          <t>Closed</t>
        </is>
      </c>
      <c r="E484" s="297" t="n">
        <v>46020</v>
      </c>
      <c r="F484" s="297" t="n">
        <v>46185</v>
      </c>
      <c r="G484" t="n">
        <v>2</v>
      </c>
      <c r="H484" t="inlineStr">
        <is>
          <t>1731</t>
        </is>
      </c>
      <c r="I484" t="inlineStr">
        <is>
          <t>17</t>
        </is>
      </c>
      <c r="J484" t="inlineStr">
        <is>
          <t>CA</t>
        </is>
      </c>
      <c r="K484" t="inlineStr">
        <is>
          <t>Fidelity Funding</t>
        </is>
      </c>
      <c r="L484" t="inlineStr">
        <is>
          <t>New Deal</t>
        </is>
      </c>
      <c r="M484" s="298" t="n">
        <v>1.49</v>
      </c>
      <c r="N484" s="299" t="n">
        <v>10000</v>
      </c>
      <c r="O484" s="299" t="n">
        <v>1400</v>
      </c>
      <c r="P484" s="299" t="n">
        <v>14900</v>
      </c>
      <c r="Q484" s="299" t="n">
        <v>14900</v>
      </c>
      <c r="R484" s="299" t="n">
        <v>0</v>
      </c>
      <c r="S484" s="300" t="n">
        <v>1</v>
      </c>
      <c r="T484" t="n">
        <v>22</v>
      </c>
      <c r="U484" t="n">
        <v>1</v>
      </c>
      <c r="V484" t="n">
        <v>61203.48</v>
      </c>
      <c r="W484" s="300" t="n">
        <v>0.0443</v>
      </c>
      <c r="X484" s="297" t="n">
        <v>43770</v>
      </c>
      <c r="Y484">
        <f>IF(I484="","No SIC",IFERROR(VLOOKUP(I484,Ref!$A$2:$B$65,2,FALSE),"Unclassified"))</f>
        <v/>
      </c>
      <c r="Z484">
        <f>IF(T484="","",IF(T484&lt;12,"Daily","Weekly"))</f>
        <v/>
      </c>
      <c r="AA484">
        <f>IF(T484="",0,IF(T484&lt;12,T484*Controls!$B$29,T484*5))</f>
        <v/>
      </c>
      <c r="AB484">
        <f>IF(E484="",0,NETWORKDAYS(E484,Controls!$B$36,Ref!$K$2:$K$42))</f>
        <v/>
      </c>
      <c r="AC484">
        <f>IF(AND(AA484&gt;0,AB484&gt;=Controls!$B$39*AA484),1,0)</f>
        <v/>
      </c>
      <c r="AD484">
        <f>IF(AND(E484&lt;&gt;"",E484&gt;=Controls!$B$37,E484&lt;=Controls!$B$38),1,0)</f>
        <v/>
      </c>
      <c r="AE484">
        <f>IF(IFERROR(VLOOKUP(D484,Controls!$A$64:$E$74,2,FALSE),"No")="Yes",1,0)</f>
        <v/>
      </c>
      <c r="AF484">
        <f>IF(IFERROR(VLOOKUP(D484,Controls!$A$64:$E$74,3,FALSE),"No")="Yes",1,0)</f>
        <v/>
      </c>
      <c r="AG484">
        <f>IF(IFERROR(VLOOKUP(D484,Controls!$A$64:$E$74,4,FALSE),"No")="Yes",1,0)</f>
        <v/>
      </c>
      <c r="AH484">
        <f>IF(IFERROR(VLOOKUP(D484,Controls!$A$64:$E$74,5,FALSE),"No")="Yes",1,0)</f>
        <v/>
      </c>
      <c r="AI484">
        <f>IF(ISNUMBER(MATCH(D484,Controls!$A$64:$A$74,0)),1,0)</f>
        <v/>
      </c>
      <c r="AJ484">
        <f>Q484-N484</f>
        <v/>
      </c>
      <c r="AK484">
        <f>IF(AE484=1,MAX(0,N484-Q484),0)</f>
        <v/>
      </c>
      <c r="AL484">
        <f>IF(OR(V484="",V484=0),0,N484/V484)</f>
        <v/>
      </c>
      <c r="AM484">
        <f>IF(OR(V484="",V484=0),0,1)</f>
        <v/>
      </c>
      <c r="AN484">
        <f>IF(OR(E484="",F484=""),0,NETWORKDAYS(E484,F484,Ref!$K$2:$K$42))</f>
        <v/>
      </c>
      <c r="AO484">
        <f>IF(L484="Renewal",1,0)</f>
        <v/>
      </c>
      <c r="AP484">
        <f>AC484*AD484</f>
        <v/>
      </c>
      <c r="AQ484">
        <f>IF(AND(G484&lt;&gt;"",'Historical Score'!$C$6&lt;&gt;""),IF(G484='Historical Score'!$C$6,1,0),0)</f>
        <v/>
      </c>
      <c r="AR484">
        <f>IF(AND(L484&lt;&gt;"",'Historical Score'!$C$5&lt;&gt;""),IF(L484='Historical Score'!$C$5,1,0),0)</f>
        <v/>
      </c>
      <c r="AS484">
        <f>IF(AND(Y484&lt;&gt;"",'Historical Score'!$C$7&lt;&gt;""),IF(Y484='Historical Score'!$C$7,1,0),0)</f>
        <v/>
      </c>
      <c r="AT484">
        <f>IF(AND(K484&lt;&gt;"",'Historical Score'!$C$8&lt;&gt;""),IF(K484='Historical Score'!$C$8,1,0),0)</f>
        <v/>
      </c>
      <c r="AU484">
        <f>IF(AND(J484&lt;&gt;"",'Historical Score'!$C$9&lt;&gt;""),IF(J484='Historical Score'!$C$9,1,0),0)</f>
        <v/>
      </c>
      <c r="AV484">
        <f>AR484*AS484*AQ484</f>
        <v/>
      </c>
      <c r="AW484">
        <f>AR484*AT484*AQ484</f>
        <v/>
      </c>
      <c r="AX484">
        <f>AR484*AS484</f>
        <v/>
      </c>
      <c r="AY484">
        <f>AR484*AT484</f>
        <v/>
      </c>
      <c r="AZ484">
        <f>AR484*AQ484</f>
        <v/>
      </c>
      <c r="BA484">
        <f>AR484</f>
        <v/>
      </c>
      <c r="BB484">
        <f>1</f>
        <v/>
      </c>
      <c r="BC484">
        <f>IF(AV484=1,1,IF(AW484=1,2,IF(AX484=1,3,IF(AY484=1,4,IF(AZ484=1,5,IF(BA484=1,6,7))))))</f>
        <v/>
      </c>
      <c r="BD484">
        <f>IF(AD484=1,CHOOSE('Historical Score'!$C$29,AV484,AW484,AX484,AY484,AZ484,BA484,BB484),0)</f>
        <v/>
      </c>
      <c r="BE484">
        <f>IF(BD484=1,COUNTIF($BD$2:BD484,1),"")</f>
        <v/>
      </c>
    </row>
    <row r="485">
      <c r="A485" t="inlineStr">
        <is>
          <t>5674175248</t>
        </is>
      </c>
      <c r="B485" t="inlineStr">
        <is>
          <t>503 BUILDERS LLC</t>
        </is>
      </c>
      <c r="C485" t="inlineStr">
        <is>
          <t>503 Builders LLC</t>
        </is>
      </c>
      <c r="D485" t="inlineStr">
        <is>
          <t>Closed</t>
        </is>
      </c>
      <c r="E485" s="297" t="n">
        <v>46020</v>
      </c>
      <c r="F485" s="297" t="n">
        <v>46127</v>
      </c>
      <c r="G485" t="n">
        <v>1</v>
      </c>
      <c r="H485" t="inlineStr">
        <is>
          <t>1521</t>
        </is>
      </c>
      <c r="I485" t="inlineStr">
        <is>
          <t>15</t>
        </is>
      </c>
      <c r="J485" t="inlineStr">
        <is>
          <t>OR</t>
        </is>
      </c>
      <c r="K485" t="inlineStr">
        <is>
          <t>Biz fuel</t>
        </is>
      </c>
      <c r="L485" t="inlineStr">
        <is>
          <t>Renewal</t>
        </is>
      </c>
      <c r="M485" s="298" t="n">
        <v>1.49</v>
      </c>
      <c r="N485" s="299" t="n">
        <v>52000</v>
      </c>
      <c r="O485" s="299" t="n">
        <v>7280</v>
      </c>
      <c r="P485" s="299" t="n">
        <v>77480</v>
      </c>
      <c r="Q485" s="299" t="n">
        <v>77480</v>
      </c>
      <c r="R485" s="299" t="n">
        <v>0</v>
      </c>
      <c r="S485" s="300" t="n">
        <v>1</v>
      </c>
      <c r="T485" t="n">
        <v>28</v>
      </c>
      <c r="U485" t="n">
        <v>0</v>
      </c>
      <c r="V485" t="n">
        <v>64267.19</v>
      </c>
      <c r="W485" s="300" t="n">
        <v>0.1569</v>
      </c>
      <c r="X485" s="297" t="n">
        <v>44367</v>
      </c>
      <c r="Y485">
        <f>IF(I485="","No SIC",IFERROR(VLOOKUP(I485,Ref!$A$2:$B$65,2,FALSE),"Unclassified"))</f>
        <v/>
      </c>
      <c r="Z485">
        <f>IF(T485="","",IF(T485&lt;12,"Daily","Weekly"))</f>
        <v/>
      </c>
      <c r="AA485">
        <f>IF(T485="",0,IF(T485&lt;12,T485*Controls!$B$29,T485*5))</f>
        <v/>
      </c>
      <c r="AB485">
        <f>IF(E485="",0,NETWORKDAYS(E485,Controls!$B$36,Ref!$K$2:$K$42))</f>
        <v/>
      </c>
      <c r="AC485">
        <f>IF(AND(AA485&gt;0,AB485&gt;=Controls!$B$39*AA485),1,0)</f>
        <v/>
      </c>
      <c r="AD485">
        <f>IF(AND(E485&lt;&gt;"",E485&gt;=Controls!$B$37,E485&lt;=Controls!$B$38),1,0)</f>
        <v/>
      </c>
      <c r="AE485">
        <f>IF(IFERROR(VLOOKUP(D485,Controls!$A$64:$E$74,2,FALSE),"No")="Yes",1,0)</f>
        <v/>
      </c>
      <c r="AF485">
        <f>IF(IFERROR(VLOOKUP(D485,Controls!$A$64:$E$74,3,FALSE),"No")="Yes",1,0)</f>
        <v/>
      </c>
      <c r="AG485">
        <f>IF(IFERROR(VLOOKUP(D485,Controls!$A$64:$E$74,4,FALSE),"No")="Yes",1,0)</f>
        <v/>
      </c>
      <c r="AH485">
        <f>IF(IFERROR(VLOOKUP(D485,Controls!$A$64:$E$74,5,FALSE),"No")="Yes",1,0)</f>
        <v/>
      </c>
      <c r="AI485">
        <f>IF(ISNUMBER(MATCH(D485,Controls!$A$64:$A$74,0)),1,0)</f>
        <v/>
      </c>
      <c r="AJ485">
        <f>Q485-N485</f>
        <v/>
      </c>
      <c r="AK485">
        <f>IF(AE485=1,MAX(0,N485-Q485),0)</f>
        <v/>
      </c>
      <c r="AL485">
        <f>IF(OR(V485="",V485=0),0,N485/V485)</f>
        <v/>
      </c>
      <c r="AM485">
        <f>IF(OR(V485="",V485=0),0,1)</f>
        <v/>
      </c>
      <c r="AN485">
        <f>IF(OR(E485="",F485=""),0,NETWORKDAYS(E485,F485,Ref!$K$2:$K$42))</f>
        <v/>
      </c>
      <c r="AO485">
        <f>IF(L485="Renewal",1,0)</f>
        <v/>
      </c>
      <c r="AP485">
        <f>AC485*AD485</f>
        <v/>
      </c>
      <c r="AQ485">
        <f>IF(AND(G485&lt;&gt;"",'Historical Score'!$C$6&lt;&gt;""),IF(G485='Historical Score'!$C$6,1,0),0)</f>
        <v/>
      </c>
      <c r="AR485">
        <f>IF(AND(L485&lt;&gt;"",'Historical Score'!$C$5&lt;&gt;""),IF(L485='Historical Score'!$C$5,1,0),0)</f>
        <v/>
      </c>
      <c r="AS485">
        <f>IF(AND(Y485&lt;&gt;"",'Historical Score'!$C$7&lt;&gt;""),IF(Y485='Historical Score'!$C$7,1,0),0)</f>
        <v/>
      </c>
      <c r="AT485">
        <f>IF(AND(K485&lt;&gt;"",'Historical Score'!$C$8&lt;&gt;""),IF(K485='Historical Score'!$C$8,1,0),0)</f>
        <v/>
      </c>
      <c r="AU485">
        <f>IF(AND(J485&lt;&gt;"",'Historical Score'!$C$9&lt;&gt;""),IF(J485='Historical Score'!$C$9,1,0),0)</f>
        <v/>
      </c>
      <c r="AV485">
        <f>AR485*AS485*AQ485</f>
        <v/>
      </c>
      <c r="AW485">
        <f>AR485*AT485*AQ485</f>
        <v/>
      </c>
      <c r="AX485">
        <f>AR485*AS485</f>
        <v/>
      </c>
      <c r="AY485">
        <f>AR485*AT485</f>
        <v/>
      </c>
      <c r="AZ485">
        <f>AR485*AQ485</f>
        <v/>
      </c>
      <c r="BA485">
        <f>AR485</f>
        <v/>
      </c>
      <c r="BB485">
        <f>1</f>
        <v/>
      </c>
      <c r="BC485">
        <f>IF(AV485=1,1,IF(AW485=1,2,IF(AX485=1,3,IF(AY485=1,4,IF(AZ485=1,5,IF(BA485=1,6,7))))))</f>
        <v/>
      </c>
      <c r="BD485">
        <f>IF(AD485=1,CHOOSE('Historical Score'!$C$29,AV485,AW485,AX485,AY485,AZ485,BA485,BB485),0)</f>
        <v/>
      </c>
      <c r="BE485">
        <f>IF(BD485=1,COUNTIF($BD$2:BD485,1),"")</f>
        <v/>
      </c>
    </row>
    <row r="486">
      <c r="A486" t="inlineStr">
        <is>
          <t>5674175340</t>
        </is>
      </c>
      <c r="B486" t="inlineStr">
        <is>
          <t>CROSKEY TRANSPORTATION LLC</t>
        </is>
      </c>
      <c r="C486" t="inlineStr">
        <is>
          <t>CROSKEY TRANSPORTATION LLC</t>
        </is>
      </c>
      <c r="D486" t="inlineStr">
        <is>
          <t>Legal</t>
        </is>
      </c>
      <c r="E486" s="297" t="n">
        <v>46021</v>
      </c>
      <c r="F486" s="297" t="n">
        <v>46045</v>
      </c>
      <c r="G486" t="n">
        <v>4</v>
      </c>
      <c r="H486" t="inlineStr">
        <is>
          <t>4212</t>
        </is>
      </c>
      <c r="I486" t="inlineStr">
        <is>
          <t>42</t>
        </is>
      </c>
      <c r="J486" t="inlineStr">
        <is>
          <t>MI</t>
        </is>
      </c>
      <c r="K486" t="inlineStr">
        <is>
          <t>LENDCAP SOLUTIONS</t>
        </is>
      </c>
      <c r="L486" t="inlineStr">
        <is>
          <t>New Deal</t>
        </is>
      </c>
      <c r="M486" s="298" t="n">
        <v>1.499</v>
      </c>
      <c r="N486" s="299" t="n">
        <v>15000</v>
      </c>
      <c r="O486" s="299" t="n">
        <v>0</v>
      </c>
      <c r="P486" s="299" t="n">
        <v>22485</v>
      </c>
      <c r="Q486" s="299" t="n">
        <v>3330.18</v>
      </c>
      <c r="R486" s="299" t="n">
        <v>19154.82</v>
      </c>
      <c r="S486" s="300" t="n">
        <v>0.148106737825217</v>
      </c>
      <c r="T486" t="n">
        <v>1.967</v>
      </c>
      <c r="U486" t="n">
        <v>7</v>
      </c>
      <c r="V486" t="n">
        <v>84368.42</v>
      </c>
      <c r="W486" s="300" t="n">
        <v>0.0921</v>
      </c>
      <c r="X486" s="297" t="n">
        <v>44562</v>
      </c>
      <c r="Y486">
        <f>IF(I486="","No SIC",IFERROR(VLOOKUP(I486,Ref!$A$2:$B$65,2,FALSE),"Unclassified"))</f>
        <v/>
      </c>
      <c r="Z486">
        <f>IF(T486="","",IF(T486&lt;12,"Daily","Weekly"))</f>
        <v/>
      </c>
      <c r="AA486">
        <f>IF(T486="",0,IF(T486&lt;12,T486*Controls!$B$29,T486*5))</f>
        <v/>
      </c>
      <c r="AB486">
        <f>IF(E486="",0,NETWORKDAYS(E486,Controls!$B$36,Ref!$K$2:$K$42))</f>
        <v/>
      </c>
      <c r="AC486">
        <f>IF(AND(AA486&gt;0,AB486&gt;=Controls!$B$39*AA486),1,0)</f>
        <v/>
      </c>
      <c r="AD486">
        <f>IF(AND(E486&lt;&gt;"",E486&gt;=Controls!$B$37,E486&lt;=Controls!$B$38),1,0)</f>
        <v/>
      </c>
      <c r="AE486">
        <f>IF(IFERROR(VLOOKUP(D486,Controls!$A$64:$E$74,2,FALSE),"No")="Yes",1,0)</f>
        <v/>
      </c>
      <c r="AF486">
        <f>IF(IFERROR(VLOOKUP(D486,Controls!$A$64:$E$74,3,FALSE),"No")="Yes",1,0)</f>
        <v/>
      </c>
      <c r="AG486">
        <f>IF(IFERROR(VLOOKUP(D486,Controls!$A$64:$E$74,4,FALSE),"No")="Yes",1,0)</f>
        <v/>
      </c>
      <c r="AH486">
        <f>IF(IFERROR(VLOOKUP(D486,Controls!$A$64:$E$74,5,FALSE),"No")="Yes",1,0)</f>
        <v/>
      </c>
      <c r="AI486">
        <f>IF(ISNUMBER(MATCH(D486,Controls!$A$64:$A$74,0)),1,0)</f>
        <v/>
      </c>
      <c r="AJ486">
        <f>Q486-N486</f>
        <v/>
      </c>
      <c r="AK486">
        <f>IF(AE486=1,MAX(0,N486-Q486),0)</f>
        <v/>
      </c>
      <c r="AL486">
        <f>IF(OR(V486="",V486=0),0,N486/V486)</f>
        <v/>
      </c>
      <c r="AM486">
        <f>IF(OR(V486="",V486=0),0,1)</f>
        <v/>
      </c>
      <c r="AN486">
        <f>IF(OR(E486="",F486=""),0,NETWORKDAYS(E486,F486,Ref!$K$2:$K$42))</f>
        <v/>
      </c>
      <c r="AO486">
        <f>IF(L486="Renewal",1,0)</f>
        <v/>
      </c>
      <c r="AP486">
        <f>AC486*AD486</f>
        <v/>
      </c>
      <c r="AQ486">
        <f>IF(AND(G486&lt;&gt;"",'Historical Score'!$C$6&lt;&gt;""),IF(G486='Historical Score'!$C$6,1,0),0)</f>
        <v/>
      </c>
      <c r="AR486">
        <f>IF(AND(L486&lt;&gt;"",'Historical Score'!$C$5&lt;&gt;""),IF(L486='Historical Score'!$C$5,1,0),0)</f>
        <v/>
      </c>
      <c r="AS486">
        <f>IF(AND(Y486&lt;&gt;"",'Historical Score'!$C$7&lt;&gt;""),IF(Y486='Historical Score'!$C$7,1,0),0)</f>
        <v/>
      </c>
      <c r="AT486">
        <f>IF(AND(K486&lt;&gt;"",'Historical Score'!$C$8&lt;&gt;""),IF(K486='Historical Score'!$C$8,1,0),0)</f>
        <v/>
      </c>
      <c r="AU486">
        <f>IF(AND(J486&lt;&gt;"",'Historical Score'!$C$9&lt;&gt;""),IF(J486='Historical Score'!$C$9,1,0),0)</f>
        <v/>
      </c>
      <c r="AV486">
        <f>AR486*AS486*AQ486</f>
        <v/>
      </c>
      <c r="AW486">
        <f>AR486*AT486*AQ486</f>
        <v/>
      </c>
      <c r="AX486">
        <f>AR486*AS486</f>
        <v/>
      </c>
      <c r="AY486">
        <f>AR486*AT486</f>
        <v/>
      </c>
      <c r="AZ486">
        <f>AR486*AQ486</f>
        <v/>
      </c>
      <c r="BA486">
        <f>AR486</f>
        <v/>
      </c>
      <c r="BB486">
        <f>1</f>
        <v/>
      </c>
      <c r="BC486">
        <f>IF(AV486=1,1,IF(AW486=1,2,IF(AX486=1,3,IF(AY486=1,4,IF(AZ486=1,5,IF(BA486=1,6,7))))))</f>
        <v/>
      </c>
      <c r="BD486">
        <f>IF(AD486=1,CHOOSE('Historical Score'!$C$29,AV486,AW486,AX486,AY486,AZ486,BA486,BB486),0)</f>
        <v/>
      </c>
      <c r="BE486">
        <f>IF(BD486=1,COUNTIF($BD$2:BD486,1),"")</f>
        <v/>
      </c>
    </row>
    <row r="487">
      <c r="A487" t="inlineStr">
        <is>
          <t>5674175347</t>
        </is>
      </c>
      <c r="B487" t="inlineStr">
        <is>
          <t>MRG HEALTH</t>
        </is>
      </c>
      <c r="C487" t="inlineStr">
        <is>
          <t>MRG HEALTH INC</t>
        </is>
      </c>
      <c r="D487" t="inlineStr">
        <is>
          <t>Legal</t>
        </is>
      </c>
      <c r="E487" s="297" t="n">
        <v>46021</v>
      </c>
      <c r="F487" s="297" t="n">
        <v>46153</v>
      </c>
      <c r="G487" t="n">
        <v>3</v>
      </c>
      <c r="H487" t="inlineStr">
        <is>
          <t>8099</t>
        </is>
      </c>
      <c r="I487" t="inlineStr">
        <is>
          <t>80</t>
        </is>
      </c>
      <c r="J487" t="inlineStr">
        <is>
          <t>TX</t>
        </is>
      </c>
      <c r="K487" t="inlineStr">
        <is>
          <t>J Capital Solutions</t>
        </is>
      </c>
      <c r="L487" t="inlineStr">
        <is>
          <t>New Deal</t>
        </is>
      </c>
      <c r="M487" s="298" t="n">
        <v>1.49</v>
      </c>
      <c r="N487" s="299" t="n">
        <v>15000</v>
      </c>
      <c r="O487" s="299" t="n">
        <v>0</v>
      </c>
      <c r="P487" s="299" t="n">
        <v>22350</v>
      </c>
      <c r="Q487" s="299" t="n">
        <v>17321.24</v>
      </c>
      <c r="R487" s="299" t="n">
        <v>5028.76</v>
      </c>
      <c r="S487" s="300" t="n">
        <v>0.774999552572707</v>
      </c>
      <c r="T487" t="n">
        <v>20</v>
      </c>
      <c r="U487" t="n">
        <v>9</v>
      </c>
      <c r="V487" t="n">
        <v>39803.13</v>
      </c>
      <c r="W487" s="300" t="n">
        <v>0.1123</v>
      </c>
      <c r="X487" s="297" t="n">
        <v>44581</v>
      </c>
      <c r="Y487">
        <f>IF(I487="","No SIC",IFERROR(VLOOKUP(I487,Ref!$A$2:$B$65,2,FALSE),"Unclassified"))</f>
        <v/>
      </c>
      <c r="Z487">
        <f>IF(T487="","",IF(T487&lt;12,"Daily","Weekly"))</f>
        <v/>
      </c>
      <c r="AA487">
        <f>IF(T487="",0,IF(T487&lt;12,T487*Controls!$B$29,T487*5))</f>
        <v/>
      </c>
      <c r="AB487">
        <f>IF(E487="",0,NETWORKDAYS(E487,Controls!$B$36,Ref!$K$2:$K$42))</f>
        <v/>
      </c>
      <c r="AC487">
        <f>IF(AND(AA487&gt;0,AB487&gt;=Controls!$B$39*AA487),1,0)</f>
        <v/>
      </c>
      <c r="AD487">
        <f>IF(AND(E487&lt;&gt;"",E487&gt;=Controls!$B$37,E487&lt;=Controls!$B$38),1,0)</f>
        <v/>
      </c>
      <c r="AE487">
        <f>IF(IFERROR(VLOOKUP(D487,Controls!$A$64:$E$74,2,FALSE),"No")="Yes",1,0)</f>
        <v/>
      </c>
      <c r="AF487">
        <f>IF(IFERROR(VLOOKUP(D487,Controls!$A$64:$E$74,3,FALSE),"No")="Yes",1,0)</f>
        <v/>
      </c>
      <c r="AG487">
        <f>IF(IFERROR(VLOOKUP(D487,Controls!$A$64:$E$74,4,FALSE),"No")="Yes",1,0)</f>
        <v/>
      </c>
      <c r="AH487">
        <f>IF(IFERROR(VLOOKUP(D487,Controls!$A$64:$E$74,5,FALSE),"No")="Yes",1,0)</f>
        <v/>
      </c>
      <c r="AI487">
        <f>IF(ISNUMBER(MATCH(D487,Controls!$A$64:$A$74,0)),1,0)</f>
        <v/>
      </c>
      <c r="AJ487">
        <f>Q487-N487</f>
        <v/>
      </c>
      <c r="AK487">
        <f>IF(AE487=1,MAX(0,N487-Q487),0)</f>
        <v/>
      </c>
      <c r="AL487">
        <f>IF(OR(V487="",V487=0),0,N487/V487)</f>
        <v/>
      </c>
      <c r="AM487">
        <f>IF(OR(V487="",V487=0),0,1)</f>
        <v/>
      </c>
      <c r="AN487">
        <f>IF(OR(E487="",F487=""),0,NETWORKDAYS(E487,F487,Ref!$K$2:$K$42))</f>
        <v/>
      </c>
      <c r="AO487">
        <f>IF(L487="Renewal",1,0)</f>
        <v/>
      </c>
      <c r="AP487">
        <f>AC487*AD487</f>
        <v/>
      </c>
      <c r="AQ487">
        <f>IF(AND(G487&lt;&gt;"",'Historical Score'!$C$6&lt;&gt;""),IF(G487='Historical Score'!$C$6,1,0),0)</f>
        <v/>
      </c>
      <c r="AR487">
        <f>IF(AND(L487&lt;&gt;"",'Historical Score'!$C$5&lt;&gt;""),IF(L487='Historical Score'!$C$5,1,0),0)</f>
        <v/>
      </c>
      <c r="AS487">
        <f>IF(AND(Y487&lt;&gt;"",'Historical Score'!$C$7&lt;&gt;""),IF(Y487='Historical Score'!$C$7,1,0),0)</f>
        <v/>
      </c>
      <c r="AT487">
        <f>IF(AND(K487&lt;&gt;"",'Historical Score'!$C$8&lt;&gt;""),IF(K487='Historical Score'!$C$8,1,0),0)</f>
        <v/>
      </c>
      <c r="AU487">
        <f>IF(AND(J487&lt;&gt;"",'Historical Score'!$C$9&lt;&gt;""),IF(J487='Historical Score'!$C$9,1,0),0)</f>
        <v/>
      </c>
      <c r="AV487">
        <f>AR487*AS487*AQ487</f>
        <v/>
      </c>
      <c r="AW487">
        <f>AR487*AT487*AQ487</f>
        <v/>
      </c>
      <c r="AX487">
        <f>AR487*AS487</f>
        <v/>
      </c>
      <c r="AY487">
        <f>AR487*AT487</f>
        <v/>
      </c>
      <c r="AZ487">
        <f>AR487*AQ487</f>
        <v/>
      </c>
      <c r="BA487">
        <f>AR487</f>
        <v/>
      </c>
      <c r="BB487">
        <f>1</f>
        <v/>
      </c>
      <c r="BC487">
        <f>IF(AV487=1,1,IF(AW487=1,2,IF(AX487=1,3,IF(AY487=1,4,IF(AZ487=1,5,IF(BA487=1,6,7))))))</f>
        <v/>
      </c>
      <c r="BD487">
        <f>IF(AD487=1,CHOOSE('Historical Score'!$C$29,AV487,AW487,AX487,AY487,AZ487,BA487,BB487),0)</f>
        <v/>
      </c>
      <c r="BE487">
        <f>IF(BD487=1,COUNTIF($BD$2:BD487,1),"")</f>
        <v/>
      </c>
    </row>
    <row r="488">
      <c r="A488" t="inlineStr">
        <is>
          <t>5674175350</t>
        </is>
      </c>
      <c r="B488" t="inlineStr">
        <is>
          <t>MAMA'S &amp; PAPA'S PIZZA GROTTO</t>
        </is>
      </c>
      <c r="C488" t="inlineStr">
        <is>
          <t>2- FRIENDS, INC.</t>
        </is>
      </c>
      <c r="D488" t="inlineStr">
        <is>
          <t>Open</t>
        </is>
      </c>
      <c r="E488" s="297" t="n">
        <v>46021</v>
      </c>
      <c r="F488" s="297" t="n">
        <v>46252</v>
      </c>
      <c r="G488" t="n">
        <v>1</v>
      </c>
      <c r="H488" t="inlineStr">
        <is>
          <t>3556</t>
        </is>
      </c>
      <c r="I488" t="inlineStr">
        <is>
          <t>35</t>
        </is>
      </c>
      <c r="J488" t="inlineStr">
        <is>
          <t>CA</t>
        </is>
      </c>
      <c r="K488" t="inlineStr">
        <is>
          <t>Fundwell</t>
        </is>
      </c>
      <c r="L488" t="inlineStr">
        <is>
          <t>New Deal</t>
        </is>
      </c>
      <c r="M488" s="298" t="n">
        <v>1.4</v>
      </c>
      <c r="N488" s="299" t="n">
        <v>30000</v>
      </c>
      <c r="O488" s="299" t="n">
        <v>4050</v>
      </c>
      <c r="P488" s="299" t="n">
        <v>42000</v>
      </c>
      <c r="Q488" s="299" t="n">
        <v>17201.64</v>
      </c>
      <c r="R488" s="299" t="n">
        <v>24798.36</v>
      </c>
      <c r="S488" s="300" t="n">
        <v>0.409562857142857</v>
      </c>
      <c r="T488" t="n">
        <v>44</v>
      </c>
      <c r="U488" t="n">
        <v>0</v>
      </c>
      <c r="V488" t="n">
        <v>135121.36</v>
      </c>
      <c r="W488" s="300" t="n">
        <v>0.0283</v>
      </c>
      <c r="X488" s="297" t="n">
        <v>31616</v>
      </c>
      <c r="Y488">
        <f>IF(I488="","No SIC",IFERROR(VLOOKUP(I488,Ref!$A$2:$B$65,2,FALSE),"Unclassified"))</f>
        <v/>
      </c>
      <c r="Z488">
        <f>IF(T488="","",IF(T488&lt;12,"Daily","Weekly"))</f>
        <v/>
      </c>
      <c r="AA488">
        <f>IF(T488="",0,IF(T488&lt;12,T488*Controls!$B$29,T488*5))</f>
        <v/>
      </c>
      <c r="AB488">
        <f>IF(E488="",0,NETWORKDAYS(E488,Controls!$B$36,Ref!$K$2:$K$42))</f>
        <v/>
      </c>
      <c r="AC488">
        <f>IF(AND(AA488&gt;0,AB488&gt;=Controls!$B$39*AA488),1,0)</f>
        <v/>
      </c>
      <c r="AD488">
        <f>IF(AND(E488&lt;&gt;"",E488&gt;=Controls!$B$37,E488&lt;=Controls!$B$38),1,0)</f>
        <v/>
      </c>
      <c r="AE488">
        <f>IF(IFERROR(VLOOKUP(D488,Controls!$A$64:$E$74,2,FALSE),"No")="Yes",1,0)</f>
        <v/>
      </c>
      <c r="AF488">
        <f>IF(IFERROR(VLOOKUP(D488,Controls!$A$64:$E$74,3,FALSE),"No")="Yes",1,0)</f>
        <v/>
      </c>
      <c r="AG488">
        <f>IF(IFERROR(VLOOKUP(D488,Controls!$A$64:$E$74,4,FALSE),"No")="Yes",1,0)</f>
        <v/>
      </c>
      <c r="AH488">
        <f>IF(IFERROR(VLOOKUP(D488,Controls!$A$64:$E$74,5,FALSE),"No")="Yes",1,0)</f>
        <v/>
      </c>
      <c r="AI488">
        <f>IF(ISNUMBER(MATCH(D488,Controls!$A$64:$A$74,0)),1,0)</f>
        <v/>
      </c>
      <c r="AJ488">
        <f>Q488-N488</f>
        <v/>
      </c>
      <c r="AK488">
        <f>IF(AE488=1,MAX(0,N488-Q488),0)</f>
        <v/>
      </c>
      <c r="AL488">
        <f>IF(OR(V488="",V488=0),0,N488/V488)</f>
        <v/>
      </c>
      <c r="AM488">
        <f>IF(OR(V488="",V488=0),0,1)</f>
        <v/>
      </c>
      <c r="AN488">
        <f>IF(OR(E488="",F488=""),0,NETWORKDAYS(E488,F488,Ref!$K$2:$K$42))</f>
        <v/>
      </c>
      <c r="AO488">
        <f>IF(L488="Renewal",1,0)</f>
        <v/>
      </c>
      <c r="AP488">
        <f>AC488*AD488</f>
        <v/>
      </c>
      <c r="AQ488">
        <f>IF(AND(G488&lt;&gt;"",'Historical Score'!$C$6&lt;&gt;""),IF(G488='Historical Score'!$C$6,1,0),0)</f>
        <v/>
      </c>
      <c r="AR488">
        <f>IF(AND(L488&lt;&gt;"",'Historical Score'!$C$5&lt;&gt;""),IF(L488='Historical Score'!$C$5,1,0),0)</f>
        <v/>
      </c>
      <c r="AS488">
        <f>IF(AND(Y488&lt;&gt;"",'Historical Score'!$C$7&lt;&gt;""),IF(Y488='Historical Score'!$C$7,1,0),0)</f>
        <v/>
      </c>
      <c r="AT488">
        <f>IF(AND(K488&lt;&gt;"",'Historical Score'!$C$8&lt;&gt;""),IF(K488='Historical Score'!$C$8,1,0),0)</f>
        <v/>
      </c>
      <c r="AU488">
        <f>IF(AND(J488&lt;&gt;"",'Historical Score'!$C$9&lt;&gt;""),IF(J488='Historical Score'!$C$9,1,0),0)</f>
        <v/>
      </c>
      <c r="AV488">
        <f>AR488*AS488*AQ488</f>
        <v/>
      </c>
      <c r="AW488">
        <f>AR488*AT488*AQ488</f>
        <v/>
      </c>
      <c r="AX488">
        <f>AR488*AS488</f>
        <v/>
      </c>
      <c r="AY488">
        <f>AR488*AT488</f>
        <v/>
      </c>
      <c r="AZ488">
        <f>AR488*AQ488</f>
        <v/>
      </c>
      <c r="BA488">
        <f>AR488</f>
        <v/>
      </c>
      <c r="BB488">
        <f>1</f>
        <v/>
      </c>
      <c r="BC488">
        <f>IF(AV488=1,1,IF(AW488=1,2,IF(AX488=1,3,IF(AY488=1,4,IF(AZ488=1,5,IF(BA488=1,6,7))))))</f>
        <v/>
      </c>
      <c r="BD488">
        <f>IF(AD488=1,CHOOSE('Historical Score'!$C$29,AV488,AW488,AX488,AY488,AZ488,BA488,BB488),0)</f>
        <v/>
      </c>
      <c r="BE488">
        <f>IF(BD488=1,COUNTIF($BD$2:BD488,1),"")</f>
        <v/>
      </c>
    </row>
    <row r="489">
      <c r="A489" t="inlineStr">
        <is>
          <t>5674175372</t>
        </is>
      </c>
      <c r="B489" t="inlineStr">
        <is>
          <t>Bugged Out Pest Control LLC</t>
        </is>
      </c>
      <c r="C489" t="inlineStr">
        <is>
          <t>Bugged Out Pest Control LLC</t>
        </is>
      </c>
      <c r="D489" t="inlineStr">
        <is>
          <t>Closed</t>
        </is>
      </c>
      <c r="E489" s="297" t="n">
        <v>46022</v>
      </c>
      <c r="F489" s="297" t="n">
        <v>46231</v>
      </c>
      <c r="G489" t="n">
        <v>1</v>
      </c>
      <c r="H489" t="inlineStr">
        <is>
          <t>7342</t>
        </is>
      </c>
      <c r="I489" t="inlineStr">
        <is>
          <t>73</t>
        </is>
      </c>
      <c r="J489" t="inlineStr">
        <is>
          <t>TX</t>
        </is>
      </c>
      <c r="K489" t="inlineStr">
        <is>
          <t>Shore Funding USA</t>
        </is>
      </c>
      <c r="L489" t="inlineStr">
        <is>
          <t>Renewal</t>
        </is>
      </c>
      <c r="M489" s="298" t="n">
        <v>1.46</v>
      </c>
      <c r="N489" s="299" t="n">
        <v>13000</v>
      </c>
      <c r="O489" s="299" t="n">
        <v>1625</v>
      </c>
      <c r="P489" s="299" t="n">
        <v>18980</v>
      </c>
      <c r="Q489" s="299" t="n">
        <v>18980</v>
      </c>
      <c r="R489" s="299" t="n">
        <v>0</v>
      </c>
      <c r="S489" s="300" t="n">
        <v>1</v>
      </c>
      <c r="T489" t="n">
        <v>22</v>
      </c>
      <c r="U489" t="n">
        <v>8</v>
      </c>
      <c r="V489" t="n">
        <v>34301.33</v>
      </c>
      <c r="W489" s="300" t="n">
        <v>0.1165</v>
      </c>
      <c r="X489" s="297" t="n">
        <v>42768</v>
      </c>
      <c r="Y489">
        <f>IF(I489="","No SIC",IFERROR(VLOOKUP(I489,Ref!$A$2:$B$65,2,FALSE),"Unclassified"))</f>
        <v/>
      </c>
      <c r="Z489">
        <f>IF(T489="","",IF(T489&lt;12,"Daily","Weekly"))</f>
        <v/>
      </c>
      <c r="AA489">
        <f>IF(T489="",0,IF(T489&lt;12,T489*Controls!$B$29,T489*5))</f>
        <v/>
      </c>
      <c r="AB489">
        <f>IF(E489="",0,NETWORKDAYS(E489,Controls!$B$36,Ref!$K$2:$K$42))</f>
        <v/>
      </c>
      <c r="AC489">
        <f>IF(AND(AA489&gt;0,AB489&gt;=Controls!$B$39*AA489),1,0)</f>
        <v/>
      </c>
      <c r="AD489">
        <f>IF(AND(E489&lt;&gt;"",E489&gt;=Controls!$B$37,E489&lt;=Controls!$B$38),1,0)</f>
        <v/>
      </c>
      <c r="AE489">
        <f>IF(IFERROR(VLOOKUP(D489,Controls!$A$64:$E$74,2,FALSE),"No")="Yes",1,0)</f>
        <v/>
      </c>
      <c r="AF489">
        <f>IF(IFERROR(VLOOKUP(D489,Controls!$A$64:$E$74,3,FALSE),"No")="Yes",1,0)</f>
        <v/>
      </c>
      <c r="AG489">
        <f>IF(IFERROR(VLOOKUP(D489,Controls!$A$64:$E$74,4,FALSE),"No")="Yes",1,0)</f>
        <v/>
      </c>
      <c r="AH489">
        <f>IF(IFERROR(VLOOKUP(D489,Controls!$A$64:$E$74,5,FALSE),"No")="Yes",1,0)</f>
        <v/>
      </c>
      <c r="AI489">
        <f>IF(ISNUMBER(MATCH(D489,Controls!$A$64:$A$74,0)),1,0)</f>
        <v/>
      </c>
      <c r="AJ489">
        <f>Q489-N489</f>
        <v/>
      </c>
      <c r="AK489">
        <f>IF(AE489=1,MAX(0,N489-Q489),0)</f>
        <v/>
      </c>
      <c r="AL489">
        <f>IF(OR(V489="",V489=0),0,N489/V489)</f>
        <v/>
      </c>
      <c r="AM489">
        <f>IF(OR(V489="",V489=0),0,1)</f>
        <v/>
      </c>
      <c r="AN489">
        <f>IF(OR(E489="",F489=""),0,NETWORKDAYS(E489,F489,Ref!$K$2:$K$42))</f>
        <v/>
      </c>
      <c r="AO489">
        <f>IF(L489="Renewal",1,0)</f>
        <v/>
      </c>
      <c r="AP489">
        <f>AC489*AD489</f>
        <v/>
      </c>
      <c r="AQ489">
        <f>IF(AND(G489&lt;&gt;"",'Historical Score'!$C$6&lt;&gt;""),IF(G489='Historical Score'!$C$6,1,0),0)</f>
        <v/>
      </c>
      <c r="AR489">
        <f>IF(AND(L489&lt;&gt;"",'Historical Score'!$C$5&lt;&gt;""),IF(L489='Historical Score'!$C$5,1,0),0)</f>
        <v/>
      </c>
      <c r="AS489">
        <f>IF(AND(Y489&lt;&gt;"",'Historical Score'!$C$7&lt;&gt;""),IF(Y489='Historical Score'!$C$7,1,0),0)</f>
        <v/>
      </c>
      <c r="AT489">
        <f>IF(AND(K489&lt;&gt;"",'Historical Score'!$C$8&lt;&gt;""),IF(K489='Historical Score'!$C$8,1,0),0)</f>
        <v/>
      </c>
      <c r="AU489">
        <f>IF(AND(J489&lt;&gt;"",'Historical Score'!$C$9&lt;&gt;""),IF(J489='Historical Score'!$C$9,1,0),0)</f>
        <v/>
      </c>
      <c r="AV489">
        <f>AR489*AS489*AQ489</f>
        <v/>
      </c>
      <c r="AW489">
        <f>AR489*AT489*AQ489</f>
        <v/>
      </c>
      <c r="AX489">
        <f>AR489*AS489</f>
        <v/>
      </c>
      <c r="AY489">
        <f>AR489*AT489</f>
        <v/>
      </c>
      <c r="AZ489">
        <f>AR489*AQ489</f>
        <v/>
      </c>
      <c r="BA489">
        <f>AR489</f>
        <v/>
      </c>
      <c r="BB489">
        <f>1</f>
        <v/>
      </c>
      <c r="BC489">
        <f>IF(AV489=1,1,IF(AW489=1,2,IF(AX489=1,3,IF(AY489=1,4,IF(AZ489=1,5,IF(BA489=1,6,7))))))</f>
        <v/>
      </c>
      <c r="BD489">
        <f>IF(AD489=1,CHOOSE('Historical Score'!$C$29,AV489,AW489,AX489,AY489,AZ489,BA489,BB489),0)</f>
        <v/>
      </c>
      <c r="BE489">
        <f>IF(BD489=1,COUNTIF($BD$2:BD489,1),"")</f>
        <v/>
      </c>
    </row>
    <row r="490">
      <c r="A490" t="inlineStr">
        <is>
          <t>5674175376</t>
        </is>
      </c>
      <c r="B490" t="inlineStr">
        <is>
          <t>A.L.I.C.E. homecare llc</t>
        </is>
      </c>
      <c r="C490" t="inlineStr">
        <is>
          <t>A.L.I.C.E. homecare llc</t>
        </is>
      </c>
      <c r="D490" t="inlineStr">
        <is>
          <t>Lowered Payments</t>
        </is>
      </c>
      <c r="E490" s="297" t="n">
        <v>46022</v>
      </c>
      <c r="F490" s="297" t="n">
        <v>46253</v>
      </c>
      <c r="G490" t="n">
        <v>1</v>
      </c>
      <c r="H490" t="inlineStr">
        <is>
          <t>8082</t>
        </is>
      </c>
      <c r="I490" t="inlineStr">
        <is>
          <t>80</t>
        </is>
      </c>
      <c r="J490" t="inlineStr">
        <is>
          <t>OH</t>
        </is>
      </c>
      <c r="K490" t="inlineStr">
        <is>
          <t>peach tree capital</t>
        </is>
      </c>
      <c r="L490" t="inlineStr">
        <is>
          <t>New Deal</t>
        </is>
      </c>
      <c r="M490" s="298" t="n">
        <v>1.49</v>
      </c>
      <c r="N490" s="299" t="n">
        <v>22000</v>
      </c>
      <c r="O490" s="299" t="n">
        <v>3080</v>
      </c>
      <c r="P490" s="299" t="n">
        <v>32780</v>
      </c>
      <c r="Q490" s="299" t="n">
        <v>21995.28</v>
      </c>
      <c r="R490" s="299" t="n">
        <v>10784.72</v>
      </c>
      <c r="S490" s="300" t="n">
        <v>0.670996949359365</v>
      </c>
      <c r="T490" t="n">
        <v>26</v>
      </c>
      <c r="U490" t="n">
        <v>25</v>
      </c>
      <c r="V490" t="n">
        <v>43430.73</v>
      </c>
      <c r="W490" s="300" t="n">
        <v>0.1161</v>
      </c>
      <c r="X490" s="297" t="n">
        <v>43581</v>
      </c>
      <c r="Y490">
        <f>IF(I490="","No SIC",IFERROR(VLOOKUP(I490,Ref!$A$2:$B$65,2,FALSE),"Unclassified"))</f>
        <v/>
      </c>
      <c r="Z490">
        <f>IF(T490="","",IF(T490&lt;12,"Daily","Weekly"))</f>
        <v/>
      </c>
      <c r="AA490">
        <f>IF(T490="",0,IF(T490&lt;12,T490*Controls!$B$29,T490*5))</f>
        <v/>
      </c>
      <c r="AB490">
        <f>IF(E490="",0,NETWORKDAYS(E490,Controls!$B$36,Ref!$K$2:$K$42))</f>
        <v/>
      </c>
      <c r="AC490">
        <f>IF(AND(AA490&gt;0,AB490&gt;=Controls!$B$39*AA490),1,0)</f>
        <v/>
      </c>
      <c r="AD490">
        <f>IF(AND(E490&lt;&gt;"",E490&gt;=Controls!$B$37,E490&lt;=Controls!$B$38),1,0)</f>
        <v/>
      </c>
      <c r="AE490">
        <f>IF(IFERROR(VLOOKUP(D490,Controls!$A$64:$E$74,2,FALSE),"No")="Yes",1,0)</f>
        <v/>
      </c>
      <c r="AF490">
        <f>IF(IFERROR(VLOOKUP(D490,Controls!$A$64:$E$74,3,FALSE),"No")="Yes",1,0)</f>
        <v/>
      </c>
      <c r="AG490">
        <f>IF(IFERROR(VLOOKUP(D490,Controls!$A$64:$E$74,4,FALSE),"No")="Yes",1,0)</f>
        <v/>
      </c>
      <c r="AH490">
        <f>IF(IFERROR(VLOOKUP(D490,Controls!$A$64:$E$74,5,FALSE),"No")="Yes",1,0)</f>
        <v/>
      </c>
      <c r="AI490">
        <f>IF(ISNUMBER(MATCH(D490,Controls!$A$64:$A$74,0)),1,0)</f>
        <v/>
      </c>
      <c r="AJ490">
        <f>Q490-N490</f>
        <v/>
      </c>
      <c r="AK490">
        <f>IF(AE490=1,MAX(0,N490-Q490),0)</f>
        <v/>
      </c>
      <c r="AL490">
        <f>IF(OR(V490="",V490=0),0,N490/V490)</f>
        <v/>
      </c>
      <c r="AM490">
        <f>IF(OR(V490="",V490=0),0,1)</f>
        <v/>
      </c>
      <c r="AN490">
        <f>IF(OR(E490="",F490=""),0,NETWORKDAYS(E490,F490,Ref!$K$2:$K$42))</f>
        <v/>
      </c>
      <c r="AO490">
        <f>IF(L490="Renewal",1,0)</f>
        <v/>
      </c>
      <c r="AP490">
        <f>AC490*AD490</f>
        <v/>
      </c>
      <c r="AQ490">
        <f>IF(AND(G490&lt;&gt;"",'Historical Score'!$C$6&lt;&gt;""),IF(G490='Historical Score'!$C$6,1,0),0)</f>
        <v/>
      </c>
      <c r="AR490">
        <f>IF(AND(L490&lt;&gt;"",'Historical Score'!$C$5&lt;&gt;""),IF(L490='Historical Score'!$C$5,1,0),0)</f>
        <v/>
      </c>
      <c r="AS490">
        <f>IF(AND(Y490&lt;&gt;"",'Historical Score'!$C$7&lt;&gt;""),IF(Y490='Historical Score'!$C$7,1,0),0)</f>
        <v/>
      </c>
      <c r="AT490">
        <f>IF(AND(K490&lt;&gt;"",'Historical Score'!$C$8&lt;&gt;""),IF(K490='Historical Score'!$C$8,1,0),0)</f>
        <v/>
      </c>
      <c r="AU490">
        <f>IF(AND(J490&lt;&gt;"",'Historical Score'!$C$9&lt;&gt;""),IF(J490='Historical Score'!$C$9,1,0),0)</f>
        <v/>
      </c>
      <c r="AV490">
        <f>AR490*AS490*AQ490</f>
        <v/>
      </c>
      <c r="AW490">
        <f>AR490*AT490*AQ490</f>
        <v/>
      </c>
      <c r="AX490">
        <f>AR490*AS490</f>
        <v/>
      </c>
      <c r="AY490">
        <f>AR490*AT490</f>
        <v/>
      </c>
      <c r="AZ490">
        <f>AR490*AQ490</f>
        <v/>
      </c>
      <c r="BA490">
        <f>AR490</f>
        <v/>
      </c>
      <c r="BB490">
        <f>1</f>
        <v/>
      </c>
      <c r="BC490">
        <f>IF(AV490=1,1,IF(AW490=1,2,IF(AX490=1,3,IF(AY490=1,4,IF(AZ490=1,5,IF(BA490=1,6,7))))))</f>
        <v/>
      </c>
      <c r="BD490">
        <f>IF(AD490=1,CHOOSE('Historical Score'!$C$29,AV490,AW490,AX490,AY490,AZ490,BA490,BB490),0)</f>
        <v/>
      </c>
      <c r="BE490">
        <f>IF(BD490=1,COUNTIF($BD$2:BD490,1),"")</f>
        <v/>
      </c>
    </row>
    <row r="491">
      <c r="A491" t="inlineStr">
        <is>
          <t>5674175530</t>
        </is>
      </c>
      <c r="B491" t="inlineStr">
        <is>
          <t>MARCOS SOULFIRE, LLC</t>
        </is>
      </c>
      <c r="C491" t="inlineStr">
        <is>
          <t>MARCOS SOULFIRE, LLC</t>
        </is>
      </c>
      <c r="D491" t="inlineStr">
        <is>
          <t>Legal</t>
        </is>
      </c>
      <c r="E491" s="297" t="n">
        <v>46022</v>
      </c>
      <c r="F491" s="297" t="n">
        <v>46057</v>
      </c>
      <c r="G491" t="n">
        <v>2</v>
      </c>
      <c r="H491" t="inlineStr">
        <is>
          <t>3021</t>
        </is>
      </c>
      <c r="I491" t="inlineStr">
        <is>
          <t>30</t>
        </is>
      </c>
      <c r="J491" t="inlineStr">
        <is>
          <t>TX</t>
        </is>
      </c>
      <c r="K491" t="inlineStr">
        <is>
          <t>Fundwell</t>
        </is>
      </c>
      <c r="L491" t="inlineStr">
        <is>
          <t>New Deal</t>
        </is>
      </c>
      <c r="M491" s="298" t="n">
        <v>1.37</v>
      </c>
      <c r="N491" s="299" t="n">
        <v>15000</v>
      </c>
      <c r="O491" s="299" t="n">
        <v>1575</v>
      </c>
      <c r="P491" s="299" t="n">
        <v>20550</v>
      </c>
      <c r="Q491" s="299" t="n">
        <v>3426.12</v>
      </c>
      <c r="R491" s="299" t="n">
        <v>17123.88</v>
      </c>
      <c r="S491" s="300" t="n">
        <v>0.166721167883212</v>
      </c>
      <c r="T491" t="n">
        <v>24</v>
      </c>
      <c r="U491" t="n">
        <v>1</v>
      </c>
      <c r="V491" t="n">
        <v>26054.26</v>
      </c>
      <c r="W491" s="300" t="n">
        <v>0.1315</v>
      </c>
      <c r="X491" s="297" t="n">
        <v>43966</v>
      </c>
      <c r="Y491">
        <f>IF(I491="","No SIC",IFERROR(VLOOKUP(I491,Ref!$A$2:$B$65,2,FALSE),"Unclassified"))</f>
        <v/>
      </c>
      <c r="Z491">
        <f>IF(T491="","",IF(T491&lt;12,"Daily","Weekly"))</f>
        <v/>
      </c>
      <c r="AA491">
        <f>IF(T491="",0,IF(T491&lt;12,T491*Controls!$B$29,T491*5))</f>
        <v/>
      </c>
      <c r="AB491">
        <f>IF(E491="",0,NETWORKDAYS(E491,Controls!$B$36,Ref!$K$2:$K$42))</f>
        <v/>
      </c>
      <c r="AC491">
        <f>IF(AND(AA491&gt;0,AB491&gt;=Controls!$B$39*AA491),1,0)</f>
        <v/>
      </c>
      <c r="AD491">
        <f>IF(AND(E491&lt;&gt;"",E491&gt;=Controls!$B$37,E491&lt;=Controls!$B$38),1,0)</f>
        <v/>
      </c>
      <c r="AE491">
        <f>IF(IFERROR(VLOOKUP(D491,Controls!$A$64:$E$74,2,FALSE),"No")="Yes",1,0)</f>
        <v/>
      </c>
      <c r="AF491">
        <f>IF(IFERROR(VLOOKUP(D491,Controls!$A$64:$E$74,3,FALSE),"No")="Yes",1,0)</f>
        <v/>
      </c>
      <c r="AG491">
        <f>IF(IFERROR(VLOOKUP(D491,Controls!$A$64:$E$74,4,FALSE),"No")="Yes",1,0)</f>
        <v/>
      </c>
      <c r="AH491">
        <f>IF(IFERROR(VLOOKUP(D491,Controls!$A$64:$E$74,5,FALSE),"No")="Yes",1,0)</f>
        <v/>
      </c>
      <c r="AI491">
        <f>IF(ISNUMBER(MATCH(D491,Controls!$A$64:$A$74,0)),1,0)</f>
        <v/>
      </c>
      <c r="AJ491">
        <f>Q491-N491</f>
        <v/>
      </c>
      <c r="AK491">
        <f>IF(AE491=1,MAX(0,N491-Q491),0)</f>
        <v/>
      </c>
      <c r="AL491">
        <f>IF(OR(V491="",V491=0),0,N491/V491)</f>
        <v/>
      </c>
      <c r="AM491">
        <f>IF(OR(V491="",V491=0),0,1)</f>
        <v/>
      </c>
      <c r="AN491">
        <f>IF(OR(E491="",F491=""),0,NETWORKDAYS(E491,F491,Ref!$K$2:$K$42))</f>
        <v/>
      </c>
      <c r="AO491">
        <f>IF(L491="Renewal",1,0)</f>
        <v/>
      </c>
      <c r="AP491">
        <f>AC491*AD491</f>
        <v/>
      </c>
      <c r="AQ491">
        <f>IF(AND(G491&lt;&gt;"",'Historical Score'!$C$6&lt;&gt;""),IF(G491='Historical Score'!$C$6,1,0),0)</f>
        <v/>
      </c>
      <c r="AR491">
        <f>IF(AND(L491&lt;&gt;"",'Historical Score'!$C$5&lt;&gt;""),IF(L491='Historical Score'!$C$5,1,0),0)</f>
        <v/>
      </c>
      <c r="AS491">
        <f>IF(AND(Y491&lt;&gt;"",'Historical Score'!$C$7&lt;&gt;""),IF(Y491='Historical Score'!$C$7,1,0),0)</f>
        <v/>
      </c>
      <c r="AT491">
        <f>IF(AND(K491&lt;&gt;"",'Historical Score'!$C$8&lt;&gt;""),IF(K491='Historical Score'!$C$8,1,0),0)</f>
        <v/>
      </c>
      <c r="AU491">
        <f>IF(AND(J491&lt;&gt;"",'Historical Score'!$C$9&lt;&gt;""),IF(J491='Historical Score'!$C$9,1,0),0)</f>
        <v/>
      </c>
      <c r="AV491">
        <f>AR491*AS491*AQ491</f>
        <v/>
      </c>
      <c r="AW491">
        <f>AR491*AT491*AQ491</f>
        <v/>
      </c>
      <c r="AX491">
        <f>AR491*AS491</f>
        <v/>
      </c>
      <c r="AY491">
        <f>AR491*AT491</f>
        <v/>
      </c>
      <c r="AZ491">
        <f>AR491*AQ491</f>
        <v/>
      </c>
      <c r="BA491">
        <f>AR491</f>
        <v/>
      </c>
      <c r="BB491">
        <f>1</f>
        <v/>
      </c>
      <c r="BC491">
        <f>IF(AV491=1,1,IF(AW491=1,2,IF(AX491=1,3,IF(AY491=1,4,IF(AZ491=1,5,IF(BA491=1,6,7))))))</f>
        <v/>
      </c>
      <c r="BD491">
        <f>IF(AD491=1,CHOOSE('Historical Score'!$C$29,AV491,AW491,AX491,AY491,AZ491,BA491,BB491),0)</f>
        <v/>
      </c>
      <c r="BE491">
        <f>IF(BD491=1,COUNTIF($BD$2:BD491,1),"")</f>
        <v/>
      </c>
    </row>
    <row r="492">
      <c r="A492" t="inlineStr">
        <is>
          <t>5674175538</t>
        </is>
      </c>
      <c r="B492" t="inlineStr">
        <is>
          <t>C&amp;G Services Systems LLC</t>
        </is>
      </c>
      <c r="C492" t="inlineStr">
        <is>
          <t>C&amp;G Services Systems LLC</t>
        </is>
      </c>
      <c r="D492" t="inlineStr">
        <is>
          <t>Closed</t>
        </is>
      </c>
      <c r="E492" s="297" t="n">
        <v>46022</v>
      </c>
      <c r="F492" s="297" t="n">
        <v>46076</v>
      </c>
      <c r="G492" t="n">
        <v>3</v>
      </c>
      <c r="H492" t="inlineStr">
        <is>
          <t>4213</t>
        </is>
      </c>
      <c r="I492" t="inlineStr">
        <is>
          <t>42</t>
        </is>
      </c>
      <c r="J492" t="inlineStr">
        <is>
          <t>FL</t>
        </is>
      </c>
      <c r="K492" t="inlineStr">
        <is>
          <t>Fundwell</t>
        </is>
      </c>
      <c r="L492" t="inlineStr">
        <is>
          <t>New Deal</t>
        </is>
      </c>
      <c r="M492" s="298" t="n">
        <v>1.38</v>
      </c>
      <c r="N492" s="299" t="n">
        <v>10000</v>
      </c>
      <c r="O492" s="299" t="n">
        <v>1250</v>
      </c>
      <c r="P492" s="299" t="n">
        <v>13800</v>
      </c>
      <c r="Q492" s="299" t="n">
        <v>13800</v>
      </c>
      <c r="R492" s="299" t="n">
        <v>-1.81898940354586e-12</v>
      </c>
      <c r="S492" s="300" t="n">
        <v>1</v>
      </c>
      <c r="T492" t="n">
        <v>2.951</v>
      </c>
      <c r="U492" t="n">
        <v>0</v>
      </c>
      <c r="V492" t="n">
        <v>24929.12</v>
      </c>
      <c r="W492" s="300" t="n">
        <v>0.1292</v>
      </c>
      <c r="X492" s="297" t="n">
        <v>44149</v>
      </c>
      <c r="Y492">
        <f>IF(I492="","No SIC",IFERROR(VLOOKUP(I492,Ref!$A$2:$B$65,2,FALSE),"Unclassified"))</f>
        <v/>
      </c>
      <c r="Z492">
        <f>IF(T492="","",IF(T492&lt;12,"Daily","Weekly"))</f>
        <v/>
      </c>
      <c r="AA492">
        <f>IF(T492="",0,IF(T492&lt;12,T492*Controls!$B$29,T492*5))</f>
        <v/>
      </c>
      <c r="AB492">
        <f>IF(E492="",0,NETWORKDAYS(E492,Controls!$B$36,Ref!$K$2:$K$42))</f>
        <v/>
      </c>
      <c r="AC492">
        <f>IF(AND(AA492&gt;0,AB492&gt;=Controls!$B$39*AA492),1,0)</f>
        <v/>
      </c>
      <c r="AD492">
        <f>IF(AND(E492&lt;&gt;"",E492&gt;=Controls!$B$37,E492&lt;=Controls!$B$38),1,0)</f>
        <v/>
      </c>
      <c r="AE492">
        <f>IF(IFERROR(VLOOKUP(D492,Controls!$A$64:$E$74,2,FALSE),"No")="Yes",1,0)</f>
        <v/>
      </c>
      <c r="AF492">
        <f>IF(IFERROR(VLOOKUP(D492,Controls!$A$64:$E$74,3,FALSE),"No")="Yes",1,0)</f>
        <v/>
      </c>
      <c r="AG492">
        <f>IF(IFERROR(VLOOKUP(D492,Controls!$A$64:$E$74,4,FALSE),"No")="Yes",1,0)</f>
        <v/>
      </c>
      <c r="AH492">
        <f>IF(IFERROR(VLOOKUP(D492,Controls!$A$64:$E$74,5,FALSE),"No")="Yes",1,0)</f>
        <v/>
      </c>
      <c r="AI492">
        <f>IF(ISNUMBER(MATCH(D492,Controls!$A$64:$A$74,0)),1,0)</f>
        <v/>
      </c>
      <c r="AJ492">
        <f>Q492-N492</f>
        <v/>
      </c>
      <c r="AK492">
        <f>IF(AE492=1,MAX(0,N492-Q492),0)</f>
        <v/>
      </c>
      <c r="AL492">
        <f>IF(OR(V492="",V492=0),0,N492/V492)</f>
        <v/>
      </c>
      <c r="AM492">
        <f>IF(OR(V492="",V492=0),0,1)</f>
        <v/>
      </c>
      <c r="AN492">
        <f>IF(OR(E492="",F492=""),0,NETWORKDAYS(E492,F492,Ref!$K$2:$K$42))</f>
        <v/>
      </c>
      <c r="AO492">
        <f>IF(L492="Renewal",1,0)</f>
        <v/>
      </c>
      <c r="AP492">
        <f>AC492*AD492</f>
        <v/>
      </c>
      <c r="AQ492">
        <f>IF(AND(G492&lt;&gt;"",'Historical Score'!$C$6&lt;&gt;""),IF(G492='Historical Score'!$C$6,1,0),0)</f>
        <v/>
      </c>
      <c r="AR492">
        <f>IF(AND(L492&lt;&gt;"",'Historical Score'!$C$5&lt;&gt;""),IF(L492='Historical Score'!$C$5,1,0),0)</f>
        <v/>
      </c>
      <c r="AS492">
        <f>IF(AND(Y492&lt;&gt;"",'Historical Score'!$C$7&lt;&gt;""),IF(Y492='Historical Score'!$C$7,1,0),0)</f>
        <v/>
      </c>
      <c r="AT492">
        <f>IF(AND(K492&lt;&gt;"",'Historical Score'!$C$8&lt;&gt;""),IF(K492='Historical Score'!$C$8,1,0),0)</f>
        <v/>
      </c>
      <c r="AU492">
        <f>IF(AND(J492&lt;&gt;"",'Historical Score'!$C$9&lt;&gt;""),IF(J492='Historical Score'!$C$9,1,0),0)</f>
        <v/>
      </c>
      <c r="AV492">
        <f>AR492*AS492*AQ492</f>
        <v/>
      </c>
      <c r="AW492">
        <f>AR492*AT492*AQ492</f>
        <v/>
      </c>
      <c r="AX492">
        <f>AR492*AS492</f>
        <v/>
      </c>
      <c r="AY492">
        <f>AR492*AT492</f>
        <v/>
      </c>
      <c r="AZ492">
        <f>AR492*AQ492</f>
        <v/>
      </c>
      <c r="BA492">
        <f>AR492</f>
        <v/>
      </c>
      <c r="BB492">
        <f>1</f>
        <v/>
      </c>
      <c r="BC492">
        <f>IF(AV492=1,1,IF(AW492=1,2,IF(AX492=1,3,IF(AY492=1,4,IF(AZ492=1,5,IF(BA492=1,6,7))))))</f>
        <v/>
      </c>
      <c r="BD492">
        <f>IF(AD492=1,CHOOSE('Historical Score'!$C$29,AV492,AW492,AX492,AY492,AZ492,BA492,BB492),0)</f>
        <v/>
      </c>
      <c r="BE492">
        <f>IF(BD492=1,COUNTIF($BD$2:BD492,1),"")</f>
        <v/>
      </c>
    </row>
    <row r="493">
      <c r="A493" t="inlineStr">
        <is>
          <t>5674175552</t>
        </is>
      </c>
      <c r="B493" t="inlineStr">
        <is>
          <t>RESOURCE HEALTHCARE</t>
        </is>
      </c>
      <c r="C493" t="inlineStr">
        <is>
          <t>RESOURCE HEALTHCARE INC</t>
        </is>
      </c>
      <c r="D493" t="inlineStr">
        <is>
          <t>Open</t>
        </is>
      </c>
      <c r="E493" s="297" t="n">
        <v>46022</v>
      </c>
      <c r="F493" s="297" t="n">
        <v>46248</v>
      </c>
      <c r="G493" t="n">
        <v>3</v>
      </c>
      <c r="H493" t="inlineStr">
        <is>
          <t>8099</t>
        </is>
      </c>
      <c r="I493" t="inlineStr">
        <is>
          <t>80</t>
        </is>
      </c>
      <c r="J493" t="inlineStr">
        <is>
          <t>AZ</t>
        </is>
      </c>
      <c r="K493" t="inlineStr">
        <is>
          <t>United Secured Capital 8</t>
        </is>
      </c>
      <c r="L493" t="inlineStr">
        <is>
          <t>New Deal</t>
        </is>
      </c>
      <c r="M493" s="298" t="n">
        <v>1.45</v>
      </c>
      <c r="N493" s="299" t="n">
        <v>175000</v>
      </c>
      <c r="O493" s="299" t="n">
        <v>21000</v>
      </c>
      <c r="P493" s="299" t="n">
        <v>253750</v>
      </c>
      <c r="Q493" s="299" t="n">
        <v>225637.76</v>
      </c>
      <c r="R493" s="299" t="n">
        <v>28112.24</v>
      </c>
      <c r="S493" s="300" t="n">
        <v>0.88921284729064</v>
      </c>
      <c r="T493" t="n">
        <v>36</v>
      </c>
      <c r="U493" t="n">
        <v>0</v>
      </c>
      <c r="V493" t="n">
        <v>261154.64</v>
      </c>
      <c r="W493" s="300" t="n">
        <v>0.108</v>
      </c>
      <c r="X493" s="297" t="n"/>
      <c r="Y493">
        <f>IF(I493="","No SIC",IFERROR(VLOOKUP(I493,Ref!$A$2:$B$65,2,FALSE),"Unclassified"))</f>
        <v/>
      </c>
      <c r="Z493">
        <f>IF(T493="","",IF(T493&lt;12,"Daily","Weekly"))</f>
        <v/>
      </c>
      <c r="AA493">
        <f>IF(T493="",0,IF(T493&lt;12,T493*Controls!$B$29,T493*5))</f>
        <v/>
      </c>
      <c r="AB493">
        <f>IF(E493="",0,NETWORKDAYS(E493,Controls!$B$36,Ref!$K$2:$K$42))</f>
        <v/>
      </c>
      <c r="AC493">
        <f>IF(AND(AA493&gt;0,AB493&gt;=Controls!$B$39*AA493),1,0)</f>
        <v/>
      </c>
      <c r="AD493">
        <f>IF(AND(E493&lt;&gt;"",E493&gt;=Controls!$B$37,E493&lt;=Controls!$B$38),1,0)</f>
        <v/>
      </c>
      <c r="AE493">
        <f>IF(IFERROR(VLOOKUP(D493,Controls!$A$64:$E$74,2,FALSE),"No")="Yes",1,0)</f>
        <v/>
      </c>
      <c r="AF493">
        <f>IF(IFERROR(VLOOKUP(D493,Controls!$A$64:$E$74,3,FALSE),"No")="Yes",1,0)</f>
        <v/>
      </c>
      <c r="AG493">
        <f>IF(IFERROR(VLOOKUP(D493,Controls!$A$64:$E$74,4,FALSE),"No")="Yes",1,0)</f>
        <v/>
      </c>
      <c r="AH493">
        <f>IF(IFERROR(VLOOKUP(D493,Controls!$A$64:$E$74,5,FALSE),"No")="Yes",1,0)</f>
        <v/>
      </c>
      <c r="AI493">
        <f>IF(ISNUMBER(MATCH(D493,Controls!$A$64:$A$74,0)),1,0)</f>
        <v/>
      </c>
      <c r="AJ493">
        <f>Q493-N493</f>
        <v/>
      </c>
      <c r="AK493">
        <f>IF(AE493=1,MAX(0,N493-Q493),0)</f>
        <v/>
      </c>
      <c r="AL493">
        <f>IF(OR(V493="",V493=0),0,N493/V493)</f>
        <v/>
      </c>
      <c r="AM493">
        <f>IF(OR(V493="",V493=0),0,1)</f>
        <v/>
      </c>
      <c r="AN493">
        <f>IF(OR(E493="",F493=""),0,NETWORKDAYS(E493,F493,Ref!$K$2:$K$42))</f>
        <v/>
      </c>
      <c r="AO493">
        <f>IF(L493="Renewal",1,0)</f>
        <v/>
      </c>
      <c r="AP493">
        <f>AC493*AD493</f>
        <v/>
      </c>
      <c r="AQ493">
        <f>IF(AND(G493&lt;&gt;"",'Historical Score'!$C$6&lt;&gt;""),IF(G493='Historical Score'!$C$6,1,0),0)</f>
        <v/>
      </c>
      <c r="AR493">
        <f>IF(AND(L493&lt;&gt;"",'Historical Score'!$C$5&lt;&gt;""),IF(L493='Historical Score'!$C$5,1,0),0)</f>
        <v/>
      </c>
      <c r="AS493">
        <f>IF(AND(Y493&lt;&gt;"",'Historical Score'!$C$7&lt;&gt;""),IF(Y493='Historical Score'!$C$7,1,0),0)</f>
        <v/>
      </c>
      <c r="AT493">
        <f>IF(AND(K493&lt;&gt;"",'Historical Score'!$C$8&lt;&gt;""),IF(K493='Historical Score'!$C$8,1,0),0)</f>
        <v/>
      </c>
      <c r="AU493">
        <f>IF(AND(J493&lt;&gt;"",'Historical Score'!$C$9&lt;&gt;""),IF(J493='Historical Score'!$C$9,1,0),0)</f>
        <v/>
      </c>
      <c r="AV493">
        <f>AR493*AS493*AQ493</f>
        <v/>
      </c>
      <c r="AW493">
        <f>AR493*AT493*AQ493</f>
        <v/>
      </c>
      <c r="AX493">
        <f>AR493*AS493</f>
        <v/>
      </c>
      <c r="AY493">
        <f>AR493*AT493</f>
        <v/>
      </c>
      <c r="AZ493">
        <f>AR493*AQ493</f>
        <v/>
      </c>
      <c r="BA493">
        <f>AR493</f>
        <v/>
      </c>
      <c r="BB493">
        <f>1</f>
        <v/>
      </c>
      <c r="BC493">
        <f>IF(AV493=1,1,IF(AW493=1,2,IF(AX493=1,3,IF(AY493=1,4,IF(AZ493=1,5,IF(BA493=1,6,7))))))</f>
        <v/>
      </c>
      <c r="BD493">
        <f>IF(AD493=1,CHOOSE('Historical Score'!$C$29,AV493,AW493,AX493,AY493,AZ493,BA493,BB493),0)</f>
        <v/>
      </c>
      <c r="BE493">
        <f>IF(BD493=1,COUNTIF($BD$2:BD493,1),"")</f>
        <v/>
      </c>
    </row>
    <row r="494">
      <c r="A494" t="inlineStr">
        <is>
          <t>5674175571</t>
        </is>
      </c>
      <c r="B494" t="inlineStr">
        <is>
          <t>UNLIMITED BEAUTY LLC</t>
        </is>
      </c>
      <c r="C494" t="inlineStr">
        <is>
          <t>UNLIMITED BEAUTY LLC</t>
        </is>
      </c>
      <c r="D494" t="inlineStr">
        <is>
          <t>Closed</t>
        </is>
      </c>
      <c r="E494" s="297" t="n">
        <v>46022</v>
      </c>
      <c r="F494" s="297" t="n">
        <v>46063</v>
      </c>
      <c r="G494" t="n">
        <v>3</v>
      </c>
      <c r="H494" t="inlineStr">
        <is>
          <t>7231</t>
        </is>
      </c>
      <c r="I494" t="inlineStr">
        <is>
          <t>72</t>
        </is>
      </c>
      <c r="J494" t="inlineStr">
        <is>
          <t>MD</t>
        </is>
      </c>
      <c r="K494" t="inlineStr">
        <is>
          <t>cenitcapital</t>
        </is>
      </c>
      <c r="L494" t="inlineStr">
        <is>
          <t>New Deal</t>
        </is>
      </c>
      <c r="M494" s="298" t="n">
        <v>1.49</v>
      </c>
      <c r="N494" s="299" t="n">
        <v>25000</v>
      </c>
      <c r="O494" s="299" t="n">
        <v>3500</v>
      </c>
      <c r="P494" s="299" t="n">
        <v>37250</v>
      </c>
      <c r="Q494" s="299" t="n">
        <v>37250</v>
      </c>
      <c r="R494" s="299" t="n">
        <v>0</v>
      </c>
      <c r="S494" s="300" t="n">
        <v>1</v>
      </c>
      <c r="T494" t="n">
        <v>3.279</v>
      </c>
      <c r="U494" t="n">
        <v>0</v>
      </c>
      <c r="V494" t="n">
        <v>71741.25999999999</v>
      </c>
      <c r="W494" s="300" t="n">
        <v>0.109</v>
      </c>
      <c r="X494" s="297" t="n">
        <v>43269</v>
      </c>
      <c r="Y494">
        <f>IF(I494="","No SIC",IFERROR(VLOOKUP(I494,Ref!$A$2:$B$65,2,FALSE),"Unclassified"))</f>
        <v/>
      </c>
      <c r="Z494">
        <f>IF(T494="","",IF(T494&lt;12,"Daily","Weekly"))</f>
        <v/>
      </c>
      <c r="AA494">
        <f>IF(T494="",0,IF(T494&lt;12,T494*Controls!$B$29,T494*5))</f>
        <v/>
      </c>
      <c r="AB494">
        <f>IF(E494="",0,NETWORKDAYS(E494,Controls!$B$36,Ref!$K$2:$K$42))</f>
        <v/>
      </c>
      <c r="AC494">
        <f>IF(AND(AA494&gt;0,AB494&gt;=Controls!$B$39*AA494),1,0)</f>
        <v/>
      </c>
      <c r="AD494">
        <f>IF(AND(E494&lt;&gt;"",E494&gt;=Controls!$B$37,E494&lt;=Controls!$B$38),1,0)</f>
        <v/>
      </c>
      <c r="AE494">
        <f>IF(IFERROR(VLOOKUP(D494,Controls!$A$64:$E$74,2,FALSE),"No")="Yes",1,0)</f>
        <v/>
      </c>
      <c r="AF494">
        <f>IF(IFERROR(VLOOKUP(D494,Controls!$A$64:$E$74,3,FALSE),"No")="Yes",1,0)</f>
        <v/>
      </c>
      <c r="AG494">
        <f>IF(IFERROR(VLOOKUP(D494,Controls!$A$64:$E$74,4,FALSE),"No")="Yes",1,0)</f>
        <v/>
      </c>
      <c r="AH494">
        <f>IF(IFERROR(VLOOKUP(D494,Controls!$A$64:$E$74,5,FALSE),"No")="Yes",1,0)</f>
        <v/>
      </c>
      <c r="AI494">
        <f>IF(ISNUMBER(MATCH(D494,Controls!$A$64:$A$74,0)),1,0)</f>
        <v/>
      </c>
      <c r="AJ494">
        <f>Q494-N494</f>
        <v/>
      </c>
      <c r="AK494">
        <f>IF(AE494=1,MAX(0,N494-Q494),0)</f>
        <v/>
      </c>
      <c r="AL494">
        <f>IF(OR(V494="",V494=0),0,N494/V494)</f>
        <v/>
      </c>
      <c r="AM494">
        <f>IF(OR(V494="",V494=0),0,1)</f>
        <v/>
      </c>
      <c r="AN494">
        <f>IF(OR(E494="",F494=""),0,NETWORKDAYS(E494,F494,Ref!$K$2:$K$42))</f>
        <v/>
      </c>
      <c r="AO494">
        <f>IF(L494="Renewal",1,0)</f>
        <v/>
      </c>
      <c r="AP494">
        <f>AC494*AD494</f>
        <v/>
      </c>
      <c r="AQ494">
        <f>IF(AND(G494&lt;&gt;"",'Historical Score'!$C$6&lt;&gt;""),IF(G494='Historical Score'!$C$6,1,0),0)</f>
        <v/>
      </c>
      <c r="AR494">
        <f>IF(AND(L494&lt;&gt;"",'Historical Score'!$C$5&lt;&gt;""),IF(L494='Historical Score'!$C$5,1,0),0)</f>
        <v/>
      </c>
      <c r="AS494">
        <f>IF(AND(Y494&lt;&gt;"",'Historical Score'!$C$7&lt;&gt;""),IF(Y494='Historical Score'!$C$7,1,0),0)</f>
        <v/>
      </c>
      <c r="AT494">
        <f>IF(AND(K494&lt;&gt;"",'Historical Score'!$C$8&lt;&gt;""),IF(K494='Historical Score'!$C$8,1,0),0)</f>
        <v/>
      </c>
      <c r="AU494">
        <f>IF(AND(J494&lt;&gt;"",'Historical Score'!$C$9&lt;&gt;""),IF(J494='Historical Score'!$C$9,1,0),0)</f>
        <v/>
      </c>
      <c r="AV494">
        <f>AR494*AS494*AQ494</f>
        <v/>
      </c>
      <c r="AW494">
        <f>AR494*AT494*AQ494</f>
        <v/>
      </c>
      <c r="AX494">
        <f>AR494*AS494</f>
        <v/>
      </c>
      <c r="AY494">
        <f>AR494*AT494</f>
        <v/>
      </c>
      <c r="AZ494">
        <f>AR494*AQ494</f>
        <v/>
      </c>
      <c r="BA494">
        <f>AR494</f>
        <v/>
      </c>
      <c r="BB494">
        <f>1</f>
        <v/>
      </c>
      <c r="BC494">
        <f>IF(AV494=1,1,IF(AW494=1,2,IF(AX494=1,3,IF(AY494=1,4,IF(AZ494=1,5,IF(BA494=1,6,7))))))</f>
        <v/>
      </c>
      <c r="BD494">
        <f>IF(AD494=1,CHOOSE('Historical Score'!$C$29,AV494,AW494,AX494,AY494,AZ494,BA494,BB494),0)</f>
        <v/>
      </c>
      <c r="BE494">
        <f>IF(BD494=1,COUNTIF($BD$2:BD494,1),"")</f>
        <v/>
      </c>
    </row>
    <row r="495">
      <c r="A495" t="inlineStr">
        <is>
          <t>5674175597</t>
        </is>
      </c>
      <c r="B495" t="inlineStr">
        <is>
          <t>Peak Communication LLC</t>
        </is>
      </c>
      <c r="C495" t="inlineStr">
        <is>
          <t>Peak Communication LLC</t>
        </is>
      </c>
      <c r="D495" t="inlineStr">
        <is>
          <t>In House Collection</t>
        </is>
      </c>
      <c r="E495" s="297" t="n">
        <v>46022</v>
      </c>
      <c r="F495" s="297" t="n">
        <v>46245</v>
      </c>
      <c r="G495" t="n">
        <v>5</v>
      </c>
      <c r="H495" t="inlineStr">
        <is>
          <t>3669</t>
        </is>
      </c>
      <c r="I495" t="inlineStr">
        <is>
          <t>36</t>
        </is>
      </c>
      <c r="J495" t="inlineStr">
        <is>
          <t>CO</t>
        </is>
      </c>
      <c r="K495" t="inlineStr">
        <is>
          <t>Fundwell</t>
        </is>
      </c>
      <c r="L495" t="inlineStr">
        <is>
          <t>New Deal</t>
        </is>
      </c>
      <c r="M495" s="298" t="n">
        <v>1.4</v>
      </c>
      <c r="N495" s="299" t="n">
        <v>20000</v>
      </c>
      <c r="O495" s="299" t="n">
        <v>2700</v>
      </c>
      <c r="P495" s="299" t="n">
        <v>28000</v>
      </c>
      <c r="Q495" s="299" t="n">
        <v>11581.5</v>
      </c>
      <c r="R495" s="299" t="n">
        <v>16418.5</v>
      </c>
      <c r="S495" s="300" t="n">
        <v>0.413625</v>
      </c>
      <c r="T495" t="n">
        <v>20</v>
      </c>
      <c r="U495" t="n">
        <v>10</v>
      </c>
      <c r="V495" t="n">
        <v>42404.19</v>
      </c>
      <c r="W495" s="300" t="n">
        <v>0.1321</v>
      </c>
      <c r="X495" s="297" t="n"/>
      <c r="Y495">
        <f>IF(I495="","No SIC",IFERROR(VLOOKUP(I495,Ref!$A$2:$B$65,2,FALSE),"Unclassified"))</f>
        <v/>
      </c>
      <c r="Z495">
        <f>IF(T495="","",IF(T495&lt;12,"Daily","Weekly"))</f>
        <v/>
      </c>
      <c r="AA495">
        <f>IF(T495="",0,IF(T495&lt;12,T495*Controls!$B$29,T495*5))</f>
        <v/>
      </c>
      <c r="AB495">
        <f>IF(E495="",0,NETWORKDAYS(E495,Controls!$B$36,Ref!$K$2:$K$42))</f>
        <v/>
      </c>
      <c r="AC495">
        <f>IF(AND(AA495&gt;0,AB495&gt;=Controls!$B$39*AA495),1,0)</f>
        <v/>
      </c>
      <c r="AD495">
        <f>IF(AND(E495&lt;&gt;"",E495&gt;=Controls!$B$37,E495&lt;=Controls!$B$38),1,0)</f>
        <v/>
      </c>
      <c r="AE495">
        <f>IF(IFERROR(VLOOKUP(D495,Controls!$A$64:$E$74,2,FALSE),"No")="Yes",1,0)</f>
        <v/>
      </c>
      <c r="AF495">
        <f>IF(IFERROR(VLOOKUP(D495,Controls!$A$64:$E$74,3,FALSE),"No")="Yes",1,0)</f>
        <v/>
      </c>
      <c r="AG495">
        <f>IF(IFERROR(VLOOKUP(D495,Controls!$A$64:$E$74,4,FALSE),"No")="Yes",1,0)</f>
        <v/>
      </c>
      <c r="AH495">
        <f>IF(IFERROR(VLOOKUP(D495,Controls!$A$64:$E$74,5,FALSE),"No")="Yes",1,0)</f>
        <v/>
      </c>
      <c r="AI495">
        <f>IF(ISNUMBER(MATCH(D495,Controls!$A$64:$A$74,0)),1,0)</f>
        <v/>
      </c>
      <c r="AJ495">
        <f>Q495-N495</f>
        <v/>
      </c>
      <c r="AK495">
        <f>IF(AE495=1,MAX(0,N495-Q495),0)</f>
        <v/>
      </c>
      <c r="AL495">
        <f>IF(OR(V495="",V495=0),0,N495/V495)</f>
        <v/>
      </c>
      <c r="AM495">
        <f>IF(OR(V495="",V495=0),0,1)</f>
        <v/>
      </c>
      <c r="AN495">
        <f>IF(OR(E495="",F495=""),0,NETWORKDAYS(E495,F495,Ref!$K$2:$K$42))</f>
        <v/>
      </c>
      <c r="AO495">
        <f>IF(L495="Renewal",1,0)</f>
        <v/>
      </c>
      <c r="AP495">
        <f>AC495*AD495</f>
        <v/>
      </c>
      <c r="AQ495">
        <f>IF(AND(G495&lt;&gt;"",'Historical Score'!$C$6&lt;&gt;""),IF(G495='Historical Score'!$C$6,1,0),0)</f>
        <v/>
      </c>
      <c r="AR495">
        <f>IF(AND(L495&lt;&gt;"",'Historical Score'!$C$5&lt;&gt;""),IF(L495='Historical Score'!$C$5,1,0),0)</f>
        <v/>
      </c>
      <c r="AS495">
        <f>IF(AND(Y495&lt;&gt;"",'Historical Score'!$C$7&lt;&gt;""),IF(Y495='Historical Score'!$C$7,1,0),0)</f>
        <v/>
      </c>
      <c r="AT495">
        <f>IF(AND(K495&lt;&gt;"",'Historical Score'!$C$8&lt;&gt;""),IF(K495='Historical Score'!$C$8,1,0),0)</f>
        <v/>
      </c>
      <c r="AU495">
        <f>IF(AND(J495&lt;&gt;"",'Historical Score'!$C$9&lt;&gt;""),IF(J495='Historical Score'!$C$9,1,0),0)</f>
        <v/>
      </c>
      <c r="AV495">
        <f>AR495*AS495*AQ495</f>
        <v/>
      </c>
      <c r="AW495">
        <f>AR495*AT495*AQ495</f>
        <v/>
      </c>
      <c r="AX495">
        <f>AR495*AS495</f>
        <v/>
      </c>
      <c r="AY495">
        <f>AR495*AT495</f>
        <v/>
      </c>
      <c r="AZ495">
        <f>AR495*AQ495</f>
        <v/>
      </c>
      <c r="BA495">
        <f>AR495</f>
        <v/>
      </c>
      <c r="BB495">
        <f>1</f>
        <v/>
      </c>
      <c r="BC495">
        <f>IF(AV495=1,1,IF(AW495=1,2,IF(AX495=1,3,IF(AY495=1,4,IF(AZ495=1,5,IF(BA495=1,6,7))))))</f>
        <v/>
      </c>
      <c r="BD495">
        <f>IF(AD495=1,CHOOSE('Historical Score'!$C$29,AV495,AW495,AX495,AY495,AZ495,BA495,BB495),0)</f>
        <v/>
      </c>
      <c r="BE495">
        <f>IF(BD495=1,COUNTIF($BD$2:BD495,1),"")</f>
        <v/>
      </c>
    </row>
    <row r="496">
      <c r="A496" t="inlineStr">
        <is>
          <t>5674175602</t>
        </is>
      </c>
      <c r="B496" t="inlineStr">
        <is>
          <t>WCW TRANSPORTATION LLC</t>
        </is>
      </c>
      <c r="C496" t="inlineStr">
        <is>
          <t>WCW TRANSPORTATION LLC</t>
        </is>
      </c>
      <c r="D496" t="inlineStr">
        <is>
          <t>Closed</t>
        </is>
      </c>
      <c r="E496" s="297" t="n">
        <v>46022</v>
      </c>
      <c r="F496" s="297" t="n">
        <v>46112</v>
      </c>
      <c r="G496" t="n">
        <v>1</v>
      </c>
      <c r="H496" t="inlineStr">
        <is>
          <t>4212</t>
        </is>
      </c>
      <c r="I496" t="inlineStr">
        <is>
          <t>42</t>
        </is>
      </c>
      <c r="J496" t="inlineStr">
        <is>
          <t>OH</t>
        </is>
      </c>
      <c r="K496" t="inlineStr">
        <is>
          <t>Fundwell</t>
        </is>
      </c>
      <c r="L496" t="inlineStr">
        <is>
          <t>New Deal</t>
        </is>
      </c>
      <c r="M496" s="298" t="n">
        <v>1.4</v>
      </c>
      <c r="N496" s="299" t="n">
        <v>20000</v>
      </c>
      <c r="O496" s="299" t="n">
        <v>2700</v>
      </c>
      <c r="P496" s="299" t="n">
        <v>28000</v>
      </c>
      <c r="Q496" s="299" t="n">
        <v>28000</v>
      </c>
      <c r="R496" s="299" t="n">
        <v>0</v>
      </c>
      <c r="S496" s="300" t="n">
        <v>1</v>
      </c>
      <c r="T496" t="n">
        <v>20</v>
      </c>
      <c r="U496" t="n">
        <v>0</v>
      </c>
      <c r="V496" t="n">
        <v>36444.36</v>
      </c>
      <c r="W496" s="300" t="n">
        <v>0.1537</v>
      </c>
      <c r="X496" s="297" t="n">
        <v>44958</v>
      </c>
      <c r="Y496">
        <f>IF(I496="","No SIC",IFERROR(VLOOKUP(I496,Ref!$A$2:$B$65,2,FALSE),"Unclassified"))</f>
        <v/>
      </c>
      <c r="Z496">
        <f>IF(T496="","",IF(T496&lt;12,"Daily","Weekly"))</f>
        <v/>
      </c>
      <c r="AA496">
        <f>IF(T496="",0,IF(T496&lt;12,T496*Controls!$B$29,T496*5))</f>
        <v/>
      </c>
      <c r="AB496">
        <f>IF(E496="",0,NETWORKDAYS(E496,Controls!$B$36,Ref!$K$2:$K$42))</f>
        <v/>
      </c>
      <c r="AC496">
        <f>IF(AND(AA496&gt;0,AB496&gt;=Controls!$B$39*AA496),1,0)</f>
        <v/>
      </c>
      <c r="AD496">
        <f>IF(AND(E496&lt;&gt;"",E496&gt;=Controls!$B$37,E496&lt;=Controls!$B$38),1,0)</f>
        <v/>
      </c>
      <c r="AE496">
        <f>IF(IFERROR(VLOOKUP(D496,Controls!$A$64:$E$74,2,FALSE),"No")="Yes",1,0)</f>
        <v/>
      </c>
      <c r="AF496">
        <f>IF(IFERROR(VLOOKUP(D496,Controls!$A$64:$E$74,3,FALSE),"No")="Yes",1,0)</f>
        <v/>
      </c>
      <c r="AG496">
        <f>IF(IFERROR(VLOOKUP(D496,Controls!$A$64:$E$74,4,FALSE),"No")="Yes",1,0)</f>
        <v/>
      </c>
      <c r="AH496">
        <f>IF(IFERROR(VLOOKUP(D496,Controls!$A$64:$E$74,5,FALSE),"No")="Yes",1,0)</f>
        <v/>
      </c>
      <c r="AI496">
        <f>IF(ISNUMBER(MATCH(D496,Controls!$A$64:$A$74,0)),1,0)</f>
        <v/>
      </c>
      <c r="AJ496">
        <f>Q496-N496</f>
        <v/>
      </c>
      <c r="AK496">
        <f>IF(AE496=1,MAX(0,N496-Q496),0)</f>
        <v/>
      </c>
      <c r="AL496">
        <f>IF(OR(V496="",V496=0),0,N496/V496)</f>
        <v/>
      </c>
      <c r="AM496">
        <f>IF(OR(V496="",V496=0),0,1)</f>
        <v/>
      </c>
      <c r="AN496">
        <f>IF(OR(E496="",F496=""),0,NETWORKDAYS(E496,F496,Ref!$K$2:$K$42))</f>
        <v/>
      </c>
      <c r="AO496">
        <f>IF(L496="Renewal",1,0)</f>
        <v/>
      </c>
      <c r="AP496">
        <f>AC496*AD496</f>
        <v/>
      </c>
      <c r="AQ496">
        <f>IF(AND(G496&lt;&gt;"",'Historical Score'!$C$6&lt;&gt;""),IF(G496='Historical Score'!$C$6,1,0),0)</f>
        <v/>
      </c>
      <c r="AR496">
        <f>IF(AND(L496&lt;&gt;"",'Historical Score'!$C$5&lt;&gt;""),IF(L496='Historical Score'!$C$5,1,0),0)</f>
        <v/>
      </c>
      <c r="AS496">
        <f>IF(AND(Y496&lt;&gt;"",'Historical Score'!$C$7&lt;&gt;""),IF(Y496='Historical Score'!$C$7,1,0),0)</f>
        <v/>
      </c>
      <c r="AT496">
        <f>IF(AND(K496&lt;&gt;"",'Historical Score'!$C$8&lt;&gt;""),IF(K496='Historical Score'!$C$8,1,0),0)</f>
        <v/>
      </c>
      <c r="AU496">
        <f>IF(AND(J496&lt;&gt;"",'Historical Score'!$C$9&lt;&gt;""),IF(J496='Historical Score'!$C$9,1,0),0)</f>
        <v/>
      </c>
      <c r="AV496">
        <f>AR496*AS496*AQ496</f>
        <v/>
      </c>
      <c r="AW496">
        <f>AR496*AT496*AQ496</f>
        <v/>
      </c>
      <c r="AX496">
        <f>AR496*AS496</f>
        <v/>
      </c>
      <c r="AY496">
        <f>AR496*AT496</f>
        <v/>
      </c>
      <c r="AZ496">
        <f>AR496*AQ496</f>
        <v/>
      </c>
      <c r="BA496">
        <f>AR496</f>
        <v/>
      </c>
      <c r="BB496">
        <f>1</f>
        <v/>
      </c>
      <c r="BC496">
        <f>IF(AV496=1,1,IF(AW496=1,2,IF(AX496=1,3,IF(AY496=1,4,IF(AZ496=1,5,IF(BA496=1,6,7))))))</f>
        <v/>
      </c>
      <c r="BD496">
        <f>IF(AD496=1,CHOOSE('Historical Score'!$C$29,AV496,AW496,AX496,AY496,AZ496,BA496,BB496),0)</f>
        <v/>
      </c>
      <c r="BE496">
        <f>IF(BD496=1,COUNTIF($BD$2:BD496,1),"")</f>
        <v/>
      </c>
    </row>
    <row r="497">
      <c r="A497" t="inlineStr">
        <is>
          <t>5674175609</t>
        </is>
      </c>
      <c r="B497" t="inlineStr">
        <is>
          <t>Chasing More Vacations</t>
        </is>
      </c>
      <c r="C497" t="inlineStr">
        <is>
          <t>LORETTA DARNELL</t>
        </is>
      </c>
      <c r="D497" t="inlineStr">
        <is>
          <t>Closed</t>
        </is>
      </c>
      <c r="E497" s="297" t="n">
        <v>46022</v>
      </c>
      <c r="F497" s="297" t="n">
        <v>46160</v>
      </c>
      <c r="G497" t="n">
        <v>3</v>
      </c>
      <c r="H497" t="inlineStr">
        <is>
          <t>4724</t>
        </is>
      </c>
      <c r="I497" t="inlineStr">
        <is>
          <t>47</t>
        </is>
      </c>
      <c r="J497" t="inlineStr">
        <is>
          <t>TX</t>
        </is>
      </c>
      <c r="K497" t="inlineStr">
        <is>
          <t>Fundwell</t>
        </is>
      </c>
      <c r="L497" t="inlineStr">
        <is>
          <t>Renewal</t>
        </is>
      </c>
      <c r="M497" s="298" t="n">
        <v>1.42</v>
      </c>
      <c r="N497" s="299" t="n">
        <v>10000</v>
      </c>
      <c r="O497" s="299" t="n">
        <v>1450</v>
      </c>
      <c r="P497" s="299" t="n">
        <v>14200</v>
      </c>
      <c r="Q497" s="299" t="n">
        <v>14200</v>
      </c>
      <c r="R497" s="299" t="n">
        <v>0</v>
      </c>
      <c r="S497" s="300" t="n">
        <v>1</v>
      </c>
      <c r="T497" t="n">
        <v>4.59</v>
      </c>
      <c r="U497" t="n">
        <v>0</v>
      </c>
      <c r="V497" t="n">
        <v>11079.08</v>
      </c>
      <c r="W497" s="300" t="n">
        <v>0.2101</v>
      </c>
      <c r="X497" s="297" t="n">
        <v>43299</v>
      </c>
      <c r="Y497">
        <f>IF(I497="","No SIC",IFERROR(VLOOKUP(I497,Ref!$A$2:$B$65,2,FALSE),"Unclassified"))</f>
        <v/>
      </c>
      <c r="Z497">
        <f>IF(T497="","",IF(T497&lt;12,"Daily","Weekly"))</f>
        <v/>
      </c>
      <c r="AA497">
        <f>IF(T497="",0,IF(T497&lt;12,T497*Controls!$B$29,T497*5))</f>
        <v/>
      </c>
      <c r="AB497">
        <f>IF(E497="",0,NETWORKDAYS(E497,Controls!$B$36,Ref!$K$2:$K$42))</f>
        <v/>
      </c>
      <c r="AC497">
        <f>IF(AND(AA497&gt;0,AB497&gt;=Controls!$B$39*AA497),1,0)</f>
        <v/>
      </c>
      <c r="AD497">
        <f>IF(AND(E497&lt;&gt;"",E497&gt;=Controls!$B$37,E497&lt;=Controls!$B$38),1,0)</f>
        <v/>
      </c>
      <c r="AE497">
        <f>IF(IFERROR(VLOOKUP(D497,Controls!$A$64:$E$74,2,FALSE),"No")="Yes",1,0)</f>
        <v/>
      </c>
      <c r="AF497">
        <f>IF(IFERROR(VLOOKUP(D497,Controls!$A$64:$E$74,3,FALSE),"No")="Yes",1,0)</f>
        <v/>
      </c>
      <c r="AG497">
        <f>IF(IFERROR(VLOOKUP(D497,Controls!$A$64:$E$74,4,FALSE),"No")="Yes",1,0)</f>
        <v/>
      </c>
      <c r="AH497">
        <f>IF(IFERROR(VLOOKUP(D497,Controls!$A$64:$E$74,5,FALSE),"No")="Yes",1,0)</f>
        <v/>
      </c>
      <c r="AI497">
        <f>IF(ISNUMBER(MATCH(D497,Controls!$A$64:$A$74,0)),1,0)</f>
        <v/>
      </c>
      <c r="AJ497">
        <f>Q497-N497</f>
        <v/>
      </c>
      <c r="AK497">
        <f>IF(AE497=1,MAX(0,N497-Q497),0)</f>
        <v/>
      </c>
      <c r="AL497">
        <f>IF(OR(V497="",V497=0),0,N497/V497)</f>
        <v/>
      </c>
      <c r="AM497">
        <f>IF(OR(V497="",V497=0),0,1)</f>
        <v/>
      </c>
      <c r="AN497">
        <f>IF(OR(E497="",F497=""),0,NETWORKDAYS(E497,F497,Ref!$K$2:$K$42))</f>
        <v/>
      </c>
      <c r="AO497">
        <f>IF(L497="Renewal",1,0)</f>
        <v/>
      </c>
      <c r="AP497">
        <f>AC497*AD497</f>
        <v/>
      </c>
      <c r="AQ497">
        <f>IF(AND(G497&lt;&gt;"",'Historical Score'!$C$6&lt;&gt;""),IF(G497='Historical Score'!$C$6,1,0),0)</f>
        <v/>
      </c>
      <c r="AR497">
        <f>IF(AND(L497&lt;&gt;"",'Historical Score'!$C$5&lt;&gt;""),IF(L497='Historical Score'!$C$5,1,0),0)</f>
        <v/>
      </c>
      <c r="AS497">
        <f>IF(AND(Y497&lt;&gt;"",'Historical Score'!$C$7&lt;&gt;""),IF(Y497='Historical Score'!$C$7,1,0),0)</f>
        <v/>
      </c>
      <c r="AT497">
        <f>IF(AND(K497&lt;&gt;"",'Historical Score'!$C$8&lt;&gt;""),IF(K497='Historical Score'!$C$8,1,0),0)</f>
        <v/>
      </c>
      <c r="AU497">
        <f>IF(AND(J497&lt;&gt;"",'Historical Score'!$C$9&lt;&gt;""),IF(J497='Historical Score'!$C$9,1,0),0)</f>
        <v/>
      </c>
      <c r="AV497">
        <f>AR497*AS497*AQ497</f>
        <v/>
      </c>
      <c r="AW497">
        <f>AR497*AT497*AQ497</f>
        <v/>
      </c>
      <c r="AX497">
        <f>AR497*AS497</f>
        <v/>
      </c>
      <c r="AY497">
        <f>AR497*AT497</f>
        <v/>
      </c>
      <c r="AZ497">
        <f>AR497*AQ497</f>
        <v/>
      </c>
      <c r="BA497">
        <f>AR497</f>
        <v/>
      </c>
      <c r="BB497">
        <f>1</f>
        <v/>
      </c>
      <c r="BC497">
        <f>IF(AV497=1,1,IF(AW497=1,2,IF(AX497=1,3,IF(AY497=1,4,IF(AZ497=1,5,IF(BA497=1,6,7))))))</f>
        <v/>
      </c>
      <c r="BD497">
        <f>IF(AD497=1,CHOOSE('Historical Score'!$C$29,AV497,AW497,AX497,AY497,AZ497,BA497,BB497),0)</f>
        <v/>
      </c>
      <c r="BE497">
        <f>IF(BD497=1,COUNTIF($BD$2:BD497,1),"")</f>
        <v/>
      </c>
    </row>
    <row r="498">
      <c r="A498" t="inlineStr">
        <is>
          <t>5674175655</t>
        </is>
      </c>
      <c r="B498" t="inlineStr">
        <is>
          <t>Big World Enterprises</t>
        </is>
      </c>
      <c r="C498" t="inlineStr">
        <is>
          <t>Big World Enterprises</t>
        </is>
      </c>
      <c r="D498" t="inlineStr">
        <is>
          <t>Legal</t>
        </is>
      </c>
      <c r="E498" s="297" t="n">
        <v>46024</v>
      </c>
      <c r="F498" s="297" t="n">
        <v>46234</v>
      </c>
      <c r="G498" t="n">
        <v>2</v>
      </c>
      <c r="H498" t="inlineStr">
        <is>
          <t>7311</t>
        </is>
      </c>
      <c r="I498" t="inlineStr">
        <is>
          <t>73</t>
        </is>
      </c>
      <c r="J498" t="inlineStr">
        <is>
          <t>NC</t>
        </is>
      </c>
      <c r="K498" t="inlineStr">
        <is>
          <t>United Secured Capital 8</t>
        </is>
      </c>
      <c r="L498" t="inlineStr">
        <is>
          <t>New Deal</t>
        </is>
      </c>
      <c r="M498" s="298" t="n">
        <v>1.49</v>
      </c>
      <c r="N498" s="299" t="n">
        <v>25000</v>
      </c>
      <c r="O498" s="299" t="n">
        <v>0</v>
      </c>
      <c r="P498" s="299" t="n">
        <v>37250</v>
      </c>
      <c r="Q498" s="299" t="n">
        <v>10137.58</v>
      </c>
      <c r="R498" s="299" t="n">
        <v>27112.42</v>
      </c>
      <c r="S498" s="300" t="n">
        <v>0.272149798657718</v>
      </c>
      <c r="T498" t="n">
        <v>24</v>
      </c>
      <c r="U498" t="n">
        <v>31</v>
      </c>
      <c r="V498" t="n">
        <v>43018.1</v>
      </c>
      <c r="W498" s="300" t="n">
        <v>0.1424</v>
      </c>
      <c r="X498" s="297" t="n"/>
      <c r="Y498">
        <f>IF(I498="","No SIC",IFERROR(VLOOKUP(I498,Ref!$A$2:$B$65,2,FALSE),"Unclassified"))</f>
        <v/>
      </c>
      <c r="Z498">
        <f>IF(T498="","",IF(T498&lt;12,"Daily","Weekly"))</f>
        <v/>
      </c>
      <c r="AA498">
        <f>IF(T498="",0,IF(T498&lt;12,T498*Controls!$B$29,T498*5))</f>
        <v/>
      </c>
      <c r="AB498">
        <f>IF(E498="",0,NETWORKDAYS(E498,Controls!$B$36,Ref!$K$2:$K$42))</f>
        <v/>
      </c>
      <c r="AC498">
        <f>IF(AND(AA498&gt;0,AB498&gt;=Controls!$B$39*AA498),1,0)</f>
        <v/>
      </c>
      <c r="AD498">
        <f>IF(AND(E498&lt;&gt;"",E498&gt;=Controls!$B$37,E498&lt;=Controls!$B$38),1,0)</f>
        <v/>
      </c>
      <c r="AE498">
        <f>IF(IFERROR(VLOOKUP(D498,Controls!$A$64:$E$74,2,FALSE),"No")="Yes",1,0)</f>
        <v/>
      </c>
      <c r="AF498">
        <f>IF(IFERROR(VLOOKUP(D498,Controls!$A$64:$E$74,3,FALSE),"No")="Yes",1,0)</f>
        <v/>
      </c>
      <c r="AG498">
        <f>IF(IFERROR(VLOOKUP(D498,Controls!$A$64:$E$74,4,FALSE),"No")="Yes",1,0)</f>
        <v/>
      </c>
      <c r="AH498">
        <f>IF(IFERROR(VLOOKUP(D498,Controls!$A$64:$E$74,5,FALSE),"No")="Yes",1,0)</f>
        <v/>
      </c>
      <c r="AI498">
        <f>IF(ISNUMBER(MATCH(D498,Controls!$A$64:$A$74,0)),1,0)</f>
        <v/>
      </c>
      <c r="AJ498">
        <f>Q498-N498</f>
        <v/>
      </c>
      <c r="AK498">
        <f>IF(AE498=1,MAX(0,N498-Q498),0)</f>
        <v/>
      </c>
      <c r="AL498">
        <f>IF(OR(V498="",V498=0),0,N498/V498)</f>
        <v/>
      </c>
      <c r="AM498">
        <f>IF(OR(V498="",V498=0),0,1)</f>
        <v/>
      </c>
      <c r="AN498">
        <f>IF(OR(E498="",F498=""),0,NETWORKDAYS(E498,F498,Ref!$K$2:$K$42))</f>
        <v/>
      </c>
      <c r="AO498">
        <f>IF(L498="Renewal",1,0)</f>
        <v/>
      </c>
      <c r="AP498">
        <f>AC498*AD498</f>
        <v/>
      </c>
      <c r="AQ498">
        <f>IF(AND(G498&lt;&gt;"",'Historical Score'!$C$6&lt;&gt;""),IF(G498='Historical Score'!$C$6,1,0),0)</f>
        <v/>
      </c>
      <c r="AR498">
        <f>IF(AND(L498&lt;&gt;"",'Historical Score'!$C$5&lt;&gt;""),IF(L498='Historical Score'!$C$5,1,0),0)</f>
        <v/>
      </c>
      <c r="AS498">
        <f>IF(AND(Y498&lt;&gt;"",'Historical Score'!$C$7&lt;&gt;""),IF(Y498='Historical Score'!$C$7,1,0),0)</f>
        <v/>
      </c>
      <c r="AT498">
        <f>IF(AND(K498&lt;&gt;"",'Historical Score'!$C$8&lt;&gt;""),IF(K498='Historical Score'!$C$8,1,0),0)</f>
        <v/>
      </c>
      <c r="AU498">
        <f>IF(AND(J498&lt;&gt;"",'Historical Score'!$C$9&lt;&gt;""),IF(J498='Historical Score'!$C$9,1,0),0)</f>
        <v/>
      </c>
      <c r="AV498">
        <f>AR498*AS498*AQ498</f>
        <v/>
      </c>
      <c r="AW498">
        <f>AR498*AT498*AQ498</f>
        <v/>
      </c>
      <c r="AX498">
        <f>AR498*AS498</f>
        <v/>
      </c>
      <c r="AY498">
        <f>AR498*AT498</f>
        <v/>
      </c>
      <c r="AZ498">
        <f>AR498*AQ498</f>
        <v/>
      </c>
      <c r="BA498">
        <f>AR498</f>
        <v/>
      </c>
      <c r="BB498">
        <f>1</f>
        <v/>
      </c>
      <c r="BC498">
        <f>IF(AV498=1,1,IF(AW498=1,2,IF(AX498=1,3,IF(AY498=1,4,IF(AZ498=1,5,IF(BA498=1,6,7))))))</f>
        <v/>
      </c>
      <c r="BD498">
        <f>IF(AD498=1,CHOOSE('Historical Score'!$C$29,AV498,AW498,AX498,AY498,AZ498,BA498,BB498),0)</f>
        <v/>
      </c>
      <c r="BE498">
        <f>IF(BD498=1,COUNTIF($BD$2:BD498,1),"")</f>
        <v/>
      </c>
    </row>
    <row r="499">
      <c r="A499" t="inlineStr">
        <is>
          <t>5674175659</t>
        </is>
      </c>
      <c r="B499" t="inlineStr">
        <is>
          <t>Buckeye Boring LLC</t>
        </is>
      </c>
      <c r="C499" t="inlineStr">
        <is>
          <t>Buckeye Boring LLC</t>
        </is>
      </c>
      <c r="D499" t="inlineStr">
        <is>
          <t>Legal</t>
        </is>
      </c>
      <c r="E499" s="297" t="n">
        <v>46024</v>
      </c>
      <c r="F499" s="297" t="n">
        <v>46233</v>
      </c>
      <c r="G499" t="n">
        <v>2</v>
      </c>
      <c r="H499" t="inlineStr">
        <is>
          <t>3669</t>
        </is>
      </c>
      <c r="I499" t="inlineStr">
        <is>
          <t>36</t>
        </is>
      </c>
      <c r="J499" t="inlineStr">
        <is>
          <t>OH</t>
        </is>
      </c>
      <c r="K499" t="inlineStr">
        <is>
          <t>Fundwell</t>
        </is>
      </c>
      <c r="L499" t="inlineStr">
        <is>
          <t>New Deal</t>
        </is>
      </c>
      <c r="M499" s="298" t="n">
        <v>1.38</v>
      </c>
      <c r="N499" s="299" t="n">
        <v>105000</v>
      </c>
      <c r="O499" s="299" t="n">
        <v>13125</v>
      </c>
      <c r="P499" s="299" t="n">
        <v>144900</v>
      </c>
      <c r="Q499" s="299" t="n">
        <v>47400.18</v>
      </c>
      <c r="R499" s="299" t="n">
        <v>97499.82000000001</v>
      </c>
      <c r="S499" s="300" t="n">
        <v>0.327123395445135</v>
      </c>
      <c r="T499" t="n">
        <v>52</v>
      </c>
      <c r="U499" t="n">
        <v>1</v>
      </c>
      <c r="V499" t="n">
        <v>121993.68</v>
      </c>
      <c r="W499" s="300" t="n">
        <v>0.0914</v>
      </c>
      <c r="X499" s="297" t="n">
        <v>41960</v>
      </c>
      <c r="Y499">
        <f>IF(I499="","No SIC",IFERROR(VLOOKUP(I499,Ref!$A$2:$B$65,2,FALSE),"Unclassified"))</f>
        <v/>
      </c>
      <c r="Z499">
        <f>IF(T499="","",IF(T499&lt;12,"Daily","Weekly"))</f>
        <v/>
      </c>
      <c r="AA499">
        <f>IF(T499="",0,IF(T499&lt;12,T499*Controls!$B$29,T499*5))</f>
        <v/>
      </c>
      <c r="AB499">
        <f>IF(E499="",0,NETWORKDAYS(E499,Controls!$B$36,Ref!$K$2:$K$42))</f>
        <v/>
      </c>
      <c r="AC499">
        <f>IF(AND(AA499&gt;0,AB499&gt;=Controls!$B$39*AA499),1,0)</f>
        <v/>
      </c>
      <c r="AD499">
        <f>IF(AND(E499&lt;&gt;"",E499&gt;=Controls!$B$37,E499&lt;=Controls!$B$38),1,0)</f>
        <v/>
      </c>
      <c r="AE499">
        <f>IF(IFERROR(VLOOKUP(D499,Controls!$A$64:$E$74,2,FALSE),"No")="Yes",1,0)</f>
        <v/>
      </c>
      <c r="AF499">
        <f>IF(IFERROR(VLOOKUP(D499,Controls!$A$64:$E$74,3,FALSE),"No")="Yes",1,0)</f>
        <v/>
      </c>
      <c r="AG499">
        <f>IF(IFERROR(VLOOKUP(D499,Controls!$A$64:$E$74,4,FALSE),"No")="Yes",1,0)</f>
        <v/>
      </c>
      <c r="AH499">
        <f>IF(IFERROR(VLOOKUP(D499,Controls!$A$64:$E$74,5,FALSE),"No")="Yes",1,0)</f>
        <v/>
      </c>
      <c r="AI499">
        <f>IF(ISNUMBER(MATCH(D499,Controls!$A$64:$A$74,0)),1,0)</f>
        <v/>
      </c>
      <c r="AJ499">
        <f>Q499-N499</f>
        <v/>
      </c>
      <c r="AK499">
        <f>IF(AE499=1,MAX(0,N499-Q499),0)</f>
        <v/>
      </c>
      <c r="AL499">
        <f>IF(OR(V499="",V499=0),0,N499/V499)</f>
        <v/>
      </c>
      <c r="AM499">
        <f>IF(OR(V499="",V499=0),0,1)</f>
        <v/>
      </c>
      <c r="AN499">
        <f>IF(OR(E499="",F499=""),0,NETWORKDAYS(E499,F499,Ref!$K$2:$K$42))</f>
        <v/>
      </c>
      <c r="AO499">
        <f>IF(L499="Renewal",1,0)</f>
        <v/>
      </c>
      <c r="AP499">
        <f>AC499*AD499</f>
        <v/>
      </c>
      <c r="AQ499">
        <f>IF(AND(G499&lt;&gt;"",'Historical Score'!$C$6&lt;&gt;""),IF(G499='Historical Score'!$C$6,1,0),0)</f>
        <v/>
      </c>
      <c r="AR499">
        <f>IF(AND(L499&lt;&gt;"",'Historical Score'!$C$5&lt;&gt;""),IF(L499='Historical Score'!$C$5,1,0),0)</f>
        <v/>
      </c>
      <c r="AS499">
        <f>IF(AND(Y499&lt;&gt;"",'Historical Score'!$C$7&lt;&gt;""),IF(Y499='Historical Score'!$C$7,1,0),0)</f>
        <v/>
      </c>
      <c r="AT499">
        <f>IF(AND(K499&lt;&gt;"",'Historical Score'!$C$8&lt;&gt;""),IF(K499='Historical Score'!$C$8,1,0),0)</f>
        <v/>
      </c>
      <c r="AU499">
        <f>IF(AND(J499&lt;&gt;"",'Historical Score'!$C$9&lt;&gt;""),IF(J499='Historical Score'!$C$9,1,0),0)</f>
        <v/>
      </c>
      <c r="AV499">
        <f>AR499*AS499*AQ499</f>
        <v/>
      </c>
      <c r="AW499">
        <f>AR499*AT499*AQ499</f>
        <v/>
      </c>
      <c r="AX499">
        <f>AR499*AS499</f>
        <v/>
      </c>
      <c r="AY499">
        <f>AR499*AT499</f>
        <v/>
      </c>
      <c r="AZ499">
        <f>AR499*AQ499</f>
        <v/>
      </c>
      <c r="BA499">
        <f>AR499</f>
        <v/>
      </c>
      <c r="BB499">
        <f>1</f>
        <v/>
      </c>
      <c r="BC499">
        <f>IF(AV499=1,1,IF(AW499=1,2,IF(AX499=1,3,IF(AY499=1,4,IF(AZ499=1,5,IF(BA499=1,6,7))))))</f>
        <v/>
      </c>
      <c r="BD499">
        <f>IF(AD499=1,CHOOSE('Historical Score'!$C$29,AV499,AW499,AX499,AY499,AZ499,BA499,BB499),0)</f>
        <v/>
      </c>
      <c r="BE499">
        <f>IF(BD499=1,COUNTIF($BD$2:BD499,1),"")</f>
        <v/>
      </c>
    </row>
    <row r="500">
      <c r="A500" t="inlineStr">
        <is>
          <t>5674175701</t>
        </is>
      </c>
      <c r="B500" t="inlineStr">
        <is>
          <t>NEW BARI PIZZA &amp; CHICKEN</t>
        </is>
      </c>
      <c r="C500" t="inlineStr">
        <is>
          <t>NEW BARI PIZZA &amp; CHICKEN LLC</t>
        </is>
      </c>
      <c r="D500" t="inlineStr">
        <is>
          <t>In House Collection</t>
        </is>
      </c>
      <c r="E500" s="297" t="n">
        <v>46027</v>
      </c>
      <c r="F500" s="297" t="n">
        <v>46063</v>
      </c>
      <c r="G500" t="n">
        <v>2</v>
      </c>
      <c r="H500" t="inlineStr">
        <is>
          <t>5499</t>
        </is>
      </c>
      <c r="I500" t="inlineStr">
        <is>
          <t>54</t>
        </is>
      </c>
      <c r="J500" t="inlineStr">
        <is>
          <t>NJ</t>
        </is>
      </c>
      <c r="K500" t="inlineStr">
        <is>
          <t>Fundwell</t>
        </is>
      </c>
      <c r="L500" t="inlineStr">
        <is>
          <t>New Deal</t>
        </is>
      </c>
      <c r="M500" s="298" t="n">
        <v>1.49</v>
      </c>
      <c r="N500" s="299" t="n">
        <v>10000</v>
      </c>
      <c r="O500" s="299" t="n">
        <v>1400</v>
      </c>
      <c r="P500" s="299" t="n">
        <v>14900</v>
      </c>
      <c r="Q500" s="299" t="n">
        <v>744.64</v>
      </c>
      <c r="R500" s="299" t="n">
        <v>14155.36</v>
      </c>
      <c r="S500" s="300" t="n">
        <v>0.0499758389261745</v>
      </c>
      <c r="T500" t="n">
        <v>20</v>
      </c>
      <c r="U500" t="n">
        <v>12</v>
      </c>
      <c r="V500" t="n">
        <v>12588.4</v>
      </c>
      <c r="W500" s="300" t="n">
        <v>0.0914</v>
      </c>
      <c r="X500" s="297" t="n">
        <v>45508</v>
      </c>
      <c r="Y500">
        <f>IF(I500="","No SIC",IFERROR(VLOOKUP(I500,Ref!$A$2:$B$65,2,FALSE),"Unclassified"))</f>
        <v/>
      </c>
      <c r="Z500">
        <f>IF(T500="","",IF(T500&lt;12,"Daily","Weekly"))</f>
        <v/>
      </c>
      <c r="AA500">
        <f>IF(T500="",0,IF(T500&lt;12,T500*Controls!$B$29,T500*5))</f>
        <v/>
      </c>
      <c r="AB500">
        <f>IF(E500="",0,NETWORKDAYS(E500,Controls!$B$36,Ref!$K$2:$K$42))</f>
        <v/>
      </c>
      <c r="AC500">
        <f>IF(AND(AA500&gt;0,AB500&gt;=Controls!$B$39*AA500),1,0)</f>
        <v/>
      </c>
      <c r="AD500">
        <f>IF(AND(E500&lt;&gt;"",E500&gt;=Controls!$B$37,E500&lt;=Controls!$B$38),1,0)</f>
        <v/>
      </c>
      <c r="AE500">
        <f>IF(IFERROR(VLOOKUP(D500,Controls!$A$64:$E$74,2,FALSE),"No")="Yes",1,0)</f>
        <v/>
      </c>
      <c r="AF500">
        <f>IF(IFERROR(VLOOKUP(D500,Controls!$A$64:$E$74,3,FALSE),"No")="Yes",1,0)</f>
        <v/>
      </c>
      <c r="AG500">
        <f>IF(IFERROR(VLOOKUP(D500,Controls!$A$64:$E$74,4,FALSE),"No")="Yes",1,0)</f>
        <v/>
      </c>
      <c r="AH500">
        <f>IF(IFERROR(VLOOKUP(D500,Controls!$A$64:$E$74,5,FALSE),"No")="Yes",1,0)</f>
        <v/>
      </c>
      <c r="AI500">
        <f>IF(ISNUMBER(MATCH(D500,Controls!$A$64:$A$74,0)),1,0)</f>
        <v/>
      </c>
      <c r="AJ500">
        <f>Q500-N500</f>
        <v/>
      </c>
      <c r="AK500">
        <f>IF(AE500=1,MAX(0,N500-Q500),0)</f>
        <v/>
      </c>
      <c r="AL500">
        <f>IF(OR(V500="",V500=0),0,N500/V500)</f>
        <v/>
      </c>
      <c r="AM500">
        <f>IF(OR(V500="",V500=0),0,1)</f>
        <v/>
      </c>
      <c r="AN500">
        <f>IF(OR(E500="",F500=""),0,NETWORKDAYS(E500,F500,Ref!$K$2:$K$42))</f>
        <v/>
      </c>
      <c r="AO500">
        <f>IF(L500="Renewal",1,0)</f>
        <v/>
      </c>
      <c r="AP500">
        <f>AC500*AD500</f>
        <v/>
      </c>
      <c r="AQ500">
        <f>IF(AND(G500&lt;&gt;"",'Historical Score'!$C$6&lt;&gt;""),IF(G500='Historical Score'!$C$6,1,0),0)</f>
        <v/>
      </c>
      <c r="AR500">
        <f>IF(AND(L500&lt;&gt;"",'Historical Score'!$C$5&lt;&gt;""),IF(L500='Historical Score'!$C$5,1,0),0)</f>
        <v/>
      </c>
      <c r="AS500">
        <f>IF(AND(Y500&lt;&gt;"",'Historical Score'!$C$7&lt;&gt;""),IF(Y500='Historical Score'!$C$7,1,0),0)</f>
        <v/>
      </c>
      <c r="AT500">
        <f>IF(AND(K500&lt;&gt;"",'Historical Score'!$C$8&lt;&gt;""),IF(K500='Historical Score'!$C$8,1,0),0)</f>
        <v/>
      </c>
      <c r="AU500">
        <f>IF(AND(J500&lt;&gt;"",'Historical Score'!$C$9&lt;&gt;""),IF(J500='Historical Score'!$C$9,1,0),0)</f>
        <v/>
      </c>
      <c r="AV500">
        <f>AR500*AS500*AQ500</f>
        <v/>
      </c>
      <c r="AW500">
        <f>AR500*AT500*AQ500</f>
        <v/>
      </c>
      <c r="AX500">
        <f>AR500*AS500</f>
        <v/>
      </c>
      <c r="AY500">
        <f>AR500*AT500</f>
        <v/>
      </c>
      <c r="AZ500">
        <f>AR500*AQ500</f>
        <v/>
      </c>
      <c r="BA500">
        <f>AR500</f>
        <v/>
      </c>
      <c r="BB500">
        <f>1</f>
        <v/>
      </c>
      <c r="BC500">
        <f>IF(AV500=1,1,IF(AW500=1,2,IF(AX500=1,3,IF(AY500=1,4,IF(AZ500=1,5,IF(BA500=1,6,7))))))</f>
        <v/>
      </c>
      <c r="BD500">
        <f>IF(AD500=1,CHOOSE('Historical Score'!$C$29,AV500,AW500,AX500,AY500,AZ500,BA500,BB500),0)</f>
        <v/>
      </c>
      <c r="BE500">
        <f>IF(BD500=1,COUNTIF($BD$2:BD500,1),"")</f>
        <v/>
      </c>
    </row>
    <row r="501">
      <c r="A501" t="inlineStr">
        <is>
          <t>5674175738</t>
        </is>
      </c>
      <c r="B501" t="inlineStr">
        <is>
          <t>BMP TRADERS</t>
        </is>
      </c>
      <c r="C501" t="inlineStr">
        <is>
          <t>BMP Traders, LLC</t>
        </is>
      </c>
      <c r="D501" t="inlineStr">
        <is>
          <t>Closed</t>
        </is>
      </c>
      <c r="E501" s="297" t="n">
        <v>46027</v>
      </c>
      <c r="F501" s="297" t="n">
        <v>46076</v>
      </c>
      <c r="G501" t="n">
        <v>2</v>
      </c>
      <c r="H501" t="inlineStr">
        <is>
          <t>1799</t>
        </is>
      </c>
      <c r="I501" t="inlineStr">
        <is>
          <t>17</t>
        </is>
      </c>
      <c r="J501" t="inlineStr">
        <is>
          <t>WA</t>
        </is>
      </c>
      <c r="K501" t="inlineStr">
        <is>
          <t>Fundwell</t>
        </is>
      </c>
      <c r="L501" t="inlineStr">
        <is>
          <t>New Deal</t>
        </is>
      </c>
      <c r="M501" s="298" t="n">
        <v>1.15</v>
      </c>
      <c r="N501" s="299" t="n">
        <v>75000</v>
      </c>
      <c r="O501" s="299" t="n">
        <v>5250</v>
      </c>
      <c r="P501" s="299" t="n">
        <v>86250</v>
      </c>
      <c r="Q501" s="299" t="n">
        <v>86250</v>
      </c>
      <c r="R501" s="299" t="n">
        <v>0</v>
      </c>
      <c r="S501" s="300" t="n">
        <v>1</v>
      </c>
      <c r="T501" t="n">
        <v>24</v>
      </c>
      <c r="U501" t="n">
        <v>0</v>
      </c>
      <c r="V501" t="n">
        <v>114765.56</v>
      </c>
      <c r="W501" s="300" t="n">
        <v>0.1503</v>
      </c>
      <c r="X501" s="297" t="n">
        <v>44078</v>
      </c>
      <c r="Y501">
        <f>IF(I501="","No SIC",IFERROR(VLOOKUP(I501,Ref!$A$2:$B$65,2,FALSE),"Unclassified"))</f>
        <v/>
      </c>
      <c r="Z501">
        <f>IF(T501="","",IF(T501&lt;12,"Daily","Weekly"))</f>
        <v/>
      </c>
      <c r="AA501">
        <f>IF(T501="",0,IF(T501&lt;12,T501*Controls!$B$29,T501*5))</f>
        <v/>
      </c>
      <c r="AB501">
        <f>IF(E501="",0,NETWORKDAYS(E501,Controls!$B$36,Ref!$K$2:$K$42))</f>
        <v/>
      </c>
      <c r="AC501">
        <f>IF(AND(AA501&gt;0,AB501&gt;=Controls!$B$39*AA501),1,0)</f>
        <v/>
      </c>
      <c r="AD501">
        <f>IF(AND(E501&lt;&gt;"",E501&gt;=Controls!$B$37,E501&lt;=Controls!$B$38),1,0)</f>
        <v/>
      </c>
      <c r="AE501">
        <f>IF(IFERROR(VLOOKUP(D501,Controls!$A$64:$E$74,2,FALSE),"No")="Yes",1,0)</f>
        <v/>
      </c>
      <c r="AF501">
        <f>IF(IFERROR(VLOOKUP(D501,Controls!$A$64:$E$74,3,FALSE),"No")="Yes",1,0)</f>
        <v/>
      </c>
      <c r="AG501">
        <f>IF(IFERROR(VLOOKUP(D501,Controls!$A$64:$E$74,4,FALSE),"No")="Yes",1,0)</f>
        <v/>
      </c>
      <c r="AH501">
        <f>IF(IFERROR(VLOOKUP(D501,Controls!$A$64:$E$74,5,FALSE),"No")="Yes",1,0)</f>
        <v/>
      </c>
      <c r="AI501">
        <f>IF(ISNUMBER(MATCH(D501,Controls!$A$64:$A$74,0)),1,0)</f>
        <v/>
      </c>
      <c r="AJ501">
        <f>Q501-N501</f>
        <v/>
      </c>
      <c r="AK501">
        <f>IF(AE501=1,MAX(0,N501-Q501),0)</f>
        <v/>
      </c>
      <c r="AL501">
        <f>IF(OR(V501="",V501=0),0,N501/V501)</f>
        <v/>
      </c>
      <c r="AM501">
        <f>IF(OR(V501="",V501=0),0,1)</f>
        <v/>
      </c>
      <c r="AN501">
        <f>IF(OR(E501="",F501=""),0,NETWORKDAYS(E501,F501,Ref!$K$2:$K$42))</f>
        <v/>
      </c>
      <c r="AO501">
        <f>IF(L501="Renewal",1,0)</f>
        <v/>
      </c>
      <c r="AP501">
        <f>AC501*AD501</f>
        <v/>
      </c>
      <c r="AQ501">
        <f>IF(AND(G501&lt;&gt;"",'Historical Score'!$C$6&lt;&gt;""),IF(G501='Historical Score'!$C$6,1,0),0)</f>
        <v/>
      </c>
      <c r="AR501">
        <f>IF(AND(L501&lt;&gt;"",'Historical Score'!$C$5&lt;&gt;""),IF(L501='Historical Score'!$C$5,1,0),0)</f>
        <v/>
      </c>
      <c r="AS501">
        <f>IF(AND(Y501&lt;&gt;"",'Historical Score'!$C$7&lt;&gt;""),IF(Y501='Historical Score'!$C$7,1,0),0)</f>
        <v/>
      </c>
      <c r="AT501">
        <f>IF(AND(K501&lt;&gt;"",'Historical Score'!$C$8&lt;&gt;""),IF(K501='Historical Score'!$C$8,1,0),0)</f>
        <v/>
      </c>
      <c r="AU501">
        <f>IF(AND(J501&lt;&gt;"",'Historical Score'!$C$9&lt;&gt;""),IF(J501='Historical Score'!$C$9,1,0),0)</f>
        <v/>
      </c>
      <c r="AV501">
        <f>AR501*AS501*AQ501</f>
        <v/>
      </c>
      <c r="AW501">
        <f>AR501*AT501*AQ501</f>
        <v/>
      </c>
      <c r="AX501">
        <f>AR501*AS501</f>
        <v/>
      </c>
      <c r="AY501">
        <f>AR501*AT501</f>
        <v/>
      </c>
      <c r="AZ501">
        <f>AR501*AQ501</f>
        <v/>
      </c>
      <c r="BA501">
        <f>AR501</f>
        <v/>
      </c>
      <c r="BB501">
        <f>1</f>
        <v/>
      </c>
      <c r="BC501">
        <f>IF(AV501=1,1,IF(AW501=1,2,IF(AX501=1,3,IF(AY501=1,4,IF(AZ501=1,5,IF(BA501=1,6,7))))))</f>
        <v/>
      </c>
      <c r="BD501">
        <f>IF(AD501=1,CHOOSE('Historical Score'!$C$29,AV501,AW501,AX501,AY501,AZ501,BA501,BB501),0)</f>
        <v/>
      </c>
      <c r="BE501">
        <f>IF(BD501=1,COUNTIF($BD$2:BD501,1),"")</f>
        <v/>
      </c>
    </row>
    <row r="502">
      <c r="A502" t="inlineStr">
        <is>
          <t>5674175749</t>
        </is>
      </c>
      <c r="B502" t="inlineStr">
        <is>
          <t>AJ Smith Transport LLC</t>
        </is>
      </c>
      <c r="C502" t="inlineStr">
        <is>
          <t>AJ Smith Transport LLC</t>
        </is>
      </c>
      <c r="D502" t="inlineStr">
        <is>
          <t>Settlement Agreement</t>
        </is>
      </c>
      <c r="E502" s="297" t="n">
        <v>46027</v>
      </c>
      <c r="F502" s="297" t="n">
        <v>46247</v>
      </c>
      <c r="G502" t="n">
        <v>2</v>
      </c>
      <c r="H502" t="inlineStr">
        <is>
          <t>4731</t>
        </is>
      </c>
      <c r="I502" t="inlineStr">
        <is>
          <t>47</t>
        </is>
      </c>
      <c r="J502" t="inlineStr">
        <is>
          <t>OK</t>
        </is>
      </c>
      <c r="K502" t="inlineStr">
        <is>
          <t>Redline Capital</t>
        </is>
      </c>
      <c r="L502" t="inlineStr">
        <is>
          <t>New Deal</t>
        </is>
      </c>
      <c r="M502" s="298" t="n">
        <v>1.5</v>
      </c>
      <c r="N502" s="299" t="n">
        <v>5000</v>
      </c>
      <c r="O502" s="299" t="n">
        <v>700</v>
      </c>
      <c r="P502" s="299" t="n">
        <v>7500</v>
      </c>
      <c r="Q502" s="299" t="n">
        <v>2209.64</v>
      </c>
      <c r="R502" s="299" t="n">
        <v>5290.36</v>
      </c>
      <c r="S502" s="300" t="n">
        <v>0.294618666666667</v>
      </c>
      <c r="T502" t="n">
        <v>2.787</v>
      </c>
      <c r="U502" t="n">
        <v>20</v>
      </c>
      <c r="V502" t="n">
        <v>19630.42</v>
      </c>
      <c r="W502" s="300" t="n">
        <v>0.09379999999999999</v>
      </c>
      <c r="X502" s="297" t="n">
        <v>39772</v>
      </c>
      <c r="Y502">
        <f>IF(I502="","No SIC",IFERROR(VLOOKUP(I502,Ref!$A$2:$B$65,2,FALSE),"Unclassified"))</f>
        <v/>
      </c>
      <c r="Z502">
        <f>IF(T502="","",IF(T502&lt;12,"Daily","Weekly"))</f>
        <v/>
      </c>
      <c r="AA502">
        <f>IF(T502="",0,IF(T502&lt;12,T502*Controls!$B$29,T502*5))</f>
        <v/>
      </c>
      <c r="AB502">
        <f>IF(E502="",0,NETWORKDAYS(E502,Controls!$B$36,Ref!$K$2:$K$42))</f>
        <v/>
      </c>
      <c r="AC502">
        <f>IF(AND(AA502&gt;0,AB502&gt;=Controls!$B$39*AA502),1,0)</f>
        <v/>
      </c>
      <c r="AD502">
        <f>IF(AND(E502&lt;&gt;"",E502&gt;=Controls!$B$37,E502&lt;=Controls!$B$38),1,0)</f>
        <v/>
      </c>
      <c r="AE502">
        <f>IF(IFERROR(VLOOKUP(D502,Controls!$A$64:$E$74,2,FALSE),"No")="Yes",1,0)</f>
        <v/>
      </c>
      <c r="AF502">
        <f>IF(IFERROR(VLOOKUP(D502,Controls!$A$64:$E$74,3,FALSE),"No")="Yes",1,0)</f>
        <v/>
      </c>
      <c r="AG502">
        <f>IF(IFERROR(VLOOKUP(D502,Controls!$A$64:$E$74,4,FALSE),"No")="Yes",1,0)</f>
        <v/>
      </c>
      <c r="AH502">
        <f>IF(IFERROR(VLOOKUP(D502,Controls!$A$64:$E$74,5,FALSE),"No")="Yes",1,0)</f>
        <v/>
      </c>
      <c r="AI502">
        <f>IF(ISNUMBER(MATCH(D502,Controls!$A$64:$A$74,0)),1,0)</f>
        <v/>
      </c>
      <c r="AJ502">
        <f>Q502-N502</f>
        <v/>
      </c>
      <c r="AK502">
        <f>IF(AE502=1,MAX(0,N502-Q502),0)</f>
        <v/>
      </c>
      <c r="AL502">
        <f>IF(OR(V502="",V502=0),0,N502/V502)</f>
        <v/>
      </c>
      <c r="AM502">
        <f>IF(OR(V502="",V502=0),0,1)</f>
        <v/>
      </c>
      <c r="AN502">
        <f>IF(OR(E502="",F502=""),0,NETWORKDAYS(E502,F502,Ref!$K$2:$K$42))</f>
        <v/>
      </c>
      <c r="AO502">
        <f>IF(L502="Renewal",1,0)</f>
        <v/>
      </c>
      <c r="AP502">
        <f>AC502*AD502</f>
        <v/>
      </c>
      <c r="AQ502">
        <f>IF(AND(G502&lt;&gt;"",'Historical Score'!$C$6&lt;&gt;""),IF(G502='Historical Score'!$C$6,1,0),0)</f>
        <v/>
      </c>
      <c r="AR502">
        <f>IF(AND(L502&lt;&gt;"",'Historical Score'!$C$5&lt;&gt;""),IF(L502='Historical Score'!$C$5,1,0),0)</f>
        <v/>
      </c>
      <c r="AS502">
        <f>IF(AND(Y502&lt;&gt;"",'Historical Score'!$C$7&lt;&gt;""),IF(Y502='Historical Score'!$C$7,1,0),0)</f>
        <v/>
      </c>
      <c r="AT502">
        <f>IF(AND(K502&lt;&gt;"",'Historical Score'!$C$8&lt;&gt;""),IF(K502='Historical Score'!$C$8,1,0),0)</f>
        <v/>
      </c>
      <c r="AU502">
        <f>IF(AND(J502&lt;&gt;"",'Historical Score'!$C$9&lt;&gt;""),IF(J502='Historical Score'!$C$9,1,0),0)</f>
        <v/>
      </c>
      <c r="AV502">
        <f>AR502*AS502*AQ502</f>
        <v/>
      </c>
      <c r="AW502">
        <f>AR502*AT502*AQ502</f>
        <v/>
      </c>
      <c r="AX502">
        <f>AR502*AS502</f>
        <v/>
      </c>
      <c r="AY502">
        <f>AR502*AT502</f>
        <v/>
      </c>
      <c r="AZ502">
        <f>AR502*AQ502</f>
        <v/>
      </c>
      <c r="BA502">
        <f>AR502</f>
        <v/>
      </c>
      <c r="BB502">
        <f>1</f>
        <v/>
      </c>
      <c r="BC502">
        <f>IF(AV502=1,1,IF(AW502=1,2,IF(AX502=1,3,IF(AY502=1,4,IF(AZ502=1,5,IF(BA502=1,6,7))))))</f>
        <v/>
      </c>
      <c r="BD502">
        <f>IF(AD502=1,CHOOSE('Historical Score'!$C$29,AV502,AW502,AX502,AY502,AZ502,BA502,BB502),0)</f>
        <v/>
      </c>
      <c r="BE502">
        <f>IF(BD502=1,COUNTIF($BD$2:BD502,1),"")</f>
        <v/>
      </c>
    </row>
    <row r="503">
      <c r="A503" t="inlineStr">
        <is>
          <t>5674175773</t>
        </is>
      </c>
      <c r="B503" t="inlineStr">
        <is>
          <t>Yogurtland sendero</t>
        </is>
      </c>
      <c r="C503" t="inlineStr">
        <is>
          <t>Flavorlust llc</t>
        </is>
      </c>
      <c r="D503" t="inlineStr">
        <is>
          <t>Closed</t>
        </is>
      </c>
      <c r="E503" s="297" t="n">
        <v>46028</v>
      </c>
      <c r="F503" s="297" t="n">
        <v>46190</v>
      </c>
      <c r="G503" t="n">
        <v>2</v>
      </c>
      <c r="H503" t="inlineStr">
        <is>
          <t>5812</t>
        </is>
      </c>
      <c r="I503" t="inlineStr">
        <is>
          <t>58</t>
        </is>
      </c>
      <c r="J503" t="inlineStr">
        <is>
          <t>CA</t>
        </is>
      </c>
      <c r="K503" t="inlineStr">
        <is>
          <t>Simply capital source inc</t>
        </is>
      </c>
      <c r="L503" t="inlineStr">
        <is>
          <t>New Deal</t>
        </is>
      </c>
      <c r="M503" s="298" t="n">
        <v>1.4</v>
      </c>
      <c r="N503" s="299" t="n">
        <v>30000</v>
      </c>
      <c r="O503" s="299" t="n">
        <v>2850</v>
      </c>
      <c r="P503" s="299" t="n">
        <v>42000</v>
      </c>
      <c r="Q503" s="299" t="n">
        <v>42000</v>
      </c>
      <c r="R503" s="299" t="n">
        <v>0</v>
      </c>
      <c r="S503" s="300" t="n">
        <v>1</v>
      </c>
      <c r="T503" t="n">
        <v>30</v>
      </c>
      <c r="U503" t="n">
        <v>0</v>
      </c>
      <c r="V503" t="n">
        <v>40732.29</v>
      </c>
      <c r="W503" s="300" t="n">
        <v>0.1375</v>
      </c>
      <c r="X503" s="297" t="n">
        <v>43137</v>
      </c>
      <c r="Y503">
        <f>IF(I503="","No SIC",IFERROR(VLOOKUP(I503,Ref!$A$2:$B$65,2,FALSE),"Unclassified"))</f>
        <v/>
      </c>
      <c r="Z503">
        <f>IF(T503="","",IF(T503&lt;12,"Daily","Weekly"))</f>
        <v/>
      </c>
      <c r="AA503">
        <f>IF(T503="",0,IF(T503&lt;12,T503*Controls!$B$29,T503*5))</f>
        <v/>
      </c>
      <c r="AB503">
        <f>IF(E503="",0,NETWORKDAYS(E503,Controls!$B$36,Ref!$K$2:$K$42))</f>
        <v/>
      </c>
      <c r="AC503">
        <f>IF(AND(AA503&gt;0,AB503&gt;=Controls!$B$39*AA503),1,0)</f>
        <v/>
      </c>
      <c r="AD503">
        <f>IF(AND(E503&lt;&gt;"",E503&gt;=Controls!$B$37,E503&lt;=Controls!$B$38),1,0)</f>
        <v/>
      </c>
      <c r="AE503">
        <f>IF(IFERROR(VLOOKUP(D503,Controls!$A$64:$E$74,2,FALSE),"No")="Yes",1,0)</f>
        <v/>
      </c>
      <c r="AF503">
        <f>IF(IFERROR(VLOOKUP(D503,Controls!$A$64:$E$74,3,FALSE),"No")="Yes",1,0)</f>
        <v/>
      </c>
      <c r="AG503">
        <f>IF(IFERROR(VLOOKUP(D503,Controls!$A$64:$E$74,4,FALSE),"No")="Yes",1,0)</f>
        <v/>
      </c>
      <c r="AH503">
        <f>IF(IFERROR(VLOOKUP(D503,Controls!$A$64:$E$74,5,FALSE),"No")="Yes",1,0)</f>
        <v/>
      </c>
      <c r="AI503">
        <f>IF(ISNUMBER(MATCH(D503,Controls!$A$64:$A$74,0)),1,0)</f>
        <v/>
      </c>
      <c r="AJ503">
        <f>Q503-N503</f>
        <v/>
      </c>
      <c r="AK503">
        <f>IF(AE503=1,MAX(0,N503-Q503),0)</f>
        <v/>
      </c>
      <c r="AL503">
        <f>IF(OR(V503="",V503=0),0,N503/V503)</f>
        <v/>
      </c>
      <c r="AM503">
        <f>IF(OR(V503="",V503=0),0,1)</f>
        <v/>
      </c>
      <c r="AN503">
        <f>IF(OR(E503="",F503=""),0,NETWORKDAYS(E503,F503,Ref!$K$2:$K$42))</f>
        <v/>
      </c>
      <c r="AO503">
        <f>IF(L503="Renewal",1,0)</f>
        <v/>
      </c>
      <c r="AP503">
        <f>AC503*AD503</f>
        <v/>
      </c>
      <c r="AQ503">
        <f>IF(AND(G503&lt;&gt;"",'Historical Score'!$C$6&lt;&gt;""),IF(G503='Historical Score'!$C$6,1,0),0)</f>
        <v/>
      </c>
      <c r="AR503">
        <f>IF(AND(L503&lt;&gt;"",'Historical Score'!$C$5&lt;&gt;""),IF(L503='Historical Score'!$C$5,1,0),0)</f>
        <v/>
      </c>
      <c r="AS503">
        <f>IF(AND(Y503&lt;&gt;"",'Historical Score'!$C$7&lt;&gt;""),IF(Y503='Historical Score'!$C$7,1,0),0)</f>
        <v/>
      </c>
      <c r="AT503">
        <f>IF(AND(K503&lt;&gt;"",'Historical Score'!$C$8&lt;&gt;""),IF(K503='Historical Score'!$C$8,1,0),0)</f>
        <v/>
      </c>
      <c r="AU503">
        <f>IF(AND(J503&lt;&gt;"",'Historical Score'!$C$9&lt;&gt;""),IF(J503='Historical Score'!$C$9,1,0),0)</f>
        <v/>
      </c>
      <c r="AV503">
        <f>AR503*AS503*AQ503</f>
        <v/>
      </c>
      <c r="AW503">
        <f>AR503*AT503*AQ503</f>
        <v/>
      </c>
      <c r="AX503">
        <f>AR503*AS503</f>
        <v/>
      </c>
      <c r="AY503">
        <f>AR503*AT503</f>
        <v/>
      </c>
      <c r="AZ503">
        <f>AR503*AQ503</f>
        <v/>
      </c>
      <c r="BA503">
        <f>AR503</f>
        <v/>
      </c>
      <c r="BB503">
        <f>1</f>
        <v/>
      </c>
      <c r="BC503">
        <f>IF(AV503=1,1,IF(AW503=1,2,IF(AX503=1,3,IF(AY503=1,4,IF(AZ503=1,5,IF(BA503=1,6,7))))))</f>
        <v/>
      </c>
      <c r="BD503">
        <f>IF(AD503=1,CHOOSE('Historical Score'!$C$29,AV503,AW503,AX503,AY503,AZ503,BA503,BB503),0)</f>
        <v/>
      </c>
      <c r="BE503">
        <f>IF(BD503=1,COUNTIF($BD$2:BD503,1),"")</f>
        <v/>
      </c>
    </row>
    <row r="504">
      <c r="A504" t="inlineStr">
        <is>
          <t>5674175779</t>
        </is>
      </c>
      <c r="B504" t="inlineStr">
        <is>
          <t>Cuevas Heating &amp; Air LLC</t>
        </is>
      </c>
      <c r="C504" t="inlineStr">
        <is>
          <t>Cuevas Heating &amp; Air LLC</t>
        </is>
      </c>
      <c r="D504" t="inlineStr">
        <is>
          <t>Settlement Agreement</t>
        </is>
      </c>
      <c r="E504" s="297" t="n">
        <v>46028</v>
      </c>
      <c r="F504" s="297" t="n">
        <v>46248</v>
      </c>
      <c r="G504" t="n">
        <v>3</v>
      </c>
      <c r="H504" t="inlineStr">
        <is>
          <t>3433</t>
        </is>
      </c>
      <c r="I504" t="inlineStr">
        <is>
          <t>34</t>
        </is>
      </c>
      <c r="J504" t="inlineStr">
        <is>
          <t>GA</t>
        </is>
      </c>
      <c r="K504" t="inlineStr">
        <is>
          <t>Ballicci</t>
        </is>
      </c>
      <c r="L504" t="inlineStr">
        <is>
          <t>New Deal</t>
        </is>
      </c>
      <c r="M504" s="298" t="n">
        <v>1.49</v>
      </c>
      <c r="N504" s="299" t="n">
        <v>15000</v>
      </c>
      <c r="O504" s="299" t="n">
        <v>2100</v>
      </c>
      <c r="P504" s="299" t="n">
        <v>22350</v>
      </c>
      <c r="Q504" s="299" t="n">
        <v>11927.01</v>
      </c>
      <c r="R504" s="299" t="n">
        <v>10422.99</v>
      </c>
      <c r="S504" s="300" t="n">
        <v>0.533646979865772</v>
      </c>
      <c r="T504" t="n">
        <v>3.279</v>
      </c>
      <c r="U504" t="n">
        <v>6</v>
      </c>
      <c r="V504" t="n">
        <v>41458.49</v>
      </c>
      <c r="W504" s="300" t="n">
        <v>0.1132</v>
      </c>
      <c r="X504" s="297" t="n"/>
      <c r="Y504">
        <f>IF(I504="","No SIC",IFERROR(VLOOKUP(I504,Ref!$A$2:$B$65,2,FALSE),"Unclassified"))</f>
        <v/>
      </c>
      <c r="Z504">
        <f>IF(T504="","",IF(T504&lt;12,"Daily","Weekly"))</f>
        <v/>
      </c>
      <c r="AA504">
        <f>IF(T504="",0,IF(T504&lt;12,T504*Controls!$B$29,T504*5))</f>
        <v/>
      </c>
      <c r="AB504">
        <f>IF(E504="",0,NETWORKDAYS(E504,Controls!$B$36,Ref!$K$2:$K$42))</f>
        <v/>
      </c>
      <c r="AC504">
        <f>IF(AND(AA504&gt;0,AB504&gt;=Controls!$B$39*AA504),1,0)</f>
        <v/>
      </c>
      <c r="AD504">
        <f>IF(AND(E504&lt;&gt;"",E504&gt;=Controls!$B$37,E504&lt;=Controls!$B$38),1,0)</f>
        <v/>
      </c>
      <c r="AE504">
        <f>IF(IFERROR(VLOOKUP(D504,Controls!$A$64:$E$74,2,FALSE),"No")="Yes",1,0)</f>
        <v/>
      </c>
      <c r="AF504">
        <f>IF(IFERROR(VLOOKUP(D504,Controls!$A$64:$E$74,3,FALSE),"No")="Yes",1,0)</f>
        <v/>
      </c>
      <c r="AG504">
        <f>IF(IFERROR(VLOOKUP(D504,Controls!$A$64:$E$74,4,FALSE),"No")="Yes",1,0)</f>
        <v/>
      </c>
      <c r="AH504">
        <f>IF(IFERROR(VLOOKUP(D504,Controls!$A$64:$E$74,5,FALSE),"No")="Yes",1,0)</f>
        <v/>
      </c>
      <c r="AI504">
        <f>IF(ISNUMBER(MATCH(D504,Controls!$A$64:$A$74,0)),1,0)</f>
        <v/>
      </c>
      <c r="AJ504">
        <f>Q504-N504</f>
        <v/>
      </c>
      <c r="AK504">
        <f>IF(AE504=1,MAX(0,N504-Q504),0)</f>
        <v/>
      </c>
      <c r="AL504">
        <f>IF(OR(V504="",V504=0),0,N504/V504)</f>
        <v/>
      </c>
      <c r="AM504">
        <f>IF(OR(V504="",V504=0),0,1)</f>
        <v/>
      </c>
      <c r="AN504">
        <f>IF(OR(E504="",F504=""),0,NETWORKDAYS(E504,F504,Ref!$K$2:$K$42))</f>
        <v/>
      </c>
      <c r="AO504">
        <f>IF(L504="Renewal",1,0)</f>
        <v/>
      </c>
      <c r="AP504">
        <f>AC504*AD504</f>
        <v/>
      </c>
      <c r="AQ504">
        <f>IF(AND(G504&lt;&gt;"",'Historical Score'!$C$6&lt;&gt;""),IF(G504='Historical Score'!$C$6,1,0),0)</f>
        <v/>
      </c>
      <c r="AR504">
        <f>IF(AND(L504&lt;&gt;"",'Historical Score'!$C$5&lt;&gt;""),IF(L504='Historical Score'!$C$5,1,0),0)</f>
        <v/>
      </c>
      <c r="AS504">
        <f>IF(AND(Y504&lt;&gt;"",'Historical Score'!$C$7&lt;&gt;""),IF(Y504='Historical Score'!$C$7,1,0),0)</f>
        <v/>
      </c>
      <c r="AT504">
        <f>IF(AND(K504&lt;&gt;"",'Historical Score'!$C$8&lt;&gt;""),IF(K504='Historical Score'!$C$8,1,0),0)</f>
        <v/>
      </c>
      <c r="AU504">
        <f>IF(AND(J504&lt;&gt;"",'Historical Score'!$C$9&lt;&gt;""),IF(J504='Historical Score'!$C$9,1,0),0)</f>
        <v/>
      </c>
      <c r="AV504">
        <f>AR504*AS504*AQ504</f>
        <v/>
      </c>
      <c r="AW504">
        <f>AR504*AT504*AQ504</f>
        <v/>
      </c>
      <c r="AX504">
        <f>AR504*AS504</f>
        <v/>
      </c>
      <c r="AY504">
        <f>AR504*AT504</f>
        <v/>
      </c>
      <c r="AZ504">
        <f>AR504*AQ504</f>
        <v/>
      </c>
      <c r="BA504">
        <f>AR504</f>
        <v/>
      </c>
      <c r="BB504">
        <f>1</f>
        <v/>
      </c>
      <c r="BC504">
        <f>IF(AV504=1,1,IF(AW504=1,2,IF(AX504=1,3,IF(AY504=1,4,IF(AZ504=1,5,IF(BA504=1,6,7))))))</f>
        <v/>
      </c>
      <c r="BD504">
        <f>IF(AD504=1,CHOOSE('Historical Score'!$C$29,AV504,AW504,AX504,AY504,AZ504,BA504,BB504),0)</f>
        <v/>
      </c>
      <c r="BE504">
        <f>IF(BD504=1,COUNTIF($BD$2:BD504,1),"")</f>
        <v/>
      </c>
    </row>
    <row r="505">
      <c r="A505" t="inlineStr">
        <is>
          <t>5674175819</t>
        </is>
      </c>
      <c r="B505" t="inlineStr">
        <is>
          <t>JABC SERVICES GROUP LLC</t>
        </is>
      </c>
      <c r="C505" t="inlineStr">
        <is>
          <t>JABC SERVICES GROUP LLC</t>
        </is>
      </c>
      <c r="D505" t="inlineStr">
        <is>
          <t>In House Collection</t>
        </is>
      </c>
      <c r="E505" s="297" t="n">
        <v>46028</v>
      </c>
      <c r="F505" s="297" t="n">
        <v>46057</v>
      </c>
      <c r="G505" t="n">
        <v>3</v>
      </c>
      <c r="H505" t="inlineStr">
        <is>
          <t>1799</t>
        </is>
      </c>
      <c r="I505" t="inlineStr">
        <is>
          <t>17</t>
        </is>
      </c>
      <c r="J505" t="inlineStr">
        <is>
          <t>AZ</t>
        </is>
      </c>
      <c r="K505" t="inlineStr">
        <is>
          <t>level 3 funding</t>
        </is>
      </c>
      <c r="L505" t="inlineStr">
        <is>
          <t>New Deal</t>
        </is>
      </c>
      <c r="M505" s="298" t="n">
        <v>1.499</v>
      </c>
      <c r="N505" s="299" t="n">
        <v>5000</v>
      </c>
      <c r="O505" s="299" t="n">
        <v>700</v>
      </c>
      <c r="P505" s="299" t="n">
        <v>7495</v>
      </c>
      <c r="Q505" s="299" t="n">
        <v>1488.52</v>
      </c>
      <c r="R505" s="299" t="n">
        <v>6006.48</v>
      </c>
      <c r="S505" s="300" t="n">
        <v>0.19860173448966</v>
      </c>
      <c r="T505" t="n">
        <v>2.787</v>
      </c>
      <c r="U505" t="n">
        <v>4</v>
      </c>
      <c r="V505" t="n">
        <v>29049.92</v>
      </c>
      <c r="W505" s="300" t="n">
        <v>0.0633</v>
      </c>
      <c r="X505" s="297" t="n">
        <v>43731</v>
      </c>
      <c r="Y505">
        <f>IF(I505="","No SIC",IFERROR(VLOOKUP(I505,Ref!$A$2:$B$65,2,FALSE),"Unclassified"))</f>
        <v/>
      </c>
      <c r="Z505">
        <f>IF(T505="","",IF(T505&lt;12,"Daily","Weekly"))</f>
        <v/>
      </c>
      <c r="AA505">
        <f>IF(T505="",0,IF(T505&lt;12,T505*Controls!$B$29,T505*5))</f>
        <v/>
      </c>
      <c r="AB505">
        <f>IF(E505="",0,NETWORKDAYS(E505,Controls!$B$36,Ref!$K$2:$K$42))</f>
        <v/>
      </c>
      <c r="AC505">
        <f>IF(AND(AA505&gt;0,AB505&gt;=Controls!$B$39*AA505),1,0)</f>
        <v/>
      </c>
      <c r="AD505">
        <f>IF(AND(E505&lt;&gt;"",E505&gt;=Controls!$B$37,E505&lt;=Controls!$B$38),1,0)</f>
        <v/>
      </c>
      <c r="AE505">
        <f>IF(IFERROR(VLOOKUP(D505,Controls!$A$64:$E$74,2,FALSE),"No")="Yes",1,0)</f>
        <v/>
      </c>
      <c r="AF505">
        <f>IF(IFERROR(VLOOKUP(D505,Controls!$A$64:$E$74,3,FALSE),"No")="Yes",1,0)</f>
        <v/>
      </c>
      <c r="AG505">
        <f>IF(IFERROR(VLOOKUP(D505,Controls!$A$64:$E$74,4,FALSE),"No")="Yes",1,0)</f>
        <v/>
      </c>
      <c r="AH505">
        <f>IF(IFERROR(VLOOKUP(D505,Controls!$A$64:$E$74,5,FALSE),"No")="Yes",1,0)</f>
        <v/>
      </c>
      <c r="AI505">
        <f>IF(ISNUMBER(MATCH(D505,Controls!$A$64:$A$74,0)),1,0)</f>
        <v/>
      </c>
      <c r="AJ505">
        <f>Q505-N505</f>
        <v/>
      </c>
      <c r="AK505">
        <f>IF(AE505=1,MAX(0,N505-Q505),0)</f>
        <v/>
      </c>
      <c r="AL505">
        <f>IF(OR(V505="",V505=0),0,N505/V505)</f>
        <v/>
      </c>
      <c r="AM505">
        <f>IF(OR(V505="",V505=0),0,1)</f>
        <v/>
      </c>
      <c r="AN505">
        <f>IF(OR(E505="",F505=""),0,NETWORKDAYS(E505,F505,Ref!$K$2:$K$42))</f>
        <v/>
      </c>
      <c r="AO505">
        <f>IF(L505="Renewal",1,0)</f>
        <v/>
      </c>
      <c r="AP505">
        <f>AC505*AD505</f>
        <v/>
      </c>
      <c r="AQ505">
        <f>IF(AND(G505&lt;&gt;"",'Historical Score'!$C$6&lt;&gt;""),IF(G505='Historical Score'!$C$6,1,0),0)</f>
        <v/>
      </c>
      <c r="AR505">
        <f>IF(AND(L505&lt;&gt;"",'Historical Score'!$C$5&lt;&gt;""),IF(L505='Historical Score'!$C$5,1,0),0)</f>
        <v/>
      </c>
      <c r="AS505">
        <f>IF(AND(Y505&lt;&gt;"",'Historical Score'!$C$7&lt;&gt;""),IF(Y505='Historical Score'!$C$7,1,0),0)</f>
        <v/>
      </c>
      <c r="AT505">
        <f>IF(AND(K505&lt;&gt;"",'Historical Score'!$C$8&lt;&gt;""),IF(K505='Historical Score'!$C$8,1,0),0)</f>
        <v/>
      </c>
      <c r="AU505">
        <f>IF(AND(J505&lt;&gt;"",'Historical Score'!$C$9&lt;&gt;""),IF(J505='Historical Score'!$C$9,1,0),0)</f>
        <v/>
      </c>
      <c r="AV505">
        <f>AR505*AS505*AQ505</f>
        <v/>
      </c>
      <c r="AW505">
        <f>AR505*AT505*AQ505</f>
        <v/>
      </c>
      <c r="AX505">
        <f>AR505*AS505</f>
        <v/>
      </c>
      <c r="AY505">
        <f>AR505*AT505</f>
        <v/>
      </c>
      <c r="AZ505">
        <f>AR505*AQ505</f>
        <v/>
      </c>
      <c r="BA505">
        <f>AR505</f>
        <v/>
      </c>
      <c r="BB505">
        <f>1</f>
        <v/>
      </c>
      <c r="BC505">
        <f>IF(AV505=1,1,IF(AW505=1,2,IF(AX505=1,3,IF(AY505=1,4,IF(AZ505=1,5,IF(BA505=1,6,7))))))</f>
        <v/>
      </c>
      <c r="BD505">
        <f>IF(AD505=1,CHOOSE('Historical Score'!$C$29,AV505,AW505,AX505,AY505,AZ505,BA505,BB505),0)</f>
        <v/>
      </c>
      <c r="BE505">
        <f>IF(BD505=1,COUNTIF($BD$2:BD505,1),"")</f>
        <v/>
      </c>
    </row>
    <row r="506">
      <c r="A506" t="inlineStr">
        <is>
          <t>5674175833</t>
        </is>
      </c>
      <c r="B506" t="inlineStr">
        <is>
          <t>TOP TO BOTTOM INC</t>
        </is>
      </c>
      <c r="C506" t="inlineStr">
        <is>
          <t>TOP TO BOTTOM INC</t>
        </is>
      </c>
      <c r="D506" t="inlineStr">
        <is>
          <t>Bankruptcy</t>
        </is>
      </c>
      <c r="E506" s="297" t="n">
        <v>46028</v>
      </c>
      <c r="F506" s="297" t="n">
        <v>46106</v>
      </c>
      <c r="G506" t="n">
        <v>3</v>
      </c>
      <c r="H506" t="inlineStr">
        <is>
          <t>1521</t>
        </is>
      </c>
      <c r="I506" t="inlineStr">
        <is>
          <t>15</t>
        </is>
      </c>
      <c r="J506" t="inlineStr">
        <is>
          <t>GA</t>
        </is>
      </c>
      <c r="K506" t="inlineStr">
        <is>
          <t>Ballicci</t>
        </is>
      </c>
      <c r="L506" t="inlineStr">
        <is>
          <t>New Deal</t>
        </is>
      </c>
      <c r="M506" s="298" t="n">
        <v>1.49</v>
      </c>
      <c r="N506" s="299" t="n">
        <v>10000</v>
      </c>
      <c r="O506" s="299" t="n">
        <v>1400</v>
      </c>
      <c r="P506" s="299" t="n">
        <v>14900</v>
      </c>
      <c r="Q506" s="299" t="n">
        <v>3642.54</v>
      </c>
      <c r="R506" s="299" t="n">
        <v>11257.46</v>
      </c>
      <c r="S506" s="300" t="n">
        <v>0.244465771812081</v>
      </c>
      <c r="T506" t="n">
        <v>2.951</v>
      </c>
      <c r="U506" t="n">
        <v>23</v>
      </c>
      <c r="V506" t="n">
        <v>25850.74</v>
      </c>
      <c r="W506" s="300" t="n">
        <v>0.1345</v>
      </c>
      <c r="X506" s="297" t="n">
        <v>36434</v>
      </c>
      <c r="Y506">
        <f>IF(I506="","No SIC",IFERROR(VLOOKUP(I506,Ref!$A$2:$B$65,2,FALSE),"Unclassified"))</f>
        <v/>
      </c>
      <c r="Z506">
        <f>IF(T506="","",IF(T506&lt;12,"Daily","Weekly"))</f>
        <v/>
      </c>
      <c r="AA506">
        <f>IF(T506="",0,IF(T506&lt;12,T506*Controls!$B$29,T506*5))</f>
        <v/>
      </c>
      <c r="AB506">
        <f>IF(E506="",0,NETWORKDAYS(E506,Controls!$B$36,Ref!$K$2:$K$42))</f>
        <v/>
      </c>
      <c r="AC506">
        <f>IF(AND(AA506&gt;0,AB506&gt;=Controls!$B$39*AA506),1,0)</f>
        <v/>
      </c>
      <c r="AD506">
        <f>IF(AND(E506&lt;&gt;"",E506&gt;=Controls!$B$37,E506&lt;=Controls!$B$38),1,0)</f>
        <v/>
      </c>
      <c r="AE506">
        <f>IF(IFERROR(VLOOKUP(D506,Controls!$A$64:$E$74,2,FALSE),"No")="Yes",1,0)</f>
        <v/>
      </c>
      <c r="AF506">
        <f>IF(IFERROR(VLOOKUP(D506,Controls!$A$64:$E$74,3,FALSE),"No")="Yes",1,0)</f>
        <v/>
      </c>
      <c r="AG506">
        <f>IF(IFERROR(VLOOKUP(D506,Controls!$A$64:$E$74,4,FALSE),"No")="Yes",1,0)</f>
        <v/>
      </c>
      <c r="AH506">
        <f>IF(IFERROR(VLOOKUP(D506,Controls!$A$64:$E$74,5,FALSE),"No")="Yes",1,0)</f>
        <v/>
      </c>
      <c r="AI506">
        <f>IF(ISNUMBER(MATCH(D506,Controls!$A$64:$A$74,0)),1,0)</f>
        <v/>
      </c>
      <c r="AJ506">
        <f>Q506-N506</f>
        <v/>
      </c>
      <c r="AK506">
        <f>IF(AE506=1,MAX(0,N506-Q506),0)</f>
        <v/>
      </c>
      <c r="AL506">
        <f>IF(OR(V506="",V506=0),0,N506/V506)</f>
        <v/>
      </c>
      <c r="AM506">
        <f>IF(OR(V506="",V506=0),0,1)</f>
        <v/>
      </c>
      <c r="AN506">
        <f>IF(OR(E506="",F506=""),0,NETWORKDAYS(E506,F506,Ref!$K$2:$K$42))</f>
        <v/>
      </c>
      <c r="AO506">
        <f>IF(L506="Renewal",1,0)</f>
        <v/>
      </c>
      <c r="AP506">
        <f>AC506*AD506</f>
        <v/>
      </c>
      <c r="AQ506">
        <f>IF(AND(G506&lt;&gt;"",'Historical Score'!$C$6&lt;&gt;""),IF(G506='Historical Score'!$C$6,1,0),0)</f>
        <v/>
      </c>
      <c r="AR506">
        <f>IF(AND(L506&lt;&gt;"",'Historical Score'!$C$5&lt;&gt;""),IF(L506='Historical Score'!$C$5,1,0),0)</f>
        <v/>
      </c>
      <c r="AS506">
        <f>IF(AND(Y506&lt;&gt;"",'Historical Score'!$C$7&lt;&gt;""),IF(Y506='Historical Score'!$C$7,1,0),0)</f>
        <v/>
      </c>
      <c r="AT506">
        <f>IF(AND(K506&lt;&gt;"",'Historical Score'!$C$8&lt;&gt;""),IF(K506='Historical Score'!$C$8,1,0),0)</f>
        <v/>
      </c>
      <c r="AU506">
        <f>IF(AND(J506&lt;&gt;"",'Historical Score'!$C$9&lt;&gt;""),IF(J506='Historical Score'!$C$9,1,0),0)</f>
        <v/>
      </c>
      <c r="AV506">
        <f>AR506*AS506*AQ506</f>
        <v/>
      </c>
      <c r="AW506">
        <f>AR506*AT506*AQ506</f>
        <v/>
      </c>
      <c r="AX506">
        <f>AR506*AS506</f>
        <v/>
      </c>
      <c r="AY506">
        <f>AR506*AT506</f>
        <v/>
      </c>
      <c r="AZ506">
        <f>AR506*AQ506</f>
        <v/>
      </c>
      <c r="BA506">
        <f>AR506</f>
        <v/>
      </c>
      <c r="BB506">
        <f>1</f>
        <v/>
      </c>
      <c r="BC506">
        <f>IF(AV506=1,1,IF(AW506=1,2,IF(AX506=1,3,IF(AY506=1,4,IF(AZ506=1,5,IF(BA506=1,6,7))))))</f>
        <v/>
      </c>
      <c r="BD506">
        <f>IF(AD506=1,CHOOSE('Historical Score'!$C$29,AV506,AW506,AX506,AY506,AZ506,BA506,BB506),0)</f>
        <v/>
      </c>
      <c r="BE506">
        <f>IF(BD506=1,COUNTIF($BD$2:BD506,1),"")</f>
        <v/>
      </c>
    </row>
    <row r="507">
      <c r="A507" t="inlineStr">
        <is>
          <t>5674175850</t>
        </is>
      </c>
      <c r="B507" t="inlineStr">
        <is>
          <t>GenZy Clothing</t>
        </is>
      </c>
      <c r="C507" t="inlineStr">
        <is>
          <t>GENZ FASHION LLC</t>
        </is>
      </c>
      <c r="D507" t="inlineStr">
        <is>
          <t>Closed</t>
        </is>
      </c>
      <c r="E507" s="297" t="n">
        <v>46028</v>
      </c>
      <c r="F507" s="297" t="n">
        <v>46210</v>
      </c>
      <c r="G507" t="n">
        <v>3</v>
      </c>
      <c r="H507" t="inlineStr">
        <is>
          <t>5999</t>
        </is>
      </c>
      <c r="I507" t="inlineStr">
        <is>
          <t>59</t>
        </is>
      </c>
      <c r="J507" t="inlineStr">
        <is>
          <t>CA</t>
        </is>
      </c>
      <c r="K507" t="inlineStr">
        <is>
          <t>Fundwell</t>
        </is>
      </c>
      <c r="L507" t="inlineStr">
        <is>
          <t>New Deal</t>
        </is>
      </c>
      <c r="M507" s="298" t="n">
        <v>1.42</v>
      </c>
      <c r="N507" s="299" t="n">
        <v>30000</v>
      </c>
      <c r="O507" s="299" t="n">
        <v>4350</v>
      </c>
      <c r="P507" s="299" t="n">
        <v>42600</v>
      </c>
      <c r="Q507" s="299" t="n">
        <v>42600</v>
      </c>
      <c r="R507" s="299" t="n">
        <v>0</v>
      </c>
      <c r="S507" s="300" t="n">
        <v>1</v>
      </c>
      <c r="T507" t="n">
        <v>26</v>
      </c>
      <c r="U507" t="n">
        <v>1</v>
      </c>
      <c r="V507" t="n">
        <v>48511.36</v>
      </c>
      <c r="W507" s="300" t="n">
        <v>0.1351</v>
      </c>
      <c r="X507" s="297" t="n">
        <v>45538</v>
      </c>
      <c r="Y507">
        <f>IF(I507="","No SIC",IFERROR(VLOOKUP(I507,Ref!$A$2:$B$65,2,FALSE),"Unclassified"))</f>
        <v/>
      </c>
      <c r="Z507">
        <f>IF(T507="","",IF(T507&lt;12,"Daily","Weekly"))</f>
        <v/>
      </c>
      <c r="AA507">
        <f>IF(T507="",0,IF(T507&lt;12,T507*Controls!$B$29,T507*5))</f>
        <v/>
      </c>
      <c r="AB507">
        <f>IF(E507="",0,NETWORKDAYS(E507,Controls!$B$36,Ref!$K$2:$K$42))</f>
        <v/>
      </c>
      <c r="AC507">
        <f>IF(AND(AA507&gt;0,AB507&gt;=Controls!$B$39*AA507),1,0)</f>
        <v/>
      </c>
      <c r="AD507">
        <f>IF(AND(E507&lt;&gt;"",E507&gt;=Controls!$B$37,E507&lt;=Controls!$B$38),1,0)</f>
        <v/>
      </c>
      <c r="AE507">
        <f>IF(IFERROR(VLOOKUP(D507,Controls!$A$64:$E$74,2,FALSE),"No")="Yes",1,0)</f>
        <v/>
      </c>
      <c r="AF507">
        <f>IF(IFERROR(VLOOKUP(D507,Controls!$A$64:$E$74,3,FALSE),"No")="Yes",1,0)</f>
        <v/>
      </c>
      <c r="AG507">
        <f>IF(IFERROR(VLOOKUP(D507,Controls!$A$64:$E$74,4,FALSE),"No")="Yes",1,0)</f>
        <v/>
      </c>
      <c r="AH507">
        <f>IF(IFERROR(VLOOKUP(D507,Controls!$A$64:$E$74,5,FALSE),"No")="Yes",1,0)</f>
        <v/>
      </c>
      <c r="AI507">
        <f>IF(ISNUMBER(MATCH(D507,Controls!$A$64:$A$74,0)),1,0)</f>
        <v/>
      </c>
      <c r="AJ507">
        <f>Q507-N507</f>
        <v/>
      </c>
      <c r="AK507">
        <f>IF(AE507=1,MAX(0,N507-Q507),0)</f>
        <v/>
      </c>
      <c r="AL507">
        <f>IF(OR(V507="",V507=0),0,N507/V507)</f>
        <v/>
      </c>
      <c r="AM507">
        <f>IF(OR(V507="",V507=0),0,1)</f>
        <v/>
      </c>
      <c r="AN507">
        <f>IF(OR(E507="",F507=""),0,NETWORKDAYS(E507,F507,Ref!$K$2:$K$42))</f>
        <v/>
      </c>
      <c r="AO507">
        <f>IF(L507="Renewal",1,0)</f>
        <v/>
      </c>
      <c r="AP507">
        <f>AC507*AD507</f>
        <v/>
      </c>
      <c r="AQ507">
        <f>IF(AND(G507&lt;&gt;"",'Historical Score'!$C$6&lt;&gt;""),IF(G507='Historical Score'!$C$6,1,0),0)</f>
        <v/>
      </c>
      <c r="AR507">
        <f>IF(AND(L507&lt;&gt;"",'Historical Score'!$C$5&lt;&gt;""),IF(L507='Historical Score'!$C$5,1,0),0)</f>
        <v/>
      </c>
      <c r="AS507">
        <f>IF(AND(Y507&lt;&gt;"",'Historical Score'!$C$7&lt;&gt;""),IF(Y507='Historical Score'!$C$7,1,0),0)</f>
        <v/>
      </c>
      <c r="AT507">
        <f>IF(AND(K507&lt;&gt;"",'Historical Score'!$C$8&lt;&gt;""),IF(K507='Historical Score'!$C$8,1,0),0)</f>
        <v/>
      </c>
      <c r="AU507">
        <f>IF(AND(J507&lt;&gt;"",'Historical Score'!$C$9&lt;&gt;""),IF(J507='Historical Score'!$C$9,1,0),0)</f>
        <v/>
      </c>
      <c r="AV507">
        <f>AR507*AS507*AQ507</f>
        <v/>
      </c>
      <c r="AW507">
        <f>AR507*AT507*AQ507</f>
        <v/>
      </c>
      <c r="AX507">
        <f>AR507*AS507</f>
        <v/>
      </c>
      <c r="AY507">
        <f>AR507*AT507</f>
        <v/>
      </c>
      <c r="AZ507">
        <f>AR507*AQ507</f>
        <v/>
      </c>
      <c r="BA507">
        <f>AR507</f>
        <v/>
      </c>
      <c r="BB507">
        <f>1</f>
        <v/>
      </c>
      <c r="BC507">
        <f>IF(AV507=1,1,IF(AW507=1,2,IF(AX507=1,3,IF(AY507=1,4,IF(AZ507=1,5,IF(BA507=1,6,7))))))</f>
        <v/>
      </c>
      <c r="BD507">
        <f>IF(AD507=1,CHOOSE('Historical Score'!$C$29,AV507,AW507,AX507,AY507,AZ507,BA507,BB507),0)</f>
        <v/>
      </c>
      <c r="BE507">
        <f>IF(BD507=1,COUNTIF($BD$2:BD507,1),"")</f>
        <v/>
      </c>
    </row>
    <row r="508">
      <c r="A508" t="inlineStr">
        <is>
          <t>5674175861</t>
        </is>
      </c>
      <c r="B508" t="inlineStr">
        <is>
          <t>MudHen Brewing Company</t>
        </is>
      </c>
      <c r="C508" t="inlineStr">
        <is>
          <t>BS Liquor, LLC</t>
        </is>
      </c>
      <c r="D508" t="inlineStr">
        <is>
          <t>Open</t>
        </is>
      </c>
      <c r="E508" s="297" t="n">
        <v>46028</v>
      </c>
      <c r="F508" s="297" t="n">
        <v>46252</v>
      </c>
      <c r="G508" t="n">
        <v>7</v>
      </c>
      <c r="H508" t="inlineStr">
        <is>
          <t>5499</t>
        </is>
      </c>
      <c r="I508" t="inlineStr">
        <is>
          <t>54</t>
        </is>
      </c>
      <c r="J508" t="inlineStr">
        <is>
          <t>NJ</t>
        </is>
      </c>
      <c r="K508" t="inlineStr">
        <is>
          <t>Fundwell</t>
        </is>
      </c>
      <c r="L508" t="inlineStr">
        <is>
          <t>New Deal</t>
        </is>
      </c>
      <c r="M508" s="298" t="n">
        <v>1.37</v>
      </c>
      <c r="N508" s="299" t="n">
        <v>275000</v>
      </c>
      <c r="O508" s="299" t="n">
        <v>33000</v>
      </c>
      <c r="P508" s="299" t="n">
        <v>376750</v>
      </c>
      <c r="Q508" s="299" t="n">
        <v>287870.23</v>
      </c>
      <c r="R508" s="299" t="n">
        <v>88879.77000000011</v>
      </c>
      <c r="S508" s="300" t="n">
        <v>0.764088201725282</v>
      </c>
      <c r="T508" t="n">
        <v>36</v>
      </c>
      <c r="U508" t="n">
        <v>0</v>
      </c>
      <c r="V508" t="n">
        <v>1789403.57</v>
      </c>
      <c r="W508" s="300" t="n">
        <v>0.0234</v>
      </c>
      <c r="X508" s="297" t="n">
        <v>43203</v>
      </c>
      <c r="Y508">
        <f>IF(I508="","No SIC",IFERROR(VLOOKUP(I508,Ref!$A$2:$B$65,2,FALSE),"Unclassified"))</f>
        <v/>
      </c>
      <c r="Z508">
        <f>IF(T508="","",IF(T508&lt;12,"Daily","Weekly"))</f>
        <v/>
      </c>
      <c r="AA508">
        <f>IF(T508="",0,IF(T508&lt;12,T508*Controls!$B$29,T508*5))</f>
        <v/>
      </c>
      <c r="AB508">
        <f>IF(E508="",0,NETWORKDAYS(E508,Controls!$B$36,Ref!$K$2:$K$42))</f>
        <v/>
      </c>
      <c r="AC508">
        <f>IF(AND(AA508&gt;0,AB508&gt;=Controls!$B$39*AA508),1,0)</f>
        <v/>
      </c>
      <c r="AD508">
        <f>IF(AND(E508&lt;&gt;"",E508&gt;=Controls!$B$37,E508&lt;=Controls!$B$38),1,0)</f>
        <v/>
      </c>
      <c r="AE508">
        <f>IF(IFERROR(VLOOKUP(D508,Controls!$A$64:$E$74,2,FALSE),"No")="Yes",1,0)</f>
        <v/>
      </c>
      <c r="AF508">
        <f>IF(IFERROR(VLOOKUP(D508,Controls!$A$64:$E$74,3,FALSE),"No")="Yes",1,0)</f>
        <v/>
      </c>
      <c r="AG508">
        <f>IF(IFERROR(VLOOKUP(D508,Controls!$A$64:$E$74,4,FALSE),"No")="Yes",1,0)</f>
        <v/>
      </c>
      <c r="AH508">
        <f>IF(IFERROR(VLOOKUP(D508,Controls!$A$64:$E$74,5,FALSE),"No")="Yes",1,0)</f>
        <v/>
      </c>
      <c r="AI508">
        <f>IF(ISNUMBER(MATCH(D508,Controls!$A$64:$A$74,0)),1,0)</f>
        <v/>
      </c>
      <c r="AJ508">
        <f>Q508-N508</f>
        <v/>
      </c>
      <c r="AK508">
        <f>IF(AE508=1,MAX(0,N508-Q508),0)</f>
        <v/>
      </c>
      <c r="AL508">
        <f>IF(OR(V508="",V508=0),0,N508/V508)</f>
        <v/>
      </c>
      <c r="AM508">
        <f>IF(OR(V508="",V508=0),0,1)</f>
        <v/>
      </c>
      <c r="AN508">
        <f>IF(OR(E508="",F508=""),0,NETWORKDAYS(E508,F508,Ref!$K$2:$K$42))</f>
        <v/>
      </c>
      <c r="AO508">
        <f>IF(L508="Renewal",1,0)</f>
        <v/>
      </c>
      <c r="AP508">
        <f>AC508*AD508</f>
        <v/>
      </c>
      <c r="AQ508">
        <f>IF(AND(G508&lt;&gt;"",'Historical Score'!$C$6&lt;&gt;""),IF(G508='Historical Score'!$C$6,1,0),0)</f>
        <v/>
      </c>
      <c r="AR508">
        <f>IF(AND(L508&lt;&gt;"",'Historical Score'!$C$5&lt;&gt;""),IF(L508='Historical Score'!$C$5,1,0),0)</f>
        <v/>
      </c>
      <c r="AS508">
        <f>IF(AND(Y508&lt;&gt;"",'Historical Score'!$C$7&lt;&gt;""),IF(Y508='Historical Score'!$C$7,1,0),0)</f>
        <v/>
      </c>
      <c r="AT508">
        <f>IF(AND(K508&lt;&gt;"",'Historical Score'!$C$8&lt;&gt;""),IF(K508='Historical Score'!$C$8,1,0),0)</f>
        <v/>
      </c>
      <c r="AU508">
        <f>IF(AND(J508&lt;&gt;"",'Historical Score'!$C$9&lt;&gt;""),IF(J508='Historical Score'!$C$9,1,0),0)</f>
        <v/>
      </c>
      <c r="AV508">
        <f>AR508*AS508*AQ508</f>
        <v/>
      </c>
      <c r="AW508">
        <f>AR508*AT508*AQ508</f>
        <v/>
      </c>
      <c r="AX508">
        <f>AR508*AS508</f>
        <v/>
      </c>
      <c r="AY508">
        <f>AR508*AT508</f>
        <v/>
      </c>
      <c r="AZ508">
        <f>AR508*AQ508</f>
        <v/>
      </c>
      <c r="BA508">
        <f>AR508</f>
        <v/>
      </c>
      <c r="BB508">
        <f>1</f>
        <v/>
      </c>
      <c r="BC508">
        <f>IF(AV508=1,1,IF(AW508=1,2,IF(AX508=1,3,IF(AY508=1,4,IF(AZ508=1,5,IF(BA508=1,6,7))))))</f>
        <v/>
      </c>
      <c r="BD508">
        <f>IF(AD508=1,CHOOSE('Historical Score'!$C$29,AV508,AW508,AX508,AY508,AZ508,BA508,BB508),0)</f>
        <v/>
      </c>
      <c r="BE508">
        <f>IF(BD508=1,COUNTIF($BD$2:BD508,1),"")</f>
        <v/>
      </c>
    </row>
    <row r="509">
      <c r="A509" t="inlineStr">
        <is>
          <t>5674175888</t>
        </is>
      </c>
      <c r="B509" t="inlineStr">
        <is>
          <t>SOCAL MEDICAL TRANSPORTATION LLC</t>
        </is>
      </c>
      <c r="C509" t="inlineStr">
        <is>
          <t>SOCAL MEDICAL TRANSPORTATION LLC</t>
        </is>
      </c>
      <c r="D509" t="inlineStr">
        <is>
          <t>In House Collection</t>
        </is>
      </c>
      <c r="E509" s="297" t="n">
        <v>46029</v>
      </c>
      <c r="F509" s="297" t="n">
        <v>46251</v>
      </c>
      <c r="G509" t="n">
        <v>2</v>
      </c>
      <c r="H509" t="inlineStr">
        <is>
          <t>4729</t>
        </is>
      </c>
      <c r="I509" t="inlineStr">
        <is>
          <t>47</t>
        </is>
      </c>
      <c r="J509" t="inlineStr">
        <is>
          <t>CA</t>
        </is>
      </c>
      <c r="K509" t="inlineStr">
        <is>
          <t>The Funding Channel</t>
        </is>
      </c>
      <c r="L509" t="inlineStr">
        <is>
          <t>Renewal</t>
        </is>
      </c>
      <c r="M509" s="298" t="n">
        <v>1.49</v>
      </c>
      <c r="N509" s="299" t="n">
        <v>40000</v>
      </c>
      <c r="O509" s="299" t="n">
        <v>5600</v>
      </c>
      <c r="P509" s="299" t="n">
        <v>59600</v>
      </c>
      <c r="Q509" s="299" t="n">
        <v>11496.8</v>
      </c>
      <c r="R509" s="299" t="n">
        <v>48103.2</v>
      </c>
      <c r="S509" s="300" t="n">
        <v>0.19289932885906</v>
      </c>
      <c r="T509" t="n">
        <v>36</v>
      </c>
      <c r="U509" t="n">
        <v>21</v>
      </c>
      <c r="V509" t="n">
        <v>108901.57</v>
      </c>
      <c r="W509" s="300" t="n">
        <v>0.0608</v>
      </c>
      <c r="X509" s="297" t="n">
        <v>45497</v>
      </c>
      <c r="Y509">
        <f>IF(I509="","No SIC",IFERROR(VLOOKUP(I509,Ref!$A$2:$B$65,2,FALSE),"Unclassified"))</f>
        <v/>
      </c>
      <c r="Z509">
        <f>IF(T509="","",IF(T509&lt;12,"Daily","Weekly"))</f>
        <v/>
      </c>
      <c r="AA509">
        <f>IF(T509="",0,IF(T509&lt;12,T509*Controls!$B$29,T509*5))</f>
        <v/>
      </c>
      <c r="AB509">
        <f>IF(E509="",0,NETWORKDAYS(E509,Controls!$B$36,Ref!$K$2:$K$42))</f>
        <v/>
      </c>
      <c r="AC509">
        <f>IF(AND(AA509&gt;0,AB509&gt;=Controls!$B$39*AA509),1,0)</f>
        <v/>
      </c>
      <c r="AD509">
        <f>IF(AND(E509&lt;&gt;"",E509&gt;=Controls!$B$37,E509&lt;=Controls!$B$38),1,0)</f>
        <v/>
      </c>
      <c r="AE509">
        <f>IF(IFERROR(VLOOKUP(D509,Controls!$A$64:$E$74,2,FALSE),"No")="Yes",1,0)</f>
        <v/>
      </c>
      <c r="AF509">
        <f>IF(IFERROR(VLOOKUP(D509,Controls!$A$64:$E$74,3,FALSE),"No")="Yes",1,0)</f>
        <v/>
      </c>
      <c r="AG509">
        <f>IF(IFERROR(VLOOKUP(D509,Controls!$A$64:$E$74,4,FALSE),"No")="Yes",1,0)</f>
        <v/>
      </c>
      <c r="AH509">
        <f>IF(IFERROR(VLOOKUP(D509,Controls!$A$64:$E$74,5,FALSE),"No")="Yes",1,0)</f>
        <v/>
      </c>
      <c r="AI509">
        <f>IF(ISNUMBER(MATCH(D509,Controls!$A$64:$A$74,0)),1,0)</f>
        <v/>
      </c>
      <c r="AJ509">
        <f>Q509-N509</f>
        <v/>
      </c>
      <c r="AK509">
        <f>IF(AE509=1,MAX(0,N509-Q509),0)</f>
        <v/>
      </c>
      <c r="AL509">
        <f>IF(OR(V509="",V509=0),0,N509/V509)</f>
        <v/>
      </c>
      <c r="AM509">
        <f>IF(OR(V509="",V509=0),0,1)</f>
        <v/>
      </c>
      <c r="AN509">
        <f>IF(OR(E509="",F509=""),0,NETWORKDAYS(E509,F509,Ref!$K$2:$K$42))</f>
        <v/>
      </c>
      <c r="AO509">
        <f>IF(L509="Renewal",1,0)</f>
        <v/>
      </c>
      <c r="AP509">
        <f>AC509*AD509</f>
        <v/>
      </c>
      <c r="AQ509">
        <f>IF(AND(G509&lt;&gt;"",'Historical Score'!$C$6&lt;&gt;""),IF(G509='Historical Score'!$C$6,1,0),0)</f>
        <v/>
      </c>
      <c r="AR509">
        <f>IF(AND(L509&lt;&gt;"",'Historical Score'!$C$5&lt;&gt;""),IF(L509='Historical Score'!$C$5,1,0),0)</f>
        <v/>
      </c>
      <c r="AS509">
        <f>IF(AND(Y509&lt;&gt;"",'Historical Score'!$C$7&lt;&gt;""),IF(Y509='Historical Score'!$C$7,1,0),0)</f>
        <v/>
      </c>
      <c r="AT509">
        <f>IF(AND(K509&lt;&gt;"",'Historical Score'!$C$8&lt;&gt;""),IF(K509='Historical Score'!$C$8,1,0),0)</f>
        <v/>
      </c>
      <c r="AU509">
        <f>IF(AND(J509&lt;&gt;"",'Historical Score'!$C$9&lt;&gt;""),IF(J509='Historical Score'!$C$9,1,0),0)</f>
        <v/>
      </c>
      <c r="AV509">
        <f>AR509*AS509*AQ509</f>
        <v/>
      </c>
      <c r="AW509">
        <f>AR509*AT509*AQ509</f>
        <v/>
      </c>
      <c r="AX509">
        <f>AR509*AS509</f>
        <v/>
      </c>
      <c r="AY509">
        <f>AR509*AT509</f>
        <v/>
      </c>
      <c r="AZ509">
        <f>AR509*AQ509</f>
        <v/>
      </c>
      <c r="BA509">
        <f>AR509</f>
        <v/>
      </c>
      <c r="BB509">
        <f>1</f>
        <v/>
      </c>
      <c r="BC509">
        <f>IF(AV509=1,1,IF(AW509=1,2,IF(AX509=1,3,IF(AY509=1,4,IF(AZ509=1,5,IF(BA509=1,6,7))))))</f>
        <v/>
      </c>
      <c r="BD509">
        <f>IF(AD509=1,CHOOSE('Historical Score'!$C$29,AV509,AW509,AX509,AY509,AZ509,BA509,BB509),0)</f>
        <v/>
      </c>
      <c r="BE509">
        <f>IF(BD509=1,COUNTIF($BD$2:BD509,1),"")</f>
        <v/>
      </c>
    </row>
    <row r="510">
      <c r="A510" t="inlineStr">
        <is>
          <t>5674175897</t>
        </is>
      </c>
      <c r="B510" t="inlineStr">
        <is>
          <t>Daurden Arts LLC</t>
        </is>
      </c>
      <c r="C510" t="inlineStr">
        <is>
          <t>Daurden Arts LLC</t>
        </is>
      </c>
      <c r="D510" t="inlineStr">
        <is>
          <t>Closed</t>
        </is>
      </c>
      <c r="E510" s="297" t="n">
        <v>46029</v>
      </c>
      <c r="F510" s="297" t="n">
        <v>46087</v>
      </c>
      <c r="G510" t="n">
        <v>2</v>
      </c>
      <c r="H510" t="inlineStr">
        <is>
          <t>7911</t>
        </is>
      </c>
      <c r="I510" t="inlineStr">
        <is>
          <t>79</t>
        </is>
      </c>
      <c r="J510" t="inlineStr">
        <is>
          <t>CA</t>
        </is>
      </c>
      <c r="K510" t="inlineStr">
        <is>
          <t>Fundwell</t>
        </is>
      </c>
      <c r="L510" t="inlineStr">
        <is>
          <t>New Deal</t>
        </is>
      </c>
      <c r="M510" s="298" t="n">
        <v>1.46</v>
      </c>
      <c r="N510" s="299" t="n">
        <v>5000</v>
      </c>
      <c r="O510" s="299" t="n">
        <v>775</v>
      </c>
      <c r="P510" s="299" t="n">
        <v>7300</v>
      </c>
      <c r="Q510" s="299" t="n">
        <v>7300</v>
      </c>
      <c r="R510" s="299" t="n">
        <v>0</v>
      </c>
      <c r="S510" s="300" t="n">
        <v>1</v>
      </c>
      <c r="T510" t="n">
        <v>1.967</v>
      </c>
      <c r="U510" t="n">
        <v>0</v>
      </c>
      <c r="V510" t="n">
        <v>18156.75</v>
      </c>
      <c r="W510" s="300" t="n">
        <v>0.2517</v>
      </c>
      <c r="X510" s="297" t="n">
        <v>40980</v>
      </c>
      <c r="Y510">
        <f>IF(I510="","No SIC",IFERROR(VLOOKUP(I510,Ref!$A$2:$B$65,2,FALSE),"Unclassified"))</f>
        <v/>
      </c>
      <c r="Z510">
        <f>IF(T510="","",IF(T510&lt;12,"Daily","Weekly"))</f>
        <v/>
      </c>
      <c r="AA510">
        <f>IF(T510="",0,IF(T510&lt;12,T510*Controls!$B$29,T510*5))</f>
        <v/>
      </c>
      <c r="AB510">
        <f>IF(E510="",0,NETWORKDAYS(E510,Controls!$B$36,Ref!$K$2:$K$42))</f>
        <v/>
      </c>
      <c r="AC510">
        <f>IF(AND(AA510&gt;0,AB510&gt;=Controls!$B$39*AA510),1,0)</f>
        <v/>
      </c>
      <c r="AD510">
        <f>IF(AND(E510&lt;&gt;"",E510&gt;=Controls!$B$37,E510&lt;=Controls!$B$38),1,0)</f>
        <v/>
      </c>
      <c r="AE510">
        <f>IF(IFERROR(VLOOKUP(D510,Controls!$A$64:$E$74,2,FALSE),"No")="Yes",1,0)</f>
        <v/>
      </c>
      <c r="AF510">
        <f>IF(IFERROR(VLOOKUP(D510,Controls!$A$64:$E$74,3,FALSE),"No")="Yes",1,0)</f>
        <v/>
      </c>
      <c r="AG510">
        <f>IF(IFERROR(VLOOKUP(D510,Controls!$A$64:$E$74,4,FALSE),"No")="Yes",1,0)</f>
        <v/>
      </c>
      <c r="AH510">
        <f>IF(IFERROR(VLOOKUP(D510,Controls!$A$64:$E$74,5,FALSE),"No")="Yes",1,0)</f>
        <v/>
      </c>
      <c r="AI510">
        <f>IF(ISNUMBER(MATCH(D510,Controls!$A$64:$A$74,0)),1,0)</f>
        <v/>
      </c>
      <c r="AJ510">
        <f>Q510-N510</f>
        <v/>
      </c>
      <c r="AK510">
        <f>IF(AE510=1,MAX(0,N510-Q510),0)</f>
        <v/>
      </c>
      <c r="AL510">
        <f>IF(OR(V510="",V510=0),0,N510/V510)</f>
        <v/>
      </c>
      <c r="AM510">
        <f>IF(OR(V510="",V510=0),0,1)</f>
        <v/>
      </c>
      <c r="AN510">
        <f>IF(OR(E510="",F510=""),0,NETWORKDAYS(E510,F510,Ref!$K$2:$K$42))</f>
        <v/>
      </c>
      <c r="AO510">
        <f>IF(L510="Renewal",1,0)</f>
        <v/>
      </c>
      <c r="AP510">
        <f>AC510*AD510</f>
        <v/>
      </c>
      <c r="AQ510">
        <f>IF(AND(G510&lt;&gt;"",'Historical Score'!$C$6&lt;&gt;""),IF(G510='Historical Score'!$C$6,1,0),0)</f>
        <v/>
      </c>
      <c r="AR510">
        <f>IF(AND(L510&lt;&gt;"",'Historical Score'!$C$5&lt;&gt;""),IF(L510='Historical Score'!$C$5,1,0),0)</f>
        <v/>
      </c>
      <c r="AS510">
        <f>IF(AND(Y510&lt;&gt;"",'Historical Score'!$C$7&lt;&gt;""),IF(Y510='Historical Score'!$C$7,1,0),0)</f>
        <v/>
      </c>
      <c r="AT510">
        <f>IF(AND(K510&lt;&gt;"",'Historical Score'!$C$8&lt;&gt;""),IF(K510='Historical Score'!$C$8,1,0),0)</f>
        <v/>
      </c>
      <c r="AU510">
        <f>IF(AND(J510&lt;&gt;"",'Historical Score'!$C$9&lt;&gt;""),IF(J510='Historical Score'!$C$9,1,0),0)</f>
        <v/>
      </c>
      <c r="AV510">
        <f>AR510*AS510*AQ510</f>
        <v/>
      </c>
      <c r="AW510">
        <f>AR510*AT510*AQ510</f>
        <v/>
      </c>
      <c r="AX510">
        <f>AR510*AS510</f>
        <v/>
      </c>
      <c r="AY510">
        <f>AR510*AT510</f>
        <v/>
      </c>
      <c r="AZ510">
        <f>AR510*AQ510</f>
        <v/>
      </c>
      <c r="BA510">
        <f>AR510</f>
        <v/>
      </c>
      <c r="BB510">
        <f>1</f>
        <v/>
      </c>
      <c r="BC510">
        <f>IF(AV510=1,1,IF(AW510=1,2,IF(AX510=1,3,IF(AY510=1,4,IF(AZ510=1,5,IF(BA510=1,6,7))))))</f>
        <v/>
      </c>
      <c r="BD510">
        <f>IF(AD510=1,CHOOSE('Historical Score'!$C$29,AV510,AW510,AX510,AY510,AZ510,BA510,BB510),0)</f>
        <v/>
      </c>
      <c r="BE510">
        <f>IF(BD510=1,COUNTIF($BD$2:BD510,1),"")</f>
        <v/>
      </c>
    </row>
    <row r="511">
      <c r="A511" t="inlineStr">
        <is>
          <t>5674175932</t>
        </is>
      </c>
      <c r="B511" t="inlineStr">
        <is>
          <t>S&amp;K Property Services LLC</t>
        </is>
      </c>
      <c r="C511" t="inlineStr">
        <is>
          <t>S&amp;K Property Services LLC</t>
        </is>
      </c>
      <c r="D511" t="inlineStr">
        <is>
          <t>Closed</t>
        </is>
      </c>
      <c r="E511" s="297" t="n">
        <v>46029</v>
      </c>
      <c r="F511" s="297" t="n">
        <v>46129</v>
      </c>
      <c r="G511" t="n">
        <v>2</v>
      </c>
      <c r="H511" t="inlineStr">
        <is>
          <t>1521</t>
        </is>
      </c>
      <c r="I511" t="inlineStr">
        <is>
          <t>15</t>
        </is>
      </c>
      <c r="J511" t="inlineStr">
        <is>
          <t>GA</t>
        </is>
      </c>
      <c r="K511" t="inlineStr">
        <is>
          <t>Ballicci</t>
        </is>
      </c>
      <c r="L511" t="inlineStr">
        <is>
          <t>New Deal</t>
        </is>
      </c>
      <c r="M511" s="298" t="n">
        <v>1.49</v>
      </c>
      <c r="N511" s="299" t="n">
        <v>25000</v>
      </c>
      <c r="O511" s="299" t="n">
        <v>3500</v>
      </c>
      <c r="P511" s="299" t="n">
        <v>37250</v>
      </c>
      <c r="Q511" s="299" t="n">
        <v>37250</v>
      </c>
      <c r="R511" s="299" t="n">
        <v>0</v>
      </c>
      <c r="S511" s="300" t="n">
        <v>1</v>
      </c>
      <c r="T511" t="n">
        <v>3.279</v>
      </c>
      <c r="U511" t="n">
        <v>0</v>
      </c>
      <c r="V511" t="n">
        <v>40259.29</v>
      </c>
      <c r="W511" s="300" t="n">
        <v>0.1943</v>
      </c>
      <c r="X511" s="297" t="n">
        <v>43466</v>
      </c>
      <c r="Y511">
        <f>IF(I511="","No SIC",IFERROR(VLOOKUP(I511,Ref!$A$2:$B$65,2,FALSE),"Unclassified"))</f>
        <v/>
      </c>
      <c r="Z511">
        <f>IF(T511="","",IF(T511&lt;12,"Daily","Weekly"))</f>
        <v/>
      </c>
      <c r="AA511">
        <f>IF(T511="",0,IF(T511&lt;12,T511*Controls!$B$29,T511*5))</f>
        <v/>
      </c>
      <c r="AB511">
        <f>IF(E511="",0,NETWORKDAYS(E511,Controls!$B$36,Ref!$K$2:$K$42))</f>
        <v/>
      </c>
      <c r="AC511">
        <f>IF(AND(AA511&gt;0,AB511&gt;=Controls!$B$39*AA511),1,0)</f>
        <v/>
      </c>
      <c r="AD511">
        <f>IF(AND(E511&lt;&gt;"",E511&gt;=Controls!$B$37,E511&lt;=Controls!$B$38),1,0)</f>
        <v/>
      </c>
      <c r="AE511">
        <f>IF(IFERROR(VLOOKUP(D511,Controls!$A$64:$E$74,2,FALSE),"No")="Yes",1,0)</f>
        <v/>
      </c>
      <c r="AF511">
        <f>IF(IFERROR(VLOOKUP(D511,Controls!$A$64:$E$74,3,FALSE),"No")="Yes",1,0)</f>
        <v/>
      </c>
      <c r="AG511">
        <f>IF(IFERROR(VLOOKUP(D511,Controls!$A$64:$E$74,4,FALSE),"No")="Yes",1,0)</f>
        <v/>
      </c>
      <c r="AH511">
        <f>IF(IFERROR(VLOOKUP(D511,Controls!$A$64:$E$74,5,FALSE),"No")="Yes",1,0)</f>
        <v/>
      </c>
      <c r="AI511">
        <f>IF(ISNUMBER(MATCH(D511,Controls!$A$64:$A$74,0)),1,0)</f>
        <v/>
      </c>
      <c r="AJ511">
        <f>Q511-N511</f>
        <v/>
      </c>
      <c r="AK511">
        <f>IF(AE511=1,MAX(0,N511-Q511),0)</f>
        <v/>
      </c>
      <c r="AL511">
        <f>IF(OR(V511="",V511=0),0,N511/V511)</f>
        <v/>
      </c>
      <c r="AM511">
        <f>IF(OR(V511="",V511=0),0,1)</f>
        <v/>
      </c>
      <c r="AN511">
        <f>IF(OR(E511="",F511=""),0,NETWORKDAYS(E511,F511,Ref!$K$2:$K$42))</f>
        <v/>
      </c>
      <c r="AO511">
        <f>IF(L511="Renewal",1,0)</f>
        <v/>
      </c>
      <c r="AP511">
        <f>AC511*AD511</f>
        <v/>
      </c>
      <c r="AQ511">
        <f>IF(AND(G511&lt;&gt;"",'Historical Score'!$C$6&lt;&gt;""),IF(G511='Historical Score'!$C$6,1,0),0)</f>
        <v/>
      </c>
      <c r="AR511">
        <f>IF(AND(L511&lt;&gt;"",'Historical Score'!$C$5&lt;&gt;""),IF(L511='Historical Score'!$C$5,1,0),0)</f>
        <v/>
      </c>
      <c r="AS511">
        <f>IF(AND(Y511&lt;&gt;"",'Historical Score'!$C$7&lt;&gt;""),IF(Y511='Historical Score'!$C$7,1,0),0)</f>
        <v/>
      </c>
      <c r="AT511">
        <f>IF(AND(K511&lt;&gt;"",'Historical Score'!$C$8&lt;&gt;""),IF(K511='Historical Score'!$C$8,1,0),0)</f>
        <v/>
      </c>
      <c r="AU511">
        <f>IF(AND(J511&lt;&gt;"",'Historical Score'!$C$9&lt;&gt;""),IF(J511='Historical Score'!$C$9,1,0),0)</f>
        <v/>
      </c>
      <c r="AV511">
        <f>AR511*AS511*AQ511</f>
        <v/>
      </c>
      <c r="AW511">
        <f>AR511*AT511*AQ511</f>
        <v/>
      </c>
      <c r="AX511">
        <f>AR511*AS511</f>
        <v/>
      </c>
      <c r="AY511">
        <f>AR511*AT511</f>
        <v/>
      </c>
      <c r="AZ511">
        <f>AR511*AQ511</f>
        <v/>
      </c>
      <c r="BA511">
        <f>AR511</f>
        <v/>
      </c>
      <c r="BB511">
        <f>1</f>
        <v/>
      </c>
      <c r="BC511">
        <f>IF(AV511=1,1,IF(AW511=1,2,IF(AX511=1,3,IF(AY511=1,4,IF(AZ511=1,5,IF(BA511=1,6,7))))))</f>
        <v/>
      </c>
      <c r="BD511">
        <f>IF(AD511=1,CHOOSE('Historical Score'!$C$29,AV511,AW511,AX511,AY511,AZ511,BA511,BB511),0)</f>
        <v/>
      </c>
      <c r="BE511">
        <f>IF(BD511=1,COUNTIF($BD$2:BD511,1),"")</f>
        <v/>
      </c>
    </row>
    <row r="512">
      <c r="A512" t="inlineStr">
        <is>
          <t>5674175945</t>
        </is>
      </c>
      <c r="B512" t="inlineStr">
        <is>
          <t>Exquisite Bride, LLC</t>
        </is>
      </c>
      <c r="C512" t="inlineStr">
        <is>
          <t>Exquisite Bride, LLC</t>
        </is>
      </c>
      <c r="D512" t="inlineStr">
        <is>
          <t>Closed</t>
        </is>
      </c>
      <c r="E512" s="297" t="n">
        <v>46029</v>
      </c>
      <c r="F512" s="297" t="n">
        <v>46161</v>
      </c>
      <c r="G512" t="n">
        <v>3</v>
      </c>
      <c r="H512" t="inlineStr">
        <is>
          <t>5999</t>
        </is>
      </c>
      <c r="I512" t="inlineStr">
        <is>
          <t>59</t>
        </is>
      </c>
      <c r="J512" t="inlineStr">
        <is>
          <t>TX</t>
        </is>
      </c>
      <c r="K512" t="inlineStr">
        <is>
          <t>Viking Funding LLC</t>
        </is>
      </c>
      <c r="L512" t="inlineStr">
        <is>
          <t>Renewal</t>
        </is>
      </c>
      <c r="M512" s="298" t="n">
        <v>1.49</v>
      </c>
      <c r="N512" s="299" t="n">
        <v>15000</v>
      </c>
      <c r="O512" s="299" t="n">
        <v>2100</v>
      </c>
      <c r="P512" s="299" t="n">
        <v>22350</v>
      </c>
      <c r="Q512" s="299" t="n">
        <v>22350</v>
      </c>
      <c r="R512" s="299" t="n">
        <v>0</v>
      </c>
      <c r="S512" s="300" t="n">
        <v>1</v>
      </c>
      <c r="T512" t="n">
        <v>4.098</v>
      </c>
      <c r="U512" t="n">
        <v>4</v>
      </c>
      <c r="V512" t="n">
        <v>38438.18</v>
      </c>
      <c r="W512" s="300" t="n">
        <v>0.0977</v>
      </c>
      <c r="X512" s="297" t="n">
        <v>44562</v>
      </c>
      <c r="Y512">
        <f>IF(I512="","No SIC",IFERROR(VLOOKUP(I512,Ref!$A$2:$B$65,2,FALSE),"Unclassified"))</f>
        <v/>
      </c>
      <c r="Z512">
        <f>IF(T512="","",IF(T512&lt;12,"Daily","Weekly"))</f>
        <v/>
      </c>
      <c r="AA512">
        <f>IF(T512="",0,IF(T512&lt;12,T512*Controls!$B$29,T512*5))</f>
        <v/>
      </c>
      <c r="AB512">
        <f>IF(E512="",0,NETWORKDAYS(E512,Controls!$B$36,Ref!$K$2:$K$42))</f>
        <v/>
      </c>
      <c r="AC512">
        <f>IF(AND(AA512&gt;0,AB512&gt;=Controls!$B$39*AA512),1,0)</f>
        <v/>
      </c>
      <c r="AD512">
        <f>IF(AND(E512&lt;&gt;"",E512&gt;=Controls!$B$37,E512&lt;=Controls!$B$38),1,0)</f>
        <v/>
      </c>
      <c r="AE512">
        <f>IF(IFERROR(VLOOKUP(D512,Controls!$A$64:$E$74,2,FALSE),"No")="Yes",1,0)</f>
        <v/>
      </c>
      <c r="AF512">
        <f>IF(IFERROR(VLOOKUP(D512,Controls!$A$64:$E$74,3,FALSE),"No")="Yes",1,0)</f>
        <v/>
      </c>
      <c r="AG512">
        <f>IF(IFERROR(VLOOKUP(D512,Controls!$A$64:$E$74,4,FALSE),"No")="Yes",1,0)</f>
        <v/>
      </c>
      <c r="AH512">
        <f>IF(IFERROR(VLOOKUP(D512,Controls!$A$64:$E$74,5,FALSE),"No")="Yes",1,0)</f>
        <v/>
      </c>
      <c r="AI512">
        <f>IF(ISNUMBER(MATCH(D512,Controls!$A$64:$A$74,0)),1,0)</f>
        <v/>
      </c>
      <c r="AJ512">
        <f>Q512-N512</f>
        <v/>
      </c>
      <c r="AK512">
        <f>IF(AE512=1,MAX(0,N512-Q512),0)</f>
        <v/>
      </c>
      <c r="AL512">
        <f>IF(OR(V512="",V512=0),0,N512/V512)</f>
        <v/>
      </c>
      <c r="AM512">
        <f>IF(OR(V512="",V512=0),0,1)</f>
        <v/>
      </c>
      <c r="AN512">
        <f>IF(OR(E512="",F512=""),0,NETWORKDAYS(E512,F512,Ref!$K$2:$K$42))</f>
        <v/>
      </c>
      <c r="AO512">
        <f>IF(L512="Renewal",1,0)</f>
        <v/>
      </c>
      <c r="AP512">
        <f>AC512*AD512</f>
        <v/>
      </c>
      <c r="AQ512">
        <f>IF(AND(G512&lt;&gt;"",'Historical Score'!$C$6&lt;&gt;""),IF(G512='Historical Score'!$C$6,1,0),0)</f>
        <v/>
      </c>
      <c r="AR512">
        <f>IF(AND(L512&lt;&gt;"",'Historical Score'!$C$5&lt;&gt;""),IF(L512='Historical Score'!$C$5,1,0),0)</f>
        <v/>
      </c>
      <c r="AS512">
        <f>IF(AND(Y512&lt;&gt;"",'Historical Score'!$C$7&lt;&gt;""),IF(Y512='Historical Score'!$C$7,1,0),0)</f>
        <v/>
      </c>
      <c r="AT512">
        <f>IF(AND(K512&lt;&gt;"",'Historical Score'!$C$8&lt;&gt;""),IF(K512='Historical Score'!$C$8,1,0),0)</f>
        <v/>
      </c>
      <c r="AU512">
        <f>IF(AND(J512&lt;&gt;"",'Historical Score'!$C$9&lt;&gt;""),IF(J512='Historical Score'!$C$9,1,0),0)</f>
        <v/>
      </c>
      <c r="AV512">
        <f>AR512*AS512*AQ512</f>
        <v/>
      </c>
      <c r="AW512">
        <f>AR512*AT512*AQ512</f>
        <v/>
      </c>
      <c r="AX512">
        <f>AR512*AS512</f>
        <v/>
      </c>
      <c r="AY512">
        <f>AR512*AT512</f>
        <v/>
      </c>
      <c r="AZ512">
        <f>AR512*AQ512</f>
        <v/>
      </c>
      <c r="BA512">
        <f>AR512</f>
        <v/>
      </c>
      <c r="BB512">
        <f>1</f>
        <v/>
      </c>
      <c r="BC512">
        <f>IF(AV512=1,1,IF(AW512=1,2,IF(AX512=1,3,IF(AY512=1,4,IF(AZ512=1,5,IF(BA512=1,6,7))))))</f>
        <v/>
      </c>
      <c r="BD512">
        <f>IF(AD512=1,CHOOSE('Historical Score'!$C$29,AV512,AW512,AX512,AY512,AZ512,BA512,BB512),0)</f>
        <v/>
      </c>
      <c r="BE512">
        <f>IF(BD512=1,COUNTIF($BD$2:BD512,1),"")</f>
        <v/>
      </c>
    </row>
    <row r="513">
      <c r="A513" t="inlineStr">
        <is>
          <t>5674176005</t>
        </is>
      </c>
      <c r="B513" t="inlineStr">
        <is>
          <t>S&amp;D ELECTRIC</t>
        </is>
      </c>
      <c r="C513" t="inlineStr">
        <is>
          <t>S&amp;D Electric, LLC</t>
        </is>
      </c>
      <c r="D513" t="inlineStr">
        <is>
          <t>Legal</t>
        </is>
      </c>
      <c r="E513" s="297" t="n">
        <v>46030</v>
      </c>
      <c r="F513" s="297" t="n">
        <v>46128</v>
      </c>
      <c r="G513" t="n">
        <v>2</v>
      </c>
      <c r="H513" t="inlineStr">
        <is>
          <t>1731</t>
        </is>
      </c>
      <c r="I513" t="inlineStr">
        <is>
          <t>17</t>
        </is>
      </c>
      <c r="J513" t="inlineStr">
        <is>
          <t>No state</t>
        </is>
      </c>
      <c r="K513" t="inlineStr">
        <is>
          <t>ecp business capital</t>
        </is>
      </c>
      <c r="L513" t="inlineStr">
        <is>
          <t>New Deal</t>
        </is>
      </c>
      <c r="M513" s="298" t="n">
        <v>1.5</v>
      </c>
      <c r="N513" s="299" t="n">
        <v>150000</v>
      </c>
      <c r="O513" s="299" t="n">
        <v>21000</v>
      </c>
      <c r="P513" s="299" t="n">
        <v>225000</v>
      </c>
      <c r="Q513" s="299" t="n">
        <v>78903.96000000001</v>
      </c>
      <c r="R513" s="299" t="n">
        <v>146096.04</v>
      </c>
      <c r="S513" s="300" t="n">
        <v>0.350684266666667</v>
      </c>
      <c r="T513" t="n">
        <v>34</v>
      </c>
      <c r="U513" t="n">
        <v>2</v>
      </c>
      <c r="V513" t="n">
        <v>220278.97</v>
      </c>
      <c r="W513" s="300" t="n">
        <v>0.1194</v>
      </c>
      <c r="X513" s="297" t="n">
        <v>43817</v>
      </c>
      <c r="Y513">
        <f>IF(I513="","No SIC",IFERROR(VLOOKUP(I513,Ref!$A$2:$B$65,2,FALSE),"Unclassified"))</f>
        <v/>
      </c>
      <c r="Z513">
        <f>IF(T513="","",IF(T513&lt;12,"Daily","Weekly"))</f>
        <v/>
      </c>
      <c r="AA513">
        <f>IF(T513="",0,IF(T513&lt;12,T513*Controls!$B$29,T513*5))</f>
        <v/>
      </c>
      <c r="AB513">
        <f>IF(E513="",0,NETWORKDAYS(E513,Controls!$B$36,Ref!$K$2:$K$42))</f>
        <v/>
      </c>
      <c r="AC513">
        <f>IF(AND(AA513&gt;0,AB513&gt;=Controls!$B$39*AA513),1,0)</f>
        <v/>
      </c>
      <c r="AD513">
        <f>IF(AND(E513&lt;&gt;"",E513&gt;=Controls!$B$37,E513&lt;=Controls!$B$38),1,0)</f>
        <v/>
      </c>
      <c r="AE513">
        <f>IF(IFERROR(VLOOKUP(D513,Controls!$A$64:$E$74,2,FALSE),"No")="Yes",1,0)</f>
        <v/>
      </c>
      <c r="AF513">
        <f>IF(IFERROR(VLOOKUP(D513,Controls!$A$64:$E$74,3,FALSE),"No")="Yes",1,0)</f>
        <v/>
      </c>
      <c r="AG513">
        <f>IF(IFERROR(VLOOKUP(D513,Controls!$A$64:$E$74,4,FALSE),"No")="Yes",1,0)</f>
        <v/>
      </c>
      <c r="AH513">
        <f>IF(IFERROR(VLOOKUP(D513,Controls!$A$64:$E$74,5,FALSE),"No")="Yes",1,0)</f>
        <v/>
      </c>
      <c r="AI513">
        <f>IF(ISNUMBER(MATCH(D513,Controls!$A$64:$A$74,0)),1,0)</f>
        <v/>
      </c>
      <c r="AJ513">
        <f>Q513-N513</f>
        <v/>
      </c>
      <c r="AK513">
        <f>IF(AE513=1,MAX(0,N513-Q513),0)</f>
        <v/>
      </c>
      <c r="AL513">
        <f>IF(OR(V513="",V513=0),0,N513/V513)</f>
        <v/>
      </c>
      <c r="AM513">
        <f>IF(OR(V513="",V513=0),0,1)</f>
        <v/>
      </c>
      <c r="AN513">
        <f>IF(OR(E513="",F513=""),0,NETWORKDAYS(E513,F513,Ref!$K$2:$K$42))</f>
        <v/>
      </c>
      <c r="AO513">
        <f>IF(L513="Renewal",1,0)</f>
        <v/>
      </c>
      <c r="AP513">
        <f>AC513*AD513</f>
        <v/>
      </c>
      <c r="AQ513">
        <f>IF(AND(G513&lt;&gt;"",'Historical Score'!$C$6&lt;&gt;""),IF(G513='Historical Score'!$C$6,1,0),0)</f>
        <v/>
      </c>
      <c r="AR513">
        <f>IF(AND(L513&lt;&gt;"",'Historical Score'!$C$5&lt;&gt;""),IF(L513='Historical Score'!$C$5,1,0),0)</f>
        <v/>
      </c>
      <c r="AS513">
        <f>IF(AND(Y513&lt;&gt;"",'Historical Score'!$C$7&lt;&gt;""),IF(Y513='Historical Score'!$C$7,1,0),0)</f>
        <v/>
      </c>
      <c r="AT513">
        <f>IF(AND(K513&lt;&gt;"",'Historical Score'!$C$8&lt;&gt;""),IF(K513='Historical Score'!$C$8,1,0),0)</f>
        <v/>
      </c>
      <c r="AU513">
        <f>IF(AND(J513&lt;&gt;"",'Historical Score'!$C$9&lt;&gt;""),IF(J513='Historical Score'!$C$9,1,0),0)</f>
        <v/>
      </c>
      <c r="AV513">
        <f>AR513*AS513*AQ513</f>
        <v/>
      </c>
      <c r="AW513">
        <f>AR513*AT513*AQ513</f>
        <v/>
      </c>
      <c r="AX513">
        <f>AR513*AS513</f>
        <v/>
      </c>
      <c r="AY513">
        <f>AR513*AT513</f>
        <v/>
      </c>
      <c r="AZ513">
        <f>AR513*AQ513</f>
        <v/>
      </c>
      <c r="BA513">
        <f>AR513</f>
        <v/>
      </c>
      <c r="BB513">
        <f>1</f>
        <v/>
      </c>
      <c r="BC513">
        <f>IF(AV513=1,1,IF(AW513=1,2,IF(AX513=1,3,IF(AY513=1,4,IF(AZ513=1,5,IF(BA513=1,6,7))))))</f>
        <v/>
      </c>
      <c r="BD513">
        <f>IF(AD513=1,CHOOSE('Historical Score'!$C$29,AV513,AW513,AX513,AY513,AZ513,BA513,BB513),0)</f>
        <v/>
      </c>
      <c r="BE513">
        <f>IF(BD513=1,COUNTIF($BD$2:BD513,1),"")</f>
        <v/>
      </c>
    </row>
    <row r="514">
      <c r="A514" t="inlineStr">
        <is>
          <t>5674176016</t>
        </is>
      </c>
      <c r="B514" t="inlineStr">
        <is>
          <t>CC REMODELING SERVICES INC</t>
        </is>
      </c>
      <c r="C514" t="inlineStr">
        <is>
          <t>CC REMODELING SERVICES INC</t>
        </is>
      </c>
      <c r="D514" t="inlineStr">
        <is>
          <t>In House Collection</t>
        </is>
      </c>
      <c r="E514" s="297" t="n">
        <v>46030</v>
      </c>
      <c r="F514" s="297" t="n">
        <v>46172</v>
      </c>
      <c r="G514" t="n">
        <v>2</v>
      </c>
      <c r="H514" t="inlineStr">
        <is>
          <t>1521</t>
        </is>
      </c>
      <c r="I514" t="inlineStr">
        <is>
          <t>15</t>
        </is>
      </c>
      <c r="J514" t="inlineStr">
        <is>
          <t>TN</t>
        </is>
      </c>
      <c r="K514" t="inlineStr">
        <is>
          <t>biz advance now</t>
        </is>
      </c>
      <c r="L514" t="inlineStr">
        <is>
          <t>Renewal</t>
        </is>
      </c>
      <c r="M514" s="298" t="n">
        <v>1.49</v>
      </c>
      <c r="N514" s="299" t="n">
        <v>20000</v>
      </c>
      <c r="O514" s="299" t="n">
        <v>2800</v>
      </c>
      <c r="P514" s="299" t="n">
        <v>29800</v>
      </c>
      <c r="Q514" s="299" t="n">
        <v>3538.75</v>
      </c>
      <c r="R514" s="299" t="n">
        <v>26261.25</v>
      </c>
      <c r="S514" s="300" t="n">
        <v>0.11875</v>
      </c>
      <c r="T514" t="n">
        <v>2.951</v>
      </c>
      <c r="U514" t="n">
        <v>5</v>
      </c>
      <c r="V514" t="n">
        <v>81491.69</v>
      </c>
      <c r="W514" s="300" t="n">
        <v>0.0853</v>
      </c>
      <c r="X514" s="297" t="n">
        <v>45292</v>
      </c>
      <c r="Y514">
        <f>IF(I514="","No SIC",IFERROR(VLOOKUP(I514,Ref!$A$2:$B$65,2,FALSE),"Unclassified"))</f>
        <v/>
      </c>
      <c r="Z514">
        <f>IF(T514="","",IF(T514&lt;12,"Daily","Weekly"))</f>
        <v/>
      </c>
      <c r="AA514">
        <f>IF(T514="",0,IF(T514&lt;12,T514*Controls!$B$29,T514*5))</f>
        <v/>
      </c>
      <c r="AB514">
        <f>IF(E514="",0,NETWORKDAYS(E514,Controls!$B$36,Ref!$K$2:$K$42))</f>
        <v/>
      </c>
      <c r="AC514">
        <f>IF(AND(AA514&gt;0,AB514&gt;=Controls!$B$39*AA514),1,0)</f>
        <v/>
      </c>
      <c r="AD514">
        <f>IF(AND(E514&lt;&gt;"",E514&gt;=Controls!$B$37,E514&lt;=Controls!$B$38),1,0)</f>
        <v/>
      </c>
      <c r="AE514">
        <f>IF(IFERROR(VLOOKUP(D514,Controls!$A$64:$E$74,2,FALSE),"No")="Yes",1,0)</f>
        <v/>
      </c>
      <c r="AF514">
        <f>IF(IFERROR(VLOOKUP(D514,Controls!$A$64:$E$74,3,FALSE),"No")="Yes",1,0)</f>
        <v/>
      </c>
      <c r="AG514">
        <f>IF(IFERROR(VLOOKUP(D514,Controls!$A$64:$E$74,4,FALSE),"No")="Yes",1,0)</f>
        <v/>
      </c>
      <c r="AH514">
        <f>IF(IFERROR(VLOOKUP(D514,Controls!$A$64:$E$74,5,FALSE),"No")="Yes",1,0)</f>
        <v/>
      </c>
      <c r="AI514">
        <f>IF(ISNUMBER(MATCH(D514,Controls!$A$64:$A$74,0)),1,0)</f>
        <v/>
      </c>
      <c r="AJ514">
        <f>Q514-N514</f>
        <v/>
      </c>
      <c r="AK514">
        <f>IF(AE514=1,MAX(0,N514-Q514),0)</f>
        <v/>
      </c>
      <c r="AL514">
        <f>IF(OR(V514="",V514=0),0,N514/V514)</f>
        <v/>
      </c>
      <c r="AM514">
        <f>IF(OR(V514="",V514=0),0,1)</f>
        <v/>
      </c>
      <c r="AN514">
        <f>IF(OR(E514="",F514=""),0,NETWORKDAYS(E514,F514,Ref!$K$2:$K$42))</f>
        <v/>
      </c>
      <c r="AO514">
        <f>IF(L514="Renewal",1,0)</f>
        <v/>
      </c>
      <c r="AP514">
        <f>AC514*AD514</f>
        <v/>
      </c>
      <c r="AQ514">
        <f>IF(AND(G514&lt;&gt;"",'Historical Score'!$C$6&lt;&gt;""),IF(G514='Historical Score'!$C$6,1,0),0)</f>
        <v/>
      </c>
      <c r="AR514">
        <f>IF(AND(L514&lt;&gt;"",'Historical Score'!$C$5&lt;&gt;""),IF(L514='Historical Score'!$C$5,1,0),0)</f>
        <v/>
      </c>
      <c r="AS514">
        <f>IF(AND(Y514&lt;&gt;"",'Historical Score'!$C$7&lt;&gt;""),IF(Y514='Historical Score'!$C$7,1,0),0)</f>
        <v/>
      </c>
      <c r="AT514">
        <f>IF(AND(K514&lt;&gt;"",'Historical Score'!$C$8&lt;&gt;""),IF(K514='Historical Score'!$C$8,1,0),0)</f>
        <v/>
      </c>
      <c r="AU514">
        <f>IF(AND(J514&lt;&gt;"",'Historical Score'!$C$9&lt;&gt;""),IF(J514='Historical Score'!$C$9,1,0),0)</f>
        <v/>
      </c>
      <c r="AV514">
        <f>AR514*AS514*AQ514</f>
        <v/>
      </c>
      <c r="AW514">
        <f>AR514*AT514*AQ514</f>
        <v/>
      </c>
      <c r="AX514">
        <f>AR514*AS514</f>
        <v/>
      </c>
      <c r="AY514">
        <f>AR514*AT514</f>
        <v/>
      </c>
      <c r="AZ514">
        <f>AR514*AQ514</f>
        <v/>
      </c>
      <c r="BA514">
        <f>AR514</f>
        <v/>
      </c>
      <c r="BB514">
        <f>1</f>
        <v/>
      </c>
      <c r="BC514">
        <f>IF(AV514=1,1,IF(AW514=1,2,IF(AX514=1,3,IF(AY514=1,4,IF(AZ514=1,5,IF(BA514=1,6,7))))))</f>
        <v/>
      </c>
      <c r="BD514">
        <f>IF(AD514=1,CHOOSE('Historical Score'!$C$29,AV514,AW514,AX514,AY514,AZ514,BA514,BB514),0)</f>
        <v/>
      </c>
      <c r="BE514">
        <f>IF(BD514=1,COUNTIF($BD$2:BD514,1),"")</f>
        <v/>
      </c>
    </row>
    <row r="515">
      <c r="A515" t="inlineStr">
        <is>
          <t>5674176019</t>
        </is>
      </c>
      <c r="B515" t="inlineStr">
        <is>
          <t>A-1 CEMENT FINISHING &amp; BOBCAT WORK</t>
        </is>
      </c>
      <c r="C515" t="inlineStr">
        <is>
          <t>ALAN L LINDSEY</t>
        </is>
      </c>
      <c r="D515" t="inlineStr">
        <is>
          <t>Legal</t>
        </is>
      </c>
      <c r="E515" s="297" t="n">
        <v>46030</v>
      </c>
      <c r="F515" s="297" t="n">
        <v>46202</v>
      </c>
      <c r="G515" t="n">
        <v>2</v>
      </c>
      <c r="J515" t="inlineStr">
        <is>
          <t>GA</t>
        </is>
      </c>
      <c r="K515" t="inlineStr">
        <is>
          <t>Fundwell</t>
        </is>
      </c>
      <c r="L515" t="inlineStr">
        <is>
          <t>New Deal</t>
        </is>
      </c>
      <c r="M515" s="298" t="n">
        <v>1.49</v>
      </c>
      <c r="N515" s="299" t="n">
        <v>53000</v>
      </c>
      <c r="O515" s="299" t="n">
        <v>8745</v>
      </c>
      <c r="P515" s="299" t="n">
        <v>78970</v>
      </c>
      <c r="Q515" s="299" t="n">
        <v>15870.06</v>
      </c>
      <c r="R515" s="299" t="n">
        <v>63099.94</v>
      </c>
      <c r="S515" s="300" t="n">
        <v>0.200963150563505</v>
      </c>
      <c r="T515" t="n">
        <v>48</v>
      </c>
      <c r="U515" t="n">
        <v>1</v>
      </c>
      <c r="V515" t="n">
        <v>72387.47</v>
      </c>
      <c r="W515" s="300" t="n">
        <v>0.09089999999999999</v>
      </c>
      <c r="X515" s="297" t="n">
        <v>32748</v>
      </c>
      <c r="Y515">
        <f>IF(I515="","No SIC",IFERROR(VLOOKUP(I515,Ref!$A$2:$B$65,2,FALSE),"Unclassified"))</f>
        <v/>
      </c>
      <c r="Z515">
        <f>IF(T515="","",IF(T515&lt;12,"Daily","Weekly"))</f>
        <v/>
      </c>
      <c r="AA515">
        <f>IF(T515="",0,IF(T515&lt;12,T515*Controls!$B$29,T515*5))</f>
        <v/>
      </c>
      <c r="AB515">
        <f>IF(E515="",0,NETWORKDAYS(E515,Controls!$B$36,Ref!$K$2:$K$42))</f>
        <v/>
      </c>
      <c r="AC515">
        <f>IF(AND(AA515&gt;0,AB515&gt;=Controls!$B$39*AA515),1,0)</f>
        <v/>
      </c>
      <c r="AD515">
        <f>IF(AND(E515&lt;&gt;"",E515&gt;=Controls!$B$37,E515&lt;=Controls!$B$38),1,0)</f>
        <v/>
      </c>
      <c r="AE515">
        <f>IF(IFERROR(VLOOKUP(D515,Controls!$A$64:$E$74,2,FALSE),"No")="Yes",1,0)</f>
        <v/>
      </c>
      <c r="AF515">
        <f>IF(IFERROR(VLOOKUP(D515,Controls!$A$64:$E$74,3,FALSE),"No")="Yes",1,0)</f>
        <v/>
      </c>
      <c r="AG515">
        <f>IF(IFERROR(VLOOKUP(D515,Controls!$A$64:$E$74,4,FALSE),"No")="Yes",1,0)</f>
        <v/>
      </c>
      <c r="AH515">
        <f>IF(IFERROR(VLOOKUP(D515,Controls!$A$64:$E$74,5,FALSE),"No")="Yes",1,0)</f>
        <v/>
      </c>
      <c r="AI515">
        <f>IF(ISNUMBER(MATCH(D515,Controls!$A$64:$A$74,0)),1,0)</f>
        <v/>
      </c>
      <c r="AJ515">
        <f>Q515-N515</f>
        <v/>
      </c>
      <c r="AK515">
        <f>IF(AE515=1,MAX(0,N515-Q515),0)</f>
        <v/>
      </c>
      <c r="AL515">
        <f>IF(OR(V515="",V515=0),0,N515/V515)</f>
        <v/>
      </c>
      <c r="AM515">
        <f>IF(OR(V515="",V515=0),0,1)</f>
        <v/>
      </c>
      <c r="AN515">
        <f>IF(OR(E515="",F515=""),0,NETWORKDAYS(E515,F515,Ref!$K$2:$K$42))</f>
        <v/>
      </c>
      <c r="AO515">
        <f>IF(L515="Renewal",1,0)</f>
        <v/>
      </c>
      <c r="AP515">
        <f>AC515*AD515</f>
        <v/>
      </c>
      <c r="AQ515">
        <f>IF(AND(G515&lt;&gt;"",'Historical Score'!$C$6&lt;&gt;""),IF(G515='Historical Score'!$C$6,1,0),0)</f>
        <v/>
      </c>
      <c r="AR515">
        <f>IF(AND(L515&lt;&gt;"",'Historical Score'!$C$5&lt;&gt;""),IF(L515='Historical Score'!$C$5,1,0),0)</f>
        <v/>
      </c>
      <c r="AS515">
        <f>IF(AND(Y515&lt;&gt;"",'Historical Score'!$C$7&lt;&gt;""),IF(Y515='Historical Score'!$C$7,1,0),0)</f>
        <v/>
      </c>
      <c r="AT515">
        <f>IF(AND(K515&lt;&gt;"",'Historical Score'!$C$8&lt;&gt;""),IF(K515='Historical Score'!$C$8,1,0),0)</f>
        <v/>
      </c>
      <c r="AU515">
        <f>IF(AND(J515&lt;&gt;"",'Historical Score'!$C$9&lt;&gt;""),IF(J515='Historical Score'!$C$9,1,0),0)</f>
        <v/>
      </c>
      <c r="AV515">
        <f>AR515*AS515*AQ515</f>
        <v/>
      </c>
      <c r="AW515">
        <f>AR515*AT515*AQ515</f>
        <v/>
      </c>
      <c r="AX515">
        <f>AR515*AS515</f>
        <v/>
      </c>
      <c r="AY515">
        <f>AR515*AT515</f>
        <v/>
      </c>
      <c r="AZ515">
        <f>AR515*AQ515</f>
        <v/>
      </c>
      <c r="BA515">
        <f>AR515</f>
        <v/>
      </c>
      <c r="BB515">
        <f>1</f>
        <v/>
      </c>
      <c r="BC515">
        <f>IF(AV515=1,1,IF(AW515=1,2,IF(AX515=1,3,IF(AY515=1,4,IF(AZ515=1,5,IF(BA515=1,6,7))))))</f>
        <v/>
      </c>
      <c r="BD515">
        <f>IF(AD515=1,CHOOSE('Historical Score'!$C$29,AV515,AW515,AX515,AY515,AZ515,BA515,BB515),0)</f>
        <v/>
      </c>
      <c r="BE515">
        <f>IF(BD515=1,COUNTIF($BD$2:BD515,1),"")</f>
        <v/>
      </c>
    </row>
    <row r="516">
      <c r="A516" t="inlineStr">
        <is>
          <t>5674176020</t>
        </is>
      </c>
      <c r="B516" t="inlineStr">
        <is>
          <t>SR UNBOUNDED</t>
        </is>
      </c>
      <c r="C516" t="inlineStr">
        <is>
          <t>SR UNBOUNDED</t>
        </is>
      </c>
      <c r="D516" t="inlineStr">
        <is>
          <t>Closed</t>
        </is>
      </c>
      <c r="E516" s="297" t="n">
        <v>46030</v>
      </c>
      <c r="F516" s="297" t="n">
        <v>46111</v>
      </c>
      <c r="G516" t="n">
        <v>4</v>
      </c>
      <c r="H516" t="inlineStr">
        <is>
          <t>5999</t>
        </is>
      </c>
      <c r="I516" t="inlineStr">
        <is>
          <t>59</t>
        </is>
      </c>
      <c r="J516" t="inlineStr">
        <is>
          <t>CA</t>
        </is>
      </c>
      <c r="K516" t="inlineStr">
        <is>
          <t>Shore Funding USA</t>
        </is>
      </c>
      <c r="L516" t="inlineStr">
        <is>
          <t>Renewal</t>
        </is>
      </c>
      <c r="M516" s="298" t="n">
        <v>1.49</v>
      </c>
      <c r="N516" s="299" t="n">
        <v>11000</v>
      </c>
      <c r="O516" s="299" t="n">
        <v>1540</v>
      </c>
      <c r="P516" s="299" t="n">
        <v>16390</v>
      </c>
      <c r="Q516" s="299" t="n">
        <v>16390</v>
      </c>
      <c r="R516" s="299" t="n">
        <v>0</v>
      </c>
      <c r="S516" s="300" t="n">
        <v>1</v>
      </c>
      <c r="T516" t="n">
        <v>2.623</v>
      </c>
      <c r="U516" t="n">
        <v>1</v>
      </c>
      <c r="V516" t="n">
        <v>18593.14</v>
      </c>
      <c r="W516" s="300" t="n">
        <v>0.2752</v>
      </c>
      <c r="X516" s="297" t="n">
        <v>43863</v>
      </c>
      <c r="Y516">
        <f>IF(I516="","No SIC",IFERROR(VLOOKUP(I516,Ref!$A$2:$B$65,2,FALSE),"Unclassified"))</f>
        <v/>
      </c>
      <c r="Z516">
        <f>IF(T516="","",IF(T516&lt;12,"Daily","Weekly"))</f>
        <v/>
      </c>
      <c r="AA516">
        <f>IF(T516="",0,IF(T516&lt;12,T516*Controls!$B$29,T516*5))</f>
        <v/>
      </c>
      <c r="AB516">
        <f>IF(E516="",0,NETWORKDAYS(E516,Controls!$B$36,Ref!$K$2:$K$42))</f>
        <v/>
      </c>
      <c r="AC516">
        <f>IF(AND(AA516&gt;0,AB516&gt;=Controls!$B$39*AA516),1,0)</f>
        <v/>
      </c>
      <c r="AD516">
        <f>IF(AND(E516&lt;&gt;"",E516&gt;=Controls!$B$37,E516&lt;=Controls!$B$38),1,0)</f>
        <v/>
      </c>
      <c r="AE516">
        <f>IF(IFERROR(VLOOKUP(D516,Controls!$A$64:$E$74,2,FALSE),"No")="Yes",1,0)</f>
        <v/>
      </c>
      <c r="AF516">
        <f>IF(IFERROR(VLOOKUP(D516,Controls!$A$64:$E$74,3,FALSE),"No")="Yes",1,0)</f>
        <v/>
      </c>
      <c r="AG516">
        <f>IF(IFERROR(VLOOKUP(D516,Controls!$A$64:$E$74,4,FALSE),"No")="Yes",1,0)</f>
        <v/>
      </c>
      <c r="AH516">
        <f>IF(IFERROR(VLOOKUP(D516,Controls!$A$64:$E$74,5,FALSE),"No")="Yes",1,0)</f>
        <v/>
      </c>
      <c r="AI516">
        <f>IF(ISNUMBER(MATCH(D516,Controls!$A$64:$A$74,0)),1,0)</f>
        <v/>
      </c>
      <c r="AJ516">
        <f>Q516-N516</f>
        <v/>
      </c>
      <c r="AK516">
        <f>IF(AE516=1,MAX(0,N516-Q516),0)</f>
        <v/>
      </c>
      <c r="AL516">
        <f>IF(OR(V516="",V516=0),0,N516/V516)</f>
        <v/>
      </c>
      <c r="AM516">
        <f>IF(OR(V516="",V516=0),0,1)</f>
        <v/>
      </c>
      <c r="AN516">
        <f>IF(OR(E516="",F516=""),0,NETWORKDAYS(E516,F516,Ref!$K$2:$K$42))</f>
        <v/>
      </c>
      <c r="AO516">
        <f>IF(L516="Renewal",1,0)</f>
        <v/>
      </c>
      <c r="AP516">
        <f>AC516*AD516</f>
        <v/>
      </c>
      <c r="AQ516">
        <f>IF(AND(G516&lt;&gt;"",'Historical Score'!$C$6&lt;&gt;""),IF(G516='Historical Score'!$C$6,1,0),0)</f>
        <v/>
      </c>
      <c r="AR516">
        <f>IF(AND(L516&lt;&gt;"",'Historical Score'!$C$5&lt;&gt;""),IF(L516='Historical Score'!$C$5,1,0),0)</f>
        <v/>
      </c>
      <c r="AS516">
        <f>IF(AND(Y516&lt;&gt;"",'Historical Score'!$C$7&lt;&gt;""),IF(Y516='Historical Score'!$C$7,1,0),0)</f>
        <v/>
      </c>
      <c r="AT516">
        <f>IF(AND(K516&lt;&gt;"",'Historical Score'!$C$8&lt;&gt;""),IF(K516='Historical Score'!$C$8,1,0),0)</f>
        <v/>
      </c>
      <c r="AU516">
        <f>IF(AND(J516&lt;&gt;"",'Historical Score'!$C$9&lt;&gt;""),IF(J516='Historical Score'!$C$9,1,0),0)</f>
        <v/>
      </c>
      <c r="AV516">
        <f>AR516*AS516*AQ516</f>
        <v/>
      </c>
      <c r="AW516">
        <f>AR516*AT516*AQ516</f>
        <v/>
      </c>
      <c r="AX516">
        <f>AR516*AS516</f>
        <v/>
      </c>
      <c r="AY516">
        <f>AR516*AT516</f>
        <v/>
      </c>
      <c r="AZ516">
        <f>AR516*AQ516</f>
        <v/>
      </c>
      <c r="BA516">
        <f>AR516</f>
        <v/>
      </c>
      <c r="BB516">
        <f>1</f>
        <v/>
      </c>
      <c r="BC516">
        <f>IF(AV516=1,1,IF(AW516=1,2,IF(AX516=1,3,IF(AY516=1,4,IF(AZ516=1,5,IF(BA516=1,6,7))))))</f>
        <v/>
      </c>
      <c r="BD516">
        <f>IF(AD516=1,CHOOSE('Historical Score'!$C$29,AV516,AW516,AX516,AY516,AZ516,BA516,BB516),0)</f>
        <v/>
      </c>
      <c r="BE516">
        <f>IF(BD516=1,COUNTIF($BD$2:BD516,1),"")</f>
        <v/>
      </c>
    </row>
    <row r="517">
      <c r="A517" t="inlineStr">
        <is>
          <t>5674176053</t>
        </is>
      </c>
      <c r="B517" t="inlineStr">
        <is>
          <t>ANB PASTRY EMPIRE</t>
        </is>
      </c>
      <c r="C517" t="inlineStr">
        <is>
          <t>ANB PASTRY EMPIRE LLC</t>
        </is>
      </c>
      <c r="D517" t="inlineStr">
        <is>
          <t>Closed</t>
        </is>
      </c>
      <c r="E517" s="297" t="n">
        <v>46030</v>
      </c>
      <c r="F517" s="297" t="n">
        <v>46119</v>
      </c>
      <c r="G517" t="n">
        <v>2</v>
      </c>
      <c r="H517" t="inlineStr">
        <is>
          <t>5142</t>
        </is>
      </c>
      <c r="I517" t="inlineStr">
        <is>
          <t>51</t>
        </is>
      </c>
      <c r="J517" t="inlineStr">
        <is>
          <t>TX</t>
        </is>
      </c>
      <c r="K517" t="inlineStr">
        <is>
          <t>Fundwell</t>
        </is>
      </c>
      <c r="L517" t="inlineStr">
        <is>
          <t>New Deal</t>
        </is>
      </c>
      <c r="M517" s="298" t="n">
        <v>1.46</v>
      </c>
      <c r="N517" s="299" t="n">
        <v>8000</v>
      </c>
      <c r="O517" s="299" t="n">
        <v>1240</v>
      </c>
      <c r="P517" s="299" t="n">
        <v>11680</v>
      </c>
      <c r="Q517" s="299" t="n">
        <v>11680</v>
      </c>
      <c r="R517" s="299" t="n">
        <v>0</v>
      </c>
      <c r="S517" s="300" t="n">
        <v>1</v>
      </c>
      <c r="T517" t="n">
        <v>2.951</v>
      </c>
      <c r="U517" t="n">
        <v>1</v>
      </c>
      <c r="V517" t="n">
        <v>25456</v>
      </c>
      <c r="W517" s="300" t="n">
        <v>0.1205</v>
      </c>
      <c r="X517" s="297" t="n">
        <v>43623</v>
      </c>
      <c r="Y517">
        <f>IF(I517="","No SIC",IFERROR(VLOOKUP(I517,Ref!$A$2:$B$65,2,FALSE),"Unclassified"))</f>
        <v/>
      </c>
      <c r="Z517">
        <f>IF(T517="","",IF(T517&lt;12,"Daily","Weekly"))</f>
        <v/>
      </c>
      <c r="AA517">
        <f>IF(T517="",0,IF(T517&lt;12,T517*Controls!$B$29,T517*5))</f>
        <v/>
      </c>
      <c r="AB517">
        <f>IF(E517="",0,NETWORKDAYS(E517,Controls!$B$36,Ref!$K$2:$K$42))</f>
        <v/>
      </c>
      <c r="AC517">
        <f>IF(AND(AA517&gt;0,AB517&gt;=Controls!$B$39*AA517),1,0)</f>
        <v/>
      </c>
      <c r="AD517">
        <f>IF(AND(E517&lt;&gt;"",E517&gt;=Controls!$B$37,E517&lt;=Controls!$B$38),1,0)</f>
        <v/>
      </c>
      <c r="AE517">
        <f>IF(IFERROR(VLOOKUP(D517,Controls!$A$64:$E$74,2,FALSE),"No")="Yes",1,0)</f>
        <v/>
      </c>
      <c r="AF517">
        <f>IF(IFERROR(VLOOKUP(D517,Controls!$A$64:$E$74,3,FALSE),"No")="Yes",1,0)</f>
        <v/>
      </c>
      <c r="AG517">
        <f>IF(IFERROR(VLOOKUP(D517,Controls!$A$64:$E$74,4,FALSE),"No")="Yes",1,0)</f>
        <v/>
      </c>
      <c r="AH517">
        <f>IF(IFERROR(VLOOKUP(D517,Controls!$A$64:$E$74,5,FALSE),"No")="Yes",1,0)</f>
        <v/>
      </c>
      <c r="AI517">
        <f>IF(ISNUMBER(MATCH(D517,Controls!$A$64:$A$74,0)),1,0)</f>
        <v/>
      </c>
      <c r="AJ517">
        <f>Q517-N517</f>
        <v/>
      </c>
      <c r="AK517">
        <f>IF(AE517=1,MAX(0,N517-Q517),0)</f>
        <v/>
      </c>
      <c r="AL517">
        <f>IF(OR(V517="",V517=0),0,N517/V517)</f>
        <v/>
      </c>
      <c r="AM517">
        <f>IF(OR(V517="",V517=0),0,1)</f>
        <v/>
      </c>
      <c r="AN517">
        <f>IF(OR(E517="",F517=""),0,NETWORKDAYS(E517,F517,Ref!$K$2:$K$42))</f>
        <v/>
      </c>
      <c r="AO517">
        <f>IF(L517="Renewal",1,0)</f>
        <v/>
      </c>
      <c r="AP517">
        <f>AC517*AD517</f>
        <v/>
      </c>
      <c r="AQ517">
        <f>IF(AND(G517&lt;&gt;"",'Historical Score'!$C$6&lt;&gt;""),IF(G517='Historical Score'!$C$6,1,0),0)</f>
        <v/>
      </c>
      <c r="AR517">
        <f>IF(AND(L517&lt;&gt;"",'Historical Score'!$C$5&lt;&gt;""),IF(L517='Historical Score'!$C$5,1,0),0)</f>
        <v/>
      </c>
      <c r="AS517">
        <f>IF(AND(Y517&lt;&gt;"",'Historical Score'!$C$7&lt;&gt;""),IF(Y517='Historical Score'!$C$7,1,0),0)</f>
        <v/>
      </c>
      <c r="AT517">
        <f>IF(AND(K517&lt;&gt;"",'Historical Score'!$C$8&lt;&gt;""),IF(K517='Historical Score'!$C$8,1,0),0)</f>
        <v/>
      </c>
      <c r="AU517">
        <f>IF(AND(J517&lt;&gt;"",'Historical Score'!$C$9&lt;&gt;""),IF(J517='Historical Score'!$C$9,1,0),0)</f>
        <v/>
      </c>
      <c r="AV517">
        <f>AR517*AS517*AQ517</f>
        <v/>
      </c>
      <c r="AW517">
        <f>AR517*AT517*AQ517</f>
        <v/>
      </c>
      <c r="AX517">
        <f>AR517*AS517</f>
        <v/>
      </c>
      <c r="AY517">
        <f>AR517*AT517</f>
        <v/>
      </c>
      <c r="AZ517">
        <f>AR517*AQ517</f>
        <v/>
      </c>
      <c r="BA517">
        <f>AR517</f>
        <v/>
      </c>
      <c r="BB517">
        <f>1</f>
        <v/>
      </c>
      <c r="BC517">
        <f>IF(AV517=1,1,IF(AW517=1,2,IF(AX517=1,3,IF(AY517=1,4,IF(AZ517=1,5,IF(BA517=1,6,7))))))</f>
        <v/>
      </c>
      <c r="BD517">
        <f>IF(AD517=1,CHOOSE('Historical Score'!$C$29,AV517,AW517,AX517,AY517,AZ517,BA517,BB517),0)</f>
        <v/>
      </c>
      <c r="BE517">
        <f>IF(BD517=1,COUNTIF($BD$2:BD517,1),"")</f>
        <v/>
      </c>
    </row>
    <row r="518">
      <c r="A518" t="inlineStr">
        <is>
          <t>5674176064</t>
        </is>
      </c>
      <c r="B518" t="inlineStr">
        <is>
          <t>KMT TRUCKING SERVICE LLC</t>
        </is>
      </c>
      <c r="C518" t="inlineStr">
        <is>
          <t>KMT TRUCKING SERVICE LLC</t>
        </is>
      </c>
      <c r="D518" t="inlineStr">
        <is>
          <t>Legal</t>
        </is>
      </c>
      <c r="E518" s="297" t="n">
        <v>46030</v>
      </c>
      <c r="F518" s="297" t="n">
        <v>46038</v>
      </c>
      <c r="G518" t="n">
        <v>3</v>
      </c>
      <c r="H518" t="inlineStr">
        <is>
          <t>4212</t>
        </is>
      </c>
      <c r="I518" t="inlineStr">
        <is>
          <t>42</t>
        </is>
      </c>
      <c r="J518" t="inlineStr">
        <is>
          <t>MS</t>
        </is>
      </c>
      <c r="K518" t="inlineStr">
        <is>
          <t>United Secured Capital 8</t>
        </is>
      </c>
      <c r="L518" t="inlineStr">
        <is>
          <t>New Deal</t>
        </is>
      </c>
      <c r="M518" s="298" t="n">
        <v>1.49</v>
      </c>
      <c r="N518" s="299" t="n">
        <v>10000</v>
      </c>
      <c r="O518" s="299" t="n">
        <v>0</v>
      </c>
      <c r="P518" s="299" t="n">
        <v>14900</v>
      </c>
      <c r="Q518" s="299" t="n">
        <v>992.92</v>
      </c>
      <c r="R518" s="299" t="n">
        <v>13907.08</v>
      </c>
      <c r="S518" s="300" t="n">
        <v>0.0666389261744966</v>
      </c>
      <c r="T518" t="n">
        <v>1.967</v>
      </c>
      <c r="U518" t="n">
        <v>2</v>
      </c>
      <c r="V518" t="n">
        <v>100449.21</v>
      </c>
      <c r="W518" s="300" t="n">
        <v>0.0447</v>
      </c>
      <c r="X518" s="297" t="n">
        <v>43101</v>
      </c>
      <c r="Y518">
        <f>IF(I518="","No SIC",IFERROR(VLOOKUP(I518,Ref!$A$2:$B$65,2,FALSE),"Unclassified"))</f>
        <v/>
      </c>
      <c r="Z518">
        <f>IF(T518="","",IF(T518&lt;12,"Daily","Weekly"))</f>
        <v/>
      </c>
      <c r="AA518">
        <f>IF(T518="",0,IF(T518&lt;12,T518*Controls!$B$29,T518*5))</f>
        <v/>
      </c>
      <c r="AB518">
        <f>IF(E518="",0,NETWORKDAYS(E518,Controls!$B$36,Ref!$K$2:$K$42))</f>
        <v/>
      </c>
      <c r="AC518">
        <f>IF(AND(AA518&gt;0,AB518&gt;=Controls!$B$39*AA518),1,0)</f>
        <v/>
      </c>
      <c r="AD518">
        <f>IF(AND(E518&lt;&gt;"",E518&gt;=Controls!$B$37,E518&lt;=Controls!$B$38),1,0)</f>
        <v/>
      </c>
      <c r="AE518">
        <f>IF(IFERROR(VLOOKUP(D518,Controls!$A$64:$E$74,2,FALSE),"No")="Yes",1,0)</f>
        <v/>
      </c>
      <c r="AF518">
        <f>IF(IFERROR(VLOOKUP(D518,Controls!$A$64:$E$74,3,FALSE),"No")="Yes",1,0)</f>
        <v/>
      </c>
      <c r="AG518">
        <f>IF(IFERROR(VLOOKUP(D518,Controls!$A$64:$E$74,4,FALSE),"No")="Yes",1,0)</f>
        <v/>
      </c>
      <c r="AH518">
        <f>IF(IFERROR(VLOOKUP(D518,Controls!$A$64:$E$74,5,FALSE),"No")="Yes",1,0)</f>
        <v/>
      </c>
      <c r="AI518">
        <f>IF(ISNUMBER(MATCH(D518,Controls!$A$64:$A$74,0)),1,0)</f>
        <v/>
      </c>
      <c r="AJ518">
        <f>Q518-N518</f>
        <v/>
      </c>
      <c r="AK518">
        <f>IF(AE518=1,MAX(0,N518-Q518),0)</f>
        <v/>
      </c>
      <c r="AL518">
        <f>IF(OR(V518="",V518=0),0,N518/V518)</f>
        <v/>
      </c>
      <c r="AM518">
        <f>IF(OR(V518="",V518=0),0,1)</f>
        <v/>
      </c>
      <c r="AN518">
        <f>IF(OR(E518="",F518=""),0,NETWORKDAYS(E518,F518,Ref!$K$2:$K$42))</f>
        <v/>
      </c>
      <c r="AO518">
        <f>IF(L518="Renewal",1,0)</f>
        <v/>
      </c>
      <c r="AP518">
        <f>AC518*AD518</f>
        <v/>
      </c>
      <c r="AQ518">
        <f>IF(AND(G518&lt;&gt;"",'Historical Score'!$C$6&lt;&gt;""),IF(G518='Historical Score'!$C$6,1,0),0)</f>
        <v/>
      </c>
      <c r="AR518">
        <f>IF(AND(L518&lt;&gt;"",'Historical Score'!$C$5&lt;&gt;""),IF(L518='Historical Score'!$C$5,1,0),0)</f>
        <v/>
      </c>
      <c r="AS518">
        <f>IF(AND(Y518&lt;&gt;"",'Historical Score'!$C$7&lt;&gt;""),IF(Y518='Historical Score'!$C$7,1,0),0)</f>
        <v/>
      </c>
      <c r="AT518">
        <f>IF(AND(K518&lt;&gt;"",'Historical Score'!$C$8&lt;&gt;""),IF(K518='Historical Score'!$C$8,1,0),0)</f>
        <v/>
      </c>
      <c r="AU518">
        <f>IF(AND(J518&lt;&gt;"",'Historical Score'!$C$9&lt;&gt;""),IF(J518='Historical Score'!$C$9,1,0),0)</f>
        <v/>
      </c>
      <c r="AV518">
        <f>AR518*AS518*AQ518</f>
        <v/>
      </c>
      <c r="AW518">
        <f>AR518*AT518*AQ518</f>
        <v/>
      </c>
      <c r="AX518">
        <f>AR518*AS518</f>
        <v/>
      </c>
      <c r="AY518">
        <f>AR518*AT518</f>
        <v/>
      </c>
      <c r="AZ518">
        <f>AR518*AQ518</f>
        <v/>
      </c>
      <c r="BA518">
        <f>AR518</f>
        <v/>
      </c>
      <c r="BB518">
        <f>1</f>
        <v/>
      </c>
      <c r="BC518">
        <f>IF(AV518=1,1,IF(AW518=1,2,IF(AX518=1,3,IF(AY518=1,4,IF(AZ518=1,5,IF(BA518=1,6,7))))))</f>
        <v/>
      </c>
      <c r="BD518">
        <f>IF(AD518=1,CHOOSE('Historical Score'!$C$29,AV518,AW518,AX518,AY518,AZ518,BA518,BB518),0)</f>
        <v/>
      </c>
      <c r="BE518">
        <f>IF(BD518=1,COUNTIF($BD$2:BD518,1),"")</f>
        <v/>
      </c>
    </row>
    <row r="519">
      <c r="A519" t="inlineStr">
        <is>
          <t>5674176066</t>
        </is>
      </c>
      <c r="B519" t="inlineStr">
        <is>
          <t>TOMPKINS TRANSPORTATION</t>
        </is>
      </c>
      <c r="C519" t="inlineStr">
        <is>
          <t>TOMPKINS TRANSPORTATION LLC</t>
        </is>
      </c>
      <c r="D519" t="inlineStr">
        <is>
          <t>Bankruptcy</t>
        </is>
      </c>
      <c r="E519" s="297" t="n">
        <v>46030</v>
      </c>
      <c r="F519" s="297" t="n">
        <v>46052</v>
      </c>
      <c r="G519" t="n">
        <v>4</v>
      </c>
      <c r="H519" t="inlineStr">
        <is>
          <t>4212</t>
        </is>
      </c>
      <c r="I519" t="inlineStr">
        <is>
          <t>42</t>
        </is>
      </c>
      <c r="J519" t="inlineStr">
        <is>
          <t>VA</t>
        </is>
      </c>
      <c r="K519" t="inlineStr">
        <is>
          <t>MADVANCEGRP</t>
        </is>
      </c>
      <c r="L519" t="inlineStr">
        <is>
          <t>New Deal</t>
        </is>
      </c>
      <c r="M519" s="298" t="n">
        <v>1.49</v>
      </c>
      <c r="N519" s="299" t="n">
        <v>25000</v>
      </c>
      <c r="O519" s="299" t="n">
        <v>0</v>
      </c>
      <c r="P519" s="299" t="n">
        <v>37250</v>
      </c>
      <c r="Q519" s="299" t="n">
        <v>3102.18</v>
      </c>
      <c r="R519" s="299" t="n">
        <v>34147.82</v>
      </c>
      <c r="S519" s="300" t="n">
        <v>0.08328000000000001</v>
      </c>
      <c r="T519" t="n">
        <v>24</v>
      </c>
      <c r="U519" t="n">
        <v>1</v>
      </c>
      <c r="V519" t="n">
        <v>71976.14</v>
      </c>
      <c r="W519" s="300" t="n">
        <v>0.0862</v>
      </c>
      <c r="X519" s="297" t="n"/>
      <c r="Y519">
        <f>IF(I519="","No SIC",IFERROR(VLOOKUP(I519,Ref!$A$2:$B$65,2,FALSE),"Unclassified"))</f>
        <v/>
      </c>
      <c r="Z519">
        <f>IF(T519="","",IF(T519&lt;12,"Daily","Weekly"))</f>
        <v/>
      </c>
      <c r="AA519">
        <f>IF(T519="",0,IF(T519&lt;12,T519*Controls!$B$29,T519*5))</f>
        <v/>
      </c>
      <c r="AB519">
        <f>IF(E519="",0,NETWORKDAYS(E519,Controls!$B$36,Ref!$K$2:$K$42))</f>
        <v/>
      </c>
      <c r="AC519">
        <f>IF(AND(AA519&gt;0,AB519&gt;=Controls!$B$39*AA519),1,0)</f>
        <v/>
      </c>
      <c r="AD519">
        <f>IF(AND(E519&lt;&gt;"",E519&gt;=Controls!$B$37,E519&lt;=Controls!$B$38),1,0)</f>
        <v/>
      </c>
      <c r="AE519">
        <f>IF(IFERROR(VLOOKUP(D519,Controls!$A$64:$E$74,2,FALSE),"No")="Yes",1,0)</f>
        <v/>
      </c>
      <c r="AF519">
        <f>IF(IFERROR(VLOOKUP(D519,Controls!$A$64:$E$74,3,FALSE),"No")="Yes",1,0)</f>
        <v/>
      </c>
      <c r="AG519">
        <f>IF(IFERROR(VLOOKUP(D519,Controls!$A$64:$E$74,4,FALSE),"No")="Yes",1,0)</f>
        <v/>
      </c>
      <c r="AH519">
        <f>IF(IFERROR(VLOOKUP(D519,Controls!$A$64:$E$74,5,FALSE),"No")="Yes",1,0)</f>
        <v/>
      </c>
      <c r="AI519">
        <f>IF(ISNUMBER(MATCH(D519,Controls!$A$64:$A$74,0)),1,0)</f>
        <v/>
      </c>
      <c r="AJ519">
        <f>Q519-N519</f>
        <v/>
      </c>
      <c r="AK519">
        <f>IF(AE519=1,MAX(0,N519-Q519),0)</f>
        <v/>
      </c>
      <c r="AL519">
        <f>IF(OR(V519="",V519=0),0,N519/V519)</f>
        <v/>
      </c>
      <c r="AM519">
        <f>IF(OR(V519="",V519=0),0,1)</f>
        <v/>
      </c>
      <c r="AN519">
        <f>IF(OR(E519="",F519=""),0,NETWORKDAYS(E519,F519,Ref!$K$2:$K$42))</f>
        <v/>
      </c>
      <c r="AO519">
        <f>IF(L519="Renewal",1,0)</f>
        <v/>
      </c>
      <c r="AP519">
        <f>AC519*AD519</f>
        <v/>
      </c>
      <c r="AQ519">
        <f>IF(AND(G519&lt;&gt;"",'Historical Score'!$C$6&lt;&gt;""),IF(G519='Historical Score'!$C$6,1,0),0)</f>
        <v/>
      </c>
      <c r="AR519">
        <f>IF(AND(L519&lt;&gt;"",'Historical Score'!$C$5&lt;&gt;""),IF(L519='Historical Score'!$C$5,1,0),0)</f>
        <v/>
      </c>
      <c r="AS519">
        <f>IF(AND(Y519&lt;&gt;"",'Historical Score'!$C$7&lt;&gt;""),IF(Y519='Historical Score'!$C$7,1,0),0)</f>
        <v/>
      </c>
      <c r="AT519">
        <f>IF(AND(K519&lt;&gt;"",'Historical Score'!$C$8&lt;&gt;""),IF(K519='Historical Score'!$C$8,1,0),0)</f>
        <v/>
      </c>
      <c r="AU519">
        <f>IF(AND(J519&lt;&gt;"",'Historical Score'!$C$9&lt;&gt;""),IF(J519='Historical Score'!$C$9,1,0),0)</f>
        <v/>
      </c>
      <c r="AV519">
        <f>AR519*AS519*AQ519</f>
        <v/>
      </c>
      <c r="AW519">
        <f>AR519*AT519*AQ519</f>
        <v/>
      </c>
      <c r="AX519">
        <f>AR519*AS519</f>
        <v/>
      </c>
      <c r="AY519">
        <f>AR519*AT519</f>
        <v/>
      </c>
      <c r="AZ519">
        <f>AR519*AQ519</f>
        <v/>
      </c>
      <c r="BA519">
        <f>AR519</f>
        <v/>
      </c>
      <c r="BB519">
        <f>1</f>
        <v/>
      </c>
      <c r="BC519">
        <f>IF(AV519=1,1,IF(AW519=1,2,IF(AX519=1,3,IF(AY519=1,4,IF(AZ519=1,5,IF(BA519=1,6,7))))))</f>
        <v/>
      </c>
      <c r="BD519">
        <f>IF(AD519=1,CHOOSE('Historical Score'!$C$29,AV519,AW519,AX519,AY519,AZ519,BA519,BB519),0)</f>
        <v/>
      </c>
      <c r="BE519">
        <f>IF(BD519=1,COUNTIF($BD$2:BD519,1),"")</f>
        <v/>
      </c>
    </row>
    <row r="520">
      <c r="A520" t="inlineStr">
        <is>
          <t>5674176109</t>
        </is>
      </c>
      <c r="B520" t="inlineStr">
        <is>
          <t>ImpactPro Parts &amp; Supply Inc</t>
        </is>
      </c>
      <c r="C520" t="inlineStr">
        <is>
          <t>WM Nohle Inc</t>
        </is>
      </c>
      <c r="D520" t="inlineStr">
        <is>
          <t>Legal</t>
        </is>
      </c>
      <c r="E520" s="297" t="n">
        <v>46031</v>
      </c>
      <c r="F520" s="297" t="n">
        <v>46065</v>
      </c>
      <c r="G520" t="n">
        <v>3</v>
      </c>
      <c r="H520" t="inlineStr">
        <is>
          <t>5531</t>
        </is>
      </c>
      <c r="I520" t="inlineStr">
        <is>
          <t>55</t>
        </is>
      </c>
      <c r="J520" t="inlineStr">
        <is>
          <t>VA</t>
        </is>
      </c>
      <c r="K520" t="inlineStr">
        <is>
          <t>Fundwell</t>
        </is>
      </c>
      <c r="L520" t="inlineStr">
        <is>
          <t>New Deal</t>
        </is>
      </c>
      <c r="M520" s="298" t="n">
        <v>1.41</v>
      </c>
      <c r="N520" s="299" t="n">
        <v>140000</v>
      </c>
      <c r="O520" s="299" t="n">
        <v>17500</v>
      </c>
      <c r="P520" s="299" t="n">
        <v>197400</v>
      </c>
      <c r="Q520" s="299" t="n">
        <v>13831.7</v>
      </c>
      <c r="R520" s="299" t="n">
        <v>183568.3</v>
      </c>
      <c r="S520" s="300" t="n">
        <v>0.0700694022289767</v>
      </c>
      <c r="T520" t="n">
        <v>32</v>
      </c>
      <c r="U520" t="n">
        <v>2</v>
      </c>
      <c r="V520" t="n">
        <v>285786.95</v>
      </c>
      <c r="W520" s="300" t="n">
        <v>0.0863</v>
      </c>
      <c r="X520" s="297" t="n">
        <v>43405</v>
      </c>
      <c r="Y520">
        <f>IF(I520="","No SIC",IFERROR(VLOOKUP(I520,Ref!$A$2:$B$65,2,FALSE),"Unclassified"))</f>
        <v/>
      </c>
      <c r="Z520">
        <f>IF(T520="","",IF(T520&lt;12,"Daily","Weekly"))</f>
        <v/>
      </c>
      <c r="AA520">
        <f>IF(T520="",0,IF(T520&lt;12,T520*Controls!$B$29,T520*5))</f>
        <v/>
      </c>
      <c r="AB520">
        <f>IF(E520="",0,NETWORKDAYS(E520,Controls!$B$36,Ref!$K$2:$K$42))</f>
        <v/>
      </c>
      <c r="AC520">
        <f>IF(AND(AA520&gt;0,AB520&gt;=Controls!$B$39*AA520),1,0)</f>
        <v/>
      </c>
      <c r="AD520">
        <f>IF(AND(E520&lt;&gt;"",E520&gt;=Controls!$B$37,E520&lt;=Controls!$B$38),1,0)</f>
        <v/>
      </c>
      <c r="AE520">
        <f>IF(IFERROR(VLOOKUP(D520,Controls!$A$64:$E$74,2,FALSE),"No")="Yes",1,0)</f>
        <v/>
      </c>
      <c r="AF520">
        <f>IF(IFERROR(VLOOKUP(D520,Controls!$A$64:$E$74,3,FALSE),"No")="Yes",1,0)</f>
        <v/>
      </c>
      <c r="AG520">
        <f>IF(IFERROR(VLOOKUP(D520,Controls!$A$64:$E$74,4,FALSE),"No")="Yes",1,0)</f>
        <v/>
      </c>
      <c r="AH520">
        <f>IF(IFERROR(VLOOKUP(D520,Controls!$A$64:$E$74,5,FALSE),"No")="Yes",1,0)</f>
        <v/>
      </c>
      <c r="AI520">
        <f>IF(ISNUMBER(MATCH(D520,Controls!$A$64:$A$74,0)),1,0)</f>
        <v/>
      </c>
      <c r="AJ520">
        <f>Q520-N520</f>
        <v/>
      </c>
      <c r="AK520">
        <f>IF(AE520=1,MAX(0,N520-Q520),0)</f>
        <v/>
      </c>
      <c r="AL520">
        <f>IF(OR(V520="",V520=0),0,N520/V520)</f>
        <v/>
      </c>
      <c r="AM520">
        <f>IF(OR(V520="",V520=0),0,1)</f>
        <v/>
      </c>
      <c r="AN520">
        <f>IF(OR(E520="",F520=""),0,NETWORKDAYS(E520,F520,Ref!$K$2:$K$42))</f>
        <v/>
      </c>
      <c r="AO520">
        <f>IF(L520="Renewal",1,0)</f>
        <v/>
      </c>
      <c r="AP520">
        <f>AC520*AD520</f>
        <v/>
      </c>
      <c r="AQ520">
        <f>IF(AND(G520&lt;&gt;"",'Historical Score'!$C$6&lt;&gt;""),IF(G520='Historical Score'!$C$6,1,0),0)</f>
        <v/>
      </c>
      <c r="AR520">
        <f>IF(AND(L520&lt;&gt;"",'Historical Score'!$C$5&lt;&gt;""),IF(L520='Historical Score'!$C$5,1,0),0)</f>
        <v/>
      </c>
      <c r="AS520">
        <f>IF(AND(Y520&lt;&gt;"",'Historical Score'!$C$7&lt;&gt;""),IF(Y520='Historical Score'!$C$7,1,0),0)</f>
        <v/>
      </c>
      <c r="AT520">
        <f>IF(AND(K520&lt;&gt;"",'Historical Score'!$C$8&lt;&gt;""),IF(K520='Historical Score'!$C$8,1,0),0)</f>
        <v/>
      </c>
      <c r="AU520">
        <f>IF(AND(J520&lt;&gt;"",'Historical Score'!$C$9&lt;&gt;""),IF(J520='Historical Score'!$C$9,1,0),0)</f>
        <v/>
      </c>
      <c r="AV520">
        <f>AR520*AS520*AQ520</f>
        <v/>
      </c>
      <c r="AW520">
        <f>AR520*AT520*AQ520</f>
        <v/>
      </c>
      <c r="AX520">
        <f>AR520*AS520</f>
        <v/>
      </c>
      <c r="AY520">
        <f>AR520*AT520</f>
        <v/>
      </c>
      <c r="AZ520">
        <f>AR520*AQ520</f>
        <v/>
      </c>
      <c r="BA520">
        <f>AR520</f>
        <v/>
      </c>
      <c r="BB520">
        <f>1</f>
        <v/>
      </c>
      <c r="BC520">
        <f>IF(AV520=1,1,IF(AW520=1,2,IF(AX520=1,3,IF(AY520=1,4,IF(AZ520=1,5,IF(BA520=1,6,7))))))</f>
        <v/>
      </c>
      <c r="BD520">
        <f>IF(AD520=1,CHOOSE('Historical Score'!$C$29,AV520,AW520,AX520,AY520,AZ520,BA520,BB520),0)</f>
        <v/>
      </c>
      <c r="BE520">
        <f>IF(BD520=1,COUNTIF($BD$2:BD520,1),"")</f>
        <v/>
      </c>
    </row>
    <row r="521">
      <c r="A521" t="inlineStr">
        <is>
          <t>5674176146</t>
        </is>
      </c>
      <c r="B521" t="inlineStr">
        <is>
          <t>A &amp; F SERVICES</t>
        </is>
      </c>
      <c r="C521" t="inlineStr">
        <is>
          <t>I HAUL ASSOCIATES LLC</t>
        </is>
      </c>
      <c r="D521" t="inlineStr">
        <is>
          <t>Legal</t>
        </is>
      </c>
      <c r="E521" s="297" t="n">
        <v>46031</v>
      </c>
      <c r="F521" s="297" t="n">
        <v>46178</v>
      </c>
      <c r="G521" t="n">
        <v>4</v>
      </c>
      <c r="H521" t="inlineStr">
        <is>
          <t>4212</t>
        </is>
      </c>
      <c r="I521" t="inlineStr">
        <is>
          <t>42</t>
        </is>
      </c>
      <c r="J521" t="inlineStr">
        <is>
          <t>NJ</t>
        </is>
      </c>
      <c r="K521" t="inlineStr">
        <is>
          <t>United Secured Capital 8</t>
        </is>
      </c>
      <c r="L521" t="inlineStr">
        <is>
          <t>New Deal</t>
        </is>
      </c>
      <c r="M521" s="298" t="n">
        <v>1.49</v>
      </c>
      <c r="N521" s="299" t="n">
        <v>15000</v>
      </c>
      <c r="O521" s="299" t="n">
        <v>2100</v>
      </c>
      <c r="P521" s="299" t="n">
        <v>22350</v>
      </c>
      <c r="Q521" s="299" t="n">
        <v>18121.52</v>
      </c>
      <c r="R521" s="299" t="n">
        <v>4228.48</v>
      </c>
      <c r="S521" s="300" t="n">
        <v>0.810806263982103</v>
      </c>
      <c r="T521" t="n">
        <v>2.951</v>
      </c>
      <c r="U521" t="n">
        <v>29</v>
      </c>
      <c r="V521" t="n">
        <v>336326.24</v>
      </c>
      <c r="W521" s="300" t="n">
        <v>0.0155</v>
      </c>
      <c r="X521" s="297" t="n">
        <v>37155</v>
      </c>
      <c r="Y521">
        <f>IF(I521="","No SIC",IFERROR(VLOOKUP(I521,Ref!$A$2:$B$65,2,FALSE),"Unclassified"))</f>
        <v/>
      </c>
      <c r="Z521">
        <f>IF(T521="","",IF(T521&lt;12,"Daily","Weekly"))</f>
        <v/>
      </c>
      <c r="AA521">
        <f>IF(T521="",0,IF(T521&lt;12,T521*Controls!$B$29,T521*5))</f>
        <v/>
      </c>
      <c r="AB521">
        <f>IF(E521="",0,NETWORKDAYS(E521,Controls!$B$36,Ref!$K$2:$K$42))</f>
        <v/>
      </c>
      <c r="AC521">
        <f>IF(AND(AA521&gt;0,AB521&gt;=Controls!$B$39*AA521),1,0)</f>
        <v/>
      </c>
      <c r="AD521">
        <f>IF(AND(E521&lt;&gt;"",E521&gt;=Controls!$B$37,E521&lt;=Controls!$B$38),1,0)</f>
        <v/>
      </c>
      <c r="AE521">
        <f>IF(IFERROR(VLOOKUP(D521,Controls!$A$64:$E$74,2,FALSE),"No")="Yes",1,0)</f>
        <v/>
      </c>
      <c r="AF521">
        <f>IF(IFERROR(VLOOKUP(D521,Controls!$A$64:$E$74,3,FALSE),"No")="Yes",1,0)</f>
        <v/>
      </c>
      <c r="AG521">
        <f>IF(IFERROR(VLOOKUP(D521,Controls!$A$64:$E$74,4,FALSE),"No")="Yes",1,0)</f>
        <v/>
      </c>
      <c r="AH521">
        <f>IF(IFERROR(VLOOKUP(D521,Controls!$A$64:$E$74,5,FALSE),"No")="Yes",1,0)</f>
        <v/>
      </c>
      <c r="AI521">
        <f>IF(ISNUMBER(MATCH(D521,Controls!$A$64:$A$74,0)),1,0)</f>
        <v/>
      </c>
      <c r="AJ521">
        <f>Q521-N521</f>
        <v/>
      </c>
      <c r="AK521">
        <f>IF(AE521=1,MAX(0,N521-Q521),0)</f>
        <v/>
      </c>
      <c r="AL521">
        <f>IF(OR(V521="",V521=0),0,N521/V521)</f>
        <v/>
      </c>
      <c r="AM521">
        <f>IF(OR(V521="",V521=0),0,1)</f>
        <v/>
      </c>
      <c r="AN521">
        <f>IF(OR(E521="",F521=""),0,NETWORKDAYS(E521,F521,Ref!$K$2:$K$42))</f>
        <v/>
      </c>
      <c r="AO521">
        <f>IF(L521="Renewal",1,0)</f>
        <v/>
      </c>
      <c r="AP521">
        <f>AC521*AD521</f>
        <v/>
      </c>
      <c r="AQ521">
        <f>IF(AND(G521&lt;&gt;"",'Historical Score'!$C$6&lt;&gt;""),IF(G521='Historical Score'!$C$6,1,0),0)</f>
        <v/>
      </c>
      <c r="AR521">
        <f>IF(AND(L521&lt;&gt;"",'Historical Score'!$C$5&lt;&gt;""),IF(L521='Historical Score'!$C$5,1,0),0)</f>
        <v/>
      </c>
      <c r="AS521">
        <f>IF(AND(Y521&lt;&gt;"",'Historical Score'!$C$7&lt;&gt;""),IF(Y521='Historical Score'!$C$7,1,0),0)</f>
        <v/>
      </c>
      <c r="AT521">
        <f>IF(AND(K521&lt;&gt;"",'Historical Score'!$C$8&lt;&gt;""),IF(K521='Historical Score'!$C$8,1,0),0)</f>
        <v/>
      </c>
      <c r="AU521">
        <f>IF(AND(J521&lt;&gt;"",'Historical Score'!$C$9&lt;&gt;""),IF(J521='Historical Score'!$C$9,1,0),0)</f>
        <v/>
      </c>
      <c r="AV521">
        <f>AR521*AS521*AQ521</f>
        <v/>
      </c>
      <c r="AW521">
        <f>AR521*AT521*AQ521</f>
        <v/>
      </c>
      <c r="AX521">
        <f>AR521*AS521</f>
        <v/>
      </c>
      <c r="AY521">
        <f>AR521*AT521</f>
        <v/>
      </c>
      <c r="AZ521">
        <f>AR521*AQ521</f>
        <v/>
      </c>
      <c r="BA521">
        <f>AR521</f>
        <v/>
      </c>
      <c r="BB521">
        <f>1</f>
        <v/>
      </c>
      <c r="BC521">
        <f>IF(AV521=1,1,IF(AW521=1,2,IF(AX521=1,3,IF(AY521=1,4,IF(AZ521=1,5,IF(BA521=1,6,7))))))</f>
        <v/>
      </c>
      <c r="BD521">
        <f>IF(AD521=1,CHOOSE('Historical Score'!$C$29,AV521,AW521,AX521,AY521,AZ521,BA521,BB521),0)</f>
        <v/>
      </c>
      <c r="BE521">
        <f>IF(BD521=1,COUNTIF($BD$2:BD521,1),"")</f>
        <v/>
      </c>
    </row>
    <row r="522">
      <c r="A522" t="inlineStr">
        <is>
          <t>5674176152</t>
        </is>
      </c>
      <c r="B522" t="inlineStr">
        <is>
          <t>QWIK PACK &amp; SHIP</t>
        </is>
      </c>
      <c r="C522" t="inlineStr">
        <is>
          <t>QWIK PACK &amp; SHIP USA, LLC</t>
        </is>
      </c>
      <c r="D522" t="inlineStr">
        <is>
          <t>Open</t>
        </is>
      </c>
      <c r="E522" s="297" t="n">
        <v>46031</v>
      </c>
      <c r="F522" s="297" t="n">
        <v>46248</v>
      </c>
      <c r="G522" t="n">
        <v>2</v>
      </c>
      <c r="H522" t="inlineStr">
        <is>
          <t>2752</t>
        </is>
      </c>
      <c r="I522" t="inlineStr">
        <is>
          <t>27</t>
        </is>
      </c>
      <c r="J522" t="inlineStr">
        <is>
          <t>GA</t>
        </is>
      </c>
      <c r="K522" t="inlineStr">
        <is>
          <t>Fundwell</t>
        </is>
      </c>
      <c r="L522" t="inlineStr">
        <is>
          <t>New Deal</t>
        </is>
      </c>
      <c r="M522" s="298" t="n">
        <v>1.4</v>
      </c>
      <c r="N522" s="299" t="n">
        <v>50000</v>
      </c>
      <c r="O522" s="299" t="n">
        <v>6750</v>
      </c>
      <c r="P522" s="299" t="n">
        <v>70000</v>
      </c>
      <c r="Q522" s="299" t="n">
        <v>45219.39</v>
      </c>
      <c r="R522" s="299" t="n">
        <v>24780.61</v>
      </c>
      <c r="S522" s="300" t="n">
        <v>0.645991285714286</v>
      </c>
      <c r="T522" t="n">
        <v>48</v>
      </c>
      <c r="U522" t="n">
        <v>0</v>
      </c>
      <c r="V522" t="n">
        <v>63628.77</v>
      </c>
      <c r="W522" s="300" t="n">
        <v>0.0917</v>
      </c>
      <c r="X522" s="297" t="n">
        <v>33377</v>
      </c>
      <c r="Y522">
        <f>IF(I522="","No SIC",IFERROR(VLOOKUP(I522,Ref!$A$2:$B$65,2,FALSE),"Unclassified"))</f>
        <v/>
      </c>
      <c r="Z522">
        <f>IF(T522="","",IF(T522&lt;12,"Daily","Weekly"))</f>
        <v/>
      </c>
      <c r="AA522">
        <f>IF(T522="",0,IF(T522&lt;12,T522*Controls!$B$29,T522*5))</f>
        <v/>
      </c>
      <c r="AB522">
        <f>IF(E522="",0,NETWORKDAYS(E522,Controls!$B$36,Ref!$K$2:$K$42))</f>
        <v/>
      </c>
      <c r="AC522">
        <f>IF(AND(AA522&gt;0,AB522&gt;=Controls!$B$39*AA522),1,0)</f>
        <v/>
      </c>
      <c r="AD522">
        <f>IF(AND(E522&lt;&gt;"",E522&gt;=Controls!$B$37,E522&lt;=Controls!$B$38),1,0)</f>
        <v/>
      </c>
      <c r="AE522">
        <f>IF(IFERROR(VLOOKUP(D522,Controls!$A$64:$E$74,2,FALSE),"No")="Yes",1,0)</f>
        <v/>
      </c>
      <c r="AF522">
        <f>IF(IFERROR(VLOOKUP(D522,Controls!$A$64:$E$74,3,FALSE),"No")="Yes",1,0)</f>
        <v/>
      </c>
      <c r="AG522">
        <f>IF(IFERROR(VLOOKUP(D522,Controls!$A$64:$E$74,4,FALSE),"No")="Yes",1,0)</f>
        <v/>
      </c>
      <c r="AH522">
        <f>IF(IFERROR(VLOOKUP(D522,Controls!$A$64:$E$74,5,FALSE),"No")="Yes",1,0)</f>
        <v/>
      </c>
      <c r="AI522">
        <f>IF(ISNUMBER(MATCH(D522,Controls!$A$64:$A$74,0)),1,0)</f>
        <v/>
      </c>
      <c r="AJ522">
        <f>Q522-N522</f>
        <v/>
      </c>
      <c r="AK522">
        <f>IF(AE522=1,MAX(0,N522-Q522),0)</f>
        <v/>
      </c>
      <c r="AL522">
        <f>IF(OR(V522="",V522=0),0,N522/V522)</f>
        <v/>
      </c>
      <c r="AM522">
        <f>IF(OR(V522="",V522=0),0,1)</f>
        <v/>
      </c>
      <c r="AN522">
        <f>IF(OR(E522="",F522=""),0,NETWORKDAYS(E522,F522,Ref!$K$2:$K$42))</f>
        <v/>
      </c>
      <c r="AO522">
        <f>IF(L522="Renewal",1,0)</f>
        <v/>
      </c>
      <c r="AP522">
        <f>AC522*AD522</f>
        <v/>
      </c>
      <c r="AQ522">
        <f>IF(AND(G522&lt;&gt;"",'Historical Score'!$C$6&lt;&gt;""),IF(G522='Historical Score'!$C$6,1,0),0)</f>
        <v/>
      </c>
      <c r="AR522">
        <f>IF(AND(L522&lt;&gt;"",'Historical Score'!$C$5&lt;&gt;""),IF(L522='Historical Score'!$C$5,1,0),0)</f>
        <v/>
      </c>
      <c r="AS522">
        <f>IF(AND(Y522&lt;&gt;"",'Historical Score'!$C$7&lt;&gt;""),IF(Y522='Historical Score'!$C$7,1,0),0)</f>
        <v/>
      </c>
      <c r="AT522">
        <f>IF(AND(K522&lt;&gt;"",'Historical Score'!$C$8&lt;&gt;""),IF(K522='Historical Score'!$C$8,1,0),0)</f>
        <v/>
      </c>
      <c r="AU522">
        <f>IF(AND(J522&lt;&gt;"",'Historical Score'!$C$9&lt;&gt;""),IF(J522='Historical Score'!$C$9,1,0),0)</f>
        <v/>
      </c>
      <c r="AV522">
        <f>AR522*AS522*AQ522</f>
        <v/>
      </c>
      <c r="AW522">
        <f>AR522*AT522*AQ522</f>
        <v/>
      </c>
      <c r="AX522">
        <f>AR522*AS522</f>
        <v/>
      </c>
      <c r="AY522">
        <f>AR522*AT522</f>
        <v/>
      </c>
      <c r="AZ522">
        <f>AR522*AQ522</f>
        <v/>
      </c>
      <c r="BA522">
        <f>AR522</f>
        <v/>
      </c>
      <c r="BB522">
        <f>1</f>
        <v/>
      </c>
      <c r="BC522">
        <f>IF(AV522=1,1,IF(AW522=1,2,IF(AX522=1,3,IF(AY522=1,4,IF(AZ522=1,5,IF(BA522=1,6,7))))))</f>
        <v/>
      </c>
      <c r="BD522">
        <f>IF(AD522=1,CHOOSE('Historical Score'!$C$29,AV522,AW522,AX522,AY522,AZ522,BA522,BB522),0)</f>
        <v/>
      </c>
      <c r="BE522">
        <f>IF(BD522=1,COUNTIF($BD$2:BD522,1),"")</f>
        <v/>
      </c>
    </row>
    <row r="523">
      <c r="A523" t="inlineStr">
        <is>
          <t>5674176174</t>
        </is>
      </c>
      <c r="B523" t="inlineStr">
        <is>
          <t>LONDON'S LITTLE ANGELS LEARNING ACADEMY</t>
        </is>
      </c>
      <c r="C523" t="inlineStr">
        <is>
          <t>LONDON'S LITTLE ANGELS LEARNING ACADEMY INC</t>
        </is>
      </c>
      <c r="D523" t="inlineStr">
        <is>
          <t>Closed</t>
        </is>
      </c>
      <c r="E523" s="297" t="n">
        <v>46034</v>
      </c>
      <c r="F523" s="297" t="n">
        <v>46122</v>
      </c>
      <c r="G523" t="n">
        <v>4</v>
      </c>
      <c r="H523" t="inlineStr">
        <is>
          <t>8211</t>
        </is>
      </c>
      <c r="I523" t="inlineStr">
        <is>
          <t>82</t>
        </is>
      </c>
      <c r="J523" t="inlineStr">
        <is>
          <t>GA</t>
        </is>
      </c>
      <c r="K523" t="inlineStr">
        <is>
          <t>Ballicci</t>
        </is>
      </c>
      <c r="L523" t="inlineStr">
        <is>
          <t>New Deal</t>
        </is>
      </c>
      <c r="M523" s="298" t="n">
        <v>1.49</v>
      </c>
      <c r="N523" s="299" t="n">
        <v>15000</v>
      </c>
      <c r="O523" s="299" t="n">
        <v>2100</v>
      </c>
      <c r="P523" s="299" t="n">
        <v>22350</v>
      </c>
      <c r="Q523" s="299" t="n">
        <v>22350</v>
      </c>
      <c r="R523" s="299" t="n">
        <v>0</v>
      </c>
      <c r="S523" s="300" t="n">
        <v>1</v>
      </c>
      <c r="T523" t="n">
        <v>2.951</v>
      </c>
      <c r="U523" t="n">
        <v>0</v>
      </c>
      <c r="V523" t="n">
        <v>43810.35</v>
      </c>
      <c r="W523" s="300" t="n">
        <v>0.119</v>
      </c>
      <c r="X523" s="297" t="n">
        <v>43621</v>
      </c>
      <c r="Y523">
        <f>IF(I523="","No SIC",IFERROR(VLOOKUP(I523,Ref!$A$2:$B$65,2,FALSE),"Unclassified"))</f>
        <v/>
      </c>
      <c r="Z523">
        <f>IF(T523="","",IF(T523&lt;12,"Daily","Weekly"))</f>
        <v/>
      </c>
      <c r="AA523">
        <f>IF(T523="",0,IF(T523&lt;12,T523*Controls!$B$29,T523*5))</f>
        <v/>
      </c>
      <c r="AB523">
        <f>IF(E523="",0,NETWORKDAYS(E523,Controls!$B$36,Ref!$K$2:$K$42))</f>
        <v/>
      </c>
      <c r="AC523">
        <f>IF(AND(AA523&gt;0,AB523&gt;=Controls!$B$39*AA523),1,0)</f>
        <v/>
      </c>
      <c r="AD523">
        <f>IF(AND(E523&lt;&gt;"",E523&gt;=Controls!$B$37,E523&lt;=Controls!$B$38),1,0)</f>
        <v/>
      </c>
      <c r="AE523">
        <f>IF(IFERROR(VLOOKUP(D523,Controls!$A$64:$E$74,2,FALSE),"No")="Yes",1,0)</f>
        <v/>
      </c>
      <c r="AF523">
        <f>IF(IFERROR(VLOOKUP(D523,Controls!$A$64:$E$74,3,FALSE),"No")="Yes",1,0)</f>
        <v/>
      </c>
      <c r="AG523">
        <f>IF(IFERROR(VLOOKUP(D523,Controls!$A$64:$E$74,4,FALSE),"No")="Yes",1,0)</f>
        <v/>
      </c>
      <c r="AH523">
        <f>IF(IFERROR(VLOOKUP(D523,Controls!$A$64:$E$74,5,FALSE),"No")="Yes",1,0)</f>
        <v/>
      </c>
      <c r="AI523">
        <f>IF(ISNUMBER(MATCH(D523,Controls!$A$64:$A$74,0)),1,0)</f>
        <v/>
      </c>
      <c r="AJ523">
        <f>Q523-N523</f>
        <v/>
      </c>
      <c r="AK523">
        <f>IF(AE523=1,MAX(0,N523-Q523),0)</f>
        <v/>
      </c>
      <c r="AL523">
        <f>IF(OR(V523="",V523=0),0,N523/V523)</f>
        <v/>
      </c>
      <c r="AM523">
        <f>IF(OR(V523="",V523=0),0,1)</f>
        <v/>
      </c>
      <c r="AN523">
        <f>IF(OR(E523="",F523=""),0,NETWORKDAYS(E523,F523,Ref!$K$2:$K$42))</f>
        <v/>
      </c>
      <c r="AO523">
        <f>IF(L523="Renewal",1,0)</f>
        <v/>
      </c>
      <c r="AP523">
        <f>AC523*AD523</f>
        <v/>
      </c>
      <c r="AQ523">
        <f>IF(AND(G523&lt;&gt;"",'Historical Score'!$C$6&lt;&gt;""),IF(G523='Historical Score'!$C$6,1,0),0)</f>
        <v/>
      </c>
      <c r="AR523">
        <f>IF(AND(L523&lt;&gt;"",'Historical Score'!$C$5&lt;&gt;""),IF(L523='Historical Score'!$C$5,1,0),0)</f>
        <v/>
      </c>
      <c r="AS523">
        <f>IF(AND(Y523&lt;&gt;"",'Historical Score'!$C$7&lt;&gt;""),IF(Y523='Historical Score'!$C$7,1,0),0)</f>
        <v/>
      </c>
      <c r="AT523">
        <f>IF(AND(K523&lt;&gt;"",'Historical Score'!$C$8&lt;&gt;""),IF(K523='Historical Score'!$C$8,1,0),0)</f>
        <v/>
      </c>
      <c r="AU523">
        <f>IF(AND(J523&lt;&gt;"",'Historical Score'!$C$9&lt;&gt;""),IF(J523='Historical Score'!$C$9,1,0),0)</f>
        <v/>
      </c>
      <c r="AV523">
        <f>AR523*AS523*AQ523</f>
        <v/>
      </c>
      <c r="AW523">
        <f>AR523*AT523*AQ523</f>
        <v/>
      </c>
      <c r="AX523">
        <f>AR523*AS523</f>
        <v/>
      </c>
      <c r="AY523">
        <f>AR523*AT523</f>
        <v/>
      </c>
      <c r="AZ523">
        <f>AR523*AQ523</f>
        <v/>
      </c>
      <c r="BA523">
        <f>AR523</f>
        <v/>
      </c>
      <c r="BB523">
        <f>1</f>
        <v/>
      </c>
      <c r="BC523">
        <f>IF(AV523=1,1,IF(AW523=1,2,IF(AX523=1,3,IF(AY523=1,4,IF(AZ523=1,5,IF(BA523=1,6,7))))))</f>
        <v/>
      </c>
      <c r="BD523">
        <f>IF(AD523=1,CHOOSE('Historical Score'!$C$29,AV523,AW523,AX523,AY523,AZ523,BA523,BB523),0)</f>
        <v/>
      </c>
      <c r="BE523">
        <f>IF(BD523=1,COUNTIF($BD$2:BD523,1),"")</f>
        <v/>
      </c>
    </row>
    <row r="524">
      <c r="A524" t="inlineStr">
        <is>
          <t>5674176222</t>
        </is>
      </c>
      <c r="B524" t="inlineStr">
        <is>
          <t>SAYRAS DBA JQ'S QUICK SHOPPE DBA RED AND WHITE DBA CORNER SHOPPE</t>
        </is>
      </c>
      <c r="C524" t="inlineStr">
        <is>
          <t>SAYRAS LLC</t>
        </is>
      </c>
      <c r="D524" t="inlineStr">
        <is>
          <t>Closed</t>
        </is>
      </c>
      <c r="E524" s="297" t="n">
        <v>46034</v>
      </c>
      <c r="F524" s="297" t="n">
        <v>46077</v>
      </c>
      <c r="G524" t="n">
        <v>3</v>
      </c>
      <c r="H524" t="inlineStr">
        <is>
          <t>5399</t>
        </is>
      </c>
      <c r="I524" t="inlineStr">
        <is>
          <t>53</t>
        </is>
      </c>
      <c r="J524" t="inlineStr">
        <is>
          <t>No state</t>
        </is>
      </c>
      <c r="K524" t="inlineStr">
        <is>
          <t>Amerishop Financial services</t>
        </is>
      </c>
      <c r="L524" t="inlineStr">
        <is>
          <t>New Deal</t>
        </is>
      </c>
      <c r="M524" s="298" t="n">
        <v>1.41556118</v>
      </c>
      <c r="N524" s="299" t="n">
        <v>85000</v>
      </c>
      <c r="O524" s="299" t="n">
        <v>11900</v>
      </c>
      <c r="P524" s="299" t="n">
        <v>120322.7003</v>
      </c>
      <c r="Q524" s="299" t="n">
        <v>120322.7</v>
      </c>
      <c r="R524" s="299" t="n">
        <v>0.000300000014249235</v>
      </c>
      <c r="S524" s="300" t="n">
        <v>0.999999997506705</v>
      </c>
      <c r="T524" t="n">
        <v>30</v>
      </c>
      <c r="U524" t="n">
        <v>0</v>
      </c>
      <c r="V524" t="n">
        <v>182358.15</v>
      </c>
      <c r="W524" s="300" t="n">
        <v>0.1003</v>
      </c>
      <c r="X524" s="297" t="n"/>
      <c r="Y524">
        <f>IF(I524="","No SIC",IFERROR(VLOOKUP(I524,Ref!$A$2:$B$65,2,FALSE),"Unclassified"))</f>
        <v/>
      </c>
      <c r="Z524">
        <f>IF(T524="","",IF(T524&lt;12,"Daily","Weekly"))</f>
        <v/>
      </c>
      <c r="AA524">
        <f>IF(T524="",0,IF(T524&lt;12,T524*Controls!$B$29,T524*5))</f>
        <v/>
      </c>
      <c r="AB524">
        <f>IF(E524="",0,NETWORKDAYS(E524,Controls!$B$36,Ref!$K$2:$K$42))</f>
        <v/>
      </c>
      <c r="AC524">
        <f>IF(AND(AA524&gt;0,AB524&gt;=Controls!$B$39*AA524),1,0)</f>
        <v/>
      </c>
      <c r="AD524">
        <f>IF(AND(E524&lt;&gt;"",E524&gt;=Controls!$B$37,E524&lt;=Controls!$B$38),1,0)</f>
        <v/>
      </c>
      <c r="AE524">
        <f>IF(IFERROR(VLOOKUP(D524,Controls!$A$64:$E$74,2,FALSE),"No")="Yes",1,0)</f>
        <v/>
      </c>
      <c r="AF524">
        <f>IF(IFERROR(VLOOKUP(D524,Controls!$A$64:$E$74,3,FALSE),"No")="Yes",1,0)</f>
        <v/>
      </c>
      <c r="AG524">
        <f>IF(IFERROR(VLOOKUP(D524,Controls!$A$64:$E$74,4,FALSE),"No")="Yes",1,0)</f>
        <v/>
      </c>
      <c r="AH524">
        <f>IF(IFERROR(VLOOKUP(D524,Controls!$A$64:$E$74,5,FALSE),"No")="Yes",1,0)</f>
        <v/>
      </c>
      <c r="AI524">
        <f>IF(ISNUMBER(MATCH(D524,Controls!$A$64:$A$74,0)),1,0)</f>
        <v/>
      </c>
      <c r="AJ524">
        <f>Q524-N524</f>
        <v/>
      </c>
      <c r="AK524">
        <f>IF(AE524=1,MAX(0,N524-Q524),0)</f>
        <v/>
      </c>
      <c r="AL524">
        <f>IF(OR(V524="",V524=0),0,N524/V524)</f>
        <v/>
      </c>
      <c r="AM524">
        <f>IF(OR(V524="",V524=0),0,1)</f>
        <v/>
      </c>
      <c r="AN524">
        <f>IF(OR(E524="",F524=""),0,NETWORKDAYS(E524,F524,Ref!$K$2:$K$42))</f>
        <v/>
      </c>
      <c r="AO524">
        <f>IF(L524="Renewal",1,0)</f>
        <v/>
      </c>
      <c r="AP524">
        <f>AC524*AD524</f>
        <v/>
      </c>
      <c r="AQ524">
        <f>IF(AND(G524&lt;&gt;"",'Historical Score'!$C$6&lt;&gt;""),IF(G524='Historical Score'!$C$6,1,0),0)</f>
        <v/>
      </c>
      <c r="AR524">
        <f>IF(AND(L524&lt;&gt;"",'Historical Score'!$C$5&lt;&gt;""),IF(L524='Historical Score'!$C$5,1,0),0)</f>
        <v/>
      </c>
      <c r="AS524">
        <f>IF(AND(Y524&lt;&gt;"",'Historical Score'!$C$7&lt;&gt;""),IF(Y524='Historical Score'!$C$7,1,0),0)</f>
        <v/>
      </c>
      <c r="AT524">
        <f>IF(AND(K524&lt;&gt;"",'Historical Score'!$C$8&lt;&gt;""),IF(K524='Historical Score'!$C$8,1,0),0)</f>
        <v/>
      </c>
      <c r="AU524">
        <f>IF(AND(J524&lt;&gt;"",'Historical Score'!$C$9&lt;&gt;""),IF(J524='Historical Score'!$C$9,1,0),0)</f>
        <v/>
      </c>
      <c r="AV524">
        <f>AR524*AS524*AQ524</f>
        <v/>
      </c>
      <c r="AW524">
        <f>AR524*AT524*AQ524</f>
        <v/>
      </c>
      <c r="AX524">
        <f>AR524*AS524</f>
        <v/>
      </c>
      <c r="AY524">
        <f>AR524*AT524</f>
        <v/>
      </c>
      <c r="AZ524">
        <f>AR524*AQ524</f>
        <v/>
      </c>
      <c r="BA524">
        <f>AR524</f>
        <v/>
      </c>
      <c r="BB524">
        <f>1</f>
        <v/>
      </c>
      <c r="BC524">
        <f>IF(AV524=1,1,IF(AW524=1,2,IF(AX524=1,3,IF(AY524=1,4,IF(AZ524=1,5,IF(BA524=1,6,7))))))</f>
        <v/>
      </c>
      <c r="BD524">
        <f>IF(AD524=1,CHOOSE('Historical Score'!$C$29,AV524,AW524,AX524,AY524,AZ524,BA524,BB524),0)</f>
        <v/>
      </c>
      <c r="BE524">
        <f>IF(BD524=1,COUNTIF($BD$2:BD524,1),"")</f>
        <v/>
      </c>
    </row>
    <row r="525">
      <c r="A525" t="inlineStr">
        <is>
          <t>5674176242</t>
        </is>
      </c>
      <c r="B525" t="inlineStr">
        <is>
          <t>Hitaway Baseball Training LLC</t>
        </is>
      </c>
      <c r="C525" t="inlineStr">
        <is>
          <t>HITAWAY BASEBALL TRAINING LLC</t>
        </is>
      </c>
      <c r="D525" t="inlineStr">
        <is>
          <t>Lowered Payments</t>
        </is>
      </c>
      <c r="E525" s="297" t="n">
        <v>46034</v>
      </c>
      <c r="F525" s="297" t="n">
        <v>46253</v>
      </c>
      <c r="G525" t="n">
        <v>1</v>
      </c>
      <c r="H525" t="inlineStr">
        <is>
          <t>8331</t>
        </is>
      </c>
      <c r="I525" t="inlineStr">
        <is>
          <t>83</t>
        </is>
      </c>
      <c r="J525" t="inlineStr">
        <is>
          <t>TX</t>
        </is>
      </c>
      <c r="K525" t="inlineStr">
        <is>
          <t>Fundwell</t>
        </is>
      </c>
      <c r="L525" t="inlineStr">
        <is>
          <t>New Deal</t>
        </is>
      </c>
      <c r="M525" s="298" t="n">
        <v>1.49</v>
      </c>
      <c r="N525" s="299" t="n">
        <v>11000</v>
      </c>
      <c r="O525" s="299" t="n">
        <v>1815</v>
      </c>
      <c r="P525" s="299" t="n">
        <v>16390</v>
      </c>
      <c r="Q525" s="299" t="n">
        <v>14561.37</v>
      </c>
      <c r="R525" s="299" t="n">
        <v>1828.63</v>
      </c>
      <c r="S525" s="300" t="n">
        <v>0.888430140329469</v>
      </c>
      <c r="T525" t="n">
        <v>24</v>
      </c>
      <c r="U525" t="n">
        <v>12</v>
      </c>
      <c r="V525" t="n">
        <v>13828.3</v>
      </c>
      <c r="W525" s="300" t="n">
        <v>0.1975</v>
      </c>
      <c r="X525" s="297" t="n">
        <v>44835</v>
      </c>
      <c r="Y525">
        <f>IF(I525="","No SIC",IFERROR(VLOOKUP(I525,Ref!$A$2:$B$65,2,FALSE),"Unclassified"))</f>
        <v/>
      </c>
      <c r="Z525">
        <f>IF(T525="","",IF(T525&lt;12,"Daily","Weekly"))</f>
        <v/>
      </c>
      <c r="AA525">
        <f>IF(T525="",0,IF(T525&lt;12,T525*Controls!$B$29,T525*5))</f>
        <v/>
      </c>
      <c r="AB525">
        <f>IF(E525="",0,NETWORKDAYS(E525,Controls!$B$36,Ref!$K$2:$K$42))</f>
        <v/>
      </c>
      <c r="AC525">
        <f>IF(AND(AA525&gt;0,AB525&gt;=Controls!$B$39*AA525),1,0)</f>
        <v/>
      </c>
      <c r="AD525">
        <f>IF(AND(E525&lt;&gt;"",E525&gt;=Controls!$B$37,E525&lt;=Controls!$B$38),1,0)</f>
        <v/>
      </c>
      <c r="AE525">
        <f>IF(IFERROR(VLOOKUP(D525,Controls!$A$64:$E$74,2,FALSE),"No")="Yes",1,0)</f>
        <v/>
      </c>
      <c r="AF525">
        <f>IF(IFERROR(VLOOKUP(D525,Controls!$A$64:$E$74,3,FALSE),"No")="Yes",1,0)</f>
        <v/>
      </c>
      <c r="AG525">
        <f>IF(IFERROR(VLOOKUP(D525,Controls!$A$64:$E$74,4,FALSE),"No")="Yes",1,0)</f>
        <v/>
      </c>
      <c r="AH525">
        <f>IF(IFERROR(VLOOKUP(D525,Controls!$A$64:$E$74,5,FALSE),"No")="Yes",1,0)</f>
        <v/>
      </c>
      <c r="AI525">
        <f>IF(ISNUMBER(MATCH(D525,Controls!$A$64:$A$74,0)),1,0)</f>
        <v/>
      </c>
      <c r="AJ525">
        <f>Q525-N525</f>
        <v/>
      </c>
      <c r="AK525">
        <f>IF(AE525=1,MAX(0,N525-Q525),0)</f>
        <v/>
      </c>
      <c r="AL525">
        <f>IF(OR(V525="",V525=0),0,N525/V525)</f>
        <v/>
      </c>
      <c r="AM525">
        <f>IF(OR(V525="",V525=0),0,1)</f>
        <v/>
      </c>
      <c r="AN525">
        <f>IF(OR(E525="",F525=""),0,NETWORKDAYS(E525,F525,Ref!$K$2:$K$42))</f>
        <v/>
      </c>
      <c r="AO525">
        <f>IF(L525="Renewal",1,0)</f>
        <v/>
      </c>
      <c r="AP525">
        <f>AC525*AD525</f>
        <v/>
      </c>
      <c r="AQ525">
        <f>IF(AND(G525&lt;&gt;"",'Historical Score'!$C$6&lt;&gt;""),IF(G525='Historical Score'!$C$6,1,0),0)</f>
        <v/>
      </c>
      <c r="AR525">
        <f>IF(AND(L525&lt;&gt;"",'Historical Score'!$C$5&lt;&gt;""),IF(L525='Historical Score'!$C$5,1,0),0)</f>
        <v/>
      </c>
      <c r="AS525">
        <f>IF(AND(Y525&lt;&gt;"",'Historical Score'!$C$7&lt;&gt;""),IF(Y525='Historical Score'!$C$7,1,0),0)</f>
        <v/>
      </c>
      <c r="AT525">
        <f>IF(AND(K525&lt;&gt;"",'Historical Score'!$C$8&lt;&gt;""),IF(K525='Historical Score'!$C$8,1,0),0)</f>
        <v/>
      </c>
      <c r="AU525">
        <f>IF(AND(J525&lt;&gt;"",'Historical Score'!$C$9&lt;&gt;""),IF(J525='Historical Score'!$C$9,1,0),0)</f>
        <v/>
      </c>
      <c r="AV525">
        <f>AR525*AS525*AQ525</f>
        <v/>
      </c>
      <c r="AW525">
        <f>AR525*AT525*AQ525</f>
        <v/>
      </c>
      <c r="AX525">
        <f>AR525*AS525</f>
        <v/>
      </c>
      <c r="AY525">
        <f>AR525*AT525</f>
        <v/>
      </c>
      <c r="AZ525">
        <f>AR525*AQ525</f>
        <v/>
      </c>
      <c r="BA525">
        <f>AR525</f>
        <v/>
      </c>
      <c r="BB525">
        <f>1</f>
        <v/>
      </c>
      <c r="BC525">
        <f>IF(AV525=1,1,IF(AW525=1,2,IF(AX525=1,3,IF(AY525=1,4,IF(AZ525=1,5,IF(BA525=1,6,7))))))</f>
        <v/>
      </c>
      <c r="BD525">
        <f>IF(AD525=1,CHOOSE('Historical Score'!$C$29,AV525,AW525,AX525,AY525,AZ525,BA525,BB525),0)</f>
        <v/>
      </c>
      <c r="BE525">
        <f>IF(BD525=1,COUNTIF($BD$2:BD525,1),"")</f>
        <v/>
      </c>
    </row>
    <row r="526">
      <c r="A526" t="inlineStr">
        <is>
          <t>5674176247</t>
        </is>
      </c>
      <c r="B526" t="inlineStr">
        <is>
          <t>US FOOD TRUCK FACTORY</t>
        </is>
      </c>
      <c r="C526" t="inlineStr">
        <is>
          <t>NORTHSTAR MILLENIUM LLC</t>
        </is>
      </c>
      <c r="D526" t="inlineStr">
        <is>
          <t>Lowered Payments</t>
        </is>
      </c>
      <c r="E526" s="297" t="n">
        <v>46034</v>
      </c>
      <c r="F526" s="297" t="n">
        <v>46248</v>
      </c>
      <c r="G526" t="n">
        <v>3</v>
      </c>
      <c r="H526" t="inlineStr">
        <is>
          <t>5812</t>
        </is>
      </c>
      <c r="I526" t="inlineStr">
        <is>
          <t>58</t>
        </is>
      </c>
      <c r="J526" t="inlineStr">
        <is>
          <t>No state</t>
        </is>
      </c>
      <c r="K526" t="inlineStr">
        <is>
          <t>Linked In Funding</t>
        </is>
      </c>
      <c r="L526" t="inlineStr">
        <is>
          <t>New Deal</t>
        </is>
      </c>
      <c r="M526" s="298" t="n">
        <v>1.44</v>
      </c>
      <c r="N526" s="299" t="n">
        <v>22000</v>
      </c>
      <c r="O526" s="299" t="n">
        <v>2530</v>
      </c>
      <c r="P526" s="299" t="n">
        <v>31680</v>
      </c>
      <c r="Q526" s="299" t="n">
        <v>14716.52</v>
      </c>
      <c r="R526" s="299" t="n">
        <v>16963.48</v>
      </c>
      <c r="S526" s="300" t="n">
        <v>0.464536616161616</v>
      </c>
      <c r="T526" t="n">
        <v>28</v>
      </c>
      <c r="U526" t="n">
        <v>7</v>
      </c>
      <c r="V526" t="n">
        <v>79721.31</v>
      </c>
      <c r="W526" s="300" t="n">
        <v>0.0568</v>
      </c>
      <c r="X526" s="297" t="n">
        <v>42449</v>
      </c>
      <c r="Y526">
        <f>IF(I526="","No SIC",IFERROR(VLOOKUP(I526,Ref!$A$2:$B$65,2,FALSE),"Unclassified"))</f>
        <v/>
      </c>
      <c r="Z526">
        <f>IF(T526="","",IF(T526&lt;12,"Daily","Weekly"))</f>
        <v/>
      </c>
      <c r="AA526">
        <f>IF(T526="",0,IF(T526&lt;12,T526*Controls!$B$29,T526*5))</f>
        <v/>
      </c>
      <c r="AB526">
        <f>IF(E526="",0,NETWORKDAYS(E526,Controls!$B$36,Ref!$K$2:$K$42))</f>
        <v/>
      </c>
      <c r="AC526">
        <f>IF(AND(AA526&gt;0,AB526&gt;=Controls!$B$39*AA526),1,0)</f>
        <v/>
      </c>
      <c r="AD526">
        <f>IF(AND(E526&lt;&gt;"",E526&gt;=Controls!$B$37,E526&lt;=Controls!$B$38),1,0)</f>
        <v/>
      </c>
      <c r="AE526">
        <f>IF(IFERROR(VLOOKUP(D526,Controls!$A$64:$E$74,2,FALSE),"No")="Yes",1,0)</f>
        <v/>
      </c>
      <c r="AF526">
        <f>IF(IFERROR(VLOOKUP(D526,Controls!$A$64:$E$74,3,FALSE),"No")="Yes",1,0)</f>
        <v/>
      </c>
      <c r="AG526">
        <f>IF(IFERROR(VLOOKUP(D526,Controls!$A$64:$E$74,4,FALSE),"No")="Yes",1,0)</f>
        <v/>
      </c>
      <c r="AH526">
        <f>IF(IFERROR(VLOOKUP(D526,Controls!$A$64:$E$74,5,FALSE),"No")="Yes",1,0)</f>
        <v/>
      </c>
      <c r="AI526">
        <f>IF(ISNUMBER(MATCH(D526,Controls!$A$64:$A$74,0)),1,0)</f>
        <v/>
      </c>
      <c r="AJ526">
        <f>Q526-N526</f>
        <v/>
      </c>
      <c r="AK526">
        <f>IF(AE526=1,MAX(0,N526-Q526),0)</f>
        <v/>
      </c>
      <c r="AL526">
        <f>IF(OR(V526="",V526=0),0,N526/V526)</f>
        <v/>
      </c>
      <c r="AM526">
        <f>IF(OR(V526="",V526=0),0,1)</f>
        <v/>
      </c>
      <c r="AN526">
        <f>IF(OR(E526="",F526=""),0,NETWORKDAYS(E526,F526,Ref!$K$2:$K$42))</f>
        <v/>
      </c>
      <c r="AO526">
        <f>IF(L526="Renewal",1,0)</f>
        <v/>
      </c>
      <c r="AP526">
        <f>AC526*AD526</f>
        <v/>
      </c>
      <c r="AQ526">
        <f>IF(AND(G526&lt;&gt;"",'Historical Score'!$C$6&lt;&gt;""),IF(G526='Historical Score'!$C$6,1,0),0)</f>
        <v/>
      </c>
      <c r="AR526">
        <f>IF(AND(L526&lt;&gt;"",'Historical Score'!$C$5&lt;&gt;""),IF(L526='Historical Score'!$C$5,1,0),0)</f>
        <v/>
      </c>
      <c r="AS526">
        <f>IF(AND(Y526&lt;&gt;"",'Historical Score'!$C$7&lt;&gt;""),IF(Y526='Historical Score'!$C$7,1,0),0)</f>
        <v/>
      </c>
      <c r="AT526">
        <f>IF(AND(K526&lt;&gt;"",'Historical Score'!$C$8&lt;&gt;""),IF(K526='Historical Score'!$C$8,1,0),0)</f>
        <v/>
      </c>
      <c r="AU526">
        <f>IF(AND(J526&lt;&gt;"",'Historical Score'!$C$9&lt;&gt;""),IF(J526='Historical Score'!$C$9,1,0),0)</f>
        <v/>
      </c>
      <c r="AV526">
        <f>AR526*AS526*AQ526</f>
        <v/>
      </c>
      <c r="AW526">
        <f>AR526*AT526*AQ526</f>
        <v/>
      </c>
      <c r="AX526">
        <f>AR526*AS526</f>
        <v/>
      </c>
      <c r="AY526">
        <f>AR526*AT526</f>
        <v/>
      </c>
      <c r="AZ526">
        <f>AR526*AQ526</f>
        <v/>
      </c>
      <c r="BA526">
        <f>AR526</f>
        <v/>
      </c>
      <c r="BB526">
        <f>1</f>
        <v/>
      </c>
      <c r="BC526">
        <f>IF(AV526=1,1,IF(AW526=1,2,IF(AX526=1,3,IF(AY526=1,4,IF(AZ526=1,5,IF(BA526=1,6,7))))))</f>
        <v/>
      </c>
      <c r="BD526">
        <f>IF(AD526=1,CHOOSE('Historical Score'!$C$29,AV526,AW526,AX526,AY526,AZ526,BA526,BB526),0)</f>
        <v/>
      </c>
      <c r="BE526">
        <f>IF(BD526=1,COUNTIF($BD$2:BD526,1),"")</f>
        <v/>
      </c>
    </row>
    <row r="527">
      <c r="A527" t="inlineStr">
        <is>
          <t>5674176262</t>
        </is>
      </c>
      <c r="B527" t="inlineStr">
        <is>
          <t>Marcus, Fairall, Bristol + Co., PLLC</t>
        </is>
      </c>
      <c r="C527" t="inlineStr">
        <is>
          <t>Marcus, Fairall, Bristol + Co., PLLC</t>
        </is>
      </c>
      <c r="D527" t="inlineStr">
        <is>
          <t>Open</t>
        </is>
      </c>
      <c r="E527" s="297" t="n">
        <v>46034</v>
      </c>
      <c r="F527" s="297" t="n">
        <v>46251</v>
      </c>
      <c r="G527" t="n">
        <v>3</v>
      </c>
      <c r="J527" t="inlineStr">
        <is>
          <t>No state</t>
        </is>
      </c>
      <c r="K527" t="inlineStr">
        <is>
          <t>Fundwell</t>
        </is>
      </c>
      <c r="L527" t="inlineStr">
        <is>
          <t>New Deal</t>
        </is>
      </c>
      <c r="M527" s="298" t="n">
        <v>1.4</v>
      </c>
      <c r="N527" s="299" t="n">
        <v>30000</v>
      </c>
      <c r="O527" s="299" t="n">
        <v>4050</v>
      </c>
      <c r="P527" s="299" t="n">
        <v>42000</v>
      </c>
      <c r="Q527" s="299" t="n">
        <v>40685.64</v>
      </c>
      <c r="R527" s="299" t="n">
        <v>1314.36</v>
      </c>
      <c r="S527" s="300" t="n">
        <v>0.9687057142857139</v>
      </c>
      <c r="T527" t="n">
        <v>32</v>
      </c>
      <c r="U527" t="n">
        <v>0</v>
      </c>
      <c r="V527" t="n">
        <v>66468.22</v>
      </c>
      <c r="W527" s="300" t="n">
        <v>0.1026</v>
      </c>
      <c r="X527" s="297" t="n">
        <v>32994</v>
      </c>
      <c r="Y527">
        <f>IF(I527="","No SIC",IFERROR(VLOOKUP(I527,Ref!$A$2:$B$65,2,FALSE),"Unclassified"))</f>
        <v/>
      </c>
      <c r="Z527">
        <f>IF(T527="","",IF(T527&lt;12,"Daily","Weekly"))</f>
        <v/>
      </c>
      <c r="AA527">
        <f>IF(T527="",0,IF(T527&lt;12,T527*Controls!$B$29,T527*5))</f>
        <v/>
      </c>
      <c r="AB527">
        <f>IF(E527="",0,NETWORKDAYS(E527,Controls!$B$36,Ref!$K$2:$K$42))</f>
        <v/>
      </c>
      <c r="AC527">
        <f>IF(AND(AA527&gt;0,AB527&gt;=Controls!$B$39*AA527),1,0)</f>
        <v/>
      </c>
      <c r="AD527">
        <f>IF(AND(E527&lt;&gt;"",E527&gt;=Controls!$B$37,E527&lt;=Controls!$B$38),1,0)</f>
        <v/>
      </c>
      <c r="AE527">
        <f>IF(IFERROR(VLOOKUP(D527,Controls!$A$64:$E$74,2,FALSE),"No")="Yes",1,0)</f>
        <v/>
      </c>
      <c r="AF527">
        <f>IF(IFERROR(VLOOKUP(D527,Controls!$A$64:$E$74,3,FALSE),"No")="Yes",1,0)</f>
        <v/>
      </c>
      <c r="AG527">
        <f>IF(IFERROR(VLOOKUP(D527,Controls!$A$64:$E$74,4,FALSE),"No")="Yes",1,0)</f>
        <v/>
      </c>
      <c r="AH527">
        <f>IF(IFERROR(VLOOKUP(D527,Controls!$A$64:$E$74,5,FALSE),"No")="Yes",1,0)</f>
        <v/>
      </c>
      <c r="AI527">
        <f>IF(ISNUMBER(MATCH(D527,Controls!$A$64:$A$74,0)),1,0)</f>
        <v/>
      </c>
      <c r="AJ527">
        <f>Q527-N527</f>
        <v/>
      </c>
      <c r="AK527">
        <f>IF(AE527=1,MAX(0,N527-Q527),0)</f>
        <v/>
      </c>
      <c r="AL527">
        <f>IF(OR(V527="",V527=0),0,N527/V527)</f>
        <v/>
      </c>
      <c r="AM527">
        <f>IF(OR(V527="",V527=0),0,1)</f>
        <v/>
      </c>
      <c r="AN527">
        <f>IF(OR(E527="",F527=""),0,NETWORKDAYS(E527,F527,Ref!$K$2:$K$42))</f>
        <v/>
      </c>
      <c r="AO527">
        <f>IF(L527="Renewal",1,0)</f>
        <v/>
      </c>
      <c r="AP527">
        <f>AC527*AD527</f>
        <v/>
      </c>
      <c r="AQ527">
        <f>IF(AND(G527&lt;&gt;"",'Historical Score'!$C$6&lt;&gt;""),IF(G527='Historical Score'!$C$6,1,0),0)</f>
        <v/>
      </c>
      <c r="AR527">
        <f>IF(AND(L527&lt;&gt;"",'Historical Score'!$C$5&lt;&gt;""),IF(L527='Historical Score'!$C$5,1,0),0)</f>
        <v/>
      </c>
      <c r="AS527">
        <f>IF(AND(Y527&lt;&gt;"",'Historical Score'!$C$7&lt;&gt;""),IF(Y527='Historical Score'!$C$7,1,0),0)</f>
        <v/>
      </c>
      <c r="AT527">
        <f>IF(AND(K527&lt;&gt;"",'Historical Score'!$C$8&lt;&gt;""),IF(K527='Historical Score'!$C$8,1,0),0)</f>
        <v/>
      </c>
      <c r="AU527">
        <f>IF(AND(J527&lt;&gt;"",'Historical Score'!$C$9&lt;&gt;""),IF(J527='Historical Score'!$C$9,1,0),0)</f>
        <v/>
      </c>
      <c r="AV527">
        <f>AR527*AS527*AQ527</f>
        <v/>
      </c>
      <c r="AW527">
        <f>AR527*AT527*AQ527</f>
        <v/>
      </c>
      <c r="AX527">
        <f>AR527*AS527</f>
        <v/>
      </c>
      <c r="AY527">
        <f>AR527*AT527</f>
        <v/>
      </c>
      <c r="AZ527">
        <f>AR527*AQ527</f>
        <v/>
      </c>
      <c r="BA527">
        <f>AR527</f>
        <v/>
      </c>
      <c r="BB527">
        <f>1</f>
        <v/>
      </c>
      <c r="BC527">
        <f>IF(AV527=1,1,IF(AW527=1,2,IF(AX527=1,3,IF(AY527=1,4,IF(AZ527=1,5,IF(BA527=1,6,7))))))</f>
        <v/>
      </c>
      <c r="BD527">
        <f>IF(AD527=1,CHOOSE('Historical Score'!$C$29,AV527,AW527,AX527,AY527,AZ527,BA527,BB527),0)</f>
        <v/>
      </c>
      <c r="BE527">
        <f>IF(BD527=1,COUNTIF($BD$2:BD527,1),"")</f>
        <v/>
      </c>
    </row>
    <row r="528">
      <c r="A528" t="inlineStr">
        <is>
          <t>5674176267</t>
        </is>
      </c>
      <c r="B528" t="inlineStr">
        <is>
          <t>HJM CONSTRUCTION DBA HOLLY SERVIN MBR</t>
        </is>
      </c>
      <c r="C528" t="inlineStr">
        <is>
          <t>HJM Construction LLC</t>
        </is>
      </c>
      <c r="D528" t="inlineStr">
        <is>
          <t>Legal</t>
        </is>
      </c>
      <c r="E528" s="297" t="n">
        <v>46035</v>
      </c>
      <c r="F528" s="297" t="n">
        <v>46218</v>
      </c>
      <c r="G528" t="n">
        <v>3</v>
      </c>
      <c r="H528" t="inlineStr">
        <is>
          <t>0781</t>
        </is>
      </c>
      <c r="I528" t="inlineStr">
        <is>
          <t>07</t>
        </is>
      </c>
      <c r="J528" t="inlineStr">
        <is>
          <t>TX</t>
        </is>
      </c>
      <c r="K528" t="inlineStr">
        <is>
          <t>ecp business capital</t>
        </is>
      </c>
      <c r="L528" t="inlineStr">
        <is>
          <t>New Deal</t>
        </is>
      </c>
      <c r="M528" s="298" t="n">
        <v>1.49</v>
      </c>
      <c r="N528" s="299" t="n">
        <v>105000</v>
      </c>
      <c r="O528" s="299" t="n">
        <v>14700</v>
      </c>
      <c r="P528" s="299" t="n">
        <v>156450</v>
      </c>
      <c r="Q528" s="299" t="n">
        <v>108640</v>
      </c>
      <c r="R528" s="299" t="n">
        <v>47810</v>
      </c>
      <c r="S528" s="300" t="n">
        <v>0.694407158836689</v>
      </c>
      <c r="T528" t="n">
        <v>36</v>
      </c>
      <c r="U528" t="n">
        <v>1</v>
      </c>
      <c r="V528" t="n">
        <v>256000.15</v>
      </c>
      <c r="W528" s="300" t="n">
        <v>0.0679</v>
      </c>
      <c r="X528" s="297" t="n">
        <v>43604</v>
      </c>
      <c r="Y528">
        <f>IF(I528="","No SIC",IFERROR(VLOOKUP(I528,Ref!$A$2:$B$65,2,FALSE),"Unclassified"))</f>
        <v/>
      </c>
      <c r="Z528">
        <f>IF(T528="","",IF(T528&lt;12,"Daily","Weekly"))</f>
        <v/>
      </c>
      <c r="AA528">
        <f>IF(T528="",0,IF(T528&lt;12,T528*Controls!$B$29,T528*5))</f>
        <v/>
      </c>
      <c r="AB528">
        <f>IF(E528="",0,NETWORKDAYS(E528,Controls!$B$36,Ref!$K$2:$K$42))</f>
        <v/>
      </c>
      <c r="AC528">
        <f>IF(AND(AA528&gt;0,AB528&gt;=Controls!$B$39*AA528),1,0)</f>
        <v/>
      </c>
      <c r="AD528">
        <f>IF(AND(E528&lt;&gt;"",E528&gt;=Controls!$B$37,E528&lt;=Controls!$B$38),1,0)</f>
        <v/>
      </c>
      <c r="AE528">
        <f>IF(IFERROR(VLOOKUP(D528,Controls!$A$64:$E$74,2,FALSE),"No")="Yes",1,0)</f>
        <v/>
      </c>
      <c r="AF528">
        <f>IF(IFERROR(VLOOKUP(D528,Controls!$A$64:$E$74,3,FALSE),"No")="Yes",1,0)</f>
        <v/>
      </c>
      <c r="AG528">
        <f>IF(IFERROR(VLOOKUP(D528,Controls!$A$64:$E$74,4,FALSE),"No")="Yes",1,0)</f>
        <v/>
      </c>
      <c r="AH528">
        <f>IF(IFERROR(VLOOKUP(D528,Controls!$A$64:$E$74,5,FALSE),"No")="Yes",1,0)</f>
        <v/>
      </c>
      <c r="AI528">
        <f>IF(ISNUMBER(MATCH(D528,Controls!$A$64:$A$74,0)),1,0)</f>
        <v/>
      </c>
      <c r="AJ528">
        <f>Q528-N528</f>
        <v/>
      </c>
      <c r="AK528">
        <f>IF(AE528=1,MAX(0,N528-Q528),0)</f>
        <v/>
      </c>
      <c r="AL528">
        <f>IF(OR(V528="",V528=0),0,N528/V528)</f>
        <v/>
      </c>
      <c r="AM528">
        <f>IF(OR(V528="",V528=0),0,1)</f>
        <v/>
      </c>
      <c r="AN528">
        <f>IF(OR(E528="",F528=""),0,NETWORKDAYS(E528,F528,Ref!$K$2:$K$42))</f>
        <v/>
      </c>
      <c r="AO528">
        <f>IF(L528="Renewal",1,0)</f>
        <v/>
      </c>
      <c r="AP528">
        <f>AC528*AD528</f>
        <v/>
      </c>
      <c r="AQ528">
        <f>IF(AND(G528&lt;&gt;"",'Historical Score'!$C$6&lt;&gt;""),IF(G528='Historical Score'!$C$6,1,0),0)</f>
        <v/>
      </c>
      <c r="AR528">
        <f>IF(AND(L528&lt;&gt;"",'Historical Score'!$C$5&lt;&gt;""),IF(L528='Historical Score'!$C$5,1,0),0)</f>
        <v/>
      </c>
      <c r="AS528">
        <f>IF(AND(Y528&lt;&gt;"",'Historical Score'!$C$7&lt;&gt;""),IF(Y528='Historical Score'!$C$7,1,0),0)</f>
        <v/>
      </c>
      <c r="AT528">
        <f>IF(AND(K528&lt;&gt;"",'Historical Score'!$C$8&lt;&gt;""),IF(K528='Historical Score'!$C$8,1,0),0)</f>
        <v/>
      </c>
      <c r="AU528">
        <f>IF(AND(J528&lt;&gt;"",'Historical Score'!$C$9&lt;&gt;""),IF(J528='Historical Score'!$C$9,1,0),0)</f>
        <v/>
      </c>
      <c r="AV528">
        <f>AR528*AS528*AQ528</f>
        <v/>
      </c>
      <c r="AW528">
        <f>AR528*AT528*AQ528</f>
        <v/>
      </c>
      <c r="AX528">
        <f>AR528*AS528</f>
        <v/>
      </c>
      <c r="AY528">
        <f>AR528*AT528</f>
        <v/>
      </c>
      <c r="AZ528">
        <f>AR528*AQ528</f>
        <v/>
      </c>
      <c r="BA528">
        <f>AR528</f>
        <v/>
      </c>
      <c r="BB528">
        <f>1</f>
        <v/>
      </c>
      <c r="BC528">
        <f>IF(AV528=1,1,IF(AW528=1,2,IF(AX528=1,3,IF(AY528=1,4,IF(AZ528=1,5,IF(BA528=1,6,7))))))</f>
        <v/>
      </c>
      <c r="BD528">
        <f>IF(AD528=1,CHOOSE('Historical Score'!$C$29,AV528,AW528,AX528,AY528,AZ528,BA528,BB528),0)</f>
        <v/>
      </c>
      <c r="BE528">
        <f>IF(BD528=1,COUNTIF($BD$2:BD528,1),"")</f>
        <v/>
      </c>
    </row>
    <row r="529">
      <c r="A529" t="inlineStr">
        <is>
          <t>5674176304</t>
        </is>
      </c>
      <c r="B529" t="inlineStr">
        <is>
          <t>BLUEPRINT GLOBAL USA, LLC</t>
        </is>
      </c>
      <c r="C529" t="inlineStr">
        <is>
          <t>BLUEPRINT GLOBAL USA, LLC</t>
        </is>
      </c>
      <c r="D529" t="inlineStr">
        <is>
          <t>Open</t>
        </is>
      </c>
      <c r="E529" s="297" t="n">
        <v>46035</v>
      </c>
      <c r="F529" s="297" t="n">
        <v>46248</v>
      </c>
      <c r="G529" t="n">
        <v>1</v>
      </c>
      <c r="H529" t="inlineStr">
        <is>
          <t>1629</t>
        </is>
      </c>
      <c r="I529" t="inlineStr">
        <is>
          <t>16</t>
        </is>
      </c>
      <c r="J529" t="inlineStr">
        <is>
          <t>TX</t>
        </is>
      </c>
      <c r="K529" t="inlineStr">
        <is>
          <t>Fundwell</t>
        </is>
      </c>
      <c r="L529" t="inlineStr">
        <is>
          <t>New Deal</t>
        </is>
      </c>
      <c r="M529" s="298" t="n">
        <v>1.38</v>
      </c>
      <c r="N529" s="299" t="n">
        <v>150000</v>
      </c>
      <c r="O529" s="299" t="n">
        <v>17250</v>
      </c>
      <c r="P529" s="299" t="n">
        <v>207000</v>
      </c>
      <c r="Q529" s="299" t="n">
        <v>119389.2</v>
      </c>
      <c r="R529" s="299" t="n">
        <v>87610.8</v>
      </c>
      <c r="S529" s="300" t="n">
        <v>0.5767594202898551</v>
      </c>
      <c r="T529" t="n">
        <v>52</v>
      </c>
      <c r="U529" t="n">
        <v>0</v>
      </c>
      <c r="V529" t="n">
        <v>329576.44</v>
      </c>
      <c r="W529" s="300" t="n">
        <v>0.0483</v>
      </c>
      <c r="X529" s="297" t="n">
        <v>43574</v>
      </c>
      <c r="Y529">
        <f>IF(I529="","No SIC",IFERROR(VLOOKUP(I529,Ref!$A$2:$B$65,2,FALSE),"Unclassified"))</f>
        <v/>
      </c>
      <c r="Z529">
        <f>IF(T529="","",IF(T529&lt;12,"Daily","Weekly"))</f>
        <v/>
      </c>
      <c r="AA529">
        <f>IF(T529="",0,IF(T529&lt;12,T529*Controls!$B$29,T529*5))</f>
        <v/>
      </c>
      <c r="AB529">
        <f>IF(E529="",0,NETWORKDAYS(E529,Controls!$B$36,Ref!$K$2:$K$42))</f>
        <v/>
      </c>
      <c r="AC529">
        <f>IF(AND(AA529&gt;0,AB529&gt;=Controls!$B$39*AA529),1,0)</f>
        <v/>
      </c>
      <c r="AD529">
        <f>IF(AND(E529&lt;&gt;"",E529&gt;=Controls!$B$37,E529&lt;=Controls!$B$38),1,0)</f>
        <v/>
      </c>
      <c r="AE529">
        <f>IF(IFERROR(VLOOKUP(D529,Controls!$A$64:$E$74,2,FALSE),"No")="Yes",1,0)</f>
        <v/>
      </c>
      <c r="AF529">
        <f>IF(IFERROR(VLOOKUP(D529,Controls!$A$64:$E$74,3,FALSE),"No")="Yes",1,0)</f>
        <v/>
      </c>
      <c r="AG529">
        <f>IF(IFERROR(VLOOKUP(D529,Controls!$A$64:$E$74,4,FALSE),"No")="Yes",1,0)</f>
        <v/>
      </c>
      <c r="AH529">
        <f>IF(IFERROR(VLOOKUP(D529,Controls!$A$64:$E$74,5,FALSE),"No")="Yes",1,0)</f>
        <v/>
      </c>
      <c r="AI529">
        <f>IF(ISNUMBER(MATCH(D529,Controls!$A$64:$A$74,0)),1,0)</f>
        <v/>
      </c>
      <c r="AJ529">
        <f>Q529-N529</f>
        <v/>
      </c>
      <c r="AK529">
        <f>IF(AE529=1,MAX(0,N529-Q529),0)</f>
        <v/>
      </c>
      <c r="AL529">
        <f>IF(OR(V529="",V529=0),0,N529/V529)</f>
        <v/>
      </c>
      <c r="AM529">
        <f>IF(OR(V529="",V529=0),0,1)</f>
        <v/>
      </c>
      <c r="AN529">
        <f>IF(OR(E529="",F529=""),0,NETWORKDAYS(E529,F529,Ref!$K$2:$K$42))</f>
        <v/>
      </c>
      <c r="AO529">
        <f>IF(L529="Renewal",1,0)</f>
        <v/>
      </c>
      <c r="AP529">
        <f>AC529*AD529</f>
        <v/>
      </c>
      <c r="AQ529">
        <f>IF(AND(G529&lt;&gt;"",'Historical Score'!$C$6&lt;&gt;""),IF(G529='Historical Score'!$C$6,1,0),0)</f>
        <v/>
      </c>
      <c r="AR529">
        <f>IF(AND(L529&lt;&gt;"",'Historical Score'!$C$5&lt;&gt;""),IF(L529='Historical Score'!$C$5,1,0),0)</f>
        <v/>
      </c>
      <c r="AS529">
        <f>IF(AND(Y529&lt;&gt;"",'Historical Score'!$C$7&lt;&gt;""),IF(Y529='Historical Score'!$C$7,1,0),0)</f>
        <v/>
      </c>
      <c r="AT529">
        <f>IF(AND(K529&lt;&gt;"",'Historical Score'!$C$8&lt;&gt;""),IF(K529='Historical Score'!$C$8,1,0),0)</f>
        <v/>
      </c>
      <c r="AU529">
        <f>IF(AND(J529&lt;&gt;"",'Historical Score'!$C$9&lt;&gt;""),IF(J529='Historical Score'!$C$9,1,0),0)</f>
        <v/>
      </c>
      <c r="AV529">
        <f>AR529*AS529*AQ529</f>
        <v/>
      </c>
      <c r="AW529">
        <f>AR529*AT529*AQ529</f>
        <v/>
      </c>
      <c r="AX529">
        <f>AR529*AS529</f>
        <v/>
      </c>
      <c r="AY529">
        <f>AR529*AT529</f>
        <v/>
      </c>
      <c r="AZ529">
        <f>AR529*AQ529</f>
        <v/>
      </c>
      <c r="BA529">
        <f>AR529</f>
        <v/>
      </c>
      <c r="BB529">
        <f>1</f>
        <v/>
      </c>
      <c r="BC529">
        <f>IF(AV529=1,1,IF(AW529=1,2,IF(AX529=1,3,IF(AY529=1,4,IF(AZ529=1,5,IF(BA529=1,6,7))))))</f>
        <v/>
      </c>
      <c r="BD529">
        <f>IF(AD529=1,CHOOSE('Historical Score'!$C$29,AV529,AW529,AX529,AY529,AZ529,BA529,BB529),0)</f>
        <v/>
      </c>
      <c r="BE529">
        <f>IF(BD529=1,COUNTIF($BD$2:BD529,1),"")</f>
        <v/>
      </c>
    </row>
    <row r="530">
      <c r="A530" t="inlineStr">
        <is>
          <t>5674176318</t>
        </is>
      </c>
      <c r="B530" t="inlineStr">
        <is>
          <t>Tw services llc</t>
        </is>
      </c>
      <c r="C530" t="inlineStr">
        <is>
          <t>Tw services llc</t>
        </is>
      </c>
      <c r="D530" t="inlineStr">
        <is>
          <t>Legal</t>
        </is>
      </c>
      <c r="E530" s="297" t="n">
        <v>46035</v>
      </c>
      <c r="F530" s="297" t="n">
        <v>46196</v>
      </c>
      <c r="G530" t="n">
        <v>4</v>
      </c>
      <c r="H530" t="inlineStr">
        <is>
          <t>7211</t>
        </is>
      </c>
      <c r="I530" t="inlineStr">
        <is>
          <t>72</t>
        </is>
      </c>
      <c r="J530" t="inlineStr">
        <is>
          <t>TX</t>
        </is>
      </c>
      <c r="K530" t="inlineStr">
        <is>
          <t>Fundwell</t>
        </is>
      </c>
      <c r="L530" t="inlineStr">
        <is>
          <t>New Deal</t>
        </is>
      </c>
      <c r="M530" s="298" t="n">
        <v>1.46</v>
      </c>
      <c r="N530" s="299" t="n">
        <v>20000</v>
      </c>
      <c r="O530" s="299" t="n">
        <v>3300</v>
      </c>
      <c r="P530" s="299" t="n">
        <v>29200</v>
      </c>
      <c r="Q530" s="299" t="n">
        <v>21885.72</v>
      </c>
      <c r="R530" s="299" t="n">
        <v>7314.28</v>
      </c>
      <c r="S530" s="300" t="n">
        <v>0.74951095890411</v>
      </c>
      <c r="T530" t="n">
        <v>16</v>
      </c>
      <c r="U530" t="n">
        <v>11</v>
      </c>
      <c r="V530" t="n">
        <v>108721.93</v>
      </c>
      <c r="W530" s="300" t="n">
        <v>0.06710000000000001</v>
      </c>
      <c r="X530" s="297" t="n">
        <v>45275</v>
      </c>
      <c r="Y530">
        <f>IF(I530="","No SIC",IFERROR(VLOOKUP(I530,Ref!$A$2:$B$65,2,FALSE),"Unclassified"))</f>
        <v/>
      </c>
      <c r="Z530">
        <f>IF(T530="","",IF(T530&lt;12,"Daily","Weekly"))</f>
        <v/>
      </c>
      <c r="AA530">
        <f>IF(T530="",0,IF(T530&lt;12,T530*Controls!$B$29,T530*5))</f>
        <v/>
      </c>
      <c r="AB530">
        <f>IF(E530="",0,NETWORKDAYS(E530,Controls!$B$36,Ref!$K$2:$K$42))</f>
        <v/>
      </c>
      <c r="AC530">
        <f>IF(AND(AA530&gt;0,AB530&gt;=Controls!$B$39*AA530),1,0)</f>
        <v/>
      </c>
      <c r="AD530">
        <f>IF(AND(E530&lt;&gt;"",E530&gt;=Controls!$B$37,E530&lt;=Controls!$B$38),1,0)</f>
        <v/>
      </c>
      <c r="AE530">
        <f>IF(IFERROR(VLOOKUP(D530,Controls!$A$64:$E$74,2,FALSE),"No")="Yes",1,0)</f>
        <v/>
      </c>
      <c r="AF530">
        <f>IF(IFERROR(VLOOKUP(D530,Controls!$A$64:$E$74,3,FALSE),"No")="Yes",1,0)</f>
        <v/>
      </c>
      <c r="AG530">
        <f>IF(IFERROR(VLOOKUP(D530,Controls!$A$64:$E$74,4,FALSE),"No")="Yes",1,0)</f>
        <v/>
      </c>
      <c r="AH530">
        <f>IF(IFERROR(VLOOKUP(D530,Controls!$A$64:$E$74,5,FALSE),"No")="Yes",1,0)</f>
        <v/>
      </c>
      <c r="AI530">
        <f>IF(ISNUMBER(MATCH(D530,Controls!$A$64:$A$74,0)),1,0)</f>
        <v/>
      </c>
      <c r="AJ530">
        <f>Q530-N530</f>
        <v/>
      </c>
      <c r="AK530">
        <f>IF(AE530=1,MAX(0,N530-Q530),0)</f>
        <v/>
      </c>
      <c r="AL530">
        <f>IF(OR(V530="",V530=0),0,N530/V530)</f>
        <v/>
      </c>
      <c r="AM530">
        <f>IF(OR(V530="",V530=0),0,1)</f>
        <v/>
      </c>
      <c r="AN530">
        <f>IF(OR(E530="",F530=""),0,NETWORKDAYS(E530,F530,Ref!$K$2:$K$42))</f>
        <v/>
      </c>
      <c r="AO530">
        <f>IF(L530="Renewal",1,0)</f>
        <v/>
      </c>
      <c r="AP530">
        <f>AC530*AD530</f>
        <v/>
      </c>
      <c r="AQ530">
        <f>IF(AND(G530&lt;&gt;"",'Historical Score'!$C$6&lt;&gt;""),IF(G530='Historical Score'!$C$6,1,0),0)</f>
        <v/>
      </c>
      <c r="AR530">
        <f>IF(AND(L530&lt;&gt;"",'Historical Score'!$C$5&lt;&gt;""),IF(L530='Historical Score'!$C$5,1,0),0)</f>
        <v/>
      </c>
      <c r="AS530">
        <f>IF(AND(Y530&lt;&gt;"",'Historical Score'!$C$7&lt;&gt;""),IF(Y530='Historical Score'!$C$7,1,0),0)</f>
        <v/>
      </c>
      <c r="AT530">
        <f>IF(AND(K530&lt;&gt;"",'Historical Score'!$C$8&lt;&gt;""),IF(K530='Historical Score'!$C$8,1,0),0)</f>
        <v/>
      </c>
      <c r="AU530">
        <f>IF(AND(J530&lt;&gt;"",'Historical Score'!$C$9&lt;&gt;""),IF(J530='Historical Score'!$C$9,1,0),0)</f>
        <v/>
      </c>
      <c r="AV530">
        <f>AR530*AS530*AQ530</f>
        <v/>
      </c>
      <c r="AW530">
        <f>AR530*AT530*AQ530</f>
        <v/>
      </c>
      <c r="AX530">
        <f>AR530*AS530</f>
        <v/>
      </c>
      <c r="AY530">
        <f>AR530*AT530</f>
        <v/>
      </c>
      <c r="AZ530">
        <f>AR530*AQ530</f>
        <v/>
      </c>
      <c r="BA530">
        <f>AR530</f>
        <v/>
      </c>
      <c r="BB530">
        <f>1</f>
        <v/>
      </c>
      <c r="BC530">
        <f>IF(AV530=1,1,IF(AW530=1,2,IF(AX530=1,3,IF(AY530=1,4,IF(AZ530=1,5,IF(BA530=1,6,7))))))</f>
        <v/>
      </c>
      <c r="BD530">
        <f>IF(AD530=1,CHOOSE('Historical Score'!$C$29,AV530,AW530,AX530,AY530,AZ530,BA530,BB530),0)</f>
        <v/>
      </c>
      <c r="BE530">
        <f>IF(BD530=1,COUNTIF($BD$2:BD530,1),"")</f>
        <v/>
      </c>
    </row>
    <row r="531">
      <c r="A531" t="inlineStr">
        <is>
          <t>5674176320</t>
        </is>
      </c>
      <c r="B531" t="inlineStr">
        <is>
          <t>TJ&amp;ASSOCIATES LLC</t>
        </is>
      </c>
      <c r="C531" t="inlineStr">
        <is>
          <t>TJ&amp;ASSOCIATES LLC</t>
        </is>
      </c>
      <c r="D531" t="inlineStr">
        <is>
          <t>Open</t>
        </is>
      </c>
      <c r="E531" s="297" t="n">
        <v>46035</v>
      </c>
      <c r="F531" s="297" t="n">
        <v>46240</v>
      </c>
      <c r="G531" t="n">
        <v>6</v>
      </c>
      <c r="H531" t="inlineStr">
        <is>
          <t>8111</t>
        </is>
      </c>
      <c r="I531" t="inlineStr">
        <is>
          <t>81</t>
        </is>
      </c>
      <c r="J531" t="inlineStr">
        <is>
          <t>AL</t>
        </is>
      </c>
      <c r="K531" t="inlineStr">
        <is>
          <t>Westwood</t>
        </is>
      </c>
      <c r="L531" t="inlineStr">
        <is>
          <t>New Deal</t>
        </is>
      </c>
      <c r="M531" s="298" t="n">
        <v>1.49</v>
      </c>
      <c r="N531" s="299" t="n">
        <v>13500</v>
      </c>
      <c r="O531" s="299" t="n">
        <v>1890</v>
      </c>
      <c r="P531" s="299" t="n">
        <v>20115</v>
      </c>
      <c r="Q531" s="299" t="n">
        <v>12906.94</v>
      </c>
      <c r="R531" s="299" t="n">
        <v>7208.06</v>
      </c>
      <c r="S531" s="300" t="n">
        <v>0.641657469550087</v>
      </c>
      <c r="T531" t="n">
        <v>1.967</v>
      </c>
      <c r="U531" t="n">
        <v>53</v>
      </c>
      <c r="V531" t="n">
        <v>39717.24</v>
      </c>
      <c r="W531" s="300" t="n">
        <v>0.1773</v>
      </c>
      <c r="X531" s="297" t="n">
        <v>44193</v>
      </c>
      <c r="Y531">
        <f>IF(I531="","No SIC",IFERROR(VLOOKUP(I531,Ref!$A$2:$B$65,2,FALSE),"Unclassified"))</f>
        <v/>
      </c>
      <c r="Z531">
        <f>IF(T531="","",IF(T531&lt;12,"Daily","Weekly"))</f>
        <v/>
      </c>
      <c r="AA531">
        <f>IF(T531="",0,IF(T531&lt;12,T531*Controls!$B$29,T531*5))</f>
        <v/>
      </c>
      <c r="AB531">
        <f>IF(E531="",0,NETWORKDAYS(E531,Controls!$B$36,Ref!$K$2:$K$42))</f>
        <v/>
      </c>
      <c r="AC531">
        <f>IF(AND(AA531&gt;0,AB531&gt;=Controls!$B$39*AA531),1,0)</f>
        <v/>
      </c>
      <c r="AD531">
        <f>IF(AND(E531&lt;&gt;"",E531&gt;=Controls!$B$37,E531&lt;=Controls!$B$38),1,0)</f>
        <v/>
      </c>
      <c r="AE531">
        <f>IF(IFERROR(VLOOKUP(D531,Controls!$A$64:$E$74,2,FALSE),"No")="Yes",1,0)</f>
        <v/>
      </c>
      <c r="AF531">
        <f>IF(IFERROR(VLOOKUP(D531,Controls!$A$64:$E$74,3,FALSE),"No")="Yes",1,0)</f>
        <v/>
      </c>
      <c r="AG531">
        <f>IF(IFERROR(VLOOKUP(D531,Controls!$A$64:$E$74,4,FALSE),"No")="Yes",1,0)</f>
        <v/>
      </c>
      <c r="AH531">
        <f>IF(IFERROR(VLOOKUP(D531,Controls!$A$64:$E$74,5,FALSE),"No")="Yes",1,0)</f>
        <v/>
      </c>
      <c r="AI531">
        <f>IF(ISNUMBER(MATCH(D531,Controls!$A$64:$A$74,0)),1,0)</f>
        <v/>
      </c>
      <c r="AJ531">
        <f>Q531-N531</f>
        <v/>
      </c>
      <c r="AK531">
        <f>IF(AE531=1,MAX(0,N531-Q531),0)</f>
        <v/>
      </c>
      <c r="AL531">
        <f>IF(OR(V531="",V531=0),0,N531/V531)</f>
        <v/>
      </c>
      <c r="AM531">
        <f>IF(OR(V531="",V531=0),0,1)</f>
        <v/>
      </c>
      <c r="AN531">
        <f>IF(OR(E531="",F531=""),0,NETWORKDAYS(E531,F531,Ref!$K$2:$K$42))</f>
        <v/>
      </c>
      <c r="AO531">
        <f>IF(L531="Renewal",1,0)</f>
        <v/>
      </c>
      <c r="AP531">
        <f>AC531*AD531</f>
        <v/>
      </c>
      <c r="AQ531">
        <f>IF(AND(G531&lt;&gt;"",'Historical Score'!$C$6&lt;&gt;""),IF(G531='Historical Score'!$C$6,1,0),0)</f>
        <v/>
      </c>
      <c r="AR531">
        <f>IF(AND(L531&lt;&gt;"",'Historical Score'!$C$5&lt;&gt;""),IF(L531='Historical Score'!$C$5,1,0),0)</f>
        <v/>
      </c>
      <c r="AS531">
        <f>IF(AND(Y531&lt;&gt;"",'Historical Score'!$C$7&lt;&gt;""),IF(Y531='Historical Score'!$C$7,1,0),0)</f>
        <v/>
      </c>
      <c r="AT531">
        <f>IF(AND(K531&lt;&gt;"",'Historical Score'!$C$8&lt;&gt;""),IF(K531='Historical Score'!$C$8,1,0),0)</f>
        <v/>
      </c>
      <c r="AU531">
        <f>IF(AND(J531&lt;&gt;"",'Historical Score'!$C$9&lt;&gt;""),IF(J531='Historical Score'!$C$9,1,0),0)</f>
        <v/>
      </c>
      <c r="AV531">
        <f>AR531*AS531*AQ531</f>
        <v/>
      </c>
      <c r="AW531">
        <f>AR531*AT531*AQ531</f>
        <v/>
      </c>
      <c r="AX531">
        <f>AR531*AS531</f>
        <v/>
      </c>
      <c r="AY531">
        <f>AR531*AT531</f>
        <v/>
      </c>
      <c r="AZ531">
        <f>AR531*AQ531</f>
        <v/>
      </c>
      <c r="BA531">
        <f>AR531</f>
        <v/>
      </c>
      <c r="BB531">
        <f>1</f>
        <v/>
      </c>
      <c r="BC531">
        <f>IF(AV531=1,1,IF(AW531=1,2,IF(AX531=1,3,IF(AY531=1,4,IF(AZ531=1,5,IF(BA531=1,6,7))))))</f>
        <v/>
      </c>
      <c r="BD531">
        <f>IF(AD531=1,CHOOSE('Historical Score'!$C$29,AV531,AW531,AX531,AY531,AZ531,BA531,BB531),0)</f>
        <v/>
      </c>
      <c r="BE531">
        <f>IF(BD531=1,COUNTIF($BD$2:BD531,1),"")</f>
        <v/>
      </c>
    </row>
    <row r="532">
      <c r="A532" t="inlineStr">
        <is>
          <t>5674176323</t>
        </is>
      </c>
      <c r="B532" t="inlineStr">
        <is>
          <t>Medina And Associates PC</t>
        </is>
      </c>
      <c r="C532" t="inlineStr">
        <is>
          <t>Medina And Associates PC</t>
        </is>
      </c>
      <c r="D532" t="inlineStr">
        <is>
          <t>Closed</t>
        </is>
      </c>
      <c r="E532" s="297" t="n">
        <v>46035</v>
      </c>
      <c r="F532" s="297" t="n">
        <v>46168</v>
      </c>
      <c r="G532" t="n">
        <v>5</v>
      </c>
      <c r="H532" t="inlineStr">
        <is>
          <t>8111</t>
        </is>
      </c>
      <c r="I532" t="inlineStr">
        <is>
          <t>81</t>
        </is>
      </c>
      <c r="J532" t="inlineStr">
        <is>
          <t>MD</t>
        </is>
      </c>
      <c r="K532" t="inlineStr">
        <is>
          <t>Premium Capital (AMRK)</t>
        </is>
      </c>
      <c r="L532" t="inlineStr">
        <is>
          <t>Renewal</t>
        </is>
      </c>
      <c r="M532" s="298" t="n">
        <v>1.49</v>
      </c>
      <c r="N532" s="299" t="n">
        <v>65000</v>
      </c>
      <c r="O532" s="299" t="n">
        <v>9100</v>
      </c>
      <c r="P532" s="299" t="n">
        <v>96850</v>
      </c>
      <c r="Q532" s="299" t="n">
        <v>96850</v>
      </c>
      <c r="R532" s="299" t="n">
        <v>0</v>
      </c>
      <c r="S532" s="300" t="n">
        <v>1</v>
      </c>
      <c r="T532" t="n">
        <v>32</v>
      </c>
      <c r="U532" t="n">
        <v>3</v>
      </c>
      <c r="V532" t="n">
        <v>122458.04</v>
      </c>
      <c r="W532" s="300" t="n">
        <v>0.1041</v>
      </c>
      <c r="X532" s="297" t="n"/>
      <c r="Y532">
        <f>IF(I532="","No SIC",IFERROR(VLOOKUP(I532,Ref!$A$2:$B$65,2,FALSE),"Unclassified"))</f>
        <v/>
      </c>
      <c r="Z532">
        <f>IF(T532="","",IF(T532&lt;12,"Daily","Weekly"))</f>
        <v/>
      </c>
      <c r="AA532">
        <f>IF(T532="",0,IF(T532&lt;12,T532*Controls!$B$29,T532*5))</f>
        <v/>
      </c>
      <c r="AB532">
        <f>IF(E532="",0,NETWORKDAYS(E532,Controls!$B$36,Ref!$K$2:$K$42))</f>
        <v/>
      </c>
      <c r="AC532">
        <f>IF(AND(AA532&gt;0,AB532&gt;=Controls!$B$39*AA532),1,0)</f>
        <v/>
      </c>
      <c r="AD532">
        <f>IF(AND(E532&lt;&gt;"",E532&gt;=Controls!$B$37,E532&lt;=Controls!$B$38),1,0)</f>
        <v/>
      </c>
      <c r="AE532">
        <f>IF(IFERROR(VLOOKUP(D532,Controls!$A$64:$E$74,2,FALSE),"No")="Yes",1,0)</f>
        <v/>
      </c>
      <c r="AF532">
        <f>IF(IFERROR(VLOOKUP(D532,Controls!$A$64:$E$74,3,FALSE),"No")="Yes",1,0)</f>
        <v/>
      </c>
      <c r="AG532">
        <f>IF(IFERROR(VLOOKUP(D532,Controls!$A$64:$E$74,4,FALSE),"No")="Yes",1,0)</f>
        <v/>
      </c>
      <c r="AH532">
        <f>IF(IFERROR(VLOOKUP(D532,Controls!$A$64:$E$74,5,FALSE),"No")="Yes",1,0)</f>
        <v/>
      </c>
      <c r="AI532">
        <f>IF(ISNUMBER(MATCH(D532,Controls!$A$64:$A$74,0)),1,0)</f>
        <v/>
      </c>
      <c r="AJ532">
        <f>Q532-N532</f>
        <v/>
      </c>
      <c r="AK532">
        <f>IF(AE532=1,MAX(0,N532-Q532),0)</f>
        <v/>
      </c>
      <c r="AL532">
        <f>IF(OR(V532="",V532=0),0,N532/V532)</f>
        <v/>
      </c>
      <c r="AM532">
        <f>IF(OR(V532="",V532=0),0,1)</f>
        <v/>
      </c>
      <c r="AN532">
        <f>IF(OR(E532="",F532=""),0,NETWORKDAYS(E532,F532,Ref!$K$2:$K$42))</f>
        <v/>
      </c>
      <c r="AO532">
        <f>IF(L532="Renewal",1,0)</f>
        <v/>
      </c>
      <c r="AP532">
        <f>AC532*AD532</f>
        <v/>
      </c>
      <c r="AQ532">
        <f>IF(AND(G532&lt;&gt;"",'Historical Score'!$C$6&lt;&gt;""),IF(G532='Historical Score'!$C$6,1,0),0)</f>
        <v/>
      </c>
      <c r="AR532">
        <f>IF(AND(L532&lt;&gt;"",'Historical Score'!$C$5&lt;&gt;""),IF(L532='Historical Score'!$C$5,1,0),0)</f>
        <v/>
      </c>
      <c r="AS532">
        <f>IF(AND(Y532&lt;&gt;"",'Historical Score'!$C$7&lt;&gt;""),IF(Y532='Historical Score'!$C$7,1,0),0)</f>
        <v/>
      </c>
      <c r="AT532">
        <f>IF(AND(K532&lt;&gt;"",'Historical Score'!$C$8&lt;&gt;""),IF(K532='Historical Score'!$C$8,1,0),0)</f>
        <v/>
      </c>
      <c r="AU532">
        <f>IF(AND(J532&lt;&gt;"",'Historical Score'!$C$9&lt;&gt;""),IF(J532='Historical Score'!$C$9,1,0),0)</f>
        <v/>
      </c>
      <c r="AV532">
        <f>AR532*AS532*AQ532</f>
        <v/>
      </c>
      <c r="AW532">
        <f>AR532*AT532*AQ532</f>
        <v/>
      </c>
      <c r="AX532">
        <f>AR532*AS532</f>
        <v/>
      </c>
      <c r="AY532">
        <f>AR532*AT532</f>
        <v/>
      </c>
      <c r="AZ532">
        <f>AR532*AQ532</f>
        <v/>
      </c>
      <c r="BA532">
        <f>AR532</f>
        <v/>
      </c>
      <c r="BB532">
        <f>1</f>
        <v/>
      </c>
      <c r="BC532">
        <f>IF(AV532=1,1,IF(AW532=1,2,IF(AX532=1,3,IF(AY532=1,4,IF(AZ532=1,5,IF(BA532=1,6,7))))))</f>
        <v/>
      </c>
      <c r="BD532">
        <f>IF(AD532=1,CHOOSE('Historical Score'!$C$29,AV532,AW532,AX532,AY532,AZ532,BA532,BB532),0)</f>
        <v/>
      </c>
      <c r="BE532">
        <f>IF(BD532=1,COUNTIF($BD$2:BD532,1),"")</f>
        <v/>
      </c>
    </row>
    <row r="533">
      <c r="A533" t="inlineStr">
        <is>
          <t>5674176347</t>
        </is>
      </c>
      <c r="B533" t="inlineStr">
        <is>
          <t>MOISES MARES AGUILAR</t>
        </is>
      </c>
      <c r="C533" t="inlineStr">
        <is>
          <t>MOISES MARES AGUILAR</t>
        </is>
      </c>
      <c r="D533" t="inlineStr">
        <is>
          <t>Closed</t>
        </is>
      </c>
      <c r="E533" s="297" t="n">
        <v>46035</v>
      </c>
      <c r="F533" s="297" t="n">
        <v>46155</v>
      </c>
      <c r="G533" t="n">
        <v>5</v>
      </c>
      <c r="H533" t="inlineStr">
        <is>
          <t>7538</t>
        </is>
      </c>
      <c r="I533" t="inlineStr">
        <is>
          <t>75</t>
        </is>
      </c>
      <c r="J533" t="inlineStr">
        <is>
          <t>TX</t>
        </is>
      </c>
      <c r="K533" t="inlineStr">
        <is>
          <t>United Secured Capital 8</t>
        </is>
      </c>
      <c r="L533" t="inlineStr">
        <is>
          <t>New Deal</t>
        </is>
      </c>
      <c r="M533" s="298" t="n">
        <v>1.49</v>
      </c>
      <c r="N533" s="299" t="n">
        <v>35000</v>
      </c>
      <c r="O533" s="299" t="n">
        <v>4900</v>
      </c>
      <c r="P533" s="299" t="n">
        <v>52150</v>
      </c>
      <c r="Q533" s="299" t="n">
        <v>52150</v>
      </c>
      <c r="R533" s="299" t="n">
        <v>0</v>
      </c>
      <c r="S533" s="300" t="n">
        <v>1</v>
      </c>
      <c r="T533" t="n">
        <v>3.607</v>
      </c>
      <c r="U533" t="n">
        <v>0</v>
      </c>
      <c r="V533" t="n">
        <v>135177.51</v>
      </c>
      <c r="W533" s="300" t="n">
        <v>0.0737</v>
      </c>
      <c r="X533" s="297" t="n"/>
      <c r="Y533">
        <f>IF(I533="","No SIC",IFERROR(VLOOKUP(I533,Ref!$A$2:$B$65,2,FALSE),"Unclassified"))</f>
        <v/>
      </c>
      <c r="Z533">
        <f>IF(T533="","",IF(T533&lt;12,"Daily","Weekly"))</f>
        <v/>
      </c>
      <c r="AA533">
        <f>IF(T533="",0,IF(T533&lt;12,T533*Controls!$B$29,T533*5))</f>
        <v/>
      </c>
      <c r="AB533">
        <f>IF(E533="",0,NETWORKDAYS(E533,Controls!$B$36,Ref!$K$2:$K$42))</f>
        <v/>
      </c>
      <c r="AC533">
        <f>IF(AND(AA533&gt;0,AB533&gt;=Controls!$B$39*AA533),1,0)</f>
        <v/>
      </c>
      <c r="AD533">
        <f>IF(AND(E533&lt;&gt;"",E533&gt;=Controls!$B$37,E533&lt;=Controls!$B$38),1,0)</f>
        <v/>
      </c>
      <c r="AE533">
        <f>IF(IFERROR(VLOOKUP(D533,Controls!$A$64:$E$74,2,FALSE),"No")="Yes",1,0)</f>
        <v/>
      </c>
      <c r="AF533">
        <f>IF(IFERROR(VLOOKUP(D533,Controls!$A$64:$E$74,3,FALSE),"No")="Yes",1,0)</f>
        <v/>
      </c>
      <c r="AG533">
        <f>IF(IFERROR(VLOOKUP(D533,Controls!$A$64:$E$74,4,FALSE),"No")="Yes",1,0)</f>
        <v/>
      </c>
      <c r="AH533">
        <f>IF(IFERROR(VLOOKUP(D533,Controls!$A$64:$E$74,5,FALSE),"No")="Yes",1,0)</f>
        <v/>
      </c>
      <c r="AI533">
        <f>IF(ISNUMBER(MATCH(D533,Controls!$A$64:$A$74,0)),1,0)</f>
        <v/>
      </c>
      <c r="AJ533">
        <f>Q533-N533</f>
        <v/>
      </c>
      <c r="AK533">
        <f>IF(AE533=1,MAX(0,N533-Q533),0)</f>
        <v/>
      </c>
      <c r="AL533">
        <f>IF(OR(V533="",V533=0),0,N533/V533)</f>
        <v/>
      </c>
      <c r="AM533">
        <f>IF(OR(V533="",V533=0),0,1)</f>
        <v/>
      </c>
      <c r="AN533">
        <f>IF(OR(E533="",F533=""),0,NETWORKDAYS(E533,F533,Ref!$K$2:$K$42))</f>
        <v/>
      </c>
      <c r="AO533">
        <f>IF(L533="Renewal",1,0)</f>
        <v/>
      </c>
      <c r="AP533">
        <f>AC533*AD533</f>
        <v/>
      </c>
      <c r="AQ533">
        <f>IF(AND(G533&lt;&gt;"",'Historical Score'!$C$6&lt;&gt;""),IF(G533='Historical Score'!$C$6,1,0),0)</f>
        <v/>
      </c>
      <c r="AR533">
        <f>IF(AND(L533&lt;&gt;"",'Historical Score'!$C$5&lt;&gt;""),IF(L533='Historical Score'!$C$5,1,0),0)</f>
        <v/>
      </c>
      <c r="AS533">
        <f>IF(AND(Y533&lt;&gt;"",'Historical Score'!$C$7&lt;&gt;""),IF(Y533='Historical Score'!$C$7,1,0),0)</f>
        <v/>
      </c>
      <c r="AT533">
        <f>IF(AND(K533&lt;&gt;"",'Historical Score'!$C$8&lt;&gt;""),IF(K533='Historical Score'!$C$8,1,0),0)</f>
        <v/>
      </c>
      <c r="AU533">
        <f>IF(AND(J533&lt;&gt;"",'Historical Score'!$C$9&lt;&gt;""),IF(J533='Historical Score'!$C$9,1,0),0)</f>
        <v/>
      </c>
      <c r="AV533">
        <f>AR533*AS533*AQ533</f>
        <v/>
      </c>
      <c r="AW533">
        <f>AR533*AT533*AQ533</f>
        <v/>
      </c>
      <c r="AX533">
        <f>AR533*AS533</f>
        <v/>
      </c>
      <c r="AY533">
        <f>AR533*AT533</f>
        <v/>
      </c>
      <c r="AZ533">
        <f>AR533*AQ533</f>
        <v/>
      </c>
      <c r="BA533">
        <f>AR533</f>
        <v/>
      </c>
      <c r="BB533">
        <f>1</f>
        <v/>
      </c>
      <c r="BC533">
        <f>IF(AV533=1,1,IF(AW533=1,2,IF(AX533=1,3,IF(AY533=1,4,IF(AZ533=1,5,IF(BA533=1,6,7))))))</f>
        <v/>
      </c>
      <c r="BD533">
        <f>IF(AD533=1,CHOOSE('Historical Score'!$C$29,AV533,AW533,AX533,AY533,AZ533,BA533,BB533),0)</f>
        <v/>
      </c>
      <c r="BE533">
        <f>IF(BD533=1,COUNTIF($BD$2:BD533,1),"")</f>
        <v/>
      </c>
    </row>
    <row r="534">
      <c r="A534" t="inlineStr">
        <is>
          <t>5674176350</t>
        </is>
      </c>
      <c r="B534" t="inlineStr">
        <is>
          <t>Baby Boss Auto Shop</t>
        </is>
      </c>
      <c r="C534" t="inlineStr">
        <is>
          <t>Carlos A Jamie</t>
        </is>
      </c>
      <c r="D534" t="inlineStr">
        <is>
          <t>Closed</t>
        </is>
      </c>
      <c r="E534" s="297" t="n">
        <v>46035</v>
      </c>
      <c r="F534" s="297" t="n">
        <v>46112</v>
      </c>
      <c r="G534" t="n">
        <v>5</v>
      </c>
      <c r="H534" t="inlineStr">
        <is>
          <t>7538</t>
        </is>
      </c>
      <c r="I534" t="inlineStr">
        <is>
          <t>75</t>
        </is>
      </c>
      <c r="J534" t="inlineStr">
        <is>
          <t>TX</t>
        </is>
      </c>
      <c r="K534" t="inlineStr">
        <is>
          <t>Ballicci</t>
        </is>
      </c>
      <c r="L534" t="inlineStr">
        <is>
          <t>New Deal</t>
        </is>
      </c>
      <c r="M534" s="298" t="n">
        <v>1.49</v>
      </c>
      <c r="N534" s="299" t="n">
        <v>20000</v>
      </c>
      <c r="O534" s="299" t="n">
        <v>2800</v>
      </c>
      <c r="P534" s="299" t="n">
        <v>29800</v>
      </c>
      <c r="Q534" s="299" t="n">
        <v>29800</v>
      </c>
      <c r="R534" s="299" t="n">
        <v>0</v>
      </c>
      <c r="S534" s="300" t="n">
        <v>1</v>
      </c>
      <c r="T534" t="n">
        <v>2.951</v>
      </c>
      <c r="U534" t="n">
        <v>0</v>
      </c>
      <c r="V534" t="n">
        <v>50675.93</v>
      </c>
      <c r="W534" s="300" t="n">
        <v>0.1372</v>
      </c>
      <c r="X534" s="297" t="n">
        <v>44845</v>
      </c>
      <c r="Y534">
        <f>IF(I534="","No SIC",IFERROR(VLOOKUP(I534,Ref!$A$2:$B$65,2,FALSE),"Unclassified"))</f>
        <v/>
      </c>
      <c r="Z534">
        <f>IF(T534="","",IF(T534&lt;12,"Daily","Weekly"))</f>
        <v/>
      </c>
      <c r="AA534">
        <f>IF(T534="",0,IF(T534&lt;12,T534*Controls!$B$29,T534*5))</f>
        <v/>
      </c>
      <c r="AB534">
        <f>IF(E534="",0,NETWORKDAYS(E534,Controls!$B$36,Ref!$K$2:$K$42))</f>
        <v/>
      </c>
      <c r="AC534">
        <f>IF(AND(AA534&gt;0,AB534&gt;=Controls!$B$39*AA534),1,0)</f>
        <v/>
      </c>
      <c r="AD534">
        <f>IF(AND(E534&lt;&gt;"",E534&gt;=Controls!$B$37,E534&lt;=Controls!$B$38),1,0)</f>
        <v/>
      </c>
      <c r="AE534">
        <f>IF(IFERROR(VLOOKUP(D534,Controls!$A$64:$E$74,2,FALSE),"No")="Yes",1,0)</f>
        <v/>
      </c>
      <c r="AF534">
        <f>IF(IFERROR(VLOOKUP(D534,Controls!$A$64:$E$74,3,FALSE),"No")="Yes",1,0)</f>
        <v/>
      </c>
      <c r="AG534">
        <f>IF(IFERROR(VLOOKUP(D534,Controls!$A$64:$E$74,4,FALSE),"No")="Yes",1,0)</f>
        <v/>
      </c>
      <c r="AH534">
        <f>IF(IFERROR(VLOOKUP(D534,Controls!$A$64:$E$74,5,FALSE),"No")="Yes",1,0)</f>
        <v/>
      </c>
      <c r="AI534">
        <f>IF(ISNUMBER(MATCH(D534,Controls!$A$64:$A$74,0)),1,0)</f>
        <v/>
      </c>
      <c r="AJ534">
        <f>Q534-N534</f>
        <v/>
      </c>
      <c r="AK534">
        <f>IF(AE534=1,MAX(0,N534-Q534),0)</f>
        <v/>
      </c>
      <c r="AL534">
        <f>IF(OR(V534="",V534=0),0,N534/V534)</f>
        <v/>
      </c>
      <c r="AM534">
        <f>IF(OR(V534="",V534=0),0,1)</f>
        <v/>
      </c>
      <c r="AN534">
        <f>IF(OR(E534="",F534=""),0,NETWORKDAYS(E534,F534,Ref!$K$2:$K$42))</f>
        <v/>
      </c>
      <c r="AO534">
        <f>IF(L534="Renewal",1,0)</f>
        <v/>
      </c>
      <c r="AP534">
        <f>AC534*AD534</f>
        <v/>
      </c>
      <c r="AQ534">
        <f>IF(AND(G534&lt;&gt;"",'Historical Score'!$C$6&lt;&gt;""),IF(G534='Historical Score'!$C$6,1,0),0)</f>
        <v/>
      </c>
      <c r="AR534">
        <f>IF(AND(L534&lt;&gt;"",'Historical Score'!$C$5&lt;&gt;""),IF(L534='Historical Score'!$C$5,1,0),0)</f>
        <v/>
      </c>
      <c r="AS534">
        <f>IF(AND(Y534&lt;&gt;"",'Historical Score'!$C$7&lt;&gt;""),IF(Y534='Historical Score'!$C$7,1,0),0)</f>
        <v/>
      </c>
      <c r="AT534">
        <f>IF(AND(K534&lt;&gt;"",'Historical Score'!$C$8&lt;&gt;""),IF(K534='Historical Score'!$C$8,1,0),0)</f>
        <v/>
      </c>
      <c r="AU534">
        <f>IF(AND(J534&lt;&gt;"",'Historical Score'!$C$9&lt;&gt;""),IF(J534='Historical Score'!$C$9,1,0),0)</f>
        <v/>
      </c>
      <c r="AV534">
        <f>AR534*AS534*AQ534</f>
        <v/>
      </c>
      <c r="AW534">
        <f>AR534*AT534*AQ534</f>
        <v/>
      </c>
      <c r="AX534">
        <f>AR534*AS534</f>
        <v/>
      </c>
      <c r="AY534">
        <f>AR534*AT534</f>
        <v/>
      </c>
      <c r="AZ534">
        <f>AR534*AQ534</f>
        <v/>
      </c>
      <c r="BA534">
        <f>AR534</f>
        <v/>
      </c>
      <c r="BB534">
        <f>1</f>
        <v/>
      </c>
      <c r="BC534">
        <f>IF(AV534=1,1,IF(AW534=1,2,IF(AX534=1,3,IF(AY534=1,4,IF(AZ534=1,5,IF(BA534=1,6,7))))))</f>
        <v/>
      </c>
      <c r="BD534">
        <f>IF(AD534=1,CHOOSE('Historical Score'!$C$29,AV534,AW534,AX534,AY534,AZ534,BA534,BB534),0)</f>
        <v/>
      </c>
      <c r="BE534">
        <f>IF(BD534=1,COUNTIF($BD$2:BD534,1),"")</f>
        <v/>
      </c>
    </row>
    <row r="535">
      <c r="A535" t="inlineStr">
        <is>
          <t>5674176418</t>
        </is>
      </c>
      <c r="B535" t="inlineStr">
        <is>
          <t>Southern Panc Eat Good LLC DBA Southern Pancake House</t>
        </is>
      </c>
      <c r="C535" t="inlineStr">
        <is>
          <t>Let'em Eat Good LLC</t>
        </is>
      </c>
      <c r="D535" t="inlineStr">
        <is>
          <t>Closed</t>
        </is>
      </c>
      <c r="E535" s="297" t="n">
        <v>46036</v>
      </c>
      <c r="F535" s="297" t="n">
        <v>46184</v>
      </c>
      <c r="G535" t="n">
        <v>1</v>
      </c>
      <c r="H535" t="inlineStr">
        <is>
          <t>5812</t>
        </is>
      </c>
      <c r="I535" t="inlineStr">
        <is>
          <t>58</t>
        </is>
      </c>
      <c r="J535" t="inlineStr">
        <is>
          <t>VA</t>
        </is>
      </c>
      <c r="K535" t="inlineStr">
        <is>
          <t>Premium Capital (AMRK)</t>
        </is>
      </c>
      <c r="L535" t="inlineStr">
        <is>
          <t>Renewal</t>
        </is>
      </c>
      <c r="M535" s="298" t="n">
        <v>1.45</v>
      </c>
      <c r="N535" s="299" t="n">
        <v>65000</v>
      </c>
      <c r="O535" s="299" t="n">
        <v>7800</v>
      </c>
      <c r="P535" s="299" t="n">
        <v>94250</v>
      </c>
      <c r="Q535" s="299" t="n">
        <v>94250</v>
      </c>
      <c r="R535" s="299" t="n">
        <v>0</v>
      </c>
      <c r="S535" s="300" t="n">
        <v>1</v>
      </c>
      <c r="T535" t="n">
        <v>5.246</v>
      </c>
      <c r="U535" t="n">
        <v>9</v>
      </c>
      <c r="V535" t="n">
        <v>73218.44</v>
      </c>
      <c r="W535" s="300" t="n">
        <v>0.169</v>
      </c>
      <c r="X535" s="297" t="n"/>
      <c r="Y535">
        <f>IF(I535="","No SIC",IFERROR(VLOOKUP(I535,Ref!$A$2:$B$65,2,FALSE),"Unclassified"))</f>
        <v/>
      </c>
      <c r="Z535">
        <f>IF(T535="","",IF(T535&lt;12,"Daily","Weekly"))</f>
        <v/>
      </c>
      <c r="AA535">
        <f>IF(T535="",0,IF(T535&lt;12,T535*Controls!$B$29,T535*5))</f>
        <v/>
      </c>
      <c r="AB535">
        <f>IF(E535="",0,NETWORKDAYS(E535,Controls!$B$36,Ref!$K$2:$K$42))</f>
        <v/>
      </c>
      <c r="AC535">
        <f>IF(AND(AA535&gt;0,AB535&gt;=Controls!$B$39*AA535),1,0)</f>
        <v/>
      </c>
      <c r="AD535">
        <f>IF(AND(E535&lt;&gt;"",E535&gt;=Controls!$B$37,E535&lt;=Controls!$B$38),1,0)</f>
        <v/>
      </c>
      <c r="AE535">
        <f>IF(IFERROR(VLOOKUP(D535,Controls!$A$64:$E$74,2,FALSE),"No")="Yes",1,0)</f>
        <v/>
      </c>
      <c r="AF535">
        <f>IF(IFERROR(VLOOKUP(D535,Controls!$A$64:$E$74,3,FALSE),"No")="Yes",1,0)</f>
        <v/>
      </c>
      <c r="AG535">
        <f>IF(IFERROR(VLOOKUP(D535,Controls!$A$64:$E$74,4,FALSE),"No")="Yes",1,0)</f>
        <v/>
      </c>
      <c r="AH535">
        <f>IF(IFERROR(VLOOKUP(D535,Controls!$A$64:$E$74,5,FALSE),"No")="Yes",1,0)</f>
        <v/>
      </c>
      <c r="AI535">
        <f>IF(ISNUMBER(MATCH(D535,Controls!$A$64:$A$74,0)),1,0)</f>
        <v/>
      </c>
      <c r="AJ535">
        <f>Q535-N535</f>
        <v/>
      </c>
      <c r="AK535">
        <f>IF(AE535=1,MAX(0,N535-Q535),0)</f>
        <v/>
      </c>
      <c r="AL535">
        <f>IF(OR(V535="",V535=0),0,N535/V535)</f>
        <v/>
      </c>
      <c r="AM535">
        <f>IF(OR(V535="",V535=0),0,1)</f>
        <v/>
      </c>
      <c r="AN535">
        <f>IF(OR(E535="",F535=""),0,NETWORKDAYS(E535,F535,Ref!$K$2:$K$42))</f>
        <v/>
      </c>
      <c r="AO535">
        <f>IF(L535="Renewal",1,0)</f>
        <v/>
      </c>
      <c r="AP535">
        <f>AC535*AD535</f>
        <v/>
      </c>
      <c r="AQ535">
        <f>IF(AND(G535&lt;&gt;"",'Historical Score'!$C$6&lt;&gt;""),IF(G535='Historical Score'!$C$6,1,0),0)</f>
        <v/>
      </c>
      <c r="AR535">
        <f>IF(AND(L535&lt;&gt;"",'Historical Score'!$C$5&lt;&gt;""),IF(L535='Historical Score'!$C$5,1,0),0)</f>
        <v/>
      </c>
      <c r="AS535">
        <f>IF(AND(Y535&lt;&gt;"",'Historical Score'!$C$7&lt;&gt;""),IF(Y535='Historical Score'!$C$7,1,0),0)</f>
        <v/>
      </c>
      <c r="AT535">
        <f>IF(AND(K535&lt;&gt;"",'Historical Score'!$C$8&lt;&gt;""),IF(K535='Historical Score'!$C$8,1,0),0)</f>
        <v/>
      </c>
      <c r="AU535">
        <f>IF(AND(J535&lt;&gt;"",'Historical Score'!$C$9&lt;&gt;""),IF(J535='Historical Score'!$C$9,1,0),0)</f>
        <v/>
      </c>
      <c r="AV535">
        <f>AR535*AS535*AQ535</f>
        <v/>
      </c>
      <c r="AW535">
        <f>AR535*AT535*AQ535</f>
        <v/>
      </c>
      <c r="AX535">
        <f>AR535*AS535</f>
        <v/>
      </c>
      <c r="AY535">
        <f>AR535*AT535</f>
        <v/>
      </c>
      <c r="AZ535">
        <f>AR535*AQ535</f>
        <v/>
      </c>
      <c r="BA535">
        <f>AR535</f>
        <v/>
      </c>
      <c r="BB535">
        <f>1</f>
        <v/>
      </c>
      <c r="BC535">
        <f>IF(AV535=1,1,IF(AW535=1,2,IF(AX535=1,3,IF(AY535=1,4,IF(AZ535=1,5,IF(BA535=1,6,7))))))</f>
        <v/>
      </c>
      <c r="BD535">
        <f>IF(AD535=1,CHOOSE('Historical Score'!$C$29,AV535,AW535,AX535,AY535,AZ535,BA535,BB535),0)</f>
        <v/>
      </c>
      <c r="BE535">
        <f>IF(BD535=1,COUNTIF($BD$2:BD535,1),"")</f>
        <v/>
      </c>
    </row>
    <row r="536">
      <c r="A536" t="inlineStr">
        <is>
          <t>5674176425</t>
        </is>
      </c>
      <c r="B536" t="inlineStr">
        <is>
          <t>Hot Lava Agency</t>
        </is>
      </c>
      <c r="C536" t="inlineStr">
        <is>
          <t>HOT LAVA AGENCY LLC</t>
        </is>
      </c>
      <c r="D536" t="inlineStr">
        <is>
          <t>Open</t>
        </is>
      </c>
      <c r="E536" s="297" t="n">
        <v>46036</v>
      </c>
      <c r="F536" s="297" t="n">
        <v>46240</v>
      </c>
      <c r="G536" t="n">
        <v>2</v>
      </c>
      <c r="H536" t="inlineStr">
        <is>
          <t>0139</t>
        </is>
      </c>
      <c r="I536" t="inlineStr">
        <is>
          <t>01</t>
        </is>
      </c>
      <c r="J536" t="inlineStr">
        <is>
          <t>CA</t>
        </is>
      </c>
      <c r="K536" t="inlineStr">
        <is>
          <t>Fundwell</t>
        </is>
      </c>
      <c r="L536" t="inlineStr">
        <is>
          <t>New Deal</t>
        </is>
      </c>
      <c r="M536" s="298" t="n">
        <v>1.339</v>
      </c>
      <c r="N536" s="299" t="n">
        <v>100000</v>
      </c>
      <c r="O536" s="299" t="n">
        <v>8000</v>
      </c>
      <c r="P536" s="299" t="n">
        <v>133900</v>
      </c>
      <c r="Q536" s="299" t="n">
        <v>83782.49000000001</v>
      </c>
      <c r="R536" s="299" t="n">
        <v>50117.51</v>
      </c>
      <c r="S536" s="300" t="n">
        <v>0.625709410007468</v>
      </c>
      <c r="T536" t="n">
        <v>48</v>
      </c>
      <c r="U536" t="n">
        <v>0</v>
      </c>
      <c r="V536" t="n">
        <v>389233.5</v>
      </c>
      <c r="W536" s="300" t="n">
        <v>0.0287</v>
      </c>
      <c r="X536" s="297" t="n">
        <v>45244</v>
      </c>
      <c r="Y536">
        <f>IF(I536="","No SIC",IFERROR(VLOOKUP(I536,Ref!$A$2:$B$65,2,FALSE),"Unclassified"))</f>
        <v/>
      </c>
      <c r="Z536">
        <f>IF(T536="","",IF(T536&lt;12,"Daily","Weekly"))</f>
        <v/>
      </c>
      <c r="AA536">
        <f>IF(T536="",0,IF(T536&lt;12,T536*Controls!$B$29,T536*5))</f>
        <v/>
      </c>
      <c r="AB536">
        <f>IF(E536="",0,NETWORKDAYS(E536,Controls!$B$36,Ref!$K$2:$K$42))</f>
        <v/>
      </c>
      <c r="AC536">
        <f>IF(AND(AA536&gt;0,AB536&gt;=Controls!$B$39*AA536),1,0)</f>
        <v/>
      </c>
      <c r="AD536">
        <f>IF(AND(E536&lt;&gt;"",E536&gt;=Controls!$B$37,E536&lt;=Controls!$B$38),1,0)</f>
        <v/>
      </c>
      <c r="AE536">
        <f>IF(IFERROR(VLOOKUP(D536,Controls!$A$64:$E$74,2,FALSE),"No")="Yes",1,0)</f>
        <v/>
      </c>
      <c r="AF536">
        <f>IF(IFERROR(VLOOKUP(D536,Controls!$A$64:$E$74,3,FALSE),"No")="Yes",1,0)</f>
        <v/>
      </c>
      <c r="AG536">
        <f>IF(IFERROR(VLOOKUP(D536,Controls!$A$64:$E$74,4,FALSE),"No")="Yes",1,0)</f>
        <v/>
      </c>
      <c r="AH536">
        <f>IF(IFERROR(VLOOKUP(D536,Controls!$A$64:$E$74,5,FALSE),"No")="Yes",1,0)</f>
        <v/>
      </c>
      <c r="AI536">
        <f>IF(ISNUMBER(MATCH(D536,Controls!$A$64:$A$74,0)),1,0)</f>
        <v/>
      </c>
      <c r="AJ536">
        <f>Q536-N536</f>
        <v/>
      </c>
      <c r="AK536">
        <f>IF(AE536=1,MAX(0,N536-Q536),0)</f>
        <v/>
      </c>
      <c r="AL536">
        <f>IF(OR(V536="",V536=0),0,N536/V536)</f>
        <v/>
      </c>
      <c r="AM536">
        <f>IF(OR(V536="",V536=0),0,1)</f>
        <v/>
      </c>
      <c r="AN536">
        <f>IF(OR(E536="",F536=""),0,NETWORKDAYS(E536,F536,Ref!$K$2:$K$42))</f>
        <v/>
      </c>
      <c r="AO536">
        <f>IF(L536="Renewal",1,0)</f>
        <v/>
      </c>
      <c r="AP536">
        <f>AC536*AD536</f>
        <v/>
      </c>
      <c r="AQ536">
        <f>IF(AND(G536&lt;&gt;"",'Historical Score'!$C$6&lt;&gt;""),IF(G536='Historical Score'!$C$6,1,0),0)</f>
        <v/>
      </c>
      <c r="AR536">
        <f>IF(AND(L536&lt;&gt;"",'Historical Score'!$C$5&lt;&gt;""),IF(L536='Historical Score'!$C$5,1,0),0)</f>
        <v/>
      </c>
      <c r="AS536">
        <f>IF(AND(Y536&lt;&gt;"",'Historical Score'!$C$7&lt;&gt;""),IF(Y536='Historical Score'!$C$7,1,0),0)</f>
        <v/>
      </c>
      <c r="AT536">
        <f>IF(AND(K536&lt;&gt;"",'Historical Score'!$C$8&lt;&gt;""),IF(K536='Historical Score'!$C$8,1,0),0)</f>
        <v/>
      </c>
      <c r="AU536">
        <f>IF(AND(J536&lt;&gt;"",'Historical Score'!$C$9&lt;&gt;""),IF(J536='Historical Score'!$C$9,1,0),0)</f>
        <v/>
      </c>
      <c r="AV536">
        <f>AR536*AS536*AQ536</f>
        <v/>
      </c>
      <c r="AW536">
        <f>AR536*AT536*AQ536</f>
        <v/>
      </c>
      <c r="AX536">
        <f>AR536*AS536</f>
        <v/>
      </c>
      <c r="AY536">
        <f>AR536*AT536</f>
        <v/>
      </c>
      <c r="AZ536">
        <f>AR536*AQ536</f>
        <v/>
      </c>
      <c r="BA536">
        <f>AR536</f>
        <v/>
      </c>
      <c r="BB536">
        <f>1</f>
        <v/>
      </c>
      <c r="BC536">
        <f>IF(AV536=1,1,IF(AW536=1,2,IF(AX536=1,3,IF(AY536=1,4,IF(AZ536=1,5,IF(BA536=1,6,7))))))</f>
        <v/>
      </c>
      <c r="BD536">
        <f>IF(AD536=1,CHOOSE('Historical Score'!$C$29,AV536,AW536,AX536,AY536,AZ536,BA536,BB536),0)</f>
        <v/>
      </c>
      <c r="BE536">
        <f>IF(BD536=1,COUNTIF($BD$2:BD536,1),"")</f>
        <v/>
      </c>
    </row>
    <row r="537">
      <c r="A537" t="inlineStr">
        <is>
          <t>5674176533</t>
        </is>
      </c>
      <c r="B537" t="inlineStr">
        <is>
          <t>BRIAN K MOTZ DDS PC</t>
        </is>
      </c>
      <c r="C537" t="inlineStr">
        <is>
          <t>BRIAN K MOTZ DDS PC</t>
        </is>
      </c>
      <c r="D537" t="inlineStr">
        <is>
          <t>Closed</t>
        </is>
      </c>
      <c r="E537" s="297" t="n">
        <v>46037</v>
      </c>
      <c r="F537" s="297" t="n">
        <v>46119</v>
      </c>
      <c r="G537" t="n">
        <v>1</v>
      </c>
      <c r="H537" t="inlineStr">
        <is>
          <t>8021</t>
        </is>
      </c>
      <c r="I537" t="inlineStr">
        <is>
          <t>80</t>
        </is>
      </c>
      <c r="J537" t="inlineStr">
        <is>
          <t>MD</t>
        </is>
      </c>
      <c r="K537" t="inlineStr">
        <is>
          <t>United Secured Capital 8</t>
        </is>
      </c>
      <c r="L537" t="inlineStr">
        <is>
          <t>New Deal</t>
        </is>
      </c>
      <c r="M537" s="298" t="n">
        <v>1.47533333</v>
      </c>
      <c r="N537" s="299" t="n">
        <v>22500</v>
      </c>
      <c r="O537" s="299" t="n">
        <v>3150</v>
      </c>
      <c r="P537" s="299" t="n">
        <v>33194.999925</v>
      </c>
      <c r="Q537" s="299" t="n">
        <v>33195</v>
      </c>
      <c r="R537" s="299" t="n">
        <v>-7.50000035623089e-05</v>
      </c>
      <c r="S537" s="300" t="n">
        <v>1.00000000225938</v>
      </c>
      <c r="T537" t="n">
        <v>22</v>
      </c>
      <c r="U537" t="n">
        <v>0</v>
      </c>
      <c r="V537" t="n">
        <v>85821.21000000001</v>
      </c>
      <c r="W537" s="300" t="n">
        <v>0.07099999999999999</v>
      </c>
      <c r="X537" s="297" t="n"/>
      <c r="Y537">
        <f>IF(I537="","No SIC",IFERROR(VLOOKUP(I537,Ref!$A$2:$B$65,2,FALSE),"Unclassified"))</f>
        <v/>
      </c>
      <c r="Z537">
        <f>IF(T537="","",IF(T537&lt;12,"Daily","Weekly"))</f>
        <v/>
      </c>
      <c r="AA537">
        <f>IF(T537="",0,IF(T537&lt;12,T537*Controls!$B$29,T537*5))</f>
        <v/>
      </c>
      <c r="AB537">
        <f>IF(E537="",0,NETWORKDAYS(E537,Controls!$B$36,Ref!$K$2:$K$42))</f>
        <v/>
      </c>
      <c r="AC537">
        <f>IF(AND(AA537&gt;0,AB537&gt;=Controls!$B$39*AA537),1,0)</f>
        <v/>
      </c>
      <c r="AD537">
        <f>IF(AND(E537&lt;&gt;"",E537&gt;=Controls!$B$37,E537&lt;=Controls!$B$38),1,0)</f>
        <v/>
      </c>
      <c r="AE537">
        <f>IF(IFERROR(VLOOKUP(D537,Controls!$A$64:$E$74,2,FALSE),"No")="Yes",1,0)</f>
        <v/>
      </c>
      <c r="AF537">
        <f>IF(IFERROR(VLOOKUP(D537,Controls!$A$64:$E$74,3,FALSE),"No")="Yes",1,0)</f>
        <v/>
      </c>
      <c r="AG537">
        <f>IF(IFERROR(VLOOKUP(D537,Controls!$A$64:$E$74,4,FALSE),"No")="Yes",1,0)</f>
        <v/>
      </c>
      <c r="AH537">
        <f>IF(IFERROR(VLOOKUP(D537,Controls!$A$64:$E$74,5,FALSE),"No")="Yes",1,0)</f>
        <v/>
      </c>
      <c r="AI537">
        <f>IF(ISNUMBER(MATCH(D537,Controls!$A$64:$A$74,0)),1,0)</f>
        <v/>
      </c>
      <c r="AJ537">
        <f>Q537-N537</f>
        <v/>
      </c>
      <c r="AK537">
        <f>IF(AE537=1,MAX(0,N537-Q537),0)</f>
        <v/>
      </c>
      <c r="AL537">
        <f>IF(OR(V537="",V537=0),0,N537/V537)</f>
        <v/>
      </c>
      <c r="AM537">
        <f>IF(OR(V537="",V537=0),0,1)</f>
        <v/>
      </c>
      <c r="AN537">
        <f>IF(OR(E537="",F537=""),0,NETWORKDAYS(E537,F537,Ref!$K$2:$K$42))</f>
        <v/>
      </c>
      <c r="AO537">
        <f>IF(L537="Renewal",1,0)</f>
        <v/>
      </c>
      <c r="AP537">
        <f>AC537*AD537</f>
        <v/>
      </c>
      <c r="AQ537">
        <f>IF(AND(G537&lt;&gt;"",'Historical Score'!$C$6&lt;&gt;""),IF(G537='Historical Score'!$C$6,1,0),0)</f>
        <v/>
      </c>
      <c r="AR537">
        <f>IF(AND(L537&lt;&gt;"",'Historical Score'!$C$5&lt;&gt;""),IF(L537='Historical Score'!$C$5,1,0),0)</f>
        <v/>
      </c>
      <c r="AS537">
        <f>IF(AND(Y537&lt;&gt;"",'Historical Score'!$C$7&lt;&gt;""),IF(Y537='Historical Score'!$C$7,1,0),0)</f>
        <v/>
      </c>
      <c r="AT537">
        <f>IF(AND(K537&lt;&gt;"",'Historical Score'!$C$8&lt;&gt;""),IF(K537='Historical Score'!$C$8,1,0),0)</f>
        <v/>
      </c>
      <c r="AU537">
        <f>IF(AND(J537&lt;&gt;"",'Historical Score'!$C$9&lt;&gt;""),IF(J537='Historical Score'!$C$9,1,0),0)</f>
        <v/>
      </c>
      <c r="AV537">
        <f>AR537*AS537*AQ537</f>
        <v/>
      </c>
      <c r="AW537">
        <f>AR537*AT537*AQ537</f>
        <v/>
      </c>
      <c r="AX537">
        <f>AR537*AS537</f>
        <v/>
      </c>
      <c r="AY537">
        <f>AR537*AT537</f>
        <v/>
      </c>
      <c r="AZ537">
        <f>AR537*AQ537</f>
        <v/>
      </c>
      <c r="BA537">
        <f>AR537</f>
        <v/>
      </c>
      <c r="BB537">
        <f>1</f>
        <v/>
      </c>
      <c r="BC537">
        <f>IF(AV537=1,1,IF(AW537=1,2,IF(AX537=1,3,IF(AY537=1,4,IF(AZ537=1,5,IF(BA537=1,6,7))))))</f>
        <v/>
      </c>
      <c r="BD537">
        <f>IF(AD537=1,CHOOSE('Historical Score'!$C$29,AV537,AW537,AX537,AY537,AZ537,BA537,BB537),0)</f>
        <v/>
      </c>
      <c r="BE537">
        <f>IF(BD537=1,COUNTIF($BD$2:BD537,1),"")</f>
        <v/>
      </c>
    </row>
    <row r="538">
      <c r="A538" t="inlineStr">
        <is>
          <t>5674176539</t>
        </is>
      </c>
      <c r="B538" t="inlineStr">
        <is>
          <t>MAPD HELPDESK INSURANCE AGENCY</t>
        </is>
      </c>
      <c r="C538" t="inlineStr">
        <is>
          <t>MAPD HELPDESK INSURANCE AGENCY</t>
        </is>
      </c>
      <c r="D538" t="inlineStr">
        <is>
          <t>Legal</t>
        </is>
      </c>
      <c r="E538" s="297" t="n">
        <v>46037</v>
      </c>
      <c r="F538" s="297" t="n">
        <v>46058</v>
      </c>
      <c r="G538" t="n">
        <v>4</v>
      </c>
      <c r="H538" t="inlineStr">
        <is>
          <t>6411</t>
        </is>
      </c>
      <c r="I538" t="inlineStr">
        <is>
          <t>64</t>
        </is>
      </c>
      <c r="J538" t="inlineStr">
        <is>
          <t>FL</t>
        </is>
      </c>
      <c r="K538" t="inlineStr">
        <is>
          <t>Top Floor Advance</t>
        </is>
      </c>
      <c r="L538" t="inlineStr">
        <is>
          <t>New Deal</t>
        </is>
      </c>
      <c r="M538" s="298" t="n">
        <v>1.49</v>
      </c>
      <c r="N538" s="299" t="n">
        <v>20000</v>
      </c>
      <c r="O538" s="299" t="n">
        <v>2800</v>
      </c>
      <c r="P538" s="299" t="n">
        <v>29800</v>
      </c>
      <c r="Q538" s="299" t="n">
        <v>1991.06</v>
      </c>
      <c r="R538" s="299" t="n">
        <v>27808.94</v>
      </c>
      <c r="S538" s="300" t="n">
        <v>0.06681409395973149</v>
      </c>
      <c r="T538" t="n">
        <v>30</v>
      </c>
      <c r="U538" t="n">
        <v>1</v>
      </c>
      <c r="V538" t="n">
        <v>228857.97</v>
      </c>
      <c r="W538" s="300" t="n">
        <v>0.0174</v>
      </c>
      <c r="X538" s="297" t="n">
        <v>44149</v>
      </c>
      <c r="Y538">
        <f>IF(I538="","No SIC",IFERROR(VLOOKUP(I538,Ref!$A$2:$B$65,2,FALSE),"Unclassified"))</f>
        <v/>
      </c>
      <c r="Z538">
        <f>IF(T538="","",IF(T538&lt;12,"Daily","Weekly"))</f>
        <v/>
      </c>
      <c r="AA538">
        <f>IF(T538="",0,IF(T538&lt;12,T538*Controls!$B$29,T538*5))</f>
        <v/>
      </c>
      <c r="AB538">
        <f>IF(E538="",0,NETWORKDAYS(E538,Controls!$B$36,Ref!$K$2:$K$42))</f>
        <v/>
      </c>
      <c r="AC538">
        <f>IF(AND(AA538&gt;0,AB538&gt;=Controls!$B$39*AA538),1,0)</f>
        <v/>
      </c>
      <c r="AD538">
        <f>IF(AND(E538&lt;&gt;"",E538&gt;=Controls!$B$37,E538&lt;=Controls!$B$38),1,0)</f>
        <v/>
      </c>
      <c r="AE538">
        <f>IF(IFERROR(VLOOKUP(D538,Controls!$A$64:$E$74,2,FALSE),"No")="Yes",1,0)</f>
        <v/>
      </c>
      <c r="AF538">
        <f>IF(IFERROR(VLOOKUP(D538,Controls!$A$64:$E$74,3,FALSE),"No")="Yes",1,0)</f>
        <v/>
      </c>
      <c r="AG538">
        <f>IF(IFERROR(VLOOKUP(D538,Controls!$A$64:$E$74,4,FALSE),"No")="Yes",1,0)</f>
        <v/>
      </c>
      <c r="AH538">
        <f>IF(IFERROR(VLOOKUP(D538,Controls!$A$64:$E$74,5,FALSE),"No")="Yes",1,0)</f>
        <v/>
      </c>
      <c r="AI538">
        <f>IF(ISNUMBER(MATCH(D538,Controls!$A$64:$A$74,0)),1,0)</f>
        <v/>
      </c>
      <c r="AJ538">
        <f>Q538-N538</f>
        <v/>
      </c>
      <c r="AK538">
        <f>IF(AE538=1,MAX(0,N538-Q538),0)</f>
        <v/>
      </c>
      <c r="AL538">
        <f>IF(OR(V538="",V538=0),0,N538/V538)</f>
        <v/>
      </c>
      <c r="AM538">
        <f>IF(OR(V538="",V538=0),0,1)</f>
        <v/>
      </c>
      <c r="AN538">
        <f>IF(OR(E538="",F538=""),0,NETWORKDAYS(E538,F538,Ref!$K$2:$K$42))</f>
        <v/>
      </c>
      <c r="AO538">
        <f>IF(L538="Renewal",1,0)</f>
        <v/>
      </c>
      <c r="AP538">
        <f>AC538*AD538</f>
        <v/>
      </c>
      <c r="AQ538">
        <f>IF(AND(G538&lt;&gt;"",'Historical Score'!$C$6&lt;&gt;""),IF(G538='Historical Score'!$C$6,1,0),0)</f>
        <v/>
      </c>
      <c r="AR538">
        <f>IF(AND(L538&lt;&gt;"",'Historical Score'!$C$5&lt;&gt;""),IF(L538='Historical Score'!$C$5,1,0),0)</f>
        <v/>
      </c>
      <c r="AS538">
        <f>IF(AND(Y538&lt;&gt;"",'Historical Score'!$C$7&lt;&gt;""),IF(Y538='Historical Score'!$C$7,1,0),0)</f>
        <v/>
      </c>
      <c r="AT538">
        <f>IF(AND(K538&lt;&gt;"",'Historical Score'!$C$8&lt;&gt;""),IF(K538='Historical Score'!$C$8,1,0),0)</f>
        <v/>
      </c>
      <c r="AU538">
        <f>IF(AND(J538&lt;&gt;"",'Historical Score'!$C$9&lt;&gt;""),IF(J538='Historical Score'!$C$9,1,0),0)</f>
        <v/>
      </c>
      <c r="AV538">
        <f>AR538*AS538*AQ538</f>
        <v/>
      </c>
      <c r="AW538">
        <f>AR538*AT538*AQ538</f>
        <v/>
      </c>
      <c r="AX538">
        <f>AR538*AS538</f>
        <v/>
      </c>
      <c r="AY538">
        <f>AR538*AT538</f>
        <v/>
      </c>
      <c r="AZ538">
        <f>AR538*AQ538</f>
        <v/>
      </c>
      <c r="BA538">
        <f>AR538</f>
        <v/>
      </c>
      <c r="BB538">
        <f>1</f>
        <v/>
      </c>
      <c r="BC538">
        <f>IF(AV538=1,1,IF(AW538=1,2,IF(AX538=1,3,IF(AY538=1,4,IF(AZ538=1,5,IF(BA538=1,6,7))))))</f>
        <v/>
      </c>
      <c r="BD538">
        <f>IF(AD538=1,CHOOSE('Historical Score'!$C$29,AV538,AW538,AX538,AY538,AZ538,BA538,BB538),0)</f>
        <v/>
      </c>
      <c r="BE538">
        <f>IF(BD538=1,COUNTIF($BD$2:BD538,1),"")</f>
        <v/>
      </c>
    </row>
    <row r="539">
      <c r="A539" t="inlineStr">
        <is>
          <t>5674176546</t>
        </is>
      </c>
      <c r="B539" t="inlineStr">
        <is>
          <t>INTOWN DOOR SERVICES</t>
        </is>
      </c>
      <c r="C539" t="inlineStr">
        <is>
          <t>Intown Door Services LLC</t>
        </is>
      </c>
      <c r="D539" t="inlineStr">
        <is>
          <t>Open</t>
        </is>
      </c>
      <c r="E539" s="297" t="n">
        <v>46037</v>
      </c>
      <c r="F539" s="297" t="n">
        <v>46247</v>
      </c>
      <c r="G539" t="n">
        <v>1</v>
      </c>
      <c r="H539" t="inlineStr">
        <is>
          <t>3442</t>
        </is>
      </c>
      <c r="I539" t="inlineStr">
        <is>
          <t>34</t>
        </is>
      </c>
      <c r="J539" t="inlineStr">
        <is>
          <t>GA</t>
        </is>
      </c>
      <c r="K539" t="inlineStr">
        <is>
          <t>Fundwell</t>
        </is>
      </c>
      <c r="L539" t="inlineStr">
        <is>
          <t>New Deal</t>
        </is>
      </c>
      <c r="M539" s="298" t="n">
        <v>1.36</v>
      </c>
      <c r="N539" s="299" t="n">
        <v>25000</v>
      </c>
      <c r="O539" s="299" t="n">
        <v>2625</v>
      </c>
      <c r="P539" s="299" t="n">
        <v>34000</v>
      </c>
      <c r="Q539" s="299" t="n">
        <v>26577</v>
      </c>
      <c r="R539" s="299" t="n">
        <v>7423</v>
      </c>
      <c r="S539" s="300" t="n">
        <v>0.781676470588235</v>
      </c>
      <c r="T539" t="n">
        <v>32</v>
      </c>
      <c r="U539" t="n">
        <v>6</v>
      </c>
      <c r="V539" t="n">
        <v>82891.31</v>
      </c>
      <c r="W539" s="300" t="n">
        <v>0.0513</v>
      </c>
      <c r="X539" s="297" t="n">
        <v>41690</v>
      </c>
      <c r="Y539">
        <f>IF(I539="","No SIC",IFERROR(VLOOKUP(I539,Ref!$A$2:$B$65,2,FALSE),"Unclassified"))</f>
        <v/>
      </c>
      <c r="Z539">
        <f>IF(T539="","",IF(T539&lt;12,"Daily","Weekly"))</f>
        <v/>
      </c>
      <c r="AA539">
        <f>IF(T539="",0,IF(T539&lt;12,T539*Controls!$B$29,T539*5))</f>
        <v/>
      </c>
      <c r="AB539">
        <f>IF(E539="",0,NETWORKDAYS(E539,Controls!$B$36,Ref!$K$2:$K$42))</f>
        <v/>
      </c>
      <c r="AC539">
        <f>IF(AND(AA539&gt;0,AB539&gt;=Controls!$B$39*AA539),1,0)</f>
        <v/>
      </c>
      <c r="AD539">
        <f>IF(AND(E539&lt;&gt;"",E539&gt;=Controls!$B$37,E539&lt;=Controls!$B$38),1,0)</f>
        <v/>
      </c>
      <c r="AE539">
        <f>IF(IFERROR(VLOOKUP(D539,Controls!$A$64:$E$74,2,FALSE),"No")="Yes",1,0)</f>
        <v/>
      </c>
      <c r="AF539">
        <f>IF(IFERROR(VLOOKUP(D539,Controls!$A$64:$E$74,3,FALSE),"No")="Yes",1,0)</f>
        <v/>
      </c>
      <c r="AG539">
        <f>IF(IFERROR(VLOOKUP(D539,Controls!$A$64:$E$74,4,FALSE),"No")="Yes",1,0)</f>
        <v/>
      </c>
      <c r="AH539">
        <f>IF(IFERROR(VLOOKUP(D539,Controls!$A$64:$E$74,5,FALSE),"No")="Yes",1,0)</f>
        <v/>
      </c>
      <c r="AI539">
        <f>IF(ISNUMBER(MATCH(D539,Controls!$A$64:$A$74,0)),1,0)</f>
        <v/>
      </c>
      <c r="AJ539">
        <f>Q539-N539</f>
        <v/>
      </c>
      <c r="AK539">
        <f>IF(AE539=1,MAX(0,N539-Q539),0)</f>
        <v/>
      </c>
      <c r="AL539">
        <f>IF(OR(V539="",V539=0),0,N539/V539)</f>
        <v/>
      </c>
      <c r="AM539">
        <f>IF(OR(V539="",V539=0),0,1)</f>
        <v/>
      </c>
      <c r="AN539">
        <f>IF(OR(E539="",F539=""),0,NETWORKDAYS(E539,F539,Ref!$K$2:$K$42))</f>
        <v/>
      </c>
      <c r="AO539">
        <f>IF(L539="Renewal",1,0)</f>
        <v/>
      </c>
      <c r="AP539">
        <f>AC539*AD539</f>
        <v/>
      </c>
      <c r="AQ539">
        <f>IF(AND(G539&lt;&gt;"",'Historical Score'!$C$6&lt;&gt;""),IF(G539='Historical Score'!$C$6,1,0),0)</f>
        <v/>
      </c>
      <c r="AR539">
        <f>IF(AND(L539&lt;&gt;"",'Historical Score'!$C$5&lt;&gt;""),IF(L539='Historical Score'!$C$5,1,0),0)</f>
        <v/>
      </c>
      <c r="AS539">
        <f>IF(AND(Y539&lt;&gt;"",'Historical Score'!$C$7&lt;&gt;""),IF(Y539='Historical Score'!$C$7,1,0),0)</f>
        <v/>
      </c>
      <c r="AT539">
        <f>IF(AND(K539&lt;&gt;"",'Historical Score'!$C$8&lt;&gt;""),IF(K539='Historical Score'!$C$8,1,0),0)</f>
        <v/>
      </c>
      <c r="AU539">
        <f>IF(AND(J539&lt;&gt;"",'Historical Score'!$C$9&lt;&gt;""),IF(J539='Historical Score'!$C$9,1,0),0)</f>
        <v/>
      </c>
      <c r="AV539">
        <f>AR539*AS539*AQ539</f>
        <v/>
      </c>
      <c r="AW539">
        <f>AR539*AT539*AQ539</f>
        <v/>
      </c>
      <c r="AX539">
        <f>AR539*AS539</f>
        <v/>
      </c>
      <c r="AY539">
        <f>AR539*AT539</f>
        <v/>
      </c>
      <c r="AZ539">
        <f>AR539*AQ539</f>
        <v/>
      </c>
      <c r="BA539">
        <f>AR539</f>
        <v/>
      </c>
      <c r="BB539">
        <f>1</f>
        <v/>
      </c>
      <c r="BC539">
        <f>IF(AV539=1,1,IF(AW539=1,2,IF(AX539=1,3,IF(AY539=1,4,IF(AZ539=1,5,IF(BA539=1,6,7))))))</f>
        <v/>
      </c>
      <c r="BD539">
        <f>IF(AD539=1,CHOOSE('Historical Score'!$C$29,AV539,AW539,AX539,AY539,AZ539,BA539,BB539),0)</f>
        <v/>
      </c>
      <c r="BE539">
        <f>IF(BD539=1,COUNTIF($BD$2:BD539,1),"")</f>
        <v/>
      </c>
    </row>
    <row r="540">
      <c r="A540" t="inlineStr">
        <is>
          <t>5674176547</t>
        </is>
      </c>
      <c r="B540" t="inlineStr">
        <is>
          <t>MONTROSE CONCRETE, INC.</t>
        </is>
      </c>
      <c r="C540" t="inlineStr">
        <is>
          <t>MONTROSE CONCRETE, INC.</t>
        </is>
      </c>
      <c r="D540" t="inlineStr">
        <is>
          <t>Open</t>
        </is>
      </c>
      <c r="E540" s="297" t="n">
        <v>46037</v>
      </c>
      <c r="F540" s="297" t="n">
        <v>46253</v>
      </c>
      <c r="G540" t="n">
        <v>2</v>
      </c>
      <c r="H540" t="inlineStr">
        <is>
          <t>1771</t>
        </is>
      </c>
      <c r="I540" t="inlineStr">
        <is>
          <t>17</t>
        </is>
      </c>
      <c r="J540" t="inlineStr">
        <is>
          <t>TX</t>
        </is>
      </c>
      <c r="K540" t="inlineStr">
        <is>
          <t>Fundwell</t>
        </is>
      </c>
      <c r="L540" t="inlineStr">
        <is>
          <t>New Deal</t>
        </is>
      </c>
      <c r="M540" s="298" t="n">
        <v>1.38</v>
      </c>
      <c r="N540" s="299" t="n">
        <v>30000</v>
      </c>
      <c r="O540" s="299" t="n">
        <v>3450</v>
      </c>
      <c r="P540" s="299" t="n">
        <v>41400</v>
      </c>
      <c r="Q540" s="299" t="n">
        <v>38833.5</v>
      </c>
      <c r="R540" s="299" t="n">
        <v>2566.5</v>
      </c>
      <c r="S540" s="300" t="n">
        <v>0.938007246376812</v>
      </c>
      <c r="T540" t="n">
        <v>32</v>
      </c>
      <c r="U540" t="n">
        <v>1</v>
      </c>
      <c r="V540" t="n">
        <v>118154.64</v>
      </c>
      <c r="W540" s="300" t="n">
        <v>0.058</v>
      </c>
      <c r="X540" s="297" t="n">
        <v>29495</v>
      </c>
      <c r="Y540">
        <f>IF(I540="","No SIC",IFERROR(VLOOKUP(I540,Ref!$A$2:$B$65,2,FALSE),"Unclassified"))</f>
        <v/>
      </c>
      <c r="Z540">
        <f>IF(T540="","",IF(T540&lt;12,"Daily","Weekly"))</f>
        <v/>
      </c>
      <c r="AA540">
        <f>IF(T540="",0,IF(T540&lt;12,T540*Controls!$B$29,T540*5))</f>
        <v/>
      </c>
      <c r="AB540">
        <f>IF(E540="",0,NETWORKDAYS(E540,Controls!$B$36,Ref!$K$2:$K$42))</f>
        <v/>
      </c>
      <c r="AC540">
        <f>IF(AND(AA540&gt;0,AB540&gt;=Controls!$B$39*AA540),1,0)</f>
        <v/>
      </c>
      <c r="AD540">
        <f>IF(AND(E540&lt;&gt;"",E540&gt;=Controls!$B$37,E540&lt;=Controls!$B$38),1,0)</f>
        <v/>
      </c>
      <c r="AE540">
        <f>IF(IFERROR(VLOOKUP(D540,Controls!$A$64:$E$74,2,FALSE),"No")="Yes",1,0)</f>
        <v/>
      </c>
      <c r="AF540">
        <f>IF(IFERROR(VLOOKUP(D540,Controls!$A$64:$E$74,3,FALSE),"No")="Yes",1,0)</f>
        <v/>
      </c>
      <c r="AG540">
        <f>IF(IFERROR(VLOOKUP(D540,Controls!$A$64:$E$74,4,FALSE),"No")="Yes",1,0)</f>
        <v/>
      </c>
      <c r="AH540">
        <f>IF(IFERROR(VLOOKUP(D540,Controls!$A$64:$E$74,5,FALSE),"No")="Yes",1,0)</f>
        <v/>
      </c>
      <c r="AI540">
        <f>IF(ISNUMBER(MATCH(D540,Controls!$A$64:$A$74,0)),1,0)</f>
        <v/>
      </c>
      <c r="AJ540">
        <f>Q540-N540</f>
        <v/>
      </c>
      <c r="AK540">
        <f>IF(AE540=1,MAX(0,N540-Q540),0)</f>
        <v/>
      </c>
      <c r="AL540">
        <f>IF(OR(V540="",V540=0),0,N540/V540)</f>
        <v/>
      </c>
      <c r="AM540">
        <f>IF(OR(V540="",V540=0),0,1)</f>
        <v/>
      </c>
      <c r="AN540">
        <f>IF(OR(E540="",F540=""),0,NETWORKDAYS(E540,F540,Ref!$K$2:$K$42))</f>
        <v/>
      </c>
      <c r="AO540">
        <f>IF(L540="Renewal",1,0)</f>
        <v/>
      </c>
      <c r="AP540">
        <f>AC540*AD540</f>
        <v/>
      </c>
      <c r="AQ540">
        <f>IF(AND(G540&lt;&gt;"",'Historical Score'!$C$6&lt;&gt;""),IF(G540='Historical Score'!$C$6,1,0),0)</f>
        <v/>
      </c>
      <c r="AR540">
        <f>IF(AND(L540&lt;&gt;"",'Historical Score'!$C$5&lt;&gt;""),IF(L540='Historical Score'!$C$5,1,0),0)</f>
        <v/>
      </c>
      <c r="AS540">
        <f>IF(AND(Y540&lt;&gt;"",'Historical Score'!$C$7&lt;&gt;""),IF(Y540='Historical Score'!$C$7,1,0),0)</f>
        <v/>
      </c>
      <c r="AT540">
        <f>IF(AND(K540&lt;&gt;"",'Historical Score'!$C$8&lt;&gt;""),IF(K540='Historical Score'!$C$8,1,0),0)</f>
        <v/>
      </c>
      <c r="AU540">
        <f>IF(AND(J540&lt;&gt;"",'Historical Score'!$C$9&lt;&gt;""),IF(J540='Historical Score'!$C$9,1,0),0)</f>
        <v/>
      </c>
      <c r="AV540">
        <f>AR540*AS540*AQ540</f>
        <v/>
      </c>
      <c r="AW540">
        <f>AR540*AT540*AQ540</f>
        <v/>
      </c>
      <c r="AX540">
        <f>AR540*AS540</f>
        <v/>
      </c>
      <c r="AY540">
        <f>AR540*AT540</f>
        <v/>
      </c>
      <c r="AZ540">
        <f>AR540*AQ540</f>
        <v/>
      </c>
      <c r="BA540">
        <f>AR540</f>
        <v/>
      </c>
      <c r="BB540">
        <f>1</f>
        <v/>
      </c>
      <c r="BC540">
        <f>IF(AV540=1,1,IF(AW540=1,2,IF(AX540=1,3,IF(AY540=1,4,IF(AZ540=1,5,IF(BA540=1,6,7))))))</f>
        <v/>
      </c>
      <c r="BD540">
        <f>IF(AD540=1,CHOOSE('Historical Score'!$C$29,AV540,AW540,AX540,AY540,AZ540,BA540,BB540),0)</f>
        <v/>
      </c>
      <c r="BE540">
        <f>IF(BD540=1,COUNTIF($BD$2:BD540,1),"")</f>
        <v/>
      </c>
    </row>
    <row r="541">
      <c r="A541" t="inlineStr">
        <is>
          <t>5674176597</t>
        </is>
      </c>
      <c r="B541" t="inlineStr">
        <is>
          <t>Simco Building and Remodeling</t>
        </is>
      </c>
      <c r="C541" t="inlineStr">
        <is>
          <t>Simco Building and Remodeling</t>
        </is>
      </c>
      <c r="D541" t="inlineStr">
        <is>
          <t>Legal</t>
        </is>
      </c>
      <c r="E541" s="297" t="n">
        <v>46037</v>
      </c>
      <c r="F541" s="297" t="n">
        <v>46122</v>
      </c>
      <c r="G541" t="n">
        <v>1</v>
      </c>
      <c r="H541" t="inlineStr">
        <is>
          <t>1521</t>
        </is>
      </c>
      <c r="I541" t="inlineStr">
        <is>
          <t>15</t>
        </is>
      </c>
      <c r="J541" t="inlineStr">
        <is>
          <t>MO</t>
        </is>
      </c>
      <c r="K541" t="inlineStr">
        <is>
          <t>TRUSTFI</t>
        </is>
      </c>
      <c r="L541" t="inlineStr">
        <is>
          <t>New Deal</t>
        </is>
      </c>
      <c r="M541" s="298" t="n">
        <v>1.49</v>
      </c>
      <c r="N541" s="299" t="n">
        <v>20000</v>
      </c>
      <c r="O541" s="299" t="n">
        <v>2800</v>
      </c>
      <c r="P541" s="299" t="n">
        <v>29800</v>
      </c>
      <c r="Q541" s="299" t="n">
        <v>13409.37</v>
      </c>
      <c r="R541" s="299" t="n">
        <v>16390.63</v>
      </c>
      <c r="S541" s="300" t="n">
        <v>0.449978859060403</v>
      </c>
      <c r="T541" t="n">
        <v>20</v>
      </c>
      <c r="U541" t="n">
        <v>3</v>
      </c>
      <c r="V541" t="n">
        <v>36141.37</v>
      </c>
      <c r="W541" s="300" t="n">
        <v>0.1649</v>
      </c>
      <c r="X541" s="297" t="n">
        <v>45078</v>
      </c>
      <c r="Y541">
        <f>IF(I541="","No SIC",IFERROR(VLOOKUP(I541,Ref!$A$2:$B$65,2,FALSE),"Unclassified"))</f>
        <v/>
      </c>
      <c r="Z541">
        <f>IF(T541="","",IF(T541&lt;12,"Daily","Weekly"))</f>
        <v/>
      </c>
      <c r="AA541">
        <f>IF(T541="",0,IF(T541&lt;12,T541*Controls!$B$29,T541*5))</f>
        <v/>
      </c>
      <c r="AB541">
        <f>IF(E541="",0,NETWORKDAYS(E541,Controls!$B$36,Ref!$K$2:$K$42))</f>
        <v/>
      </c>
      <c r="AC541">
        <f>IF(AND(AA541&gt;0,AB541&gt;=Controls!$B$39*AA541),1,0)</f>
        <v/>
      </c>
      <c r="AD541">
        <f>IF(AND(E541&lt;&gt;"",E541&gt;=Controls!$B$37,E541&lt;=Controls!$B$38),1,0)</f>
        <v/>
      </c>
      <c r="AE541">
        <f>IF(IFERROR(VLOOKUP(D541,Controls!$A$64:$E$74,2,FALSE),"No")="Yes",1,0)</f>
        <v/>
      </c>
      <c r="AF541">
        <f>IF(IFERROR(VLOOKUP(D541,Controls!$A$64:$E$74,3,FALSE),"No")="Yes",1,0)</f>
        <v/>
      </c>
      <c r="AG541">
        <f>IF(IFERROR(VLOOKUP(D541,Controls!$A$64:$E$74,4,FALSE),"No")="Yes",1,0)</f>
        <v/>
      </c>
      <c r="AH541">
        <f>IF(IFERROR(VLOOKUP(D541,Controls!$A$64:$E$74,5,FALSE),"No")="Yes",1,0)</f>
        <v/>
      </c>
      <c r="AI541">
        <f>IF(ISNUMBER(MATCH(D541,Controls!$A$64:$A$74,0)),1,0)</f>
        <v/>
      </c>
      <c r="AJ541">
        <f>Q541-N541</f>
        <v/>
      </c>
      <c r="AK541">
        <f>IF(AE541=1,MAX(0,N541-Q541),0)</f>
        <v/>
      </c>
      <c r="AL541">
        <f>IF(OR(V541="",V541=0),0,N541/V541)</f>
        <v/>
      </c>
      <c r="AM541">
        <f>IF(OR(V541="",V541=0),0,1)</f>
        <v/>
      </c>
      <c r="AN541">
        <f>IF(OR(E541="",F541=""),0,NETWORKDAYS(E541,F541,Ref!$K$2:$K$42))</f>
        <v/>
      </c>
      <c r="AO541">
        <f>IF(L541="Renewal",1,0)</f>
        <v/>
      </c>
      <c r="AP541">
        <f>AC541*AD541</f>
        <v/>
      </c>
      <c r="AQ541">
        <f>IF(AND(G541&lt;&gt;"",'Historical Score'!$C$6&lt;&gt;""),IF(G541='Historical Score'!$C$6,1,0),0)</f>
        <v/>
      </c>
      <c r="AR541">
        <f>IF(AND(L541&lt;&gt;"",'Historical Score'!$C$5&lt;&gt;""),IF(L541='Historical Score'!$C$5,1,0),0)</f>
        <v/>
      </c>
      <c r="AS541">
        <f>IF(AND(Y541&lt;&gt;"",'Historical Score'!$C$7&lt;&gt;""),IF(Y541='Historical Score'!$C$7,1,0),0)</f>
        <v/>
      </c>
      <c r="AT541">
        <f>IF(AND(K541&lt;&gt;"",'Historical Score'!$C$8&lt;&gt;""),IF(K541='Historical Score'!$C$8,1,0),0)</f>
        <v/>
      </c>
      <c r="AU541">
        <f>IF(AND(J541&lt;&gt;"",'Historical Score'!$C$9&lt;&gt;""),IF(J541='Historical Score'!$C$9,1,0),0)</f>
        <v/>
      </c>
      <c r="AV541">
        <f>AR541*AS541*AQ541</f>
        <v/>
      </c>
      <c r="AW541">
        <f>AR541*AT541*AQ541</f>
        <v/>
      </c>
      <c r="AX541">
        <f>AR541*AS541</f>
        <v/>
      </c>
      <c r="AY541">
        <f>AR541*AT541</f>
        <v/>
      </c>
      <c r="AZ541">
        <f>AR541*AQ541</f>
        <v/>
      </c>
      <c r="BA541">
        <f>AR541</f>
        <v/>
      </c>
      <c r="BB541">
        <f>1</f>
        <v/>
      </c>
      <c r="BC541">
        <f>IF(AV541=1,1,IF(AW541=1,2,IF(AX541=1,3,IF(AY541=1,4,IF(AZ541=1,5,IF(BA541=1,6,7))))))</f>
        <v/>
      </c>
      <c r="BD541">
        <f>IF(AD541=1,CHOOSE('Historical Score'!$C$29,AV541,AW541,AX541,AY541,AZ541,BA541,BB541),0)</f>
        <v/>
      </c>
      <c r="BE541">
        <f>IF(BD541=1,COUNTIF($BD$2:BD541,1),"")</f>
        <v/>
      </c>
    </row>
    <row r="542">
      <c r="A542" t="inlineStr">
        <is>
          <t>5674176604</t>
        </is>
      </c>
      <c r="B542" t="inlineStr">
        <is>
          <t>LOS ALVAREZ CONSTRUCTION SERVICE CORP</t>
        </is>
      </c>
      <c r="C542" t="inlineStr">
        <is>
          <t>LOS ALVAREZ CONSTRUCTION SERVICE CORP</t>
        </is>
      </c>
      <c r="D542" t="inlineStr">
        <is>
          <t>Legal</t>
        </is>
      </c>
      <c r="E542" s="297" t="n">
        <v>46037</v>
      </c>
      <c r="F542" s="297" t="n">
        <v>46136</v>
      </c>
      <c r="G542" t="n">
        <v>1</v>
      </c>
      <c r="H542" t="inlineStr">
        <is>
          <t>1521</t>
        </is>
      </c>
      <c r="I542" t="inlineStr">
        <is>
          <t>15</t>
        </is>
      </c>
      <c r="J542" t="inlineStr">
        <is>
          <t>FL</t>
        </is>
      </c>
      <c r="K542" t="inlineStr">
        <is>
          <t>Ballicci</t>
        </is>
      </c>
      <c r="L542" t="inlineStr">
        <is>
          <t>New Deal</t>
        </is>
      </c>
      <c r="M542" s="298" t="n">
        <v>1.49</v>
      </c>
      <c r="N542" s="299" t="n">
        <v>25000</v>
      </c>
      <c r="O542" s="299" t="n">
        <v>3500</v>
      </c>
      <c r="P542" s="299" t="n">
        <v>37250</v>
      </c>
      <c r="Q542" s="299" t="n">
        <v>413.84</v>
      </c>
      <c r="R542" s="299" t="n">
        <v>36836.16</v>
      </c>
      <c r="S542" s="300" t="n">
        <v>0.0111097986577181</v>
      </c>
      <c r="T542" t="n">
        <v>2.951</v>
      </c>
      <c r="U542" t="n">
        <v>12</v>
      </c>
      <c r="V542" t="n">
        <v>48578.52</v>
      </c>
      <c r="W542" s="300" t="n">
        <v>0.1789</v>
      </c>
      <c r="X542" s="297" t="n">
        <v>45510</v>
      </c>
      <c r="Y542">
        <f>IF(I542="","No SIC",IFERROR(VLOOKUP(I542,Ref!$A$2:$B$65,2,FALSE),"Unclassified"))</f>
        <v/>
      </c>
      <c r="Z542">
        <f>IF(T542="","",IF(T542&lt;12,"Daily","Weekly"))</f>
        <v/>
      </c>
      <c r="AA542">
        <f>IF(T542="",0,IF(T542&lt;12,T542*Controls!$B$29,T542*5))</f>
        <v/>
      </c>
      <c r="AB542">
        <f>IF(E542="",0,NETWORKDAYS(E542,Controls!$B$36,Ref!$K$2:$K$42))</f>
        <v/>
      </c>
      <c r="AC542">
        <f>IF(AND(AA542&gt;0,AB542&gt;=Controls!$B$39*AA542),1,0)</f>
        <v/>
      </c>
      <c r="AD542">
        <f>IF(AND(E542&lt;&gt;"",E542&gt;=Controls!$B$37,E542&lt;=Controls!$B$38),1,0)</f>
        <v/>
      </c>
      <c r="AE542">
        <f>IF(IFERROR(VLOOKUP(D542,Controls!$A$64:$E$74,2,FALSE),"No")="Yes",1,0)</f>
        <v/>
      </c>
      <c r="AF542">
        <f>IF(IFERROR(VLOOKUP(D542,Controls!$A$64:$E$74,3,FALSE),"No")="Yes",1,0)</f>
        <v/>
      </c>
      <c r="AG542">
        <f>IF(IFERROR(VLOOKUP(D542,Controls!$A$64:$E$74,4,FALSE),"No")="Yes",1,0)</f>
        <v/>
      </c>
      <c r="AH542">
        <f>IF(IFERROR(VLOOKUP(D542,Controls!$A$64:$E$74,5,FALSE),"No")="Yes",1,0)</f>
        <v/>
      </c>
      <c r="AI542">
        <f>IF(ISNUMBER(MATCH(D542,Controls!$A$64:$A$74,0)),1,0)</f>
        <v/>
      </c>
      <c r="AJ542">
        <f>Q542-N542</f>
        <v/>
      </c>
      <c r="AK542">
        <f>IF(AE542=1,MAX(0,N542-Q542),0)</f>
        <v/>
      </c>
      <c r="AL542">
        <f>IF(OR(V542="",V542=0),0,N542/V542)</f>
        <v/>
      </c>
      <c r="AM542">
        <f>IF(OR(V542="",V542=0),0,1)</f>
        <v/>
      </c>
      <c r="AN542">
        <f>IF(OR(E542="",F542=""),0,NETWORKDAYS(E542,F542,Ref!$K$2:$K$42))</f>
        <v/>
      </c>
      <c r="AO542">
        <f>IF(L542="Renewal",1,0)</f>
        <v/>
      </c>
      <c r="AP542">
        <f>AC542*AD542</f>
        <v/>
      </c>
      <c r="AQ542">
        <f>IF(AND(G542&lt;&gt;"",'Historical Score'!$C$6&lt;&gt;""),IF(G542='Historical Score'!$C$6,1,0),0)</f>
        <v/>
      </c>
      <c r="AR542">
        <f>IF(AND(L542&lt;&gt;"",'Historical Score'!$C$5&lt;&gt;""),IF(L542='Historical Score'!$C$5,1,0),0)</f>
        <v/>
      </c>
      <c r="AS542">
        <f>IF(AND(Y542&lt;&gt;"",'Historical Score'!$C$7&lt;&gt;""),IF(Y542='Historical Score'!$C$7,1,0),0)</f>
        <v/>
      </c>
      <c r="AT542">
        <f>IF(AND(K542&lt;&gt;"",'Historical Score'!$C$8&lt;&gt;""),IF(K542='Historical Score'!$C$8,1,0),0)</f>
        <v/>
      </c>
      <c r="AU542">
        <f>IF(AND(J542&lt;&gt;"",'Historical Score'!$C$9&lt;&gt;""),IF(J542='Historical Score'!$C$9,1,0),0)</f>
        <v/>
      </c>
      <c r="AV542">
        <f>AR542*AS542*AQ542</f>
        <v/>
      </c>
      <c r="AW542">
        <f>AR542*AT542*AQ542</f>
        <v/>
      </c>
      <c r="AX542">
        <f>AR542*AS542</f>
        <v/>
      </c>
      <c r="AY542">
        <f>AR542*AT542</f>
        <v/>
      </c>
      <c r="AZ542">
        <f>AR542*AQ542</f>
        <v/>
      </c>
      <c r="BA542">
        <f>AR542</f>
        <v/>
      </c>
      <c r="BB542">
        <f>1</f>
        <v/>
      </c>
      <c r="BC542">
        <f>IF(AV542=1,1,IF(AW542=1,2,IF(AX542=1,3,IF(AY542=1,4,IF(AZ542=1,5,IF(BA542=1,6,7))))))</f>
        <v/>
      </c>
      <c r="BD542">
        <f>IF(AD542=1,CHOOSE('Historical Score'!$C$29,AV542,AW542,AX542,AY542,AZ542,BA542,BB542),0)</f>
        <v/>
      </c>
      <c r="BE542">
        <f>IF(BD542=1,COUNTIF($BD$2:BD542,1),"")</f>
        <v/>
      </c>
    </row>
    <row r="543">
      <c r="A543" t="inlineStr">
        <is>
          <t>5674176627</t>
        </is>
      </c>
      <c r="B543" t="inlineStr">
        <is>
          <t>SIERRA SHRED</t>
        </is>
      </c>
      <c r="C543" t="inlineStr">
        <is>
          <t>SIERRA SHRED LLC</t>
        </is>
      </c>
      <c r="D543" t="inlineStr">
        <is>
          <t>Settlement Agreement</t>
        </is>
      </c>
      <c r="E543" s="297" t="n">
        <v>46037</v>
      </c>
      <c r="F543" s="297" t="n">
        <v>46238</v>
      </c>
      <c r="G543" t="n">
        <v>1</v>
      </c>
      <c r="H543" t="inlineStr">
        <is>
          <t>5093</t>
        </is>
      </c>
      <c r="I543" t="inlineStr">
        <is>
          <t>50</t>
        </is>
      </c>
      <c r="J543" t="inlineStr">
        <is>
          <t>TX</t>
        </is>
      </c>
      <c r="K543" t="inlineStr">
        <is>
          <t>secure way capital</t>
        </is>
      </c>
      <c r="L543" t="inlineStr">
        <is>
          <t>New Deal</t>
        </is>
      </c>
      <c r="M543" s="298" t="n">
        <v>1.4</v>
      </c>
      <c r="N543" s="299" t="n">
        <v>40000</v>
      </c>
      <c r="O543" s="299" t="n">
        <v>3800</v>
      </c>
      <c r="P543" s="299" t="n">
        <v>56000</v>
      </c>
      <c r="Q543" s="299" t="n">
        <v>45344.94</v>
      </c>
      <c r="R543" s="299" t="n">
        <v>10655.06</v>
      </c>
      <c r="S543" s="300" t="n">
        <v>0.809731071428572</v>
      </c>
      <c r="T543" t="n">
        <v>2.459</v>
      </c>
      <c r="U543" t="n">
        <v>31</v>
      </c>
      <c r="V543" t="n">
        <v>300161.23</v>
      </c>
      <c r="W543" s="300" t="n">
        <v>0.0468</v>
      </c>
      <c r="X543" s="297" t="n">
        <v>38951</v>
      </c>
      <c r="Y543">
        <f>IF(I543="","No SIC",IFERROR(VLOOKUP(I543,Ref!$A$2:$B$65,2,FALSE),"Unclassified"))</f>
        <v/>
      </c>
      <c r="Z543">
        <f>IF(T543="","",IF(T543&lt;12,"Daily","Weekly"))</f>
        <v/>
      </c>
      <c r="AA543">
        <f>IF(T543="",0,IF(T543&lt;12,T543*Controls!$B$29,T543*5))</f>
        <v/>
      </c>
      <c r="AB543">
        <f>IF(E543="",0,NETWORKDAYS(E543,Controls!$B$36,Ref!$K$2:$K$42))</f>
        <v/>
      </c>
      <c r="AC543">
        <f>IF(AND(AA543&gt;0,AB543&gt;=Controls!$B$39*AA543),1,0)</f>
        <v/>
      </c>
      <c r="AD543">
        <f>IF(AND(E543&lt;&gt;"",E543&gt;=Controls!$B$37,E543&lt;=Controls!$B$38),1,0)</f>
        <v/>
      </c>
      <c r="AE543">
        <f>IF(IFERROR(VLOOKUP(D543,Controls!$A$64:$E$74,2,FALSE),"No")="Yes",1,0)</f>
        <v/>
      </c>
      <c r="AF543">
        <f>IF(IFERROR(VLOOKUP(D543,Controls!$A$64:$E$74,3,FALSE),"No")="Yes",1,0)</f>
        <v/>
      </c>
      <c r="AG543">
        <f>IF(IFERROR(VLOOKUP(D543,Controls!$A$64:$E$74,4,FALSE),"No")="Yes",1,0)</f>
        <v/>
      </c>
      <c r="AH543">
        <f>IF(IFERROR(VLOOKUP(D543,Controls!$A$64:$E$74,5,FALSE),"No")="Yes",1,0)</f>
        <v/>
      </c>
      <c r="AI543">
        <f>IF(ISNUMBER(MATCH(D543,Controls!$A$64:$A$74,0)),1,0)</f>
        <v/>
      </c>
      <c r="AJ543">
        <f>Q543-N543</f>
        <v/>
      </c>
      <c r="AK543">
        <f>IF(AE543=1,MAX(0,N543-Q543),0)</f>
        <v/>
      </c>
      <c r="AL543">
        <f>IF(OR(V543="",V543=0),0,N543/V543)</f>
        <v/>
      </c>
      <c r="AM543">
        <f>IF(OR(V543="",V543=0),0,1)</f>
        <v/>
      </c>
      <c r="AN543">
        <f>IF(OR(E543="",F543=""),0,NETWORKDAYS(E543,F543,Ref!$K$2:$K$42))</f>
        <v/>
      </c>
      <c r="AO543">
        <f>IF(L543="Renewal",1,0)</f>
        <v/>
      </c>
      <c r="AP543">
        <f>AC543*AD543</f>
        <v/>
      </c>
      <c r="AQ543">
        <f>IF(AND(G543&lt;&gt;"",'Historical Score'!$C$6&lt;&gt;""),IF(G543='Historical Score'!$C$6,1,0),0)</f>
        <v/>
      </c>
      <c r="AR543">
        <f>IF(AND(L543&lt;&gt;"",'Historical Score'!$C$5&lt;&gt;""),IF(L543='Historical Score'!$C$5,1,0),0)</f>
        <v/>
      </c>
      <c r="AS543">
        <f>IF(AND(Y543&lt;&gt;"",'Historical Score'!$C$7&lt;&gt;""),IF(Y543='Historical Score'!$C$7,1,0),0)</f>
        <v/>
      </c>
      <c r="AT543">
        <f>IF(AND(K543&lt;&gt;"",'Historical Score'!$C$8&lt;&gt;""),IF(K543='Historical Score'!$C$8,1,0),0)</f>
        <v/>
      </c>
      <c r="AU543">
        <f>IF(AND(J543&lt;&gt;"",'Historical Score'!$C$9&lt;&gt;""),IF(J543='Historical Score'!$C$9,1,0),0)</f>
        <v/>
      </c>
      <c r="AV543">
        <f>AR543*AS543*AQ543</f>
        <v/>
      </c>
      <c r="AW543">
        <f>AR543*AT543*AQ543</f>
        <v/>
      </c>
      <c r="AX543">
        <f>AR543*AS543</f>
        <v/>
      </c>
      <c r="AY543">
        <f>AR543*AT543</f>
        <v/>
      </c>
      <c r="AZ543">
        <f>AR543*AQ543</f>
        <v/>
      </c>
      <c r="BA543">
        <f>AR543</f>
        <v/>
      </c>
      <c r="BB543">
        <f>1</f>
        <v/>
      </c>
      <c r="BC543">
        <f>IF(AV543=1,1,IF(AW543=1,2,IF(AX543=1,3,IF(AY543=1,4,IF(AZ543=1,5,IF(BA543=1,6,7))))))</f>
        <v/>
      </c>
      <c r="BD543">
        <f>IF(AD543=1,CHOOSE('Historical Score'!$C$29,AV543,AW543,AX543,AY543,AZ543,BA543,BB543),0)</f>
        <v/>
      </c>
      <c r="BE543">
        <f>IF(BD543=1,COUNTIF($BD$2:BD543,1),"")</f>
        <v/>
      </c>
    </row>
    <row r="544">
      <c r="A544" t="inlineStr">
        <is>
          <t>5674176677</t>
        </is>
      </c>
      <c r="B544" t="inlineStr">
        <is>
          <t>T &amp; B LOGISTICS INC</t>
        </is>
      </c>
      <c r="C544" t="inlineStr">
        <is>
          <t>T &amp; B LOGISTICS INC</t>
        </is>
      </c>
      <c r="D544" t="inlineStr">
        <is>
          <t>In House Collection</t>
        </is>
      </c>
      <c r="E544" s="297" t="n">
        <v>46038</v>
      </c>
      <c r="F544" s="297" t="n">
        <v>46094</v>
      </c>
      <c r="G544" t="n">
        <v>1</v>
      </c>
      <c r="H544" t="inlineStr">
        <is>
          <t>4212</t>
        </is>
      </c>
      <c r="I544" t="inlineStr">
        <is>
          <t>42</t>
        </is>
      </c>
      <c r="J544" t="inlineStr">
        <is>
          <t>CA</t>
        </is>
      </c>
      <c r="K544" t="inlineStr">
        <is>
          <t>United Secured Capital 8</t>
        </is>
      </c>
      <c r="L544" t="inlineStr">
        <is>
          <t>New Deal</t>
        </is>
      </c>
      <c r="M544" s="298" t="n">
        <v>1.49</v>
      </c>
      <c r="N544" s="299" t="n">
        <v>20000</v>
      </c>
      <c r="O544" s="299" t="n">
        <v>2800</v>
      </c>
      <c r="P544" s="299" t="n">
        <v>29800</v>
      </c>
      <c r="Q544" s="299" t="n">
        <v>10431.54</v>
      </c>
      <c r="R544" s="299" t="n">
        <v>19368.46</v>
      </c>
      <c r="S544" s="300" t="n">
        <v>0.350051677852349</v>
      </c>
      <c r="T544" t="n">
        <v>20</v>
      </c>
      <c r="U544" t="n">
        <v>1</v>
      </c>
      <c r="V544" t="n">
        <v>20871.48</v>
      </c>
      <c r="W544" s="300" t="n">
        <v>0.2856</v>
      </c>
      <c r="X544" s="297" t="n">
        <v>44562</v>
      </c>
      <c r="Y544">
        <f>IF(I544="","No SIC",IFERROR(VLOOKUP(I544,Ref!$A$2:$B$65,2,FALSE),"Unclassified"))</f>
        <v/>
      </c>
      <c r="Z544">
        <f>IF(T544="","",IF(T544&lt;12,"Daily","Weekly"))</f>
        <v/>
      </c>
      <c r="AA544">
        <f>IF(T544="",0,IF(T544&lt;12,T544*Controls!$B$29,T544*5))</f>
        <v/>
      </c>
      <c r="AB544">
        <f>IF(E544="",0,NETWORKDAYS(E544,Controls!$B$36,Ref!$K$2:$K$42))</f>
        <v/>
      </c>
      <c r="AC544">
        <f>IF(AND(AA544&gt;0,AB544&gt;=Controls!$B$39*AA544),1,0)</f>
        <v/>
      </c>
      <c r="AD544">
        <f>IF(AND(E544&lt;&gt;"",E544&gt;=Controls!$B$37,E544&lt;=Controls!$B$38),1,0)</f>
        <v/>
      </c>
      <c r="AE544">
        <f>IF(IFERROR(VLOOKUP(D544,Controls!$A$64:$E$74,2,FALSE),"No")="Yes",1,0)</f>
        <v/>
      </c>
      <c r="AF544">
        <f>IF(IFERROR(VLOOKUP(D544,Controls!$A$64:$E$74,3,FALSE),"No")="Yes",1,0)</f>
        <v/>
      </c>
      <c r="AG544">
        <f>IF(IFERROR(VLOOKUP(D544,Controls!$A$64:$E$74,4,FALSE),"No")="Yes",1,0)</f>
        <v/>
      </c>
      <c r="AH544">
        <f>IF(IFERROR(VLOOKUP(D544,Controls!$A$64:$E$74,5,FALSE),"No")="Yes",1,0)</f>
        <v/>
      </c>
      <c r="AI544">
        <f>IF(ISNUMBER(MATCH(D544,Controls!$A$64:$A$74,0)),1,0)</f>
        <v/>
      </c>
      <c r="AJ544">
        <f>Q544-N544</f>
        <v/>
      </c>
      <c r="AK544">
        <f>IF(AE544=1,MAX(0,N544-Q544),0)</f>
        <v/>
      </c>
      <c r="AL544">
        <f>IF(OR(V544="",V544=0),0,N544/V544)</f>
        <v/>
      </c>
      <c r="AM544">
        <f>IF(OR(V544="",V544=0),0,1)</f>
        <v/>
      </c>
      <c r="AN544">
        <f>IF(OR(E544="",F544=""),0,NETWORKDAYS(E544,F544,Ref!$K$2:$K$42))</f>
        <v/>
      </c>
      <c r="AO544">
        <f>IF(L544="Renewal",1,0)</f>
        <v/>
      </c>
      <c r="AP544">
        <f>AC544*AD544</f>
        <v/>
      </c>
      <c r="AQ544">
        <f>IF(AND(G544&lt;&gt;"",'Historical Score'!$C$6&lt;&gt;""),IF(G544='Historical Score'!$C$6,1,0),0)</f>
        <v/>
      </c>
      <c r="AR544">
        <f>IF(AND(L544&lt;&gt;"",'Historical Score'!$C$5&lt;&gt;""),IF(L544='Historical Score'!$C$5,1,0),0)</f>
        <v/>
      </c>
      <c r="AS544">
        <f>IF(AND(Y544&lt;&gt;"",'Historical Score'!$C$7&lt;&gt;""),IF(Y544='Historical Score'!$C$7,1,0),0)</f>
        <v/>
      </c>
      <c r="AT544">
        <f>IF(AND(K544&lt;&gt;"",'Historical Score'!$C$8&lt;&gt;""),IF(K544='Historical Score'!$C$8,1,0),0)</f>
        <v/>
      </c>
      <c r="AU544">
        <f>IF(AND(J544&lt;&gt;"",'Historical Score'!$C$9&lt;&gt;""),IF(J544='Historical Score'!$C$9,1,0),0)</f>
        <v/>
      </c>
      <c r="AV544">
        <f>AR544*AS544*AQ544</f>
        <v/>
      </c>
      <c r="AW544">
        <f>AR544*AT544*AQ544</f>
        <v/>
      </c>
      <c r="AX544">
        <f>AR544*AS544</f>
        <v/>
      </c>
      <c r="AY544">
        <f>AR544*AT544</f>
        <v/>
      </c>
      <c r="AZ544">
        <f>AR544*AQ544</f>
        <v/>
      </c>
      <c r="BA544">
        <f>AR544</f>
        <v/>
      </c>
      <c r="BB544">
        <f>1</f>
        <v/>
      </c>
      <c r="BC544">
        <f>IF(AV544=1,1,IF(AW544=1,2,IF(AX544=1,3,IF(AY544=1,4,IF(AZ544=1,5,IF(BA544=1,6,7))))))</f>
        <v/>
      </c>
      <c r="BD544">
        <f>IF(AD544=1,CHOOSE('Historical Score'!$C$29,AV544,AW544,AX544,AY544,AZ544,BA544,BB544),0)</f>
        <v/>
      </c>
      <c r="BE544">
        <f>IF(BD544=1,COUNTIF($BD$2:BD544,1),"")</f>
        <v/>
      </c>
    </row>
    <row r="545">
      <c r="A545" t="inlineStr">
        <is>
          <t>5674176696</t>
        </is>
      </c>
      <c r="B545" t="inlineStr">
        <is>
          <t>FIRST GENERATION GASTRONOMY CO</t>
        </is>
      </c>
      <c r="C545" t="inlineStr">
        <is>
          <t>FIRST GENERATION GASTRONOMY CO</t>
        </is>
      </c>
      <c r="D545" t="inlineStr">
        <is>
          <t>In House Collection</t>
        </is>
      </c>
      <c r="E545" s="297" t="n">
        <v>46038</v>
      </c>
      <c r="F545" s="297" t="n">
        <v>46211</v>
      </c>
      <c r="G545" t="n">
        <v>1</v>
      </c>
      <c r="H545" t="inlineStr">
        <is>
          <t>5812</t>
        </is>
      </c>
      <c r="I545" t="inlineStr">
        <is>
          <t>58</t>
        </is>
      </c>
      <c r="J545" t="inlineStr">
        <is>
          <t>GA</t>
        </is>
      </c>
      <c r="K545" t="inlineStr">
        <is>
          <t>Ballicci</t>
        </is>
      </c>
      <c r="L545" t="inlineStr">
        <is>
          <t>New Deal</t>
        </is>
      </c>
      <c r="M545" s="298" t="n">
        <v>1.49</v>
      </c>
      <c r="N545" s="299" t="n">
        <v>30000</v>
      </c>
      <c r="O545" s="299" t="n">
        <v>0</v>
      </c>
      <c r="P545" s="299" t="n">
        <v>44700</v>
      </c>
      <c r="Q545" s="299" t="n">
        <v>2322.27</v>
      </c>
      <c r="R545" s="299" t="n">
        <v>42377.73</v>
      </c>
      <c r="S545" s="300" t="n">
        <v>0.0519523489932886</v>
      </c>
      <c r="T545" t="n">
        <v>3.934</v>
      </c>
      <c r="U545" t="n">
        <v>45</v>
      </c>
      <c r="V545" t="n">
        <v>95106.64</v>
      </c>
      <c r="W545" s="300" t="n">
        <v>0.0822</v>
      </c>
      <c r="X545" s="297" t="n">
        <v>45927</v>
      </c>
      <c r="Y545">
        <f>IF(I545="","No SIC",IFERROR(VLOOKUP(I545,Ref!$A$2:$B$65,2,FALSE),"Unclassified"))</f>
        <v/>
      </c>
      <c r="Z545">
        <f>IF(T545="","",IF(T545&lt;12,"Daily","Weekly"))</f>
        <v/>
      </c>
      <c r="AA545">
        <f>IF(T545="",0,IF(T545&lt;12,T545*Controls!$B$29,T545*5))</f>
        <v/>
      </c>
      <c r="AB545">
        <f>IF(E545="",0,NETWORKDAYS(E545,Controls!$B$36,Ref!$K$2:$K$42))</f>
        <v/>
      </c>
      <c r="AC545">
        <f>IF(AND(AA545&gt;0,AB545&gt;=Controls!$B$39*AA545),1,0)</f>
        <v/>
      </c>
      <c r="AD545">
        <f>IF(AND(E545&lt;&gt;"",E545&gt;=Controls!$B$37,E545&lt;=Controls!$B$38),1,0)</f>
        <v/>
      </c>
      <c r="AE545">
        <f>IF(IFERROR(VLOOKUP(D545,Controls!$A$64:$E$74,2,FALSE),"No")="Yes",1,0)</f>
        <v/>
      </c>
      <c r="AF545">
        <f>IF(IFERROR(VLOOKUP(D545,Controls!$A$64:$E$74,3,FALSE),"No")="Yes",1,0)</f>
        <v/>
      </c>
      <c r="AG545">
        <f>IF(IFERROR(VLOOKUP(D545,Controls!$A$64:$E$74,4,FALSE),"No")="Yes",1,0)</f>
        <v/>
      </c>
      <c r="AH545">
        <f>IF(IFERROR(VLOOKUP(D545,Controls!$A$64:$E$74,5,FALSE),"No")="Yes",1,0)</f>
        <v/>
      </c>
      <c r="AI545">
        <f>IF(ISNUMBER(MATCH(D545,Controls!$A$64:$A$74,0)),1,0)</f>
        <v/>
      </c>
      <c r="AJ545">
        <f>Q545-N545</f>
        <v/>
      </c>
      <c r="AK545">
        <f>IF(AE545=1,MAX(0,N545-Q545),0)</f>
        <v/>
      </c>
      <c r="AL545">
        <f>IF(OR(V545="",V545=0),0,N545/V545)</f>
        <v/>
      </c>
      <c r="AM545">
        <f>IF(OR(V545="",V545=0),0,1)</f>
        <v/>
      </c>
      <c r="AN545">
        <f>IF(OR(E545="",F545=""),0,NETWORKDAYS(E545,F545,Ref!$K$2:$K$42))</f>
        <v/>
      </c>
      <c r="AO545">
        <f>IF(L545="Renewal",1,0)</f>
        <v/>
      </c>
      <c r="AP545">
        <f>AC545*AD545</f>
        <v/>
      </c>
      <c r="AQ545">
        <f>IF(AND(G545&lt;&gt;"",'Historical Score'!$C$6&lt;&gt;""),IF(G545='Historical Score'!$C$6,1,0),0)</f>
        <v/>
      </c>
      <c r="AR545">
        <f>IF(AND(L545&lt;&gt;"",'Historical Score'!$C$5&lt;&gt;""),IF(L545='Historical Score'!$C$5,1,0),0)</f>
        <v/>
      </c>
      <c r="AS545">
        <f>IF(AND(Y545&lt;&gt;"",'Historical Score'!$C$7&lt;&gt;""),IF(Y545='Historical Score'!$C$7,1,0),0)</f>
        <v/>
      </c>
      <c r="AT545">
        <f>IF(AND(K545&lt;&gt;"",'Historical Score'!$C$8&lt;&gt;""),IF(K545='Historical Score'!$C$8,1,0),0)</f>
        <v/>
      </c>
      <c r="AU545">
        <f>IF(AND(J545&lt;&gt;"",'Historical Score'!$C$9&lt;&gt;""),IF(J545='Historical Score'!$C$9,1,0),0)</f>
        <v/>
      </c>
      <c r="AV545">
        <f>AR545*AS545*AQ545</f>
        <v/>
      </c>
      <c r="AW545">
        <f>AR545*AT545*AQ545</f>
        <v/>
      </c>
      <c r="AX545">
        <f>AR545*AS545</f>
        <v/>
      </c>
      <c r="AY545">
        <f>AR545*AT545</f>
        <v/>
      </c>
      <c r="AZ545">
        <f>AR545*AQ545</f>
        <v/>
      </c>
      <c r="BA545">
        <f>AR545</f>
        <v/>
      </c>
      <c r="BB545">
        <f>1</f>
        <v/>
      </c>
      <c r="BC545">
        <f>IF(AV545=1,1,IF(AW545=1,2,IF(AX545=1,3,IF(AY545=1,4,IF(AZ545=1,5,IF(BA545=1,6,7))))))</f>
        <v/>
      </c>
      <c r="BD545">
        <f>IF(AD545=1,CHOOSE('Historical Score'!$C$29,AV545,AW545,AX545,AY545,AZ545,BA545,BB545),0)</f>
        <v/>
      </c>
      <c r="BE545">
        <f>IF(BD545=1,COUNTIF($BD$2:BD545,1),"")</f>
        <v/>
      </c>
    </row>
    <row r="546">
      <c r="A546" t="inlineStr">
        <is>
          <t>5674176709</t>
        </is>
      </c>
      <c r="B546" t="inlineStr">
        <is>
          <t>REP Provisions</t>
        </is>
      </c>
      <c r="C546" t="inlineStr">
        <is>
          <t>REP Provisions LLC</t>
        </is>
      </c>
      <c r="D546" t="inlineStr">
        <is>
          <t>Closed</t>
        </is>
      </c>
      <c r="E546" s="297" t="n">
        <v>46038</v>
      </c>
      <c r="F546" s="297" t="n">
        <v>46241</v>
      </c>
      <c r="G546" t="n">
        <v>3</v>
      </c>
      <c r="H546" t="inlineStr">
        <is>
          <t>5147</t>
        </is>
      </c>
      <c r="I546" t="inlineStr">
        <is>
          <t>51</t>
        </is>
      </c>
      <c r="J546" t="inlineStr">
        <is>
          <t>OK</t>
        </is>
      </c>
      <c r="K546" t="inlineStr">
        <is>
          <t>Fundwell</t>
        </is>
      </c>
      <c r="L546" t="inlineStr">
        <is>
          <t>New Deal</t>
        </is>
      </c>
      <c r="M546" s="298" t="n">
        <v>1.38</v>
      </c>
      <c r="N546" s="299" t="n">
        <v>175000</v>
      </c>
      <c r="O546" s="299" t="n">
        <v>19250</v>
      </c>
      <c r="P546" s="299" t="n">
        <v>241500</v>
      </c>
      <c r="Q546" s="299" t="n">
        <v>241500</v>
      </c>
      <c r="R546" s="299" t="n">
        <v>-2.91038304567337e-11</v>
      </c>
      <c r="S546" s="300" t="n">
        <v>1</v>
      </c>
      <c r="T546" t="n">
        <v>40</v>
      </c>
      <c r="U546" t="n">
        <v>0</v>
      </c>
      <c r="V546" t="n">
        <v>425126.47</v>
      </c>
      <c r="W546" s="300" t="n">
        <v>0.0568</v>
      </c>
      <c r="X546" s="297" t="n">
        <v>43159</v>
      </c>
      <c r="Y546">
        <f>IF(I546="","No SIC",IFERROR(VLOOKUP(I546,Ref!$A$2:$B$65,2,FALSE),"Unclassified"))</f>
        <v/>
      </c>
      <c r="Z546">
        <f>IF(T546="","",IF(T546&lt;12,"Daily","Weekly"))</f>
        <v/>
      </c>
      <c r="AA546">
        <f>IF(T546="",0,IF(T546&lt;12,T546*Controls!$B$29,T546*5))</f>
        <v/>
      </c>
      <c r="AB546">
        <f>IF(E546="",0,NETWORKDAYS(E546,Controls!$B$36,Ref!$K$2:$K$42))</f>
        <v/>
      </c>
      <c r="AC546">
        <f>IF(AND(AA546&gt;0,AB546&gt;=Controls!$B$39*AA546),1,0)</f>
        <v/>
      </c>
      <c r="AD546">
        <f>IF(AND(E546&lt;&gt;"",E546&gt;=Controls!$B$37,E546&lt;=Controls!$B$38),1,0)</f>
        <v/>
      </c>
      <c r="AE546">
        <f>IF(IFERROR(VLOOKUP(D546,Controls!$A$64:$E$74,2,FALSE),"No")="Yes",1,0)</f>
        <v/>
      </c>
      <c r="AF546">
        <f>IF(IFERROR(VLOOKUP(D546,Controls!$A$64:$E$74,3,FALSE),"No")="Yes",1,0)</f>
        <v/>
      </c>
      <c r="AG546">
        <f>IF(IFERROR(VLOOKUP(D546,Controls!$A$64:$E$74,4,FALSE),"No")="Yes",1,0)</f>
        <v/>
      </c>
      <c r="AH546">
        <f>IF(IFERROR(VLOOKUP(D546,Controls!$A$64:$E$74,5,FALSE),"No")="Yes",1,0)</f>
        <v/>
      </c>
      <c r="AI546">
        <f>IF(ISNUMBER(MATCH(D546,Controls!$A$64:$A$74,0)),1,0)</f>
        <v/>
      </c>
      <c r="AJ546">
        <f>Q546-N546</f>
        <v/>
      </c>
      <c r="AK546">
        <f>IF(AE546=1,MAX(0,N546-Q546),0)</f>
        <v/>
      </c>
      <c r="AL546">
        <f>IF(OR(V546="",V546=0),0,N546/V546)</f>
        <v/>
      </c>
      <c r="AM546">
        <f>IF(OR(V546="",V546=0),0,1)</f>
        <v/>
      </c>
      <c r="AN546">
        <f>IF(OR(E546="",F546=""),0,NETWORKDAYS(E546,F546,Ref!$K$2:$K$42))</f>
        <v/>
      </c>
      <c r="AO546">
        <f>IF(L546="Renewal",1,0)</f>
        <v/>
      </c>
      <c r="AP546">
        <f>AC546*AD546</f>
        <v/>
      </c>
      <c r="AQ546">
        <f>IF(AND(G546&lt;&gt;"",'Historical Score'!$C$6&lt;&gt;""),IF(G546='Historical Score'!$C$6,1,0),0)</f>
        <v/>
      </c>
      <c r="AR546">
        <f>IF(AND(L546&lt;&gt;"",'Historical Score'!$C$5&lt;&gt;""),IF(L546='Historical Score'!$C$5,1,0),0)</f>
        <v/>
      </c>
      <c r="AS546">
        <f>IF(AND(Y546&lt;&gt;"",'Historical Score'!$C$7&lt;&gt;""),IF(Y546='Historical Score'!$C$7,1,0),0)</f>
        <v/>
      </c>
      <c r="AT546">
        <f>IF(AND(K546&lt;&gt;"",'Historical Score'!$C$8&lt;&gt;""),IF(K546='Historical Score'!$C$8,1,0),0)</f>
        <v/>
      </c>
      <c r="AU546">
        <f>IF(AND(J546&lt;&gt;"",'Historical Score'!$C$9&lt;&gt;""),IF(J546='Historical Score'!$C$9,1,0),0)</f>
        <v/>
      </c>
      <c r="AV546">
        <f>AR546*AS546*AQ546</f>
        <v/>
      </c>
      <c r="AW546">
        <f>AR546*AT546*AQ546</f>
        <v/>
      </c>
      <c r="AX546">
        <f>AR546*AS546</f>
        <v/>
      </c>
      <c r="AY546">
        <f>AR546*AT546</f>
        <v/>
      </c>
      <c r="AZ546">
        <f>AR546*AQ546</f>
        <v/>
      </c>
      <c r="BA546">
        <f>AR546</f>
        <v/>
      </c>
      <c r="BB546">
        <f>1</f>
        <v/>
      </c>
      <c r="BC546">
        <f>IF(AV546=1,1,IF(AW546=1,2,IF(AX546=1,3,IF(AY546=1,4,IF(AZ546=1,5,IF(BA546=1,6,7))))))</f>
        <v/>
      </c>
      <c r="BD546">
        <f>IF(AD546=1,CHOOSE('Historical Score'!$C$29,AV546,AW546,AX546,AY546,AZ546,BA546,BB546),0)</f>
        <v/>
      </c>
      <c r="BE546">
        <f>IF(BD546=1,COUNTIF($BD$2:BD546,1),"")</f>
        <v/>
      </c>
    </row>
    <row r="547">
      <c r="A547" t="inlineStr">
        <is>
          <t>5674176711</t>
        </is>
      </c>
      <c r="B547" t="inlineStr">
        <is>
          <t>Performance DSD, LLC</t>
        </is>
      </c>
      <c r="C547" t="inlineStr">
        <is>
          <t>Performance DSD, LLC</t>
        </is>
      </c>
      <c r="D547" t="inlineStr">
        <is>
          <t>Open</t>
        </is>
      </c>
      <c r="E547" s="297" t="n">
        <v>46038</v>
      </c>
      <c r="F547" s="297" t="n">
        <v>46248</v>
      </c>
      <c r="G547" t="n">
        <v>1</v>
      </c>
      <c r="H547" t="inlineStr">
        <is>
          <t>4212</t>
        </is>
      </c>
      <c r="I547" t="inlineStr">
        <is>
          <t>42</t>
        </is>
      </c>
      <c r="J547" t="inlineStr">
        <is>
          <t>GA</t>
        </is>
      </c>
      <c r="K547" t="inlineStr">
        <is>
          <t>Fundwell</t>
        </is>
      </c>
      <c r="L547" t="inlineStr">
        <is>
          <t>New Deal</t>
        </is>
      </c>
      <c r="M547" s="298" t="n">
        <v>1.39</v>
      </c>
      <c r="N547" s="299" t="n">
        <v>75000</v>
      </c>
      <c r="O547" s="299" t="n">
        <v>9375</v>
      </c>
      <c r="P547" s="299" t="n">
        <v>104250</v>
      </c>
      <c r="Q547" s="299" t="n">
        <v>65148</v>
      </c>
      <c r="R547" s="299" t="n">
        <v>39102</v>
      </c>
      <c r="S547" s="300" t="n">
        <v>0.624920863309353</v>
      </c>
      <c r="T547" t="n">
        <v>48</v>
      </c>
      <c r="U547" t="n">
        <v>0</v>
      </c>
      <c r="V547" t="n">
        <v>129454.36</v>
      </c>
      <c r="W547" s="300" t="n">
        <v>0.06710000000000001</v>
      </c>
      <c r="X547" s="297" t="n">
        <v>42803</v>
      </c>
      <c r="Y547">
        <f>IF(I547="","No SIC",IFERROR(VLOOKUP(I547,Ref!$A$2:$B$65,2,FALSE),"Unclassified"))</f>
        <v/>
      </c>
      <c r="Z547">
        <f>IF(T547="","",IF(T547&lt;12,"Daily","Weekly"))</f>
        <v/>
      </c>
      <c r="AA547">
        <f>IF(T547="",0,IF(T547&lt;12,T547*Controls!$B$29,T547*5))</f>
        <v/>
      </c>
      <c r="AB547">
        <f>IF(E547="",0,NETWORKDAYS(E547,Controls!$B$36,Ref!$K$2:$K$42))</f>
        <v/>
      </c>
      <c r="AC547">
        <f>IF(AND(AA547&gt;0,AB547&gt;=Controls!$B$39*AA547),1,0)</f>
        <v/>
      </c>
      <c r="AD547">
        <f>IF(AND(E547&lt;&gt;"",E547&gt;=Controls!$B$37,E547&lt;=Controls!$B$38),1,0)</f>
        <v/>
      </c>
      <c r="AE547">
        <f>IF(IFERROR(VLOOKUP(D547,Controls!$A$64:$E$74,2,FALSE),"No")="Yes",1,0)</f>
        <v/>
      </c>
      <c r="AF547">
        <f>IF(IFERROR(VLOOKUP(D547,Controls!$A$64:$E$74,3,FALSE),"No")="Yes",1,0)</f>
        <v/>
      </c>
      <c r="AG547">
        <f>IF(IFERROR(VLOOKUP(D547,Controls!$A$64:$E$74,4,FALSE),"No")="Yes",1,0)</f>
        <v/>
      </c>
      <c r="AH547">
        <f>IF(IFERROR(VLOOKUP(D547,Controls!$A$64:$E$74,5,FALSE),"No")="Yes",1,0)</f>
        <v/>
      </c>
      <c r="AI547">
        <f>IF(ISNUMBER(MATCH(D547,Controls!$A$64:$A$74,0)),1,0)</f>
        <v/>
      </c>
      <c r="AJ547">
        <f>Q547-N547</f>
        <v/>
      </c>
      <c r="AK547">
        <f>IF(AE547=1,MAX(0,N547-Q547),0)</f>
        <v/>
      </c>
      <c r="AL547">
        <f>IF(OR(V547="",V547=0),0,N547/V547)</f>
        <v/>
      </c>
      <c r="AM547">
        <f>IF(OR(V547="",V547=0),0,1)</f>
        <v/>
      </c>
      <c r="AN547">
        <f>IF(OR(E547="",F547=""),0,NETWORKDAYS(E547,F547,Ref!$K$2:$K$42))</f>
        <v/>
      </c>
      <c r="AO547">
        <f>IF(L547="Renewal",1,0)</f>
        <v/>
      </c>
      <c r="AP547">
        <f>AC547*AD547</f>
        <v/>
      </c>
      <c r="AQ547">
        <f>IF(AND(G547&lt;&gt;"",'Historical Score'!$C$6&lt;&gt;""),IF(G547='Historical Score'!$C$6,1,0),0)</f>
        <v/>
      </c>
      <c r="AR547">
        <f>IF(AND(L547&lt;&gt;"",'Historical Score'!$C$5&lt;&gt;""),IF(L547='Historical Score'!$C$5,1,0),0)</f>
        <v/>
      </c>
      <c r="AS547">
        <f>IF(AND(Y547&lt;&gt;"",'Historical Score'!$C$7&lt;&gt;""),IF(Y547='Historical Score'!$C$7,1,0),0)</f>
        <v/>
      </c>
      <c r="AT547">
        <f>IF(AND(K547&lt;&gt;"",'Historical Score'!$C$8&lt;&gt;""),IF(K547='Historical Score'!$C$8,1,0),0)</f>
        <v/>
      </c>
      <c r="AU547">
        <f>IF(AND(J547&lt;&gt;"",'Historical Score'!$C$9&lt;&gt;""),IF(J547='Historical Score'!$C$9,1,0),0)</f>
        <v/>
      </c>
      <c r="AV547">
        <f>AR547*AS547*AQ547</f>
        <v/>
      </c>
      <c r="AW547">
        <f>AR547*AT547*AQ547</f>
        <v/>
      </c>
      <c r="AX547">
        <f>AR547*AS547</f>
        <v/>
      </c>
      <c r="AY547">
        <f>AR547*AT547</f>
        <v/>
      </c>
      <c r="AZ547">
        <f>AR547*AQ547</f>
        <v/>
      </c>
      <c r="BA547">
        <f>AR547</f>
        <v/>
      </c>
      <c r="BB547">
        <f>1</f>
        <v/>
      </c>
      <c r="BC547">
        <f>IF(AV547=1,1,IF(AW547=1,2,IF(AX547=1,3,IF(AY547=1,4,IF(AZ547=1,5,IF(BA547=1,6,7))))))</f>
        <v/>
      </c>
      <c r="BD547">
        <f>IF(AD547=1,CHOOSE('Historical Score'!$C$29,AV547,AW547,AX547,AY547,AZ547,BA547,BB547),0)</f>
        <v/>
      </c>
      <c r="BE547">
        <f>IF(BD547=1,COUNTIF($BD$2:BD547,1),"")</f>
        <v/>
      </c>
    </row>
    <row r="548">
      <c r="A548" t="inlineStr">
        <is>
          <t>5674176795</t>
        </is>
      </c>
      <c r="B548" t="inlineStr">
        <is>
          <t>Stampmill Inn</t>
        </is>
      </c>
      <c r="C548" t="inlineStr">
        <is>
          <t>Renaissance Concepts Llc</t>
        </is>
      </c>
      <c r="D548" t="inlineStr">
        <is>
          <t>Closed</t>
        </is>
      </c>
      <c r="E548" s="297" t="n">
        <v>46042</v>
      </c>
      <c r="F548" s="297" t="n">
        <v>46114</v>
      </c>
      <c r="G548" t="n">
        <v>2</v>
      </c>
      <c r="H548" t="inlineStr">
        <is>
          <t>7011</t>
        </is>
      </c>
      <c r="I548" t="inlineStr">
        <is>
          <t>70</t>
        </is>
      </c>
      <c r="J548" t="inlineStr">
        <is>
          <t>SD</t>
        </is>
      </c>
      <c r="K548" t="inlineStr">
        <is>
          <t>Ballicci</t>
        </is>
      </c>
      <c r="L548" t="inlineStr">
        <is>
          <t>New Deal</t>
        </is>
      </c>
      <c r="M548" s="298" t="n">
        <v>1.49</v>
      </c>
      <c r="N548" s="299" t="n">
        <v>25000</v>
      </c>
      <c r="O548" s="299" t="n">
        <v>3500</v>
      </c>
      <c r="P548" s="299" t="n">
        <v>37250</v>
      </c>
      <c r="Q548" s="299" t="n">
        <v>37250</v>
      </c>
      <c r="R548" s="299" t="n">
        <v>0</v>
      </c>
      <c r="S548" s="300" t="n">
        <v>1</v>
      </c>
      <c r="T548" t="n">
        <v>2.951</v>
      </c>
      <c r="U548" t="n">
        <v>1</v>
      </c>
      <c r="V548" t="n">
        <v>28006.87</v>
      </c>
      <c r="W548" s="300" t="n">
        <v>0.3103</v>
      </c>
      <c r="X548" s="297" t="n"/>
      <c r="Y548">
        <f>IF(I548="","No SIC",IFERROR(VLOOKUP(I548,Ref!$A$2:$B$65,2,FALSE),"Unclassified"))</f>
        <v/>
      </c>
      <c r="Z548">
        <f>IF(T548="","",IF(T548&lt;12,"Daily","Weekly"))</f>
        <v/>
      </c>
      <c r="AA548">
        <f>IF(T548="",0,IF(T548&lt;12,T548*Controls!$B$29,T548*5))</f>
        <v/>
      </c>
      <c r="AB548">
        <f>IF(E548="",0,NETWORKDAYS(E548,Controls!$B$36,Ref!$K$2:$K$42))</f>
        <v/>
      </c>
      <c r="AC548">
        <f>IF(AND(AA548&gt;0,AB548&gt;=Controls!$B$39*AA548),1,0)</f>
        <v/>
      </c>
      <c r="AD548">
        <f>IF(AND(E548&lt;&gt;"",E548&gt;=Controls!$B$37,E548&lt;=Controls!$B$38),1,0)</f>
        <v/>
      </c>
      <c r="AE548">
        <f>IF(IFERROR(VLOOKUP(D548,Controls!$A$64:$E$74,2,FALSE),"No")="Yes",1,0)</f>
        <v/>
      </c>
      <c r="AF548">
        <f>IF(IFERROR(VLOOKUP(D548,Controls!$A$64:$E$74,3,FALSE),"No")="Yes",1,0)</f>
        <v/>
      </c>
      <c r="AG548">
        <f>IF(IFERROR(VLOOKUP(D548,Controls!$A$64:$E$74,4,FALSE),"No")="Yes",1,0)</f>
        <v/>
      </c>
      <c r="AH548">
        <f>IF(IFERROR(VLOOKUP(D548,Controls!$A$64:$E$74,5,FALSE),"No")="Yes",1,0)</f>
        <v/>
      </c>
      <c r="AI548">
        <f>IF(ISNUMBER(MATCH(D548,Controls!$A$64:$A$74,0)),1,0)</f>
        <v/>
      </c>
      <c r="AJ548">
        <f>Q548-N548</f>
        <v/>
      </c>
      <c r="AK548">
        <f>IF(AE548=1,MAX(0,N548-Q548),0)</f>
        <v/>
      </c>
      <c r="AL548">
        <f>IF(OR(V548="",V548=0),0,N548/V548)</f>
        <v/>
      </c>
      <c r="AM548">
        <f>IF(OR(V548="",V548=0),0,1)</f>
        <v/>
      </c>
      <c r="AN548">
        <f>IF(OR(E548="",F548=""),0,NETWORKDAYS(E548,F548,Ref!$K$2:$K$42))</f>
        <v/>
      </c>
      <c r="AO548">
        <f>IF(L548="Renewal",1,0)</f>
        <v/>
      </c>
      <c r="AP548">
        <f>AC548*AD548</f>
        <v/>
      </c>
      <c r="AQ548">
        <f>IF(AND(G548&lt;&gt;"",'Historical Score'!$C$6&lt;&gt;""),IF(G548='Historical Score'!$C$6,1,0),0)</f>
        <v/>
      </c>
      <c r="AR548">
        <f>IF(AND(L548&lt;&gt;"",'Historical Score'!$C$5&lt;&gt;""),IF(L548='Historical Score'!$C$5,1,0),0)</f>
        <v/>
      </c>
      <c r="AS548">
        <f>IF(AND(Y548&lt;&gt;"",'Historical Score'!$C$7&lt;&gt;""),IF(Y548='Historical Score'!$C$7,1,0),0)</f>
        <v/>
      </c>
      <c r="AT548">
        <f>IF(AND(K548&lt;&gt;"",'Historical Score'!$C$8&lt;&gt;""),IF(K548='Historical Score'!$C$8,1,0),0)</f>
        <v/>
      </c>
      <c r="AU548">
        <f>IF(AND(J548&lt;&gt;"",'Historical Score'!$C$9&lt;&gt;""),IF(J548='Historical Score'!$C$9,1,0),0)</f>
        <v/>
      </c>
      <c r="AV548">
        <f>AR548*AS548*AQ548</f>
        <v/>
      </c>
      <c r="AW548">
        <f>AR548*AT548*AQ548</f>
        <v/>
      </c>
      <c r="AX548">
        <f>AR548*AS548</f>
        <v/>
      </c>
      <c r="AY548">
        <f>AR548*AT548</f>
        <v/>
      </c>
      <c r="AZ548">
        <f>AR548*AQ548</f>
        <v/>
      </c>
      <c r="BA548">
        <f>AR548</f>
        <v/>
      </c>
      <c r="BB548">
        <f>1</f>
        <v/>
      </c>
      <c r="BC548">
        <f>IF(AV548=1,1,IF(AW548=1,2,IF(AX548=1,3,IF(AY548=1,4,IF(AZ548=1,5,IF(BA548=1,6,7))))))</f>
        <v/>
      </c>
      <c r="BD548">
        <f>IF(AD548=1,CHOOSE('Historical Score'!$C$29,AV548,AW548,AX548,AY548,AZ548,BA548,BB548),0)</f>
        <v/>
      </c>
      <c r="BE548">
        <f>IF(BD548=1,COUNTIF($BD$2:BD548,1),"")</f>
        <v/>
      </c>
    </row>
    <row r="549">
      <c r="A549" t="inlineStr">
        <is>
          <t>5674176799</t>
        </is>
      </c>
      <c r="B549" t="inlineStr">
        <is>
          <t>ONELLA HOME CARE LLC</t>
        </is>
      </c>
      <c r="C549" t="inlineStr">
        <is>
          <t>ONELLA HOME CARE LLC</t>
        </is>
      </c>
      <c r="D549" t="inlineStr">
        <is>
          <t>Legal</t>
        </is>
      </c>
      <c r="E549" s="297" t="n">
        <v>46042</v>
      </c>
      <c r="F549" s="297" t="n">
        <v>46091</v>
      </c>
      <c r="G549" t="n">
        <v>1</v>
      </c>
      <c r="H549" t="inlineStr">
        <is>
          <t>8082</t>
        </is>
      </c>
      <c r="I549" t="inlineStr">
        <is>
          <t>80</t>
        </is>
      </c>
      <c r="J549" t="inlineStr">
        <is>
          <t>TX</t>
        </is>
      </c>
      <c r="K549" t="inlineStr">
        <is>
          <t>United Secured Capital 8</t>
        </is>
      </c>
      <c r="L549" t="inlineStr">
        <is>
          <t>New Deal</t>
        </is>
      </c>
      <c r="M549" s="298" t="n">
        <v>1.49</v>
      </c>
      <c r="N549" s="299" t="n">
        <v>10000</v>
      </c>
      <c r="O549" s="299" t="n">
        <v>1400</v>
      </c>
      <c r="P549" s="299" t="n">
        <v>14900</v>
      </c>
      <c r="Q549" s="299" t="n">
        <v>3806.96</v>
      </c>
      <c r="R549" s="299" t="n">
        <v>11093.04</v>
      </c>
      <c r="S549" s="300" t="n">
        <v>0.25550067114094</v>
      </c>
      <c r="T549" t="n">
        <v>2.951</v>
      </c>
      <c r="U549" t="n">
        <v>12</v>
      </c>
      <c r="V549" t="n">
        <v>19571.08</v>
      </c>
      <c r="W549" s="300" t="n">
        <v>0.1776</v>
      </c>
      <c r="X549" s="297" t="n"/>
      <c r="Y549">
        <f>IF(I549="","No SIC",IFERROR(VLOOKUP(I549,Ref!$A$2:$B$65,2,FALSE),"Unclassified"))</f>
        <v/>
      </c>
      <c r="Z549">
        <f>IF(T549="","",IF(T549&lt;12,"Daily","Weekly"))</f>
        <v/>
      </c>
      <c r="AA549">
        <f>IF(T549="",0,IF(T549&lt;12,T549*Controls!$B$29,T549*5))</f>
        <v/>
      </c>
      <c r="AB549">
        <f>IF(E549="",0,NETWORKDAYS(E549,Controls!$B$36,Ref!$K$2:$K$42))</f>
        <v/>
      </c>
      <c r="AC549">
        <f>IF(AND(AA549&gt;0,AB549&gt;=Controls!$B$39*AA549),1,0)</f>
        <v/>
      </c>
      <c r="AD549">
        <f>IF(AND(E549&lt;&gt;"",E549&gt;=Controls!$B$37,E549&lt;=Controls!$B$38),1,0)</f>
        <v/>
      </c>
      <c r="AE549">
        <f>IF(IFERROR(VLOOKUP(D549,Controls!$A$64:$E$74,2,FALSE),"No")="Yes",1,0)</f>
        <v/>
      </c>
      <c r="AF549">
        <f>IF(IFERROR(VLOOKUP(D549,Controls!$A$64:$E$74,3,FALSE),"No")="Yes",1,0)</f>
        <v/>
      </c>
      <c r="AG549">
        <f>IF(IFERROR(VLOOKUP(D549,Controls!$A$64:$E$74,4,FALSE),"No")="Yes",1,0)</f>
        <v/>
      </c>
      <c r="AH549">
        <f>IF(IFERROR(VLOOKUP(D549,Controls!$A$64:$E$74,5,FALSE),"No")="Yes",1,0)</f>
        <v/>
      </c>
      <c r="AI549">
        <f>IF(ISNUMBER(MATCH(D549,Controls!$A$64:$A$74,0)),1,0)</f>
        <v/>
      </c>
      <c r="AJ549">
        <f>Q549-N549</f>
        <v/>
      </c>
      <c r="AK549">
        <f>IF(AE549=1,MAX(0,N549-Q549),0)</f>
        <v/>
      </c>
      <c r="AL549">
        <f>IF(OR(V549="",V549=0),0,N549/V549)</f>
        <v/>
      </c>
      <c r="AM549">
        <f>IF(OR(V549="",V549=0),0,1)</f>
        <v/>
      </c>
      <c r="AN549">
        <f>IF(OR(E549="",F549=""),0,NETWORKDAYS(E549,F549,Ref!$K$2:$K$42))</f>
        <v/>
      </c>
      <c r="AO549">
        <f>IF(L549="Renewal",1,0)</f>
        <v/>
      </c>
      <c r="AP549">
        <f>AC549*AD549</f>
        <v/>
      </c>
      <c r="AQ549">
        <f>IF(AND(G549&lt;&gt;"",'Historical Score'!$C$6&lt;&gt;""),IF(G549='Historical Score'!$C$6,1,0),0)</f>
        <v/>
      </c>
      <c r="AR549">
        <f>IF(AND(L549&lt;&gt;"",'Historical Score'!$C$5&lt;&gt;""),IF(L549='Historical Score'!$C$5,1,0),0)</f>
        <v/>
      </c>
      <c r="AS549">
        <f>IF(AND(Y549&lt;&gt;"",'Historical Score'!$C$7&lt;&gt;""),IF(Y549='Historical Score'!$C$7,1,0),0)</f>
        <v/>
      </c>
      <c r="AT549">
        <f>IF(AND(K549&lt;&gt;"",'Historical Score'!$C$8&lt;&gt;""),IF(K549='Historical Score'!$C$8,1,0),0)</f>
        <v/>
      </c>
      <c r="AU549">
        <f>IF(AND(J549&lt;&gt;"",'Historical Score'!$C$9&lt;&gt;""),IF(J549='Historical Score'!$C$9,1,0),0)</f>
        <v/>
      </c>
      <c r="AV549">
        <f>AR549*AS549*AQ549</f>
        <v/>
      </c>
      <c r="AW549">
        <f>AR549*AT549*AQ549</f>
        <v/>
      </c>
      <c r="AX549">
        <f>AR549*AS549</f>
        <v/>
      </c>
      <c r="AY549">
        <f>AR549*AT549</f>
        <v/>
      </c>
      <c r="AZ549">
        <f>AR549*AQ549</f>
        <v/>
      </c>
      <c r="BA549">
        <f>AR549</f>
        <v/>
      </c>
      <c r="BB549">
        <f>1</f>
        <v/>
      </c>
      <c r="BC549">
        <f>IF(AV549=1,1,IF(AW549=1,2,IF(AX549=1,3,IF(AY549=1,4,IF(AZ549=1,5,IF(BA549=1,6,7))))))</f>
        <v/>
      </c>
      <c r="BD549">
        <f>IF(AD549=1,CHOOSE('Historical Score'!$C$29,AV549,AW549,AX549,AY549,AZ549,BA549,BB549),0)</f>
        <v/>
      </c>
      <c r="BE549">
        <f>IF(BD549=1,COUNTIF($BD$2:BD549,1),"")</f>
        <v/>
      </c>
    </row>
    <row r="550">
      <c r="A550" t="inlineStr">
        <is>
          <t>5674176820</t>
        </is>
      </c>
      <c r="B550" t="inlineStr">
        <is>
          <t>Starter Cars</t>
        </is>
      </c>
      <c r="C550" t="inlineStr">
        <is>
          <t>SCOTT R DEGOL</t>
        </is>
      </c>
      <c r="D550" t="inlineStr">
        <is>
          <t>Open</t>
        </is>
      </c>
      <c r="E550" s="297" t="n">
        <v>46042</v>
      </c>
      <c r="F550" s="297" t="n">
        <v>46247</v>
      </c>
      <c r="G550" t="n">
        <v>1</v>
      </c>
      <c r="H550" t="inlineStr">
        <is>
          <t>5511</t>
        </is>
      </c>
      <c r="I550" t="inlineStr">
        <is>
          <t>55</t>
        </is>
      </c>
      <c r="J550" t="inlineStr">
        <is>
          <t>No state</t>
        </is>
      </c>
      <c r="K550" t="inlineStr">
        <is>
          <t>PMF</t>
        </is>
      </c>
      <c r="L550" t="inlineStr">
        <is>
          <t>New Deal</t>
        </is>
      </c>
      <c r="M550" s="298" t="n">
        <v>1.4</v>
      </c>
      <c r="N550" s="299" t="n">
        <v>100000</v>
      </c>
      <c r="O550" s="299" t="n">
        <v>8500</v>
      </c>
      <c r="P550" s="299" t="n">
        <v>140000</v>
      </c>
      <c r="Q550" s="299" t="n">
        <v>115432.24</v>
      </c>
      <c r="R550" s="299" t="n">
        <v>24567.76</v>
      </c>
      <c r="S550" s="300" t="n">
        <v>0.824516</v>
      </c>
      <c r="T550" t="n">
        <v>34</v>
      </c>
      <c r="U550" t="n">
        <v>0</v>
      </c>
      <c r="V550" t="n">
        <v>596441.6</v>
      </c>
      <c r="W550" s="300" t="n">
        <v>0.032</v>
      </c>
      <c r="X550" s="297" t="n">
        <v>40522</v>
      </c>
      <c r="Y550">
        <f>IF(I550="","No SIC",IFERROR(VLOOKUP(I550,Ref!$A$2:$B$65,2,FALSE),"Unclassified"))</f>
        <v/>
      </c>
      <c r="Z550">
        <f>IF(T550="","",IF(T550&lt;12,"Daily","Weekly"))</f>
        <v/>
      </c>
      <c r="AA550">
        <f>IF(T550="",0,IF(T550&lt;12,T550*Controls!$B$29,T550*5))</f>
        <v/>
      </c>
      <c r="AB550">
        <f>IF(E550="",0,NETWORKDAYS(E550,Controls!$B$36,Ref!$K$2:$K$42))</f>
        <v/>
      </c>
      <c r="AC550">
        <f>IF(AND(AA550&gt;0,AB550&gt;=Controls!$B$39*AA550),1,0)</f>
        <v/>
      </c>
      <c r="AD550">
        <f>IF(AND(E550&lt;&gt;"",E550&gt;=Controls!$B$37,E550&lt;=Controls!$B$38),1,0)</f>
        <v/>
      </c>
      <c r="AE550">
        <f>IF(IFERROR(VLOOKUP(D550,Controls!$A$64:$E$74,2,FALSE),"No")="Yes",1,0)</f>
        <v/>
      </c>
      <c r="AF550">
        <f>IF(IFERROR(VLOOKUP(D550,Controls!$A$64:$E$74,3,FALSE),"No")="Yes",1,0)</f>
        <v/>
      </c>
      <c r="AG550">
        <f>IF(IFERROR(VLOOKUP(D550,Controls!$A$64:$E$74,4,FALSE),"No")="Yes",1,0)</f>
        <v/>
      </c>
      <c r="AH550">
        <f>IF(IFERROR(VLOOKUP(D550,Controls!$A$64:$E$74,5,FALSE),"No")="Yes",1,0)</f>
        <v/>
      </c>
      <c r="AI550">
        <f>IF(ISNUMBER(MATCH(D550,Controls!$A$64:$A$74,0)),1,0)</f>
        <v/>
      </c>
      <c r="AJ550">
        <f>Q550-N550</f>
        <v/>
      </c>
      <c r="AK550">
        <f>IF(AE550=1,MAX(0,N550-Q550),0)</f>
        <v/>
      </c>
      <c r="AL550">
        <f>IF(OR(V550="",V550=0),0,N550/V550)</f>
        <v/>
      </c>
      <c r="AM550">
        <f>IF(OR(V550="",V550=0),0,1)</f>
        <v/>
      </c>
      <c r="AN550">
        <f>IF(OR(E550="",F550=""),0,NETWORKDAYS(E550,F550,Ref!$K$2:$K$42))</f>
        <v/>
      </c>
      <c r="AO550">
        <f>IF(L550="Renewal",1,0)</f>
        <v/>
      </c>
      <c r="AP550">
        <f>AC550*AD550</f>
        <v/>
      </c>
      <c r="AQ550">
        <f>IF(AND(G550&lt;&gt;"",'Historical Score'!$C$6&lt;&gt;""),IF(G550='Historical Score'!$C$6,1,0),0)</f>
        <v/>
      </c>
      <c r="AR550">
        <f>IF(AND(L550&lt;&gt;"",'Historical Score'!$C$5&lt;&gt;""),IF(L550='Historical Score'!$C$5,1,0),0)</f>
        <v/>
      </c>
      <c r="AS550">
        <f>IF(AND(Y550&lt;&gt;"",'Historical Score'!$C$7&lt;&gt;""),IF(Y550='Historical Score'!$C$7,1,0),0)</f>
        <v/>
      </c>
      <c r="AT550">
        <f>IF(AND(K550&lt;&gt;"",'Historical Score'!$C$8&lt;&gt;""),IF(K550='Historical Score'!$C$8,1,0),0)</f>
        <v/>
      </c>
      <c r="AU550">
        <f>IF(AND(J550&lt;&gt;"",'Historical Score'!$C$9&lt;&gt;""),IF(J550='Historical Score'!$C$9,1,0),0)</f>
        <v/>
      </c>
      <c r="AV550">
        <f>AR550*AS550*AQ550</f>
        <v/>
      </c>
      <c r="AW550">
        <f>AR550*AT550*AQ550</f>
        <v/>
      </c>
      <c r="AX550">
        <f>AR550*AS550</f>
        <v/>
      </c>
      <c r="AY550">
        <f>AR550*AT550</f>
        <v/>
      </c>
      <c r="AZ550">
        <f>AR550*AQ550</f>
        <v/>
      </c>
      <c r="BA550">
        <f>AR550</f>
        <v/>
      </c>
      <c r="BB550">
        <f>1</f>
        <v/>
      </c>
      <c r="BC550">
        <f>IF(AV550=1,1,IF(AW550=1,2,IF(AX550=1,3,IF(AY550=1,4,IF(AZ550=1,5,IF(BA550=1,6,7))))))</f>
        <v/>
      </c>
      <c r="BD550">
        <f>IF(AD550=1,CHOOSE('Historical Score'!$C$29,AV550,AW550,AX550,AY550,AZ550,BA550,BB550),0)</f>
        <v/>
      </c>
      <c r="BE550">
        <f>IF(BD550=1,COUNTIF($BD$2:BD550,1),"")</f>
        <v/>
      </c>
    </row>
    <row r="551">
      <c r="A551" t="inlineStr">
        <is>
          <t>5674176864</t>
        </is>
      </c>
      <c r="B551" t="inlineStr">
        <is>
          <t>National Food Equipment LLC</t>
        </is>
      </c>
      <c r="C551" t="inlineStr">
        <is>
          <t>National Food Equipment LLC</t>
        </is>
      </c>
      <c r="D551" t="inlineStr">
        <is>
          <t>Closed</t>
        </is>
      </c>
      <c r="E551" s="297" t="n">
        <v>46043</v>
      </c>
      <c r="F551" s="297" t="n">
        <v>46122</v>
      </c>
      <c r="G551" t="n">
        <v>2</v>
      </c>
      <c r="H551" t="inlineStr">
        <is>
          <t>5812</t>
        </is>
      </c>
      <c r="I551" t="inlineStr">
        <is>
          <t>58</t>
        </is>
      </c>
      <c r="J551" t="inlineStr">
        <is>
          <t>CA</t>
        </is>
      </c>
      <c r="K551" t="inlineStr">
        <is>
          <t>AVON ADVANCE</t>
        </is>
      </c>
      <c r="L551" t="inlineStr">
        <is>
          <t>New Deal</t>
        </is>
      </c>
      <c r="M551" s="298" t="n">
        <v>1.49</v>
      </c>
      <c r="N551" s="299" t="n">
        <v>7000</v>
      </c>
      <c r="O551" s="299" t="n">
        <v>980</v>
      </c>
      <c r="P551" s="299" t="n">
        <v>10430</v>
      </c>
      <c r="Q551" s="299" t="n">
        <v>10430</v>
      </c>
      <c r="R551" s="299" t="n">
        <v>0</v>
      </c>
      <c r="S551" s="300" t="n">
        <v>1</v>
      </c>
      <c r="T551" t="n">
        <v>2.131</v>
      </c>
      <c r="U551" t="n">
        <v>1</v>
      </c>
      <c r="V551" t="n">
        <v>25605.71</v>
      </c>
      <c r="W551" s="300" t="n">
        <v>0.1316</v>
      </c>
      <c r="X551" s="297" t="n">
        <v>42370</v>
      </c>
      <c r="Y551">
        <f>IF(I551="","No SIC",IFERROR(VLOOKUP(I551,Ref!$A$2:$B$65,2,FALSE),"Unclassified"))</f>
        <v/>
      </c>
      <c r="Z551">
        <f>IF(T551="","",IF(T551&lt;12,"Daily","Weekly"))</f>
        <v/>
      </c>
      <c r="AA551">
        <f>IF(T551="",0,IF(T551&lt;12,T551*Controls!$B$29,T551*5))</f>
        <v/>
      </c>
      <c r="AB551">
        <f>IF(E551="",0,NETWORKDAYS(E551,Controls!$B$36,Ref!$K$2:$K$42))</f>
        <v/>
      </c>
      <c r="AC551">
        <f>IF(AND(AA551&gt;0,AB551&gt;=Controls!$B$39*AA551),1,0)</f>
        <v/>
      </c>
      <c r="AD551">
        <f>IF(AND(E551&lt;&gt;"",E551&gt;=Controls!$B$37,E551&lt;=Controls!$B$38),1,0)</f>
        <v/>
      </c>
      <c r="AE551">
        <f>IF(IFERROR(VLOOKUP(D551,Controls!$A$64:$E$74,2,FALSE),"No")="Yes",1,0)</f>
        <v/>
      </c>
      <c r="AF551">
        <f>IF(IFERROR(VLOOKUP(D551,Controls!$A$64:$E$74,3,FALSE),"No")="Yes",1,0)</f>
        <v/>
      </c>
      <c r="AG551">
        <f>IF(IFERROR(VLOOKUP(D551,Controls!$A$64:$E$74,4,FALSE),"No")="Yes",1,0)</f>
        <v/>
      </c>
      <c r="AH551">
        <f>IF(IFERROR(VLOOKUP(D551,Controls!$A$64:$E$74,5,FALSE),"No")="Yes",1,0)</f>
        <v/>
      </c>
      <c r="AI551">
        <f>IF(ISNUMBER(MATCH(D551,Controls!$A$64:$A$74,0)),1,0)</f>
        <v/>
      </c>
      <c r="AJ551">
        <f>Q551-N551</f>
        <v/>
      </c>
      <c r="AK551">
        <f>IF(AE551=1,MAX(0,N551-Q551),0)</f>
        <v/>
      </c>
      <c r="AL551">
        <f>IF(OR(V551="",V551=0),0,N551/V551)</f>
        <v/>
      </c>
      <c r="AM551">
        <f>IF(OR(V551="",V551=0),0,1)</f>
        <v/>
      </c>
      <c r="AN551">
        <f>IF(OR(E551="",F551=""),0,NETWORKDAYS(E551,F551,Ref!$K$2:$K$42))</f>
        <v/>
      </c>
      <c r="AO551">
        <f>IF(L551="Renewal",1,0)</f>
        <v/>
      </c>
      <c r="AP551">
        <f>AC551*AD551</f>
        <v/>
      </c>
      <c r="AQ551">
        <f>IF(AND(G551&lt;&gt;"",'Historical Score'!$C$6&lt;&gt;""),IF(G551='Historical Score'!$C$6,1,0),0)</f>
        <v/>
      </c>
      <c r="AR551">
        <f>IF(AND(L551&lt;&gt;"",'Historical Score'!$C$5&lt;&gt;""),IF(L551='Historical Score'!$C$5,1,0),0)</f>
        <v/>
      </c>
      <c r="AS551">
        <f>IF(AND(Y551&lt;&gt;"",'Historical Score'!$C$7&lt;&gt;""),IF(Y551='Historical Score'!$C$7,1,0),0)</f>
        <v/>
      </c>
      <c r="AT551">
        <f>IF(AND(K551&lt;&gt;"",'Historical Score'!$C$8&lt;&gt;""),IF(K551='Historical Score'!$C$8,1,0),0)</f>
        <v/>
      </c>
      <c r="AU551">
        <f>IF(AND(J551&lt;&gt;"",'Historical Score'!$C$9&lt;&gt;""),IF(J551='Historical Score'!$C$9,1,0),0)</f>
        <v/>
      </c>
      <c r="AV551">
        <f>AR551*AS551*AQ551</f>
        <v/>
      </c>
      <c r="AW551">
        <f>AR551*AT551*AQ551</f>
        <v/>
      </c>
      <c r="AX551">
        <f>AR551*AS551</f>
        <v/>
      </c>
      <c r="AY551">
        <f>AR551*AT551</f>
        <v/>
      </c>
      <c r="AZ551">
        <f>AR551*AQ551</f>
        <v/>
      </c>
      <c r="BA551">
        <f>AR551</f>
        <v/>
      </c>
      <c r="BB551">
        <f>1</f>
        <v/>
      </c>
      <c r="BC551">
        <f>IF(AV551=1,1,IF(AW551=1,2,IF(AX551=1,3,IF(AY551=1,4,IF(AZ551=1,5,IF(BA551=1,6,7))))))</f>
        <v/>
      </c>
      <c r="BD551">
        <f>IF(AD551=1,CHOOSE('Historical Score'!$C$29,AV551,AW551,AX551,AY551,AZ551,BA551,BB551),0)</f>
        <v/>
      </c>
      <c r="BE551">
        <f>IF(BD551=1,COUNTIF($BD$2:BD551,1),"")</f>
        <v/>
      </c>
    </row>
    <row r="552">
      <c r="A552" t="inlineStr">
        <is>
          <t>5674176899</t>
        </is>
      </c>
      <c r="B552" t="inlineStr">
        <is>
          <t>EMPIRE DENTAL SUPPLIES &amp; SERVICE</t>
        </is>
      </c>
      <c r="C552" t="inlineStr">
        <is>
          <t>EMPIRE DENTAL SUPPLIES &amp; SERVICE</t>
        </is>
      </c>
      <c r="D552" t="inlineStr">
        <is>
          <t>Legal</t>
        </is>
      </c>
      <c r="E552" s="297" t="n">
        <v>46043</v>
      </c>
      <c r="F552" s="297" t="n">
        <v>46233</v>
      </c>
      <c r="G552" t="n">
        <v>1</v>
      </c>
      <c r="H552" t="inlineStr">
        <is>
          <t>8021</t>
        </is>
      </c>
      <c r="I552" t="inlineStr">
        <is>
          <t>80</t>
        </is>
      </c>
      <c r="J552" t="inlineStr">
        <is>
          <t>CA</t>
        </is>
      </c>
      <c r="K552" t="inlineStr">
        <is>
          <t>Fundwell</t>
        </is>
      </c>
      <c r="L552" t="inlineStr">
        <is>
          <t>Renewal</t>
        </is>
      </c>
      <c r="M552" s="298" t="n">
        <v>1.4</v>
      </c>
      <c r="N552" s="299" t="n">
        <v>35000</v>
      </c>
      <c r="O552" s="299" t="n">
        <v>4550</v>
      </c>
      <c r="P552" s="299" t="n">
        <v>49000</v>
      </c>
      <c r="Q552" s="299" t="n">
        <v>14241.96</v>
      </c>
      <c r="R552" s="299" t="n">
        <v>34758.04</v>
      </c>
      <c r="S552" s="300" t="n">
        <v>0.290652244897959</v>
      </c>
      <c r="T552" t="n">
        <v>3.279</v>
      </c>
      <c r="U552" t="n">
        <v>8</v>
      </c>
      <c r="V552" t="n">
        <v>138102.73</v>
      </c>
      <c r="W552" s="300" t="n">
        <v>0.0752</v>
      </c>
      <c r="X552" s="297" t="n"/>
      <c r="Y552">
        <f>IF(I552="","No SIC",IFERROR(VLOOKUP(I552,Ref!$A$2:$B$65,2,FALSE),"Unclassified"))</f>
        <v/>
      </c>
      <c r="Z552">
        <f>IF(T552="","",IF(T552&lt;12,"Daily","Weekly"))</f>
        <v/>
      </c>
      <c r="AA552">
        <f>IF(T552="",0,IF(T552&lt;12,T552*Controls!$B$29,T552*5))</f>
        <v/>
      </c>
      <c r="AB552">
        <f>IF(E552="",0,NETWORKDAYS(E552,Controls!$B$36,Ref!$K$2:$K$42))</f>
        <v/>
      </c>
      <c r="AC552">
        <f>IF(AND(AA552&gt;0,AB552&gt;=Controls!$B$39*AA552),1,0)</f>
        <v/>
      </c>
      <c r="AD552">
        <f>IF(AND(E552&lt;&gt;"",E552&gt;=Controls!$B$37,E552&lt;=Controls!$B$38),1,0)</f>
        <v/>
      </c>
      <c r="AE552">
        <f>IF(IFERROR(VLOOKUP(D552,Controls!$A$64:$E$74,2,FALSE),"No")="Yes",1,0)</f>
        <v/>
      </c>
      <c r="AF552">
        <f>IF(IFERROR(VLOOKUP(D552,Controls!$A$64:$E$74,3,FALSE),"No")="Yes",1,0)</f>
        <v/>
      </c>
      <c r="AG552">
        <f>IF(IFERROR(VLOOKUP(D552,Controls!$A$64:$E$74,4,FALSE),"No")="Yes",1,0)</f>
        <v/>
      </c>
      <c r="AH552">
        <f>IF(IFERROR(VLOOKUP(D552,Controls!$A$64:$E$74,5,FALSE),"No")="Yes",1,0)</f>
        <v/>
      </c>
      <c r="AI552">
        <f>IF(ISNUMBER(MATCH(D552,Controls!$A$64:$A$74,0)),1,0)</f>
        <v/>
      </c>
      <c r="AJ552">
        <f>Q552-N552</f>
        <v/>
      </c>
      <c r="AK552">
        <f>IF(AE552=1,MAX(0,N552-Q552),0)</f>
        <v/>
      </c>
      <c r="AL552">
        <f>IF(OR(V552="",V552=0),0,N552/V552)</f>
        <v/>
      </c>
      <c r="AM552">
        <f>IF(OR(V552="",V552=0),0,1)</f>
        <v/>
      </c>
      <c r="AN552">
        <f>IF(OR(E552="",F552=""),0,NETWORKDAYS(E552,F552,Ref!$K$2:$K$42))</f>
        <v/>
      </c>
      <c r="AO552">
        <f>IF(L552="Renewal",1,0)</f>
        <v/>
      </c>
      <c r="AP552">
        <f>AC552*AD552</f>
        <v/>
      </c>
      <c r="AQ552">
        <f>IF(AND(G552&lt;&gt;"",'Historical Score'!$C$6&lt;&gt;""),IF(G552='Historical Score'!$C$6,1,0),0)</f>
        <v/>
      </c>
      <c r="AR552">
        <f>IF(AND(L552&lt;&gt;"",'Historical Score'!$C$5&lt;&gt;""),IF(L552='Historical Score'!$C$5,1,0),0)</f>
        <v/>
      </c>
      <c r="AS552">
        <f>IF(AND(Y552&lt;&gt;"",'Historical Score'!$C$7&lt;&gt;""),IF(Y552='Historical Score'!$C$7,1,0),0)</f>
        <v/>
      </c>
      <c r="AT552">
        <f>IF(AND(K552&lt;&gt;"",'Historical Score'!$C$8&lt;&gt;""),IF(K552='Historical Score'!$C$8,1,0),0)</f>
        <v/>
      </c>
      <c r="AU552">
        <f>IF(AND(J552&lt;&gt;"",'Historical Score'!$C$9&lt;&gt;""),IF(J552='Historical Score'!$C$9,1,0),0)</f>
        <v/>
      </c>
      <c r="AV552">
        <f>AR552*AS552*AQ552</f>
        <v/>
      </c>
      <c r="AW552">
        <f>AR552*AT552*AQ552</f>
        <v/>
      </c>
      <c r="AX552">
        <f>AR552*AS552</f>
        <v/>
      </c>
      <c r="AY552">
        <f>AR552*AT552</f>
        <v/>
      </c>
      <c r="AZ552">
        <f>AR552*AQ552</f>
        <v/>
      </c>
      <c r="BA552">
        <f>AR552</f>
        <v/>
      </c>
      <c r="BB552">
        <f>1</f>
        <v/>
      </c>
      <c r="BC552">
        <f>IF(AV552=1,1,IF(AW552=1,2,IF(AX552=1,3,IF(AY552=1,4,IF(AZ552=1,5,IF(BA552=1,6,7))))))</f>
        <v/>
      </c>
      <c r="BD552">
        <f>IF(AD552=1,CHOOSE('Historical Score'!$C$29,AV552,AW552,AX552,AY552,AZ552,BA552,BB552),0)</f>
        <v/>
      </c>
      <c r="BE552">
        <f>IF(BD552=1,COUNTIF($BD$2:BD552,1),"")</f>
        <v/>
      </c>
    </row>
    <row r="553">
      <c r="A553" t="inlineStr">
        <is>
          <t>5674176909</t>
        </is>
      </c>
      <c r="B553" t="inlineStr">
        <is>
          <t>Das Contractors</t>
        </is>
      </c>
      <c r="C553" t="inlineStr">
        <is>
          <t>Das Contractors</t>
        </is>
      </c>
      <c r="D553" t="inlineStr">
        <is>
          <t>Legal</t>
        </is>
      </c>
      <c r="E553" s="297" t="n">
        <v>46043</v>
      </c>
      <c r="F553" s="297" t="n">
        <v>46073</v>
      </c>
      <c r="G553" t="n">
        <v>3</v>
      </c>
      <c r="H553" t="inlineStr">
        <is>
          <t>1521</t>
        </is>
      </c>
      <c r="I553" t="inlineStr">
        <is>
          <t>15</t>
        </is>
      </c>
      <c r="J553" t="inlineStr">
        <is>
          <t>TX</t>
        </is>
      </c>
      <c r="K553" t="inlineStr">
        <is>
          <t>PMF</t>
        </is>
      </c>
      <c r="L553" t="inlineStr">
        <is>
          <t>New Deal</t>
        </is>
      </c>
      <c r="M553" s="298" t="n">
        <v>1.45</v>
      </c>
      <c r="N553" s="299" t="n">
        <v>30000</v>
      </c>
      <c r="O553" s="299" t="n">
        <v>0</v>
      </c>
      <c r="P553" s="299" t="n">
        <v>43500</v>
      </c>
      <c r="Q553" s="299" t="n">
        <v>6691.16</v>
      </c>
      <c r="R553" s="299" t="n">
        <v>36808.84</v>
      </c>
      <c r="S553" s="300" t="n">
        <v>0.153819770114943</v>
      </c>
      <c r="T553" t="n">
        <v>26</v>
      </c>
      <c r="U553" t="n">
        <v>1</v>
      </c>
      <c r="V553" t="n">
        <v>106887.32</v>
      </c>
      <c r="W553" s="300" t="n">
        <v>0.0626</v>
      </c>
      <c r="X553" s="297" t="n">
        <v>42095</v>
      </c>
      <c r="Y553">
        <f>IF(I553="","No SIC",IFERROR(VLOOKUP(I553,Ref!$A$2:$B$65,2,FALSE),"Unclassified"))</f>
        <v/>
      </c>
      <c r="Z553">
        <f>IF(T553="","",IF(T553&lt;12,"Daily","Weekly"))</f>
        <v/>
      </c>
      <c r="AA553">
        <f>IF(T553="",0,IF(T553&lt;12,T553*Controls!$B$29,T553*5))</f>
        <v/>
      </c>
      <c r="AB553">
        <f>IF(E553="",0,NETWORKDAYS(E553,Controls!$B$36,Ref!$K$2:$K$42))</f>
        <v/>
      </c>
      <c r="AC553">
        <f>IF(AND(AA553&gt;0,AB553&gt;=Controls!$B$39*AA553),1,0)</f>
        <v/>
      </c>
      <c r="AD553">
        <f>IF(AND(E553&lt;&gt;"",E553&gt;=Controls!$B$37,E553&lt;=Controls!$B$38),1,0)</f>
        <v/>
      </c>
      <c r="AE553">
        <f>IF(IFERROR(VLOOKUP(D553,Controls!$A$64:$E$74,2,FALSE),"No")="Yes",1,0)</f>
        <v/>
      </c>
      <c r="AF553">
        <f>IF(IFERROR(VLOOKUP(D553,Controls!$A$64:$E$74,3,FALSE),"No")="Yes",1,0)</f>
        <v/>
      </c>
      <c r="AG553">
        <f>IF(IFERROR(VLOOKUP(D553,Controls!$A$64:$E$74,4,FALSE),"No")="Yes",1,0)</f>
        <v/>
      </c>
      <c r="AH553">
        <f>IF(IFERROR(VLOOKUP(D553,Controls!$A$64:$E$74,5,FALSE),"No")="Yes",1,0)</f>
        <v/>
      </c>
      <c r="AI553">
        <f>IF(ISNUMBER(MATCH(D553,Controls!$A$64:$A$74,0)),1,0)</f>
        <v/>
      </c>
      <c r="AJ553">
        <f>Q553-N553</f>
        <v/>
      </c>
      <c r="AK553">
        <f>IF(AE553=1,MAX(0,N553-Q553),0)</f>
        <v/>
      </c>
      <c r="AL553">
        <f>IF(OR(V553="",V553=0),0,N553/V553)</f>
        <v/>
      </c>
      <c r="AM553">
        <f>IF(OR(V553="",V553=0),0,1)</f>
        <v/>
      </c>
      <c r="AN553">
        <f>IF(OR(E553="",F553=""),0,NETWORKDAYS(E553,F553,Ref!$K$2:$K$42))</f>
        <v/>
      </c>
      <c r="AO553">
        <f>IF(L553="Renewal",1,0)</f>
        <v/>
      </c>
      <c r="AP553">
        <f>AC553*AD553</f>
        <v/>
      </c>
      <c r="AQ553">
        <f>IF(AND(G553&lt;&gt;"",'Historical Score'!$C$6&lt;&gt;""),IF(G553='Historical Score'!$C$6,1,0),0)</f>
        <v/>
      </c>
      <c r="AR553">
        <f>IF(AND(L553&lt;&gt;"",'Historical Score'!$C$5&lt;&gt;""),IF(L553='Historical Score'!$C$5,1,0),0)</f>
        <v/>
      </c>
      <c r="AS553">
        <f>IF(AND(Y553&lt;&gt;"",'Historical Score'!$C$7&lt;&gt;""),IF(Y553='Historical Score'!$C$7,1,0),0)</f>
        <v/>
      </c>
      <c r="AT553">
        <f>IF(AND(K553&lt;&gt;"",'Historical Score'!$C$8&lt;&gt;""),IF(K553='Historical Score'!$C$8,1,0),0)</f>
        <v/>
      </c>
      <c r="AU553">
        <f>IF(AND(J553&lt;&gt;"",'Historical Score'!$C$9&lt;&gt;""),IF(J553='Historical Score'!$C$9,1,0),0)</f>
        <v/>
      </c>
      <c r="AV553">
        <f>AR553*AS553*AQ553</f>
        <v/>
      </c>
      <c r="AW553">
        <f>AR553*AT553*AQ553</f>
        <v/>
      </c>
      <c r="AX553">
        <f>AR553*AS553</f>
        <v/>
      </c>
      <c r="AY553">
        <f>AR553*AT553</f>
        <v/>
      </c>
      <c r="AZ553">
        <f>AR553*AQ553</f>
        <v/>
      </c>
      <c r="BA553">
        <f>AR553</f>
        <v/>
      </c>
      <c r="BB553">
        <f>1</f>
        <v/>
      </c>
      <c r="BC553">
        <f>IF(AV553=1,1,IF(AW553=1,2,IF(AX553=1,3,IF(AY553=1,4,IF(AZ553=1,5,IF(BA553=1,6,7))))))</f>
        <v/>
      </c>
      <c r="BD553">
        <f>IF(AD553=1,CHOOSE('Historical Score'!$C$29,AV553,AW553,AX553,AY553,AZ553,BA553,BB553),0)</f>
        <v/>
      </c>
      <c r="BE553">
        <f>IF(BD553=1,COUNTIF($BD$2:BD553,1),"")</f>
        <v/>
      </c>
    </row>
    <row r="554">
      <c r="A554" t="inlineStr">
        <is>
          <t>5674176973</t>
        </is>
      </c>
      <c r="B554" t="inlineStr">
        <is>
          <t>Shawnee Litigator Law</t>
        </is>
      </c>
      <c r="C554" t="inlineStr">
        <is>
          <t>Shelley L Levisay PLLC</t>
        </is>
      </c>
      <c r="D554" t="inlineStr">
        <is>
          <t>In House Collection</t>
        </is>
      </c>
      <c r="E554" s="297" t="n">
        <v>46044</v>
      </c>
      <c r="F554" s="297" t="n">
        <v>46142</v>
      </c>
      <c r="G554" t="n">
        <v>2</v>
      </c>
      <c r="H554" t="inlineStr">
        <is>
          <t>8111</t>
        </is>
      </c>
      <c r="I554" t="inlineStr">
        <is>
          <t>81</t>
        </is>
      </c>
      <c r="J554" t="inlineStr">
        <is>
          <t>OK</t>
        </is>
      </c>
      <c r="K554" t="inlineStr">
        <is>
          <t>Ballicci</t>
        </is>
      </c>
      <c r="L554" t="inlineStr">
        <is>
          <t>New Deal</t>
        </is>
      </c>
      <c r="M554" s="298" t="n">
        <v>1.49</v>
      </c>
      <c r="N554" s="299" t="n">
        <v>20000</v>
      </c>
      <c r="O554" s="299" t="n">
        <v>2800</v>
      </c>
      <c r="P554" s="299" t="n">
        <v>29800</v>
      </c>
      <c r="Q554" s="299" t="n">
        <v>4221.1</v>
      </c>
      <c r="R554" s="299" t="n">
        <v>25578.9</v>
      </c>
      <c r="S554" s="300" t="n">
        <v>0.141647651006711</v>
      </c>
      <c r="T554" t="n">
        <v>3.934</v>
      </c>
      <c r="U554" t="n">
        <v>7</v>
      </c>
      <c r="V554" t="n">
        <v>73234.22</v>
      </c>
      <c r="W554" s="300" t="n">
        <v>0.0712</v>
      </c>
      <c r="X554" s="297" t="n">
        <v>41921</v>
      </c>
      <c r="Y554">
        <f>IF(I554="","No SIC",IFERROR(VLOOKUP(I554,Ref!$A$2:$B$65,2,FALSE),"Unclassified"))</f>
        <v/>
      </c>
      <c r="Z554">
        <f>IF(T554="","",IF(T554&lt;12,"Daily","Weekly"))</f>
        <v/>
      </c>
      <c r="AA554">
        <f>IF(T554="",0,IF(T554&lt;12,T554*Controls!$B$29,T554*5))</f>
        <v/>
      </c>
      <c r="AB554">
        <f>IF(E554="",0,NETWORKDAYS(E554,Controls!$B$36,Ref!$K$2:$K$42))</f>
        <v/>
      </c>
      <c r="AC554">
        <f>IF(AND(AA554&gt;0,AB554&gt;=Controls!$B$39*AA554),1,0)</f>
        <v/>
      </c>
      <c r="AD554">
        <f>IF(AND(E554&lt;&gt;"",E554&gt;=Controls!$B$37,E554&lt;=Controls!$B$38),1,0)</f>
        <v/>
      </c>
      <c r="AE554">
        <f>IF(IFERROR(VLOOKUP(D554,Controls!$A$64:$E$74,2,FALSE),"No")="Yes",1,0)</f>
        <v/>
      </c>
      <c r="AF554">
        <f>IF(IFERROR(VLOOKUP(D554,Controls!$A$64:$E$74,3,FALSE),"No")="Yes",1,0)</f>
        <v/>
      </c>
      <c r="AG554">
        <f>IF(IFERROR(VLOOKUP(D554,Controls!$A$64:$E$74,4,FALSE),"No")="Yes",1,0)</f>
        <v/>
      </c>
      <c r="AH554">
        <f>IF(IFERROR(VLOOKUP(D554,Controls!$A$64:$E$74,5,FALSE),"No")="Yes",1,0)</f>
        <v/>
      </c>
      <c r="AI554">
        <f>IF(ISNUMBER(MATCH(D554,Controls!$A$64:$A$74,0)),1,0)</f>
        <v/>
      </c>
      <c r="AJ554">
        <f>Q554-N554</f>
        <v/>
      </c>
      <c r="AK554">
        <f>IF(AE554=1,MAX(0,N554-Q554),0)</f>
        <v/>
      </c>
      <c r="AL554">
        <f>IF(OR(V554="",V554=0),0,N554/V554)</f>
        <v/>
      </c>
      <c r="AM554">
        <f>IF(OR(V554="",V554=0),0,1)</f>
        <v/>
      </c>
      <c r="AN554">
        <f>IF(OR(E554="",F554=""),0,NETWORKDAYS(E554,F554,Ref!$K$2:$K$42))</f>
        <v/>
      </c>
      <c r="AO554">
        <f>IF(L554="Renewal",1,0)</f>
        <v/>
      </c>
      <c r="AP554">
        <f>AC554*AD554</f>
        <v/>
      </c>
      <c r="AQ554">
        <f>IF(AND(G554&lt;&gt;"",'Historical Score'!$C$6&lt;&gt;""),IF(G554='Historical Score'!$C$6,1,0),0)</f>
        <v/>
      </c>
      <c r="AR554">
        <f>IF(AND(L554&lt;&gt;"",'Historical Score'!$C$5&lt;&gt;""),IF(L554='Historical Score'!$C$5,1,0),0)</f>
        <v/>
      </c>
      <c r="AS554">
        <f>IF(AND(Y554&lt;&gt;"",'Historical Score'!$C$7&lt;&gt;""),IF(Y554='Historical Score'!$C$7,1,0),0)</f>
        <v/>
      </c>
      <c r="AT554">
        <f>IF(AND(K554&lt;&gt;"",'Historical Score'!$C$8&lt;&gt;""),IF(K554='Historical Score'!$C$8,1,0),0)</f>
        <v/>
      </c>
      <c r="AU554">
        <f>IF(AND(J554&lt;&gt;"",'Historical Score'!$C$9&lt;&gt;""),IF(J554='Historical Score'!$C$9,1,0),0)</f>
        <v/>
      </c>
      <c r="AV554">
        <f>AR554*AS554*AQ554</f>
        <v/>
      </c>
      <c r="AW554">
        <f>AR554*AT554*AQ554</f>
        <v/>
      </c>
      <c r="AX554">
        <f>AR554*AS554</f>
        <v/>
      </c>
      <c r="AY554">
        <f>AR554*AT554</f>
        <v/>
      </c>
      <c r="AZ554">
        <f>AR554*AQ554</f>
        <v/>
      </c>
      <c r="BA554">
        <f>AR554</f>
        <v/>
      </c>
      <c r="BB554">
        <f>1</f>
        <v/>
      </c>
      <c r="BC554">
        <f>IF(AV554=1,1,IF(AW554=1,2,IF(AX554=1,3,IF(AY554=1,4,IF(AZ554=1,5,IF(BA554=1,6,7))))))</f>
        <v/>
      </c>
      <c r="BD554">
        <f>IF(AD554=1,CHOOSE('Historical Score'!$C$29,AV554,AW554,AX554,AY554,AZ554,BA554,BB554),0)</f>
        <v/>
      </c>
      <c r="BE554">
        <f>IF(BD554=1,COUNTIF($BD$2:BD554,1),"")</f>
        <v/>
      </c>
    </row>
    <row r="555">
      <c r="A555" t="inlineStr">
        <is>
          <t>5674176997</t>
        </is>
      </c>
      <c r="B555" t="inlineStr">
        <is>
          <t>APPALACHIAN LANDSCAPING</t>
        </is>
      </c>
      <c r="C555" t="inlineStr">
        <is>
          <t>APPALACHIAN LANDSCAPING</t>
        </is>
      </c>
      <c r="D555" t="inlineStr">
        <is>
          <t>In House Collection</t>
        </is>
      </c>
      <c r="E555" s="297" t="n">
        <v>46044</v>
      </c>
      <c r="F555" s="297" t="n">
        <v>46240</v>
      </c>
      <c r="G555" t="n">
        <v>3</v>
      </c>
      <c r="H555" t="inlineStr">
        <is>
          <t>0781</t>
        </is>
      </c>
      <c r="I555" t="inlineStr">
        <is>
          <t>07</t>
        </is>
      </c>
      <c r="J555" t="inlineStr">
        <is>
          <t>TN</t>
        </is>
      </c>
      <c r="K555" t="inlineStr">
        <is>
          <t>PMF</t>
        </is>
      </c>
      <c r="L555" t="inlineStr">
        <is>
          <t>New Deal</t>
        </is>
      </c>
      <c r="M555" s="298" t="n">
        <v>1.42</v>
      </c>
      <c r="N555" s="299" t="n">
        <v>40000</v>
      </c>
      <c r="O555" s="299" t="n">
        <v>4200</v>
      </c>
      <c r="P555" s="299" t="n">
        <v>56800</v>
      </c>
      <c r="Q555" s="299" t="n">
        <v>19155.34</v>
      </c>
      <c r="R555" s="299" t="n">
        <v>37644.66</v>
      </c>
      <c r="S555" s="300" t="n">
        <v>0.337241901408451</v>
      </c>
      <c r="T555" t="n">
        <v>4.59</v>
      </c>
      <c r="U555" t="n">
        <v>22</v>
      </c>
      <c r="V555" t="n">
        <v>271905.48</v>
      </c>
      <c r="W555" s="300" t="n">
        <v>0.0852</v>
      </c>
      <c r="X555" s="297" t="n">
        <v>37377</v>
      </c>
      <c r="Y555">
        <f>IF(I555="","No SIC",IFERROR(VLOOKUP(I555,Ref!$A$2:$B$65,2,FALSE),"Unclassified"))</f>
        <v/>
      </c>
      <c r="Z555">
        <f>IF(T555="","",IF(T555&lt;12,"Daily","Weekly"))</f>
        <v/>
      </c>
      <c r="AA555">
        <f>IF(T555="",0,IF(T555&lt;12,T555*Controls!$B$29,T555*5))</f>
        <v/>
      </c>
      <c r="AB555">
        <f>IF(E555="",0,NETWORKDAYS(E555,Controls!$B$36,Ref!$K$2:$K$42))</f>
        <v/>
      </c>
      <c r="AC555">
        <f>IF(AND(AA555&gt;0,AB555&gt;=Controls!$B$39*AA555),1,0)</f>
        <v/>
      </c>
      <c r="AD555">
        <f>IF(AND(E555&lt;&gt;"",E555&gt;=Controls!$B$37,E555&lt;=Controls!$B$38),1,0)</f>
        <v/>
      </c>
      <c r="AE555">
        <f>IF(IFERROR(VLOOKUP(D555,Controls!$A$64:$E$74,2,FALSE),"No")="Yes",1,0)</f>
        <v/>
      </c>
      <c r="AF555">
        <f>IF(IFERROR(VLOOKUP(D555,Controls!$A$64:$E$74,3,FALSE),"No")="Yes",1,0)</f>
        <v/>
      </c>
      <c r="AG555">
        <f>IF(IFERROR(VLOOKUP(D555,Controls!$A$64:$E$74,4,FALSE),"No")="Yes",1,0)</f>
        <v/>
      </c>
      <c r="AH555">
        <f>IF(IFERROR(VLOOKUP(D555,Controls!$A$64:$E$74,5,FALSE),"No")="Yes",1,0)</f>
        <v/>
      </c>
      <c r="AI555">
        <f>IF(ISNUMBER(MATCH(D555,Controls!$A$64:$A$74,0)),1,0)</f>
        <v/>
      </c>
      <c r="AJ555">
        <f>Q555-N555</f>
        <v/>
      </c>
      <c r="AK555">
        <f>IF(AE555=1,MAX(0,N555-Q555),0)</f>
        <v/>
      </c>
      <c r="AL555">
        <f>IF(OR(V555="",V555=0),0,N555/V555)</f>
        <v/>
      </c>
      <c r="AM555">
        <f>IF(OR(V555="",V555=0),0,1)</f>
        <v/>
      </c>
      <c r="AN555">
        <f>IF(OR(E555="",F555=""),0,NETWORKDAYS(E555,F555,Ref!$K$2:$K$42))</f>
        <v/>
      </c>
      <c r="AO555">
        <f>IF(L555="Renewal",1,0)</f>
        <v/>
      </c>
      <c r="AP555">
        <f>AC555*AD555</f>
        <v/>
      </c>
      <c r="AQ555">
        <f>IF(AND(G555&lt;&gt;"",'Historical Score'!$C$6&lt;&gt;""),IF(G555='Historical Score'!$C$6,1,0),0)</f>
        <v/>
      </c>
      <c r="AR555">
        <f>IF(AND(L555&lt;&gt;"",'Historical Score'!$C$5&lt;&gt;""),IF(L555='Historical Score'!$C$5,1,0),0)</f>
        <v/>
      </c>
      <c r="AS555">
        <f>IF(AND(Y555&lt;&gt;"",'Historical Score'!$C$7&lt;&gt;""),IF(Y555='Historical Score'!$C$7,1,0),0)</f>
        <v/>
      </c>
      <c r="AT555">
        <f>IF(AND(K555&lt;&gt;"",'Historical Score'!$C$8&lt;&gt;""),IF(K555='Historical Score'!$C$8,1,0),0)</f>
        <v/>
      </c>
      <c r="AU555">
        <f>IF(AND(J555&lt;&gt;"",'Historical Score'!$C$9&lt;&gt;""),IF(J555='Historical Score'!$C$9,1,0),0)</f>
        <v/>
      </c>
      <c r="AV555">
        <f>AR555*AS555*AQ555</f>
        <v/>
      </c>
      <c r="AW555">
        <f>AR555*AT555*AQ555</f>
        <v/>
      </c>
      <c r="AX555">
        <f>AR555*AS555</f>
        <v/>
      </c>
      <c r="AY555">
        <f>AR555*AT555</f>
        <v/>
      </c>
      <c r="AZ555">
        <f>AR555*AQ555</f>
        <v/>
      </c>
      <c r="BA555">
        <f>AR555</f>
        <v/>
      </c>
      <c r="BB555">
        <f>1</f>
        <v/>
      </c>
      <c r="BC555">
        <f>IF(AV555=1,1,IF(AW555=1,2,IF(AX555=1,3,IF(AY555=1,4,IF(AZ555=1,5,IF(BA555=1,6,7))))))</f>
        <v/>
      </c>
      <c r="BD555">
        <f>IF(AD555=1,CHOOSE('Historical Score'!$C$29,AV555,AW555,AX555,AY555,AZ555,BA555,BB555),0)</f>
        <v/>
      </c>
      <c r="BE555">
        <f>IF(BD555=1,COUNTIF($BD$2:BD555,1),"")</f>
        <v/>
      </c>
    </row>
    <row r="556">
      <c r="A556" t="inlineStr">
        <is>
          <t>5674177004</t>
        </is>
      </c>
      <c r="B556" t="inlineStr">
        <is>
          <t>Summit Solar Solutions, LLC</t>
        </is>
      </c>
      <c r="C556" t="inlineStr">
        <is>
          <t>Summit Solar Solutions, LLC</t>
        </is>
      </c>
      <c r="D556" t="inlineStr">
        <is>
          <t>Legal</t>
        </is>
      </c>
      <c r="E556" s="297" t="n">
        <v>46044</v>
      </c>
      <c r="F556" s="297" t="n">
        <v>46205</v>
      </c>
      <c r="G556" t="n">
        <v>3</v>
      </c>
      <c r="H556" t="inlineStr">
        <is>
          <t>1711</t>
        </is>
      </c>
      <c r="I556" t="inlineStr">
        <is>
          <t>17</t>
        </is>
      </c>
      <c r="J556" t="inlineStr">
        <is>
          <t>MA</t>
        </is>
      </c>
      <c r="K556" t="inlineStr">
        <is>
          <t>PMF</t>
        </is>
      </c>
      <c r="L556" t="inlineStr">
        <is>
          <t>New Deal</t>
        </is>
      </c>
      <c r="M556" s="298" t="n">
        <v>1.43</v>
      </c>
      <c r="N556" s="299" t="n">
        <v>175000</v>
      </c>
      <c r="O556" s="299" t="n">
        <v>15750</v>
      </c>
      <c r="P556" s="299" t="n">
        <v>250250</v>
      </c>
      <c r="Q556" s="299" t="n">
        <v>51015.73</v>
      </c>
      <c r="R556" s="299" t="n">
        <v>199234.27</v>
      </c>
      <c r="S556" s="300" t="n">
        <v>0.203859060939061</v>
      </c>
      <c r="T556" t="n">
        <v>38</v>
      </c>
      <c r="U556" t="n">
        <v>3</v>
      </c>
      <c r="V556" t="n">
        <v>2347109.12</v>
      </c>
      <c r="W556" s="300" t="n">
        <v>0.0112</v>
      </c>
      <c r="X556" s="297" t="n">
        <v>42632</v>
      </c>
      <c r="Y556">
        <f>IF(I556="","No SIC",IFERROR(VLOOKUP(I556,Ref!$A$2:$B$65,2,FALSE),"Unclassified"))</f>
        <v/>
      </c>
      <c r="Z556">
        <f>IF(T556="","",IF(T556&lt;12,"Daily","Weekly"))</f>
        <v/>
      </c>
      <c r="AA556">
        <f>IF(T556="",0,IF(T556&lt;12,T556*Controls!$B$29,T556*5))</f>
        <v/>
      </c>
      <c r="AB556">
        <f>IF(E556="",0,NETWORKDAYS(E556,Controls!$B$36,Ref!$K$2:$K$42))</f>
        <v/>
      </c>
      <c r="AC556">
        <f>IF(AND(AA556&gt;0,AB556&gt;=Controls!$B$39*AA556),1,0)</f>
        <v/>
      </c>
      <c r="AD556">
        <f>IF(AND(E556&lt;&gt;"",E556&gt;=Controls!$B$37,E556&lt;=Controls!$B$38),1,0)</f>
        <v/>
      </c>
      <c r="AE556">
        <f>IF(IFERROR(VLOOKUP(D556,Controls!$A$64:$E$74,2,FALSE),"No")="Yes",1,0)</f>
        <v/>
      </c>
      <c r="AF556">
        <f>IF(IFERROR(VLOOKUP(D556,Controls!$A$64:$E$74,3,FALSE),"No")="Yes",1,0)</f>
        <v/>
      </c>
      <c r="AG556">
        <f>IF(IFERROR(VLOOKUP(D556,Controls!$A$64:$E$74,4,FALSE),"No")="Yes",1,0)</f>
        <v/>
      </c>
      <c r="AH556">
        <f>IF(IFERROR(VLOOKUP(D556,Controls!$A$64:$E$74,5,FALSE),"No")="Yes",1,0)</f>
        <v/>
      </c>
      <c r="AI556">
        <f>IF(ISNUMBER(MATCH(D556,Controls!$A$64:$A$74,0)),1,0)</f>
        <v/>
      </c>
      <c r="AJ556">
        <f>Q556-N556</f>
        <v/>
      </c>
      <c r="AK556">
        <f>IF(AE556=1,MAX(0,N556-Q556),0)</f>
        <v/>
      </c>
      <c r="AL556">
        <f>IF(OR(V556="",V556=0),0,N556/V556)</f>
        <v/>
      </c>
      <c r="AM556">
        <f>IF(OR(V556="",V556=0),0,1)</f>
        <v/>
      </c>
      <c r="AN556">
        <f>IF(OR(E556="",F556=""),0,NETWORKDAYS(E556,F556,Ref!$K$2:$K$42))</f>
        <v/>
      </c>
      <c r="AO556">
        <f>IF(L556="Renewal",1,0)</f>
        <v/>
      </c>
      <c r="AP556">
        <f>AC556*AD556</f>
        <v/>
      </c>
      <c r="AQ556">
        <f>IF(AND(G556&lt;&gt;"",'Historical Score'!$C$6&lt;&gt;""),IF(G556='Historical Score'!$C$6,1,0),0)</f>
        <v/>
      </c>
      <c r="AR556">
        <f>IF(AND(L556&lt;&gt;"",'Historical Score'!$C$5&lt;&gt;""),IF(L556='Historical Score'!$C$5,1,0),0)</f>
        <v/>
      </c>
      <c r="AS556">
        <f>IF(AND(Y556&lt;&gt;"",'Historical Score'!$C$7&lt;&gt;""),IF(Y556='Historical Score'!$C$7,1,0),0)</f>
        <v/>
      </c>
      <c r="AT556">
        <f>IF(AND(K556&lt;&gt;"",'Historical Score'!$C$8&lt;&gt;""),IF(K556='Historical Score'!$C$8,1,0),0)</f>
        <v/>
      </c>
      <c r="AU556">
        <f>IF(AND(J556&lt;&gt;"",'Historical Score'!$C$9&lt;&gt;""),IF(J556='Historical Score'!$C$9,1,0),0)</f>
        <v/>
      </c>
      <c r="AV556">
        <f>AR556*AS556*AQ556</f>
        <v/>
      </c>
      <c r="AW556">
        <f>AR556*AT556*AQ556</f>
        <v/>
      </c>
      <c r="AX556">
        <f>AR556*AS556</f>
        <v/>
      </c>
      <c r="AY556">
        <f>AR556*AT556</f>
        <v/>
      </c>
      <c r="AZ556">
        <f>AR556*AQ556</f>
        <v/>
      </c>
      <c r="BA556">
        <f>AR556</f>
        <v/>
      </c>
      <c r="BB556">
        <f>1</f>
        <v/>
      </c>
      <c r="BC556">
        <f>IF(AV556=1,1,IF(AW556=1,2,IF(AX556=1,3,IF(AY556=1,4,IF(AZ556=1,5,IF(BA556=1,6,7))))))</f>
        <v/>
      </c>
      <c r="BD556">
        <f>IF(AD556=1,CHOOSE('Historical Score'!$C$29,AV556,AW556,AX556,AY556,AZ556,BA556,BB556),0)</f>
        <v/>
      </c>
      <c r="BE556">
        <f>IF(BD556=1,COUNTIF($BD$2:BD556,1),"")</f>
        <v/>
      </c>
    </row>
    <row r="557">
      <c r="A557" t="inlineStr">
        <is>
          <t>5674177010</t>
        </is>
      </c>
      <c r="B557" t="inlineStr">
        <is>
          <t>ABOUT ANYWHERE PORTA POTTY AND SEPTIC LLC</t>
        </is>
      </c>
      <c r="C557" t="inlineStr">
        <is>
          <t>ABOUT ANYWHERE PORTA POTTY AND SEPTIC LLC</t>
        </is>
      </c>
      <c r="D557" t="inlineStr">
        <is>
          <t>Settlement Agreement</t>
        </is>
      </c>
      <c r="E557" s="297" t="n">
        <v>46044</v>
      </c>
      <c r="F557" s="297" t="n">
        <v>46248</v>
      </c>
      <c r="G557" t="n">
        <v>3</v>
      </c>
      <c r="H557" t="inlineStr">
        <is>
          <t>4959</t>
        </is>
      </c>
      <c r="I557" t="inlineStr">
        <is>
          <t>49</t>
        </is>
      </c>
      <c r="J557" t="inlineStr">
        <is>
          <t>MO</t>
        </is>
      </c>
      <c r="K557" t="inlineStr">
        <is>
          <t>Can I Have Money</t>
        </is>
      </c>
      <c r="L557" t="inlineStr">
        <is>
          <t>New Deal</t>
        </is>
      </c>
      <c r="M557" s="298" t="n">
        <v>1.49</v>
      </c>
      <c r="N557" s="299" t="n">
        <v>9000</v>
      </c>
      <c r="O557" s="299" t="n">
        <v>1260</v>
      </c>
      <c r="P557" s="299" t="n">
        <v>13410</v>
      </c>
      <c r="Q557" s="299" t="n">
        <v>6996.22</v>
      </c>
      <c r="R557" s="299" t="n">
        <v>6413.78</v>
      </c>
      <c r="S557" s="300" t="n">
        <v>0.521716629381059</v>
      </c>
      <c r="T557" t="n">
        <v>2.623</v>
      </c>
      <c r="U557" t="n">
        <v>4</v>
      </c>
      <c r="V557" t="n">
        <v>22520.35</v>
      </c>
      <c r="W557" s="300" t="n">
        <v>0.1563</v>
      </c>
      <c r="X557" s="297" t="n">
        <v>39833</v>
      </c>
      <c r="Y557">
        <f>IF(I557="","No SIC",IFERROR(VLOOKUP(I557,Ref!$A$2:$B$65,2,FALSE),"Unclassified"))</f>
        <v/>
      </c>
      <c r="Z557">
        <f>IF(T557="","",IF(T557&lt;12,"Daily","Weekly"))</f>
        <v/>
      </c>
      <c r="AA557">
        <f>IF(T557="",0,IF(T557&lt;12,T557*Controls!$B$29,T557*5))</f>
        <v/>
      </c>
      <c r="AB557">
        <f>IF(E557="",0,NETWORKDAYS(E557,Controls!$B$36,Ref!$K$2:$K$42))</f>
        <v/>
      </c>
      <c r="AC557">
        <f>IF(AND(AA557&gt;0,AB557&gt;=Controls!$B$39*AA557),1,0)</f>
        <v/>
      </c>
      <c r="AD557">
        <f>IF(AND(E557&lt;&gt;"",E557&gt;=Controls!$B$37,E557&lt;=Controls!$B$38),1,0)</f>
        <v/>
      </c>
      <c r="AE557">
        <f>IF(IFERROR(VLOOKUP(D557,Controls!$A$64:$E$74,2,FALSE),"No")="Yes",1,0)</f>
        <v/>
      </c>
      <c r="AF557">
        <f>IF(IFERROR(VLOOKUP(D557,Controls!$A$64:$E$74,3,FALSE),"No")="Yes",1,0)</f>
        <v/>
      </c>
      <c r="AG557">
        <f>IF(IFERROR(VLOOKUP(D557,Controls!$A$64:$E$74,4,FALSE),"No")="Yes",1,0)</f>
        <v/>
      </c>
      <c r="AH557">
        <f>IF(IFERROR(VLOOKUP(D557,Controls!$A$64:$E$74,5,FALSE),"No")="Yes",1,0)</f>
        <v/>
      </c>
      <c r="AI557">
        <f>IF(ISNUMBER(MATCH(D557,Controls!$A$64:$A$74,0)),1,0)</f>
        <v/>
      </c>
      <c r="AJ557">
        <f>Q557-N557</f>
        <v/>
      </c>
      <c r="AK557">
        <f>IF(AE557=1,MAX(0,N557-Q557),0)</f>
        <v/>
      </c>
      <c r="AL557">
        <f>IF(OR(V557="",V557=0),0,N557/V557)</f>
        <v/>
      </c>
      <c r="AM557">
        <f>IF(OR(V557="",V557=0),0,1)</f>
        <v/>
      </c>
      <c r="AN557">
        <f>IF(OR(E557="",F557=""),0,NETWORKDAYS(E557,F557,Ref!$K$2:$K$42))</f>
        <v/>
      </c>
      <c r="AO557">
        <f>IF(L557="Renewal",1,0)</f>
        <v/>
      </c>
      <c r="AP557">
        <f>AC557*AD557</f>
        <v/>
      </c>
      <c r="AQ557">
        <f>IF(AND(G557&lt;&gt;"",'Historical Score'!$C$6&lt;&gt;""),IF(G557='Historical Score'!$C$6,1,0),0)</f>
        <v/>
      </c>
      <c r="AR557">
        <f>IF(AND(L557&lt;&gt;"",'Historical Score'!$C$5&lt;&gt;""),IF(L557='Historical Score'!$C$5,1,0),0)</f>
        <v/>
      </c>
      <c r="AS557">
        <f>IF(AND(Y557&lt;&gt;"",'Historical Score'!$C$7&lt;&gt;""),IF(Y557='Historical Score'!$C$7,1,0),0)</f>
        <v/>
      </c>
      <c r="AT557">
        <f>IF(AND(K557&lt;&gt;"",'Historical Score'!$C$8&lt;&gt;""),IF(K557='Historical Score'!$C$8,1,0),0)</f>
        <v/>
      </c>
      <c r="AU557">
        <f>IF(AND(J557&lt;&gt;"",'Historical Score'!$C$9&lt;&gt;""),IF(J557='Historical Score'!$C$9,1,0),0)</f>
        <v/>
      </c>
      <c r="AV557">
        <f>AR557*AS557*AQ557</f>
        <v/>
      </c>
      <c r="AW557">
        <f>AR557*AT557*AQ557</f>
        <v/>
      </c>
      <c r="AX557">
        <f>AR557*AS557</f>
        <v/>
      </c>
      <c r="AY557">
        <f>AR557*AT557</f>
        <v/>
      </c>
      <c r="AZ557">
        <f>AR557*AQ557</f>
        <v/>
      </c>
      <c r="BA557">
        <f>AR557</f>
        <v/>
      </c>
      <c r="BB557">
        <f>1</f>
        <v/>
      </c>
      <c r="BC557">
        <f>IF(AV557=1,1,IF(AW557=1,2,IF(AX557=1,3,IF(AY557=1,4,IF(AZ557=1,5,IF(BA557=1,6,7))))))</f>
        <v/>
      </c>
      <c r="BD557">
        <f>IF(AD557=1,CHOOSE('Historical Score'!$C$29,AV557,AW557,AX557,AY557,AZ557,BA557,BB557),0)</f>
        <v/>
      </c>
      <c r="BE557">
        <f>IF(BD557=1,COUNTIF($BD$2:BD557,1),"")</f>
        <v/>
      </c>
    </row>
    <row r="558">
      <c r="A558" t="inlineStr">
        <is>
          <t>5674177016</t>
        </is>
      </c>
      <c r="B558" t="inlineStr">
        <is>
          <t>RS WELDING CONSTRUCTION LLC</t>
        </is>
      </c>
      <c r="C558" t="inlineStr">
        <is>
          <t>RS WELDING CONSTRUCTION LLC</t>
        </is>
      </c>
      <c r="D558" t="inlineStr">
        <is>
          <t>Legal</t>
        </is>
      </c>
      <c r="E558" s="297" t="n">
        <v>46044</v>
      </c>
      <c r="F558" s="297" t="n">
        <v>46108</v>
      </c>
      <c r="G558" t="n">
        <v>2</v>
      </c>
      <c r="H558" t="inlineStr">
        <is>
          <t>7692</t>
        </is>
      </c>
      <c r="I558" t="inlineStr">
        <is>
          <t>76</t>
        </is>
      </c>
      <c r="J558" t="inlineStr">
        <is>
          <t>TX</t>
        </is>
      </c>
      <c r="K558" t="inlineStr">
        <is>
          <t>Ballicci</t>
        </is>
      </c>
      <c r="L558" t="inlineStr">
        <is>
          <t>New Deal</t>
        </is>
      </c>
      <c r="M558" s="298" t="n">
        <v>1.49</v>
      </c>
      <c r="N558" s="299" t="n">
        <v>30000</v>
      </c>
      <c r="O558" s="299" t="n">
        <v>4200</v>
      </c>
      <c r="P558" s="299" t="n">
        <v>44700</v>
      </c>
      <c r="Q558" s="299" t="n">
        <v>5215.14</v>
      </c>
      <c r="R558" s="299" t="n">
        <v>39484.86</v>
      </c>
      <c r="S558" s="300" t="n">
        <v>0.116669798657718</v>
      </c>
      <c r="T558" t="n">
        <v>3.934</v>
      </c>
      <c r="U558" t="n">
        <v>29</v>
      </c>
      <c r="V558" t="n">
        <v>79986.60000000001</v>
      </c>
      <c r="W558" s="300" t="n">
        <v>0.0978</v>
      </c>
      <c r="X558" s="297" t="n">
        <v>45642</v>
      </c>
      <c r="Y558">
        <f>IF(I558="","No SIC",IFERROR(VLOOKUP(I558,Ref!$A$2:$B$65,2,FALSE),"Unclassified"))</f>
        <v/>
      </c>
      <c r="Z558">
        <f>IF(T558="","",IF(T558&lt;12,"Daily","Weekly"))</f>
        <v/>
      </c>
      <c r="AA558">
        <f>IF(T558="",0,IF(T558&lt;12,T558*Controls!$B$29,T558*5))</f>
        <v/>
      </c>
      <c r="AB558">
        <f>IF(E558="",0,NETWORKDAYS(E558,Controls!$B$36,Ref!$K$2:$K$42))</f>
        <v/>
      </c>
      <c r="AC558">
        <f>IF(AND(AA558&gt;0,AB558&gt;=Controls!$B$39*AA558),1,0)</f>
        <v/>
      </c>
      <c r="AD558">
        <f>IF(AND(E558&lt;&gt;"",E558&gt;=Controls!$B$37,E558&lt;=Controls!$B$38),1,0)</f>
        <v/>
      </c>
      <c r="AE558">
        <f>IF(IFERROR(VLOOKUP(D558,Controls!$A$64:$E$74,2,FALSE),"No")="Yes",1,0)</f>
        <v/>
      </c>
      <c r="AF558">
        <f>IF(IFERROR(VLOOKUP(D558,Controls!$A$64:$E$74,3,FALSE),"No")="Yes",1,0)</f>
        <v/>
      </c>
      <c r="AG558">
        <f>IF(IFERROR(VLOOKUP(D558,Controls!$A$64:$E$74,4,FALSE),"No")="Yes",1,0)</f>
        <v/>
      </c>
      <c r="AH558">
        <f>IF(IFERROR(VLOOKUP(D558,Controls!$A$64:$E$74,5,FALSE),"No")="Yes",1,0)</f>
        <v/>
      </c>
      <c r="AI558">
        <f>IF(ISNUMBER(MATCH(D558,Controls!$A$64:$A$74,0)),1,0)</f>
        <v/>
      </c>
      <c r="AJ558">
        <f>Q558-N558</f>
        <v/>
      </c>
      <c r="AK558">
        <f>IF(AE558=1,MAX(0,N558-Q558),0)</f>
        <v/>
      </c>
      <c r="AL558">
        <f>IF(OR(V558="",V558=0),0,N558/V558)</f>
        <v/>
      </c>
      <c r="AM558">
        <f>IF(OR(V558="",V558=0),0,1)</f>
        <v/>
      </c>
      <c r="AN558">
        <f>IF(OR(E558="",F558=""),0,NETWORKDAYS(E558,F558,Ref!$K$2:$K$42))</f>
        <v/>
      </c>
      <c r="AO558">
        <f>IF(L558="Renewal",1,0)</f>
        <v/>
      </c>
      <c r="AP558">
        <f>AC558*AD558</f>
        <v/>
      </c>
      <c r="AQ558">
        <f>IF(AND(G558&lt;&gt;"",'Historical Score'!$C$6&lt;&gt;""),IF(G558='Historical Score'!$C$6,1,0),0)</f>
        <v/>
      </c>
      <c r="AR558">
        <f>IF(AND(L558&lt;&gt;"",'Historical Score'!$C$5&lt;&gt;""),IF(L558='Historical Score'!$C$5,1,0),0)</f>
        <v/>
      </c>
      <c r="AS558">
        <f>IF(AND(Y558&lt;&gt;"",'Historical Score'!$C$7&lt;&gt;""),IF(Y558='Historical Score'!$C$7,1,0),0)</f>
        <v/>
      </c>
      <c r="AT558">
        <f>IF(AND(K558&lt;&gt;"",'Historical Score'!$C$8&lt;&gt;""),IF(K558='Historical Score'!$C$8,1,0),0)</f>
        <v/>
      </c>
      <c r="AU558">
        <f>IF(AND(J558&lt;&gt;"",'Historical Score'!$C$9&lt;&gt;""),IF(J558='Historical Score'!$C$9,1,0),0)</f>
        <v/>
      </c>
      <c r="AV558">
        <f>AR558*AS558*AQ558</f>
        <v/>
      </c>
      <c r="AW558">
        <f>AR558*AT558*AQ558</f>
        <v/>
      </c>
      <c r="AX558">
        <f>AR558*AS558</f>
        <v/>
      </c>
      <c r="AY558">
        <f>AR558*AT558</f>
        <v/>
      </c>
      <c r="AZ558">
        <f>AR558*AQ558</f>
        <v/>
      </c>
      <c r="BA558">
        <f>AR558</f>
        <v/>
      </c>
      <c r="BB558">
        <f>1</f>
        <v/>
      </c>
      <c r="BC558">
        <f>IF(AV558=1,1,IF(AW558=1,2,IF(AX558=1,3,IF(AY558=1,4,IF(AZ558=1,5,IF(BA558=1,6,7))))))</f>
        <v/>
      </c>
      <c r="BD558">
        <f>IF(AD558=1,CHOOSE('Historical Score'!$C$29,AV558,AW558,AX558,AY558,AZ558,BA558,BB558),0)</f>
        <v/>
      </c>
      <c r="BE558">
        <f>IF(BD558=1,COUNTIF($BD$2:BD558,1),"")</f>
        <v/>
      </c>
    </row>
    <row r="559">
      <c r="A559" t="inlineStr">
        <is>
          <t>5674177060</t>
        </is>
      </c>
      <c r="B559" t="inlineStr">
        <is>
          <t>WINNING MENTALITY INVESTMENTS</t>
        </is>
      </c>
      <c r="C559" t="inlineStr">
        <is>
          <t>WINNING MENTALITY INVESTMENTS INC</t>
        </is>
      </c>
      <c r="D559" t="inlineStr">
        <is>
          <t>In House Collection</t>
        </is>
      </c>
      <c r="E559" s="297" t="n">
        <v>46045</v>
      </c>
      <c r="F559" s="297" t="n">
        <v>46093</v>
      </c>
      <c r="G559" t="n">
        <v>2</v>
      </c>
      <c r="H559" t="inlineStr">
        <is>
          <t>7538</t>
        </is>
      </c>
      <c r="I559" t="inlineStr">
        <is>
          <t>75</t>
        </is>
      </c>
      <c r="J559" t="inlineStr">
        <is>
          <t>CA</t>
        </is>
      </c>
      <c r="K559" t="inlineStr">
        <is>
          <t>Tech Consulting Pro LLC D/B/A: Nationwide Advance</t>
        </is>
      </c>
      <c r="L559" t="inlineStr">
        <is>
          <t>New Deal</t>
        </is>
      </c>
      <c r="M559" s="298" t="n">
        <v>1.49</v>
      </c>
      <c r="N559" s="299" t="n">
        <v>25000</v>
      </c>
      <c r="O559" s="299" t="n">
        <v>3500</v>
      </c>
      <c r="P559" s="299" t="n">
        <v>37250</v>
      </c>
      <c r="Q559" s="299" t="n">
        <v>9316.5</v>
      </c>
      <c r="R559" s="299" t="n">
        <v>27933.5</v>
      </c>
      <c r="S559" s="300" t="n">
        <v>0.250107382550336</v>
      </c>
      <c r="T559" t="n">
        <v>3.934</v>
      </c>
      <c r="U559" t="n">
        <v>4</v>
      </c>
      <c r="V559" t="n">
        <v>74873.96000000001</v>
      </c>
      <c r="W559" s="300" t="n">
        <v>0.0871</v>
      </c>
      <c r="X559" s="297" t="n"/>
      <c r="Y559">
        <f>IF(I559="","No SIC",IFERROR(VLOOKUP(I559,Ref!$A$2:$B$65,2,FALSE),"Unclassified"))</f>
        <v/>
      </c>
      <c r="Z559">
        <f>IF(T559="","",IF(T559&lt;12,"Daily","Weekly"))</f>
        <v/>
      </c>
      <c r="AA559">
        <f>IF(T559="",0,IF(T559&lt;12,T559*Controls!$B$29,T559*5))</f>
        <v/>
      </c>
      <c r="AB559">
        <f>IF(E559="",0,NETWORKDAYS(E559,Controls!$B$36,Ref!$K$2:$K$42))</f>
        <v/>
      </c>
      <c r="AC559">
        <f>IF(AND(AA559&gt;0,AB559&gt;=Controls!$B$39*AA559),1,0)</f>
        <v/>
      </c>
      <c r="AD559">
        <f>IF(AND(E559&lt;&gt;"",E559&gt;=Controls!$B$37,E559&lt;=Controls!$B$38),1,0)</f>
        <v/>
      </c>
      <c r="AE559">
        <f>IF(IFERROR(VLOOKUP(D559,Controls!$A$64:$E$74,2,FALSE),"No")="Yes",1,0)</f>
        <v/>
      </c>
      <c r="AF559">
        <f>IF(IFERROR(VLOOKUP(D559,Controls!$A$64:$E$74,3,FALSE),"No")="Yes",1,0)</f>
        <v/>
      </c>
      <c r="AG559">
        <f>IF(IFERROR(VLOOKUP(D559,Controls!$A$64:$E$74,4,FALSE),"No")="Yes",1,0)</f>
        <v/>
      </c>
      <c r="AH559">
        <f>IF(IFERROR(VLOOKUP(D559,Controls!$A$64:$E$74,5,FALSE),"No")="Yes",1,0)</f>
        <v/>
      </c>
      <c r="AI559">
        <f>IF(ISNUMBER(MATCH(D559,Controls!$A$64:$A$74,0)),1,0)</f>
        <v/>
      </c>
      <c r="AJ559">
        <f>Q559-N559</f>
        <v/>
      </c>
      <c r="AK559">
        <f>IF(AE559=1,MAX(0,N559-Q559),0)</f>
        <v/>
      </c>
      <c r="AL559">
        <f>IF(OR(V559="",V559=0),0,N559/V559)</f>
        <v/>
      </c>
      <c r="AM559">
        <f>IF(OR(V559="",V559=0),0,1)</f>
        <v/>
      </c>
      <c r="AN559">
        <f>IF(OR(E559="",F559=""),0,NETWORKDAYS(E559,F559,Ref!$K$2:$K$42))</f>
        <v/>
      </c>
      <c r="AO559">
        <f>IF(L559="Renewal",1,0)</f>
        <v/>
      </c>
      <c r="AP559">
        <f>AC559*AD559</f>
        <v/>
      </c>
      <c r="AQ559">
        <f>IF(AND(G559&lt;&gt;"",'Historical Score'!$C$6&lt;&gt;""),IF(G559='Historical Score'!$C$6,1,0),0)</f>
        <v/>
      </c>
      <c r="AR559">
        <f>IF(AND(L559&lt;&gt;"",'Historical Score'!$C$5&lt;&gt;""),IF(L559='Historical Score'!$C$5,1,0),0)</f>
        <v/>
      </c>
      <c r="AS559">
        <f>IF(AND(Y559&lt;&gt;"",'Historical Score'!$C$7&lt;&gt;""),IF(Y559='Historical Score'!$C$7,1,0),0)</f>
        <v/>
      </c>
      <c r="AT559">
        <f>IF(AND(K559&lt;&gt;"",'Historical Score'!$C$8&lt;&gt;""),IF(K559='Historical Score'!$C$8,1,0),0)</f>
        <v/>
      </c>
      <c r="AU559">
        <f>IF(AND(J559&lt;&gt;"",'Historical Score'!$C$9&lt;&gt;""),IF(J559='Historical Score'!$C$9,1,0),0)</f>
        <v/>
      </c>
      <c r="AV559">
        <f>AR559*AS559*AQ559</f>
        <v/>
      </c>
      <c r="AW559">
        <f>AR559*AT559*AQ559</f>
        <v/>
      </c>
      <c r="AX559">
        <f>AR559*AS559</f>
        <v/>
      </c>
      <c r="AY559">
        <f>AR559*AT559</f>
        <v/>
      </c>
      <c r="AZ559">
        <f>AR559*AQ559</f>
        <v/>
      </c>
      <c r="BA559">
        <f>AR559</f>
        <v/>
      </c>
      <c r="BB559">
        <f>1</f>
        <v/>
      </c>
      <c r="BC559">
        <f>IF(AV559=1,1,IF(AW559=1,2,IF(AX559=1,3,IF(AY559=1,4,IF(AZ559=1,5,IF(BA559=1,6,7))))))</f>
        <v/>
      </c>
      <c r="BD559">
        <f>IF(AD559=1,CHOOSE('Historical Score'!$C$29,AV559,AW559,AX559,AY559,AZ559,BA559,BB559),0)</f>
        <v/>
      </c>
      <c r="BE559">
        <f>IF(BD559=1,COUNTIF($BD$2:BD559,1),"")</f>
        <v/>
      </c>
    </row>
    <row r="560">
      <c r="A560" t="inlineStr">
        <is>
          <t>5674177082</t>
        </is>
      </c>
      <c r="B560" t="inlineStr">
        <is>
          <t>RAUL B. RODRIGUEZ LAW PC</t>
        </is>
      </c>
      <c r="C560" t="inlineStr">
        <is>
          <t>RAUL B. RODRIGUEZ LAW PC.</t>
        </is>
      </c>
      <c r="D560" t="inlineStr">
        <is>
          <t>Closed</t>
        </is>
      </c>
      <c r="E560" s="297" t="n">
        <v>46045</v>
      </c>
      <c r="F560" s="297" t="n">
        <v>46171</v>
      </c>
      <c r="G560" t="n">
        <v>3</v>
      </c>
      <c r="H560" t="inlineStr">
        <is>
          <t>8111</t>
        </is>
      </c>
      <c r="I560" t="inlineStr">
        <is>
          <t>81</t>
        </is>
      </c>
      <c r="J560" t="inlineStr">
        <is>
          <t>TX</t>
        </is>
      </c>
      <c r="K560" t="inlineStr">
        <is>
          <t>Lightning SBA Loans</t>
        </is>
      </c>
      <c r="L560" t="inlineStr">
        <is>
          <t>New Deal</t>
        </is>
      </c>
      <c r="M560" s="298" t="n">
        <v>1.49</v>
      </c>
      <c r="N560" s="299" t="n">
        <v>150000</v>
      </c>
      <c r="O560" s="299" t="n">
        <v>21000</v>
      </c>
      <c r="P560" s="299" t="n">
        <v>223500</v>
      </c>
      <c r="Q560" s="299" t="n">
        <v>223500</v>
      </c>
      <c r="R560" s="299" t="n">
        <v>0</v>
      </c>
      <c r="S560" s="300" t="n">
        <v>1</v>
      </c>
      <c r="T560" t="n">
        <v>35</v>
      </c>
      <c r="U560" t="n">
        <v>0</v>
      </c>
      <c r="V560" t="n">
        <v>919255.72</v>
      </c>
      <c r="W560" s="300" t="n">
        <v>0.0278</v>
      </c>
      <c r="X560" s="297" t="n">
        <v>43818</v>
      </c>
      <c r="Y560">
        <f>IF(I560="","No SIC",IFERROR(VLOOKUP(I560,Ref!$A$2:$B$65,2,FALSE),"Unclassified"))</f>
        <v/>
      </c>
      <c r="Z560">
        <f>IF(T560="","",IF(T560&lt;12,"Daily","Weekly"))</f>
        <v/>
      </c>
      <c r="AA560">
        <f>IF(T560="",0,IF(T560&lt;12,T560*Controls!$B$29,T560*5))</f>
        <v/>
      </c>
      <c r="AB560">
        <f>IF(E560="",0,NETWORKDAYS(E560,Controls!$B$36,Ref!$K$2:$K$42))</f>
        <v/>
      </c>
      <c r="AC560">
        <f>IF(AND(AA560&gt;0,AB560&gt;=Controls!$B$39*AA560),1,0)</f>
        <v/>
      </c>
      <c r="AD560">
        <f>IF(AND(E560&lt;&gt;"",E560&gt;=Controls!$B$37,E560&lt;=Controls!$B$38),1,0)</f>
        <v/>
      </c>
      <c r="AE560">
        <f>IF(IFERROR(VLOOKUP(D560,Controls!$A$64:$E$74,2,FALSE),"No")="Yes",1,0)</f>
        <v/>
      </c>
      <c r="AF560">
        <f>IF(IFERROR(VLOOKUP(D560,Controls!$A$64:$E$74,3,FALSE),"No")="Yes",1,0)</f>
        <v/>
      </c>
      <c r="AG560">
        <f>IF(IFERROR(VLOOKUP(D560,Controls!$A$64:$E$74,4,FALSE),"No")="Yes",1,0)</f>
        <v/>
      </c>
      <c r="AH560">
        <f>IF(IFERROR(VLOOKUP(D560,Controls!$A$64:$E$74,5,FALSE),"No")="Yes",1,0)</f>
        <v/>
      </c>
      <c r="AI560">
        <f>IF(ISNUMBER(MATCH(D560,Controls!$A$64:$A$74,0)),1,0)</f>
        <v/>
      </c>
      <c r="AJ560">
        <f>Q560-N560</f>
        <v/>
      </c>
      <c r="AK560">
        <f>IF(AE560=1,MAX(0,N560-Q560),0)</f>
        <v/>
      </c>
      <c r="AL560">
        <f>IF(OR(V560="",V560=0),0,N560/V560)</f>
        <v/>
      </c>
      <c r="AM560">
        <f>IF(OR(V560="",V560=0),0,1)</f>
        <v/>
      </c>
      <c r="AN560">
        <f>IF(OR(E560="",F560=""),0,NETWORKDAYS(E560,F560,Ref!$K$2:$K$42))</f>
        <v/>
      </c>
      <c r="AO560">
        <f>IF(L560="Renewal",1,0)</f>
        <v/>
      </c>
      <c r="AP560">
        <f>AC560*AD560</f>
        <v/>
      </c>
      <c r="AQ560">
        <f>IF(AND(G560&lt;&gt;"",'Historical Score'!$C$6&lt;&gt;""),IF(G560='Historical Score'!$C$6,1,0),0)</f>
        <v/>
      </c>
      <c r="AR560">
        <f>IF(AND(L560&lt;&gt;"",'Historical Score'!$C$5&lt;&gt;""),IF(L560='Historical Score'!$C$5,1,0),0)</f>
        <v/>
      </c>
      <c r="AS560">
        <f>IF(AND(Y560&lt;&gt;"",'Historical Score'!$C$7&lt;&gt;""),IF(Y560='Historical Score'!$C$7,1,0),0)</f>
        <v/>
      </c>
      <c r="AT560">
        <f>IF(AND(K560&lt;&gt;"",'Historical Score'!$C$8&lt;&gt;""),IF(K560='Historical Score'!$C$8,1,0),0)</f>
        <v/>
      </c>
      <c r="AU560">
        <f>IF(AND(J560&lt;&gt;"",'Historical Score'!$C$9&lt;&gt;""),IF(J560='Historical Score'!$C$9,1,0),0)</f>
        <v/>
      </c>
      <c r="AV560">
        <f>AR560*AS560*AQ560</f>
        <v/>
      </c>
      <c r="AW560">
        <f>AR560*AT560*AQ560</f>
        <v/>
      </c>
      <c r="AX560">
        <f>AR560*AS560</f>
        <v/>
      </c>
      <c r="AY560">
        <f>AR560*AT560</f>
        <v/>
      </c>
      <c r="AZ560">
        <f>AR560*AQ560</f>
        <v/>
      </c>
      <c r="BA560">
        <f>AR560</f>
        <v/>
      </c>
      <c r="BB560">
        <f>1</f>
        <v/>
      </c>
      <c r="BC560">
        <f>IF(AV560=1,1,IF(AW560=1,2,IF(AX560=1,3,IF(AY560=1,4,IF(AZ560=1,5,IF(BA560=1,6,7))))))</f>
        <v/>
      </c>
      <c r="BD560">
        <f>IF(AD560=1,CHOOSE('Historical Score'!$C$29,AV560,AW560,AX560,AY560,AZ560,BA560,BB560),0)</f>
        <v/>
      </c>
      <c r="BE560">
        <f>IF(BD560=1,COUNTIF($BD$2:BD560,1),"")</f>
        <v/>
      </c>
    </row>
    <row r="561">
      <c r="A561" t="inlineStr">
        <is>
          <t>5674177100</t>
        </is>
      </c>
      <c r="B561" t="inlineStr">
        <is>
          <t>Sand Trap Bar &amp; Grill</t>
        </is>
      </c>
      <c r="C561" t="inlineStr">
        <is>
          <t>C &amp; a Restaurant Group Llc</t>
        </is>
      </c>
      <c r="D561" t="inlineStr">
        <is>
          <t>Legal</t>
        </is>
      </c>
      <c r="E561" s="297" t="n">
        <v>46045</v>
      </c>
      <c r="F561" s="297" t="n">
        <v>46139</v>
      </c>
      <c r="G561" t="n">
        <v>4</v>
      </c>
      <c r="H561" t="inlineStr">
        <is>
          <t>5812</t>
        </is>
      </c>
      <c r="I561" t="inlineStr">
        <is>
          <t>58</t>
        </is>
      </c>
      <c r="J561" t="inlineStr">
        <is>
          <t>WI</t>
        </is>
      </c>
      <c r="K561" t="inlineStr">
        <is>
          <t>Ballicci</t>
        </is>
      </c>
      <c r="L561" t="inlineStr">
        <is>
          <t>New Deal</t>
        </is>
      </c>
      <c r="M561" s="298" t="n">
        <v>1.49</v>
      </c>
      <c r="N561" s="299" t="n">
        <v>15000</v>
      </c>
      <c r="O561" s="299" t="n">
        <v>2100</v>
      </c>
      <c r="P561" s="299" t="n">
        <v>22350</v>
      </c>
      <c r="Q561" s="299" t="n">
        <v>8102.89</v>
      </c>
      <c r="R561" s="299" t="n">
        <v>14247.11</v>
      </c>
      <c r="S561" s="300" t="n">
        <v>0.362545413870246</v>
      </c>
      <c r="T561" t="n">
        <v>2.623</v>
      </c>
      <c r="U561" t="n">
        <v>17</v>
      </c>
      <c r="V561" t="n">
        <v>21046.18</v>
      </c>
      <c r="W561" s="300" t="n">
        <v>0.2788</v>
      </c>
      <c r="X561" s="297" t="n">
        <v>45658</v>
      </c>
      <c r="Y561">
        <f>IF(I561="","No SIC",IFERROR(VLOOKUP(I561,Ref!$A$2:$B$65,2,FALSE),"Unclassified"))</f>
        <v/>
      </c>
      <c r="Z561">
        <f>IF(T561="","",IF(T561&lt;12,"Daily","Weekly"))</f>
        <v/>
      </c>
      <c r="AA561">
        <f>IF(T561="",0,IF(T561&lt;12,T561*Controls!$B$29,T561*5))</f>
        <v/>
      </c>
      <c r="AB561">
        <f>IF(E561="",0,NETWORKDAYS(E561,Controls!$B$36,Ref!$K$2:$K$42))</f>
        <v/>
      </c>
      <c r="AC561">
        <f>IF(AND(AA561&gt;0,AB561&gt;=Controls!$B$39*AA561),1,0)</f>
        <v/>
      </c>
      <c r="AD561">
        <f>IF(AND(E561&lt;&gt;"",E561&gt;=Controls!$B$37,E561&lt;=Controls!$B$38),1,0)</f>
        <v/>
      </c>
      <c r="AE561">
        <f>IF(IFERROR(VLOOKUP(D561,Controls!$A$64:$E$74,2,FALSE),"No")="Yes",1,0)</f>
        <v/>
      </c>
      <c r="AF561">
        <f>IF(IFERROR(VLOOKUP(D561,Controls!$A$64:$E$74,3,FALSE),"No")="Yes",1,0)</f>
        <v/>
      </c>
      <c r="AG561">
        <f>IF(IFERROR(VLOOKUP(D561,Controls!$A$64:$E$74,4,FALSE),"No")="Yes",1,0)</f>
        <v/>
      </c>
      <c r="AH561">
        <f>IF(IFERROR(VLOOKUP(D561,Controls!$A$64:$E$74,5,FALSE),"No")="Yes",1,0)</f>
        <v/>
      </c>
      <c r="AI561">
        <f>IF(ISNUMBER(MATCH(D561,Controls!$A$64:$A$74,0)),1,0)</f>
        <v/>
      </c>
      <c r="AJ561">
        <f>Q561-N561</f>
        <v/>
      </c>
      <c r="AK561">
        <f>IF(AE561=1,MAX(0,N561-Q561),0)</f>
        <v/>
      </c>
      <c r="AL561">
        <f>IF(OR(V561="",V561=0),0,N561/V561)</f>
        <v/>
      </c>
      <c r="AM561">
        <f>IF(OR(V561="",V561=0),0,1)</f>
        <v/>
      </c>
      <c r="AN561">
        <f>IF(OR(E561="",F561=""),0,NETWORKDAYS(E561,F561,Ref!$K$2:$K$42))</f>
        <v/>
      </c>
      <c r="AO561">
        <f>IF(L561="Renewal",1,0)</f>
        <v/>
      </c>
      <c r="AP561">
        <f>AC561*AD561</f>
        <v/>
      </c>
      <c r="AQ561">
        <f>IF(AND(G561&lt;&gt;"",'Historical Score'!$C$6&lt;&gt;""),IF(G561='Historical Score'!$C$6,1,0),0)</f>
        <v/>
      </c>
      <c r="AR561">
        <f>IF(AND(L561&lt;&gt;"",'Historical Score'!$C$5&lt;&gt;""),IF(L561='Historical Score'!$C$5,1,0),0)</f>
        <v/>
      </c>
      <c r="AS561">
        <f>IF(AND(Y561&lt;&gt;"",'Historical Score'!$C$7&lt;&gt;""),IF(Y561='Historical Score'!$C$7,1,0),0)</f>
        <v/>
      </c>
      <c r="AT561">
        <f>IF(AND(K561&lt;&gt;"",'Historical Score'!$C$8&lt;&gt;""),IF(K561='Historical Score'!$C$8,1,0),0)</f>
        <v/>
      </c>
      <c r="AU561">
        <f>IF(AND(J561&lt;&gt;"",'Historical Score'!$C$9&lt;&gt;""),IF(J561='Historical Score'!$C$9,1,0),0)</f>
        <v/>
      </c>
      <c r="AV561">
        <f>AR561*AS561*AQ561</f>
        <v/>
      </c>
      <c r="AW561">
        <f>AR561*AT561*AQ561</f>
        <v/>
      </c>
      <c r="AX561">
        <f>AR561*AS561</f>
        <v/>
      </c>
      <c r="AY561">
        <f>AR561*AT561</f>
        <v/>
      </c>
      <c r="AZ561">
        <f>AR561*AQ561</f>
        <v/>
      </c>
      <c r="BA561">
        <f>AR561</f>
        <v/>
      </c>
      <c r="BB561">
        <f>1</f>
        <v/>
      </c>
      <c r="BC561">
        <f>IF(AV561=1,1,IF(AW561=1,2,IF(AX561=1,3,IF(AY561=1,4,IF(AZ561=1,5,IF(BA561=1,6,7))))))</f>
        <v/>
      </c>
      <c r="BD561">
        <f>IF(AD561=1,CHOOSE('Historical Score'!$C$29,AV561,AW561,AX561,AY561,AZ561,BA561,BB561),0)</f>
        <v/>
      </c>
      <c r="BE561">
        <f>IF(BD561=1,COUNTIF($BD$2:BD561,1),"")</f>
        <v/>
      </c>
    </row>
    <row r="562">
      <c r="A562" t="inlineStr">
        <is>
          <t>5674177103</t>
        </is>
      </c>
      <c r="B562" t="inlineStr">
        <is>
          <t>JN JA AUTOS</t>
        </is>
      </c>
      <c r="C562" t="inlineStr">
        <is>
          <t>JN JA Autos, LLC</t>
        </is>
      </c>
      <c r="D562" t="inlineStr">
        <is>
          <t>Legal</t>
        </is>
      </c>
      <c r="E562" s="297" t="n">
        <v>46045</v>
      </c>
      <c r="F562" s="297" t="n">
        <v>46063</v>
      </c>
      <c r="G562" t="n">
        <v>4</v>
      </c>
      <c r="H562" t="inlineStr">
        <is>
          <t>5511</t>
        </is>
      </c>
      <c r="I562" t="inlineStr">
        <is>
          <t>55</t>
        </is>
      </c>
      <c r="J562" t="inlineStr">
        <is>
          <t>NM</t>
        </is>
      </c>
      <c r="K562" t="inlineStr">
        <is>
          <t>Ballicci</t>
        </is>
      </c>
      <c r="L562" t="inlineStr">
        <is>
          <t>New Deal</t>
        </is>
      </c>
      <c r="M562" s="298" t="n">
        <v>1.49</v>
      </c>
      <c r="N562" s="299" t="n">
        <v>40000</v>
      </c>
      <c r="O562" s="299" t="n">
        <v>0</v>
      </c>
      <c r="P562" s="299" t="n">
        <v>59600</v>
      </c>
      <c r="Q562" s="299" t="n">
        <v>4127.67</v>
      </c>
      <c r="R562" s="299" t="n">
        <v>55472.33</v>
      </c>
      <c r="S562" s="300" t="n">
        <v>0.0692562080536913</v>
      </c>
      <c r="T562" t="n">
        <v>4.262</v>
      </c>
      <c r="U562" t="n">
        <v>4</v>
      </c>
      <c r="V562" t="n">
        <v>136957.4</v>
      </c>
      <c r="W562" s="300" t="n">
        <v>0.0885</v>
      </c>
      <c r="X562" s="297" t="n">
        <v>44276</v>
      </c>
      <c r="Y562">
        <f>IF(I562="","No SIC",IFERROR(VLOOKUP(I562,Ref!$A$2:$B$65,2,FALSE),"Unclassified"))</f>
        <v/>
      </c>
      <c r="Z562">
        <f>IF(T562="","",IF(T562&lt;12,"Daily","Weekly"))</f>
        <v/>
      </c>
      <c r="AA562">
        <f>IF(T562="",0,IF(T562&lt;12,T562*Controls!$B$29,T562*5))</f>
        <v/>
      </c>
      <c r="AB562">
        <f>IF(E562="",0,NETWORKDAYS(E562,Controls!$B$36,Ref!$K$2:$K$42))</f>
        <v/>
      </c>
      <c r="AC562">
        <f>IF(AND(AA562&gt;0,AB562&gt;=Controls!$B$39*AA562),1,0)</f>
        <v/>
      </c>
      <c r="AD562">
        <f>IF(AND(E562&lt;&gt;"",E562&gt;=Controls!$B$37,E562&lt;=Controls!$B$38),1,0)</f>
        <v/>
      </c>
      <c r="AE562">
        <f>IF(IFERROR(VLOOKUP(D562,Controls!$A$64:$E$74,2,FALSE),"No")="Yes",1,0)</f>
        <v/>
      </c>
      <c r="AF562">
        <f>IF(IFERROR(VLOOKUP(D562,Controls!$A$64:$E$74,3,FALSE),"No")="Yes",1,0)</f>
        <v/>
      </c>
      <c r="AG562">
        <f>IF(IFERROR(VLOOKUP(D562,Controls!$A$64:$E$74,4,FALSE),"No")="Yes",1,0)</f>
        <v/>
      </c>
      <c r="AH562">
        <f>IF(IFERROR(VLOOKUP(D562,Controls!$A$64:$E$74,5,FALSE),"No")="Yes",1,0)</f>
        <v/>
      </c>
      <c r="AI562">
        <f>IF(ISNUMBER(MATCH(D562,Controls!$A$64:$A$74,0)),1,0)</f>
        <v/>
      </c>
      <c r="AJ562">
        <f>Q562-N562</f>
        <v/>
      </c>
      <c r="AK562">
        <f>IF(AE562=1,MAX(0,N562-Q562),0)</f>
        <v/>
      </c>
      <c r="AL562">
        <f>IF(OR(V562="",V562=0),0,N562/V562)</f>
        <v/>
      </c>
      <c r="AM562">
        <f>IF(OR(V562="",V562=0),0,1)</f>
        <v/>
      </c>
      <c r="AN562">
        <f>IF(OR(E562="",F562=""),0,NETWORKDAYS(E562,F562,Ref!$K$2:$K$42))</f>
        <v/>
      </c>
      <c r="AO562">
        <f>IF(L562="Renewal",1,0)</f>
        <v/>
      </c>
      <c r="AP562">
        <f>AC562*AD562</f>
        <v/>
      </c>
      <c r="AQ562">
        <f>IF(AND(G562&lt;&gt;"",'Historical Score'!$C$6&lt;&gt;""),IF(G562='Historical Score'!$C$6,1,0),0)</f>
        <v/>
      </c>
      <c r="AR562">
        <f>IF(AND(L562&lt;&gt;"",'Historical Score'!$C$5&lt;&gt;""),IF(L562='Historical Score'!$C$5,1,0),0)</f>
        <v/>
      </c>
      <c r="AS562">
        <f>IF(AND(Y562&lt;&gt;"",'Historical Score'!$C$7&lt;&gt;""),IF(Y562='Historical Score'!$C$7,1,0),0)</f>
        <v/>
      </c>
      <c r="AT562">
        <f>IF(AND(K562&lt;&gt;"",'Historical Score'!$C$8&lt;&gt;""),IF(K562='Historical Score'!$C$8,1,0),0)</f>
        <v/>
      </c>
      <c r="AU562">
        <f>IF(AND(J562&lt;&gt;"",'Historical Score'!$C$9&lt;&gt;""),IF(J562='Historical Score'!$C$9,1,0),0)</f>
        <v/>
      </c>
      <c r="AV562">
        <f>AR562*AS562*AQ562</f>
        <v/>
      </c>
      <c r="AW562">
        <f>AR562*AT562*AQ562</f>
        <v/>
      </c>
      <c r="AX562">
        <f>AR562*AS562</f>
        <v/>
      </c>
      <c r="AY562">
        <f>AR562*AT562</f>
        <v/>
      </c>
      <c r="AZ562">
        <f>AR562*AQ562</f>
        <v/>
      </c>
      <c r="BA562">
        <f>AR562</f>
        <v/>
      </c>
      <c r="BB562">
        <f>1</f>
        <v/>
      </c>
      <c r="BC562">
        <f>IF(AV562=1,1,IF(AW562=1,2,IF(AX562=1,3,IF(AY562=1,4,IF(AZ562=1,5,IF(BA562=1,6,7))))))</f>
        <v/>
      </c>
      <c r="BD562">
        <f>IF(AD562=1,CHOOSE('Historical Score'!$C$29,AV562,AW562,AX562,AY562,AZ562,BA562,BB562),0)</f>
        <v/>
      </c>
      <c r="BE562">
        <f>IF(BD562=1,COUNTIF($BD$2:BD562,1),"")</f>
        <v/>
      </c>
    </row>
    <row r="563">
      <c r="A563" t="inlineStr">
        <is>
          <t>5674177114</t>
        </is>
      </c>
      <c r="B563" t="inlineStr">
        <is>
          <t>MH CONSTRUCTION</t>
        </is>
      </c>
      <c r="C563" t="inlineStr">
        <is>
          <t>MH Construction Inc.</t>
        </is>
      </c>
      <c r="D563" t="inlineStr">
        <is>
          <t>Open</t>
        </is>
      </c>
      <c r="E563" s="297" t="n">
        <v>46045</v>
      </c>
      <c r="F563" s="297" t="n">
        <v>46247</v>
      </c>
      <c r="G563" t="n">
        <v>2</v>
      </c>
      <c r="H563" t="inlineStr">
        <is>
          <t>1521</t>
        </is>
      </c>
      <c r="I563" t="inlineStr">
        <is>
          <t>15</t>
        </is>
      </c>
      <c r="J563" t="inlineStr">
        <is>
          <t>PA</t>
        </is>
      </c>
      <c r="K563" t="inlineStr">
        <is>
          <t>PMF</t>
        </is>
      </c>
      <c r="L563" t="inlineStr">
        <is>
          <t>New Deal</t>
        </is>
      </c>
      <c r="M563" s="298" t="n">
        <v>1.45</v>
      </c>
      <c r="N563" s="299" t="n">
        <v>50000</v>
      </c>
      <c r="O563" s="299" t="n">
        <v>6000</v>
      </c>
      <c r="P563" s="299" t="n">
        <v>72500</v>
      </c>
      <c r="Q563" s="299" t="n">
        <v>34449.63</v>
      </c>
      <c r="R563" s="299" t="n">
        <v>38050.37</v>
      </c>
      <c r="S563" s="300" t="n">
        <v>0.475167310344828</v>
      </c>
      <c r="T563" t="n">
        <v>38</v>
      </c>
      <c r="U563" t="n">
        <v>0</v>
      </c>
      <c r="V563" t="n">
        <v>134030.67</v>
      </c>
      <c r="W563" s="300" t="n">
        <v>0.0569</v>
      </c>
      <c r="X563" s="297" t="n">
        <v>43164</v>
      </c>
      <c r="Y563">
        <f>IF(I563="","No SIC",IFERROR(VLOOKUP(I563,Ref!$A$2:$B$65,2,FALSE),"Unclassified"))</f>
        <v/>
      </c>
      <c r="Z563">
        <f>IF(T563="","",IF(T563&lt;12,"Daily","Weekly"))</f>
        <v/>
      </c>
      <c r="AA563">
        <f>IF(T563="",0,IF(T563&lt;12,T563*Controls!$B$29,T563*5))</f>
        <v/>
      </c>
      <c r="AB563">
        <f>IF(E563="",0,NETWORKDAYS(E563,Controls!$B$36,Ref!$K$2:$K$42))</f>
        <v/>
      </c>
      <c r="AC563">
        <f>IF(AND(AA563&gt;0,AB563&gt;=Controls!$B$39*AA563),1,0)</f>
        <v/>
      </c>
      <c r="AD563">
        <f>IF(AND(E563&lt;&gt;"",E563&gt;=Controls!$B$37,E563&lt;=Controls!$B$38),1,0)</f>
        <v/>
      </c>
      <c r="AE563">
        <f>IF(IFERROR(VLOOKUP(D563,Controls!$A$64:$E$74,2,FALSE),"No")="Yes",1,0)</f>
        <v/>
      </c>
      <c r="AF563">
        <f>IF(IFERROR(VLOOKUP(D563,Controls!$A$64:$E$74,3,FALSE),"No")="Yes",1,0)</f>
        <v/>
      </c>
      <c r="AG563">
        <f>IF(IFERROR(VLOOKUP(D563,Controls!$A$64:$E$74,4,FALSE),"No")="Yes",1,0)</f>
        <v/>
      </c>
      <c r="AH563">
        <f>IF(IFERROR(VLOOKUP(D563,Controls!$A$64:$E$74,5,FALSE),"No")="Yes",1,0)</f>
        <v/>
      </c>
      <c r="AI563">
        <f>IF(ISNUMBER(MATCH(D563,Controls!$A$64:$A$74,0)),1,0)</f>
        <v/>
      </c>
      <c r="AJ563">
        <f>Q563-N563</f>
        <v/>
      </c>
      <c r="AK563">
        <f>IF(AE563=1,MAX(0,N563-Q563),0)</f>
        <v/>
      </c>
      <c r="AL563">
        <f>IF(OR(V563="",V563=0),0,N563/V563)</f>
        <v/>
      </c>
      <c r="AM563">
        <f>IF(OR(V563="",V563=0),0,1)</f>
        <v/>
      </c>
      <c r="AN563">
        <f>IF(OR(E563="",F563=""),0,NETWORKDAYS(E563,F563,Ref!$K$2:$K$42))</f>
        <v/>
      </c>
      <c r="AO563">
        <f>IF(L563="Renewal",1,0)</f>
        <v/>
      </c>
      <c r="AP563">
        <f>AC563*AD563</f>
        <v/>
      </c>
      <c r="AQ563">
        <f>IF(AND(G563&lt;&gt;"",'Historical Score'!$C$6&lt;&gt;""),IF(G563='Historical Score'!$C$6,1,0),0)</f>
        <v/>
      </c>
      <c r="AR563">
        <f>IF(AND(L563&lt;&gt;"",'Historical Score'!$C$5&lt;&gt;""),IF(L563='Historical Score'!$C$5,1,0),0)</f>
        <v/>
      </c>
      <c r="AS563">
        <f>IF(AND(Y563&lt;&gt;"",'Historical Score'!$C$7&lt;&gt;""),IF(Y563='Historical Score'!$C$7,1,0),0)</f>
        <v/>
      </c>
      <c r="AT563">
        <f>IF(AND(K563&lt;&gt;"",'Historical Score'!$C$8&lt;&gt;""),IF(K563='Historical Score'!$C$8,1,0),0)</f>
        <v/>
      </c>
      <c r="AU563">
        <f>IF(AND(J563&lt;&gt;"",'Historical Score'!$C$9&lt;&gt;""),IF(J563='Historical Score'!$C$9,1,0),0)</f>
        <v/>
      </c>
      <c r="AV563">
        <f>AR563*AS563*AQ563</f>
        <v/>
      </c>
      <c r="AW563">
        <f>AR563*AT563*AQ563</f>
        <v/>
      </c>
      <c r="AX563">
        <f>AR563*AS563</f>
        <v/>
      </c>
      <c r="AY563">
        <f>AR563*AT563</f>
        <v/>
      </c>
      <c r="AZ563">
        <f>AR563*AQ563</f>
        <v/>
      </c>
      <c r="BA563">
        <f>AR563</f>
        <v/>
      </c>
      <c r="BB563">
        <f>1</f>
        <v/>
      </c>
      <c r="BC563">
        <f>IF(AV563=1,1,IF(AW563=1,2,IF(AX563=1,3,IF(AY563=1,4,IF(AZ563=1,5,IF(BA563=1,6,7))))))</f>
        <v/>
      </c>
      <c r="BD563">
        <f>IF(AD563=1,CHOOSE('Historical Score'!$C$29,AV563,AW563,AX563,AY563,AZ563,BA563,BB563),0)</f>
        <v/>
      </c>
      <c r="BE563">
        <f>IF(BD563=1,COUNTIF($BD$2:BD563,1),"")</f>
        <v/>
      </c>
    </row>
    <row r="564">
      <c r="A564" t="inlineStr">
        <is>
          <t>5674177115</t>
        </is>
      </c>
      <c r="B564" t="inlineStr">
        <is>
          <t>BOWL OF FUN LANES LLC</t>
        </is>
      </c>
      <c r="C564" t="inlineStr">
        <is>
          <t>BOWL OF FUN LANES LLC</t>
        </is>
      </c>
      <c r="D564" t="inlineStr">
        <is>
          <t>Closed</t>
        </is>
      </c>
      <c r="E564" s="297" t="n">
        <v>46045</v>
      </c>
      <c r="F564" s="297" t="n">
        <v>46184</v>
      </c>
      <c r="G564" t="n">
        <v>3</v>
      </c>
      <c r="H564" t="inlineStr">
        <is>
          <t>7933</t>
        </is>
      </c>
      <c r="I564" t="inlineStr">
        <is>
          <t>79</t>
        </is>
      </c>
      <c r="J564" t="inlineStr">
        <is>
          <t>FL</t>
        </is>
      </c>
      <c r="K564" t="inlineStr">
        <is>
          <t>United Secured Capital 8</t>
        </is>
      </c>
      <c r="L564" t="inlineStr">
        <is>
          <t>New Deal</t>
        </is>
      </c>
      <c r="M564" s="298" t="n">
        <v>1.49</v>
      </c>
      <c r="N564" s="299" t="n">
        <v>20000</v>
      </c>
      <c r="O564" s="299" t="n">
        <v>2800</v>
      </c>
      <c r="P564" s="299" t="n">
        <v>29800</v>
      </c>
      <c r="Q564" s="299" t="n">
        <v>29800</v>
      </c>
      <c r="R564" s="299" t="n">
        <v>0</v>
      </c>
      <c r="S564" s="300" t="n">
        <v>1</v>
      </c>
      <c r="T564" t="n">
        <v>3.279</v>
      </c>
      <c r="U564" t="n">
        <v>0</v>
      </c>
      <c r="V564" t="n">
        <v>76345.67</v>
      </c>
      <c r="W564" s="300" t="n">
        <v>0.082</v>
      </c>
      <c r="X564" s="297" t="n"/>
      <c r="Y564">
        <f>IF(I564="","No SIC",IFERROR(VLOOKUP(I564,Ref!$A$2:$B$65,2,FALSE),"Unclassified"))</f>
        <v/>
      </c>
      <c r="Z564">
        <f>IF(T564="","",IF(T564&lt;12,"Daily","Weekly"))</f>
        <v/>
      </c>
      <c r="AA564">
        <f>IF(T564="",0,IF(T564&lt;12,T564*Controls!$B$29,T564*5))</f>
        <v/>
      </c>
      <c r="AB564">
        <f>IF(E564="",0,NETWORKDAYS(E564,Controls!$B$36,Ref!$K$2:$K$42))</f>
        <v/>
      </c>
      <c r="AC564">
        <f>IF(AND(AA564&gt;0,AB564&gt;=Controls!$B$39*AA564),1,0)</f>
        <v/>
      </c>
      <c r="AD564">
        <f>IF(AND(E564&lt;&gt;"",E564&gt;=Controls!$B$37,E564&lt;=Controls!$B$38),1,0)</f>
        <v/>
      </c>
      <c r="AE564">
        <f>IF(IFERROR(VLOOKUP(D564,Controls!$A$64:$E$74,2,FALSE),"No")="Yes",1,0)</f>
        <v/>
      </c>
      <c r="AF564">
        <f>IF(IFERROR(VLOOKUP(D564,Controls!$A$64:$E$74,3,FALSE),"No")="Yes",1,0)</f>
        <v/>
      </c>
      <c r="AG564">
        <f>IF(IFERROR(VLOOKUP(D564,Controls!$A$64:$E$74,4,FALSE),"No")="Yes",1,0)</f>
        <v/>
      </c>
      <c r="AH564">
        <f>IF(IFERROR(VLOOKUP(D564,Controls!$A$64:$E$74,5,FALSE),"No")="Yes",1,0)</f>
        <v/>
      </c>
      <c r="AI564">
        <f>IF(ISNUMBER(MATCH(D564,Controls!$A$64:$A$74,0)),1,0)</f>
        <v/>
      </c>
      <c r="AJ564">
        <f>Q564-N564</f>
        <v/>
      </c>
      <c r="AK564">
        <f>IF(AE564=1,MAX(0,N564-Q564),0)</f>
        <v/>
      </c>
      <c r="AL564">
        <f>IF(OR(V564="",V564=0),0,N564/V564)</f>
        <v/>
      </c>
      <c r="AM564">
        <f>IF(OR(V564="",V564=0),0,1)</f>
        <v/>
      </c>
      <c r="AN564">
        <f>IF(OR(E564="",F564=""),0,NETWORKDAYS(E564,F564,Ref!$K$2:$K$42))</f>
        <v/>
      </c>
      <c r="AO564">
        <f>IF(L564="Renewal",1,0)</f>
        <v/>
      </c>
      <c r="AP564">
        <f>AC564*AD564</f>
        <v/>
      </c>
      <c r="AQ564">
        <f>IF(AND(G564&lt;&gt;"",'Historical Score'!$C$6&lt;&gt;""),IF(G564='Historical Score'!$C$6,1,0),0)</f>
        <v/>
      </c>
      <c r="AR564">
        <f>IF(AND(L564&lt;&gt;"",'Historical Score'!$C$5&lt;&gt;""),IF(L564='Historical Score'!$C$5,1,0),0)</f>
        <v/>
      </c>
      <c r="AS564">
        <f>IF(AND(Y564&lt;&gt;"",'Historical Score'!$C$7&lt;&gt;""),IF(Y564='Historical Score'!$C$7,1,0),0)</f>
        <v/>
      </c>
      <c r="AT564">
        <f>IF(AND(K564&lt;&gt;"",'Historical Score'!$C$8&lt;&gt;""),IF(K564='Historical Score'!$C$8,1,0),0)</f>
        <v/>
      </c>
      <c r="AU564">
        <f>IF(AND(J564&lt;&gt;"",'Historical Score'!$C$9&lt;&gt;""),IF(J564='Historical Score'!$C$9,1,0),0)</f>
        <v/>
      </c>
      <c r="AV564">
        <f>AR564*AS564*AQ564</f>
        <v/>
      </c>
      <c r="AW564">
        <f>AR564*AT564*AQ564</f>
        <v/>
      </c>
      <c r="AX564">
        <f>AR564*AS564</f>
        <v/>
      </c>
      <c r="AY564">
        <f>AR564*AT564</f>
        <v/>
      </c>
      <c r="AZ564">
        <f>AR564*AQ564</f>
        <v/>
      </c>
      <c r="BA564">
        <f>AR564</f>
        <v/>
      </c>
      <c r="BB564">
        <f>1</f>
        <v/>
      </c>
      <c r="BC564">
        <f>IF(AV564=1,1,IF(AW564=1,2,IF(AX564=1,3,IF(AY564=1,4,IF(AZ564=1,5,IF(BA564=1,6,7))))))</f>
        <v/>
      </c>
      <c r="BD564">
        <f>IF(AD564=1,CHOOSE('Historical Score'!$C$29,AV564,AW564,AX564,AY564,AZ564,BA564,BB564),0)</f>
        <v/>
      </c>
      <c r="BE564">
        <f>IF(BD564=1,COUNTIF($BD$2:BD564,1),"")</f>
        <v/>
      </c>
    </row>
    <row r="565">
      <c r="A565" t="inlineStr">
        <is>
          <t>5674177117</t>
        </is>
      </c>
      <c r="B565" t="inlineStr">
        <is>
          <t>TEAMWORK TOWN INC</t>
        </is>
      </c>
      <c r="C565" t="inlineStr">
        <is>
          <t>TEAMWORK TOWN INC</t>
        </is>
      </c>
      <c r="D565" t="inlineStr">
        <is>
          <t>Closed</t>
        </is>
      </c>
      <c r="E565" s="297" t="n">
        <v>46045</v>
      </c>
      <c r="F565" s="297" t="n">
        <v>46224</v>
      </c>
      <c r="G565" t="n">
        <v>2</v>
      </c>
      <c r="H565" t="inlineStr">
        <is>
          <t>1521</t>
        </is>
      </c>
      <c r="I565" t="inlineStr">
        <is>
          <t>15</t>
        </is>
      </c>
      <c r="J565" t="inlineStr">
        <is>
          <t>TX</t>
        </is>
      </c>
      <c r="K565" t="inlineStr">
        <is>
          <t>Westwood</t>
        </is>
      </c>
      <c r="L565" t="inlineStr">
        <is>
          <t>New Deal</t>
        </is>
      </c>
      <c r="M565" s="298" t="n">
        <v>1.4</v>
      </c>
      <c r="N565" s="299" t="n">
        <v>30000</v>
      </c>
      <c r="O565" s="299" t="n">
        <v>2850</v>
      </c>
      <c r="P565" s="299" t="n">
        <v>42000</v>
      </c>
      <c r="Q565" s="299" t="n">
        <v>42000</v>
      </c>
      <c r="R565" s="299" t="n">
        <v>0</v>
      </c>
      <c r="S565" s="300" t="n">
        <v>1</v>
      </c>
      <c r="T565" t="n">
        <v>20</v>
      </c>
      <c r="U565" t="n">
        <v>5</v>
      </c>
      <c r="V565" t="n">
        <v>159888.75</v>
      </c>
      <c r="W565" s="300" t="n">
        <v>0.0525</v>
      </c>
      <c r="X565" s="297" t="n">
        <v>44094</v>
      </c>
      <c r="Y565">
        <f>IF(I565="","No SIC",IFERROR(VLOOKUP(I565,Ref!$A$2:$B$65,2,FALSE),"Unclassified"))</f>
        <v/>
      </c>
      <c r="Z565">
        <f>IF(T565="","",IF(T565&lt;12,"Daily","Weekly"))</f>
        <v/>
      </c>
      <c r="AA565">
        <f>IF(T565="",0,IF(T565&lt;12,T565*Controls!$B$29,T565*5))</f>
        <v/>
      </c>
      <c r="AB565">
        <f>IF(E565="",0,NETWORKDAYS(E565,Controls!$B$36,Ref!$K$2:$K$42))</f>
        <v/>
      </c>
      <c r="AC565">
        <f>IF(AND(AA565&gt;0,AB565&gt;=Controls!$B$39*AA565),1,0)</f>
        <v/>
      </c>
      <c r="AD565">
        <f>IF(AND(E565&lt;&gt;"",E565&gt;=Controls!$B$37,E565&lt;=Controls!$B$38),1,0)</f>
        <v/>
      </c>
      <c r="AE565">
        <f>IF(IFERROR(VLOOKUP(D565,Controls!$A$64:$E$74,2,FALSE),"No")="Yes",1,0)</f>
        <v/>
      </c>
      <c r="AF565">
        <f>IF(IFERROR(VLOOKUP(D565,Controls!$A$64:$E$74,3,FALSE),"No")="Yes",1,0)</f>
        <v/>
      </c>
      <c r="AG565">
        <f>IF(IFERROR(VLOOKUP(D565,Controls!$A$64:$E$74,4,FALSE),"No")="Yes",1,0)</f>
        <v/>
      </c>
      <c r="AH565">
        <f>IF(IFERROR(VLOOKUP(D565,Controls!$A$64:$E$74,5,FALSE),"No")="Yes",1,0)</f>
        <v/>
      </c>
      <c r="AI565">
        <f>IF(ISNUMBER(MATCH(D565,Controls!$A$64:$A$74,0)),1,0)</f>
        <v/>
      </c>
      <c r="AJ565">
        <f>Q565-N565</f>
        <v/>
      </c>
      <c r="AK565">
        <f>IF(AE565=1,MAX(0,N565-Q565),0)</f>
        <v/>
      </c>
      <c r="AL565">
        <f>IF(OR(V565="",V565=0),0,N565/V565)</f>
        <v/>
      </c>
      <c r="AM565">
        <f>IF(OR(V565="",V565=0),0,1)</f>
        <v/>
      </c>
      <c r="AN565">
        <f>IF(OR(E565="",F565=""),0,NETWORKDAYS(E565,F565,Ref!$K$2:$K$42))</f>
        <v/>
      </c>
      <c r="AO565">
        <f>IF(L565="Renewal",1,0)</f>
        <v/>
      </c>
      <c r="AP565">
        <f>AC565*AD565</f>
        <v/>
      </c>
      <c r="AQ565">
        <f>IF(AND(G565&lt;&gt;"",'Historical Score'!$C$6&lt;&gt;""),IF(G565='Historical Score'!$C$6,1,0),0)</f>
        <v/>
      </c>
      <c r="AR565">
        <f>IF(AND(L565&lt;&gt;"",'Historical Score'!$C$5&lt;&gt;""),IF(L565='Historical Score'!$C$5,1,0),0)</f>
        <v/>
      </c>
      <c r="AS565">
        <f>IF(AND(Y565&lt;&gt;"",'Historical Score'!$C$7&lt;&gt;""),IF(Y565='Historical Score'!$C$7,1,0),0)</f>
        <v/>
      </c>
      <c r="AT565">
        <f>IF(AND(K565&lt;&gt;"",'Historical Score'!$C$8&lt;&gt;""),IF(K565='Historical Score'!$C$8,1,0),0)</f>
        <v/>
      </c>
      <c r="AU565">
        <f>IF(AND(J565&lt;&gt;"",'Historical Score'!$C$9&lt;&gt;""),IF(J565='Historical Score'!$C$9,1,0),0)</f>
        <v/>
      </c>
      <c r="AV565">
        <f>AR565*AS565*AQ565</f>
        <v/>
      </c>
      <c r="AW565">
        <f>AR565*AT565*AQ565</f>
        <v/>
      </c>
      <c r="AX565">
        <f>AR565*AS565</f>
        <v/>
      </c>
      <c r="AY565">
        <f>AR565*AT565</f>
        <v/>
      </c>
      <c r="AZ565">
        <f>AR565*AQ565</f>
        <v/>
      </c>
      <c r="BA565">
        <f>AR565</f>
        <v/>
      </c>
      <c r="BB565">
        <f>1</f>
        <v/>
      </c>
      <c r="BC565">
        <f>IF(AV565=1,1,IF(AW565=1,2,IF(AX565=1,3,IF(AY565=1,4,IF(AZ565=1,5,IF(BA565=1,6,7))))))</f>
        <v/>
      </c>
      <c r="BD565">
        <f>IF(AD565=1,CHOOSE('Historical Score'!$C$29,AV565,AW565,AX565,AY565,AZ565,BA565,BB565),0)</f>
        <v/>
      </c>
      <c r="BE565">
        <f>IF(BD565=1,COUNTIF($BD$2:BD565,1),"")</f>
        <v/>
      </c>
    </row>
    <row r="566">
      <c r="A566" t="inlineStr">
        <is>
          <t>5674177118</t>
        </is>
      </c>
      <c r="B566" t="inlineStr">
        <is>
          <t>SKEENS RESTORATION &amp; CONSTRUCTION LLC</t>
        </is>
      </c>
      <c r="C566" t="inlineStr">
        <is>
          <t>SKEENS RESTORATION &amp; CONSTRUCTION LLC</t>
        </is>
      </c>
      <c r="D566" t="inlineStr">
        <is>
          <t>Closed</t>
        </is>
      </c>
      <c r="E566" s="297" t="n">
        <v>46045</v>
      </c>
      <c r="F566" s="297" t="n">
        <v>46156</v>
      </c>
      <c r="G566" t="n">
        <v>2</v>
      </c>
      <c r="H566" t="inlineStr">
        <is>
          <t>1521</t>
        </is>
      </c>
      <c r="I566" t="inlineStr">
        <is>
          <t>15</t>
        </is>
      </c>
      <c r="J566" t="inlineStr">
        <is>
          <t>TN</t>
        </is>
      </c>
      <c r="K566" t="inlineStr">
        <is>
          <t>United Secured Capital 8</t>
        </is>
      </c>
      <c r="L566" t="inlineStr">
        <is>
          <t>New Deal</t>
        </is>
      </c>
      <c r="M566" s="298" t="n">
        <v>1.49</v>
      </c>
      <c r="N566" s="299" t="n">
        <v>10000</v>
      </c>
      <c r="O566" s="299" t="n">
        <v>1400</v>
      </c>
      <c r="P566" s="299" t="n">
        <v>14900</v>
      </c>
      <c r="Q566" s="299" t="n">
        <v>14900</v>
      </c>
      <c r="R566" s="299" t="n">
        <v>0</v>
      </c>
      <c r="S566" s="300" t="n">
        <v>1</v>
      </c>
      <c r="T566" t="n">
        <v>24</v>
      </c>
      <c r="U566" t="n">
        <v>1</v>
      </c>
      <c r="V566" t="n">
        <v>117415.63</v>
      </c>
      <c r="W566" s="300" t="n">
        <v>0.0211</v>
      </c>
      <c r="X566" s="297" t="n"/>
      <c r="Y566">
        <f>IF(I566="","No SIC",IFERROR(VLOOKUP(I566,Ref!$A$2:$B$65,2,FALSE),"Unclassified"))</f>
        <v/>
      </c>
      <c r="Z566">
        <f>IF(T566="","",IF(T566&lt;12,"Daily","Weekly"))</f>
        <v/>
      </c>
      <c r="AA566">
        <f>IF(T566="",0,IF(T566&lt;12,T566*Controls!$B$29,T566*5))</f>
        <v/>
      </c>
      <c r="AB566">
        <f>IF(E566="",0,NETWORKDAYS(E566,Controls!$B$36,Ref!$K$2:$K$42))</f>
        <v/>
      </c>
      <c r="AC566">
        <f>IF(AND(AA566&gt;0,AB566&gt;=Controls!$B$39*AA566),1,0)</f>
        <v/>
      </c>
      <c r="AD566">
        <f>IF(AND(E566&lt;&gt;"",E566&gt;=Controls!$B$37,E566&lt;=Controls!$B$38),1,0)</f>
        <v/>
      </c>
      <c r="AE566">
        <f>IF(IFERROR(VLOOKUP(D566,Controls!$A$64:$E$74,2,FALSE),"No")="Yes",1,0)</f>
        <v/>
      </c>
      <c r="AF566">
        <f>IF(IFERROR(VLOOKUP(D566,Controls!$A$64:$E$74,3,FALSE),"No")="Yes",1,0)</f>
        <v/>
      </c>
      <c r="AG566">
        <f>IF(IFERROR(VLOOKUP(D566,Controls!$A$64:$E$74,4,FALSE),"No")="Yes",1,0)</f>
        <v/>
      </c>
      <c r="AH566">
        <f>IF(IFERROR(VLOOKUP(D566,Controls!$A$64:$E$74,5,FALSE),"No")="Yes",1,0)</f>
        <v/>
      </c>
      <c r="AI566">
        <f>IF(ISNUMBER(MATCH(D566,Controls!$A$64:$A$74,0)),1,0)</f>
        <v/>
      </c>
      <c r="AJ566">
        <f>Q566-N566</f>
        <v/>
      </c>
      <c r="AK566">
        <f>IF(AE566=1,MAX(0,N566-Q566),0)</f>
        <v/>
      </c>
      <c r="AL566">
        <f>IF(OR(V566="",V566=0),0,N566/V566)</f>
        <v/>
      </c>
      <c r="AM566">
        <f>IF(OR(V566="",V566=0),0,1)</f>
        <v/>
      </c>
      <c r="AN566">
        <f>IF(OR(E566="",F566=""),0,NETWORKDAYS(E566,F566,Ref!$K$2:$K$42))</f>
        <v/>
      </c>
      <c r="AO566">
        <f>IF(L566="Renewal",1,0)</f>
        <v/>
      </c>
      <c r="AP566">
        <f>AC566*AD566</f>
        <v/>
      </c>
      <c r="AQ566">
        <f>IF(AND(G566&lt;&gt;"",'Historical Score'!$C$6&lt;&gt;""),IF(G566='Historical Score'!$C$6,1,0),0)</f>
        <v/>
      </c>
      <c r="AR566">
        <f>IF(AND(L566&lt;&gt;"",'Historical Score'!$C$5&lt;&gt;""),IF(L566='Historical Score'!$C$5,1,0),0)</f>
        <v/>
      </c>
      <c r="AS566">
        <f>IF(AND(Y566&lt;&gt;"",'Historical Score'!$C$7&lt;&gt;""),IF(Y566='Historical Score'!$C$7,1,0),0)</f>
        <v/>
      </c>
      <c r="AT566">
        <f>IF(AND(K566&lt;&gt;"",'Historical Score'!$C$8&lt;&gt;""),IF(K566='Historical Score'!$C$8,1,0),0)</f>
        <v/>
      </c>
      <c r="AU566">
        <f>IF(AND(J566&lt;&gt;"",'Historical Score'!$C$9&lt;&gt;""),IF(J566='Historical Score'!$C$9,1,0),0)</f>
        <v/>
      </c>
      <c r="AV566">
        <f>AR566*AS566*AQ566</f>
        <v/>
      </c>
      <c r="AW566">
        <f>AR566*AT566*AQ566</f>
        <v/>
      </c>
      <c r="AX566">
        <f>AR566*AS566</f>
        <v/>
      </c>
      <c r="AY566">
        <f>AR566*AT566</f>
        <v/>
      </c>
      <c r="AZ566">
        <f>AR566*AQ566</f>
        <v/>
      </c>
      <c r="BA566">
        <f>AR566</f>
        <v/>
      </c>
      <c r="BB566">
        <f>1</f>
        <v/>
      </c>
      <c r="BC566">
        <f>IF(AV566=1,1,IF(AW566=1,2,IF(AX566=1,3,IF(AY566=1,4,IF(AZ566=1,5,IF(BA566=1,6,7))))))</f>
        <v/>
      </c>
      <c r="BD566">
        <f>IF(AD566=1,CHOOSE('Historical Score'!$C$29,AV566,AW566,AX566,AY566,AZ566,BA566,BB566),0)</f>
        <v/>
      </c>
      <c r="BE566">
        <f>IF(BD566=1,COUNTIF($BD$2:BD566,1),"")</f>
        <v/>
      </c>
    </row>
    <row r="567">
      <c r="A567" t="inlineStr">
        <is>
          <t>5674177144</t>
        </is>
      </c>
      <c r="B567" t="inlineStr">
        <is>
          <t>Terry Mann Floors</t>
        </is>
      </c>
      <c r="C567" t="inlineStr">
        <is>
          <t>Terry Mann LLC</t>
        </is>
      </c>
      <c r="D567" t="inlineStr">
        <is>
          <t>Closed</t>
        </is>
      </c>
      <c r="E567" s="297" t="n">
        <v>46048</v>
      </c>
      <c r="F567" s="297" t="n">
        <v>46170</v>
      </c>
      <c r="G567" t="n">
        <v>1</v>
      </c>
      <c r="H567" t="inlineStr">
        <is>
          <t>1521</t>
        </is>
      </c>
      <c r="I567" t="inlineStr">
        <is>
          <t>15</t>
        </is>
      </c>
      <c r="J567" t="inlineStr">
        <is>
          <t>TX</t>
        </is>
      </c>
      <c r="K567" t="inlineStr">
        <is>
          <t>Merchant ReFi</t>
        </is>
      </c>
      <c r="L567" t="inlineStr">
        <is>
          <t>Renewal</t>
        </is>
      </c>
      <c r="M567" s="298" t="n">
        <v>1.49</v>
      </c>
      <c r="N567" s="299" t="n">
        <v>25000</v>
      </c>
      <c r="O567" s="299" t="n">
        <v>3500</v>
      </c>
      <c r="P567" s="299" t="n">
        <v>37250</v>
      </c>
      <c r="Q567" s="299" t="n">
        <v>37250</v>
      </c>
      <c r="R567" s="299" t="n">
        <v>0</v>
      </c>
      <c r="S567" s="300" t="n">
        <v>1</v>
      </c>
      <c r="T567" t="n">
        <v>22</v>
      </c>
      <c r="U567" t="n">
        <v>0</v>
      </c>
      <c r="V567" t="n">
        <v>117856.17</v>
      </c>
      <c r="W567" s="300" t="n">
        <v>0.0683</v>
      </c>
      <c r="X567" s="297" t="n">
        <v>43329</v>
      </c>
      <c r="Y567">
        <f>IF(I567="","No SIC",IFERROR(VLOOKUP(I567,Ref!$A$2:$B$65,2,FALSE),"Unclassified"))</f>
        <v/>
      </c>
      <c r="Z567">
        <f>IF(T567="","",IF(T567&lt;12,"Daily","Weekly"))</f>
        <v/>
      </c>
      <c r="AA567">
        <f>IF(T567="",0,IF(T567&lt;12,T567*Controls!$B$29,T567*5))</f>
        <v/>
      </c>
      <c r="AB567">
        <f>IF(E567="",0,NETWORKDAYS(E567,Controls!$B$36,Ref!$K$2:$K$42))</f>
        <v/>
      </c>
      <c r="AC567">
        <f>IF(AND(AA567&gt;0,AB567&gt;=Controls!$B$39*AA567),1,0)</f>
        <v/>
      </c>
      <c r="AD567">
        <f>IF(AND(E567&lt;&gt;"",E567&gt;=Controls!$B$37,E567&lt;=Controls!$B$38),1,0)</f>
        <v/>
      </c>
      <c r="AE567">
        <f>IF(IFERROR(VLOOKUP(D567,Controls!$A$64:$E$74,2,FALSE),"No")="Yes",1,0)</f>
        <v/>
      </c>
      <c r="AF567">
        <f>IF(IFERROR(VLOOKUP(D567,Controls!$A$64:$E$74,3,FALSE),"No")="Yes",1,0)</f>
        <v/>
      </c>
      <c r="AG567">
        <f>IF(IFERROR(VLOOKUP(D567,Controls!$A$64:$E$74,4,FALSE),"No")="Yes",1,0)</f>
        <v/>
      </c>
      <c r="AH567">
        <f>IF(IFERROR(VLOOKUP(D567,Controls!$A$64:$E$74,5,FALSE),"No")="Yes",1,0)</f>
        <v/>
      </c>
      <c r="AI567">
        <f>IF(ISNUMBER(MATCH(D567,Controls!$A$64:$A$74,0)),1,0)</f>
        <v/>
      </c>
      <c r="AJ567">
        <f>Q567-N567</f>
        <v/>
      </c>
      <c r="AK567">
        <f>IF(AE567=1,MAX(0,N567-Q567),0)</f>
        <v/>
      </c>
      <c r="AL567">
        <f>IF(OR(V567="",V567=0),0,N567/V567)</f>
        <v/>
      </c>
      <c r="AM567">
        <f>IF(OR(V567="",V567=0),0,1)</f>
        <v/>
      </c>
      <c r="AN567">
        <f>IF(OR(E567="",F567=""),0,NETWORKDAYS(E567,F567,Ref!$K$2:$K$42))</f>
        <v/>
      </c>
      <c r="AO567">
        <f>IF(L567="Renewal",1,0)</f>
        <v/>
      </c>
      <c r="AP567">
        <f>AC567*AD567</f>
        <v/>
      </c>
      <c r="AQ567">
        <f>IF(AND(G567&lt;&gt;"",'Historical Score'!$C$6&lt;&gt;""),IF(G567='Historical Score'!$C$6,1,0),0)</f>
        <v/>
      </c>
      <c r="AR567">
        <f>IF(AND(L567&lt;&gt;"",'Historical Score'!$C$5&lt;&gt;""),IF(L567='Historical Score'!$C$5,1,0),0)</f>
        <v/>
      </c>
      <c r="AS567">
        <f>IF(AND(Y567&lt;&gt;"",'Historical Score'!$C$7&lt;&gt;""),IF(Y567='Historical Score'!$C$7,1,0),0)</f>
        <v/>
      </c>
      <c r="AT567">
        <f>IF(AND(K567&lt;&gt;"",'Historical Score'!$C$8&lt;&gt;""),IF(K567='Historical Score'!$C$8,1,0),0)</f>
        <v/>
      </c>
      <c r="AU567">
        <f>IF(AND(J567&lt;&gt;"",'Historical Score'!$C$9&lt;&gt;""),IF(J567='Historical Score'!$C$9,1,0),0)</f>
        <v/>
      </c>
      <c r="AV567">
        <f>AR567*AS567*AQ567</f>
        <v/>
      </c>
      <c r="AW567">
        <f>AR567*AT567*AQ567</f>
        <v/>
      </c>
      <c r="AX567">
        <f>AR567*AS567</f>
        <v/>
      </c>
      <c r="AY567">
        <f>AR567*AT567</f>
        <v/>
      </c>
      <c r="AZ567">
        <f>AR567*AQ567</f>
        <v/>
      </c>
      <c r="BA567">
        <f>AR567</f>
        <v/>
      </c>
      <c r="BB567">
        <f>1</f>
        <v/>
      </c>
      <c r="BC567">
        <f>IF(AV567=1,1,IF(AW567=1,2,IF(AX567=1,3,IF(AY567=1,4,IF(AZ567=1,5,IF(BA567=1,6,7))))))</f>
        <v/>
      </c>
      <c r="BD567">
        <f>IF(AD567=1,CHOOSE('Historical Score'!$C$29,AV567,AW567,AX567,AY567,AZ567,BA567,BB567),0)</f>
        <v/>
      </c>
      <c r="BE567">
        <f>IF(BD567=1,COUNTIF($BD$2:BD567,1),"")</f>
        <v/>
      </c>
    </row>
    <row r="568">
      <c r="A568" t="inlineStr">
        <is>
          <t>5674177170</t>
        </is>
      </c>
      <c r="B568" t="inlineStr">
        <is>
          <t>TASHAV'S CARIBBEAN &amp; SOUL FOOD CUISINE</t>
        </is>
      </c>
      <c r="C568" t="inlineStr">
        <is>
          <t>TASHA'S CARIBBEAN &amp; SOUL FOOD</t>
        </is>
      </c>
      <c r="D568" t="inlineStr">
        <is>
          <t>Closed</t>
        </is>
      </c>
      <c r="E568" s="297" t="n">
        <v>46048</v>
      </c>
      <c r="F568" s="297" t="n">
        <v>46162</v>
      </c>
      <c r="G568" t="n">
        <v>2</v>
      </c>
      <c r="H568" t="inlineStr">
        <is>
          <t>5812</t>
        </is>
      </c>
      <c r="I568" t="inlineStr">
        <is>
          <t>58</t>
        </is>
      </c>
      <c r="J568" t="inlineStr">
        <is>
          <t>NJ</t>
        </is>
      </c>
      <c r="K568" t="inlineStr">
        <is>
          <t>Ballicci</t>
        </is>
      </c>
      <c r="L568" t="inlineStr">
        <is>
          <t>New Deal</t>
        </is>
      </c>
      <c r="M568" s="298" t="n">
        <v>1.49</v>
      </c>
      <c r="N568" s="299" t="n">
        <v>12000</v>
      </c>
      <c r="O568" s="299" t="n">
        <v>1680</v>
      </c>
      <c r="P568" s="299" t="n">
        <v>17880</v>
      </c>
      <c r="Q568" s="299" t="n">
        <v>17880</v>
      </c>
      <c r="R568" s="299" t="n">
        <v>0</v>
      </c>
      <c r="S568" s="300" t="n">
        <v>1</v>
      </c>
      <c r="T568" t="n">
        <v>20</v>
      </c>
      <c r="U568" t="n">
        <v>0</v>
      </c>
      <c r="V568" t="n">
        <v>39147.9</v>
      </c>
      <c r="W568" s="300" t="n">
        <v>0.09130000000000001</v>
      </c>
      <c r="X568" s="297" t="n">
        <v>43466</v>
      </c>
      <c r="Y568">
        <f>IF(I568="","No SIC",IFERROR(VLOOKUP(I568,Ref!$A$2:$B$65,2,FALSE),"Unclassified"))</f>
        <v/>
      </c>
      <c r="Z568">
        <f>IF(T568="","",IF(T568&lt;12,"Daily","Weekly"))</f>
        <v/>
      </c>
      <c r="AA568">
        <f>IF(T568="",0,IF(T568&lt;12,T568*Controls!$B$29,T568*5))</f>
        <v/>
      </c>
      <c r="AB568">
        <f>IF(E568="",0,NETWORKDAYS(E568,Controls!$B$36,Ref!$K$2:$K$42))</f>
        <v/>
      </c>
      <c r="AC568">
        <f>IF(AND(AA568&gt;0,AB568&gt;=Controls!$B$39*AA568),1,0)</f>
        <v/>
      </c>
      <c r="AD568">
        <f>IF(AND(E568&lt;&gt;"",E568&gt;=Controls!$B$37,E568&lt;=Controls!$B$38),1,0)</f>
        <v/>
      </c>
      <c r="AE568">
        <f>IF(IFERROR(VLOOKUP(D568,Controls!$A$64:$E$74,2,FALSE),"No")="Yes",1,0)</f>
        <v/>
      </c>
      <c r="AF568">
        <f>IF(IFERROR(VLOOKUP(D568,Controls!$A$64:$E$74,3,FALSE),"No")="Yes",1,0)</f>
        <v/>
      </c>
      <c r="AG568">
        <f>IF(IFERROR(VLOOKUP(D568,Controls!$A$64:$E$74,4,FALSE),"No")="Yes",1,0)</f>
        <v/>
      </c>
      <c r="AH568">
        <f>IF(IFERROR(VLOOKUP(D568,Controls!$A$64:$E$74,5,FALSE),"No")="Yes",1,0)</f>
        <v/>
      </c>
      <c r="AI568">
        <f>IF(ISNUMBER(MATCH(D568,Controls!$A$64:$A$74,0)),1,0)</f>
        <v/>
      </c>
      <c r="AJ568">
        <f>Q568-N568</f>
        <v/>
      </c>
      <c r="AK568">
        <f>IF(AE568=1,MAX(0,N568-Q568),0)</f>
        <v/>
      </c>
      <c r="AL568">
        <f>IF(OR(V568="",V568=0),0,N568/V568)</f>
        <v/>
      </c>
      <c r="AM568">
        <f>IF(OR(V568="",V568=0),0,1)</f>
        <v/>
      </c>
      <c r="AN568">
        <f>IF(OR(E568="",F568=""),0,NETWORKDAYS(E568,F568,Ref!$K$2:$K$42))</f>
        <v/>
      </c>
      <c r="AO568">
        <f>IF(L568="Renewal",1,0)</f>
        <v/>
      </c>
      <c r="AP568">
        <f>AC568*AD568</f>
        <v/>
      </c>
      <c r="AQ568">
        <f>IF(AND(G568&lt;&gt;"",'Historical Score'!$C$6&lt;&gt;""),IF(G568='Historical Score'!$C$6,1,0),0)</f>
        <v/>
      </c>
      <c r="AR568">
        <f>IF(AND(L568&lt;&gt;"",'Historical Score'!$C$5&lt;&gt;""),IF(L568='Historical Score'!$C$5,1,0),0)</f>
        <v/>
      </c>
      <c r="AS568">
        <f>IF(AND(Y568&lt;&gt;"",'Historical Score'!$C$7&lt;&gt;""),IF(Y568='Historical Score'!$C$7,1,0),0)</f>
        <v/>
      </c>
      <c r="AT568">
        <f>IF(AND(K568&lt;&gt;"",'Historical Score'!$C$8&lt;&gt;""),IF(K568='Historical Score'!$C$8,1,0),0)</f>
        <v/>
      </c>
      <c r="AU568">
        <f>IF(AND(J568&lt;&gt;"",'Historical Score'!$C$9&lt;&gt;""),IF(J568='Historical Score'!$C$9,1,0),0)</f>
        <v/>
      </c>
      <c r="AV568">
        <f>AR568*AS568*AQ568</f>
        <v/>
      </c>
      <c r="AW568">
        <f>AR568*AT568*AQ568</f>
        <v/>
      </c>
      <c r="AX568">
        <f>AR568*AS568</f>
        <v/>
      </c>
      <c r="AY568">
        <f>AR568*AT568</f>
        <v/>
      </c>
      <c r="AZ568">
        <f>AR568*AQ568</f>
        <v/>
      </c>
      <c r="BA568">
        <f>AR568</f>
        <v/>
      </c>
      <c r="BB568">
        <f>1</f>
        <v/>
      </c>
      <c r="BC568">
        <f>IF(AV568=1,1,IF(AW568=1,2,IF(AX568=1,3,IF(AY568=1,4,IF(AZ568=1,5,IF(BA568=1,6,7))))))</f>
        <v/>
      </c>
      <c r="BD568">
        <f>IF(AD568=1,CHOOSE('Historical Score'!$C$29,AV568,AW568,AX568,AY568,AZ568,BA568,BB568),0)</f>
        <v/>
      </c>
      <c r="BE568">
        <f>IF(BD568=1,COUNTIF($BD$2:BD568,1),"")</f>
        <v/>
      </c>
    </row>
    <row r="569">
      <c r="A569" t="inlineStr">
        <is>
          <t>5674177183</t>
        </is>
      </c>
      <c r="B569" t="inlineStr">
        <is>
          <t>JWS OUTPOST 421 LLC</t>
        </is>
      </c>
      <c r="C569" t="inlineStr">
        <is>
          <t>JWS OUTPOST 421 LLC</t>
        </is>
      </c>
      <c r="D569" t="inlineStr">
        <is>
          <t>Legal</t>
        </is>
      </c>
      <c r="E569" s="297" t="n">
        <v>46048</v>
      </c>
      <c r="F569" s="297" t="n">
        <v>46150</v>
      </c>
      <c r="G569" t="n">
        <v>1</v>
      </c>
      <c r="H569" t="inlineStr">
        <is>
          <t>5399</t>
        </is>
      </c>
      <c r="I569" t="inlineStr">
        <is>
          <t>53</t>
        </is>
      </c>
      <c r="J569" t="inlineStr">
        <is>
          <t>IN</t>
        </is>
      </c>
      <c r="K569" t="inlineStr">
        <is>
          <t>United Secured Capital 8</t>
        </is>
      </c>
      <c r="L569" t="inlineStr">
        <is>
          <t>New Deal</t>
        </is>
      </c>
      <c r="M569" s="298" t="n">
        <v>1.49</v>
      </c>
      <c r="N569" s="299" t="n">
        <v>21000</v>
      </c>
      <c r="O569" s="299" t="n">
        <v>0</v>
      </c>
      <c r="P569" s="299" t="n">
        <v>31290</v>
      </c>
      <c r="Q569" s="299" t="n">
        <v>3489.82</v>
      </c>
      <c r="R569" s="299" t="n">
        <v>27800.18</v>
      </c>
      <c r="S569" s="300" t="n">
        <v>0.111531479705976</v>
      </c>
      <c r="T569" t="n">
        <v>24</v>
      </c>
      <c r="U569" t="n">
        <v>13</v>
      </c>
      <c r="V569" t="n">
        <v>93274.12</v>
      </c>
      <c r="W569" s="300" t="n">
        <v>0.0559</v>
      </c>
      <c r="X569" s="297" t="n"/>
      <c r="Y569">
        <f>IF(I569="","No SIC",IFERROR(VLOOKUP(I569,Ref!$A$2:$B$65,2,FALSE),"Unclassified"))</f>
        <v/>
      </c>
      <c r="Z569">
        <f>IF(T569="","",IF(T569&lt;12,"Daily","Weekly"))</f>
        <v/>
      </c>
      <c r="AA569">
        <f>IF(T569="",0,IF(T569&lt;12,T569*Controls!$B$29,T569*5))</f>
        <v/>
      </c>
      <c r="AB569">
        <f>IF(E569="",0,NETWORKDAYS(E569,Controls!$B$36,Ref!$K$2:$K$42))</f>
        <v/>
      </c>
      <c r="AC569">
        <f>IF(AND(AA569&gt;0,AB569&gt;=Controls!$B$39*AA569),1,0)</f>
        <v/>
      </c>
      <c r="AD569">
        <f>IF(AND(E569&lt;&gt;"",E569&gt;=Controls!$B$37,E569&lt;=Controls!$B$38),1,0)</f>
        <v/>
      </c>
      <c r="AE569">
        <f>IF(IFERROR(VLOOKUP(D569,Controls!$A$64:$E$74,2,FALSE),"No")="Yes",1,0)</f>
        <v/>
      </c>
      <c r="AF569">
        <f>IF(IFERROR(VLOOKUP(D569,Controls!$A$64:$E$74,3,FALSE),"No")="Yes",1,0)</f>
        <v/>
      </c>
      <c r="AG569">
        <f>IF(IFERROR(VLOOKUP(D569,Controls!$A$64:$E$74,4,FALSE),"No")="Yes",1,0)</f>
        <v/>
      </c>
      <c r="AH569">
        <f>IF(IFERROR(VLOOKUP(D569,Controls!$A$64:$E$74,5,FALSE),"No")="Yes",1,0)</f>
        <v/>
      </c>
      <c r="AI569">
        <f>IF(ISNUMBER(MATCH(D569,Controls!$A$64:$A$74,0)),1,0)</f>
        <v/>
      </c>
      <c r="AJ569">
        <f>Q569-N569</f>
        <v/>
      </c>
      <c r="AK569">
        <f>IF(AE569=1,MAX(0,N569-Q569),0)</f>
        <v/>
      </c>
      <c r="AL569">
        <f>IF(OR(V569="",V569=0),0,N569/V569)</f>
        <v/>
      </c>
      <c r="AM569">
        <f>IF(OR(V569="",V569=0),0,1)</f>
        <v/>
      </c>
      <c r="AN569">
        <f>IF(OR(E569="",F569=""),0,NETWORKDAYS(E569,F569,Ref!$K$2:$K$42))</f>
        <v/>
      </c>
      <c r="AO569">
        <f>IF(L569="Renewal",1,0)</f>
        <v/>
      </c>
      <c r="AP569">
        <f>AC569*AD569</f>
        <v/>
      </c>
      <c r="AQ569">
        <f>IF(AND(G569&lt;&gt;"",'Historical Score'!$C$6&lt;&gt;""),IF(G569='Historical Score'!$C$6,1,0),0)</f>
        <v/>
      </c>
      <c r="AR569">
        <f>IF(AND(L569&lt;&gt;"",'Historical Score'!$C$5&lt;&gt;""),IF(L569='Historical Score'!$C$5,1,0),0)</f>
        <v/>
      </c>
      <c r="AS569">
        <f>IF(AND(Y569&lt;&gt;"",'Historical Score'!$C$7&lt;&gt;""),IF(Y569='Historical Score'!$C$7,1,0),0)</f>
        <v/>
      </c>
      <c r="AT569">
        <f>IF(AND(K569&lt;&gt;"",'Historical Score'!$C$8&lt;&gt;""),IF(K569='Historical Score'!$C$8,1,0),0)</f>
        <v/>
      </c>
      <c r="AU569">
        <f>IF(AND(J569&lt;&gt;"",'Historical Score'!$C$9&lt;&gt;""),IF(J569='Historical Score'!$C$9,1,0),0)</f>
        <v/>
      </c>
      <c r="AV569">
        <f>AR569*AS569*AQ569</f>
        <v/>
      </c>
      <c r="AW569">
        <f>AR569*AT569*AQ569</f>
        <v/>
      </c>
      <c r="AX569">
        <f>AR569*AS569</f>
        <v/>
      </c>
      <c r="AY569">
        <f>AR569*AT569</f>
        <v/>
      </c>
      <c r="AZ569">
        <f>AR569*AQ569</f>
        <v/>
      </c>
      <c r="BA569">
        <f>AR569</f>
        <v/>
      </c>
      <c r="BB569">
        <f>1</f>
        <v/>
      </c>
      <c r="BC569">
        <f>IF(AV569=1,1,IF(AW569=1,2,IF(AX569=1,3,IF(AY569=1,4,IF(AZ569=1,5,IF(BA569=1,6,7))))))</f>
        <v/>
      </c>
      <c r="BD569">
        <f>IF(AD569=1,CHOOSE('Historical Score'!$C$29,AV569,AW569,AX569,AY569,AZ569,BA569,BB569),0)</f>
        <v/>
      </c>
      <c r="BE569">
        <f>IF(BD569=1,COUNTIF($BD$2:BD569,1),"")</f>
        <v/>
      </c>
    </row>
    <row r="570">
      <c r="A570" t="inlineStr">
        <is>
          <t>5674177232</t>
        </is>
      </c>
      <c r="B570" t="inlineStr">
        <is>
          <t>Good Living Expositions Inc</t>
        </is>
      </c>
      <c r="C570" t="inlineStr">
        <is>
          <t>Good Living Expositions Inc</t>
        </is>
      </c>
      <c r="D570" t="inlineStr">
        <is>
          <t>In House Collection</t>
        </is>
      </c>
      <c r="E570" s="297" t="n">
        <v>46049</v>
      </c>
      <c r="F570" s="297" t="n">
        <v>46135</v>
      </c>
      <c r="G570" t="n">
        <v>3</v>
      </c>
      <c r="H570" t="inlineStr">
        <is>
          <t>5999</t>
        </is>
      </c>
      <c r="I570" t="inlineStr">
        <is>
          <t>59</t>
        </is>
      </c>
      <c r="J570" t="inlineStr">
        <is>
          <t>FL</t>
        </is>
      </c>
      <c r="K570" t="inlineStr">
        <is>
          <t>Ballicci</t>
        </is>
      </c>
      <c r="L570" t="inlineStr">
        <is>
          <t>New Deal</t>
        </is>
      </c>
      <c r="M570" s="298" t="n">
        <v>1.49</v>
      </c>
      <c r="N570" s="299" t="n">
        <v>40000</v>
      </c>
      <c r="O570" s="299" t="n">
        <v>5600</v>
      </c>
      <c r="P570" s="299" t="n">
        <v>59600</v>
      </c>
      <c r="Q570" s="299" t="n">
        <v>21775.7</v>
      </c>
      <c r="R570" s="299" t="n">
        <v>37824.3</v>
      </c>
      <c r="S570" s="300" t="n">
        <v>0.365364093959732</v>
      </c>
      <c r="T570" t="n">
        <v>28</v>
      </c>
      <c r="U570" t="n">
        <v>1</v>
      </c>
      <c r="V570" t="n">
        <v>56572.13</v>
      </c>
      <c r="W570" s="300" t="n">
        <v>0.1505</v>
      </c>
      <c r="X570" s="297" t="n"/>
      <c r="Y570">
        <f>IF(I570="","No SIC",IFERROR(VLOOKUP(I570,Ref!$A$2:$B$65,2,FALSE),"Unclassified"))</f>
        <v/>
      </c>
      <c r="Z570">
        <f>IF(T570="","",IF(T570&lt;12,"Daily","Weekly"))</f>
        <v/>
      </c>
      <c r="AA570">
        <f>IF(T570="",0,IF(T570&lt;12,T570*Controls!$B$29,T570*5))</f>
        <v/>
      </c>
      <c r="AB570">
        <f>IF(E570="",0,NETWORKDAYS(E570,Controls!$B$36,Ref!$K$2:$K$42))</f>
        <v/>
      </c>
      <c r="AC570">
        <f>IF(AND(AA570&gt;0,AB570&gt;=Controls!$B$39*AA570),1,0)</f>
        <v/>
      </c>
      <c r="AD570">
        <f>IF(AND(E570&lt;&gt;"",E570&gt;=Controls!$B$37,E570&lt;=Controls!$B$38),1,0)</f>
        <v/>
      </c>
      <c r="AE570">
        <f>IF(IFERROR(VLOOKUP(D570,Controls!$A$64:$E$74,2,FALSE),"No")="Yes",1,0)</f>
        <v/>
      </c>
      <c r="AF570">
        <f>IF(IFERROR(VLOOKUP(D570,Controls!$A$64:$E$74,3,FALSE),"No")="Yes",1,0)</f>
        <v/>
      </c>
      <c r="AG570">
        <f>IF(IFERROR(VLOOKUP(D570,Controls!$A$64:$E$74,4,FALSE),"No")="Yes",1,0)</f>
        <v/>
      </c>
      <c r="AH570">
        <f>IF(IFERROR(VLOOKUP(D570,Controls!$A$64:$E$74,5,FALSE),"No")="Yes",1,0)</f>
        <v/>
      </c>
      <c r="AI570">
        <f>IF(ISNUMBER(MATCH(D570,Controls!$A$64:$A$74,0)),1,0)</f>
        <v/>
      </c>
      <c r="AJ570">
        <f>Q570-N570</f>
        <v/>
      </c>
      <c r="AK570">
        <f>IF(AE570=1,MAX(0,N570-Q570),0)</f>
        <v/>
      </c>
      <c r="AL570">
        <f>IF(OR(V570="",V570=0),0,N570/V570)</f>
        <v/>
      </c>
      <c r="AM570">
        <f>IF(OR(V570="",V570=0),0,1)</f>
        <v/>
      </c>
      <c r="AN570">
        <f>IF(OR(E570="",F570=""),0,NETWORKDAYS(E570,F570,Ref!$K$2:$K$42))</f>
        <v/>
      </c>
      <c r="AO570">
        <f>IF(L570="Renewal",1,0)</f>
        <v/>
      </c>
      <c r="AP570">
        <f>AC570*AD570</f>
        <v/>
      </c>
      <c r="AQ570">
        <f>IF(AND(G570&lt;&gt;"",'Historical Score'!$C$6&lt;&gt;""),IF(G570='Historical Score'!$C$6,1,0),0)</f>
        <v/>
      </c>
      <c r="AR570">
        <f>IF(AND(L570&lt;&gt;"",'Historical Score'!$C$5&lt;&gt;""),IF(L570='Historical Score'!$C$5,1,0),0)</f>
        <v/>
      </c>
      <c r="AS570">
        <f>IF(AND(Y570&lt;&gt;"",'Historical Score'!$C$7&lt;&gt;""),IF(Y570='Historical Score'!$C$7,1,0),0)</f>
        <v/>
      </c>
      <c r="AT570">
        <f>IF(AND(K570&lt;&gt;"",'Historical Score'!$C$8&lt;&gt;""),IF(K570='Historical Score'!$C$8,1,0),0)</f>
        <v/>
      </c>
      <c r="AU570">
        <f>IF(AND(J570&lt;&gt;"",'Historical Score'!$C$9&lt;&gt;""),IF(J570='Historical Score'!$C$9,1,0),0)</f>
        <v/>
      </c>
      <c r="AV570">
        <f>AR570*AS570*AQ570</f>
        <v/>
      </c>
      <c r="AW570">
        <f>AR570*AT570*AQ570</f>
        <v/>
      </c>
      <c r="AX570">
        <f>AR570*AS570</f>
        <v/>
      </c>
      <c r="AY570">
        <f>AR570*AT570</f>
        <v/>
      </c>
      <c r="AZ570">
        <f>AR570*AQ570</f>
        <v/>
      </c>
      <c r="BA570">
        <f>AR570</f>
        <v/>
      </c>
      <c r="BB570">
        <f>1</f>
        <v/>
      </c>
      <c r="BC570">
        <f>IF(AV570=1,1,IF(AW570=1,2,IF(AX570=1,3,IF(AY570=1,4,IF(AZ570=1,5,IF(BA570=1,6,7))))))</f>
        <v/>
      </c>
      <c r="BD570">
        <f>IF(AD570=1,CHOOSE('Historical Score'!$C$29,AV570,AW570,AX570,AY570,AZ570,BA570,BB570),0)</f>
        <v/>
      </c>
      <c r="BE570">
        <f>IF(BD570=1,COUNTIF($BD$2:BD570,1),"")</f>
        <v/>
      </c>
    </row>
    <row r="571">
      <c r="A571" t="inlineStr">
        <is>
          <t>5674177238</t>
        </is>
      </c>
      <c r="B571" t="inlineStr">
        <is>
          <t>MEHFIL INDIAN BISTRO LLC</t>
        </is>
      </c>
      <c r="C571" t="inlineStr">
        <is>
          <t>MEHFIL INDIAN BISTRO LLC</t>
        </is>
      </c>
      <c r="D571" t="inlineStr">
        <is>
          <t>Legal</t>
        </is>
      </c>
      <c r="E571" s="297" t="n">
        <v>46049</v>
      </c>
      <c r="F571" s="297" t="n">
        <v>46085</v>
      </c>
      <c r="G571" t="n">
        <v>3</v>
      </c>
      <c r="H571" t="inlineStr">
        <is>
          <t>5812</t>
        </is>
      </c>
      <c r="I571" t="inlineStr">
        <is>
          <t>58</t>
        </is>
      </c>
      <c r="J571" t="inlineStr">
        <is>
          <t>CA</t>
        </is>
      </c>
      <c r="K571" t="inlineStr">
        <is>
          <t>United Secured Capital 8</t>
        </is>
      </c>
      <c r="L571" t="inlineStr">
        <is>
          <t>New Deal</t>
        </is>
      </c>
      <c r="M571" s="298" t="n">
        <v>1.49</v>
      </c>
      <c r="N571" s="299" t="n">
        <v>20000</v>
      </c>
      <c r="O571" s="299" t="n">
        <v>2800</v>
      </c>
      <c r="P571" s="299" t="n">
        <v>29800</v>
      </c>
      <c r="Q571" s="299" t="n">
        <v>5626.49</v>
      </c>
      <c r="R571" s="299" t="n">
        <v>24173.51</v>
      </c>
      <c r="S571" s="300" t="n">
        <v>0.188808389261745</v>
      </c>
      <c r="T571" t="n">
        <v>2.951</v>
      </c>
      <c r="U571" t="n">
        <v>8</v>
      </c>
      <c r="V571" t="n">
        <v>125457.59</v>
      </c>
      <c r="W571" s="300" t="n">
        <v>0.0554</v>
      </c>
      <c r="X571" s="297" t="n"/>
      <c r="Y571">
        <f>IF(I571="","No SIC",IFERROR(VLOOKUP(I571,Ref!$A$2:$B$65,2,FALSE),"Unclassified"))</f>
        <v/>
      </c>
      <c r="Z571">
        <f>IF(T571="","",IF(T571&lt;12,"Daily","Weekly"))</f>
        <v/>
      </c>
      <c r="AA571">
        <f>IF(T571="",0,IF(T571&lt;12,T571*Controls!$B$29,T571*5))</f>
        <v/>
      </c>
      <c r="AB571">
        <f>IF(E571="",0,NETWORKDAYS(E571,Controls!$B$36,Ref!$K$2:$K$42))</f>
        <v/>
      </c>
      <c r="AC571">
        <f>IF(AND(AA571&gt;0,AB571&gt;=Controls!$B$39*AA571),1,0)</f>
        <v/>
      </c>
      <c r="AD571">
        <f>IF(AND(E571&lt;&gt;"",E571&gt;=Controls!$B$37,E571&lt;=Controls!$B$38),1,0)</f>
        <v/>
      </c>
      <c r="AE571">
        <f>IF(IFERROR(VLOOKUP(D571,Controls!$A$64:$E$74,2,FALSE),"No")="Yes",1,0)</f>
        <v/>
      </c>
      <c r="AF571">
        <f>IF(IFERROR(VLOOKUP(D571,Controls!$A$64:$E$74,3,FALSE),"No")="Yes",1,0)</f>
        <v/>
      </c>
      <c r="AG571">
        <f>IF(IFERROR(VLOOKUP(D571,Controls!$A$64:$E$74,4,FALSE),"No")="Yes",1,0)</f>
        <v/>
      </c>
      <c r="AH571">
        <f>IF(IFERROR(VLOOKUP(D571,Controls!$A$64:$E$74,5,FALSE),"No")="Yes",1,0)</f>
        <v/>
      </c>
      <c r="AI571">
        <f>IF(ISNUMBER(MATCH(D571,Controls!$A$64:$A$74,0)),1,0)</f>
        <v/>
      </c>
      <c r="AJ571">
        <f>Q571-N571</f>
        <v/>
      </c>
      <c r="AK571">
        <f>IF(AE571=1,MAX(0,N571-Q571),0)</f>
        <v/>
      </c>
      <c r="AL571">
        <f>IF(OR(V571="",V571=0),0,N571/V571)</f>
        <v/>
      </c>
      <c r="AM571">
        <f>IF(OR(V571="",V571=0),0,1)</f>
        <v/>
      </c>
      <c r="AN571">
        <f>IF(OR(E571="",F571=""),0,NETWORKDAYS(E571,F571,Ref!$K$2:$K$42))</f>
        <v/>
      </c>
      <c r="AO571">
        <f>IF(L571="Renewal",1,0)</f>
        <v/>
      </c>
      <c r="AP571">
        <f>AC571*AD571</f>
        <v/>
      </c>
      <c r="AQ571">
        <f>IF(AND(G571&lt;&gt;"",'Historical Score'!$C$6&lt;&gt;""),IF(G571='Historical Score'!$C$6,1,0),0)</f>
        <v/>
      </c>
      <c r="AR571">
        <f>IF(AND(L571&lt;&gt;"",'Historical Score'!$C$5&lt;&gt;""),IF(L571='Historical Score'!$C$5,1,0),0)</f>
        <v/>
      </c>
      <c r="AS571">
        <f>IF(AND(Y571&lt;&gt;"",'Historical Score'!$C$7&lt;&gt;""),IF(Y571='Historical Score'!$C$7,1,0),0)</f>
        <v/>
      </c>
      <c r="AT571">
        <f>IF(AND(K571&lt;&gt;"",'Historical Score'!$C$8&lt;&gt;""),IF(K571='Historical Score'!$C$8,1,0),0)</f>
        <v/>
      </c>
      <c r="AU571">
        <f>IF(AND(J571&lt;&gt;"",'Historical Score'!$C$9&lt;&gt;""),IF(J571='Historical Score'!$C$9,1,0),0)</f>
        <v/>
      </c>
      <c r="AV571">
        <f>AR571*AS571*AQ571</f>
        <v/>
      </c>
      <c r="AW571">
        <f>AR571*AT571*AQ571</f>
        <v/>
      </c>
      <c r="AX571">
        <f>AR571*AS571</f>
        <v/>
      </c>
      <c r="AY571">
        <f>AR571*AT571</f>
        <v/>
      </c>
      <c r="AZ571">
        <f>AR571*AQ571</f>
        <v/>
      </c>
      <c r="BA571">
        <f>AR571</f>
        <v/>
      </c>
      <c r="BB571">
        <f>1</f>
        <v/>
      </c>
      <c r="BC571">
        <f>IF(AV571=1,1,IF(AW571=1,2,IF(AX571=1,3,IF(AY571=1,4,IF(AZ571=1,5,IF(BA571=1,6,7))))))</f>
        <v/>
      </c>
      <c r="BD571">
        <f>IF(AD571=1,CHOOSE('Historical Score'!$C$29,AV571,AW571,AX571,AY571,AZ571,BA571,BB571),0)</f>
        <v/>
      </c>
      <c r="BE571">
        <f>IF(BD571=1,COUNTIF($BD$2:BD571,1),"")</f>
        <v/>
      </c>
    </row>
    <row r="572">
      <c r="A572" t="inlineStr">
        <is>
          <t>5674177241</t>
        </is>
      </c>
      <c r="B572" t="inlineStr">
        <is>
          <t>LIL EXPLORERS</t>
        </is>
      </c>
      <c r="C572" t="inlineStr">
        <is>
          <t>LIL EXPLORERS OF BOERNE LLC</t>
        </is>
      </c>
      <c r="D572" t="inlineStr">
        <is>
          <t>Legal</t>
        </is>
      </c>
      <c r="E572" s="297" t="n">
        <v>46049</v>
      </c>
      <c r="F572" s="297" t="n">
        <v>46069</v>
      </c>
      <c r="G572" t="n">
        <v>3</v>
      </c>
      <c r="H572" t="inlineStr">
        <is>
          <t>8351</t>
        </is>
      </c>
      <c r="I572" t="inlineStr">
        <is>
          <t>83</t>
        </is>
      </c>
      <c r="J572" t="inlineStr">
        <is>
          <t>TX</t>
        </is>
      </c>
      <c r="K572" t="inlineStr">
        <is>
          <t>Top Floor Advance</t>
        </is>
      </c>
      <c r="L572" t="inlineStr">
        <is>
          <t>New Deal</t>
        </is>
      </c>
      <c r="M572" s="298" t="n">
        <v>1.49</v>
      </c>
      <c r="N572" s="299" t="n">
        <v>30000</v>
      </c>
      <c r="O572" s="299" t="n">
        <v>4200</v>
      </c>
      <c r="P572" s="299" t="n">
        <v>44700</v>
      </c>
      <c r="Q572" s="299" t="n">
        <v>4970.44</v>
      </c>
      <c r="R572" s="299" t="n">
        <v>39729.56</v>
      </c>
      <c r="S572" s="300" t="n">
        <v>0.111195525727069</v>
      </c>
      <c r="T572" t="n">
        <v>18</v>
      </c>
      <c r="U572" t="n">
        <v>1</v>
      </c>
      <c r="V572" t="n">
        <v>186158.49</v>
      </c>
      <c r="W572" s="300" t="n">
        <v>0.0534</v>
      </c>
      <c r="X572" s="297" t="n">
        <v>26065</v>
      </c>
      <c r="Y572">
        <f>IF(I572="","No SIC",IFERROR(VLOOKUP(I572,Ref!$A$2:$B$65,2,FALSE),"Unclassified"))</f>
        <v/>
      </c>
      <c r="Z572">
        <f>IF(T572="","",IF(T572&lt;12,"Daily","Weekly"))</f>
        <v/>
      </c>
      <c r="AA572">
        <f>IF(T572="",0,IF(T572&lt;12,T572*Controls!$B$29,T572*5))</f>
        <v/>
      </c>
      <c r="AB572">
        <f>IF(E572="",0,NETWORKDAYS(E572,Controls!$B$36,Ref!$K$2:$K$42))</f>
        <v/>
      </c>
      <c r="AC572">
        <f>IF(AND(AA572&gt;0,AB572&gt;=Controls!$B$39*AA572),1,0)</f>
        <v/>
      </c>
      <c r="AD572">
        <f>IF(AND(E572&lt;&gt;"",E572&gt;=Controls!$B$37,E572&lt;=Controls!$B$38),1,0)</f>
        <v/>
      </c>
      <c r="AE572">
        <f>IF(IFERROR(VLOOKUP(D572,Controls!$A$64:$E$74,2,FALSE),"No")="Yes",1,0)</f>
        <v/>
      </c>
      <c r="AF572">
        <f>IF(IFERROR(VLOOKUP(D572,Controls!$A$64:$E$74,3,FALSE),"No")="Yes",1,0)</f>
        <v/>
      </c>
      <c r="AG572">
        <f>IF(IFERROR(VLOOKUP(D572,Controls!$A$64:$E$74,4,FALSE),"No")="Yes",1,0)</f>
        <v/>
      </c>
      <c r="AH572">
        <f>IF(IFERROR(VLOOKUP(D572,Controls!$A$64:$E$74,5,FALSE),"No")="Yes",1,0)</f>
        <v/>
      </c>
      <c r="AI572">
        <f>IF(ISNUMBER(MATCH(D572,Controls!$A$64:$A$74,0)),1,0)</f>
        <v/>
      </c>
      <c r="AJ572">
        <f>Q572-N572</f>
        <v/>
      </c>
      <c r="AK572">
        <f>IF(AE572=1,MAX(0,N572-Q572),0)</f>
        <v/>
      </c>
      <c r="AL572">
        <f>IF(OR(V572="",V572=0),0,N572/V572)</f>
        <v/>
      </c>
      <c r="AM572">
        <f>IF(OR(V572="",V572=0),0,1)</f>
        <v/>
      </c>
      <c r="AN572">
        <f>IF(OR(E572="",F572=""),0,NETWORKDAYS(E572,F572,Ref!$K$2:$K$42))</f>
        <v/>
      </c>
      <c r="AO572">
        <f>IF(L572="Renewal",1,0)</f>
        <v/>
      </c>
      <c r="AP572">
        <f>AC572*AD572</f>
        <v/>
      </c>
      <c r="AQ572">
        <f>IF(AND(G572&lt;&gt;"",'Historical Score'!$C$6&lt;&gt;""),IF(G572='Historical Score'!$C$6,1,0),0)</f>
        <v/>
      </c>
      <c r="AR572">
        <f>IF(AND(L572&lt;&gt;"",'Historical Score'!$C$5&lt;&gt;""),IF(L572='Historical Score'!$C$5,1,0),0)</f>
        <v/>
      </c>
      <c r="AS572">
        <f>IF(AND(Y572&lt;&gt;"",'Historical Score'!$C$7&lt;&gt;""),IF(Y572='Historical Score'!$C$7,1,0),0)</f>
        <v/>
      </c>
      <c r="AT572">
        <f>IF(AND(K572&lt;&gt;"",'Historical Score'!$C$8&lt;&gt;""),IF(K572='Historical Score'!$C$8,1,0),0)</f>
        <v/>
      </c>
      <c r="AU572">
        <f>IF(AND(J572&lt;&gt;"",'Historical Score'!$C$9&lt;&gt;""),IF(J572='Historical Score'!$C$9,1,0),0)</f>
        <v/>
      </c>
      <c r="AV572">
        <f>AR572*AS572*AQ572</f>
        <v/>
      </c>
      <c r="AW572">
        <f>AR572*AT572*AQ572</f>
        <v/>
      </c>
      <c r="AX572">
        <f>AR572*AS572</f>
        <v/>
      </c>
      <c r="AY572">
        <f>AR572*AT572</f>
        <v/>
      </c>
      <c r="AZ572">
        <f>AR572*AQ572</f>
        <v/>
      </c>
      <c r="BA572">
        <f>AR572</f>
        <v/>
      </c>
      <c r="BB572">
        <f>1</f>
        <v/>
      </c>
      <c r="BC572">
        <f>IF(AV572=1,1,IF(AW572=1,2,IF(AX572=1,3,IF(AY572=1,4,IF(AZ572=1,5,IF(BA572=1,6,7))))))</f>
        <v/>
      </c>
      <c r="BD572">
        <f>IF(AD572=1,CHOOSE('Historical Score'!$C$29,AV572,AW572,AX572,AY572,AZ572,BA572,BB572),0)</f>
        <v/>
      </c>
      <c r="BE572">
        <f>IF(BD572=1,COUNTIF($BD$2:BD572,1),"")</f>
        <v/>
      </c>
    </row>
    <row r="573">
      <c r="A573" t="inlineStr">
        <is>
          <t>5674177264</t>
        </is>
      </c>
      <c r="B573" t="inlineStr">
        <is>
          <t>TANG DYNASTY LLC</t>
        </is>
      </c>
      <c r="C573" t="inlineStr">
        <is>
          <t>TANG &amp; LLANTINO ENTERPRISES LLC</t>
        </is>
      </c>
      <c r="D573" t="inlineStr">
        <is>
          <t>Open</t>
        </is>
      </c>
      <c r="E573" s="297" t="n">
        <v>46049</v>
      </c>
      <c r="F573" s="297" t="n">
        <v>46247</v>
      </c>
      <c r="G573" t="n">
        <v>3</v>
      </c>
      <c r="H573" t="inlineStr">
        <is>
          <t>5812</t>
        </is>
      </c>
      <c r="I573" t="inlineStr">
        <is>
          <t>58</t>
        </is>
      </c>
      <c r="J573" t="inlineStr">
        <is>
          <t>TX</t>
        </is>
      </c>
      <c r="K573" t="inlineStr">
        <is>
          <t>Top Floor Advance</t>
        </is>
      </c>
      <c r="L573" t="inlineStr">
        <is>
          <t>New Deal</t>
        </is>
      </c>
      <c r="M573" s="298" t="n">
        <v>1.4</v>
      </c>
      <c r="N573" s="299" t="n">
        <v>25000</v>
      </c>
      <c r="O573" s="299" t="n">
        <v>2375</v>
      </c>
      <c r="P573" s="299" t="n">
        <v>35000</v>
      </c>
      <c r="Q573" s="299" t="n">
        <v>12258.75</v>
      </c>
      <c r="R573" s="299" t="n">
        <v>22741.25</v>
      </c>
      <c r="S573" s="300" t="n">
        <v>0.35025</v>
      </c>
      <c r="T573" t="n">
        <v>20</v>
      </c>
      <c r="U573" t="n">
        <v>23</v>
      </c>
      <c r="V573" t="n">
        <v>60000</v>
      </c>
      <c r="W573" s="300" t="n">
        <v>0.0467</v>
      </c>
      <c r="X573" s="297" t="n">
        <v>43897</v>
      </c>
      <c r="Y573">
        <f>IF(I573="","No SIC",IFERROR(VLOOKUP(I573,Ref!$A$2:$B$65,2,FALSE),"Unclassified"))</f>
        <v/>
      </c>
      <c r="Z573">
        <f>IF(T573="","",IF(T573&lt;12,"Daily","Weekly"))</f>
        <v/>
      </c>
      <c r="AA573">
        <f>IF(T573="",0,IF(T573&lt;12,T573*Controls!$B$29,T573*5))</f>
        <v/>
      </c>
      <c r="AB573">
        <f>IF(E573="",0,NETWORKDAYS(E573,Controls!$B$36,Ref!$K$2:$K$42))</f>
        <v/>
      </c>
      <c r="AC573">
        <f>IF(AND(AA573&gt;0,AB573&gt;=Controls!$B$39*AA573),1,0)</f>
        <v/>
      </c>
      <c r="AD573">
        <f>IF(AND(E573&lt;&gt;"",E573&gt;=Controls!$B$37,E573&lt;=Controls!$B$38),1,0)</f>
        <v/>
      </c>
      <c r="AE573">
        <f>IF(IFERROR(VLOOKUP(D573,Controls!$A$64:$E$74,2,FALSE),"No")="Yes",1,0)</f>
        <v/>
      </c>
      <c r="AF573">
        <f>IF(IFERROR(VLOOKUP(D573,Controls!$A$64:$E$74,3,FALSE),"No")="Yes",1,0)</f>
        <v/>
      </c>
      <c r="AG573">
        <f>IF(IFERROR(VLOOKUP(D573,Controls!$A$64:$E$74,4,FALSE),"No")="Yes",1,0)</f>
        <v/>
      </c>
      <c r="AH573">
        <f>IF(IFERROR(VLOOKUP(D573,Controls!$A$64:$E$74,5,FALSE),"No")="Yes",1,0)</f>
        <v/>
      </c>
      <c r="AI573">
        <f>IF(ISNUMBER(MATCH(D573,Controls!$A$64:$A$74,0)),1,0)</f>
        <v/>
      </c>
      <c r="AJ573">
        <f>Q573-N573</f>
        <v/>
      </c>
      <c r="AK573">
        <f>IF(AE573=1,MAX(0,N573-Q573),0)</f>
        <v/>
      </c>
      <c r="AL573">
        <f>IF(OR(V573="",V573=0),0,N573/V573)</f>
        <v/>
      </c>
      <c r="AM573">
        <f>IF(OR(V573="",V573=0),0,1)</f>
        <v/>
      </c>
      <c r="AN573">
        <f>IF(OR(E573="",F573=""),0,NETWORKDAYS(E573,F573,Ref!$K$2:$K$42))</f>
        <v/>
      </c>
      <c r="AO573">
        <f>IF(L573="Renewal",1,0)</f>
        <v/>
      </c>
      <c r="AP573">
        <f>AC573*AD573</f>
        <v/>
      </c>
      <c r="AQ573">
        <f>IF(AND(G573&lt;&gt;"",'Historical Score'!$C$6&lt;&gt;""),IF(G573='Historical Score'!$C$6,1,0),0)</f>
        <v/>
      </c>
      <c r="AR573">
        <f>IF(AND(L573&lt;&gt;"",'Historical Score'!$C$5&lt;&gt;""),IF(L573='Historical Score'!$C$5,1,0),0)</f>
        <v/>
      </c>
      <c r="AS573">
        <f>IF(AND(Y573&lt;&gt;"",'Historical Score'!$C$7&lt;&gt;""),IF(Y573='Historical Score'!$C$7,1,0),0)</f>
        <v/>
      </c>
      <c r="AT573">
        <f>IF(AND(K573&lt;&gt;"",'Historical Score'!$C$8&lt;&gt;""),IF(K573='Historical Score'!$C$8,1,0),0)</f>
        <v/>
      </c>
      <c r="AU573">
        <f>IF(AND(J573&lt;&gt;"",'Historical Score'!$C$9&lt;&gt;""),IF(J573='Historical Score'!$C$9,1,0),0)</f>
        <v/>
      </c>
      <c r="AV573">
        <f>AR573*AS573*AQ573</f>
        <v/>
      </c>
      <c r="AW573">
        <f>AR573*AT573*AQ573</f>
        <v/>
      </c>
      <c r="AX573">
        <f>AR573*AS573</f>
        <v/>
      </c>
      <c r="AY573">
        <f>AR573*AT573</f>
        <v/>
      </c>
      <c r="AZ573">
        <f>AR573*AQ573</f>
        <v/>
      </c>
      <c r="BA573">
        <f>AR573</f>
        <v/>
      </c>
      <c r="BB573">
        <f>1</f>
        <v/>
      </c>
      <c r="BC573">
        <f>IF(AV573=1,1,IF(AW573=1,2,IF(AX573=1,3,IF(AY573=1,4,IF(AZ573=1,5,IF(BA573=1,6,7))))))</f>
        <v/>
      </c>
      <c r="BD573">
        <f>IF(AD573=1,CHOOSE('Historical Score'!$C$29,AV573,AW573,AX573,AY573,AZ573,BA573,BB573),0)</f>
        <v/>
      </c>
      <c r="BE573">
        <f>IF(BD573=1,COUNTIF($BD$2:BD573,1),"")</f>
        <v/>
      </c>
    </row>
    <row r="574">
      <c r="A574" t="inlineStr">
        <is>
          <t>5674177267</t>
        </is>
      </c>
      <c r="B574" t="inlineStr">
        <is>
          <t>JUICE FIX</t>
        </is>
      </c>
      <c r="C574" t="inlineStr">
        <is>
          <t>JUICE FIX LLC</t>
        </is>
      </c>
      <c r="D574" t="inlineStr">
        <is>
          <t>Open</t>
        </is>
      </c>
      <c r="E574" s="297" t="n">
        <v>46049</v>
      </c>
      <c r="F574" s="297" t="n">
        <v>46248</v>
      </c>
      <c r="G574" t="n">
        <v>3</v>
      </c>
      <c r="H574" t="inlineStr">
        <is>
          <t>5812</t>
        </is>
      </c>
      <c r="I574" t="inlineStr">
        <is>
          <t>58</t>
        </is>
      </c>
      <c r="J574" t="inlineStr">
        <is>
          <t>CA</t>
        </is>
      </c>
      <c r="K574" t="inlineStr">
        <is>
          <t>TRUSTFI</t>
        </is>
      </c>
      <c r="L574" t="inlineStr">
        <is>
          <t>New Deal</t>
        </is>
      </c>
      <c r="M574" s="298" t="n">
        <v>1.45</v>
      </c>
      <c r="N574" s="299" t="n">
        <v>25000</v>
      </c>
      <c r="O574" s="299" t="n">
        <v>3000</v>
      </c>
      <c r="P574" s="299" t="n">
        <v>36250</v>
      </c>
      <c r="Q574" s="299" t="n">
        <v>19632.47</v>
      </c>
      <c r="R574" s="299" t="n">
        <v>16617.53</v>
      </c>
      <c r="S574" s="300" t="n">
        <v>0.541585379310345</v>
      </c>
      <c r="T574" t="n">
        <v>24</v>
      </c>
      <c r="U574" t="n">
        <v>15</v>
      </c>
      <c r="V574" t="n">
        <v>39925.65</v>
      </c>
      <c r="W574" s="300" t="n">
        <v>0.1513</v>
      </c>
      <c r="X574" s="297" t="n">
        <v>42690</v>
      </c>
      <c r="Y574">
        <f>IF(I574="","No SIC",IFERROR(VLOOKUP(I574,Ref!$A$2:$B$65,2,FALSE),"Unclassified"))</f>
        <v/>
      </c>
      <c r="Z574">
        <f>IF(T574="","",IF(T574&lt;12,"Daily","Weekly"))</f>
        <v/>
      </c>
      <c r="AA574">
        <f>IF(T574="",0,IF(T574&lt;12,T574*Controls!$B$29,T574*5))</f>
        <v/>
      </c>
      <c r="AB574">
        <f>IF(E574="",0,NETWORKDAYS(E574,Controls!$B$36,Ref!$K$2:$K$42))</f>
        <v/>
      </c>
      <c r="AC574">
        <f>IF(AND(AA574&gt;0,AB574&gt;=Controls!$B$39*AA574),1,0)</f>
        <v/>
      </c>
      <c r="AD574">
        <f>IF(AND(E574&lt;&gt;"",E574&gt;=Controls!$B$37,E574&lt;=Controls!$B$38),1,0)</f>
        <v/>
      </c>
      <c r="AE574">
        <f>IF(IFERROR(VLOOKUP(D574,Controls!$A$64:$E$74,2,FALSE),"No")="Yes",1,0)</f>
        <v/>
      </c>
      <c r="AF574">
        <f>IF(IFERROR(VLOOKUP(D574,Controls!$A$64:$E$74,3,FALSE),"No")="Yes",1,0)</f>
        <v/>
      </c>
      <c r="AG574">
        <f>IF(IFERROR(VLOOKUP(D574,Controls!$A$64:$E$74,4,FALSE),"No")="Yes",1,0)</f>
        <v/>
      </c>
      <c r="AH574">
        <f>IF(IFERROR(VLOOKUP(D574,Controls!$A$64:$E$74,5,FALSE),"No")="Yes",1,0)</f>
        <v/>
      </c>
      <c r="AI574">
        <f>IF(ISNUMBER(MATCH(D574,Controls!$A$64:$A$74,0)),1,0)</f>
        <v/>
      </c>
      <c r="AJ574">
        <f>Q574-N574</f>
        <v/>
      </c>
      <c r="AK574">
        <f>IF(AE574=1,MAX(0,N574-Q574),0)</f>
        <v/>
      </c>
      <c r="AL574">
        <f>IF(OR(V574="",V574=0),0,N574/V574)</f>
        <v/>
      </c>
      <c r="AM574">
        <f>IF(OR(V574="",V574=0),0,1)</f>
        <v/>
      </c>
      <c r="AN574">
        <f>IF(OR(E574="",F574=""),0,NETWORKDAYS(E574,F574,Ref!$K$2:$K$42))</f>
        <v/>
      </c>
      <c r="AO574">
        <f>IF(L574="Renewal",1,0)</f>
        <v/>
      </c>
      <c r="AP574">
        <f>AC574*AD574</f>
        <v/>
      </c>
      <c r="AQ574">
        <f>IF(AND(G574&lt;&gt;"",'Historical Score'!$C$6&lt;&gt;""),IF(G574='Historical Score'!$C$6,1,0),0)</f>
        <v/>
      </c>
      <c r="AR574">
        <f>IF(AND(L574&lt;&gt;"",'Historical Score'!$C$5&lt;&gt;""),IF(L574='Historical Score'!$C$5,1,0),0)</f>
        <v/>
      </c>
      <c r="AS574">
        <f>IF(AND(Y574&lt;&gt;"",'Historical Score'!$C$7&lt;&gt;""),IF(Y574='Historical Score'!$C$7,1,0),0)</f>
        <v/>
      </c>
      <c r="AT574">
        <f>IF(AND(K574&lt;&gt;"",'Historical Score'!$C$8&lt;&gt;""),IF(K574='Historical Score'!$C$8,1,0),0)</f>
        <v/>
      </c>
      <c r="AU574">
        <f>IF(AND(J574&lt;&gt;"",'Historical Score'!$C$9&lt;&gt;""),IF(J574='Historical Score'!$C$9,1,0),0)</f>
        <v/>
      </c>
      <c r="AV574">
        <f>AR574*AS574*AQ574</f>
        <v/>
      </c>
      <c r="AW574">
        <f>AR574*AT574*AQ574</f>
        <v/>
      </c>
      <c r="AX574">
        <f>AR574*AS574</f>
        <v/>
      </c>
      <c r="AY574">
        <f>AR574*AT574</f>
        <v/>
      </c>
      <c r="AZ574">
        <f>AR574*AQ574</f>
        <v/>
      </c>
      <c r="BA574">
        <f>AR574</f>
        <v/>
      </c>
      <c r="BB574">
        <f>1</f>
        <v/>
      </c>
      <c r="BC574">
        <f>IF(AV574=1,1,IF(AW574=1,2,IF(AX574=1,3,IF(AY574=1,4,IF(AZ574=1,5,IF(BA574=1,6,7))))))</f>
        <v/>
      </c>
      <c r="BD574">
        <f>IF(AD574=1,CHOOSE('Historical Score'!$C$29,AV574,AW574,AX574,AY574,AZ574,BA574,BB574),0)</f>
        <v/>
      </c>
      <c r="BE574">
        <f>IF(BD574=1,COUNTIF($BD$2:BD574,1),"")</f>
        <v/>
      </c>
    </row>
    <row r="575">
      <c r="A575" t="inlineStr">
        <is>
          <t>5674177318</t>
        </is>
      </c>
      <c r="B575" t="inlineStr">
        <is>
          <t>SS Property Rental Management LLC</t>
        </is>
      </c>
      <c r="C575" t="inlineStr">
        <is>
          <t>SS Property Rental Management LLC</t>
        </is>
      </c>
      <c r="D575" t="inlineStr">
        <is>
          <t>Open</t>
        </is>
      </c>
      <c r="E575" s="297" t="n">
        <v>46050</v>
      </c>
      <c r="F575" s="297" t="n">
        <v>46253</v>
      </c>
      <c r="G575" t="n">
        <v>3</v>
      </c>
      <c r="H575" t="inlineStr">
        <is>
          <t>6531</t>
        </is>
      </c>
      <c r="I575" t="inlineStr">
        <is>
          <t>65</t>
        </is>
      </c>
      <c r="J575" t="inlineStr">
        <is>
          <t>TN</t>
        </is>
      </c>
      <c r="K575" t="inlineStr">
        <is>
          <t>Pathway Catalyst</t>
        </is>
      </c>
      <c r="L575" t="inlineStr">
        <is>
          <t>New Deal</t>
        </is>
      </c>
      <c r="M575" s="298" t="n">
        <v>1.49</v>
      </c>
      <c r="N575" s="299" t="n">
        <v>30000</v>
      </c>
      <c r="O575" s="299" t="n">
        <v>4200</v>
      </c>
      <c r="P575" s="299" t="n">
        <v>44700</v>
      </c>
      <c r="Q575" s="299" t="n">
        <v>28163.52</v>
      </c>
      <c r="R575" s="299" t="n">
        <v>16536.48</v>
      </c>
      <c r="S575" s="300" t="n">
        <v>0.630056375838926</v>
      </c>
      <c r="T575" t="n">
        <v>3.279</v>
      </c>
      <c r="U575" t="n">
        <v>25</v>
      </c>
      <c r="V575" t="n">
        <v>123524.26</v>
      </c>
      <c r="W575" s="300" t="n">
        <v>0.076</v>
      </c>
      <c r="X575" s="297" t="n">
        <v>45236</v>
      </c>
      <c r="Y575">
        <f>IF(I575="","No SIC",IFERROR(VLOOKUP(I575,Ref!$A$2:$B$65,2,FALSE),"Unclassified"))</f>
        <v/>
      </c>
      <c r="Z575">
        <f>IF(T575="","",IF(T575&lt;12,"Daily","Weekly"))</f>
        <v/>
      </c>
      <c r="AA575">
        <f>IF(T575="",0,IF(T575&lt;12,T575*Controls!$B$29,T575*5))</f>
        <v/>
      </c>
      <c r="AB575">
        <f>IF(E575="",0,NETWORKDAYS(E575,Controls!$B$36,Ref!$K$2:$K$42))</f>
        <v/>
      </c>
      <c r="AC575">
        <f>IF(AND(AA575&gt;0,AB575&gt;=Controls!$B$39*AA575),1,0)</f>
        <v/>
      </c>
      <c r="AD575">
        <f>IF(AND(E575&lt;&gt;"",E575&gt;=Controls!$B$37,E575&lt;=Controls!$B$38),1,0)</f>
        <v/>
      </c>
      <c r="AE575">
        <f>IF(IFERROR(VLOOKUP(D575,Controls!$A$64:$E$74,2,FALSE),"No")="Yes",1,0)</f>
        <v/>
      </c>
      <c r="AF575">
        <f>IF(IFERROR(VLOOKUP(D575,Controls!$A$64:$E$74,3,FALSE),"No")="Yes",1,0)</f>
        <v/>
      </c>
      <c r="AG575">
        <f>IF(IFERROR(VLOOKUP(D575,Controls!$A$64:$E$74,4,FALSE),"No")="Yes",1,0)</f>
        <v/>
      </c>
      <c r="AH575">
        <f>IF(IFERROR(VLOOKUP(D575,Controls!$A$64:$E$74,5,FALSE),"No")="Yes",1,0)</f>
        <v/>
      </c>
      <c r="AI575">
        <f>IF(ISNUMBER(MATCH(D575,Controls!$A$64:$A$74,0)),1,0)</f>
        <v/>
      </c>
      <c r="AJ575">
        <f>Q575-N575</f>
        <v/>
      </c>
      <c r="AK575">
        <f>IF(AE575=1,MAX(0,N575-Q575),0)</f>
        <v/>
      </c>
      <c r="AL575">
        <f>IF(OR(V575="",V575=0),0,N575/V575)</f>
        <v/>
      </c>
      <c r="AM575">
        <f>IF(OR(V575="",V575=0),0,1)</f>
        <v/>
      </c>
      <c r="AN575">
        <f>IF(OR(E575="",F575=""),0,NETWORKDAYS(E575,F575,Ref!$K$2:$K$42))</f>
        <v/>
      </c>
      <c r="AO575">
        <f>IF(L575="Renewal",1,0)</f>
        <v/>
      </c>
      <c r="AP575">
        <f>AC575*AD575</f>
        <v/>
      </c>
      <c r="AQ575">
        <f>IF(AND(G575&lt;&gt;"",'Historical Score'!$C$6&lt;&gt;""),IF(G575='Historical Score'!$C$6,1,0),0)</f>
        <v/>
      </c>
      <c r="AR575">
        <f>IF(AND(L575&lt;&gt;"",'Historical Score'!$C$5&lt;&gt;""),IF(L575='Historical Score'!$C$5,1,0),0)</f>
        <v/>
      </c>
      <c r="AS575">
        <f>IF(AND(Y575&lt;&gt;"",'Historical Score'!$C$7&lt;&gt;""),IF(Y575='Historical Score'!$C$7,1,0),0)</f>
        <v/>
      </c>
      <c r="AT575">
        <f>IF(AND(K575&lt;&gt;"",'Historical Score'!$C$8&lt;&gt;""),IF(K575='Historical Score'!$C$8,1,0),0)</f>
        <v/>
      </c>
      <c r="AU575">
        <f>IF(AND(J575&lt;&gt;"",'Historical Score'!$C$9&lt;&gt;""),IF(J575='Historical Score'!$C$9,1,0),0)</f>
        <v/>
      </c>
      <c r="AV575">
        <f>AR575*AS575*AQ575</f>
        <v/>
      </c>
      <c r="AW575">
        <f>AR575*AT575*AQ575</f>
        <v/>
      </c>
      <c r="AX575">
        <f>AR575*AS575</f>
        <v/>
      </c>
      <c r="AY575">
        <f>AR575*AT575</f>
        <v/>
      </c>
      <c r="AZ575">
        <f>AR575*AQ575</f>
        <v/>
      </c>
      <c r="BA575">
        <f>AR575</f>
        <v/>
      </c>
      <c r="BB575">
        <f>1</f>
        <v/>
      </c>
      <c r="BC575">
        <f>IF(AV575=1,1,IF(AW575=1,2,IF(AX575=1,3,IF(AY575=1,4,IF(AZ575=1,5,IF(BA575=1,6,7))))))</f>
        <v/>
      </c>
      <c r="BD575">
        <f>IF(AD575=1,CHOOSE('Historical Score'!$C$29,AV575,AW575,AX575,AY575,AZ575,BA575,BB575),0)</f>
        <v/>
      </c>
      <c r="BE575">
        <f>IF(BD575=1,COUNTIF($BD$2:BD575,1),"")</f>
        <v/>
      </c>
    </row>
    <row r="576">
      <c r="A576" t="inlineStr">
        <is>
          <t>5674177342</t>
        </is>
      </c>
      <c r="B576" t="inlineStr">
        <is>
          <t>BCD ACADEMY</t>
        </is>
      </c>
      <c r="C576" t="inlineStr">
        <is>
          <t>B.C.D ACADEMY LLC</t>
        </is>
      </c>
      <c r="D576" t="inlineStr">
        <is>
          <t>Lowered Payments</t>
        </is>
      </c>
      <c r="E576" s="297" t="n">
        <v>46050</v>
      </c>
      <c r="F576" s="297" t="n">
        <v>46253</v>
      </c>
      <c r="G576" t="n">
        <v>2</v>
      </c>
      <c r="H576" t="inlineStr">
        <is>
          <t>8741</t>
        </is>
      </c>
      <c r="I576" t="inlineStr">
        <is>
          <t>87</t>
        </is>
      </c>
      <c r="J576" t="inlineStr">
        <is>
          <t>CA</t>
        </is>
      </c>
      <c r="K576" t="inlineStr">
        <is>
          <t>Fundwell</t>
        </is>
      </c>
      <c r="L576" t="inlineStr">
        <is>
          <t>Renewal</t>
        </is>
      </c>
      <c r="M576" s="298" t="n">
        <v>1.4</v>
      </c>
      <c r="N576" s="299" t="n">
        <v>30000</v>
      </c>
      <c r="O576" s="299" t="n">
        <v>4200</v>
      </c>
      <c r="P576" s="299" t="n">
        <v>42000</v>
      </c>
      <c r="Q576" s="299" t="n">
        <v>35154.29</v>
      </c>
      <c r="R576" s="299" t="n">
        <v>6845.71</v>
      </c>
      <c r="S576" s="300" t="n">
        <v>0.837006904761905</v>
      </c>
      <c r="T576" t="n">
        <v>28</v>
      </c>
      <c r="U576" t="n">
        <v>0</v>
      </c>
      <c r="V576" t="n">
        <v>59991.65</v>
      </c>
      <c r="W576" s="300" t="n">
        <v>0.1606</v>
      </c>
      <c r="X576" s="297" t="n">
        <v>45170</v>
      </c>
      <c r="Y576">
        <f>IF(I576="","No SIC",IFERROR(VLOOKUP(I576,Ref!$A$2:$B$65,2,FALSE),"Unclassified"))</f>
        <v/>
      </c>
      <c r="Z576">
        <f>IF(T576="","",IF(T576&lt;12,"Daily","Weekly"))</f>
        <v/>
      </c>
      <c r="AA576">
        <f>IF(T576="",0,IF(T576&lt;12,T576*Controls!$B$29,T576*5))</f>
        <v/>
      </c>
      <c r="AB576">
        <f>IF(E576="",0,NETWORKDAYS(E576,Controls!$B$36,Ref!$K$2:$K$42))</f>
        <v/>
      </c>
      <c r="AC576">
        <f>IF(AND(AA576&gt;0,AB576&gt;=Controls!$B$39*AA576),1,0)</f>
        <v/>
      </c>
      <c r="AD576">
        <f>IF(AND(E576&lt;&gt;"",E576&gt;=Controls!$B$37,E576&lt;=Controls!$B$38),1,0)</f>
        <v/>
      </c>
      <c r="AE576">
        <f>IF(IFERROR(VLOOKUP(D576,Controls!$A$64:$E$74,2,FALSE),"No")="Yes",1,0)</f>
        <v/>
      </c>
      <c r="AF576">
        <f>IF(IFERROR(VLOOKUP(D576,Controls!$A$64:$E$74,3,FALSE),"No")="Yes",1,0)</f>
        <v/>
      </c>
      <c r="AG576">
        <f>IF(IFERROR(VLOOKUP(D576,Controls!$A$64:$E$74,4,FALSE),"No")="Yes",1,0)</f>
        <v/>
      </c>
      <c r="AH576">
        <f>IF(IFERROR(VLOOKUP(D576,Controls!$A$64:$E$74,5,FALSE),"No")="Yes",1,0)</f>
        <v/>
      </c>
      <c r="AI576">
        <f>IF(ISNUMBER(MATCH(D576,Controls!$A$64:$A$74,0)),1,0)</f>
        <v/>
      </c>
      <c r="AJ576">
        <f>Q576-N576</f>
        <v/>
      </c>
      <c r="AK576">
        <f>IF(AE576=1,MAX(0,N576-Q576),0)</f>
        <v/>
      </c>
      <c r="AL576">
        <f>IF(OR(V576="",V576=0),0,N576/V576)</f>
        <v/>
      </c>
      <c r="AM576">
        <f>IF(OR(V576="",V576=0),0,1)</f>
        <v/>
      </c>
      <c r="AN576">
        <f>IF(OR(E576="",F576=""),0,NETWORKDAYS(E576,F576,Ref!$K$2:$K$42))</f>
        <v/>
      </c>
      <c r="AO576">
        <f>IF(L576="Renewal",1,0)</f>
        <v/>
      </c>
      <c r="AP576">
        <f>AC576*AD576</f>
        <v/>
      </c>
      <c r="AQ576">
        <f>IF(AND(G576&lt;&gt;"",'Historical Score'!$C$6&lt;&gt;""),IF(G576='Historical Score'!$C$6,1,0),0)</f>
        <v/>
      </c>
      <c r="AR576">
        <f>IF(AND(L576&lt;&gt;"",'Historical Score'!$C$5&lt;&gt;""),IF(L576='Historical Score'!$C$5,1,0),0)</f>
        <v/>
      </c>
      <c r="AS576">
        <f>IF(AND(Y576&lt;&gt;"",'Historical Score'!$C$7&lt;&gt;""),IF(Y576='Historical Score'!$C$7,1,0),0)</f>
        <v/>
      </c>
      <c r="AT576">
        <f>IF(AND(K576&lt;&gt;"",'Historical Score'!$C$8&lt;&gt;""),IF(K576='Historical Score'!$C$8,1,0),0)</f>
        <v/>
      </c>
      <c r="AU576">
        <f>IF(AND(J576&lt;&gt;"",'Historical Score'!$C$9&lt;&gt;""),IF(J576='Historical Score'!$C$9,1,0),0)</f>
        <v/>
      </c>
      <c r="AV576">
        <f>AR576*AS576*AQ576</f>
        <v/>
      </c>
      <c r="AW576">
        <f>AR576*AT576*AQ576</f>
        <v/>
      </c>
      <c r="AX576">
        <f>AR576*AS576</f>
        <v/>
      </c>
      <c r="AY576">
        <f>AR576*AT576</f>
        <v/>
      </c>
      <c r="AZ576">
        <f>AR576*AQ576</f>
        <v/>
      </c>
      <c r="BA576">
        <f>AR576</f>
        <v/>
      </c>
      <c r="BB576">
        <f>1</f>
        <v/>
      </c>
      <c r="BC576">
        <f>IF(AV576=1,1,IF(AW576=1,2,IF(AX576=1,3,IF(AY576=1,4,IF(AZ576=1,5,IF(BA576=1,6,7))))))</f>
        <v/>
      </c>
      <c r="BD576">
        <f>IF(AD576=1,CHOOSE('Historical Score'!$C$29,AV576,AW576,AX576,AY576,AZ576,BA576,BB576),0)</f>
        <v/>
      </c>
      <c r="BE576">
        <f>IF(BD576=1,COUNTIF($BD$2:BD576,1),"")</f>
        <v/>
      </c>
    </row>
    <row r="577">
      <c r="A577" t="inlineStr">
        <is>
          <t>5674177343</t>
        </is>
      </c>
      <c r="B577" t="inlineStr">
        <is>
          <t>Homebase</t>
        </is>
      </c>
      <c r="C577" t="inlineStr">
        <is>
          <t>HOMEBASE DC LLC</t>
        </is>
      </c>
      <c r="D577" t="inlineStr">
        <is>
          <t>Written-Off</t>
        </is>
      </c>
      <c r="E577" s="297" t="n">
        <v>46050</v>
      </c>
      <c r="F577" s="297" t="n">
        <v>46125</v>
      </c>
      <c r="G577" t="n">
        <v>3</v>
      </c>
      <c r="H577" t="inlineStr">
        <is>
          <t>8699</t>
        </is>
      </c>
      <c r="I577" t="inlineStr">
        <is>
          <t>86</t>
        </is>
      </c>
      <c r="J577" t="inlineStr">
        <is>
          <t>DC</t>
        </is>
      </c>
      <c r="K577" t="inlineStr">
        <is>
          <t>ROYAL FUNDING GROUP</t>
        </is>
      </c>
      <c r="L577" t="inlineStr">
        <is>
          <t>New Deal</t>
        </is>
      </c>
      <c r="M577" s="298" t="n">
        <v>1.4</v>
      </c>
      <c r="N577" s="299" t="n">
        <v>30000</v>
      </c>
      <c r="O577" s="299" t="n">
        <v>0</v>
      </c>
      <c r="P577" s="299" t="n">
        <v>42000</v>
      </c>
      <c r="Q577" s="299" t="n">
        <v>988.62</v>
      </c>
      <c r="R577" s="299" t="n">
        <v>41011.38</v>
      </c>
      <c r="S577" s="300" t="n">
        <v>0.0235385714285714</v>
      </c>
      <c r="T577" t="n">
        <v>2.787</v>
      </c>
      <c r="U577" t="n">
        <v>46</v>
      </c>
      <c r="V577" t="n">
        <v>174168.83</v>
      </c>
      <c r="W577" s="300" t="n">
        <v>0.0596</v>
      </c>
      <c r="X577" s="297" t="n">
        <v>44348</v>
      </c>
      <c r="Y577">
        <f>IF(I577="","No SIC",IFERROR(VLOOKUP(I577,Ref!$A$2:$B$65,2,FALSE),"Unclassified"))</f>
        <v/>
      </c>
      <c r="Z577">
        <f>IF(T577="","",IF(T577&lt;12,"Daily","Weekly"))</f>
        <v/>
      </c>
      <c r="AA577">
        <f>IF(T577="",0,IF(T577&lt;12,T577*Controls!$B$29,T577*5))</f>
        <v/>
      </c>
      <c r="AB577">
        <f>IF(E577="",0,NETWORKDAYS(E577,Controls!$B$36,Ref!$K$2:$K$42))</f>
        <v/>
      </c>
      <c r="AC577">
        <f>IF(AND(AA577&gt;0,AB577&gt;=Controls!$B$39*AA577),1,0)</f>
        <v/>
      </c>
      <c r="AD577">
        <f>IF(AND(E577&lt;&gt;"",E577&gt;=Controls!$B$37,E577&lt;=Controls!$B$38),1,0)</f>
        <v/>
      </c>
      <c r="AE577">
        <f>IF(IFERROR(VLOOKUP(D577,Controls!$A$64:$E$74,2,FALSE),"No")="Yes",1,0)</f>
        <v/>
      </c>
      <c r="AF577">
        <f>IF(IFERROR(VLOOKUP(D577,Controls!$A$64:$E$74,3,FALSE),"No")="Yes",1,0)</f>
        <v/>
      </c>
      <c r="AG577">
        <f>IF(IFERROR(VLOOKUP(D577,Controls!$A$64:$E$74,4,FALSE),"No")="Yes",1,0)</f>
        <v/>
      </c>
      <c r="AH577">
        <f>IF(IFERROR(VLOOKUP(D577,Controls!$A$64:$E$74,5,FALSE),"No")="Yes",1,0)</f>
        <v/>
      </c>
      <c r="AI577">
        <f>IF(ISNUMBER(MATCH(D577,Controls!$A$64:$A$74,0)),1,0)</f>
        <v/>
      </c>
      <c r="AJ577">
        <f>Q577-N577</f>
        <v/>
      </c>
      <c r="AK577">
        <f>IF(AE577=1,MAX(0,N577-Q577),0)</f>
        <v/>
      </c>
      <c r="AL577">
        <f>IF(OR(V577="",V577=0),0,N577/V577)</f>
        <v/>
      </c>
      <c r="AM577">
        <f>IF(OR(V577="",V577=0),0,1)</f>
        <v/>
      </c>
      <c r="AN577">
        <f>IF(OR(E577="",F577=""),0,NETWORKDAYS(E577,F577,Ref!$K$2:$K$42))</f>
        <v/>
      </c>
      <c r="AO577">
        <f>IF(L577="Renewal",1,0)</f>
        <v/>
      </c>
      <c r="AP577">
        <f>AC577*AD577</f>
        <v/>
      </c>
      <c r="AQ577">
        <f>IF(AND(G577&lt;&gt;"",'Historical Score'!$C$6&lt;&gt;""),IF(G577='Historical Score'!$C$6,1,0),0)</f>
        <v/>
      </c>
      <c r="AR577">
        <f>IF(AND(L577&lt;&gt;"",'Historical Score'!$C$5&lt;&gt;""),IF(L577='Historical Score'!$C$5,1,0),0)</f>
        <v/>
      </c>
      <c r="AS577">
        <f>IF(AND(Y577&lt;&gt;"",'Historical Score'!$C$7&lt;&gt;""),IF(Y577='Historical Score'!$C$7,1,0),0)</f>
        <v/>
      </c>
      <c r="AT577">
        <f>IF(AND(K577&lt;&gt;"",'Historical Score'!$C$8&lt;&gt;""),IF(K577='Historical Score'!$C$8,1,0),0)</f>
        <v/>
      </c>
      <c r="AU577">
        <f>IF(AND(J577&lt;&gt;"",'Historical Score'!$C$9&lt;&gt;""),IF(J577='Historical Score'!$C$9,1,0),0)</f>
        <v/>
      </c>
      <c r="AV577">
        <f>AR577*AS577*AQ577</f>
        <v/>
      </c>
      <c r="AW577">
        <f>AR577*AT577*AQ577</f>
        <v/>
      </c>
      <c r="AX577">
        <f>AR577*AS577</f>
        <v/>
      </c>
      <c r="AY577">
        <f>AR577*AT577</f>
        <v/>
      </c>
      <c r="AZ577">
        <f>AR577*AQ577</f>
        <v/>
      </c>
      <c r="BA577">
        <f>AR577</f>
        <v/>
      </c>
      <c r="BB577">
        <f>1</f>
        <v/>
      </c>
      <c r="BC577">
        <f>IF(AV577=1,1,IF(AW577=1,2,IF(AX577=1,3,IF(AY577=1,4,IF(AZ577=1,5,IF(BA577=1,6,7))))))</f>
        <v/>
      </c>
      <c r="BD577">
        <f>IF(AD577=1,CHOOSE('Historical Score'!$C$29,AV577,AW577,AX577,AY577,AZ577,BA577,BB577),0)</f>
        <v/>
      </c>
      <c r="BE577">
        <f>IF(BD577=1,COUNTIF($BD$2:BD577,1),"")</f>
        <v/>
      </c>
    </row>
    <row r="578">
      <c r="A578" t="inlineStr">
        <is>
          <t>5674177367</t>
        </is>
      </c>
      <c r="B578" t="inlineStr">
        <is>
          <t>HOUSTON CONSULTING GROUP LLC</t>
        </is>
      </c>
      <c r="C578" t="inlineStr">
        <is>
          <t>HOUSTON CONSULTING GROUP LLC</t>
        </is>
      </c>
      <c r="D578" t="inlineStr">
        <is>
          <t>Lowered Payments</t>
        </is>
      </c>
      <c r="E578" s="297" t="n">
        <v>46050</v>
      </c>
      <c r="F578" s="297" t="n">
        <v>46248</v>
      </c>
      <c r="G578" t="n">
        <v>3</v>
      </c>
      <c r="H578" t="inlineStr">
        <is>
          <t>8748</t>
        </is>
      </c>
      <c r="I578" t="inlineStr">
        <is>
          <t>87</t>
        </is>
      </c>
      <c r="J578" t="inlineStr">
        <is>
          <t>GA</t>
        </is>
      </c>
      <c r="K578" t="inlineStr">
        <is>
          <t>United Secured Capital 8</t>
        </is>
      </c>
      <c r="L578" t="inlineStr">
        <is>
          <t>New Deal</t>
        </is>
      </c>
      <c r="M578" s="298" t="n">
        <v>1.37</v>
      </c>
      <c r="N578" s="299" t="n">
        <v>30000</v>
      </c>
      <c r="O578" s="299" t="n">
        <v>2400</v>
      </c>
      <c r="P578" s="299" t="n">
        <v>41100</v>
      </c>
      <c r="Q578" s="299" t="n">
        <v>19181.07</v>
      </c>
      <c r="R578" s="299" t="n">
        <v>21918.93</v>
      </c>
      <c r="S578" s="300" t="n">
        <v>0.466692700729927</v>
      </c>
      <c r="T578" t="n">
        <v>26</v>
      </c>
      <c r="U578" t="n">
        <v>5</v>
      </c>
      <c r="V578" t="n">
        <v>120245.69</v>
      </c>
      <c r="W578" s="300" t="n">
        <v>0.0526</v>
      </c>
      <c r="X578" s="297" t="n"/>
      <c r="Y578">
        <f>IF(I578="","No SIC",IFERROR(VLOOKUP(I578,Ref!$A$2:$B$65,2,FALSE),"Unclassified"))</f>
        <v/>
      </c>
      <c r="Z578">
        <f>IF(T578="","",IF(T578&lt;12,"Daily","Weekly"))</f>
        <v/>
      </c>
      <c r="AA578">
        <f>IF(T578="",0,IF(T578&lt;12,T578*Controls!$B$29,T578*5))</f>
        <v/>
      </c>
      <c r="AB578">
        <f>IF(E578="",0,NETWORKDAYS(E578,Controls!$B$36,Ref!$K$2:$K$42))</f>
        <v/>
      </c>
      <c r="AC578">
        <f>IF(AND(AA578&gt;0,AB578&gt;=Controls!$B$39*AA578),1,0)</f>
        <v/>
      </c>
      <c r="AD578">
        <f>IF(AND(E578&lt;&gt;"",E578&gt;=Controls!$B$37,E578&lt;=Controls!$B$38),1,0)</f>
        <v/>
      </c>
      <c r="AE578">
        <f>IF(IFERROR(VLOOKUP(D578,Controls!$A$64:$E$74,2,FALSE),"No")="Yes",1,0)</f>
        <v/>
      </c>
      <c r="AF578">
        <f>IF(IFERROR(VLOOKUP(D578,Controls!$A$64:$E$74,3,FALSE),"No")="Yes",1,0)</f>
        <v/>
      </c>
      <c r="AG578">
        <f>IF(IFERROR(VLOOKUP(D578,Controls!$A$64:$E$74,4,FALSE),"No")="Yes",1,0)</f>
        <v/>
      </c>
      <c r="AH578">
        <f>IF(IFERROR(VLOOKUP(D578,Controls!$A$64:$E$74,5,FALSE),"No")="Yes",1,0)</f>
        <v/>
      </c>
      <c r="AI578">
        <f>IF(ISNUMBER(MATCH(D578,Controls!$A$64:$A$74,0)),1,0)</f>
        <v/>
      </c>
      <c r="AJ578">
        <f>Q578-N578</f>
        <v/>
      </c>
      <c r="AK578">
        <f>IF(AE578=1,MAX(0,N578-Q578),0)</f>
        <v/>
      </c>
      <c r="AL578">
        <f>IF(OR(V578="",V578=0),0,N578/V578)</f>
        <v/>
      </c>
      <c r="AM578">
        <f>IF(OR(V578="",V578=0),0,1)</f>
        <v/>
      </c>
      <c r="AN578">
        <f>IF(OR(E578="",F578=""),0,NETWORKDAYS(E578,F578,Ref!$K$2:$K$42))</f>
        <v/>
      </c>
      <c r="AO578">
        <f>IF(L578="Renewal",1,0)</f>
        <v/>
      </c>
      <c r="AP578">
        <f>AC578*AD578</f>
        <v/>
      </c>
      <c r="AQ578">
        <f>IF(AND(G578&lt;&gt;"",'Historical Score'!$C$6&lt;&gt;""),IF(G578='Historical Score'!$C$6,1,0),0)</f>
        <v/>
      </c>
      <c r="AR578">
        <f>IF(AND(L578&lt;&gt;"",'Historical Score'!$C$5&lt;&gt;""),IF(L578='Historical Score'!$C$5,1,0),0)</f>
        <v/>
      </c>
      <c r="AS578">
        <f>IF(AND(Y578&lt;&gt;"",'Historical Score'!$C$7&lt;&gt;""),IF(Y578='Historical Score'!$C$7,1,0),0)</f>
        <v/>
      </c>
      <c r="AT578">
        <f>IF(AND(K578&lt;&gt;"",'Historical Score'!$C$8&lt;&gt;""),IF(K578='Historical Score'!$C$8,1,0),0)</f>
        <v/>
      </c>
      <c r="AU578">
        <f>IF(AND(J578&lt;&gt;"",'Historical Score'!$C$9&lt;&gt;""),IF(J578='Historical Score'!$C$9,1,0),0)</f>
        <v/>
      </c>
      <c r="AV578">
        <f>AR578*AS578*AQ578</f>
        <v/>
      </c>
      <c r="AW578">
        <f>AR578*AT578*AQ578</f>
        <v/>
      </c>
      <c r="AX578">
        <f>AR578*AS578</f>
        <v/>
      </c>
      <c r="AY578">
        <f>AR578*AT578</f>
        <v/>
      </c>
      <c r="AZ578">
        <f>AR578*AQ578</f>
        <v/>
      </c>
      <c r="BA578">
        <f>AR578</f>
        <v/>
      </c>
      <c r="BB578">
        <f>1</f>
        <v/>
      </c>
      <c r="BC578">
        <f>IF(AV578=1,1,IF(AW578=1,2,IF(AX578=1,3,IF(AY578=1,4,IF(AZ578=1,5,IF(BA578=1,6,7))))))</f>
        <v/>
      </c>
      <c r="BD578">
        <f>IF(AD578=1,CHOOSE('Historical Score'!$C$29,AV578,AW578,AX578,AY578,AZ578,BA578,BB578),0)</f>
        <v/>
      </c>
      <c r="BE578">
        <f>IF(BD578=1,COUNTIF($BD$2:BD578,1),"")</f>
        <v/>
      </c>
    </row>
    <row r="579">
      <c r="A579" t="inlineStr">
        <is>
          <t>5674177406</t>
        </is>
      </c>
      <c r="B579" t="inlineStr">
        <is>
          <t>24 HOURS TOWING AND ROADSIDE LLC</t>
        </is>
      </c>
      <c r="C579" t="inlineStr">
        <is>
          <t>24 HOURS TOWING AND ROADSIDE LLC</t>
        </is>
      </c>
      <c r="D579" t="inlineStr">
        <is>
          <t>Open</t>
        </is>
      </c>
      <c r="E579" s="297" t="n">
        <v>46051</v>
      </c>
      <c r="F579" s="297" t="n">
        <v>46253</v>
      </c>
      <c r="G579" t="n">
        <v>2</v>
      </c>
      <c r="H579" t="inlineStr">
        <is>
          <t>4499</t>
        </is>
      </c>
      <c r="I579" t="inlineStr">
        <is>
          <t>44</t>
        </is>
      </c>
      <c r="J579" t="inlineStr">
        <is>
          <t>GA</t>
        </is>
      </c>
      <c r="K579" t="inlineStr">
        <is>
          <t>Westwood</t>
        </is>
      </c>
      <c r="L579" t="inlineStr">
        <is>
          <t>New Deal</t>
        </is>
      </c>
      <c r="M579" s="298" t="n">
        <v>1.49</v>
      </c>
      <c r="N579" s="299" t="n">
        <v>15000</v>
      </c>
      <c r="O579" s="299" t="n">
        <v>2100</v>
      </c>
      <c r="P579" s="299" t="n">
        <v>22350</v>
      </c>
      <c r="Q579" s="299" t="n">
        <v>8678.700000000001</v>
      </c>
      <c r="R579" s="299" t="n">
        <v>13671.3</v>
      </c>
      <c r="S579" s="300" t="n">
        <v>0.388308724832215</v>
      </c>
      <c r="T579" t="n">
        <v>22</v>
      </c>
      <c r="U579" t="n">
        <v>56</v>
      </c>
      <c r="V579" t="n">
        <v>78435.88</v>
      </c>
      <c r="W579" s="300" t="n">
        <v>0.0518</v>
      </c>
      <c r="X579" s="297" t="n">
        <v>45616</v>
      </c>
      <c r="Y579">
        <f>IF(I579="","No SIC",IFERROR(VLOOKUP(I579,Ref!$A$2:$B$65,2,FALSE),"Unclassified"))</f>
        <v/>
      </c>
      <c r="Z579">
        <f>IF(T579="","",IF(T579&lt;12,"Daily","Weekly"))</f>
        <v/>
      </c>
      <c r="AA579">
        <f>IF(T579="",0,IF(T579&lt;12,T579*Controls!$B$29,T579*5))</f>
        <v/>
      </c>
      <c r="AB579">
        <f>IF(E579="",0,NETWORKDAYS(E579,Controls!$B$36,Ref!$K$2:$K$42))</f>
        <v/>
      </c>
      <c r="AC579">
        <f>IF(AND(AA579&gt;0,AB579&gt;=Controls!$B$39*AA579),1,0)</f>
        <v/>
      </c>
      <c r="AD579">
        <f>IF(AND(E579&lt;&gt;"",E579&gt;=Controls!$B$37,E579&lt;=Controls!$B$38),1,0)</f>
        <v/>
      </c>
      <c r="AE579">
        <f>IF(IFERROR(VLOOKUP(D579,Controls!$A$64:$E$74,2,FALSE),"No")="Yes",1,0)</f>
        <v/>
      </c>
      <c r="AF579">
        <f>IF(IFERROR(VLOOKUP(D579,Controls!$A$64:$E$74,3,FALSE),"No")="Yes",1,0)</f>
        <v/>
      </c>
      <c r="AG579">
        <f>IF(IFERROR(VLOOKUP(D579,Controls!$A$64:$E$74,4,FALSE),"No")="Yes",1,0)</f>
        <v/>
      </c>
      <c r="AH579">
        <f>IF(IFERROR(VLOOKUP(D579,Controls!$A$64:$E$74,5,FALSE),"No")="Yes",1,0)</f>
        <v/>
      </c>
      <c r="AI579">
        <f>IF(ISNUMBER(MATCH(D579,Controls!$A$64:$A$74,0)),1,0)</f>
        <v/>
      </c>
      <c r="AJ579">
        <f>Q579-N579</f>
        <v/>
      </c>
      <c r="AK579">
        <f>IF(AE579=1,MAX(0,N579-Q579),0)</f>
        <v/>
      </c>
      <c r="AL579">
        <f>IF(OR(V579="",V579=0),0,N579/V579)</f>
        <v/>
      </c>
      <c r="AM579">
        <f>IF(OR(V579="",V579=0),0,1)</f>
        <v/>
      </c>
      <c r="AN579">
        <f>IF(OR(E579="",F579=""),0,NETWORKDAYS(E579,F579,Ref!$K$2:$K$42))</f>
        <v/>
      </c>
      <c r="AO579">
        <f>IF(L579="Renewal",1,0)</f>
        <v/>
      </c>
      <c r="AP579">
        <f>AC579*AD579</f>
        <v/>
      </c>
      <c r="AQ579">
        <f>IF(AND(G579&lt;&gt;"",'Historical Score'!$C$6&lt;&gt;""),IF(G579='Historical Score'!$C$6,1,0),0)</f>
        <v/>
      </c>
      <c r="AR579">
        <f>IF(AND(L579&lt;&gt;"",'Historical Score'!$C$5&lt;&gt;""),IF(L579='Historical Score'!$C$5,1,0),0)</f>
        <v/>
      </c>
      <c r="AS579">
        <f>IF(AND(Y579&lt;&gt;"",'Historical Score'!$C$7&lt;&gt;""),IF(Y579='Historical Score'!$C$7,1,0),0)</f>
        <v/>
      </c>
      <c r="AT579">
        <f>IF(AND(K579&lt;&gt;"",'Historical Score'!$C$8&lt;&gt;""),IF(K579='Historical Score'!$C$8,1,0),0)</f>
        <v/>
      </c>
      <c r="AU579">
        <f>IF(AND(J579&lt;&gt;"",'Historical Score'!$C$9&lt;&gt;""),IF(J579='Historical Score'!$C$9,1,0),0)</f>
        <v/>
      </c>
      <c r="AV579">
        <f>AR579*AS579*AQ579</f>
        <v/>
      </c>
      <c r="AW579">
        <f>AR579*AT579*AQ579</f>
        <v/>
      </c>
      <c r="AX579">
        <f>AR579*AS579</f>
        <v/>
      </c>
      <c r="AY579">
        <f>AR579*AT579</f>
        <v/>
      </c>
      <c r="AZ579">
        <f>AR579*AQ579</f>
        <v/>
      </c>
      <c r="BA579">
        <f>AR579</f>
        <v/>
      </c>
      <c r="BB579">
        <f>1</f>
        <v/>
      </c>
      <c r="BC579">
        <f>IF(AV579=1,1,IF(AW579=1,2,IF(AX579=1,3,IF(AY579=1,4,IF(AZ579=1,5,IF(BA579=1,6,7))))))</f>
        <v/>
      </c>
      <c r="BD579">
        <f>IF(AD579=1,CHOOSE('Historical Score'!$C$29,AV579,AW579,AX579,AY579,AZ579,BA579,BB579),0)</f>
        <v/>
      </c>
      <c r="BE579">
        <f>IF(BD579=1,COUNTIF($BD$2:BD579,1),"")</f>
        <v/>
      </c>
    </row>
    <row r="580">
      <c r="A580" t="inlineStr">
        <is>
          <t>5674177418</t>
        </is>
      </c>
      <c r="B580" t="inlineStr">
        <is>
          <t>COMFORT ZONE EVOLUTION</t>
        </is>
      </c>
      <c r="C580" t="inlineStr">
        <is>
          <t>COMFORT ZONE EVOLUTION INC</t>
        </is>
      </c>
      <c r="D580" t="inlineStr">
        <is>
          <t>Open</t>
        </is>
      </c>
      <c r="E580" s="297" t="n">
        <v>46051</v>
      </c>
      <c r="F580" s="297" t="n">
        <v>46248</v>
      </c>
      <c r="G580" t="n">
        <v>1</v>
      </c>
      <c r="H580" t="inlineStr">
        <is>
          <t>5712</t>
        </is>
      </c>
      <c r="I580" t="inlineStr">
        <is>
          <t>57</t>
        </is>
      </c>
      <c r="J580" t="inlineStr">
        <is>
          <t>FL</t>
        </is>
      </c>
      <c r="K580" t="inlineStr">
        <is>
          <t>Fidelity Funding</t>
        </is>
      </c>
      <c r="L580" t="inlineStr">
        <is>
          <t>New Deal</t>
        </is>
      </c>
      <c r="M580" s="298" t="n">
        <v>1.44</v>
      </c>
      <c r="N580" s="299" t="n">
        <v>15000</v>
      </c>
      <c r="O580" s="299" t="n">
        <v>1725</v>
      </c>
      <c r="P580" s="299" t="n">
        <v>21600</v>
      </c>
      <c r="Q580" s="299" t="n">
        <v>13751.64</v>
      </c>
      <c r="R580" s="299" t="n">
        <v>7848.36</v>
      </c>
      <c r="S580" s="300" t="n">
        <v>0.63665</v>
      </c>
      <c r="T580" t="n">
        <v>44</v>
      </c>
      <c r="U580" t="n">
        <v>0</v>
      </c>
      <c r="V580" t="n">
        <v>31482.51</v>
      </c>
      <c r="W580" s="300" t="n">
        <v>0.0624</v>
      </c>
      <c r="X580" s="297" t="n">
        <v>37773</v>
      </c>
      <c r="Y580">
        <f>IF(I580="","No SIC",IFERROR(VLOOKUP(I580,Ref!$A$2:$B$65,2,FALSE),"Unclassified"))</f>
        <v/>
      </c>
      <c r="Z580">
        <f>IF(T580="","",IF(T580&lt;12,"Daily","Weekly"))</f>
        <v/>
      </c>
      <c r="AA580">
        <f>IF(T580="",0,IF(T580&lt;12,T580*Controls!$B$29,T580*5))</f>
        <v/>
      </c>
      <c r="AB580">
        <f>IF(E580="",0,NETWORKDAYS(E580,Controls!$B$36,Ref!$K$2:$K$42))</f>
        <v/>
      </c>
      <c r="AC580">
        <f>IF(AND(AA580&gt;0,AB580&gt;=Controls!$B$39*AA580),1,0)</f>
        <v/>
      </c>
      <c r="AD580">
        <f>IF(AND(E580&lt;&gt;"",E580&gt;=Controls!$B$37,E580&lt;=Controls!$B$38),1,0)</f>
        <v/>
      </c>
      <c r="AE580">
        <f>IF(IFERROR(VLOOKUP(D580,Controls!$A$64:$E$74,2,FALSE),"No")="Yes",1,0)</f>
        <v/>
      </c>
      <c r="AF580">
        <f>IF(IFERROR(VLOOKUP(D580,Controls!$A$64:$E$74,3,FALSE),"No")="Yes",1,0)</f>
        <v/>
      </c>
      <c r="AG580">
        <f>IF(IFERROR(VLOOKUP(D580,Controls!$A$64:$E$74,4,FALSE),"No")="Yes",1,0)</f>
        <v/>
      </c>
      <c r="AH580">
        <f>IF(IFERROR(VLOOKUP(D580,Controls!$A$64:$E$74,5,FALSE),"No")="Yes",1,0)</f>
        <v/>
      </c>
      <c r="AI580">
        <f>IF(ISNUMBER(MATCH(D580,Controls!$A$64:$A$74,0)),1,0)</f>
        <v/>
      </c>
      <c r="AJ580">
        <f>Q580-N580</f>
        <v/>
      </c>
      <c r="AK580">
        <f>IF(AE580=1,MAX(0,N580-Q580),0)</f>
        <v/>
      </c>
      <c r="AL580">
        <f>IF(OR(V580="",V580=0),0,N580/V580)</f>
        <v/>
      </c>
      <c r="AM580">
        <f>IF(OR(V580="",V580=0),0,1)</f>
        <v/>
      </c>
      <c r="AN580">
        <f>IF(OR(E580="",F580=""),0,NETWORKDAYS(E580,F580,Ref!$K$2:$K$42))</f>
        <v/>
      </c>
      <c r="AO580">
        <f>IF(L580="Renewal",1,0)</f>
        <v/>
      </c>
      <c r="AP580">
        <f>AC580*AD580</f>
        <v/>
      </c>
      <c r="AQ580">
        <f>IF(AND(G580&lt;&gt;"",'Historical Score'!$C$6&lt;&gt;""),IF(G580='Historical Score'!$C$6,1,0),0)</f>
        <v/>
      </c>
      <c r="AR580">
        <f>IF(AND(L580&lt;&gt;"",'Historical Score'!$C$5&lt;&gt;""),IF(L580='Historical Score'!$C$5,1,0),0)</f>
        <v/>
      </c>
      <c r="AS580">
        <f>IF(AND(Y580&lt;&gt;"",'Historical Score'!$C$7&lt;&gt;""),IF(Y580='Historical Score'!$C$7,1,0),0)</f>
        <v/>
      </c>
      <c r="AT580">
        <f>IF(AND(K580&lt;&gt;"",'Historical Score'!$C$8&lt;&gt;""),IF(K580='Historical Score'!$C$8,1,0),0)</f>
        <v/>
      </c>
      <c r="AU580">
        <f>IF(AND(J580&lt;&gt;"",'Historical Score'!$C$9&lt;&gt;""),IF(J580='Historical Score'!$C$9,1,0),0)</f>
        <v/>
      </c>
      <c r="AV580">
        <f>AR580*AS580*AQ580</f>
        <v/>
      </c>
      <c r="AW580">
        <f>AR580*AT580*AQ580</f>
        <v/>
      </c>
      <c r="AX580">
        <f>AR580*AS580</f>
        <v/>
      </c>
      <c r="AY580">
        <f>AR580*AT580</f>
        <v/>
      </c>
      <c r="AZ580">
        <f>AR580*AQ580</f>
        <v/>
      </c>
      <c r="BA580">
        <f>AR580</f>
        <v/>
      </c>
      <c r="BB580">
        <f>1</f>
        <v/>
      </c>
      <c r="BC580">
        <f>IF(AV580=1,1,IF(AW580=1,2,IF(AX580=1,3,IF(AY580=1,4,IF(AZ580=1,5,IF(BA580=1,6,7))))))</f>
        <v/>
      </c>
      <c r="BD580">
        <f>IF(AD580=1,CHOOSE('Historical Score'!$C$29,AV580,AW580,AX580,AY580,AZ580,BA580,BB580),0)</f>
        <v/>
      </c>
      <c r="BE580">
        <f>IF(BD580=1,COUNTIF($BD$2:BD580,1),"")</f>
        <v/>
      </c>
    </row>
    <row r="581">
      <c r="A581" t="inlineStr">
        <is>
          <t>5674177420</t>
        </is>
      </c>
      <c r="B581" t="inlineStr">
        <is>
          <t>CASTROS CARGO EXPRESS LLC</t>
        </is>
      </c>
      <c r="C581" t="inlineStr">
        <is>
          <t>CASTROS CARGO EXPRESS LLC</t>
        </is>
      </c>
      <c r="D581" t="inlineStr">
        <is>
          <t>Legal</t>
        </is>
      </c>
      <c r="E581" s="297" t="n">
        <v>46051</v>
      </c>
      <c r="F581" s="297" t="n">
        <v>46121</v>
      </c>
      <c r="G581" t="n">
        <v>3</v>
      </c>
      <c r="H581" t="inlineStr">
        <is>
          <t>4212</t>
        </is>
      </c>
      <c r="I581" t="inlineStr">
        <is>
          <t>42</t>
        </is>
      </c>
      <c r="J581" t="inlineStr">
        <is>
          <t>NJ</t>
        </is>
      </c>
      <c r="K581" t="inlineStr">
        <is>
          <t>United Secured Capital 8</t>
        </is>
      </c>
      <c r="L581" t="inlineStr">
        <is>
          <t>Renewal</t>
        </is>
      </c>
      <c r="M581" s="298" t="n">
        <v>1.49</v>
      </c>
      <c r="N581" s="299" t="n">
        <v>16000</v>
      </c>
      <c r="O581" s="299" t="n">
        <v>2240</v>
      </c>
      <c r="P581" s="299" t="n">
        <v>23840</v>
      </c>
      <c r="Q581" s="299" t="n">
        <v>9281.16</v>
      </c>
      <c r="R581" s="299" t="n">
        <v>14558.84</v>
      </c>
      <c r="S581" s="300" t="n">
        <v>0.389310402684564</v>
      </c>
      <c r="T581" t="n">
        <v>3.934</v>
      </c>
      <c r="U581" t="n">
        <v>4</v>
      </c>
      <c r="V581" t="n">
        <v>8926.51</v>
      </c>
      <c r="W581" s="300" t="n">
        <v>0.4674</v>
      </c>
      <c r="X581" s="297" t="n"/>
      <c r="Y581">
        <f>IF(I581="","No SIC",IFERROR(VLOOKUP(I581,Ref!$A$2:$B$65,2,FALSE),"Unclassified"))</f>
        <v/>
      </c>
      <c r="Z581">
        <f>IF(T581="","",IF(T581&lt;12,"Daily","Weekly"))</f>
        <v/>
      </c>
      <c r="AA581">
        <f>IF(T581="",0,IF(T581&lt;12,T581*Controls!$B$29,T581*5))</f>
        <v/>
      </c>
      <c r="AB581">
        <f>IF(E581="",0,NETWORKDAYS(E581,Controls!$B$36,Ref!$K$2:$K$42))</f>
        <v/>
      </c>
      <c r="AC581">
        <f>IF(AND(AA581&gt;0,AB581&gt;=Controls!$B$39*AA581),1,0)</f>
        <v/>
      </c>
      <c r="AD581">
        <f>IF(AND(E581&lt;&gt;"",E581&gt;=Controls!$B$37,E581&lt;=Controls!$B$38),1,0)</f>
        <v/>
      </c>
      <c r="AE581">
        <f>IF(IFERROR(VLOOKUP(D581,Controls!$A$64:$E$74,2,FALSE),"No")="Yes",1,0)</f>
        <v/>
      </c>
      <c r="AF581">
        <f>IF(IFERROR(VLOOKUP(D581,Controls!$A$64:$E$74,3,FALSE),"No")="Yes",1,0)</f>
        <v/>
      </c>
      <c r="AG581">
        <f>IF(IFERROR(VLOOKUP(D581,Controls!$A$64:$E$74,4,FALSE),"No")="Yes",1,0)</f>
        <v/>
      </c>
      <c r="AH581">
        <f>IF(IFERROR(VLOOKUP(D581,Controls!$A$64:$E$74,5,FALSE),"No")="Yes",1,0)</f>
        <v/>
      </c>
      <c r="AI581">
        <f>IF(ISNUMBER(MATCH(D581,Controls!$A$64:$A$74,0)),1,0)</f>
        <v/>
      </c>
      <c r="AJ581">
        <f>Q581-N581</f>
        <v/>
      </c>
      <c r="AK581">
        <f>IF(AE581=1,MAX(0,N581-Q581),0)</f>
        <v/>
      </c>
      <c r="AL581">
        <f>IF(OR(V581="",V581=0),0,N581/V581)</f>
        <v/>
      </c>
      <c r="AM581">
        <f>IF(OR(V581="",V581=0),0,1)</f>
        <v/>
      </c>
      <c r="AN581">
        <f>IF(OR(E581="",F581=""),0,NETWORKDAYS(E581,F581,Ref!$K$2:$K$42))</f>
        <v/>
      </c>
      <c r="AO581">
        <f>IF(L581="Renewal",1,0)</f>
        <v/>
      </c>
      <c r="AP581">
        <f>AC581*AD581</f>
        <v/>
      </c>
      <c r="AQ581">
        <f>IF(AND(G581&lt;&gt;"",'Historical Score'!$C$6&lt;&gt;""),IF(G581='Historical Score'!$C$6,1,0),0)</f>
        <v/>
      </c>
      <c r="AR581">
        <f>IF(AND(L581&lt;&gt;"",'Historical Score'!$C$5&lt;&gt;""),IF(L581='Historical Score'!$C$5,1,0),0)</f>
        <v/>
      </c>
      <c r="AS581">
        <f>IF(AND(Y581&lt;&gt;"",'Historical Score'!$C$7&lt;&gt;""),IF(Y581='Historical Score'!$C$7,1,0),0)</f>
        <v/>
      </c>
      <c r="AT581">
        <f>IF(AND(K581&lt;&gt;"",'Historical Score'!$C$8&lt;&gt;""),IF(K581='Historical Score'!$C$8,1,0),0)</f>
        <v/>
      </c>
      <c r="AU581">
        <f>IF(AND(J581&lt;&gt;"",'Historical Score'!$C$9&lt;&gt;""),IF(J581='Historical Score'!$C$9,1,0),0)</f>
        <v/>
      </c>
      <c r="AV581">
        <f>AR581*AS581*AQ581</f>
        <v/>
      </c>
      <c r="AW581">
        <f>AR581*AT581*AQ581</f>
        <v/>
      </c>
      <c r="AX581">
        <f>AR581*AS581</f>
        <v/>
      </c>
      <c r="AY581">
        <f>AR581*AT581</f>
        <v/>
      </c>
      <c r="AZ581">
        <f>AR581*AQ581</f>
        <v/>
      </c>
      <c r="BA581">
        <f>AR581</f>
        <v/>
      </c>
      <c r="BB581">
        <f>1</f>
        <v/>
      </c>
      <c r="BC581">
        <f>IF(AV581=1,1,IF(AW581=1,2,IF(AX581=1,3,IF(AY581=1,4,IF(AZ581=1,5,IF(BA581=1,6,7))))))</f>
        <v/>
      </c>
      <c r="BD581">
        <f>IF(AD581=1,CHOOSE('Historical Score'!$C$29,AV581,AW581,AX581,AY581,AZ581,BA581,BB581),0)</f>
        <v/>
      </c>
      <c r="BE581">
        <f>IF(BD581=1,COUNTIF($BD$2:BD581,1),"")</f>
        <v/>
      </c>
    </row>
    <row r="582">
      <c r="A582" t="inlineStr">
        <is>
          <t>5674177428</t>
        </is>
      </c>
      <c r="B582" t="inlineStr">
        <is>
          <t>THE HOUSE OF JIREH MINISTRIES</t>
        </is>
      </c>
      <c r="C582" t="inlineStr">
        <is>
          <t>THE HOUSE OF JIREH MINISTRIES, INC.</t>
        </is>
      </c>
      <c r="D582" t="inlineStr">
        <is>
          <t>Legal</t>
        </is>
      </c>
      <c r="E582" s="297" t="n">
        <v>46051</v>
      </c>
      <c r="F582" s="297" t="n">
        <v>46237</v>
      </c>
      <c r="G582" t="n">
        <v>3</v>
      </c>
      <c r="H582" t="inlineStr">
        <is>
          <t>8661</t>
        </is>
      </c>
      <c r="I582" t="inlineStr">
        <is>
          <t>86</t>
        </is>
      </c>
      <c r="J582" t="inlineStr">
        <is>
          <t>NH</t>
        </is>
      </c>
      <c r="K582" t="inlineStr">
        <is>
          <t>United Secured Capital 8</t>
        </is>
      </c>
      <c r="L582" t="inlineStr">
        <is>
          <t>Renewal</t>
        </is>
      </c>
      <c r="M582" s="298" t="n">
        <v>1.49</v>
      </c>
      <c r="N582" s="299" t="n">
        <v>24000</v>
      </c>
      <c r="O582" s="299" t="n">
        <v>3360</v>
      </c>
      <c r="P582" s="299" t="n">
        <v>35760</v>
      </c>
      <c r="Q582" s="299" t="n">
        <v>17908.63</v>
      </c>
      <c r="R582" s="299" t="n">
        <v>17851.37</v>
      </c>
      <c r="S582" s="300" t="n">
        <v>0.5008006152125281</v>
      </c>
      <c r="T582" t="n">
        <v>3.934</v>
      </c>
      <c r="U582" t="n">
        <v>12</v>
      </c>
      <c r="V582" t="n">
        <v>57074.76</v>
      </c>
      <c r="W582" s="300" t="n">
        <v>0.1096</v>
      </c>
      <c r="X582" s="297" t="n"/>
      <c r="Y582">
        <f>IF(I582="","No SIC",IFERROR(VLOOKUP(I582,Ref!$A$2:$B$65,2,FALSE),"Unclassified"))</f>
        <v/>
      </c>
      <c r="Z582">
        <f>IF(T582="","",IF(T582&lt;12,"Daily","Weekly"))</f>
        <v/>
      </c>
      <c r="AA582">
        <f>IF(T582="",0,IF(T582&lt;12,T582*Controls!$B$29,T582*5))</f>
        <v/>
      </c>
      <c r="AB582">
        <f>IF(E582="",0,NETWORKDAYS(E582,Controls!$B$36,Ref!$K$2:$K$42))</f>
        <v/>
      </c>
      <c r="AC582">
        <f>IF(AND(AA582&gt;0,AB582&gt;=Controls!$B$39*AA582),1,0)</f>
        <v/>
      </c>
      <c r="AD582">
        <f>IF(AND(E582&lt;&gt;"",E582&gt;=Controls!$B$37,E582&lt;=Controls!$B$38),1,0)</f>
        <v/>
      </c>
      <c r="AE582">
        <f>IF(IFERROR(VLOOKUP(D582,Controls!$A$64:$E$74,2,FALSE),"No")="Yes",1,0)</f>
        <v/>
      </c>
      <c r="AF582">
        <f>IF(IFERROR(VLOOKUP(D582,Controls!$A$64:$E$74,3,FALSE),"No")="Yes",1,0)</f>
        <v/>
      </c>
      <c r="AG582">
        <f>IF(IFERROR(VLOOKUP(D582,Controls!$A$64:$E$74,4,FALSE),"No")="Yes",1,0)</f>
        <v/>
      </c>
      <c r="AH582">
        <f>IF(IFERROR(VLOOKUP(D582,Controls!$A$64:$E$74,5,FALSE),"No")="Yes",1,0)</f>
        <v/>
      </c>
      <c r="AI582">
        <f>IF(ISNUMBER(MATCH(D582,Controls!$A$64:$A$74,0)),1,0)</f>
        <v/>
      </c>
      <c r="AJ582">
        <f>Q582-N582</f>
        <v/>
      </c>
      <c r="AK582">
        <f>IF(AE582=1,MAX(0,N582-Q582),0)</f>
        <v/>
      </c>
      <c r="AL582">
        <f>IF(OR(V582="",V582=0),0,N582/V582)</f>
        <v/>
      </c>
      <c r="AM582">
        <f>IF(OR(V582="",V582=0),0,1)</f>
        <v/>
      </c>
      <c r="AN582">
        <f>IF(OR(E582="",F582=""),0,NETWORKDAYS(E582,F582,Ref!$K$2:$K$42))</f>
        <v/>
      </c>
      <c r="AO582">
        <f>IF(L582="Renewal",1,0)</f>
        <v/>
      </c>
      <c r="AP582">
        <f>AC582*AD582</f>
        <v/>
      </c>
      <c r="AQ582">
        <f>IF(AND(G582&lt;&gt;"",'Historical Score'!$C$6&lt;&gt;""),IF(G582='Historical Score'!$C$6,1,0),0)</f>
        <v/>
      </c>
      <c r="AR582">
        <f>IF(AND(L582&lt;&gt;"",'Historical Score'!$C$5&lt;&gt;""),IF(L582='Historical Score'!$C$5,1,0),0)</f>
        <v/>
      </c>
      <c r="AS582">
        <f>IF(AND(Y582&lt;&gt;"",'Historical Score'!$C$7&lt;&gt;""),IF(Y582='Historical Score'!$C$7,1,0),0)</f>
        <v/>
      </c>
      <c r="AT582">
        <f>IF(AND(K582&lt;&gt;"",'Historical Score'!$C$8&lt;&gt;""),IF(K582='Historical Score'!$C$8,1,0),0)</f>
        <v/>
      </c>
      <c r="AU582">
        <f>IF(AND(J582&lt;&gt;"",'Historical Score'!$C$9&lt;&gt;""),IF(J582='Historical Score'!$C$9,1,0),0)</f>
        <v/>
      </c>
      <c r="AV582">
        <f>AR582*AS582*AQ582</f>
        <v/>
      </c>
      <c r="AW582">
        <f>AR582*AT582*AQ582</f>
        <v/>
      </c>
      <c r="AX582">
        <f>AR582*AS582</f>
        <v/>
      </c>
      <c r="AY582">
        <f>AR582*AT582</f>
        <v/>
      </c>
      <c r="AZ582">
        <f>AR582*AQ582</f>
        <v/>
      </c>
      <c r="BA582">
        <f>AR582</f>
        <v/>
      </c>
      <c r="BB582">
        <f>1</f>
        <v/>
      </c>
      <c r="BC582">
        <f>IF(AV582=1,1,IF(AW582=1,2,IF(AX582=1,3,IF(AY582=1,4,IF(AZ582=1,5,IF(BA582=1,6,7))))))</f>
        <v/>
      </c>
      <c r="BD582">
        <f>IF(AD582=1,CHOOSE('Historical Score'!$C$29,AV582,AW582,AX582,AY582,AZ582,BA582,BB582),0)</f>
        <v/>
      </c>
      <c r="BE582">
        <f>IF(BD582=1,COUNTIF($BD$2:BD582,1),"")</f>
        <v/>
      </c>
    </row>
    <row r="583">
      <c r="A583" t="inlineStr">
        <is>
          <t>5674177451</t>
        </is>
      </c>
      <c r="B583" t="inlineStr">
        <is>
          <t>JF3 HOLDINGS LLC</t>
        </is>
      </c>
      <c r="C583" t="inlineStr">
        <is>
          <t>JF3 HOLDINGS LLC</t>
        </is>
      </c>
      <c r="D583" t="inlineStr">
        <is>
          <t>Legal</t>
        </is>
      </c>
      <c r="E583" s="297" t="n">
        <v>46051</v>
      </c>
      <c r="F583" s="297" t="n">
        <v>46126</v>
      </c>
      <c r="G583" t="n">
        <v>3</v>
      </c>
      <c r="H583" t="inlineStr">
        <is>
          <t>5399</t>
        </is>
      </c>
      <c r="I583" t="inlineStr">
        <is>
          <t>53</t>
        </is>
      </c>
      <c r="J583" t="inlineStr">
        <is>
          <t>OH</t>
        </is>
      </c>
      <c r="K583" t="inlineStr">
        <is>
          <t>United Secured Capital 8</t>
        </is>
      </c>
      <c r="L583" t="inlineStr">
        <is>
          <t>New Deal</t>
        </is>
      </c>
      <c r="M583" s="298" t="n">
        <v>1.49</v>
      </c>
      <c r="N583" s="299" t="n">
        <v>8000</v>
      </c>
      <c r="O583" s="299" t="n">
        <v>0</v>
      </c>
      <c r="P583" s="299" t="n">
        <v>11920</v>
      </c>
      <c r="Q583" s="299" t="n">
        <v>2583.1</v>
      </c>
      <c r="R583" s="299" t="n">
        <v>9336.9</v>
      </c>
      <c r="S583" s="300" t="n">
        <v>0.216703020134228</v>
      </c>
      <c r="T583" t="n">
        <v>1.967</v>
      </c>
      <c r="U583" t="n">
        <v>37</v>
      </c>
      <c r="V583" t="n">
        <v>26851.08</v>
      </c>
      <c r="W583" s="300" t="n">
        <v>0.1554</v>
      </c>
      <c r="X583" s="297" t="n"/>
      <c r="Y583">
        <f>IF(I583="","No SIC",IFERROR(VLOOKUP(I583,Ref!$A$2:$B$65,2,FALSE),"Unclassified"))</f>
        <v/>
      </c>
      <c r="Z583">
        <f>IF(T583="","",IF(T583&lt;12,"Daily","Weekly"))</f>
        <v/>
      </c>
      <c r="AA583">
        <f>IF(T583="",0,IF(T583&lt;12,T583*Controls!$B$29,T583*5))</f>
        <v/>
      </c>
      <c r="AB583">
        <f>IF(E583="",0,NETWORKDAYS(E583,Controls!$B$36,Ref!$K$2:$K$42))</f>
        <v/>
      </c>
      <c r="AC583">
        <f>IF(AND(AA583&gt;0,AB583&gt;=Controls!$B$39*AA583),1,0)</f>
        <v/>
      </c>
      <c r="AD583">
        <f>IF(AND(E583&lt;&gt;"",E583&gt;=Controls!$B$37,E583&lt;=Controls!$B$38),1,0)</f>
        <v/>
      </c>
      <c r="AE583">
        <f>IF(IFERROR(VLOOKUP(D583,Controls!$A$64:$E$74,2,FALSE),"No")="Yes",1,0)</f>
        <v/>
      </c>
      <c r="AF583">
        <f>IF(IFERROR(VLOOKUP(D583,Controls!$A$64:$E$74,3,FALSE),"No")="Yes",1,0)</f>
        <v/>
      </c>
      <c r="AG583">
        <f>IF(IFERROR(VLOOKUP(D583,Controls!$A$64:$E$74,4,FALSE),"No")="Yes",1,0)</f>
        <v/>
      </c>
      <c r="AH583">
        <f>IF(IFERROR(VLOOKUP(D583,Controls!$A$64:$E$74,5,FALSE),"No")="Yes",1,0)</f>
        <v/>
      </c>
      <c r="AI583">
        <f>IF(ISNUMBER(MATCH(D583,Controls!$A$64:$A$74,0)),1,0)</f>
        <v/>
      </c>
      <c r="AJ583">
        <f>Q583-N583</f>
        <v/>
      </c>
      <c r="AK583">
        <f>IF(AE583=1,MAX(0,N583-Q583),0)</f>
        <v/>
      </c>
      <c r="AL583">
        <f>IF(OR(V583="",V583=0),0,N583/V583)</f>
        <v/>
      </c>
      <c r="AM583">
        <f>IF(OR(V583="",V583=0),0,1)</f>
        <v/>
      </c>
      <c r="AN583">
        <f>IF(OR(E583="",F583=""),0,NETWORKDAYS(E583,F583,Ref!$K$2:$K$42))</f>
        <v/>
      </c>
      <c r="AO583">
        <f>IF(L583="Renewal",1,0)</f>
        <v/>
      </c>
      <c r="AP583">
        <f>AC583*AD583</f>
        <v/>
      </c>
      <c r="AQ583">
        <f>IF(AND(G583&lt;&gt;"",'Historical Score'!$C$6&lt;&gt;""),IF(G583='Historical Score'!$C$6,1,0),0)</f>
        <v/>
      </c>
      <c r="AR583">
        <f>IF(AND(L583&lt;&gt;"",'Historical Score'!$C$5&lt;&gt;""),IF(L583='Historical Score'!$C$5,1,0),0)</f>
        <v/>
      </c>
      <c r="AS583">
        <f>IF(AND(Y583&lt;&gt;"",'Historical Score'!$C$7&lt;&gt;""),IF(Y583='Historical Score'!$C$7,1,0),0)</f>
        <v/>
      </c>
      <c r="AT583">
        <f>IF(AND(K583&lt;&gt;"",'Historical Score'!$C$8&lt;&gt;""),IF(K583='Historical Score'!$C$8,1,0),0)</f>
        <v/>
      </c>
      <c r="AU583">
        <f>IF(AND(J583&lt;&gt;"",'Historical Score'!$C$9&lt;&gt;""),IF(J583='Historical Score'!$C$9,1,0),0)</f>
        <v/>
      </c>
      <c r="AV583">
        <f>AR583*AS583*AQ583</f>
        <v/>
      </c>
      <c r="AW583">
        <f>AR583*AT583*AQ583</f>
        <v/>
      </c>
      <c r="AX583">
        <f>AR583*AS583</f>
        <v/>
      </c>
      <c r="AY583">
        <f>AR583*AT583</f>
        <v/>
      </c>
      <c r="AZ583">
        <f>AR583*AQ583</f>
        <v/>
      </c>
      <c r="BA583">
        <f>AR583</f>
        <v/>
      </c>
      <c r="BB583">
        <f>1</f>
        <v/>
      </c>
      <c r="BC583">
        <f>IF(AV583=1,1,IF(AW583=1,2,IF(AX583=1,3,IF(AY583=1,4,IF(AZ583=1,5,IF(BA583=1,6,7))))))</f>
        <v/>
      </c>
      <c r="BD583">
        <f>IF(AD583=1,CHOOSE('Historical Score'!$C$29,AV583,AW583,AX583,AY583,AZ583,BA583,BB583),0)</f>
        <v/>
      </c>
      <c r="BE583">
        <f>IF(BD583=1,COUNTIF($BD$2:BD583,1),"")</f>
        <v/>
      </c>
    </row>
    <row r="584">
      <c r="A584" t="inlineStr">
        <is>
          <t>5674177455</t>
        </is>
      </c>
      <c r="B584" t="inlineStr">
        <is>
          <t>Little Magic Bar</t>
        </is>
      </c>
      <c r="C584" t="inlineStr">
        <is>
          <t>VOODOO MAGIC LLC</t>
        </is>
      </c>
      <c r="D584" t="inlineStr">
        <is>
          <t>Open</t>
        </is>
      </c>
      <c r="E584" s="297" t="n">
        <v>46051</v>
      </c>
      <c r="F584" s="297" t="n">
        <v>46248</v>
      </c>
      <c r="G584" t="n">
        <v>3</v>
      </c>
      <c r="H584" t="inlineStr">
        <is>
          <t>5812</t>
        </is>
      </c>
      <c r="I584" t="inlineStr">
        <is>
          <t>58</t>
        </is>
      </c>
      <c r="J584" t="inlineStr">
        <is>
          <t>TN</t>
        </is>
      </c>
      <c r="K584" t="inlineStr">
        <is>
          <t>Fundible</t>
        </is>
      </c>
      <c r="L584" t="inlineStr">
        <is>
          <t>Renewal</t>
        </is>
      </c>
      <c r="M584" s="298" t="n">
        <v>1.49</v>
      </c>
      <c r="N584" s="299" t="n">
        <v>50000</v>
      </c>
      <c r="O584" s="299" t="n">
        <v>7000</v>
      </c>
      <c r="P584" s="299" t="n">
        <v>74500</v>
      </c>
      <c r="Q584" s="299" t="n">
        <v>63268.42</v>
      </c>
      <c r="R584" s="299" t="n">
        <v>11231.58</v>
      </c>
      <c r="S584" s="300" t="n">
        <v>0.849240536912752</v>
      </c>
      <c r="T584" t="n">
        <v>32</v>
      </c>
      <c r="U584" t="n">
        <v>1</v>
      </c>
      <c r="V584" t="n">
        <v>131755.44</v>
      </c>
      <c r="W584" s="300" t="n">
        <v>0.0707</v>
      </c>
      <c r="X584" s="297" t="n">
        <v>45320</v>
      </c>
      <c r="Y584">
        <f>IF(I584="","No SIC",IFERROR(VLOOKUP(I584,Ref!$A$2:$B$65,2,FALSE),"Unclassified"))</f>
        <v/>
      </c>
      <c r="Z584">
        <f>IF(T584="","",IF(T584&lt;12,"Daily","Weekly"))</f>
        <v/>
      </c>
      <c r="AA584">
        <f>IF(T584="",0,IF(T584&lt;12,T584*Controls!$B$29,T584*5))</f>
        <v/>
      </c>
      <c r="AB584">
        <f>IF(E584="",0,NETWORKDAYS(E584,Controls!$B$36,Ref!$K$2:$K$42))</f>
        <v/>
      </c>
      <c r="AC584">
        <f>IF(AND(AA584&gt;0,AB584&gt;=Controls!$B$39*AA584),1,0)</f>
        <v/>
      </c>
      <c r="AD584">
        <f>IF(AND(E584&lt;&gt;"",E584&gt;=Controls!$B$37,E584&lt;=Controls!$B$38),1,0)</f>
        <v/>
      </c>
      <c r="AE584">
        <f>IF(IFERROR(VLOOKUP(D584,Controls!$A$64:$E$74,2,FALSE),"No")="Yes",1,0)</f>
        <v/>
      </c>
      <c r="AF584">
        <f>IF(IFERROR(VLOOKUP(D584,Controls!$A$64:$E$74,3,FALSE),"No")="Yes",1,0)</f>
        <v/>
      </c>
      <c r="AG584">
        <f>IF(IFERROR(VLOOKUP(D584,Controls!$A$64:$E$74,4,FALSE),"No")="Yes",1,0)</f>
        <v/>
      </c>
      <c r="AH584">
        <f>IF(IFERROR(VLOOKUP(D584,Controls!$A$64:$E$74,5,FALSE),"No")="Yes",1,0)</f>
        <v/>
      </c>
      <c r="AI584">
        <f>IF(ISNUMBER(MATCH(D584,Controls!$A$64:$A$74,0)),1,0)</f>
        <v/>
      </c>
      <c r="AJ584">
        <f>Q584-N584</f>
        <v/>
      </c>
      <c r="AK584">
        <f>IF(AE584=1,MAX(0,N584-Q584),0)</f>
        <v/>
      </c>
      <c r="AL584">
        <f>IF(OR(V584="",V584=0),0,N584/V584)</f>
        <v/>
      </c>
      <c r="AM584">
        <f>IF(OR(V584="",V584=0),0,1)</f>
        <v/>
      </c>
      <c r="AN584">
        <f>IF(OR(E584="",F584=""),0,NETWORKDAYS(E584,F584,Ref!$K$2:$K$42))</f>
        <v/>
      </c>
      <c r="AO584">
        <f>IF(L584="Renewal",1,0)</f>
        <v/>
      </c>
      <c r="AP584">
        <f>AC584*AD584</f>
        <v/>
      </c>
      <c r="AQ584">
        <f>IF(AND(G584&lt;&gt;"",'Historical Score'!$C$6&lt;&gt;""),IF(G584='Historical Score'!$C$6,1,0),0)</f>
        <v/>
      </c>
      <c r="AR584">
        <f>IF(AND(L584&lt;&gt;"",'Historical Score'!$C$5&lt;&gt;""),IF(L584='Historical Score'!$C$5,1,0),0)</f>
        <v/>
      </c>
      <c r="AS584">
        <f>IF(AND(Y584&lt;&gt;"",'Historical Score'!$C$7&lt;&gt;""),IF(Y584='Historical Score'!$C$7,1,0),0)</f>
        <v/>
      </c>
      <c r="AT584">
        <f>IF(AND(K584&lt;&gt;"",'Historical Score'!$C$8&lt;&gt;""),IF(K584='Historical Score'!$C$8,1,0),0)</f>
        <v/>
      </c>
      <c r="AU584">
        <f>IF(AND(J584&lt;&gt;"",'Historical Score'!$C$9&lt;&gt;""),IF(J584='Historical Score'!$C$9,1,0),0)</f>
        <v/>
      </c>
      <c r="AV584">
        <f>AR584*AS584*AQ584</f>
        <v/>
      </c>
      <c r="AW584">
        <f>AR584*AT584*AQ584</f>
        <v/>
      </c>
      <c r="AX584">
        <f>AR584*AS584</f>
        <v/>
      </c>
      <c r="AY584">
        <f>AR584*AT584</f>
        <v/>
      </c>
      <c r="AZ584">
        <f>AR584*AQ584</f>
        <v/>
      </c>
      <c r="BA584">
        <f>AR584</f>
        <v/>
      </c>
      <c r="BB584">
        <f>1</f>
        <v/>
      </c>
      <c r="BC584">
        <f>IF(AV584=1,1,IF(AW584=1,2,IF(AX584=1,3,IF(AY584=1,4,IF(AZ584=1,5,IF(BA584=1,6,7))))))</f>
        <v/>
      </c>
      <c r="BD584">
        <f>IF(AD584=1,CHOOSE('Historical Score'!$C$29,AV584,AW584,AX584,AY584,AZ584,BA584,BB584),0)</f>
        <v/>
      </c>
      <c r="BE584">
        <f>IF(BD584=1,COUNTIF($BD$2:BD584,1),"")</f>
        <v/>
      </c>
    </row>
    <row r="585">
      <c r="A585" t="inlineStr">
        <is>
          <t>5674177471</t>
        </is>
      </c>
      <c r="B585" t="inlineStr">
        <is>
          <t>JIU HONG CANYIN YULE, INC</t>
        </is>
      </c>
      <c r="C585" t="inlineStr">
        <is>
          <t>JIU HONG CANYIN YULE, INC</t>
        </is>
      </c>
      <c r="D585" t="inlineStr">
        <is>
          <t>Closed</t>
        </is>
      </c>
      <c r="E585" s="297" t="n">
        <v>46051</v>
      </c>
      <c r="F585" s="297" t="n">
        <v>46141</v>
      </c>
      <c r="G585" t="n">
        <v>3</v>
      </c>
      <c r="H585" t="inlineStr">
        <is>
          <t>5812</t>
        </is>
      </c>
      <c r="I585" t="inlineStr">
        <is>
          <t>58</t>
        </is>
      </c>
      <c r="J585" t="inlineStr">
        <is>
          <t>CO</t>
        </is>
      </c>
      <c r="K585" t="inlineStr">
        <is>
          <t>United Secured Capital 8</t>
        </is>
      </c>
      <c r="L585" t="inlineStr">
        <is>
          <t>Renewal</t>
        </is>
      </c>
      <c r="M585" s="298" t="n">
        <v>1.49</v>
      </c>
      <c r="N585" s="299" t="n">
        <v>36000</v>
      </c>
      <c r="O585" s="299" t="n">
        <v>5040</v>
      </c>
      <c r="P585" s="299" t="n">
        <v>53640</v>
      </c>
      <c r="Q585" s="299" t="n">
        <v>53640</v>
      </c>
      <c r="R585" s="299" t="n">
        <v>0</v>
      </c>
      <c r="S585" s="300" t="n">
        <v>1</v>
      </c>
      <c r="T585" t="n">
        <v>4.59</v>
      </c>
      <c r="U585" t="n">
        <v>0</v>
      </c>
      <c r="V585" t="n">
        <v>42013.9</v>
      </c>
      <c r="W585" s="300" t="n">
        <v>0.1915</v>
      </c>
      <c r="X585" s="297" t="n"/>
      <c r="Y585">
        <f>IF(I585="","No SIC",IFERROR(VLOOKUP(I585,Ref!$A$2:$B$65,2,FALSE),"Unclassified"))</f>
        <v/>
      </c>
      <c r="Z585">
        <f>IF(T585="","",IF(T585&lt;12,"Daily","Weekly"))</f>
        <v/>
      </c>
      <c r="AA585">
        <f>IF(T585="",0,IF(T585&lt;12,T585*Controls!$B$29,T585*5))</f>
        <v/>
      </c>
      <c r="AB585">
        <f>IF(E585="",0,NETWORKDAYS(E585,Controls!$B$36,Ref!$K$2:$K$42))</f>
        <v/>
      </c>
      <c r="AC585">
        <f>IF(AND(AA585&gt;0,AB585&gt;=Controls!$B$39*AA585),1,0)</f>
        <v/>
      </c>
      <c r="AD585">
        <f>IF(AND(E585&lt;&gt;"",E585&gt;=Controls!$B$37,E585&lt;=Controls!$B$38),1,0)</f>
        <v/>
      </c>
      <c r="AE585">
        <f>IF(IFERROR(VLOOKUP(D585,Controls!$A$64:$E$74,2,FALSE),"No")="Yes",1,0)</f>
        <v/>
      </c>
      <c r="AF585">
        <f>IF(IFERROR(VLOOKUP(D585,Controls!$A$64:$E$74,3,FALSE),"No")="Yes",1,0)</f>
        <v/>
      </c>
      <c r="AG585">
        <f>IF(IFERROR(VLOOKUP(D585,Controls!$A$64:$E$74,4,FALSE),"No")="Yes",1,0)</f>
        <v/>
      </c>
      <c r="AH585">
        <f>IF(IFERROR(VLOOKUP(D585,Controls!$A$64:$E$74,5,FALSE),"No")="Yes",1,0)</f>
        <v/>
      </c>
      <c r="AI585">
        <f>IF(ISNUMBER(MATCH(D585,Controls!$A$64:$A$74,0)),1,0)</f>
        <v/>
      </c>
      <c r="AJ585">
        <f>Q585-N585</f>
        <v/>
      </c>
      <c r="AK585">
        <f>IF(AE585=1,MAX(0,N585-Q585),0)</f>
        <v/>
      </c>
      <c r="AL585">
        <f>IF(OR(V585="",V585=0),0,N585/V585)</f>
        <v/>
      </c>
      <c r="AM585">
        <f>IF(OR(V585="",V585=0),0,1)</f>
        <v/>
      </c>
      <c r="AN585">
        <f>IF(OR(E585="",F585=""),0,NETWORKDAYS(E585,F585,Ref!$K$2:$K$42))</f>
        <v/>
      </c>
      <c r="AO585">
        <f>IF(L585="Renewal",1,0)</f>
        <v/>
      </c>
      <c r="AP585">
        <f>AC585*AD585</f>
        <v/>
      </c>
      <c r="AQ585">
        <f>IF(AND(G585&lt;&gt;"",'Historical Score'!$C$6&lt;&gt;""),IF(G585='Historical Score'!$C$6,1,0),0)</f>
        <v/>
      </c>
      <c r="AR585">
        <f>IF(AND(L585&lt;&gt;"",'Historical Score'!$C$5&lt;&gt;""),IF(L585='Historical Score'!$C$5,1,0),0)</f>
        <v/>
      </c>
      <c r="AS585">
        <f>IF(AND(Y585&lt;&gt;"",'Historical Score'!$C$7&lt;&gt;""),IF(Y585='Historical Score'!$C$7,1,0),0)</f>
        <v/>
      </c>
      <c r="AT585">
        <f>IF(AND(K585&lt;&gt;"",'Historical Score'!$C$8&lt;&gt;""),IF(K585='Historical Score'!$C$8,1,0),0)</f>
        <v/>
      </c>
      <c r="AU585">
        <f>IF(AND(J585&lt;&gt;"",'Historical Score'!$C$9&lt;&gt;""),IF(J585='Historical Score'!$C$9,1,0),0)</f>
        <v/>
      </c>
      <c r="AV585">
        <f>AR585*AS585*AQ585</f>
        <v/>
      </c>
      <c r="AW585">
        <f>AR585*AT585*AQ585</f>
        <v/>
      </c>
      <c r="AX585">
        <f>AR585*AS585</f>
        <v/>
      </c>
      <c r="AY585">
        <f>AR585*AT585</f>
        <v/>
      </c>
      <c r="AZ585">
        <f>AR585*AQ585</f>
        <v/>
      </c>
      <c r="BA585">
        <f>AR585</f>
        <v/>
      </c>
      <c r="BB585">
        <f>1</f>
        <v/>
      </c>
      <c r="BC585">
        <f>IF(AV585=1,1,IF(AW585=1,2,IF(AX585=1,3,IF(AY585=1,4,IF(AZ585=1,5,IF(BA585=1,6,7))))))</f>
        <v/>
      </c>
      <c r="BD585">
        <f>IF(AD585=1,CHOOSE('Historical Score'!$C$29,AV585,AW585,AX585,AY585,AZ585,BA585,BB585),0)</f>
        <v/>
      </c>
      <c r="BE585">
        <f>IF(BD585=1,COUNTIF($BD$2:BD585,1),"")</f>
        <v/>
      </c>
    </row>
    <row r="586">
      <c r="A586" t="inlineStr">
        <is>
          <t>5674177483</t>
        </is>
      </c>
      <c r="B586" t="inlineStr">
        <is>
          <t>VALOR TOURS LTD</t>
        </is>
      </c>
      <c r="C586" t="inlineStr">
        <is>
          <t>VALOR TOURS LTD</t>
        </is>
      </c>
      <c r="D586" t="inlineStr">
        <is>
          <t>In House Collection</t>
        </is>
      </c>
      <c r="E586" s="297" t="n">
        <v>46051</v>
      </c>
      <c r="F586" s="297" t="n">
        <v>46170</v>
      </c>
      <c r="G586" t="n">
        <v>3</v>
      </c>
      <c r="H586" t="inlineStr">
        <is>
          <t>4725</t>
        </is>
      </c>
      <c r="I586" t="inlineStr">
        <is>
          <t>47</t>
        </is>
      </c>
      <c r="J586" t="inlineStr">
        <is>
          <t>CA</t>
        </is>
      </c>
      <c r="K586" t="inlineStr">
        <is>
          <t>Westwood</t>
        </is>
      </c>
      <c r="L586" t="inlineStr">
        <is>
          <t>Renewal</t>
        </is>
      </c>
      <c r="M586" s="298" t="n">
        <v>1.49</v>
      </c>
      <c r="N586" s="299" t="n">
        <v>24000</v>
      </c>
      <c r="O586" s="299" t="n">
        <v>3360</v>
      </c>
      <c r="P586" s="299" t="n">
        <v>35760</v>
      </c>
      <c r="Q586" s="299" t="n">
        <v>23943.92</v>
      </c>
      <c r="R586" s="299" t="n">
        <v>11816.08</v>
      </c>
      <c r="S586" s="300" t="n">
        <v>0.6695727069351231</v>
      </c>
      <c r="T586" t="n">
        <v>3.77</v>
      </c>
      <c r="U586" t="n">
        <v>5</v>
      </c>
      <c r="V586" t="n">
        <v>48699.19</v>
      </c>
      <c r="W586" s="300" t="n">
        <v>0.13</v>
      </c>
      <c r="X586" s="297" t="n">
        <v>42917</v>
      </c>
      <c r="Y586">
        <f>IF(I586="","No SIC",IFERROR(VLOOKUP(I586,Ref!$A$2:$B$65,2,FALSE),"Unclassified"))</f>
        <v/>
      </c>
      <c r="Z586">
        <f>IF(T586="","",IF(T586&lt;12,"Daily","Weekly"))</f>
        <v/>
      </c>
      <c r="AA586">
        <f>IF(T586="",0,IF(T586&lt;12,T586*Controls!$B$29,T586*5))</f>
        <v/>
      </c>
      <c r="AB586">
        <f>IF(E586="",0,NETWORKDAYS(E586,Controls!$B$36,Ref!$K$2:$K$42))</f>
        <v/>
      </c>
      <c r="AC586">
        <f>IF(AND(AA586&gt;0,AB586&gt;=Controls!$B$39*AA586),1,0)</f>
        <v/>
      </c>
      <c r="AD586">
        <f>IF(AND(E586&lt;&gt;"",E586&gt;=Controls!$B$37,E586&lt;=Controls!$B$38),1,0)</f>
        <v/>
      </c>
      <c r="AE586">
        <f>IF(IFERROR(VLOOKUP(D586,Controls!$A$64:$E$74,2,FALSE),"No")="Yes",1,0)</f>
        <v/>
      </c>
      <c r="AF586">
        <f>IF(IFERROR(VLOOKUP(D586,Controls!$A$64:$E$74,3,FALSE),"No")="Yes",1,0)</f>
        <v/>
      </c>
      <c r="AG586">
        <f>IF(IFERROR(VLOOKUP(D586,Controls!$A$64:$E$74,4,FALSE),"No")="Yes",1,0)</f>
        <v/>
      </c>
      <c r="AH586">
        <f>IF(IFERROR(VLOOKUP(D586,Controls!$A$64:$E$74,5,FALSE),"No")="Yes",1,0)</f>
        <v/>
      </c>
      <c r="AI586">
        <f>IF(ISNUMBER(MATCH(D586,Controls!$A$64:$A$74,0)),1,0)</f>
        <v/>
      </c>
      <c r="AJ586">
        <f>Q586-N586</f>
        <v/>
      </c>
      <c r="AK586">
        <f>IF(AE586=1,MAX(0,N586-Q586),0)</f>
        <v/>
      </c>
      <c r="AL586">
        <f>IF(OR(V586="",V586=0),0,N586/V586)</f>
        <v/>
      </c>
      <c r="AM586">
        <f>IF(OR(V586="",V586=0),0,1)</f>
        <v/>
      </c>
      <c r="AN586">
        <f>IF(OR(E586="",F586=""),0,NETWORKDAYS(E586,F586,Ref!$K$2:$K$42))</f>
        <v/>
      </c>
      <c r="AO586">
        <f>IF(L586="Renewal",1,0)</f>
        <v/>
      </c>
      <c r="AP586">
        <f>AC586*AD586</f>
        <v/>
      </c>
      <c r="AQ586">
        <f>IF(AND(G586&lt;&gt;"",'Historical Score'!$C$6&lt;&gt;""),IF(G586='Historical Score'!$C$6,1,0),0)</f>
        <v/>
      </c>
      <c r="AR586">
        <f>IF(AND(L586&lt;&gt;"",'Historical Score'!$C$5&lt;&gt;""),IF(L586='Historical Score'!$C$5,1,0),0)</f>
        <v/>
      </c>
      <c r="AS586">
        <f>IF(AND(Y586&lt;&gt;"",'Historical Score'!$C$7&lt;&gt;""),IF(Y586='Historical Score'!$C$7,1,0),0)</f>
        <v/>
      </c>
      <c r="AT586">
        <f>IF(AND(K586&lt;&gt;"",'Historical Score'!$C$8&lt;&gt;""),IF(K586='Historical Score'!$C$8,1,0),0)</f>
        <v/>
      </c>
      <c r="AU586">
        <f>IF(AND(J586&lt;&gt;"",'Historical Score'!$C$9&lt;&gt;""),IF(J586='Historical Score'!$C$9,1,0),0)</f>
        <v/>
      </c>
      <c r="AV586">
        <f>AR586*AS586*AQ586</f>
        <v/>
      </c>
      <c r="AW586">
        <f>AR586*AT586*AQ586</f>
        <v/>
      </c>
      <c r="AX586">
        <f>AR586*AS586</f>
        <v/>
      </c>
      <c r="AY586">
        <f>AR586*AT586</f>
        <v/>
      </c>
      <c r="AZ586">
        <f>AR586*AQ586</f>
        <v/>
      </c>
      <c r="BA586">
        <f>AR586</f>
        <v/>
      </c>
      <c r="BB586">
        <f>1</f>
        <v/>
      </c>
      <c r="BC586">
        <f>IF(AV586=1,1,IF(AW586=1,2,IF(AX586=1,3,IF(AY586=1,4,IF(AZ586=1,5,IF(BA586=1,6,7))))))</f>
        <v/>
      </c>
      <c r="BD586">
        <f>IF(AD586=1,CHOOSE('Historical Score'!$C$29,AV586,AW586,AX586,AY586,AZ586,BA586,BB586),0)</f>
        <v/>
      </c>
      <c r="BE586">
        <f>IF(BD586=1,COUNTIF($BD$2:BD586,1),"")</f>
        <v/>
      </c>
    </row>
    <row r="587">
      <c r="A587" t="inlineStr">
        <is>
          <t>5674177552</t>
        </is>
      </c>
      <c r="B587" t="inlineStr">
        <is>
          <t>Fjord Builders and Design Partners LLC</t>
        </is>
      </c>
      <c r="C587" t="inlineStr">
        <is>
          <t>Fjord Builders and Design Partners LLC</t>
        </is>
      </c>
      <c r="D587" t="inlineStr">
        <is>
          <t>Legal</t>
        </is>
      </c>
      <c r="E587" s="297" t="n">
        <v>46052</v>
      </c>
      <c r="F587" s="297" t="n">
        <v>46094</v>
      </c>
      <c r="G587" t="n">
        <v>1</v>
      </c>
      <c r="H587" t="inlineStr">
        <is>
          <t>1521</t>
        </is>
      </c>
      <c r="I587" t="inlineStr">
        <is>
          <t>15</t>
        </is>
      </c>
      <c r="J587" t="inlineStr">
        <is>
          <t>TX</t>
        </is>
      </c>
      <c r="K587" t="inlineStr">
        <is>
          <t>cavala funding</t>
        </is>
      </c>
      <c r="L587" t="inlineStr">
        <is>
          <t>New Deal</t>
        </is>
      </c>
      <c r="M587" s="298" t="n">
        <v>1.49</v>
      </c>
      <c r="N587" s="299" t="n">
        <v>30000</v>
      </c>
      <c r="O587" s="299" t="n">
        <v>4200</v>
      </c>
      <c r="P587" s="299" t="n">
        <v>44700</v>
      </c>
      <c r="Q587" s="299" t="n">
        <v>3723</v>
      </c>
      <c r="R587" s="299" t="n">
        <v>40977</v>
      </c>
      <c r="S587" s="300" t="n">
        <v>0.08328859060402689</v>
      </c>
      <c r="T587" t="n">
        <v>24</v>
      </c>
      <c r="U587" t="n">
        <v>3</v>
      </c>
      <c r="V587" t="n">
        <v>110638.91</v>
      </c>
      <c r="W587" s="300" t="n">
        <v>0.0673</v>
      </c>
      <c r="X587" s="297" t="n">
        <v>43120</v>
      </c>
      <c r="Y587">
        <f>IF(I587="","No SIC",IFERROR(VLOOKUP(I587,Ref!$A$2:$B$65,2,FALSE),"Unclassified"))</f>
        <v/>
      </c>
      <c r="Z587">
        <f>IF(T587="","",IF(T587&lt;12,"Daily","Weekly"))</f>
        <v/>
      </c>
      <c r="AA587">
        <f>IF(T587="",0,IF(T587&lt;12,T587*Controls!$B$29,T587*5))</f>
        <v/>
      </c>
      <c r="AB587">
        <f>IF(E587="",0,NETWORKDAYS(E587,Controls!$B$36,Ref!$K$2:$K$42))</f>
        <v/>
      </c>
      <c r="AC587">
        <f>IF(AND(AA587&gt;0,AB587&gt;=Controls!$B$39*AA587),1,0)</f>
        <v/>
      </c>
      <c r="AD587">
        <f>IF(AND(E587&lt;&gt;"",E587&gt;=Controls!$B$37,E587&lt;=Controls!$B$38),1,0)</f>
        <v/>
      </c>
      <c r="AE587">
        <f>IF(IFERROR(VLOOKUP(D587,Controls!$A$64:$E$74,2,FALSE),"No")="Yes",1,0)</f>
        <v/>
      </c>
      <c r="AF587">
        <f>IF(IFERROR(VLOOKUP(D587,Controls!$A$64:$E$74,3,FALSE),"No")="Yes",1,0)</f>
        <v/>
      </c>
      <c r="AG587">
        <f>IF(IFERROR(VLOOKUP(D587,Controls!$A$64:$E$74,4,FALSE),"No")="Yes",1,0)</f>
        <v/>
      </c>
      <c r="AH587">
        <f>IF(IFERROR(VLOOKUP(D587,Controls!$A$64:$E$74,5,FALSE),"No")="Yes",1,0)</f>
        <v/>
      </c>
      <c r="AI587">
        <f>IF(ISNUMBER(MATCH(D587,Controls!$A$64:$A$74,0)),1,0)</f>
        <v/>
      </c>
      <c r="AJ587">
        <f>Q587-N587</f>
        <v/>
      </c>
      <c r="AK587">
        <f>IF(AE587=1,MAX(0,N587-Q587),0)</f>
        <v/>
      </c>
      <c r="AL587">
        <f>IF(OR(V587="",V587=0),0,N587/V587)</f>
        <v/>
      </c>
      <c r="AM587">
        <f>IF(OR(V587="",V587=0),0,1)</f>
        <v/>
      </c>
      <c r="AN587">
        <f>IF(OR(E587="",F587=""),0,NETWORKDAYS(E587,F587,Ref!$K$2:$K$42))</f>
        <v/>
      </c>
      <c r="AO587">
        <f>IF(L587="Renewal",1,0)</f>
        <v/>
      </c>
      <c r="AP587">
        <f>AC587*AD587</f>
        <v/>
      </c>
      <c r="AQ587">
        <f>IF(AND(G587&lt;&gt;"",'Historical Score'!$C$6&lt;&gt;""),IF(G587='Historical Score'!$C$6,1,0),0)</f>
        <v/>
      </c>
      <c r="AR587">
        <f>IF(AND(L587&lt;&gt;"",'Historical Score'!$C$5&lt;&gt;""),IF(L587='Historical Score'!$C$5,1,0),0)</f>
        <v/>
      </c>
      <c r="AS587">
        <f>IF(AND(Y587&lt;&gt;"",'Historical Score'!$C$7&lt;&gt;""),IF(Y587='Historical Score'!$C$7,1,0),0)</f>
        <v/>
      </c>
      <c r="AT587">
        <f>IF(AND(K587&lt;&gt;"",'Historical Score'!$C$8&lt;&gt;""),IF(K587='Historical Score'!$C$8,1,0),0)</f>
        <v/>
      </c>
      <c r="AU587">
        <f>IF(AND(J587&lt;&gt;"",'Historical Score'!$C$9&lt;&gt;""),IF(J587='Historical Score'!$C$9,1,0),0)</f>
        <v/>
      </c>
      <c r="AV587">
        <f>AR587*AS587*AQ587</f>
        <v/>
      </c>
      <c r="AW587">
        <f>AR587*AT587*AQ587</f>
        <v/>
      </c>
      <c r="AX587">
        <f>AR587*AS587</f>
        <v/>
      </c>
      <c r="AY587">
        <f>AR587*AT587</f>
        <v/>
      </c>
      <c r="AZ587">
        <f>AR587*AQ587</f>
        <v/>
      </c>
      <c r="BA587">
        <f>AR587</f>
        <v/>
      </c>
      <c r="BB587">
        <f>1</f>
        <v/>
      </c>
      <c r="BC587">
        <f>IF(AV587=1,1,IF(AW587=1,2,IF(AX587=1,3,IF(AY587=1,4,IF(AZ587=1,5,IF(BA587=1,6,7))))))</f>
        <v/>
      </c>
      <c r="BD587">
        <f>IF(AD587=1,CHOOSE('Historical Score'!$C$29,AV587,AW587,AX587,AY587,AZ587,BA587,BB587),0)</f>
        <v/>
      </c>
      <c r="BE587">
        <f>IF(BD587=1,COUNTIF($BD$2:BD587,1),"")</f>
        <v/>
      </c>
    </row>
    <row r="588">
      <c r="A588" t="inlineStr">
        <is>
          <t>5674177628</t>
        </is>
      </c>
      <c r="B588" t="inlineStr">
        <is>
          <t>Bland Funeral Home, LLC</t>
        </is>
      </c>
      <c r="C588" t="inlineStr">
        <is>
          <t>Bland Funeral Home, LLC</t>
        </is>
      </c>
      <c r="D588" t="inlineStr">
        <is>
          <t>Closed</t>
        </is>
      </c>
      <c r="E588" s="297" t="n">
        <v>46055</v>
      </c>
      <c r="F588" s="297" t="n">
        <v>46136</v>
      </c>
      <c r="G588" t="n">
        <v>3</v>
      </c>
      <c r="H588" t="inlineStr">
        <is>
          <t>7261</t>
        </is>
      </c>
      <c r="I588" t="inlineStr">
        <is>
          <t>72</t>
        </is>
      </c>
      <c r="J588" t="inlineStr">
        <is>
          <t>VA</t>
        </is>
      </c>
      <c r="K588" t="inlineStr">
        <is>
          <t>Ballicci</t>
        </is>
      </c>
      <c r="L588" t="inlineStr">
        <is>
          <t>New Deal</t>
        </is>
      </c>
      <c r="M588" s="298" t="n">
        <v>1.49</v>
      </c>
      <c r="N588" s="299" t="n">
        <v>30000</v>
      </c>
      <c r="O588" s="299" t="n">
        <v>4200</v>
      </c>
      <c r="P588" s="299" t="n">
        <v>44700</v>
      </c>
      <c r="Q588" s="299" t="n">
        <v>44700</v>
      </c>
      <c r="R588" s="299" t="n">
        <v>0</v>
      </c>
      <c r="S588" s="300" t="n">
        <v>1</v>
      </c>
      <c r="T588" t="n">
        <v>2.951</v>
      </c>
      <c r="U588" t="n">
        <v>7</v>
      </c>
      <c r="V588" t="n">
        <v>57502.52</v>
      </c>
      <c r="W588" s="300" t="n">
        <v>0.1814</v>
      </c>
      <c r="X588" s="297" t="n"/>
      <c r="Y588">
        <f>IF(I588="","No SIC",IFERROR(VLOOKUP(I588,Ref!$A$2:$B$65,2,FALSE),"Unclassified"))</f>
        <v/>
      </c>
      <c r="Z588">
        <f>IF(T588="","",IF(T588&lt;12,"Daily","Weekly"))</f>
        <v/>
      </c>
      <c r="AA588">
        <f>IF(T588="",0,IF(T588&lt;12,T588*Controls!$B$29,T588*5))</f>
        <v/>
      </c>
      <c r="AB588">
        <f>IF(E588="",0,NETWORKDAYS(E588,Controls!$B$36,Ref!$K$2:$K$42))</f>
        <v/>
      </c>
      <c r="AC588">
        <f>IF(AND(AA588&gt;0,AB588&gt;=Controls!$B$39*AA588),1,0)</f>
        <v/>
      </c>
      <c r="AD588">
        <f>IF(AND(E588&lt;&gt;"",E588&gt;=Controls!$B$37,E588&lt;=Controls!$B$38),1,0)</f>
        <v/>
      </c>
      <c r="AE588">
        <f>IF(IFERROR(VLOOKUP(D588,Controls!$A$64:$E$74,2,FALSE),"No")="Yes",1,0)</f>
        <v/>
      </c>
      <c r="AF588">
        <f>IF(IFERROR(VLOOKUP(D588,Controls!$A$64:$E$74,3,FALSE),"No")="Yes",1,0)</f>
        <v/>
      </c>
      <c r="AG588">
        <f>IF(IFERROR(VLOOKUP(D588,Controls!$A$64:$E$74,4,FALSE),"No")="Yes",1,0)</f>
        <v/>
      </c>
      <c r="AH588">
        <f>IF(IFERROR(VLOOKUP(D588,Controls!$A$64:$E$74,5,FALSE),"No")="Yes",1,0)</f>
        <v/>
      </c>
      <c r="AI588">
        <f>IF(ISNUMBER(MATCH(D588,Controls!$A$64:$A$74,0)),1,0)</f>
        <v/>
      </c>
      <c r="AJ588">
        <f>Q588-N588</f>
        <v/>
      </c>
      <c r="AK588">
        <f>IF(AE588=1,MAX(0,N588-Q588),0)</f>
        <v/>
      </c>
      <c r="AL588">
        <f>IF(OR(V588="",V588=0),0,N588/V588)</f>
        <v/>
      </c>
      <c r="AM588">
        <f>IF(OR(V588="",V588=0),0,1)</f>
        <v/>
      </c>
      <c r="AN588">
        <f>IF(OR(E588="",F588=""),0,NETWORKDAYS(E588,F588,Ref!$K$2:$K$42))</f>
        <v/>
      </c>
      <c r="AO588">
        <f>IF(L588="Renewal",1,0)</f>
        <v/>
      </c>
      <c r="AP588">
        <f>AC588*AD588</f>
        <v/>
      </c>
      <c r="AQ588">
        <f>IF(AND(G588&lt;&gt;"",'Historical Score'!$C$6&lt;&gt;""),IF(G588='Historical Score'!$C$6,1,0),0)</f>
        <v/>
      </c>
      <c r="AR588">
        <f>IF(AND(L588&lt;&gt;"",'Historical Score'!$C$5&lt;&gt;""),IF(L588='Historical Score'!$C$5,1,0),0)</f>
        <v/>
      </c>
      <c r="AS588">
        <f>IF(AND(Y588&lt;&gt;"",'Historical Score'!$C$7&lt;&gt;""),IF(Y588='Historical Score'!$C$7,1,0),0)</f>
        <v/>
      </c>
      <c r="AT588">
        <f>IF(AND(K588&lt;&gt;"",'Historical Score'!$C$8&lt;&gt;""),IF(K588='Historical Score'!$C$8,1,0),0)</f>
        <v/>
      </c>
      <c r="AU588">
        <f>IF(AND(J588&lt;&gt;"",'Historical Score'!$C$9&lt;&gt;""),IF(J588='Historical Score'!$C$9,1,0),0)</f>
        <v/>
      </c>
      <c r="AV588">
        <f>AR588*AS588*AQ588</f>
        <v/>
      </c>
      <c r="AW588">
        <f>AR588*AT588*AQ588</f>
        <v/>
      </c>
      <c r="AX588">
        <f>AR588*AS588</f>
        <v/>
      </c>
      <c r="AY588">
        <f>AR588*AT588</f>
        <v/>
      </c>
      <c r="AZ588">
        <f>AR588*AQ588</f>
        <v/>
      </c>
      <c r="BA588">
        <f>AR588</f>
        <v/>
      </c>
      <c r="BB588">
        <f>1</f>
        <v/>
      </c>
      <c r="BC588">
        <f>IF(AV588=1,1,IF(AW588=1,2,IF(AX588=1,3,IF(AY588=1,4,IF(AZ588=1,5,IF(BA588=1,6,7))))))</f>
        <v/>
      </c>
      <c r="BD588">
        <f>IF(AD588=1,CHOOSE('Historical Score'!$C$29,AV588,AW588,AX588,AY588,AZ588,BA588,BB588),0)</f>
        <v/>
      </c>
      <c r="BE588">
        <f>IF(BD588=1,COUNTIF($BD$2:BD588,1),"")</f>
        <v/>
      </c>
    </row>
    <row r="589">
      <c r="A589" t="inlineStr">
        <is>
          <t>5674177634</t>
        </is>
      </c>
      <c r="B589" t="inlineStr">
        <is>
          <t>PAUGUS BAY LANDSCAPE LLC</t>
        </is>
      </c>
      <c r="C589" t="inlineStr">
        <is>
          <t>PAUGUS BAY LANDSCAPE LLC</t>
        </is>
      </c>
      <c r="D589" t="inlineStr">
        <is>
          <t>Legal</t>
        </is>
      </c>
      <c r="E589" s="297" t="n">
        <v>46055</v>
      </c>
      <c r="F589" s="297" t="n">
        <v>46234</v>
      </c>
      <c r="G589" t="n">
        <v>3</v>
      </c>
      <c r="H589" t="inlineStr">
        <is>
          <t>0781</t>
        </is>
      </c>
      <c r="I589" t="inlineStr">
        <is>
          <t>07</t>
        </is>
      </c>
      <c r="J589" t="inlineStr">
        <is>
          <t>NH</t>
        </is>
      </c>
      <c r="K589" t="inlineStr">
        <is>
          <t>United Secured Capital 8</t>
        </is>
      </c>
      <c r="L589" t="inlineStr">
        <is>
          <t>Renewal</t>
        </is>
      </c>
      <c r="M589" s="298" t="n">
        <v>1.49</v>
      </c>
      <c r="N589" s="299" t="n">
        <v>15000</v>
      </c>
      <c r="O589" s="299" t="n">
        <v>2100</v>
      </c>
      <c r="P589" s="299" t="n">
        <v>22350</v>
      </c>
      <c r="Q589" s="299" t="n">
        <v>3083.53</v>
      </c>
      <c r="R589" s="299" t="n">
        <v>19266.47</v>
      </c>
      <c r="S589" s="300" t="n">
        <v>0.137965548098434</v>
      </c>
      <c r="T589" t="n">
        <v>3.934</v>
      </c>
      <c r="U589" t="n">
        <v>33</v>
      </c>
      <c r="V589" t="n">
        <v>25000</v>
      </c>
      <c r="W589" s="300" t="n">
        <v>0.2114</v>
      </c>
      <c r="X589" s="297" t="n">
        <v>45292</v>
      </c>
      <c r="Y589">
        <f>IF(I589="","No SIC",IFERROR(VLOOKUP(I589,Ref!$A$2:$B$65,2,FALSE),"Unclassified"))</f>
        <v/>
      </c>
      <c r="Z589">
        <f>IF(T589="","",IF(T589&lt;12,"Daily","Weekly"))</f>
        <v/>
      </c>
      <c r="AA589">
        <f>IF(T589="",0,IF(T589&lt;12,T589*Controls!$B$29,T589*5))</f>
        <v/>
      </c>
      <c r="AB589">
        <f>IF(E589="",0,NETWORKDAYS(E589,Controls!$B$36,Ref!$K$2:$K$42))</f>
        <v/>
      </c>
      <c r="AC589">
        <f>IF(AND(AA589&gt;0,AB589&gt;=Controls!$B$39*AA589),1,0)</f>
        <v/>
      </c>
      <c r="AD589">
        <f>IF(AND(E589&lt;&gt;"",E589&gt;=Controls!$B$37,E589&lt;=Controls!$B$38),1,0)</f>
        <v/>
      </c>
      <c r="AE589">
        <f>IF(IFERROR(VLOOKUP(D589,Controls!$A$64:$E$74,2,FALSE),"No")="Yes",1,0)</f>
        <v/>
      </c>
      <c r="AF589">
        <f>IF(IFERROR(VLOOKUP(D589,Controls!$A$64:$E$74,3,FALSE),"No")="Yes",1,0)</f>
        <v/>
      </c>
      <c r="AG589">
        <f>IF(IFERROR(VLOOKUP(D589,Controls!$A$64:$E$74,4,FALSE),"No")="Yes",1,0)</f>
        <v/>
      </c>
      <c r="AH589">
        <f>IF(IFERROR(VLOOKUP(D589,Controls!$A$64:$E$74,5,FALSE),"No")="Yes",1,0)</f>
        <v/>
      </c>
      <c r="AI589">
        <f>IF(ISNUMBER(MATCH(D589,Controls!$A$64:$A$74,0)),1,0)</f>
        <v/>
      </c>
      <c r="AJ589">
        <f>Q589-N589</f>
        <v/>
      </c>
      <c r="AK589">
        <f>IF(AE589=1,MAX(0,N589-Q589),0)</f>
        <v/>
      </c>
      <c r="AL589">
        <f>IF(OR(V589="",V589=0),0,N589/V589)</f>
        <v/>
      </c>
      <c r="AM589">
        <f>IF(OR(V589="",V589=0),0,1)</f>
        <v/>
      </c>
      <c r="AN589">
        <f>IF(OR(E589="",F589=""),0,NETWORKDAYS(E589,F589,Ref!$K$2:$K$42))</f>
        <v/>
      </c>
      <c r="AO589">
        <f>IF(L589="Renewal",1,0)</f>
        <v/>
      </c>
      <c r="AP589">
        <f>AC589*AD589</f>
        <v/>
      </c>
      <c r="AQ589">
        <f>IF(AND(G589&lt;&gt;"",'Historical Score'!$C$6&lt;&gt;""),IF(G589='Historical Score'!$C$6,1,0),0)</f>
        <v/>
      </c>
      <c r="AR589">
        <f>IF(AND(L589&lt;&gt;"",'Historical Score'!$C$5&lt;&gt;""),IF(L589='Historical Score'!$C$5,1,0),0)</f>
        <v/>
      </c>
      <c r="AS589">
        <f>IF(AND(Y589&lt;&gt;"",'Historical Score'!$C$7&lt;&gt;""),IF(Y589='Historical Score'!$C$7,1,0),0)</f>
        <v/>
      </c>
      <c r="AT589">
        <f>IF(AND(K589&lt;&gt;"",'Historical Score'!$C$8&lt;&gt;""),IF(K589='Historical Score'!$C$8,1,0),0)</f>
        <v/>
      </c>
      <c r="AU589">
        <f>IF(AND(J589&lt;&gt;"",'Historical Score'!$C$9&lt;&gt;""),IF(J589='Historical Score'!$C$9,1,0),0)</f>
        <v/>
      </c>
      <c r="AV589">
        <f>AR589*AS589*AQ589</f>
        <v/>
      </c>
      <c r="AW589">
        <f>AR589*AT589*AQ589</f>
        <v/>
      </c>
      <c r="AX589">
        <f>AR589*AS589</f>
        <v/>
      </c>
      <c r="AY589">
        <f>AR589*AT589</f>
        <v/>
      </c>
      <c r="AZ589">
        <f>AR589*AQ589</f>
        <v/>
      </c>
      <c r="BA589">
        <f>AR589</f>
        <v/>
      </c>
      <c r="BB589">
        <f>1</f>
        <v/>
      </c>
      <c r="BC589">
        <f>IF(AV589=1,1,IF(AW589=1,2,IF(AX589=1,3,IF(AY589=1,4,IF(AZ589=1,5,IF(BA589=1,6,7))))))</f>
        <v/>
      </c>
      <c r="BD589">
        <f>IF(AD589=1,CHOOSE('Historical Score'!$C$29,AV589,AW589,AX589,AY589,AZ589,BA589,BB589),0)</f>
        <v/>
      </c>
      <c r="BE589">
        <f>IF(BD589=1,COUNTIF($BD$2:BD589,1),"")</f>
        <v/>
      </c>
    </row>
    <row r="590">
      <c r="A590" t="inlineStr">
        <is>
          <t>5674177660</t>
        </is>
      </c>
      <c r="B590" t="inlineStr">
        <is>
          <t>SURF &amp; TURF STEAKHOUSE</t>
        </is>
      </c>
      <c r="C590" t="inlineStr">
        <is>
          <t>SURF &amp; TURF STEAKHOUSE LLC</t>
        </is>
      </c>
      <c r="D590" t="inlineStr">
        <is>
          <t>Open</t>
        </is>
      </c>
      <c r="E590" s="297" t="n">
        <v>46055</v>
      </c>
      <c r="F590" s="297" t="n">
        <v>46253</v>
      </c>
      <c r="G590" t="n">
        <v>3</v>
      </c>
      <c r="H590" t="inlineStr">
        <is>
          <t>5812</t>
        </is>
      </c>
      <c r="I590" t="inlineStr">
        <is>
          <t>58</t>
        </is>
      </c>
      <c r="J590" t="inlineStr">
        <is>
          <t>DE</t>
        </is>
      </c>
      <c r="K590" t="inlineStr">
        <is>
          <t>TRUSTFI</t>
        </is>
      </c>
      <c r="L590" t="inlineStr">
        <is>
          <t>New Deal</t>
        </is>
      </c>
      <c r="M590" s="298" t="n">
        <v>1.36</v>
      </c>
      <c r="N590" s="299" t="n">
        <v>200000</v>
      </c>
      <c r="O590" s="299" t="n">
        <v>15000</v>
      </c>
      <c r="P590" s="299" t="n">
        <v>272000</v>
      </c>
      <c r="Q590" s="299" t="n">
        <v>166900</v>
      </c>
      <c r="R590" s="299" t="n">
        <v>105100</v>
      </c>
      <c r="S590" s="300" t="n">
        <v>0.613602941176471</v>
      </c>
      <c r="T590" t="n">
        <v>5.246</v>
      </c>
      <c r="U590" t="n">
        <v>7</v>
      </c>
      <c r="V590" t="n">
        <v>478091.76</v>
      </c>
      <c r="W590" s="300" t="n">
        <v>0.0583</v>
      </c>
      <c r="X590" s="297" t="n">
        <v>44329</v>
      </c>
      <c r="Y590">
        <f>IF(I590="","No SIC",IFERROR(VLOOKUP(I590,Ref!$A$2:$B$65,2,FALSE),"Unclassified"))</f>
        <v/>
      </c>
      <c r="Z590">
        <f>IF(T590="","",IF(T590&lt;12,"Daily","Weekly"))</f>
        <v/>
      </c>
      <c r="AA590">
        <f>IF(T590="",0,IF(T590&lt;12,T590*Controls!$B$29,T590*5))</f>
        <v/>
      </c>
      <c r="AB590">
        <f>IF(E590="",0,NETWORKDAYS(E590,Controls!$B$36,Ref!$K$2:$K$42))</f>
        <v/>
      </c>
      <c r="AC590">
        <f>IF(AND(AA590&gt;0,AB590&gt;=Controls!$B$39*AA590),1,0)</f>
        <v/>
      </c>
      <c r="AD590">
        <f>IF(AND(E590&lt;&gt;"",E590&gt;=Controls!$B$37,E590&lt;=Controls!$B$38),1,0)</f>
        <v/>
      </c>
      <c r="AE590">
        <f>IF(IFERROR(VLOOKUP(D590,Controls!$A$64:$E$74,2,FALSE),"No")="Yes",1,0)</f>
        <v/>
      </c>
      <c r="AF590">
        <f>IF(IFERROR(VLOOKUP(D590,Controls!$A$64:$E$74,3,FALSE),"No")="Yes",1,0)</f>
        <v/>
      </c>
      <c r="AG590">
        <f>IF(IFERROR(VLOOKUP(D590,Controls!$A$64:$E$74,4,FALSE),"No")="Yes",1,0)</f>
        <v/>
      </c>
      <c r="AH590">
        <f>IF(IFERROR(VLOOKUP(D590,Controls!$A$64:$E$74,5,FALSE),"No")="Yes",1,0)</f>
        <v/>
      </c>
      <c r="AI590">
        <f>IF(ISNUMBER(MATCH(D590,Controls!$A$64:$A$74,0)),1,0)</f>
        <v/>
      </c>
      <c r="AJ590">
        <f>Q590-N590</f>
        <v/>
      </c>
      <c r="AK590">
        <f>IF(AE590=1,MAX(0,N590-Q590),0)</f>
        <v/>
      </c>
      <c r="AL590">
        <f>IF(OR(V590="",V590=0),0,N590/V590)</f>
        <v/>
      </c>
      <c r="AM590">
        <f>IF(OR(V590="",V590=0),0,1)</f>
        <v/>
      </c>
      <c r="AN590">
        <f>IF(OR(E590="",F590=""),0,NETWORKDAYS(E590,F590,Ref!$K$2:$K$42))</f>
        <v/>
      </c>
      <c r="AO590">
        <f>IF(L590="Renewal",1,0)</f>
        <v/>
      </c>
      <c r="AP590">
        <f>AC590*AD590</f>
        <v/>
      </c>
      <c r="AQ590">
        <f>IF(AND(G590&lt;&gt;"",'Historical Score'!$C$6&lt;&gt;""),IF(G590='Historical Score'!$C$6,1,0),0)</f>
        <v/>
      </c>
      <c r="AR590">
        <f>IF(AND(L590&lt;&gt;"",'Historical Score'!$C$5&lt;&gt;""),IF(L590='Historical Score'!$C$5,1,0),0)</f>
        <v/>
      </c>
      <c r="AS590">
        <f>IF(AND(Y590&lt;&gt;"",'Historical Score'!$C$7&lt;&gt;""),IF(Y590='Historical Score'!$C$7,1,0),0)</f>
        <v/>
      </c>
      <c r="AT590">
        <f>IF(AND(K590&lt;&gt;"",'Historical Score'!$C$8&lt;&gt;""),IF(K590='Historical Score'!$C$8,1,0),0)</f>
        <v/>
      </c>
      <c r="AU590">
        <f>IF(AND(J590&lt;&gt;"",'Historical Score'!$C$9&lt;&gt;""),IF(J590='Historical Score'!$C$9,1,0),0)</f>
        <v/>
      </c>
      <c r="AV590">
        <f>AR590*AS590*AQ590</f>
        <v/>
      </c>
      <c r="AW590">
        <f>AR590*AT590*AQ590</f>
        <v/>
      </c>
      <c r="AX590">
        <f>AR590*AS590</f>
        <v/>
      </c>
      <c r="AY590">
        <f>AR590*AT590</f>
        <v/>
      </c>
      <c r="AZ590">
        <f>AR590*AQ590</f>
        <v/>
      </c>
      <c r="BA590">
        <f>AR590</f>
        <v/>
      </c>
      <c r="BB590">
        <f>1</f>
        <v/>
      </c>
      <c r="BC590">
        <f>IF(AV590=1,1,IF(AW590=1,2,IF(AX590=1,3,IF(AY590=1,4,IF(AZ590=1,5,IF(BA590=1,6,7))))))</f>
        <v/>
      </c>
      <c r="BD590">
        <f>IF(AD590=1,CHOOSE('Historical Score'!$C$29,AV590,AW590,AX590,AY590,AZ590,BA590,BB590),0)</f>
        <v/>
      </c>
      <c r="BE590">
        <f>IF(BD590=1,COUNTIF($BD$2:BD590,1),"")</f>
        <v/>
      </c>
    </row>
    <row r="591">
      <c r="A591" t="inlineStr">
        <is>
          <t>5674177701</t>
        </is>
      </c>
      <c r="B591" t="inlineStr">
        <is>
          <t>The Dent Mann</t>
        </is>
      </c>
      <c r="C591" t="inlineStr">
        <is>
          <t>The Dent Mann</t>
        </is>
      </c>
      <c r="D591" t="inlineStr">
        <is>
          <t>Closed/NSF</t>
        </is>
      </c>
      <c r="E591" s="297" t="n">
        <v>46056</v>
      </c>
      <c r="F591" s="297" t="n">
        <v>46216</v>
      </c>
      <c r="G591" t="n">
        <v>2</v>
      </c>
      <c r="H591" t="inlineStr">
        <is>
          <t>7538</t>
        </is>
      </c>
      <c r="I591" t="inlineStr">
        <is>
          <t>75</t>
        </is>
      </c>
      <c r="J591" t="inlineStr">
        <is>
          <t>OK</t>
        </is>
      </c>
      <c r="K591" t="inlineStr">
        <is>
          <t>AVON ADVANCE</t>
        </is>
      </c>
      <c r="L591" t="inlineStr">
        <is>
          <t>New Deal</t>
        </is>
      </c>
      <c r="M591" s="298" t="n">
        <v>1.49</v>
      </c>
      <c r="N591" s="299" t="n">
        <v>25000</v>
      </c>
      <c r="O591" s="299" t="n">
        <v>3500</v>
      </c>
      <c r="P591" s="299" t="n">
        <v>37250</v>
      </c>
      <c r="Q591" s="299" t="n">
        <v>37250</v>
      </c>
      <c r="R591" s="299" t="n">
        <v>0</v>
      </c>
      <c r="S591" s="300" t="n">
        <v>1</v>
      </c>
      <c r="T591" t="n">
        <v>3.279</v>
      </c>
      <c r="U591" t="n">
        <v>13</v>
      </c>
      <c r="V591" t="n">
        <v>32903.61</v>
      </c>
      <c r="W591" s="300" t="n">
        <v>0.2377</v>
      </c>
      <c r="X591" s="297" t="n"/>
      <c r="Y591">
        <f>IF(I591="","No SIC",IFERROR(VLOOKUP(I591,Ref!$A$2:$B$65,2,FALSE),"Unclassified"))</f>
        <v/>
      </c>
      <c r="Z591">
        <f>IF(T591="","",IF(T591&lt;12,"Daily","Weekly"))</f>
        <v/>
      </c>
      <c r="AA591">
        <f>IF(T591="",0,IF(T591&lt;12,T591*Controls!$B$29,T591*5))</f>
        <v/>
      </c>
      <c r="AB591">
        <f>IF(E591="",0,NETWORKDAYS(E591,Controls!$B$36,Ref!$K$2:$K$42))</f>
        <v/>
      </c>
      <c r="AC591">
        <f>IF(AND(AA591&gt;0,AB591&gt;=Controls!$B$39*AA591),1,0)</f>
        <v/>
      </c>
      <c r="AD591">
        <f>IF(AND(E591&lt;&gt;"",E591&gt;=Controls!$B$37,E591&lt;=Controls!$B$38),1,0)</f>
        <v/>
      </c>
      <c r="AE591">
        <f>IF(IFERROR(VLOOKUP(D591,Controls!$A$64:$E$74,2,FALSE),"No")="Yes",1,0)</f>
        <v/>
      </c>
      <c r="AF591">
        <f>IF(IFERROR(VLOOKUP(D591,Controls!$A$64:$E$74,3,FALSE),"No")="Yes",1,0)</f>
        <v/>
      </c>
      <c r="AG591">
        <f>IF(IFERROR(VLOOKUP(D591,Controls!$A$64:$E$74,4,FALSE),"No")="Yes",1,0)</f>
        <v/>
      </c>
      <c r="AH591">
        <f>IF(IFERROR(VLOOKUP(D591,Controls!$A$64:$E$74,5,FALSE),"No")="Yes",1,0)</f>
        <v/>
      </c>
      <c r="AI591">
        <f>IF(ISNUMBER(MATCH(D591,Controls!$A$64:$A$74,0)),1,0)</f>
        <v/>
      </c>
      <c r="AJ591">
        <f>Q591-N591</f>
        <v/>
      </c>
      <c r="AK591">
        <f>IF(AE591=1,MAX(0,N591-Q591),0)</f>
        <v/>
      </c>
      <c r="AL591">
        <f>IF(OR(V591="",V591=0),0,N591/V591)</f>
        <v/>
      </c>
      <c r="AM591">
        <f>IF(OR(V591="",V591=0),0,1)</f>
        <v/>
      </c>
      <c r="AN591">
        <f>IF(OR(E591="",F591=""),0,NETWORKDAYS(E591,F591,Ref!$K$2:$K$42))</f>
        <v/>
      </c>
      <c r="AO591">
        <f>IF(L591="Renewal",1,0)</f>
        <v/>
      </c>
      <c r="AP591">
        <f>AC591*AD591</f>
        <v/>
      </c>
      <c r="AQ591">
        <f>IF(AND(G591&lt;&gt;"",'Historical Score'!$C$6&lt;&gt;""),IF(G591='Historical Score'!$C$6,1,0),0)</f>
        <v/>
      </c>
      <c r="AR591">
        <f>IF(AND(L591&lt;&gt;"",'Historical Score'!$C$5&lt;&gt;""),IF(L591='Historical Score'!$C$5,1,0),0)</f>
        <v/>
      </c>
      <c r="AS591">
        <f>IF(AND(Y591&lt;&gt;"",'Historical Score'!$C$7&lt;&gt;""),IF(Y591='Historical Score'!$C$7,1,0),0)</f>
        <v/>
      </c>
      <c r="AT591">
        <f>IF(AND(K591&lt;&gt;"",'Historical Score'!$C$8&lt;&gt;""),IF(K591='Historical Score'!$C$8,1,0),0)</f>
        <v/>
      </c>
      <c r="AU591">
        <f>IF(AND(J591&lt;&gt;"",'Historical Score'!$C$9&lt;&gt;""),IF(J591='Historical Score'!$C$9,1,0),0)</f>
        <v/>
      </c>
      <c r="AV591">
        <f>AR591*AS591*AQ591</f>
        <v/>
      </c>
      <c r="AW591">
        <f>AR591*AT591*AQ591</f>
        <v/>
      </c>
      <c r="AX591">
        <f>AR591*AS591</f>
        <v/>
      </c>
      <c r="AY591">
        <f>AR591*AT591</f>
        <v/>
      </c>
      <c r="AZ591">
        <f>AR591*AQ591</f>
        <v/>
      </c>
      <c r="BA591">
        <f>AR591</f>
        <v/>
      </c>
      <c r="BB591">
        <f>1</f>
        <v/>
      </c>
      <c r="BC591">
        <f>IF(AV591=1,1,IF(AW591=1,2,IF(AX591=1,3,IF(AY591=1,4,IF(AZ591=1,5,IF(BA591=1,6,7))))))</f>
        <v/>
      </c>
      <c r="BD591">
        <f>IF(AD591=1,CHOOSE('Historical Score'!$C$29,AV591,AW591,AX591,AY591,AZ591,BA591,BB591),0)</f>
        <v/>
      </c>
      <c r="BE591">
        <f>IF(BD591=1,COUNTIF($BD$2:BD591,1),"")</f>
        <v/>
      </c>
    </row>
    <row r="592">
      <c r="A592" t="inlineStr">
        <is>
          <t>5674177709</t>
        </is>
      </c>
      <c r="B592" t="inlineStr">
        <is>
          <t>JB ACCOUNTING &amp; TAX GROUP AAC</t>
        </is>
      </c>
      <c r="C592" t="inlineStr">
        <is>
          <t>JB ACCOUNTING &amp; TAX GROUP AAC</t>
        </is>
      </c>
      <c r="D592" t="inlineStr">
        <is>
          <t>Open</t>
        </is>
      </c>
      <c r="E592" s="297" t="n">
        <v>46056</v>
      </c>
      <c r="F592" s="297" t="n">
        <v>46253</v>
      </c>
      <c r="G592" t="n">
        <v>2</v>
      </c>
      <c r="H592" t="inlineStr">
        <is>
          <t>7291</t>
        </is>
      </c>
      <c r="I592" t="inlineStr">
        <is>
          <t>72</t>
        </is>
      </c>
      <c r="J592" t="inlineStr">
        <is>
          <t>TN</t>
        </is>
      </c>
      <c r="K592" t="inlineStr">
        <is>
          <t>penco holdings</t>
        </is>
      </c>
      <c r="L592" t="inlineStr">
        <is>
          <t>New Deal</t>
        </is>
      </c>
      <c r="M592" s="298" t="n">
        <v>1.45</v>
      </c>
      <c r="N592" s="299" t="n">
        <v>25000</v>
      </c>
      <c r="O592" s="299" t="n">
        <v>3000</v>
      </c>
      <c r="P592" s="299" t="n">
        <v>36250</v>
      </c>
      <c r="Q592" s="299" t="n">
        <v>32612.76</v>
      </c>
      <c r="R592" s="299" t="n">
        <v>3637.24</v>
      </c>
      <c r="S592" s="300" t="n">
        <v>0.899662344827586</v>
      </c>
      <c r="T592" t="n">
        <v>3.934</v>
      </c>
      <c r="U592" t="n">
        <v>23</v>
      </c>
      <c r="V592" t="n">
        <v>64774.47</v>
      </c>
      <c r="W592" s="300" t="n">
        <v>0.0979</v>
      </c>
      <c r="X592" s="297" t="n">
        <v>45643</v>
      </c>
      <c r="Y592">
        <f>IF(I592="","No SIC",IFERROR(VLOOKUP(I592,Ref!$A$2:$B$65,2,FALSE),"Unclassified"))</f>
        <v/>
      </c>
      <c r="Z592">
        <f>IF(T592="","",IF(T592&lt;12,"Daily","Weekly"))</f>
        <v/>
      </c>
      <c r="AA592">
        <f>IF(T592="",0,IF(T592&lt;12,T592*Controls!$B$29,T592*5))</f>
        <v/>
      </c>
      <c r="AB592">
        <f>IF(E592="",0,NETWORKDAYS(E592,Controls!$B$36,Ref!$K$2:$K$42))</f>
        <v/>
      </c>
      <c r="AC592">
        <f>IF(AND(AA592&gt;0,AB592&gt;=Controls!$B$39*AA592),1,0)</f>
        <v/>
      </c>
      <c r="AD592">
        <f>IF(AND(E592&lt;&gt;"",E592&gt;=Controls!$B$37,E592&lt;=Controls!$B$38),1,0)</f>
        <v/>
      </c>
      <c r="AE592">
        <f>IF(IFERROR(VLOOKUP(D592,Controls!$A$64:$E$74,2,FALSE),"No")="Yes",1,0)</f>
        <v/>
      </c>
      <c r="AF592">
        <f>IF(IFERROR(VLOOKUP(D592,Controls!$A$64:$E$74,3,FALSE),"No")="Yes",1,0)</f>
        <v/>
      </c>
      <c r="AG592">
        <f>IF(IFERROR(VLOOKUP(D592,Controls!$A$64:$E$74,4,FALSE),"No")="Yes",1,0)</f>
        <v/>
      </c>
      <c r="AH592">
        <f>IF(IFERROR(VLOOKUP(D592,Controls!$A$64:$E$74,5,FALSE),"No")="Yes",1,0)</f>
        <v/>
      </c>
      <c r="AI592">
        <f>IF(ISNUMBER(MATCH(D592,Controls!$A$64:$A$74,0)),1,0)</f>
        <v/>
      </c>
      <c r="AJ592">
        <f>Q592-N592</f>
        <v/>
      </c>
      <c r="AK592">
        <f>IF(AE592=1,MAX(0,N592-Q592),0)</f>
        <v/>
      </c>
      <c r="AL592">
        <f>IF(OR(V592="",V592=0),0,N592/V592)</f>
        <v/>
      </c>
      <c r="AM592">
        <f>IF(OR(V592="",V592=0),0,1)</f>
        <v/>
      </c>
      <c r="AN592">
        <f>IF(OR(E592="",F592=""),0,NETWORKDAYS(E592,F592,Ref!$K$2:$K$42))</f>
        <v/>
      </c>
      <c r="AO592">
        <f>IF(L592="Renewal",1,0)</f>
        <v/>
      </c>
      <c r="AP592">
        <f>AC592*AD592</f>
        <v/>
      </c>
      <c r="AQ592">
        <f>IF(AND(G592&lt;&gt;"",'Historical Score'!$C$6&lt;&gt;""),IF(G592='Historical Score'!$C$6,1,0),0)</f>
        <v/>
      </c>
      <c r="AR592">
        <f>IF(AND(L592&lt;&gt;"",'Historical Score'!$C$5&lt;&gt;""),IF(L592='Historical Score'!$C$5,1,0),0)</f>
        <v/>
      </c>
      <c r="AS592">
        <f>IF(AND(Y592&lt;&gt;"",'Historical Score'!$C$7&lt;&gt;""),IF(Y592='Historical Score'!$C$7,1,0),0)</f>
        <v/>
      </c>
      <c r="AT592">
        <f>IF(AND(K592&lt;&gt;"",'Historical Score'!$C$8&lt;&gt;""),IF(K592='Historical Score'!$C$8,1,0),0)</f>
        <v/>
      </c>
      <c r="AU592">
        <f>IF(AND(J592&lt;&gt;"",'Historical Score'!$C$9&lt;&gt;""),IF(J592='Historical Score'!$C$9,1,0),0)</f>
        <v/>
      </c>
      <c r="AV592">
        <f>AR592*AS592*AQ592</f>
        <v/>
      </c>
      <c r="AW592">
        <f>AR592*AT592*AQ592</f>
        <v/>
      </c>
      <c r="AX592">
        <f>AR592*AS592</f>
        <v/>
      </c>
      <c r="AY592">
        <f>AR592*AT592</f>
        <v/>
      </c>
      <c r="AZ592">
        <f>AR592*AQ592</f>
        <v/>
      </c>
      <c r="BA592">
        <f>AR592</f>
        <v/>
      </c>
      <c r="BB592">
        <f>1</f>
        <v/>
      </c>
      <c r="BC592">
        <f>IF(AV592=1,1,IF(AW592=1,2,IF(AX592=1,3,IF(AY592=1,4,IF(AZ592=1,5,IF(BA592=1,6,7))))))</f>
        <v/>
      </c>
      <c r="BD592">
        <f>IF(AD592=1,CHOOSE('Historical Score'!$C$29,AV592,AW592,AX592,AY592,AZ592,BA592,BB592),0)</f>
        <v/>
      </c>
      <c r="BE592">
        <f>IF(BD592=1,COUNTIF($BD$2:BD592,1),"")</f>
        <v/>
      </c>
    </row>
    <row r="593">
      <c r="A593" t="inlineStr">
        <is>
          <t>5674177736</t>
        </is>
      </c>
      <c r="B593" t="inlineStr">
        <is>
          <t>jaar global LLC</t>
        </is>
      </c>
      <c r="C593" t="inlineStr">
        <is>
          <t>jaar global LLC</t>
        </is>
      </c>
      <c r="D593" t="inlineStr">
        <is>
          <t>Legal</t>
        </is>
      </c>
      <c r="E593" s="297" t="n">
        <v>46056</v>
      </c>
      <c r="F593" s="297" t="n">
        <v>46090</v>
      </c>
      <c r="G593" t="n">
        <v>3</v>
      </c>
      <c r="H593" t="inlineStr">
        <is>
          <t>1521</t>
        </is>
      </c>
      <c r="I593" t="inlineStr">
        <is>
          <t>15</t>
        </is>
      </c>
      <c r="J593" t="inlineStr">
        <is>
          <t>TX</t>
        </is>
      </c>
      <c r="K593" t="inlineStr">
        <is>
          <t>Upwise capital</t>
        </is>
      </c>
      <c r="L593" t="inlineStr">
        <is>
          <t>New Deal</t>
        </is>
      </c>
      <c r="M593" s="298" t="n">
        <v>1.35</v>
      </c>
      <c r="N593" s="299" t="n">
        <v>40000</v>
      </c>
      <c r="O593" s="299" t="n">
        <v>2800</v>
      </c>
      <c r="P593" s="299" t="n">
        <v>54000</v>
      </c>
      <c r="Q593" s="299" t="n">
        <v>5794.14</v>
      </c>
      <c r="R593" s="299" t="n">
        <v>48205.86</v>
      </c>
      <c r="S593" s="300" t="n">
        <v>0.107298888888889</v>
      </c>
      <c r="T593" t="n">
        <v>28</v>
      </c>
      <c r="U593" t="n">
        <v>1</v>
      </c>
      <c r="V593" t="n">
        <v>228565.17</v>
      </c>
      <c r="W593" s="300" t="n">
        <v>0.0338</v>
      </c>
      <c r="X593" s="297" t="n">
        <v>45614</v>
      </c>
      <c r="Y593">
        <f>IF(I593="","No SIC",IFERROR(VLOOKUP(I593,Ref!$A$2:$B$65,2,FALSE),"Unclassified"))</f>
        <v/>
      </c>
      <c r="Z593">
        <f>IF(T593="","",IF(T593&lt;12,"Daily","Weekly"))</f>
        <v/>
      </c>
      <c r="AA593">
        <f>IF(T593="",0,IF(T593&lt;12,T593*Controls!$B$29,T593*5))</f>
        <v/>
      </c>
      <c r="AB593">
        <f>IF(E593="",0,NETWORKDAYS(E593,Controls!$B$36,Ref!$K$2:$K$42))</f>
        <v/>
      </c>
      <c r="AC593">
        <f>IF(AND(AA593&gt;0,AB593&gt;=Controls!$B$39*AA593),1,0)</f>
        <v/>
      </c>
      <c r="AD593">
        <f>IF(AND(E593&lt;&gt;"",E593&gt;=Controls!$B$37,E593&lt;=Controls!$B$38),1,0)</f>
        <v/>
      </c>
      <c r="AE593">
        <f>IF(IFERROR(VLOOKUP(D593,Controls!$A$64:$E$74,2,FALSE),"No")="Yes",1,0)</f>
        <v/>
      </c>
      <c r="AF593">
        <f>IF(IFERROR(VLOOKUP(D593,Controls!$A$64:$E$74,3,FALSE),"No")="Yes",1,0)</f>
        <v/>
      </c>
      <c r="AG593">
        <f>IF(IFERROR(VLOOKUP(D593,Controls!$A$64:$E$74,4,FALSE),"No")="Yes",1,0)</f>
        <v/>
      </c>
      <c r="AH593">
        <f>IF(IFERROR(VLOOKUP(D593,Controls!$A$64:$E$74,5,FALSE),"No")="Yes",1,0)</f>
        <v/>
      </c>
      <c r="AI593">
        <f>IF(ISNUMBER(MATCH(D593,Controls!$A$64:$A$74,0)),1,0)</f>
        <v/>
      </c>
      <c r="AJ593">
        <f>Q593-N593</f>
        <v/>
      </c>
      <c r="AK593">
        <f>IF(AE593=1,MAX(0,N593-Q593),0)</f>
        <v/>
      </c>
      <c r="AL593">
        <f>IF(OR(V593="",V593=0),0,N593/V593)</f>
        <v/>
      </c>
      <c r="AM593">
        <f>IF(OR(V593="",V593=0),0,1)</f>
        <v/>
      </c>
      <c r="AN593">
        <f>IF(OR(E593="",F593=""),0,NETWORKDAYS(E593,F593,Ref!$K$2:$K$42))</f>
        <v/>
      </c>
      <c r="AO593">
        <f>IF(L593="Renewal",1,0)</f>
        <v/>
      </c>
      <c r="AP593">
        <f>AC593*AD593</f>
        <v/>
      </c>
      <c r="AQ593">
        <f>IF(AND(G593&lt;&gt;"",'Historical Score'!$C$6&lt;&gt;""),IF(G593='Historical Score'!$C$6,1,0),0)</f>
        <v/>
      </c>
      <c r="AR593">
        <f>IF(AND(L593&lt;&gt;"",'Historical Score'!$C$5&lt;&gt;""),IF(L593='Historical Score'!$C$5,1,0),0)</f>
        <v/>
      </c>
      <c r="AS593">
        <f>IF(AND(Y593&lt;&gt;"",'Historical Score'!$C$7&lt;&gt;""),IF(Y593='Historical Score'!$C$7,1,0),0)</f>
        <v/>
      </c>
      <c r="AT593">
        <f>IF(AND(K593&lt;&gt;"",'Historical Score'!$C$8&lt;&gt;""),IF(K593='Historical Score'!$C$8,1,0),0)</f>
        <v/>
      </c>
      <c r="AU593">
        <f>IF(AND(J593&lt;&gt;"",'Historical Score'!$C$9&lt;&gt;""),IF(J593='Historical Score'!$C$9,1,0),0)</f>
        <v/>
      </c>
      <c r="AV593">
        <f>AR593*AS593*AQ593</f>
        <v/>
      </c>
      <c r="AW593">
        <f>AR593*AT593*AQ593</f>
        <v/>
      </c>
      <c r="AX593">
        <f>AR593*AS593</f>
        <v/>
      </c>
      <c r="AY593">
        <f>AR593*AT593</f>
        <v/>
      </c>
      <c r="AZ593">
        <f>AR593*AQ593</f>
        <v/>
      </c>
      <c r="BA593">
        <f>AR593</f>
        <v/>
      </c>
      <c r="BB593">
        <f>1</f>
        <v/>
      </c>
      <c r="BC593">
        <f>IF(AV593=1,1,IF(AW593=1,2,IF(AX593=1,3,IF(AY593=1,4,IF(AZ593=1,5,IF(BA593=1,6,7))))))</f>
        <v/>
      </c>
      <c r="BD593">
        <f>IF(AD593=1,CHOOSE('Historical Score'!$C$29,AV593,AW593,AX593,AY593,AZ593,BA593,BB593),0)</f>
        <v/>
      </c>
      <c r="BE593">
        <f>IF(BD593=1,COUNTIF($BD$2:BD593,1),"")</f>
        <v/>
      </c>
    </row>
    <row r="594">
      <c r="A594" t="inlineStr">
        <is>
          <t>5674177740</t>
        </is>
      </c>
      <c r="B594" t="inlineStr">
        <is>
          <t>GONMAX SERVICES, INC</t>
        </is>
      </c>
      <c r="C594" t="inlineStr">
        <is>
          <t>GONMAX SERVICES, INC</t>
        </is>
      </c>
      <c r="D594" t="inlineStr">
        <is>
          <t>Open</t>
        </is>
      </c>
      <c r="E594" s="297" t="n">
        <v>46056</v>
      </c>
      <c r="F594" s="297" t="n">
        <v>46253</v>
      </c>
      <c r="G594" t="n">
        <v>3</v>
      </c>
      <c r="H594" t="inlineStr">
        <is>
          <t>4212</t>
        </is>
      </c>
      <c r="I594" t="inlineStr">
        <is>
          <t>42</t>
        </is>
      </c>
      <c r="J594" t="inlineStr">
        <is>
          <t>FL</t>
        </is>
      </c>
      <c r="K594" t="inlineStr">
        <is>
          <t>United Secured Capital 8</t>
        </is>
      </c>
      <c r="L594" t="inlineStr">
        <is>
          <t>New Deal</t>
        </is>
      </c>
      <c r="M594" s="298" t="n">
        <v>1.49</v>
      </c>
      <c r="N594" s="299" t="n">
        <v>20000</v>
      </c>
      <c r="O594" s="299" t="n">
        <v>2800</v>
      </c>
      <c r="P594" s="299" t="n">
        <v>29800</v>
      </c>
      <c r="Q594" s="299" t="n">
        <v>26795.88</v>
      </c>
      <c r="R594" s="299" t="n">
        <v>3004.12</v>
      </c>
      <c r="S594" s="300" t="n">
        <v>0.899190604026846</v>
      </c>
      <c r="T594" t="n">
        <v>3.934</v>
      </c>
      <c r="U594" t="n">
        <v>19</v>
      </c>
      <c r="V594" t="n">
        <v>148441.71</v>
      </c>
      <c r="W594" s="300" t="n">
        <v>0.0351</v>
      </c>
      <c r="X594" s="297" t="n">
        <v>40299</v>
      </c>
      <c r="Y594">
        <f>IF(I594="","No SIC",IFERROR(VLOOKUP(I594,Ref!$A$2:$B$65,2,FALSE),"Unclassified"))</f>
        <v/>
      </c>
      <c r="Z594">
        <f>IF(T594="","",IF(T594&lt;12,"Daily","Weekly"))</f>
        <v/>
      </c>
      <c r="AA594">
        <f>IF(T594="",0,IF(T594&lt;12,T594*Controls!$B$29,T594*5))</f>
        <v/>
      </c>
      <c r="AB594">
        <f>IF(E594="",0,NETWORKDAYS(E594,Controls!$B$36,Ref!$K$2:$K$42))</f>
        <v/>
      </c>
      <c r="AC594">
        <f>IF(AND(AA594&gt;0,AB594&gt;=Controls!$B$39*AA594),1,0)</f>
        <v/>
      </c>
      <c r="AD594">
        <f>IF(AND(E594&lt;&gt;"",E594&gt;=Controls!$B$37,E594&lt;=Controls!$B$38),1,0)</f>
        <v/>
      </c>
      <c r="AE594">
        <f>IF(IFERROR(VLOOKUP(D594,Controls!$A$64:$E$74,2,FALSE),"No")="Yes",1,0)</f>
        <v/>
      </c>
      <c r="AF594">
        <f>IF(IFERROR(VLOOKUP(D594,Controls!$A$64:$E$74,3,FALSE),"No")="Yes",1,0)</f>
        <v/>
      </c>
      <c r="AG594">
        <f>IF(IFERROR(VLOOKUP(D594,Controls!$A$64:$E$74,4,FALSE),"No")="Yes",1,0)</f>
        <v/>
      </c>
      <c r="AH594">
        <f>IF(IFERROR(VLOOKUP(D594,Controls!$A$64:$E$74,5,FALSE),"No")="Yes",1,0)</f>
        <v/>
      </c>
      <c r="AI594">
        <f>IF(ISNUMBER(MATCH(D594,Controls!$A$64:$A$74,0)),1,0)</f>
        <v/>
      </c>
      <c r="AJ594">
        <f>Q594-N594</f>
        <v/>
      </c>
      <c r="AK594">
        <f>IF(AE594=1,MAX(0,N594-Q594),0)</f>
        <v/>
      </c>
      <c r="AL594">
        <f>IF(OR(V594="",V594=0),0,N594/V594)</f>
        <v/>
      </c>
      <c r="AM594">
        <f>IF(OR(V594="",V594=0),0,1)</f>
        <v/>
      </c>
      <c r="AN594">
        <f>IF(OR(E594="",F594=""),0,NETWORKDAYS(E594,F594,Ref!$K$2:$K$42))</f>
        <v/>
      </c>
      <c r="AO594">
        <f>IF(L594="Renewal",1,0)</f>
        <v/>
      </c>
      <c r="AP594">
        <f>AC594*AD594</f>
        <v/>
      </c>
      <c r="AQ594">
        <f>IF(AND(G594&lt;&gt;"",'Historical Score'!$C$6&lt;&gt;""),IF(G594='Historical Score'!$C$6,1,0),0)</f>
        <v/>
      </c>
      <c r="AR594">
        <f>IF(AND(L594&lt;&gt;"",'Historical Score'!$C$5&lt;&gt;""),IF(L594='Historical Score'!$C$5,1,0),0)</f>
        <v/>
      </c>
      <c r="AS594">
        <f>IF(AND(Y594&lt;&gt;"",'Historical Score'!$C$7&lt;&gt;""),IF(Y594='Historical Score'!$C$7,1,0),0)</f>
        <v/>
      </c>
      <c r="AT594">
        <f>IF(AND(K594&lt;&gt;"",'Historical Score'!$C$8&lt;&gt;""),IF(K594='Historical Score'!$C$8,1,0),0)</f>
        <v/>
      </c>
      <c r="AU594">
        <f>IF(AND(J594&lt;&gt;"",'Historical Score'!$C$9&lt;&gt;""),IF(J594='Historical Score'!$C$9,1,0),0)</f>
        <v/>
      </c>
      <c r="AV594">
        <f>AR594*AS594*AQ594</f>
        <v/>
      </c>
      <c r="AW594">
        <f>AR594*AT594*AQ594</f>
        <v/>
      </c>
      <c r="AX594">
        <f>AR594*AS594</f>
        <v/>
      </c>
      <c r="AY594">
        <f>AR594*AT594</f>
        <v/>
      </c>
      <c r="AZ594">
        <f>AR594*AQ594</f>
        <v/>
      </c>
      <c r="BA594">
        <f>AR594</f>
        <v/>
      </c>
      <c r="BB594">
        <f>1</f>
        <v/>
      </c>
      <c r="BC594">
        <f>IF(AV594=1,1,IF(AW594=1,2,IF(AX594=1,3,IF(AY594=1,4,IF(AZ594=1,5,IF(BA594=1,6,7))))))</f>
        <v/>
      </c>
      <c r="BD594">
        <f>IF(AD594=1,CHOOSE('Historical Score'!$C$29,AV594,AW594,AX594,AY594,AZ594,BA594,BB594),0)</f>
        <v/>
      </c>
      <c r="BE594">
        <f>IF(BD594=1,COUNTIF($BD$2:BD594,1),"")</f>
        <v/>
      </c>
    </row>
    <row r="595">
      <c r="A595" t="inlineStr">
        <is>
          <t>5674177761</t>
        </is>
      </c>
      <c r="B595" t="inlineStr">
        <is>
          <t>SV FRANCHISE, LLC</t>
        </is>
      </c>
      <c r="C595" t="inlineStr">
        <is>
          <t>SV FRANCHISE, LLC</t>
        </is>
      </c>
      <c r="D595" t="inlineStr">
        <is>
          <t>Open</t>
        </is>
      </c>
      <c r="E595" s="297" t="n">
        <v>46056</v>
      </c>
      <c r="F595" s="297" t="n">
        <v>46246</v>
      </c>
      <c r="G595" t="n">
        <v>3</v>
      </c>
      <c r="H595" t="inlineStr">
        <is>
          <t>5812</t>
        </is>
      </c>
      <c r="I595" t="inlineStr">
        <is>
          <t>58</t>
        </is>
      </c>
      <c r="J595" t="inlineStr">
        <is>
          <t>GA</t>
        </is>
      </c>
      <c r="K595" t="inlineStr">
        <is>
          <t>DIRECT CAPITAL SOURCE, INC.</t>
        </is>
      </c>
      <c r="L595" t="inlineStr">
        <is>
          <t>New Deal</t>
        </is>
      </c>
      <c r="M595" s="298" t="n">
        <v>1.49</v>
      </c>
      <c r="N595" s="299" t="n">
        <v>15000</v>
      </c>
      <c r="O595" s="299" t="n">
        <v>2100</v>
      </c>
      <c r="P595" s="299" t="n">
        <v>22350</v>
      </c>
      <c r="Q595" s="299" t="n">
        <v>22350</v>
      </c>
      <c r="R595" s="299" t="n">
        <v>0</v>
      </c>
      <c r="S595" s="300" t="n">
        <v>1</v>
      </c>
      <c r="T595" t="n">
        <v>2.623</v>
      </c>
      <c r="U595" t="n">
        <v>52</v>
      </c>
      <c r="V595" t="n">
        <v>243566.06</v>
      </c>
      <c r="W595" s="300" t="n">
        <v>0.0241</v>
      </c>
      <c r="X595" s="297" t="n">
        <v>45552</v>
      </c>
      <c r="Y595">
        <f>IF(I595="","No SIC",IFERROR(VLOOKUP(I595,Ref!$A$2:$B$65,2,FALSE),"Unclassified"))</f>
        <v/>
      </c>
      <c r="Z595">
        <f>IF(T595="","",IF(T595&lt;12,"Daily","Weekly"))</f>
        <v/>
      </c>
      <c r="AA595">
        <f>IF(T595="",0,IF(T595&lt;12,T595*Controls!$B$29,T595*5))</f>
        <v/>
      </c>
      <c r="AB595">
        <f>IF(E595="",0,NETWORKDAYS(E595,Controls!$B$36,Ref!$K$2:$K$42))</f>
        <v/>
      </c>
      <c r="AC595">
        <f>IF(AND(AA595&gt;0,AB595&gt;=Controls!$B$39*AA595),1,0)</f>
        <v/>
      </c>
      <c r="AD595">
        <f>IF(AND(E595&lt;&gt;"",E595&gt;=Controls!$B$37,E595&lt;=Controls!$B$38),1,0)</f>
        <v/>
      </c>
      <c r="AE595">
        <f>IF(IFERROR(VLOOKUP(D595,Controls!$A$64:$E$74,2,FALSE),"No")="Yes",1,0)</f>
        <v/>
      </c>
      <c r="AF595">
        <f>IF(IFERROR(VLOOKUP(D595,Controls!$A$64:$E$74,3,FALSE),"No")="Yes",1,0)</f>
        <v/>
      </c>
      <c r="AG595">
        <f>IF(IFERROR(VLOOKUP(D595,Controls!$A$64:$E$74,4,FALSE),"No")="Yes",1,0)</f>
        <v/>
      </c>
      <c r="AH595">
        <f>IF(IFERROR(VLOOKUP(D595,Controls!$A$64:$E$74,5,FALSE),"No")="Yes",1,0)</f>
        <v/>
      </c>
      <c r="AI595">
        <f>IF(ISNUMBER(MATCH(D595,Controls!$A$64:$A$74,0)),1,0)</f>
        <v/>
      </c>
      <c r="AJ595">
        <f>Q595-N595</f>
        <v/>
      </c>
      <c r="AK595">
        <f>IF(AE595=1,MAX(0,N595-Q595),0)</f>
        <v/>
      </c>
      <c r="AL595">
        <f>IF(OR(V595="",V595=0),0,N595/V595)</f>
        <v/>
      </c>
      <c r="AM595">
        <f>IF(OR(V595="",V595=0),0,1)</f>
        <v/>
      </c>
      <c r="AN595">
        <f>IF(OR(E595="",F595=""),0,NETWORKDAYS(E595,F595,Ref!$K$2:$K$42))</f>
        <v/>
      </c>
      <c r="AO595">
        <f>IF(L595="Renewal",1,0)</f>
        <v/>
      </c>
      <c r="AP595">
        <f>AC595*AD595</f>
        <v/>
      </c>
      <c r="AQ595">
        <f>IF(AND(G595&lt;&gt;"",'Historical Score'!$C$6&lt;&gt;""),IF(G595='Historical Score'!$C$6,1,0),0)</f>
        <v/>
      </c>
      <c r="AR595">
        <f>IF(AND(L595&lt;&gt;"",'Historical Score'!$C$5&lt;&gt;""),IF(L595='Historical Score'!$C$5,1,0),0)</f>
        <v/>
      </c>
      <c r="AS595">
        <f>IF(AND(Y595&lt;&gt;"",'Historical Score'!$C$7&lt;&gt;""),IF(Y595='Historical Score'!$C$7,1,0),0)</f>
        <v/>
      </c>
      <c r="AT595">
        <f>IF(AND(K595&lt;&gt;"",'Historical Score'!$C$8&lt;&gt;""),IF(K595='Historical Score'!$C$8,1,0),0)</f>
        <v/>
      </c>
      <c r="AU595">
        <f>IF(AND(J595&lt;&gt;"",'Historical Score'!$C$9&lt;&gt;""),IF(J595='Historical Score'!$C$9,1,0),0)</f>
        <v/>
      </c>
      <c r="AV595">
        <f>AR595*AS595*AQ595</f>
        <v/>
      </c>
      <c r="AW595">
        <f>AR595*AT595*AQ595</f>
        <v/>
      </c>
      <c r="AX595">
        <f>AR595*AS595</f>
        <v/>
      </c>
      <c r="AY595">
        <f>AR595*AT595</f>
        <v/>
      </c>
      <c r="AZ595">
        <f>AR595*AQ595</f>
        <v/>
      </c>
      <c r="BA595">
        <f>AR595</f>
        <v/>
      </c>
      <c r="BB595">
        <f>1</f>
        <v/>
      </c>
      <c r="BC595">
        <f>IF(AV595=1,1,IF(AW595=1,2,IF(AX595=1,3,IF(AY595=1,4,IF(AZ595=1,5,IF(BA595=1,6,7))))))</f>
        <v/>
      </c>
      <c r="BD595">
        <f>IF(AD595=1,CHOOSE('Historical Score'!$C$29,AV595,AW595,AX595,AY595,AZ595,BA595,BB595),0)</f>
        <v/>
      </c>
      <c r="BE595">
        <f>IF(BD595=1,COUNTIF($BD$2:BD595,1),"")</f>
        <v/>
      </c>
    </row>
    <row r="596">
      <c r="A596" t="inlineStr">
        <is>
          <t>5674177801</t>
        </is>
      </c>
      <c r="B596" t="inlineStr">
        <is>
          <t>sunshine rentals and tors</t>
        </is>
      </c>
      <c r="C596" t="inlineStr">
        <is>
          <t>SUNSHINE RENTALS &amp; TOURS CORP</t>
        </is>
      </c>
      <c r="D596" t="inlineStr">
        <is>
          <t>Legal</t>
        </is>
      </c>
      <c r="E596" s="297" t="n">
        <v>46057</v>
      </c>
      <c r="F596" s="297" t="n">
        <v>46122</v>
      </c>
      <c r="G596" t="n">
        <v>3</v>
      </c>
      <c r="H596" t="inlineStr">
        <is>
          <t>4725</t>
        </is>
      </c>
      <c r="I596" t="inlineStr">
        <is>
          <t>47</t>
        </is>
      </c>
      <c r="J596" t="inlineStr">
        <is>
          <t>FL</t>
        </is>
      </c>
      <c r="K596" t="inlineStr">
        <is>
          <t>Ballicci</t>
        </is>
      </c>
      <c r="L596" t="inlineStr">
        <is>
          <t>New Deal</t>
        </is>
      </c>
      <c r="M596" s="298" t="n">
        <v>1.49</v>
      </c>
      <c r="N596" s="299" t="n">
        <v>15000</v>
      </c>
      <c r="O596" s="299" t="n">
        <v>0</v>
      </c>
      <c r="P596" s="299" t="n">
        <v>22350</v>
      </c>
      <c r="Q596" s="299" t="n">
        <v>868.98</v>
      </c>
      <c r="R596" s="299" t="n">
        <v>21481.02</v>
      </c>
      <c r="S596" s="300" t="n">
        <v>0.0388805369127517</v>
      </c>
      <c r="T596" t="n">
        <v>2.951</v>
      </c>
      <c r="U596" t="n">
        <v>39</v>
      </c>
      <c r="V596" t="n">
        <v>57804.69</v>
      </c>
      <c r="W596" s="300" t="n">
        <v>0.0902</v>
      </c>
      <c r="X596" s="297" t="n">
        <v>41275</v>
      </c>
      <c r="Y596">
        <f>IF(I596="","No SIC",IFERROR(VLOOKUP(I596,Ref!$A$2:$B$65,2,FALSE),"Unclassified"))</f>
        <v/>
      </c>
      <c r="Z596">
        <f>IF(T596="","",IF(T596&lt;12,"Daily","Weekly"))</f>
        <v/>
      </c>
      <c r="AA596">
        <f>IF(T596="",0,IF(T596&lt;12,T596*Controls!$B$29,T596*5))</f>
        <v/>
      </c>
      <c r="AB596">
        <f>IF(E596="",0,NETWORKDAYS(E596,Controls!$B$36,Ref!$K$2:$K$42))</f>
        <v/>
      </c>
      <c r="AC596">
        <f>IF(AND(AA596&gt;0,AB596&gt;=Controls!$B$39*AA596),1,0)</f>
        <v/>
      </c>
      <c r="AD596">
        <f>IF(AND(E596&lt;&gt;"",E596&gt;=Controls!$B$37,E596&lt;=Controls!$B$38),1,0)</f>
        <v/>
      </c>
      <c r="AE596">
        <f>IF(IFERROR(VLOOKUP(D596,Controls!$A$64:$E$74,2,FALSE),"No")="Yes",1,0)</f>
        <v/>
      </c>
      <c r="AF596">
        <f>IF(IFERROR(VLOOKUP(D596,Controls!$A$64:$E$74,3,FALSE),"No")="Yes",1,0)</f>
        <v/>
      </c>
      <c r="AG596">
        <f>IF(IFERROR(VLOOKUP(D596,Controls!$A$64:$E$74,4,FALSE),"No")="Yes",1,0)</f>
        <v/>
      </c>
      <c r="AH596">
        <f>IF(IFERROR(VLOOKUP(D596,Controls!$A$64:$E$74,5,FALSE),"No")="Yes",1,0)</f>
        <v/>
      </c>
      <c r="AI596">
        <f>IF(ISNUMBER(MATCH(D596,Controls!$A$64:$A$74,0)),1,0)</f>
        <v/>
      </c>
      <c r="AJ596">
        <f>Q596-N596</f>
        <v/>
      </c>
      <c r="AK596">
        <f>IF(AE596=1,MAX(0,N596-Q596),0)</f>
        <v/>
      </c>
      <c r="AL596">
        <f>IF(OR(V596="",V596=0),0,N596/V596)</f>
        <v/>
      </c>
      <c r="AM596">
        <f>IF(OR(V596="",V596=0),0,1)</f>
        <v/>
      </c>
      <c r="AN596">
        <f>IF(OR(E596="",F596=""),0,NETWORKDAYS(E596,F596,Ref!$K$2:$K$42))</f>
        <v/>
      </c>
      <c r="AO596">
        <f>IF(L596="Renewal",1,0)</f>
        <v/>
      </c>
      <c r="AP596">
        <f>AC596*AD596</f>
        <v/>
      </c>
      <c r="AQ596">
        <f>IF(AND(G596&lt;&gt;"",'Historical Score'!$C$6&lt;&gt;""),IF(G596='Historical Score'!$C$6,1,0),0)</f>
        <v/>
      </c>
      <c r="AR596">
        <f>IF(AND(L596&lt;&gt;"",'Historical Score'!$C$5&lt;&gt;""),IF(L596='Historical Score'!$C$5,1,0),0)</f>
        <v/>
      </c>
      <c r="AS596">
        <f>IF(AND(Y596&lt;&gt;"",'Historical Score'!$C$7&lt;&gt;""),IF(Y596='Historical Score'!$C$7,1,0),0)</f>
        <v/>
      </c>
      <c r="AT596">
        <f>IF(AND(K596&lt;&gt;"",'Historical Score'!$C$8&lt;&gt;""),IF(K596='Historical Score'!$C$8,1,0),0)</f>
        <v/>
      </c>
      <c r="AU596">
        <f>IF(AND(J596&lt;&gt;"",'Historical Score'!$C$9&lt;&gt;""),IF(J596='Historical Score'!$C$9,1,0),0)</f>
        <v/>
      </c>
      <c r="AV596">
        <f>AR596*AS596*AQ596</f>
        <v/>
      </c>
      <c r="AW596">
        <f>AR596*AT596*AQ596</f>
        <v/>
      </c>
      <c r="AX596">
        <f>AR596*AS596</f>
        <v/>
      </c>
      <c r="AY596">
        <f>AR596*AT596</f>
        <v/>
      </c>
      <c r="AZ596">
        <f>AR596*AQ596</f>
        <v/>
      </c>
      <c r="BA596">
        <f>AR596</f>
        <v/>
      </c>
      <c r="BB596">
        <f>1</f>
        <v/>
      </c>
      <c r="BC596">
        <f>IF(AV596=1,1,IF(AW596=1,2,IF(AX596=1,3,IF(AY596=1,4,IF(AZ596=1,5,IF(BA596=1,6,7))))))</f>
        <v/>
      </c>
      <c r="BD596">
        <f>IF(AD596=1,CHOOSE('Historical Score'!$C$29,AV596,AW596,AX596,AY596,AZ596,BA596,BB596),0)</f>
        <v/>
      </c>
      <c r="BE596">
        <f>IF(BD596=1,COUNTIF($BD$2:BD596,1),"")</f>
        <v/>
      </c>
    </row>
    <row r="597">
      <c r="A597" t="inlineStr">
        <is>
          <t>5674177803</t>
        </is>
      </c>
      <c r="B597" t="inlineStr">
        <is>
          <t>B &amp; R TILES INC</t>
        </is>
      </c>
      <c r="C597" t="inlineStr">
        <is>
          <t>B &amp; R TILES INC</t>
        </is>
      </c>
      <c r="D597" t="inlineStr">
        <is>
          <t>Legal</t>
        </is>
      </c>
      <c r="E597" s="297" t="n">
        <v>46057</v>
      </c>
      <c r="F597" s="297" t="n">
        <v>46176</v>
      </c>
      <c r="G597" t="n">
        <v>3</v>
      </c>
      <c r="H597" t="inlineStr">
        <is>
          <t>1521</t>
        </is>
      </c>
      <c r="I597" t="inlineStr">
        <is>
          <t>15</t>
        </is>
      </c>
      <c r="J597" t="inlineStr">
        <is>
          <t>FL</t>
        </is>
      </c>
      <c r="K597" t="inlineStr">
        <is>
          <t>Ballicci</t>
        </is>
      </c>
      <c r="L597" t="inlineStr">
        <is>
          <t>New Deal</t>
        </is>
      </c>
      <c r="M597" s="298" t="n">
        <v>1.49</v>
      </c>
      <c r="N597" s="299" t="n">
        <v>33000</v>
      </c>
      <c r="O597" s="299" t="n">
        <v>0</v>
      </c>
      <c r="P597" s="299" t="n">
        <v>49170</v>
      </c>
      <c r="Q597" s="299" t="n">
        <v>5848.18</v>
      </c>
      <c r="R597" s="299" t="n">
        <v>43321.82</v>
      </c>
      <c r="S597" s="300" t="n">
        <v>0.118937970307098</v>
      </c>
      <c r="T597" t="n">
        <v>24</v>
      </c>
      <c r="U597" t="n">
        <v>7</v>
      </c>
      <c r="V597" t="n">
        <v>55343.53</v>
      </c>
      <c r="W597" s="300" t="n">
        <v>0.1481</v>
      </c>
      <c r="X597" s="297" t="n">
        <v>45004</v>
      </c>
      <c r="Y597">
        <f>IF(I597="","No SIC",IFERROR(VLOOKUP(I597,Ref!$A$2:$B$65,2,FALSE),"Unclassified"))</f>
        <v/>
      </c>
      <c r="Z597">
        <f>IF(T597="","",IF(T597&lt;12,"Daily","Weekly"))</f>
        <v/>
      </c>
      <c r="AA597">
        <f>IF(T597="",0,IF(T597&lt;12,T597*Controls!$B$29,T597*5))</f>
        <v/>
      </c>
      <c r="AB597">
        <f>IF(E597="",0,NETWORKDAYS(E597,Controls!$B$36,Ref!$K$2:$K$42))</f>
        <v/>
      </c>
      <c r="AC597">
        <f>IF(AND(AA597&gt;0,AB597&gt;=Controls!$B$39*AA597),1,0)</f>
        <v/>
      </c>
      <c r="AD597">
        <f>IF(AND(E597&lt;&gt;"",E597&gt;=Controls!$B$37,E597&lt;=Controls!$B$38),1,0)</f>
        <v/>
      </c>
      <c r="AE597">
        <f>IF(IFERROR(VLOOKUP(D597,Controls!$A$64:$E$74,2,FALSE),"No")="Yes",1,0)</f>
        <v/>
      </c>
      <c r="AF597">
        <f>IF(IFERROR(VLOOKUP(D597,Controls!$A$64:$E$74,3,FALSE),"No")="Yes",1,0)</f>
        <v/>
      </c>
      <c r="AG597">
        <f>IF(IFERROR(VLOOKUP(D597,Controls!$A$64:$E$74,4,FALSE),"No")="Yes",1,0)</f>
        <v/>
      </c>
      <c r="AH597">
        <f>IF(IFERROR(VLOOKUP(D597,Controls!$A$64:$E$74,5,FALSE),"No")="Yes",1,0)</f>
        <v/>
      </c>
      <c r="AI597">
        <f>IF(ISNUMBER(MATCH(D597,Controls!$A$64:$A$74,0)),1,0)</f>
        <v/>
      </c>
      <c r="AJ597">
        <f>Q597-N597</f>
        <v/>
      </c>
      <c r="AK597">
        <f>IF(AE597=1,MAX(0,N597-Q597),0)</f>
        <v/>
      </c>
      <c r="AL597">
        <f>IF(OR(V597="",V597=0),0,N597/V597)</f>
        <v/>
      </c>
      <c r="AM597">
        <f>IF(OR(V597="",V597=0),0,1)</f>
        <v/>
      </c>
      <c r="AN597">
        <f>IF(OR(E597="",F597=""),0,NETWORKDAYS(E597,F597,Ref!$K$2:$K$42))</f>
        <v/>
      </c>
      <c r="AO597">
        <f>IF(L597="Renewal",1,0)</f>
        <v/>
      </c>
      <c r="AP597">
        <f>AC597*AD597</f>
        <v/>
      </c>
      <c r="AQ597">
        <f>IF(AND(G597&lt;&gt;"",'Historical Score'!$C$6&lt;&gt;""),IF(G597='Historical Score'!$C$6,1,0),0)</f>
        <v/>
      </c>
      <c r="AR597">
        <f>IF(AND(L597&lt;&gt;"",'Historical Score'!$C$5&lt;&gt;""),IF(L597='Historical Score'!$C$5,1,0),0)</f>
        <v/>
      </c>
      <c r="AS597">
        <f>IF(AND(Y597&lt;&gt;"",'Historical Score'!$C$7&lt;&gt;""),IF(Y597='Historical Score'!$C$7,1,0),0)</f>
        <v/>
      </c>
      <c r="AT597">
        <f>IF(AND(K597&lt;&gt;"",'Historical Score'!$C$8&lt;&gt;""),IF(K597='Historical Score'!$C$8,1,0),0)</f>
        <v/>
      </c>
      <c r="AU597">
        <f>IF(AND(J597&lt;&gt;"",'Historical Score'!$C$9&lt;&gt;""),IF(J597='Historical Score'!$C$9,1,0),0)</f>
        <v/>
      </c>
      <c r="AV597">
        <f>AR597*AS597*AQ597</f>
        <v/>
      </c>
      <c r="AW597">
        <f>AR597*AT597*AQ597</f>
        <v/>
      </c>
      <c r="AX597">
        <f>AR597*AS597</f>
        <v/>
      </c>
      <c r="AY597">
        <f>AR597*AT597</f>
        <v/>
      </c>
      <c r="AZ597">
        <f>AR597*AQ597</f>
        <v/>
      </c>
      <c r="BA597">
        <f>AR597</f>
        <v/>
      </c>
      <c r="BB597">
        <f>1</f>
        <v/>
      </c>
      <c r="BC597">
        <f>IF(AV597=1,1,IF(AW597=1,2,IF(AX597=1,3,IF(AY597=1,4,IF(AZ597=1,5,IF(BA597=1,6,7))))))</f>
        <v/>
      </c>
      <c r="BD597">
        <f>IF(AD597=1,CHOOSE('Historical Score'!$C$29,AV597,AW597,AX597,AY597,AZ597,BA597,BB597),0)</f>
        <v/>
      </c>
      <c r="BE597">
        <f>IF(BD597=1,COUNTIF($BD$2:BD597,1),"")</f>
        <v/>
      </c>
    </row>
    <row r="598">
      <c r="A598" t="inlineStr">
        <is>
          <t>5674177806</t>
        </is>
      </c>
      <c r="B598" t="inlineStr">
        <is>
          <t>Paul Davis Restoration</t>
        </is>
      </c>
      <c r="C598" t="inlineStr">
        <is>
          <t>DJSO Enterprises LLC</t>
        </is>
      </c>
      <c r="D598" t="inlineStr">
        <is>
          <t>Closed</t>
        </is>
      </c>
      <c r="E598" s="297" t="n">
        <v>46057</v>
      </c>
      <c r="F598" s="297" t="n">
        <v>46085</v>
      </c>
      <c r="G598" t="n">
        <v>3</v>
      </c>
      <c r="H598" t="inlineStr">
        <is>
          <t>1521</t>
        </is>
      </c>
      <c r="I598" t="inlineStr">
        <is>
          <t>15</t>
        </is>
      </c>
      <c r="J598" t="inlineStr">
        <is>
          <t>TX</t>
        </is>
      </c>
      <c r="K598" t="inlineStr">
        <is>
          <t>Viking Funding LLC</t>
        </is>
      </c>
      <c r="L598" t="inlineStr">
        <is>
          <t>New Deal</t>
        </is>
      </c>
      <c r="M598" s="298" t="n">
        <v>1.293912</v>
      </c>
      <c r="N598" s="299" t="n">
        <v>30000</v>
      </c>
      <c r="O598" s="299" t="n">
        <v>3300</v>
      </c>
      <c r="P598" s="299" t="n">
        <v>38817.36</v>
      </c>
      <c r="Q598" s="299" t="n">
        <v>38817.36</v>
      </c>
      <c r="R598" s="299" t="n">
        <v>0</v>
      </c>
      <c r="S598" s="300" t="n">
        <v>1</v>
      </c>
      <c r="T598" t="n">
        <v>28</v>
      </c>
      <c r="U598" t="n">
        <v>0</v>
      </c>
      <c r="V598" t="n">
        <v>87663.42999999999</v>
      </c>
      <c r="W598" s="300" t="n">
        <v>0.0699</v>
      </c>
      <c r="X598" s="297" t="n">
        <v>45089</v>
      </c>
      <c r="Y598">
        <f>IF(I598="","No SIC",IFERROR(VLOOKUP(I598,Ref!$A$2:$B$65,2,FALSE),"Unclassified"))</f>
        <v/>
      </c>
      <c r="Z598">
        <f>IF(T598="","",IF(T598&lt;12,"Daily","Weekly"))</f>
        <v/>
      </c>
      <c r="AA598">
        <f>IF(T598="",0,IF(T598&lt;12,T598*Controls!$B$29,T598*5))</f>
        <v/>
      </c>
      <c r="AB598">
        <f>IF(E598="",0,NETWORKDAYS(E598,Controls!$B$36,Ref!$K$2:$K$42))</f>
        <v/>
      </c>
      <c r="AC598">
        <f>IF(AND(AA598&gt;0,AB598&gt;=Controls!$B$39*AA598),1,0)</f>
        <v/>
      </c>
      <c r="AD598">
        <f>IF(AND(E598&lt;&gt;"",E598&gt;=Controls!$B$37,E598&lt;=Controls!$B$38),1,0)</f>
        <v/>
      </c>
      <c r="AE598">
        <f>IF(IFERROR(VLOOKUP(D598,Controls!$A$64:$E$74,2,FALSE),"No")="Yes",1,0)</f>
        <v/>
      </c>
      <c r="AF598">
        <f>IF(IFERROR(VLOOKUP(D598,Controls!$A$64:$E$74,3,FALSE),"No")="Yes",1,0)</f>
        <v/>
      </c>
      <c r="AG598">
        <f>IF(IFERROR(VLOOKUP(D598,Controls!$A$64:$E$74,4,FALSE),"No")="Yes",1,0)</f>
        <v/>
      </c>
      <c r="AH598">
        <f>IF(IFERROR(VLOOKUP(D598,Controls!$A$64:$E$74,5,FALSE),"No")="Yes",1,0)</f>
        <v/>
      </c>
      <c r="AI598">
        <f>IF(ISNUMBER(MATCH(D598,Controls!$A$64:$A$74,0)),1,0)</f>
        <v/>
      </c>
      <c r="AJ598">
        <f>Q598-N598</f>
        <v/>
      </c>
      <c r="AK598">
        <f>IF(AE598=1,MAX(0,N598-Q598),0)</f>
        <v/>
      </c>
      <c r="AL598">
        <f>IF(OR(V598="",V598=0),0,N598/V598)</f>
        <v/>
      </c>
      <c r="AM598">
        <f>IF(OR(V598="",V598=0),0,1)</f>
        <v/>
      </c>
      <c r="AN598">
        <f>IF(OR(E598="",F598=""),0,NETWORKDAYS(E598,F598,Ref!$K$2:$K$42))</f>
        <v/>
      </c>
      <c r="AO598">
        <f>IF(L598="Renewal",1,0)</f>
        <v/>
      </c>
      <c r="AP598">
        <f>AC598*AD598</f>
        <v/>
      </c>
      <c r="AQ598">
        <f>IF(AND(G598&lt;&gt;"",'Historical Score'!$C$6&lt;&gt;""),IF(G598='Historical Score'!$C$6,1,0),0)</f>
        <v/>
      </c>
      <c r="AR598">
        <f>IF(AND(L598&lt;&gt;"",'Historical Score'!$C$5&lt;&gt;""),IF(L598='Historical Score'!$C$5,1,0),0)</f>
        <v/>
      </c>
      <c r="AS598">
        <f>IF(AND(Y598&lt;&gt;"",'Historical Score'!$C$7&lt;&gt;""),IF(Y598='Historical Score'!$C$7,1,0),0)</f>
        <v/>
      </c>
      <c r="AT598">
        <f>IF(AND(K598&lt;&gt;"",'Historical Score'!$C$8&lt;&gt;""),IF(K598='Historical Score'!$C$8,1,0),0)</f>
        <v/>
      </c>
      <c r="AU598">
        <f>IF(AND(J598&lt;&gt;"",'Historical Score'!$C$9&lt;&gt;""),IF(J598='Historical Score'!$C$9,1,0),0)</f>
        <v/>
      </c>
      <c r="AV598">
        <f>AR598*AS598*AQ598</f>
        <v/>
      </c>
      <c r="AW598">
        <f>AR598*AT598*AQ598</f>
        <v/>
      </c>
      <c r="AX598">
        <f>AR598*AS598</f>
        <v/>
      </c>
      <c r="AY598">
        <f>AR598*AT598</f>
        <v/>
      </c>
      <c r="AZ598">
        <f>AR598*AQ598</f>
        <v/>
      </c>
      <c r="BA598">
        <f>AR598</f>
        <v/>
      </c>
      <c r="BB598">
        <f>1</f>
        <v/>
      </c>
      <c r="BC598">
        <f>IF(AV598=1,1,IF(AW598=1,2,IF(AX598=1,3,IF(AY598=1,4,IF(AZ598=1,5,IF(BA598=1,6,7))))))</f>
        <v/>
      </c>
      <c r="BD598">
        <f>IF(AD598=1,CHOOSE('Historical Score'!$C$29,AV598,AW598,AX598,AY598,AZ598,BA598,BB598),0)</f>
        <v/>
      </c>
      <c r="BE598">
        <f>IF(BD598=1,COUNTIF($BD$2:BD598,1),"")</f>
        <v/>
      </c>
    </row>
    <row r="599">
      <c r="A599" t="inlineStr">
        <is>
          <t>5674177859</t>
        </is>
      </c>
      <c r="B599" t="inlineStr">
        <is>
          <t>PEPE LOGISTICS LLC</t>
        </is>
      </c>
      <c r="C599" t="inlineStr">
        <is>
          <t>PEPE LOGISTICS LLC</t>
        </is>
      </c>
      <c r="D599" t="inlineStr">
        <is>
          <t>Lowered Payments</t>
        </is>
      </c>
      <c r="E599" s="297" t="n">
        <v>46057</v>
      </c>
      <c r="F599" s="297" t="n">
        <v>46248</v>
      </c>
      <c r="G599" t="n">
        <v>3</v>
      </c>
      <c r="H599" t="inlineStr">
        <is>
          <t>4212</t>
        </is>
      </c>
      <c r="I599" t="inlineStr">
        <is>
          <t>42</t>
        </is>
      </c>
      <c r="J599" t="inlineStr">
        <is>
          <t>TN</t>
        </is>
      </c>
      <c r="K599" t="inlineStr">
        <is>
          <t>Ballicci</t>
        </is>
      </c>
      <c r="L599" t="inlineStr">
        <is>
          <t>New Deal</t>
        </is>
      </c>
      <c r="M599" s="298" t="n">
        <v>1.49</v>
      </c>
      <c r="N599" s="299" t="n">
        <v>35000</v>
      </c>
      <c r="O599" s="299" t="n">
        <v>4900</v>
      </c>
      <c r="P599" s="299" t="n">
        <v>52150</v>
      </c>
      <c r="Q599" s="299" t="n">
        <v>9503.18</v>
      </c>
      <c r="R599" s="299" t="n">
        <v>42646.82</v>
      </c>
      <c r="S599" s="300" t="n">
        <v>0.182227804410355</v>
      </c>
      <c r="T599" t="n">
        <v>24</v>
      </c>
      <c r="U599" t="n">
        <v>11</v>
      </c>
      <c r="V599" t="n">
        <v>74919.96000000001</v>
      </c>
      <c r="W599" s="300" t="n">
        <v>0.116</v>
      </c>
      <c r="X599" s="297" t="n">
        <v>44638</v>
      </c>
      <c r="Y599">
        <f>IF(I599="","No SIC",IFERROR(VLOOKUP(I599,Ref!$A$2:$B$65,2,FALSE),"Unclassified"))</f>
        <v/>
      </c>
      <c r="Z599">
        <f>IF(T599="","",IF(T599&lt;12,"Daily","Weekly"))</f>
        <v/>
      </c>
      <c r="AA599">
        <f>IF(T599="",0,IF(T599&lt;12,T599*Controls!$B$29,T599*5))</f>
        <v/>
      </c>
      <c r="AB599">
        <f>IF(E599="",0,NETWORKDAYS(E599,Controls!$B$36,Ref!$K$2:$K$42))</f>
        <v/>
      </c>
      <c r="AC599">
        <f>IF(AND(AA599&gt;0,AB599&gt;=Controls!$B$39*AA599),1,0)</f>
        <v/>
      </c>
      <c r="AD599">
        <f>IF(AND(E599&lt;&gt;"",E599&gt;=Controls!$B$37,E599&lt;=Controls!$B$38),1,0)</f>
        <v/>
      </c>
      <c r="AE599">
        <f>IF(IFERROR(VLOOKUP(D599,Controls!$A$64:$E$74,2,FALSE),"No")="Yes",1,0)</f>
        <v/>
      </c>
      <c r="AF599">
        <f>IF(IFERROR(VLOOKUP(D599,Controls!$A$64:$E$74,3,FALSE),"No")="Yes",1,0)</f>
        <v/>
      </c>
      <c r="AG599">
        <f>IF(IFERROR(VLOOKUP(D599,Controls!$A$64:$E$74,4,FALSE),"No")="Yes",1,0)</f>
        <v/>
      </c>
      <c r="AH599">
        <f>IF(IFERROR(VLOOKUP(D599,Controls!$A$64:$E$74,5,FALSE),"No")="Yes",1,0)</f>
        <v/>
      </c>
      <c r="AI599">
        <f>IF(ISNUMBER(MATCH(D599,Controls!$A$64:$A$74,0)),1,0)</f>
        <v/>
      </c>
      <c r="AJ599">
        <f>Q599-N599</f>
        <v/>
      </c>
      <c r="AK599">
        <f>IF(AE599=1,MAX(0,N599-Q599),0)</f>
        <v/>
      </c>
      <c r="AL599">
        <f>IF(OR(V599="",V599=0),0,N599/V599)</f>
        <v/>
      </c>
      <c r="AM599">
        <f>IF(OR(V599="",V599=0),0,1)</f>
        <v/>
      </c>
      <c r="AN599">
        <f>IF(OR(E599="",F599=""),0,NETWORKDAYS(E599,F599,Ref!$K$2:$K$42))</f>
        <v/>
      </c>
      <c r="AO599">
        <f>IF(L599="Renewal",1,0)</f>
        <v/>
      </c>
      <c r="AP599">
        <f>AC599*AD599</f>
        <v/>
      </c>
      <c r="AQ599">
        <f>IF(AND(G599&lt;&gt;"",'Historical Score'!$C$6&lt;&gt;""),IF(G599='Historical Score'!$C$6,1,0),0)</f>
        <v/>
      </c>
      <c r="AR599">
        <f>IF(AND(L599&lt;&gt;"",'Historical Score'!$C$5&lt;&gt;""),IF(L599='Historical Score'!$C$5,1,0),0)</f>
        <v/>
      </c>
      <c r="AS599">
        <f>IF(AND(Y599&lt;&gt;"",'Historical Score'!$C$7&lt;&gt;""),IF(Y599='Historical Score'!$C$7,1,0),0)</f>
        <v/>
      </c>
      <c r="AT599">
        <f>IF(AND(K599&lt;&gt;"",'Historical Score'!$C$8&lt;&gt;""),IF(K599='Historical Score'!$C$8,1,0),0)</f>
        <v/>
      </c>
      <c r="AU599">
        <f>IF(AND(J599&lt;&gt;"",'Historical Score'!$C$9&lt;&gt;""),IF(J599='Historical Score'!$C$9,1,0),0)</f>
        <v/>
      </c>
      <c r="AV599">
        <f>AR599*AS599*AQ599</f>
        <v/>
      </c>
      <c r="AW599">
        <f>AR599*AT599*AQ599</f>
        <v/>
      </c>
      <c r="AX599">
        <f>AR599*AS599</f>
        <v/>
      </c>
      <c r="AY599">
        <f>AR599*AT599</f>
        <v/>
      </c>
      <c r="AZ599">
        <f>AR599*AQ599</f>
        <v/>
      </c>
      <c r="BA599">
        <f>AR599</f>
        <v/>
      </c>
      <c r="BB599">
        <f>1</f>
        <v/>
      </c>
      <c r="BC599">
        <f>IF(AV599=1,1,IF(AW599=1,2,IF(AX599=1,3,IF(AY599=1,4,IF(AZ599=1,5,IF(BA599=1,6,7))))))</f>
        <v/>
      </c>
      <c r="BD599">
        <f>IF(AD599=1,CHOOSE('Historical Score'!$C$29,AV599,AW599,AX599,AY599,AZ599,BA599,BB599),0)</f>
        <v/>
      </c>
      <c r="BE599">
        <f>IF(BD599=1,COUNTIF($BD$2:BD599,1),"")</f>
        <v/>
      </c>
    </row>
    <row r="600">
      <c r="A600" t="inlineStr">
        <is>
          <t>5674177863</t>
        </is>
      </c>
      <c r="B600" t="inlineStr">
        <is>
          <t>JIMMY IN THE HOUSE SERVICES LLC</t>
        </is>
      </c>
      <c r="C600" t="inlineStr">
        <is>
          <t>JIMMY IN THE HOUSE SERVICES LLC</t>
        </is>
      </c>
      <c r="D600" t="inlineStr">
        <is>
          <t>Closed</t>
        </is>
      </c>
      <c r="E600" s="297" t="n">
        <v>46057</v>
      </c>
      <c r="F600" s="297" t="n">
        <v>46133</v>
      </c>
      <c r="G600" t="n">
        <v>3</v>
      </c>
      <c r="H600" t="inlineStr">
        <is>
          <t>7217</t>
        </is>
      </c>
      <c r="I600" t="inlineStr">
        <is>
          <t>72</t>
        </is>
      </c>
      <c r="J600" t="inlineStr">
        <is>
          <t>KS</t>
        </is>
      </c>
      <c r="K600" t="inlineStr">
        <is>
          <t>level 3 funding</t>
        </is>
      </c>
      <c r="L600" t="inlineStr">
        <is>
          <t>New Deal</t>
        </is>
      </c>
      <c r="M600" s="298" t="n">
        <v>1.49</v>
      </c>
      <c r="N600" s="299" t="n">
        <v>5000</v>
      </c>
      <c r="O600" s="299" t="n">
        <v>700</v>
      </c>
      <c r="P600" s="299" t="n">
        <v>7450</v>
      </c>
      <c r="Q600" s="299" t="n">
        <v>7450</v>
      </c>
      <c r="R600" s="299" t="n">
        <v>0</v>
      </c>
      <c r="S600" s="300" t="n">
        <v>1</v>
      </c>
      <c r="T600" t="n">
        <v>2.623</v>
      </c>
      <c r="U600" t="n">
        <v>4</v>
      </c>
      <c r="V600" t="n">
        <v>42250.45</v>
      </c>
      <c r="W600" s="300" t="n">
        <v>0.0463</v>
      </c>
      <c r="X600" s="297" t="n">
        <v>44289</v>
      </c>
      <c r="Y600">
        <f>IF(I600="","No SIC",IFERROR(VLOOKUP(I600,Ref!$A$2:$B$65,2,FALSE),"Unclassified"))</f>
        <v/>
      </c>
      <c r="Z600">
        <f>IF(T600="","",IF(T600&lt;12,"Daily","Weekly"))</f>
        <v/>
      </c>
      <c r="AA600">
        <f>IF(T600="",0,IF(T600&lt;12,T600*Controls!$B$29,T600*5))</f>
        <v/>
      </c>
      <c r="AB600">
        <f>IF(E600="",0,NETWORKDAYS(E600,Controls!$B$36,Ref!$K$2:$K$42))</f>
        <v/>
      </c>
      <c r="AC600">
        <f>IF(AND(AA600&gt;0,AB600&gt;=Controls!$B$39*AA600),1,0)</f>
        <v/>
      </c>
      <c r="AD600">
        <f>IF(AND(E600&lt;&gt;"",E600&gt;=Controls!$B$37,E600&lt;=Controls!$B$38),1,0)</f>
        <v/>
      </c>
      <c r="AE600">
        <f>IF(IFERROR(VLOOKUP(D600,Controls!$A$64:$E$74,2,FALSE),"No")="Yes",1,0)</f>
        <v/>
      </c>
      <c r="AF600">
        <f>IF(IFERROR(VLOOKUP(D600,Controls!$A$64:$E$74,3,FALSE),"No")="Yes",1,0)</f>
        <v/>
      </c>
      <c r="AG600">
        <f>IF(IFERROR(VLOOKUP(D600,Controls!$A$64:$E$74,4,FALSE),"No")="Yes",1,0)</f>
        <v/>
      </c>
      <c r="AH600">
        <f>IF(IFERROR(VLOOKUP(D600,Controls!$A$64:$E$74,5,FALSE),"No")="Yes",1,0)</f>
        <v/>
      </c>
      <c r="AI600">
        <f>IF(ISNUMBER(MATCH(D600,Controls!$A$64:$A$74,0)),1,0)</f>
        <v/>
      </c>
      <c r="AJ600">
        <f>Q600-N600</f>
        <v/>
      </c>
      <c r="AK600">
        <f>IF(AE600=1,MAX(0,N600-Q600),0)</f>
        <v/>
      </c>
      <c r="AL600">
        <f>IF(OR(V600="",V600=0),0,N600/V600)</f>
        <v/>
      </c>
      <c r="AM600">
        <f>IF(OR(V600="",V600=0),0,1)</f>
        <v/>
      </c>
      <c r="AN600">
        <f>IF(OR(E600="",F600=""),0,NETWORKDAYS(E600,F600,Ref!$K$2:$K$42))</f>
        <v/>
      </c>
      <c r="AO600">
        <f>IF(L600="Renewal",1,0)</f>
        <v/>
      </c>
      <c r="AP600">
        <f>AC600*AD600</f>
        <v/>
      </c>
      <c r="AQ600">
        <f>IF(AND(G600&lt;&gt;"",'Historical Score'!$C$6&lt;&gt;""),IF(G600='Historical Score'!$C$6,1,0),0)</f>
        <v/>
      </c>
      <c r="AR600">
        <f>IF(AND(L600&lt;&gt;"",'Historical Score'!$C$5&lt;&gt;""),IF(L600='Historical Score'!$C$5,1,0),0)</f>
        <v/>
      </c>
      <c r="AS600">
        <f>IF(AND(Y600&lt;&gt;"",'Historical Score'!$C$7&lt;&gt;""),IF(Y600='Historical Score'!$C$7,1,0),0)</f>
        <v/>
      </c>
      <c r="AT600">
        <f>IF(AND(K600&lt;&gt;"",'Historical Score'!$C$8&lt;&gt;""),IF(K600='Historical Score'!$C$8,1,0),0)</f>
        <v/>
      </c>
      <c r="AU600">
        <f>IF(AND(J600&lt;&gt;"",'Historical Score'!$C$9&lt;&gt;""),IF(J600='Historical Score'!$C$9,1,0),0)</f>
        <v/>
      </c>
      <c r="AV600">
        <f>AR600*AS600*AQ600</f>
        <v/>
      </c>
      <c r="AW600">
        <f>AR600*AT600*AQ600</f>
        <v/>
      </c>
      <c r="AX600">
        <f>AR600*AS600</f>
        <v/>
      </c>
      <c r="AY600">
        <f>AR600*AT600</f>
        <v/>
      </c>
      <c r="AZ600">
        <f>AR600*AQ600</f>
        <v/>
      </c>
      <c r="BA600">
        <f>AR600</f>
        <v/>
      </c>
      <c r="BB600">
        <f>1</f>
        <v/>
      </c>
      <c r="BC600">
        <f>IF(AV600=1,1,IF(AW600=1,2,IF(AX600=1,3,IF(AY600=1,4,IF(AZ600=1,5,IF(BA600=1,6,7))))))</f>
        <v/>
      </c>
      <c r="BD600">
        <f>IF(AD600=1,CHOOSE('Historical Score'!$C$29,AV600,AW600,AX600,AY600,AZ600,BA600,BB600),0)</f>
        <v/>
      </c>
      <c r="BE600">
        <f>IF(BD600=1,COUNTIF($BD$2:BD600,1),"")</f>
        <v/>
      </c>
    </row>
    <row r="601">
      <c r="A601" t="inlineStr">
        <is>
          <t>5674177893</t>
        </is>
      </c>
      <c r="B601" t="inlineStr">
        <is>
          <t>MAPULA LOGISTICS LLC</t>
        </is>
      </c>
      <c r="C601" t="inlineStr">
        <is>
          <t>MAPULA LOGISTICS LLC</t>
        </is>
      </c>
      <c r="D601" t="inlineStr">
        <is>
          <t>Closed</t>
        </is>
      </c>
      <c r="E601" s="297" t="n">
        <v>46057</v>
      </c>
      <c r="F601" s="297" t="n">
        <v>46153</v>
      </c>
      <c r="G601" t="n">
        <v>3</v>
      </c>
      <c r="H601" t="inlineStr">
        <is>
          <t>4212</t>
        </is>
      </c>
      <c r="I601" t="inlineStr">
        <is>
          <t>42</t>
        </is>
      </c>
      <c r="J601" t="inlineStr">
        <is>
          <t>FL</t>
        </is>
      </c>
      <c r="K601" t="inlineStr">
        <is>
          <t>DIRECT CAPITAL SOURCE, INC.</t>
        </is>
      </c>
      <c r="L601" t="inlineStr">
        <is>
          <t>New Deal</t>
        </is>
      </c>
      <c r="M601" s="298" t="n">
        <v>1.49</v>
      </c>
      <c r="N601" s="299" t="n">
        <v>20000</v>
      </c>
      <c r="O601" s="299" t="n">
        <v>2800</v>
      </c>
      <c r="P601" s="299" t="n">
        <v>29800</v>
      </c>
      <c r="Q601" s="299" t="n">
        <v>29800</v>
      </c>
      <c r="R601" s="299" t="n">
        <v>0</v>
      </c>
      <c r="S601" s="300" t="n">
        <v>1</v>
      </c>
      <c r="T601" t="n">
        <v>3.279</v>
      </c>
      <c r="U601" t="n">
        <v>0</v>
      </c>
      <c r="V601" t="n">
        <v>100887.92</v>
      </c>
      <c r="W601" s="300" t="n">
        <v>0.062</v>
      </c>
      <c r="X601" s="297" t="n">
        <v>44019</v>
      </c>
      <c r="Y601">
        <f>IF(I601="","No SIC",IFERROR(VLOOKUP(I601,Ref!$A$2:$B$65,2,FALSE),"Unclassified"))</f>
        <v/>
      </c>
      <c r="Z601">
        <f>IF(T601="","",IF(T601&lt;12,"Daily","Weekly"))</f>
        <v/>
      </c>
      <c r="AA601">
        <f>IF(T601="",0,IF(T601&lt;12,T601*Controls!$B$29,T601*5))</f>
        <v/>
      </c>
      <c r="AB601">
        <f>IF(E601="",0,NETWORKDAYS(E601,Controls!$B$36,Ref!$K$2:$K$42))</f>
        <v/>
      </c>
      <c r="AC601">
        <f>IF(AND(AA601&gt;0,AB601&gt;=Controls!$B$39*AA601),1,0)</f>
        <v/>
      </c>
      <c r="AD601">
        <f>IF(AND(E601&lt;&gt;"",E601&gt;=Controls!$B$37,E601&lt;=Controls!$B$38),1,0)</f>
        <v/>
      </c>
      <c r="AE601">
        <f>IF(IFERROR(VLOOKUP(D601,Controls!$A$64:$E$74,2,FALSE),"No")="Yes",1,0)</f>
        <v/>
      </c>
      <c r="AF601">
        <f>IF(IFERROR(VLOOKUP(D601,Controls!$A$64:$E$74,3,FALSE),"No")="Yes",1,0)</f>
        <v/>
      </c>
      <c r="AG601">
        <f>IF(IFERROR(VLOOKUP(D601,Controls!$A$64:$E$74,4,FALSE),"No")="Yes",1,0)</f>
        <v/>
      </c>
      <c r="AH601">
        <f>IF(IFERROR(VLOOKUP(D601,Controls!$A$64:$E$74,5,FALSE),"No")="Yes",1,0)</f>
        <v/>
      </c>
      <c r="AI601">
        <f>IF(ISNUMBER(MATCH(D601,Controls!$A$64:$A$74,0)),1,0)</f>
        <v/>
      </c>
      <c r="AJ601">
        <f>Q601-N601</f>
        <v/>
      </c>
      <c r="AK601">
        <f>IF(AE601=1,MAX(0,N601-Q601),0)</f>
        <v/>
      </c>
      <c r="AL601">
        <f>IF(OR(V601="",V601=0),0,N601/V601)</f>
        <v/>
      </c>
      <c r="AM601">
        <f>IF(OR(V601="",V601=0),0,1)</f>
        <v/>
      </c>
      <c r="AN601">
        <f>IF(OR(E601="",F601=""),0,NETWORKDAYS(E601,F601,Ref!$K$2:$K$42))</f>
        <v/>
      </c>
      <c r="AO601">
        <f>IF(L601="Renewal",1,0)</f>
        <v/>
      </c>
      <c r="AP601">
        <f>AC601*AD601</f>
        <v/>
      </c>
      <c r="AQ601">
        <f>IF(AND(G601&lt;&gt;"",'Historical Score'!$C$6&lt;&gt;""),IF(G601='Historical Score'!$C$6,1,0),0)</f>
        <v/>
      </c>
      <c r="AR601">
        <f>IF(AND(L601&lt;&gt;"",'Historical Score'!$C$5&lt;&gt;""),IF(L601='Historical Score'!$C$5,1,0),0)</f>
        <v/>
      </c>
      <c r="AS601">
        <f>IF(AND(Y601&lt;&gt;"",'Historical Score'!$C$7&lt;&gt;""),IF(Y601='Historical Score'!$C$7,1,0),0)</f>
        <v/>
      </c>
      <c r="AT601">
        <f>IF(AND(K601&lt;&gt;"",'Historical Score'!$C$8&lt;&gt;""),IF(K601='Historical Score'!$C$8,1,0),0)</f>
        <v/>
      </c>
      <c r="AU601">
        <f>IF(AND(J601&lt;&gt;"",'Historical Score'!$C$9&lt;&gt;""),IF(J601='Historical Score'!$C$9,1,0),0)</f>
        <v/>
      </c>
      <c r="AV601">
        <f>AR601*AS601*AQ601</f>
        <v/>
      </c>
      <c r="AW601">
        <f>AR601*AT601*AQ601</f>
        <v/>
      </c>
      <c r="AX601">
        <f>AR601*AS601</f>
        <v/>
      </c>
      <c r="AY601">
        <f>AR601*AT601</f>
        <v/>
      </c>
      <c r="AZ601">
        <f>AR601*AQ601</f>
        <v/>
      </c>
      <c r="BA601">
        <f>AR601</f>
        <v/>
      </c>
      <c r="BB601">
        <f>1</f>
        <v/>
      </c>
      <c r="BC601">
        <f>IF(AV601=1,1,IF(AW601=1,2,IF(AX601=1,3,IF(AY601=1,4,IF(AZ601=1,5,IF(BA601=1,6,7))))))</f>
        <v/>
      </c>
      <c r="BD601">
        <f>IF(AD601=1,CHOOSE('Historical Score'!$C$29,AV601,AW601,AX601,AY601,AZ601,BA601,BB601),0)</f>
        <v/>
      </c>
      <c r="BE601">
        <f>IF(BD601=1,COUNTIF($BD$2:BD601,1),"")</f>
        <v/>
      </c>
    </row>
    <row r="602">
      <c r="A602" t="inlineStr">
        <is>
          <t>5674177920</t>
        </is>
      </c>
      <c r="B602" t="inlineStr">
        <is>
          <t>SS1 LLC</t>
        </is>
      </c>
      <c r="C602" t="inlineStr">
        <is>
          <t>SS1 LLC</t>
        </is>
      </c>
      <c r="D602" t="inlineStr">
        <is>
          <t>Legal</t>
        </is>
      </c>
      <c r="E602" s="297" t="n">
        <v>46058</v>
      </c>
      <c r="F602" s="297" t="n">
        <v>46168</v>
      </c>
      <c r="G602" t="n">
        <v>2</v>
      </c>
      <c r="H602" t="inlineStr">
        <is>
          <t>5999</t>
        </is>
      </c>
      <c r="I602" t="inlineStr">
        <is>
          <t>59</t>
        </is>
      </c>
      <c r="J602" t="inlineStr">
        <is>
          <t>MS</t>
        </is>
      </c>
      <c r="K602" t="inlineStr">
        <is>
          <t>Fidelity Funding</t>
        </is>
      </c>
      <c r="L602" t="inlineStr">
        <is>
          <t>New Deal</t>
        </is>
      </c>
      <c r="M602" s="298" t="n">
        <v>1.49</v>
      </c>
      <c r="N602" s="299" t="n">
        <v>12000</v>
      </c>
      <c r="O602" s="299" t="n">
        <v>1680</v>
      </c>
      <c r="P602" s="299" t="n">
        <v>17880</v>
      </c>
      <c r="Q602" s="299" t="n">
        <v>4767.84</v>
      </c>
      <c r="R602" s="299" t="n">
        <v>13112.16</v>
      </c>
      <c r="S602" s="300" t="n">
        <v>0.266657718120805</v>
      </c>
      <c r="T602" t="n">
        <v>2.951</v>
      </c>
      <c r="U602" t="n">
        <v>46</v>
      </c>
      <c r="V602" t="n">
        <v>29820.86</v>
      </c>
      <c r="W602" s="300" t="n">
        <v>0.1399</v>
      </c>
      <c r="X602" s="297" t="n">
        <v>44995</v>
      </c>
      <c r="Y602">
        <f>IF(I602="","No SIC",IFERROR(VLOOKUP(I602,Ref!$A$2:$B$65,2,FALSE),"Unclassified"))</f>
        <v/>
      </c>
      <c r="Z602">
        <f>IF(T602="","",IF(T602&lt;12,"Daily","Weekly"))</f>
        <v/>
      </c>
      <c r="AA602">
        <f>IF(T602="",0,IF(T602&lt;12,T602*Controls!$B$29,T602*5))</f>
        <v/>
      </c>
      <c r="AB602">
        <f>IF(E602="",0,NETWORKDAYS(E602,Controls!$B$36,Ref!$K$2:$K$42))</f>
        <v/>
      </c>
      <c r="AC602">
        <f>IF(AND(AA602&gt;0,AB602&gt;=Controls!$B$39*AA602),1,0)</f>
        <v/>
      </c>
      <c r="AD602">
        <f>IF(AND(E602&lt;&gt;"",E602&gt;=Controls!$B$37,E602&lt;=Controls!$B$38),1,0)</f>
        <v/>
      </c>
      <c r="AE602">
        <f>IF(IFERROR(VLOOKUP(D602,Controls!$A$64:$E$74,2,FALSE),"No")="Yes",1,0)</f>
        <v/>
      </c>
      <c r="AF602">
        <f>IF(IFERROR(VLOOKUP(D602,Controls!$A$64:$E$74,3,FALSE),"No")="Yes",1,0)</f>
        <v/>
      </c>
      <c r="AG602">
        <f>IF(IFERROR(VLOOKUP(D602,Controls!$A$64:$E$74,4,FALSE),"No")="Yes",1,0)</f>
        <v/>
      </c>
      <c r="AH602">
        <f>IF(IFERROR(VLOOKUP(D602,Controls!$A$64:$E$74,5,FALSE),"No")="Yes",1,0)</f>
        <v/>
      </c>
      <c r="AI602">
        <f>IF(ISNUMBER(MATCH(D602,Controls!$A$64:$A$74,0)),1,0)</f>
        <v/>
      </c>
      <c r="AJ602">
        <f>Q602-N602</f>
        <v/>
      </c>
      <c r="AK602">
        <f>IF(AE602=1,MAX(0,N602-Q602),0)</f>
        <v/>
      </c>
      <c r="AL602">
        <f>IF(OR(V602="",V602=0),0,N602/V602)</f>
        <v/>
      </c>
      <c r="AM602">
        <f>IF(OR(V602="",V602=0),0,1)</f>
        <v/>
      </c>
      <c r="AN602">
        <f>IF(OR(E602="",F602=""),0,NETWORKDAYS(E602,F602,Ref!$K$2:$K$42))</f>
        <v/>
      </c>
      <c r="AO602">
        <f>IF(L602="Renewal",1,0)</f>
        <v/>
      </c>
      <c r="AP602">
        <f>AC602*AD602</f>
        <v/>
      </c>
      <c r="AQ602">
        <f>IF(AND(G602&lt;&gt;"",'Historical Score'!$C$6&lt;&gt;""),IF(G602='Historical Score'!$C$6,1,0),0)</f>
        <v/>
      </c>
      <c r="AR602">
        <f>IF(AND(L602&lt;&gt;"",'Historical Score'!$C$5&lt;&gt;""),IF(L602='Historical Score'!$C$5,1,0),0)</f>
        <v/>
      </c>
      <c r="AS602">
        <f>IF(AND(Y602&lt;&gt;"",'Historical Score'!$C$7&lt;&gt;""),IF(Y602='Historical Score'!$C$7,1,0),0)</f>
        <v/>
      </c>
      <c r="AT602">
        <f>IF(AND(K602&lt;&gt;"",'Historical Score'!$C$8&lt;&gt;""),IF(K602='Historical Score'!$C$8,1,0),0)</f>
        <v/>
      </c>
      <c r="AU602">
        <f>IF(AND(J602&lt;&gt;"",'Historical Score'!$C$9&lt;&gt;""),IF(J602='Historical Score'!$C$9,1,0),0)</f>
        <v/>
      </c>
      <c r="AV602">
        <f>AR602*AS602*AQ602</f>
        <v/>
      </c>
      <c r="AW602">
        <f>AR602*AT602*AQ602</f>
        <v/>
      </c>
      <c r="AX602">
        <f>AR602*AS602</f>
        <v/>
      </c>
      <c r="AY602">
        <f>AR602*AT602</f>
        <v/>
      </c>
      <c r="AZ602">
        <f>AR602*AQ602</f>
        <v/>
      </c>
      <c r="BA602">
        <f>AR602</f>
        <v/>
      </c>
      <c r="BB602">
        <f>1</f>
        <v/>
      </c>
      <c r="BC602">
        <f>IF(AV602=1,1,IF(AW602=1,2,IF(AX602=1,3,IF(AY602=1,4,IF(AZ602=1,5,IF(BA602=1,6,7))))))</f>
        <v/>
      </c>
      <c r="BD602">
        <f>IF(AD602=1,CHOOSE('Historical Score'!$C$29,AV602,AW602,AX602,AY602,AZ602,BA602,BB602),0)</f>
        <v/>
      </c>
      <c r="BE602">
        <f>IF(BD602=1,COUNTIF($BD$2:BD602,1),"")</f>
        <v/>
      </c>
    </row>
    <row r="603">
      <c r="A603" t="inlineStr">
        <is>
          <t>5674177940</t>
        </is>
      </c>
      <c r="B603" t="inlineStr">
        <is>
          <t>RED ROCK STEAKHOUSE &amp; BAR LLC</t>
        </is>
      </c>
      <c r="C603" t="inlineStr">
        <is>
          <t>RED ROCK STEAKHOUSE &amp; BAR LLC</t>
        </is>
      </c>
      <c r="D603" t="inlineStr">
        <is>
          <t>Open</t>
        </is>
      </c>
      <c r="E603" s="297" t="n">
        <v>46058</v>
      </c>
      <c r="F603" s="297" t="n">
        <v>46251</v>
      </c>
      <c r="G603" t="n">
        <v>2</v>
      </c>
      <c r="H603" t="inlineStr">
        <is>
          <t>5812</t>
        </is>
      </c>
      <c r="I603" t="inlineStr">
        <is>
          <t>58</t>
        </is>
      </c>
      <c r="J603" t="inlineStr">
        <is>
          <t>TX</t>
        </is>
      </c>
      <c r="K603" t="inlineStr">
        <is>
          <t>Westwood</t>
        </is>
      </c>
      <c r="L603" t="inlineStr">
        <is>
          <t>New Deal</t>
        </is>
      </c>
      <c r="M603" s="298" t="n">
        <v>1.35</v>
      </c>
      <c r="N603" s="299" t="n">
        <v>25000</v>
      </c>
      <c r="O603" s="299" t="n">
        <v>1750</v>
      </c>
      <c r="P603" s="299" t="n">
        <v>33750</v>
      </c>
      <c r="Q603" s="299" t="n">
        <v>30927.38</v>
      </c>
      <c r="R603" s="299" t="n">
        <v>2822.62</v>
      </c>
      <c r="S603" s="300" t="n">
        <v>0.916366814814815</v>
      </c>
      <c r="T603" t="n">
        <v>24</v>
      </c>
      <c r="U603" t="n">
        <v>5</v>
      </c>
      <c r="V603" t="n">
        <v>65999.5</v>
      </c>
      <c r="W603" s="300" t="n">
        <v>0.0852</v>
      </c>
      <c r="X603" s="297" t="n"/>
      <c r="Y603">
        <f>IF(I603="","No SIC",IFERROR(VLOOKUP(I603,Ref!$A$2:$B$65,2,FALSE),"Unclassified"))</f>
        <v/>
      </c>
      <c r="Z603">
        <f>IF(T603="","",IF(T603&lt;12,"Daily","Weekly"))</f>
        <v/>
      </c>
      <c r="AA603">
        <f>IF(T603="",0,IF(T603&lt;12,T603*Controls!$B$29,T603*5))</f>
        <v/>
      </c>
      <c r="AB603">
        <f>IF(E603="",0,NETWORKDAYS(E603,Controls!$B$36,Ref!$K$2:$K$42))</f>
        <v/>
      </c>
      <c r="AC603">
        <f>IF(AND(AA603&gt;0,AB603&gt;=Controls!$B$39*AA603),1,0)</f>
        <v/>
      </c>
      <c r="AD603">
        <f>IF(AND(E603&lt;&gt;"",E603&gt;=Controls!$B$37,E603&lt;=Controls!$B$38),1,0)</f>
        <v/>
      </c>
      <c r="AE603">
        <f>IF(IFERROR(VLOOKUP(D603,Controls!$A$64:$E$74,2,FALSE),"No")="Yes",1,0)</f>
        <v/>
      </c>
      <c r="AF603">
        <f>IF(IFERROR(VLOOKUP(D603,Controls!$A$64:$E$74,3,FALSE),"No")="Yes",1,0)</f>
        <v/>
      </c>
      <c r="AG603">
        <f>IF(IFERROR(VLOOKUP(D603,Controls!$A$64:$E$74,4,FALSE),"No")="Yes",1,0)</f>
        <v/>
      </c>
      <c r="AH603">
        <f>IF(IFERROR(VLOOKUP(D603,Controls!$A$64:$E$74,5,FALSE),"No")="Yes",1,0)</f>
        <v/>
      </c>
      <c r="AI603">
        <f>IF(ISNUMBER(MATCH(D603,Controls!$A$64:$A$74,0)),1,0)</f>
        <v/>
      </c>
      <c r="AJ603">
        <f>Q603-N603</f>
        <v/>
      </c>
      <c r="AK603">
        <f>IF(AE603=1,MAX(0,N603-Q603),0)</f>
        <v/>
      </c>
      <c r="AL603">
        <f>IF(OR(V603="",V603=0),0,N603/V603)</f>
        <v/>
      </c>
      <c r="AM603">
        <f>IF(OR(V603="",V603=0),0,1)</f>
        <v/>
      </c>
      <c r="AN603">
        <f>IF(OR(E603="",F603=""),0,NETWORKDAYS(E603,F603,Ref!$K$2:$K$42))</f>
        <v/>
      </c>
      <c r="AO603">
        <f>IF(L603="Renewal",1,0)</f>
        <v/>
      </c>
      <c r="AP603">
        <f>AC603*AD603</f>
        <v/>
      </c>
      <c r="AQ603">
        <f>IF(AND(G603&lt;&gt;"",'Historical Score'!$C$6&lt;&gt;""),IF(G603='Historical Score'!$C$6,1,0),0)</f>
        <v/>
      </c>
      <c r="AR603">
        <f>IF(AND(L603&lt;&gt;"",'Historical Score'!$C$5&lt;&gt;""),IF(L603='Historical Score'!$C$5,1,0),0)</f>
        <v/>
      </c>
      <c r="AS603">
        <f>IF(AND(Y603&lt;&gt;"",'Historical Score'!$C$7&lt;&gt;""),IF(Y603='Historical Score'!$C$7,1,0),0)</f>
        <v/>
      </c>
      <c r="AT603">
        <f>IF(AND(K603&lt;&gt;"",'Historical Score'!$C$8&lt;&gt;""),IF(K603='Historical Score'!$C$8,1,0),0)</f>
        <v/>
      </c>
      <c r="AU603">
        <f>IF(AND(J603&lt;&gt;"",'Historical Score'!$C$9&lt;&gt;""),IF(J603='Historical Score'!$C$9,1,0),0)</f>
        <v/>
      </c>
      <c r="AV603">
        <f>AR603*AS603*AQ603</f>
        <v/>
      </c>
      <c r="AW603">
        <f>AR603*AT603*AQ603</f>
        <v/>
      </c>
      <c r="AX603">
        <f>AR603*AS603</f>
        <v/>
      </c>
      <c r="AY603">
        <f>AR603*AT603</f>
        <v/>
      </c>
      <c r="AZ603">
        <f>AR603*AQ603</f>
        <v/>
      </c>
      <c r="BA603">
        <f>AR603</f>
        <v/>
      </c>
      <c r="BB603">
        <f>1</f>
        <v/>
      </c>
      <c r="BC603">
        <f>IF(AV603=1,1,IF(AW603=1,2,IF(AX603=1,3,IF(AY603=1,4,IF(AZ603=1,5,IF(BA603=1,6,7))))))</f>
        <v/>
      </c>
      <c r="BD603">
        <f>IF(AD603=1,CHOOSE('Historical Score'!$C$29,AV603,AW603,AX603,AY603,AZ603,BA603,BB603),0)</f>
        <v/>
      </c>
      <c r="BE603">
        <f>IF(BD603=1,COUNTIF($BD$2:BD603,1),"")</f>
        <v/>
      </c>
    </row>
    <row r="604">
      <c r="A604" t="inlineStr">
        <is>
          <t>5674177941</t>
        </is>
      </c>
      <c r="B604" t="inlineStr">
        <is>
          <t>SMACK EM SEAFOOD LLC</t>
        </is>
      </c>
      <c r="C604" t="inlineStr">
        <is>
          <t>SMACK EM SEAFOOD LLC</t>
        </is>
      </c>
      <c r="D604" t="inlineStr">
        <is>
          <t>Open</t>
        </is>
      </c>
      <c r="E604" s="297" t="n">
        <v>46058</v>
      </c>
      <c r="F604" s="297" t="n">
        <v>46234</v>
      </c>
      <c r="G604" t="n">
        <v>2</v>
      </c>
      <c r="H604" t="inlineStr">
        <is>
          <t>5812</t>
        </is>
      </c>
      <c r="I604" t="inlineStr">
        <is>
          <t>58</t>
        </is>
      </c>
      <c r="J604" t="inlineStr">
        <is>
          <t>CA</t>
        </is>
      </c>
      <c r="K604" t="inlineStr">
        <is>
          <t>Ballicci</t>
        </is>
      </c>
      <c r="L604" t="inlineStr">
        <is>
          <t>New Deal</t>
        </is>
      </c>
      <c r="M604" s="298" t="n">
        <v>1.45</v>
      </c>
      <c r="N604" s="299" t="n">
        <v>15000</v>
      </c>
      <c r="O604" s="299" t="n">
        <v>1800</v>
      </c>
      <c r="P604" s="299" t="n">
        <v>21750</v>
      </c>
      <c r="Q604" s="299" t="n">
        <v>11527.56</v>
      </c>
      <c r="R604" s="299" t="n">
        <v>10222.44</v>
      </c>
      <c r="S604" s="300" t="n">
        <v>0.53000275862069</v>
      </c>
      <c r="T604" t="n">
        <v>18</v>
      </c>
      <c r="U604" t="n">
        <v>13</v>
      </c>
      <c r="V604" t="n">
        <v>55264.3</v>
      </c>
      <c r="W604" s="300" t="n">
        <v>0.08749999999999999</v>
      </c>
      <c r="X604" s="297" t="n">
        <v>45658</v>
      </c>
      <c r="Y604">
        <f>IF(I604="","No SIC",IFERROR(VLOOKUP(I604,Ref!$A$2:$B$65,2,FALSE),"Unclassified"))</f>
        <v/>
      </c>
      <c r="Z604">
        <f>IF(T604="","",IF(T604&lt;12,"Daily","Weekly"))</f>
        <v/>
      </c>
      <c r="AA604">
        <f>IF(T604="",0,IF(T604&lt;12,T604*Controls!$B$29,T604*5))</f>
        <v/>
      </c>
      <c r="AB604">
        <f>IF(E604="",0,NETWORKDAYS(E604,Controls!$B$36,Ref!$K$2:$K$42))</f>
        <v/>
      </c>
      <c r="AC604">
        <f>IF(AND(AA604&gt;0,AB604&gt;=Controls!$B$39*AA604),1,0)</f>
        <v/>
      </c>
      <c r="AD604">
        <f>IF(AND(E604&lt;&gt;"",E604&gt;=Controls!$B$37,E604&lt;=Controls!$B$38),1,0)</f>
        <v/>
      </c>
      <c r="AE604">
        <f>IF(IFERROR(VLOOKUP(D604,Controls!$A$64:$E$74,2,FALSE),"No")="Yes",1,0)</f>
        <v/>
      </c>
      <c r="AF604">
        <f>IF(IFERROR(VLOOKUP(D604,Controls!$A$64:$E$74,3,FALSE),"No")="Yes",1,0)</f>
        <v/>
      </c>
      <c r="AG604">
        <f>IF(IFERROR(VLOOKUP(D604,Controls!$A$64:$E$74,4,FALSE),"No")="Yes",1,0)</f>
        <v/>
      </c>
      <c r="AH604">
        <f>IF(IFERROR(VLOOKUP(D604,Controls!$A$64:$E$74,5,FALSE),"No")="Yes",1,0)</f>
        <v/>
      </c>
      <c r="AI604">
        <f>IF(ISNUMBER(MATCH(D604,Controls!$A$64:$A$74,0)),1,0)</f>
        <v/>
      </c>
      <c r="AJ604">
        <f>Q604-N604</f>
        <v/>
      </c>
      <c r="AK604">
        <f>IF(AE604=1,MAX(0,N604-Q604),0)</f>
        <v/>
      </c>
      <c r="AL604">
        <f>IF(OR(V604="",V604=0),0,N604/V604)</f>
        <v/>
      </c>
      <c r="AM604">
        <f>IF(OR(V604="",V604=0),0,1)</f>
        <v/>
      </c>
      <c r="AN604">
        <f>IF(OR(E604="",F604=""),0,NETWORKDAYS(E604,F604,Ref!$K$2:$K$42))</f>
        <v/>
      </c>
      <c r="AO604">
        <f>IF(L604="Renewal",1,0)</f>
        <v/>
      </c>
      <c r="AP604">
        <f>AC604*AD604</f>
        <v/>
      </c>
      <c r="AQ604">
        <f>IF(AND(G604&lt;&gt;"",'Historical Score'!$C$6&lt;&gt;""),IF(G604='Historical Score'!$C$6,1,0),0)</f>
        <v/>
      </c>
      <c r="AR604">
        <f>IF(AND(L604&lt;&gt;"",'Historical Score'!$C$5&lt;&gt;""),IF(L604='Historical Score'!$C$5,1,0),0)</f>
        <v/>
      </c>
      <c r="AS604">
        <f>IF(AND(Y604&lt;&gt;"",'Historical Score'!$C$7&lt;&gt;""),IF(Y604='Historical Score'!$C$7,1,0),0)</f>
        <v/>
      </c>
      <c r="AT604">
        <f>IF(AND(K604&lt;&gt;"",'Historical Score'!$C$8&lt;&gt;""),IF(K604='Historical Score'!$C$8,1,0),0)</f>
        <v/>
      </c>
      <c r="AU604">
        <f>IF(AND(J604&lt;&gt;"",'Historical Score'!$C$9&lt;&gt;""),IF(J604='Historical Score'!$C$9,1,0),0)</f>
        <v/>
      </c>
      <c r="AV604">
        <f>AR604*AS604*AQ604</f>
        <v/>
      </c>
      <c r="AW604">
        <f>AR604*AT604*AQ604</f>
        <v/>
      </c>
      <c r="AX604">
        <f>AR604*AS604</f>
        <v/>
      </c>
      <c r="AY604">
        <f>AR604*AT604</f>
        <v/>
      </c>
      <c r="AZ604">
        <f>AR604*AQ604</f>
        <v/>
      </c>
      <c r="BA604">
        <f>AR604</f>
        <v/>
      </c>
      <c r="BB604">
        <f>1</f>
        <v/>
      </c>
      <c r="BC604">
        <f>IF(AV604=1,1,IF(AW604=1,2,IF(AX604=1,3,IF(AY604=1,4,IF(AZ604=1,5,IF(BA604=1,6,7))))))</f>
        <v/>
      </c>
      <c r="BD604">
        <f>IF(AD604=1,CHOOSE('Historical Score'!$C$29,AV604,AW604,AX604,AY604,AZ604,BA604,BB604),0)</f>
        <v/>
      </c>
      <c r="BE604">
        <f>IF(BD604=1,COUNTIF($BD$2:BD604,1),"")</f>
        <v/>
      </c>
    </row>
    <row r="605">
      <c r="A605" t="inlineStr">
        <is>
          <t>5674178034</t>
        </is>
      </c>
      <c r="B605" t="inlineStr">
        <is>
          <t>MOOR HERBS MARKETPLACE</t>
        </is>
      </c>
      <c r="C605" t="inlineStr">
        <is>
          <t>THE MOORISH SCIENCE - TEMPLE THE DIVINE AND NATIONAL MOVEMENT OF NORTH AMERICA INC</t>
        </is>
      </c>
      <c r="D605" t="inlineStr">
        <is>
          <t>Closed</t>
        </is>
      </c>
      <c r="E605" s="297" t="n">
        <v>46059</v>
      </c>
      <c r="F605" s="297" t="n">
        <v>46147</v>
      </c>
      <c r="G605" t="n">
        <v>4</v>
      </c>
      <c r="H605" t="inlineStr">
        <is>
          <t>5499</t>
        </is>
      </c>
      <c r="I605" t="inlineStr">
        <is>
          <t>54</t>
        </is>
      </c>
      <c r="J605" t="inlineStr">
        <is>
          <t>MI</t>
        </is>
      </c>
      <c r="K605" t="inlineStr">
        <is>
          <t>United Secured Capital 8</t>
        </is>
      </c>
      <c r="L605" t="inlineStr">
        <is>
          <t>Renewal</t>
        </is>
      </c>
      <c r="M605" s="298" t="n">
        <v>1.49</v>
      </c>
      <c r="N605" s="299" t="n">
        <v>45000</v>
      </c>
      <c r="O605" s="299" t="n">
        <v>6300</v>
      </c>
      <c r="P605" s="299" t="n">
        <v>67050</v>
      </c>
      <c r="Q605" s="299" t="n">
        <v>67050</v>
      </c>
      <c r="R605" s="299" t="n">
        <v>0</v>
      </c>
      <c r="S605" s="300" t="n">
        <v>1</v>
      </c>
      <c r="T605" t="n">
        <v>3.934</v>
      </c>
      <c r="U605" t="n">
        <v>0</v>
      </c>
      <c r="V605" t="n">
        <v>104379.99</v>
      </c>
      <c r="W605" s="300" t="n">
        <v>0.1661</v>
      </c>
      <c r="X605" s="297" t="n">
        <v>43221</v>
      </c>
      <c r="Y605">
        <f>IF(I605="","No SIC",IFERROR(VLOOKUP(I605,Ref!$A$2:$B$65,2,FALSE),"Unclassified"))</f>
        <v/>
      </c>
      <c r="Z605">
        <f>IF(T605="","",IF(T605&lt;12,"Daily","Weekly"))</f>
        <v/>
      </c>
      <c r="AA605">
        <f>IF(T605="",0,IF(T605&lt;12,T605*Controls!$B$29,T605*5))</f>
        <v/>
      </c>
      <c r="AB605">
        <f>IF(E605="",0,NETWORKDAYS(E605,Controls!$B$36,Ref!$K$2:$K$42))</f>
        <v/>
      </c>
      <c r="AC605">
        <f>IF(AND(AA605&gt;0,AB605&gt;=Controls!$B$39*AA605),1,0)</f>
        <v/>
      </c>
      <c r="AD605">
        <f>IF(AND(E605&lt;&gt;"",E605&gt;=Controls!$B$37,E605&lt;=Controls!$B$38),1,0)</f>
        <v/>
      </c>
      <c r="AE605">
        <f>IF(IFERROR(VLOOKUP(D605,Controls!$A$64:$E$74,2,FALSE),"No")="Yes",1,0)</f>
        <v/>
      </c>
      <c r="AF605">
        <f>IF(IFERROR(VLOOKUP(D605,Controls!$A$64:$E$74,3,FALSE),"No")="Yes",1,0)</f>
        <v/>
      </c>
      <c r="AG605">
        <f>IF(IFERROR(VLOOKUP(D605,Controls!$A$64:$E$74,4,FALSE),"No")="Yes",1,0)</f>
        <v/>
      </c>
      <c r="AH605">
        <f>IF(IFERROR(VLOOKUP(D605,Controls!$A$64:$E$74,5,FALSE),"No")="Yes",1,0)</f>
        <v/>
      </c>
      <c r="AI605">
        <f>IF(ISNUMBER(MATCH(D605,Controls!$A$64:$A$74,0)),1,0)</f>
        <v/>
      </c>
      <c r="AJ605">
        <f>Q605-N605</f>
        <v/>
      </c>
      <c r="AK605">
        <f>IF(AE605=1,MAX(0,N605-Q605),0)</f>
        <v/>
      </c>
      <c r="AL605">
        <f>IF(OR(V605="",V605=0),0,N605/V605)</f>
        <v/>
      </c>
      <c r="AM605">
        <f>IF(OR(V605="",V605=0),0,1)</f>
        <v/>
      </c>
      <c r="AN605">
        <f>IF(OR(E605="",F605=""),0,NETWORKDAYS(E605,F605,Ref!$K$2:$K$42))</f>
        <v/>
      </c>
      <c r="AO605">
        <f>IF(L605="Renewal",1,0)</f>
        <v/>
      </c>
      <c r="AP605">
        <f>AC605*AD605</f>
        <v/>
      </c>
      <c r="AQ605">
        <f>IF(AND(G605&lt;&gt;"",'Historical Score'!$C$6&lt;&gt;""),IF(G605='Historical Score'!$C$6,1,0),0)</f>
        <v/>
      </c>
      <c r="AR605">
        <f>IF(AND(L605&lt;&gt;"",'Historical Score'!$C$5&lt;&gt;""),IF(L605='Historical Score'!$C$5,1,0),0)</f>
        <v/>
      </c>
      <c r="AS605">
        <f>IF(AND(Y605&lt;&gt;"",'Historical Score'!$C$7&lt;&gt;""),IF(Y605='Historical Score'!$C$7,1,0),0)</f>
        <v/>
      </c>
      <c r="AT605">
        <f>IF(AND(K605&lt;&gt;"",'Historical Score'!$C$8&lt;&gt;""),IF(K605='Historical Score'!$C$8,1,0),0)</f>
        <v/>
      </c>
      <c r="AU605">
        <f>IF(AND(J605&lt;&gt;"",'Historical Score'!$C$9&lt;&gt;""),IF(J605='Historical Score'!$C$9,1,0),0)</f>
        <v/>
      </c>
      <c r="AV605">
        <f>AR605*AS605*AQ605</f>
        <v/>
      </c>
      <c r="AW605">
        <f>AR605*AT605*AQ605</f>
        <v/>
      </c>
      <c r="AX605">
        <f>AR605*AS605</f>
        <v/>
      </c>
      <c r="AY605">
        <f>AR605*AT605</f>
        <v/>
      </c>
      <c r="AZ605">
        <f>AR605*AQ605</f>
        <v/>
      </c>
      <c r="BA605">
        <f>AR605</f>
        <v/>
      </c>
      <c r="BB605">
        <f>1</f>
        <v/>
      </c>
      <c r="BC605">
        <f>IF(AV605=1,1,IF(AW605=1,2,IF(AX605=1,3,IF(AY605=1,4,IF(AZ605=1,5,IF(BA605=1,6,7))))))</f>
        <v/>
      </c>
      <c r="BD605">
        <f>IF(AD605=1,CHOOSE('Historical Score'!$C$29,AV605,AW605,AX605,AY605,AZ605,BA605,BB605),0)</f>
        <v/>
      </c>
      <c r="BE605">
        <f>IF(BD605=1,COUNTIF($BD$2:BD605,1),"")</f>
        <v/>
      </c>
    </row>
    <row r="606">
      <c r="A606" t="inlineStr">
        <is>
          <t>5674178048</t>
        </is>
      </c>
      <c r="B606" t="inlineStr">
        <is>
          <t>Iphone Doctor Of Waco</t>
        </is>
      </c>
      <c r="C606" t="inlineStr">
        <is>
          <t>Iphone Doctor Of Waco</t>
        </is>
      </c>
      <c r="D606" t="inlineStr">
        <is>
          <t>Legal</t>
        </is>
      </c>
      <c r="E606" s="297" t="n">
        <v>46059</v>
      </c>
      <c r="F606" s="297" t="n">
        <v>46108</v>
      </c>
      <c r="G606" t="n">
        <v>2</v>
      </c>
      <c r="H606" t="inlineStr">
        <is>
          <t>5999</t>
        </is>
      </c>
      <c r="I606" t="inlineStr">
        <is>
          <t>59</t>
        </is>
      </c>
      <c r="J606" t="inlineStr">
        <is>
          <t>TX</t>
        </is>
      </c>
      <c r="K606" t="inlineStr">
        <is>
          <t>United Secured Capital 8</t>
        </is>
      </c>
      <c r="L606" t="inlineStr">
        <is>
          <t>New Deal</t>
        </is>
      </c>
      <c r="M606" s="298" t="n">
        <v>1.49</v>
      </c>
      <c r="N606" s="299" t="n">
        <v>8000</v>
      </c>
      <c r="O606" s="299" t="n">
        <v>1120</v>
      </c>
      <c r="P606" s="299" t="n">
        <v>11920</v>
      </c>
      <c r="Q606" s="299" t="n">
        <v>2173.11</v>
      </c>
      <c r="R606" s="299" t="n">
        <v>9746.889999999999</v>
      </c>
      <c r="S606" s="300" t="n">
        <v>0.18230788590604</v>
      </c>
      <c r="T606" t="n">
        <v>2.295</v>
      </c>
      <c r="U606" t="n">
        <v>4</v>
      </c>
      <c r="V606" t="n">
        <v>30623.79</v>
      </c>
      <c r="W606" s="300" t="n">
        <v>0.1168</v>
      </c>
      <c r="X606" s="297" t="n">
        <v>40525</v>
      </c>
      <c r="Y606">
        <f>IF(I606="","No SIC",IFERROR(VLOOKUP(I606,Ref!$A$2:$B$65,2,FALSE),"Unclassified"))</f>
        <v/>
      </c>
      <c r="Z606">
        <f>IF(T606="","",IF(T606&lt;12,"Daily","Weekly"))</f>
        <v/>
      </c>
      <c r="AA606">
        <f>IF(T606="",0,IF(T606&lt;12,T606*Controls!$B$29,T606*5))</f>
        <v/>
      </c>
      <c r="AB606">
        <f>IF(E606="",0,NETWORKDAYS(E606,Controls!$B$36,Ref!$K$2:$K$42))</f>
        <v/>
      </c>
      <c r="AC606">
        <f>IF(AND(AA606&gt;0,AB606&gt;=Controls!$B$39*AA606),1,0)</f>
        <v/>
      </c>
      <c r="AD606">
        <f>IF(AND(E606&lt;&gt;"",E606&gt;=Controls!$B$37,E606&lt;=Controls!$B$38),1,0)</f>
        <v/>
      </c>
      <c r="AE606">
        <f>IF(IFERROR(VLOOKUP(D606,Controls!$A$64:$E$74,2,FALSE),"No")="Yes",1,0)</f>
        <v/>
      </c>
      <c r="AF606">
        <f>IF(IFERROR(VLOOKUP(D606,Controls!$A$64:$E$74,3,FALSE),"No")="Yes",1,0)</f>
        <v/>
      </c>
      <c r="AG606">
        <f>IF(IFERROR(VLOOKUP(D606,Controls!$A$64:$E$74,4,FALSE),"No")="Yes",1,0)</f>
        <v/>
      </c>
      <c r="AH606">
        <f>IF(IFERROR(VLOOKUP(D606,Controls!$A$64:$E$74,5,FALSE),"No")="Yes",1,0)</f>
        <v/>
      </c>
      <c r="AI606">
        <f>IF(ISNUMBER(MATCH(D606,Controls!$A$64:$A$74,0)),1,0)</f>
        <v/>
      </c>
      <c r="AJ606">
        <f>Q606-N606</f>
        <v/>
      </c>
      <c r="AK606">
        <f>IF(AE606=1,MAX(0,N606-Q606),0)</f>
        <v/>
      </c>
      <c r="AL606">
        <f>IF(OR(V606="",V606=0),0,N606/V606)</f>
        <v/>
      </c>
      <c r="AM606">
        <f>IF(OR(V606="",V606=0),0,1)</f>
        <v/>
      </c>
      <c r="AN606">
        <f>IF(OR(E606="",F606=""),0,NETWORKDAYS(E606,F606,Ref!$K$2:$K$42))</f>
        <v/>
      </c>
      <c r="AO606">
        <f>IF(L606="Renewal",1,0)</f>
        <v/>
      </c>
      <c r="AP606">
        <f>AC606*AD606</f>
        <v/>
      </c>
      <c r="AQ606">
        <f>IF(AND(G606&lt;&gt;"",'Historical Score'!$C$6&lt;&gt;""),IF(G606='Historical Score'!$C$6,1,0),0)</f>
        <v/>
      </c>
      <c r="AR606">
        <f>IF(AND(L606&lt;&gt;"",'Historical Score'!$C$5&lt;&gt;""),IF(L606='Historical Score'!$C$5,1,0),0)</f>
        <v/>
      </c>
      <c r="AS606">
        <f>IF(AND(Y606&lt;&gt;"",'Historical Score'!$C$7&lt;&gt;""),IF(Y606='Historical Score'!$C$7,1,0),0)</f>
        <v/>
      </c>
      <c r="AT606">
        <f>IF(AND(K606&lt;&gt;"",'Historical Score'!$C$8&lt;&gt;""),IF(K606='Historical Score'!$C$8,1,0),0)</f>
        <v/>
      </c>
      <c r="AU606">
        <f>IF(AND(J606&lt;&gt;"",'Historical Score'!$C$9&lt;&gt;""),IF(J606='Historical Score'!$C$9,1,0),0)</f>
        <v/>
      </c>
      <c r="AV606">
        <f>AR606*AS606*AQ606</f>
        <v/>
      </c>
      <c r="AW606">
        <f>AR606*AT606*AQ606</f>
        <v/>
      </c>
      <c r="AX606">
        <f>AR606*AS606</f>
        <v/>
      </c>
      <c r="AY606">
        <f>AR606*AT606</f>
        <v/>
      </c>
      <c r="AZ606">
        <f>AR606*AQ606</f>
        <v/>
      </c>
      <c r="BA606">
        <f>AR606</f>
        <v/>
      </c>
      <c r="BB606">
        <f>1</f>
        <v/>
      </c>
      <c r="BC606">
        <f>IF(AV606=1,1,IF(AW606=1,2,IF(AX606=1,3,IF(AY606=1,4,IF(AZ606=1,5,IF(BA606=1,6,7))))))</f>
        <v/>
      </c>
      <c r="BD606">
        <f>IF(AD606=1,CHOOSE('Historical Score'!$C$29,AV606,AW606,AX606,AY606,AZ606,BA606,BB606),0)</f>
        <v/>
      </c>
      <c r="BE606">
        <f>IF(BD606=1,COUNTIF($BD$2:BD606,1),"")</f>
        <v/>
      </c>
    </row>
    <row r="607">
      <c r="A607" t="inlineStr">
        <is>
          <t>5674178051</t>
        </is>
      </c>
      <c r="B607" t="inlineStr">
        <is>
          <t>LEGACY BARN DOORS INC.</t>
        </is>
      </c>
      <c r="C607" t="inlineStr">
        <is>
          <t>LEGACY BARN DOORS INC.</t>
        </is>
      </c>
      <c r="D607" t="inlineStr">
        <is>
          <t>Closed</t>
        </is>
      </c>
      <c r="E607" s="297" t="n">
        <v>46059</v>
      </c>
      <c r="F607" s="297" t="n">
        <v>46132</v>
      </c>
      <c r="G607" t="n">
        <v>3</v>
      </c>
      <c r="H607" t="inlineStr">
        <is>
          <t>2531</t>
        </is>
      </c>
      <c r="I607" t="inlineStr">
        <is>
          <t>25</t>
        </is>
      </c>
      <c r="J607" t="inlineStr">
        <is>
          <t>TX</t>
        </is>
      </c>
      <c r="K607" t="inlineStr">
        <is>
          <t>United Secured Capital 8</t>
        </is>
      </c>
      <c r="L607" t="inlineStr">
        <is>
          <t>New Deal</t>
        </is>
      </c>
      <c r="M607" s="298" t="n">
        <v>1.49</v>
      </c>
      <c r="N607" s="299" t="n">
        <v>15000</v>
      </c>
      <c r="O607" s="299" t="n">
        <v>2100</v>
      </c>
      <c r="P607" s="299" t="n">
        <v>22350</v>
      </c>
      <c r="Q607" s="299" t="n">
        <v>22350</v>
      </c>
      <c r="R607" s="299" t="n">
        <v>0</v>
      </c>
      <c r="S607" s="300" t="n">
        <v>1</v>
      </c>
      <c r="T607" t="n">
        <v>20</v>
      </c>
      <c r="U607" t="n">
        <v>0</v>
      </c>
      <c r="V607" t="n">
        <v>45291.67</v>
      </c>
      <c r="W607" s="300" t="n">
        <v>0.09</v>
      </c>
      <c r="X607" s="297" t="n"/>
      <c r="Y607">
        <f>IF(I607="","No SIC",IFERROR(VLOOKUP(I607,Ref!$A$2:$B$65,2,FALSE),"Unclassified"))</f>
        <v/>
      </c>
      <c r="Z607">
        <f>IF(T607="","",IF(T607&lt;12,"Daily","Weekly"))</f>
        <v/>
      </c>
      <c r="AA607">
        <f>IF(T607="",0,IF(T607&lt;12,T607*Controls!$B$29,T607*5))</f>
        <v/>
      </c>
      <c r="AB607">
        <f>IF(E607="",0,NETWORKDAYS(E607,Controls!$B$36,Ref!$K$2:$K$42))</f>
        <v/>
      </c>
      <c r="AC607">
        <f>IF(AND(AA607&gt;0,AB607&gt;=Controls!$B$39*AA607),1,0)</f>
        <v/>
      </c>
      <c r="AD607">
        <f>IF(AND(E607&lt;&gt;"",E607&gt;=Controls!$B$37,E607&lt;=Controls!$B$38),1,0)</f>
        <v/>
      </c>
      <c r="AE607">
        <f>IF(IFERROR(VLOOKUP(D607,Controls!$A$64:$E$74,2,FALSE),"No")="Yes",1,0)</f>
        <v/>
      </c>
      <c r="AF607">
        <f>IF(IFERROR(VLOOKUP(D607,Controls!$A$64:$E$74,3,FALSE),"No")="Yes",1,0)</f>
        <v/>
      </c>
      <c r="AG607">
        <f>IF(IFERROR(VLOOKUP(D607,Controls!$A$64:$E$74,4,FALSE),"No")="Yes",1,0)</f>
        <v/>
      </c>
      <c r="AH607">
        <f>IF(IFERROR(VLOOKUP(D607,Controls!$A$64:$E$74,5,FALSE),"No")="Yes",1,0)</f>
        <v/>
      </c>
      <c r="AI607">
        <f>IF(ISNUMBER(MATCH(D607,Controls!$A$64:$A$74,0)),1,0)</f>
        <v/>
      </c>
      <c r="AJ607">
        <f>Q607-N607</f>
        <v/>
      </c>
      <c r="AK607">
        <f>IF(AE607=1,MAX(0,N607-Q607),0)</f>
        <v/>
      </c>
      <c r="AL607">
        <f>IF(OR(V607="",V607=0),0,N607/V607)</f>
        <v/>
      </c>
      <c r="AM607">
        <f>IF(OR(V607="",V607=0),0,1)</f>
        <v/>
      </c>
      <c r="AN607">
        <f>IF(OR(E607="",F607=""),0,NETWORKDAYS(E607,F607,Ref!$K$2:$K$42))</f>
        <v/>
      </c>
      <c r="AO607">
        <f>IF(L607="Renewal",1,0)</f>
        <v/>
      </c>
      <c r="AP607">
        <f>AC607*AD607</f>
        <v/>
      </c>
      <c r="AQ607">
        <f>IF(AND(G607&lt;&gt;"",'Historical Score'!$C$6&lt;&gt;""),IF(G607='Historical Score'!$C$6,1,0),0)</f>
        <v/>
      </c>
      <c r="AR607">
        <f>IF(AND(L607&lt;&gt;"",'Historical Score'!$C$5&lt;&gt;""),IF(L607='Historical Score'!$C$5,1,0),0)</f>
        <v/>
      </c>
      <c r="AS607">
        <f>IF(AND(Y607&lt;&gt;"",'Historical Score'!$C$7&lt;&gt;""),IF(Y607='Historical Score'!$C$7,1,0),0)</f>
        <v/>
      </c>
      <c r="AT607">
        <f>IF(AND(K607&lt;&gt;"",'Historical Score'!$C$8&lt;&gt;""),IF(K607='Historical Score'!$C$8,1,0),0)</f>
        <v/>
      </c>
      <c r="AU607">
        <f>IF(AND(J607&lt;&gt;"",'Historical Score'!$C$9&lt;&gt;""),IF(J607='Historical Score'!$C$9,1,0),0)</f>
        <v/>
      </c>
      <c r="AV607">
        <f>AR607*AS607*AQ607</f>
        <v/>
      </c>
      <c r="AW607">
        <f>AR607*AT607*AQ607</f>
        <v/>
      </c>
      <c r="AX607">
        <f>AR607*AS607</f>
        <v/>
      </c>
      <c r="AY607">
        <f>AR607*AT607</f>
        <v/>
      </c>
      <c r="AZ607">
        <f>AR607*AQ607</f>
        <v/>
      </c>
      <c r="BA607">
        <f>AR607</f>
        <v/>
      </c>
      <c r="BB607">
        <f>1</f>
        <v/>
      </c>
      <c r="BC607">
        <f>IF(AV607=1,1,IF(AW607=1,2,IF(AX607=1,3,IF(AY607=1,4,IF(AZ607=1,5,IF(BA607=1,6,7))))))</f>
        <v/>
      </c>
      <c r="BD607">
        <f>IF(AD607=1,CHOOSE('Historical Score'!$C$29,AV607,AW607,AX607,AY607,AZ607,BA607,BB607),0)</f>
        <v/>
      </c>
      <c r="BE607">
        <f>IF(BD607=1,COUNTIF($BD$2:BD607,1),"")</f>
        <v/>
      </c>
    </row>
    <row r="608">
      <c r="A608" t="inlineStr">
        <is>
          <t>5674178068</t>
        </is>
      </c>
      <c r="B608" t="inlineStr">
        <is>
          <t>Garcia xpress LLC</t>
        </is>
      </c>
      <c r="C608" t="inlineStr">
        <is>
          <t>GARCIA XPRESS LLC</t>
        </is>
      </c>
      <c r="D608" t="inlineStr">
        <is>
          <t>In House Collection</t>
        </is>
      </c>
      <c r="E608" s="297" t="n">
        <v>46059</v>
      </c>
      <c r="F608" s="297" t="n">
        <v>46203</v>
      </c>
      <c r="G608" t="n">
        <v>2</v>
      </c>
      <c r="H608" t="inlineStr">
        <is>
          <t>4212</t>
        </is>
      </c>
      <c r="I608" t="inlineStr">
        <is>
          <t>42</t>
        </is>
      </c>
      <c r="J608" t="inlineStr">
        <is>
          <t>NJ</t>
        </is>
      </c>
      <c r="K608" t="inlineStr">
        <is>
          <t>Fundible</t>
        </is>
      </c>
      <c r="L608" t="inlineStr">
        <is>
          <t>New Deal</t>
        </is>
      </c>
      <c r="M608" s="298" t="n">
        <v>1.43</v>
      </c>
      <c r="N608" s="299" t="n">
        <v>15000</v>
      </c>
      <c r="O608" s="299" t="n">
        <v>1650</v>
      </c>
      <c r="P608" s="299" t="n">
        <v>21450</v>
      </c>
      <c r="Q608" s="299" t="n">
        <v>3436.56</v>
      </c>
      <c r="R608" s="299" t="n">
        <v>18013.44</v>
      </c>
      <c r="S608" s="300" t="n">
        <v>0.160212587412587</v>
      </c>
      <c r="T608" t="n">
        <v>2.459</v>
      </c>
      <c r="U608" t="n">
        <v>14</v>
      </c>
      <c r="V608" t="n">
        <v>274610.06</v>
      </c>
      <c r="W608" s="300" t="n">
        <v>0.0219</v>
      </c>
      <c r="X608" s="297" t="n">
        <v>45328</v>
      </c>
      <c r="Y608">
        <f>IF(I608="","No SIC",IFERROR(VLOOKUP(I608,Ref!$A$2:$B$65,2,FALSE),"Unclassified"))</f>
        <v/>
      </c>
      <c r="Z608">
        <f>IF(T608="","",IF(T608&lt;12,"Daily","Weekly"))</f>
        <v/>
      </c>
      <c r="AA608">
        <f>IF(T608="",0,IF(T608&lt;12,T608*Controls!$B$29,T608*5))</f>
        <v/>
      </c>
      <c r="AB608">
        <f>IF(E608="",0,NETWORKDAYS(E608,Controls!$B$36,Ref!$K$2:$K$42))</f>
        <v/>
      </c>
      <c r="AC608">
        <f>IF(AND(AA608&gt;0,AB608&gt;=Controls!$B$39*AA608),1,0)</f>
        <v/>
      </c>
      <c r="AD608">
        <f>IF(AND(E608&lt;&gt;"",E608&gt;=Controls!$B$37,E608&lt;=Controls!$B$38),1,0)</f>
        <v/>
      </c>
      <c r="AE608">
        <f>IF(IFERROR(VLOOKUP(D608,Controls!$A$64:$E$74,2,FALSE),"No")="Yes",1,0)</f>
        <v/>
      </c>
      <c r="AF608">
        <f>IF(IFERROR(VLOOKUP(D608,Controls!$A$64:$E$74,3,FALSE),"No")="Yes",1,0)</f>
        <v/>
      </c>
      <c r="AG608">
        <f>IF(IFERROR(VLOOKUP(D608,Controls!$A$64:$E$74,4,FALSE),"No")="Yes",1,0)</f>
        <v/>
      </c>
      <c r="AH608">
        <f>IF(IFERROR(VLOOKUP(D608,Controls!$A$64:$E$74,5,FALSE),"No")="Yes",1,0)</f>
        <v/>
      </c>
      <c r="AI608">
        <f>IF(ISNUMBER(MATCH(D608,Controls!$A$64:$A$74,0)),1,0)</f>
        <v/>
      </c>
      <c r="AJ608">
        <f>Q608-N608</f>
        <v/>
      </c>
      <c r="AK608">
        <f>IF(AE608=1,MAX(0,N608-Q608),0)</f>
        <v/>
      </c>
      <c r="AL608">
        <f>IF(OR(V608="",V608=0),0,N608/V608)</f>
        <v/>
      </c>
      <c r="AM608">
        <f>IF(OR(V608="",V608=0),0,1)</f>
        <v/>
      </c>
      <c r="AN608">
        <f>IF(OR(E608="",F608=""),0,NETWORKDAYS(E608,F608,Ref!$K$2:$K$42))</f>
        <v/>
      </c>
      <c r="AO608">
        <f>IF(L608="Renewal",1,0)</f>
        <v/>
      </c>
      <c r="AP608">
        <f>AC608*AD608</f>
        <v/>
      </c>
      <c r="AQ608">
        <f>IF(AND(G608&lt;&gt;"",'Historical Score'!$C$6&lt;&gt;""),IF(G608='Historical Score'!$C$6,1,0),0)</f>
        <v/>
      </c>
      <c r="AR608">
        <f>IF(AND(L608&lt;&gt;"",'Historical Score'!$C$5&lt;&gt;""),IF(L608='Historical Score'!$C$5,1,0),0)</f>
        <v/>
      </c>
      <c r="AS608">
        <f>IF(AND(Y608&lt;&gt;"",'Historical Score'!$C$7&lt;&gt;""),IF(Y608='Historical Score'!$C$7,1,0),0)</f>
        <v/>
      </c>
      <c r="AT608">
        <f>IF(AND(K608&lt;&gt;"",'Historical Score'!$C$8&lt;&gt;""),IF(K608='Historical Score'!$C$8,1,0),0)</f>
        <v/>
      </c>
      <c r="AU608">
        <f>IF(AND(J608&lt;&gt;"",'Historical Score'!$C$9&lt;&gt;""),IF(J608='Historical Score'!$C$9,1,0),0)</f>
        <v/>
      </c>
      <c r="AV608">
        <f>AR608*AS608*AQ608</f>
        <v/>
      </c>
      <c r="AW608">
        <f>AR608*AT608*AQ608</f>
        <v/>
      </c>
      <c r="AX608">
        <f>AR608*AS608</f>
        <v/>
      </c>
      <c r="AY608">
        <f>AR608*AT608</f>
        <v/>
      </c>
      <c r="AZ608">
        <f>AR608*AQ608</f>
        <v/>
      </c>
      <c r="BA608">
        <f>AR608</f>
        <v/>
      </c>
      <c r="BB608">
        <f>1</f>
        <v/>
      </c>
      <c r="BC608">
        <f>IF(AV608=1,1,IF(AW608=1,2,IF(AX608=1,3,IF(AY608=1,4,IF(AZ608=1,5,IF(BA608=1,6,7))))))</f>
        <v/>
      </c>
      <c r="BD608">
        <f>IF(AD608=1,CHOOSE('Historical Score'!$C$29,AV608,AW608,AX608,AY608,AZ608,BA608,BB608),0)</f>
        <v/>
      </c>
      <c r="BE608">
        <f>IF(BD608=1,COUNTIF($BD$2:BD608,1),"")</f>
        <v/>
      </c>
    </row>
    <row r="609">
      <c r="A609" t="inlineStr">
        <is>
          <t>5674178074</t>
        </is>
      </c>
      <c r="B609" t="inlineStr">
        <is>
          <t>J &amp; R CONSTRUCTION</t>
        </is>
      </c>
      <c r="C609" t="inlineStr">
        <is>
          <t>J &amp; R CONSTRUCTION</t>
        </is>
      </c>
      <c r="D609" t="inlineStr">
        <is>
          <t>Legal</t>
        </is>
      </c>
      <c r="E609" s="297" t="n">
        <v>46059</v>
      </c>
      <c r="F609" s="297" t="n">
        <v>46087</v>
      </c>
      <c r="G609" t="n">
        <v>3</v>
      </c>
      <c r="J609" t="inlineStr">
        <is>
          <t>No state</t>
        </is>
      </c>
      <c r="K609" t="inlineStr">
        <is>
          <t>United Secured Capital 8</t>
        </is>
      </c>
      <c r="L609" t="inlineStr">
        <is>
          <t>New Deal</t>
        </is>
      </c>
      <c r="M609" s="298" t="n">
        <v>1.49</v>
      </c>
      <c r="N609" s="299" t="n">
        <v>30000</v>
      </c>
      <c r="O609" s="299" t="n">
        <v>4200</v>
      </c>
      <c r="P609" s="299" t="n">
        <v>44700</v>
      </c>
      <c r="Q609" s="299" t="n">
        <v>5588.25</v>
      </c>
      <c r="R609" s="299" t="n">
        <v>39111.75</v>
      </c>
      <c r="S609" s="300" t="n">
        <v>0.12501677852349</v>
      </c>
      <c r="T609" t="n">
        <v>24</v>
      </c>
      <c r="U609" t="n">
        <v>1</v>
      </c>
      <c r="V609" t="n">
        <v>78846.67</v>
      </c>
      <c r="W609" s="300" t="n">
        <v>0.0945</v>
      </c>
      <c r="X609" s="297" t="n"/>
      <c r="Y609">
        <f>IF(I609="","No SIC",IFERROR(VLOOKUP(I609,Ref!$A$2:$B$65,2,FALSE),"Unclassified"))</f>
        <v/>
      </c>
      <c r="Z609">
        <f>IF(T609="","",IF(T609&lt;12,"Daily","Weekly"))</f>
        <v/>
      </c>
      <c r="AA609">
        <f>IF(T609="",0,IF(T609&lt;12,T609*Controls!$B$29,T609*5))</f>
        <v/>
      </c>
      <c r="AB609">
        <f>IF(E609="",0,NETWORKDAYS(E609,Controls!$B$36,Ref!$K$2:$K$42))</f>
        <v/>
      </c>
      <c r="AC609">
        <f>IF(AND(AA609&gt;0,AB609&gt;=Controls!$B$39*AA609),1,0)</f>
        <v/>
      </c>
      <c r="AD609">
        <f>IF(AND(E609&lt;&gt;"",E609&gt;=Controls!$B$37,E609&lt;=Controls!$B$38),1,0)</f>
        <v/>
      </c>
      <c r="AE609">
        <f>IF(IFERROR(VLOOKUP(D609,Controls!$A$64:$E$74,2,FALSE),"No")="Yes",1,0)</f>
        <v/>
      </c>
      <c r="AF609">
        <f>IF(IFERROR(VLOOKUP(D609,Controls!$A$64:$E$74,3,FALSE),"No")="Yes",1,0)</f>
        <v/>
      </c>
      <c r="AG609">
        <f>IF(IFERROR(VLOOKUP(D609,Controls!$A$64:$E$74,4,FALSE),"No")="Yes",1,0)</f>
        <v/>
      </c>
      <c r="AH609">
        <f>IF(IFERROR(VLOOKUP(D609,Controls!$A$64:$E$74,5,FALSE),"No")="Yes",1,0)</f>
        <v/>
      </c>
      <c r="AI609">
        <f>IF(ISNUMBER(MATCH(D609,Controls!$A$64:$A$74,0)),1,0)</f>
        <v/>
      </c>
      <c r="AJ609">
        <f>Q609-N609</f>
        <v/>
      </c>
      <c r="AK609">
        <f>IF(AE609=1,MAX(0,N609-Q609),0)</f>
        <v/>
      </c>
      <c r="AL609">
        <f>IF(OR(V609="",V609=0),0,N609/V609)</f>
        <v/>
      </c>
      <c r="AM609">
        <f>IF(OR(V609="",V609=0),0,1)</f>
        <v/>
      </c>
      <c r="AN609">
        <f>IF(OR(E609="",F609=""),0,NETWORKDAYS(E609,F609,Ref!$K$2:$K$42))</f>
        <v/>
      </c>
      <c r="AO609">
        <f>IF(L609="Renewal",1,0)</f>
        <v/>
      </c>
      <c r="AP609">
        <f>AC609*AD609</f>
        <v/>
      </c>
      <c r="AQ609">
        <f>IF(AND(G609&lt;&gt;"",'Historical Score'!$C$6&lt;&gt;""),IF(G609='Historical Score'!$C$6,1,0),0)</f>
        <v/>
      </c>
      <c r="AR609">
        <f>IF(AND(L609&lt;&gt;"",'Historical Score'!$C$5&lt;&gt;""),IF(L609='Historical Score'!$C$5,1,0),0)</f>
        <v/>
      </c>
      <c r="AS609">
        <f>IF(AND(Y609&lt;&gt;"",'Historical Score'!$C$7&lt;&gt;""),IF(Y609='Historical Score'!$C$7,1,0),0)</f>
        <v/>
      </c>
      <c r="AT609">
        <f>IF(AND(K609&lt;&gt;"",'Historical Score'!$C$8&lt;&gt;""),IF(K609='Historical Score'!$C$8,1,0),0)</f>
        <v/>
      </c>
      <c r="AU609">
        <f>IF(AND(J609&lt;&gt;"",'Historical Score'!$C$9&lt;&gt;""),IF(J609='Historical Score'!$C$9,1,0),0)</f>
        <v/>
      </c>
      <c r="AV609">
        <f>AR609*AS609*AQ609</f>
        <v/>
      </c>
      <c r="AW609">
        <f>AR609*AT609*AQ609</f>
        <v/>
      </c>
      <c r="AX609">
        <f>AR609*AS609</f>
        <v/>
      </c>
      <c r="AY609">
        <f>AR609*AT609</f>
        <v/>
      </c>
      <c r="AZ609">
        <f>AR609*AQ609</f>
        <v/>
      </c>
      <c r="BA609">
        <f>AR609</f>
        <v/>
      </c>
      <c r="BB609">
        <f>1</f>
        <v/>
      </c>
      <c r="BC609">
        <f>IF(AV609=1,1,IF(AW609=1,2,IF(AX609=1,3,IF(AY609=1,4,IF(AZ609=1,5,IF(BA609=1,6,7))))))</f>
        <v/>
      </c>
      <c r="BD609">
        <f>IF(AD609=1,CHOOSE('Historical Score'!$C$29,AV609,AW609,AX609,AY609,AZ609,BA609,BB609),0)</f>
        <v/>
      </c>
      <c r="BE609">
        <f>IF(BD609=1,COUNTIF($BD$2:BD609,1),"")</f>
        <v/>
      </c>
    </row>
    <row r="610">
      <c r="A610" t="inlineStr">
        <is>
          <t>5674178118</t>
        </is>
      </c>
      <c r="B610" t="inlineStr">
        <is>
          <t>KATHY'S MASON JAR FAMILY DINER LLC</t>
        </is>
      </c>
      <c r="C610" t="inlineStr">
        <is>
          <t>KATHY'S MASON JAR FAMILY DINER LLC</t>
        </is>
      </c>
      <c r="D610" t="inlineStr">
        <is>
          <t>Closed</t>
        </is>
      </c>
      <c r="E610" s="297" t="n">
        <v>46062</v>
      </c>
      <c r="F610" s="297" t="n">
        <v>46139</v>
      </c>
      <c r="G610" t="n">
        <v>3</v>
      </c>
      <c r="H610" t="inlineStr">
        <is>
          <t>5812</t>
        </is>
      </c>
      <c r="I610" t="inlineStr">
        <is>
          <t>58</t>
        </is>
      </c>
      <c r="J610" t="inlineStr">
        <is>
          <t>OK</t>
        </is>
      </c>
      <c r="K610" t="inlineStr">
        <is>
          <t>United Secured Capital 8</t>
        </is>
      </c>
      <c r="L610" t="inlineStr">
        <is>
          <t>Renewal</t>
        </is>
      </c>
      <c r="M610" s="298" t="n">
        <v>1.49</v>
      </c>
      <c r="N610" s="299" t="n">
        <v>16500</v>
      </c>
      <c r="O610" s="299" t="n">
        <v>2310</v>
      </c>
      <c r="P610" s="299" t="n">
        <v>24585</v>
      </c>
      <c r="Q610" s="299" t="n">
        <v>24585</v>
      </c>
      <c r="R610" s="299" t="n">
        <v>0</v>
      </c>
      <c r="S610" s="300" t="n">
        <v>1</v>
      </c>
      <c r="T610" t="n">
        <v>3.279</v>
      </c>
      <c r="U610" t="n">
        <v>1</v>
      </c>
      <c r="V610" t="n">
        <v>37733.39</v>
      </c>
      <c r="W610" s="300" t="n">
        <v>0.1368</v>
      </c>
      <c r="X610" s="297" t="n"/>
      <c r="Y610">
        <f>IF(I610="","No SIC",IFERROR(VLOOKUP(I610,Ref!$A$2:$B$65,2,FALSE),"Unclassified"))</f>
        <v/>
      </c>
      <c r="Z610">
        <f>IF(T610="","",IF(T610&lt;12,"Daily","Weekly"))</f>
        <v/>
      </c>
      <c r="AA610">
        <f>IF(T610="",0,IF(T610&lt;12,T610*Controls!$B$29,T610*5))</f>
        <v/>
      </c>
      <c r="AB610">
        <f>IF(E610="",0,NETWORKDAYS(E610,Controls!$B$36,Ref!$K$2:$K$42))</f>
        <v/>
      </c>
      <c r="AC610">
        <f>IF(AND(AA610&gt;0,AB610&gt;=Controls!$B$39*AA610),1,0)</f>
        <v/>
      </c>
      <c r="AD610">
        <f>IF(AND(E610&lt;&gt;"",E610&gt;=Controls!$B$37,E610&lt;=Controls!$B$38),1,0)</f>
        <v/>
      </c>
      <c r="AE610">
        <f>IF(IFERROR(VLOOKUP(D610,Controls!$A$64:$E$74,2,FALSE),"No")="Yes",1,0)</f>
        <v/>
      </c>
      <c r="AF610">
        <f>IF(IFERROR(VLOOKUP(D610,Controls!$A$64:$E$74,3,FALSE),"No")="Yes",1,0)</f>
        <v/>
      </c>
      <c r="AG610">
        <f>IF(IFERROR(VLOOKUP(D610,Controls!$A$64:$E$74,4,FALSE),"No")="Yes",1,0)</f>
        <v/>
      </c>
      <c r="AH610">
        <f>IF(IFERROR(VLOOKUP(D610,Controls!$A$64:$E$74,5,FALSE),"No")="Yes",1,0)</f>
        <v/>
      </c>
      <c r="AI610">
        <f>IF(ISNUMBER(MATCH(D610,Controls!$A$64:$A$74,0)),1,0)</f>
        <v/>
      </c>
      <c r="AJ610">
        <f>Q610-N610</f>
        <v/>
      </c>
      <c r="AK610">
        <f>IF(AE610=1,MAX(0,N610-Q610),0)</f>
        <v/>
      </c>
      <c r="AL610">
        <f>IF(OR(V610="",V610=0),0,N610/V610)</f>
        <v/>
      </c>
      <c r="AM610">
        <f>IF(OR(V610="",V610=0),0,1)</f>
        <v/>
      </c>
      <c r="AN610">
        <f>IF(OR(E610="",F610=""),0,NETWORKDAYS(E610,F610,Ref!$K$2:$K$42))</f>
        <v/>
      </c>
      <c r="AO610">
        <f>IF(L610="Renewal",1,0)</f>
        <v/>
      </c>
      <c r="AP610">
        <f>AC610*AD610</f>
        <v/>
      </c>
      <c r="AQ610">
        <f>IF(AND(G610&lt;&gt;"",'Historical Score'!$C$6&lt;&gt;""),IF(G610='Historical Score'!$C$6,1,0),0)</f>
        <v/>
      </c>
      <c r="AR610">
        <f>IF(AND(L610&lt;&gt;"",'Historical Score'!$C$5&lt;&gt;""),IF(L610='Historical Score'!$C$5,1,0),0)</f>
        <v/>
      </c>
      <c r="AS610">
        <f>IF(AND(Y610&lt;&gt;"",'Historical Score'!$C$7&lt;&gt;""),IF(Y610='Historical Score'!$C$7,1,0),0)</f>
        <v/>
      </c>
      <c r="AT610">
        <f>IF(AND(K610&lt;&gt;"",'Historical Score'!$C$8&lt;&gt;""),IF(K610='Historical Score'!$C$8,1,0),0)</f>
        <v/>
      </c>
      <c r="AU610">
        <f>IF(AND(J610&lt;&gt;"",'Historical Score'!$C$9&lt;&gt;""),IF(J610='Historical Score'!$C$9,1,0),0)</f>
        <v/>
      </c>
      <c r="AV610">
        <f>AR610*AS610*AQ610</f>
        <v/>
      </c>
      <c r="AW610">
        <f>AR610*AT610*AQ610</f>
        <v/>
      </c>
      <c r="AX610">
        <f>AR610*AS610</f>
        <v/>
      </c>
      <c r="AY610">
        <f>AR610*AT610</f>
        <v/>
      </c>
      <c r="AZ610">
        <f>AR610*AQ610</f>
        <v/>
      </c>
      <c r="BA610">
        <f>AR610</f>
        <v/>
      </c>
      <c r="BB610">
        <f>1</f>
        <v/>
      </c>
      <c r="BC610">
        <f>IF(AV610=1,1,IF(AW610=1,2,IF(AX610=1,3,IF(AY610=1,4,IF(AZ610=1,5,IF(BA610=1,6,7))))))</f>
        <v/>
      </c>
      <c r="BD610">
        <f>IF(AD610=1,CHOOSE('Historical Score'!$C$29,AV610,AW610,AX610,AY610,AZ610,BA610,BB610),0)</f>
        <v/>
      </c>
      <c r="BE610">
        <f>IF(BD610=1,COUNTIF($BD$2:BD610,1),"")</f>
        <v/>
      </c>
    </row>
    <row r="611">
      <c r="A611" t="inlineStr">
        <is>
          <t>5674178132</t>
        </is>
      </c>
      <c r="B611" t="inlineStr">
        <is>
          <t>TOP NOTCH TRAINING GYM LLC</t>
        </is>
      </c>
      <c r="C611" t="inlineStr">
        <is>
          <t>TOP NOTCH TRAINING GYM LLC</t>
        </is>
      </c>
      <c r="D611" t="inlineStr">
        <is>
          <t>Closed</t>
        </is>
      </c>
      <c r="E611" s="297" t="n">
        <v>46062</v>
      </c>
      <c r="F611" s="297" t="n">
        <v>46099</v>
      </c>
      <c r="G611" t="n">
        <v>3</v>
      </c>
      <c r="H611" t="inlineStr">
        <is>
          <t>7991</t>
        </is>
      </c>
      <c r="I611" t="inlineStr">
        <is>
          <t>79</t>
        </is>
      </c>
      <c r="J611" t="inlineStr">
        <is>
          <t>GA</t>
        </is>
      </c>
      <c r="K611" t="inlineStr">
        <is>
          <t>American Funding Association 1</t>
        </is>
      </c>
      <c r="L611" t="inlineStr">
        <is>
          <t>New Deal</t>
        </is>
      </c>
      <c r="M611" s="298" t="n">
        <v>1.394418</v>
      </c>
      <c r="N611" s="299" t="n">
        <v>20000</v>
      </c>
      <c r="O611" s="299" t="n">
        <v>2400</v>
      </c>
      <c r="P611" s="299" t="n">
        <v>27888.36</v>
      </c>
      <c r="Q611" s="299" t="n">
        <v>27888.36</v>
      </c>
      <c r="R611" s="299" t="n">
        <v>-3.63797880709171e-12</v>
      </c>
      <c r="S611" s="300" t="n">
        <v>1</v>
      </c>
      <c r="T611" t="n">
        <v>2.951</v>
      </c>
      <c r="U611" t="n">
        <v>0</v>
      </c>
      <c r="V611" t="n">
        <v>81728.03</v>
      </c>
      <c r="W611" s="300" t="n">
        <v>0.0828</v>
      </c>
      <c r="X611" s="297" t="n">
        <v>41794</v>
      </c>
      <c r="Y611">
        <f>IF(I611="","No SIC",IFERROR(VLOOKUP(I611,Ref!$A$2:$B$65,2,FALSE),"Unclassified"))</f>
        <v/>
      </c>
      <c r="Z611">
        <f>IF(T611="","",IF(T611&lt;12,"Daily","Weekly"))</f>
        <v/>
      </c>
      <c r="AA611">
        <f>IF(T611="",0,IF(T611&lt;12,T611*Controls!$B$29,T611*5))</f>
        <v/>
      </c>
      <c r="AB611">
        <f>IF(E611="",0,NETWORKDAYS(E611,Controls!$B$36,Ref!$K$2:$K$42))</f>
        <v/>
      </c>
      <c r="AC611">
        <f>IF(AND(AA611&gt;0,AB611&gt;=Controls!$B$39*AA611),1,0)</f>
        <v/>
      </c>
      <c r="AD611">
        <f>IF(AND(E611&lt;&gt;"",E611&gt;=Controls!$B$37,E611&lt;=Controls!$B$38),1,0)</f>
        <v/>
      </c>
      <c r="AE611">
        <f>IF(IFERROR(VLOOKUP(D611,Controls!$A$64:$E$74,2,FALSE),"No")="Yes",1,0)</f>
        <v/>
      </c>
      <c r="AF611">
        <f>IF(IFERROR(VLOOKUP(D611,Controls!$A$64:$E$74,3,FALSE),"No")="Yes",1,0)</f>
        <v/>
      </c>
      <c r="AG611">
        <f>IF(IFERROR(VLOOKUP(D611,Controls!$A$64:$E$74,4,FALSE),"No")="Yes",1,0)</f>
        <v/>
      </c>
      <c r="AH611">
        <f>IF(IFERROR(VLOOKUP(D611,Controls!$A$64:$E$74,5,FALSE),"No")="Yes",1,0)</f>
        <v/>
      </c>
      <c r="AI611">
        <f>IF(ISNUMBER(MATCH(D611,Controls!$A$64:$A$74,0)),1,0)</f>
        <v/>
      </c>
      <c r="AJ611">
        <f>Q611-N611</f>
        <v/>
      </c>
      <c r="AK611">
        <f>IF(AE611=1,MAX(0,N611-Q611),0)</f>
        <v/>
      </c>
      <c r="AL611">
        <f>IF(OR(V611="",V611=0),0,N611/V611)</f>
        <v/>
      </c>
      <c r="AM611">
        <f>IF(OR(V611="",V611=0),0,1)</f>
        <v/>
      </c>
      <c r="AN611">
        <f>IF(OR(E611="",F611=""),0,NETWORKDAYS(E611,F611,Ref!$K$2:$K$42))</f>
        <v/>
      </c>
      <c r="AO611">
        <f>IF(L611="Renewal",1,0)</f>
        <v/>
      </c>
      <c r="AP611">
        <f>AC611*AD611</f>
        <v/>
      </c>
      <c r="AQ611">
        <f>IF(AND(G611&lt;&gt;"",'Historical Score'!$C$6&lt;&gt;""),IF(G611='Historical Score'!$C$6,1,0),0)</f>
        <v/>
      </c>
      <c r="AR611">
        <f>IF(AND(L611&lt;&gt;"",'Historical Score'!$C$5&lt;&gt;""),IF(L611='Historical Score'!$C$5,1,0),0)</f>
        <v/>
      </c>
      <c r="AS611">
        <f>IF(AND(Y611&lt;&gt;"",'Historical Score'!$C$7&lt;&gt;""),IF(Y611='Historical Score'!$C$7,1,0),0)</f>
        <v/>
      </c>
      <c r="AT611">
        <f>IF(AND(K611&lt;&gt;"",'Historical Score'!$C$8&lt;&gt;""),IF(K611='Historical Score'!$C$8,1,0),0)</f>
        <v/>
      </c>
      <c r="AU611">
        <f>IF(AND(J611&lt;&gt;"",'Historical Score'!$C$9&lt;&gt;""),IF(J611='Historical Score'!$C$9,1,0),0)</f>
        <v/>
      </c>
      <c r="AV611">
        <f>AR611*AS611*AQ611</f>
        <v/>
      </c>
      <c r="AW611">
        <f>AR611*AT611*AQ611</f>
        <v/>
      </c>
      <c r="AX611">
        <f>AR611*AS611</f>
        <v/>
      </c>
      <c r="AY611">
        <f>AR611*AT611</f>
        <v/>
      </c>
      <c r="AZ611">
        <f>AR611*AQ611</f>
        <v/>
      </c>
      <c r="BA611">
        <f>AR611</f>
        <v/>
      </c>
      <c r="BB611">
        <f>1</f>
        <v/>
      </c>
      <c r="BC611">
        <f>IF(AV611=1,1,IF(AW611=1,2,IF(AX611=1,3,IF(AY611=1,4,IF(AZ611=1,5,IF(BA611=1,6,7))))))</f>
        <v/>
      </c>
      <c r="BD611">
        <f>IF(AD611=1,CHOOSE('Historical Score'!$C$29,AV611,AW611,AX611,AY611,AZ611,BA611,BB611),0)</f>
        <v/>
      </c>
      <c r="BE611">
        <f>IF(BD611=1,COUNTIF($BD$2:BD611,1),"")</f>
        <v/>
      </c>
    </row>
    <row r="612">
      <c r="A612" t="inlineStr">
        <is>
          <t>5674178133</t>
        </is>
      </c>
      <c r="B612" t="inlineStr">
        <is>
          <t>LEGENDS OFFROAD LLC</t>
        </is>
      </c>
      <c r="C612" t="inlineStr">
        <is>
          <t>LEGENDS OFFROAD LLC</t>
        </is>
      </c>
      <c r="D612" t="inlineStr">
        <is>
          <t>Legal</t>
        </is>
      </c>
      <c r="E612" s="297" t="n">
        <v>46062</v>
      </c>
      <c r="F612" s="297" t="n">
        <v>46150</v>
      </c>
      <c r="G612" t="n">
        <v>2</v>
      </c>
      <c r="H612" t="inlineStr">
        <is>
          <t>7538</t>
        </is>
      </c>
      <c r="I612" t="inlineStr">
        <is>
          <t>75</t>
        </is>
      </c>
      <c r="J612" t="inlineStr">
        <is>
          <t>ND</t>
        </is>
      </c>
      <c r="K612" t="inlineStr">
        <is>
          <t>TRUSTFI</t>
        </is>
      </c>
      <c r="L612" t="inlineStr">
        <is>
          <t>New Deal</t>
        </is>
      </c>
      <c r="M612" s="298" t="n">
        <v>1.4</v>
      </c>
      <c r="N612" s="299" t="n">
        <v>20000</v>
      </c>
      <c r="O612" s="299" t="n">
        <v>1900</v>
      </c>
      <c r="P612" s="299" t="n">
        <v>28000</v>
      </c>
      <c r="Q612" s="299" t="n">
        <v>6996.95</v>
      </c>
      <c r="R612" s="299" t="n">
        <v>21003.05</v>
      </c>
      <c r="S612" s="300" t="n">
        <v>0.249891071428571</v>
      </c>
      <c r="T612" t="n">
        <v>20</v>
      </c>
      <c r="U612" t="n">
        <v>8</v>
      </c>
      <c r="V612" t="n">
        <v>72319.86</v>
      </c>
      <c r="W612" s="300" t="n">
        <v>0.0774</v>
      </c>
      <c r="X612" s="297" t="n">
        <v>44409</v>
      </c>
      <c r="Y612">
        <f>IF(I612="","No SIC",IFERROR(VLOOKUP(I612,Ref!$A$2:$B$65,2,FALSE),"Unclassified"))</f>
        <v/>
      </c>
      <c r="Z612">
        <f>IF(T612="","",IF(T612&lt;12,"Daily","Weekly"))</f>
        <v/>
      </c>
      <c r="AA612">
        <f>IF(T612="",0,IF(T612&lt;12,T612*Controls!$B$29,T612*5))</f>
        <v/>
      </c>
      <c r="AB612">
        <f>IF(E612="",0,NETWORKDAYS(E612,Controls!$B$36,Ref!$K$2:$K$42))</f>
        <v/>
      </c>
      <c r="AC612">
        <f>IF(AND(AA612&gt;0,AB612&gt;=Controls!$B$39*AA612),1,0)</f>
        <v/>
      </c>
      <c r="AD612">
        <f>IF(AND(E612&lt;&gt;"",E612&gt;=Controls!$B$37,E612&lt;=Controls!$B$38),1,0)</f>
        <v/>
      </c>
      <c r="AE612">
        <f>IF(IFERROR(VLOOKUP(D612,Controls!$A$64:$E$74,2,FALSE),"No")="Yes",1,0)</f>
        <v/>
      </c>
      <c r="AF612">
        <f>IF(IFERROR(VLOOKUP(D612,Controls!$A$64:$E$74,3,FALSE),"No")="Yes",1,0)</f>
        <v/>
      </c>
      <c r="AG612">
        <f>IF(IFERROR(VLOOKUP(D612,Controls!$A$64:$E$74,4,FALSE),"No")="Yes",1,0)</f>
        <v/>
      </c>
      <c r="AH612">
        <f>IF(IFERROR(VLOOKUP(D612,Controls!$A$64:$E$74,5,FALSE),"No")="Yes",1,0)</f>
        <v/>
      </c>
      <c r="AI612">
        <f>IF(ISNUMBER(MATCH(D612,Controls!$A$64:$A$74,0)),1,0)</f>
        <v/>
      </c>
      <c r="AJ612">
        <f>Q612-N612</f>
        <v/>
      </c>
      <c r="AK612">
        <f>IF(AE612=1,MAX(0,N612-Q612),0)</f>
        <v/>
      </c>
      <c r="AL612">
        <f>IF(OR(V612="",V612=0),0,N612/V612)</f>
        <v/>
      </c>
      <c r="AM612">
        <f>IF(OR(V612="",V612=0),0,1)</f>
        <v/>
      </c>
      <c r="AN612">
        <f>IF(OR(E612="",F612=""),0,NETWORKDAYS(E612,F612,Ref!$K$2:$K$42))</f>
        <v/>
      </c>
      <c r="AO612">
        <f>IF(L612="Renewal",1,0)</f>
        <v/>
      </c>
      <c r="AP612">
        <f>AC612*AD612</f>
        <v/>
      </c>
      <c r="AQ612">
        <f>IF(AND(G612&lt;&gt;"",'Historical Score'!$C$6&lt;&gt;""),IF(G612='Historical Score'!$C$6,1,0),0)</f>
        <v/>
      </c>
      <c r="AR612">
        <f>IF(AND(L612&lt;&gt;"",'Historical Score'!$C$5&lt;&gt;""),IF(L612='Historical Score'!$C$5,1,0),0)</f>
        <v/>
      </c>
      <c r="AS612">
        <f>IF(AND(Y612&lt;&gt;"",'Historical Score'!$C$7&lt;&gt;""),IF(Y612='Historical Score'!$C$7,1,0),0)</f>
        <v/>
      </c>
      <c r="AT612">
        <f>IF(AND(K612&lt;&gt;"",'Historical Score'!$C$8&lt;&gt;""),IF(K612='Historical Score'!$C$8,1,0),0)</f>
        <v/>
      </c>
      <c r="AU612">
        <f>IF(AND(J612&lt;&gt;"",'Historical Score'!$C$9&lt;&gt;""),IF(J612='Historical Score'!$C$9,1,0),0)</f>
        <v/>
      </c>
      <c r="AV612">
        <f>AR612*AS612*AQ612</f>
        <v/>
      </c>
      <c r="AW612">
        <f>AR612*AT612*AQ612</f>
        <v/>
      </c>
      <c r="AX612">
        <f>AR612*AS612</f>
        <v/>
      </c>
      <c r="AY612">
        <f>AR612*AT612</f>
        <v/>
      </c>
      <c r="AZ612">
        <f>AR612*AQ612</f>
        <v/>
      </c>
      <c r="BA612">
        <f>AR612</f>
        <v/>
      </c>
      <c r="BB612">
        <f>1</f>
        <v/>
      </c>
      <c r="BC612">
        <f>IF(AV612=1,1,IF(AW612=1,2,IF(AX612=1,3,IF(AY612=1,4,IF(AZ612=1,5,IF(BA612=1,6,7))))))</f>
        <v/>
      </c>
      <c r="BD612">
        <f>IF(AD612=1,CHOOSE('Historical Score'!$C$29,AV612,AW612,AX612,AY612,AZ612,BA612,BB612),0)</f>
        <v/>
      </c>
      <c r="BE612">
        <f>IF(BD612=1,COUNTIF($BD$2:BD612,1),"")</f>
        <v/>
      </c>
    </row>
    <row r="613">
      <c r="A613" t="inlineStr">
        <is>
          <t>5674178226</t>
        </is>
      </c>
      <c r="B613" t="inlineStr">
        <is>
          <t>ASTER PACIFIC LLC</t>
        </is>
      </c>
      <c r="C613" t="inlineStr">
        <is>
          <t>ASTER PACIFIC LLC</t>
        </is>
      </c>
      <c r="D613" t="inlineStr">
        <is>
          <t>Open</t>
        </is>
      </c>
      <c r="E613" s="297" t="n">
        <v>46063</v>
      </c>
      <c r="F613" s="297" t="n">
        <v>46220</v>
      </c>
      <c r="G613" t="n">
        <v>3</v>
      </c>
      <c r="H613" t="inlineStr">
        <is>
          <t>1521</t>
        </is>
      </c>
      <c r="I613" t="inlineStr">
        <is>
          <t>15</t>
        </is>
      </c>
      <c r="J613" t="inlineStr">
        <is>
          <t>FL</t>
        </is>
      </c>
      <c r="K613" t="inlineStr">
        <is>
          <t>United Secured Capital 8</t>
        </is>
      </c>
      <c r="L613" t="inlineStr">
        <is>
          <t>New Deal</t>
        </is>
      </c>
      <c r="M613" s="298" t="n">
        <v>1.49</v>
      </c>
      <c r="N613" s="299" t="n">
        <v>15000</v>
      </c>
      <c r="O613" s="299" t="n">
        <v>2100</v>
      </c>
      <c r="P613" s="299" t="n">
        <v>22350</v>
      </c>
      <c r="Q613" s="299" t="n">
        <v>6716.1</v>
      </c>
      <c r="R613" s="299" t="n">
        <v>15633.9</v>
      </c>
      <c r="S613" s="300" t="n">
        <v>0.300496644295302</v>
      </c>
      <c r="T613" t="n">
        <v>20</v>
      </c>
      <c r="U613" t="n">
        <v>16</v>
      </c>
      <c r="V613" t="n">
        <v>205385.89</v>
      </c>
      <c r="W613" s="300" t="n">
        <v>0.0218</v>
      </c>
      <c r="X613" s="297" t="n"/>
      <c r="Y613">
        <f>IF(I613="","No SIC",IFERROR(VLOOKUP(I613,Ref!$A$2:$B$65,2,FALSE),"Unclassified"))</f>
        <v/>
      </c>
      <c r="Z613">
        <f>IF(T613="","",IF(T613&lt;12,"Daily","Weekly"))</f>
        <v/>
      </c>
      <c r="AA613">
        <f>IF(T613="",0,IF(T613&lt;12,T613*Controls!$B$29,T613*5))</f>
        <v/>
      </c>
      <c r="AB613">
        <f>IF(E613="",0,NETWORKDAYS(E613,Controls!$B$36,Ref!$K$2:$K$42))</f>
        <v/>
      </c>
      <c r="AC613">
        <f>IF(AND(AA613&gt;0,AB613&gt;=Controls!$B$39*AA613),1,0)</f>
        <v/>
      </c>
      <c r="AD613">
        <f>IF(AND(E613&lt;&gt;"",E613&gt;=Controls!$B$37,E613&lt;=Controls!$B$38),1,0)</f>
        <v/>
      </c>
      <c r="AE613">
        <f>IF(IFERROR(VLOOKUP(D613,Controls!$A$64:$E$74,2,FALSE),"No")="Yes",1,0)</f>
        <v/>
      </c>
      <c r="AF613">
        <f>IF(IFERROR(VLOOKUP(D613,Controls!$A$64:$E$74,3,FALSE),"No")="Yes",1,0)</f>
        <v/>
      </c>
      <c r="AG613">
        <f>IF(IFERROR(VLOOKUP(D613,Controls!$A$64:$E$74,4,FALSE),"No")="Yes",1,0)</f>
        <v/>
      </c>
      <c r="AH613">
        <f>IF(IFERROR(VLOOKUP(D613,Controls!$A$64:$E$74,5,FALSE),"No")="Yes",1,0)</f>
        <v/>
      </c>
      <c r="AI613">
        <f>IF(ISNUMBER(MATCH(D613,Controls!$A$64:$A$74,0)),1,0)</f>
        <v/>
      </c>
      <c r="AJ613">
        <f>Q613-N613</f>
        <v/>
      </c>
      <c r="AK613">
        <f>IF(AE613=1,MAX(0,N613-Q613),0)</f>
        <v/>
      </c>
      <c r="AL613">
        <f>IF(OR(V613="",V613=0),0,N613/V613)</f>
        <v/>
      </c>
      <c r="AM613">
        <f>IF(OR(V613="",V613=0),0,1)</f>
        <v/>
      </c>
      <c r="AN613">
        <f>IF(OR(E613="",F613=""),0,NETWORKDAYS(E613,F613,Ref!$K$2:$K$42))</f>
        <v/>
      </c>
      <c r="AO613">
        <f>IF(L613="Renewal",1,0)</f>
        <v/>
      </c>
      <c r="AP613">
        <f>AC613*AD613</f>
        <v/>
      </c>
      <c r="AQ613">
        <f>IF(AND(G613&lt;&gt;"",'Historical Score'!$C$6&lt;&gt;""),IF(G613='Historical Score'!$C$6,1,0),0)</f>
        <v/>
      </c>
      <c r="AR613">
        <f>IF(AND(L613&lt;&gt;"",'Historical Score'!$C$5&lt;&gt;""),IF(L613='Historical Score'!$C$5,1,0),0)</f>
        <v/>
      </c>
      <c r="AS613">
        <f>IF(AND(Y613&lt;&gt;"",'Historical Score'!$C$7&lt;&gt;""),IF(Y613='Historical Score'!$C$7,1,0),0)</f>
        <v/>
      </c>
      <c r="AT613">
        <f>IF(AND(K613&lt;&gt;"",'Historical Score'!$C$8&lt;&gt;""),IF(K613='Historical Score'!$C$8,1,0),0)</f>
        <v/>
      </c>
      <c r="AU613">
        <f>IF(AND(J613&lt;&gt;"",'Historical Score'!$C$9&lt;&gt;""),IF(J613='Historical Score'!$C$9,1,0),0)</f>
        <v/>
      </c>
      <c r="AV613">
        <f>AR613*AS613*AQ613</f>
        <v/>
      </c>
      <c r="AW613">
        <f>AR613*AT613*AQ613</f>
        <v/>
      </c>
      <c r="AX613">
        <f>AR613*AS613</f>
        <v/>
      </c>
      <c r="AY613">
        <f>AR613*AT613</f>
        <v/>
      </c>
      <c r="AZ613">
        <f>AR613*AQ613</f>
        <v/>
      </c>
      <c r="BA613">
        <f>AR613</f>
        <v/>
      </c>
      <c r="BB613">
        <f>1</f>
        <v/>
      </c>
      <c r="BC613">
        <f>IF(AV613=1,1,IF(AW613=1,2,IF(AX613=1,3,IF(AY613=1,4,IF(AZ613=1,5,IF(BA613=1,6,7))))))</f>
        <v/>
      </c>
      <c r="BD613">
        <f>IF(AD613=1,CHOOSE('Historical Score'!$C$29,AV613,AW613,AX613,AY613,AZ613,BA613,BB613),0)</f>
        <v/>
      </c>
      <c r="BE613">
        <f>IF(BD613=1,COUNTIF($BD$2:BD613,1),"")</f>
        <v/>
      </c>
    </row>
    <row r="614">
      <c r="A614" t="inlineStr">
        <is>
          <t>5674178229</t>
        </is>
      </c>
      <c r="B614" t="inlineStr">
        <is>
          <t>Beauty Bar Medispa Greenville, PLLC</t>
        </is>
      </c>
      <c r="C614" t="inlineStr">
        <is>
          <t>Beauty Bar Medispa Greenville, PLLC</t>
        </is>
      </c>
      <c r="D614" t="inlineStr">
        <is>
          <t>Closed</t>
        </is>
      </c>
      <c r="E614" s="297" t="n">
        <v>46063</v>
      </c>
      <c r="F614" s="297" t="n">
        <v>46141</v>
      </c>
      <c r="G614" t="n">
        <v>2</v>
      </c>
      <c r="H614" t="inlineStr">
        <is>
          <t>7231</t>
        </is>
      </c>
      <c r="I614" t="inlineStr">
        <is>
          <t>72</t>
        </is>
      </c>
      <c r="J614" t="inlineStr">
        <is>
          <t>NC</t>
        </is>
      </c>
      <c r="K614" t="inlineStr">
        <is>
          <t>Ballicci</t>
        </is>
      </c>
      <c r="L614" t="inlineStr">
        <is>
          <t>New Deal</t>
        </is>
      </c>
      <c r="M614" s="298" t="n">
        <v>1.49</v>
      </c>
      <c r="N614" s="299" t="n">
        <v>20000</v>
      </c>
      <c r="O614" s="299" t="n">
        <v>2800</v>
      </c>
      <c r="P614" s="299" t="n">
        <v>29800</v>
      </c>
      <c r="Q614" s="299" t="n">
        <v>29800</v>
      </c>
      <c r="R614" s="299" t="n">
        <v>0</v>
      </c>
      <c r="S614" s="300" t="n">
        <v>1</v>
      </c>
      <c r="T614" t="n">
        <v>2.951</v>
      </c>
      <c r="U614" t="n">
        <v>0</v>
      </c>
      <c r="V614" t="n">
        <v>165533.36</v>
      </c>
      <c r="W614" s="300" t="n">
        <v>0.042</v>
      </c>
      <c r="X614" s="297" t="n">
        <v>43908</v>
      </c>
      <c r="Y614">
        <f>IF(I614="","No SIC",IFERROR(VLOOKUP(I614,Ref!$A$2:$B$65,2,FALSE),"Unclassified"))</f>
        <v/>
      </c>
      <c r="Z614">
        <f>IF(T614="","",IF(T614&lt;12,"Daily","Weekly"))</f>
        <v/>
      </c>
      <c r="AA614">
        <f>IF(T614="",0,IF(T614&lt;12,T614*Controls!$B$29,T614*5))</f>
        <v/>
      </c>
      <c r="AB614">
        <f>IF(E614="",0,NETWORKDAYS(E614,Controls!$B$36,Ref!$K$2:$K$42))</f>
        <v/>
      </c>
      <c r="AC614">
        <f>IF(AND(AA614&gt;0,AB614&gt;=Controls!$B$39*AA614),1,0)</f>
        <v/>
      </c>
      <c r="AD614">
        <f>IF(AND(E614&lt;&gt;"",E614&gt;=Controls!$B$37,E614&lt;=Controls!$B$38),1,0)</f>
        <v/>
      </c>
      <c r="AE614">
        <f>IF(IFERROR(VLOOKUP(D614,Controls!$A$64:$E$74,2,FALSE),"No")="Yes",1,0)</f>
        <v/>
      </c>
      <c r="AF614">
        <f>IF(IFERROR(VLOOKUP(D614,Controls!$A$64:$E$74,3,FALSE),"No")="Yes",1,0)</f>
        <v/>
      </c>
      <c r="AG614">
        <f>IF(IFERROR(VLOOKUP(D614,Controls!$A$64:$E$74,4,FALSE),"No")="Yes",1,0)</f>
        <v/>
      </c>
      <c r="AH614">
        <f>IF(IFERROR(VLOOKUP(D614,Controls!$A$64:$E$74,5,FALSE),"No")="Yes",1,0)</f>
        <v/>
      </c>
      <c r="AI614">
        <f>IF(ISNUMBER(MATCH(D614,Controls!$A$64:$A$74,0)),1,0)</f>
        <v/>
      </c>
      <c r="AJ614">
        <f>Q614-N614</f>
        <v/>
      </c>
      <c r="AK614">
        <f>IF(AE614=1,MAX(0,N614-Q614),0)</f>
        <v/>
      </c>
      <c r="AL614">
        <f>IF(OR(V614="",V614=0),0,N614/V614)</f>
        <v/>
      </c>
      <c r="AM614">
        <f>IF(OR(V614="",V614=0),0,1)</f>
        <v/>
      </c>
      <c r="AN614">
        <f>IF(OR(E614="",F614=""),0,NETWORKDAYS(E614,F614,Ref!$K$2:$K$42))</f>
        <v/>
      </c>
      <c r="AO614">
        <f>IF(L614="Renewal",1,0)</f>
        <v/>
      </c>
      <c r="AP614">
        <f>AC614*AD614</f>
        <v/>
      </c>
      <c r="AQ614">
        <f>IF(AND(G614&lt;&gt;"",'Historical Score'!$C$6&lt;&gt;""),IF(G614='Historical Score'!$C$6,1,0),0)</f>
        <v/>
      </c>
      <c r="AR614">
        <f>IF(AND(L614&lt;&gt;"",'Historical Score'!$C$5&lt;&gt;""),IF(L614='Historical Score'!$C$5,1,0),0)</f>
        <v/>
      </c>
      <c r="AS614">
        <f>IF(AND(Y614&lt;&gt;"",'Historical Score'!$C$7&lt;&gt;""),IF(Y614='Historical Score'!$C$7,1,0),0)</f>
        <v/>
      </c>
      <c r="AT614">
        <f>IF(AND(K614&lt;&gt;"",'Historical Score'!$C$8&lt;&gt;""),IF(K614='Historical Score'!$C$8,1,0),0)</f>
        <v/>
      </c>
      <c r="AU614">
        <f>IF(AND(J614&lt;&gt;"",'Historical Score'!$C$9&lt;&gt;""),IF(J614='Historical Score'!$C$9,1,0),0)</f>
        <v/>
      </c>
      <c r="AV614">
        <f>AR614*AS614*AQ614</f>
        <v/>
      </c>
      <c r="AW614">
        <f>AR614*AT614*AQ614</f>
        <v/>
      </c>
      <c r="AX614">
        <f>AR614*AS614</f>
        <v/>
      </c>
      <c r="AY614">
        <f>AR614*AT614</f>
        <v/>
      </c>
      <c r="AZ614">
        <f>AR614*AQ614</f>
        <v/>
      </c>
      <c r="BA614">
        <f>AR614</f>
        <v/>
      </c>
      <c r="BB614">
        <f>1</f>
        <v/>
      </c>
      <c r="BC614">
        <f>IF(AV614=1,1,IF(AW614=1,2,IF(AX614=1,3,IF(AY614=1,4,IF(AZ614=1,5,IF(BA614=1,6,7))))))</f>
        <v/>
      </c>
      <c r="BD614">
        <f>IF(AD614=1,CHOOSE('Historical Score'!$C$29,AV614,AW614,AX614,AY614,AZ614,BA614,BB614),0)</f>
        <v/>
      </c>
      <c r="BE614">
        <f>IF(BD614=1,COUNTIF($BD$2:BD614,1),"")</f>
        <v/>
      </c>
    </row>
    <row r="615">
      <c r="A615" t="inlineStr">
        <is>
          <t>5674178256</t>
        </is>
      </c>
      <c r="B615" t="inlineStr">
        <is>
          <t>ferrox enterprises inc</t>
        </is>
      </c>
      <c r="C615" t="inlineStr">
        <is>
          <t>ferrox enterprises inc</t>
        </is>
      </c>
      <c r="D615" t="inlineStr">
        <is>
          <t>Legal</t>
        </is>
      </c>
      <c r="E615" s="297" t="n">
        <v>46063</v>
      </c>
      <c r="F615" s="297" t="n">
        <v>46073</v>
      </c>
      <c r="G615" t="n">
        <v>3</v>
      </c>
      <c r="H615" t="inlineStr">
        <is>
          <t>5399</t>
        </is>
      </c>
      <c r="I615" t="inlineStr">
        <is>
          <t>53</t>
        </is>
      </c>
      <c r="J615" t="inlineStr">
        <is>
          <t>CA</t>
        </is>
      </c>
      <c r="K615" t="inlineStr">
        <is>
          <t>United Secured Capital 8</t>
        </is>
      </c>
      <c r="L615" t="inlineStr">
        <is>
          <t>New Deal</t>
        </is>
      </c>
      <c r="M615" s="298" t="n">
        <v>1.49</v>
      </c>
      <c r="N615" s="299" t="n">
        <v>25000</v>
      </c>
      <c r="O615" s="299" t="n">
        <v>0</v>
      </c>
      <c r="P615" s="299" t="n">
        <v>37250</v>
      </c>
      <c r="Q615" s="299" t="n">
        <v>1862.09</v>
      </c>
      <c r="R615" s="299" t="n">
        <v>35387.91</v>
      </c>
      <c r="S615" s="300" t="n">
        <v>0.0499889932885906</v>
      </c>
      <c r="T615" t="n">
        <v>20</v>
      </c>
      <c r="U615" t="n">
        <v>1</v>
      </c>
      <c r="V615" t="n">
        <v>70667.49000000001</v>
      </c>
      <c r="W615" s="300" t="n">
        <v>0.1054</v>
      </c>
      <c r="X615" s="297" t="n">
        <v>44705</v>
      </c>
      <c r="Y615">
        <f>IF(I615="","No SIC",IFERROR(VLOOKUP(I615,Ref!$A$2:$B$65,2,FALSE),"Unclassified"))</f>
        <v/>
      </c>
      <c r="Z615">
        <f>IF(T615="","",IF(T615&lt;12,"Daily","Weekly"))</f>
        <v/>
      </c>
      <c r="AA615">
        <f>IF(T615="",0,IF(T615&lt;12,T615*Controls!$B$29,T615*5))</f>
        <v/>
      </c>
      <c r="AB615">
        <f>IF(E615="",0,NETWORKDAYS(E615,Controls!$B$36,Ref!$K$2:$K$42))</f>
        <v/>
      </c>
      <c r="AC615">
        <f>IF(AND(AA615&gt;0,AB615&gt;=Controls!$B$39*AA615),1,0)</f>
        <v/>
      </c>
      <c r="AD615">
        <f>IF(AND(E615&lt;&gt;"",E615&gt;=Controls!$B$37,E615&lt;=Controls!$B$38),1,0)</f>
        <v/>
      </c>
      <c r="AE615">
        <f>IF(IFERROR(VLOOKUP(D615,Controls!$A$64:$E$74,2,FALSE),"No")="Yes",1,0)</f>
        <v/>
      </c>
      <c r="AF615">
        <f>IF(IFERROR(VLOOKUP(D615,Controls!$A$64:$E$74,3,FALSE),"No")="Yes",1,0)</f>
        <v/>
      </c>
      <c r="AG615">
        <f>IF(IFERROR(VLOOKUP(D615,Controls!$A$64:$E$74,4,FALSE),"No")="Yes",1,0)</f>
        <v/>
      </c>
      <c r="AH615">
        <f>IF(IFERROR(VLOOKUP(D615,Controls!$A$64:$E$74,5,FALSE),"No")="Yes",1,0)</f>
        <v/>
      </c>
      <c r="AI615">
        <f>IF(ISNUMBER(MATCH(D615,Controls!$A$64:$A$74,0)),1,0)</f>
        <v/>
      </c>
      <c r="AJ615">
        <f>Q615-N615</f>
        <v/>
      </c>
      <c r="AK615">
        <f>IF(AE615=1,MAX(0,N615-Q615),0)</f>
        <v/>
      </c>
      <c r="AL615">
        <f>IF(OR(V615="",V615=0),0,N615/V615)</f>
        <v/>
      </c>
      <c r="AM615">
        <f>IF(OR(V615="",V615=0),0,1)</f>
        <v/>
      </c>
      <c r="AN615">
        <f>IF(OR(E615="",F615=""),0,NETWORKDAYS(E615,F615,Ref!$K$2:$K$42))</f>
        <v/>
      </c>
      <c r="AO615">
        <f>IF(L615="Renewal",1,0)</f>
        <v/>
      </c>
      <c r="AP615">
        <f>AC615*AD615</f>
        <v/>
      </c>
      <c r="AQ615">
        <f>IF(AND(G615&lt;&gt;"",'Historical Score'!$C$6&lt;&gt;""),IF(G615='Historical Score'!$C$6,1,0),0)</f>
        <v/>
      </c>
      <c r="AR615">
        <f>IF(AND(L615&lt;&gt;"",'Historical Score'!$C$5&lt;&gt;""),IF(L615='Historical Score'!$C$5,1,0),0)</f>
        <v/>
      </c>
      <c r="AS615">
        <f>IF(AND(Y615&lt;&gt;"",'Historical Score'!$C$7&lt;&gt;""),IF(Y615='Historical Score'!$C$7,1,0),0)</f>
        <v/>
      </c>
      <c r="AT615">
        <f>IF(AND(K615&lt;&gt;"",'Historical Score'!$C$8&lt;&gt;""),IF(K615='Historical Score'!$C$8,1,0),0)</f>
        <v/>
      </c>
      <c r="AU615">
        <f>IF(AND(J615&lt;&gt;"",'Historical Score'!$C$9&lt;&gt;""),IF(J615='Historical Score'!$C$9,1,0),0)</f>
        <v/>
      </c>
      <c r="AV615">
        <f>AR615*AS615*AQ615</f>
        <v/>
      </c>
      <c r="AW615">
        <f>AR615*AT615*AQ615</f>
        <v/>
      </c>
      <c r="AX615">
        <f>AR615*AS615</f>
        <v/>
      </c>
      <c r="AY615">
        <f>AR615*AT615</f>
        <v/>
      </c>
      <c r="AZ615">
        <f>AR615*AQ615</f>
        <v/>
      </c>
      <c r="BA615">
        <f>AR615</f>
        <v/>
      </c>
      <c r="BB615">
        <f>1</f>
        <v/>
      </c>
      <c r="BC615">
        <f>IF(AV615=1,1,IF(AW615=1,2,IF(AX615=1,3,IF(AY615=1,4,IF(AZ615=1,5,IF(BA615=1,6,7))))))</f>
        <v/>
      </c>
      <c r="BD615">
        <f>IF(AD615=1,CHOOSE('Historical Score'!$C$29,AV615,AW615,AX615,AY615,AZ615,BA615,BB615),0)</f>
        <v/>
      </c>
      <c r="BE615">
        <f>IF(BD615=1,COUNTIF($BD$2:BD615,1),"")</f>
        <v/>
      </c>
    </row>
    <row r="616">
      <c r="A616" t="inlineStr">
        <is>
          <t>5674178317</t>
        </is>
      </c>
      <c r="B616" t="inlineStr">
        <is>
          <t>Falkon Technologies LLC</t>
        </is>
      </c>
      <c r="C616" t="inlineStr">
        <is>
          <t>Falkon Technologies LLC</t>
        </is>
      </c>
      <c r="D616" t="inlineStr">
        <is>
          <t>Closed</t>
        </is>
      </c>
      <c r="E616" s="297" t="n">
        <v>46064</v>
      </c>
      <c r="F616" s="297" t="n">
        <v>46132</v>
      </c>
      <c r="G616" t="n">
        <v>3</v>
      </c>
      <c r="H616" t="inlineStr">
        <is>
          <t>7382</t>
        </is>
      </c>
      <c r="I616" t="inlineStr">
        <is>
          <t>73</t>
        </is>
      </c>
      <c r="J616" t="inlineStr">
        <is>
          <t>No state</t>
        </is>
      </c>
      <c r="K616" t="inlineStr">
        <is>
          <t>PMF</t>
        </is>
      </c>
      <c r="L616" t="inlineStr">
        <is>
          <t>New Deal</t>
        </is>
      </c>
      <c r="M616" s="298" t="n">
        <v>1.09</v>
      </c>
      <c r="N616" s="299" t="n">
        <v>150000</v>
      </c>
      <c r="O616" s="299" t="n">
        <v>10500</v>
      </c>
      <c r="P616" s="299" t="n">
        <v>163500</v>
      </c>
      <c r="Q616" s="299" t="n">
        <v>163500</v>
      </c>
      <c r="R616" s="299" t="n">
        <v>0</v>
      </c>
      <c r="S616" s="300" t="n">
        <v>1</v>
      </c>
      <c r="T616" t="n">
        <v>40</v>
      </c>
      <c r="U616" t="n">
        <v>1</v>
      </c>
      <c r="V616" t="n">
        <v>675707.72</v>
      </c>
      <c r="W616" s="300" t="n">
        <v>0.032</v>
      </c>
      <c r="X616" s="297" t="n">
        <v>41310</v>
      </c>
      <c r="Y616">
        <f>IF(I616="","No SIC",IFERROR(VLOOKUP(I616,Ref!$A$2:$B$65,2,FALSE),"Unclassified"))</f>
        <v/>
      </c>
      <c r="Z616">
        <f>IF(T616="","",IF(T616&lt;12,"Daily","Weekly"))</f>
        <v/>
      </c>
      <c r="AA616">
        <f>IF(T616="",0,IF(T616&lt;12,T616*Controls!$B$29,T616*5))</f>
        <v/>
      </c>
      <c r="AB616">
        <f>IF(E616="",0,NETWORKDAYS(E616,Controls!$B$36,Ref!$K$2:$K$42))</f>
        <v/>
      </c>
      <c r="AC616">
        <f>IF(AND(AA616&gt;0,AB616&gt;=Controls!$B$39*AA616),1,0)</f>
        <v/>
      </c>
      <c r="AD616">
        <f>IF(AND(E616&lt;&gt;"",E616&gt;=Controls!$B$37,E616&lt;=Controls!$B$38),1,0)</f>
        <v/>
      </c>
      <c r="AE616">
        <f>IF(IFERROR(VLOOKUP(D616,Controls!$A$64:$E$74,2,FALSE),"No")="Yes",1,0)</f>
        <v/>
      </c>
      <c r="AF616">
        <f>IF(IFERROR(VLOOKUP(D616,Controls!$A$64:$E$74,3,FALSE),"No")="Yes",1,0)</f>
        <v/>
      </c>
      <c r="AG616">
        <f>IF(IFERROR(VLOOKUP(D616,Controls!$A$64:$E$74,4,FALSE),"No")="Yes",1,0)</f>
        <v/>
      </c>
      <c r="AH616">
        <f>IF(IFERROR(VLOOKUP(D616,Controls!$A$64:$E$74,5,FALSE),"No")="Yes",1,0)</f>
        <v/>
      </c>
      <c r="AI616">
        <f>IF(ISNUMBER(MATCH(D616,Controls!$A$64:$A$74,0)),1,0)</f>
        <v/>
      </c>
      <c r="AJ616">
        <f>Q616-N616</f>
        <v/>
      </c>
      <c r="AK616">
        <f>IF(AE616=1,MAX(0,N616-Q616),0)</f>
        <v/>
      </c>
      <c r="AL616">
        <f>IF(OR(V616="",V616=0),0,N616/V616)</f>
        <v/>
      </c>
      <c r="AM616">
        <f>IF(OR(V616="",V616=0),0,1)</f>
        <v/>
      </c>
      <c r="AN616">
        <f>IF(OR(E616="",F616=""),0,NETWORKDAYS(E616,F616,Ref!$K$2:$K$42))</f>
        <v/>
      </c>
      <c r="AO616">
        <f>IF(L616="Renewal",1,0)</f>
        <v/>
      </c>
      <c r="AP616">
        <f>AC616*AD616</f>
        <v/>
      </c>
      <c r="AQ616">
        <f>IF(AND(G616&lt;&gt;"",'Historical Score'!$C$6&lt;&gt;""),IF(G616='Historical Score'!$C$6,1,0),0)</f>
        <v/>
      </c>
      <c r="AR616">
        <f>IF(AND(L616&lt;&gt;"",'Historical Score'!$C$5&lt;&gt;""),IF(L616='Historical Score'!$C$5,1,0),0)</f>
        <v/>
      </c>
      <c r="AS616">
        <f>IF(AND(Y616&lt;&gt;"",'Historical Score'!$C$7&lt;&gt;""),IF(Y616='Historical Score'!$C$7,1,0),0)</f>
        <v/>
      </c>
      <c r="AT616">
        <f>IF(AND(K616&lt;&gt;"",'Historical Score'!$C$8&lt;&gt;""),IF(K616='Historical Score'!$C$8,1,0),0)</f>
        <v/>
      </c>
      <c r="AU616">
        <f>IF(AND(J616&lt;&gt;"",'Historical Score'!$C$9&lt;&gt;""),IF(J616='Historical Score'!$C$9,1,0),0)</f>
        <v/>
      </c>
      <c r="AV616">
        <f>AR616*AS616*AQ616</f>
        <v/>
      </c>
      <c r="AW616">
        <f>AR616*AT616*AQ616</f>
        <v/>
      </c>
      <c r="AX616">
        <f>AR616*AS616</f>
        <v/>
      </c>
      <c r="AY616">
        <f>AR616*AT616</f>
        <v/>
      </c>
      <c r="AZ616">
        <f>AR616*AQ616</f>
        <v/>
      </c>
      <c r="BA616">
        <f>AR616</f>
        <v/>
      </c>
      <c r="BB616">
        <f>1</f>
        <v/>
      </c>
      <c r="BC616">
        <f>IF(AV616=1,1,IF(AW616=1,2,IF(AX616=1,3,IF(AY616=1,4,IF(AZ616=1,5,IF(BA616=1,6,7))))))</f>
        <v/>
      </c>
      <c r="BD616">
        <f>IF(AD616=1,CHOOSE('Historical Score'!$C$29,AV616,AW616,AX616,AY616,AZ616,BA616,BB616),0)</f>
        <v/>
      </c>
      <c r="BE616">
        <f>IF(BD616=1,COUNTIF($BD$2:BD616,1),"")</f>
        <v/>
      </c>
    </row>
    <row r="617">
      <c r="A617" t="inlineStr">
        <is>
          <t>5674178327</t>
        </is>
      </c>
      <c r="B617" t="inlineStr">
        <is>
          <t>AAMCO of Athens</t>
        </is>
      </c>
      <c r="C617" t="inlineStr">
        <is>
          <t>RL BARRON HOLDING INC</t>
        </is>
      </c>
      <c r="D617" t="inlineStr">
        <is>
          <t>Closed</t>
        </is>
      </c>
      <c r="E617" s="297" t="n">
        <v>46064</v>
      </c>
      <c r="F617" s="297" t="n">
        <v>46140</v>
      </c>
      <c r="G617" t="n">
        <v>3</v>
      </c>
      <c r="H617" t="inlineStr">
        <is>
          <t>7538</t>
        </is>
      </c>
      <c r="I617" t="inlineStr">
        <is>
          <t>75</t>
        </is>
      </c>
      <c r="J617" t="inlineStr">
        <is>
          <t>No state</t>
        </is>
      </c>
      <c r="K617" t="inlineStr">
        <is>
          <t>Ballicci</t>
        </is>
      </c>
      <c r="L617" t="inlineStr">
        <is>
          <t>New Deal</t>
        </is>
      </c>
      <c r="M617" s="298" t="n">
        <v>1.49</v>
      </c>
      <c r="N617" s="299" t="n">
        <v>25000</v>
      </c>
      <c r="O617" s="299" t="n">
        <v>3500</v>
      </c>
      <c r="P617" s="299" t="n">
        <v>37250</v>
      </c>
      <c r="Q617" s="299" t="n">
        <v>37250</v>
      </c>
      <c r="R617" s="299" t="n">
        <v>0</v>
      </c>
      <c r="S617" s="300" t="n">
        <v>1</v>
      </c>
      <c r="T617" t="n">
        <v>100</v>
      </c>
      <c r="U617" t="n">
        <v>0</v>
      </c>
      <c r="V617" t="n">
        <v>41414.05</v>
      </c>
      <c r="W617" s="300" t="n">
        <v>0.1889</v>
      </c>
      <c r="X617" s="297" t="n"/>
      <c r="Y617">
        <f>IF(I617="","No SIC",IFERROR(VLOOKUP(I617,Ref!$A$2:$B$65,2,FALSE),"Unclassified"))</f>
        <v/>
      </c>
      <c r="Z617">
        <f>IF(T617="","",IF(T617&lt;12,"Daily","Weekly"))</f>
        <v/>
      </c>
      <c r="AA617">
        <f>IF(T617="",0,IF(T617&lt;12,T617*Controls!$B$29,T617*5))</f>
        <v/>
      </c>
      <c r="AB617">
        <f>IF(E617="",0,NETWORKDAYS(E617,Controls!$B$36,Ref!$K$2:$K$42))</f>
        <v/>
      </c>
      <c r="AC617">
        <f>IF(AND(AA617&gt;0,AB617&gt;=Controls!$B$39*AA617),1,0)</f>
        <v/>
      </c>
      <c r="AD617">
        <f>IF(AND(E617&lt;&gt;"",E617&gt;=Controls!$B$37,E617&lt;=Controls!$B$38),1,0)</f>
        <v/>
      </c>
      <c r="AE617">
        <f>IF(IFERROR(VLOOKUP(D617,Controls!$A$64:$E$74,2,FALSE),"No")="Yes",1,0)</f>
        <v/>
      </c>
      <c r="AF617">
        <f>IF(IFERROR(VLOOKUP(D617,Controls!$A$64:$E$74,3,FALSE),"No")="Yes",1,0)</f>
        <v/>
      </c>
      <c r="AG617">
        <f>IF(IFERROR(VLOOKUP(D617,Controls!$A$64:$E$74,4,FALSE),"No")="Yes",1,0)</f>
        <v/>
      </c>
      <c r="AH617">
        <f>IF(IFERROR(VLOOKUP(D617,Controls!$A$64:$E$74,5,FALSE),"No")="Yes",1,0)</f>
        <v/>
      </c>
      <c r="AI617">
        <f>IF(ISNUMBER(MATCH(D617,Controls!$A$64:$A$74,0)),1,0)</f>
        <v/>
      </c>
      <c r="AJ617">
        <f>Q617-N617</f>
        <v/>
      </c>
      <c r="AK617">
        <f>IF(AE617=1,MAX(0,N617-Q617),0)</f>
        <v/>
      </c>
      <c r="AL617">
        <f>IF(OR(V617="",V617=0),0,N617/V617)</f>
        <v/>
      </c>
      <c r="AM617">
        <f>IF(OR(V617="",V617=0),0,1)</f>
        <v/>
      </c>
      <c r="AN617">
        <f>IF(OR(E617="",F617=""),0,NETWORKDAYS(E617,F617,Ref!$K$2:$K$42))</f>
        <v/>
      </c>
      <c r="AO617">
        <f>IF(L617="Renewal",1,0)</f>
        <v/>
      </c>
      <c r="AP617">
        <f>AC617*AD617</f>
        <v/>
      </c>
      <c r="AQ617">
        <f>IF(AND(G617&lt;&gt;"",'Historical Score'!$C$6&lt;&gt;""),IF(G617='Historical Score'!$C$6,1,0),0)</f>
        <v/>
      </c>
      <c r="AR617">
        <f>IF(AND(L617&lt;&gt;"",'Historical Score'!$C$5&lt;&gt;""),IF(L617='Historical Score'!$C$5,1,0),0)</f>
        <v/>
      </c>
      <c r="AS617">
        <f>IF(AND(Y617&lt;&gt;"",'Historical Score'!$C$7&lt;&gt;""),IF(Y617='Historical Score'!$C$7,1,0),0)</f>
        <v/>
      </c>
      <c r="AT617">
        <f>IF(AND(K617&lt;&gt;"",'Historical Score'!$C$8&lt;&gt;""),IF(K617='Historical Score'!$C$8,1,0),0)</f>
        <v/>
      </c>
      <c r="AU617">
        <f>IF(AND(J617&lt;&gt;"",'Historical Score'!$C$9&lt;&gt;""),IF(J617='Historical Score'!$C$9,1,0),0)</f>
        <v/>
      </c>
      <c r="AV617">
        <f>AR617*AS617*AQ617</f>
        <v/>
      </c>
      <c r="AW617">
        <f>AR617*AT617*AQ617</f>
        <v/>
      </c>
      <c r="AX617">
        <f>AR617*AS617</f>
        <v/>
      </c>
      <c r="AY617">
        <f>AR617*AT617</f>
        <v/>
      </c>
      <c r="AZ617">
        <f>AR617*AQ617</f>
        <v/>
      </c>
      <c r="BA617">
        <f>AR617</f>
        <v/>
      </c>
      <c r="BB617">
        <f>1</f>
        <v/>
      </c>
      <c r="BC617">
        <f>IF(AV617=1,1,IF(AW617=1,2,IF(AX617=1,3,IF(AY617=1,4,IF(AZ617=1,5,IF(BA617=1,6,7))))))</f>
        <v/>
      </c>
      <c r="BD617">
        <f>IF(AD617=1,CHOOSE('Historical Score'!$C$29,AV617,AW617,AX617,AY617,AZ617,BA617,BB617),0)</f>
        <v/>
      </c>
      <c r="BE617">
        <f>IF(BD617=1,COUNTIF($BD$2:BD617,1),"")</f>
        <v/>
      </c>
    </row>
    <row r="618">
      <c r="A618" t="inlineStr">
        <is>
          <t>5674178331</t>
        </is>
      </c>
      <c r="B618" t="inlineStr">
        <is>
          <t>Silver &amp; Riley</t>
        </is>
      </c>
      <c r="C618" t="inlineStr">
        <is>
          <t>Silver &amp; Riley</t>
        </is>
      </c>
      <c r="D618" t="inlineStr">
        <is>
          <t>Closed</t>
        </is>
      </c>
      <c r="E618" s="297" t="n">
        <v>46064</v>
      </c>
      <c r="F618" s="297" t="n">
        <v>46195</v>
      </c>
      <c r="G618" t="n">
        <v>2</v>
      </c>
      <c r="H618" t="inlineStr">
        <is>
          <t>5399</t>
        </is>
      </c>
      <c r="I618" t="inlineStr">
        <is>
          <t>53</t>
        </is>
      </c>
      <c r="J618" t="inlineStr">
        <is>
          <t>No state</t>
        </is>
      </c>
      <c r="K618" t="inlineStr">
        <is>
          <t>Vanguard Equities</t>
        </is>
      </c>
      <c r="L618" t="inlineStr">
        <is>
          <t>New Deal</t>
        </is>
      </c>
      <c r="M618" s="298" t="n">
        <v>1.43</v>
      </c>
      <c r="N618" s="299" t="n">
        <v>20000</v>
      </c>
      <c r="O618" s="299" t="n">
        <v>2200</v>
      </c>
      <c r="P618" s="299" t="n">
        <v>28600</v>
      </c>
      <c r="Q618" s="299" t="n">
        <v>28600</v>
      </c>
      <c r="R618" s="299" t="n">
        <v>0</v>
      </c>
      <c r="S618" s="300" t="n">
        <v>1</v>
      </c>
      <c r="T618" t="n">
        <v>90</v>
      </c>
      <c r="U618" t="n">
        <v>1</v>
      </c>
      <c r="V618" t="n">
        <v>37557.06</v>
      </c>
      <c r="W618" s="300" t="n">
        <v>0.1777</v>
      </c>
      <c r="X618" s="297" t="n">
        <v>43617</v>
      </c>
      <c r="Y618">
        <f>IF(I618="","No SIC",IFERROR(VLOOKUP(I618,Ref!$A$2:$B$65,2,FALSE),"Unclassified"))</f>
        <v/>
      </c>
      <c r="Z618">
        <f>IF(T618="","",IF(T618&lt;12,"Daily","Weekly"))</f>
        <v/>
      </c>
      <c r="AA618">
        <f>IF(T618="",0,IF(T618&lt;12,T618*Controls!$B$29,T618*5))</f>
        <v/>
      </c>
      <c r="AB618">
        <f>IF(E618="",0,NETWORKDAYS(E618,Controls!$B$36,Ref!$K$2:$K$42))</f>
        <v/>
      </c>
      <c r="AC618">
        <f>IF(AND(AA618&gt;0,AB618&gt;=Controls!$B$39*AA618),1,0)</f>
        <v/>
      </c>
      <c r="AD618">
        <f>IF(AND(E618&lt;&gt;"",E618&gt;=Controls!$B$37,E618&lt;=Controls!$B$38),1,0)</f>
        <v/>
      </c>
      <c r="AE618">
        <f>IF(IFERROR(VLOOKUP(D618,Controls!$A$64:$E$74,2,FALSE),"No")="Yes",1,0)</f>
        <v/>
      </c>
      <c r="AF618">
        <f>IF(IFERROR(VLOOKUP(D618,Controls!$A$64:$E$74,3,FALSE),"No")="Yes",1,0)</f>
        <v/>
      </c>
      <c r="AG618">
        <f>IF(IFERROR(VLOOKUP(D618,Controls!$A$64:$E$74,4,FALSE),"No")="Yes",1,0)</f>
        <v/>
      </c>
      <c r="AH618">
        <f>IF(IFERROR(VLOOKUP(D618,Controls!$A$64:$E$74,5,FALSE),"No")="Yes",1,0)</f>
        <v/>
      </c>
      <c r="AI618">
        <f>IF(ISNUMBER(MATCH(D618,Controls!$A$64:$A$74,0)),1,0)</f>
        <v/>
      </c>
      <c r="AJ618">
        <f>Q618-N618</f>
        <v/>
      </c>
      <c r="AK618">
        <f>IF(AE618=1,MAX(0,N618-Q618),0)</f>
        <v/>
      </c>
      <c r="AL618">
        <f>IF(OR(V618="",V618=0),0,N618/V618)</f>
        <v/>
      </c>
      <c r="AM618">
        <f>IF(OR(V618="",V618=0),0,1)</f>
        <v/>
      </c>
      <c r="AN618">
        <f>IF(OR(E618="",F618=""),0,NETWORKDAYS(E618,F618,Ref!$K$2:$K$42))</f>
        <v/>
      </c>
      <c r="AO618">
        <f>IF(L618="Renewal",1,0)</f>
        <v/>
      </c>
      <c r="AP618">
        <f>AC618*AD618</f>
        <v/>
      </c>
      <c r="AQ618">
        <f>IF(AND(G618&lt;&gt;"",'Historical Score'!$C$6&lt;&gt;""),IF(G618='Historical Score'!$C$6,1,0),0)</f>
        <v/>
      </c>
      <c r="AR618">
        <f>IF(AND(L618&lt;&gt;"",'Historical Score'!$C$5&lt;&gt;""),IF(L618='Historical Score'!$C$5,1,0),0)</f>
        <v/>
      </c>
      <c r="AS618">
        <f>IF(AND(Y618&lt;&gt;"",'Historical Score'!$C$7&lt;&gt;""),IF(Y618='Historical Score'!$C$7,1,0),0)</f>
        <v/>
      </c>
      <c r="AT618">
        <f>IF(AND(K618&lt;&gt;"",'Historical Score'!$C$8&lt;&gt;""),IF(K618='Historical Score'!$C$8,1,0),0)</f>
        <v/>
      </c>
      <c r="AU618">
        <f>IF(AND(J618&lt;&gt;"",'Historical Score'!$C$9&lt;&gt;""),IF(J618='Historical Score'!$C$9,1,0),0)</f>
        <v/>
      </c>
      <c r="AV618">
        <f>AR618*AS618*AQ618</f>
        <v/>
      </c>
      <c r="AW618">
        <f>AR618*AT618*AQ618</f>
        <v/>
      </c>
      <c r="AX618">
        <f>AR618*AS618</f>
        <v/>
      </c>
      <c r="AY618">
        <f>AR618*AT618</f>
        <v/>
      </c>
      <c r="AZ618">
        <f>AR618*AQ618</f>
        <v/>
      </c>
      <c r="BA618">
        <f>AR618</f>
        <v/>
      </c>
      <c r="BB618">
        <f>1</f>
        <v/>
      </c>
      <c r="BC618">
        <f>IF(AV618=1,1,IF(AW618=1,2,IF(AX618=1,3,IF(AY618=1,4,IF(AZ618=1,5,IF(BA618=1,6,7))))))</f>
        <v/>
      </c>
      <c r="BD618">
        <f>IF(AD618=1,CHOOSE('Historical Score'!$C$29,AV618,AW618,AX618,AY618,AZ618,BA618,BB618),0)</f>
        <v/>
      </c>
      <c r="BE618">
        <f>IF(BD618=1,COUNTIF($BD$2:BD618,1),"")</f>
        <v/>
      </c>
    </row>
    <row r="619">
      <c r="A619" t="inlineStr">
        <is>
          <t>5674178399</t>
        </is>
      </c>
      <c r="B619" t="inlineStr">
        <is>
          <t>Fifth Gear Powersports</t>
        </is>
      </c>
      <c r="C619" t="inlineStr">
        <is>
          <t>FIFTH GEAR POWERSPORTS LLC</t>
        </is>
      </c>
      <c r="D619" t="inlineStr">
        <is>
          <t>Legal</t>
        </is>
      </c>
      <c r="E619" s="297" t="n">
        <v>46065</v>
      </c>
      <c r="F619" s="297" t="n">
        <v>46188</v>
      </c>
      <c r="G619" t="n">
        <v>3</v>
      </c>
      <c r="H619" t="inlineStr">
        <is>
          <t>7538</t>
        </is>
      </c>
      <c r="I619" t="inlineStr">
        <is>
          <t>75</t>
        </is>
      </c>
      <c r="J619" t="inlineStr">
        <is>
          <t>MI</t>
        </is>
      </c>
      <c r="K619" t="inlineStr">
        <is>
          <t>Ballicci</t>
        </is>
      </c>
      <c r="L619" t="inlineStr">
        <is>
          <t>New Deal</t>
        </is>
      </c>
      <c r="M619" s="298" t="n">
        <v>1.4</v>
      </c>
      <c r="N619" s="299" t="n">
        <v>30000</v>
      </c>
      <c r="O619" s="299" t="n">
        <v>2850</v>
      </c>
      <c r="P619" s="299" t="n">
        <v>42000</v>
      </c>
      <c r="Q619" s="299" t="n">
        <v>9517.65</v>
      </c>
      <c r="R619" s="299" t="n">
        <v>32482.35</v>
      </c>
      <c r="S619" s="300" t="n">
        <v>0.226610714285714</v>
      </c>
      <c r="T619" t="n">
        <v>24</v>
      </c>
      <c r="U619" t="n">
        <v>7</v>
      </c>
      <c r="W619" s="300" t="n">
        <v>0.126</v>
      </c>
      <c r="X619" s="297" t="n">
        <v>45132</v>
      </c>
      <c r="Y619">
        <f>IF(I619="","No SIC",IFERROR(VLOOKUP(I619,Ref!$A$2:$B$65,2,FALSE),"Unclassified"))</f>
        <v/>
      </c>
      <c r="Z619">
        <f>IF(T619="","",IF(T619&lt;12,"Daily","Weekly"))</f>
        <v/>
      </c>
      <c r="AA619">
        <f>IF(T619="",0,IF(T619&lt;12,T619*Controls!$B$29,T619*5))</f>
        <v/>
      </c>
      <c r="AB619">
        <f>IF(E619="",0,NETWORKDAYS(E619,Controls!$B$36,Ref!$K$2:$K$42))</f>
        <v/>
      </c>
      <c r="AC619">
        <f>IF(AND(AA619&gt;0,AB619&gt;=Controls!$B$39*AA619),1,0)</f>
        <v/>
      </c>
      <c r="AD619">
        <f>IF(AND(E619&lt;&gt;"",E619&gt;=Controls!$B$37,E619&lt;=Controls!$B$38),1,0)</f>
        <v/>
      </c>
      <c r="AE619">
        <f>IF(IFERROR(VLOOKUP(D619,Controls!$A$64:$E$74,2,FALSE),"No")="Yes",1,0)</f>
        <v/>
      </c>
      <c r="AF619">
        <f>IF(IFERROR(VLOOKUP(D619,Controls!$A$64:$E$74,3,FALSE),"No")="Yes",1,0)</f>
        <v/>
      </c>
      <c r="AG619">
        <f>IF(IFERROR(VLOOKUP(D619,Controls!$A$64:$E$74,4,FALSE),"No")="Yes",1,0)</f>
        <v/>
      </c>
      <c r="AH619">
        <f>IF(IFERROR(VLOOKUP(D619,Controls!$A$64:$E$74,5,FALSE),"No")="Yes",1,0)</f>
        <v/>
      </c>
      <c r="AI619">
        <f>IF(ISNUMBER(MATCH(D619,Controls!$A$64:$A$74,0)),1,0)</f>
        <v/>
      </c>
      <c r="AJ619">
        <f>Q619-N619</f>
        <v/>
      </c>
      <c r="AK619">
        <f>IF(AE619=1,MAX(0,N619-Q619),0)</f>
        <v/>
      </c>
      <c r="AL619">
        <f>IF(OR(V619="",V619=0),0,N619/V619)</f>
        <v/>
      </c>
      <c r="AM619">
        <f>IF(OR(V619="",V619=0),0,1)</f>
        <v/>
      </c>
      <c r="AN619">
        <f>IF(OR(E619="",F619=""),0,NETWORKDAYS(E619,F619,Ref!$K$2:$K$42))</f>
        <v/>
      </c>
      <c r="AO619">
        <f>IF(L619="Renewal",1,0)</f>
        <v/>
      </c>
      <c r="AP619">
        <f>AC619*AD619</f>
        <v/>
      </c>
      <c r="AQ619">
        <f>IF(AND(G619&lt;&gt;"",'Historical Score'!$C$6&lt;&gt;""),IF(G619='Historical Score'!$C$6,1,0),0)</f>
        <v/>
      </c>
      <c r="AR619">
        <f>IF(AND(L619&lt;&gt;"",'Historical Score'!$C$5&lt;&gt;""),IF(L619='Historical Score'!$C$5,1,0),0)</f>
        <v/>
      </c>
      <c r="AS619">
        <f>IF(AND(Y619&lt;&gt;"",'Historical Score'!$C$7&lt;&gt;""),IF(Y619='Historical Score'!$C$7,1,0),0)</f>
        <v/>
      </c>
      <c r="AT619">
        <f>IF(AND(K619&lt;&gt;"",'Historical Score'!$C$8&lt;&gt;""),IF(K619='Historical Score'!$C$8,1,0),0)</f>
        <v/>
      </c>
      <c r="AU619">
        <f>IF(AND(J619&lt;&gt;"",'Historical Score'!$C$9&lt;&gt;""),IF(J619='Historical Score'!$C$9,1,0),0)</f>
        <v/>
      </c>
      <c r="AV619">
        <f>AR619*AS619*AQ619</f>
        <v/>
      </c>
      <c r="AW619">
        <f>AR619*AT619*AQ619</f>
        <v/>
      </c>
      <c r="AX619">
        <f>AR619*AS619</f>
        <v/>
      </c>
      <c r="AY619">
        <f>AR619*AT619</f>
        <v/>
      </c>
      <c r="AZ619">
        <f>AR619*AQ619</f>
        <v/>
      </c>
      <c r="BA619">
        <f>AR619</f>
        <v/>
      </c>
      <c r="BB619">
        <f>1</f>
        <v/>
      </c>
      <c r="BC619">
        <f>IF(AV619=1,1,IF(AW619=1,2,IF(AX619=1,3,IF(AY619=1,4,IF(AZ619=1,5,IF(BA619=1,6,7))))))</f>
        <v/>
      </c>
      <c r="BD619">
        <f>IF(AD619=1,CHOOSE('Historical Score'!$C$29,AV619,AW619,AX619,AY619,AZ619,BA619,BB619),0)</f>
        <v/>
      </c>
      <c r="BE619">
        <f>IF(BD619=1,COUNTIF($BD$2:BD619,1),"")</f>
        <v/>
      </c>
    </row>
    <row r="620">
      <c r="A620" t="inlineStr">
        <is>
          <t>5674178438</t>
        </is>
      </c>
      <c r="B620" t="inlineStr">
        <is>
          <t>PARIKH LAW GROUP</t>
        </is>
      </c>
      <c r="C620" t="inlineStr">
        <is>
          <t>PARIKH LAW GROUP LLC</t>
        </is>
      </c>
      <c r="D620" t="inlineStr">
        <is>
          <t>Closed</t>
        </is>
      </c>
      <c r="E620" s="297" t="n">
        <v>46065</v>
      </c>
      <c r="F620" s="297" t="n">
        <v>46133</v>
      </c>
      <c r="G620" t="n">
        <v>4</v>
      </c>
      <c r="H620" t="inlineStr">
        <is>
          <t>8111</t>
        </is>
      </c>
      <c r="I620" t="inlineStr">
        <is>
          <t>81</t>
        </is>
      </c>
      <c r="J620" t="inlineStr">
        <is>
          <t>IL</t>
        </is>
      </c>
      <c r="K620" t="inlineStr">
        <is>
          <t>Westwood</t>
        </is>
      </c>
      <c r="L620" t="inlineStr">
        <is>
          <t>Renewal</t>
        </is>
      </c>
      <c r="M620" s="298" t="n">
        <v>1.49</v>
      </c>
      <c r="N620" s="299" t="n">
        <v>180000</v>
      </c>
      <c r="O620" s="299" t="n">
        <v>27000</v>
      </c>
      <c r="P620" s="299" t="n">
        <v>268200</v>
      </c>
      <c r="Q620" s="299" t="n">
        <v>268200</v>
      </c>
      <c r="R620" s="299" t="n">
        <v>0</v>
      </c>
      <c r="S620" s="300" t="n">
        <v>1</v>
      </c>
      <c r="T620" t="n">
        <v>3.443</v>
      </c>
      <c r="U620" t="n">
        <v>2</v>
      </c>
      <c r="W620" s="300" t="n">
        <v>0.2029</v>
      </c>
      <c r="X620" s="297" t="n">
        <v>40198</v>
      </c>
      <c r="Y620">
        <f>IF(I620="","No SIC",IFERROR(VLOOKUP(I620,Ref!$A$2:$B$65,2,FALSE),"Unclassified"))</f>
        <v/>
      </c>
      <c r="Z620">
        <f>IF(T620="","",IF(T620&lt;12,"Daily","Weekly"))</f>
        <v/>
      </c>
      <c r="AA620">
        <f>IF(T620="",0,IF(T620&lt;12,T620*Controls!$B$29,T620*5))</f>
        <v/>
      </c>
      <c r="AB620">
        <f>IF(E620="",0,NETWORKDAYS(E620,Controls!$B$36,Ref!$K$2:$K$42))</f>
        <v/>
      </c>
      <c r="AC620">
        <f>IF(AND(AA620&gt;0,AB620&gt;=Controls!$B$39*AA620),1,0)</f>
        <v/>
      </c>
      <c r="AD620">
        <f>IF(AND(E620&lt;&gt;"",E620&gt;=Controls!$B$37,E620&lt;=Controls!$B$38),1,0)</f>
        <v/>
      </c>
      <c r="AE620">
        <f>IF(IFERROR(VLOOKUP(D620,Controls!$A$64:$E$74,2,FALSE),"No")="Yes",1,0)</f>
        <v/>
      </c>
      <c r="AF620">
        <f>IF(IFERROR(VLOOKUP(D620,Controls!$A$64:$E$74,3,FALSE),"No")="Yes",1,0)</f>
        <v/>
      </c>
      <c r="AG620">
        <f>IF(IFERROR(VLOOKUP(D620,Controls!$A$64:$E$74,4,FALSE),"No")="Yes",1,0)</f>
        <v/>
      </c>
      <c r="AH620">
        <f>IF(IFERROR(VLOOKUP(D620,Controls!$A$64:$E$74,5,FALSE),"No")="Yes",1,0)</f>
        <v/>
      </c>
      <c r="AI620">
        <f>IF(ISNUMBER(MATCH(D620,Controls!$A$64:$A$74,0)),1,0)</f>
        <v/>
      </c>
      <c r="AJ620">
        <f>Q620-N620</f>
        <v/>
      </c>
      <c r="AK620">
        <f>IF(AE620=1,MAX(0,N620-Q620),0)</f>
        <v/>
      </c>
      <c r="AL620">
        <f>IF(OR(V620="",V620=0),0,N620/V620)</f>
        <v/>
      </c>
      <c r="AM620">
        <f>IF(OR(V620="",V620=0),0,1)</f>
        <v/>
      </c>
      <c r="AN620">
        <f>IF(OR(E620="",F620=""),0,NETWORKDAYS(E620,F620,Ref!$K$2:$K$42))</f>
        <v/>
      </c>
      <c r="AO620">
        <f>IF(L620="Renewal",1,0)</f>
        <v/>
      </c>
      <c r="AP620">
        <f>AC620*AD620</f>
        <v/>
      </c>
      <c r="AQ620">
        <f>IF(AND(G620&lt;&gt;"",'Historical Score'!$C$6&lt;&gt;""),IF(G620='Historical Score'!$C$6,1,0),0)</f>
        <v/>
      </c>
      <c r="AR620">
        <f>IF(AND(L620&lt;&gt;"",'Historical Score'!$C$5&lt;&gt;""),IF(L620='Historical Score'!$C$5,1,0),0)</f>
        <v/>
      </c>
      <c r="AS620">
        <f>IF(AND(Y620&lt;&gt;"",'Historical Score'!$C$7&lt;&gt;""),IF(Y620='Historical Score'!$C$7,1,0),0)</f>
        <v/>
      </c>
      <c r="AT620">
        <f>IF(AND(K620&lt;&gt;"",'Historical Score'!$C$8&lt;&gt;""),IF(K620='Historical Score'!$C$8,1,0),0)</f>
        <v/>
      </c>
      <c r="AU620">
        <f>IF(AND(J620&lt;&gt;"",'Historical Score'!$C$9&lt;&gt;""),IF(J620='Historical Score'!$C$9,1,0),0)</f>
        <v/>
      </c>
      <c r="AV620">
        <f>AR620*AS620*AQ620</f>
        <v/>
      </c>
      <c r="AW620">
        <f>AR620*AT620*AQ620</f>
        <v/>
      </c>
      <c r="AX620">
        <f>AR620*AS620</f>
        <v/>
      </c>
      <c r="AY620">
        <f>AR620*AT620</f>
        <v/>
      </c>
      <c r="AZ620">
        <f>AR620*AQ620</f>
        <v/>
      </c>
      <c r="BA620">
        <f>AR620</f>
        <v/>
      </c>
      <c r="BB620">
        <f>1</f>
        <v/>
      </c>
      <c r="BC620">
        <f>IF(AV620=1,1,IF(AW620=1,2,IF(AX620=1,3,IF(AY620=1,4,IF(AZ620=1,5,IF(BA620=1,6,7))))))</f>
        <v/>
      </c>
      <c r="BD620">
        <f>IF(AD620=1,CHOOSE('Historical Score'!$C$29,AV620,AW620,AX620,AY620,AZ620,BA620,BB620),0)</f>
        <v/>
      </c>
      <c r="BE620">
        <f>IF(BD620=1,COUNTIF($BD$2:BD620,1),"")</f>
        <v/>
      </c>
    </row>
    <row r="621">
      <c r="A621" t="inlineStr">
        <is>
          <t>5674178491</t>
        </is>
      </c>
      <c r="B621" t="inlineStr">
        <is>
          <t>FIREWATER RESTORATION AND CONSTRUCTION, INC</t>
        </is>
      </c>
      <c r="C621" t="inlineStr">
        <is>
          <t>FIREWATER RESTORATION AND CONSTRUCTION, INC</t>
        </is>
      </c>
      <c r="D621" t="inlineStr">
        <is>
          <t>Legal</t>
        </is>
      </c>
      <c r="E621" s="297" t="n">
        <v>46066</v>
      </c>
      <c r="F621" s="297" t="n">
        <v>46156</v>
      </c>
      <c r="G621" t="n">
        <v>3</v>
      </c>
      <c r="H621" t="inlineStr">
        <is>
          <t>1521</t>
        </is>
      </c>
      <c r="I621" t="inlineStr">
        <is>
          <t>15</t>
        </is>
      </c>
      <c r="J621" t="inlineStr">
        <is>
          <t>CA</t>
        </is>
      </c>
      <c r="K621" t="inlineStr">
        <is>
          <t>United Secured Capital 8</t>
        </is>
      </c>
      <c r="L621" t="inlineStr">
        <is>
          <t>New Deal</t>
        </is>
      </c>
      <c r="M621" s="298" t="n">
        <v>1.41</v>
      </c>
      <c r="N621" s="299" t="n">
        <v>30000</v>
      </c>
      <c r="O621" s="299" t="n">
        <v>3000</v>
      </c>
      <c r="P621" s="299" t="n">
        <v>42300</v>
      </c>
      <c r="Q621" s="299" t="n">
        <v>7282.92</v>
      </c>
      <c r="R621" s="299" t="n">
        <v>35017.08</v>
      </c>
      <c r="S621" s="300" t="n">
        <v>0.17217304964539</v>
      </c>
      <c r="T621" t="n">
        <v>26</v>
      </c>
      <c r="U621" t="n">
        <v>2</v>
      </c>
      <c r="V621" t="n">
        <v>69557.39999999999</v>
      </c>
      <c r="W621" s="300" t="n">
        <v>0.0936</v>
      </c>
      <c r="X621" s="297" t="n"/>
      <c r="Y621">
        <f>IF(I621="","No SIC",IFERROR(VLOOKUP(I621,Ref!$A$2:$B$65,2,FALSE),"Unclassified"))</f>
        <v/>
      </c>
      <c r="Z621">
        <f>IF(T621="","",IF(T621&lt;12,"Daily","Weekly"))</f>
        <v/>
      </c>
      <c r="AA621">
        <f>IF(T621="",0,IF(T621&lt;12,T621*Controls!$B$29,T621*5))</f>
        <v/>
      </c>
      <c r="AB621">
        <f>IF(E621="",0,NETWORKDAYS(E621,Controls!$B$36,Ref!$K$2:$K$42))</f>
        <v/>
      </c>
      <c r="AC621">
        <f>IF(AND(AA621&gt;0,AB621&gt;=Controls!$B$39*AA621),1,0)</f>
        <v/>
      </c>
      <c r="AD621">
        <f>IF(AND(E621&lt;&gt;"",E621&gt;=Controls!$B$37,E621&lt;=Controls!$B$38),1,0)</f>
        <v/>
      </c>
      <c r="AE621">
        <f>IF(IFERROR(VLOOKUP(D621,Controls!$A$64:$E$74,2,FALSE),"No")="Yes",1,0)</f>
        <v/>
      </c>
      <c r="AF621">
        <f>IF(IFERROR(VLOOKUP(D621,Controls!$A$64:$E$74,3,FALSE),"No")="Yes",1,0)</f>
        <v/>
      </c>
      <c r="AG621">
        <f>IF(IFERROR(VLOOKUP(D621,Controls!$A$64:$E$74,4,FALSE),"No")="Yes",1,0)</f>
        <v/>
      </c>
      <c r="AH621">
        <f>IF(IFERROR(VLOOKUP(D621,Controls!$A$64:$E$74,5,FALSE),"No")="Yes",1,0)</f>
        <v/>
      </c>
      <c r="AI621">
        <f>IF(ISNUMBER(MATCH(D621,Controls!$A$64:$A$74,0)),1,0)</f>
        <v/>
      </c>
      <c r="AJ621">
        <f>Q621-N621</f>
        <v/>
      </c>
      <c r="AK621">
        <f>IF(AE621=1,MAX(0,N621-Q621),0)</f>
        <v/>
      </c>
      <c r="AL621">
        <f>IF(OR(V621="",V621=0),0,N621/V621)</f>
        <v/>
      </c>
      <c r="AM621">
        <f>IF(OR(V621="",V621=0),0,1)</f>
        <v/>
      </c>
      <c r="AN621">
        <f>IF(OR(E621="",F621=""),0,NETWORKDAYS(E621,F621,Ref!$K$2:$K$42))</f>
        <v/>
      </c>
      <c r="AO621">
        <f>IF(L621="Renewal",1,0)</f>
        <v/>
      </c>
      <c r="AP621">
        <f>AC621*AD621</f>
        <v/>
      </c>
      <c r="AQ621">
        <f>IF(AND(G621&lt;&gt;"",'Historical Score'!$C$6&lt;&gt;""),IF(G621='Historical Score'!$C$6,1,0),0)</f>
        <v/>
      </c>
      <c r="AR621">
        <f>IF(AND(L621&lt;&gt;"",'Historical Score'!$C$5&lt;&gt;""),IF(L621='Historical Score'!$C$5,1,0),0)</f>
        <v/>
      </c>
      <c r="AS621">
        <f>IF(AND(Y621&lt;&gt;"",'Historical Score'!$C$7&lt;&gt;""),IF(Y621='Historical Score'!$C$7,1,0),0)</f>
        <v/>
      </c>
      <c r="AT621">
        <f>IF(AND(K621&lt;&gt;"",'Historical Score'!$C$8&lt;&gt;""),IF(K621='Historical Score'!$C$8,1,0),0)</f>
        <v/>
      </c>
      <c r="AU621">
        <f>IF(AND(J621&lt;&gt;"",'Historical Score'!$C$9&lt;&gt;""),IF(J621='Historical Score'!$C$9,1,0),0)</f>
        <v/>
      </c>
      <c r="AV621">
        <f>AR621*AS621*AQ621</f>
        <v/>
      </c>
      <c r="AW621">
        <f>AR621*AT621*AQ621</f>
        <v/>
      </c>
      <c r="AX621">
        <f>AR621*AS621</f>
        <v/>
      </c>
      <c r="AY621">
        <f>AR621*AT621</f>
        <v/>
      </c>
      <c r="AZ621">
        <f>AR621*AQ621</f>
        <v/>
      </c>
      <c r="BA621">
        <f>AR621</f>
        <v/>
      </c>
      <c r="BB621">
        <f>1</f>
        <v/>
      </c>
      <c r="BC621">
        <f>IF(AV621=1,1,IF(AW621=1,2,IF(AX621=1,3,IF(AY621=1,4,IF(AZ621=1,5,IF(BA621=1,6,7))))))</f>
        <v/>
      </c>
      <c r="BD621">
        <f>IF(AD621=1,CHOOSE('Historical Score'!$C$29,AV621,AW621,AX621,AY621,AZ621,BA621,BB621),0)</f>
        <v/>
      </c>
      <c r="BE621">
        <f>IF(BD621=1,COUNTIF($BD$2:BD621,1),"")</f>
        <v/>
      </c>
    </row>
    <row r="622">
      <c r="A622" t="inlineStr">
        <is>
          <t>5674178516</t>
        </is>
      </c>
      <c r="B622" t="inlineStr">
        <is>
          <t>DICKINSON FEED &amp; SUPPLY LLC</t>
        </is>
      </c>
      <c r="C622" t="inlineStr">
        <is>
          <t>DICKINSON FEED &amp; SUPPLY LLC</t>
        </is>
      </c>
      <c r="D622" t="inlineStr">
        <is>
          <t>Open</t>
        </is>
      </c>
      <c r="E622" s="297" t="n">
        <v>46066</v>
      </c>
      <c r="F622" s="297" t="n">
        <v>46248</v>
      </c>
      <c r="G622" t="n">
        <v>3</v>
      </c>
      <c r="H622" t="inlineStr">
        <is>
          <t>0219</t>
        </is>
      </c>
      <c r="I622" t="inlineStr">
        <is>
          <t>02</t>
        </is>
      </c>
      <c r="J622" t="inlineStr">
        <is>
          <t>TX</t>
        </is>
      </c>
      <c r="K622" t="inlineStr">
        <is>
          <t>liquidity lending group</t>
        </is>
      </c>
      <c r="L622" t="inlineStr">
        <is>
          <t>New Deal</t>
        </is>
      </c>
      <c r="M622" s="298" t="n">
        <v>1.45</v>
      </c>
      <c r="N622" s="299" t="n">
        <v>30000</v>
      </c>
      <c r="O622" s="299" t="n">
        <v>3600</v>
      </c>
      <c r="P622" s="299" t="n">
        <v>43500</v>
      </c>
      <c r="Q622" s="299" t="n">
        <v>6527.67</v>
      </c>
      <c r="R622" s="299" t="n">
        <v>36972.33</v>
      </c>
      <c r="S622" s="300" t="n">
        <v>0.150061379310345</v>
      </c>
      <c r="T622" t="n">
        <v>20</v>
      </c>
      <c r="U622" t="n">
        <v>23</v>
      </c>
      <c r="V622" t="n">
        <v>73884.37</v>
      </c>
      <c r="W622" s="300" t="n">
        <v>0.1178</v>
      </c>
      <c r="X622" s="297" t="n">
        <v>42529</v>
      </c>
      <c r="Y622">
        <f>IF(I622="","No SIC",IFERROR(VLOOKUP(I622,Ref!$A$2:$B$65,2,FALSE),"Unclassified"))</f>
        <v/>
      </c>
      <c r="Z622">
        <f>IF(T622="","",IF(T622&lt;12,"Daily","Weekly"))</f>
        <v/>
      </c>
      <c r="AA622">
        <f>IF(T622="",0,IF(T622&lt;12,T622*Controls!$B$29,T622*5))</f>
        <v/>
      </c>
      <c r="AB622">
        <f>IF(E622="",0,NETWORKDAYS(E622,Controls!$B$36,Ref!$K$2:$K$42))</f>
        <v/>
      </c>
      <c r="AC622">
        <f>IF(AND(AA622&gt;0,AB622&gt;=Controls!$B$39*AA622),1,0)</f>
        <v/>
      </c>
      <c r="AD622">
        <f>IF(AND(E622&lt;&gt;"",E622&gt;=Controls!$B$37,E622&lt;=Controls!$B$38),1,0)</f>
        <v/>
      </c>
      <c r="AE622">
        <f>IF(IFERROR(VLOOKUP(D622,Controls!$A$64:$E$74,2,FALSE),"No")="Yes",1,0)</f>
        <v/>
      </c>
      <c r="AF622">
        <f>IF(IFERROR(VLOOKUP(D622,Controls!$A$64:$E$74,3,FALSE),"No")="Yes",1,0)</f>
        <v/>
      </c>
      <c r="AG622">
        <f>IF(IFERROR(VLOOKUP(D622,Controls!$A$64:$E$74,4,FALSE),"No")="Yes",1,0)</f>
        <v/>
      </c>
      <c r="AH622">
        <f>IF(IFERROR(VLOOKUP(D622,Controls!$A$64:$E$74,5,FALSE),"No")="Yes",1,0)</f>
        <v/>
      </c>
      <c r="AI622">
        <f>IF(ISNUMBER(MATCH(D622,Controls!$A$64:$A$74,0)),1,0)</f>
        <v/>
      </c>
      <c r="AJ622">
        <f>Q622-N622</f>
        <v/>
      </c>
      <c r="AK622">
        <f>IF(AE622=1,MAX(0,N622-Q622),0)</f>
        <v/>
      </c>
      <c r="AL622">
        <f>IF(OR(V622="",V622=0),0,N622/V622)</f>
        <v/>
      </c>
      <c r="AM622">
        <f>IF(OR(V622="",V622=0),0,1)</f>
        <v/>
      </c>
      <c r="AN622">
        <f>IF(OR(E622="",F622=""),0,NETWORKDAYS(E622,F622,Ref!$K$2:$K$42))</f>
        <v/>
      </c>
      <c r="AO622">
        <f>IF(L622="Renewal",1,0)</f>
        <v/>
      </c>
      <c r="AP622">
        <f>AC622*AD622</f>
        <v/>
      </c>
      <c r="AQ622">
        <f>IF(AND(G622&lt;&gt;"",'Historical Score'!$C$6&lt;&gt;""),IF(G622='Historical Score'!$C$6,1,0),0)</f>
        <v/>
      </c>
      <c r="AR622">
        <f>IF(AND(L622&lt;&gt;"",'Historical Score'!$C$5&lt;&gt;""),IF(L622='Historical Score'!$C$5,1,0),0)</f>
        <v/>
      </c>
      <c r="AS622">
        <f>IF(AND(Y622&lt;&gt;"",'Historical Score'!$C$7&lt;&gt;""),IF(Y622='Historical Score'!$C$7,1,0),0)</f>
        <v/>
      </c>
      <c r="AT622">
        <f>IF(AND(K622&lt;&gt;"",'Historical Score'!$C$8&lt;&gt;""),IF(K622='Historical Score'!$C$8,1,0),0)</f>
        <v/>
      </c>
      <c r="AU622">
        <f>IF(AND(J622&lt;&gt;"",'Historical Score'!$C$9&lt;&gt;""),IF(J622='Historical Score'!$C$9,1,0),0)</f>
        <v/>
      </c>
      <c r="AV622">
        <f>AR622*AS622*AQ622</f>
        <v/>
      </c>
      <c r="AW622">
        <f>AR622*AT622*AQ622</f>
        <v/>
      </c>
      <c r="AX622">
        <f>AR622*AS622</f>
        <v/>
      </c>
      <c r="AY622">
        <f>AR622*AT622</f>
        <v/>
      </c>
      <c r="AZ622">
        <f>AR622*AQ622</f>
        <v/>
      </c>
      <c r="BA622">
        <f>AR622</f>
        <v/>
      </c>
      <c r="BB622">
        <f>1</f>
        <v/>
      </c>
      <c r="BC622">
        <f>IF(AV622=1,1,IF(AW622=1,2,IF(AX622=1,3,IF(AY622=1,4,IF(AZ622=1,5,IF(BA622=1,6,7))))))</f>
        <v/>
      </c>
      <c r="BD622">
        <f>IF(AD622=1,CHOOSE('Historical Score'!$C$29,AV622,AW622,AX622,AY622,AZ622,BA622,BB622),0)</f>
        <v/>
      </c>
      <c r="BE622">
        <f>IF(BD622=1,COUNTIF($BD$2:BD622,1),"")</f>
        <v/>
      </c>
    </row>
    <row r="623">
      <c r="A623" t="inlineStr">
        <is>
          <t>5674178518</t>
        </is>
      </c>
      <c r="B623" t="inlineStr">
        <is>
          <t>RHINOMACTT LLC</t>
        </is>
      </c>
      <c r="C623" t="inlineStr">
        <is>
          <t>RHINOMACTT LLC</t>
        </is>
      </c>
      <c r="D623" t="inlineStr">
        <is>
          <t>Legal</t>
        </is>
      </c>
      <c r="E623" s="297" t="n">
        <v>46066</v>
      </c>
      <c r="F623" s="297" t="n">
        <v>46108</v>
      </c>
      <c r="G623" t="n">
        <v>3</v>
      </c>
      <c r="H623" t="inlineStr">
        <is>
          <t>1521</t>
        </is>
      </c>
      <c r="I623" t="inlineStr">
        <is>
          <t>15</t>
        </is>
      </c>
      <c r="J623" t="inlineStr">
        <is>
          <t>OK</t>
        </is>
      </c>
      <c r="K623" t="inlineStr">
        <is>
          <t>United Secured Capital 8</t>
        </is>
      </c>
      <c r="L623" t="inlineStr">
        <is>
          <t>New Deal</t>
        </is>
      </c>
      <c r="M623" s="298" t="n">
        <v>1.49</v>
      </c>
      <c r="N623" s="299" t="n">
        <v>15000</v>
      </c>
      <c r="O623" s="299" t="n">
        <v>2100</v>
      </c>
      <c r="P623" s="299" t="n">
        <v>22350</v>
      </c>
      <c r="Q623" s="299" t="n">
        <v>5586.25</v>
      </c>
      <c r="R623" s="299" t="n">
        <v>16763.75</v>
      </c>
      <c r="S623" s="300" t="n">
        <v>0.249944071588367</v>
      </c>
      <c r="T623" t="n">
        <v>3.279</v>
      </c>
      <c r="U623" t="n">
        <v>4</v>
      </c>
      <c r="V623" t="n">
        <v>25364.67</v>
      </c>
      <c r="W623" s="300" t="n">
        <v>0.185</v>
      </c>
      <c r="X623" s="297" t="n"/>
      <c r="Y623">
        <f>IF(I623="","No SIC",IFERROR(VLOOKUP(I623,Ref!$A$2:$B$65,2,FALSE),"Unclassified"))</f>
        <v/>
      </c>
      <c r="Z623">
        <f>IF(T623="","",IF(T623&lt;12,"Daily","Weekly"))</f>
        <v/>
      </c>
      <c r="AA623">
        <f>IF(T623="",0,IF(T623&lt;12,T623*Controls!$B$29,T623*5))</f>
        <v/>
      </c>
      <c r="AB623">
        <f>IF(E623="",0,NETWORKDAYS(E623,Controls!$B$36,Ref!$K$2:$K$42))</f>
        <v/>
      </c>
      <c r="AC623">
        <f>IF(AND(AA623&gt;0,AB623&gt;=Controls!$B$39*AA623),1,0)</f>
        <v/>
      </c>
      <c r="AD623">
        <f>IF(AND(E623&lt;&gt;"",E623&gt;=Controls!$B$37,E623&lt;=Controls!$B$38),1,0)</f>
        <v/>
      </c>
      <c r="AE623">
        <f>IF(IFERROR(VLOOKUP(D623,Controls!$A$64:$E$74,2,FALSE),"No")="Yes",1,0)</f>
        <v/>
      </c>
      <c r="AF623">
        <f>IF(IFERROR(VLOOKUP(D623,Controls!$A$64:$E$74,3,FALSE),"No")="Yes",1,0)</f>
        <v/>
      </c>
      <c r="AG623">
        <f>IF(IFERROR(VLOOKUP(D623,Controls!$A$64:$E$74,4,FALSE),"No")="Yes",1,0)</f>
        <v/>
      </c>
      <c r="AH623">
        <f>IF(IFERROR(VLOOKUP(D623,Controls!$A$64:$E$74,5,FALSE),"No")="Yes",1,0)</f>
        <v/>
      </c>
      <c r="AI623">
        <f>IF(ISNUMBER(MATCH(D623,Controls!$A$64:$A$74,0)),1,0)</f>
        <v/>
      </c>
      <c r="AJ623">
        <f>Q623-N623</f>
        <v/>
      </c>
      <c r="AK623">
        <f>IF(AE623=1,MAX(0,N623-Q623),0)</f>
        <v/>
      </c>
      <c r="AL623">
        <f>IF(OR(V623="",V623=0),0,N623/V623)</f>
        <v/>
      </c>
      <c r="AM623">
        <f>IF(OR(V623="",V623=0),0,1)</f>
        <v/>
      </c>
      <c r="AN623">
        <f>IF(OR(E623="",F623=""),0,NETWORKDAYS(E623,F623,Ref!$K$2:$K$42))</f>
        <v/>
      </c>
      <c r="AO623">
        <f>IF(L623="Renewal",1,0)</f>
        <v/>
      </c>
      <c r="AP623">
        <f>AC623*AD623</f>
        <v/>
      </c>
      <c r="AQ623">
        <f>IF(AND(G623&lt;&gt;"",'Historical Score'!$C$6&lt;&gt;""),IF(G623='Historical Score'!$C$6,1,0),0)</f>
        <v/>
      </c>
      <c r="AR623">
        <f>IF(AND(L623&lt;&gt;"",'Historical Score'!$C$5&lt;&gt;""),IF(L623='Historical Score'!$C$5,1,0),0)</f>
        <v/>
      </c>
      <c r="AS623">
        <f>IF(AND(Y623&lt;&gt;"",'Historical Score'!$C$7&lt;&gt;""),IF(Y623='Historical Score'!$C$7,1,0),0)</f>
        <v/>
      </c>
      <c r="AT623">
        <f>IF(AND(K623&lt;&gt;"",'Historical Score'!$C$8&lt;&gt;""),IF(K623='Historical Score'!$C$8,1,0),0)</f>
        <v/>
      </c>
      <c r="AU623">
        <f>IF(AND(J623&lt;&gt;"",'Historical Score'!$C$9&lt;&gt;""),IF(J623='Historical Score'!$C$9,1,0),0)</f>
        <v/>
      </c>
      <c r="AV623">
        <f>AR623*AS623*AQ623</f>
        <v/>
      </c>
      <c r="AW623">
        <f>AR623*AT623*AQ623</f>
        <v/>
      </c>
      <c r="AX623">
        <f>AR623*AS623</f>
        <v/>
      </c>
      <c r="AY623">
        <f>AR623*AT623</f>
        <v/>
      </c>
      <c r="AZ623">
        <f>AR623*AQ623</f>
        <v/>
      </c>
      <c r="BA623">
        <f>AR623</f>
        <v/>
      </c>
      <c r="BB623">
        <f>1</f>
        <v/>
      </c>
      <c r="BC623">
        <f>IF(AV623=1,1,IF(AW623=1,2,IF(AX623=1,3,IF(AY623=1,4,IF(AZ623=1,5,IF(BA623=1,6,7))))))</f>
        <v/>
      </c>
      <c r="BD623">
        <f>IF(AD623=1,CHOOSE('Historical Score'!$C$29,AV623,AW623,AX623,AY623,AZ623,BA623,BB623),0)</f>
        <v/>
      </c>
      <c r="BE623">
        <f>IF(BD623=1,COUNTIF($BD$2:BD623,1),"")</f>
        <v/>
      </c>
    </row>
    <row r="624">
      <c r="A624" t="inlineStr">
        <is>
          <t>5674178538</t>
        </is>
      </c>
      <c r="B624" t="inlineStr">
        <is>
          <t>Southern Power Systems LLC</t>
        </is>
      </c>
      <c r="C624" t="inlineStr">
        <is>
          <t>Southern Power Systems LLC</t>
        </is>
      </c>
      <c r="D624" t="inlineStr">
        <is>
          <t>Open</t>
        </is>
      </c>
      <c r="E624" s="297" t="n">
        <v>46066</v>
      </c>
      <c r="F624" s="297" t="n">
        <v>46253</v>
      </c>
      <c r="G624" t="n">
        <v>3</v>
      </c>
      <c r="H624" t="inlineStr">
        <is>
          <t>3621</t>
        </is>
      </c>
      <c r="I624" t="inlineStr">
        <is>
          <t>36</t>
        </is>
      </c>
      <c r="J624" t="inlineStr">
        <is>
          <t>GA</t>
        </is>
      </c>
      <c r="K624" t="inlineStr">
        <is>
          <t>United Secured Capital 8</t>
        </is>
      </c>
      <c r="L624" t="inlineStr">
        <is>
          <t>New Deal</t>
        </is>
      </c>
      <c r="M624" s="298" t="n">
        <v>1.49</v>
      </c>
      <c r="N624" s="299" t="n">
        <v>20000</v>
      </c>
      <c r="O624" s="299" t="n">
        <v>2800</v>
      </c>
      <c r="P624" s="299" t="n">
        <v>29800</v>
      </c>
      <c r="Q624" s="299" t="n">
        <v>29800</v>
      </c>
      <c r="R624" s="299" t="n">
        <v>0</v>
      </c>
      <c r="S624" s="300" t="n">
        <v>1</v>
      </c>
      <c r="T624" t="n">
        <v>20</v>
      </c>
      <c r="U624" t="n">
        <v>0</v>
      </c>
      <c r="V624" t="n">
        <v>2423.33</v>
      </c>
      <c r="W624" s="300" t="n">
        <v>0.0298</v>
      </c>
      <c r="X624" s="297" t="n">
        <v>45657</v>
      </c>
      <c r="Y624">
        <f>IF(I624="","No SIC",IFERROR(VLOOKUP(I624,Ref!$A$2:$B$65,2,FALSE),"Unclassified"))</f>
        <v/>
      </c>
      <c r="Z624">
        <f>IF(T624="","",IF(T624&lt;12,"Daily","Weekly"))</f>
        <v/>
      </c>
      <c r="AA624">
        <f>IF(T624="",0,IF(T624&lt;12,T624*Controls!$B$29,T624*5))</f>
        <v/>
      </c>
      <c r="AB624">
        <f>IF(E624="",0,NETWORKDAYS(E624,Controls!$B$36,Ref!$K$2:$K$42))</f>
        <v/>
      </c>
      <c r="AC624">
        <f>IF(AND(AA624&gt;0,AB624&gt;=Controls!$B$39*AA624),1,0)</f>
        <v/>
      </c>
      <c r="AD624">
        <f>IF(AND(E624&lt;&gt;"",E624&gt;=Controls!$B$37,E624&lt;=Controls!$B$38),1,0)</f>
        <v/>
      </c>
      <c r="AE624">
        <f>IF(IFERROR(VLOOKUP(D624,Controls!$A$64:$E$74,2,FALSE),"No")="Yes",1,0)</f>
        <v/>
      </c>
      <c r="AF624">
        <f>IF(IFERROR(VLOOKUP(D624,Controls!$A$64:$E$74,3,FALSE),"No")="Yes",1,0)</f>
        <v/>
      </c>
      <c r="AG624">
        <f>IF(IFERROR(VLOOKUP(D624,Controls!$A$64:$E$74,4,FALSE),"No")="Yes",1,0)</f>
        <v/>
      </c>
      <c r="AH624">
        <f>IF(IFERROR(VLOOKUP(D624,Controls!$A$64:$E$74,5,FALSE),"No")="Yes",1,0)</f>
        <v/>
      </c>
      <c r="AI624">
        <f>IF(ISNUMBER(MATCH(D624,Controls!$A$64:$A$74,0)),1,0)</f>
        <v/>
      </c>
      <c r="AJ624">
        <f>Q624-N624</f>
        <v/>
      </c>
      <c r="AK624">
        <f>IF(AE624=1,MAX(0,N624-Q624),0)</f>
        <v/>
      </c>
      <c r="AL624">
        <f>IF(OR(V624="",V624=0),0,N624/V624)</f>
        <v/>
      </c>
      <c r="AM624">
        <f>IF(OR(V624="",V624=0),0,1)</f>
        <v/>
      </c>
      <c r="AN624">
        <f>IF(OR(E624="",F624=""),0,NETWORKDAYS(E624,F624,Ref!$K$2:$K$42))</f>
        <v/>
      </c>
      <c r="AO624">
        <f>IF(L624="Renewal",1,0)</f>
        <v/>
      </c>
      <c r="AP624">
        <f>AC624*AD624</f>
        <v/>
      </c>
      <c r="AQ624">
        <f>IF(AND(G624&lt;&gt;"",'Historical Score'!$C$6&lt;&gt;""),IF(G624='Historical Score'!$C$6,1,0),0)</f>
        <v/>
      </c>
      <c r="AR624">
        <f>IF(AND(L624&lt;&gt;"",'Historical Score'!$C$5&lt;&gt;""),IF(L624='Historical Score'!$C$5,1,0),0)</f>
        <v/>
      </c>
      <c r="AS624">
        <f>IF(AND(Y624&lt;&gt;"",'Historical Score'!$C$7&lt;&gt;""),IF(Y624='Historical Score'!$C$7,1,0),0)</f>
        <v/>
      </c>
      <c r="AT624">
        <f>IF(AND(K624&lt;&gt;"",'Historical Score'!$C$8&lt;&gt;""),IF(K624='Historical Score'!$C$8,1,0),0)</f>
        <v/>
      </c>
      <c r="AU624">
        <f>IF(AND(J624&lt;&gt;"",'Historical Score'!$C$9&lt;&gt;""),IF(J624='Historical Score'!$C$9,1,0),0)</f>
        <v/>
      </c>
      <c r="AV624">
        <f>AR624*AS624*AQ624</f>
        <v/>
      </c>
      <c r="AW624">
        <f>AR624*AT624*AQ624</f>
        <v/>
      </c>
      <c r="AX624">
        <f>AR624*AS624</f>
        <v/>
      </c>
      <c r="AY624">
        <f>AR624*AT624</f>
        <v/>
      </c>
      <c r="AZ624">
        <f>AR624*AQ624</f>
        <v/>
      </c>
      <c r="BA624">
        <f>AR624</f>
        <v/>
      </c>
      <c r="BB624">
        <f>1</f>
        <v/>
      </c>
      <c r="BC624">
        <f>IF(AV624=1,1,IF(AW624=1,2,IF(AX624=1,3,IF(AY624=1,4,IF(AZ624=1,5,IF(BA624=1,6,7))))))</f>
        <v/>
      </c>
      <c r="BD624">
        <f>IF(AD624=1,CHOOSE('Historical Score'!$C$29,AV624,AW624,AX624,AY624,AZ624,BA624,BB624),0)</f>
        <v/>
      </c>
      <c r="BE624">
        <f>IF(BD624=1,COUNTIF($BD$2:BD624,1),"")</f>
        <v/>
      </c>
    </row>
    <row r="625">
      <c r="A625" t="inlineStr">
        <is>
          <t>5674178553</t>
        </is>
      </c>
      <c r="B625" t="inlineStr">
        <is>
          <t>T&amp;M BUILDERS AND DESIGN INC</t>
        </is>
      </c>
      <c r="C625" t="inlineStr">
        <is>
          <t>T&amp;M BUILDERS AND DESIGN INC</t>
        </is>
      </c>
      <c r="D625" t="inlineStr">
        <is>
          <t>Open</t>
        </is>
      </c>
      <c r="E625" s="297" t="n">
        <v>46066</v>
      </c>
      <c r="F625" s="297" t="n">
        <v>46206</v>
      </c>
      <c r="G625" t="n">
        <v>1</v>
      </c>
      <c r="H625" t="inlineStr">
        <is>
          <t>1521</t>
        </is>
      </c>
      <c r="I625" t="inlineStr">
        <is>
          <t>15</t>
        </is>
      </c>
      <c r="J625" t="inlineStr">
        <is>
          <t>CA</t>
        </is>
      </c>
      <c r="K625" t="inlineStr">
        <is>
          <t>Fundible</t>
        </is>
      </c>
      <c r="L625" t="inlineStr">
        <is>
          <t>New Deal</t>
        </is>
      </c>
      <c r="M625" s="298" t="n">
        <v>1.49</v>
      </c>
      <c r="N625" s="299" t="n">
        <v>25000</v>
      </c>
      <c r="O625" s="299" t="n">
        <v>3500</v>
      </c>
      <c r="P625" s="299" t="n">
        <v>37250</v>
      </c>
      <c r="Q625" s="299" t="n">
        <v>14335.5</v>
      </c>
      <c r="R625" s="299" t="n">
        <v>22914.5</v>
      </c>
      <c r="S625" s="300" t="n">
        <v>0.384845637583893</v>
      </c>
      <c r="T625" t="n">
        <v>26</v>
      </c>
      <c r="U625" t="n">
        <v>10</v>
      </c>
      <c r="V625" t="n">
        <v>139292.82</v>
      </c>
      <c r="W625" s="300" t="n">
        <v>0.0415</v>
      </c>
      <c r="X625" s="297" t="n">
        <v>45683</v>
      </c>
      <c r="Y625">
        <f>IF(I625="","No SIC",IFERROR(VLOOKUP(I625,Ref!$A$2:$B$65,2,FALSE),"Unclassified"))</f>
        <v/>
      </c>
      <c r="Z625">
        <f>IF(T625="","",IF(T625&lt;12,"Daily","Weekly"))</f>
        <v/>
      </c>
      <c r="AA625">
        <f>IF(T625="",0,IF(T625&lt;12,T625*Controls!$B$29,T625*5))</f>
        <v/>
      </c>
      <c r="AB625">
        <f>IF(E625="",0,NETWORKDAYS(E625,Controls!$B$36,Ref!$K$2:$K$42))</f>
        <v/>
      </c>
      <c r="AC625">
        <f>IF(AND(AA625&gt;0,AB625&gt;=Controls!$B$39*AA625),1,0)</f>
        <v/>
      </c>
      <c r="AD625">
        <f>IF(AND(E625&lt;&gt;"",E625&gt;=Controls!$B$37,E625&lt;=Controls!$B$38),1,0)</f>
        <v/>
      </c>
      <c r="AE625">
        <f>IF(IFERROR(VLOOKUP(D625,Controls!$A$64:$E$74,2,FALSE),"No")="Yes",1,0)</f>
        <v/>
      </c>
      <c r="AF625">
        <f>IF(IFERROR(VLOOKUP(D625,Controls!$A$64:$E$74,3,FALSE),"No")="Yes",1,0)</f>
        <v/>
      </c>
      <c r="AG625">
        <f>IF(IFERROR(VLOOKUP(D625,Controls!$A$64:$E$74,4,FALSE),"No")="Yes",1,0)</f>
        <v/>
      </c>
      <c r="AH625">
        <f>IF(IFERROR(VLOOKUP(D625,Controls!$A$64:$E$74,5,FALSE),"No")="Yes",1,0)</f>
        <v/>
      </c>
      <c r="AI625">
        <f>IF(ISNUMBER(MATCH(D625,Controls!$A$64:$A$74,0)),1,0)</f>
        <v/>
      </c>
      <c r="AJ625">
        <f>Q625-N625</f>
        <v/>
      </c>
      <c r="AK625">
        <f>IF(AE625=1,MAX(0,N625-Q625),0)</f>
        <v/>
      </c>
      <c r="AL625">
        <f>IF(OR(V625="",V625=0),0,N625/V625)</f>
        <v/>
      </c>
      <c r="AM625">
        <f>IF(OR(V625="",V625=0),0,1)</f>
        <v/>
      </c>
      <c r="AN625">
        <f>IF(OR(E625="",F625=""),0,NETWORKDAYS(E625,F625,Ref!$K$2:$K$42))</f>
        <v/>
      </c>
      <c r="AO625">
        <f>IF(L625="Renewal",1,0)</f>
        <v/>
      </c>
      <c r="AP625">
        <f>AC625*AD625</f>
        <v/>
      </c>
      <c r="AQ625">
        <f>IF(AND(G625&lt;&gt;"",'Historical Score'!$C$6&lt;&gt;""),IF(G625='Historical Score'!$C$6,1,0),0)</f>
        <v/>
      </c>
      <c r="AR625">
        <f>IF(AND(L625&lt;&gt;"",'Historical Score'!$C$5&lt;&gt;""),IF(L625='Historical Score'!$C$5,1,0),0)</f>
        <v/>
      </c>
      <c r="AS625">
        <f>IF(AND(Y625&lt;&gt;"",'Historical Score'!$C$7&lt;&gt;""),IF(Y625='Historical Score'!$C$7,1,0),0)</f>
        <v/>
      </c>
      <c r="AT625">
        <f>IF(AND(K625&lt;&gt;"",'Historical Score'!$C$8&lt;&gt;""),IF(K625='Historical Score'!$C$8,1,0),0)</f>
        <v/>
      </c>
      <c r="AU625">
        <f>IF(AND(J625&lt;&gt;"",'Historical Score'!$C$9&lt;&gt;""),IF(J625='Historical Score'!$C$9,1,0),0)</f>
        <v/>
      </c>
      <c r="AV625">
        <f>AR625*AS625*AQ625</f>
        <v/>
      </c>
      <c r="AW625">
        <f>AR625*AT625*AQ625</f>
        <v/>
      </c>
      <c r="AX625">
        <f>AR625*AS625</f>
        <v/>
      </c>
      <c r="AY625">
        <f>AR625*AT625</f>
        <v/>
      </c>
      <c r="AZ625">
        <f>AR625*AQ625</f>
        <v/>
      </c>
      <c r="BA625">
        <f>AR625</f>
        <v/>
      </c>
      <c r="BB625">
        <f>1</f>
        <v/>
      </c>
      <c r="BC625">
        <f>IF(AV625=1,1,IF(AW625=1,2,IF(AX625=1,3,IF(AY625=1,4,IF(AZ625=1,5,IF(BA625=1,6,7))))))</f>
        <v/>
      </c>
      <c r="BD625">
        <f>IF(AD625=1,CHOOSE('Historical Score'!$C$29,AV625,AW625,AX625,AY625,AZ625,BA625,BB625),0)</f>
        <v/>
      </c>
      <c r="BE625">
        <f>IF(BD625=1,COUNTIF($BD$2:BD625,1),"")</f>
        <v/>
      </c>
    </row>
    <row r="626">
      <c r="A626" t="inlineStr">
        <is>
          <t>5674178578</t>
        </is>
      </c>
      <c r="B626" t="inlineStr">
        <is>
          <t>CITI LIMOUSINE GROUP, INC.</t>
        </is>
      </c>
      <c r="C626" t="inlineStr">
        <is>
          <t>CITI LIMOUSINE GROUP, INC.</t>
        </is>
      </c>
      <c r="D626" t="inlineStr">
        <is>
          <t>Legal</t>
        </is>
      </c>
      <c r="E626" s="297" t="n">
        <v>46070</v>
      </c>
      <c r="F626" s="297" t="n">
        <v>46122</v>
      </c>
      <c r="G626" t="n">
        <v>3</v>
      </c>
      <c r="H626" t="inlineStr">
        <is>
          <t>4121</t>
        </is>
      </c>
      <c r="I626" t="inlineStr">
        <is>
          <t>41</t>
        </is>
      </c>
      <c r="J626" t="inlineStr">
        <is>
          <t>IL</t>
        </is>
      </c>
      <c r="K626" t="inlineStr">
        <is>
          <t>legacy funding llc</t>
        </is>
      </c>
      <c r="L626" t="inlineStr">
        <is>
          <t>New Deal</t>
        </is>
      </c>
      <c r="M626" s="298" t="n">
        <v>1.49</v>
      </c>
      <c r="N626" s="299" t="n">
        <v>20000</v>
      </c>
      <c r="O626" s="299" t="n">
        <v>0</v>
      </c>
      <c r="P626" s="299" t="n">
        <v>29800</v>
      </c>
      <c r="Q626" s="299" t="n">
        <v>5867.69</v>
      </c>
      <c r="R626" s="299" t="n">
        <v>23932.31</v>
      </c>
      <c r="S626" s="300" t="n">
        <v>0.196902348993289</v>
      </c>
      <c r="T626" t="n">
        <v>20</v>
      </c>
      <c r="U626" t="n">
        <v>2</v>
      </c>
      <c r="V626" t="n">
        <v>70496.03</v>
      </c>
      <c r="W626" s="300" t="n">
        <v>0.08450000000000001</v>
      </c>
      <c r="X626" s="297" t="n">
        <v>42284</v>
      </c>
      <c r="Y626">
        <f>IF(I626="","No SIC",IFERROR(VLOOKUP(I626,Ref!$A$2:$B$65,2,FALSE),"Unclassified"))</f>
        <v/>
      </c>
      <c r="Z626">
        <f>IF(T626="","",IF(T626&lt;12,"Daily","Weekly"))</f>
        <v/>
      </c>
      <c r="AA626">
        <f>IF(T626="",0,IF(T626&lt;12,T626*Controls!$B$29,T626*5))</f>
        <v/>
      </c>
      <c r="AB626">
        <f>IF(E626="",0,NETWORKDAYS(E626,Controls!$B$36,Ref!$K$2:$K$42))</f>
        <v/>
      </c>
      <c r="AC626">
        <f>IF(AND(AA626&gt;0,AB626&gt;=Controls!$B$39*AA626),1,0)</f>
        <v/>
      </c>
      <c r="AD626">
        <f>IF(AND(E626&lt;&gt;"",E626&gt;=Controls!$B$37,E626&lt;=Controls!$B$38),1,0)</f>
        <v/>
      </c>
      <c r="AE626">
        <f>IF(IFERROR(VLOOKUP(D626,Controls!$A$64:$E$74,2,FALSE),"No")="Yes",1,0)</f>
        <v/>
      </c>
      <c r="AF626">
        <f>IF(IFERROR(VLOOKUP(D626,Controls!$A$64:$E$74,3,FALSE),"No")="Yes",1,0)</f>
        <v/>
      </c>
      <c r="AG626">
        <f>IF(IFERROR(VLOOKUP(D626,Controls!$A$64:$E$74,4,FALSE),"No")="Yes",1,0)</f>
        <v/>
      </c>
      <c r="AH626">
        <f>IF(IFERROR(VLOOKUP(D626,Controls!$A$64:$E$74,5,FALSE),"No")="Yes",1,0)</f>
        <v/>
      </c>
      <c r="AI626">
        <f>IF(ISNUMBER(MATCH(D626,Controls!$A$64:$A$74,0)),1,0)</f>
        <v/>
      </c>
      <c r="AJ626">
        <f>Q626-N626</f>
        <v/>
      </c>
      <c r="AK626">
        <f>IF(AE626=1,MAX(0,N626-Q626),0)</f>
        <v/>
      </c>
      <c r="AL626">
        <f>IF(OR(V626="",V626=0),0,N626/V626)</f>
        <v/>
      </c>
      <c r="AM626">
        <f>IF(OR(V626="",V626=0),0,1)</f>
        <v/>
      </c>
      <c r="AN626">
        <f>IF(OR(E626="",F626=""),0,NETWORKDAYS(E626,F626,Ref!$K$2:$K$42))</f>
        <v/>
      </c>
      <c r="AO626">
        <f>IF(L626="Renewal",1,0)</f>
        <v/>
      </c>
      <c r="AP626">
        <f>AC626*AD626</f>
        <v/>
      </c>
      <c r="AQ626">
        <f>IF(AND(G626&lt;&gt;"",'Historical Score'!$C$6&lt;&gt;""),IF(G626='Historical Score'!$C$6,1,0),0)</f>
        <v/>
      </c>
      <c r="AR626">
        <f>IF(AND(L626&lt;&gt;"",'Historical Score'!$C$5&lt;&gt;""),IF(L626='Historical Score'!$C$5,1,0),0)</f>
        <v/>
      </c>
      <c r="AS626">
        <f>IF(AND(Y626&lt;&gt;"",'Historical Score'!$C$7&lt;&gt;""),IF(Y626='Historical Score'!$C$7,1,0),0)</f>
        <v/>
      </c>
      <c r="AT626">
        <f>IF(AND(K626&lt;&gt;"",'Historical Score'!$C$8&lt;&gt;""),IF(K626='Historical Score'!$C$8,1,0),0)</f>
        <v/>
      </c>
      <c r="AU626">
        <f>IF(AND(J626&lt;&gt;"",'Historical Score'!$C$9&lt;&gt;""),IF(J626='Historical Score'!$C$9,1,0),0)</f>
        <v/>
      </c>
      <c r="AV626">
        <f>AR626*AS626*AQ626</f>
        <v/>
      </c>
      <c r="AW626">
        <f>AR626*AT626*AQ626</f>
        <v/>
      </c>
      <c r="AX626">
        <f>AR626*AS626</f>
        <v/>
      </c>
      <c r="AY626">
        <f>AR626*AT626</f>
        <v/>
      </c>
      <c r="AZ626">
        <f>AR626*AQ626</f>
        <v/>
      </c>
      <c r="BA626">
        <f>AR626</f>
        <v/>
      </c>
      <c r="BB626">
        <f>1</f>
        <v/>
      </c>
      <c r="BC626">
        <f>IF(AV626=1,1,IF(AW626=1,2,IF(AX626=1,3,IF(AY626=1,4,IF(AZ626=1,5,IF(BA626=1,6,7))))))</f>
        <v/>
      </c>
      <c r="BD626">
        <f>IF(AD626=1,CHOOSE('Historical Score'!$C$29,AV626,AW626,AX626,AY626,AZ626,BA626,BB626),0)</f>
        <v/>
      </c>
      <c r="BE626">
        <f>IF(BD626=1,COUNTIF($BD$2:BD626,1),"")</f>
        <v/>
      </c>
    </row>
    <row r="627">
      <c r="A627" t="inlineStr">
        <is>
          <t>5674178595</t>
        </is>
      </c>
      <c r="B627" t="inlineStr">
        <is>
          <t>HUMBLE WELLNESS LLC</t>
        </is>
      </c>
      <c r="C627" t="inlineStr">
        <is>
          <t>HUMBLE WELLNESS LLC</t>
        </is>
      </c>
      <c r="D627" t="inlineStr">
        <is>
          <t>Legal</t>
        </is>
      </c>
      <c r="E627" s="297" t="n">
        <v>46070</v>
      </c>
      <c r="F627" s="297" t="n">
        <v>46182</v>
      </c>
      <c r="G627" t="n">
        <v>3</v>
      </c>
      <c r="H627" t="inlineStr">
        <is>
          <t>7991</t>
        </is>
      </c>
      <c r="I627" t="inlineStr">
        <is>
          <t>79</t>
        </is>
      </c>
      <c r="J627" t="inlineStr">
        <is>
          <t>OH</t>
        </is>
      </c>
      <c r="K627" t="inlineStr">
        <is>
          <t>TRUSTFI</t>
        </is>
      </c>
      <c r="L627" t="inlineStr">
        <is>
          <t>New Deal</t>
        </is>
      </c>
      <c r="M627" s="298" t="n">
        <v>1.49</v>
      </c>
      <c r="N627" s="299" t="n">
        <v>35000</v>
      </c>
      <c r="O627" s="299" t="n">
        <v>0</v>
      </c>
      <c r="P627" s="299" t="n">
        <v>52150</v>
      </c>
      <c r="Q627" s="299" t="n">
        <v>4345.86</v>
      </c>
      <c r="R627" s="299" t="n">
        <v>47804.14</v>
      </c>
      <c r="S627" s="300" t="n">
        <v>0.08333384467881109</v>
      </c>
      <c r="T627" t="n">
        <v>24</v>
      </c>
      <c r="U627" t="n">
        <v>19</v>
      </c>
      <c r="V627" t="n">
        <v>55010.84</v>
      </c>
      <c r="W627" s="300" t="n">
        <v>0.158</v>
      </c>
      <c r="X627" s="297" t="n">
        <v>45383</v>
      </c>
      <c r="Y627">
        <f>IF(I627="","No SIC",IFERROR(VLOOKUP(I627,Ref!$A$2:$B$65,2,FALSE),"Unclassified"))</f>
        <v/>
      </c>
      <c r="Z627">
        <f>IF(T627="","",IF(T627&lt;12,"Daily","Weekly"))</f>
        <v/>
      </c>
      <c r="AA627">
        <f>IF(T627="",0,IF(T627&lt;12,T627*Controls!$B$29,T627*5))</f>
        <v/>
      </c>
      <c r="AB627">
        <f>IF(E627="",0,NETWORKDAYS(E627,Controls!$B$36,Ref!$K$2:$K$42))</f>
        <v/>
      </c>
      <c r="AC627">
        <f>IF(AND(AA627&gt;0,AB627&gt;=Controls!$B$39*AA627),1,0)</f>
        <v/>
      </c>
      <c r="AD627">
        <f>IF(AND(E627&lt;&gt;"",E627&gt;=Controls!$B$37,E627&lt;=Controls!$B$38),1,0)</f>
        <v/>
      </c>
      <c r="AE627">
        <f>IF(IFERROR(VLOOKUP(D627,Controls!$A$64:$E$74,2,FALSE),"No")="Yes",1,0)</f>
        <v/>
      </c>
      <c r="AF627">
        <f>IF(IFERROR(VLOOKUP(D627,Controls!$A$64:$E$74,3,FALSE),"No")="Yes",1,0)</f>
        <v/>
      </c>
      <c r="AG627">
        <f>IF(IFERROR(VLOOKUP(D627,Controls!$A$64:$E$74,4,FALSE),"No")="Yes",1,0)</f>
        <v/>
      </c>
      <c r="AH627">
        <f>IF(IFERROR(VLOOKUP(D627,Controls!$A$64:$E$74,5,FALSE),"No")="Yes",1,0)</f>
        <v/>
      </c>
      <c r="AI627">
        <f>IF(ISNUMBER(MATCH(D627,Controls!$A$64:$A$74,0)),1,0)</f>
        <v/>
      </c>
      <c r="AJ627">
        <f>Q627-N627</f>
        <v/>
      </c>
      <c r="AK627">
        <f>IF(AE627=1,MAX(0,N627-Q627),0)</f>
        <v/>
      </c>
      <c r="AL627">
        <f>IF(OR(V627="",V627=0),0,N627/V627)</f>
        <v/>
      </c>
      <c r="AM627">
        <f>IF(OR(V627="",V627=0),0,1)</f>
        <v/>
      </c>
      <c r="AN627">
        <f>IF(OR(E627="",F627=""),0,NETWORKDAYS(E627,F627,Ref!$K$2:$K$42))</f>
        <v/>
      </c>
      <c r="AO627">
        <f>IF(L627="Renewal",1,0)</f>
        <v/>
      </c>
      <c r="AP627">
        <f>AC627*AD627</f>
        <v/>
      </c>
      <c r="AQ627">
        <f>IF(AND(G627&lt;&gt;"",'Historical Score'!$C$6&lt;&gt;""),IF(G627='Historical Score'!$C$6,1,0),0)</f>
        <v/>
      </c>
      <c r="AR627">
        <f>IF(AND(L627&lt;&gt;"",'Historical Score'!$C$5&lt;&gt;""),IF(L627='Historical Score'!$C$5,1,0),0)</f>
        <v/>
      </c>
      <c r="AS627">
        <f>IF(AND(Y627&lt;&gt;"",'Historical Score'!$C$7&lt;&gt;""),IF(Y627='Historical Score'!$C$7,1,0),0)</f>
        <v/>
      </c>
      <c r="AT627">
        <f>IF(AND(K627&lt;&gt;"",'Historical Score'!$C$8&lt;&gt;""),IF(K627='Historical Score'!$C$8,1,0),0)</f>
        <v/>
      </c>
      <c r="AU627">
        <f>IF(AND(J627&lt;&gt;"",'Historical Score'!$C$9&lt;&gt;""),IF(J627='Historical Score'!$C$9,1,0),0)</f>
        <v/>
      </c>
      <c r="AV627">
        <f>AR627*AS627*AQ627</f>
        <v/>
      </c>
      <c r="AW627">
        <f>AR627*AT627*AQ627</f>
        <v/>
      </c>
      <c r="AX627">
        <f>AR627*AS627</f>
        <v/>
      </c>
      <c r="AY627">
        <f>AR627*AT627</f>
        <v/>
      </c>
      <c r="AZ627">
        <f>AR627*AQ627</f>
        <v/>
      </c>
      <c r="BA627">
        <f>AR627</f>
        <v/>
      </c>
      <c r="BB627">
        <f>1</f>
        <v/>
      </c>
      <c r="BC627">
        <f>IF(AV627=1,1,IF(AW627=1,2,IF(AX627=1,3,IF(AY627=1,4,IF(AZ627=1,5,IF(BA627=1,6,7))))))</f>
        <v/>
      </c>
      <c r="BD627">
        <f>IF(AD627=1,CHOOSE('Historical Score'!$C$29,AV627,AW627,AX627,AY627,AZ627,BA627,BB627),0)</f>
        <v/>
      </c>
      <c r="BE627">
        <f>IF(BD627=1,COUNTIF($BD$2:BD627,1),"")</f>
        <v/>
      </c>
    </row>
    <row r="628">
      <c r="A628" t="inlineStr">
        <is>
          <t>5674178605</t>
        </is>
      </c>
      <c r="B628" t="inlineStr">
        <is>
          <t>BUFFALO'S CAFE</t>
        </is>
      </c>
      <c r="C628" t="inlineStr">
        <is>
          <t>B&amp;A HOSPITALITY OF ROME INC</t>
        </is>
      </c>
      <c r="D628" t="inlineStr">
        <is>
          <t>Legal</t>
        </is>
      </c>
      <c r="E628" s="297" t="n">
        <v>46070</v>
      </c>
      <c r="F628" s="297" t="n">
        <v>46090</v>
      </c>
      <c r="G628" t="n">
        <v>3</v>
      </c>
      <c r="H628" t="inlineStr">
        <is>
          <t>5812</t>
        </is>
      </c>
      <c r="I628" t="inlineStr">
        <is>
          <t>58</t>
        </is>
      </c>
      <c r="J628" t="inlineStr">
        <is>
          <t>GA</t>
        </is>
      </c>
      <c r="K628" t="inlineStr">
        <is>
          <t>JABSCAP</t>
        </is>
      </c>
      <c r="L628" t="inlineStr">
        <is>
          <t>New Deal</t>
        </is>
      </c>
      <c r="M628" s="298" t="n">
        <v>1.45</v>
      </c>
      <c r="N628" s="299" t="n">
        <v>20000</v>
      </c>
      <c r="O628" s="299" t="n">
        <v>0</v>
      </c>
      <c r="P628" s="299" t="n">
        <v>29000</v>
      </c>
      <c r="Q628" s="299" t="n">
        <v>3188.9</v>
      </c>
      <c r="R628" s="299" t="n">
        <v>25811.1</v>
      </c>
      <c r="S628" s="300" t="n">
        <v>0.109962068965517</v>
      </c>
      <c r="T628" t="n">
        <v>3.279</v>
      </c>
      <c r="U628" t="n">
        <v>4</v>
      </c>
      <c r="V628" t="n">
        <v>73972.82000000001</v>
      </c>
      <c r="W628" s="300" t="n">
        <v>0.0823</v>
      </c>
      <c r="X628" s="297" t="n">
        <v>45546</v>
      </c>
      <c r="Y628">
        <f>IF(I628="","No SIC",IFERROR(VLOOKUP(I628,Ref!$A$2:$B$65,2,FALSE),"Unclassified"))</f>
        <v/>
      </c>
      <c r="Z628">
        <f>IF(T628="","",IF(T628&lt;12,"Daily","Weekly"))</f>
        <v/>
      </c>
      <c r="AA628">
        <f>IF(T628="",0,IF(T628&lt;12,T628*Controls!$B$29,T628*5))</f>
        <v/>
      </c>
      <c r="AB628">
        <f>IF(E628="",0,NETWORKDAYS(E628,Controls!$B$36,Ref!$K$2:$K$42))</f>
        <v/>
      </c>
      <c r="AC628">
        <f>IF(AND(AA628&gt;0,AB628&gt;=Controls!$B$39*AA628),1,0)</f>
        <v/>
      </c>
      <c r="AD628">
        <f>IF(AND(E628&lt;&gt;"",E628&gt;=Controls!$B$37,E628&lt;=Controls!$B$38),1,0)</f>
        <v/>
      </c>
      <c r="AE628">
        <f>IF(IFERROR(VLOOKUP(D628,Controls!$A$64:$E$74,2,FALSE),"No")="Yes",1,0)</f>
        <v/>
      </c>
      <c r="AF628">
        <f>IF(IFERROR(VLOOKUP(D628,Controls!$A$64:$E$74,3,FALSE),"No")="Yes",1,0)</f>
        <v/>
      </c>
      <c r="AG628">
        <f>IF(IFERROR(VLOOKUP(D628,Controls!$A$64:$E$74,4,FALSE),"No")="Yes",1,0)</f>
        <v/>
      </c>
      <c r="AH628">
        <f>IF(IFERROR(VLOOKUP(D628,Controls!$A$64:$E$74,5,FALSE),"No")="Yes",1,0)</f>
        <v/>
      </c>
      <c r="AI628">
        <f>IF(ISNUMBER(MATCH(D628,Controls!$A$64:$A$74,0)),1,0)</f>
        <v/>
      </c>
      <c r="AJ628">
        <f>Q628-N628</f>
        <v/>
      </c>
      <c r="AK628">
        <f>IF(AE628=1,MAX(0,N628-Q628),0)</f>
        <v/>
      </c>
      <c r="AL628">
        <f>IF(OR(V628="",V628=0),0,N628/V628)</f>
        <v/>
      </c>
      <c r="AM628">
        <f>IF(OR(V628="",V628=0),0,1)</f>
        <v/>
      </c>
      <c r="AN628">
        <f>IF(OR(E628="",F628=""),0,NETWORKDAYS(E628,F628,Ref!$K$2:$K$42))</f>
        <v/>
      </c>
      <c r="AO628">
        <f>IF(L628="Renewal",1,0)</f>
        <v/>
      </c>
      <c r="AP628">
        <f>AC628*AD628</f>
        <v/>
      </c>
      <c r="AQ628">
        <f>IF(AND(G628&lt;&gt;"",'Historical Score'!$C$6&lt;&gt;""),IF(G628='Historical Score'!$C$6,1,0),0)</f>
        <v/>
      </c>
      <c r="AR628">
        <f>IF(AND(L628&lt;&gt;"",'Historical Score'!$C$5&lt;&gt;""),IF(L628='Historical Score'!$C$5,1,0),0)</f>
        <v/>
      </c>
      <c r="AS628">
        <f>IF(AND(Y628&lt;&gt;"",'Historical Score'!$C$7&lt;&gt;""),IF(Y628='Historical Score'!$C$7,1,0),0)</f>
        <v/>
      </c>
      <c r="AT628">
        <f>IF(AND(K628&lt;&gt;"",'Historical Score'!$C$8&lt;&gt;""),IF(K628='Historical Score'!$C$8,1,0),0)</f>
        <v/>
      </c>
      <c r="AU628">
        <f>IF(AND(J628&lt;&gt;"",'Historical Score'!$C$9&lt;&gt;""),IF(J628='Historical Score'!$C$9,1,0),0)</f>
        <v/>
      </c>
      <c r="AV628">
        <f>AR628*AS628*AQ628</f>
        <v/>
      </c>
      <c r="AW628">
        <f>AR628*AT628*AQ628</f>
        <v/>
      </c>
      <c r="AX628">
        <f>AR628*AS628</f>
        <v/>
      </c>
      <c r="AY628">
        <f>AR628*AT628</f>
        <v/>
      </c>
      <c r="AZ628">
        <f>AR628*AQ628</f>
        <v/>
      </c>
      <c r="BA628">
        <f>AR628</f>
        <v/>
      </c>
      <c r="BB628">
        <f>1</f>
        <v/>
      </c>
      <c r="BC628">
        <f>IF(AV628=1,1,IF(AW628=1,2,IF(AX628=1,3,IF(AY628=1,4,IF(AZ628=1,5,IF(BA628=1,6,7))))))</f>
        <v/>
      </c>
      <c r="BD628">
        <f>IF(AD628=1,CHOOSE('Historical Score'!$C$29,AV628,AW628,AX628,AY628,AZ628,BA628,BB628),0)</f>
        <v/>
      </c>
      <c r="BE628">
        <f>IF(BD628=1,COUNTIF($BD$2:BD628,1),"")</f>
        <v/>
      </c>
    </row>
    <row r="629">
      <c r="A629" t="inlineStr">
        <is>
          <t>5674178608</t>
        </is>
      </c>
      <c r="B629" t="inlineStr">
        <is>
          <t>CJ3 Properties, LLC</t>
        </is>
      </c>
      <c r="C629" t="inlineStr">
        <is>
          <t>CJ3 Properties, LLC</t>
        </is>
      </c>
      <c r="D629" t="inlineStr">
        <is>
          <t>Open</t>
        </is>
      </c>
      <c r="E629" s="297" t="n">
        <v>46070</v>
      </c>
      <c r="F629" s="297" t="n">
        <v>46248</v>
      </c>
      <c r="G629" t="n">
        <v>3</v>
      </c>
      <c r="H629" t="inlineStr">
        <is>
          <t>1521</t>
        </is>
      </c>
      <c r="I629" t="inlineStr">
        <is>
          <t>15</t>
        </is>
      </c>
      <c r="J629" t="inlineStr">
        <is>
          <t>SC</t>
        </is>
      </c>
      <c r="K629" t="inlineStr">
        <is>
          <t>Ballicci</t>
        </is>
      </c>
      <c r="L629" t="inlineStr">
        <is>
          <t>New Deal</t>
        </is>
      </c>
      <c r="M629" s="298" t="n">
        <v>1.49</v>
      </c>
      <c r="N629" s="299" t="n">
        <v>20000</v>
      </c>
      <c r="O629" s="299" t="n">
        <v>2800</v>
      </c>
      <c r="P629" s="299" t="n">
        <v>29800</v>
      </c>
      <c r="Q629" s="299" t="n">
        <v>18924.38</v>
      </c>
      <c r="R629" s="299" t="n">
        <v>10875.62</v>
      </c>
      <c r="S629" s="300" t="n">
        <v>0.635046308724832</v>
      </c>
      <c r="T629" t="n">
        <v>20</v>
      </c>
      <c r="U629" t="n">
        <v>21</v>
      </c>
      <c r="V629" t="n">
        <v>444351.02</v>
      </c>
      <c r="W629" s="300" t="n">
        <v>0.0134</v>
      </c>
      <c r="X629" s="297" t="n">
        <v>43195</v>
      </c>
      <c r="Y629">
        <f>IF(I629="","No SIC",IFERROR(VLOOKUP(I629,Ref!$A$2:$B$65,2,FALSE),"Unclassified"))</f>
        <v/>
      </c>
      <c r="Z629">
        <f>IF(T629="","",IF(T629&lt;12,"Daily","Weekly"))</f>
        <v/>
      </c>
      <c r="AA629">
        <f>IF(T629="",0,IF(T629&lt;12,T629*Controls!$B$29,T629*5))</f>
        <v/>
      </c>
      <c r="AB629">
        <f>IF(E629="",0,NETWORKDAYS(E629,Controls!$B$36,Ref!$K$2:$K$42))</f>
        <v/>
      </c>
      <c r="AC629">
        <f>IF(AND(AA629&gt;0,AB629&gt;=Controls!$B$39*AA629),1,0)</f>
        <v/>
      </c>
      <c r="AD629">
        <f>IF(AND(E629&lt;&gt;"",E629&gt;=Controls!$B$37,E629&lt;=Controls!$B$38),1,0)</f>
        <v/>
      </c>
      <c r="AE629">
        <f>IF(IFERROR(VLOOKUP(D629,Controls!$A$64:$E$74,2,FALSE),"No")="Yes",1,0)</f>
        <v/>
      </c>
      <c r="AF629">
        <f>IF(IFERROR(VLOOKUP(D629,Controls!$A$64:$E$74,3,FALSE),"No")="Yes",1,0)</f>
        <v/>
      </c>
      <c r="AG629">
        <f>IF(IFERROR(VLOOKUP(D629,Controls!$A$64:$E$74,4,FALSE),"No")="Yes",1,0)</f>
        <v/>
      </c>
      <c r="AH629">
        <f>IF(IFERROR(VLOOKUP(D629,Controls!$A$64:$E$74,5,FALSE),"No")="Yes",1,0)</f>
        <v/>
      </c>
      <c r="AI629">
        <f>IF(ISNUMBER(MATCH(D629,Controls!$A$64:$A$74,0)),1,0)</f>
        <v/>
      </c>
      <c r="AJ629">
        <f>Q629-N629</f>
        <v/>
      </c>
      <c r="AK629">
        <f>IF(AE629=1,MAX(0,N629-Q629),0)</f>
        <v/>
      </c>
      <c r="AL629">
        <f>IF(OR(V629="",V629=0),0,N629/V629)</f>
        <v/>
      </c>
      <c r="AM629">
        <f>IF(OR(V629="",V629=0),0,1)</f>
        <v/>
      </c>
      <c r="AN629">
        <f>IF(OR(E629="",F629=""),0,NETWORKDAYS(E629,F629,Ref!$K$2:$K$42))</f>
        <v/>
      </c>
      <c r="AO629">
        <f>IF(L629="Renewal",1,0)</f>
        <v/>
      </c>
      <c r="AP629">
        <f>AC629*AD629</f>
        <v/>
      </c>
      <c r="AQ629">
        <f>IF(AND(G629&lt;&gt;"",'Historical Score'!$C$6&lt;&gt;""),IF(G629='Historical Score'!$C$6,1,0),0)</f>
        <v/>
      </c>
      <c r="AR629">
        <f>IF(AND(L629&lt;&gt;"",'Historical Score'!$C$5&lt;&gt;""),IF(L629='Historical Score'!$C$5,1,0),0)</f>
        <v/>
      </c>
      <c r="AS629">
        <f>IF(AND(Y629&lt;&gt;"",'Historical Score'!$C$7&lt;&gt;""),IF(Y629='Historical Score'!$C$7,1,0),0)</f>
        <v/>
      </c>
      <c r="AT629">
        <f>IF(AND(K629&lt;&gt;"",'Historical Score'!$C$8&lt;&gt;""),IF(K629='Historical Score'!$C$8,1,0),0)</f>
        <v/>
      </c>
      <c r="AU629">
        <f>IF(AND(J629&lt;&gt;"",'Historical Score'!$C$9&lt;&gt;""),IF(J629='Historical Score'!$C$9,1,0),0)</f>
        <v/>
      </c>
      <c r="AV629">
        <f>AR629*AS629*AQ629</f>
        <v/>
      </c>
      <c r="AW629">
        <f>AR629*AT629*AQ629</f>
        <v/>
      </c>
      <c r="AX629">
        <f>AR629*AS629</f>
        <v/>
      </c>
      <c r="AY629">
        <f>AR629*AT629</f>
        <v/>
      </c>
      <c r="AZ629">
        <f>AR629*AQ629</f>
        <v/>
      </c>
      <c r="BA629">
        <f>AR629</f>
        <v/>
      </c>
      <c r="BB629">
        <f>1</f>
        <v/>
      </c>
      <c r="BC629">
        <f>IF(AV629=1,1,IF(AW629=1,2,IF(AX629=1,3,IF(AY629=1,4,IF(AZ629=1,5,IF(BA629=1,6,7))))))</f>
        <v/>
      </c>
      <c r="BD629">
        <f>IF(AD629=1,CHOOSE('Historical Score'!$C$29,AV629,AW629,AX629,AY629,AZ629,BA629,BB629),0)</f>
        <v/>
      </c>
      <c r="BE629">
        <f>IF(BD629=1,COUNTIF($BD$2:BD629,1),"")</f>
        <v/>
      </c>
    </row>
    <row r="630">
      <c r="A630" t="inlineStr">
        <is>
          <t>5674178625</t>
        </is>
      </c>
      <c r="B630" t="inlineStr">
        <is>
          <t>UNCLE TOMY'S ORIGINAL PIZZA</t>
        </is>
      </c>
      <c r="C630" t="inlineStr">
        <is>
          <t>27TH STREET FOOD LLC</t>
        </is>
      </c>
      <c r="D630" t="inlineStr">
        <is>
          <t>Closed</t>
        </is>
      </c>
      <c r="E630" s="297" t="n">
        <v>46070</v>
      </c>
      <c r="F630" s="297" t="n">
        <v>46155</v>
      </c>
      <c r="G630" t="n">
        <v>3</v>
      </c>
      <c r="H630" t="inlineStr">
        <is>
          <t>5812</t>
        </is>
      </c>
      <c r="I630" t="inlineStr">
        <is>
          <t>58</t>
        </is>
      </c>
      <c r="J630" t="inlineStr">
        <is>
          <t>PA</t>
        </is>
      </c>
      <c r="K630" t="inlineStr">
        <is>
          <t>United Secured Capital 8</t>
        </is>
      </c>
      <c r="L630" t="inlineStr">
        <is>
          <t>Renewal</t>
        </is>
      </c>
      <c r="M630" s="298" t="n">
        <v>1.49</v>
      </c>
      <c r="N630" s="299" t="n">
        <v>33000</v>
      </c>
      <c r="O630" s="299" t="n">
        <v>4620</v>
      </c>
      <c r="P630" s="299" t="n">
        <v>49170</v>
      </c>
      <c r="Q630" s="299" t="n">
        <v>49170</v>
      </c>
      <c r="R630" s="299" t="n">
        <v>0</v>
      </c>
      <c r="S630" s="300" t="n">
        <v>1</v>
      </c>
      <c r="T630" t="n">
        <v>3.607</v>
      </c>
      <c r="U630" t="n">
        <v>0</v>
      </c>
      <c r="V630" t="n">
        <v>55406.13</v>
      </c>
      <c r="W630" s="300" t="n">
        <v>0.1694</v>
      </c>
      <c r="X630" s="297" t="n"/>
      <c r="Y630">
        <f>IF(I630="","No SIC",IFERROR(VLOOKUP(I630,Ref!$A$2:$B$65,2,FALSE),"Unclassified"))</f>
        <v/>
      </c>
      <c r="Z630">
        <f>IF(T630="","",IF(T630&lt;12,"Daily","Weekly"))</f>
        <v/>
      </c>
      <c r="AA630">
        <f>IF(T630="",0,IF(T630&lt;12,T630*Controls!$B$29,T630*5))</f>
        <v/>
      </c>
      <c r="AB630">
        <f>IF(E630="",0,NETWORKDAYS(E630,Controls!$B$36,Ref!$K$2:$K$42))</f>
        <v/>
      </c>
      <c r="AC630">
        <f>IF(AND(AA630&gt;0,AB630&gt;=Controls!$B$39*AA630),1,0)</f>
        <v/>
      </c>
      <c r="AD630">
        <f>IF(AND(E630&lt;&gt;"",E630&gt;=Controls!$B$37,E630&lt;=Controls!$B$38),1,0)</f>
        <v/>
      </c>
      <c r="AE630">
        <f>IF(IFERROR(VLOOKUP(D630,Controls!$A$64:$E$74,2,FALSE),"No")="Yes",1,0)</f>
        <v/>
      </c>
      <c r="AF630">
        <f>IF(IFERROR(VLOOKUP(D630,Controls!$A$64:$E$74,3,FALSE),"No")="Yes",1,0)</f>
        <v/>
      </c>
      <c r="AG630">
        <f>IF(IFERROR(VLOOKUP(D630,Controls!$A$64:$E$74,4,FALSE),"No")="Yes",1,0)</f>
        <v/>
      </c>
      <c r="AH630">
        <f>IF(IFERROR(VLOOKUP(D630,Controls!$A$64:$E$74,5,FALSE),"No")="Yes",1,0)</f>
        <v/>
      </c>
      <c r="AI630">
        <f>IF(ISNUMBER(MATCH(D630,Controls!$A$64:$A$74,0)),1,0)</f>
        <v/>
      </c>
      <c r="AJ630">
        <f>Q630-N630</f>
        <v/>
      </c>
      <c r="AK630">
        <f>IF(AE630=1,MAX(0,N630-Q630),0)</f>
        <v/>
      </c>
      <c r="AL630">
        <f>IF(OR(V630="",V630=0),0,N630/V630)</f>
        <v/>
      </c>
      <c r="AM630">
        <f>IF(OR(V630="",V630=0),0,1)</f>
        <v/>
      </c>
      <c r="AN630">
        <f>IF(OR(E630="",F630=""),0,NETWORKDAYS(E630,F630,Ref!$K$2:$K$42))</f>
        <v/>
      </c>
      <c r="AO630">
        <f>IF(L630="Renewal",1,0)</f>
        <v/>
      </c>
      <c r="AP630">
        <f>AC630*AD630</f>
        <v/>
      </c>
      <c r="AQ630">
        <f>IF(AND(G630&lt;&gt;"",'Historical Score'!$C$6&lt;&gt;""),IF(G630='Historical Score'!$C$6,1,0),0)</f>
        <v/>
      </c>
      <c r="AR630">
        <f>IF(AND(L630&lt;&gt;"",'Historical Score'!$C$5&lt;&gt;""),IF(L630='Historical Score'!$C$5,1,0),0)</f>
        <v/>
      </c>
      <c r="AS630">
        <f>IF(AND(Y630&lt;&gt;"",'Historical Score'!$C$7&lt;&gt;""),IF(Y630='Historical Score'!$C$7,1,0),0)</f>
        <v/>
      </c>
      <c r="AT630">
        <f>IF(AND(K630&lt;&gt;"",'Historical Score'!$C$8&lt;&gt;""),IF(K630='Historical Score'!$C$8,1,0),0)</f>
        <v/>
      </c>
      <c r="AU630">
        <f>IF(AND(J630&lt;&gt;"",'Historical Score'!$C$9&lt;&gt;""),IF(J630='Historical Score'!$C$9,1,0),0)</f>
        <v/>
      </c>
      <c r="AV630">
        <f>AR630*AS630*AQ630</f>
        <v/>
      </c>
      <c r="AW630">
        <f>AR630*AT630*AQ630</f>
        <v/>
      </c>
      <c r="AX630">
        <f>AR630*AS630</f>
        <v/>
      </c>
      <c r="AY630">
        <f>AR630*AT630</f>
        <v/>
      </c>
      <c r="AZ630">
        <f>AR630*AQ630</f>
        <v/>
      </c>
      <c r="BA630">
        <f>AR630</f>
        <v/>
      </c>
      <c r="BB630">
        <f>1</f>
        <v/>
      </c>
      <c r="BC630">
        <f>IF(AV630=1,1,IF(AW630=1,2,IF(AX630=1,3,IF(AY630=1,4,IF(AZ630=1,5,IF(BA630=1,6,7))))))</f>
        <v/>
      </c>
      <c r="BD630">
        <f>IF(AD630=1,CHOOSE('Historical Score'!$C$29,AV630,AW630,AX630,AY630,AZ630,BA630,BB630),0)</f>
        <v/>
      </c>
      <c r="BE630">
        <f>IF(BD630=1,COUNTIF($BD$2:BD630,1),"")</f>
        <v/>
      </c>
    </row>
    <row r="631">
      <c r="A631" t="inlineStr">
        <is>
          <t>5674178629</t>
        </is>
      </c>
      <c r="B631" t="inlineStr">
        <is>
          <t>THE TAMPA BAY COLLARD GREEN FESTIVAL INC</t>
        </is>
      </c>
      <c r="C631" t="inlineStr">
        <is>
          <t>THE TAMPA BAY COLLARD GREEN FESTIVAL INC</t>
        </is>
      </c>
      <c r="D631" t="inlineStr">
        <is>
          <t>Legal</t>
        </is>
      </c>
      <c r="E631" s="297" t="n">
        <v>46070</v>
      </c>
      <c r="F631" s="297" t="n">
        <v>46118</v>
      </c>
      <c r="G631" t="n">
        <v>3</v>
      </c>
      <c r="H631" t="inlineStr">
        <is>
          <t>5812</t>
        </is>
      </c>
      <c r="I631" t="inlineStr">
        <is>
          <t>58</t>
        </is>
      </c>
      <c r="J631" t="inlineStr">
        <is>
          <t>FL</t>
        </is>
      </c>
      <c r="K631" t="inlineStr">
        <is>
          <t>Fidelity Funding</t>
        </is>
      </c>
      <c r="L631" t="inlineStr">
        <is>
          <t>New Deal</t>
        </is>
      </c>
      <c r="M631" s="298" t="n">
        <v>1.49</v>
      </c>
      <c r="N631" s="299" t="n">
        <v>10000</v>
      </c>
      <c r="O631" s="299" t="n">
        <v>0</v>
      </c>
      <c r="P631" s="299" t="n">
        <v>14900</v>
      </c>
      <c r="Q631" s="299" t="n">
        <v>2084.04</v>
      </c>
      <c r="R631" s="299" t="n">
        <v>12815.96</v>
      </c>
      <c r="S631" s="300" t="n">
        <v>0.139868456375839</v>
      </c>
      <c r="T631" t="n">
        <v>3.279</v>
      </c>
      <c r="U631" t="n">
        <v>19</v>
      </c>
      <c r="V631" t="n">
        <v>97305.75999999999</v>
      </c>
      <c r="W631" s="300" t="n">
        <v>0.037</v>
      </c>
      <c r="X631" s="297" t="n">
        <v>42942</v>
      </c>
      <c r="Y631">
        <f>IF(I631="","No SIC",IFERROR(VLOOKUP(I631,Ref!$A$2:$B$65,2,FALSE),"Unclassified"))</f>
        <v/>
      </c>
      <c r="Z631">
        <f>IF(T631="","",IF(T631&lt;12,"Daily","Weekly"))</f>
        <v/>
      </c>
      <c r="AA631">
        <f>IF(T631="",0,IF(T631&lt;12,T631*Controls!$B$29,T631*5))</f>
        <v/>
      </c>
      <c r="AB631">
        <f>IF(E631="",0,NETWORKDAYS(E631,Controls!$B$36,Ref!$K$2:$K$42))</f>
        <v/>
      </c>
      <c r="AC631">
        <f>IF(AND(AA631&gt;0,AB631&gt;=Controls!$B$39*AA631),1,0)</f>
        <v/>
      </c>
      <c r="AD631">
        <f>IF(AND(E631&lt;&gt;"",E631&gt;=Controls!$B$37,E631&lt;=Controls!$B$38),1,0)</f>
        <v/>
      </c>
      <c r="AE631">
        <f>IF(IFERROR(VLOOKUP(D631,Controls!$A$64:$E$74,2,FALSE),"No")="Yes",1,0)</f>
        <v/>
      </c>
      <c r="AF631">
        <f>IF(IFERROR(VLOOKUP(D631,Controls!$A$64:$E$74,3,FALSE),"No")="Yes",1,0)</f>
        <v/>
      </c>
      <c r="AG631">
        <f>IF(IFERROR(VLOOKUP(D631,Controls!$A$64:$E$74,4,FALSE),"No")="Yes",1,0)</f>
        <v/>
      </c>
      <c r="AH631">
        <f>IF(IFERROR(VLOOKUP(D631,Controls!$A$64:$E$74,5,FALSE),"No")="Yes",1,0)</f>
        <v/>
      </c>
      <c r="AI631">
        <f>IF(ISNUMBER(MATCH(D631,Controls!$A$64:$A$74,0)),1,0)</f>
        <v/>
      </c>
      <c r="AJ631">
        <f>Q631-N631</f>
        <v/>
      </c>
      <c r="AK631">
        <f>IF(AE631=1,MAX(0,N631-Q631),0)</f>
        <v/>
      </c>
      <c r="AL631">
        <f>IF(OR(V631="",V631=0),0,N631/V631)</f>
        <v/>
      </c>
      <c r="AM631">
        <f>IF(OR(V631="",V631=0),0,1)</f>
        <v/>
      </c>
      <c r="AN631">
        <f>IF(OR(E631="",F631=""),0,NETWORKDAYS(E631,F631,Ref!$K$2:$K$42))</f>
        <v/>
      </c>
      <c r="AO631">
        <f>IF(L631="Renewal",1,0)</f>
        <v/>
      </c>
      <c r="AP631">
        <f>AC631*AD631</f>
        <v/>
      </c>
      <c r="AQ631">
        <f>IF(AND(G631&lt;&gt;"",'Historical Score'!$C$6&lt;&gt;""),IF(G631='Historical Score'!$C$6,1,0),0)</f>
        <v/>
      </c>
      <c r="AR631">
        <f>IF(AND(L631&lt;&gt;"",'Historical Score'!$C$5&lt;&gt;""),IF(L631='Historical Score'!$C$5,1,0),0)</f>
        <v/>
      </c>
      <c r="AS631">
        <f>IF(AND(Y631&lt;&gt;"",'Historical Score'!$C$7&lt;&gt;""),IF(Y631='Historical Score'!$C$7,1,0),0)</f>
        <v/>
      </c>
      <c r="AT631">
        <f>IF(AND(K631&lt;&gt;"",'Historical Score'!$C$8&lt;&gt;""),IF(K631='Historical Score'!$C$8,1,0),0)</f>
        <v/>
      </c>
      <c r="AU631">
        <f>IF(AND(J631&lt;&gt;"",'Historical Score'!$C$9&lt;&gt;""),IF(J631='Historical Score'!$C$9,1,0),0)</f>
        <v/>
      </c>
      <c r="AV631">
        <f>AR631*AS631*AQ631</f>
        <v/>
      </c>
      <c r="AW631">
        <f>AR631*AT631*AQ631</f>
        <v/>
      </c>
      <c r="AX631">
        <f>AR631*AS631</f>
        <v/>
      </c>
      <c r="AY631">
        <f>AR631*AT631</f>
        <v/>
      </c>
      <c r="AZ631">
        <f>AR631*AQ631</f>
        <v/>
      </c>
      <c r="BA631">
        <f>AR631</f>
        <v/>
      </c>
      <c r="BB631">
        <f>1</f>
        <v/>
      </c>
      <c r="BC631">
        <f>IF(AV631=1,1,IF(AW631=1,2,IF(AX631=1,3,IF(AY631=1,4,IF(AZ631=1,5,IF(BA631=1,6,7))))))</f>
        <v/>
      </c>
      <c r="BD631">
        <f>IF(AD631=1,CHOOSE('Historical Score'!$C$29,AV631,AW631,AX631,AY631,AZ631,BA631,BB631),0)</f>
        <v/>
      </c>
      <c r="BE631">
        <f>IF(BD631=1,COUNTIF($BD$2:BD631,1),"")</f>
        <v/>
      </c>
    </row>
    <row r="632">
      <c r="A632" t="inlineStr">
        <is>
          <t>5674178655</t>
        </is>
      </c>
      <c r="B632" t="inlineStr">
        <is>
          <t>BARBERIA CALLE LOIZA VILLA CAROLINA</t>
        </is>
      </c>
      <c r="C632" t="inlineStr">
        <is>
          <t>ROBERTO ROLON DELGADO</t>
        </is>
      </c>
      <c r="D632" t="inlineStr">
        <is>
          <t>Closed</t>
        </is>
      </c>
      <c r="E632" s="297" t="n">
        <v>46070</v>
      </c>
      <c r="F632" s="297" t="n">
        <v>46169</v>
      </c>
      <c r="G632" t="n">
        <v>3</v>
      </c>
      <c r="H632" t="inlineStr">
        <is>
          <t>7241</t>
        </is>
      </c>
      <c r="I632" t="inlineStr">
        <is>
          <t>72</t>
        </is>
      </c>
      <c r="J632" t="inlineStr">
        <is>
          <t>PR</t>
        </is>
      </c>
      <c r="K632" t="inlineStr">
        <is>
          <t>Siriux internacional corp</t>
        </is>
      </c>
      <c r="L632" t="inlineStr">
        <is>
          <t>Renewal</t>
        </is>
      </c>
      <c r="M632" s="298" t="n">
        <v>1.49</v>
      </c>
      <c r="N632" s="299" t="n">
        <v>10000</v>
      </c>
      <c r="O632" s="299" t="n">
        <v>1400</v>
      </c>
      <c r="P632" s="299" t="n">
        <v>14900</v>
      </c>
      <c r="Q632" s="299" t="n">
        <v>14900</v>
      </c>
      <c r="R632" s="299" t="n">
        <v>0</v>
      </c>
      <c r="S632" s="300" t="n">
        <v>1</v>
      </c>
      <c r="T632" t="n">
        <v>2.951</v>
      </c>
      <c r="U632" t="n">
        <v>0</v>
      </c>
      <c r="V632" t="n">
        <v>14958.77</v>
      </c>
      <c r="W632" s="300" t="n">
        <v>0.2324</v>
      </c>
      <c r="X632" s="297" t="n">
        <v>42309</v>
      </c>
      <c r="Y632">
        <f>IF(I632="","No SIC",IFERROR(VLOOKUP(I632,Ref!$A$2:$B$65,2,FALSE),"Unclassified"))</f>
        <v/>
      </c>
      <c r="Z632">
        <f>IF(T632="","",IF(T632&lt;12,"Daily","Weekly"))</f>
        <v/>
      </c>
      <c r="AA632">
        <f>IF(T632="",0,IF(T632&lt;12,T632*Controls!$B$29,T632*5))</f>
        <v/>
      </c>
      <c r="AB632">
        <f>IF(E632="",0,NETWORKDAYS(E632,Controls!$B$36,Ref!$K$2:$K$42))</f>
        <v/>
      </c>
      <c r="AC632">
        <f>IF(AND(AA632&gt;0,AB632&gt;=Controls!$B$39*AA632),1,0)</f>
        <v/>
      </c>
      <c r="AD632">
        <f>IF(AND(E632&lt;&gt;"",E632&gt;=Controls!$B$37,E632&lt;=Controls!$B$38),1,0)</f>
        <v/>
      </c>
      <c r="AE632">
        <f>IF(IFERROR(VLOOKUP(D632,Controls!$A$64:$E$74,2,FALSE),"No")="Yes",1,0)</f>
        <v/>
      </c>
      <c r="AF632">
        <f>IF(IFERROR(VLOOKUP(D632,Controls!$A$64:$E$74,3,FALSE),"No")="Yes",1,0)</f>
        <v/>
      </c>
      <c r="AG632">
        <f>IF(IFERROR(VLOOKUP(D632,Controls!$A$64:$E$74,4,FALSE),"No")="Yes",1,0)</f>
        <v/>
      </c>
      <c r="AH632">
        <f>IF(IFERROR(VLOOKUP(D632,Controls!$A$64:$E$74,5,FALSE),"No")="Yes",1,0)</f>
        <v/>
      </c>
      <c r="AI632">
        <f>IF(ISNUMBER(MATCH(D632,Controls!$A$64:$A$74,0)),1,0)</f>
        <v/>
      </c>
      <c r="AJ632">
        <f>Q632-N632</f>
        <v/>
      </c>
      <c r="AK632">
        <f>IF(AE632=1,MAX(0,N632-Q632),0)</f>
        <v/>
      </c>
      <c r="AL632">
        <f>IF(OR(V632="",V632=0),0,N632/V632)</f>
        <v/>
      </c>
      <c r="AM632">
        <f>IF(OR(V632="",V632=0),0,1)</f>
        <v/>
      </c>
      <c r="AN632">
        <f>IF(OR(E632="",F632=""),0,NETWORKDAYS(E632,F632,Ref!$K$2:$K$42))</f>
        <v/>
      </c>
      <c r="AO632">
        <f>IF(L632="Renewal",1,0)</f>
        <v/>
      </c>
      <c r="AP632">
        <f>AC632*AD632</f>
        <v/>
      </c>
      <c r="AQ632">
        <f>IF(AND(G632&lt;&gt;"",'Historical Score'!$C$6&lt;&gt;""),IF(G632='Historical Score'!$C$6,1,0),0)</f>
        <v/>
      </c>
      <c r="AR632">
        <f>IF(AND(L632&lt;&gt;"",'Historical Score'!$C$5&lt;&gt;""),IF(L632='Historical Score'!$C$5,1,0),0)</f>
        <v/>
      </c>
      <c r="AS632">
        <f>IF(AND(Y632&lt;&gt;"",'Historical Score'!$C$7&lt;&gt;""),IF(Y632='Historical Score'!$C$7,1,0),0)</f>
        <v/>
      </c>
      <c r="AT632">
        <f>IF(AND(K632&lt;&gt;"",'Historical Score'!$C$8&lt;&gt;""),IF(K632='Historical Score'!$C$8,1,0),0)</f>
        <v/>
      </c>
      <c r="AU632">
        <f>IF(AND(J632&lt;&gt;"",'Historical Score'!$C$9&lt;&gt;""),IF(J632='Historical Score'!$C$9,1,0),0)</f>
        <v/>
      </c>
      <c r="AV632">
        <f>AR632*AS632*AQ632</f>
        <v/>
      </c>
      <c r="AW632">
        <f>AR632*AT632*AQ632</f>
        <v/>
      </c>
      <c r="AX632">
        <f>AR632*AS632</f>
        <v/>
      </c>
      <c r="AY632">
        <f>AR632*AT632</f>
        <v/>
      </c>
      <c r="AZ632">
        <f>AR632*AQ632</f>
        <v/>
      </c>
      <c r="BA632">
        <f>AR632</f>
        <v/>
      </c>
      <c r="BB632">
        <f>1</f>
        <v/>
      </c>
      <c r="BC632">
        <f>IF(AV632=1,1,IF(AW632=1,2,IF(AX632=1,3,IF(AY632=1,4,IF(AZ632=1,5,IF(BA632=1,6,7))))))</f>
        <v/>
      </c>
      <c r="BD632">
        <f>IF(AD632=1,CHOOSE('Historical Score'!$C$29,AV632,AW632,AX632,AY632,AZ632,BA632,BB632),0)</f>
        <v/>
      </c>
      <c r="BE632">
        <f>IF(BD632=1,COUNTIF($BD$2:BD632,1),"")</f>
        <v/>
      </c>
    </row>
    <row r="633">
      <c r="A633" t="inlineStr">
        <is>
          <t>5674178663</t>
        </is>
      </c>
      <c r="B633" t="inlineStr">
        <is>
          <t>CORNUCOPIA FARMS LLC</t>
        </is>
      </c>
      <c r="C633" t="inlineStr">
        <is>
          <t>CORNUCOPIA FARMS LLC</t>
        </is>
      </c>
      <c r="D633" t="inlineStr">
        <is>
          <t>Closed</t>
        </is>
      </c>
      <c r="E633" s="297" t="n">
        <v>46071</v>
      </c>
      <c r="F633" s="297" t="n">
        <v>46135</v>
      </c>
      <c r="G633" t="n">
        <v>3</v>
      </c>
      <c r="H633" t="inlineStr">
        <is>
          <t>5812</t>
        </is>
      </c>
      <c r="I633" t="inlineStr">
        <is>
          <t>58</t>
        </is>
      </c>
      <c r="J633" t="inlineStr">
        <is>
          <t>GA</t>
        </is>
      </c>
      <c r="K633" t="inlineStr">
        <is>
          <t>United Secured Capital 8</t>
        </is>
      </c>
      <c r="L633" t="inlineStr">
        <is>
          <t>New Deal</t>
        </is>
      </c>
      <c r="M633" s="298" t="n">
        <v>1.49</v>
      </c>
      <c r="N633" s="299" t="n">
        <v>25000</v>
      </c>
      <c r="O633" s="299" t="n">
        <v>3500</v>
      </c>
      <c r="P633" s="299" t="n">
        <v>37250</v>
      </c>
      <c r="Q633" s="299" t="n">
        <v>37250</v>
      </c>
      <c r="R633" s="299" t="n">
        <v>0</v>
      </c>
      <c r="S633" s="300" t="n">
        <v>1</v>
      </c>
      <c r="T633" t="n">
        <v>3.607</v>
      </c>
      <c r="U633" t="n">
        <v>3</v>
      </c>
      <c r="V633" t="n">
        <v>80000</v>
      </c>
      <c r="W633" s="300" t="n">
        <v>0.0912</v>
      </c>
      <c r="X633" s="297" t="n"/>
      <c r="Y633">
        <f>IF(I633="","No SIC",IFERROR(VLOOKUP(I633,Ref!$A$2:$B$65,2,FALSE),"Unclassified"))</f>
        <v/>
      </c>
      <c r="Z633">
        <f>IF(T633="","",IF(T633&lt;12,"Daily","Weekly"))</f>
        <v/>
      </c>
      <c r="AA633">
        <f>IF(T633="",0,IF(T633&lt;12,T633*Controls!$B$29,T633*5))</f>
        <v/>
      </c>
      <c r="AB633">
        <f>IF(E633="",0,NETWORKDAYS(E633,Controls!$B$36,Ref!$K$2:$K$42))</f>
        <v/>
      </c>
      <c r="AC633">
        <f>IF(AND(AA633&gt;0,AB633&gt;=Controls!$B$39*AA633),1,0)</f>
        <v/>
      </c>
      <c r="AD633">
        <f>IF(AND(E633&lt;&gt;"",E633&gt;=Controls!$B$37,E633&lt;=Controls!$B$38),1,0)</f>
        <v/>
      </c>
      <c r="AE633">
        <f>IF(IFERROR(VLOOKUP(D633,Controls!$A$64:$E$74,2,FALSE),"No")="Yes",1,0)</f>
        <v/>
      </c>
      <c r="AF633">
        <f>IF(IFERROR(VLOOKUP(D633,Controls!$A$64:$E$74,3,FALSE),"No")="Yes",1,0)</f>
        <v/>
      </c>
      <c r="AG633">
        <f>IF(IFERROR(VLOOKUP(D633,Controls!$A$64:$E$74,4,FALSE),"No")="Yes",1,0)</f>
        <v/>
      </c>
      <c r="AH633">
        <f>IF(IFERROR(VLOOKUP(D633,Controls!$A$64:$E$74,5,FALSE),"No")="Yes",1,0)</f>
        <v/>
      </c>
      <c r="AI633">
        <f>IF(ISNUMBER(MATCH(D633,Controls!$A$64:$A$74,0)),1,0)</f>
        <v/>
      </c>
      <c r="AJ633">
        <f>Q633-N633</f>
        <v/>
      </c>
      <c r="AK633">
        <f>IF(AE633=1,MAX(0,N633-Q633),0)</f>
        <v/>
      </c>
      <c r="AL633">
        <f>IF(OR(V633="",V633=0),0,N633/V633)</f>
        <v/>
      </c>
      <c r="AM633">
        <f>IF(OR(V633="",V633=0),0,1)</f>
        <v/>
      </c>
      <c r="AN633">
        <f>IF(OR(E633="",F633=""),0,NETWORKDAYS(E633,F633,Ref!$K$2:$K$42))</f>
        <v/>
      </c>
      <c r="AO633">
        <f>IF(L633="Renewal",1,0)</f>
        <v/>
      </c>
      <c r="AP633">
        <f>AC633*AD633</f>
        <v/>
      </c>
      <c r="AQ633">
        <f>IF(AND(G633&lt;&gt;"",'Historical Score'!$C$6&lt;&gt;""),IF(G633='Historical Score'!$C$6,1,0),0)</f>
        <v/>
      </c>
      <c r="AR633">
        <f>IF(AND(L633&lt;&gt;"",'Historical Score'!$C$5&lt;&gt;""),IF(L633='Historical Score'!$C$5,1,0),0)</f>
        <v/>
      </c>
      <c r="AS633">
        <f>IF(AND(Y633&lt;&gt;"",'Historical Score'!$C$7&lt;&gt;""),IF(Y633='Historical Score'!$C$7,1,0),0)</f>
        <v/>
      </c>
      <c r="AT633">
        <f>IF(AND(K633&lt;&gt;"",'Historical Score'!$C$8&lt;&gt;""),IF(K633='Historical Score'!$C$8,1,0),0)</f>
        <v/>
      </c>
      <c r="AU633">
        <f>IF(AND(J633&lt;&gt;"",'Historical Score'!$C$9&lt;&gt;""),IF(J633='Historical Score'!$C$9,1,0),0)</f>
        <v/>
      </c>
      <c r="AV633">
        <f>AR633*AS633*AQ633</f>
        <v/>
      </c>
      <c r="AW633">
        <f>AR633*AT633*AQ633</f>
        <v/>
      </c>
      <c r="AX633">
        <f>AR633*AS633</f>
        <v/>
      </c>
      <c r="AY633">
        <f>AR633*AT633</f>
        <v/>
      </c>
      <c r="AZ633">
        <f>AR633*AQ633</f>
        <v/>
      </c>
      <c r="BA633">
        <f>AR633</f>
        <v/>
      </c>
      <c r="BB633">
        <f>1</f>
        <v/>
      </c>
      <c r="BC633">
        <f>IF(AV633=1,1,IF(AW633=1,2,IF(AX633=1,3,IF(AY633=1,4,IF(AZ633=1,5,IF(BA633=1,6,7))))))</f>
        <v/>
      </c>
      <c r="BD633">
        <f>IF(AD633=1,CHOOSE('Historical Score'!$C$29,AV633,AW633,AX633,AY633,AZ633,BA633,BB633),0)</f>
        <v/>
      </c>
      <c r="BE633">
        <f>IF(BD633=1,COUNTIF($BD$2:BD633,1),"")</f>
        <v/>
      </c>
    </row>
    <row r="634">
      <c r="A634" t="inlineStr">
        <is>
          <t>5674178677</t>
        </is>
      </c>
      <c r="B634" t="inlineStr">
        <is>
          <t>EAGLE MEDICAL MANAGEMENT INC</t>
        </is>
      </c>
      <c r="C634" t="inlineStr">
        <is>
          <t>EAGLE MEDICAL MANAGEMENT INC</t>
        </is>
      </c>
      <c r="D634" t="inlineStr">
        <is>
          <t>Open</t>
        </is>
      </c>
      <c r="E634" s="297" t="n">
        <v>46071</v>
      </c>
      <c r="F634" s="297" t="n">
        <v>46247</v>
      </c>
      <c r="G634" t="n">
        <v>3</v>
      </c>
      <c r="H634" t="inlineStr">
        <is>
          <t>8011</t>
        </is>
      </c>
      <c r="I634" t="inlineStr">
        <is>
          <t>80</t>
        </is>
      </c>
      <c r="J634" t="inlineStr">
        <is>
          <t>FL</t>
        </is>
      </c>
      <c r="K634" t="inlineStr">
        <is>
          <t>United Secured Capital 8</t>
        </is>
      </c>
      <c r="L634" t="inlineStr">
        <is>
          <t>Renewal</t>
        </is>
      </c>
      <c r="M634" s="298" t="n">
        <v>1.45</v>
      </c>
      <c r="N634" s="299" t="n">
        <v>45000</v>
      </c>
      <c r="O634" s="299" t="n">
        <v>5400</v>
      </c>
      <c r="P634" s="299" t="n">
        <v>65250</v>
      </c>
      <c r="Q634" s="299" t="n">
        <v>36721.44</v>
      </c>
      <c r="R634" s="299" t="n">
        <v>28528.56</v>
      </c>
      <c r="S634" s="300" t="n">
        <v>0.562780689655173</v>
      </c>
      <c r="T634" t="n">
        <v>32</v>
      </c>
      <c r="U634" t="n">
        <v>0</v>
      </c>
      <c r="V634" t="n">
        <v>151117.26</v>
      </c>
      <c r="W634" s="300" t="n">
        <v>0.054</v>
      </c>
      <c r="X634" s="297" t="n">
        <v>36749</v>
      </c>
      <c r="Y634">
        <f>IF(I634="","No SIC",IFERROR(VLOOKUP(I634,Ref!$A$2:$B$65,2,FALSE),"Unclassified"))</f>
        <v/>
      </c>
      <c r="Z634">
        <f>IF(T634="","",IF(T634&lt;12,"Daily","Weekly"))</f>
        <v/>
      </c>
      <c r="AA634">
        <f>IF(T634="",0,IF(T634&lt;12,T634*Controls!$B$29,T634*5))</f>
        <v/>
      </c>
      <c r="AB634">
        <f>IF(E634="",0,NETWORKDAYS(E634,Controls!$B$36,Ref!$K$2:$K$42))</f>
        <v/>
      </c>
      <c r="AC634">
        <f>IF(AND(AA634&gt;0,AB634&gt;=Controls!$B$39*AA634),1,0)</f>
        <v/>
      </c>
      <c r="AD634">
        <f>IF(AND(E634&lt;&gt;"",E634&gt;=Controls!$B$37,E634&lt;=Controls!$B$38),1,0)</f>
        <v/>
      </c>
      <c r="AE634">
        <f>IF(IFERROR(VLOOKUP(D634,Controls!$A$64:$E$74,2,FALSE),"No")="Yes",1,0)</f>
        <v/>
      </c>
      <c r="AF634">
        <f>IF(IFERROR(VLOOKUP(D634,Controls!$A$64:$E$74,3,FALSE),"No")="Yes",1,0)</f>
        <v/>
      </c>
      <c r="AG634">
        <f>IF(IFERROR(VLOOKUP(D634,Controls!$A$64:$E$74,4,FALSE),"No")="Yes",1,0)</f>
        <v/>
      </c>
      <c r="AH634">
        <f>IF(IFERROR(VLOOKUP(D634,Controls!$A$64:$E$74,5,FALSE),"No")="Yes",1,0)</f>
        <v/>
      </c>
      <c r="AI634">
        <f>IF(ISNUMBER(MATCH(D634,Controls!$A$64:$A$74,0)),1,0)</f>
        <v/>
      </c>
      <c r="AJ634">
        <f>Q634-N634</f>
        <v/>
      </c>
      <c r="AK634">
        <f>IF(AE634=1,MAX(0,N634-Q634),0)</f>
        <v/>
      </c>
      <c r="AL634">
        <f>IF(OR(V634="",V634=0),0,N634/V634)</f>
        <v/>
      </c>
      <c r="AM634">
        <f>IF(OR(V634="",V634=0),0,1)</f>
        <v/>
      </c>
      <c r="AN634">
        <f>IF(OR(E634="",F634=""),0,NETWORKDAYS(E634,F634,Ref!$K$2:$K$42))</f>
        <v/>
      </c>
      <c r="AO634">
        <f>IF(L634="Renewal",1,0)</f>
        <v/>
      </c>
      <c r="AP634">
        <f>AC634*AD634</f>
        <v/>
      </c>
      <c r="AQ634">
        <f>IF(AND(G634&lt;&gt;"",'Historical Score'!$C$6&lt;&gt;""),IF(G634='Historical Score'!$C$6,1,0),0)</f>
        <v/>
      </c>
      <c r="AR634">
        <f>IF(AND(L634&lt;&gt;"",'Historical Score'!$C$5&lt;&gt;""),IF(L634='Historical Score'!$C$5,1,0),0)</f>
        <v/>
      </c>
      <c r="AS634">
        <f>IF(AND(Y634&lt;&gt;"",'Historical Score'!$C$7&lt;&gt;""),IF(Y634='Historical Score'!$C$7,1,0),0)</f>
        <v/>
      </c>
      <c r="AT634">
        <f>IF(AND(K634&lt;&gt;"",'Historical Score'!$C$8&lt;&gt;""),IF(K634='Historical Score'!$C$8,1,0),0)</f>
        <v/>
      </c>
      <c r="AU634">
        <f>IF(AND(J634&lt;&gt;"",'Historical Score'!$C$9&lt;&gt;""),IF(J634='Historical Score'!$C$9,1,0),0)</f>
        <v/>
      </c>
      <c r="AV634">
        <f>AR634*AS634*AQ634</f>
        <v/>
      </c>
      <c r="AW634">
        <f>AR634*AT634*AQ634</f>
        <v/>
      </c>
      <c r="AX634">
        <f>AR634*AS634</f>
        <v/>
      </c>
      <c r="AY634">
        <f>AR634*AT634</f>
        <v/>
      </c>
      <c r="AZ634">
        <f>AR634*AQ634</f>
        <v/>
      </c>
      <c r="BA634">
        <f>AR634</f>
        <v/>
      </c>
      <c r="BB634">
        <f>1</f>
        <v/>
      </c>
      <c r="BC634">
        <f>IF(AV634=1,1,IF(AW634=1,2,IF(AX634=1,3,IF(AY634=1,4,IF(AZ634=1,5,IF(BA634=1,6,7))))))</f>
        <v/>
      </c>
      <c r="BD634">
        <f>IF(AD634=1,CHOOSE('Historical Score'!$C$29,AV634,AW634,AX634,AY634,AZ634,BA634,BB634),0)</f>
        <v/>
      </c>
      <c r="BE634">
        <f>IF(BD634=1,COUNTIF($BD$2:BD634,1),"")</f>
        <v/>
      </c>
    </row>
    <row r="635">
      <c r="A635" t="inlineStr">
        <is>
          <t>5674178697</t>
        </is>
      </c>
      <c r="B635" t="inlineStr">
        <is>
          <t>All inclusive service station Corp</t>
        </is>
      </c>
      <c r="C635" t="inlineStr">
        <is>
          <t>All inclusive service station Corp</t>
        </is>
      </c>
      <c r="D635" t="inlineStr">
        <is>
          <t>Closed</t>
        </is>
      </c>
      <c r="E635" s="297" t="n">
        <v>46071</v>
      </c>
      <c r="F635" s="297" t="n">
        <v>46128</v>
      </c>
      <c r="G635" t="n">
        <v>3</v>
      </c>
      <c r="H635" t="inlineStr">
        <is>
          <t>5541</t>
        </is>
      </c>
      <c r="I635" t="inlineStr">
        <is>
          <t>55</t>
        </is>
      </c>
      <c r="J635" t="inlineStr">
        <is>
          <t>PR</t>
        </is>
      </c>
      <c r="K635" t="inlineStr">
        <is>
          <t>ontime cap</t>
        </is>
      </c>
      <c r="L635" t="inlineStr">
        <is>
          <t>New Deal</t>
        </is>
      </c>
      <c r="M635" s="298" t="n">
        <v>1.49</v>
      </c>
      <c r="N635" s="299" t="n">
        <v>40000</v>
      </c>
      <c r="O635" s="299" t="n">
        <v>5600</v>
      </c>
      <c r="P635" s="299" t="n">
        <v>59600</v>
      </c>
      <c r="Q635" s="299" t="n">
        <v>59600</v>
      </c>
      <c r="R635" s="299" t="n">
        <v>0</v>
      </c>
      <c r="S635" s="300" t="n">
        <v>1</v>
      </c>
      <c r="T635" t="n">
        <v>1.967</v>
      </c>
      <c r="U635" t="n">
        <v>0</v>
      </c>
      <c r="V635" t="n">
        <v>377319.5</v>
      </c>
      <c r="W635" s="300" t="n">
        <v>0.0553</v>
      </c>
      <c r="X635" s="297" t="n">
        <v>42535</v>
      </c>
      <c r="Y635">
        <f>IF(I635="","No SIC",IFERROR(VLOOKUP(I635,Ref!$A$2:$B$65,2,FALSE),"Unclassified"))</f>
        <v/>
      </c>
      <c r="Z635">
        <f>IF(T635="","",IF(T635&lt;12,"Daily","Weekly"))</f>
        <v/>
      </c>
      <c r="AA635">
        <f>IF(T635="",0,IF(T635&lt;12,T635*Controls!$B$29,T635*5))</f>
        <v/>
      </c>
      <c r="AB635">
        <f>IF(E635="",0,NETWORKDAYS(E635,Controls!$B$36,Ref!$K$2:$K$42))</f>
        <v/>
      </c>
      <c r="AC635">
        <f>IF(AND(AA635&gt;0,AB635&gt;=Controls!$B$39*AA635),1,0)</f>
        <v/>
      </c>
      <c r="AD635">
        <f>IF(AND(E635&lt;&gt;"",E635&gt;=Controls!$B$37,E635&lt;=Controls!$B$38),1,0)</f>
        <v/>
      </c>
      <c r="AE635">
        <f>IF(IFERROR(VLOOKUP(D635,Controls!$A$64:$E$74,2,FALSE),"No")="Yes",1,0)</f>
        <v/>
      </c>
      <c r="AF635">
        <f>IF(IFERROR(VLOOKUP(D635,Controls!$A$64:$E$74,3,FALSE),"No")="Yes",1,0)</f>
        <v/>
      </c>
      <c r="AG635">
        <f>IF(IFERROR(VLOOKUP(D635,Controls!$A$64:$E$74,4,FALSE),"No")="Yes",1,0)</f>
        <v/>
      </c>
      <c r="AH635">
        <f>IF(IFERROR(VLOOKUP(D635,Controls!$A$64:$E$74,5,FALSE),"No")="Yes",1,0)</f>
        <v/>
      </c>
      <c r="AI635">
        <f>IF(ISNUMBER(MATCH(D635,Controls!$A$64:$A$74,0)),1,0)</f>
        <v/>
      </c>
      <c r="AJ635">
        <f>Q635-N635</f>
        <v/>
      </c>
      <c r="AK635">
        <f>IF(AE635=1,MAX(0,N635-Q635),0)</f>
        <v/>
      </c>
      <c r="AL635">
        <f>IF(OR(V635="",V635=0),0,N635/V635)</f>
        <v/>
      </c>
      <c r="AM635">
        <f>IF(OR(V635="",V635=0),0,1)</f>
        <v/>
      </c>
      <c r="AN635">
        <f>IF(OR(E635="",F635=""),0,NETWORKDAYS(E635,F635,Ref!$K$2:$K$42))</f>
        <v/>
      </c>
      <c r="AO635">
        <f>IF(L635="Renewal",1,0)</f>
        <v/>
      </c>
      <c r="AP635">
        <f>AC635*AD635</f>
        <v/>
      </c>
      <c r="AQ635">
        <f>IF(AND(G635&lt;&gt;"",'Historical Score'!$C$6&lt;&gt;""),IF(G635='Historical Score'!$C$6,1,0),0)</f>
        <v/>
      </c>
      <c r="AR635">
        <f>IF(AND(L635&lt;&gt;"",'Historical Score'!$C$5&lt;&gt;""),IF(L635='Historical Score'!$C$5,1,0),0)</f>
        <v/>
      </c>
      <c r="AS635">
        <f>IF(AND(Y635&lt;&gt;"",'Historical Score'!$C$7&lt;&gt;""),IF(Y635='Historical Score'!$C$7,1,0),0)</f>
        <v/>
      </c>
      <c r="AT635">
        <f>IF(AND(K635&lt;&gt;"",'Historical Score'!$C$8&lt;&gt;""),IF(K635='Historical Score'!$C$8,1,0),0)</f>
        <v/>
      </c>
      <c r="AU635">
        <f>IF(AND(J635&lt;&gt;"",'Historical Score'!$C$9&lt;&gt;""),IF(J635='Historical Score'!$C$9,1,0),0)</f>
        <v/>
      </c>
      <c r="AV635">
        <f>AR635*AS635*AQ635</f>
        <v/>
      </c>
      <c r="AW635">
        <f>AR635*AT635*AQ635</f>
        <v/>
      </c>
      <c r="AX635">
        <f>AR635*AS635</f>
        <v/>
      </c>
      <c r="AY635">
        <f>AR635*AT635</f>
        <v/>
      </c>
      <c r="AZ635">
        <f>AR635*AQ635</f>
        <v/>
      </c>
      <c r="BA635">
        <f>AR635</f>
        <v/>
      </c>
      <c r="BB635">
        <f>1</f>
        <v/>
      </c>
      <c r="BC635">
        <f>IF(AV635=1,1,IF(AW635=1,2,IF(AX635=1,3,IF(AY635=1,4,IF(AZ635=1,5,IF(BA635=1,6,7))))))</f>
        <v/>
      </c>
      <c r="BD635">
        <f>IF(AD635=1,CHOOSE('Historical Score'!$C$29,AV635,AW635,AX635,AY635,AZ635,BA635,BB635),0)</f>
        <v/>
      </c>
      <c r="BE635">
        <f>IF(BD635=1,COUNTIF($BD$2:BD635,1),"")</f>
        <v/>
      </c>
    </row>
    <row r="636">
      <c r="A636" t="inlineStr">
        <is>
          <t>5674178709</t>
        </is>
      </c>
      <c r="B636" t="inlineStr">
        <is>
          <t>Essential Washer LLC</t>
        </is>
      </c>
      <c r="C636" t="inlineStr">
        <is>
          <t>Essential Washer LLC</t>
        </is>
      </c>
      <c r="D636" t="inlineStr">
        <is>
          <t>Closed</t>
        </is>
      </c>
      <c r="E636" s="297" t="n">
        <v>46071</v>
      </c>
      <c r="F636" s="297" t="n">
        <v>46202</v>
      </c>
      <c r="G636" t="n">
        <v>3</v>
      </c>
      <c r="H636" t="inlineStr">
        <is>
          <t>7211</t>
        </is>
      </c>
      <c r="I636" t="inlineStr">
        <is>
          <t>72</t>
        </is>
      </c>
      <c r="J636" t="inlineStr">
        <is>
          <t>TX</t>
        </is>
      </c>
      <c r="K636" t="inlineStr">
        <is>
          <t>Merchant ReFi</t>
        </is>
      </c>
      <c r="L636" t="inlineStr">
        <is>
          <t>Renewal</t>
        </is>
      </c>
      <c r="M636" s="298" t="n">
        <v>1.49</v>
      </c>
      <c r="N636" s="299" t="n">
        <v>15000</v>
      </c>
      <c r="O636" s="299" t="n">
        <v>2100</v>
      </c>
      <c r="P636" s="299" t="n">
        <v>22350</v>
      </c>
      <c r="Q636" s="299" t="n">
        <v>22350</v>
      </c>
      <c r="R636" s="299" t="n">
        <v>0</v>
      </c>
      <c r="S636" s="300" t="n">
        <v>1</v>
      </c>
      <c r="T636" t="n">
        <v>2.984</v>
      </c>
      <c r="U636" t="n">
        <v>0</v>
      </c>
      <c r="V636" t="n">
        <v>15685.35</v>
      </c>
      <c r="W636" s="300" t="n">
        <v>0.2014</v>
      </c>
      <c r="X636" s="297" t="n"/>
      <c r="Y636">
        <f>IF(I636="","No SIC",IFERROR(VLOOKUP(I636,Ref!$A$2:$B$65,2,FALSE),"Unclassified"))</f>
        <v/>
      </c>
      <c r="Z636">
        <f>IF(T636="","",IF(T636&lt;12,"Daily","Weekly"))</f>
        <v/>
      </c>
      <c r="AA636">
        <f>IF(T636="",0,IF(T636&lt;12,T636*Controls!$B$29,T636*5))</f>
        <v/>
      </c>
      <c r="AB636">
        <f>IF(E636="",0,NETWORKDAYS(E636,Controls!$B$36,Ref!$K$2:$K$42))</f>
        <v/>
      </c>
      <c r="AC636">
        <f>IF(AND(AA636&gt;0,AB636&gt;=Controls!$B$39*AA636),1,0)</f>
        <v/>
      </c>
      <c r="AD636">
        <f>IF(AND(E636&lt;&gt;"",E636&gt;=Controls!$B$37,E636&lt;=Controls!$B$38),1,0)</f>
        <v/>
      </c>
      <c r="AE636">
        <f>IF(IFERROR(VLOOKUP(D636,Controls!$A$64:$E$74,2,FALSE),"No")="Yes",1,0)</f>
        <v/>
      </c>
      <c r="AF636">
        <f>IF(IFERROR(VLOOKUP(D636,Controls!$A$64:$E$74,3,FALSE),"No")="Yes",1,0)</f>
        <v/>
      </c>
      <c r="AG636">
        <f>IF(IFERROR(VLOOKUP(D636,Controls!$A$64:$E$74,4,FALSE),"No")="Yes",1,0)</f>
        <v/>
      </c>
      <c r="AH636">
        <f>IF(IFERROR(VLOOKUP(D636,Controls!$A$64:$E$74,5,FALSE),"No")="Yes",1,0)</f>
        <v/>
      </c>
      <c r="AI636">
        <f>IF(ISNUMBER(MATCH(D636,Controls!$A$64:$A$74,0)),1,0)</f>
        <v/>
      </c>
      <c r="AJ636">
        <f>Q636-N636</f>
        <v/>
      </c>
      <c r="AK636">
        <f>IF(AE636=1,MAX(0,N636-Q636),0)</f>
        <v/>
      </c>
      <c r="AL636">
        <f>IF(OR(V636="",V636=0),0,N636/V636)</f>
        <v/>
      </c>
      <c r="AM636">
        <f>IF(OR(V636="",V636=0),0,1)</f>
        <v/>
      </c>
      <c r="AN636">
        <f>IF(OR(E636="",F636=""),0,NETWORKDAYS(E636,F636,Ref!$K$2:$K$42))</f>
        <v/>
      </c>
      <c r="AO636">
        <f>IF(L636="Renewal",1,0)</f>
        <v/>
      </c>
      <c r="AP636">
        <f>AC636*AD636</f>
        <v/>
      </c>
      <c r="AQ636">
        <f>IF(AND(G636&lt;&gt;"",'Historical Score'!$C$6&lt;&gt;""),IF(G636='Historical Score'!$C$6,1,0),0)</f>
        <v/>
      </c>
      <c r="AR636">
        <f>IF(AND(L636&lt;&gt;"",'Historical Score'!$C$5&lt;&gt;""),IF(L636='Historical Score'!$C$5,1,0),0)</f>
        <v/>
      </c>
      <c r="AS636">
        <f>IF(AND(Y636&lt;&gt;"",'Historical Score'!$C$7&lt;&gt;""),IF(Y636='Historical Score'!$C$7,1,0),0)</f>
        <v/>
      </c>
      <c r="AT636">
        <f>IF(AND(K636&lt;&gt;"",'Historical Score'!$C$8&lt;&gt;""),IF(K636='Historical Score'!$C$8,1,0),0)</f>
        <v/>
      </c>
      <c r="AU636">
        <f>IF(AND(J636&lt;&gt;"",'Historical Score'!$C$9&lt;&gt;""),IF(J636='Historical Score'!$C$9,1,0),0)</f>
        <v/>
      </c>
      <c r="AV636">
        <f>AR636*AS636*AQ636</f>
        <v/>
      </c>
      <c r="AW636">
        <f>AR636*AT636*AQ636</f>
        <v/>
      </c>
      <c r="AX636">
        <f>AR636*AS636</f>
        <v/>
      </c>
      <c r="AY636">
        <f>AR636*AT636</f>
        <v/>
      </c>
      <c r="AZ636">
        <f>AR636*AQ636</f>
        <v/>
      </c>
      <c r="BA636">
        <f>AR636</f>
        <v/>
      </c>
      <c r="BB636">
        <f>1</f>
        <v/>
      </c>
      <c r="BC636">
        <f>IF(AV636=1,1,IF(AW636=1,2,IF(AX636=1,3,IF(AY636=1,4,IF(AZ636=1,5,IF(BA636=1,6,7))))))</f>
        <v/>
      </c>
      <c r="BD636">
        <f>IF(AD636=1,CHOOSE('Historical Score'!$C$29,AV636,AW636,AX636,AY636,AZ636,BA636,BB636),0)</f>
        <v/>
      </c>
      <c r="BE636">
        <f>IF(BD636=1,COUNTIF($BD$2:BD636,1),"")</f>
        <v/>
      </c>
    </row>
    <row r="637">
      <c r="A637" t="inlineStr">
        <is>
          <t>5674178723</t>
        </is>
      </c>
      <c r="B637" t="inlineStr">
        <is>
          <t>SYDNEY LB INC</t>
        </is>
      </c>
      <c r="C637" t="inlineStr">
        <is>
          <t>SYDNEY LB INC</t>
        </is>
      </c>
      <c r="D637" t="inlineStr">
        <is>
          <t>Legal</t>
        </is>
      </c>
      <c r="E637" s="297" t="n">
        <v>46071</v>
      </c>
      <c r="F637" s="297" t="n">
        <v>46126</v>
      </c>
      <c r="G637" t="n">
        <v>3</v>
      </c>
      <c r="H637" t="inlineStr">
        <is>
          <t>5999</t>
        </is>
      </c>
      <c r="I637" t="inlineStr">
        <is>
          <t>59</t>
        </is>
      </c>
      <c r="J637" t="inlineStr">
        <is>
          <t>IL</t>
        </is>
      </c>
      <c r="K637" t="inlineStr">
        <is>
          <t>SABER ASSETS LLC</t>
        </is>
      </c>
      <c r="L637" t="inlineStr">
        <is>
          <t>New Deal</t>
        </is>
      </c>
      <c r="M637" s="298" t="n">
        <v>1.49</v>
      </c>
      <c r="N637" s="299" t="n">
        <v>20000</v>
      </c>
      <c r="O637" s="299" t="n">
        <v>0</v>
      </c>
      <c r="P637" s="299" t="n">
        <v>29800</v>
      </c>
      <c r="Q637" s="299" t="n">
        <v>3180.16</v>
      </c>
      <c r="R637" s="299" t="n">
        <v>26619.84</v>
      </c>
      <c r="S637" s="300" t="n">
        <v>0.10671677852349</v>
      </c>
      <c r="T637" t="n">
        <v>2.459</v>
      </c>
      <c r="U637" t="n">
        <v>27</v>
      </c>
      <c r="V637" t="n">
        <v>296023.84</v>
      </c>
      <c r="W637" s="300" t="n">
        <v>0.0282</v>
      </c>
      <c r="X637" s="297" t="n">
        <v>43349</v>
      </c>
      <c r="Y637">
        <f>IF(I637="","No SIC",IFERROR(VLOOKUP(I637,Ref!$A$2:$B$65,2,FALSE),"Unclassified"))</f>
        <v/>
      </c>
      <c r="Z637">
        <f>IF(T637="","",IF(T637&lt;12,"Daily","Weekly"))</f>
        <v/>
      </c>
      <c r="AA637">
        <f>IF(T637="",0,IF(T637&lt;12,T637*Controls!$B$29,T637*5))</f>
        <v/>
      </c>
      <c r="AB637">
        <f>IF(E637="",0,NETWORKDAYS(E637,Controls!$B$36,Ref!$K$2:$K$42))</f>
        <v/>
      </c>
      <c r="AC637">
        <f>IF(AND(AA637&gt;0,AB637&gt;=Controls!$B$39*AA637),1,0)</f>
        <v/>
      </c>
      <c r="AD637">
        <f>IF(AND(E637&lt;&gt;"",E637&gt;=Controls!$B$37,E637&lt;=Controls!$B$38),1,0)</f>
        <v/>
      </c>
      <c r="AE637">
        <f>IF(IFERROR(VLOOKUP(D637,Controls!$A$64:$E$74,2,FALSE),"No")="Yes",1,0)</f>
        <v/>
      </c>
      <c r="AF637">
        <f>IF(IFERROR(VLOOKUP(D637,Controls!$A$64:$E$74,3,FALSE),"No")="Yes",1,0)</f>
        <v/>
      </c>
      <c r="AG637">
        <f>IF(IFERROR(VLOOKUP(D637,Controls!$A$64:$E$74,4,FALSE),"No")="Yes",1,0)</f>
        <v/>
      </c>
      <c r="AH637">
        <f>IF(IFERROR(VLOOKUP(D637,Controls!$A$64:$E$74,5,FALSE),"No")="Yes",1,0)</f>
        <v/>
      </c>
      <c r="AI637">
        <f>IF(ISNUMBER(MATCH(D637,Controls!$A$64:$A$74,0)),1,0)</f>
        <v/>
      </c>
      <c r="AJ637">
        <f>Q637-N637</f>
        <v/>
      </c>
      <c r="AK637">
        <f>IF(AE637=1,MAX(0,N637-Q637),0)</f>
        <v/>
      </c>
      <c r="AL637">
        <f>IF(OR(V637="",V637=0),0,N637/V637)</f>
        <v/>
      </c>
      <c r="AM637">
        <f>IF(OR(V637="",V637=0),0,1)</f>
        <v/>
      </c>
      <c r="AN637">
        <f>IF(OR(E637="",F637=""),0,NETWORKDAYS(E637,F637,Ref!$K$2:$K$42))</f>
        <v/>
      </c>
      <c r="AO637">
        <f>IF(L637="Renewal",1,0)</f>
        <v/>
      </c>
      <c r="AP637">
        <f>AC637*AD637</f>
        <v/>
      </c>
      <c r="AQ637">
        <f>IF(AND(G637&lt;&gt;"",'Historical Score'!$C$6&lt;&gt;""),IF(G637='Historical Score'!$C$6,1,0),0)</f>
        <v/>
      </c>
      <c r="AR637">
        <f>IF(AND(L637&lt;&gt;"",'Historical Score'!$C$5&lt;&gt;""),IF(L637='Historical Score'!$C$5,1,0),0)</f>
        <v/>
      </c>
      <c r="AS637">
        <f>IF(AND(Y637&lt;&gt;"",'Historical Score'!$C$7&lt;&gt;""),IF(Y637='Historical Score'!$C$7,1,0),0)</f>
        <v/>
      </c>
      <c r="AT637">
        <f>IF(AND(K637&lt;&gt;"",'Historical Score'!$C$8&lt;&gt;""),IF(K637='Historical Score'!$C$8,1,0),0)</f>
        <v/>
      </c>
      <c r="AU637">
        <f>IF(AND(J637&lt;&gt;"",'Historical Score'!$C$9&lt;&gt;""),IF(J637='Historical Score'!$C$9,1,0),0)</f>
        <v/>
      </c>
      <c r="AV637">
        <f>AR637*AS637*AQ637</f>
        <v/>
      </c>
      <c r="AW637">
        <f>AR637*AT637*AQ637</f>
        <v/>
      </c>
      <c r="AX637">
        <f>AR637*AS637</f>
        <v/>
      </c>
      <c r="AY637">
        <f>AR637*AT637</f>
        <v/>
      </c>
      <c r="AZ637">
        <f>AR637*AQ637</f>
        <v/>
      </c>
      <c r="BA637">
        <f>AR637</f>
        <v/>
      </c>
      <c r="BB637">
        <f>1</f>
        <v/>
      </c>
      <c r="BC637">
        <f>IF(AV637=1,1,IF(AW637=1,2,IF(AX637=1,3,IF(AY637=1,4,IF(AZ637=1,5,IF(BA637=1,6,7))))))</f>
        <v/>
      </c>
      <c r="BD637">
        <f>IF(AD637=1,CHOOSE('Historical Score'!$C$29,AV637,AW637,AX637,AY637,AZ637,BA637,BB637),0)</f>
        <v/>
      </c>
      <c r="BE637">
        <f>IF(BD637=1,COUNTIF($BD$2:BD637,1),"")</f>
        <v/>
      </c>
    </row>
    <row r="638">
      <c r="A638" t="inlineStr">
        <is>
          <t>5674178730</t>
        </is>
      </c>
      <c r="B638" t="inlineStr">
        <is>
          <t>irwin printing company inc</t>
        </is>
      </c>
      <c r="C638" t="inlineStr">
        <is>
          <t>irwin printing company inc</t>
        </is>
      </c>
      <c r="D638" t="inlineStr">
        <is>
          <t>Closed</t>
        </is>
      </c>
      <c r="E638" s="297" t="n">
        <v>46071</v>
      </c>
      <c r="F638" s="297" t="n">
        <v>46146</v>
      </c>
      <c r="G638" t="n">
        <v>3</v>
      </c>
      <c r="H638" t="inlineStr">
        <is>
          <t>2752</t>
        </is>
      </c>
      <c r="I638" t="inlineStr">
        <is>
          <t>27</t>
        </is>
      </c>
      <c r="J638" t="inlineStr">
        <is>
          <t>MO</t>
        </is>
      </c>
      <c r="K638" t="inlineStr">
        <is>
          <t>secure way capital</t>
        </is>
      </c>
      <c r="L638" t="inlineStr">
        <is>
          <t>New Deal</t>
        </is>
      </c>
      <c r="M638" s="298" t="n">
        <v>1.49</v>
      </c>
      <c r="N638" s="299" t="n">
        <v>10000</v>
      </c>
      <c r="O638" s="299" t="n">
        <v>1400</v>
      </c>
      <c r="P638" s="299" t="n">
        <v>14900</v>
      </c>
      <c r="Q638" s="299" t="n">
        <v>14900</v>
      </c>
      <c r="R638" s="299" t="n">
        <v>0</v>
      </c>
      <c r="S638" s="300" t="n">
        <v>1</v>
      </c>
      <c r="T638" t="n">
        <v>2.459</v>
      </c>
      <c r="U638" t="n">
        <v>0</v>
      </c>
      <c r="V638" t="n">
        <v>31854.08</v>
      </c>
      <c r="W638" s="300" t="n">
        <v>0.1304</v>
      </c>
      <c r="X638" s="297" t="n">
        <v>28525</v>
      </c>
      <c r="Y638">
        <f>IF(I638="","No SIC",IFERROR(VLOOKUP(I638,Ref!$A$2:$B$65,2,FALSE),"Unclassified"))</f>
        <v/>
      </c>
      <c r="Z638">
        <f>IF(T638="","",IF(T638&lt;12,"Daily","Weekly"))</f>
        <v/>
      </c>
      <c r="AA638">
        <f>IF(T638="",0,IF(T638&lt;12,T638*Controls!$B$29,T638*5))</f>
        <v/>
      </c>
      <c r="AB638">
        <f>IF(E638="",0,NETWORKDAYS(E638,Controls!$B$36,Ref!$K$2:$K$42))</f>
        <v/>
      </c>
      <c r="AC638">
        <f>IF(AND(AA638&gt;0,AB638&gt;=Controls!$B$39*AA638),1,0)</f>
        <v/>
      </c>
      <c r="AD638">
        <f>IF(AND(E638&lt;&gt;"",E638&gt;=Controls!$B$37,E638&lt;=Controls!$B$38),1,0)</f>
        <v/>
      </c>
      <c r="AE638">
        <f>IF(IFERROR(VLOOKUP(D638,Controls!$A$64:$E$74,2,FALSE),"No")="Yes",1,0)</f>
        <v/>
      </c>
      <c r="AF638">
        <f>IF(IFERROR(VLOOKUP(D638,Controls!$A$64:$E$74,3,FALSE),"No")="Yes",1,0)</f>
        <v/>
      </c>
      <c r="AG638">
        <f>IF(IFERROR(VLOOKUP(D638,Controls!$A$64:$E$74,4,FALSE),"No")="Yes",1,0)</f>
        <v/>
      </c>
      <c r="AH638">
        <f>IF(IFERROR(VLOOKUP(D638,Controls!$A$64:$E$74,5,FALSE),"No")="Yes",1,0)</f>
        <v/>
      </c>
      <c r="AI638">
        <f>IF(ISNUMBER(MATCH(D638,Controls!$A$64:$A$74,0)),1,0)</f>
        <v/>
      </c>
      <c r="AJ638">
        <f>Q638-N638</f>
        <v/>
      </c>
      <c r="AK638">
        <f>IF(AE638=1,MAX(0,N638-Q638),0)</f>
        <v/>
      </c>
      <c r="AL638">
        <f>IF(OR(V638="",V638=0),0,N638/V638)</f>
        <v/>
      </c>
      <c r="AM638">
        <f>IF(OR(V638="",V638=0),0,1)</f>
        <v/>
      </c>
      <c r="AN638">
        <f>IF(OR(E638="",F638=""),0,NETWORKDAYS(E638,F638,Ref!$K$2:$K$42))</f>
        <v/>
      </c>
      <c r="AO638">
        <f>IF(L638="Renewal",1,0)</f>
        <v/>
      </c>
      <c r="AP638">
        <f>AC638*AD638</f>
        <v/>
      </c>
      <c r="AQ638">
        <f>IF(AND(G638&lt;&gt;"",'Historical Score'!$C$6&lt;&gt;""),IF(G638='Historical Score'!$C$6,1,0),0)</f>
        <v/>
      </c>
      <c r="AR638">
        <f>IF(AND(L638&lt;&gt;"",'Historical Score'!$C$5&lt;&gt;""),IF(L638='Historical Score'!$C$5,1,0),0)</f>
        <v/>
      </c>
      <c r="AS638">
        <f>IF(AND(Y638&lt;&gt;"",'Historical Score'!$C$7&lt;&gt;""),IF(Y638='Historical Score'!$C$7,1,0),0)</f>
        <v/>
      </c>
      <c r="AT638">
        <f>IF(AND(K638&lt;&gt;"",'Historical Score'!$C$8&lt;&gt;""),IF(K638='Historical Score'!$C$8,1,0),0)</f>
        <v/>
      </c>
      <c r="AU638">
        <f>IF(AND(J638&lt;&gt;"",'Historical Score'!$C$9&lt;&gt;""),IF(J638='Historical Score'!$C$9,1,0),0)</f>
        <v/>
      </c>
      <c r="AV638">
        <f>AR638*AS638*AQ638</f>
        <v/>
      </c>
      <c r="AW638">
        <f>AR638*AT638*AQ638</f>
        <v/>
      </c>
      <c r="AX638">
        <f>AR638*AS638</f>
        <v/>
      </c>
      <c r="AY638">
        <f>AR638*AT638</f>
        <v/>
      </c>
      <c r="AZ638">
        <f>AR638*AQ638</f>
        <v/>
      </c>
      <c r="BA638">
        <f>AR638</f>
        <v/>
      </c>
      <c r="BB638">
        <f>1</f>
        <v/>
      </c>
      <c r="BC638">
        <f>IF(AV638=1,1,IF(AW638=1,2,IF(AX638=1,3,IF(AY638=1,4,IF(AZ638=1,5,IF(BA638=1,6,7))))))</f>
        <v/>
      </c>
      <c r="BD638">
        <f>IF(AD638=1,CHOOSE('Historical Score'!$C$29,AV638,AW638,AX638,AY638,AZ638,BA638,BB638),0)</f>
        <v/>
      </c>
      <c r="BE638">
        <f>IF(BD638=1,COUNTIF($BD$2:BD638,1),"")</f>
        <v/>
      </c>
    </row>
    <row r="639">
      <c r="A639" t="inlineStr">
        <is>
          <t>5674178733</t>
        </is>
      </c>
      <c r="B639" t="inlineStr">
        <is>
          <t>JRRE CONSULTING</t>
        </is>
      </c>
      <c r="C639" t="inlineStr">
        <is>
          <t>JRRE CONSULTING LLC</t>
        </is>
      </c>
      <c r="D639" t="inlineStr">
        <is>
          <t>Closed</t>
        </is>
      </c>
      <c r="E639" s="297" t="n">
        <v>46071</v>
      </c>
      <c r="F639" s="297" t="n">
        <v>46198</v>
      </c>
      <c r="G639" t="n">
        <v>3</v>
      </c>
      <c r="H639" t="inlineStr">
        <is>
          <t>8748</t>
        </is>
      </c>
      <c r="I639" t="inlineStr">
        <is>
          <t>87</t>
        </is>
      </c>
      <c r="J639" t="inlineStr">
        <is>
          <t>SC</t>
        </is>
      </c>
      <c r="K639" t="inlineStr">
        <is>
          <t>Westwood</t>
        </is>
      </c>
      <c r="L639" t="inlineStr">
        <is>
          <t>New Deal</t>
        </is>
      </c>
      <c r="M639" s="298" t="n">
        <v>1.49</v>
      </c>
      <c r="N639" s="299" t="n">
        <v>15000</v>
      </c>
      <c r="O639" s="299" t="n">
        <v>2100</v>
      </c>
      <c r="P639" s="299" t="n">
        <v>22350</v>
      </c>
      <c r="Q639" s="299" t="n">
        <v>22350</v>
      </c>
      <c r="R639" s="299" t="n">
        <v>0</v>
      </c>
      <c r="S639" s="300" t="n">
        <v>1</v>
      </c>
      <c r="T639" t="n">
        <v>2.951</v>
      </c>
      <c r="U639" t="n">
        <v>0</v>
      </c>
      <c r="V639" t="n">
        <v>41887.96</v>
      </c>
      <c r="W639" s="300" t="n">
        <v>0.1245</v>
      </c>
      <c r="X639" s="297" t="n">
        <v>45884</v>
      </c>
      <c r="Y639">
        <f>IF(I639="","No SIC",IFERROR(VLOOKUP(I639,Ref!$A$2:$B$65,2,FALSE),"Unclassified"))</f>
        <v/>
      </c>
      <c r="Z639">
        <f>IF(T639="","",IF(T639&lt;12,"Daily","Weekly"))</f>
        <v/>
      </c>
      <c r="AA639">
        <f>IF(T639="",0,IF(T639&lt;12,T639*Controls!$B$29,T639*5))</f>
        <v/>
      </c>
      <c r="AB639">
        <f>IF(E639="",0,NETWORKDAYS(E639,Controls!$B$36,Ref!$K$2:$K$42))</f>
        <v/>
      </c>
      <c r="AC639">
        <f>IF(AND(AA639&gt;0,AB639&gt;=Controls!$B$39*AA639),1,0)</f>
        <v/>
      </c>
      <c r="AD639">
        <f>IF(AND(E639&lt;&gt;"",E639&gt;=Controls!$B$37,E639&lt;=Controls!$B$38),1,0)</f>
        <v/>
      </c>
      <c r="AE639">
        <f>IF(IFERROR(VLOOKUP(D639,Controls!$A$64:$E$74,2,FALSE),"No")="Yes",1,0)</f>
        <v/>
      </c>
      <c r="AF639">
        <f>IF(IFERROR(VLOOKUP(D639,Controls!$A$64:$E$74,3,FALSE),"No")="Yes",1,0)</f>
        <v/>
      </c>
      <c r="AG639">
        <f>IF(IFERROR(VLOOKUP(D639,Controls!$A$64:$E$74,4,FALSE),"No")="Yes",1,0)</f>
        <v/>
      </c>
      <c r="AH639">
        <f>IF(IFERROR(VLOOKUP(D639,Controls!$A$64:$E$74,5,FALSE),"No")="Yes",1,0)</f>
        <v/>
      </c>
      <c r="AI639">
        <f>IF(ISNUMBER(MATCH(D639,Controls!$A$64:$A$74,0)),1,0)</f>
        <v/>
      </c>
      <c r="AJ639">
        <f>Q639-N639</f>
        <v/>
      </c>
      <c r="AK639">
        <f>IF(AE639=1,MAX(0,N639-Q639),0)</f>
        <v/>
      </c>
      <c r="AL639">
        <f>IF(OR(V639="",V639=0),0,N639/V639)</f>
        <v/>
      </c>
      <c r="AM639">
        <f>IF(OR(V639="",V639=0),0,1)</f>
        <v/>
      </c>
      <c r="AN639">
        <f>IF(OR(E639="",F639=""),0,NETWORKDAYS(E639,F639,Ref!$K$2:$K$42))</f>
        <v/>
      </c>
      <c r="AO639">
        <f>IF(L639="Renewal",1,0)</f>
        <v/>
      </c>
      <c r="AP639">
        <f>AC639*AD639</f>
        <v/>
      </c>
      <c r="AQ639">
        <f>IF(AND(G639&lt;&gt;"",'Historical Score'!$C$6&lt;&gt;""),IF(G639='Historical Score'!$C$6,1,0),0)</f>
        <v/>
      </c>
      <c r="AR639">
        <f>IF(AND(L639&lt;&gt;"",'Historical Score'!$C$5&lt;&gt;""),IF(L639='Historical Score'!$C$5,1,0),0)</f>
        <v/>
      </c>
      <c r="AS639">
        <f>IF(AND(Y639&lt;&gt;"",'Historical Score'!$C$7&lt;&gt;""),IF(Y639='Historical Score'!$C$7,1,0),0)</f>
        <v/>
      </c>
      <c r="AT639">
        <f>IF(AND(K639&lt;&gt;"",'Historical Score'!$C$8&lt;&gt;""),IF(K639='Historical Score'!$C$8,1,0),0)</f>
        <v/>
      </c>
      <c r="AU639">
        <f>IF(AND(J639&lt;&gt;"",'Historical Score'!$C$9&lt;&gt;""),IF(J639='Historical Score'!$C$9,1,0),0)</f>
        <v/>
      </c>
      <c r="AV639">
        <f>AR639*AS639*AQ639</f>
        <v/>
      </c>
      <c r="AW639">
        <f>AR639*AT639*AQ639</f>
        <v/>
      </c>
      <c r="AX639">
        <f>AR639*AS639</f>
        <v/>
      </c>
      <c r="AY639">
        <f>AR639*AT639</f>
        <v/>
      </c>
      <c r="AZ639">
        <f>AR639*AQ639</f>
        <v/>
      </c>
      <c r="BA639">
        <f>AR639</f>
        <v/>
      </c>
      <c r="BB639">
        <f>1</f>
        <v/>
      </c>
      <c r="BC639">
        <f>IF(AV639=1,1,IF(AW639=1,2,IF(AX639=1,3,IF(AY639=1,4,IF(AZ639=1,5,IF(BA639=1,6,7))))))</f>
        <v/>
      </c>
      <c r="BD639">
        <f>IF(AD639=1,CHOOSE('Historical Score'!$C$29,AV639,AW639,AX639,AY639,AZ639,BA639,BB639),0)</f>
        <v/>
      </c>
      <c r="BE639">
        <f>IF(BD639=1,COUNTIF($BD$2:BD639,1),"")</f>
        <v/>
      </c>
    </row>
    <row r="640">
      <c r="A640" t="inlineStr">
        <is>
          <t>5674178740</t>
        </is>
      </c>
      <c r="B640" t="inlineStr">
        <is>
          <t>K &amp; R DEVELOPMENT</t>
        </is>
      </c>
      <c r="C640" t="inlineStr">
        <is>
          <t>K &amp; R DEVELOPMENT LLC</t>
        </is>
      </c>
      <c r="D640" t="inlineStr">
        <is>
          <t>Closed</t>
        </is>
      </c>
      <c r="E640" s="297" t="n">
        <v>46071</v>
      </c>
      <c r="F640" s="297" t="n">
        <v>46171</v>
      </c>
      <c r="G640" t="n">
        <v>2</v>
      </c>
      <c r="H640" t="inlineStr">
        <is>
          <t>6531</t>
        </is>
      </c>
      <c r="I640" t="inlineStr">
        <is>
          <t>65</t>
        </is>
      </c>
      <c r="J640" t="inlineStr">
        <is>
          <t>SC</t>
        </is>
      </c>
      <c r="K640" t="inlineStr">
        <is>
          <t>bridge consolidation</t>
        </is>
      </c>
      <c r="L640" t="inlineStr">
        <is>
          <t>New Deal</t>
        </is>
      </c>
      <c r="M640" s="298" t="n">
        <v>1.49</v>
      </c>
      <c r="N640" s="299" t="n">
        <v>100000</v>
      </c>
      <c r="O640" s="299" t="n">
        <v>14000</v>
      </c>
      <c r="P640" s="299" t="n">
        <v>149000</v>
      </c>
      <c r="Q640" s="299" t="n">
        <v>149000</v>
      </c>
      <c r="R640" s="299" t="n">
        <v>0</v>
      </c>
      <c r="S640" s="300" t="n">
        <v>1</v>
      </c>
      <c r="T640" t="n">
        <v>25</v>
      </c>
      <c r="U640" t="n">
        <v>1</v>
      </c>
      <c r="V640" t="n">
        <v>377550.59</v>
      </c>
      <c r="W640" s="300" t="n">
        <v>0.0631</v>
      </c>
      <c r="X640" s="297" t="n">
        <v>43520</v>
      </c>
      <c r="Y640">
        <f>IF(I640="","No SIC",IFERROR(VLOOKUP(I640,Ref!$A$2:$B$65,2,FALSE),"Unclassified"))</f>
        <v/>
      </c>
      <c r="Z640">
        <f>IF(T640="","",IF(T640&lt;12,"Daily","Weekly"))</f>
        <v/>
      </c>
      <c r="AA640">
        <f>IF(T640="",0,IF(T640&lt;12,T640*Controls!$B$29,T640*5))</f>
        <v/>
      </c>
      <c r="AB640">
        <f>IF(E640="",0,NETWORKDAYS(E640,Controls!$B$36,Ref!$K$2:$K$42))</f>
        <v/>
      </c>
      <c r="AC640">
        <f>IF(AND(AA640&gt;0,AB640&gt;=Controls!$B$39*AA640),1,0)</f>
        <v/>
      </c>
      <c r="AD640">
        <f>IF(AND(E640&lt;&gt;"",E640&gt;=Controls!$B$37,E640&lt;=Controls!$B$38),1,0)</f>
        <v/>
      </c>
      <c r="AE640">
        <f>IF(IFERROR(VLOOKUP(D640,Controls!$A$64:$E$74,2,FALSE),"No")="Yes",1,0)</f>
        <v/>
      </c>
      <c r="AF640">
        <f>IF(IFERROR(VLOOKUP(D640,Controls!$A$64:$E$74,3,FALSE),"No")="Yes",1,0)</f>
        <v/>
      </c>
      <c r="AG640">
        <f>IF(IFERROR(VLOOKUP(D640,Controls!$A$64:$E$74,4,FALSE),"No")="Yes",1,0)</f>
        <v/>
      </c>
      <c r="AH640">
        <f>IF(IFERROR(VLOOKUP(D640,Controls!$A$64:$E$74,5,FALSE),"No")="Yes",1,0)</f>
        <v/>
      </c>
      <c r="AI640">
        <f>IF(ISNUMBER(MATCH(D640,Controls!$A$64:$A$74,0)),1,0)</f>
        <v/>
      </c>
      <c r="AJ640">
        <f>Q640-N640</f>
        <v/>
      </c>
      <c r="AK640">
        <f>IF(AE640=1,MAX(0,N640-Q640),0)</f>
        <v/>
      </c>
      <c r="AL640">
        <f>IF(OR(V640="",V640=0),0,N640/V640)</f>
        <v/>
      </c>
      <c r="AM640">
        <f>IF(OR(V640="",V640=0),0,1)</f>
        <v/>
      </c>
      <c r="AN640">
        <f>IF(OR(E640="",F640=""),0,NETWORKDAYS(E640,F640,Ref!$K$2:$K$42))</f>
        <v/>
      </c>
      <c r="AO640">
        <f>IF(L640="Renewal",1,0)</f>
        <v/>
      </c>
      <c r="AP640">
        <f>AC640*AD640</f>
        <v/>
      </c>
      <c r="AQ640">
        <f>IF(AND(G640&lt;&gt;"",'Historical Score'!$C$6&lt;&gt;""),IF(G640='Historical Score'!$C$6,1,0),0)</f>
        <v/>
      </c>
      <c r="AR640">
        <f>IF(AND(L640&lt;&gt;"",'Historical Score'!$C$5&lt;&gt;""),IF(L640='Historical Score'!$C$5,1,0),0)</f>
        <v/>
      </c>
      <c r="AS640">
        <f>IF(AND(Y640&lt;&gt;"",'Historical Score'!$C$7&lt;&gt;""),IF(Y640='Historical Score'!$C$7,1,0),0)</f>
        <v/>
      </c>
      <c r="AT640">
        <f>IF(AND(K640&lt;&gt;"",'Historical Score'!$C$8&lt;&gt;""),IF(K640='Historical Score'!$C$8,1,0),0)</f>
        <v/>
      </c>
      <c r="AU640">
        <f>IF(AND(J640&lt;&gt;"",'Historical Score'!$C$9&lt;&gt;""),IF(J640='Historical Score'!$C$9,1,0),0)</f>
        <v/>
      </c>
      <c r="AV640">
        <f>AR640*AS640*AQ640</f>
        <v/>
      </c>
      <c r="AW640">
        <f>AR640*AT640*AQ640</f>
        <v/>
      </c>
      <c r="AX640">
        <f>AR640*AS640</f>
        <v/>
      </c>
      <c r="AY640">
        <f>AR640*AT640</f>
        <v/>
      </c>
      <c r="AZ640">
        <f>AR640*AQ640</f>
        <v/>
      </c>
      <c r="BA640">
        <f>AR640</f>
        <v/>
      </c>
      <c r="BB640">
        <f>1</f>
        <v/>
      </c>
      <c r="BC640">
        <f>IF(AV640=1,1,IF(AW640=1,2,IF(AX640=1,3,IF(AY640=1,4,IF(AZ640=1,5,IF(BA640=1,6,7))))))</f>
        <v/>
      </c>
      <c r="BD640">
        <f>IF(AD640=1,CHOOSE('Historical Score'!$C$29,AV640,AW640,AX640,AY640,AZ640,BA640,BB640),0)</f>
        <v/>
      </c>
      <c r="BE640">
        <f>IF(BD640=1,COUNTIF($BD$2:BD640,1),"")</f>
        <v/>
      </c>
    </row>
    <row r="641">
      <c r="A641" t="inlineStr">
        <is>
          <t>5674178759</t>
        </is>
      </c>
      <c r="B641" t="inlineStr">
        <is>
          <t>EL Fogon Restobar and Grill</t>
        </is>
      </c>
      <c r="C641" t="inlineStr">
        <is>
          <t>EL Fogon Restobar and Grill</t>
        </is>
      </c>
      <c r="D641" t="inlineStr">
        <is>
          <t>Legal</t>
        </is>
      </c>
      <c r="E641" s="297" t="n">
        <v>46072</v>
      </c>
      <c r="F641" s="297" t="n">
        <v>46083</v>
      </c>
      <c r="G641" t="n">
        <v>3</v>
      </c>
      <c r="H641" t="inlineStr">
        <is>
          <t>5812</t>
        </is>
      </c>
      <c r="I641" t="inlineStr">
        <is>
          <t>58</t>
        </is>
      </c>
      <c r="J641" t="inlineStr">
        <is>
          <t>VA</t>
        </is>
      </c>
      <c r="K641" t="inlineStr">
        <is>
          <t>United Secured Capital 8</t>
        </is>
      </c>
      <c r="L641" t="inlineStr">
        <is>
          <t>New Deal</t>
        </is>
      </c>
      <c r="M641" s="298" t="n">
        <v>1.49</v>
      </c>
      <c r="N641" s="299" t="n">
        <v>25000</v>
      </c>
      <c r="O641" s="299" t="n">
        <v>0</v>
      </c>
      <c r="P641" s="299" t="n">
        <v>37250</v>
      </c>
      <c r="Q641" s="299" t="n">
        <v>1117.35</v>
      </c>
      <c r="R641" s="299" t="n">
        <v>36132.65</v>
      </c>
      <c r="S641" s="300" t="n">
        <v>0.0299959731543624</v>
      </c>
      <c r="T641" t="n">
        <v>3.279</v>
      </c>
      <c r="U641" t="n">
        <v>4</v>
      </c>
      <c r="V641" t="n">
        <v>67136.31</v>
      </c>
      <c r="W641" s="300" t="n">
        <v>0.1165</v>
      </c>
      <c r="X641" s="297" t="n">
        <v>45816</v>
      </c>
      <c r="Y641">
        <f>IF(I641="","No SIC",IFERROR(VLOOKUP(I641,Ref!$A$2:$B$65,2,FALSE),"Unclassified"))</f>
        <v/>
      </c>
      <c r="Z641">
        <f>IF(T641="","",IF(T641&lt;12,"Daily","Weekly"))</f>
        <v/>
      </c>
      <c r="AA641">
        <f>IF(T641="",0,IF(T641&lt;12,T641*Controls!$B$29,T641*5))</f>
        <v/>
      </c>
      <c r="AB641">
        <f>IF(E641="",0,NETWORKDAYS(E641,Controls!$B$36,Ref!$K$2:$K$42))</f>
        <v/>
      </c>
      <c r="AC641">
        <f>IF(AND(AA641&gt;0,AB641&gt;=Controls!$B$39*AA641),1,0)</f>
        <v/>
      </c>
      <c r="AD641">
        <f>IF(AND(E641&lt;&gt;"",E641&gt;=Controls!$B$37,E641&lt;=Controls!$B$38),1,0)</f>
        <v/>
      </c>
      <c r="AE641">
        <f>IF(IFERROR(VLOOKUP(D641,Controls!$A$64:$E$74,2,FALSE),"No")="Yes",1,0)</f>
        <v/>
      </c>
      <c r="AF641">
        <f>IF(IFERROR(VLOOKUP(D641,Controls!$A$64:$E$74,3,FALSE),"No")="Yes",1,0)</f>
        <v/>
      </c>
      <c r="AG641">
        <f>IF(IFERROR(VLOOKUP(D641,Controls!$A$64:$E$74,4,FALSE),"No")="Yes",1,0)</f>
        <v/>
      </c>
      <c r="AH641">
        <f>IF(IFERROR(VLOOKUP(D641,Controls!$A$64:$E$74,5,FALSE),"No")="Yes",1,0)</f>
        <v/>
      </c>
      <c r="AI641">
        <f>IF(ISNUMBER(MATCH(D641,Controls!$A$64:$A$74,0)),1,0)</f>
        <v/>
      </c>
      <c r="AJ641">
        <f>Q641-N641</f>
        <v/>
      </c>
      <c r="AK641">
        <f>IF(AE641=1,MAX(0,N641-Q641),0)</f>
        <v/>
      </c>
      <c r="AL641">
        <f>IF(OR(V641="",V641=0),0,N641/V641)</f>
        <v/>
      </c>
      <c r="AM641">
        <f>IF(OR(V641="",V641=0),0,1)</f>
        <v/>
      </c>
      <c r="AN641">
        <f>IF(OR(E641="",F641=""),0,NETWORKDAYS(E641,F641,Ref!$K$2:$K$42))</f>
        <v/>
      </c>
      <c r="AO641">
        <f>IF(L641="Renewal",1,0)</f>
        <v/>
      </c>
      <c r="AP641">
        <f>AC641*AD641</f>
        <v/>
      </c>
      <c r="AQ641">
        <f>IF(AND(G641&lt;&gt;"",'Historical Score'!$C$6&lt;&gt;""),IF(G641='Historical Score'!$C$6,1,0),0)</f>
        <v/>
      </c>
      <c r="AR641">
        <f>IF(AND(L641&lt;&gt;"",'Historical Score'!$C$5&lt;&gt;""),IF(L641='Historical Score'!$C$5,1,0),0)</f>
        <v/>
      </c>
      <c r="AS641">
        <f>IF(AND(Y641&lt;&gt;"",'Historical Score'!$C$7&lt;&gt;""),IF(Y641='Historical Score'!$C$7,1,0),0)</f>
        <v/>
      </c>
      <c r="AT641">
        <f>IF(AND(K641&lt;&gt;"",'Historical Score'!$C$8&lt;&gt;""),IF(K641='Historical Score'!$C$8,1,0),0)</f>
        <v/>
      </c>
      <c r="AU641">
        <f>IF(AND(J641&lt;&gt;"",'Historical Score'!$C$9&lt;&gt;""),IF(J641='Historical Score'!$C$9,1,0),0)</f>
        <v/>
      </c>
      <c r="AV641">
        <f>AR641*AS641*AQ641</f>
        <v/>
      </c>
      <c r="AW641">
        <f>AR641*AT641*AQ641</f>
        <v/>
      </c>
      <c r="AX641">
        <f>AR641*AS641</f>
        <v/>
      </c>
      <c r="AY641">
        <f>AR641*AT641</f>
        <v/>
      </c>
      <c r="AZ641">
        <f>AR641*AQ641</f>
        <v/>
      </c>
      <c r="BA641">
        <f>AR641</f>
        <v/>
      </c>
      <c r="BB641">
        <f>1</f>
        <v/>
      </c>
      <c r="BC641">
        <f>IF(AV641=1,1,IF(AW641=1,2,IF(AX641=1,3,IF(AY641=1,4,IF(AZ641=1,5,IF(BA641=1,6,7))))))</f>
        <v/>
      </c>
      <c r="BD641">
        <f>IF(AD641=1,CHOOSE('Historical Score'!$C$29,AV641,AW641,AX641,AY641,AZ641,BA641,BB641),0)</f>
        <v/>
      </c>
      <c r="BE641">
        <f>IF(BD641=1,COUNTIF($BD$2:BD641,1),"")</f>
        <v/>
      </c>
    </row>
    <row r="642">
      <c r="A642" t="inlineStr">
        <is>
          <t>5674178767</t>
        </is>
      </c>
      <c r="B642" t="inlineStr">
        <is>
          <t>Simpl Construction</t>
        </is>
      </c>
      <c r="C642" t="inlineStr">
        <is>
          <t>Simpl Construction</t>
        </is>
      </c>
      <c r="D642" t="inlineStr">
        <is>
          <t>Legal</t>
        </is>
      </c>
      <c r="E642" s="297" t="n">
        <v>46072</v>
      </c>
      <c r="F642" s="297" t="n">
        <v>46149</v>
      </c>
      <c r="G642" t="n">
        <v>3</v>
      </c>
      <c r="H642" t="inlineStr">
        <is>
          <t>1521</t>
        </is>
      </c>
      <c r="I642" t="inlineStr">
        <is>
          <t>15</t>
        </is>
      </c>
      <c r="J642" t="inlineStr">
        <is>
          <t>GA</t>
        </is>
      </c>
      <c r="K642" t="inlineStr">
        <is>
          <t>Secure Capital Solutions 7</t>
        </is>
      </c>
      <c r="L642" t="inlineStr">
        <is>
          <t>New Deal</t>
        </is>
      </c>
      <c r="M642" s="298" t="n">
        <v>1.49</v>
      </c>
      <c r="N642" s="299" t="n">
        <v>25000</v>
      </c>
      <c r="O642" s="299" t="n">
        <v>0</v>
      </c>
      <c r="P642" s="299" t="n">
        <v>37250</v>
      </c>
      <c r="Q642" s="299" t="n">
        <v>4346.05</v>
      </c>
      <c r="R642" s="299" t="n">
        <v>32903.95</v>
      </c>
      <c r="S642" s="300" t="n">
        <v>0.116672483221477</v>
      </c>
      <c r="T642" t="n">
        <v>2.951</v>
      </c>
      <c r="U642" t="n">
        <v>40</v>
      </c>
      <c r="V642" t="n">
        <v>80000</v>
      </c>
      <c r="W642" s="300" t="n">
        <v>0.0945</v>
      </c>
      <c r="X642" s="297" t="n">
        <v>42736</v>
      </c>
      <c r="Y642">
        <f>IF(I642="","No SIC",IFERROR(VLOOKUP(I642,Ref!$A$2:$B$65,2,FALSE),"Unclassified"))</f>
        <v/>
      </c>
      <c r="Z642">
        <f>IF(T642="","",IF(T642&lt;12,"Daily","Weekly"))</f>
        <v/>
      </c>
      <c r="AA642">
        <f>IF(T642="",0,IF(T642&lt;12,T642*Controls!$B$29,T642*5))</f>
        <v/>
      </c>
      <c r="AB642">
        <f>IF(E642="",0,NETWORKDAYS(E642,Controls!$B$36,Ref!$K$2:$K$42))</f>
        <v/>
      </c>
      <c r="AC642">
        <f>IF(AND(AA642&gt;0,AB642&gt;=Controls!$B$39*AA642),1,0)</f>
        <v/>
      </c>
      <c r="AD642">
        <f>IF(AND(E642&lt;&gt;"",E642&gt;=Controls!$B$37,E642&lt;=Controls!$B$38),1,0)</f>
        <v/>
      </c>
      <c r="AE642">
        <f>IF(IFERROR(VLOOKUP(D642,Controls!$A$64:$E$74,2,FALSE),"No")="Yes",1,0)</f>
        <v/>
      </c>
      <c r="AF642">
        <f>IF(IFERROR(VLOOKUP(D642,Controls!$A$64:$E$74,3,FALSE),"No")="Yes",1,0)</f>
        <v/>
      </c>
      <c r="AG642">
        <f>IF(IFERROR(VLOOKUP(D642,Controls!$A$64:$E$74,4,FALSE),"No")="Yes",1,0)</f>
        <v/>
      </c>
      <c r="AH642">
        <f>IF(IFERROR(VLOOKUP(D642,Controls!$A$64:$E$74,5,FALSE),"No")="Yes",1,0)</f>
        <v/>
      </c>
      <c r="AI642">
        <f>IF(ISNUMBER(MATCH(D642,Controls!$A$64:$A$74,0)),1,0)</f>
        <v/>
      </c>
      <c r="AJ642">
        <f>Q642-N642</f>
        <v/>
      </c>
      <c r="AK642">
        <f>IF(AE642=1,MAX(0,N642-Q642),0)</f>
        <v/>
      </c>
      <c r="AL642">
        <f>IF(OR(V642="",V642=0),0,N642/V642)</f>
        <v/>
      </c>
      <c r="AM642">
        <f>IF(OR(V642="",V642=0),0,1)</f>
        <v/>
      </c>
      <c r="AN642">
        <f>IF(OR(E642="",F642=""),0,NETWORKDAYS(E642,F642,Ref!$K$2:$K$42))</f>
        <v/>
      </c>
      <c r="AO642">
        <f>IF(L642="Renewal",1,0)</f>
        <v/>
      </c>
      <c r="AP642">
        <f>AC642*AD642</f>
        <v/>
      </c>
      <c r="AQ642">
        <f>IF(AND(G642&lt;&gt;"",'Historical Score'!$C$6&lt;&gt;""),IF(G642='Historical Score'!$C$6,1,0),0)</f>
        <v/>
      </c>
      <c r="AR642">
        <f>IF(AND(L642&lt;&gt;"",'Historical Score'!$C$5&lt;&gt;""),IF(L642='Historical Score'!$C$5,1,0),0)</f>
        <v/>
      </c>
      <c r="AS642">
        <f>IF(AND(Y642&lt;&gt;"",'Historical Score'!$C$7&lt;&gt;""),IF(Y642='Historical Score'!$C$7,1,0),0)</f>
        <v/>
      </c>
      <c r="AT642">
        <f>IF(AND(K642&lt;&gt;"",'Historical Score'!$C$8&lt;&gt;""),IF(K642='Historical Score'!$C$8,1,0),0)</f>
        <v/>
      </c>
      <c r="AU642">
        <f>IF(AND(J642&lt;&gt;"",'Historical Score'!$C$9&lt;&gt;""),IF(J642='Historical Score'!$C$9,1,0),0)</f>
        <v/>
      </c>
      <c r="AV642">
        <f>AR642*AS642*AQ642</f>
        <v/>
      </c>
      <c r="AW642">
        <f>AR642*AT642*AQ642</f>
        <v/>
      </c>
      <c r="AX642">
        <f>AR642*AS642</f>
        <v/>
      </c>
      <c r="AY642">
        <f>AR642*AT642</f>
        <v/>
      </c>
      <c r="AZ642">
        <f>AR642*AQ642</f>
        <v/>
      </c>
      <c r="BA642">
        <f>AR642</f>
        <v/>
      </c>
      <c r="BB642">
        <f>1</f>
        <v/>
      </c>
      <c r="BC642">
        <f>IF(AV642=1,1,IF(AW642=1,2,IF(AX642=1,3,IF(AY642=1,4,IF(AZ642=1,5,IF(BA642=1,6,7))))))</f>
        <v/>
      </c>
      <c r="BD642">
        <f>IF(AD642=1,CHOOSE('Historical Score'!$C$29,AV642,AW642,AX642,AY642,AZ642,BA642,BB642),0)</f>
        <v/>
      </c>
      <c r="BE642">
        <f>IF(BD642=1,COUNTIF($BD$2:BD642,1),"")</f>
        <v/>
      </c>
    </row>
    <row r="643">
      <c r="A643" t="inlineStr">
        <is>
          <t>5674178782</t>
        </is>
      </c>
      <c r="B643" t="inlineStr">
        <is>
          <t>Kc Pharmaceuticals, Inc.</t>
        </is>
      </c>
      <c r="C643" t="inlineStr">
        <is>
          <t>Kc Pharmaceuticals, Inc.</t>
        </is>
      </c>
      <c r="D643" t="inlineStr">
        <is>
          <t>Closed</t>
        </is>
      </c>
      <c r="E643" s="297" t="n">
        <v>46072</v>
      </c>
      <c r="F643" s="297" t="n">
        <v>46127</v>
      </c>
      <c r="G643" t="n">
        <v>2</v>
      </c>
      <c r="H643" t="inlineStr">
        <is>
          <t>2834</t>
        </is>
      </c>
      <c r="I643" t="inlineStr">
        <is>
          <t>28</t>
        </is>
      </c>
      <c r="J643" t="inlineStr">
        <is>
          <t>CA</t>
        </is>
      </c>
      <c r="K643" t="inlineStr">
        <is>
          <t>Fundwell</t>
        </is>
      </c>
      <c r="L643" t="inlineStr">
        <is>
          <t>New Deal</t>
        </is>
      </c>
      <c r="M643" s="298" t="n">
        <v>1.36</v>
      </c>
      <c r="N643" s="299" t="n">
        <v>275000</v>
      </c>
      <c r="O643" s="299" t="n">
        <v>27500</v>
      </c>
      <c r="P643" s="299" t="n">
        <v>374000</v>
      </c>
      <c r="Q643" s="299" t="n">
        <v>374000</v>
      </c>
      <c r="R643" s="299" t="n">
        <v>0</v>
      </c>
      <c r="S643" s="300" t="n">
        <v>1</v>
      </c>
      <c r="T643" t="n">
        <v>52</v>
      </c>
      <c r="U643" t="n">
        <v>1</v>
      </c>
      <c r="V643" t="n">
        <v>4622375.62</v>
      </c>
      <c r="W643" s="300" t="n">
        <v>0.0325</v>
      </c>
      <c r="X643" s="297" t="n">
        <v>32082</v>
      </c>
      <c r="Y643">
        <f>IF(I643="","No SIC",IFERROR(VLOOKUP(I643,Ref!$A$2:$B$65,2,FALSE),"Unclassified"))</f>
        <v/>
      </c>
      <c r="Z643">
        <f>IF(T643="","",IF(T643&lt;12,"Daily","Weekly"))</f>
        <v/>
      </c>
      <c r="AA643">
        <f>IF(T643="",0,IF(T643&lt;12,T643*Controls!$B$29,T643*5))</f>
        <v/>
      </c>
      <c r="AB643">
        <f>IF(E643="",0,NETWORKDAYS(E643,Controls!$B$36,Ref!$K$2:$K$42))</f>
        <v/>
      </c>
      <c r="AC643">
        <f>IF(AND(AA643&gt;0,AB643&gt;=Controls!$B$39*AA643),1,0)</f>
        <v/>
      </c>
      <c r="AD643">
        <f>IF(AND(E643&lt;&gt;"",E643&gt;=Controls!$B$37,E643&lt;=Controls!$B$38),1,0)</f>
        <v/>
      </c>
      <c r="AE643">
        <f>IF(IFERROR(VLOOKUP(D643,Controls!$A$64:$E$74,2,FALSE),"No")="Yes",1,0)</f>
        <v/>
      </c>
      <c r="AF643">
        <f>IF(IFERROR(VLOOKUP(D643,Controls!$A$64:$E$74,3,FALSE),"No")="Yes",1,0)</f>
        <v/>
      </c>
      <c r="AG643">
        <f>IF(IFERROR(VLOOKUP(D643,Controls!$A$64:$E$74,4,FALSE),"No")="Yes",1,0)</f>
        <v/>
      </c>
      <c r="AH643">
        <f>IF(IFERROR(VLOOKUP(D643,Controls!$A$64:$E$74,5,FALSE),"No")="Yes",1,0)</f>
        <v/>
      </c>
      <c r="AI643">
        <f>IF(ISNUMBER(MATCH(D643,Controls!$A$64:$A$74,0)),1,0)</f>
        <v/>
      </c>
      <c r="AJ643">
        <f>Q643-N643</f>
        <v/>
      </c>
      <c r="AK643">
        <f>IF(AE643=1,MAX(0,N643-Q643),0)</f>
        <v/>
      </c>
      <c r="AL643">
        <f>IF(OR(V643="",V643=0),0,N643/V643)</f>
        <v/>
      </c>
      <c r="AM643">
        <f>IF(OR(V643="",V643=0),0,1)</f>
        <v/>
      </c>
      <c r="AN643">
        <f>IF(OR(E643="",F643=""),0,NETWORKDAYS(E643,F643,Ref!$K$2:$K$42))</f>
        <v/>
      </c>
      <c r="AO643">
        <f>IF(L643="Renewal",1,0)</f>
        <v/>
      </c>
      <c r="AP643">
        <f>AC643*AD643</f>
        <v/>
      </c>
      <c r="AQ643">
        <f>IF(AND(G643&lt;&gt;"",'Historical Score'!$C$6&lt;&gt;""),IF(G643='Historical Score'!$C$6,1,0),0)</f>
        <v/>
      </c>
      <c r="AR643">
        <f>IF(AND(L643&lt;&gt;"",'Historical Score'!$C$5&lt;&gt;""),IF(L643='Historical Score'!$C$5,1,0),0)</f>
        <v/>
      </c>
      <c r="AS643">
        <f>IF(AND(Y643&lt;&gt;"",'Historical Score'!$C$7&lt;&gt;""),IF(Y643='Historical Score'!$C$7,1,0),0)</f>
        <v/>
      </c>
      <c r="AT643">
        <f>IF(AND(K643&lt;&gt;"",'Historical Score'!$C$8&lt;&gt;""),IF(K643='Historical Score'!$C$8,1,0),0)</f>
        <v/>
      </c>
      <c r="AU643">
        <f>IF(AND(J643&lt;&gt;"",'Historical Score'!$C$9&lt;&gt;""),IF(J643='Historical Score'!$C$9,1,0),0)</f>
        <v/>
      </c>
      <c r="AV643">
        <f>AR643*AS643*AQ643</f>
        <v/>
      </c>
      <c r="AW643">
        <f>AR643*AT643*AQ643</f>
        <v/>
      </c>
      <c r="AX643">
        <f>AR643*AS643</f>
        <v/>
      </c>
      <c r="AY643">
        <f>AR643*AT643</f>
        <v/>
      </c>
      <c r="AZ643">
        <f>AR643*AQ643</f>
        <v/>
      </c>
      <c r="BA643">
        <f>AR643</f>
        <v/>
      </c>
      <c r="BB643">
        <f>1</f>
        <v/>
      </c>
      <c r="BC643">
        <f>IF(AV643=1,1,IF(AW643=1,2,IF(AX643=1,3,IF(AY643=1,4,IF(AZ643=1,5,IF(BA643=1,6,7))))))</f>
        <v/>
      </c>
      <c r="BD643">
        <f>IF(AD643=1,CHOOSE('Historical Score'!$C$29,AV643,AW643,AX643,AY643,AZ643,BA643,BB643),0)</f>
        <v/>
      </c>
      <c r="BE643">
        <f>IF(BD643=1,COUNTIF($BD$2:BD643,1),"")</f>
        <v/>
      </c>
    </row>
    <row r="644">
      <c r="A644" t="inlineStr">
        <is>
          <t>5674178840</t>
        </is>
      </c>
      <c r="B644" t="inlineStr">
        <is>
          <t>K&amp;JTowing,Inc</t>
        </is>
      </c>
      <c r="C644" t="inlineStr">
        <is>
          <t>K&amp;JTowing,Inc</t>
        </is>
      </c>
      <c r="D644" t="inlineStr">
        <is>
          <t>Closed</t>
        </is>
      </c>
      <c r="E644" s="297" t="n">
        <v>46073</v>
      </c>
      <c r="F644" s="297" t="n">
        <v>46136</v>
      </c>
      <c r="G644" t="n">
        <v>3</v>
      </c>
      <c r="H644" t="inlineStr">
        <is>
          <t>4492</t>
        </is>
      </c>
      <c r="I644" t="inlineStr">
        <is>
          <t>44</t>
        </is>
      </c>
      <c r="J644" t="inlineStr">
        <is>
          <t>No state</t>
        </is>
      </c>
      <c r="K644" t="inlineStr">
        <is>
          <t>Atla Finance</t>
        </is>
      </c>
      <c r="L644" t="inlineStr">
        <is>
          <t>Renewal</t>
        </is>
      </c>
      <c r="M644" s="298" t="n">
        <v>1.32024</v>
      </c>
      <c r="N644" s="299" t="n">
        <v>25000</v>
      </c>
      <c r="O644" s="299" t="n">
        <v>2125</v>
      </c>
      <c r="P644" s="299" t="n">
        <v>33006</v>
      </c>
      <c r="Q644" s="299" t="n">
        <v>33006</v>
      </c>
      <c r="R644" s="299" t="n">
        <v>0</v>
      </c>
      <c r="S644" s="300" t="n">
        <v>1</v>
      </c>
      <c r="T644" t="n">
        <v>30</v>
      </c>
      <c r="U644" t="n">
        <v>0</v>
      </c>
      <c r="V644" t="n">
        <v>120000</v>
      </c>
      <c r="W644" s="300" t="n">
        <v>0.1248</v>
      </c>
      <c r="X644" s="297" t="n">
        <v>42644</v>
      </c>
      <c r="Y644">
        <f>IF(I644="","No SIC",IFERROR(VLOOKUP(I644,Ref!$A$2:$B$65,2,FALSE),"Unclassified"))</f>
        <v/>
      </c>
      <c r="Z644">
        <f>IF(T644="","",IF(T644&lt;12,"Daily","Weekly"))</f>
        <v/>
      </c>
      <c r="AA644">
        <f>IF(T644="",0,IF(T644&lt;12,T644*Controls!$B$29,T644*5))</f>
        <v/>
      </c>
      <c r="AB644">
        <f>IF(E644="",0,NETWORKDAYS(E644,Controls!$B$36,Ref!$K$2:$K$42))</f>
        <v/>
      </c>
      <c r="AC644">
        <f>IF(AND(AA644&gt;0,AB644&gt;=Controls!$B$39*AA644),1,0)</f>
        <v/>
      </c>
      <c r="AD644">
        <f>IF(AND(E644&lt;&gt;"",E644&gt;=Controls!$B$37,E644&lt;=Controls!$B$38),1,0)</f>
        <v/>
      </c>
      <c r="AE644">
        <f>IF(IFERROR(VLOOKUP(D644,Controls!$A$64:$E$74,2,FALSE),"No")="Yes",1,0)</f>
        <v/>
      </c>
      <c r="AF644">
        <f>IF(IFERROR(VLOOKUP(D644,Controls!$A$64:$E$74,3,FALSE),"No")="Yes",1,0)</f>
        <v/>
      </c>
      <c r="AG644">
        <f>IF(IFERROR(VLOOKUP(D644,Controls!$A$64:$E$74,4,FALSE),"No")="Yes",1,0)</f>
        <v/>
      </c>
      <c r="AH644">
        <f>IF(IFERROR(VLOOKUP(D644,Controls!$A$64:$E$74,5,FALSE),"No")="Yes",1,0)</f>
        <v/>
      </c>
      <c r="AI644">
        <f>IF(ISNUMBER(MATCH(D644,Controls!$A$64:$A$74,0)),1,0)</f>
        <v/>
      </c>
      <c r="AJ644">
        <f>Q644-N644</f>
        <v/>
      </c>
      <c r="AK644">
        <f>IF(AE644=1,MAX(0,N644-Q644),0)</f>
        <v/>
      </c>
      <c r="AL644">
        <f>IF(OR(V644="",V644=0),0,N644/V644)</f>
        <v/>
      </c>
      <c r="AM644">
        <f>IF(OR(V644="",V644=0),0,1)</f>
        <v/>
      </c>
      <c r="AN644">
        <f>IF(OR(E644="",F644=""),0,NETWORKDAYS(E644,F644,Ref!$K$2:$K$42))</f>
        <v/>
      </c>
      <c r="AO644">
        <f>IF(L644="Renewal",1,0)</f>
        <v/>
      </c>
      <c r="AP644">
        <f>AC644*AD644</f>
        <v/>
      </c>
      <c r="AQ644">
        <f>IF(AND(G644&lt;&gt;"",'Historical Score'!$C$6&lt;&gt;""),IF(G644='Historical Score'!$C$6,1,0),0)</f>
        <v/>
      </c>
      <c r="AR644">
        <f>IF(AND(L644&lt;&gt;"",'Historical Score'!$C$5&lt;&gt;""),IF(L644='Historical Score'!$C$5,1,0),0)</f>
        <v/>
      </c>
      <c r="AS644">
        <f>IF(AND(Y644&lt;&gt;"",'Historical Score'!$C$7&lt;&gt;""),IF(Y644='Historical Score'!$C$7,1,0),0)</f>
        <v/>
      </c>
      <c r="AT644">
        <f>IF(AND(K644&lt;&gt;"",'Historical Score'!$C$8&lt;&gt;""),IF(K644='Historical Score'!$C$8,1,0),0)</f>
        <v/>
      </c>
      <c r="AU644">
        <f>IF(AND(J644&lt;&gt;"",'Historical Score'!$C$9&lt;&gt;""),IF(J644='Historical Score'!$C$9,1,0),0)</f>
        <v/>
      </c>
      <c r="AV644">
        <f>AR644*AS644*AQ644</f>
        <v/>
      </c>
      <c r="AW644">
        <f>AR644*AT644*AQ644</f>
        <v/>
      </c>
      <c r="AX644">
        <f>AR644*AS644</f>
        <v/>
      </c>
      <c r="AY644">
        <f>AR644*AT644</f>
        <v/>
      </c>
      <c r="AZ644">
        <f>AR644*AQ644</f>
        <v/>
      </c>
      <c r="BA644">
        <f>AR644</f>
        <v/>
      </c>
      <c r="BB644">
        <f>1</f>
        <v/>
      </c>
      <c r="BC644">
        <f>IF(AV644=1,1,IF(AW644=1,2,IF(AX644=1,3,IF(AY644=1,4,IF(AZ644=1,5,IF(BA644=1,6,7))))))</f>
        <v/>
      </c>
      <c r="BD644">
        <f>IF(AD644=1,CHOOSE('Historical Score'!$C$29,AV644,AW644,AX644,AY644,AZ644,BA644,BB644),0)</f>
        <v/>
      </c>
      <c r="BE644">
        <f>IF(BD644=1,COUNTIF($BD$2:BD644,1),"")</f>
        <v/>
      </c>
    </row>
    <row r="645">
      <c r="A645" t="inlineStr">
        <is>
          <t>5674178857</t>
        </is>
      </c>
      <c r="B645" t="inlineStr">
        <is>
          <t>AMINO PHARM LLC</t>
        </is>
      </c>
      <c r="C645" t="inlineStr">
        <is>
          <t>AMINO PHARM LLC</t>
        </is>
      </c>
      <c r="D645" t="inlineStr">
        <is>
          <t>Closed</t>
        </is>
      </c>
      <c r="E645" s="297" t="n">
        <v>46073</v>
      </c>
      <c r="F645" s="297" t="n">
        <v>46213</v>
      </c>
      <c r="G645" t="n">
        <v>3</v>
      </c>
      <c r="H645" t="inlineStr">
        <is>
          <t>2834</t>
        </is>
      </c>
      <c r="I645" t="inlineStr">
        <is>
          <t>28</t>
        </is>
      </c>
      <c r="J645" t="inlineStr">
        <is>
          <t>UT</t>
        </is>
      </c>
      <c r="K645" t="inlineStr">
        <is>
          <t>Ballicci</t>
        </is>
      </c>
      <c r="L645" t="inlineStr">
        <is>
          <t>New Deal</t>
        </is>
      </c>
      <c r="M645" s="298" t="n">
        <v>1.41</v>
      </c>
      <c r="N645" s="299" t="n">
        <v>20000</v>
      </c>
      <c r="O645" s="299" t="n">
        <v>2000</v>
      </c>
      <c r="P645" s="299" t="n">
        <v>28200</v>
      </c>
      <c r="Q645" s="299" t="n">
        <v>28200</v>
      </c>
      <c r="R645" s="299" t="n">
        <v>0</v>
      </c>
      <c r="S645" s="300" t="n">
        <v>1</v>
      </c>
      <c r="T645" t="n">
        <v>20</v>
      </c>
      <c r="U645" t="n">
        <v>0</v>
      </c>
      <c r="V645" t="n">
        <v>32069.05</v>
      </c>
      <c r="W645" s="300" t="n">
        <v>0.1759</v>
      </c>
      <c r="X645" s="297" t="n">
        <v>45728</v>
      </c>
      <c r="Y645">
        <f>IF(I645="","No SIC",IFERROR(VLOOKUP(I645,Ref!$A$2:$B$65,2,FALSE),"Unclassified"))</f>
        <v/>
      </c>
      <c r="Z645">
        <f>IF(T645="","",IF(T645&lt;12,"Daily","Weekly"))</f>
        <v/>
      </c>
      <c r="AA645">
        <f>IF(T645="",0,IF(T645&lt;12,T645*Controls!$B$29,T645*5))</f>
        <v/>
      </c>
      <c r="AB645">
        <f>IF(E645="",0,NETWORKDAYS(E645,Controls!$B$36,Ref!$K$2:$K$42))</f>
        <v/>
      </c>
      <c r="AC645">
        <f>IF(AND(AA645&gt;0,AB645&gt;=Controls!$B$39*AA645),1,0)</f>
        <v/>
      </c>
      <c r="AD645">
        <f>IF(AND(E645&lt;&gt;"",E645&gt;=Controls!$B$37,E645&lt;=Controls!$B$38),1,0)</f>
        <v/>
      </c>
      <c r="AE645">
        <f>IF(IFERROR(VLOOKUP(D645,Controls!$A$64:$E$74,2,FALSE),"No")="Yes",1,0)</f>
        <v/>
      </c>
      <c r="AF645">
        <f>IF(IFERROR(VLOOKUP(D645,Controls!$A$64:$E$74,3,FALSE),"No")="Yes",1,0)</f>
        <v/>
      </c>
      <c r="AG645">
        <f>IF(IFERROR(VLOOKUP(D645,Controls!$A$64:$E$74,4,FALSE),"No")="Yes",1,0)</f>
        <v/>
      </c>
      <c r="AH645">
        <f>IF(IFERROR(VLOOKUP(D645,Controls!$A$64:$E$74,5,FALSE),"No")="Yes",1,0)</f>
        <v/>
      </c>
      <c r="AI645">
        <f>IF(ISNUMBER(MATCH(D645,Controls!$A$64:$A$74,0)),1,0)</f>
        <v/>
      </c>
      <c r="AJ645">
        <f>Q645-N645</f>
        <v/>
      </c>
      <c r="AK645">
        <f>IF(AE645=1,MAX(0,N645-Q645),0)</f>
        <v/>
      </c>
      <c r="AL645">
        <f>IF(OR(V645="",V645=0),0,N645/V645)</f>
        <v/>
      </c>
      <c r="AM645">
        <f>IF(OR(V645="",V645=0),0,1)</f>
        <v/>
      </c>
      <c r="AN645">
        <f>IF(OR(E645="",F645=""),0,NETWORKDAYS(E645,F645,Ref!$K$2:$K$42))</f>
        <v/>
      </c>
      <c r="AO645">
        <f>IF(L645="Renewal",1,0)</f>
        <v/>
      </c>
      <c r="AP645">
        <f>AC645*AD645</f>
        <v/>
      </c>
      <c r="AQ645">
        <f>IF(AND(G645&lt;&gt;"",'Historical Score'!$C$6&lt;&gt;""),IF(G645='Historical Score'!$C$6,1,0),0)</f>
        <v/>
      </c>
      <c r="AR645">
        <f>IF(AND(L645&lt;&gt;"",'Historical Score'!$C$5&lt;&gt;""),IF(L645='Historical Score'!$C$5,1,0),0)</f>
        <v/>
      </c>
      <c r="AS645">
        <f>IF(AND(Y645&lt;&gt;"",'Historical Score'!$C$7&lt;&gt;""),IF(Y645='Historical Score'!$C$7,1,0),0)</f>
        <v/>
      </c>
      <c r="AT645">
        <f>IF(AND(K645&lt;&gt;"",'Historical Score'!$C$8&lt;&gt;""),IF(K645='Historical Score'!$C$8,1,0),0)</f>
        <v/>
      </c>
      <c r="AU645">
        <f>IF(AND(J645&lt;&gt;"",'Historical Score'!$C$9&lt;&gt;""),IF(J645='Historical Score'!$C$9,1,0),0)</f>
        <v/>
      </c>
      <c r="AV645">
        <f>AR645*AS645*AQ645</f>
        <v/>
      </c>
      <c r="AW645">
        <f>AR645*AT645*AQ645</f>
        <v/>
      </c>
      <c r="AX645">
        <f>AR645*AS645</f>
        <v/>
      </c>
      <c r="AY645">
        <f>AR645*AT645</f>
        <v/>
      </c>
      <c r="AZ645">
        <f>AR645*AQ645</f>
        <v/>
      </c>
      <c r="BA645">
        <f>AR645</f>
        <v/>
      </c>
      <c r="BB645">
        <f>1</f>
        <v/>
      </c>
      <c r="BC645">
        <f>IF(AV645=1,1,IF(AW645=1,2,IF(AX645=1,3,IF(AY645=1,4,IF(AZ645=1,5,IF(BA645=1,6,7))))))</f>
        <v/>
      </c>
      <c r="BD645">
        <f>IF(AD645=1,CHOOSE('Historical Score'!$C$29,AV645,AW645,AX645,AY645,AZ645,BA645,BB645),0)</f>
        <v/>
      </c>
      <c r="BE645">
        <f>IF(BD645=1,COUNTIF($BD$2:BD645,1),"")</f>
        <v/>
      </c>
    </row>
    <row r="646">
      <c r="A646" t="inlineStr">
        <is>
          <t>5674178874</t>
        </is>
      </c>
      <c r="B646" t="inlineStr">
        <is>
          <t>Precision Home Builders</t>
        </is>
      </c>
      <c r="C646" t="inlineStr">
        <is>
          <t>PHB LLC</t>
        </is>
      </c>
      <c r="D646" t="inlineStr">
        <is>
          <t>Open</t>
        </is>
      </c>
      <c r="E646" s="297" t="n">
        <v>46073</v>
      </c>
      <c r="F646" s="297" t="n">
        <v>46248</v>
      </c>
      <c r="G646" t="n">
        <v>3</v>
      </c>
      <c r="H646" t="inlineStr">
        <is>
          <t>1521</t>
        </is>
      </c>
      <c r="I646" t="inlineStr">
        <is>
          <t>15</t>
        </is>
      </c>
      <c r="J646" t="inlineStr">
        <is>
          <t>CO</t>
        </is>
      </c>
      <c r="K646" t="inlineStr">
        <is>
          <t>Westwood</t>
        </is>
      </c>
      <c r="L646" t="inlineStr">
        <is>
          <t>New Deal</t>
        </is>
      </c>
      <c r="M646" s="298" t="n">
        <v>1.49</v>
      </c>
      <c r="N646" s="299" t="n">
        <v>18000</v>
      </c>
      <c r="O646" s="299" t="n">
        <v>2520</v>
      </c>
      <c r="P646" s="299" t="n">
        <v>26820</v>
      </c>
      <c r="Q646" s="299" t="n">
        <v>26820</v>
      </c>
      <c r="R646" s="299" t="n">
        <v>0</v>
      </c>
      <c r="S646" s="300" t="n">
        <v>1</v>
      </c>
      <c r="T646" t="n">
        <v>24</v>
      </c>
      <c r="U646" t="n">
        <v>0</v>
      </c>
      <c r="V646" t="n">
        <v>51085.47</v>
      </c>
      <c r="W646" s="300" t="n">
        <v>0.08749999999999999</v>
      </c>
      <c r="X646" s="297" t="n">
        <v>44567</v>
      </c>
      <c r="Y646">
        <f>IF(I646="","No SIC",IFERROR(VLOOKUP(I646,Ref!$A$2:$B$65,2,FALSE),"Unclassified"))</f>
        <v/>
      </c>
      <c r="Z646">
        <f>IF(T646="","",IF(T646&lt;12,"Daily","Weekly"))</f>
        <v/>
      </c>
      <c r="AA646">
        <f>IF(T646="",0,IF(T646&lt;12,T646*Controls!$B$29,T646*5))</f>
        <v/>
      </c>
      <c r="AB646">
        <f>IF(E646="",0,NETWORKDAYS(E646,Controls!$B$36,Ref!$K$2:$K$42))</f>
        <v/>
      </c>
      <c r="AC646">
        <f>IF(AND(AA646&gt;0,AB646&gt;=Controls!$B$39*AA646),1,0)</f>
        <v/>
      </c>
      <c r="AD646">
        <f>IF(AND(E646&lt;&gt;"",E646&gt;=Controls!$B$37,E646&lt;=Controls!$B$38),1,0)</f>
        <v/>
      </c>
      <c r="AE646">
        <f>IF(IFERROR(VLOOKUP(D646,Controls!$A$64:$E$74,2,FALSE),"No")="Yes",1,0)</f>
        <v/>
      </c>
      <c r="AF646">
        <f>IF(IFERROR(VLOOKUP(D646,Controls!$A$64:$E$74,3,FALSE),"No")="Yes",1,0)</f>
        <v/>
      </c>
      <c r="AG646">
        <f>IF(IFERROR(VLOOKUP(D646,Controls!$A$64:$E$74,4,FALSE),"No")="Yes",1,0)</f>
        <v/>
      </c>
      <c r="AH646">
        <f>IF(IFERROR(VLOOKUP(D646,Controls!$A$64:$E$74,5,FALSE),"No")="Yes",1,0)</f>
        <v/>
      </c>
      <c r="AI646">
        <f>IF(ISNUMBER(MATCH(D646,Controls!$A$64:$A$74,0)),1,0)</f>
        <v/>
      </c>
      <c r="AJ646">
        <f>Q646-N646</f>
        <v/>
      </c>
      <c r="AK646">
        <f>IF(AE646=1,MAX(0,N646-Q646),0)</f>
        <v/>
      </c>
      <c r="AL646">
        <f>IF(OR(V646="",V646=0),0,N646/V646)</f>
        <v/>
      </c>
      <c r="AM646">
        <f>IF(OR(V646="",V646=0),0,1)</f>
        <v/>
      </c>
      <c r="AN646">
        <f>IF(OR(E646="",F646=""),0,NETWORKDAYS(E646,F646,Ref!$K$2:$K$42))</f>
        <v/>
      </c>
      <c r="AO646">
        <f>IF(L646="Renewal",1,0)</f>
        <v/>
      </c>
      <c r="AP646">
        <f>AC646*AD646</f>
        <v/>
      </c>
      <c r="AQ646">
        <f>IF(AND(G646&lt;&gt;"",'Historical Score'!$C$6&lt;&gt;""),IF(G646='Historical Score'!$C$6,1,0),0)</f>
        <v/>
      </c>
      <c r="AR646">
        <f>IF(AND(L646&lt;&gt;"",'Historical Score'!$C$5&lt;&gt;""),IF(L646='Historical Score'!$C$5,1,0),0)</f>
        <v/>
      </c>
      <c r="AS646">
        <f>IF(AND(Y646&lt;&gt;"",'Historical Score'!$C$7&lt;&gt;""),IF(Y646='Historical Score'!$C$7,1,0),0)</f>
        <v/>
      </c>
      <c r="AT646">
        <f>IF(AND(K646&lt;&gt;"",'Historical Score'!$C$8&lt;&gt;""),IF(K646='Historical Score'!$C$8,1,0),0)</f>
        <v/>
      </c>
      <c r="AU646">
        <f>IF(AND(J646&lt;&gt;"",'Historical Score'!$C$9&lt;&gt;""),IF(J646='Historical Score'!$C$9,1,0),0)</f>
        <v/>
      </c>
      <c r="AV646">
        <f>AR646*AS646*AQ646</f>
        <v/>
      </c>
      <c r="AW646">
        <f>AR646*AT646*AQ646</f>
        <v/>
      </c>
      <c r="AX646">
        <f>AR646*AS646</f>
        <v/>
      </c>
      <c r="AY646">
        <f>AR646*AT646</f>
        <v/>
      </c>
      <c r="AZ646">
        <f>AR646*AQ646</f>
        <v/>
      </c>
      <c r="BA646">
        <f>AR646</f>
        <v/>
      </c>
      <c r="BB646">
        <f>1</f>
        <v/>
      </c>
      <c r="BC646">
        <f>IF(AV646=1,1,IF(AW646=1,2,IF(AX646=1,3,IF(AY646=1,4,IF(AZ646=1,5,IF(BA646=1,6,7))))))</f>
        <v/>
      </c>
      <c r="BD646">
        <f>IF(AD646=1,CHOOSE('Historical Score'!$C$29,AV646,AW646,AX646,AY646,AZ646,BA646,BB646),0)</f>
        <v/>
      </c>
      <c r="BE646">
        <f>IF(BD646=1,COUNTIF($BD$2:BD646,1),"")</f>
        <v/>
      </c>
    </row>
    <row r="647">
      <c r="A647" t="inlineStr">
        <is>
          <t>5674178880</t>
        </is>
      </c>
      <c r="B647" t="inlineStr">
        <is>
          <t>REDELIFT EQUIPMENT LIMITED LTD</t>
        </is>
      </c>
      <c r="C647" t="inlineStr">
        <is>
          <t>REDELIFT EQUIPMENT LIMITED LTD</t>
        </is>
      </c>
      <c r="D647" t="inlineStr">
        <is>
          <t>Open</t>
        </is>
      </c>
      <c r="E647" s="297" t="n">
        <v>46073</v>
      </c>
      <c r="F647" s="297" t="n">
        <v>46253</v>
      </c>
      <c r="G647" t="n">
        <v>3</v>
      </c>
      <c r="H647" t="inlineStr">
        <is>
          <t>1521</t>
        </is>
      </c>
      <c r="I647" t="inlineStr">
        <is>
          <t>15</t>
        </is>
      </c>
      <c r="J647" t="inlineStr">
        <is>
          <t>TX</t>
        </is>
      </c>
      <c r="K647" t="inlineStr">
        <is>
          <t>level 3 funding</t>
        </is>
      </c>
      <c r="L647" t="inlineStr">
        <is>
          <t>Renewal</t>
        </is>
      </c>
      <c r="M647" s="298" t="n">
        <v>1.49</v>
      </c>
      <c r="N647" s="299" t="n">
        <v>7500</v>
      </c>
      <c r="O647" s="299" t="n">
        <v>1050</v>
      </c>
      <c r="P647" s="299" t="n">
        <v>11175</v>
      </c>
      <c r="Q647" s="299" t="n">
        <v>8131.17</v>
      </c>
      <c r="R647" s="299" t="n">
        <v>3043.83</v>
      </c>
      <c r="S647" s="300" t="n">
        <v>0.727621476510067</v>
      </c>
      <c r="T647" t="n">
        <v>2.951</v>
      </c>
      <c r="U647" t="n">
        <v>29</v>
      </c>
      <c r="V647" t="n">
        <v>24710.48</v>
      </c>
      <c r="W647" s="300" t="n">
        <v>0.1055</v>
      </c>
      <c r="X647" s="297" t="n">
        <v>45289</v>
      </c>
      <c r="Y647">
        <f>IF(I647="","No SIC",IFERROR(VLOOKUP(I647,Ref!$A$2:$B$65,2,FALSE),"Unclassified"))</f>
        <v/>
      </c>
      <c r="Z647">
        <f>IF(T647="","",IF(T647&lt;12,"Daily","Weekly"))</f>
        <v/>
      </c>
      <c r="AA647">
        <f>IF(T647="",0,IF(T647&lt;12,T647*Controls!$B$29,T647*5))</f>
        <v/>
      </c>
      <c r="AB647">
        <f>IF(E647="",0,NETWORKDAYS(E647,Controls!$B$36,Ref!$K$2:$K$42))</f>
        <v/>
      </c>
      <c r="AC647">
        <f>IF(AND(AA647&gt;0,AB647&gt;=Controls!$B$39*AA647),1,0)</f>
        <v/>
      </c>
      <c r="AD647">
        <f>IF(AND(E647&lt;&gt;"",E647&gt;=Controls!$B$37,E647&lt;=Controls!$B$38),1,0)</f>
        <v/>
      </c>
      <c r="AE647">
        <f>IF(IFERROR(VLOOKUP(D647,Controls!$A$64:$E$74,2,FALSE),"No")="Yes",1,0)</f>
        <v/>
      </c>
      <c r="AF647">
        <f>IF(IFERROR(VLOOKUP(D647,Controls!$A$64:$E$74,3,FALSE),"No")="Yes",1,0)</f>
        <v/>
      </c>
      <c r="AG647">
        <f>IF(IFERROR(VLOOKUP(D647,Controls!$A$64:$E$74,4,FALSE),"No")="Yes",1,0)</f>
        <v/>
      </c>
      <c r="AH647">
        <f>IF(IFERROR(VLOOKUP(D647,Controls!$A$64:$E$74,5,FALSE),"No")="Yes",1,0)</f>
        <v/>
      </c>
      <c r="AI647">
        <f>IF(ISNUMBER(MATCH(D647,Controls!$A$64:$A$74,0)),1,0)</f>
        <v/>
      </c>
      <c r="AJ647">
        <f>Q647-N647</f>
        <v/>
      </c>
      <c r="AK647">
        <f>IF(AE647=1,MAX(0,N647-Q647),0)</f>
        <v/>
      </c>
      <c r="AL647">
        <f>IF(OR(V647="",V647=0),0,N647/V647)</f>
        <v/>
      </c>
      <c r="AM647">
        <f>IF(OR(V647="",V647=0),0,1)</f>
        <v/>
      </c>
      <c r="AN647">
        <f>IF(OR(E647="",F647=""),0,NETWORKDAYS(E647,F647,Ref!$K$2:$K$42))</f>
        <v/>
      </c>
      <c r="AO647">
        <f>IF(L647="Renewal",1,0)</f>
        <v/>
      </c>
      <c r="AP647">
        <f>AC647*AD647</f>
        <v/>
      </c>
      <c r="AQ647">
        <f>IF(AND(G647&lt;&gt;"",'Historical Score'!$C$6&lt;&gt;""),IF(G647='Historical Score'!$C$6,1,0),0)</f>
        <v/>
      </c>
      <c r="AR647">
        <f>IF(AND(L647&lt;&gt;"",'Historical Score'!$C$5&lt;&gt;""),IF(L647='Historical Score'!$C$5,1,0),0)</f>
        <v/>
      </c>
      <c r="AS647">
        <f>IF(AND(Y647&lt;&gt;"",'Historical Score'!$C$7&lt;&gt;""),IF(Y647='Historical Score'!$C$7,1,0),0)</f>
        <v/>
      </c>
      <c r="AT647">
        <f>IF(AND(K647&lt;&gt;"",'Historical Score'!$C$8&lt;&gt;""),IF(K647='Historical Score'!$C$8,1,0),0)</f>
        <v/>
      </c>
      <c r="AU647">
        <f>IF(AND(J647&lt;&gt;"",'Historical Score'!$C$9&lt;&gt;""),IF(J647='Historical Score'!$C$9,1,0),0)</f>
        <v/>
      </c>
      <c r="AV647">
        <f>AR647*AS647*AQ647</f>
        <v/>
      </c>
      <c r="AW647">
        <f>AR647*AT647*AQ647</f>
        <v/>
      </c>
      <c r="AX647">
        <f>AR647*AS647</f>
        <v/>
      </c>
      <c r="AY647">
        <f>AR647*AT647</f>
        <v/>
      </c>
      <c r="AZ647">
        <f>AR647*AQ647</f>
        <v/>
      </c>
      <c r="BA647">
        <f>AR647</f>
        <v/>
      </c>
      <c r="BB647">
        <f>1</f>
        <v/>
      </c>
      <c r="BC647">
        <f>IF(AV647=1,1,IF(AW647=1,2,IF(AX647=1,3,IF(AY647=1,4,IF(AZ647=1,5,IF(BA647=1,6,7))))))</f>
        <v/>
      </c>
      <c r="BD647">
        <f>IF(AD647=1,CHOOSE('Historical Score'!$C$29,AV647,AW647,AX647,AY647,AZ647,BA647,BB647),0)</f>
        <v/>
      </c>
      <c r="BE647">
        <f>IF(BD647=1,COUNTIF($BD$2:BD647,1),"")</f>
        <v/>
      </c>
    </row>
    <row r="648">
      <c r="A648" t="inlineStr">
        <is>
          <t>5674178899</t>
        </is>
      </c>
      <c r="B648" t="inlineStr">
        <is>
          <t>DLW Remodeling</t>
        </is>
      </c>
      <c r="C648" t="inlineStr">
        <is>
          <t>DL Woolfolk Group LLC</t>
        </is>
      </c>
      <c r="D648" t="inlineStr">
        <is>
          <t>Lowered Payments</t>
        </is>
      </c>
      <c r="E648" s="297" t="n">
        <v>46073</v>
      </c>
      <c r="F648" s="297" t="n">
        <v>46248</v>
      </c>
      <c r="G648" t="n">
        <v>3</v>
      </c>
      <c r="H648" t="inlineStr">
        <is>
          <t>1521</t>
        </is>
      </c>
      <c r="I648" t="inlineStr">
        <is>
          <t>15</t>
        </is>
      </c>
      <c r="J648" t="inlineStr">
        <is>
          <t>CO</t>
        </is>
      </c>
      <c r="K648" t="inlineStr">
        <is>
          <t>Ballicci</t>
        </is>
      </c>
      <c r="L648" t="inlineStr">
        <is>
          <t>New Deal</t>
        </is>
      </c>
      <c r="M648" s="298" t="n">
        <v>1.49</v>
      </c>
      <c r="N648" s="299" t="n">
        <v>15000</v>
      </c>
      <c r="O648" s="299" t="n">
        <v>2100</v>
      </c>
      <c r="P648" s="299" t="n">
        <v>22350</v>
      </c>
      <c r="Q648" s="299" t="n">
        <v>8155.05</v>
      </c>
      <c r="R648" s="299" t="n">
        <v>14194.95</v>
      </c>
      <c r="S648" s="300" t="n">
        <v>0.364879194630873</v>
      </c>
      <c r="T648" t="n">
        <v>3.279</v>
      </c>
      <c r="U648" t="n">
        <v>17</v>
      </c>
      <c r="V648" t="n">
        <v>90501.10000000001</v>
      </c>
      <c r="W648" s="300" t="n">
        <v>0.0519</v>
      </c>
      <c r="X648" s="297" t="n">
        <v>45057</v>
      </c>
      <c r="Y648">
        <f>IF(I648="","No SIC",IFERROR(VLOOKUP(I648,Ref!$A$2:$B$65,2,FALSE),"Unclassified"))</f>
        <v/>
      </c>
      <c r="Z648">
        <f>IF(T648="","",IF(T648&lt;12,"Daily","Weekly"))</f>
        <v/>
      </c>
      <c r="AA648">
        <f>IF(T648="",0,IF(T648&lt;12,T648*Controls!$B$29,T648*5))</f>
        <v/>
      </c>
      <c r="AB648">
        <f>IF(E648="",0,NETWORKDAYS(E648,Controls!$B$36,Ref!$K$2:$K$42))</f>
        <v/>
      </c>
      <c r="AC648">
        <f>IF(AND(AA648&gt;0,AB648&gt;=Controls!$B$39*AA648),1,0)</f>
        <v/>
      </c>
      <c r="AD648">
        <f>IF(AND(E648&lt;&gt;"",E648&gt;=Controls!$B$37,E648&lt;=Controls!$B$38),1,0)</f>
        <v/>
      </c>
      <c r="AE648">
        <f>IF(IFERROR(VLOOKUP(D648,Controls!$A$64:$E$74,2,FALSE),"No")="Yes",1,0)</f>
        <v/>
      </c>
      <c r="AF648">
        <f>IF(IFERROR(VLOOKUP(D648,Controls!$A$64:$E$74,3,FALSE),"No")="Yes",1,0)</f>
        <v/>
      </c>
      <c r="AG648">
        <f>IF(IFERROR(VLOOKUP(D648,Controls!$A$64:$E$74,4,FALSE),"No")="Yes",1,0)</f>
        <v/>
      </c>
      <c r="AH648">
        <f>IF(IFERROR(VLOOKUP(D648,Controls!$A$64:$E$74,5,FALSE),"No")="Yes",1,0)</f>
        <v/>
      </c>
      <c r="AI648">
        <f>IF(ISNUMBER(MATCH(D648,Controls!$A$64:$A$74,0)),1,0)</f>
        <v/>
      </c>
      <c r="AJ648">
        <f>Q648-N648</f>
        <v/>
      </c>
      <c r="AK648">
        <f>IF(AE648=1,MAX(0,N648-Q648),0)</f>
        <v/>
      </c>
      <c r="AL648">
        <f>IF(OR(V648="",V648=0),0,N648/V648)</f>
        <v/>
      </c>
      <c r="AM648">
        <f>IF(OR(V648="",V648=0),0,1)</f>
        <v/>
      </c>
      <c r="AN648">
        <f>IF(OR(E648="",F648=""),0,NETWORKDAYS(E648,F648,Ref!$K$2:$K$42))</f>
        <v/>
      </c>
      <c r="AO648">
        <f>IF(L648="Renewal",1,0)</f>
        <v/>
      </c>
      <c r="AP648">
        <f>AC648*AD648</f>
        <v/>
      </c>
      <c r="AQ648">
        <f>IF(AND(G648&lt;&gt;"",'Historical Score'!$C$6&lt;&gt;""),IF(G648='Historical Score'!$C$6,1,0),0)</f>
        <v/>
      </c>
      <c r="AR648">
        <f>IF(AND(L648&lt;&gt;"",'Historical Score'!$C$5&lt;&gt;""),IF(L648='Historical Score'!$C$5,1,0),0)</f>
        <v/>
      </c>
      <c r="AS648">
        <f>IF(AND(Y648&lt;&gt;"",'Historical Score'!$C$7&lt;&gt;""),IF(Y648='Historical Score'!$C$7,1,0),0)</f>
        <v/>
      </c>
      <c r="AT648">
        <f>IF(AND(K648&lt;&gt;"",'Historical Score'!$C$8&lt;&gt;""),IF(K648='Historical Score'!$C$8,1,0),0)</f>
        <v/>
      </c>
      <c r="AU648">
        <f>IF(AND(J648&lt;&gt;"",'Historical Score'!$C$9&lt;&gt;""),IF(J648='Historical Score'!$C$9,1,0),0)</f>
        <v/>
      </c>
      <c r="AV648">
        <f>AR648*AS648*AQ648</f>
        <v/>
      </c>
      <c r="AW648">
        <f>AR648*AT648*AQ648</f>
        <v/>
      </c>
      <c r="AX648">
        <f>AR648*AS648</f>
        <v/>
      </c>
      <c r="AY648">
        <f>AR648*AT648</f>
        <v/>
      </c>
      <c r="AZ648">
        <f>AR648*AQ648</f>
        <v/>
      </c>
      <c r="BA648">
        <f>AR648</f>
        <v/>
      </c>
      <c r="BB648">
        <f>1</f>
        <v/>
      </c>
      <c r="BC648">
        <f>IF(AV648=1,1,IF(AW648=1,2,IF(AX648=1,3,IF(AY648=1,4,IF(AZ648=1,5,IF(BA648=1,6,7))))))</f>
        <v/>
      </c>
      <c r="BD648">
        <f>IF(AD648=1,CHOOSE('Historical Score'!$C$29,AV648,AW648,AX648,AY648,AZ648,BA648,BB648),0)</f>
        <v/>
      </c>
      <c r="BE648">
        <f>IF(BD648=1,COUNTIF($BD$2:BD648,1),"")</f>
        <v/>
      </c>
    </row>
    <row r="649">
      <c r="A649" t="inlineStr">
        <is>
          <t>5674178958</t>
        </is>
      </c>
      <c r="B649" t="inlineStr">
        <is>
          <t>C&amp;G Services Systems LLC</t>
        </is>
      </c>
      <c r="C649" t="inlineStr">
        <is>
          <t>C&amp;G Services Systems LLC</t>
        </is>
      </c>
      <c r="D649" t="inlineStr">
        <is>
          <t>Open</t>
        </is>
      </c>
      <c r="E649" s="297" t="n">
        <v>46076</v>
      </c>
      <c r="F649" s="297" t="n">
        <v>46241</v>
      </c>
      <c r="G649" t="n">
        <v>3</v>
      </c>
      <c r="H649" t="inlineStr">
        <is>
          <t>4213</t>
        </is>
      </c>
      <c r="I649" t="inlineStr">
        <is>
          <t>42</t>
        </is>
      </c>
      <c r="J649" t="inlineStr">
        <is>
          <t>FL</t>
        </is>
      </c>
      <c r="K649" t="inlineStr">
        <is>
          <t>Fundwell</t>
        </is>
      </c>
      <c r="L649" t="inlineStr">
        <is>
          <t>Renewal</t>
        </is>
      </c>
      <c r="M649" s="298" t="n">
        <v>1.38</v>
      </c>
      <c r="N649" s="299" t="n">
        <v>15000</v>
      </c>
      <c r="O649" s="299" t="n">
        <v>1800</v>
      </c>
      <c r="P649" s="299" t="n">
        <v>20700</v>
      </c>
      <c r="Q649" s="299" t="n">
        <v>15851.8</v>
      </c>
      <c r="R649" s="299" t="n">
        <v>4848.2</v>
      </c>
      <c r="S649" s="300" t="n">
        <v>0.765787439613527</v>
      </c>
      <c r="T649" t="n">
        <v>20</v>
      </c>
      <c r="U649" t="n">
        <v>3</v>
      </c>
      <c r="V649" t="n">
        <v>24929.12</v>
      </c>
      <c r="W649" s="300" t="n">
        <v>0.1661</v>
      </c>
      <c r="X649" s="297" t="n">
        <v>44149</v>
      </c>
      <c r="Y649">
        <f>IF(I649="","No SIC",IFERROR(VLOOKUP(I649,Ref!$A$2:$B$65,2,FALSE),"Unclassified"))</f>
        <v/>
      </c>
      <c r="Z649">
        <f>IF(T649="","",IF(T649&lt;12,"Daily","Weekly"))</f>
        <v/>
      </c>
      <c r="AA649">
        <f>IF(T649="",0,IF(T649&lt;12,T649*Controls!$B$29,T649*5))</f>
        <v/>
      </c>
      <c r="AB649">
        <f>IF(E649="",0,NETWORKDAYS(E649,Controls!$B$36,Ref!$K$2:$K$42))</f>
        <v/>
      </c>
      <c r="AC649">
        <f>IF(AND(AA649&gt;0,AB649&gt;=Controls!$B$39*AA649),1,0)</f>
        <v/>
      </c>
      <c r="AD649">
        <f>IF(AND(E649&lt;&gt;"",E649&gt;=Controls!$B$37,E649&lt;=Controls!$B$38),1,0)</f>
        <v/>
      </c>
      <c r="AE649">
        <f>IF(IFERROR(VLOOKUP(D649,Controls!$A$64:$E$74,2,FALSE),"No")="Yes",1,0)</f>
        <v/>
      </c>
      <c r="AF649">
        <f>IF(IFERROR(VLOOKUP(D649,Controls!$A$64:$E$74,3,FALSE),"No")="Yes",1,0)</f>
        <v/>
      </c>
      <c r="AG649">
        <f>IF(IFERROR(VLOOKUP(D649,Controls!$A$64:$E$74,4,FALSE),"No")="Yes",1,0)</f>
        <v/>
      </c>
      <c r="AH649">
        <f>IF(IFERROR(VLOOKUP(D649,Controls!$A$64:$E$74,5,FALSE),"No")="Yes",1,0)</f>
        <v/>
      </c>
      <c r="AI649">
        <f>IF(ISNUMBER(MATCH(D649,Controls!$A$64:$A$74,0)),1,0)</f>
        <v/>
      </c>
      <c r="AJ649">
        <f>Q649-N649</f>
        <v/>
      </c>
      <c r="AK649">
        <f>IF(AE649=1,MAX(0,N649-Q649),0)</f>
        <v/>
      </c>
      <c r="AL649">
        <f>IF(OR(V649="",V649=0),0,N649/V649)</f>
        <v/>
      </c>
      <c r="AM649">
        <f>IF(OR(V649="",V649=0),0,1)</f>
        <v/>
      </c>
      <c r="AN649">
        <f>IF(OR(E649="",F649=""),0,NETWORKDAYS(E649,F649,Ref!$K$2:$K$42))</f>
        <v/>
      </c>
      <c r="AO649">
        <f>IF(L649="Renewal",1,0)</f>
        <v/>
      </c>
      <c r="AP649">
        <f>AC649*AD649</f>
        <v/>
      </c>
      <c r="AQ649">
        <f>IF(AND(G649&lt;&gt;"",'Historical Score'!$C$6&lt;&gt;""),IF(G649='Historical Score'!$C$6,1,0),0)</f>
        <v/>
      </c>
      <c r="AR649">
        <f>IF(AND(L649&lt;&gt;"",'Historical Score'!$C$5&lt;&gt;""),IF(L649='Historical Score'!$C$5,1,0),0)</f>
        <v/>
      </c>
      <c r="AS649">
        <f>IF(AND(Y649&lt;&gt;"",'Historical Score'!$C$7&lt;&gt;""),IF(Y649='Historical Score'!$C$7,1,0),0)</f>
        <v/>
      </c>
      <c r="AT649">
        <f>IF(AND(K649&lt;&gt;"",'Historical Score'!$C$8&lt;&gt;""),IF(K649='Historical Score'!$C$8,1,0),0)</f>
        <v/>
      </c>
      <c r="AU649">
        <f>IF(AND(J649&lt;&gt;"",'Historical Score'!$C$9&lt;&gt;""),IF(J649='Historical Score'!$C$9,1,0),0)</f>
        <v/>
      </c>
      <c r="AV649">
        <f>AR649*AS649*AQ649</f>
        <v/>
      </c>
      <c r="AW649">
        <f>AR649*AT649*AQ649</f>
        <v/>
      </c>
      <c r="AX649">
        <f>AR649*AS649</f>
        <v/>
      </c>
      <c r="AY649">
        <f>AR649*AT649</f>
        <v/>
      </c>
      <c r="AZ649">
        <f>AR649*AQ649</f>
        <v/>
      </c>
      <c r="BA649">
        <f>AR649</f>
        <v/>
      </c>
      <c r="BB649">
        <f>1</f>
        <v/>
      </c>
      <c r="BC649">
        <f>IF(AV649=1,1,IF(AW649=1,2,IF(AX649=1,3,IF(AY649=1,4,IF(AZ649=1,5,IF(BA649=1,6,7))))))</f>
        <v/>
      </c>
      <c r="BD649">
        <f>IF(AD649=1,CHOOSE('Historical Score'!$C$29,AV649,AW649,AX649,AY649,AZ649,BA649,BB649),0)</f>
        <v/>
      </c>
      <c r="BE649">
        <f>IF(BD649=1,COUNTIF($BD$2:BD649,1),"")</f>
        <v/>
      </c>
    </row>
    <row r="650">
      <c r="A650" t="inlineStr">
        <is>
          <t>5674178970</t>
        </is>
      </c>
      <c r="B650" t="inlineStr">
        <is>
          <t>SST Brands</t>
        </is>
      </c>
      <c r="C650" t="inlineStr">
        <is>
          <t>Heads Up Headcare LLC</t>
        </is>
      </c>
      <c r="D650" t="inlineStr">
        <is>
          <t>Closed</t>
        </is>
      </c>
      <c r="E650" s="297" t="n">
        <v>46076</v>
      </c>
      <c r="F650" s="297" t="n">
        <v>46203</v>
      </c>
      <c r="G650" t="n">
        <v>3</v>
      </c>
      <c r="H650" t="inlineStr">
        <is>
          <t>5999</t>
        </is>
      </c>
      <c r="I650" t="inlineStr">
        <is>
          <t>59</t>
        </is>
      </c>
      <c r="J650" t="inlineStr">
        <is>
          <t>NJ</t>
        </is>
      </c>
      <c r="K650" t="inlineStr">
        <is>
          <t>YM ventures</t>
        </is>
      </c>
      <c r="L650" t="inlineStr">
        <is>
          <t>New Deal</t>
        </is>
      </c>
      <c r="M650" s="298" t="n">
        <v>1.4</v>
      </c>
      <c r="N650" s="299" t="n">
        <v>150000</v>
      </c>
      <c r="O650" s="299" t="n">
        <v>15750</v>
      </c>
      <c r="P650" s="299" t="n">
        <v>210000</v>
      </c>
      <c r="Q650" s="299" t="n">
        <v>210000</v>
      </c>
      <c r="R650" s="299" t="n">
        <v>0</v>
      </c>
      <c r="S650" s="300" t="n">
        <v>1</v>
      </c>
      <c r="T650" t="n">
        <v>40</v>
      </c>
      <c r="U650" t="n">
        <v>0</v>
      </c>
      <c r="V650" t="n">
        <v>299687.41</v>
      </c>
      <c r="W650" s="300" t="n">
        <v>0.0701</v>
      </c>
      <c r="X650" s="297" t="n">
        <v>40087</v>
      </c>
      <c r="Y650">
        <f>IF(I650="","No SIC",IFERROR(VLOOKUP(I650,Ref!$A$2:$B$65,2,FALSE),"Unclassified"))</f>
        <v/>
      </c>
      <c r="Z650">
        <f>IF(T650="","",IF(T650&lt;12,"Daily","Weekly"))</f>
        <v/>
      </c>
      <c r="AA650">
        <f>IF(T650="",0,IF(T650&lt;12,T650*Controls!$B$29,T650*5))</f>
        <v/>
      </c>
      <c r="AB650">
        <f>IF(E650="",0,NETWORKDAYS(E650,Controls!$B$36,Ref!$K$2:$K$42))</f>
        <v/>
      </c>
      <c r="AC650">
        <f>IF(AND(AA650&gt;0,AB650&gt;=Controls!$B$39*AA650),1,0)</f>
        <v/>
      </c>
      <c r="AD650">
        <f>IF(AND(E650&lt;&gt;"",E650&gt;=Controls!$B$37,E650&lt;=Controls!$B$38),1,0)</f>
        <v/>
      </c>
      <c r="AE650">
        <f>IF(IFERROR(VLOOKUP(D650,Controls!$A$64:$E$74,2,FALSE),"No")="Yes",1,0)</f>
        <v/>
      </c>
      <c r="AF650">
        <f>IF(IFERROR(VLOOKUP(D650,Controls!$A$64:$E$74,3,FALSE),"No")="Yes",1,0)</f>
        <v/>
      </c>
      <c r="AG650">
        <f>IF(IFERROR(VLOOKUP(D650,Controls!$A$64:$E$74,4,FALSE),"No")="Yes",1,0)</f>
        <v/>
      </c>
      <c r="AH650">
        <f>IF(IFERROR(VLOOKUP(D650,Controls!$A$64:$E$74,5,FALSE),"No")="Yes",1,0)</f>
        <v/>
      </c>
      <c r="AI650">
        <f>IF(ISNUMBER(MATCH(D650,Controls!$A$64:$A$74,0)),1,0)</f>
        <v/>
      </c>
      <c r="AJ650">
        <f>Q650-N650</f>
        <v/>
      </c>
      <c r="AK650">
        <f>IF(AE650=1,MAX(0,N650-Q650),0)</f>
        <v/>
      </c>
      <c r="AL650">
        <f>IF(OR(V650="",V650=0),0,N650/V650)</f>
        <v/>
      </c>
      <c r="AM650">
        <f>IF(OR(V650="",V650=0),0,1)</f>
        <v/>
      </c>
      <c r="AN650">
        <f>IF(OR(E650="",F650=""),0,NETWORKDAYS(E650,F650,Ref!$K$2:$K$42))</f>
        <v/>
      </c>
      <c r="AO650">
        <f>IF(L650="Renewal",1,0)</f>
        <v/>
      </c>
      <c r="AP650">
        <f>AC650*AD650</f>
        <v/>
      </c>
      <c r="AQ650">
        <f>IF(AND(G650&lt;&gt;"",'Historical Score'!$C$6&lt;&gt;""),IF(G650='Historical Score'!$C$6,1,0),0)</f>
        <v/>
      </c>
      <c r="AR650">
        <f>IF(AND(L650&lt;&gt;"",'Historical Score'!$C$5&lt;&gt;""),IF(L650='Historical Score'!$C$5,1,0),0)</f>
        <v/>
      </c>
      <c r="AS650">
        <f>IF(AND(Y650&lt;&gt;"",'Historical Score'!$C$7&lt;&gt;""),IF(Y650='Historical Score'!$C$7,1,0),0)</f>
        <v/>
      </c>
      <c r="AT650">
        <f>IF(AND(K650&lt;&gt;"",'Historical Score'!$C$8&lt;&gt;""),IF(K650='Historical Score'!$C$8,1,0),0)</f>
        <v/>
      </c>
      <c r="AU650">
        <f>IF(AND(J650&lt;&gt;"",'Historical Score'!$C$9&lt;&gt;""),IF(J650='Historical Score'!$C$9,1,0),0)</f>
        <v/>
      </c>
      <c r="AV650">
        <f>AR650*AS650*AQ650</f>
        <v/>
      </c>
      <c r="AW650">
        <f>AR650*AT650*AQ650</f>
        <v/>
      </c>
      <c r="AX650">
        <f>AR650*AS650</f>
        <v/>
      </c>
      <c r="AY650">
        <f>AR650*AT650</f>
        <v/>
      </c>
      <c r="AZ650">
        <f>AR650*AQ650</f>
        <v/>
      </c>
      <c r="BA650">
        <f>AR650</f>
        <v/>
      </c>
      <c r="BB650">
        <f>1</f>
        <v/>
      </c>
      <c r="BC650">
        <f>IF(AV650=1,1,IF(AW650=1,2,IF(AX650=1,3,IF(AY650=1,4,IF(AZ650=1,5,IF(BA650=1,6,7))))))</f>
        <v/>
      </c>
      <c r="BD650">
        <f>IF(AD650=1,CHOOSE('Historical Score'!$C$29,AV650,AW650,AX650,AY650,AZ650,BA650,BB650),0)</f>
        <v/>
      </c>
      <c r="BE650">
        <f>IF(BD650=1,COUNTIF($BD$2:BD650,1),"")</f>
        <v/>
      </c>
    </row>
    <row r="651">
      <c r="A651" t="inlineStr">
        <is>
          <t>5674178988</t>
        </is>
      </c>
      <c r="B651" t="inlineStr">
        <is>
          <t>PRESTIGE CARE PLLC</t>
        </is>
      </c>
      <c r="C651" t="inlineStr">
        <is>
          <t>PRESTIGE CARE PLLC</t>
        </is>
      </c>
      <c r="D651" t="inlineStr">
        <is>
          <t>Legal</t>
        </is>
      </c>
      <c r="E651" s="297" t="n">
        <v>46077</v>
      </c>
      <c r="F651" s="297" t="n">
        <v>46161</v>
      </c>
      <c r="G651" t="n">
        <v>3</v>
      </c>
      <c r="H651" t="inlineStr">
        <is>
          <t>8082</t>
        </is>
      </c>
      <c r="I651" t="inlineStr">
        <is>
          <t>80</t>
        </is>
      </c>
      <c r="J651" t="inlineStr">
        <is>
          <t>AR</t>
        </is>
      </c>
      <c r="K651" t="inlineStr">
        <is>
          <t>United Secured Capital 8</t>
        </is>
      </c>
      <c r="L651" t="inlineStr">
        <is>
          <t>Renewal</t>
        </is>
      </c>
      <c r="M651" s="298" t="n">
        <v>1.49</v>
      </c>
      <c r="N651" s="299" t="n">
        <v>47000</v>
      </c>
      <c r="O651" s="299" t="n">
        <v>6580</v>
      </c>
      <c r="P651" s="299" t="n">
        <v>70030</v>
      </c>
      <c r="Q651" s="299" t="n">
        <v>6129.06</v>
      </c>
      <c r="R651" s="299" t="n">
        <v>63900.94</v>
      </c>
      <c r="S651" s="300" t="n">
        <v>0.0875204912180494</v>
      </c>
      <c r="T651" t="n">
        <v>3.934</v>
      </c>
      <c r="U651" t="n">
        <v>37</v>
      </c>
      <c r="V651" t="n">
        <v>123266.6</v>
      </c>
      <c r="W651" s="300" t="n">
        <v>0.1509</v>
      </c>
      <c r="X651" s="297" t="n">
        <v>45386</v>
      </c>
      <c r="Y651">
        <f>IF(I651="","No SIC",IFERROR(VLOOKUP(I651,Ref!$A$2:$B$65,2,FALSE),"Unclassified"))</f>
        <v/>
      </c>
      <c r="Z651">
        <f>IF(T651="","",IF(T651&lt;12,"Daily","Weekly"))</f>
        <v/>
      </c>
      <c r="AA651">
        <f>IF(T651="",0,IF(T651&lt;12,T651*Controls!$B$29,T651*5))</f>
        <v/>
      </c>
      <c r="AB651">
        <f>IF(E651="",0,NETWORKDAYS(E651,Controls!$B$36,Ref!$K$2:$K$42))</f>
        <v/>
      </c>
      <c r="AC651">
        <f>IF(AND(AA651&gt;0,AB651&gt;=Controls!$B$39*AA651),1,0)</f>
        <v/>
      </c>
      <c r="AD651">
        <f>IF(AND(E651&lt;&gt;"",E651&gt;=Controls!$B$37,E651&lt;=Controls!$B$38),1,0)</f>
        <v/>
      </c>
      <c r="AE651">
        <f>IF(IFERROR(VLOOKUP(D651,Controls!$A$64:$E$74,2,FALSE),"No")="Yes",1,0)</f>
        <v/>
      </c>
      <c r="AF651">
        <f>IF(IFERROR(VLOOKUP(D651,Controls!$A$64:$E$74,3,FALSE),"No")="Yes",1,0)</f>
        <v/>
      </c>
      <c r="AG651">
        <f>IF(IFERROR(VLOOKUP(D651,Controls!$A$64:$E$74,4,FALSE),"No")="Yes",1,0)</f>
        <v/>
      </c>
      <c r="AH651">
        <f>IF(IFERROR(VLOOKUP(D651,Controls!$A$64:$E$74,5,FALSE),"No")="Yes",1,0)</f>
        <v/>
      </c>
      <c r="AI651">
        <f>IF(ISNUMBER(MATCH(D651,Controls!$A$64:$A$74,0)),1,0)</f>
        <v/>
      </c>
      <c r="AJ651">
        <f>Q651-N651</f>
        <v/>
      </c>
      <c r="AK651">
        <f>IF(AE651=1,MAX(0,N651-Q651),0)</f>
        <v/>
      </c>
      <c r="AL651">
        <f>IF(OR(V651="",V651=0),0,N651/V651)</f>
        <v/>
      </c>
      <c r="AM651">
        <f>IF(OR(V651="",V651=0),0,1)</f>
        <v/>
      </c>
      <c r="AN651">
        <f>IF(OR(E651="",F651=""),0,NETWORKDAYS(E651,F651,Ref!$K$2:$K$42))</f>
        <v/>
      </c>
      <c r="AO651">
        <f>IF(L651="Renewal",1,0)</f>
        <v/>
      </c>
      <c r="AP651">
        <f>AC651*AD651</f>
        <v/>
      </c>
      <c r="AQ651">
        <f>IF(AND(G651&lt;&gt;"",'Historical Score'!$C$6&lt;&gt;""),IF(G651='Historical Score'!$C$6,1,0),0)</f>
        <v/>
      </c>
      <c r="AR651">
        <f>IF(AND(L651&lt;&gt;"",'Historical Score'!$C$5&lt;&gt;""),IF(L651='Historical Score'!$C$5,1,0),0)</f>
        <v/>
      </c>
      <c r="AS651">
        <f>IF(AND(Y651&lt;&gt;"",'Historical Score'!$C$7&lt;&gt;""),IF(Y651='Historical Score'!$C$7,1,0),0)</f>
        <v/>
      </c>
      <c r="AT651">
        <f>IF(AND(K651&lt;&gt;"",'Historical Score'!$C$8&lt;&gt;""),IF(K651='Historical Score'!$C$8,1,0),0)</f>
        <v/>
      </c>
      <c r="AU651">
        <f>IF(AND(J651&lt;&gt;"",'Historical Score'!$C$9&lt;&gt;""),IF(J651='Historical Score'!$C$9,1,0),0)</f>
        <v/>
      </c>
      <c r="AV651">
        <f>AR651*AS651*AQ651</f>
        <v/>
      </c>
      <c r="AW651">
        <f>AR651*AT651*AQ651</f>
        <v/>
      </c>
      <c r="AX651">
        <f>AR651*AS651</f>
        <v/>
      </c>
      <c r="AY651">
        <f>AR651*AT651</f>
        <v/>
      </c>
      <c r="AZ651">
        <f>AR651*AQ651</f>
        <v/>
      </c>
      <c r="BA651">
        <f>AR651</f>
        <v/>
      </c>
      <c r="BB651">
        <f>1</f>
        <v/>
      </c>
      <c r="BC651">
        <f>IF(AV651=1,1,IF(AW651=1,2,IF(AX651=1,3,IF(AY651=1,4,IF(AZ651=1,5,IF(BA651=1,6,7))))))</f>
        <v/>
      </c>
      <c r="BD651">
        <f>IF(AD651=1,CHOOSE('Historical Score'!$C$29,AV651,AW651,AX651,AY651,AZ651,BA651,BB651),0)</f>
        <v/>
      </c>
      <c r="BE651">
        <f>IF(BD651=1,COUNTIF($BD$2:BD651,1),"")</f>
        <v/>
      </c>
    </row>
    <row r="652">
      <c r="A652" t="inlineStr">
        <is>
          <t>5674179033</t>
        </is>
      </c>
      <c r="B652" t="inlineStr">
        <is>
          <t>Hatmaker Holdings LLC</t>
        </is>
      </c>
      <c r="C652" t="inlineStr">
        <is>
          <t>Hatmaker Holdings LLC</t>
        </is>
      </c>
      <c r="D652" t="inlineStr">
        <is>
          <t>Closed</t>
        </is>
      </c>
      <c r="E652" s="297" t="n">
        <v>46077</v>
      </c>
      <c r="F652" s="297" t="n">
        <v>46168</v>
      </c>
      <c r="G652" t="n">
        <v>3</v>
      </c>
      <c r="H652" t="inlineStr">
        <is>
          <t>1521</t>
        </is>
      </c>
      <c r="I652" t="inlineStr">
        <is>
          <t>15</t>
        </is>
      </c>
      <c r="J652" t="inlineStr">
        <is>
          <t>TN</t>
        </is>
      </c>
      <c r="K652" t="inlineStr">
        <is>
          <t>Ballicci</t>
        </is>
      </c>
      <c r="L652" t="inlineStr">
        <is>
          <t>New Deal</t>
        </is>
      </c>
      <c r="M652" s="298" t="n">
        <v>1.49</v>
      </c>
      <c r="N652" s="299" t="n">
        <v>25000</v>
      </c>
      <c r="O652" s="299" t="n">
        <v>3500</v>
      </c>
      <c r="P652" s="299" t="n">
        <v>37250</v>
      </c>
      <c r="Q652" s="299" t="n">
        <v>37250</v>
      </c>
      <c r="R652" s="299" t="n">
        <v>0</v>
      </c>
      <c r="S652" s="300" t="n">
        <v>1</v>
      </c>
      <c r="T652" t="n">
        <v>3.279</v>
      </c>
      <c r="U652" t="n">
        <v>12</v>
      </c>
      <c r="V652" t="n">
        <v>60000</v>
      </c>
      <c r="W652" s="300" t="n">
        <v>0.0978</v>
      </c>
      <c r="X652" s="297" t="n">
        <v>37215</v>
      </c>
      <c r="Y652">
        <f>IF(I652="","No SIC",IFERROR(VLOOKUP(I652,Ref!$A$2:$B$65,2,FALSE),"Unclassified"))</f>
        <v/>
      </c>
      <c r="Z652">
        <f>IF(T652="","",IF(T652&lt;12,"Daily","Weekly"))</f>
        <v/>
      </c>
      <c r="AA652">
        <f>IF(T652="",0,IF(T652&lt;12,T652*Controls!$B$29,T652*5))</f>
        <v/>
      </c>
      <c r="AB652">
        <f>IF(E652="",0,NETWORKDAYS(E652,Controls!$B$36,Ref!$K$2:$K$42))</f>
        <v/>
      </c>
      <c r="AC652">
        <f>IF(AND(AA652&gt;0,AB652&gt;=Controls!$B$39*AA652),1,0)</f>
        <v/>
      </c>
      <c r="AD652">
        <f>IF(AND(E652&lt;&gt;"",E652&gt;=Controls!$B$37,E652&lt;=Controls!$B$38),1,0)</f>
        <v/>
      </c>
      <c r="AE652">
        <f>IF(IFERROR(VLOOKUP(D652,Controls!$A$64:$E$74,2,FALSE),"No")="Yes",1,0)</f>
        <v/>
      </c>
      <c r="AF652">
        <f>IF(IFERROR(VLOOKUP(D652,Controls!$A$64:$E$74,3,FALSE),"No")="Yes",1,0)</f>
        <v/>
      </c>
      <c r="AG652">
        <f>IF(IFERROR(VLOOKUP(D652,Controls!$A$64:$E$74,4,FALSE),"No")="Yes",1,0)</f>
        <v/>
      </c>
      <c r="AH652">
        <f>IF(IFERROR(VLOOKUP(D652,Controls!$A$64:$E$74,5,FALSE),"No")="Yes",1,0)</f>
        <v/>
      </c>
      <c r="AI652">
        <f>IF(ISNUMBER(MATCH(D652,Controls!$A$64:$A$74,0)),1,0)</f>
        <v/>
      </c>
      <c r="AJ652">
        <f>Q652-N652</f>
        <v/>
      </c>
      <c r="AK652">
        <f>IF(AE652=1,MAX(0,N652-Q652),0)</f>
        <v/>
      </c>
      <c r="AL652">
        <f>IF(OR(V652="",V652=0),0,N652/V652)</f>
        <v/>
      </c>
      <c r="AM652">
        <f>IF(OR(V652="",V652=0),0,1)</f>
        <v/>
      </c>
      <c r="AN652">
        <f>IF(OR(E652="",F652=""),0,NETWORKDAYS(E652,F652,Ref!$K$2:$K$42))</f>
        <v/>
      </c>
      <c r="AO652">
        <f>IF(L652="Renewal",1,0)</f>
        <v/>
      </c>
      <c r="AP652">
        <f>AC652*AD652</f>
        <v/>
      </c>
      <c r="AQ652">
        <f>IF(AND(G652&lt;&gt;"",'Historical Score'!$C$6&lt;&gt;""),IF(G652='Historical Score'!$C$6,1,0),0)</f>
        <v/>
      </c>
      <c r="AR652">
        <f>IF(AND(L652&lt;&gt;"",'Historical Score'!$C$5&lt;&gt;""),IF(L652='Historical Score'!$C$5,1,0),0)</f>
        <v/>
      </c>
      <c r="AS652">
        <f>IF(AND(Y652&lt;&gt;"",'Historical Score'!$C$7&lt;&gt;""),IF(Y652='Historical Score'!$C$7,1,0),0)</f>
        <v/>
      </c>
      <c r="AT652">
        <f>IF(AND(K652&lt;&gt;"",'Historical Score'!$C$8&lt;&gt;""),IF(K652='Historical Score'!$C$8,1,0),0)</f>
        <v/>
      </c>
      <c r="AU652">
        <f>IF(AND(J652&lt;&gt;"",'Historical Score'!$C$9&lt;&gt;""),IF(J652='Historical Score'!$C$9,1,0),0)</f>
        <v/>
      </c>
      <c r="AV652">
        <f>AR652*AS652*AQ652</f>
        <v/>
      </c>
      <c r="AW652">
        <f>AR652*AT652*AQ652</f>
        <v/>
      </c>
      <c r="AX652">
        <f>AR652*AS652</f>
        <v/>
      </c>
      <c r="AY652">
        <f>AR652*AT652</f>
        <v/>
      </c>
      <c r="AZ652">
        <f>AR652*AQ652</f>
        <v/>
      </c>
      <c r="BA652">
        <f>AR652</f>
        <v/>
      </c>
      <c r="BB652">
        <f>1</f>
        <v/>
      </c>
      <c r="BC652">
        <f>IF(AV652=1,1,IF(AW652=1,2,IF(AX652=1,3,IF(AY652=1,4,IF(AZ652=1,5,IF(BA652=1,6,7))))))</f>
        <v/>
      </c>
      <c r="BD652">
        <f>IF(AD652=1,CHOOSE('Historical Score'!$C$29,AV652,AW652,AX652,AY652,AZ652,BA652,BB652),0)</f>
        <v/>
      </c>
      <c r="BE652">
        <f>IF(BD652=1,COUNTIF($BD$2:BD652,1),"")</f>
        <v/>
      </c>
    </row>
    <row r="653">
      <c r="A653" t="inlineStr">
        <is>
          <t>5674179054</t>
        </is>
      </c>
      <c r="B653" t="inlineStr">
        <is>
          <t>GREENMART DESIGN &amp; LANDSCAPE LLC</t>
        </is>
      </c>
      <c r="C653" t="inlineStr">
        <is>
          <t>GREENMART DESIGN &amp; LANDSCAPE LLC</t>
        </is>
      </c>
      <c r="D653" t="inlineStr">
        <is>
          <t>Lowered Payments</t>
        </is>
      </c>
      <c r="E653" s="297" t="n">
        <v>46078</v>
      </c>
      <c r="F653" s="297" t="n">
        <v>46248</v>
      </c>
      <c r="G653" t="n">
        <v>3</v>
      </c>
      <c r="H653" t="inlineStr">
        <is>
          <t>5541</t>
        </is>
      </c>
      <c r="I653" t="inlineStr">
        <is>
          <t>55</t>
        </is>
      </c>
      <c r="J653" t="inlineStr">
        <is>
          <t>AZ</t>
        </is>
      </c>
      <c r="K653" t="inlineStr">
        <is>
          <t>legacy funding llc</t>
        </is>
      </c>
      <c r="L653" t="inlineStr">
        <is>
          <t>New Deal</t>
        </is>
      </c>
      <c r="M653" s="298" t="n">
        <v>1.49</v>
      </c>
      <c r="N653" s="299" t="n">
        <v>25000</v>
      </c>
      <c r="O653" s="299" t="n">
        <v>3500</v>
      </c>
      <c r="P653" s="299" t="n">
        <v>37250</v>
      </c>
      <c r="Q653" s="299" t="n">
        <v>12149.15</v>
      </c>
      <c r="R653" s="299" t="n">
        <v>25100.85</v>
      </c>
      <c r="S653" s="300" t="n">
        <v>0.326151677852349</v>
      </c>
      <c r="T653" t="n">
        <v>24</v>
      </c>
      <c r="U653" t="n">
        <v>16</v>
      </c>
      <c r="V653" t="n">
        <v>198696.28</v>
      </c>
      <c r="W653" s="300" t="n">
        <v>0.0312</v>
      </c>
      <c r="X653" s="297" t="n"/>
      <c r="Y653">
        <f>IF(I653="","No SIC",IFERROR(VLOOKUP(I653,Ref!$A$2:$B$65,2,FALSE),"Unclassified"))</f>
        <v/>
      </c>
      <c r="Z653">
        <f>IF(T653="","",IF(T653&lt;12,"Daily","Weekly"))</f>
        <v/>
      </c>
      <c r="AA653">
        <f>IF(T653="",0,IF(T653&lt;12,T653*Controls!$B$29,T653*5))</f>
        <v/>
      </c>
      <c r="AB653">
        <f>IF(E653="",0,NETWORKDAYS(E653,Controls!$B$36,Ref!$K$2:$K$42))</f>
        <v/>
      </c>
      <c r="AC653">
        <f>IF(AND(AA653&gt;0,AB653&gt;=Controls!$B$39*AA653),1,0)</f>
        <v/>
      </c>
      <c r="AD653">
        <f>IF(AND(E653&lt;&gt;"",E653&gt;=Controls!$B$37,E653&lt;=Controls!$B$38),1,0)</f>
        <v/>
      </c>
      <c r="AE653">
        <f>IF(IFERROR(VLOOKUP(D653,Controls!$A$64:$E$74,2,FALSE),"No")="Yes",1,0)</f>
        <v/>
      </c>
      <c r="AF653">
        <f>IF(IFERROR(VLOOKUP(D653,Controls!$A$64:$E$74,3,FALSE),"No")="Yes",1,0)</f>
        <v/>
      </c>
      <c r="AG653">
        <f>IF(IFERROR(VLOOKUP(D653,Controls!$A$64:$E$74,4,FALSE),"No")="Yes",1,0)</f>
        <v/>
      </c>
      <c r="AH653">
        <f>IF(IFERROR(VLOOKUP(D653,Controls!$A$64:$E$74,5,FALSE),"No")="Yes",1,0)</f>
        <v/>
      </c>
      <c r="AI653">
        <f>IF(ISNUMBER(MATCH(D653,Controls!$A$64:$A$74,0)),1,0)</f>
        <v/>
      </c>
      <c r="AJ653">
        <f>Q653-N653</f>
        <v/>
      </c>
      <c r="AK653">
        <f>IF(AE653=1,MAX(0,N653-Q653),0)</f>
        <v/>
      </c>
      <c r="AL653">
        <f>IF(OR(V653="",V653=0),0,N653/V653)</f>
        <v/>
      </c>
      <c r="AM653">
        <f>IF(OR(V653="",V653=0),0,1)</f>
        <v/>
      </c>
      <c r="AN653">
        <f>IF(OR(E653="",F653=""),0,NETWORKDAYS(E653,F653,Ref!$K$2:$K$42))</f>
        <v/>
      </c>
      <c r="AO653">
        <f>IF(L653="Renewal",1,0)</f>
        <v/>
      </c>
      <c r="AP653">
        <f>AC653*AD653</f>
        <v/>
      </c>
      <c r="AQ653">
        <f>IF(AND(G653&lt;&gt;"",'Historical Score'!$C$6&lt;&gt;""),IF(G653='Historical Score'!$C$6,1,0),0)</f>
        <v/>
      </c>
      <c r="AR653">
        <f>IF(AND(L653&lt;&gt;"",'Historical Score'!$C$5&lt;&gt;""),IF(L653='Historical Score'!$C$5,1,0),0)</f>
        <v/>
      </c>
      <c r="AS653">
        <f>IF(AND(Y653&lt;&gt;"",'Historical Score'!$C$7&lt;&gt;""),IF(Y653='Historical Score'!$C$7,1,0),0)</f>
        <v/>
      </c>
      <c r="AT653">
        <f>IF(AND(K653&lt;&gt;"",'Historical Score'!$C$8&lt;&gt;""),IF(K653='Historical Score'!$C$8,1,0),0)</f>
        <v/>
      </c>
      <c r="AU653">
        <f>IF(AND(J653&lt;&gt;"",'Historical Score'!$C$9&lt;&gt;""),IF(J653='Historical Score'!$C$9,1,0),0)</f>
        <v/>
      </c>
      <c r="AV653">
        <f>AR653*AS653*AQ653</f>
        <v/>
      </c>
      <c r="AW653">
        <f>AR653*AT653*AQ653</f>
        <v/>
      </c>
      <c r="AX653">
        <f>AR653*AS653</f>
        <v/>
      </c>
      <c r="AY653">
        <f>AR653*AT653</f>
        <v/>
      </c>
      <c r="AZ653">
        <f>AR653*AQ653</f>
        <v/>
      </c>
      <c r="BA653">
        <f>AR653</f>
        <v/>
      </c>
      <c r="BB653">
        <f>1</f>
        <v/>
      </c>
      <c r="BC653">
        <f>IF(AV653=1,1,IF(AW653=1,2,IF(AX653=1,3,IF(AY653=1,4,IF(AZ653=1,5,IF(BA653=1,6,7))))))</f>
        <v/>
      </c>
      <c r="BD653">
        <f>IF(AD653=1,CHOOSE('Historical Score'!$C$29,AV653,AW653,AX653,AY653,AZ653,BA653,BB653),0)</f>
        <v/>
      </c>
      <c r="BE653">
        <f>IF(BD653=1,COUNTIF($BD$2:BD653,1),"")</f>
        <v/>
      </c>
    </row>
    <row r="654">
      <c r="A654" t="inlineStr">
        <is>
          <t>5674179089</t>
        </is>
      </c>
      <c r="B654" t="inlineStr">
        <is>
          <t>JT LLC RENOVATIONS LLC</t>
        </is>
      </c>
      <c r="C654" t="inlineStr">
        <is>
          <t>JT LLC RENOVATIONS LLC</t>
        </is>
      </c>
      <c r="D654" t="inlineStr">
        <is>
          <t>Open</t>
        </is>
      </c>
      <c r="E654" s="297" t="n">
        <v>46078</v>
      </c>
      <c r="F654" s="297" t="n">
        <v>46253</v>
      </c>
      <c r="G654" t="n">
        <v>3</v>
      </c>
      <c r="H654" t="inlineStr">
        <is>
          <t>1521</t>
        </is>
      </c>
      <c r="I654" t="inlineStr">
        <is>
          <t>15</t>
        </is>
      </c>
      <c r="J654" t="inlineStr">
        <is>
          <t>TN</t>
        </is>
      </c>
      <c r="K654" t="inlineStr">
        <is>
          <t>Ballicci</t>
        </is>
      </c>
      <c r="L654" t="inlineStr">
        <is>
          <t>New Deal</t>
        </is>
      </c>
      <c r="M654" s="298" t="n">
        <v>1.49</v>
      </c>
      <c r="N654" s="299" t="n">
        <v>25000</v>
      </c>
      <c r="O654" s="299" t="n">
        <v>3500</v>
      </c>
      <c r="P654" s="299" t="n">
        <v>37250</v>
      </c>
      <c r="Q654" s="299" t="n">
        <v>34691.91</v>
      </c>
      <c r="R654" s="299" t="n">
        <v>2558.09</v>
      </c>
      <c r="S654" s="300" t="n">
        <v>0.93132644295302</v>
      </c>
      <c r="T654" t="n">
        <v>4.262</v>
      </c>
      <c r="U654" t="n">
        <v>3</v>
      </c>
      <c r="V654" t="n">
        <v>76118.22</v>
      </c>
      <c r="W654" s="300" t="n">
        <v>0.0791</v>
      </c>
      <c r="X654" s="297" t="n">
        <v>44571</v>
      </c>
      <c r="Y654">
        <f>IF(I654="","No SIC",IFERROR(VLOOKUP(I654,Ref!$A$2:$B$65,2,FALSE),"Unclassified"))</f>
        <v/>
      </c>
      <c r="Z654">
        <f>IF(T654="","",IF(T654&lt;12,"Daily","Weekly"))</f>
        <v/>
      </c>
      <c r="AA654">
        <f>IF(T654="",0,IF(T654&lt;12,T654*Controls!$B$29,T654*5))</f>
        <v/>
      </c>
      <c r="AB654">
        <f>IF(E654="",0,NETWORKDAYS(E654,Controls!$B$36,Ref!$K$2:$K$42))</f>
        <v/>
      </c>
      <c r="AC654">
        <f>IF(AND(AA654&gt;0,AB654&gt;=Controls!$B$39*AA654),1,0)</f>
        <v/>
      </c>
      <c r="AD654">
        <f>IF(AND(E654&lt;&gt;"",E654&gt;=Controls!$B$37,E654&lt;=Controls!$B$38),1,0)</f>
        <v/>
      </c>
      <c r="AE654">
        <f>IF(IFERROR(VLOOKUP(D654,Controls!$A$64:$E$74,2,FALSE),"No")="Yes",1,0)</f>
        <v/>
      </c>
      <c r="AF654">
        <f>IF(IFERROR(VLOOKUP(D654,Controls!$A$64:$E$74,3,FALSE),"No")="Yes",1,0)</f>
        <v/>
      </c>
      <c r="AG654">
        <f>IF(IFERROR(VLOOKUP(D654,Controls!$A$64:$E$74,4,FALSE),"No")="Yes",1,0)</f>
        <v/>
      </c>
      <c r="AH654">
        <f>IF(IFERROR(VLOOKUP(D654,Controls!$A$64:$E$74,5,FALSE),"No")="Yes",1,0)</f>
        <v/>
      </c>
      <c r="AI654">
        <f>IF(ISNUMBER(MATCH(D654,Controls!$A$64:$A$74,0)),1,0)</f>
        <v/>
      </c>
      <c r="AJ654">
        <f>Q654-N654</f>
        <v/>
      </c>
      <c r="AK654">
        <f>IF(AE654=1,MAX(0,N654-Q654),0)</f>
        <v/>
      </c>
      <c r="AL654">
        <f>IF(OR(V654="",V654=0),0,N654/V654)</f>
        <v/>
      </c>
      <c r="AM654">
        <f>IF(OR(V654="",V654=0),0,1)</f>
        <v/>
      </c>
      <c r="AN654">
        <f>IF(OR(E654="",F654=""),0,NETWORKDAYS(E654,F654,Ref!$K$2:$K$42))</f>
        <v/>
      </c>
      <c r="AO654">
        <f>IF(L654="Renewal",1,0)</f>
        <v/>
      </c>
      <c r="AP654">
        <f>AC654*AD654</f>
        <v/>
      </c>
      <c r="AQ654">
        <f>IF(AND(G654&lt;&gt;"",'Historical Score'!$C$6&lt;&gt;""),IF(G654='Historical Score'!$C$6,1,0),0)</f>
        <v/>
      </c>
      <c r="AR654">
        <f>IF(AND(L654&lt;&gt;"",'Historical Score'!$C$5&lt;&gt;""),IF(L654='Historical Score'!$C$5,1,0),0)</f>
        <v/>
      </c>
      <c r="AS654">
        <f>IF(AND(Y654&lt;&gt;"",'Historical Score'!$C$7&lt;&gt;""),IF(Y654='Historical Score'!$C$7,1,0),0)</f>
        <v/>
      </c>
      <c r="AT654">
        <f>IF(AND(K654&lt;&gt;"",'Historical Score'!$C$8&lt;&gt;""),IF(K654='Historical Score'!$C$8,1,0),0)</f>
        <v/>
      </c>
      <c r="AU654">
        <f>IF(AND(J654&lt;&gt;"",'Historical Score'!$C$9&lt;&gt;""),IF(J654='Historical Score'!$C$9,1,0),0)</f>
        <v/>
      </c>
      <c r="AV654">
        <f>AR654*AS654*AQ654</f>
        <v/>
      </c>
      <c r="AW654">
        <f>AR654*AT654*AQ654</f>
        <v/>
      </c>
      <c r="AX654">
        <f>AR654*AS654</f>
        <v/>
      </c>
      <c r="AY654">
        <f>AR654*AT654</f>
        <v/>
      </c>
      <c r="AZ654">
        <f>AR654*AQ654</f>
        <v/>
      </c>
      <c r="BA654">
        <f>AR654</f>
        <v/>
      </c>
      <c r="BB654">
        <f>1</f>
        <v/>
      </c>
      <c r="BC654">
        <f>IF(AV654=1,1,IF(AW654=1,2,IF(AX654=1,3,IF(AY654=1,4,IF(AZ654=1,5,IF(BA654=1,6,7))))))</f>
        <v/>
      </c>
      <c r="BD654">
        <f>IF(AD654=1,CHOOSE('Historical Score'!$C$29,AV654,AW654,AX654,AY654,AZ654,BA654,BB654),0)</f>
        <v/>
      </c>
      <c r="BE654">
        <f>IF(BD654=1,COUNTIF($BD$2:BD654,1),"")</f>
        <v/>
      </c>
    </row>
    <row r="655">
      <c r="A655" t="inlineStr">
        <is>
          <t>5674179094</t>
        </is>
      </c>
      <c r="B655" t="inlineStr">
        <is>
          <t>EL TACO LOCO AL VAPOR II,</t>
        </is>
      </c>
      <c r="C655" t="inlineStr">
        <is>
          <t>EL TACO LOCO AL VAPOR II,</t>
        </is>
      </c>
      <c r="D655" t="inlineStr">
        <is>
          <t>Closed</t>
        </is>
      </c>
      <c r="E655" s="297" t="n">
        <v>46078</v>
      </c>
      <c r="F655" s="297" t="n">
        <v>46155</v>
      </c>
      <c r="G655" t="n">
        <v>3</v>
      </c>
      <c r="H655" t="inlineStr">
        <is>
          <t>5812</t>
        </is>
      </c>
      <c r="I655" t="inlineStr">
        <is>
          <t>58</t>
        </is>
      </c>
      <c r="J655" t="inlineStr">
        <is>
          <t>TX</t>
        </is>
      </c>
      <c r="K655" t="inlineStr">
        <is>
          <t>Westwood</t>
        </is>
      </c>
      <c r="L655" t="inlineStr">
        <is>
          <t>Renewal</t>
        </is>
      </c>
      <c r="M655" s="298" t="n">
        <v>1.49</v>
      </c>
      <c r="N655" s="299" t="n">
        <v>25000</v>
      </c>
      <c r="O655" s="299" t="n">
        <v>3500</v>
      </c>
      <c r="P655" s="299" t="n">
        <v>37250</v>
      </c>
      <c r="Q655" s="299" t="n">
        <v>37250</v>
      </c>
      <c r="R655" s="299" t="n">
        <v>0</v>
      </c>
      <c r="S655" s="300" t="n">
        <v>1</v>
      </c>
      <c r="T655" t="n">
        <v>3.934</v>
      </c>
      <c r="U655" t="n">
        <v>0</v>
      </c>
      <c r="V655" t="n">
        <v>35000</v>
      </c>
      <c r="W655" s="300" t="n">
        <v>0.1863</v>
      </c>
      <c r="X655" s="297" t="n"/>
      <c r="Y655">
        <f>IF(I655="","No SIC",IFERROR(VLOOKUP(I655,Ref!$A$2:$B$65,2,FALSE),"Unclassified"))</f>
        <v/>
      </c>
      <c r="Z655">
        <f>IF(T655="","",IF(T655&lt;12,"Daily","Weekly"))</f>
        <v/>
      </c>
      <c r="AA655">
        <f>IF(T655="",0,IF(T655&lt;12,T655*Controls!$B$29,T655*5))</f>
        <v/>
      </c>
      <c r="AB655">
        <f>IF(E655="",0,NETWORKDAYS(E655,Controls!$B$36,Ref!$K$2:$K$42))</f>
        <v/>
      </c>
      <c r="AC655">
        <f>IF(AND(AA655&gt;0,AB655&gt;=Controls!$B$39*AA655),1,0)</f>
        <v/>
      </c>
      <c r="AD655">
        <f>IF(AND(E655&lt;&gt;"",E655&gt;=Controls!$B$37,E655&lt;=Controls!$B$38),1,0)</f>
        <v/>
      </c>
      <c r="AE655">
        <f>IF(IFERROR(VLOOKUP(D655,Controls!$A$64:$E$74,2,FALSE),"No")="Yes",1,0)</f>
        <v/>
      </c>
      <c r="AF655">
        <f>IF(IFERROR(VLOOKUP(D655,Controls!$A$64:$E$74,3,FALSE),"No")="Yes",1,0)</f>
        <v/>
      </c>
      <c r="AG655">
        <f>IF(IFERROR(VLOOKUP(D655,Controls!$A$64:$E$74,4,FALSE),"No")="Yes",1,0)</f>
        <v/>
      </c>
      <c r="AH655">
        <f>IF(IFERROR(VLOOKUP(D655,Controls!$A$64:$E$74,5,FALSE),"No")="Yes",1,0)</f>
        <v/>
      </c>
      <c r="AI655">
        <f>IF(ISNUMBER(MATCH(D655,Controls!$A$64:$A$74,0)),1,0)</f>
        <v/>
      </c>
      <c r="AJ655">
        <f>Q655-N655</f>
        <v/>
      </c>
      <c r="AK655">
        <f>IF(AE655=1,MAX(0,N655-Q655),0)</f>
        <v/>
      </c>
      <c r="AL655">
        <f>IF(OR(V655="",V655=0),0,N655/V655)</f>
        <v/>
      </c>
      <c r="AM655">
        <f>IF(OR(V655="",V655=0),0,1)</f>
        <v/>
      </c>
      <c r="AN655">
        <f>IF(OR(E655="",F655=""),0,NETWORKDAYS(E655,F655,Ref!$K$2:$K$42))</f>
        <v/>
      </c>
      <c r="AO655">
        <f>IF(L655="Renewal",1,0)</f>
        <v/>
      </c>
      <c r="AP655">
        <f>AC655*AD655</f>
        <v/>
      </c>
      <c r="AQ655">
        <f>IF(AND(G655&lt;&gt;"",'Historical Score'!$C$6&lt;&gt;""),IF(G655='Historical Score'!$C$6,1,0),0)</f>
        <v/>
      </c>
      <c r="AR655">
        <f>IF(AND(L655&lt;&gt;"",'Historical Score'!$C$5&lt;&gt;""),IF(L655='Historical Score'!$C$5,1,0),0)</f>
        <v/>
      </c>
      <c r="AS655">
        <f>IF(AND(Y655&lt;&gt;"",'Historical Score'!$C$7&lt;&gt;""),IF(Y655='Historical Score'!$C$7,1,0),0)</f>
        <v/>
      </c>
      <c r="AT655">
        <f>IF(AND(K655&lt;&gt;"",'Historical Score'!$C$8&lt;&gt;""),IF(K655='Historical Score'!$C$8,1,0),0)</f>
        <v/>
      </c>
      <c r="AU655">
        <f>IF(AND(J655&lt;&gt;"",'Historical Score'!$C$9&lt;&gt;""),IF(J655='Historical Score'!$C$9,1,0),0)</f>
        <v/>
      </c>
      <c r="AV655">
        <f>AR655*AS655*AQ655</f>
        <v/>
      </c>
      <c r="AW655">
        <f>AR655*AT655*AQ655</f>
        <v/>
      </c>
      <c r="AX655">
        <f>AR655*AS655</f>
        <v/>
      </c>
      <c r="AY655">
        <f>AR655*AT655</f>
        <v/>
      </c>
      <c r="AZ655">
        <f>AR655*AQ655</f>
        <v/>
      </c>
      <c r="BA655">
        <f>AR655</f>
        <v/>
      </c>
      <c r="BB655">
        <f>1</f>
        <v/>
      </c>
      <c r="BC655">
        <f>IF(AV655=1,1,IF(AW655=1,2,IF(AX655=1,3,IF(AY655=1,4,IF(AZ655=1,5,IF(BA655=1,6,7))))))</f>
        <v/>
      </c>
      <c r="BD655">
        <f>IF(AD655=1,CHOOSE('Historical Score'!$C$29,AV655,AW655,AX655,AY655,AZ655,BA655,BB655),0)</f>
        <v/>
      </c>
      <c r="BE655">
        <f>IF(BD655=1,COUNTIF($BD$2:BD655,1),"")</f>
        <v/>
      </c>
    </row>
    <row r="656">
      <c r="A656" t="inlineStr">
        <is>
          <t>5674179109</t>
        </is>
      </c>
      <c r="B656" t="inlineStr">
        <is>
          <t>MANASSES HENRY FURNITURE</t>
        </is>
      </c>
      <c r="C656" t="inlineStr">
        <is>
          <t>MANASSES HENRY FURNITURE</t>
        </is>
      </c>
      <c r="D656" t="inlineStr">
        <is>
          <t>Legal</t>
        </is>
      </c>
      <c r="E656" s="297" t="n">
        <v>46078</v>
      </c>
      <c r="F656" s="297" t="n">
        <v>46115</v>
      </c>
      <c r="G656" t="n">
        <v>3</v>
      </c>
      <c r="H656" t="inlineStr">
        <is>
          <t>2521</t>
        </is>
      </c>
      <c r="I656" t="inlineStr">
        <is>
          <t>25</t>
        </is>
      </c>
      <c r="J656" t="inlineStr">
        <is>
          <t>IN</t>
        </is>
      </c>
      <c r="K656" t="inlineStr">
        <is>
          <t>Shield Funding</t>
        </is>
      </c>
      <c r="L656" t="inlineStr">
        <is>
          <t>Renewal</t>
        </is>
      </c>
      <c r="M656" s="298" t="n">
        <v>1.41</v>
      </c>
      <c r="N656" s="299" t="n">
        <v>50000</v>
      </c>
      <c r="O656" s="299" t="n">
        <v>0</v>
      </c>
      <c r="P656" s="299" t="n">
        <v>70500</v>
      </c>
      <c r="Q656" s="299" t="n">
        <v>2958.02</v>
      </c>
      <c r="R656" s="299" t="n">
        <v>67541.98</v>
      </c>
      <c r="S656" s="300" t="n">
        <v>0.0419577304964539</v>
      </c>
      <c r="T656" t="n">
        <v>36</v>
      </c>
      <c r="U656" t="n">
        <v>3</v>
      </c>
      <c r="V656" t="n">
        <v>56713.1</v>
      </c>
      <c r="W656" s="300" t="n">
        <v>0.1381</v>
      </c>
      <c r="X656" s="297" t="n">
        <v>42308</v>
      </c>
      <c r="Y656">
        <f>IF(I656="","No SIC",IFERROR(VLOOKUP(I656,Ref!$A$2:$B$65,2,FALSE),"Unclassified"))</f>
        <v/>
      </c>
      <c r="Z656">
        <f>IF(T656="","",IF(T656&lt;12,"Daily","Weekly"))</f>
        <v/>
      </c>
      <c r="AA656">
        <f>IF(T656="",0,IF(T656&lt;12,T656*Controls!$B$29,T656*5))</f>
        <v/>
      </c>
      <c r="AB656">
        <f>IF(E656="",0,NETWORKDAYS(E656,Controls!$B$36,Ref!$K$2:$K$42))</f>
        <v/>
      </c>
      <c r="AC656">
        <f>IF(AND(AA656&gt;0,AB656&gt;=Controls!$B$39*AA656),1,0)</f>
        <v/>
      </c>
      <c r="AD656">
        <f>IF(AND(E656&lt;&gt;"",E656&gt;=Controls!$B$37,E656&lt;=Controls!$B$38),1,0)</f>
        <v/>
      </c>
      <c r="AE656">
        <f>IF(IFERROR(VLOOKUP(D656,Controls!$A$64:$E$74,2,FALSE),"No")="Yes",1,0)</f>
        <v/>
      </c>
      <c r="AF656">
        <f>IF(IFERROR(VLOOKUP(D656,Controls!$A$64:$E$74,3,FALSE),"No")="Yes",1,0)</f>
        <v/>
      </c>
      <c r="AG656">
        <f>IF(IFERROR(VLOOKUP(D656,Controls!$A$64:$E$74,4,FALSE),"No")="Yes",1,0)</f>
        <v/>
      </c>
      <c r="AH656">
        <f>IF(IFERROR(VLOOKUP(D656,Controls!$A$64:$E$74,5,FALSE),"No")="Yes",1,0)</f>
        <v/>
      </c>
      <c r="AI656">
        <f>IF(ISNUMBER(MATCH(D656,Controls!$A$64:$A$74,0)),1,0)</f>
        <v/>
      </c>
      <c r="AJ656">
        <f>Q656-N656</f>
        <v/>
      </c>
      <c r="AK656">
        <f>IF(AE656=1,MAX(0,N656-Q656),0)</f>
        <v/>
      </c>
      <c r="AL656">
        <f>IF(OR(V656="",V656=0),0,N656/V656)</f>
        <v/>
      </c>
      <c r="AM656">
        <f>IF(OR(V656="",V656=0),0,1)</f>
        <v/>
      </c>
      <c r="AN656">
        <f>IF(OR(E656="",F656=""),0,NETWORKDAYS(E656,F656,Ref!$K$2:$K$42))</f>
        <v/>
      </c>
      <c r="AO656">
        <f>IF(L656="Renewal",1,0)</f>
        <v/>
      </c>
      <c r="AP656">
        <f>AC656*AD656</f>
        <v/>
      </c>
      <c r="AQ656">
        <f>IF(AND(G656&lt;&gt;"",'Historical Score'!$C$6&lt;&gt;""),IF(G656='Historical Score'!$C$6,1,0),0)</f>
        <v/>
      </c>
      <c r="AR656">
        <f>IF(AND(L656&lt;&gt;"",'Historical Score'!$C$5&lt;&gt;""),IF(L656='Historical Score'!$C$5,1,0),0)</f>
        <v/>
      </c>
      <c r="AS656">
        <f>IF(AND(Y656&lt;&gt;"",'Historical Score'!$C$7&lt;&gt;""),IF(Y656='Historical Score'!$C$7,1,0),0)</f>
        <v/>
      </c>
      <c r="AT656">
        <f>IF(AND(K656&lt;&gt;"",'Historical Score'!$C$8&lt;&gt;""),IF(K656='Historical Score'!$C$8,1,0),0)</f>
        <v/>
      </c>
      <c r="AU656">
        <f>IF(AND(J656&lt;&gt;"",'Historical Score'!$C$9&lt;&gt;""),IF(J656='Historical Score'!$C$9,1,0),0)</f>
        <v/>
      </c>
      <c r="AV656">
        <f>AR656*AS656*AQ656</f>
        <v/>
      </c>
      <c r="AW656">
        <f>AR656*AT656*AQ656</f>
        <v/>
      </c>
      <c r="AX656">
        <f>AR656*AS656</f>
        <v/>
      </c>
      <c r="AY656">
        <f>AR656*AT656</f>
        <v/>
      </c>
      <c r="AZ656">
        <f>AR656*AQ656</f>
        <v/>
      </c>
      <c r="BA656">
        <f>AR656</f>
        <v/>
      </c>
      <c r="BB656">
        <f>1</f>
        <v/>
      </c>
      <c r="BC656">
        <f>IF(AV656=1,1,IF(AW656=1,2,IF(AX656=1,3,IF(AY656=1,4,IF(AZ656=1,5,IF(BA656=1,6,7))))))</f>
        <v/>
      </c>
      <c r="BD656">
        <f>IF(AD656=1,CHOOSE('Historical Score'!$C$29,AV656,AW656,AX656,AY656,AZ656,BA656,BB656),0)</f>
        <v/>
      </c>
      <c r="BE656">
        <f>IF(BD656=1,COUNTIF($BD$2:BD656,1),"")</f>
        <v/>
      </c>
    </row>
    <row r="657">
      <c r="A657" t="inlineStr">
        <is>
          <t>5674179123</t>
        </is>
      </c>
      <c r="B657" t="inlineStr">
        <is>
          <t>MICA WASTE &amp; RECYCLING LLC</t>
        </is>
      </c>
      <c r="C657" t="inlineStr">
        <is>
          <t>MICA WASTE &amp; RECYCLING LLC</t>
        </is>
      </c>
      <c r="D657" t="inlineStr">
        <is>
          <t>Written-Off</t>
        </is>
      </c>
      <c r="E657" s="297" t="n">
        <v>46078</v>
      </c>
      <c r="F657" s="297" t="n">
        <v>46146</v>
      </c>
      <c r="G657" t="n">
        <v>3</v>
      </c>
      <c r="H657" t="inlineStr">
        <is>
          <t>9511</t>
        </is>
      </c>
      <c r="I657" t="inlineStr">
        <is>
          <t>95</t>
        </is>
      </c>
      <c r="J657" t="inlineStr">
        <is>
          <t>TX</t>
        </is>
      </c>
      <c r="K657" t="inlineStr">
        <is>
          <t>United Secured Capital 8</t>
        </is>
      </c>
      <c r="L657" t="inlineStr">
        <is>
          <t>New Deal</t>
        </is>
      </c>
      <c r="M657" s="298" t="n">
        <v>1.49</v>
      </c>
      <c r="N657" s="299" t="n">
        <v>17500</v>
      </c>
      <c r="O657" s="299" t="n">
        <v>0</v>
      </c>
      <c r="P657" s="299" t="n">
        <v>26075</v>
      </c>
      <c r="Q657" s="299" t="n">
        <v>18992.6</v>
      </c>
      <c r="R657" s="299" t="n">
        <v>7082.4</v>
      </c>
      <c r="S657" s="300" t="n">
        <v>0.728383509108341</v>
      </c>
      <c r="T657" t="n">
        <v>22</v>
      </c>
      <c r="U657" t="n">
        <v>2</v>
      </c>
      <c r="V657" t="n">
        <v>82623.64</v>
      </c>
      <c r="W657" s="300" t="n">
        <v>0.0574</v>
      </c>
      <c r="X657" s="297" t="n">
        <v>46078</v>
      </c>
      <c r="Y657">
        <f>IF(I657="","No SIC",IFERROR(VLOOKUP(I657,Ref!$A$2:$B$65,2,FALSE),"Unclassified"))</f>
        <v/>
      </c>
      <c r="Z657">
        <f>IF(T657="","",IF(T657&lt;12,"Daily","Weekly"))</f>
        <v/>
      </c>
      <c r="AA657">
        <f>IF(T657="",0,IF(T657&lt;12,T657*Controls!$B$29,T657*5))</f>
        <v/>
      </c>
      <c r="AB657">
        <f>IF(E657="",0,NETWORKDAYS(E657,Controls!$B$36,Ref!$K$2:$K$42))</f>
        <v/>
      </c>
      <c r="AC657">
        <f>IF(AND(AA657&gt;0,AB657&gt;=Controls!$B$39*AA657),1,0)</f>
        <v/>
      </c>
      <c r="AD657">
        <f>IF(AND(E657&lt;&gt;"",E657&gt;=Controls!$B$37,E657&lt;=Controls!$B$38),1,0)</f>
        <v/>
      </c>
      <c r="AE657">
        <f>IF(IFERROR(VLOOKUP(D657,Controls!$A$64:$E$74,2,FALSE),"No")="Yes",1,0)</f>
        <v/>
      </c>
      <c r="AF657">
        <f>IF(IFERROR(VLOOKUP(D657,Controls!$A$64:$E$74,3,FALSE),"No")="Yes",1,0)</f>
        <v/>
      </c>
      <c r="AG657">
        <f>IF(IFERROR(VLOOKUP(D657,Controls!$A$64:$E$74,4,FALSE),"No")="Yes",1,0)</f>
        <v/>
      </c>
      <c r="AH657">
        <f>IF(IFERROR(VLOOKUP(D657,Controls!$A$64:$E$74,5,FALSE),"No")="Yes",1,0)</f>
        <v/>
      </c>
      <c r="AI657">
        <f>IF(ISNUMBER(MATCH(D657,Controls!$A$64:$A$74,0)),1,0)</f>
        <v/>
      </c>
      <c r="AJ657">
        <f>Q657-N657</f>
        <v/>
      </c>
      <c r="AK657">
        <f>IF(AE657=1,MAX(0,N657-Q657),0)</f>
        <v/>
      </c>
      <c r="AL657">
        <f>IF(OR(V657="",V657=0),0,N657/V657)</f>
        <v/>
      </c>
      <c r="AM657">
        <f>IF(OR(V657="",V657=0),0,1)</f>
        <v/>
      </c>
      <c r="AN657">
        <f>IF(OR(E657="",F657=""),0,NETWORKDAYS(E657,F657,Ref!$K$2:$K$42))</f>
        <v/>
      </c>
      <c r="AO657">
        <f>IF(L657="Renewal",1,0)</f>
        <v/>
      </c>
      <c r="AP657">
        <f>AC657*AD657</f>
        <v/>
      </c>
      <c r="AQ657">
        <f>IF(AND(G657&lt;&gt;"",'Historical Score'!$C$6&lt;&gt;""),IF(G657='Historical Score'!$C$6,1,0),0)</f>
        <v/>
      </c>
      <c r="AR657">
        <f>IF(AND(L657&lt;&gt;"",'Historical Score'!$C$5&lt;&gt;""),IF(L657='Historical Score'!$C$5,1,0),0)</f>
        <v/>
      </c>
      <c r="AS657">
        <f>IF(AND(Y657&lt;&gt;"",'Historical Score'!$C$7&lt;&gt;""),IF(Y657='Historical Score'!$C$7,1,0),0)</f>
        <v/>
      </c>
      <c r="AT657">
        <f>IF(AND(K657&lt;&gt;"",'Historical Score'!$C$8&lt;&gt;""),IF(K657='Historical Score'!$C$8,1,0),0)</f>
        <v/>
      </c>
      <c r="AU657">
        <f>IF(AND(J657&lt;&gt;"",'Historical Score'!$C$9&lt;&gt;""),IF(J657='Historical Score'!$C$9,1,0),0)</f>
        <v/>
      </c>
      <c r="AV657">
        <f>AR657*AS657*AQ657</f>
        <v/>
      </c>
      <c r="AW657">
        <f>AR657*AT657*AQ657</f>
        <v/>
      </c>
      <c r="AX657">
        <f>AR657*AS657</f>
        <v/>
      </c>
      <c r="AY657">
        <f>AR657*AT657</f>
        <v/>
      </c>
      <c r="AZ657">
        <f>AR657*AQ657</f>
        <v/>
      </c>
      <c r="BA657">
        <f>AR657</f>
        <v/>
      </c>
      <c r="BB657">
        <f>1</f>
        <v/>
      </c>
      <c r="BC657">
        <f>IF(AV657=1,1,IF(AW657=1,2,IF(AX657=1,3,IF(AY657=1,4,IF(AZ657=1,5,IF(BA657=1,6,7))))))</f>
        <v/>
      </c>
      <c r="BD657">
        <f>IF(AD657=1,CHOOSE('Historical Score'!$C$29,AV657,AW657,AX657,AY657,AZ657,BA657,BB657),0)</f>
        <v/>
      </c>
      <c r="BE657">
        <f>IF(BD657=1,COUNTIF($BD$2:BD657,1),"")</f>
        <v/>
      </c>
    </row>
    <row r="658">
      <c r="A658" t="inlineStr">
        <is>
          <t>5674179183</t>
        </is>
      </c>
      <c r="B658" t="inlineStr">
        <is>
          <t>ALPHA 3 MASONRY &amp; REMODEL</t>
        </is>
      </c>
      <c r="C658" t="inlineStr">
        <is>
          <t>ALPHA 3 MASONRY &amp; REMODEL LLC</t>
        </is>
      </c>
      <c r="D658" t="inlineStr">
        <is>
          <t>Closed</t>
        </is>
      </c>
      <c r="E658" s="297" t="n">
        <v>46079</v>
      </c>
      <c r="F658" s="297" t="n">
        <v>46157</v>
      </c>
      <c r="G658" t="n">
        <v>2</v>
      </c>
      <c r="H658" t="inlineStr">
        <is>
          <t>1521</t>
        </is>
      </c>
      <c r="I658" t="inlineStr">
        <is>
          <t>15</t>
        </is>
      </c>
      <c r="J658" t="inlineStr">
        <is>
          <t>AZ</t>
        </is>
      </c>
      <c r="K658" t="inlineStr">
        <is>
          <t>FIMACAP INC</t>
        </is>
      </c>
      <c r="L658" t="inlineStr">
        <is>
          <t>Renewal</t>
        </is>
      </c>
      <c r="M658" s="298" t="n">
        <v>1.49</v>
      </c>
      <c r="N658" s="299" t="n">
        <v>25000</v>
      </c>
      <c r="O658" s="299" t="n">
        <v>3500</v>
      </c>
      <c r="P658" s="299" t="n">
        <v>37250</v>
      </c>
      <c r="Q658" s="299" t="n">
        <v>37250</v>
      </c>
      <c r="R658" s="299" t="n">
        <v>0</v>
      </c>
      <c r="S658" s="300" t="n">
        <v>1</v>
      </c>
      <c r="T658" t="n">
        <v>24</v>
      </c>
      <c r="U658" t="n">
        <v>1</v>
      </c>
      <c r="V658" t="n">
        <v>123628.7</v>
      </c>
      <c r="W658" s="300" t="n">
        <v>0.0502</v>
      </c>
      <c r="X658" s="297" t="n">
        <v>44562</v>
      </c>
      <c r="Y658">
        <f>IF(I658="","No SIC",IFERROR(VLOOKUP(I658,Ref!$A$2:$B$65,2,FALSE),"Unclassified"))</f>
        <v/>
      </c>
      <c r="Z658">
        <f>IF(T658="","",IF(T658&lt;12,"Daily","Weekly"))</f>
        <v/>
      </c>
      <c r="AA658">
        <f>IF(T658="",0,IF(T658&lt;12,T658*Controls!$B$29,T658*5))</f>
        <v/>
      </c>
      <c r="AB658">
        <f>IF(E658="",0,NETWORKDAYS(E658,Controls!$B$36,Ref!$K$2:$K$42))</f>
        <v/>
      </c>
      <c r="AC658">
        <f>IF(AND(AA658&gt;0,AB658&gt;=Controls!$B$39*AA658),1,0)</f>
        <v/>
      </c>
      <c r="AD658">
        <f>IF(AND(E658&lt;&gt;"",E658&gt;=Controls!$B$37,E658&lt;=Controls!$B$38),1,0)</f>
        <v/>
      </c>
      <c r="AE658">
        <f>IF(IFERROR(VLOOKUP(D658,Controls!$A$64:$E$74,2,FALSE),"No")="Yes",1,0)</f>
        <v/>
      </c>
      <c r="AF658">
        <f>IF(IFERROR(VLOOKUP(D658,Controls!$A$64:$E$74,3,FALSE),"No")="Yes",1,0)</f>
        <v/>
      </c>
      <c r="AG658">
        <f>IF(IFERROR(VLOOKUP(D658,Controls!$A$64:$E$74,4,FALSE),"No")="Yes",1,0)</f>
        <v/>
      </c>
      <c r="AH658">
        <f>IF(IFERROR(VLOOKUP(D658,Controls!$A$64:$E$74,5,FALSE),"No")="Yes",1,0)</f>
        <v/>
      </c>
      <c r="AI658">
        <f>IF(ISNUMBER(MATCH(D658,Controls!$A$64:$A$74,0)),1,0)</f>
        <v/>
      </c>
      <c r="AJ658">
        <f>Q658-N658</f>
        <v/>
      </c>
      <c r="AK658">
        <f>IF(AE658=1,MAX(0,N658-Q658),0)</f>
        <v/>
      </c>
      <c r="AL658">
        <f>IF(OR(V658="",V658=0),0,N658/V658)</f>
        <v/>
      </c>
      <c r="AM658">
        <f>IF(OR(V658="",V658=0),0,1)</f>
        <v/>
      </c>
      <c r="AN658">
        <f>IF(OR(E658="",F658=""),0,NETWORKDAYS(E658,F658,Ref!$K$2:$K$42))</f>
        <v/>
      </c>
      <c r="AO658">
        <f>IF(L658="Renewal",1,0)</f>
        <v/>
      </c>
      <c r="AP658">
        <f>AC658*AD658</f>
        <v/>
      </c>
      <c r="AQ658">
        <f>IF(AND(G658&lt;&gt;"",'Historical Score'!$C$6&lt;&gt;""),IF(G658='Historical Score'!$C$6,1,0),0)</f>
        <v/>
      </c>
      <c r="AR658">
        <f>IF(AND(L658&lt;&gt;"",'Historical Score'!$C$5&lt;&gt;""),IF(L658='Historical Score'!$C$5,1,0),0)</f>
        <v/>
      </c>
      <c r="AS658">
        <f>IF(AND(Y658&lt;&gt;"",'Historical Score'!$C$7&lt;&gt;""),IF(Y658='Historical Score'!$C$7,1,0),0)</f>
        <v/>
      </c>
      <c r="AT658">
        <f>IF(AND(K658&lt;&gt;"",'Historical Score'!$C$8&lt;&gt;""),IF(K658='Historical Score'!$C$8,1,0),0)</f>
        <v/>
      </c>
      <c r="AU658">
        <f>IF(AND(J658&lt;&gt;"",'Historical Score'!$C$9&lt;&gt;""),IF(J658='Historical Score'!$C$9,1,0),0)</f>
        <v/>
      </c>
      <c r="AV658">
        <f>AR658*AS658*AQ658</f>
        <v/>
      </c>
      <c r="AW658">
        <f>AR658*AT658*AQ658</f>
        <v/>
      </c>
      <c r="AX658">
        <f>AR658*AS658</f>
        <v/>
      </c>
      <c r="AY658">
        <f>AR658*AT658</f>
        <v/>
      </c>
      <c r="AZ658">
        <f>AR658*AQ658</f>
        <v/>
      </c>
      <c r="BA658">
        <f>AR658</f>
        <v/>
      </c>
      <c r="BB658">
        <f>1</f>
        <v/>
      </c>
      <c r="BC658">
        <f>IF(AV658=1,1,IF(AW658=1,2,IF(AX658=1,3,IF(AY658=1,4,IF(AZ658=1,5,IF(BA658=1,6,7))))))</f>
        <v/>
      </c>
      <c r="BD658">
        <f>IF(AD658=1,CHOOSE('Historical Score'!$C$29,AV658,AW658,AX658,AY658,AZ658,BA658,BB658),0)</f>
        <v/>
      </c>
      <c r="BE658">
        <f>IF(BD658=1,COUNTIF($BD$2:BD658,1),"")</f>
        <v/>
      </c>
    </row>
    <row r="659">
      <c r="A659" t="inlineStr">
        <is>
          <t>5674179187</t>
        </is>
      </c>
      <c r="B659" t="inlineStr">
        <is>
          <t>SC GROUP LLC</t>
        </is>
      </c>
      <c r="C659" t="inlineStr">
        <is>
          <t>SC GROUP LLC</t>
        </is>
      </c>
      <c r="D659" t="inlineStr">
        <is>
          <t>Closed</t>
        </is>
      </c>
      <c r="E659" s="297" t="n">
        <v>46079</v>
      </c>
      <c r="F659" s="297" t="n">
        <v>46161</v>
      </c>
      <c r="G659" t="n">
        <v>2</v>
      </c>
      <c r="H659" t="inlineStr">
        <is>
          <t>7629</t>
        </is>
      </c>
      <c r="I659" t="inlineStr">
        <is>
          <t>76</t>
        </is>
      </c>
      <c r="J659" t="inlineStr">
        <is>
          <t>NJ</t>
        </is>
      </c>
      <c r="K659" t="inlineStr">
        <is>
          <t>level 3 funding</t>
        </is>
      </c>
      <c r="L659" t="inlineStr">
        <is>
          <t>Renewal</t>
        </is>
      </c>
      <c r="M659" s="298" t="n">
        <v>1.47</v>
      </c>
      <c r="N659" s="299" t="n">
        <v>12000</v>
      </c>
      <c r="O659" s="299" t="n">
        <v>1560</v>
      </c>
      <c r="P659" s="299" t="n">
        <v>17640</v>
      </c>
      <c r="Q659" s="299" t="n">
        <v>17640</v>
      </c>
      <c r="R659" s="299" t="n">
        <v>0</v>
      </c>
      <c r="S659" s="300" t="n">
        <v>1</v>
      </c>
      <c r="T659" t="n">
        <v>2.951</v>
      </c>
      <c r="U659" t="n">
        <v>0</v>
      </c>
      <c r="V659" t="n">
        <v>38306.63</v>
      </c>
      <c r="W659" s="300" t="n">
        <v>0.1074</v>
      </c>
      <c r="X659" s="297" t="n">
        <v>43374</v>
      </c>
      <c r="Y659">
        <f>IF(I659="","No SIC",IFERROR(VLOOKUP(I659,Ref!$A$2:$B$65,2,FALSE),"Unclassified"))</f>
        <v/>
      </c>
      <c r="Z659">
        <f>IF(T659="","",IF(T659&lt;12,"Daily","Weekly"))</f>
        <v/>
      </c>
      <c r="AA659">
        <f>IF(T659="",0,IF(T659&lt;12,T659*Controls!$B$29,T659*5))</f>
        <v/>
      </c>
      <c r="AB659">
        <f>IF(E659="",0,NETWORKDAYS(E659,Controls!$B$36,Ref!$K$2:$K$42))</f>
        <v/>
      </c>
      <c r="AC659">
        <f>IF(AND(AA659&gt;0,AB659&gt;=Controls!$B$39*AA659),1,0)</f>
        <v/>
      </c>
      <c r="AD659">
        <f>IF(AND(E659&lt;&gt;"",E659&gt;=Controls!$B$37,E659&lt;=Controls!$B$38),1,0)</f>
        <v/>
      </c>
      <c r="AE659">
        <f>IF(IFERROR(VLOOKUP(D659,Controls!$A$64:$E$74,2,FALSE),"No")="Yes",1,0)</f>
        <v/>
      </c>
      <c r="AF659">
        <f>IF(IFERROR(VLOOKUP(D659,Controls!$A$64:$E$74,3,FALSE),"No")="Yes",1,0)</f>
        <v/>
      </c>
      <c r="AG659">
        <f>IF(IFERROR(VLOOKUP(D659,Controls!$A$64:$E$74,4,FALSE),"No")="Yes",1,0)</f>
        <v/>
      </c>
      <c r="AH659">
        <f>IF(IFERROR(VLOOKUP(D659,Controls!$A$64:$E$74,5,FALSE),"No")="Yes",1,0)</f>
        <v/>
      </c>
      <c r="AI659">
        <f>IF(ISNUMBER(MATCH(D659,Controls!$A$64:$A$74,0)),1,0)</f>
        <v/>
      </c>
      <c r="AJ659">
        <f>Q659-N659</f>
        <v/>
      </c>
      <c r="AK659">
        <f>IF(AE659=1,MAX(0,N659-Q659),0)</f>
        <v/>
      </c>
      <c r="AL659">
        <f>IF(OR(V659="",V659=0),0,N659/V659)</f>
        <v/>
      </c>
      <c r="AM659">
        <f>IF(OR(V659="",V659=0),0,1)</f>
        <v/>
      </c>
      <c r="AN659">
        <f>IF(OR(E659="",F659=""),0,NETWORKDAYS(E659,F659,Ref!$K$2:$K$42))</f>
        <v/>
      </c>
      <c r="AO659">
        <f>IF(L659="Renewal",1,0)</f>
        <v/>
      </c>
      <c r="AP659">
        <f>AC659*AD659</f>
        <v/>
      </c>
      <c r="AQ659">
        <f>IF(AND(G659&lt;&gt;"",'Historical Score'!$C$6&lt;&gt;""),IF(G659='Historical Score'!$C$6,1,0),0)</f>
        <v/>
      </c>
      <c r="AR659">
        <f>IF(AND(L659&lt;&gt;"",'Historical Score'!$C$5&lt;&gt;""),IF(L659='Historical Score'!$C$5,1,0),0)</f>
        <v/>
      </c>
      <c r="AS659">
        <f>IF(AND(Y659&lt;&gt;"",'Historical Score'!$C$7&lt;&gt;""),IF(Y659='Historical Score'!$C$7,1,0),0)</f>
        <v/>
      </c>
      <c r="AT659">
        <f>IF(AND(K659&lt;&gt;"",'Historical Score'!$C$8&lt;&gt;""),IF(K659='Historical Score'!$C$8,1,0),0)</f>
        <v/>
      </c>
      <c r="AU659">
        <f>IF(AND(J659&lt;&gt;"",'Historical Score'!$C$9&lt;&gt;""),IF(J659='Historical Score'!$C$9,1,0),0)</f>
        <v/>
      </c>
      <c r="AV659">
        <f>AR659*AS659*AQ659</f>
        <v/>
      </c>
      <c r="AW659">
        <f>AR659*AT659*AQ659</f>
        <v/>
      </c>
      <c r="AX659">
        <f>AR659*AS659</f>
        <v/>
      </c>
      <c r="AY659">
        <f>AR659*AT659</f>
        <v/>
      </c>
      <c r="AZ659">
        <f>AR659*AQ659</f>
        <v/>
      </c>
      <c r="BA659">
        <f>AR659</f>
        <v/>
      </c>
      <c r="BB659">
        <f>1</f>
        <v/>
      </c>
      <c r="BC659">
        <f>IF(AV659=1,1,IF(AW659=1,2,IF(AX659=1,3,IF(AY659=1,4,IF(AZ659=1,5,IF(BA659=1,6,7))))))</f>
        <v/>
      </c>
      <c r="BD659">
        <f>IF(AD659=1,CHOOSE('Historical Score'!$C$29,AV659,AW659,AX659,AY659,AZ659,BA659,BB659),0)</f>
        <v/>
      </c>
      <c r="BE659">
        <f>IF(BD659=1,COUNTIF($BD$2:BD659,1),"")</f>
        <v/>
      </c>
    </row>
    <row r="660">
      <c r="A660" t="inlineStr">
        <is>
          <t>5674179218</t>
        </is>
      </c>
      <c r="B660" t="inlineStr">
        <is>
          <t>Rodeo 29 Bar &amp; Grill</t>
        </is>
      </c>
      <c r="C660" t="inlineStr">
        <is>
          <t>Rodeo 29 Bar &amp; Grill</t>
        </is>
      </c>
      <c r="D660" t="inlineStr">
        <is>
          <t>Closed</t>
        </is>
      </c>
      <c r="E660" s="297" t="n">
        <v>46079</v>
      </c>
      <c r="F660" s="297" t="n">
        <v>46224</v>
      </c>
      <c r="G660" t="n">
        <v>3</v>
      </c>
      <c r="H660" t="inlineStr">
        <is>
          <t>5812</t>
        </is>
      </c>
      <c r="I660" t="inlineStr">
        <is>
          <t>58</t>
        </is>
      </c>
      <c r="J660" t="inlineStr">
        <is>
          <t>IL</t>
        </is>
      </c>
      <c r="K660" t="inlineStr">
        <is>
          <t>Ballicci</t>
        </is>
      </c>
      <c r="L660" t="inlineStr">
        <is>
          <t>Renewal</t>
        </is>
      </c>
      <c r="M660" s="298" t="n">
        <v>1.49</v>
      </c>
      <c r="N660" s="299" t="n">
        <v>40000</v>
      </c>
      <c r="O660" s="299" t="n">
        <v>5600</v>
      </c>
      <c r="P660" s="299" t="n">
        <v>59600</v>
      </c>
      <c r="Q660" s="299" t="n">
        <v>59600</v>
      </c>
      <c r="R660" s="299" t="n">
        <v>0</v>
      </c>
      <c r="S660" s="300" t="n">
        <v>1</v>
      </c>
      <c r="T660" t="n">
        <v>4.59</v>
      </c>
      <c r="U660" t="n">
        <v>4</v>
      </c>
      <c r="V660" t="n">
        <v>51003.83</v>
      </c>
      <c r="W660" s="300" t="n">
        <v>0.1753</v>
      </c>
      <c r="X660" s="297" t="n">
        <v>45344</v>
      </c>
      <c r="Y660">
        <f>IF(I660="","No SIC",IFERROR(VLOOKUP(I660,Ref!$A$2:$B$65,2,FALSE),"Unclassified"))</f>
        <v/>
      </c>
      <c r="Z660">
        <f>IF(T660="","",IF(T660&lt;12,"Daily","Weekly"))</f>
        <v/>
      </c>
      <c r="AA660">
        <f>IF(T660="",0,IF(T660&lt;12,T660*Controls!$B$29,T660*5))</f>
        <v/>
      </c>
      <c r="AB660">
        <f>IF(E660="",0,NETWORKDAYS(E660,Controls!$B$36,Ref!$K$2:$K$42))</f>
        <v/>
      </c>
      <c r="AC660">
        <f>IF(AND(AA660&gt;0,AB660&gt;=Controls!$B$39*AA660),1,0)</f>
        <v/>
      </c>
      <c r="AD660">
        <f>IF(AND(E660&lt;&gt;"",E660&gt;=Controls!$B$37,E660&lt;=Controls!$B$38),1,0)</f>
        <v/>
      </c>
      <c r="AE660">
        <f>IF(IFERROR(VLOOKUP(D660,Controls!$A$64:$E$74,2,FALSE),"No")="Yes",1,0)</f>
        <v/>
      </c>
      <c r="AF660">
        <f>IF(IFERROR(VLOOKUP(D660,Controls!$A$64:$E$74,3,FALSE),"No")="Yes",1,0)</f>
        <v/>
      </c>
      <c r="AG660">
        <f>IF(IFERROR(VLOOKUP(D660,Controls!$A$64:$E$74,4,FALSE),"No")="Yes",1,0)</f>
        <v/>
      </c>
      <c r="AH660">
        <f>IF(IFERROR(VLOOKUP(D660,Controls!$A$64:$E$74,5,FALSE),"No")="Yes",1,0)</f>
        <v/>
      </c>
      <c r="AI660">
        <f>IF(ISNUMBER(MATCH(D660,Controls!$A$64:$A$74,0)),1,0)</f>
        <v/>
      </c>
      <c r="AJ660">
        <f>Q660-N660</f>
        <v/>
      </c>
      <c r="AK660">
        <f>IF(AE660=1,MAX(0,N660-Q660),0)</f>
        <v/>
      </c>
      <c r="AL660">
        <f>IF(OR(V660="",V660=0),0,N660/V660)</f>
        <v/>
      </c>
      <c r="AM660">
        <f>IF(OR(V660="",V660=0),0,1)</f>
        <v/>
      </c>
      <c r="AN660">
        <f>IF(OR(E660="",F660=""),0,NETWORKDAYS(E660,F660,Ref!$K$2:$K$42))</f>
        <v/>
      </c>
      <c r="AO660">
        <f>IF(L660="Renewal",1,0)</f>
        <v/>
      </c>
      <c r="AP660">
        <f>AC660*AD660</f>
        <v/>
      </c>
      <c r="AQ660">
        <f>IF(AND(G660&lt;&gt;"",'Historical Score'!$C$6&lt;&gt;""),IF(G660='Historical Score'!$C$6,1,0),0)</f>
        <v/>
      </c>
      <c r="AR660">
        <f>IF(AND(L660&lt;&gt;"",'Historical Score'!$C$5&lt;&gt;""),IF(L660='Historical Score'!$C$5,1,0),0)</f>
        <v/>
      </c>
      <c r="AS660">
        <f>IF(AND(Y660&lt;&gt;"",'Historical Score'!$C$7&lt;&gt;""),IF(Y660='Historical Score'!$C$7,1,0),0)</f>
        <v/>
      </c>
      <c r="AT660">
        <f>IF(AND(K660&lt;&gt;"",'Historical Score'!$C$8&lt;&gt;""),IF(K660='Historical Score'!$C$8,1,0),0)</f>
        <v/>
      </c>
      <c r="AU660">
        <f>IF(AND(J660&lt;&gt;"",'Historical Score'!$C$9&lt;&gt;""),IF(J660='Historical Score'!$C$9,1,0),0)</f>
        <v/>
      </c>
      <c r="AV660">
        <f>AR660*AS660*AQ660</f>
        <v/>
      </c>
      <c r="AW660">
        <f>AR660*AT660*AQ660</f>
        <v/>
      </c>
      <c r="AX660">
        <f>AR660*AS660</f>
        <v/>
      </c>
      <c r="AY660">
        <f>AR660*AT660</f>
        <v/>
      </c>
      <c r="AZ660">
        <f>AR660*AQ660</f>
        <v/>
      </c>
      <c r="BA660">
        <f>AR660</f>
        <v/>
      </c>
      <c r="BB660">
        <f>1</f>
        <v/>
      </c>
      <c r="BC660">
        <f>IF(AV660=1,1,IF(AW660=1,2,IF(AX660=1,3,IF(AY660=1,4,IF(AZ660=1,5,IF(BA660=1,6,7))))))</f>
        <v/>
      </c>
      <c r="BD660">
        <f>IF(AD660=1,CHOOSE('Historical Score'!$C$29,AV660,AW660,AX660,AY660,AZ660,BA660,BB660),0)</f>
        <v/>
      </c>
      <c r="BE660">
        <f>IF(BD660=1,COUNTIF($BD$2:BD660,1),"")</f>
        <v/>
      </c>
    </row>
    <row r="661">
      <c r="A661" t="inlineStr">
        <is>
          <t>5674179253</t>
        </is>
      </c>
      <c r="B661" t="inlineStr">
        <is>
          <t>WESTBROOK AUTOMOTIVE</t>
        </is>
      </c>
      <c r="C661" t="inlineStr">
        <is>
          <t>WESTBROOK AUTOMOTIVE, INC.</t>
        </is>
      </c>
      <c r="D661" t="inlineStr">
        <is>
          <t>Closed</t>
        </is>
      </c>
      <c r="E661" s="297" t="n">
        <v>46080</v>
      </c>
      <c r="F661" s="297" t="n">
        <v>46142</v>
      </c>
      <c r="G661" t="n">
        <v>3</v>
      </c>
      <c r="H661" t="inlineStr">
        <is>
          <t>5599</t>
        </is>
      </c>
      <c r="I661" t="inlineStr">
        <is>
          <t>55</t>
        </is>
      </c>
      <c r="J661" t="inlineStr">
        <is>
          <t>TN</t>
        </is>
      </c>
      <c r="K661" t="inlineStr">
        <is>
          <t>United Secured Capital 8</t>
        </is>
      </c>
      <c r="L661" t="inlineStr">
        <is>
          <t>New Deal</t>
        </is>
      </c>
      <c r="M661" s="298" t="n">
        <v>1.49</v>
      </c>
      <c r="N661" s="299" t="n">
        <v>10000</v>
      </c>
      <c r="O661" s="299" t="n">
        <v>1400</v>
      </c>
      <c r="P661" s="299" t="n">
        <v>14900</v>
      </c>
      <c r="Q661" s="299" t="n">
        <v>14900</v>
      </c>
      <c r="R661" s="299" t="n">
        <v>0</v>
      </c>
      <c r="S661" s="300" t="n">
        <v>1</v>
      </c>
      <c r="T661" t="n">
        <v>14</v>
      </c>
      <c r="U661" t="n">
        <v>0</v>
      </c>
      <c r="V661" t="n">
        <v>67518.91</v>
      </c>
      <c r="W661" s="300" t="n">
        <v>0.331</v>
      </c>
      <c r="X661" s="297" t="n">
        <v>45247</v>
      </c>
      <c r="Y661">
        <f>IF(I661="","No SIC",IFERROR(VLOOKUP(I661,Ref!$A$2:$B$65,2,FALSE),"Unclassified"))</f>
        <v/>
      </c>
      <c r="Z661">
        <f>IF(T661="","",IF(T661&lt;12,"Daily","Weekly"))</f>
        <v/>
      </c>
      <c r="AA661">
        <f>IF(T661="",0,IF(T661&lt;12,T661*Controls!$B$29,T661*5))</f>
        <v/>
      </c>
      <c r="AB661">
        <f>IF(E661="",0,NETWORKDAYS(E661,Controls!$B$36,Ref!$K$2:$K$42))</f>
        <v/>
      </c>
      <c r="AC661">
        <f>IF(AND(AA661&gt;0,AB661&gt;=Controls!$B$39*AA661),1,0)</f>
        <v/>
      </c>
      <c r="AD661">
        <f>IF(AND(E661&lt;&gt;"",E661&gt;=Controls!$B$37,E661&lt;=Controls!$B$38),1,0)</f>
        <v/>
      </c>
      <c r="AE661">
        <f>IF(IFERROR(VLOOKUP(D661,Controls!$A$64:$E$74,2,FALSE),"No")="Yes",1,0)</f>
        <v/>
      </c>
      <c r="AF661">
        <f>IF(IFERROR(VLOOKUP(D661,Controls!$A$64:$E$74,3,FALSE),"No")="Yes",1,0)</f>
        <v/>
      </c>
      <c r="AG661">
        <f>IF(IFERROR(VLOOKUP(D661,Controls!$A$64:$E$74,4,FALSE),"No")="Yes",1,0)</f>
        <v/>
      </c>
      <c r="AH661">
        <f>IF(IFERROR(VLOOKUP(D661,Controls!$A$64:$E$74,5,FALSE),"No")="Yes",1,0)</f>
        <v/>
      </c>
      <c r="AI661">
        <f>IF(ISNUMBER(MATCH(D661,Controls!$A$64:$A$74,0)),1,0)</f>
        <v/>
      </c>
      <c r="AJ661">
        <f>Q661-N661</f>
        <v/>
      </c>
      <c r="AK661">
        <f>IF(AE661=1,MAX(0,N661-Q661),0)</f>
        <v/>
      </c>
      <c r="AL661">
        <f>IF(OR(V661="",V661=0),0,N661/V661)</f>
        <v/>
      </c>
      <c r="AM661">
        <f>IF(OR(V661="",V661=0),0,1)</f>
        <v/>
      </c>
      <c r="AN661">
        <f>IF(OR(E661="",F661=""),0,NETWORKDAYS(E661,F661,Ref!$K$2:$K$42))</f>
        <v/>
      </c>
      <c r="AO661">
        <f>IF(L661="Renewal",1,0)</f>
        <v/>
      </c>
      <c r="AP661">
        <f>AC661*AD661</f>
        <v/>
      </c>
      <c r="AQ661">
        <f>IF(AND(G661&lt;&gt;"",'Historical Score'!$C$6&lt;&gt;""),IF(G661='Historical Score'!$C$6,1,0),0)</f>
        <v/>
      </c>
      <c r="AR661">
        <f>IF(AND(L661&lt;&gt;"",'Historical Score'!$C$5&lt;&gt;""),IF(L661='Historical Score'!$C$5,1,0),0)</f>
        <v/>
      </c>
      <c r="AS661">
        <f>IF(AND(Y661&lt;&gt;"",'Historical Score'!$C$7&lt;&gt;""),IF(Y661='Historical Score'!$C$7,1,0),0)</f>
        <v/>
      </c>
      <c r="AT661">
        <f>IF(AND(K661&lt;&gt;"",'Historical Score'!$C$8&lt;&gt;""),IF(K661='Historical Score'!$C$8,1,0),0)</f>
        <v/>
      </c>
      <c r="AU661">
        <f>IF(AND(J661&lt;&gt;"",'Historical Score'!$C$9&lt;&gt;""),IF(J661='Historical Score'!$C$9,1,0),0)</f>
        <v/>
      </c>
      <c r="AV661">
        <f>AR661*AS661*AQ661</f>
        <v/>
      </c>
      <c r="AW661">
        <f>AR661*AT661*AQ661</f>
        <v/>
      </c>
      <c r="AX661">
        <f>AR661*AS661</f>
        <v/>
      </c>
      <c r="AY661">
        <f>AR661*AT661</f>
        <v/>
      </c>
      <c r="AZ661">
        <f>AR661*AQ661</f>
        <v/>
      </c>
      <c r="BA661">
        <f>AR661</f>
        <v/>
      </c>
      <c r="BB661">
        <f>1</f>
        <v/>
      </c>
      <c r="BC661">
        <f>IF(AV661=1,1,IF(AW661=1,2,IF(AX661=1,3,IF(AY661=1,4,IF(AZ661=1,5,IF(BA661=1,6,7))))))</f>
        <v/>
      </c>
      <c r="BD661">
        <f>IF(AD661=1,CHOOSE('Historical Score'!$C$29,AV661,AW661,AX661,AY661,AZ661,BA661,BB661),0)</f>
        <v/>
      </c>
      <c r="BE661">
        <f>IF(BD661=1,COUNTIF($BD$2:BD661,1),"")</f>
        <v/>
      </c>
    </row>
    <row r="662">
      <c r="A662" t="inlineStr">
        <is>
          <t>5674179297</t>
        </is>
      </c>
      <c r="B662" t="inlineStr">
        <is>
          <t>Smile with care Dental of Colorado</t>
        </is>
      </c>
      <c r="C662" t="inlineStr">
        <is>
          <t>Smile with Care dental of Colorado</t>
        </is>
      </c>
      <c r="D662" t="inlineStr">
        <is>
          <t>In House Collection</t>
        </is>
      </c>
      <c r="E662" s="297" t="n">
        <v>46080</v>
      </c>
      <c r="F662" s="297" t="n">
        <v>46203</v>
      </c>
      <c r="G662" t="n">
        <v>2</v>
      </c>
      <c r="H662" t="inlineStr">
        <is>
          <t>8021</t>
        </is>
      </c>
      <c r="I662" t="inlineStr">
        <is>
          <t>80</t>
        </is>
      </c>
      <c r="J662" t="inlineStr">
        <is>
          <t>CO</t>
        </is>
      </c>
      <c r="K662" t="inlineStr">
        <is>
          <t>Ballicci</t>
        </is>
      </c>
      <c r="L662" t="inlineStr">
        <is>
          <t>New Deal</t>
        </is>
      </c>
      <c r="M662" s="298" t="n">
        <v>1.49</v>
      </c>
      <c r="N662" s="299" t="n">
        <v>20000</v>
      </c>
      <c r="O662" s="299" t="n">
        <v>2800</v>
      </c>
      <c r="P662" s="299" t="n">
        <v>29800</v>
      </c>
      <c r="Q662" s="299" t="n">
        <v>12213.4</v>
      </c>
      <c r="R662" s="299" t="n">
        <v>17586.6</v>
      </c>
      <c r="S662" s="300" t="n">
        <v>0.409845637583893</v>
      </c>
      <c r="T662" t="n">
        <v>3.279</v>
      </c>
      <c r="U662" t="n">
        <v>38</v>
      </c>
      <c r="V662" t="n">
        <v>22205.75</v>
      </c>
      <c r="W662" s="300" t="n">
        <v>0.2818</v>
      </c>
      <c r="X662" s="297" t="n">
        <v>44211</v>
      </c>
      <c r="Y662">
        <f>IF(I662="","No SIC",IFERROR(VLOOKUP(I662,Ref!$A$2:$B$65,2,FALSE),"Unclassified"))</f>
        <v/>
      </c>
      <c r="Z662">
        <f>IF(T662="","",IF(T662&lt;12,"Daily","Weekly"))</f>
        <v/>
      </c>
      <c r="AA662">
        <f>IF(T662="",0,IF(T662&lt;12,T662*Controls!$B$29,T662*5))</f>
        <v/>
      </c>
      <c r="AB662">
        <f>IF(E662="",0,NETWORKDAYS(E662,Controls!$B$36,Ref!$K$2:$K$42))</f>
        <v/>
      </c>
      <c r="AC662">
        <f>IF(AND(AA662&gt;0,AB662&gt;=Controls!$B$39*AA662),1,0)</f>
        <v/>
      </c>
      <c r="AD662">
        <f>IF(AND(E662&lt;&gt;"",E662&gt;=Controls!$B$37,E662&lt;=Controls!$B$38),1,0)</f>
        <v/>
      </c>
      <c r="AE662">
        <f>IF(IFERROR(VLOOKUP(D662,Controls!$A$64:$E$74,2,FALSE),"No")="Yes",1,0)</f>
        <v/>
      </c>
      <c r="AF662">
        <f>IF(IFERROR(VLOOKUP(D662,Controls!$A$64:$E$74,3,FALSE),"No")="Yes",1,0)</f>
        <v/>
      </c>
      <c r="AG662">
        <f>IF(IFERROR(VLOOKUP(D662,Controls!$A$64:$E$74,4,FALSE),"No")="Yes",1,0)</f>
        <v/>
      </c>
      <c r="AH662">
        <f>IF(IFERROR(VLOOKUP(D662,Controls!$A$64:$E$74,5,FALSE),"No")="Yes",1,0)</f>
        <v/>
      </c>
      <c r="AI662">
        <f>IF(ISNUMBER(MATCH(D662,Controls!$A$64:$A$74,0)),1,0)</f>
        <v/>
      </c>
      <c r="AJ662">
        <f>Q662-N662</f>
        <v/>
      </c>
      <c r="AK662">
        <f>IF(AE662=1,MAX(0,N662-Q662),0)</f>
        <v/>
      </c>
      <c r="AL662">
        <f>IF(OR(V662="",V662=0),0,N662/V662)</f>
        <v/>
      </c>
      <c r="AM662">
        <f>IF(OR(V662="",V662=0),0,1)</f>
        <v/>
      </c>
      <c r="AN662">
        <f>IF(OR(E662="",F662=""),0,NETWORKDAYS(E662,F662,Ref!$K$2:$K$42))</f>
        <v/>
      </c>
      <c r="AO662">
        <f>IF(L662="Renewal",1,0)</f>
        <v/>
      </c>
      <c r="AP662">
        <f>AC662*AD662</f>
        <v/>
      </c>
      <c r="AQ662">
        <f>IF(AND(G662&lt;&gt;"",'Historical Score'!$C$6&lt;&gt;""),IF(G662='Historical Score'!$C$6,1,0),0)</f>
        <v/>
      </c>
      <c r="AR662">
        <f>IF(AND(L662&lt;&gt;"",'Historical Score'!$C$5&lt;&gt;""),IF(L662='Historical Score'!$C$5,1,0),0)</f>
        <v/>
      </c>
      <c r="AS662">
        <f>IF(AND(Y662&lt;&gt;"",'Historical Score'!$C$7&lt;&gt;""),IF(Y662='Historical Score'!$C$7,1,0),0)</f>
        <v/>
      </c>
      <c r="AT662">
        <f>IF(AND(K662&lt;&gt;"",'Historical Score'!$C$8&lt;&gt;""),IF(K662='Historical Score'!$C$8,1,0),0)</f>
        <v/>
      </c>
      <c r="AU662">
        <f>IF(AND(J662&lt;&gt;"",'Historical Score'!$C$9&lt;&gt;""),IF(J662='Historical Score'!$C$9,1,0),0)</f>
        <v/>
      </c>
      <c r="AV662">
        <f>AR662*AS662*AQ662</f>
        <v/>
      </c>
      <c r="AW662">
        <f>AR662*AT662*AQ662</f>
        <v/>
      </c>
      <c r="AX662">
        <f>AR662*AS662</f>
        <v/>
      </c>
      <c r="AY662">
        <f>AR662*AT662</f>
        <v/>
      </c>
      <c r="AZ662">
        <f>AR662*AQ662</f>
        <v/>
      </c>
      <c r="BA662">
        <f>AR662</f>
        <v/>
      </c>
      <c r="BB662">
        <f>1</f>
        <v/>
      </c>
      <c r="BC662">
        <f>IF(AV662=1,1,IF(AW662=1,2,IF(AX662=1,3,IF(AY662=1,4,IF(AZ662=1,5,IF(BA662=1,6,7))))))</f>
        <v/>
      </c>
      <c r="BD662">
        <f>IF(AD662=1,CHOOSE('Historical Score'!$C$29,AV662,AW662,AX662,AY662,AZ662,BA662,BB662),0)</f>
        <v/>
      </c>
      <c r="BE662">
        <f>IF(BD662=1,COUNTIF($BD$2:BD662,1),"")</f>
        <v/>
      </c>
    </row>
    <row r="663">
      <c r="A663" t="inlineStr">
        <is>
          <t>5674179304</t>
        </is>
      </c>
      <c r="B663" t="inlineStr">
        <is>
          <t>Lewisville Holding, LLC</t>
        </is>
      </c>
      <c r="C663" t="inlineStr">
        <is>
          <t>Lewisville Holding, LLC</t>
        </is>
      </c>
      <c r="D663" t="inlineStr">
        <is>
          <t>Open</t>
        </is>
      </c>
      <c r="E663" s="297" t="n">
        <v>46080</v>
      </c>
      <c r="F663" s="297" t="n">
        <v>46253</v>
      </c>
      <c r="G663" t="n">
        <v>2</v>
      </c>
      <c r="H663" t="inlineStr">
        <is>
          <t>7359</t>
        </is>
      </c>
      <c r="I663" t="inlineStr">
        <is>
          <t>73</t>
        </is>
      </c>
      <c r="J663" t="inlineStr">
        <is>
          <t>AR</t>
        </is>
      </c>
      <c r="K663" t="inlineStr">
        <is>
          <t>Vanguard Equities</t>
        </is>
      </c>
      <c r="L663" t="inlineStr">
        <is>
          <t>New Deal</t>
        </is>
      </c>
      <c r="M663" s="298" t="n">
        <v>1.49</v>
      </c>
      <c r="N663" s="299" t="n">
        <v>25000</v>
      </c>
      <c r="O663" s="299" t="n">
        <v>3500</v>
      </c>
      <c r="P663" s="299" t="n">
        <v>37250</v>
      </c>
      <c r="Q663" s="299" t="n">
        <v>19557.96</v>
      </c>
      <c r="R663" s="299" t="n">
        <v>17692.04</v>
      </c>
      <c r="S663" s="300" t="n">
        <v>0.525045906040269</v>
      </c>
      <c r="T663" t="n">
        <v>24</v>
      </c>
      <c r="U663" t="n">
        <v>13</v>
      </c>
      <c r="V663" t="n">
        <v>68365.47</v>
      </c>
      <c r="W663" s="300" t="n">
        <v>0.4768</v>
      </c>
      <c r="X663" s="297" t="n">
        <v>43132</v>
      </c>
      <c r="Y663">
        <f>IF(I663="","No SIC",IFERROR(VLOOKUP(I663,Ref!$A$2:$B$65,2,FALSE),"Unclassified"))</f>
        <v/>
      </c>
      <c r="Z663">
        <f>IF(T663="","",IF(T663&lt;12,"Daily","Weekly"))</f>
        <v/>
      </c>
      <c r="AA663">
        <f>IF(T663="",0,IF(T663&lt;12,T663*Controls!$B$29,T663*5))</f>
        <v/>
      </c>
      <c r="AB663">
        <f>IF(E663="",0,NETWORKDAYS(E663,Controls!$B$36,Ref!$K$2:$K$42))</f>
        <v/>
      </c>
      <c r="AC663">
        <f>IF(AND(AA663&gt;0,AB663&gt;=Controls!$B$39*AA663),1,0)</f>
        <v/>
      </c>
      <c r="AD663">
        <f>IF(AND(E663&lt;&gt;"",E663&gt;=Controls!$B$37,E663&lt;=Controls!$B$38),1,0)</f>
        <v/>
      </c>
      <c r="AE663">
        <f>IF(IFERROR(VLOOKUP(D663,Controls!$A$64:$E$74,2,FALSE),"No")="Yes",1,0)</f>
        <v/>
      </c>
      <c r="AF663">
        <f>IF(IFERROR(VLOOKUP(D663,Controls!$A$64:$E$74,3,FALSE),"No")="Yes",1,0)</f>
        <v/>
      </c>
      <c r="AG663">
        <f>IF(IFERROR(VLOOKUP(D663,Controls!$A$64:$E$74,4,FALSE),"No")="Yes",1,0)</f>
        <v/>
      </c>
      <c r="AH663">
        <f>IF(IFERROR(VLOOKUP(D663,Controls!$A$64:$E$74,5,FALSE),"No")="Yes",1,0)</f>
        <v/>
      </c>
      <c r="AI663">
        <f>IF(ISNUMBER(MATCH(D663,Controls!$A$64:$A$74,0)),1,0)</f>
        <v/>
      </c>
      <c r="AJ663">
        <f>Q663-N663</f>
        <v/>
      </c>
      <c r="AK663">
        <f>IF(AE663=1,MAX(0,N663-Q663),0)</f>
        <v/>
      </c>
      <c r="AL663">
        <f>IF(OR(V663="",V663=0),0,N663/V663)</f>
        <v/>
      </c>
      <c r="AM663">
        <f>IF(OR(V663="",V663=0),0,1)</f>
        <v/>
      </c>
      <c r="AN663">
        <f>IF(OR(E663="",F663=""),0,NETWORKDAYS(E663,F663,Ref!$K$2:$K$42))</f>
        <v/>
      </c>
      <c r="AO663">
        <f>IF(L663="Renewal",1,0)</f>
        <v/>
      </c>
      <c r="AP663">
        <f>AC663*AD663</f>
        <v/>
      </c>
      <c r="AQ663">
        <f>IF(AND(G663&lt;&gt;"",'Historical Score'!$C$6&lt;&gt;""),IF(G663='Historical Score'!$C$6,1,0),0)</f>
        <v/>
      </c>
      <c r="AR663">
        <f>IF(AND(L663&lt;&gt;"",'Historical Score'!$C$5&lt;&gt;""),IF(L663='Historical Score'!$C$5,1,0),0)</f>
        <v/>
      </c>
      <c r="AS663">
        <f>IF(AND(Y663&lt;&gt;"",'Historical Score'!$C$7&lt;&gt;""),IF(Y663='Historical Score'!$C$7,1,0),0)</f>
        <v/>
      </c>
      <c r="AT663">
        <f>IF(AND(K663&lt;&gt;"",'Historical Score'!$C$8&lt;&gt;""),IF(K663='Historical Score'!$C$8,1,0),0)</f>
        <v/>
      </c>
      <c r="AU663">
        <f>IF(AND(J663&lt;&gt;"",'Historical Score'!$C$9&lt;&gt;""),IF(J663='Historical Score'!$C$9,1,0),0)</f>
        <v/>
      </c>
      <c r="AV663">
        <f>AR663*AS663*AQ663</f>
        <v/>
      </c>
      <c r="AW663">
        <f>AR663*AT663*AQ663</f>
        <v/>
      </c>
      <c r="AX663">
        <f>AR663*AS663</f>
        <v/>
      </c>
      <c r="AY663">
        <f>AR663*AT663</f>
        <v/>
      </c>
      <c r="AZ663">
        <f>AR663*AQ663</f>
        <v/>
      </c>
      <c r="BA663">
        <f>AR663</f>
        <v/>
      </c>
      <c r="BB663">
        <f>1</f>
        <v/>
      </c>
      <c r="BC663">
        <f>IF(AV663=1,1,IF(AW663=1,2,IF(AX663=1,3,IF(AY663=1,4,IF(AZ663=1,5,IF(BA663=1,6,7))))))</f>
        <v/>
      </c>
      <c r="BD663">
        <f>IF(AD663=1,CHOOSE('Historical Score'!$C$29,AV663,AW663,AX663,AY663,AZ663,BA663,BB663),0)</f>
        <v/>
      </c>
      <c r="BE663">
        <f>IF(BD663=1,COUNTIF($BD$2:BD663,1),"")</f>
        <v/>
      </c>
    </row>
    <row r="664">
      <c r="A664" t="inlineStr">
        <is>
          <t>5674179307</t>
        </is>
      </c>
      <c r="B664" t="inlineStr">
        <is>
          <t>TAN LOC DBA THINH AN KITCHEN &amp; TOFU</t>
        </is>
      </c>
      <c r="C664" t="inlineStr">
        <is>
          <t>TAN LOC LLC</t>
        </is>
      </c>
      <c r="D664" t="inlineStr">
        <is>
          <t>Legal</t>
        </is>
      </c>
      <c r="E664" s="297" t="n">
        <v>46080</v>
      </c>
      <c r="F664" s="297" t="n">
        <v>46147</v>
      </c>
      <c r="G664" t="n">
        <v>1</v>
      </c>
      <c r="H664" t="inlineStr">
        <is>
          <t>5812</t>
        </is>
      </c>
      <c r="I664" t="inlineStr">
        <is>
          <t>58</t>
        </is>
      </c>
      <c r="J664" t="inlineStr">
        <is>
          <t>FL</t>
        </is>
      </c>
      <c r="K664" t="inlineStr">
        <is>
          <t>DIRECT CAPITAL SOURCE, INC.</t>
        </is>
      </c>
      <c r="L664" t="inlineStr">
        <is>
          <t>New Deal</t>
        </is>
      </c>
      <c r="M664" s="298" t="n">
        <v>1.49</v>
      </c>
      <c r="N664" s="299" t="n">
        <v>120000</v>
      </c>
      <c r="O664" s="299" t="n">
        <v>16800</v>
      </c>
      <c r="P664" s="299" t="n">
        <v>178800</v>
      </c>
      <c r="Q664" s="299" t="n">
        <v>62547.24</v>
      </c>
      <c r="R664" s="299" t="n">
        <v>116252.76</v>
      </c>
      <c r="S664" s="300" t="n">
        <v>0.34981677852349</v>
      </c>
      <c r="T664" t="n">
        <v>3.934</v>
      </c>
      <c r="U664" t="n">
        <v>7</v>
      </c>
      <c r="V664" t="n">
        <v>355147.84</v>
      </c>
      <c r="W664" s="300" t="n">
        <v>0.08119999999999999</v>
      </c>
      <c r="X664" s="297" t="n">
        <v>44473</v>
      </c>
      <c r="Y664">
        <f>IF(I664="","No SIC",IFERROR(VLOOKUP(I664,Ref!$A$2:$B$65,2,FALSE),"Unclassified"))</f>
        <v/>
      </c>
      <c r="Z664">
        <f>IF(T664="","",IF(T664&lt;12,"Daily","Weekly"))</f>
        <v/>
      </c>
      <c r="AA664">
        <f>IF(T664="",0,IF(T664&lt;12,T664*Controls!$B$29,T664*5))</f>
        <v/>
      </c>
      <c r="AB664">
        <f>IF(E664="",0,NETWORKDAYS(E664,Controls!$B$36,Ref!$K$2:$K$42))</f>
        <v/>
      </c>
      <c r="AC664">
        <f>IF(AND(AA664&gt;0,AB664&gt;=Controls!$B$39*AA664),1,0)</f>
        <v/>
      </c>
      <c r="AD664">
        <f>IF(AND(E664&lt;&gt;"",E664&gt;=Controls!$B$37,E664&lt;=Controls!$B$38),1,0)</f>
        <v/>
      </c>
      <c r="AE664">
        <f>IF(IFERROR(VLOOKUP(D664,Controls!$A$64:$E$74,2,FALSE),"No")="Yes",1,0)</f>
        <v/>
      </c>
      <c r="AF664">
        <f>IF(IFERROR(VLOOKUP(D664,Controls!$A$64:$E$74,3,FALSE),"No")="Yes",1,0)</f>
        <v/>
      </c>
      <c r="AG664">
        <f>IF(IFERROR(VLOOKUP(D664,Controls!$A$64:$E$74,4,FALSE),"No")="Yes",1,0)</f>
        <v/>
      </c>
      <c r="AH664">
        <f>IF(IFERROR(VLOOKUP(D664,Controls!$A$64:$E$74,5,FALSE),"No")="Yes",1,0)</f>
        <v/>
      </c>
      <c r="AI664">
        <f>IF(ISNUMBER(MATCH(D664,Controls!$A$64:$A$74,0)),1,0)</f>
        <v/>
      </c>
      <c r="AJ664">
        <f>Q664-N664</f>
        <v/>
      </c>
      <c r="AK664">
        <f>IF(AE664=1,MAX(0,N664-Q664),0)</f>
        <v/>
      </c>
      <c r="AL664">
        <f>IF(OR(V664="",V664=0),0,N664/V664)</f>
        <v/>
      </c>
      <c r="AM664">
        <f>IF(OR(V664="",V664=0),0,1)</f>
        <v/>
      </c>
      <c r="AN664">
        <f>IF(OR(E664="",F664=""),0,NETWORKDAYS(E664,F664,Ref!$K$2:$K$42))</f>
        <v/>
      </c>
      <c r="AO664">
        <f>IF(L664="Renewal",1,0)</f>
        <v/>
      </c>
      <c r="AP664">
        <f>AC664*AD664</f>
        <v/>
      </c>
      <c r="AQ664">
        <f>IF(AND(G664&lt;&gt;"",'Historical Score'!$C$6&lt;&gt;""),IF(G664='Historical Score'!$C$6,1,0),0)</f>
        <v/>
      </c>
      <c r="AR664">
        <f>IF(AND(L664&lt;&gt;"",'Historical Score'!$C$5&lt;&gt;""),IF(L664='Historical Score'!$C$5,1,0),0)</f>
        <v/>
      </c>
      <c r="AS664">
        <f>IF(AND(Y664&lt;&gt;"",'Historical Score'!$C$7&lt;&gt;""),IF(Y664='Historical Score'!$C$7,1,0),0)</f>
        <v/>
      </c>
      <c r="AT664">
        <f>IF(AND(K664&lt;&gt;"",'Historical Score'!$C$8&lt;&gt;""),IF(K664='Historical Score'!$C$8,1,0),0)</f>
        <v/>
      </c>
      <c r="AU664">
        <f>IF(AND(J664&lt;&gt;"",'Historical Score'!$C$9&lt;&gt;""),IF(J664='Historical Score'!$C$9,1,0),0)</f>
        <v/>
      </c>
      <c r="AV664">
        <f>AR664*AS664*AQ664</f>
        <v/>
      </c>
      <c r="AW664">
        <f>AR664*AT664*AQ664</f>
        <v/>
      </c>
      <c r="AX664">
        <f>AR664*AS664</f>
        <v/>
      </c>
      <c r="AY664">
        <f>AR664*AT664</f>
        <v/>
      </c>
      <c r="AZ664">
        <f>AR664*AQ664</f>
        <v/>
      </c>
      <c r="BA664">
        <f>AR664</f>
        <v/>
      </c>
      <c r="BB664">
        <f>1</f>
        <v/>
      </c>
      <c r="BC664">
        <f>IF(AV664=1,1,IF(AW664=1,2,IF(AX664=1,3,IF(AY664=1,4,IF(AZ664=1,5,IF(BA664=1,6,7))))))</f>
        <v/>
      </c>
      <c r="BD664">
        <f>IF(AD664=1,CHOOSE('Historical Score'!$C$29,AV664,AW664,AX664,AY664,AZ664,BA664,BB664),0)</f>
        <v/>
      </c>
      <c r="BE664">
        <f>IF(BD664=1,COUNTIF($BD$2:BD664,1),"")</f>
        <v/>
      </c>
    </row>
    <row r="665">
      <c r="A665" t="inlineStr">
        <is>
          <t>5674179309</t>
        </is>
      </c>
      <c r="B665" t="inlineStr">
        <is>
          <t>A.A. Law Movers inc</t>
        </is>
      </c>
      <c r="C665" t="inlineStr">
        <is>
          <t>A.A. Law Movers inc</t>
        </is>
      </c>
      <c r="D665" t="inlineStr">
        <is>
          <t>In House Collection</t>
        </is>
      </c>
      <c r="E665" s="297" t="n">
        <v>46080</v>
      </c>
      <c r="F665" s="297" t="n">
        <v>46248</v>
      </c>
      <c r="G665" t="n">
        <v>2</v>
      </c>
      <c r="H665" t="inlineStr">
        <is>
          <t>4212</t>
        </is>
      </c>
      <c r="I665" t="inlineStr">
        <is>
          <t>42</t>
        </is>
      </c>
      <c r="J665" t="inlineStr">
        <is>
          <t>NJ</t>
        </is>
      </c>
      <c r="K665" t="inlineStr">
        <is>
          <t>Ballicci</t>
        </is>
      </c>
      <c r="L665" t="inlineStr">
        <is>
          <t>New Deal</t>
        </is>
      </c>
      <c r="M665" s="298" t="n">
        <v>1.49</v>
      </c>
      <c r="N665" s="299" t="n">
        <v>30000</v>
      </c>
      <c r="O665" s="299" t="n">
        <v>4200</v>
      </c>
      <c r="P665" s="299" t="n">
        <v>44700</v>
      </c>
      <c r="Q665" s="299" t="n">
        <v>5585.64</v>
      </c>
      <c r="R665" s="299" t="n">
        <v>39114.36</v>
      </c>
      <c r="S665" s="300" t="n">
        <v>0.124958389261745</v>
      </c>
      <c r="T665" t="n">
        <v>24</v>
      </c>
      <c r="U665" t="n">
        <v>21</v>
      </c>
      <c r="V665" t="n">
        <v>46379.6</v>
      </c>
      <c r="W665" s="300" t="n">
        <v>0.0993</v>
      </c>
      <c r="X665" s="297" t="n">
        <v>39817</v>
      </c>
      <c r="Y665">
        <f>IF(I665="","No SIC",IFERROR(VLOOKUP(I665,Ref!$A$2:$B$65,2,FALSE),"Unclassified"))</f>
        <v/>
      </c>
      <c r="Z665">
        <f>IF(T665="","",IF(T665&lt;12,"Daily","Weekly"))</f>
        <v/>
      </c>
      <c r="AA665">
        <f>IF(T665="",0,IF(T665&lt;12,T665*Controls!$B$29,T665*5))</f>
        <v/>
      </c>
      <c r="AB665">
        <f>IF(E665="",0,NETWORKDAYS(E665,Controls!$B$36,Ref!$K$2:$K$42))</f>
        <v/>
      </c>
      <c r="AC665">
        <f>IF(AND(AA665&gt;0,AB665&gt;=Controls!$B$39*AA665),1,0)</f>
        <v/>
      </c>
      <c r="AD665">
        <f>IF(AND(E665&lt;&gt;"",E665&gt;=Controls!$B$37,E665&lt;=Controls!$B$38),1,0)</f>
        <v/>
      </c>
      <c r="AE665">
        <f>IF(IFERROR(VLOOKUP(D665,Controls!$A$64:$E$74,2,FALSE),"No")="Yes",1,0)</f>
        <v/>
      </c>
      <c r="AF665">
        <f>IF(IFERROR(VLOOKUP(D665,Controls!$A$64:$E$74,3,FALSE),"No")="Yes",1,0)</f>
        <v/>
      </c>
      <c r="AG665">
        <f>IF(IFERROR(VLOOKUP(D665,Controls!$A$64:$E$74,4,FALSE),"No")="Yes",1,0)</f>
        <v/>
      </c>
      <c r="AH665">
        <f>IF(IFERROR(VLOOKUP(D665,Controls!$A$64:$E$74,5,FALSE),"No")="Yes",1,0)</f>
        <v/>
      </c>
      <c r="AI665">
        <f>IF(ISNUMBER(MATCH(D665,Controls!$A$64:$A$74,0)),1,0)</f>
        <v/>
      </c>
      <c r="AJ665">
        <f>Q665-N665</f>
        <v/>
      </c>
      <c r="AK665">
        <f>IF(AE665=1,MAX(0,N665-Q665),0)</f>
        <v/>
      </c>
      <c r="AL665">
        <f>IF(OR(V665="",V665=0),0,N665/V665)</f>
        <v/>
      </c>
      <c r="AM665">
        <f>IF(OR(V665="",V665=0),0,1)</f>
        <v/>
      </c>
      <c r="AN665">
        <f>IF(OR(E665="",F665=""),0,NETWORKDAYS(E665,F665,Ref!$K$2:$K$42))</f>
        <v/>
      </c>
      <c r="AO665">
        <f>IF(L665="Renewal",1,0)</f>
        <v/>
      </c>
      <c r="AP665">
        <f>AC665*AD665</f>
        <v/>
      </c>
      <c r="AQ665">
        <f>IF(AND(G665&lt;&gt;"",'Historical Score'!$C$6&lt;&gt;""),IF(G665='Historical Score'!$C$6,1,0),0)</f>
        <v/>
      </c>
      <c r="AR665">
        <f>IF(AND(L665&lt;&gt;"",'Historical Score'!$C$5&lt;&gt;""),IF(L665='Historical Score'!$C$5,1,0),0)</f>
        <v/>
      </c>
      <c r="AS665">
        <f>IF(AND(Y665&lt;&gt;"",'Historical Score'!$C$7&lt;&gt;""),IF(Y665='Historical Score'!$C$7,1,0),0)</f>
        <v/>
      </c>
      <c r="AT665">
        <f>IF(AND(K665&lt;&gt;"",'Historical Score'!$C$8&lt;&gt;""),IF(K665='Historical Score'!$C$8,1,0),0)</f>
        <v/>
      </c>
      <c r="AU665">
        <f>IF(AND(J665&lt;&gt;"",'Historical Score'!$C$9&lt;&gt;""),IF(J665='Historical Score'!$C$9,1,0),0)</f>
        <v/>
      </c>
      <c r="AV665">
        <f>AR665*AS665*AQ665</f>
        <v/>
      </c>
      <c r="AW665">
        <f>AR665*AT665*AQ665</f>
        <v/>
      </c>
      <c r="AX665">
        <f>AR665*AS665</f>
        <v/>
      </c>
      <c r="AY665">
        <f>AR665*AT665</f>
        <v/>
      </c>
      <c r="AZ665">
        <f>AR665*AQ665</f>
        <v/>
      </c>
      <c r="BA665">
        <f>AR665</f>
        <v/>
      </c>
      <c r="BB665">
        <f>1</f>
        <v/>
      </c>
      <c r="BC665">
        <f>IF(AV665=1,1,IF(AW665=1,2,IF(AX665=1,3,IF(AY665=1,4,IF(AZ665=1,5,IF(BA665=1,6,7))))))</f>
        <v/>
      </c>
      <c r="BD665">
        <f>IF(AD665=1,CHOOSE('Historical Score'!$C$29,AV665,AW665,AX665,AY665,AZ665,BA665,BB665),0)</f>
        <v/>
      </c>
      <c r="BE665">
        <f>IF(BD665=1,COUNTIF($BD$2:BD665,1),"")</f>
        <v/>
      </c>
    </row>
    <row r="666">
      <c r="A666" t="inlineStr">
        <is>
          <t>5674179322</t>
        </is>
      </c>
      <c r="B666" t="inlineStr">
        <is>
          <t>SBC Xicato Corporation</t>
        </is>
      </c>
      <c r="C666" t="inlineStr">
        <is>
          <t>SBC Xicato Corporation</t>
        </is>
      </c>
      <c r="D666" t="inlineStr">
        <is>
          <t>Closed</t>
        </is>
      </c>
      <c r="E666" s="297" t="n">
        <v>46080</v>
      </c>
      <c r="F666" s="297" t="n">
        <v>46199</v>
      </c>
      <c r="G666" t="n">
        <v>3</v>
      </c>
      <c r="H666" t="inlineStr">
        <is>
          <t>3648</t>
        </is>
      </c>
      <c r="I666" t="inlineStr">
        <is>
          <t>36</t>
        </is>
      </c>
      <c r="J666" t="inlineStr">
        <is>
          <t>CA</t>
        </is>
      </c>
      <c r="K666" t="inlineStr">
        <is>
          <t>Upwise capital</t>
        </is>
      </c>
      <c r="L666" t="inlineStr">
        <is>
          <t>New Deal</t>
        </is>
      </c>
      <c r="M666" s="298" t="n">
        <v>1.39</v>
      </c>
      <c r="N666" s="299" t="n">
        <v>25000</v>
      </c>
      <c r="O666" s="299" t="n">
        <v>2250</v>
      </c>
      <c r="P666" s="299" t="n">
        <v>34750</v>
      </c>
      <c r="Q666" s="299" t="n">
        <v>34750</v>
      </c>
      <c r="R666" s="299" t="n">
        <v>0</v>
      </c>
      <c r="S666" s="300" t="n">
        <v>1</v>
      </c>
      <c r="T666" t="n">
        <v>35</v>
      </c>
      <c r="U666" t="n">
        <v>0</v>
      </c>
      <c r="V666" t="n">
        <v>151277.94</v>
      </c>
      <c r="W666" s="300" t="n">
        <v>0.0263</v>
      </c>
      <c r="X666" s="297" t="n">
        <v>44733</v>
      </c>
      <c r="Y666">
        <f>IF(I666="","No SIC",IFERROR(VLOOKUP(I666,Ref!$A$2:$B$65,2,FALSE),"Unclassified"))</f>
        <v/>
      </c>
      <c r="Z666">
        <f>IF(T666="","",IF(T666&lt;12,"Daily","Weekly"))</f>
        <v/>
      </c>
      <c r="AA666">
        <f>IF(T666="",0,IF(T666&lt;12,T666*Controls!$B$29,T666*5))</f>
        <v/>
      </c>
      <c r="AB666">
        <f>IF(E666="",0,NETWORKDAYS(E666,Controls!$B$36,Ref!$K$2:$K$42))</f>
        <v/>
      </c>
      <c r="AC666">
        <f>IF(AND(AA666&gt;0,AB666&gt;=Controls!$B$39*AA666),1,0)</f>
        <v/>
      </c>
      <c r="AD666">
        <f>IF(AND(E666&lt;&gt;"",E666&gt;=Controls!$B$37,E666&lt;=Controls!$B$38),1,0)</f>
        <v/>
      </c>
      <c r="AE666">
        <f>IF(IFERROR(VLOOKUP(D666,Controls!$A$64:$E$74,2,FALSE),"No")="Yes",1,0)</f>
        <v/>
      </c>
      <c r="AF666">
        <f>IF(IFERROR(VLOOKUP(D666,Controls!$A$64:$E$74,3,FALSE),"No")="Yes",1,0)</f>
        <v/>
      </c>
      <c r="AG666">
        <f>IF(IFERROR(VLOOKUP(D666,Controls!$A$64:$E$74,4,FALSE),"No")="Yes",1,0)</f>
        <v/>
      </c>
      <c r="AH666">
        <f>IF(IFERROR(VLOOKUP(D666,Controls!$A$64:$E$74,5,FALSE),"No")="Yes",1,0)</f>
        <v/>
      </c>
      <c r="AI666">
        <f>IF(ISNUMBER(MATCH(D666,Controls!$A$64:$A$74,0)),1,0)</f>
        <v/>
      </c>
      <c r="AJ666">
        <f>Q666-N666</f>
        <v/>
      </c>
      <c r="AK666">
        <f>IF(AE666=1,MAX(0,N666-Q666),0)</f>
        <v/>
      </c>
      <c r="AL666">
        <f>IF(OR(V666="",V666=0),0,N666/V666)</f>
        <v/>
      </c>
      <c r="AM666">
        <f>IF(OR(V666="",V666=0),0,1)</f>
        <v/>
      </c>
      <c r="AN666">
        <f>IF(OR(E666="",F666=""),0,NETWORKDAYS(E666,F666,Ref!$K$2:$K$42))</f>
        <v/>
      </c>
      <c r="AO666">
        <f>IF(L666="Renewal",1,0)</f>
        <v/>
      </c>
      <c r="AP666">
        <f>AC666*AD666</f>
        <v/>
      </c>
      <c r="AQ666">
        <f>IF(AND(G666&lt;&gt;"",'Historical Score'!$C$6&lt;&gt;""),IF(G666='Historical Score'!$C$6,1,0),0)</f>
        <v/>
      </c>
      <c r="AR666">
        <f>IF(AND(L666&lt;&gt;"",'Historical Score'!$C$5&lt;&gt;""),IF(L666='Historical Score'!$C$5,1,0),0)</f>
        <v/>
      </c>
      <c r="AS666">
        <f>IF(AND(Y666&lt;&gt;"",'Historical Score'!$C$7&lt;&gt;""),IF(Y666='Historical Score'!$C$7,1,0),0)</f>
        <v/>
      </c>
      <c r="AT666">
        <f>IF(AND(K666&lt;&gt;"",'Historical Score'!$C$8&lt;&gt;""),IF(K666='Historical Score'!$C$8,1,0),0)</f>
        <v/>
      </c>
      <c r="AU666">
        <f>IF(AND(J666&lt;&gt;"",'Historical Score'!$C$9&lt;&gt;""),IF(J666='Historical Score'!$C$9,1,0),0)</f>
        <v/>
      </c>
      <c r="AV666">
        <f>AR666*AS666*AQ666</f>
        <v/>
      </c>
      <c r="AW666">
        <f>AR666*AT666*AQ666</f>
        <v/>
      </c>
      <c r="AX666">
        <f>AR666*AS666</f>
        <v/>
      </c>
      <c r="AY666">
        <f>AR666*AT666</f>
        <v/>
      </c>
      <c r="AZ666">
        <f>AR666*AQ666</f>
        <v/>
      </c>
      <c r="BA666">
        <f>AR666</f>
        <v/>
      </c>
      <c r="BB666">
        <f>1</f>
        <v/>
      </c>
      <c r="BC666">
        <f>IF(AV666=1,1,IF(AW666=1,2,IF(AX666=1,3,IF(AY666=1,4,IF(AZ666=1,5,IF(BA666=1,6,7))))))</f>
        <v/>
      </c>
      <c r="BD666">
        <f>IF(AD666=1,CHOOSE('Historical Score'!$C$29,AV666,AW666,AX666,AY666,AZ666,BA666,BB666),0)</f>
        <v/>
      </c>
      <c r="BE666">
        <f>IF(BD666=1,COUNTIF($BD$2:BD666,1),"")</f>
        <v/>
      </c>
    </row>
    <row r="667">
      <c r="A667" t="inlineStr">
        <is>
          <t>5674179346</t>
        </is>
      </c>
      <c r="B667" t="inlineStr">
        <is>
          <t>MANNY HALLEY PRODUCTIONS, IMANI MEDIA GROUP</t>
        </is>
      </c>
      <c r="C667" t="inlineStr">
        <is>
          <t>A MANNY HALLEY PRODUCTIONS LLC</t>
        </is>
      </c>
      <c r="D667" t="inlineStr">
        <is>
          <t>Open</t>
        </is>
      </c>
      <c r="E667" s="297" t="n">
        <v>46083</v>
      </c>
      <c r="F667" s="297" t="n">
        <v>46192</v>
      </c>
      <c r="G667" t="n">
        <v>1</v>
      </c>
      <c r="H667" t="inlineStr">
        <is>
          <t>7819</t>
        </is>
      </c>
      <c r="I667" t="inlineStr">
        <is>
          <t>78</t>
        </is>
      </c>
      <c r="J667" t="inlineStr">
        <is>
          <t>CA</t>
        </is>
      </c>
      <c r="K667" t="inlineStr">
        <is>
          <t>National Business Capital</t>
        </is>
      </c>
      <c r="L667" t="inlineStr">
        <is>
          <t>New Deal</t>
        </is>
      </c>
      <c r="M667" s="298" t="n">
        <v>1.49</v>
      </c>
      <c r="N667" s="299" t="n">
        <v>100000</v>
      </c>
      <c r="O667" s="299" t="n">
        <v>14000</v>
      </c>
      <c r="P667" s="299" t="n">
        <v>149000</v>
      </c>
      <c r="Q667" s="299" t="n">
        <v>74555.25999999999</v>
      </c>
      <c r="R667" s="299" t="n">
        <v>74444.74000000001</v>
      </c>
      <c r="S667" s="300" t="n">
        <v>0.500370872483221</v>
      </c>
      <c r="T667" t="n">
        <v>26</v>
      </c>
      <c r="U667" t="n">
        <v>3</v>
      </c>
      <c r="V667" t="n">
        <v>2294006.51</v>
      </c>
      <c r="W667" s="300" t="n">
        <v>0.01</v>
      </c>
      <c r="X667" s="297" t="n">
        <v>36586</v>
      </c>
      <c r="Y667">
        <f>IF(I667="","No SIC",IFERROR(VLOOKUP(I667,Ref!$A$2:$B$65,2,FALSE),"Unclassified"))</f>
        <v/>
      </c>
      <c r="Z667">
        <f>IF(T667="","",IF(T667&lt;12,"Daily","Weekly"))</f>
        <v/>
      </c>
      <c r="AA667">
        <f>IF(T667="",0,IF(T667&lt;12,T667*Controls!$B$29,T667*5))</f>
        <v/>
      </c>
      <c r="AB667">
        <f>IF(E667="",0,NETWORKDAYS(E667,Controls!$B$36,Ref!$K$2:$K$42))</f>
        <v/>
      </c>
      <c r="AC667">
        <f>IF(AND(AA667&gt;0,AB667&gt;=Controls!$B$39*AA667),1,0)</f>
        <v/>
      </c>
      <c r="AD667">
        <f>IF(AND(E667&lt;&gt;"",E667&gt;=Controls!$B$37,E667&lt;=Controls!$B$38),1,0)</f>
        <v/>
      </c>
      <c r="AE667">
        <f>IF(IFERROR(VLOOKUP(D667,Controls!$A$64:$E$74,2,FALSE),"No")="Yes",1,0)</f>
        <v/>
      </c>
      <c r="AF667">
        <f>IF(IFERROR(VLOOKUP(D667,Controls!$A$64:$E$74,3,FALSE),"No")="Yes",1,0)</f>
        <v/>
      </c>
      <c r="AG667">
        <f>IF(IFERROR(VLOOKUP(D667,Controls!$A$64:$E$74,4,FALSE),"No")="Yes",1,0)</f>
        <v/>
      </c>
      <c r="AH667">
        <f>IF(IFERROR(VLOOKUP(D667,Controls!$A$64:$E$74,5,FALSE),"No")="Yes",1,0)</f>
        <v/>
      </c>
      <c r="AI667">
        <f>IF(ISNUMBER(MATCH(D667,Controls!$A$64:$A$74,0)),1,0)</f>
        <v/>
      </c>
      <c r="AJ667">
        <f>Q667-N667</f>
        <v/>
      </c>
      <c r="AK667">
        <f>IF(AE667=1,MAX(0,N667-Q667),0)</f>
        <v/>
      </c>
      <c r="AL667">
        <f>IF(OR(V667="",V667=0),0,N667/V667)</f>
        <v/>
      </c>
      <c r="AM667">
        <f>IF(OR(V667="",V667=0),0,1)</f>
        <v/>
      </c>
      <c r="AN667">
        <f>IF(OR(E667="",F667=""),0,NETWORKDAYS(E667,F667,Ref!$K$2:$K$42))</f>
        <v/>
      </c>
      <c r="AO667">
        <f>IF(L667="Renewal",1,0)</f>
        <v/>
      </c>
      <c r="AP667">
        <f>AC667*AD667</f>
        <v/>
      </c>
      <c r="AQ667">
        <f>IF(AND(G667&lt;&gt;"",'Historical Score'!$C$6&lt;&gt;""),IF(G667='Historical Score'!$C$6,1,0),0)</f>
        <v/>
      </c>
      <c r="AR667">
        <f>IF(AND(L667&lt;&gt;"",'Historical Score'!$C$5&lt;&gt;""),IF(L667='Historical Score'!$C$5,1,0),0)</f>
        <v/>
      </c>
      <c r="AS667">
        <f>IF(AND(Y667&lt;&gt;"",'Historical Score'!$C$7&lt;&gt;""),IF(Y667='Historical Score'!$C$7,1,0),0)</f>
        <v/>
      </c>
      <c r="AT667">
        <f>IF(AND(K667&lt;&gt;"",'Historical Score'!$C$8&lt;&gt;""),IF(K667='Historical Score'!$C$8,1,0),0)</f>
        <v/>
      </c>
      <c r="AU667">
        <f>IF(AND(J667&lt;&gt;"",'Historical Score'!$C$9&lt;&gt;""),IF(J667='Historical Score'!$C$9,1,0),0)</f>
        <v/>
      </c>
      <c r="AV667">
        <f>AR667*AS667*AQ667</f>
        <v/>
      </c>
      <c r="AW667">
        <f>AR667*AT667*AQ667</f>
        <v/>
      </c>
      <c r="AX667">
        <f>AR667*AS667</f>
        <v/>
      </c>
      <c r="AY667">
        <f>AR667*AT667</f>
        <v/>
      </c>
      <c r="AZ667">
        <f>AR667*AQ667</f>
        <v/>
      </c>
      <c r="BA667">
        <f>AR667</f>
        <v/>
      </c>
      <c r="BB667">
        <f>1</f>
        <v/>
      </c>
      <c r="BC667">
        <f>IF(AV667=1,1,IF(AW667=1,2,IF(AX667=1,3,IF(AY667=1,4,IF(AZ667=1,5,IF(BA667=1,6,7))))))</f>
        <v/>
      </c>
      <c r="BD667">
        <f>IF(AD667=1,CHOOSE('Historical Score'!$C$29,AV667,AW667,AX667,AY667,AZ667,BA667,BB667),0)</f>
        <v/>
      </c>
      <c r="BE667">
        <f>IF(BD667=1,COUNTIF($BD$2:BD667,1),"")</f>
        <v/>
      </c>
    </row>
    <row r="668">
      <c r="A668" t="inlineStr">
        <is>
          <t>5674179360</t>
        </is>
      </c>
      <c r="B668" t="inlineStr">
        <is>
          <t>VENTURE V</t>
        </is>
      </c>
      <c r="C668" t="inlineStr">
        <is>
          <t>VENTURE V</t>
        </is>
      </c>
      <c r="D668" t="inlineStr">
        <is>
          <t>Legal</t>
        </is>
      </c>
      <c r="E668" s="297" t="n">
        <v>46083</v>
      </c>
      <c r="F668" s="297" t="n">
        <v>46219</v>
      </c>
      <c r="G668" t="n">
        <v>3</v>
      </c>
      <c r="H668" t="inlineStr">
        <is>
          <t>5999</t>
        </is>
      </c>
      <c r="I668" t="inlineStr">
        <is>
          <t>59</t>
        </is>
      </c>
      <c r="J668" t="inlineStr">
        <is>
          <t>KY</t>
        </is>
      </c>
      <c r="K668" t="inlineStr">
        <is>
          <t>United Secured Capital 8</t>
        </is>
      </c>
      <c r="L668" t="inlineStr">
        <is>
          <t>Renewal</t>
        </is>
      </c>
      <c r="M668" s="298" t="n">
        <v>1.4</v>
      </c>
      <c r="N668" s="299" t="n">
        <v>30000</v>
      </c>
      <c r="O668" s="299" t="n">
        <v>2850</v>
      </c>
      <c r="P668" s="299" t="n">
        <v>42000</v>
      </c>
      <c r="Q668" s="299" t="n">
        <v>9690.360000000001</v>
      </c>
      <c r="R668" s="299" t="n">
        <v>32309.64</v>
      </c>
      <c r="S668" s="300" t="n">
        <v>0.230722857142857</v>
      </c>
      <c r="T668" t="n">
        <v>26</v>
      </c>
      <c r="U668" t="n">
        <v>16</v>
      </c>
      <c r="V668" t="n">
        <v>63273.55</v>
      </c>
      <c r="W668" s="300" t="n">
        <v>0.1021</v>
      </c>
      <c r="X668" s="297" t="n">
        <v>45686</v>
      </c>
      <c r="Y668">
        <f>IF(I668="","No SIC",IFERROR(VLOOKUP(I668,Ref!$A$2:$B$65,2,FALSE),"Unclassified"))</f>
        <v/>
      </c>
      <c r="Z668">
        <f>IF(T668="","",IF(T668&lt;12,"Daily","Weekly"))</f>
        <v/>
      </c>
      <c r="AA668">
        <f>IF(T668="",0,IF(T668&lt;12,T668*Controls!$B$29,T668*5))</f>
        <v/>
      </c>
      <c r="AB668">
        <f>IF(E668="",0,NETWORKDAYS(E668,Controls!$B$36,Ref!$K$2:$K$42))</f>
        <v/>
      </c>
      <c r="AC668">
        <f>IF(AND(AA668&gt;0,AB668&gt;=Controls!$B$39*AA668),1,0)</f>
        <v/>
      </c>
      <c r="AD668">
        <f>IF(AND(E668&lt;&gt;"",E668&gt;=Controls!$B$37,E668&lt;=Controls!$B$38),1,0)</f>
        <v/>
      </c>
      <c r="AE668">
        <f>IF(IFERROR(VLOOKUP(D668,Controls!$A$64:$E$74,2,FALSE),"No")="Yes",1,0)</f>
        <v/>
      </c>
      <c r="AF668">
        <f>IF(IFERROR(VLOOKUP(D668,Controls!$A$64:$E$74,3,FALSE),"No")="Yes",1,0)</f>
        <v/>
      </c>
      <c r="AG668">
        <f>IF(IFERROR(VLOOKUP(D668,Controls!$A$64:$E$74,4,FALSE),"No")="Yes",1,0)</f>
        <v/>
      </c>
      <c r="AH668">
        <f>IF(IFERROR(VLOOKUP(D668,Controls!$A$64:$E$74,5,FALSE),"No")="Yes",1,0)</f>
        <v/>
      </c>
      <c r="AI668">
        <f>IF(ISNUMBER(MATCH(D668,Controls!$A$64:$A$74,0)),1,0)</f>
        <v/>
      </c>
      <c r="AJ668">
        <f>Q668-N668</f>
        <v/>
      </c>
      <c r="AK668">
        <f>IF(AE668=1,MAX(0,N668-Q668),0)</f>
        <v/>
      </c>
      <c r="AL668">
        <f>IF(OR(V668="",V668=0),0,N668/V668)</f>
        <v/>
      </c>
      <c r="AM668">
        <f>IF(OR(V668="",V668=0),0,1)</f>
        <v/>
      </c>
      <c r="AN668">
        <f>IF(OR(E668="",F668=""),0,NETWORKDAYS(E668,F668,Ref!$K$2:$K$42))</f>
        <v/>
      </c>
      <c r="AO668">
        <f>IF(L668="Renewal",1,0)</f>
        <v/>
      </c>
      <c r="AP668">
        <f>AC668*AD668</f>
        <v/>
      </c>
      <c r="AQ668">
        <f>IF(AND(G668&lt;&gt;"",'Historical Score'!$C$6&lt;&gt;""),IF(G668='Historical Score'!$C$6,1,0),0)</f>
        <v/>
      </c>
      <c r="AR668">
        <f>IF(AND(L668&lt;&gt;"",'Historical Score'!$C$5&lt;&gt;""),IF(L668='Historical Score'!$C$5,1,0),0)</f>
        <v/>
      </c>
      <c r="AS668">
        <f>IF(AND(Y668&lt;&gt;"",'Historical Score'!$C$7&lt;&gt;""),IF(Y668='Historical Score'!$C$7,1,0),0)</f>
        <v/>
      </c>
      <c r="AT668">
        <f>IF(AND(K668&lt;&gt;"",'Historical Score'!$C$8&lt;&gt;""),IF(K668='Historical Score'!$C$8,1,0),0)</f>
        <v/>
      </c>
      <c r="AU668">
        <f>IF(AND(J668&lt;&gt;"",'Historical Score'!$C$9&lt;&gt;""),IF(J668='Historical Score'!$C$9,1,0),0)</f>
        <v/>
      </c>
      <c r="AV668">
        <f>AR668*AS668*AQ668</f>
        <v/>
      </c>
      <c r="AW668">
        <f>AR668*AT668*AQ668</f>
        <v/>
      </c>
      <c r="AX668">
        <f>AR668*AS668</f>
        <v/>
      </c>
      <c r="AY668">
        <f>AR668*AT668</f>
        <v/>
      </c>
      <c r="AZ668">
        <f>AR668*AQ668</f>
        <v/>
      </c>
      <c r="BA668">
        <f>AR668</f>
        <v/>
      </c>
      <c r="BB668">
        <f>1</f>
        <v/>
      </c>
      <c r="BC668">
        <f>IF(AV668=1,1,IF(AW668=1,2,IF(AX668=1,3,IF(AY668=1,4,IF(AZ668=1,5,IF(BA668=1,6,7))))))</f>
        <v/>
      </c>
      <c r="BD668">
        <f>IF(AD668=1,CHOOSE('Historical Score'!$C$29,AV668,AW668,AX668,AY668,AZ668,BA668,BB668),0)</f>
        <v/>
      </c>
      <c r="BE668">
        <f>IF(BD668=1,COUNTIF($BD$2:BD668,1),"")</f>
        <v/>
      </c>
    </row>
    <row r="669">
      <c r="A669" t="inlineStr">
        <is>
          <t>5674179363</t>
        </is>
      </c>
      <c r="B669" t="inlineStr">
        <is>
          <t>Mully's Pub &amp; Patio</t>
        </is>
      </c>
      <c r="C669" t="inlineStr">
        <is>
          <t>Mulherin Hospitality LLC</t>
        </is>
      </c>
      <c r="D669" t="inlineStr">
        <is>
          <t>Closed</t>
        </is>
      </c>
      <c r="E669" s="297" t="n">
        <v>46083</v>
      </c>
      <c r="F669" s="297" t="n">
        <v>46168</v>
      </c>
      <c r="G669" t="n">
        <v>3</v>
      </c>
      <c r="H669" t="inlineStr">
        <is>
          <t>5812</t>
        </is>
      </c>
      <c r="I669" t="inlineStr">
        <is>
          <t>58</t>
        </is>
      </c>
      <c r="J669" t="inlineStr">
        <is>
          <t>MO</t>
        </is>
      </c>
      <c r="K669" t="inlineStr">
        <is>
          <t>United Secured Capital 8</t>
        </is>
      </c>
      <c r="L669" t="inlineStr">
        <is>
          <t>New Deal</t>
        </is>
      </c>
      <c r="M669" s="298" t="n">
        <v>1.49</v>
      </c>
      <c r="N669" s="299" t="n">
        <v>15000</v>
      </c>
      <c r="O669" s="299" t="n">
        <v>2100</v>
      </c>
      <c r="P669" s="299" t="n">
        <v>22350</v>
      </c>
      <c r="Q669" s="299" t="n">
        <v>22350</v>
      </c>
      <c r="R669" s="299" t="n">
        <v>0</v>
      </c>
      <c r="S669" s="300" t="n">
        <v>1</v>
      </c>
      <c r="T669" t="n">
        <v>3.279</v>
      </c>
      <c r="U669" t="n">
        <v>13</v>
      </c>
      <c r="V669" t="n">
        <v>51525</v>
      </c>
      <c r="W669" s="300" t="n">
        <v>0.0911</v>
      </c>
      <c r="X669" s="297" t="n">
        <v>45597</v>
      </c>
      <c r="Y669">
        <f>IF(I669="","No SIC",IFERROR(VLOOKUP(I669,Ref!$A$2:$B$65,2,FALSE),"Unclassified"))</f>
        <v/>
      </c>
      <c r="Z669">
        <f>IF(T669="","",IF(T669&lt;12,"Daily","Weekly"))</f>
        <v/>
      </c>
      <c r="AA669">
        <f>IF(T669="",0,IF(T669&lt;12,T669*Controls!$B$29,T669*5))</f>
        <v/>
      </c>
      <c r="AB669">
        <f>IF(E669="",0,NETWORKDAYS(E669,Controls!$B$36,Ref!$K$2:$K$42))</f>
        <v/>
      </c>
      <c r="AC669">
        <f>IF(AND(AA669&gt;0,AB669&gt;=Controls!$B$39*AA669),1,0)</f>
        <v/>
      </c>
      <c r="AD669">
        <f>IF(AND(E669&lt;&gt;"",E669&gt;=Controls!$B$37,E669&lt;=Controls!$B$38),1,0)</f>
        <v/>
      </c>
      <c r="AE669">
        <f>IF(IFERROR(VLOOKUP(D669,Controls!$A$64:$E$74,2,FALSE),"No")="Yes",1,0)</f>
        <v/>
      </c>
      <c r="AF669">
        <f>IF(IFERROR(VLOOKUP(D669,Controls!$A$64:$E$74,3,FALSE),"No")="Yes",1,0)</f>
        <v/>
      </c>
      <c r="AG669">
        <f>IF(IFERROR(VLOOKUP(D669,Controls!$A$64:$E$74,4,FALSE),"No")="Yes",1,0)</f>
        <v/>
      </c>
      <c r="AH669">
        <f>IF(IFERROR(VLOOKUP(D669,Controls!$A$64:$E$74,5,FALSE),"No")="Yes",1,0)</f>
        <v/>
      </c>
      <c r="AI669">
        <f>IF(ISNUMBER(MATCH(D669,Controls!$A$64:$A$74,0)),1,0)</f>
        <v/>
      </c>
      <c r="AJ669">
        <f>Q669-N669</f>
        <v/>
      </c>
      <c r="AK669">
        <f>IF(AE669=1,MAX(0,N669-Q669),0)</f>
        <v/>
      </c>
      <c r="AL669">
        <f>IF(OR(V669="",V669=0),0,N669/V669)</f>
        <v/>
      </c>
      <c r="AM669">
        <f>IF(OR(V669="",V669=0),0,1)</f>
        <v/>
      </c>
      <c r="AN669">
        <f>IF(OR(E669="",F669=""),0,NETWORKDAYS(E669,F669,Ref!$K$2:$K$42))</f>
        <v/>
      </c>
      <c r="AO669">
        <f>IF(L669="Renewal",1,0)</f>
        <v/>
      </c>
      <c r="AP669">
        <f>AC669*AD669</f>
        <v/>
      </c>
      <c r="AQ669">
        <f>IF(AND(G669&lt;&gt;"",'Historical Score'!$C$6&lt;&gt;""),IF(G669='Historical Score'!$C$6,1,0),0)</f>
        <v/>
      </c>
      <c r="AR669">
        <f>IF(AND(L669&lt;&gt;"",'Historical Score'!$C$5&lt;&gt;""),IF(L669='Historical Score'!$C$5,1,0),0)</f>
        <v/>
      </c>
      <c r="AS669">
        <f>IF(AND(Y669&lt;&gt;"",'Historical Score'!$C$7&lt;&gt;""),IF(Y669='Historical Score'!$C$7,1,0),0)</f>
        <v/>
      </c>
      <c r="AT669">
        <f>IF(AND(K669&lt;&gt;"",'Historical Score'!$C$8&lt;&gt;""),IF(K669='Historical Score'!$C$8,1,0),0)</f>
        <v/>
      </c>
      <c r="AU669">
        <f>IF(AND(J669&lt;&gt;"",'Historical Score'!$C$9&lt;&gt;""),IF(J669='Historical Score'!$C$9,1,0),0)</f>
        <v/>
      </c>
      <c r="AV669">
        <f>AR669*AS669*AQ669</f>
        <v/>
      </c>
      <c r="AW669">
        <f>AR669*AT669*AQ669</f>
        <v/>
      </c>
      <c r="AX669">
        <f>AR669*AS669</f>
        <v/>
      </c>
      <c r="AY669">
        <f>AR669*AT669</f>
        <v/>
      </c>
      <c r="AZ669">
        <f>AR669*AQ669</f>
        <v/>
      </c>
      <c r="BA669">
        <f>AR669</f>
        <v/>
      </c>
      <c r="BB669">
        <f>1</f>
        <v/>
      </c>
      <c r="BC669">
        <f>IF(AV669=1,1,IF(AW669=1,2,IF(AX669=1,3,IF(AY669=1,4,IF(AZ669=1,5,IF(BA669=1,6,7))))))</f>
        <v/>
      </c>
      <c r="BD669">
        <f>IF(AD669=1,CHOOSE('Historical Score'!$C$29,AV669,AW669,AX669,AY669,AZ669,BA669,BB669),0)</f>
        <v/>
      </c>
      <c r="BE669">
        <f>IF(BD669=1,COUNTIF($BD$2:BD669,1),"")</f>
        <v/>
      </c>
    </row>
    <row r="670">
      <c r="A670" t="inlineStr">
        <is>
          <t>5674179380</t>
        </is>
      </c>
      <c r="B670" t="inlineStr">
        <is>
          <t>CS CONSTRUCTORS LLC</t>
        </is>
      </c>
      <c r="C670" t="inlineStr">
        <is>
          <t>CS CONSTRUCTORS LLC</t>
        </is>
      </c>
      <c r="D670" t="inlineStr">
        <is>
          <t>Legal</t>
        </is>
      </c>
      <c r="E670" s="297" t="n">
        <v>46083</v>
      </c>
      <c r="F670" s="297" t="n">
        <v>46136</v>
      </c>
      <c r="G670" t="n">
        <v>3</v>
      </c>
      <c r="H670" t="inlineStr">
        <is>
          <t>1521</t>
        </is>
      </c>
      <c r="I670" t="inlineStr">
        <is>
          <t>15</t>
        </is>
      </c>
      <c r="J670" t="inlineStr">
        <is>
          <t>FL</t>
        </is>
      </c>
      <c r="K670" t="inlineStr">
        <is>
          <t>United Secured Capital 8</t>
        </is>
      </c>
      <c r="L670" t="inlineStr">
        <is>
          <t>New Deal</t>
        </is>
      </c>
      <c r="M670" s="298" t="n">
        <v>1.49</v>
      </c>
      <c r="N670" s="299" t="n">
        <v>25000</v>
      </c>
      <c r="O670" s="299" t="n">
        <v>3500</v>
      </c>
      <c r="P670" s="299" t="n">
        <v>37250</v>
      </c>
      <c r="Q670" s="299" t="n">
        <v>7455.12</v>
      </c>
      <c r="R670" s="299" t="n">
        <v>29794.88</v>
      </c>
      <c r="S670" s="300" t="n">
        <v>0.20013744966443</v>
      </c>
      <c r="T670" t="n">
        <v>20</v>
      </c>
      <c r="U670" t="n">
        <v>4</v>
      </c>
      <c r="V670" t="n">
        <v>304291.38</v>
      </c>
      <c r="W670" s="300" t="n">
        <v>0.0245</v>
      </c>
      <c r="X670" s="297" t="n"/>
      <c r="Y670">
        <f>IF(I670="","No SIC",IFERROR(VLOOKUP(I670,Ref!$A$2:$B$65,2,FALSE),"Unclassified"))</f>
        <v/>
      </c>
      <c r="Z670">
        <f>IF(T670="","",IF(T670&lt;12,"Daily","Weekly"))</f>
        <v/>
      </c>
      <c r="AA670">
        <f>IF(T670="",0,IF(T670&lt;12,T670*Controls!$B$29,T670*5))</f>
        <v/>
      </c>
      <c r="AB670">
        <f>IF(E670="",0,NETWORKDAYS(E670,Controls!$B$36,Ref!$K$2:$K$42))</f>
        <v/>
      </c>
      <c r="AC670">
        <f>IF(AND(AA670&gt;0,AB670&gt;=Controls!$B$39*AA670),1,0)</f>
        <v/>
      </c>
      <c r="AD670">
        <f>IF(AND(E670&lt;&gt;"",E670&gt;=Controls!$B$37,E670&lt;=Controls!$B$38),1,0)</f>
        <v/>
      </c>
      <c r="AE670">
        <f>IF(IFERROR(VLOOKUP(D670,Controls!$A$64:$E$74,2,FALSE),"No")="Yes",1,0)</f>
        <v/>
      </c>
      <c r="AF670">
        <f>IF(IFERROR(VLOOKUP(D670,Controls!$A$64:$E$74,3,FALSE),"No")="Yes",1,0)</f>
        <v/>
      </c>
      <c r="AG670">
        <f>IF(IFERROR(VLOOKUP(D670,Controls!$A$64:$E$74,4,FALSE),"No")="Yes",1,0)</f>
        <v/>
      </c>
      <c r="AH670">
        <f>IF(IFERROR(VLOOKUP(D670,Controls!$A$64:$E$74,5,FALSE),"No")="Yes",1,0)</f>
        <v/>
      </c>
      <c r="AI670">
        <f>IF(ISNUMBER(MATCH(D670,Controls!$A$64:$A$74,0)),1,0)</f>
        <v/>
      </c>
      <c r="AJ670">
        <f>Q670-N670</f>
        <v/>
      </c>
      <c r="AK670">
        <f>IF(AE670=1,MAX(0,N670-Q670),0)</f>
        <v/>
      </c>
      <c r="AL670">
        <f>IF(OR(V670="",V670=0),0,N670/V670)</f>
        <v/>
      </c>
      <c r="AM670">
        <f>IF(OR(V670="",V670=0),0,1)</f>
        <v/>
      </c>
      <c r="AN670">
        <f>IF(OR(E670="",F670=""),0,NETWORKDAYS(E670,F670,Ref!$K$2:$K$42))</f>
        <v/>
      </c>
      <c r="AO670">
        <f>IF(L670="Renewal",1,0)</f>
        <v/>
      </c>
      <c r="AP670">
        <f>AC670*AD670</f>
        <v/>
      </c>
      <c r="AQ670">
        <f>IF(AND(G670&lt;&gt;"",'Historical Score'!$C$6&lt;&gt;""),IF(G670='Historical Score'!$C$6,1,0),0)</f>
        <v/>
      </c>
      <c r="AR670">
        <f>IF(AND(L670&lt;&gt;"",'Historical Score'!$C$5&lt;&gt;""),IF(L670='Historical Score'!$C$5,1,0),0)</f>
        <v/>
      </c>
      <c r="AS670">
        <f>IF(AND(Y670&lt;&gt;"",'Historical Score'!$C$7&lt;&gt;""),IF(Y670='Historical Score'!$C$7,1,0),0)</f>
        <v/>
      </c>
      <c r="AT670">
        <f>IF(AND(K670&lt;&gt;"",'Historical Score'!$C$8&lt;&gt;""),IF(K670='Historical Score'!$C$8,1,0),0)</f>
        <v/>
      </c>
      <c r="AU670">
        <f>IF(AND(J670&lt;&gt;"",'Historical Score'!$C$9&lt;&gt;""),IF(J670='Historical Score'!$C$9,1,0),0)</f>
        <v/>
      </c>
      <c r="AV670">
        <f>AR670*AS670*AQ670</f>
        <v/>
      </c>
      <c r="AW670">
        <f>AR670*AT670*AQ670</f>
        <v/>
      </c>
      <c r="AX670">
        <f>AR670*AS670</f>
        <v/>
      </c>
      <c r="AY670">
        <f>AR670*AT670</f>
        <v/>
      </c>
      <c r="AZ670">
        <f>AR670*AQ670</f>
        <v/>
      </c>
      <c r="BA670">
        <f>AR670</f>
        <v/>
      </c>
      <c r="BB670">
        <f>1</f>
        <v/>
      </c>
      <c r="BC670">
        <f>IF(AV670=1,1,IF(AW670=1,2,IF(AX670=1,3,IF(AY670=1,4,IF(AZ670=1,5,IF(BA670=1,6,7))))))</f>
        <v/>
      </c>
      <c r="BD670">
        <f>IF(AD670=1,CHOOSE('Historical Score'!$C$29,AV670,AW670,AX670,AY670,AZ670,BA670,BB670),0)</f>
        <v/>
      </c>
      <c r="BE670">
        <f>IF(BD670=1,COUNTIF($BD$2:BD670,1),"")</f>
        <v/>
      </c>
    </row>
    <row r="671">
      <c r="A671" t="inlineStr">
        <is>
          <t>5674179404</t>
        </is>
      </c>
      <c r="B671" t="inlineStr">
        <is>
          <t>K M Construction</t>
        </is>
      </c>
      <c r="C671" t="inlineStr">
        <is>
          <t>matthew page</t>
        </is>
      </c>
      <c r="D671" t="inlineStr">
        <is>
          <t>Legal</t>
        </is>
      </c>
      <c r="E671" s="297" t="n">
        <v>46083</v>
      </c>
      <c r="F671" s="297" t="n">
        <v>46164</v>
      </c>
      <c r="G671" t="n">
        <v>3</v>
      </c>
      <c r="H671" t="inlineStr">
        <is>
          <t>1521</t>
        </is>
      </c>
      <c r="I671" t="inlineStr">
        <is>
          <t>15</t>
        </is>
      </c>
      <c r="J671" t="inlineStr">
        <is>
          <t>IN</t>
        </is>
      </c>
      <c r="K671" t="inlineStr">
        <is>
          <t>The Funding Channel</t>
        </is>
      </c>
      <c r="L671" t="inlineStr">
        <is>
          <t>New Deal</t>
        </is>
      </c>
      <c r="M671" s="298" t="n">
        <v>1.49</v>
      </c>
      <c r="N671" s="299" t="n">
        <v>20000</v>
      </c>
      <c r="O671" s="299" t="n">
        <v>2800</v>
      </c>
      <c r="P671" s="299" t="n">
        <v>29800</v>
      </c>
      <c r="Q671" s="299" t="n">
        <v>9836.309999999999</v>
      </c>
      <c r="R671" s="299" t="n">
        <v>19963.69</v>
      </c>
      <c r="S671" s="300" t="n">
        <v>0.330077516778524</v>
      </c>
      <c r="T671" t="n">
        <v>3.279</v>
      </c>
      <c r="U671" t="n">
        <v>14</v>
      </c>
      <c r="V671" t="n">
        <v>70172.82000000001</v>
      </c>
      <c r="W671" s="300" t="n">
        <v>0.0892</v>
      </c>
      <c r="X671" s="297" t="n"/>
      <c r="Y671">
        <f>IF(I671="","No SIC",IFERROR(VLOOKUP(I671,Ref!$A$2:$B$65,2,FALSE),"Unclassified"))</f>
        <v/>
      </c>
      <c r="Z671">
        <f>IF(T671="","",IF(T671&lt;12,"Daily","Weekly"))</f>
        <v/>
      </c>
      <c r="AA671">
        <f>IF(T671="",0,IF(T671&lt;12,T671*Controls!$B$29,T671*5))</f>
        <v/>
      </c>
      <c r="AB671">
        <f>IF(E671="",0,NETWORKDAYS(E671,Controls!$B$36,Ref!$K$2:$K$42))</f>
        <v/>
      </c>
      <c r="AC671">
        <f>IF(AND(AA671&gt;0,AB671&gt;=Controls!$B$39*AA671),1,0)</f>
        <v/>
      </c>
      <c r="AD671">
        <f>IF(AND(E671&lt;&gt;"",E671&gt;=Controls!$B$37,E671&lt;=Controls!$B$38),1,0)</f>
        <v/>
      </c>
      <c r="AE671">
        <f>IF(IFERROR(VLOOKUP(D671,Controls!$A$64:$E$74,2,FALSE),"No")="Yes",1,0)</f>
        <v/>
      </c>
      <c r="AF671">
        <f>IF(IFERROR(VLOOKUP(D671,Controls!$A$64:$E$74,3,FALSE),"No")="Yes",1,0)</f>
        <v/>
      </c>
      <c r="AG671">
        <f>IF(IFERROR(VLOOKUP(D671,Controls!$A$64:$E$74,4,FALSE),"No")="Yes",1,0)</f>
        <v/>
      </c>
      <c r="AH671">
        <f>IF(IFERROR(VLOOKUP(D671,Controls!$A$64:$E$74,5,FALSE),"No")="Yes",1,0)</f>
        <v/>
      </c>
      <c r="AI671">
        <f>IF(ISNUMBER(MATCH(D671,Controls!$A$64:$A$74,0)),1,0)</f>
        <v/>
      </c>
      <c r="AJ671">
        <f>Q671-N671</f>
        <v/>
      </c>
      <c r="AK671">
        <f>IF(AE671=1,MAX(0,N671-Q671),0)</f>
        <v/>
      </c>
      <c r="AL671">
        <f>IF(OR(V671="",V671=0),0,N671/V671)</f>
        <v/>
      </c>
      <c r="AM671">
        <f>IF(OR(V671="",V671=0),0,1)</f>
        <v/>
      </c>
      <c r="AN671">
        <f>IF(OR(E671="",F671=""),0,NETWORKDAYS(E671,F671,Ref!$K$2:$K$42))</f>
        <v/>
      </c>
      <c r="AO671">
        <f>IF(L671="Renewal",1,0)</f>
        <v/>
      </c>
      <c r="AP671">
        <f>AC671*AD671</f>
        <v/>
      </c>
      <c r="AQ671">
        <f>IF(AND(G671&lt;&gt;"",'Historical Score'!$C$6&lt;&gt;""),IF(G671='Historical Score'!$C$6,1,0),0)</f>
        <v/>
      </c>
      <c r="AR671">
        <f>IF(AND(L671&lt;&gt;"",'Historical Score'!$C$5&lt;&gt;""),IF(L671='Historical Score'!$C$5,1,0),0)</f>
        <v/>
      </c>
      <c r="AS671">
        <f>IF(AND(Y671&lt;&gt;"",'Historical Score'!$C$7&lt;&gt;""),IF(Y671='Historical Score'!$C$7,1,0),0)</f>
        <v/>
      </c>
      <c r="AT671">
        <f>IF(AND(K671&lt;&gt;"",'Historical Score'!$C$8&lt;&gt;""),IF(K671='Historical Score'!$C$8,1,0),0)</f>
        <v/>
      </c>
      <c r="AU671">
        <f>IF(AND(J671&lt;&gt;"",'Historical Score'!$C$9&lt;&gt;""),IF(J671='Historical Score'!$C$9,1,0),0)</f>
        <v/>
      </c>
      <c r="AV671">
        <f>AR671*AS671*AQ671</f>
        <v/>
      </c>
      <c r="AW671">
        <f>AR671*AT671*AQ671</f>
        <v/>
      </c>
      <c r="AX671">
        <f>AR671*AS671</f>
        <v/>
      </c>
      <c r="AY671">
        <f>AR671*AT671</f>
        <v/>
      </c>
      <c r="AZ671">
        <f>AR671*AQ671</f>
        <v/>
      </c>
      <c r="BA671">
        <f>AR671</f>
        <v/>
      </c>
      <c r="BB671">
        <f>1</f>
        <v/>
      </c>
      <c r="BC671">
        <f>IF(AV671=1,1,IF(AW671=1,2,IF(AX671=1,3,IF(AY671=1,4,IF(AZ671=1,5,IF(BA671=1,6,7))))))</f>
        <v/>
      </c>
      <c r="BD671">
        <f>IF(AD671=1,CHOOSE('Historical Score'!$C$29,AV671,AW671,AX671,AY671,AZ671,BA671,BB671),0)</f>
        <v/>
      </c>
      <c r="BE671">
        <f>IF(BD671=1,COUNTIF($BD$2:BD671,1),"")</f>
        <v/>
      </c>
    </row>
    <row r="672">
      <c r="A672" t="inlineStr">
        <is>
          <t>5674179410</t>
        </is>
      </c>
      <c r="B672" t="inlineStr">
        <is>
          <t>COASTAL PIER AND BOATHOUSE</t>
        </is>
      </c>
      <c r="C672" t="inlineStr">
        <is>
          <t>Coastal Pier And Boathouse, LLC</t>
        </is>
      </c>
      <c r="D672" t="inlineStr">
        <is>
          <t>Open</t>
        </is>
      </c>
      <c r="E672" s="297" t="n">
        <v>46083</v>
      </c>
      <c r="F672" s="297" t="n">
        <v>46251</v>
      </c>
      <c r="G672" t="n">
        <v>3</v>
      </c>
      <c r="H672" t="inlineStr">
        <is>
          <t>4491</t>
        </is>
      </c>
      <c r="I672" t="inlineStr">
        <is>
          <t>44</t>
        </is>
      </c>
      <c r="J672" t="inlineStr">
        <is>
          <t>TX</t>
        </is>
      </c>
      <c r="K672" t="inlineStr">
        <is>
          <t>Fundwell</t>
        </is>
      </c>
      <c r="L672" t="inlineStr">
        <is>
          <t>New Deal</t>
        </is>
      </c>
      <c r="M672" s="298" t="n">
        <v>1.33</v>
      </c>
      <c r="N672" s="299" t="n">
        <v>40000</v>
      </c>
      <c r="O672" s="299" t="n">
        <v>2400</v>
      </c>
      <c r="P672" s="299" t="n">
        <v>53200</v>
      </c>
      <c r="Q672" s="299" t="n">
        <v>32860.17</v>
      </c>
      <c r="R672" s="299" t="n">
        <v>20339.83</v>
      </c>
      <c r="S672" s="300" t="n">
        <v>0.617672368421053</v>
      </c>
      <c r="T672" t="n">
        <v>34</v>
      </c>
      <c r="U672" t="n">
        <v>3</v>
      </c>
      <c r="V672" t="n">
        <v>85000</v>
      </c>
      <c r="W672" s="300" t="n">
        <v>0.0521</v>
      </c>
      <c r="X672" s="297" t="n">
        <v>44602</v>
      </c>
      <c r="Y672">
        <f>IF(I672="","No SIC",IFERROR(VLOOKUP(I672,Ref!$A$2:$B$65,2,FALSE),"Unclassified"))</f>
        <v/>
      </c>
      <c r="Z672">
        <f>IF(T672="","",IF(T672&lt;12,"Daily","Weekly"))</f>
        <v/>
      </c>
      <c r="AA672">
        <f>IF(T672="",0,IF(T672&lt;12,T672*Controls!$B$29,T672*5))</f>
        <v/>
      </c>
      <c r="AB672">
        <f>IF(E672="",0,NETWORKDAYS(E672,Controls!$B$36,Ref!$K$2:$K$42))</f>
        <v/>
      </c>
      <c r="AC672">
        <f>IF(AND(AA672&gt;0,AB672&gt;=Controls!$B$39*AA672),1,0)</f>
        <v/>
      </c>
      <c r="AD672">
        <f>IF(AND(E672&lt;&gt;"",E672&gt;=Controls!$B$37,E672&lt;=Controls!$B$38),1,0)</f>
        <v/>
      </c>
      <c r="AE672">
        <f>IF(IFERROR(VLOOKUP(D672,Controls!$A$64:$E$74,2,FALSE),"No")="Yes",1,0)</f>
        <v/>
      </c>
      <c r="AF672">
        <f>IF(IFERROR(VLOOKUP(D672,Controls!$A$64:$E$74,3,FALSE),"No")="Yes",1,0)</f>
        <v/>
      </c>
      <c r="AG672">
        <f>IF(IFERROR(VLOOKUP(D672,Controls!$A$64:$E$74,4,FALSE),"No")="Yes",1,0)</f>
        <v/>
      </c>
      <c r="AH672">
        <f>IF(IFERROR(VLOOKUP(D672,Controls!$A$64:$E$74,5,FALSE),"No")="Yes",1,0)</f>
        <v/>
      </c>
      <c r="AI672">
        <f>IF(ISNUMBER(MATCH(D672,Controls!$A$64:$A$74,0)),1,0)</f>
        <v/>
      </c>
      <c r="AJ672">
        <f>Q672-N672</f>
        <v/>
      </c>
      <c r="AK672">
        <f>IF(AE672=1,MAX(0,N672-Q672),0)</f>
        <v/>
      </c>
      <c r="AL672">
        <f>IF(OR(V672="",V672=0),0,N672/V672)</f>
        <v/>
      </c>
      <c r="AM672">
        <f>IF(OR(V672="",V672=0),0,1)</f>
        <v/>
      </c>
      <c r="AN672">
        <f>IF(OR(E672="",F672=""),0,NETWORKDAYS(E672,F672,Ref!$K$2:$K$42))</f>
        <v/>
      </c>
      <c r="AO672">
        <f>IF(L672="Renewal",1,0)</f>
        <v/>
      </c>
      <c r="AP672">
        <f>AC672*AD672</f>
        <v/>
      </c>
      <c r="AQ672">
        <f>IF(AND(G672&lt;&gt;"",'Historical Score'!$C$6&lt;&gt;""),IF(G672='Historical Score'!$C$6,1,0),0)</f>
        <v/>
      </c>
      <c r="AR672">
        <f>IF(AND(L672&lt;&gt;"",'Historical Score'!$C$5&lt;&gt;""),IF(L672='Historical Score'!$C$5,1,0),0)</f>
        <v/>
      </c>
      <c r="AS672">
        <f>IF(AND(Y672&lt;&gt;"",'Historical Score'!$C$7&lt;&gt;""),IF(Y672='Historical Score'!$C$7,1,0),0)</f>
        <v/>
      </c>
      <c r="AT672">
        <f>IF(AND(K672&lt;&gt;"",'Historical Score'!$C$8&lt;&gt;""),IF(K672='Historical Score'!$C$8,1,0),0)</f>
        <v/>
      </c>
      <c r="AU672">
        <f>IF(AND(J672&lt;&gt;"",'Historical Score'!$C$9&lt;&gt;""),IF(J672='Historical Score'!$C$9,1,0),0)</f>
        <v/>
      </c>
      <c r="AV672">
        <f>AR672*AS672*AQ672</f>
        <v/>
      </c>
      <c r="AW672">
        <f>AR672*AT672*AQ672</f>
        <v/>
      </c>
      <c r="AX672">
        <f>AR672*AS672</f>
        <v/>
      </c>
      <c r="AY672">
        <f>AR672*AT672</f>
        <v/>
      </c>
      <c r="AZ672">
        <f>AR672*AQ672</f>
        <v/>
      </c>
      <c r="BA672">
        <f>AR672</f>
        <v/>
      </c>
      <c r="BB672">
        <f>1</f>
        <v/>
      </c>
      <c r="BC672">
        <f>IF(AV672=1,1,IF(AW672=1,2,IF(AX672=1,3,IF(AY672=1,4,IF(AZ672=1,5,IF(BA672=1,6,7))))))</f>
        <v/>
      </c>
      <c r="BD672">
        <f>IF(AD672=1,CHOOSE('Historical Score'!$C$29,AV672,AW672,AX672,AY672,AZ672,BA672,BB672),0)</f>
        <v/>
      </c>
      <c r="BE672">
        <f>IF(BD672=1,COUNTIF($BD$2:BD672,1),"")</f>
        <v/>
      </c>
    </row>
    <row r="673">
      <c r="A673" t="inlineStr">
        <is>
          <t>5674179424</t>
        </is>
      </c>
      <c r="B673" t="inlineStr">
        <is>
          <t>Wee Thrive Pediatric Therapy Group, Inc</t>
        </is>
      </c>
      <c r="C673" t="inlineStr">
        <is>
          <t>Wee Thrive Pediatric Therapy Group, Inc</t>
        </is>
      </c>
      <c r="D673" t="inlineStr">
        <is>
          <t>Written-Off</t>
        </is>
      </c>
      <c r="E673" s="297" t="n">
        <v>46084</v>
      </c>
      <c r="F673" s="297" t="n">
        <v>46233</v>
      </c>
      <c r="G673" t="n">
        <v>2</v>
      </c>
      <c r="H673" t="inlineStr">
        <is>
          <t>8011</t>
        </is>
      </c>
      <c r="I673" t="inlineStr">
        <is>
          <t>80</t>
        </is>
      </c>
      <c r="J673" t="inlineStr">
        <is>
          <t>CA</t>
        </is>
      </c>
      <c r="K673" t="inlineStr">
        <is>
          <t>Fundwell</t>
        </is>
      </c>
      <c r="L673" t="inlineStr">
        <is>
          <t>New Deal</t>
        </is>
      </c>
      <c r="M673" s="298" t="n">
        <v>1.39</v>
      </c>
      <c r="N673" s="299" t="n">
        <v>20000</v>
      </c>
      <c r="O673" s="299" t="n">
        <v>2600</v>
      </c>
      <c r="P673" s="299" t="n">
        <v>27800</v>
      </c>
      <c r="Q673" s="299" t="n">
        <v>16365.67</v>
      </c>
      <c r="R673" s="299" t="n">
        <v>11434.33</v>
      </c>
      <c r="S673" s="300" t="n">
        <v>0.588693165467626</v>
      </c>
      <c r="T673" t="n">
        <v>40</v>
      </c>
      <c r="U673" t="n">
        <v>1</v>
      </c>
      <c r="V673" t="n">
        <v>96495.78999999999</v>
      </c>
      <c r="W673" s="300" t="n">
        <v>0.0288</v>
      </c>
      <c r="X673" s="297" t="n">
        <v>42619</v>
      </c>
      <c r="Y673">
        <f>IF(I673="","No SIC",IFERROR(VLOOKUP(I673,Ref!$A$2:$B$65,2,FALSE),"Unclassified"))</f>
        <v/>
      </c>
      <c r="Z673">
        <f>IF(T673="","",IF(T673&lt;12,"Daily","Weekly"))</f>
        <v/>
      </c>
      <c r="AA673">
        <f>IF(T673="",0,IF(T673&lt;12,T673*Controls!$B$29,T673*5))</f>
        <v/>
      </c>
      <c r="AB673">
        <f>IF(E673="",0,NETWORKDAYS(E673,Controls!$B$36,Ref!$K$2:$K$42))</f>
        <v/>
      </c>
      <c r="AC673">
        <f>IF(AND(AA673&gt;0,AB673&gt;=Controls!$B$39*AA673),1,0)</f>
        <v/>
      </c>
      <c r="AD673">
        <f>IF(AND(E673&lt;&gt;"",E673&gt;=Controls!$B$37,E673&lt;=Controls!$B$38),1,0)</f>
        <v/>
      </c>
      <c r="AE673">
        <f>IF(IFERROR(VLOOKUP(D673,Controls!$A$64:$E$74,2,FALSE),"No")="Yes",1,0)</f>
        <v/>
      </c>
      <c r="AF673">
        <f>IF(IFERROR(VLOOKUP(D673,Controls!$A$64:$E$74,3,FALSE),"No")="Yes",1,0)</f>
        <v/>
      </c>
      <c r="AG673">
        <f>IF(IFERROR(VLOOKUP(D673,Controls!$A$64:$E$74,4,FALSE),"No")="Yes",1,0)</f>
        <v/>
      </c>
      <c r="AH673">
        <f>IF(IFERROR(VLOOKUP(D673,Controls!$A$64:$E$74,5,FALSE),"No")="Yes",1,0)</f>
        <v/>
      </c>
      <c r="AI673">
        <f>IF(ISNUMBER(MATCH(D673,Controls!$A$64:$A$74,0)),1,0)</f>
        <v/>
      </c>
      <c r="AJ673">
        <f>Q673-N673</f>
        <v/>
      </c>
      <c r="AK673">
        <f>IF(AE673=1,MAX(0,N673-Q673),0)</f>
        <v/>
      </c>
      <c r="AL673">
        <f>IF(OR(V673="",V673=0),0,N673/V673)</f>
        <v/>
      </c>
      <c r="AM673">
        <f>IF(OR(V673="",V673=0),0,1)</f>
        <v/>
      </c>
      <c r="AN673">
        <f>IF(OR(E673="",F673=""),0,NETWORKDAYS(E673,F673,Ref!$K$2:$K$42))</f>
        <v/>
      </c>
      <c r="AO673">
        <f>IF(L673="Renewal",1,0)</f>
        <v/>
      </c>
      <c r="AP673">
        <f>AC673*AD673</f>
        <v/>
      </c>
      <c r="AQ673">
        <f>IF(AND(G673&lt;&gt;"",'Historical Score'!$C$6&lt;&gt;""),IF(G673='Historical Score'!$C$6,1,0),0)</f>
        <v/>
      </c>
      <c r="AR673">
        <f>IF(AND(L673&lt;&gt;"",'Historical Score'!$C$5&lt;&gt;""),IF(L673='Historical Score'!$C$5,1,0),0)</f>
        <v/>
      </c>
      <c r="AS673">
        <f>IF(AND(Y673&lt;&gt;"",'Historical Score'!$C$7&lt;&gt;""),IF(Y673='Historical Score'!$C$7,1,0),0)</f>
        <v/>
      </c>
      <c r="AT673">
        <f>IF(AND(K673&lt;&gt;"",'Historical Score'!$C$8&lt;&gt;""),IF(K673='Historical Score'!$C$8,1,0),0)</f>
        <v/>
      </c>
      <c r="AU673">
        <f>IF(AND(J673&lt;&gt;"",'Historical Score'!$C$9&lt;&gt;""),IF(J673='Historical Score'!$C$9,1,0),0)</f>
        <v/>
      </c>
      <c r="AV673">
        <f>AR673*AS673*AQ673</f>
        <v/>
      </c>
      <c r="AW673">
        <f>AR673*AT673*AQ673</f>
        <v/>
      </c>
      <c r="AX673">
        <f>AR673*AS673</f>
        <v/>
      </c>
      <c r="AY673">
        <f>AR673*AT673</f>
        <v/>
      </c>
      <c r="AZ673">
        <f>AR673*AQ673</f>
        <v/>
      </c>
      <c r="BA673">
        <f>AR673</f>
        <v/>
      </c>
      <c r="BB673">
        <f>1</f>
        <v/>
      </c>
      <c r="BC673">
        <f>IF(AV673=1,1,IF(AW673=1,2,IF(AX673=1,3,IF(AY673=1,4,IF(AZ673=1,5,IF(BA673=1,6,7))))))</f>
        <v/>
      </c>
      <c r="BD673">
        <f>IF(AD673=1,CHOOSE('Historical Score'!$C$29,AV673,AW673,AX673,AY673,AZ673,BA673,BB673),0)</f>
        <v/>
      </c>
      <c r="BE673">
        <f>IF(BD673=1,COUNTIF($BD$2:BD673,1),"")</f>
        <v/>
      </c>
    </row>
    <row r="674">
      <c r="A674" t="inlineStr">
        <is>
          <t>5674179429</t>
        </is>
      </c>
      <c r="B674" t="inlineStr">
        <is>
          <t>WATER RESTORATION, INC.</t>
        </is>
      </c>
      <c r="C674" t="inlineStr">
        <is>
          <t>WATER RESTORATION, INC.</t>
        </is>
      </c>
      <c r="D674" t="inlineStr">
        <is>
          <t>Open</t>
        </is>
      </c>
      <c r="E674" s="297" t="n">
        <v>46084</v>
      </c>
      <c r="F674" s="297" t="n">
        <v>46248</v>
      </c>
      <c r="G674" t="n">
        <v>3</v>
      </c>
      <c r="H674" t="inlineStr">
        <is>
          <t>1623</t>
        </is>
      </c>
      <c r="I674" t="inlineStr">
        <is>
          <t>16</t>
        </is>
      </c>
      <c r="J674" t="inlineStr">
        <is>
          <t>CA</t>
        </is>
      </c>
      <c r="K674" t="inlineStr">
        <is>
          <t>United Secured Capital 8</t>
        </is>
      </c>
      <c r="L674" t="inlineStr">
        <is>
          <t>New Deal</t>
        </is>
      </c>
      <c r="M674" s="298" t="n">
        <v>1.49</v>
      </c>
      <c r="N674" s="299" t="n">
        <v>20000</v>
      </c>
      <c r="O674" s="299" t="n">
        <v>2800</v>
      </c>
      <c r="P674" s="299" t="n">
        <v>29800</v>
      </c>
      <c r="Q674" s="299" t="n">
        <v>10469.37</v>
      </c>
      <c r="R674" s="299" t="n">
        <v>19330.63</v>
      </c>
      <c r="S674" s="300" t="n">
        <v>0.351321140939597</v>
      </c>
      <c r="T674" t="n">
        <v>20</v>
      </c>
      <c r="U674" t="n">
        <v>1</v>
      </c>
      <c r="V674" t="n">
        <v>37198.13</v>
      </c>
      <c r="W674" s="300" t="n">
        <v>0.1602</v>
      </c>
      <c r="X674" s="297" t="n">
        <v>43105</v>
      </c>
      <c r="Y674">
        <f>IF(I674="","No SIC",IFERROR(VLOOKUP(I674,Ref!$A$2:$B$65,2,FALSE),"Unclassified"))</f>
        <v/>
      </c>
      <c r="Z674">
        <f>IF(T674="","",IF(T674&lt;12,"Daily","Weekly"))</f>
        <v/>
      </c>
      <c r="AA674">
        <f>IF(T674="",0,IF(T674&lt;12,T674*Controls!$B$29,T674*5))</f>
        <v/>
      </c>
      <c r="AB674">
        <f>IF(E674="",0,NETWORKDAYS(E674,Controls!$B$36,Ref!$K$2:$K$42))</f>
        <v/>
      </c>
      <c r="AC674">
        <f>IF(AND(AA674&gt;0,AB674&gt;=Controls!$B$39*AA674),1,0)</f>
        <v/>
      </c>
      <c r="AD674">
        <f>IF(AND(E674&lt;&gt;"",E674&gt;=Controls!$B$37,E674&lt;=Controls!$B$38),1,0)</f>
        <v/>
      </c>
      <c r="AE674">
        <f>IF(IFERROR(VLOOKUP(D674,Controls!$A$64:$E$74,2,FALSE),"No")="Yes",1,0)</f>
        <v/>
      </c>
      <c r="AF674">
        <f>IF(IFERROR(VLOOKUP(D674,Controls!$A$64:$E$74,3,FALSE),"No")="Yes",1,0)</f>
        <v/>
      </c>
      <c r="AG674">
        <f>IF(IFERROR(VLOOKUP(D674,Controls!$A$64:$E$74,4,FALSE),"No")="Yes",1,0)</f>
        <v/>
      </c>
      <c r="AH674">
        <f>IF(IFERROR(VLOOKUP(D674,Controls!$A$64:$E$74,5,FALSE),"No")="Yes",1,0)</f>
        <v/>
      </c>
      <c r="AI674">
        <f>IF(ISNUMBER(MATCH(D674,Controls!$A$64:$A$74,0)),1,0)</f>
        <v/>
      </c>
      <c r="AJ674">
        <f>Q674-N674</f>
        <v/>
      </c>
      <c r="AK674">
        <f>IF(AE674=1,MAX(0,N674-Q674),0)</f>
        <v/>
      </c>
      <c r="AL674">
        <f>IF(OR(V674="",V674=0),0,N674/V674)</f>
        <v/>
      </c>
      <c r="AM674">
        <f>IF(OR(V674="",V674=0),0,1)</f>
        <v/>
      </c>
      <c r="AN674">
        <f>IF(OR(E674="",F674=""),0,NETWORKDAYS(E674,F674,Ref!$K$2:$K$42))</f>
        <v/>
      </c>
      <c r="AO674">
        <f>IF(L674="Renewal",1,0)</f>
        <v/>
      </c>
      <c r="AP674">
        <f>AC674*AD674</f>
        <v/>
      </c>
      <c r="AQ674">
        <f>IF(AND(G674&lt;&gt;"",'Historical Score'!$C$6&lt;&gt;""),IF(G674='Historical Score'!$C$6,1,0),0)</f>
        <v/>
      </c>
      <c r="AR674">
        <f>IF(AND(L674&lt;&gt;"",'Historical Score'!$C$5&lt;&gt;""),IF(L674='Historical Score'!$C$5,1,0),0)</f>
        <v/>
      </c>
      <c r="AS674">
        <f>IF(AND(Y674&lt;&gt;"",'Historical Score'!$C$7&lt;&gt;""),IF(Y674='Historical Score'!$C$7,1,0),0)</f>
        <v/>
      </c>
      <c r="AT674">
        <f>IF(AND(K674&lt;&gt;"",'Historical Score'!$C$8&lt;&gt;""),IF(K674='Historical Score'!$C$8,1,0),0)</f>
        <v/>
      </c>
      <c r="AU674">
        <f>IF(AND(J674&lt;&gt;"",'Historical Score'!$C$9&lt;&gt;""),IF(J674='Historical Score'!$C$9,1,0),0)</f>
        <v/>
      </c>
      <c r="AV674">
        <f>AR674*AS674*AQ674</f>
        <v/>
      </c>
      <c r="AW674">
        <f>AR674*AT674*AQ674</f>
        <v/>
      </c>
      <c r="AX674">
        <f>AR674*AS674</f>
        <v/>
      </c>
      <c r="AY674">
        <f>AR674*AT674</f>
        <v/>
      </c>
      <c r="AZ674">
        <f>AR674*AQ674</f>
        <v/>
      </c>
      <c r="BA674">
        <f>AR674</f>
        <v/>
      </c>
      <c r="BB674">
        <f>1</f>
        <v/>
      </c>
      <c r="BC674">
        <f>IF(AV674=1,1,IF(AW674=1,2,IF(AX674=1,3,IF(AY674=1,4,IF(AZ674=1,5,IF(BA674=1,6,7))))))</f>
        <v/>
      </c>
      <c r="BD674">
        <f>IF(AD674=1,CHOOSE('Historical Score'!$C$29,AV674,AW674,AX674,AY674,AZ674,BA674,BB674),0)</f>
        <v/>
      </c>
      <c r="BE674">
        <f>IF(BD674=1,COUNTIF($BD$2:BD674,1),"")</f>
        <v/>
      </c>
    </row>
    <row r="675">
      <c r="A675" t="inlineStr">
        <is>
          <t>5674179447</t>
        </is>
      </c>
      <c r="B675" t="inlineStr">
        <is>
          <t>Apex Autoworx llc</t>
        </is>
      </c>
      <c r="C675" t="inlineStr">
        <is>
          <t>Apex Autoworx llc</t>
        </is>
      </c>
      <c r="D675" t="inlineStr">
        <is>
          <t>Open</t>
        </is>
      </c>
      <c r="E675" s="297" t="n">
        <v>46084</v>
      </c>
      <c r="F675" s="297" t="n">
        <v>46252</v>
      </c>
      <c r="G675" t="n">
        <v>2</v>
      </c>
      <c r="H675" t="inlineStr">
        <is>
          <t>7532</t>
        </is>
      </c>
      <c r="I675" t="inlineStr">
        <is>
          <t>75</t>
        </is>
      </c>
      <c r="J675" t="inlineStr">
        <is>
          <t>OH</t>
        </is>
      </c>
      <c r="K675" t="inlineStr">
        <is>
          <t>Fundwell</t>
        </is>
      </c>
      <c r="L675" t="inlineStr">
        <is>
          <t>New Deal</t>
        </is>
      </c>
      <c r="M675" s="298" t="n">
        <v>1.42</v>
      </c>
      <c r="N675" s="299" t="n">
        <v>20000</v>
      </c>
      <c r="O675" s="299" t="n">
        <v>2800</v>
      </c>
      <c r="P675" s="299" t="n">
        <v>28400</v>
      </c>
      <c r="Q675" s="299" t="n">
        <v>16570.47</v>
      </c>
      <c r="R675" s="299" t="n">
        <v>11829.53</v>
      </c>
      <c r="S675" s="300" t="n">
        <v>0.583467253521127</v>
      </c>
      <c r="T675" t="n">
        <v>36</v>
      </c>
      <c r="U675" t="n">
        <v>3</v>
      </c>
      <c r="V675" t="n">
        <v>16194.43</v>
      </c>
      <c r="W675" s="300" t="n">
        <v>0.1949</v>
      </c>
      <c r="X675" s="297" t="n">
        <v>45580</v>
      </c>
      <c r="Y675">
        <f>IF(I675="","No SIC",IFERROR(VLOOKUP(I675,Ref!$A$2:$B$65,2,FALSE),"Unclassified"))</f>
        <v/>
      </c>
      <c r="Z675">
        <f>IF(T675="","",IF(T675&lt;12,"Daily","Weekly"))</f>
        <v/>
      </c>
      <c r="AA675">
        <f>IF(T675="",0,IF(T675&lt;12,T675*Controls!$B$29,T675*5))</f>
        <v/>
      </c>
      <c r="AB675">
        <f>IF(E675="",0,NETWORKDAYS(E675,Controls!$B$36,Ref!$K$2:$K$42))</f>
        <v/>
      </c>
      <c r="AC675">
        <f>IF(AND(AA675&gt;0,AB675&gt;=Controls!$B$39*AA675),1,0)</f>
        <v/>
      </c>
      <c r="AD675">
        <f>IF(AND(E675&lt;&gt;"",E675&gt;=Controls!$B$37,E675&lt;=Controls!$B$38),1,0)</f>
        <v/>
      </c>
      <c r="AE675">
        <f>IF(IFERROR(VLOOKUP(D675,Controls!$A$64:$E$74,2,FALSE),"No")="Yes",1,0)</f>
        <v/>
      </c>
      <c r="AF675">
        <f>IF(IFERROR(VLOOKUP(D675,Controls!$A$64:$E$74,3,FALSE),"No")="Yes",1,0)</f>
        <v/>
      </c>
      <c r="AG675">
        <f>IF(IFERROR(VLOOKUP(D675,Controls!$A$64:$E$74,4,FALSE),"No")="Yes",1,0)</f>
        <v/>
      </c>
      <c r="AH675">
        <f>IF(IFERROR(VLOOKUP(D675,Controls!$A$64:$E$74,5,FALSE),"No")="Yes",1,0)</f>
        <v/>
      </c>
      <c r="AI675">
        <f>IF(ISNUMBER(MATCH(D675,Controls!$A$64:$A$74,0)),1,0)</f>
        <v/>
      </c>
      <c r="AJ675">
        <f>Q675-N675</f>
        <v/>
      </c>
      <c r="AK675">
        <f>IF(AE675=1,MAX(0,N675-Q675),0)</f>
        <v/>
      </c>
      <c r="AL675">
        <f>IF(OR(V675="",V675=0),0,N675/V675)</f>
        <v/>
      </c>
      <c r="AM675">
        <f>IF(OR(V675="",V675=0),0,1)</f>
        <v/>
      </c>
      <c r="AN675">
        <f>IF(OR(E675="",F675=""),0,NETWORKDAYS(E675,F675,Ref!$K$2:$K$42))</f>
        <v/>
      </c>
      <c r="AO675">
        <f>IF(L675="Renewal",1,0)</f>
        <v/>
      </c>
      <c r="AP675">
        <f>AC675*AD675</f>
        <v/>
      </c>
      <c r="AQ675">
        <f>IF(AND(G675&lt;&gt;"",'Historical Score'!$C$6&lt;&gt;""),IF(G675='Historical Score'!$C$6,1,0),0)</f>
        <v/>
      </c>
      <c r="AR675">
        <f>IF(AND(L675&lt;&gt;"",'Historical Score'!$C$5&lt;&gt;""),IF(L675='Historical Score'!$C$5,1,0),0)</f>
        <v/>
      </c>
      <c r="AS675">
        <f>IF(AND(Y675&lt;&gt;"",'Historical Score'!$C$7&lt;&gt;""),IF(Y675='Historical Score'!$C$7,1,0),0)</f>
        <v/>
      </c>
      <c r="AT675">
        <f>IF(AND(K675&lt;&gt;"",'Historical Score'!$C$8&lt;&gt;""),IF(K675='Historical Score'!$C$8,1,0),0)</f>
        <v/>
      </c>
      <c r="AU675">
        <f>IF(AND(J675&lt;&gt;"",'Historical Score'!$C$9&lt;&gt;""),IF(J675='Historical Score'!$C$9,1,0),0)</f>
        <v/>
      </c>
      <c r="AV675">
        <f>AR675*AS675*AQ675</f>
        <v/>
      </c>
      <c r="AW675">
        <f>AR675*AT675*AQ675</f>
        <v/>
      </c>
      <c r="AX675">
        <f>AR675*AS675</f>
        <v/>
      </c>
      <c r="AY675">
        <f>AR675*AT675</f>
        <v/>
      </c>
      <c r="AZ675">
        <f>AR675*AQ675</f>
        <v/>
      </c>
      <c r="BA675">
        <f>AR675</f>
        <v/>
      </c>
      <c r="BB675">
        <f>1</f>
        <v/>
      </c>
      <c r="BC675">
        <f>IF(AV675=1,1,IF(AW675=1,2,IF(AX675=1,3,IF(AY675=1,4,IF(AZ675=1,5,IF(BA675=1,6,7))))))</f>
        <v/>
      </c>
      <c r="BD675">
        <f>IF(AD675=1,CHOOSE('Historical Score'!$C$29,AV675,AW675,AX675,AY675,AZ675,BA675,BB675),0)</f>
        <v/>
      </c>
      <c r="BE675">
        <f>IF(BD675=1,COUNTIF($BD$2:BD675,1),"")</f>
        <v/>
      </c>
    </row>
    <row r="676">
      <c r="A676" t="inlineStr">
        <is>
          <t>5674179507</t>
        </is>
      </c>
      <c r="B676" t="inlineStr">
        <is>
          <t>METAL AND MATH LLC</t>
        </is>
      </c>
      <c r="C676" t="inlineStr">
        <is>
          <t>METAL AND MATH LLC</t>
        </is>
      </c>
      <c r="D676" t="inlineStr">
        <is>
          <t>Closed</t>
        </is>
      </c>
      <c r="E676" s="297" t="n">
        <v>46085</v>
      </c>
      <c r="F676" s="297" t="n">
        <v>46168</v>
      </c>
      <c r="G676" t="n">
        <v>3</v>
      </c>
      <c r="H676" t="inlineStr">
        <is>
          <t>1761</t>
        </is>
      </c>
      <c r="I676" t="inlineStr">
        <is>
          <t>17</t>
        </is>
      </c>
      <c r="J676" t="inlineStr">
        <is>
          <t>KY</t>
        </is>
      </c>
      <c r="K676" t="inlineStr">
        <is>
          <t>United Secured Capital 8</t>
        </is>
      </c>
      <c r="L676" t="inlineStr">
        <is>
          <t>New Deal</t>
        </is>
      </c>
      <c r="M676" s="298" t="n">
        <v>1.49</v>
      </c>
      <c r="N676" s="299" t="n">
        <v>15000</v>
      </c>
      <c r="O676" s="299" t="n">
        <v>2100</v>
      </c>
      <c r="P676" s="299" t="n">
        <v>22350</v>
      </c>
      <c r="Q676" s="299" t="n">
        <v>22350</v>
      </c>
      <c r="R676" s="299" t="n">
        <v>0</v>
      </c>
      <c r="S676" s="300" t="n">
        <v>1</v>
      </c>
      <c r="T676" t="n">
        <v>20</v>
      </c>
      <c r="U676" t="n">
        <v>2</v>
      </c>
      <c r="V676" t="n">
        <v>65000</v>
      </c>
      <c r="W676" s="300" t="n">
        <v>0.0993</v>
      </c>
      <c r="X676" s="297" t="n"/>
      <c r="Y676">
        <f>IF(I676="","No SIC",IFERROR(VLOOKUP(I676,Ref!$A$2:$B$65,2,FALSE),"Unclassified"))</f>
        <v/>
      </c>
      <c r="Z676">
        <f>IF(T676="","",IF(T676&lt;12,"Daily","Weekly"))</f>
        <v/>
      </c>
      <c r="AA676">
        <f>IF(T676="",0,IF(T676&lt;12,T676*Controls!$B$29,T676*5))</f>
        <v/>
      </c>
      <c r="AB676">
        <f>IF(E676="",0,NETWORKDAYS(E676,Controls!$B$36,Ref!$K$2:$K$42))</f>
        <v/>
      </c>
      <c r="AC676">
        <f>IF(AND(AA676&gt;0,AB676&gt;=Controls!$B$39*AA676),1,0)</f>
        <v/>
      </c>
      <c r="AD676">
        <f>IF(AND(E676&lt;&gt;"",E676&gt;=Controls!$B$37,E676&lt;=Controls!$B$38),1,0)</f>
        <v/>
      </c>
      <c r="AE676">
        <f>IF(IFERROR(VLOOKUP(D676,Controls!$A$64:$E$74,2,FALSE),"No")="Yes",1,0)</f>
        <v/>
      </c>
      <c r="AF676">
        <f>IF(IFERROR(VLOOKUP(D676,Controls!$A$64:$E$74,3,FALSE),"No")="Yes",1,0)</f>
        <v/>
      </c>
      <c r="AG676">
        <f>IF(IFERROR(VLOOKUP(D676,Controls!$A$64:$E$74,4,FALSE),"No")="Yes",1,0)</f>
        <v/>
      </c>
      <c r="AH676">
        <f>IF(IFERROR(VLOOKUP(D676,Controls!$A$64:$E$74,5,FALSE),"No")="Yes",1,0)</f>
        <v/>
      </c>
      <c r="AI676">
        <f>IF(ISNUMBER(MATCH(D676,Controls!$A$64:$A$74,0)),1,0)</f>
        <v/>
      </c>
      <c r="AJ676">
        <f>Q676-N676</f>
        <v/>
      </c>
      <c r="AK676">
        <f>IF(AE676=1,MAX(0,N676-Q676),0)</f>
        <v/>
      </c>
      <c r="AL676">
        <f>IF(OR(V676="",V676=0),0,N676/V676)</f>
        <v/>
      </c>
      <c r="AM676">
        <f>IF(OR(V676="",V676=0),0,1)</f>
        <v/>
      </c>
      <c r="AN676">
        <f>IF(OR(E676="",F676=""),0,NETWORKDAYS(E676,F676,Ref!$K$2:$K$42))</f>
        <v/>
      </c>
      <c r="AO676">
        <f>IF(L676="Renewal",1,0)</f>
        <v/>
      </c>
      <c r="AP676">
        <f>AC676*AD676</f>
        <v/>
      </c>
      <c r="AQ676">
        <f>IF(AND(G676&lt;&gt;"",'Historical Score'!$C$6&lt;&gt;""),IF(G676='Historical Score'!$C$6,1,0),0)</f>
        <v/>
      </c>
      <c r="AR676">
        <f>IF(AND(L676&lt;&gt;"",'Historical Score'!$C$5&lt;&gt;""),IF(L676='Historical Score'!$C$5,1,0),0)</f>
        <v/>
      </c>
      <c r="AS676">
        <f>IF(AND(Y676&lt;&gt;"",'Historical Score'!$C$7&lt;&gt;""),IF(Y676='Historical Score'!$C$7,1,0),0)</f>
        <v/>
      </c>
      <c r="AT676">
        <f>IF(AND(K676&lt;&gt;"",'Historical Score'!$C$8&lt;&gt;""),IF(K676='Historical Score'!$C$8,1,0),0)</f>
        <v/>
      </c>
      <c r="AU676">
        <f>IF(AND(J676&lt;&gt;"",'Historical Score'!$C$9&lt;&gt;""),IF(J676='Historical Score'!$C$9,1,0),0)</f>
        <v/>
      </c>
      <c r="AV676">
        <f>AR676*AS676*AQ676</f>
        <v/>
      </c>
      <c r="AW676">
        <f>AR676*AT676*AQ676</f>
        <v/>
      </c>
      <c r="AX676">
        <f>AR676*AS676</f>
        <v/>
      </c>
      <c r="AY676">
        <f>AR676*AT676</f>
        <v/>
      </c>
      <c r="AZ676">
        <f>AR676*AQ676</f>
        <v/>
      </c>
      <c r="BA676">
        <f>AR676</f>
        <v/>
      </c>
      <c r="BB676">
        <f>1</f>
        <v/>
      </c>
      <c r="BC676">
        <f>IF(AV676=1,1,IF(AW676=1,2,IF(AX676=1,3,IF(AY676=1,4,IF(AZ676=1,5,IF(BA676=1,6,7))))))</f>
        <v/>
      </c>
      <c r="BD676">
        <f>IF(AD676=1,CHOOSE('Historical Score'!$C$29,AV676,AW676,AX676,AY676,AZ676,BA676,BB676),0)</f>
        <v/>
      </c>
      <c r="BE676">
        <f>IF(BD676=1,COUNTIF($BD$2:BD676,1),"")</f>
        <v/>
      </c>
    </row>
    <row r="677">
      <c r="A677" t="inlineStr">
        <is>
          <t>5674179535</t>
        </is>
      </c>
      <c r="B677" t="inlineStr">
        <is>
          <t>KICHI &amp; LEON LLC</t>
        </is>
      </c>
      <c r="C677" t="inlineStr">
        <is>
          <t>KICHI &amp; LEON LLC</t>
        </is>
      </c>
      <c r="D677" t="inlineStr">
        <is>
          <t>Legal</t>
        </is>
      </c>
      <c r="E677" s="297" t="n">
        <v>46085</v>
      </c>
      <c r="F677" s="297" t="n">
        <v>46162</v>
      </c>
      <c r="G677" t="n">
        <v>2</v>
      </c>
      <c r="H677" t="inlineStr">
        <is>
          <t>5399</t>
        </is>
      </c>
      <c r="I677" t="inlineStr">
        <is>
          <t>53</t>
        </is>
      </c>
      <c r="J677" t="inlineStr">
        <is>
          <t>FL</t>
        </is>
      </c>
      <c r="K677" t="inlineStr">
        <is>
          <t>Ballicci</t>
        </is>
      </c>
      <c r="L677" t="inlineStr">
        <is>
          <t>New Deal</t>
        </is>
      </c>
      <c r="M677" s="298" t="n">
        <v>1.49</v>
      </c>
      <c r="N677" s="299" t="n">
        <v>35000</v>
      </c>
      <c r="O677" s="299" t="n">
        <v>4900</v>
      </c>
      <c r="P677" s="299" t="n">
        <v>52150</v>
      </c>
      <c r="Q677" s="299" t="n">
        <v>12594.99</v>
      </c>
      <c r="R677" s="299" t="n">
        <v>39555.01</v>
      </c>
      <c r="S677" s="300" t="n">
        <v>0.241514669223394</v>
      </c>
      <c r="T677" t="n">
        <v>3.934</v>
      </c>
      <c r="U677" t="n">
        <v>27</v>
      </c>
      <c r="V677" t="n">
        <v>154586.63</v>
      </c>
      <c r="W677" s="300" t="n">
        <v>0.059</v>
      </c>
      <c r="X677" s="297" t="n">
        <v>44317</v>
      </c>
      <c r="Y677">
        <f>IF(I677="","No SIC",IFERROR(VLOOKUP(I677,Ref!$A$2:$B$65,2,FALSE),"Unclassified"))</f>
        <v/>
      </c>
      <c r="Z677">
        <f>IF(T677="","",IF(T677&lt;12,"Daily","Weekly"))</f>
        <v/>
      </c>
      <c r="AA677">
        <f>IF(T677="",0,IF(T677&lt;12,T677*Controls!$B$29,T677*5))</f>
        <v/>
      </c>
      <c r="AB677">
        <f>IF(E677="",0,NETWORKDAYS(E677,Controls!$B$36,Ref!$K$2:$K$42))</f>
        <v/>
      </c>
      <c r="AC677">
        <f>IF(AND(AA677&gt;0,AB677&gt;=Controls!$B$39*AA677),1,0)</f>
        <v/>
      </c>
      <c r="AD677">
        <f>IF(AND(E677&lt;&gt;"",E677&gt;=Controls!$B$37,E677&lt;=Controls!$B$38),1,0)</f>
        <v/>
      </c>
      <c r="AE677">
        <f>IF(IFERROR(VLOOKUP(D677,Controls!$A$64:$E$74,2,FALSE),"No")="Yes",1,0)</f>
        <v/>
      </c>
      <c r="AF677">
        <f>IF(IFERROR(VLOOKUP(D677,Controls!$A$64:$E$74,3,FALSE),"No")="Yes",1,0)</f>
        <v/>
      </c>
      <c r="AG677">
        <f>IF(IFERROR(VLOOKUP(D677,Controls!$A$64:$E$74,4,FALSE),"No")="Yes",1,0)</f>
        <v/>
      </c>
      <c r="AH677">
        <f>IF(IFERROR(VLOOKUP(D677,Controls!$A$64:$E$74,5,FALSE),"No")="Yes",1,0)</f>
        <v/>
      </c>
      <c r="AI677">
        <f>IF(ISNUMBER(MATCH(D677,Controls!$A$64:$A$74,0)),1,0)</f>
        <v/>
      </c>
      <c r="AJ677">
        <f>Q677-N677</f>
        <v/>
      </c>
      <c r="AK677">
        <f>IF(AE677=1,MAX(0,N677-Q677),0)</f>
        <v/>
      </c>
      <c r="AL677">
        <f>IF(OR(V677="",V677=0),0,N677/V677)</f>
        <v/>
      </c>
      <c r="AM677">
        <f>IF(OR(V677="",V677=0),0,1)</f>
        <v/>
      </c>
      <c r="AN677">
        <f>IF(OR(E677="",F677=""),0,NETWORKDAYS(E677,F677,Ref!$K$2:$K$42))</f>
        <v/>
      </c>
      <c r="AO677">
        <f>IF(L677="Renewal",1,0)</f>
        <v/>
      </c>
      <c r="AP677">
        <f>AC677*AD677</f>
        <v/>
      </c>
      <c r="AQ677">
        <f>IF(AND(G677&lt;&gt;"",'Historical Score'!$C$6&lt;&gt;""),IF(G677='Historical Score'!$C$6,1,0),0)</f>
        <v/>
      </c>
      <c r="AR677">
        <f>IF(AND(L677&lt;&gt;"",'Historical Score'!$C$5&lt;&gt;""),IF(L677='Historical Score'!$C$5,1,0),0)</f>
        <v/>
      </c>
      <c r="AS677">
        <f>IF(AND(Y677&lt;&gt;"",'Historical Score'!$C$7&lt;&gt;""),IF(Y677='Historical Score'!$C$7,1,0),0)</f>
        <v/>
      </c>
      <c r="AT677">
        <f>IF(AND(K677&lt;&gt;"",'Historical Score'!$C$8&lt;&gt;""),IF(K677='Historical Score'!$C$8,1,0),0)</f>
        <v/>
      </c>
      <c r="AU677">
        <f>IF(AND(J677&lt;&gt;"",'Historical Score'!$C$9&lt;&gt;""),IF(J677='Historical Score'!$C$9,1,0),0)</f>
        <v/>
      </c>
      <c r="AV677">
        <f>AR677*AS677*AQ677</f>
        <v/>
      </c>
      <c r="AW677">
        <f>AR677*AT677*AQ677</f>
        <v/>
      </c>
      <c r="AX677">
        <f>AR677*AS677</f>
        <v/>
      </c>
      <c r="AY677">
        <f>AR677*AT677</f>
        <v/>
      </c>
      <c r="AZ677">
        <f>AR677*AQ677</f>
        <v/>
      </c>
      <c r="BA677">
        <f>AR677</f>
        <v/>
      </c>
      <c r="BB677">
        <f>1</f>
        <v/>
      </c>
      <c r="BC677">
        <f>IF(AV677=1,1,IF(AW677=1,2,IF(AX677=1,3,IF(AY677=1,4,IF(AZ677=1,5,IF(BA677=1,6,7))))))</f>
        <v/>
      </c>
      <c r="BD677">
        <f>IF(AD677=1,CHOOSE('Historical Score'!$C$29,AV677,AW677,AX677,AY677,AZ677,BA677,BB677),0)</f>
        <v/>
      </c>
      <c r="BE677">
        <f>IF(BD677=1,COUNTIF($BD$2:BD677,1),"")</f>
        <v/>
      </c>
    </row>
    <row r="678">
      <c r="A678" t="inlineStr">
        <is>
          <t>5674179543</t>
        </is>
      </c>
      <c r="B678" t="inlineStr">
        <is>
          <t>Lion Chef Africa LLC</t>
        </is>
      </c>
      <c r="C678" t="inlineStr">
        <is>
          <t>Lion Chef Africa LLC</t>
        </is>
      </c>
      <c r="D678" t="inlineStr">
        <is>
          <t>Legal</t>
        </is>
      </c>
      <c r="E678" s="297" t="n">
        <v>46085</v>
      </c>
      <c r="F678" s="297" t="n">
        <v>46119</v>
      </c>
      <c r="G678" t="n">
        <v>3</v>
      </c>
      <c r="H678" t="inlineStr">
        <is>
          <t>5812</t>
        </is>
      </c>
      <c r="I678" t="inlineStr">
        <is>
          <t>58</t>
        </is>
      </c>
      <c r="J678" t="inlineStr">
        <is>
          <t>WA</t>
        </is>
      </c>
      <c r="K678" t="inlineStr">
        <is>
          <t>TRUSTFI</t>
        </is>
      </c>
      <c r="L678" t="inlineStr">
        <is>
          <t>New Deal</t>
        </is>
      </c>
      <c r="M678" s="298" t="n">
        <v>1.49</v>
      </c>
      <c r="N678" s="299" t="n">
        <v>15000</v>
      </c>
      <c r="O678" s="299" t="n">
        <v>0</v>
      </c>
      <c r="P678" s="299" t="n">
        <v>22350</v>
      </c>
      <c r="Q678" s="299" t="n">
        <v>5215.77</v>
      </c>
      <c r="R678" s="299" t="n">
        <v>17134.23</v>
      </c>
      <c r="S678" s="300" t="n">
        <v>0.233367785234899</v>
      </c>
      <c r="T678" t="n">
        <v>2.951</v>
      </c>
      <c r="U678" t="n">
        <v>3</v>
      </c>
      <c r="V678" t="n">
        <v>27846.81</v>
      </c>
      <c r="W678" s="300" t="n">
        <v>0.1873</v>
      </c>
      <c r="X678" s="297" t="n">
        <v>45231</v>
      </c>
      <c r="Y678">
        <f>IF(I678="","No SIC",IFERROR(VLOOKUP(I678,Ref!$A$2:$B$65,2,FALSE),"Unclassified"))</f>
        <v/>
      </c>
      <c r="Z678">
        <f>IF(T678="","",IF(T678&lt;12,"Daily","Weekly"))</f>
        <v/>
      </c>
      <c r="AA678">
        <f>IF(T678="",0,IF(T678&lt;12,T678*Controls!$B$29,T678*5))</f>
        <v/>
      </c>
      <c r="AB678">
        <f>IF(E678="",0,NETWORKDAYS(E678,Controls!$B$36,Ref!$K$2:$K$42))</f>
        <v/>
      </c>
      <c r="AC678">
        <f>IF(AND(AA678&gt;0,AB678&gt;=Controls!$B$39*AA678),1,0)</f>
        <v/>
      </c>
      <c r="AD678">
        <f>IF(AND(E678&lt;&gt;"",E678&gt;=Controls!$B$37,E678&lt;=Controls!$B$38),1,0)</f>
        <v/>
      </c>
      <c r="AE678">
        <f>IF(IFERROR(VLOOKUP(D678,Controls!$A$64:$E$74,2,FALSE),"No")="Yes",1,0)</f>
        <v/>
      </c>
      <c r="AF678">
        <f>IF(IFERROR(VLOOKUP(D678,Controls!$A$64:$E$74,3,FALSE),"No")="Yes",1,0)</f>
        <v/>
      </c>
      <c r="AG678">
        <f>IF(IFERROR(VLOOKUP(D678,Controls!$A$64:$E$74,4,FALSE),"No")="Yes",1,0)</f>
        <v/>
      </c>
      <c r="AH678">
        <f>IF(IFERROR(VLOOKUP(D678,Controls!$A$64:$E$74,5,FALSE),"No")="Yes",1,0)</f>
        <v/>
      </c>
      <c r="AI678">
        <f>IF(ISNUMBER(MATCH(D678,Controls!$A$64:$A$74,0)),1,0)</f>
        <v/>
      </c>
      <c r="AJ678">
        <f>Q678-N678</f>
        <v/>
      </c>
      <c r="AK678">
        <f>IF(AE678=1,MAX(0,N678-Q678),0)</f>
        <v/>
      </c>
      <c r="AL678">
        <f>IF(OR(V678="",V678=0),0,N678/V678)</f>
        <v/>
      </c>
      <c r="AM678">
        <f>IF(OR(V678="",V678=0),0,1)</f>
        <v/>
      </c>
      <c r="AN678">
        <f>IF(OR(E678="",F678=""),0,NETWORKDAYS(E678,F678,Ref!$K$2:$K$42))</f>
        <v/>
      </c>
      <c r="AO678">
        <f>IF(L678="Renewal",1,0)</f>
        <v/>
      </c>
      <c r="AP678">
        <f>AC678*AD678</f>
        <v/>
      </c>
      <c r="AQ678">
        <f>IF(AND(G678&lt;&gt;"",'Historical Score'!$C$6&lt;&gt;""),IF(G678='Historical Score'!$C$6,1,0),0)</f>
        <v/>
      </c>
      <c r="AR678">
        <f>IF(AND(L678&lt;&gt;"",'Historical Score'!$C$5&lt;&gt;""),IF(L678='Historical Score'!$C$5,1,0),0)</f>
        <v/>
      </c>
      <c r="AS678">
        <f>IF(AND(Y678&lt;&gt;"",'Historical Score'!$C$7&lt;&gt;""),IF(Y678='Historical Score'!$C$7,1,0),0)</f>
        <v/>
      </c>
      <c r="AT678">
        <f>IF(AND(K678&lt;&gt;"",'Historical Score'!$C$8&lt;&gt;""),IF(K678='Historical Score'!$C$8,1,0),0)</f>
        <v/>
      </c>
      <c r="AU678">
        <f>IF(AND(J678&lt;&gt;"",'Historical Score'!$C$9&lt;&gt;""),IF(J678='Historical Score'!$C$9,1,0),0)</f>
        <v/>
      </c>
      <c r="AV678">
        <f>AR678*AS678*AQ678</f>
        <v/>
      </c>
      <c r="AW678">
        <f>AR678*AT678*AQ678</f>
        <v/>
      </c>
      <c r="AX678">
        <f>AR678*AS678</f>
        <v/>
      </c>
      <c r="AY678">
        <f>AR678*AT678</f>
        <v/>
      </c>
      <c r="AZ678">
        <f>AR678*AQ678</f>
        <v/>
      </c>
      <c r="BA678">
        <f>AR678</f>
        <v/>
      </c>
      <c r="BB678">
        <f>1</f>
        <v/>
      </c>
      <c r="BC678">
        <f>IF(AV678=1,1,IF(AW678=1,2,IF(AX678=1,3,IF(AY678=1,4,IF(AZ678=1,5,IF(BA678=1,6,7))))))</f>
        <v/>
      </c>
      <c r="BD678">
        <f>IF(AD678=1,CHOOSE('Historical Score'!$C$29,AV678,AW678,AX678,AY678,AZ678,BA678,BB678),0)</f>
        <v/>
      </c>
      <c r="BE678">
        <f>IF(BD678=1,COUNTIF($BD$2:BD678,1),"")</f>
        <v/>
      </c>
    </row>
    <row r="679">
      <c r="A679" t="inlineStr">
        <is>
          <t>5674179580</t>
        </is>
      </c>
      <c r="B679" t="inlineStr">
        <is>
          <t>WIN ICE LLC</t>
        </is>
      </c>
      <c r="C679" t="inlineStr">
        <is>
          <t>WIN ICE LLC</t>
        </is>
      </c>
      <c r="D679" t="inlineStr">
        <is>
          <t>Closed</t>
        </is>
      </c>
      <c r="E679" s="297" t="n">
        <v>46086</v>
      </c>
      <c r="F679" s="297" t="n">
        <v>46176</v>
      </c>
      <c r="G679" t="n">
        <v>3</v>
      </c>
      <c r="H679" t="inlineStr">
        <is>
          <t>5399</t>
        </is>
      </c>
      <c r="I679" t="inlineStr">
        <is>
          <t>53</t>
        </is>
      </c>
      <c r="J679" t="inlineStr">
        <is>
          <t>TX</t>
        </is>
      </c>
      <c r="K679" t="inlineStr">
        <is>
          <t>United Secured Capital 8</t>
        </is>
      </c>
      <c r="L679" t="inlineStr">
        <is>
          <t>New Deal</t>
        </is>
      </c>
      <c r="M679" s="298" t="n">
        <v>1.49</v>
      </c>
      <c r="N679" s="299" t="n">
        <v>10000</v>
      </c>
      <c r="O679" s="299" t="n">
        <v>1400</v>
      </c>
      <c r="P679" s="299" t="n">
        <v>14900</v>
      </c>
      <c r="Q679" s="299" t="n">
        <v>14900</v>
      </c>
      <c r="R679" s="299" t="n">
        <v>0</v>
      </c>
      <c r="S679" s="300" t="n">
        <v>1</v>
      </c>
      <c r="T679" t="n">
        <v>2.623</v>
      </c>
      <c r="U679" t="n">
        <v>0</v>
      </c>
      <c r="V679" t="n">
        <v>68415.85000000001</v>
      </c>
      <c r="W679" s="300" t="n">
        <v>0.0428</v>
      </c>
      <c r="X679" s="297" t="n">
        <v>39882</v>
      </c>
      <c r="Y679">
        <f>IF(I679="","No SIC",IFERROR(VLOOKUP(I679,Ref!$A$2:$B$65,2,FALSE),"Unclassified"))</f>
        <v/>
      </c>
      <c r="Z679">
        <f>IF(T679="","",IF(T679&lt;12,"Daily","Weekly"))</f>
        <v/>
      </c>
      <c r="AA679">
        <f>IF(T679="",0,IF(T679&lt;12,T679*Controls!$B$29,T679*5))</f>
        <v/>
      </c>
      <c r="AB679">
        <f>IF(E679="",0,NETWORKDAYS(E679,Controls!$B$36,Ref!$K$2:$K$42))</f>
        <v/>
      </c>
      <c r="AC679">
        <f>IF(AND(AA679&gt;0,AB679&gt;=Controls!$B$39*AA679),1,0)</f>
        <v/>
      </c>
      <c r="AD679">
        <f>IF(AND(E679&lt;&gt;"",E679&gt;=Controls!$B$37,E679&lt;=Controls!$B$38),1,0)</f>
        <v/>
      </c>
      <c r="AE679">
        <f>IF(IFERROR(VLOOKUP(D679,Controls!$A$64:$E$74,2,FALSE),"No")="Yes",1,0)</f>
        <v/>
      </c>
      <c r="AF679">
        <f>IF(IFERROR(VLOOKUP(D679,Controls!$A$64:$E$74,3,FALSE),"No")="Yes",1,0)</f>
        <v/>
      </c>
      <c r="AG679">
        <f>IF(IFERROR(VLOOKUP(D679,Controls!$A$64:$E$74,4,FALSE),"No")="Yes",1,0)</f>
        <v/>
      </c>
      <c r="AH679">
        <f>IF(IFERROR(VLOOKUP(D679,Controls!$A$64:$E$74,5,FALSE),"No")="Yes",1,0)</f>
        <v/>
      </c>
      <c r="AI679">
        <f>IF(ISNUMBER(MATCH(D679,Controls!$A$64:$A$74,0)),1,0)</f>
        <v/>
      </c>
      <c r="AJ679">
        <f>Q679-N679</f>
        <v/>
      </c>
      <c r="AK679">
        <f>IF(AE679=1,MAX(0,N679-Q679),0)</f>
        <v/>
      </c>
      <c r="AL679">
        <f>IF(OR(V679="",V679=0),0,N679/V679)</f>
        <v/>
      </c>
      <c r="AM679">
        <f>IF(OR(V679="",V679=0),0,1)</f>
        <v/>
      </c>
      <c r="AN679">
        <f>IF(OR(E679="",F679=""),0,NETWORKDAYS(E679,F679,Ref!$K$2:$K$42))</f>
        <v/>
      </c>
      <c r="AO679">
        <f>IF(L679="Renewal",1,0)</f>
        <v/>
      </c>
      <c r="AP679">
        <f>AC679*AD679</f>
        <v/>
      </c>
      <c r="AQ679">
        <f>IF(AND(G679&lt;&gt;"",'Historical Score'!$C$6&lt;&gt;""),IF(G679='Historical Score'!$C$6,1,0),0)</f>
        <v/>
      </c>
      <c r="AR679">
        <f>IF(AND(L679&lt;&gt;"",'Historical Score'!$C$5&lt;&gt;""),IF(L679='Historical Score'!$C$5,1,0),0)</f>
        <v/>
      </c>
      <c r="AS679">
        <f>IF(AND(Y679&lt;&gt;"",'Historical Score'!$C$7&lt;&gt;""),IF(Y679='Historical Score'!$C$7,1,0),0)</f>
        <v/>
      </c>
      <c r="AT679">
        <f>IF(AND(K679&lt;&gt;"",'Historical Score'!$C$8&lt;&gt;""),IF(K679='Historical Score'!$C$8,1,0),0)</f>
        <v/>
      </c>
      <c r="AU679">
        <f>IF(AND(J679&lt;&gt;"",'Historical Score'!$C$9&lt;&gt;""),IF(J679='Historical Score'!$C$9,1,0),0)</f>
        <v/>
      </c>
      <c r="AV679">
        <f>AR679*AS679*AQ679</f>
        <v/>
      </c>
      <c r="AW679">
        <f>AR679*AT679*AQ679</f>
        <v/>
      </c>
      <c r="AX679">
        <f>AR679*AS679</f>
        <v/>
      </c>
      <c r="AY679">
        <f>AR679*AT679</f>
        <v/>
      </c>
      <c r="AZ679">
        <f>AR679*AQ679</f>
        <v/>
      </c>
      <c r="BA679">
        <f>AR679</f>
        <v/>
      </c>
      <c r="BB679">
        <f>1</f>
        <v/>
      </c>
      <c r="BC679">
        <f>IF(AV679=1,1,IF(AW679=1,2,IF(AX679=1,3,IF(AY679=1,4,IF(AZ679=1,5,IF(BA679=1,6,7))))))</f>
        <v/>
      </c>
      <c r="BD679">
        <f>IF(AD679=1,CHOOSE('Historical Score'!$C$29,AV679,AW679,AX679,AY679,AZ679,BA679,BB679),0)</f>
        <v/>
      </c>
      <c r="BE679">
        <f>IF(BD679=1,COUNTIF($BD$2:BD679,1),"")</f>
        <v/>
      </c>
    </row>
    <row r="680">
      <c r="A680" t="inlineStr">
        <is>
          <t>5674179592</t>
        </is>
      </c>
      <c r="B680" t="inlineStr">
        <is>
          <t>Line-x Of Santa Maria</t>
        </is>
      </c>
      <c r="C680" t="inlineStr">
        <is>
          <t>LINE-X OF SANTA MARIA</t>
        </is>
      </c>
      <c r="D680" t="inlineStr">
        <is>
          <t>Closed</t>
        </is>
      </c>
      <c r="E680" s="297" t="n">
        <v>46086</v>
      </c>
      <c r="F680" s="297" t="n">
        <v>46195</v>
      </c>
      <c r="G680" t="n">
        <v>2</v>
      </c>
      <c r="H680" t="inlineStr">
        <is>
          <t>5399</t>
        </is>
      </c>
      <c r="I680" t="inlineStr">
        <is>
          <t>53</t>
        </is>
      </c>
      <c r="J680" t="inlineStr">
        <is>
          <t>CA</t>
        </is>
      </c>
      <c r="K680" t="inlineStr">
        <is>
          <t>Ballicci</t>
        </is>
      </c>
      <c r="L680" t="inlineStr">
        <is>
          <t>New Deal</t>
        </is>
      </c>
      <c r="M680" s="298" t="n">
        <v>1.49</v>
      </c>
      <c r="N680" s="299" t="n">
        <v>15000</v>
      </c>
      <c r="O680" s="299" t="n">
        <v>2100</v>
      </c>
      <c r="P680" s="299" t="n">
        <v>22350</v>
      </c>
      <c r="Q680" s="299" t="n">
        <v>22350</v>
      </c>
      <c r="R680" s="299" t="n">
        <v>0</v>
      </c>
      <c r="S680" s="300" t="n">
        <v>1</v>
      </c>
      <c r="T680" t="n">
        <v>2.951</v>
      </c>
      <c r="U680" t="n">
        <v>14</v>
      </c>
      <c r="V680" t="n">
        <v>33197.73</v>
      </c>
      <c r="W680" s="300" t="n">
        <v>0.1571</v>
      </c>
      <c r="X680" s="297" t="n">
        <v>36911</v>
      </c>
      <c r="Y680">
        <f>IF(I680="","No SIC",IFERROR(VLOOKUP(I680,Ref!$A$2:$B$65,2,FALSE),"Unclassified"))</f>
        <v/>
      </c>
      <c r="Z680">
        <f>IF(T680="","",IF(T680&lt;12,"Daily","Weekly"))</f>
        <v/>
      </c>
      <c r="AA680">
        <f>IF(T680="",0,IF(T680&lt;12,T680*Controls!$B$29,T680*5))</f>
        <v/>
      </c>
      <c r="AB680">
        <f>IF(E680="",0,NETWORKDAYS(E680,Controls!$B$36,Ref!$K$2:$K$42))</f>
        <v/>
      </c>
      <c r="AC680">
        <f>IF(AND(AA680&gt;0,AB680&gt;=Controls!$B$39*AA680),1,0)</f>
        <v/>
      </c>
      <c r="AD680">
        <f>IF(AND(E680&lt;&gt;"",E680&gt;=Controls!$B$37,E680&lt;=Controls!$B$38),1,0)</f>
        <v/>
      </c>
      <c r="AE680">
        <f>IF(IFERROR(VLOOKUP(D680,Controls!$A$64:$E$74,2,FALSE),"No")="Yes",1,0)</f>
        <v/>
      </c>
      <c r="AF680">
        <f>IF(IFERROR(VLOOKUP(D680,Controls!$A$64:$E$74,3,FALSE),"No")="Yes",1,0)</f>
        <v/>
      </c>
      <c r="AG680">
        <f>IF(IFERROR(VLOOKUP(D680,Controls!$A$64:$E$74,4,FALSE),"No")="Yes",1,0)</f>
        <v/>
      </c>
      <c r="AH680">
        <f>IF(IFERROR(VLOOKUP(D680,Controls!$A$64:$E$74,5,FALSE),"No")="Yes",1,0)</f>
        <v/>
      </c>
      <c r="AI680">
        <f>IF(ISNUMBER(MATCH(D680,Controls!$A$64:$A$74,0)),1,0)</f>
        <v/>
      </c>
      <c r="AJ680">
        <f>Q680-N680</f>
        <v/>
      </c>
      <c r="AK680">
        <f>IF(AE680=1,MAX(0,N680-Q680),0)</f>
        <v/>
      </c>
      <c r="AL680">
        <f>IF(OR(V680="",V680=0),0,N680/V680)</f>
        <v/>
      </c>
      <c r="AM680">
        <f>IF(OR(V680="",V680=0),0,1)</f>
        <v/>
      </c>
      <c r="AN680">
        <f>IF(OR(E680="",F680=""),0,NETWORKDAYS(E680,F680,Ref!$K$2:$K$42))</f>
        <v/>
      </c>
      <c r="AO680">
        <f>IF(L680="Renewal",1,0)</f>
        <v/>
      </c>
      <c r="AP680">
        <f>AC680*AD680</f>
        <v/>
      </c>
      <c r="AQ680">
        <f>IF(AND(G680&lt;&gt;"",'Historical Score'!$C$6&lt;&gt;""),IF(G680='Historical Score'!$C$6,1,0),0)</f>
        <v/>
      </c>
      <c r="AR680">
        <f>IF(AND(L680&lt;&gt;"",'Historical Score'!$C$5&lt;&gt;""),IF(L680='Historical Score'!$C$5,1,0),0)</f>
        <v/>
      </c>
      <c r="AS680">
        <f>IF(AND(Y680&lt;&gt;"",'Historical Score'!$C$7&lt;&gt;""),IF(Y680='Historical Score'!$C$7,1,0),0)</f>
        <v/>
      </c>
      <c r="AT680">
        <f>IF(AND(K680&lt;&gt;"",'Historical Score'!$C$8&lt;&gt;""),IF(K680='Historical Score'!$C$8,1,0),0)</f>
        <v/>
      </c>
      <c r="AU680">
        <f>IF(AND(J680&lt;&gt;"",'Historical Score'!$C$9&lt;&gt;""),IF(J680='Historical Score'!$C$9,1,0),0)</f>
        <v/>
      </c>
      <c r="AV680">
        <f>AR680*AS680*AQ680</f>
        <v/>
      </c>
      <c r="AW680">
        <f>AR680*AT680*AQ680</f>
        <v/>
      </c>
      <c r="AX680">
        <f>AR680*AS680</f>
        <v/>
      </c>
      <c r="AY680">
        <f>AR680*AT680</f>
        <v/>
      </c>
      <c r="AZ680">
        <f>AR680*AQ680</f>
        <v/>
      </c>
      <c r="BA680">
        <f>AR680</f>
        <v/>
      </c>
      <c r="BB680">
        <f>1</f>
        <v/>
      </c>
      <c r="BC680">
        <f>IF(AV680=1,1,IF(AW680=1,2,IF(AX680=1,3,IF(AY680=1,4,IF(AZ680=1,5,IF(BA680=1,6,7))))))</f>
        <v/>
      </c>
      <c r="BD680">
        <f>IF(AD680=1,CHOOSE('Historical Score'!$C$29,AV680,AW680,AX680,AY680,AZ680,BA680,BB680),0)</f>
        <v/>
      </c>
      <c r="BE680">
        <f>IF(BD680=1,COUNTIF($BD$2:BD680,1),"")</f>
        <v/>
      </c>
    </row>
    <row r="681">
      <c r="A681" t="inlineStr">
        <is>
          <t>5674179602</t>
        </is>
      </c>
      <c r="B681" t="inlineStr">
        <is>
          <t>Candy Apple Agency</t>
        </is>
      </c>
      <c r="C681" t="inlineStr">
        <is>
          <t>Candy ent LLC</t>
        </is>
      </c>
      <c r="D681" t="inlineStr">
        <is>
          <t>Legal</t>
        </is>
      </c>
      <c r="E681" s="297" t="n">
        <v>46086</v>
      </c>
      <c r="F681" s="297" t="n">
        <v>46122</v>
      </c>
      <c r="G681" t="n">
        <v>3</v>
      </c>
      <c r="H681" t="inlineStr">
        <is>
          <t>7922</t>
        </is>
      </c>
      <c r="I681" t="inlineStr">
        <is>
          <t>79</t>
        </is>
      </c>
      <c r="J681" t="inlineStr">
        <is>
          <t>FL</t>
        </is>
      </c>
      <c r="K681" t="inlineStr">
        <is>
          <t>Merchant Advance Now</t>
        </is>
      </c>
      <c r="L681" t="inlineStr">
        <is>
          <t>New Deal</t>
        </is>
      </c>
      <c r="M681" s="298" t="n">
        <v>1.49</v>
      </c>
      <c r="N681" s="299" t="n">
        <v>10000</v>
      </c>
      <c r="O681" s="299" t="n">
        <v>0</v>
      </c>
      <c r="P681" s="299" t="n">
        <v>14900</v>
      </c>
      <c r="Q681" s="299" t="n">
        <v>1725</v>
      </c>
      <c r="R681" s="299" t="n">
        <v>13175</v>
      </c>
      <c r="S681" s="300" t="n">
        <v>0.115771812080537</v>
      </c>
      <c r="T681" t="n">
        <v>26</v>
      </c>
      <c r="U681" t="n">
        <v>2</v>
      </c>
      <c r="V681" t="n">
        <v>91002.14999999999</v>
      </c>
      <c r="W681" s="300" t="n">
        <v>0.0253</v>
      </c>
      <c r="X681" s="297" t="n"/>
      <c r="Y681">
        <f>IF(I681="","No SIC",IFERROR(VLOOKUP(I681,Ref!$A$2:$B$65,2,FALSE),"Unclassified"))</f>
        <v/>
      </c>
      <c r="Z681">
        <f>IF(T681="","",IF(T681&lt;12,"Daily","Weekly"))</f>
        <v/>
      </c>
      <c r="AA681">
        <f>IF(T681="",0,IF(T681&lt;12,T681*Controls!$B$29,T681*5))</f>
        <v/>
      </c>
      <c r="AB681">
        <f>IF(E681="",0,NETWORKDAYS(E681,Controls!$B$36,Ref!$K$2:$K$42))</f>
        <v/>
      </c>
      <c r="AC681">
        <f>IF(AND(AA681&gt;0,AB681&gt;=Controls!$B$39*AA681),1,0)</f>
        <v/>
      </c>
      <c r="AD681">
        <f>IF(AND(E681&lt;&gt;"",E681&gt;=Controls!$B$37,E681&lt;=Controls!$B$38),1,0)</f>
        <v/>
      </c>
      <c r="AE681">
        <f>IF(IFERROR(VLOOKUP(D681,Controls!$A$64:$E$74,2,FALSE),"No")="Yes",1,0)</f>
        <v/>
      </c>
      <c r="AF681">
        <f>IF(IFERROR(VLOOKUP(D681,Controls!$A$64:$E$74,3,FALSE),"No")="Yes",1,0)</f>
        <v/>
      </c>
      <c r="AG681">
        <f>IF(IFERROR(VLOOKUP(D681,Controls!$A$64:$E$74,4,FALSE),"No")="Yes",1,0)</f>
        <v/>
      </c>
      <c r="AH681">
        <f>IF(IFERROR(VLOOKUP(D681,Controls!$A$64:$E$74,5,FALSE),"No")="Yes",1,0)</f>
        <v/>
      </c>
      <c r="AI681">
        <f>IF(ISNUMBER(MATCH(D681,Controls!$A$64:$A$74,0)),1,0)</f>
        <v/>
      </c>
      <c r="AJ681">
        <f>Q681-N681</f>
        <v/>
      </c>
      <c r="AK681">
        <f>IF(AE681=1,MAX(0,N681-Q681),0)</f>
        <v/>
      </c>
      <c r="AL681">
        <f>IF(OR(V681="",V681=0),0,N681/V681)</f>
        <v/>
      </c>
      <c r="AM681">
        <f>IF(OR(V681="",V681=0),0,1)</f>
        <v/>
      </c>
      <c r="AN681">
        <f>IF(OR(E681="",F681=""),0,NETWORKDAYS(E681,F681,Ref!$K$2:$K$42))</f>
        <v/>
      </c>
      <c r="AO681">
        <f>IF(L681="Renewal",1,0)</f>
        <v/>
      </c>
      <c r="AP681">
        <f>AC681*AD681</f>
        <v/>
      </c>
      <c r="AQ681">
        <f>IF(AND(G681&lt;&gt;"",'Historical Score'!$C$6&lt;&gt;""),IF(G681='Historical Score'!$C$6,1,0),0)</f>
        <v/>
      </c>
      <c r="AR681">
        <f>IF(AND(L681&lt;&gt;"",'Historical Score'!$C$5&lt;&gt;""),IF(L681='Historical Score'!$C$5,1,0),0)</f>
        <v/>
      </c>
      <c r="AS681">
        <f>IF(AND(Y681&lt;&gt;"",'Historical Score'!$C$7&lt;&gt;""),IF(Y681='Historical Score'!$C$7,1,0),0)</f>
        <v/>
      </c>
      <c r="AT681">
        <f>IF(AND(K681&lt;&gt;"",'Historical Score'!$C$8&lt;&gt;""),IF(K681='Historical Score'!$C$8,1,0),0)</f>
        <v/>
      </c>
      <c r="AU681">
        <f>IF(AND(J681&lt;&gt;"",'Historical Score'!$C$9&lt;&gt;""),IF(J681='Historical Score'!$C$9,1,0),0)</f>
        <v/>
      </c>
      <c r="AV681">
        <f>AR681*AS681*AQ681</f>
        <v/>
      </c>
      <c r="AW681">
        <f>AR681*AT681*AQ681</f>
        <v/>
      </c>
      <c r="AX681">
        <f>AR681*AS681</f>
        <v/>
      </c>
      <c r="AY681">
        <f>AR681*AT681</f>
        <v/>
      </c>
      <c r="AZ681">
        <f>AR681*AQ681</f>
        <v/>
      </c>
      <c r="BA681">
        <f>AR681</f>
        <v/>
      </c>
      <c r="BB681">
        <f>1</f>
        <v/>
      </c>
      <c r="BC681">
        <f>IF(AV681=1,1,IF(AW681=1,2,IF(AX681=1,3,IF(AY681=1,4,IF(AZ681=1,5,IF(BA681=1,6,7))))))</f>
        <v/>
      </c>
      <c r="BD681">
        <f>IF(AD681=1,CHOOSE('Historical Score'!$C$29,AV681,AW681,AX681,AY681,AZ681,BA681,BB681),0)</f>
        <v/>
      </c>
      <c r="BE681">
        <f>IF(BD681=1,COUNTIF($BD$2:BD681,1),"")</f>
        <v/>
      </c>
    </row>
    <row r="682">
      <c r="A682" t="inlineStr">
        <is>
          <t>5674179613</t>
        </is>
      </c>
      <c r="B682" t="inlineStr">
        <is>
          <t>RON KING LLC</t>
        </is>
      </c>
      <c r="C682" t="inlineStr">
        <is>
          <t>RON KING LLC</t>
        </is>
      </c>
      <c r="D682" t="inlineStr">
        <is>
          <t>Open</t>
        </is>
      </c>
      <c r="E682" s="297" t="n">
        <v>46086</v>
      </c>
      <c r="F682" s="297" t="n">
        <v>46253</v>
      </c>
      <c r="G682" t="n">
        <v>3</v>
      </c>
      <c r="H682" t="inlineStr">
        <is>
          <t>1521</t>
        </is>
      </c>
      <c r="I682" t="inlineStr">
        <is>
          <t>15</t>
        </is>
      </c>
      <c r="J682" t="inlineStr">
        <is>
          <t>TX</t>
        </is>
      </c>
      <c r="K682" t="inlineStr">
        <is>
          <t>Westwood</t>
        </is>
      </c>
      <c r="L682" t="inlineStr">
        <is>
          <t>Renewal</t>
        </is>
      </c>
      <c r="M682" s="298" t="n">
        <v>1.49</v>
      </c>
      <c r="N682" s="299" t="n">
        <v>55000</v>
      </c>
      <c r="O682" s="299" t="n">
        <v>7700</v>
      </c>
      <c r="P682" s="299" t="n">
        <v>81950</v>
      </c>
      <c r="Q682" s="299" t="n">
        <v>63934.65</v>
      </c>
      <c r="R682" s="299" t="n">
        <v>18015.35</v>
      </c>
      <c r="S682" s="300" t="n">
        <v>0.780166564978646</v>
      </c>
      <c r="T682" t="n">
        <v>4.918</v>
      </c>
      <c r="U682" t="n">
        <v>0</v>
      </c>
      <c r="V682" t="n">
        <v>54257.4</v>
      </c>
      <c r="W682" s="300" t="n">
        <v>0.2115</v>
      </c>
      <c r="X682" s="297" t="n">
        <v>43910</v>
      </c>
      <c r="Y682">
        <f>IF(I682="","No SIC",IFERROR(VLOOKUP(I682,Ref!$A$2:$B$65,2,FALSE),"Unclassified"))</f>
        <v/>
      </c>
      <c r="Z682">
        <f>IF(T682="","",IF(T682&lt;12,"Daily","Weekly"))</f>
        <v/>
      </c>
      <c r="AA682">
        <f>IF(T682="",0,IF(T682&lt;12,T682*Controls!$B$29,T682*5))</f>
        <v/>
      </c>
      <c r="AB682">
        <f>IF(E682="",0,NETWORKDAYS(E682,Controls!$B$36,Ref!$K$2:$K$42))</f>
        <v/>
      </c>
      <c r="AC682">
        <f>IF(AND(AA682&gt;0,AB682&gt;=Controls!$B$39*AA682),1,0)</f>
        <v/>
      </c>
      <c r="AD682">
        <f>IF(AND(E682&lt;&gt;"",E682&gt;=Controls!$B$37,E682&lt;=Controls!$B$38),1,0)</f>
        <v/>
      </c>
      <c r="AE682">
        <f>IF(IFERROR(VLOOKUP(D682,Controls!$A$64:$E$74,2,FALSE),"No")="Yes",1,0)</f>
        <v/>
      </c>
      <c r="AF682">
        <f>IF(IFERROR(VLOOKUP(D682,Controls!$A$64:$E$74,3,FALSE),"No")="Yes",1,0)</f>
        <v/>
      </c>
      <c r="AG682">
        <f>IF(IFERROR(VLOOKUP(D682,Controls!$A$64:$E$74,4,FALSE),"No")="Yes",1,0)</f>
        <v/>
      </c>
      <c r="AH682">
        <f>IF(IFERROR(VLOOKUP(D682,Controls!$A$64:$E$74,5,FALSE),"No")="Yes",1,0)</f>
        <v/>
      </c>
      <c r="AI682">
        <f>IF(ISNUMBER(MATCH(D682,Controls!$A$64:$A$74,0)),1,0)</f>
        <v/>
      </c>
      <c r="AJ682">
        <f>Q682-N682</f>
        <v/>
      </c>
      <c r="AK682">
        <f>IF(AE682=1,MAX(0,N682-Q682),0)</f>
        <v/>
      </c>
      <c r="AL682">
        <f>IF(OR(V682="",V682=0),0,N682/V682)</f>
        <v/>
      </c>
      <c r="AM682">
        <f>IF(OR(V682="",V682=0),0,1)</f>
        <v/>
      </c>
      <c r="AN682">
        <f>IF(OR(E682="",F682=""),0,NETWORKDAYS(E682,F682,Ref!$K$2:$K$42))</f>
        <v/>
      </c>
      <c r="AO682">
        <f>IF(L682="Renewal",1,0)</f>
        <v/>
      </c>
      <c r="AP682">
        <f>AC682*AD682</f>
        <v/>
      </c>
      <c r="AQ682">
        <f>IF(AND(G682&lt;&gt;"",'Historical Score'!$C$6&lt;&gt;""),IF(G682='Historical Score'!$C$6,1,0),0)</f>
        <v/>
      </c>
      <c r="AR682">
        <f>IF(AND(L682&lt;&gt;"",'Historical Score'!$C$5&lt;&gt;""),IF(L682='Historical Score'!$C$5,1,0),0)</f>
        <v/>
      </c>
      <c r="AS682">
        <f>IF(AND(Y682&lt;&gt;"",'Historical Score'!$C$7&lt;&gt;""),IF(Y682='Historical Score'!$C$7,1,0),0)</f>
        <v/>
      </c>
      <c r="AT682">
        <f>IF(AND(K682&lt;&gt;"",'Historical Score'!$C$8&lt;&gt;""),IF(K682='Historical Score'!$C$8,1,0),0)</f>
        <v/>
      </c>
      <c r="AU682">
        <f>IF(AND(J682&lt;&gt;"",'Historical Score'!$C$9&lt;&gt;""),IF(J682='Historical Score'!$C$9,1,0),0)</f>
        <v/>
      </c>
      <c r="AV682">
        <f>AR682*AS682*AQ682</f>
        <v/>
      </c>
      <c r="AW682">
        <f>AR682*AT682*AQ682</f>
        <v/>
      </c>
      <c r="AX682">
        <f>AR682*AS682</f>
        <v/>
      </c>
      <c r="AY682">
        <f>AR682*AT682</f>
        <v/>
      </c>
      <c r="AZ682">
        <f>AR682*AQ682</f>
        <v/>
      </c>
      <c r="BA682">
        <f>AR682</f>
        <v/>
      </c>
      <c r="BB682">
        <f>1</f>
        <v/>
      </c>
      <c r="BC682">
        <f>IF(AV682=1,1,IF(AW682=1,2,IF(AX682=1,3,IF(AY682=1,4,IF(AZ682=1,5,IF(BA682=1,6,7))))))</f>
        <v/>
      </c>
      <c r="BD682">
        <f>IF(AD682=1,CHOOSE('Historical Score'!$C$29,AV682,AW682,AX682,AY682,AZ682,BA682,BB682),0)</f>
        <v/>
      </c>
      <c r="BE682">
        <f>IF(BD682=1,COUNTIF($BD$2:BD682,1),"")</f>
        <v/>
      </c>
    </row>
    <row r="683">
      <c r="A683" t="inlineStr">
        <is>
          <t>5674179674</t>
        </is>
      </c>
      <c r="B683" t="inlineStr">
        <is>
          <t>Daurden Arts LLC</t>
        </is>
      </c>
      <c r="C683" t="inlineStr">
        <is>
          <t>Daurden Arts LLC</t>
        </is>
      </c>
      <c r="D683" t="inlineStr">
        <is>
          <t>Closed</t>
        </is>
      </c>
      <c r="E683" s="297" t="n">
        <v>46087</v>
      </c>
      <c r="F683" s="297" t="n">
        <v>46213</v>
      </c>
      <c r="G683" t="n">
        <v>2</v>
      </c>
      <c r="H683" t="inlineStr">
        <is>
          <t>7911</t>
        </is>
      </c>
      <c r="I683" t="inlineStr">
        <is>
          <t>79</t>
        </is>
      </c>
      <c r="J683" t="inlineStr">
        <is>
          <t>CA</t>
        </is>
      </c>
      <c r="K683" t="inlineStr">
        <is>
          <t>Fundwell</t>
        </is>
      </c>
      <c r="L683" t="inlineStr">
        <is>
          <t>Renewal</t>
        </is>
      </c>
      <c r="M683" s="298" t="n">
        <v>1.46</v>
      </c>
      <c r="N683" s="299" t="n">
        <v>7500</v>
      </c>
      <c r="O683" s="299" t="n">
        <v>1125</v>
      </c>
      <c r="P683" s="299" t="n">
        <v>10950</v>
      </c>
      <c r="Q683" s="299" t="n">
        <v>10950</v>
      </c>
      <c r="R683" s="299" t="n">
        <v>0</v>
      </c>
      <c r="S683" s="300" t="n">
        <v>1</v>
      </c>
      <c r="T683" t="n">
        <v>2.951</v>
      </c>
      <c r="U683" t="n">
        <v>0</v>
      </c>
      <c r="V683" t="n">
        <v>18156.75</v>
      </c>
      <c r="W683" s="300" t="n">
        <v>0.2517</v>
      </c>
      <c r="X683" s="297" t="n">
        <v>40980</v>
      </c>
      <c r="Y683">
        <f>IF(I683="","No SIC",IFERROR(VLOOKUP(I683,Ref!$A$2:$B$65,2,FALSE),"Unclassified"))</f>
        <v/>
      </c>
      <c r="Z683">
        <f>IF(T683="","",IF(T683&lt;12,"Daily","Weekly"))</f>
        <v/>
      </c>
      <c r="AA683">
        <f>IF(T683="",0,IF(T683&lt;12,T683*Controls!$B$29,T683*5))</f>
        <v/>
      </c>
      <c r="AB683">
        <f>IF(E683="",0,NETWORKDAYS(E683,Controls!$B$36,Ref!$K$2:$K$42))</f>
        <v/>
      </c>
      <c r="AC683">
        <f>IF(AND(AA683&gt;0,AB683&gt;=Controls!$B$39*AA683),1,0)</f>
        <v/>
      </c>
      <c r="AD683">
        <f>IF(AND(E683&lt;&gt;"",E683&gt;=Controls!$B$37,E683&lt;=Controls!$B$38),1,0)</f>
        <v/>
      </c>
      <c r="AE683">
        <f>IF(IFERROR(VLOOKUP(D683,Controls!$A$64:$E$74,2,FALSE),"No")="Yes",1,0)</f>
        <v/>
      </c>
      <c r="AF683">
        <f>IF(IFERROR(VLOOKUP(D683,Controls!$A$64:$E$74,3,FALSE),"No")="Yes",1,0)</f>
        <v/>
      </c>
      <c r="AG683">
        <f>IF(IFERROR(VLOOKUP(D683,Controls!$A$64:$E$74,4,FALSE),"No")="Yes",1,0)</f>
        <v/>
      </c>
      <c r="AH683">
        <f>IF(IFERROR(VLOOKUP(D683,Controls!$A$64:$E$74,5,FALSE),"No")="Yes",1,0)</f>
        <v/>
      </c>
      <c r="AI683">
        <f>IF(ISNUMBER(MATCH(D683,Controls!$A$64:$A$74,0)),1,0)</f>
        <v/>
      </c>
      <c r="AJ683">
        <f>Q683-N683</f>
        <v/>
      </c>
      <c r="AK683">
        <f>IF(AE683=1,MAX(0,N683-Q683),0)</f>
        <v/>
      </c>
      <c r="AL683">
        <f>IF(OR(V683="",V683=0),0,N683/V683)</f>
        <v/>
      </c>
      <c r="AM683">
        <f>IF(OR(V683="",V683=0),0,1)</f>
        <v/>
      </c>
      <c r="AN683">
        <f>IF(OR(E683="",F683=""),0,NETWORKDAYS(E683,F683,Ref!$K$2:$K$42))</f>
        <v/>
      </c>
      <c r="AO683">
        <f>IF(L683="Renewal",1,0)</f>
        <v/>
      </c>
      <c r="AP683">
        <f>AC683*AD683</f>
        <v/>
      </c>
      <c r="AQ683">
        <f>IF(AND(G683&lt;&gt;"",'Historical Score'!$C$6&lt;&gt;""),IF(G683='Historical Score'!$C$6,1,0),0)</f>
        <v/>
      </c>
      <c r="AR683">
        <f>IF(AND(L683&lt;&gt;"",'Historical Score'!$C$5&lt;&gt;""),IF(L683='Historical Score'!$C$5,1,0),0)</f>
        <v/>
      </c>
      <c r="AS683">
        <f>IF(AND(Y683&lt;&gt;"",'Historical Score'!$C$7&lt;&gt;""),IF(Y683='Historical Score'!$C$7,1,0),0)</f>
        <v/>
      </c>
      <c r="AT683">
        <f>IF(AND(K683&lt;&gt;"",'Historical Score'!$C$8&lt;&gt;""),IF(K683='Historical Score'!$C$8,1,0),0)</f>
        <v/>
      </c>
      <c r="AU683">
        <f>IF(AND(J683&lt;&gt;"",'Historical Score'!$C$9&lt;&gt;""),IF(J683='Historical Score'!$C$9,1,0),0)</f>
        <v/>
      </c>
      <c r="AV683">
        <f>AR683*AS683*AQ683</f>
        <v/>
      </c>
      <c r="AW683">
        <f>AR683*AT683*AQ683</f>
        <v/>
      </c>
      <c r="AX683">
        <f>AR683*AS683</f>
        <v/>
      </c>
      <c r="AY683">
        <f>AR683*AT683</f>
        <v/>
      </c>
      <c r="AZ683">
        <f>AR683*AQ683</f>
        <v/>
      </c>
      <c r="BA683">
        <f>AR683</f>
        <v/>
      </c>
      <c r="BB683">
        <f>1</f>
        <v/>
      </c>
      <c r="BC683">
        <f>IF(AV683=1,1,IF(AW683=1,2,IF(AX683=1,3,IF(AY683=1,4,IF(AZ683=1,5,IF(BA683=1,6,7))))))</f>
        <v/>
      </c>
      <c r="BD683">
        <f>IF(AD683=1,CHOOSE('Historical Score'!$C$29,AV683,AW683,AX683,AY683,AZ683,BA683,BB683),0)</f>
        <v/>
      </c>
      <c r="BE683">
        <f>IF(BD683=1,COUNTIF($BD$2:BD683,1),"")</f>
        <v/>
      </c>
    </row>
    <row r="684">
      <c r="A684" t="inlineStr">
        <is>
          <t>5674179702</t>
        </is>
      </c>
      <c r="B684" t="inlineStr">
        <is>
          <t>Creative Learning Child Development Minis</t>
        </is>
      </c>
      <c r="C684" t="inlineStr">
        <is>
          <t>Creative Learning Child Development Minis</t>
        </is>
      </c>
      <c r="D684" t="inlineStr">
        <is>
          <t>Open</t>
        </is>
      </c>
      <c r="E684" s="297" t="n">
        <v>46087</v>
      </c>
      <c r="F684" s="297" t="n">
        <v>46248</v>
      </c>
      <c r="G684" t="n">
        <v>3</v>
      </c>
      <c r="H684" t="inlineStr">
        <is>
          <t>8211</t>
        </is>
      </c>
      <c r="I684" t="inlineStr">
        <is>
          <t>82</t>
        </is>
      </c>
      <c r="J684" t="inlineStr">
        <is>
          <t>IN</t>
        </is>
      </c>
      <c r="K684" t="inlineStr">
        <is>
          <t>Westwood</t>
        </is>
      </c>
      <c r="L684" t="inlineStr">
        <is>
          <t>New Deal</t>
        </is>
      </c>
      <c r="M684" s="298" t="n">
        <v>1.49</v>
      </c>
      <c r="N684" s="299" t="n">
        <v>20000</v>
      </c>
      <c r="O684" s="299" t="n">
        <v>2800</v>
      </c>
      <c r="P684" s="299" t="n">
        <v>29800</v>
      </c>
      <c r="Q684" s="299" t="n">
        <v>20273.69</v>
      </c>
      <c r="R684" s="299" t="n">
        <v>9526.309999999999</v>
      </c>
      <c r="S684" s="300" t="n">
        <v>0.680325167785235</v>
      </c>
      <c r="T684" t="n">
        <v>25</v>
      </c>
      <c r="U684" t="n">
        <v>6</v>
      </c>
      <c r="V684" t="n">
        <v>62032.38</v>
      </c>
      <c r="W684" s="300" t="n">
        <v>0.0769</v>
      </c>
      <c r="X684" s="297" t="n">
        <v>44459</v>
      </c>
      <c r="Y684">
        <f>IF(I684="","No SIC",IFERROR(VLOOKUP(I684,Ref!$A$2:$B$65,2,FALSE),"Unclassified"))</f>
        <v/>
      </c>
      <c r="Z684">
        <f>IF(T684="","",IF(T684&lt;12,"Daily","Weekly"))</f>
        <v/>
      </c>
      <c r="AA684">
        <f>IF(T684="",0,IF(T684&lt;12,T684*Controls!$B$29,T684*5))</f>
        <v/>
      </c>
      <c r="AB684">
        <f>IF(E684="",0,NETWORKDAYS(E684,Controls!$B$36,Ref!$K$2:$K$42))</f>
        <v/>
      </c>
      <c r="AC684">
        <f>IF(AND(AA684&gt;0,AB684&gt;=Controls!$B$39*AA684),1,0)</f>
        <v/>
      </c>
      <c r="AD684">
        <f>IF(AND(E684&lt;&gt;"",E684&gt;=Controls!$B$37,E684&lt;=Controls!$B$38),1,0)</f>
        <v/>
      </c>
      <c r="AE684">
        <f>IF(IFERROR(VLOOKUP(D684,Controls!$A$64:$E$74,2,FALSE),"No")="Yes",1,0)</f>
        <v/>
      </c>
      <c r="AF684">
        <f>IF(IFERROR(VLOOKUP(D684,Controls!$A$64:$E$74,3,FALSE),"No")="Yes",1,0)</f>
        <v/>
      </c>
      <c r="AG684">
        <f>IF(IFERROR(VLOOKUP(D684,Controls!$A$64:$E$74,4,FALSE),"No")="Yes",1,0)</f>
        <v/>
      </c>
      <c r="AH684">
        <f>IF(IFERROR(VLOOKUP(D684,Controls!$A$64:$E$74,5,FALSE),"No")="Yes",1,0)</f>
        <v/>
      </c>
      <c r="AI684">
        <f>IF(ISNUMBER(MATCH(D684,Controls!$A$64:$A$74,0)),1,0)</f>
        <v/>
      </c>
      <c r="AJ684">
        <f>Q684-N684</f>
        <v/>
      </c>
      <c r="AK684">
        <f>IF(AE684=1,MAX(0,N684-Q684),0)</f>
        <v/>
      </c>
      <c r="AL684">
        <f>IF(OR(V684="",V684=0),0,N684/V684)</f>
        <v/>
      </c>
      <c r="AM684">
        <f>IF(OR(V684="",V684=0),0,1)</f>
        <v/>
      </c>
      <c r="AN684">
        <f>IF(OR(E684="",F684=""),0,NETWORKDAYS(E684,F684,Ref!$K$2:$K$42))</f>
        <v/>
      </c>
      <c r="AO684">
        <f>IF(L684="Renewal",1,0)</f>
        <v/>
      </c>
      <c r="AP684">
        <f>AC684*AD684</f>
        <v/>
      </c>
      <c r="AQ684">
        <f>IF(AND(G684&lt;&gt;"",'Historical Score'!$C$6&lt;&gt;""),IF(G684='Historical Score'!$C$6,1,0),0)</f>
        <v/>
      </c>
      <c r="AR684">
        <f>IF(AND(L684&lt;&gt;"",'Historical Score'!$C$5&lt;&gt;""),IF(L684='Historical Score'!$C$5,1,0),0)</f>
        <v/>
      </c>
      <c r="AS684">
        <f>IF(AND(Y684&lt;&gt;"",'Historical Score'!$C$7&lt;&gt;""),IF(Y684='Historical Score'!$C$7,1,0),0)</f>
        <v/>
      </c>
      <c r="AT684">
        <f>IF(AND(K684&lt;&gt;"",'Historical Score'!$C$8&lt;&gt;""),IF(K684='Historical Score'!$C$8,1,0),0)</f>
        <v/>
      </c>
      <c r="AU684">
        <f>IF(AND(J684&lt;&gt;"",'Historical Score'!$C$9&lt;&gt;""),IF(J684='Historical Score'!$C$9,1,0),0)</f>
        <v/>
      </c>
      <c r="AV684">
        <f>AR684*AS684*AQ684</f>
        <v/>
      </c>
      <c r="AW684">
        <f>AR684*AT684*AQ684</f>
        <v/>
      </c>
      <c r="AX684">
        <f>AR684*AS684</f>
        <v/>
      </c>
      <c r="AY684">
        <f>AR684*AT684</f>
        <v/>
      </c>
      <c r="AZ684">
        <f>AR684*AQ684</f>
        <v/>
      </c>
      <c r="BA684">
        <f>AR684</f>
        <v/>
      </c>
      <c r="BB684">
        <f>1</f>
        <v/>
      </c>
      <c r="BC684">
        <f>IF(AV684=1,1,IF(AW684=1,2,IF(AX684=1,3,IF(AY684=1,4,IF(AZ684=1,5,IF(BA684=1,6,7))))))</f>
        <v/>
      </c>
      <c r="BD684">
        <f>IF(AD684=1,CHOOSE('Historical Score'!$C$29,AV684,AW684,AX684,AY684,AZ684,BA684,BB684),0)</f>
        <v/>
      </c>
      <c r="BE684">
        <f>IF(BD684=1,COUNTIF($BD$2:BD684,1),"")</f>
        <v/>
      </c>
    </row>
    <row r="685">
      <c r="A685" t="inlineStr">
        <is>
          <t>5674179722</t>
        </is>
      </c>
      <c r="B685" t="inlineStr">
        <is>
          <t>Shriyas Kitchen</t>
        </is>
      </c>
      <c r="C685" t="inlineStr">
        <is>
          <t>SILPA'S INTERNATIONAL FOODS LLC</t>
        </is>
      </c>
      <c r="D685" t="inlineStr">
        <is>
          <t>Closed</t>
        </is>
      </c>
      <c r="E685" s="297" t="n">
        <v>46087</v>
      </c>
      <c r="F685" s="297" t="n">
        <v>46199</v>
      </c>
      <c r="G685" t="n">
        <v>2</v>
      </c>
      <c r="H685" t="inlineStr">
        <is>
          <t>5812</t>
        </is>
      </c>
      <c r="I685" t="inlineStr">
        <is>
          <t>58</t>
        </is>
      </c>
      <c r="J685" t="inlineStr">
        <is>
          <t>FL</t>
        </is>
      </c>
      <c r="K685" t="inlineStr">
        <is>
          <t>Fund Simple</t>
        </is>
      </c>
      <c r="L685" t="inlineStr">
        <is>
          <t>New Deal</t>
        </is>
      </c>
      <c r="M685" s="298" t="n">
        <v>1.49</v>
      </c>
      <c r="N685" s="299" t="n">
        <v>15000</v>
      </c>
      <c r="O685" s="299" t="n">
        <v>2100</v>
      </c>
      <c r="P685" s="299" t="n">
        <v>22350</v>
      </c>
      <c r="Q685" s="299" t="n">
        <v>22350</v>
      </c>
      <c r="R685" s="299" t="n">
        <v>0</v>
      </c>
      <c r="S685" s="300" t="n">
        <v>1</v>
      </c>
      <c r="T685" t="n">
        <v>24</v>
      </c>
      <c r="U685" t="n">
        <v>1</v>
      </c>
      <c r="V685" t="n">
        <v>61925.3</v>
      </c>
      <c r="W685" s="300" t="n">
        <v>0.0602</v>
      </c>
      <c r="X685" s="297" t="n"/>
      <c r="Y685">
        <f>IF(I685="","No SIC",IFERROR(VLOOKUP(I685,Ref!$A$2:$B$65,2,FALSE),"Unclassified"))</f>
        <v/>
      </c>
      <c r="Z685">
        <f>IF(T685="","",IF(T685&lt;12,"Daily","Weekly"))</f>
        <v/>
      </c>
      <c r="AA685">
        <f>IF(T685="",0,IF(T685&lt;12,T685*Controls!$B$29,T685*5))</f>
        <v/>
      </c>
      <c r="AB685">
        <f>IF(E685="",0,NETWORKDAYS(E685,Controls!$B$36,Ref!$K$2:$K$42))</f>
        <v/>
      </c>
      <c r="AC685">
        <f>IF(AND(AA685&gt;0,AB685&gt;=Controls!$B$39*AA685),1,0)</f>
        <v/>
      </c>
      <c r="AD685">
        <f>IF(AND(E685&lt;&gt;"",E685&gt;=Controls!$B$37,E685&lt;=Controls!$B$38),1,0)</f>
        <v/>
      </c>
      <c r="AE685">
        <f>IF(IFERROR(VLOOKUP(D685,Controls!$A$64:$E$74,2,FALSE),"No")="Yes",1,0)</f>
        <v/>
      </c>
      <c r="AF685">
        <f>IF(IFERROR(VLOOKUP(D685,Controls!$A$64:$E$74,3,FALSE),"No")="Yes",1,0)</f>
        <v/>
      </c>
      <c r="AG685">
        <f>IF(IFERROR(VLOOKUP(D685,Controls!$A$64:$E$74,4,FALSE),"No")="Yes",1,0)</f>
        <v/>
      </c>
      <c r="AH685">
        <f>IF(IFERROR(VLOOKUP(D685,Controls!$A$64:$E$74,5,FALSE),"No")="Yes",1,0)</f>
        <v/>
      </c>
      <c r="AI685">
        <f>IF(ISNUMBER(MATCH(D685,Controls!$A$64:$A$74,0)),1,0)</f>
        <v/>
      </c>
      <c r="AJ685">
        <f>Q685-N685</f>
        <v/>
      </c>
      <c r="AK685">
        <f>IF(AE685=1,MAX(0,N685-Q685),0)</f>
        <v/>
      </c>
      <c r="AL685">
        <f>IF(OR(V685="",V685=0),0,N685/V685)</f>
        <v/>
      </c>
      <c r="AM685">
        <f>IF(OR(V685="",V685=0),0,1)</f>
        <v/>
      </c>
      <c r="AN685">
        <f>IF(OR(E685="",F685=""),0,NETWORKDAYS(E685,F685,Ref!$K$2:$K$42))</f>
        <v/>
      </c>
      <c r="AO685">
        <f>IF(L685="Renewal",1,0)</f>
        <v/>
      </c>
      <c r="AP685">
        <f>AC685*AD685</f>
        <v/>
      </c>
      <c r="AQ685">
        <f>IF(AND(G685&lt;&gt;"",'Historical Score'!$C$6&lt;&gt;""),IF(G685='Historical Score'!$C$6,1,0),0)</f>
        <v/>
      </c>
      <c r="AR685">
        <f>IF(AND(L685&lt;&gt;"",'Historical Score'!$C$5&lt;&gt;""),IF(L685='Historical Score'!$C$5,1,0),0)</f>
        <v/>
      </c>
      <c r="AS685">
        <f>IF(AND(Y685&lt;&gt;"",'Historical Score'!$C$7&lt;&gt;""),IF(Y685='Historical Score'!$C$7,1,0),0)</f>
        <v/>
      </c>
      <c r="AT685">
        <f>IF(AND(K685&lt;&gt;"",'Historical Score'!$C$8&lt;&gt;""),IF(K685='Historical Score'!$C$8,1,0),0)</f>
        <v/>
      </c>
      <c r="AU685">
        <f>IF(AND(J685&lt;&gt;"",'Historical Score'!$C$9&lt;&gt;""),IF(J685='Historical Score'!$C$9,1,0),0)</f>
        <v/>
      </c>
      <c r="AV685">
        <f>AR685*AS685*AQ685</f>
        <v/>
      </c>
      <c r="AW685">
        <f>AR685*AT685*AQ685</f>
        <v/>
      </c>
      <c r="AX685">
        <f>AR685*AS685</f>
        <v/>
      </c>
      <c r="AY685">
        <f>AR685*AT685</f>
        <v/>
      </c>
      <c r="AZ685">
        <f>AR685*AQ685</f>
        <v/>
      </c>
      <c r="BA685">
        <f>AR685</f>
        <v/>
      </c>
      <c r="BB685">
        <f>1</f>
        <v/>
      </c>
      <c r="BC685">
        <f>IF(AV685=1,1,IF(AW685=1,2,IF(AX685=1,3,IF(AY685=1,4,IF(AZ685=1,5,IF(BA685=1,6,7))))))</f>
        <v/>
      </c>
      <c r="BD685">
        <f>IF(AD685=1,CHOOSE('Historical Score'!$C$29,AV685,AW685,AX685,AY685,AZ685,BA685,BB685),0)</f>
        <v/>
      </c>
      <c r="BE685">
        <f>IF(BD685=1,COUNTIF($BD$2:BD685,1),"")</f>
        <v/>
      </c>
    </row>
    <row r="686">
      <c r="A686" t="inlineStr">
        <is>
          <t>5674179768</t>
        </is>
      </c>
      <c r="B686" t="inlineStr">
        <is>
          <t>FRESH LAND IMPORTS LLC</t>
        </is>
      </c>
      <c r="C686" t="inlineStr">
        <is>
          <t>FRESH LAND IMPORTS LLC</t>
        </is>
      </c>
      <c r="D686" t="inlineStr">
        <is>
          <t>Closed</t>
        </is>
      </c>
      <c r="E686" s="297" t="n">
        <v>46090</v>
      </c>
      <c r="F686" s="297" t="n">
        <v>46211</v>
      </c>
      <c r="G686" t="n">
        <v>2</v>
      </c>
      <c r="H686" t="inlineStr">
        <is>
          <t>5149</t>
        </is>
      </c>
      <c r="I686" t="inlineStr">
        <is>
          <t>51</t>
        </is>
      </c>
      <c r="J686" t="inlineStr">
        <is>
          <t>IL</t>
        </is>
      </c>
      <c r="K686" t="inlineStr">
        <is>
          <t>Fundwell</t>
        </is>
      </c>
      <c r="L686" t="inlineStr">
        <is>
          <t>Renewal</t>
        </is>
      </c>
      <c r="M686" s="298" t="n">
        <v>1.46</v>
      </c>
      <c r="N686" s="299" t="n">
        <v>150000</v>
      </c>
      <c r="O686" s="299" t="n">
        <v>22500</v>
      </c>
      <c r="P686" s="299" t="n">
        <v>219000</v>
      </c>
      <c r="Q686" s="299" t="n">
        <v>219000</v>
      </c>
      <c r="R686" s="299" t="n">
        <v>0</v>
      </c>
      <c r="S686" s="300" t="n">
        <v>1</v>
      </c>
      <c r="T686" t="n">
        <v>38</v>
      </c>
      <c r="U686" t="n">
        <v>0</v>
      </c>
      <c r="V686" t="n">
        <v>356120.58</v>
      </c>
      <c r="W686" s="300" t="n">
        <v>0.06469999999999999</v>
      </c>
      <c r="X686" s="297" t="n">
        <v>43945</v>
      </c>
      <c r="Y686">
        <f>IF(I686="","No SIC",IFERROR(VLOOKUP(I686,Ref!$A$2:$B$65,2,FALSE),"Unclassified"))</f>
        <v/>
      </c>
      <c r="Z686">
        <f>IF(T686="","",IF(T686&lt;12,"Daily","Weekly"))</f>
        <v/>
      </c>
      <c r="AA686">
        <f>IF(T686="",0,IF(T686&lt;12,T686*Controls!$B$29,T686*5))</f>
        <v/>
      </c>
      <c r="AB686">
        <f>IF(E686="",0,NETWORKDAYS(E686,Controls!$B$36,Ref!$K$2:$K$42))</f>
        <v/>
      </c>
      <c r="AC686">
        <f>IF(AND(AA686&gt;0,AB686&gt;=Controls!$B$39*AA686),1,0)</f>
        <v/>
      </c>
      <c r="AD686">
        <f>IF(AND(E686&lt;&gt;"",E686&gt;=Controls!$B$37,E686&lt;=Controls!$B$38),1,0)</f>
        <v/>
      </c>
      <c r="AE686">
        <f>IF(IFERROR(VLOOKUP(D686,Controls!$A$64:$E$74,2,FALSE),"No")="Yes",1,0)</f>
        <v/>
      </c>
      <c r="AF686">
        <f>IF(IFERROR(VLOOKUP(D686,Controls!$A$64:$E$74,3,FALSE),"No")="Yes",1,0)</f>
        <v/>
      </c>
      <c r="AG686">
        <f>IF(IFERROR(VLOOKUP(D686,Controls!$A$64:$E$74,4,FALSE),"No")="Yes",1,0)</f>
        <v/>
      </c>
      <c r="AH686">
        <f>IF(IFERROR(VLOOKUP(D686,Controls!$A$64:$E$74,5,FALSE),"No")="Yes",1,0)</f>
        <v/>
      </c>
      <c r="AI686">
        <f>IF(ISNUMBER(MATCH(D686,Controls!$A$64:$A$74,0)),1,0)</f>
        <v/>
      </c>
      <c r="AJ686">
        <f>Q686-N686</f>
        <v/>
      </c>
      <c r="AK686">
        <f>IF(AE686=1,MAX(0,N686-Q686),0)</f>
        <v/>
      </c>
      <c r="AL686">
        <f>IF(OR(V686="",V686=0),0,N686/V686)</f>
        <v/>
      </c>
      <c r="AM686">
        <f>IF(OR(V686="",V686=0),0,1)</f>
        <v/>
      </c>
      <c r="AN686">
        <f>IF(OR(E686="",F686=""),0,NETWORKDAYS(E686,F686,Ref!$K$2:$K$42))</f>
        <v/>
      </c>
      <c r="AO686">
        <f>IF(L686="Renewal",1,0)</f>
        <v/>
      </c>
      <c r="AP686">
        <f>AC686*AD686</f>
        <v/>
      </c>
      <c r="AQ686">
        <f>IF(AND(G686&lt;&gt;"",'Historical Score'!$C$6&lt;&gt;""),IF(G686='Historical Score'!$C$6,1,0),0)</f>
        <v/>
      </c>
      <c r="AR686">
        <f>IF(AND(L686&lt;&gt;"",'Historical Score'!$C$5&lt;&gt;""),IF(L686='Historical Score'!$C$5,1,0),0)</f>
        <v/>
      </c>
      <c r="AS686">
        <f>IF(AND(Y686&lt;&gt;"",'Historical Score'!$C$7&lt;&gt;""),IF(Y686='Historical Score'!$C$7,1,0),0)</f>
        <v/>
      </c>
      <c r="AT686">
        <f>IF(AND(K686&lt;&gt;"",'Historical Score'!$C$8&lt;&gt;""),IF(K686='Historical Score'!$C$8,1,0),0)</f>
        <v/>
      </c>
      <c r="AU686">
        <f>IF(AND(J686&lt;&gt;"",'Historical Score'!$C$9&lt;&gt;""),IF(J686='Historical Score'!$C$9,1,0),0)</f>
        <v/>
      </c>
      <c r="AV686">
        <f>AR686*AS686*AQ686</f>
        <v/>
      </c>
      <c r="AW686">
        <f>AR686*AT686*AQ686</f>
        <v/>
      </c>
      <c r="AX686">
        <f>AR686*AS686</f>
        <v/>
      </c>
      <c r="AY686">
        <f>AR686*AT686</f>
        <v/>
      </c>
      <c r="AZ686">
        <f>AR686*AQ686</f>
        <v/>
      </c>
      <c r="BA686">
        <f>AR686</f>
        <v/>
      </c>
      <c r="BB686">
        <f>1</f>
        <v/>
      </c>
      <c r="BC686">
        <f>IF(AV686=1,1,IF(AW686=1,2,IF(AX686=1,3,IF(AY686=1,4,IF(AZ686=1,5,IF(BA686=1,6,7))))))</f>
        <v/>
      </c>
      <c r="BD686">
        <f>IF(AD686=1,CHOOSE('Historical Score'!$C$29,AV686,AW686,AX686,AY686,AZ686,BA686,BB686),0)</f>
        <v/>
      </c>
      <c r="BE686">
        <f>IF(BD686=1,COUNTIF($BD$2:BD686,1),"")</f>
        <v/>
      </c>
    </row>
    <row r="687">
      <c r="A687" t="inlineStr">
        <is>
          <t>5674179778</t>
        </is>
      </c>
      <c r="B687" t="inlineStr">
        <is>
          <t>RAHAB ADULT FAMILY HOME LLC</t>
        </is>
      </c>
      <c r="C687" t="inlineStr">
        <is>
          <t>RAHAB ADULT FAMILY HOME LLC</t>
        </is>
      </c>
      <c r="D687" t="inlineStr">
        <is>
          <t>Legal</t>
        </is>
      </c>
      <c r="E687" s="297" t="n">
        <v>46090</v>
      </c>
      <c r="F687" s="297" t="n">
        <v>46141</v>
      </c>
      <c r="G687" t="n">
        <v>3</v>
      </c>
      <c r="H687" t="inlineStr">
        <is>
          <t>8361</t>
        </is>
      </c>
      <c r="I687" t="inlineStr">
        <is>
          <t>83</t>
        </is>
      </c>
      <c r="J687" t="inlineStr">
        <is>
          <t>WA</t>
        </is>
      </c>
      <c r="K687" t="inlineStr">
        <is>
          <t>United Secured Capital 8</t>
        </is>
      </c>
      <c r="L687" t="inlineStr">
        <is>
          <t>New Deal</t>
        </is>
      </c>
      <c r="M687" s="298" t="n">
        <v>1.49</v>
      </c>
      <c r="N687" s="299" t="n">
        <v>25000</v>
      </c>
      <c r="O687" s="299" t="n">
        <v>3500</v>
      </c>
      <c r="P687" s="299" t="n">
        <v>37250</v>
      </c>
      <c r="Q687" s="299" t="n">
        <v>6702.84</v>
      </c>
      <c r="R687" s="299" t="n">
        <v>30547.16</v>
      </c>
      <c r="S687" s="300" t="n">
        <v>0.179942013422819</v>
      </c>
      <c r="T687" t="n">
        <v>3.279</v>
      </c>
      <c r="U687" t="n">
        <v>17</v>
      </c>
      <c r="V687" t="n">
        <v>80000</v>
      </c>
      <c r="W687" s="300" t="n">
        <v>0.092</v>
      </c>
      <c r="X687" s="297" t="n">
        <v>43838</v>
      </c>
      <c r="Y687">
        <f>IF(I687="","No SIC",IFERROR(VLOOKUP(I687,Ref!$A$2:$B$65,2,FALSE),"Unclassified"))</f>
        <v/>
      </c>
      <c r="Z687">
        <f>IF(T687="","",IF(T687&lt;12,"Daily","Weekly"))</f>
        <v/>
      </c>
      <c r="AA687">
        <f>IF(T687="",0,IF(T687&lt;12,T687*Controls!$B$29,T687*5))</f>
        <v/>
      </c>
      <c r="AB687">
        <f>IF(E687="",0,NETWORKDAYS(E687,Controls!$B$36,Ref!$K$2:$K$42))</f>
        <v/>
      </c>
      <c r="AC687">
        <f>IF(AND(AA687&gt;0,AB687&gt;=Controls!$B$39*AA687),1,0)</f>
        <v/>
      </c>
      <c r="AD687">
        <f>IF(AND(E687&lt;&gt;"",E687&gt;=Controls!$B$37,E687&lt;=Controls!$B$38),1,0)</f>
        <v/>
      </c>
      <c r="AE687">
        <f>IF(IFERROR(VLOOKUP(D687,Controls!$A$64:$E$74,2,FALSE),"No")="Yes",1,0)</f>
        <v/>
      </c>
      <c r="AF687">
        <f>IF(IFERROR(VLOOKUP(D687,Controls!$A$64:$E$74,3,FALSE),"No")="Yes",1,0)</f>
        <v/>
      </c>
      <c r="AG687">
        <f>IF(IFERROR(VLOOKUP(D687,Controls!$A$64:$E$74,4,FALSE),"No")="Yes",1,0)</f>
        <v/>
      </c>
      <c r="AH687">
        <f>IF(IFERROR(VLOOKUP(D687,Controls!$A$64:$E$74,5,FALSE),"No")="Yes",1,0)</f>
        <v/>
      </c>
      <c r="AI687">
        <f>IF(ISNUMBER(MATCH(D687,Controls!$A$64:$A$74,0)),1,0)</f>
        <v/>
      </c>
      <c r="AJ687">
        <f>Q687-N687</f>
        <v/>
      </c>
      <c r="AK687">
        <f>IF(AE687=1,MAX(0,N687-Q687),0)</f>
        <v/>
      </c>
      <c r="AL687">
        <f>IF(OR(V687="",V687=0),0,N687/V687)</f>
        <v/>
      </c>
      <c r="AM687">
        <f>IF(OR(V687="",V687=0),0,1)</f>
        <v/>
      </c>
      <c r="AN687">
        <f>IF(OR(E687="",F687=""),0,NETWORKDAYS(E687,F687,Ref!$K$2:$K$42))</f>
        <v/>
      </c>
      <c r="AO687">
        <f>IF(L687="Renewal",1,0)</f>
        <v/>
      </c>
      <c r="AP687">
        <f>AC687*AD687</f>
        <v/>
      </c>
      <c r="AQ687">
        <f>IF(AND(G687&lt;&gt;"",'Historical Score'!$C$6&lt;&gt;""),IF(G687='Historical Score'!$C$6,1,0),0)</f>
        <v/>
      </c>
      <c r="AR687">
        <f>IF(AND(L687&lt;&gt;"",'Historical Score'!$C$5&lt;&gt;""),IF(L687='Historical Score'!$C$5,1,0),0)</f>
        <v/>
      </c>
      <c r="AS687">
        <f>IF(AND(Y687&lt;&gt;"",'Historical Score'!$C$7&lt;&gt;""),IF(Y687='Historical Score'!$C$7,1,0),0)</f>
        <v/>
      </c>
      <c r="AT687">
        <f>IF(AND(K687&lt;&gt;"",'Historical Score'!$C$8&lt;&gt;""),IF(K687='Historical Score'!$C$8,1,0),0)</f>
        <v/>
      </c>
      <c r="AU687">
        <f>IF(AND(J687&lt;&gt;"",'Historical Score'!$C$9&lt;&gt;""),IF(J687='Historical Score'!$C$9,1,0),0)</f>
        <v/>
      </c>
      <c r="AV687">
        <f>AR687*AS687*AQ687</f>
        <v/>
      </c>
      <c r="AW687">
        <f>AR687*AT687*AQ687</f>
        <v/>
      </c>
      <c r="AX687">
        <f>AR687*AS687</f>
        <v/>
      </c>
      <c r="AY687">
        <f>AR687*AT687</f>
        <v/>
      </c>
      <c r="AZ687">
        <f>AR687*AQ687</f>
        <v/>
      </c>
      <c r="BA687">
        <f>AR687</f>
        <v/>
      </c>
      <c r="BB687">
        <f>1</f>
        <v/>
      </c>
      <c r="BC687">
        <f>IF(AV687=1,1,IF(AW687=1,2,IF(AX687=1,3,IF(AY687=1,4,IF(AZ687=1,5,IF(BA687=1,6,7))))))</f>
        <v/>
      </c>
      <c r="BD687">
        <f>IF(AD687=1,CHOOSE('Historical Score'!$C$29,AV687,AW687,AX687,AY687,AZ687,BA687,BB687),0)</f>
        <v/>
      </c>
      <c r="BE687">
        <f>IF(BD687=1,COUNTIF($BD$2:BD687,1),"")</f>
        <v/>
      </c>
    </row>
    <row r="688">
      <c r="A688" t="inlineStr">
        <is>
          <t>5674179797</t>
        </is>
      </c>
      <c r="B688" t="inlineStr">
        <is>
          <t>DIGITAL ASCENSION GROUP</t>
        </is>
      </c>
      <c r="C688" t="inlineStr">
        <is>
          <t>DIGITAL ASCENSION GROUP LLC, DIGITAL FAMILY OFFICE LLC</t>
        </is>
      </c>
      <c r="D688" t="inlineStr">
        <is>
          <t>Open</t>
        </is>
      </c>
      <c r="E688" s="297" t="n">
        <v>46090</v>
      </c>
      <c r="F688" s="297" t="n">
        <v>46251</v>
      </c>
      <c r="G688" t="n">
        <v>2</v>
      </c>
      <c r="H688" t="inlineStr">
        <is>
          <t>6282</t>
        </is>
      </c>
      <c r="I688" t="inlineStr">
        <is>
          <t>62</t>
        </is>
      </c>
      <c r="J688" t="inlineStr">
        <is>
          <t>TX</t>
        </is>
      </c>
      <c r="K688" t="inlineStr">
        <is>
          <t>Can I Have Money</t>
        </is>
      </c>
      <c r="L688" t="inlineStr">
        <is>
          <t>New Deal</t>
        </is>
      </c>
      <c r="M688" s="298" t="n">
        <v>1.49</v>
      </c>
      <c r="N688" s="299" t="n">
        <v>85000</v>
      </c>
      <c r="O688" s="299" t="n">
        <v>11900</v>
      </c>
      <c r="P688" s="299" t="n">
        <v>126650</v>
      </c>
      <c r="Q688" s="299" t="n">
        <v>121842.96</v>
      </c>
      <c r="R688" s="299" t="n">
        <v>4807.03999999999</v>
      </c>
      <c r="S688" s="300" t="n">
        <v>0.962044690090802</v>
      </c>
      <c r="T688" t="n">
        <v>24</v>
      </c>
      <c r="U688" t="n">
        <v>0</v>
      </c>
      <c r="V688" t="n">
        <v>2561699.05</v>
      </c>
      <c r="W688" s="300" t="n">
        <v>0.0123</v>
      </c>
      <c r="X688" s="297" t="n">
        <v>45526</v>
      </c>
      <c r="Y688">
        <f>IF(I688="","No SIC",IFERROR(VLOOKUP(I688,Ref!$A$2:$B$65,2,FALSE),"Unclassified"))</f>
        <v/>
      </c>
      <c r="Z688">
        <f>IF(T688="","",IF(T688&lt;12,"Daily","Weekly"))</f>
        <v/>
      </c>
      <c r="AA688">
        <f>IF(T688="",0,IF(T688&lt;12,T688*Controls!$B$29,T688*5))</f>
        <v/>
      </c>
      <c r="AB688">
        <f>IF(E688="",0,NETWORKDAYS(E688,Controls!$B$36,Ref!$K$2:$K$42))</f>
        <v/>
      </c>
      <c r="AC688">
        <f>IF(AND(AA688&gt;0,AB688&gt;=Controls!$B$39*AA688),1,0)</f>
        <v/>
      </c>
      <c r="AD688">
        <f>IF(AND(E688&lt;&gt;"",E688&gt;=Controls!$B$37,E688&lt;=Controls!$B$38),1,0)</f>
        <v/>
      </c>
      <c r="AE688">
        <f>IF(IFERROR(VLOOKUP(D688,Controls!$A$64:$E$74,2,FALSE),"No")="Yes",1,0)</f>
        <v/>
      </c>
      <c r="AF688">
        <f>IF(IFERROR(VLOOKUP(D688,Controls!$A$64:$E$74,3,FALSE),"No")="Yes",1,0)</f>
        <v/>
      </c>
      <c r="AG688">
        <f>IF(IFERROR(VLOOKUP(D688,Controls!$A$64:$E$74,4,FALSE),"No")="Yes",1,0)</f>
        <v/>
      </c>
      <c r="AH688">
        <f>IF(IFERROR(VLOOKUP(D688,Controls!$A$64:$E$74,5,FALSE),"No")="Yes",1,0)</f>
        <v/>
      </c>
      <c r="AI688">
        <f>IF(ISNUMBER(MATCH(D688,Controls!$A$64:$A$74,0)),1,0)</f>
        <v/>
      </c>
      <c r="AJ688">
        <f>Q688-N688</f>
        <v/>
      </c>
      <c r="AK688">
        <f>IF(AE688=1,MAX(0,N688-Q688),0)</f>
        <v/>
      </c>
      <c r="AL688">
        <f>IF(OR(V688="",V688=0),0,N688/V688)</f>
        <v/>
      </c>
      <c r="AM688">
        <f>IF(OR(V688="",V688=0),0,1)</f>
        <v/>
      </c>
      <c r="AN688">
        <f>IF(OR(E688="",F688=""),0,NETWORKDAYS(E688,F688,Ref!$K$2:$K$42))</f>
        <v/>
      </c>
      <c r="AO688">
        <f>IF(L688="Renewal",1,0)</f>
        <v/>
      </c>
      <c r="AP688">
        <f>AC688*AD688</f>
        <v/>
      </c>
      <c r="AQ688">
        <f>IF(AND(G688&lt;&gt;"",'Historical Score'!$C$6&lt;&gt;""),IF(G688='Historical Score'!$C$6,1,0),0)</f>
        <v/>
      </c>
      <c r="AR688">
        <f>IF(AND(L688&lt;&gt;"",'Historical Score'!$C$5&lt;&gt;""),IF(L688='Historical Score'!$C$5,1,0),0)</f>
        <v/>
      </c>
      <c r="AS688">
        <f>IF(AND(Y688&lt;&gt;"",'Historical Score'!$C$7&lt;&gt;""),IF(Y688='Historical Score'!$C$7,1,0),0)</f>
        <v/>
      </c>
      <c r="AT688">
        <f>IF(AND(K688&lt;&gt;"",'Historical Score'!$C$8&lt;&gt;""),IF(K688='Historical Score'!$C$8,1,0),0)</f>
        <v/>
      </c>
      <c r="AU688">
        <f>IF(AND(J688&lt;&gt;"",'Historical Score'!$C$9&lt;&gt;""),IF(J688='Historical Score'!$C$9,1,0),0)</f>
        <v/>
      </c>
      <c r="AV688">
        <f>AR688*AS688*AQ688</f>
        <v/>
      </c>
      <c r="AW688">
        <f>AR688*AT688*AQ688</f>
        <v/>
      </c>
      <c r="AX688">
        <f>AR688*AS688</f>
        <v/>
      </c>
      <c r="AY688">
        <f>AR688*AT688</f>
        <v/>
      </c>
      <c r="AZ688">
        <f>AR688*AQ688</f>
        <v/>
      </c>
      <c r="BA688">
        <f>AR688</f>
        <v/>
      </c>
      <c r="BB688">
        <f>1</f>
        <v/>
      </c>
      <c r="BC688">
        <f>IF(AV688=1,1,IF(AW688=1,2,IF(AX688=1,3,IF(AY688=1,4,IF(AZ688=1,5,IF(BA688=1,6,7))))))</f>
        <v/>
      </c>
      <c r="BD688">
        <f>IF(AD688=1,CHOOSE('Historical Score'!$C$29,AV688,AW688,AX688,AY688,AZ688,BA688,BB688),0)</f>
        <v/>
      </c>
      <c r="BE688">
        <f>IF(BD688=1,COUNTIF($BD$2:BD688,1),"")</f>
        <v/>
      </c>
    </row>
    <row r="689">
      <c r="A689" t="inlineStr">
        <is>
          <t>5674179826</t>
        </is>
      </c>
      <c r="B689" t="inlineStr">
        <is>
          <t>Hd Builders And Construction LLC</t>
        </is>
      </c>
      <c r="C689" t="inlineStr">
        <is>
          <t>Hd Builders And Construction LLC</t>
        </is>
      </c>
      <c r="D689" t="inlineStr">
        <is>
          <t>Closed</t>
        </is>
      </c>
      <c r="E689" s="297" t="n">
        <v>46090</v>
      </c>
      <c r="F689" s="297" t="n">
        <v>46212</v>
      </c>
      <c r="G689" t="n">
        <v>3</v>
      </c>
      <c r="H689" t="inlineStr">
        <is>
          <t>1521</t>
        </is>
      </c>
      <c r="I689" t="inlineStr">
        <is>
          <t>15</t>
        </is>
      </c>
      <c r="J689" t="inlineStr">
        <is>
          <t>NM</t>
        </is>
      </c>
      <c r="K689" t="inlineStr">
        <is>
          <t>AVON ADVANCE</t>
        </is>
      </c>
      <c r="L689" t="inlineStr">
        <is>
          <t>Renewal</t>
        </is>
      </c>
      <c r="M689" s="298" t="n">
        <v>1.49</v>
      </c>
      <c r="N689" s="299" t="n">
        <v>16000</v>
      </c>
      <c r="O689" s="299" t="n">
        <v>2240</v>
      </c>
      <c r="P689" s="299" t="n">
        <v>23840</v>
      </c>
      <c r="Q689" s="299" t="n">
        <v>23840</v>
      </c>
      <c r="R689" s="299" t="n">
        <v>0</v>
      </c>
      <c r="S689" s="300" t="n">
        <v>1</v>
      </c>
      <c r="T689" t="n">
        <v>3.279</v>
      </c>
      <c r="U689" t="n">
        <v>0</v>
      </c>
      <c r="V689" t="n">
        <v>50226.03</v>
      </c>
      <c r="W689" s="300" t="n">
        <v>0.0997</v>
      </c>
      <c r="X689" s="297" t="n">
        <v>44627</v>
      </c>
      <c r="Y689">
        <f>IF(I689="","No SIC",IFERROR(VLOOKUP(I689,Ref!$A$2:$B$65,2,FALSE),"Unclassified"))</f>
        <v/>
      </c>
      <c r="Z689">
        <f>IF(T689="","",IF(T689&lt;12,"Daily","Weekly"))</f>
        <v/>
      </c>
      <c r="AA689">
        <f>IF(T689="",0,IF(T689&lt;12,T689*Controls!$B$29,T689*5))</f>
        <v/>
      </c>
      <c r="AB689">
        <f>IF(E689="",0,NETWORKDAYS(E689,Controls!$B$36,Ref!$K$2:$K$42))</f>
        <v/>
      </c>
      <c r="AC689">
        <f>IF(AND(AA689&gt;0,AB689&gt;=Controls!$B$39*AA689),1,0)</f>
        <v/>
      </c>
      <c r="AD689">
        <f>IF(AND(E689&lt;&gt;"",E689&gt;=Controls!$B$37,E689&lt;=Controls!$B$38),1,0)</f>
        <v/>
      </c>
      <c r="AE689">
        <f>IF(IFERROR(VLOOKUP(D689,Controls!$A$64:$E$74,2,FALSE),"No")="Yes",1,0)</f>
        <v/>
      </c>
      <c r="AF689">
        <f>IF(IFERROR(VLOOKUP(D689,Controls!$A$64:$E$74,3,FALSE),"No")="Yes",1,0)</f>
        <v/>
      </c>
      <c r="AG689">
        <f>IF(IFERROR(VLOOKUP(D689,Controls!$A$64:$E$74,4,FALSE),"No")="Yes",1,0)</f>
        <v/>
      </c>
      <c r="AH689">
        <f>IF(IFERROR(VLOOKUP(D689,Controls!$A$64:$E$74,5,FALSE),"No")="Yes",1,0)</f>
        <v/>
      </c>
      <c r="AI689">
        <f>IF(ISNUMBER(MATCH(D689,Controls!$A$64:$A$74,0)),1,0)</f>
        <v/>
      </c>
      <c r="AJ689">
        <f>Q689-N689</f>
        <v/>
      </c>
      <c r="AK689">
        <f>IF(AE689=1,MAX(0,N689-Q689),0)</f>
        <v/>
      </c>
      <c r="AL689">
        <f>IF(OR(V689="",V689=0),0,N689/V689)</f>
        <v/>
      </c>
      <c r="AM689">
        <f>IF(OR(V689="",V689=0),0,1)</f>
        <v/>
      </c>
      <c r="AN689">
        <f>IF(OR(E689="",F689=""),0,NETWORKDAYS(E689,F689,Ref!$K$2:$K$42))</f>
        <v/>
      </c>
      <c r="AO689">
        <f>IF(L689="Renewal",1,0)</f>
        <v/>
      </c>
      <c r="AP689">
        <f>AC689*AD689</f>
        <v/>
      </c>
      <c r="AQ689">
        <f>IF(AND(G689&lt;&gt;"",'Historical Score'!$C$6&lt;&gt;""),IF(G689='Historical Score'!$C$6,1,0),0)</f>
        <v/>
      </c>
      <c r="AR689">
        <f>IF(AND(L689&lt;&gt;"",'Historical Score'!$C$5&lt;&gt;""),IF(L689='Historical Score'!$C$5,1,0),0)</f>
        <v/>
      </c>
      <c r="AS689">
        <f>IF(AND(Y689&lt;&gt;"",'Historical Score'!$C$7&lt;&gt;""),IF(Y689='Historical Score'!$C$7,1,0),0)</f>
        <v/>
      </c>
      <c r="AT689">
        <f>IF(AND(K689&lt;&gt;"",'Historical Score'!$C$8&lt;&gt;""),IF(K689='Historical Score'!$C$8,1,0),0)</f>
        <v/>
      </c>
      <c r="AU689">
        <f>IF(AND(J689&lt;&gt;"",'Historical Score'!$C$9&lt;&gt;""),IF(J689='Historical Score'!$C$9,1,0),0)</f>
        <v/>
      </c>
      <c r="AV689">
        <f>AR689*AS689*AQ689</f>
        <v/>
      </c>
      <c r="AW689">
        <f>AR689*AT689*AQ689</f>
        <v/>
      </c>
      <c r="AX689">
        <f>AR689*AS689</f>
        <v/>
      </c>
      <c r="AY689">
        <f>AR689*AT689</f>
        <v/>
      </c>
      <c r="AZ689">
        <f>AR689*AQ689</f>
        <v/>
      </c>
      <c r="BA689">
        <f>AR689</f>
        <v/>
      </c>
      <c r="BB689">
        <f>1</f>
        <v/>
      </c>
      <c r="BC689">
        <f>IF(AV689=1,1,IF(AW689=1,2,IF(AX689=1,3,IF(AY689=1,4,IF(AZ689=1,5,IF(BA689=1,6,7))))))</f>
        <v/>
      </c>
      <c r="BD689">
        <f>IF(AD689=1,CHOOSE('Historical Score'!$C$29,AV689,AW689,AX689,AY689,AZ689,BA689,BB689),0)</f>
        <v/>
      </c>
      <c r="BE689">
        <f>IF(BD689=1,COUNTIF($BD$2:BD689,1),"")</f>
        <v/>
      </c>
    </row>
    <row r="690">
      <c r="A690" t="inlineStr">
        <is>
          <t>5674179847</t>
        </is>
      </c>
      <c r="B690" t="inlineStr">
        <is>
          <t>P&amp;PD WHOLESALE</t>
        </is>
      </c>
      <c r="C690" t="inlineStr">
        <is>
          <t>Pearls and paper dolls LLC</t>
        </is>
      </c>
      <c r="D690" t="inlineStr">
        <is>
          <t>Closed</t>
        </is>
      </c>
      <c r="E690" s="297" t="n">
        <v>46091</v>
      </c>
      <c r="F690" s="297" t="n">
        <v>46224</v>
      </c>
      <c r="G690" t="n">
        <v>2</v>
      </c>
      <c r="H690" t="inlineStr">
        <is>
          <t>5999</t>
        </is>
      </c>
      <c r="I690" t="inlineStr">
        <is>
          <t>59</t>
        </is>
      </c>
      <c r="J690" t="inlineStr">
        <is>
          <t>TX</t>
        </is>
      </c>
      <c r="K690" t="inlineStr">
        <is>
          <t>Fundwell</t>
        </is>
      </c>
      <c r="L690" t="inlineStr">
        <is>
          <t>New Deal</t>
        </is>
      </c>
      <c r="M690" s="298" t="n">
        <v>1.38</v>
      </c>
      <c r="N690" s="299" t="n">
        <v>20000</v>
      </c>
      <c r="O690" s="299" t="n">
        <v>2400</v>
      </c>
      <c r="P690" s="299" t="n">
        <v>27600</v>
      </c>
      <c r="Q690" s="299" t="n">
        <v>27600</v>
      </c>
      <c r="R690" s="299" t="n">
        <v>-3.63797880709171e-12</v>
      </c>
      <c r="S690" s="300" t="n">
        <v>1</v>
      </c>
      <c r="T690" t="n">
        <v>18</v>
      </c>
      <c r="U690" t="n">
        <v>0</v>
      </c>
      <c r="V690" t="n">
        <v>209846.36</v>
      </c>
      <c r="W690" s="300" t="n">
        <v>0.0292</v>
      </c>
      <c r="X690" s="297" t="n">
        <v>42522</v>
      </c>
      <c r="Y690">
        <f>IF(I690="","No SIC",IFERROR(VLOOKUP(I690,Ref!$A$2:$B$65,2,FALSE),"Unclassified"))</f>
        <v/>
      </c>
      <c r="Z690">
        <f>IF(T690="","",IF(T690&lt;12,"Daily","Weekly"))</f>
        <v/>
      </c>
      <c r="AA690">
        <f>IF(T690="",0,IF(T690&lt;12,T690*Controls!$B$29,T690*5))</f>
        <v/>
      </c>
      <c r="AB690">
        <f>IF(E690="",0,NETWORKDAYS(E690,Controls!$B$36,Ref!$K$2:$K$42))</f>
        <v/>
      </c>
      <c r="AC690">
        <f>IF(AND(AA690&gt;0,AB690&gt;=Controls!$B$39*AA690),1,0)</f>
        <v/>
      </c>
      <c r="AD690">
        <f>IF(AND(E690&lt;&gt;"",E690&gt;=Controls!$B$37,E690&lt;=Controls!$B$38),1,0)</f>
        <v/>
      </c>
      <c r="AE690">
        <f>IF(IFERROR(VLOOKUP(D690,Controls!$A$64:$E$74,2,FALSE),"No")="Yes",1,0)</f>
        <v/>
      </c>
      <c r="AF690">
        <f>IF(IFERROR(VLOOKUP(D690,Controls!$A$64:$E$74,3,FALSE),"No")="Yes",1,0)</f>
        <v/>
      </c>
      <c r="AG690">
        <f>IF(IFERROR(VLOOKUP(D690,Controls!$A$64:$E$74,4,FALSE),"No")="Yes",1,0)</f>
        <v/>
      </c>
      <c r="AH690">
        <f>IF(IFERROR(VLOOKUP(D690,Controls!$A$64:$E$74,5,FALSE),"No")="Yes",1,0)</f>
        <v/>
      </c>
      <c r="AI690">
        <f>IF(ISNUMBER(MATCH(D690,Controls!$A$64:$A$74,0)),1,0)</f>
        <v/>
      </c>
      <c r="AJ690">
        <f>Q690-N690</f>
        <v/>
      </c>
      <c r="AK690">
        <f>IF(AE690=1,MAX(0,N690-Q690),0)</f>
        <v/>
      </c>
      <c r="AL690">
        <f>IF(OR(V690="",V690=0),0,N690/V690)</f>
        <v/>
      </c>
      <c r="AM690">
        <f>IF(OR(V690="",V690=0),0,1)</f>
        <v/>
      </c>
      <c r="AN690">
        <f>IF(OR(E690="",F690=""),0,NETWORKDAYS(E690,F690,Ref!$K$2:$K$42))</f>
        <v/>
      </c>
      <c r="AO690">
        <f>IF(L690="Renewal",1,0)</f>
        <v/>
      </c>
      <c r="AP690">
        <f>AC690*AD690</f>
        <v/>
      </c>
      <c r="AQ690">
        <f>IF(AND(G690&lt;&gt;"",'Historical Score'!$C$6&lt;&gt;""),IF(G690='Historical Score'!$C$6,1,0),0)</f>
        <v/>
      </c>
      <c r="AR690">
        <f>IF(AND(L690&lt;&gt;"",'Historical Score'!$C$5&lt;&gt;""),IF(L690='Historical Score'!$C$5,1,0),0)</f>
        <v/>
      </c>
      <c r="AS690">
        <f>IF(AND(Y690&lt;&gt;"",'Historical Score'!$C$7&lt;&gt;""),IF(Y690='Historical Score'!$C$7,1,0),0)</f>
        <v/>
      </c>
      <c r="AT690">
        <f>IF(AND(K690&lt;&gt;"",'Historical Score'!$C$8&lt;&gt;""),IF(K690='Historical Score'!$C$8,1,0),0)</f>
        <v/>
      </c>
      <c r="AU690">
        <f>IF(AND(J690&lt;&gt;"",'Historical Score'!$C$9&lt;&gt;""),IF(J690='Historical Score'!$C$9,1,0),0)</f>
        <v/>
      </c>
      <c r="AV690">
        <f>AR690*AS690*AQ690</f>
        <v/>
      </c>
      <c r="AW690">
        <f>AR690*AT690*AQ690</f>
        <v/>
      </c>
      <c r="AX690">
        <f>AR690*AS690</f>
        <v/>
      </c>
      <c r="AY690">
        <f>AR690*AT690</f>
        <v/>
      </c>
      <c r="AZ690">
        <f>AR690*AQ690</f>
        <v/>
      </c>
      <c r="BA690">
        <f>AR690</f>
        <v/>
      </c>
      <c r="BB690">
        <f>1</f>
        <v/>
      </c>
      <c r="BC690">
        <f>IF(AV690=1,1,IF(AW690=1,2,IF(AX690=1,3,IF(AY690=1,4,IF(AZ690=1,5,IF(BA690=1,6,7))))))</f>
        <v/>
      </c>
      <c r="BD690">
        <f>IF(AD690=1,CHOOSE('Historical Score'!$C$29,AV690,AW690,AX690,AY690,AZ690,BA690,BB690),0)</f>
        <v/>
      </c>
      <c r="BE690">
        <f>IF(BD690=1,COUNTIF($BD$2:BD690,1),"")</f>
        <v/>
      </c>
    </row>
    <row r="691">
      <c r="A691" t="inlineStr">
        <is>
          <t>5674179855</t>
        </is>
      </c>
      <c r="B691" t="inlineStr">
        <is>
          <t>LOW-COUNTRY INSURANCE SOLUTIONS</t>
        </is>
      </c>
      <c r="C691" t="inlineStr">
        <is>
          <t>FORREST S SMITH</t>
        </is>
      </c>
      <c r="D691" t="inlineStr">
        <is>
          <t>In House Collection</t>
        </is>
      </c>
      <c r="E691" s="297" t="n">
        <v>46091</v>
      </c>
      <c r="F691" s="297" t="n">
        <v>46233</v>
      </c>
      <c r="G691" t="n">
        <v>3</v>
      </c>
      <c r="H691" t="inlineStr">
        <is>
          <t>6411</t>
        </is>
      </c>
      <c r="I691" t="inlineStr">
        <is>
          <t>64</t>
        </is>
      </c>
      <c r="J691" t="inlineStr">
        <is>
          <t>SC</t>
        </is>
      </c>
      <c r="K691" t="inlineStr">
        <is>
          <t>United Secured Capital 8</t>
        </is>
      </c>
      <c r="L691" t="inlineStr">
        <is>
          <t>Renewal</t>
        </is>
      </c>
      <c r="M691" s="298" t="n">
        <v>1.49</v>
      </c>
      <c r="N691" s="299" t="n">
        <v>27000</v>
      </c>
      <c r="O691" s="299" t="n">
        <v>3780</v>
      </c>
      <c r="P691" s="299" t="n">
        <v>40230</v>
      </c>
      <c r="Q691" s="299" t="n">
        <v>21973.47</v>
      </c>
      <c r="R691" s="299" t="n">
        <v>18256.53</v>
      </c>
      <c r="S691" s="300" t="n">
        <v>0.546196122296794</v>
      </c>
      <c r="T691" t="n">
        <v>3.77</v>
      </c>
      <c r="U691" t="n">
        <v>20</v>
      </c>
      <c r="V691" t="n">
        <v>120000</v>
      </c>
      <c r="W691" s="300" t="n">
        <v>0.1633</v>
      </c>
      <c r="X691" s="297" t="n">
        <v>38325</v>
      </c>
      <c r="Y691">
        <f>IF(I691="","No SIC",IFERROR(VLOOKUP(I691,Ref!$A$2:$B$65,2,FALSE),"Unclassified"))</f>
        <v/>
      </c>
      <c r="Z691">
        <f>IF(T691="","",IF(T691&lt;12,"Daily","Weekly"))</f>
        <v/>
      </c>
      <c r="AA691">
        <f>IF(T691="",0,IF(T691&lt;12,T691*Controls!$B$29,T691*5))</f>
        <v/>
      </c>
      <c r="AB691">
        <f>IF(E691="",0,NETWORKDAYS(E691,Controls!$B$36,Ref!$K$2:$K$42))</f>
        <v/>
      </c>
      <c r="AC691">
        <f>IF(AND(AA691&gt;0,AB691&gt;=Controls!$B$39*AA691),1,0)</f>
        <v/>
      </c>
      <c r="AD691">
        <f>IF(AND(E691&lt;&gt;"",E691&gt;=Controls!$B$37,E691&lt;=Controls!$B$38),1,0)</f>
        <v/>
      </c>
      <c r="AE691">
        <f>IF(IFERROR(VLOOKUP(D691,Controls!$A$64:$E$74,2,FALSE),"No")="Yes",1,0)</f>
        <v/>
      </c>
      <c r="AF691">
        <f>IF(IFERROR(VLOOKUP(D691,Controls!$A$64:$E$74,3,FALSE),"No")="Yes",1,0)</f>
        <v/>
      </c>
      <c r="AG691">
        <f>IF(IFERROR(VLOOKUP(D691,Controls!$A$64:$E$74,4,FALSE),"No")="Yes",1,0)</f>
        <v/>
      </c>
      <c r="AH691">
        <f>IF(IFERROR(VLOOKUP(D691,Controls!$A$64:$E$74,5,FALSE),"No")="Yes",1,0)</f>
        <v/>
      </c>
      <c r="AI691">
        <f>IF(ISNUMBER(MATCH(D691,Controls!$A$64:$A$74,0)),1,0)</f>
        <v/>
      </c>
      <c r="AJ691">
        <f>Q691-N691</f>
        <v/>
      </c>
      <c r="AK691">
        <f>IF(AE691=1,MAX(0,N691-Q691),0)</f>
        <v/>
      </c>
      <c r="AL691">
        <f>IF(OR(V691="",V691=0),0,N691/V691)</f>
        <v/>
      </c>
      <c r="AM691">
        <f>IF(OR(V691="",V691=0),0,1)</f>
        <v/>
      </c>
      <c r="AN691">
        <f>IF(OR(E691="",F691=""),0,NETWORKDAYS(E691,F691,Ref!$K$2:$K$42))</f>
        <v/>
      </c>
      <c r="AO691">
        <f>IF(L691="Renewal",1,0)</f>
        <v/>
      </c>
      <c r="AP691">
        <f>AC691*AD691</f>
        <v/>
      </c>
      <c r="AQ691">
        <f>IF(AND(G691&lt;&gt;"",'Historical Score'!$C$6&lt;&gt;""),IF(G691='Historical Score'!$C$6,1,0),0)</f>
        <v/>
      </c>
      <c r="AR691">
        <f>IF(AND(L691&lt;&gt;"",'Historical Score'!$C$5&lt;&gt;""),IF(L691='Historical Score'!$C$5,1,0),0)</f>
        <v/>
      </c>
      <c r="AS691">
        <f>IF(AND(Y691&lt;&gt;"",'Historical Score'!$C$7&lt;&gt;""),IF(Y691='Historical Score'!$C$7,1,0),0)</f>
        <v/>
      </c>
      <c r="AT691">
        <f>IF(AND(K691&lt;&gt;"",'Historical Score'!$C$8&lt;&gt;""),IF(K691='Historical Score'!$C$8,1,0),0)</f>
        <v/>
      </c>
      <c r="AU691">
        <f>IF(AND(J691&lt;&gt;"",'Historical Score'!$C$9&lt;&gt;""),IF(J691='Historical Score'!$C$9,1,0),0)</f>
        <v/>
      </c>
      <c r="AV691">
        <f>AR691*AS691*AQ691</f>
        <v/>
      </c>
      <c r="AW691">
        <f>AR691*AT691*AQ691</f>
        <v/>
      </c>
      <c r="AX691">
        <f>AR691*AS691</f>
        <v/>
      </c>
      <c r="AY691">
        <f>AR691*AT691</f>
        <v/>
      </c>
      <c r="AZ691">
        <f>AR691*AQ691</f>
        <v/>
      </c>
      <c r="BA691">
        <f>AR691</f>
        <v/>
      </c>
      <c r="BB691">
        <f>1</f>
        <v/>
      </c>
      <c r="BC691">
        <f>IF(AV691=1,1,IF(AW691=1,2,IF(AX691=1,3,IF(AY691=1,4,IF(AZ691=1,5,IF(BA691=1,6,7))))))</f>
        <v/>
      </c>
      <c r="BD691">
        <f>IF(AD691=1,CHOOSE('Historical Score'!$C$29,AV691,AW691,AX691,AY691,AZ691,BA691,BB691),0)</f>
        <v/>
      </c>
      <c r="BE691">
        <f>IF(BD691=1,COUNTIF($BD$2:BD691,1),"")</f>
        <v/>
      </c>
    </row>
    <row r="692">
      <c r="A692" t="inlineStr">
        <is>
          <t>5674179857</t>
        </is>
      </c>
      <c r="B692" t="inlineStr">
        <is>
          <t>Tennex Ventures LLC</t>
        </is>
      </c>
      <c r="C692" t="inlineStr">
        <is>
          <t>Tennex Ventures LLC</t>
        </is>
      </c>
      <c r="D692" t="inlineStr">
        <is>
          <t>Open</t>
        </is>
      </c>
      <c r="E692" s="297" t="n">
        <v>46091</v>
      </c>
      <c r="F692" s="297" t="n">
        <v>46248</v>
      </c>
      <c r="G692" t="n">
        <v>3</v>
      </c>
      <c r="H692" t="inlineStr">
        <is>
          <t>2879</t>
        </is>
      </c>
      <c r="I692" t="inlineStr">
        <is>
          <t>28</t>
        </is>
      </c>
      <c r="J692" t="inlineStr">
        <is>
          <t>NJ</t>
        </is>
      </c>
      <c r="K692" t="inlineStr">
        <is>
          <t>Ballicci</t>
        </is>
      </c>
      <c r="L692" t="inlineStr">
        <is>
          <t>New Deal</t>
        </is>
      </c>
      <c r="M692" s="298" t="n">
        <v>1.49</v>
      </c>
      <c r="N692" s="299" t="n">
        <v>40000</v>
      </c>
      <c r="O692" s="299" t="n">
        <v>5600</v>
      </c>
      <c r="P692" s="299" t="n">
        <v>59600</v>
      </c>
      <c r="Q692" s="299" t="n">
        <v>48920.31</v>
      </c>
      <c r="R692" s="299" t="n">
        <v>10679.69</v>
      </c>
      <c r="S692" s="300" t="n">
        <v>0.820810570469799</v>
      </c>
      <c r="T692" t="n">
        <v>28</v>
      </c>
      <c r="U692" t="n">
        <v>0</v>
      </c>
      <c r="V692" t="n">
        <v>157261.96</v>
      </c>
      <c r="W692" s="300" t="n">
        <v>0.0541</v>
      </c>
      <c r="X692" s="297" t="n">
        <v>44266</v>
      </c>
      <c r="Y692">
        <f>IF(I692="","No SIC",IFERROR(VLOOKUP(I692,Ref!$A$2:$B$65,2,FALSE),"Unclassified"))</f>
        <v/>
      </c>
      <c r="Z692">
        <f>IF(T692="","",IF(T692&lt;12,"Daily","Weekly"))</f>
        <v/>
      </c>
      <c r="AA692">
        <f>IF(T692="",0,IF(T692&lt;12,T692*Controls!$B$29,T692*5))</f>
        <v/>
      </c>
      <c r="AB692">
        <f>IF(E692="",0,NETWORKDAYS(E692,Controls!$B$36,Ref!$K$2:$K$42))</f>
        <v/>
      </c>
      <c r="AC692">
        <f>IF(AND(AA692&gt;0,AB692&gt;=Controls!$B$39*AA692),1,0)</f>
        <v/>
      </c>
      <c r="AD692">
        <f>IF(AND(E692&lt;&gt;"",E692&gt;=Controls!$B$37,E692&lt;=Controls!$B$38),1,0)</f>
        <v/>
      </c>
      <c r="AE692">
        <f>IF(IFERROR(VLOOKUP(D692,Controls!$A$64:$E$74,2,FALSE),"No")="Yes",1,0)</f>
        <v/>
      </c>
      <c r="AF692">
        <f>IF(IFERROR(VLOOKUP(D692,Controls!$A$64:$E$74,3,FALSE),"No")="Yes",1,0)</f>
        <v/>
      </c>
      <c r="AG692">
        <f>IF(IFERROR(VLOOKUP(D692,Controls!$A$64:$E$74,4,FALSE),"No")="Yes",1,0)</f>
        <v/>
      </c>
      <c r="AH692">
        <f>IF(IFERROR(VLOOKUP(D692,Controls!$A$64:$E$74,5,FALSE),"No")="Yes",1,0)</f>
        <v/>
      </c>
      <c r="AI692">
        <f>IF(ISNUMBER(MATCH(D692,Controls!$A$64:$A$74,0)),1,0)</f>
        <v/>
      </c>
      <c r="AJ692">
        <f>Q692-N692</f>
        <v/>
      </c>
      <c r="AK692">
        <f>IF(AE692=1,MAX(0,N692-Q692),0)</f>
        <v/>
      </c>
      <c r="AL692">
        <f>IF(OR(V692="",V692=0),0,N692/V692)</f>
        <v/>
      </c>
      <c r="AM692">
        <f>IF(OR(V692="",V692=0),0,1)</f>
        <v/>
      </c>
      <c r="AN692">
        <f>IF(OR(E692="",F692=""),0,NETWORKDAYS(E692,F692,Ref!$K$2:$K$42))</f>
        <v/>
      </c>
      <c r="AO692">
        <f>IF(L692="Renewal",1,0)</f>
        <v/>
      </c>
      <c r="AP692">
        <f>AC692*AD692</f>
        <v/>
      </c>
      <c r="AQ692">
        <f>IF(AND(G692&lt;&gt;"",'Historical Score'!$C$6&lt;&gt;""),IF(G692='Historical Score'!$C$6,1,0),0)</f>
        <v/>
      </c>
      <c r="AR692">
        <f>IF(AND(L692&lt;&gt;"",'Historical Score'!$C$5&lt;&gt;""),IF(L692='Historical Score'!$C$5,1,0),0)</f>
        <v/>
      </c>
      <c r="AS692">
        <f>IF(AND(Y692&lt;&gt;"",'Historical Score'!$C$7&lt;&gt;""),IF(Y692='Historical Score'!$C$7,1,0),0)</f>
        <v/>
      </c>
      <c r="AT692">
        <f>IF(AND(K692&lt;&gt;"",'Historical Score'!$C$8&lt;&gt;""),IF(K692='Historical Score'!$C$8,1,0),0)</f>
        <v/>
      </c>
      <c r="AU692">
        <f>IF(AND(J692&lt;&gt;"",'Historical Score'!$C$9&lt;&gt;""),IF(J692='Historical Score'!$C$9,1,0),0)</f>
        <v/>
      </c>
      <c r="AV692">
        <f>AR692*AS692*AQ692</f>
        <v/>
      </c>
      <c r="AW692">
        <f>AR692*AT692*AQ692</f>
        <v/>
      </c>
      <c r="AX692">
        <f>AR692*AS692</f>
        <v/>
      </c>
      <c r="AY692">
        <f>AR692*AT692</f>
        <v/>
      </c>
      <c r="AZ692">
        <f>AR692*AQ692</f>
        <v/>
      </c>
      <c r="BA692">
        <f>AR692</f>
        <v/>
      </c>
      <c r="BB692">
        <f>1</f>
        <v/>
      </c>
      <c r="BC692">
        <f>IF(AV692=1,1,IF(AW692=1,2,IF(AX692=1,3,IF(AY692=1,4,IF(AZ692=1,5,IF(BA692=1,6,7))))))</f>
        <v/>
      </c>
      <c r="BD692">
        <f>IF(AD692=1,CHOOSE('Historical Score'!$C$29,AV692,AW692,AX692,AY692,AZ692,BA692,BB692),0)</f>
        <v/>
      </c>
      <c r="BE692">
        <f>IF(BD692=1,COUNTIF($BD$2:BD692,1),"")</f>
        <v/>
      </c>
    </row>
    <row r="693">
      <c r="A693" t="inlineStr">
        <is>
          <t>5674179864</t>
        </is>
      </c>
      <c r="B693" t="inlineStr">
        <is>
          <t>El Katracho Restaurant LLC</t>
        </is>
      </c>
      <c r="C693" t="inlineStr">
        <is>
          <t>El Katracho Restaurant LLC</t>
        </is>
      </c>
      <c r="D693" t="inlineStr">
        <is>
          <t>Open</t>
        </is>
      </c>
      <c r="E693" s="297" t="n">
        <v>46091</v>
      </c>
      <c r="F693" s="297" t="n">
        <v>46227</v>
      </c>
      <c r="G693" t="n">
        <v>3</v>
      </c>
      <c r="H693" t="inlineStr">
        <is>
          <t>5812</t>
        </is>
      </c>
      <c r="I693" t="inlineStr">
        <is>
          <t>58</t>
        </is>
      </c>
      <c r="J693" t="inlineStr">
        <is>
          <t>TX</t>
        </is>
      </c>
      <c r="K693" t="inlineStr">
        <is>
          <t>Westwood</t>
        </is>
      </c>
      <c r="L693" t="inlineStr">
        <is>
          <t>New Deal</t>
        </is>
      </c>
      <c r="M693" s="298" t="n">
        <v>1.49</v>
      </c>
      <c r="N693" s="299" t="n">
        <v>40000</v>
      </c>
      <c r="O693" s="299" t="n">
        <v>5600</v>
      </c>
      <c r="P693" s="299" t="n">
        <v>59600</v>
      </c>
      <c r="Q693" s="299" t="n">
        <v>24211.59</v>
      </c>
      <c r="R693" s="299" t="n">
        <v>35388.41</v>
      </c>
      <c r="S693" s="300" t="n">
        <v>0.406234731543624</v>
      </c>
      <c r="T693" t="n">
        <v>32</v>
      </c>
      <c r="U693" t="n">
        <v>7</v>
      </c>
      <c r="V693" t="n">
        <v>205927.06</v>
      </c>
      <c r="W693" s="300" t="n">
        <v>0.0853</v>
      </c>
      <c r="X693" s="297" t="n">
        <v>45999</v>
      </c>
      <c r="Y693">
        <f>IF(I693="","No SIC",IFERROR(VLOOKUP(I693,Ref!$A$2:$B$65,2,FALSE),"Unclassified"))</f>
        <v/>
      </c>
      <c r="Z693">
        <f>IF(T693="","",IF(T693&lt;12,"Daily","Weekly"))</f>
        <v/>
      </c>
      <c r="AA693">
        <f>IF(T693="",0,IF(T693&lt;12,T693*Controls!$B$29,T693*5))</f>
        <v/>
      </c>
      <c r="AB693">
        <f>IF(E693="",0,NETWORKDAYS(E693,Controls!$B$36,Ref!$K$2:$K$42))</f>
        <v/>
      </c>
      <c r="AC693">
        <f>IF(AND(AA693&gt;0,AB693&gt;=Controls!$B$39*AA693),1,0)</f>
        <v/>
      </c>
      <c r="AD693">
        <f>IF(AND(E693&lt;&gt;"",E693&gt;=Controls!$B$37,E693&lt;=Controls!$B$38),1,0)</f>
        <v/>
      </c>
      <c r="AE693">
        <f>IF(IFERROR(VLOOKUP(D693,Controls!$A$64:$E$74,2,FALSE),"No")="Yes",1,0)</f>
        <v/>
      </c>
      <c r="AF693">
        <f>IF(IFERROR(VLOOKUP(D693,Controls!$A$64:$E$74,3,FALSE),"No")="Yes",1,0)</f>
        <v/>
      </c>
      <c r="AG693">
        <f>IF(IFERROR(VLOOKUP(D693,Controls!$A$64:$E$74,4,FALSE),"No")="Yes",1,0)</f>
        <v/>
      </c>
      <c r="AH693">
        <f>IF(IFERROR(VLOOKUP(D693,Controls!$A$64:$E$74,5,FALSE),"No")="Yes",1,0)</f>
        <v/>
      </c>
      <c r="AI693">
        <f>IF(ISNUMBER(MATCH(D693,Controls!$A$64:$A$74,0)),1,0)</f>
        <v/>
      </c>
      <c r="AJ693">
        <f>Q693-N693</f>
        <v/>
      </c>
      <c r="AK693">
        <f>IF(AE693=1,MAX(0,N693-Q693),0)</f>
        <v/>
      </c>
      <c r="AL693">
        <f>IF(OR(V693="",V693=0),0,N693/V693)</f>
        <v/>
      </c>
      <c r="AM693">
        <f>IF(OR(V693="",V693=0),0,1)</f>
        <v/>
      </c>
      <c r="AN693">
        <f>IF(OR(E693="",F693=""),0,NETWORKDAYS(E693,F693,Ref!$K$2:$K$42))</f>
        <v/>
      </c>
      <c r="AO693">
        <f>IF(L693="Renewal",1,0)</f>
        <v/>
      </c>
      <c r="AP693">
        <f>AC693*AD693</f>
        <v/>
      </c>
      <c r="AQ693">
        <f>IF(AND(G693&lt;&gt;"",'Historical Score'!$C$6&lt;&gt;""),IF(G693='Historical Score'!$C$6,1,0),0)</f>
        <v/>
      </c>
      <c r="AR693">
        <f>IF(AND(L693&lt;&gt;"",'Historical Score'!$C$5&lt;&gt;""),IF(L693='Historical Score'!$C$5,1,0),0)</f>
        <v/>
      </c>
      <c r="AS693">
        <f>IF(AND(Y693&lt;&gt;"",'Historical Score'!$C$7&lt;&gt;""),IF(Y693='Historical Score'!$C$7,1,0),0)</f>
        <v/>
      </c>
      <c r="AT693">
        <f>IF(AND(K693&lt;&gt;"",'Historical Score'!$C$8&lt;&gt;""),IF(K693='Historical Score'!$C$8,1,0),0)</f>
        <v/>
      </c>
      <c r="AU693">
        <f>IF(AND(J693&lt;&gt;"",'Historical Score'!$C$9&lt;&gt;""),IF(J693='Historical Score'!$C$9,1,0),0)</f>
        <v/>
      </c>
      <c r="AV693">
        <f>AR693*AS693*AQ693</f>
        <v/>
      </c>
      <c r="AW693">
        <f>AR693*AT693*AQ693</f>
        <v/>
      </c>
      <c r="AX693">
        <f>AR693*AS693</f>
        <v/>
      </c>
      <c r="AY693">
        <f>AR693*AT693</f>
        <v/>
      </c>
      <c r="AZ693">
        <f>AR693*AQ693</f>
        <v/>
      </c>
      <c r="BA693">
        <f>AR693</f>
        <v/>
      </c>
      <c r="BB693">
        <f>1</f>
        <v/>
      </c>
      <c r="BC693">
        <f>IF(AV693=1,1,IF(AW693=1,2,IF(AX693=1,3,IF(AY693=1,4,IF(AZ693=1,5,IF(BA693=1,6,7))))))</f>
        <v/>
      </c>
      <c r="BD693">
        <f>IF(AD693=1,CHOOSE('Historical Score'!$C$29,AV693,AW693,AX693,AY693,AZ693,BA693,BB693),0)</f>
        <v/>
      </c>
      <c r="BE693">
        <f>IF(BD693=1,COUNTIF($BD$2:BD693,1),"")</f>
        <v/>
      </c>
    </row>
    <row r="694">
      <c r="A694" t="inlineStr">
        <is>
          <t>5674179865</t>
        </is>
      </c>
      <c r="B694" t="inlineStr">
        <is>
          <t>ORANGE TRANSPORTATION DBA ZIA M SHEIKH  SOLE MBR</t>
        </is>
      </c>
      <c r="C694" t="inlineStr">
        <is>
          <t>ORANGE TRANSPORTATION LLC</t>
        </is>
      </c>
      <c r="D694" t="inlineStr">
        <is>
          <t>Open</t>
        </is>
      </c>
      <c r="E694" s="297" t="n">
        <v>46091</v>
      </c>
      <c r="F694" s="297" t="n">
        <v>46247</v>
      </c>
      <c r="G694" t="n">
        <v>4</v>
      </c>
      <c r="H694" t="inlineStr">
        <is>
          <t>9661</t>
        </is>
      </c>
      <c r="I694" t="inlineStr">
        <is>
          <t>96</t>
        </is>
      </c>
      <c r="J694" t="inlineStr">
        <is>
          <t>TX</t>
        </is>
      </c>
      <c r="K694" t="inlineStr">
        <is>
          <t>United Secured Capital 8</t>
        </is>
      </c>
      <c r="L694" t="inlineStr">
        <is>
          <t>New Deal</t>
        </is>
      </c>
      <c r="M694" s="298" t="n">
        <v>1.45</v>
      </c>
      <c r="N694" s="299" t="n">
        <v>72000</v>
      </c>
      <c r="O694" s="299" t="n">
        <v>8640</v>
      </c>
      <c r="P694" s="299" t="n">
        <v>104400</v>
      </c>
      <c r="Q694" s="299" t="n">
        <v>88931.34</v>
      </c>
      <c r="R694" s="299" t="n">
        <v>15468.66</v>
      </c>
      <c r="S694" s="300" t="n">
        <v>0.85183275862069</v>
      </c>
      <c r="T694" t="n">
        <v>27</v>
      </c>
      <c r="U694" t="n">
        <v>0</v>
      </c>
      <c r="V694" t="n">
        <v>276183.97</v>
      </c>
      <c r="W694" s="300" t="n">
        <v>0.056</v>
      </c>
      <c r="X694" s="297" t="n">
        <v>44566</v>
      </c>
      <c r="Y694">
        <f>IF(I694="","No SIC",IFERROR(VLOOKUP(I694,Ref!$A$2:$B$65,2,FALSE),"Unclassified"))</f>
        <v/>
      </c>
      <c r="Z694">
        <f>IF(T694="","",IF(T694&lt;12,"Daily","Weekly"))</f>
        <v/>
      </c>
      <c r="AA694">
        <f>IF(T694="",0,IF(T694&lt;12,T694*Controls!$B$29,T694*5))</f>
        <v/>
      </c>
      <c r="AB694">
        <f>IF(E694="",0,NETWORKDAYS(E694,Controls!$B$36,Ref!$K$2:$K$42))</f>
        <v/>
      </c>
      <c r="AC694">
        <f>IF(AND(AA694&gt;0,AB694&gt;=Controls!$B$39*AA694),1,0)</f>
        <v/>
      </c>
      <c r="AD694">
        <f>IF(AND(E694&lt;&gt;"",E694&gt;=Controls!$B$37,E694&lt;=Controls!$B$38),1,0)</f>
        <v/>
      </c>
      <c r="AE694">
        <f>IF(IFERROR(VLOOKUP(D694,Controls!$A$64:$E$74,2,FALSE),"No")="Yes",1,0)</f>
        <v/>
      </c>
      <c r="AF694">
        <f>IF(IFERROR(VLOOKUP(D694,Controls!$A$64:$E$74,3,FALSE),"No")="Yes",1,0)</f>
        <v/>
      </c>
      <c r="AG694">
        <f>IF(IFERROR(VLOOKUP(D694,Controls!$A$64:$E$74,4,FALSE),"No")="Yes",1,0)</f>
        <v/>
      </c>
      <c r="AH694">
        <f>IF(IFERROR(VLOOKUP(D694,Controls!$A$64:$E$74,5,FALSE),"No")="Yes",1,0)</f>
        <v/>
      </c>
      <c r="AI694">
        <f>IF(ISNUMBER(MATCH(D694,Controls!$A$64:$A$74,0)),1,0)</f>
        <v/>
      </c>
      <c r="AJ694">
        <f>Q694-N694</f>
        <v/>
      </c>
      <c r="AK694">
        <f>IF(AE694=1,MAX(0,N694-Q694),0)</f>
        <v/>
      </c>
      <c r="AL694">
        <f>IF(OR(V694="",V694=0),0,N694/V694)</f>
        <v/>
      </c>
      <c r="AM694">
        <f>IF(OR(V694="",V694=0),0,1)</f>
        <v/>
      </c>
      <c r="AN694">
        <f>IF(OR(E694="",F694=""),0,NETWORKDAYS(E694,F694,Ref!$K$2:$K$42))</f>
        <v/>
      </c>
      <c r="AO694">
        <f>IF(L694="Renewal",1,0)</f>
        <v/>
      </c>
      <c r="AP694">
        <f>AC694*AD694</f>
        <v/>
      </c>
      <c r="AQ694">
        <f>IF(AND(G694&lt;&gt;"",'Historical Score'!$C$6&lt;&gt;""),IF(G694='Historical Score'!$C$6,1,0),0)</f>
        <v/>
      </c>
      <c r="AR694">
        <f>IF(AND(L694&lt;&gt;"",'Historical Score'!$C$5&lt;&gt;""),IF(L694='Historical Score'!$C$5,1,0),0)</f>
        <v/>
      </c>
      <c r="AS694">
        <f>IF(AND(Y694&lt;&gt;"",'Historical Score'!$C$7&lt;&gt;""),IF(Y694='Historical Score'!$C$7,1,0),0)</f>
        <v/>
      </c>
      <c r="AT694">
        <f>IF(AND(K694&lt;&gt;"",'Historical Score'!$C$8&lt;&gt;""),IF(K694='Historical Score'!$C$8,1,0),0)</f>
        <v/>
      </c>
      <c r="AU694">
        <f>IF(AND(J694&lt;&gt;"",'Historical Score'!$C$9&lt;&gt;""),IF(J694='Historical Score'!$C$9,1,0),0)</f>
        <v/>
      </c>
      <c r="AV694">
        <f>AR694*AS694*AQ694</f>
        <v/>
      </c>
      <c r="AW694">
        <f>AR694*AT694*AQ694</f>
        <v/>
      </c>
      <c r="AX694">
        <f>AR694*AS694</f>
        <v/>
      </c>
      <c r="AY694">
        <f>AR694*AT694</f>
        <v/>
      </c>
      <c r="AZ694">
        <f>AR694*AQ694</f>
        <v/>
      </c>
      <c r="BA694">
        <f>AR694</f>
        <v/>
      </c>
      <c r="BB694">
        <f>1</f>
        <v/>
      </c>
      <c r="BC694">
        <f>IF(AV694=1,1,IF(AW694=1,2,IF(AX694=1,3,IF(AY694=1,4,IF(AZ694=1,5,IF(BA694=1,6,7))))))</f>
        <v/>
      </c>
      <c r="BD694">
        <f>IF(AD694=1,CHOOSE('Historical Score'!$C$29,AV694,AW694,AX694,AY694,AZ694,BA694,BB694),0)</f>
        <v/>
      </c>
      <c r="BE694">
        <f>IF(BD694=1,COUNTIF($BD$2:BD694,1),"")</f>
        <v/>
      </c>
    </row>
    <row r="695">
      <c r="A695" t="inlineStr">
        <is>
          <t>5674179905</t>
        </is>
      </c>
      <c r="B695" t="inlineStr">
        <is>
          <t>1Numerica Solutions JCSN Accounting Services</t>
        </is>
      </c>
      <c r="C695" t="inlineStr">
        <is>
          <t>JCSN Corp</t>
        </is>
      </c>
      <c r="D695" t="inlineStr">
        <is>
          <t>Closed</t>
        </is>
      </c>
      <c r="E695" s="297" t="n">
        <v>46091</v>
      </c>
      <c r="F695" s="297" t="n">
        <v>46216</v>
      </c>
      <c r="G695" t="n">
        <v>3</v>
      </c>
      <c r="H695" t="inlineStr">
        <is>
          <t>8721</t>
        </is>
      </c>
      <c r="I695" t="inlineStr">
        <is>
          <t>87</t>
        </is>
      </c>
      <c r="J695" t="inlineStr">
        <is>
          <t>CA</t>
        </is>
      </c>
      <c r="K695" t="inlineStr">
        <is>
          <t>The Funding Family</t>
        </is>
      </c>
      <c r="L695" t="inlineStr">
        <is>
          <t>New Deal</t>
        </is>
      </c>
      <c r="M695" s="298" t="n">
        <v>1.49</v>
      </c>
      <c r="N695" s="299" t="n">
        <v>26000</v>
      </c>
      <c r="O695" s="299" t="n">
        <v>3640</v>
      </c>
      <c r="P695" s="299" t="n">
        <v>38740</v>
      </c>
      <c r="Q695" s="299" t="n">
        <v>38740</v>
      </c>
      <c r="R695" s="299" t="n">
        <v>0</v>
      </c>
      <c r="S695" s="300" t="n">
        <v>1</v>
      </c>
      <c r="T695" t="n">
        <v>30</v>
      </c>
      <c r="U695" t="n">
        <v>1</v>
      </c>
      <c r="V695" t="n">
        <v>227249.49</v>
      </c>
      <c r="W695" s="300" t="n">
        <v>0.0227</v>
      </c>
      <c r="X695" s="297" t="n">
        <v>44410</v>
      </c>
      <c r="Y695">
        <f>IF(I695="","No SIC",IFERROR(VLOOKUP(I695,Ref!$A$2:$B$65,2,FALSE),"Unclassified"))</f>
        <v/>
      </c>
      <c r="Z695">
        <f>IF(T695="","",IF(T695&lt;12,"Daily","Weekly"))</f>
        <v/>
      </c>
      <c r="AA695">
        <f>IF(T695="",0,IF(T695&lt;12,T695*Controls!$B$29,T695*5))</f>
        <v/>
      </c>
      <c r="AB695">
        <f>IF(E695="",0,NETWORKDAYS(E695,Controls!$B$36,Ref!$K$2:$K$42))</f>
        <v/>
      </c>
      <c r="AC695">
        <f>IF(AND(AA695&gt;0,AB695&gt;=Controls!$B$39*AA695),1,0)</f>
        <v/>
      </c>
      <c r="AD695">
        <f>IF(AND(E695&lt;&gt;"",E695&gt;=Controls!$B$37,E695&lt;=Controls!$B$38),1,0)</f>
        <v/>
      </c>
      <c r="AE695">
        <f>IF(IFERROR(VLOOKUP(D695,Controls!$A$64:$E$74,2,FALSE),"No")="Yes",1,0)</f>
        <v/>
      </c>
      <c r="AF695">
        <f>IF(IFERROR(VLOOKUP(D695,Controls!$A$64:$E$74,3,FALSE),"No")="Yes",1,0)</f>
        <v/>
      </c>
      <c r="AG695">
        <f>IF(IFERROR(VLOOKUP(D695,Controls!$A$64:$E$74,4,FALSE),"No")="Yes",1,0)</f>
        <v/>
      </c>
      <c r="AH695">
        <f>IF(IFERROR(VLOOKUP(D695,Controls!$A$64:$E$74,5,FALSE),"No")="Yes",1,0)</f>
        <v/>
      </c>
      <c r="AI695">
        <f>IF(ISNUMBER(MATCH(D695,Controls!$A$64:$A$74,0)),1,0)</f>
        <v/>
      </c>
      <c r="AJ695">
        <f>Q695-N695</f>
        <v/>
      </c>
      <c r="AK695">
        <f>IF(AE695=1,MAX(0,N695-Q695),0)</f>
        <v/>
      </c>
      <c r="AL695">
        <f>IF(OR(V695="",V695=0),0,N695/V695)</f>
        <v/>
      </c>
      <c r="AM695">
        <f>IF(OR(V695="",V695=0),0,1)</f>
        <v/>
      </c>
      <c r="AN695">
        <f>IF(OR(E695="",F695=""),0,NETWORKDAYS(E695,F695,Ref!$K$2:$K$42))</f>
        <v/>
      </c>
      <c r="AO695">
        <f>IF(L695="Renewal",1,0)</f>
        <v/>
      </c>
      <c r="AP695">
        <f>AC695*AD695</f>
        <v/>
      </c>
      <c r="AQ695">
        <f>IF(AND(G695&lt;&gt;"",'Historical Score'!$C$6&lt;&gt;""),IF(G695='Historical Score'!$C$6,1,0),0)</f>
        <v/>
      </c>
      <c r="AR695">
        <f>IF(AND(L695&lt;&gt;"",'Historical Score'!$C$5&lt;&gt;""),IF(L695='Historical Score'!$C$5,1,0),0)</f>
        <v/>
      </c>
      <c r="AS695">
        <f>IF(AND(Y695&lt;&gt;"",'Historical Score'!$C$7&lt;&gt;""),IF(Y695='Historical Score'!$C$7,1,0),0)</f>
        <v/>
      </c>
      <c r="AT695">
        <f>IF(AND(K695&lt;&gt;"",'Historical Score'!$C$8&lt;&gt;""),IF(K695='Historical Score'!$C$8,1,0),0)</f>
        <v/>
      </c>
      <c r="AU695">
        <f>IF(AND(J695&lt;&gt;"",'Historical Score'!$C$9&lt;&gt;""),IF(J695='Historical Score'!$C$9,1,0),0)</f>
        <v/>
      </c>
      <c r="AV695">
        <f>AR695*AS695*AQ695</f>
        <v/>
      </c>
      <c r="AW695">
        <f>AR695*AT695*AQ695</f>
        <v/>
      </c>
      <c r="AX695">
        <f>AR695*AS695</f>
        <v/>
      </c>
      <c r="AY695">
        <f>AR695*AT695</f>
        <v/>
      </c>
      <c r="AZ695">
        <f>AR695*AQ695</f>
        <v/>
      </c>
      <c r="BA695">
        <f>AR695</f>
        <v/>
      </c>
      <c r="BB695">
        <f>1</f>
        <v/>
      </c>
      <c r="BC695">
        <f>IF(AV695=1,1,IF(AW695=1,2,IF(AX695=1,3,IF(AY695=1,4,IF(AZ695=1,5,IF(BA695=1,6,7))))))</f>
        <v/>
      </c>
      <c r="BD695">
        <f>IF(AD695=1,CHOOSE('Historical Score'!$C$29,AV695,AW695,AX695,AY695,AZ695,BA695,BB695),0)</f>
        <v/>
      </c>
      <c r="BE695">
        <f>IF(BD695=1,COUNTIF($BD$2:BD695,1),"")</f>
        <v/>
      </c>
    </row>
    <row r="696">
      <c r="A696" t="inlineStr">
        <is>
          <t>5674179921</t>
        </is>
      </c>
      <c r="B696" t="inlineStr">
        <is>
          <t>Focus Freight Llc</t>
        </is>
      </c>
      <c r="C696" t="inlineStr">
        <is>
          <t>Focus Freight Llc</t>
        </is>
      </c>
      <c r="D696" t="inlineStr">
        <is>
          <t>Legal</t>
        </is>
      </c>
      <c r="E696" s="297" t="n">
        <v>46091</v>
      </c>
      <c r="F696" s="297" t="n">
        <v>46234</v>
      </c>
      <c r="G696" t="n">
        <v>3</v>
      </c>
      <c r="H696" t="inlineStr">
        <is>
          <t>4212</t>
        </is>
      </c>
      <c r="I696" t="inlineStr">
        <is>
          <t>42</t>
        </is>
      </c>
      <c r="J696" t="inlineStr">
        <is>
          <t>TN</t>
        </is>
      </c>
      <c r="K696" t="inlineStr">
        <is>
          <t>upcrunch</t>
        </is>
      </c>
      <c r="L696" t="inlineStr">
        <is>
          <t>New Deal</t>
        </is>
      </c>
      <c r="M696" s="298" t="n">
        <v>1.49</v>
      </c>
      <c r="N696" s="299" t="n">
        <v>5000</v>
      </c>
      <c r="O696" s="299" t="n">
        <v>700</v>
      </c>
      <c r="P696" s="299" t="n">
        <v>7450</v>
      </c>
      <c r="Q696" s="299" t="n">
        <v>5002.01</v>
      </c>
      <c r="R696" s="299" t="n">
        <v>2447.99</v>
      </c>
      <c r="S696" s="300" t="n">
        <v>0.6714107382550339</v>
      </c>
      <c r="T696" t="n">
        <v>1.967</v>
      </c>
      <c r="U696" t="n">
        <v>21</v>
      </c>
      <c r="V696" t="n">
        <v>63343.36</v>
      </c>
      <c r="W696" s="300" t="n">
        <v>0.0412</v>
      </c>
      <c r="X696" s="297" t="n">
        <v>44039</v>
      </c>
      <c r="Y696">
        <f>IF(I696="","No SIC",IFERROR(VLOOKUP(I696,Ref!$A$2:$B$65,2,FALSE),"Unclassified"))</f>
        <v/>
      </c>
      <c r="Z696">
        <f>IF(T696="","",IF(T696&lt;12,"Daily","Weekly"))</f>
        <v/>
      </c>
      <c r="AA696">
        <f>IF(T696="",0,IF(T696&lt;12,T696*Controls!$B$29,T696*5))</f>
        <v/>
      </c>
      <c r="AB696">
        <f>IF(E696="",0,NETWORKDAYS(E696,Controls!$B$36,Ref!$K$2:$K$42))</f>
        <v/>
      </c>
      <c r="AC696">
        <f>IF(AND(AA696&gt;0,AB696&gt;=Controls!$B$39*AA696),1,0)</f>
        <v/>
      </c>
      <c r="AD696">
        <f>IF(AND(E696&lt;&gt;"",E696&gt;=Controls!$B$37,E696&lt;=Controls!$B$38),1,0)</f>
        <v/>
      </c>
      <c r="AE696">
        <f>IF(IFERROR(VLOOKUP(D696,Controls!$A$64:$E$74,2,FALSE),"No")="Yes",1,0)</f>
        <v/>
      </c>
      <c r="AF696">
        <f>IF(IFERROR(VLOOKUP(D696,Controls!$A$64:$E$74,3,FALSE),"No")="Yes",1,0)</f>
        <v/>
      </c>
      <c r="AG696">
        <f>IF(IFERROR(VLOOKUP(D696,Controls!$A$64:$E$74,4,FALSE),"No")="Yes",1,0)</f>
        <v/>
      </c>
      <c r="AH696">
        <f>IF(IFERROR(VLOOKUP(D696,Controls!$A$64:$E$74,5,FALSE),"No")="Yes",1,0)</f>
        <v/>
      </c>
      <c r="AI696">
        <f>IF(ISNUMBER(MATCH(D696,Controls!$A$64:$A$74,0)),1,0)</f>
        <v/>
      </c>
      <c r="AJ696">
        <f>Q696-N696</f>
        <v/>
      </c>
      <c r="AK696">
        <f>IF(AE696=1,MAX(0,N696-Q696),0)</f>
        <v/>
      </c>
      <c r="AL696">
        <f>IF(OR(V696="",V696=0),0,N696/V696)</f>
        <v/>
      </c>
      <c r="AM696">
        <f>IF(OR(V696="",V696=0),0,1)</f>
        <v/>
      </c>
      <c r="AN696">
        <f>IF(OR(E696="",F696=""),0,NETWORKDAYS(E696,F696,Ref!$K$2:$K$42))</f>
        <v/>
      </c>
      <c r="AO696">
        <f>IF(L696="Renewal",1,0)</f>
        <v/>
      </c>
      <c r="AP696">
        <f>AC696*AD696</f>
        <v/>
      </c>
      <c r="AQ696">
        <f>IF(AND(G696&lt;&gt;"",'Historical Score'!$C$6&lt;&gt;""),IF(G696='Historical Score'!$C$6,1,0),0)</f>
        <v/>
      </c>
      <c r="AR696">
        <f>IF(AND(L696&lt;&gt;"",'Historical Score'!$C$5&lt;&gt;""),IF(L696='Historical Score'!$C$5,1,0),0)</f>
        <v/>
      </c>
      <c r="AS696">
        <f>IF(AND(Y696&lt;&gt;"",'Historical Score'!$C$7&lt;&gt;""),IF(Y696='Historical Score'!$C$7,1,0),0)</f>
        <v/>
      </c>
      <c r="AT696">
        <f>IF(AND(K696&lt;&gt;"",'Historical Score'!$C$8&lt;&gt;""),IF(K696='Historical Score'!$C$8,1,0),0)</f>
        <v/>
      </c>
      <c r="AU696">
        <f>IF(AND(J696&lt;&gt;"",'Historical Score'!$C$9&lt;&gt;""),IF(J696='Historical Score'!$C$9,1,0),0)</f>
        <v/>
      </c>
      <c r="AV696">
        <f>AR696*AS696*AQ696</f>
        <v/>
      </c>
      <c r="AW696">
        <f>AR696*AT696*AQ696</f>
        <v/>
      </c>
      <c r="AX696">
        <f>AR696*AS696</f>
        <v/>
      </c>
      <c r="AY696">
        <f>AR696*AT696</f>
        <v/>
      </c>
      <c r="AZ696">
        <f>AR696*AQ696</f>
        <v/>
      </c>
      <c r="BA696">
        <f>AR696</f>
        <v/>
      </c>
      <c r="BB696">
        <f>1</f>
        <v/>
      </c>
      <c r="BC696">
        <f>IF(AV696=1,1,IF(AW696=1,2,IF(AX696=1,3,IF(AY696=1,4,IF(AZ696=1,5,IF(BA696=1,6,7))))))</f>
        <v/>
      </c>
      <c r="BD696">
        <f>IF(AD696=1,CHOOSE('Historical Score'!$C$29,AV696,AW696,AX696,AY696,AZ696,BA696,BB696),0)</f>
        <v/>
      </c>
      <c r="BE696">
        <f>IF(BD696=1,COUNTIF($BD$2:BD696,1),"")</f>
        <v/>
      </c>
    </row>
    <row r="697">
      <c r="A697" t="inlineStr">
        <is>
          <t>5674179923</t>
        </is>
      </c>
      <c r="B697" t="inlineStr">
        <is>
          <t>Wood's Landscape Services Inc</t>
        </is>
      </c>
      <c r="C697" t="inlineStr">
        <is>
          <t>Barlwood Enterprises, LLC</t>
        </is>
      </c>
      <c r="D697" t="inlineStr">
        <is>
          <t>Closed</t>
        </is>
      </c>
      <c r="E697" s="297" t="n">
        <v>46091</v>
      </c>
      <c r="F697" s="297" t="n">
        <v>46175</v>
      </c>
      <c r="G697" t="n">
        <v>3</v>
      </c>
      <c r="H697" t="inlineStr">
        <is>
          <t>0781</t>
        </is>
      </c>
      <c r="I697" t="inlineStr">
        <is>
          <t>07</t>
        </is>
      </c>
      <c r="J697" t="inlineStr">
        <is>
          <t>TX</t>
        </is>
      </c>
      <c r="K697" t="inlineStr">
        <is>
          <t>True Eagle Capital</t>
        </is>
      </c>
      <c r="L697" t="inlineStr">
        <is>
          <t>New Deal</t>
        </is>
      </c>
      <c r="M697" s="298" t="n">
        <v>1.49</v>
      </c>
      <c r="N697" s="299" t="n">
        <v>20000</v>
      </c>
      <c r="O697" s="299" t="n">
        <v>2800</v>
      </c>
      <c r="P697" s="299" t="n">
        <v>29800</v>
      </c>
      <c r="Q697" s="299" t="n">
        <v>29800</v>
      </c>
      <c r="R697" s="299" t="n">
        <v>0</v>
      </c>
      <c r="S697" s="300" t="n">
        <v>1</v>
      </c>
      <c r="T697" t="n">
        <v>2.951</v>
      </c>
      <c r="U697" t="n">
        <v>3</v>
      </c>
      <c r="V697" t="n">
        <v>57633.25</v>
      </c>
      <c r="W697" s="300" t="n">
        <v>0.1206</v>
      </c>
      <c r="X697" s="297" t="n">
        <v>30376</v>
      </c>
      <c r="Y697">
        <f>IF(I697="","No SIC",IFERROR(VLOOKUP(I697,Ref!$A$2:$B$65,2,FALSE),"Unclassified"))</f>
        <v/>
      </c>
      <c r="Z697">
        <f>IF(T697="","",IF(T697&lt;12,"Daily","Weekly"))</f>
        <v/>
      </c>
      <c r="AA697">
        <f>IF(T697="",0,IF(T697&lt;12,T697*Controls!$B$29,T697*5))</f>
        <v/>
      </c>
      <c r="AB697">
        <f>IF(E697="",0,NETWORKDAYS(E697,Controls!$B$36,Ref!$K$2:$K$42))</f>
        <v/>
      </c>
      <c r="AC697">
        <f>IF(AND(AA697&gt;0,AB697&gt;=Controls!$B$39*AA697),1,0)</f>
        <v/>
      </c>
      <c r="AD697">
        <f>IF(AND(E697&lt;&gt;"",E697&gt;=Controls!$B$37,E697&lt;=Controls!$B$38),1,0)</f>
        <v/>
      </c>
      <c r="AE697">
        <f>IF(IFERROR(VLOOKUP(D697,Controls!$A$64:$E$74,2,FALSE),"No")="Yes",1,0)</f>
        <v/>
      </c>
      <c r="AF697">
        <f>IF(IFERROR(VLOOKUP(D697,Controls!$A$64:$E$74,3,FALSE),"No")="Yes",1,0)</f>
        <v/>
      </c>
      <c r="AG697">
        <f>IF(IFERROR(VLOOKUP(D697,Controls!$A$64:$E$74,4,FALSE),"No")="Yes",1,0)</f>
        <v/>
      </c>
      <c r="AH697">
        <f>IF(IFERROR(VLOOKUP(D697,Controls!$A$64:$E$74,5,FALSE),"No")="Yes",1,0)</f>
        <v/>
      </c>
      <c r="AI697">
        <f>IF(ISNUMBER(MATCH(D697,Controls!$A$64:$A$74,0)),1,0)</f>
        <v/>
      </c>
      <c r="AJ697">
        <f>Q697-N697</f>
        <v/>
      </c>
      <c r="AK697">
        <f>IF(AE697=1,MAX(0,N697-Q697),0)</f>
        <v/>
      </c>
      <c r="AL697">
        <f>IF(OR(V697="",V697=0),0,N697/V697)</f>
        <v/>
      </c>
      <c r="AM697">
        <f>IF(OR(V697="",V697=0),0,1)</f>
        <v/>
      </c>
      <c r="AN697">
        <f>IF(OR(E697="",F697=""),0,NETWORKDAYS(E697,F697,Ref!$K$2:$K$42))</f>
        <v/>
      </c>
      <c r="AO697">
        <f>IF(L697="Renewal",1,0)</f>
        <v/>
      </c>
      <c r="AP697">
        <f>AC697*AD697</f>
        <v/>
      </c>
      <c r="AQ697">
        <f>IF(AND(G697&lt;&gt;"",'Historical Score'!$C$6&lt;&gt;""),IF(G697='Historical Score'!$C$6,1,0),0)</f>
        <v/>
      </c>
      <c r="AR697">
        <f>IF(AND(L697&lt;&gt;"",'Historical Score'!$C$5&lt;&gt;""),IF(L697='Historical Score'!$C$5,1,0),0)</f>
        <v/>
      </c>
      <c r="AS697">
        <f>IF(AND(Y697&lt;&gt;"",'Historical Score'!$C$7&lt;&gt;""),IF(Y697='Historical Score'!$C$7,1,0),0)</f>
        <v/>
      </c>
      <c r="AT697">
        <f>IF(AND(K697&lt;&gt;"",'Historical Score'!$C$8&lt;&gt;""),IF(K697='Historical Score'!$C$8,1,0),0)</f>
        <v/>
      </c>
      <c r="AU697">
        <f>IF(AND(J697&lt;&gt;"",'Historical Score'!$C$9&lt;&gt;""),IF(J697='Historical Score'!$C$9,1,0),0)</f>
        <v/>
      </c>
      <c r="AV697">
        <f>AR697*AS697*AQ697</f>
        <v/>
      </c>
      <c r="AW697">
        <f>AR697*AT697*AQ697</f>
        <v/>
      </c>
      <c r="AX697">
        <f>AR697*AS697</f>
        <v/>
      </c>
      <c r="AY697">
        <f>AR697*AT697</f>
        <v/>
      </c>
      <c r="AZ697">
        <f>AR697*AQ697</f>
        <v/>
      </c>
      <c r="BA697">
        <f>AR697</f>
        <v/>
      </c>
      <c r="BB697">
        <f>1</f>
        <v/>
      </c>
      <c r="BC697">
        <f>IF(AV697=1,1,IF(AW697=1,2,IF(AX697=1,3,IF(AY697=1,4,IF(AZ697=1,5,IF(BA697=1,6,7))))))</f>
        <v/>
      </c>
      <c r="BD697">
        <f>IF(AD697=1,CHOOSE('Historical Score'!$C$29,AV697,AW697,AX697,AY697,AZ697,BA697,BB697),0)</f>
        <v/>
      </c>
      <c r="BE697">
        <f>IF(BD697=1,COUNTIF($BD$2:BD697,1),"")</f>
        <v/>
      </c>
    </row>
    <row r="698">
      <c r="A698" t="inlineStr">
        <is>
          <t>5674179949</t>
        </is>
      </c>
      <c r="B698" t="inlineStr">
        <is>
          <t>JJ MUTTS W&amp;S</t>
        </is>
      </c>
      <c r="C698" t="inlineStr">
        <is>
          <t>DMV</t>
        </is>
      </c>
      <c r="D698" t="inlineStr">
        <is>
          <t>Closed</t>
        </is>
      </c>
      <c r="E698" s="297" t="n">
        <v>46092</v>
      </c>
      <c r="F698" s="297" t="n">
        <v>46168</v>
      </c>
      <c r="G698" t="n">
        <v>3</v>
      </c>
      <c r="H698" t="inlineStr">
        <is>
          <t>5999</t>
        </is>
      </c>
      <c r="I698" t="inlineStr">
        <is>
          <t>59</t>
        </is>
      </c>
      <c r="J698" t="inlineStr">
        <is>
          <t>MD</t>
        </is>
      </c>
      <c r="K698" t="inlineStr">
        <is>
          <t>Mills  funding group</t>
        </is>
      </c>
      <c r="L698" t="inlineStr">
        <is>
          <t>New Deal</t>
        </is>
      </c>
      <c r="M698" s="298" t="n">
        <v>1.45</v>
      </c>
      <c r="N698" s="299" t="n">
        <v>25000</v>
      </c>
      <c r="O698" s="299" t="n">
        <v>3000</v>
      </c>
      <c r="P698" s="299" t="n">
        <v>36250</v>
      </c>
      <c r="Q698" s="299" t="n">
        <v>36250</v>
      </c>
      <c r="R698" s="299" t="n">
        <v>0</v>
      </c>
      <c r="S698" s="300" t="n">
        <v>1</v>
      </c>
      <c r="T698" t="n">
        <v>2.295</v>
      </c>
      <c r="U698" t="n">
        <v>2</v>
      </c>
      <c r="V698" t="n">
        <v>152565.23</v>
      </c>
      <c r="W698" s="300" t="n">
        <v>0.0713</v>
      </c>
      <c r="X698" s="297" t="n">
        <v>45108</v>
      </c>
      <c r="Y698">
        <f>IF(I698="","No SIC",IFERROR(VLOOKUP(I698,Ref!$A$2:$B$65,2,FALSE),"Unclassified"))</f>
        <v/>
      </c>
      <c r="Z698">
        <f>IF(T698="","",IF(T698&lt;12,"Daily","Weekly"))</f>
        <v/>
      </c>
      <c r="AA698">
        <f>IF(T698="",0,IF(T698&lt;12,T698*Controls!$B$29,T698*5))</f>
        <v/>
      </c>
      <c r="AB698">
        <f>IF(E698="",0,NETWORKDAYS(E698,Controls!$B$36,Ref!$K$2:$K$42))</f>
        <v/>
      </c>
      <c r="AC698">
        <f>IF(AND(AA698&gt;0,AB698&gt;=Controls!$B$39*AA698),1,0)</f>
        <v/>
      </c>
      <c r="AD698">
        <f>IF(AND(E698&lt;&gt;"",E698&gt;=Controls!$B$37,E698&lt;=Controls!$B$38),1,0)</f>
        <v/>
      </c>
      <c r="AE698">
        <f>IF(IFERROR(VLOOKUP(D698,Controls!$A$64:$E$74,2,FALSE),"No")="Yes",1,0)</f>
        <v/>
      </c>
      <c r="AF698">
        <f>IF(IFERROR(VLOOKUP(D698,Controls!$A$64:$E$74,3,FALSE),"No")="Yes",1,0)</f>
        <v/>
      </c>
      <c r="AG698">
        <f>IF(IFERROR(VLOOKUP(D698,Controls!$A$64:$E$74,4,FALSE),"No")="Yes",1,0)</f>
        <v/>
      </c>
      <c r="AH698">
        <f>IF(IFERROR(VLOOKUP(D698,Controls!$A$64:$E$74,5,FALSE),"No")="Yes",1,0)</f>
        <v/>
      </c>
      <c r="AI698">
        <f>IF(ISNUMBER(MATCH(D698,Controls!$A$64:$A$74,0)),1,0)</f>
        <v/>
      </c>
      <c r="AJ698">
        <f>Q698-N698</f>
        <v/>
      </c>
      <c r="AK698">
        <f>IF(AE698=1,MAX(0,N698-Q698),0)</f>
        <v/>
      </c>
      <c r="AL698">
        <f>IF(OR(V698="",V698=0),0,N698/V698)</f>
        <v/>
      </c>
      <c r="AM698">
        <f>IF(OR(V698="",V698=0),0,1)</f>
        <v/>
      </c>
      <c r="AN698">
        <f>IF(OR(E698="",F698=""),0,NETWORKDAYS(E698,F698,Ref!$K$2:$K$42))</f>
        <v/>
      </c>
      <c r="AO698">
        <f>IF(L698="Renewal",1,0)</f>
        <v/>
      </c>
      <c r="AP698">
        <f>AC698*AD698</f>
        <v/>
      </c>
      <c r="AQ698">
        <f>IF(AND(G698&lt;&gt;"",'Historical Score'!$C$6&lt;&gt;""),IF(G698='Historical Score'!$C$6,1,0),0)</f>
        <v/>
      </c>
      <c r="AR698">
        <f>IF(AND(L698&lt;&gt;"",'Historical Score'!$C$5&lt;&gt;""),IF(L698='Historical Score'!$C$5,1,0),0)</f>
        <v/>
      </c>
      <c r="AS698">
        <f>IF(AND(Y698&lt;&gt;"",'Historical Score'!$C$7&lt;&gt;""),IF(Y698='Historical Score'!$C$7,1,0),0)</f>
        <v/>
      </c>
      <c r="AT698">
        <f>IF(AND(K698&lt;&gt;"",'Historical Score'!$C$8&lt;&gt;""),IF(K698='Historical Score'!$C$8,1,0),0)</f>
        <v/>
      </c>
      <c r="AU698">
        <f>IF(AND(J698&lt;&gt;"",'Historical Score'!$C$9&lt;&gt;""),IF(J698='Historical Score'!$C$9,1,0),0)</f>
        <v/>
      </c>
      <c r="AV698">
        <f>AR698*AS698*AQ698</f>
        <v/>
      </c>
      <c r="AW698">
        <f>AR698*AT698*AQ698</f>
        <v/>
      </c>
      <c r="AX698">
        <f>AR698*AS698</f>
        <v/>
      </c>
      <c r="AY698">
        <f>AR698*AT698</f>
        <v/>
      </c>
      <c r="AZ698">
        <f>AR698*AQ698</f>
        <v/>
      </c>
      <c r="BA698">
        <f>AR698</f>
        <v/>
      </c>
      <c r="BB698">
        <f>1</f>
        <v/>
      </c>
      <c r="BC698">
        <f>IF(AV698=1,1,IF(AW698=1,2,IF(AX698=1,3,IF(AY698=1,4,IF(AZ698=1,5,IF(BA698=1,6,7))))))</f>
        <v/>
      </c>
      <c r="BD698">
        <f>IF(AD698=1,CHOOSE('Historical Score'!$C$29,AV698,AW698,AX698,AY698,AZ698,BA698,BB698),0)</f>
        <v/>
      </c>
      <c r="BE698">
        <f>IF(BD698=1,COUNTIF($BD$2:BD698,1),"")</f>
        <v/>
      </c>
    </row>
    <row r="699">
      <c r="A699" t="inlineStr">
        <is>
          <t>5674179963</t>
        </is>
      </c>
      <c r="B699" t="inlineStr">
        <is>
          <t>kkc partners llc</t>
        </is>
      </c>
      <c r="C699" t="inlineStr">
        <is>
          <t>kkc partners llc</t>
        </is>
      </c>
      <c r="D699" t="inlineStr">
        <is>
          <t>Open</t>
        </is>
      </c>
      <c r="E699" s="297" t="n">
        <v>46092</v>
      </c>
      <c r="F699" s="297" t="n">
        <v>46253</v>
      </c>
      <c r="G699" t="n">
        <v>3</v>
      </c>
      <c r="H699" t="inlineStr">
        <is>
          <t>5999</t>
        </is>
      </c>
      <c r="I699" t="inlineStr">
        <is>
          <t>59</t>
        </is>
      </c>
      <c r="J699" t="inlineStr">
        <is>
          <t>GA</t>
        </is>
      </c>
      <c r="K699" t="inlineStr">
        <is>
          <t>secure way capital</t>
        </is>
      </c>
      <c r="L699" t="inlineStr">
        <is>
          <t>New Deal</t>
        </is>
      </c>
      <c r="M699" s="298" t="n">
        <v>1.49</v>
      </c>
      <c r="N699" s="299" t="n">
        <v>10000</v>
      </c>
      <c r="O699" s="299" t="n">
        <v>1400</v>
      </c>
      <c r="P699" s="299" t="n">
        <v>14900</v>
      </c>
      <c r="Q699" s="299" t="n">
        <v>11917.8</v>
      </c>
      <c r="R699" s="299" t="n">
        <v>2982.2</v>
      </c>
      <c r="S699" s="300" t="n">
        <v>0.7998523489932891</v>
      </c>
      <c r="T699" t="n">
        <v>2.459</v>
      </c>
      <c r="U699" t="n">
        <v>34</v>
      </c>
      <c r="V699" t="n">
        <v>27103.39</v>
      </c>
      <c r="W699" s="300" t="n">
        <v>0.1539</v>
      </c>
      <c r="X699" s="297" t="n">
        <v>45383</v>
      </c>
      <c r="Y699">
        <f>IF(I699="","No SIC",IFERROR(VLOOKUP(I699,Ref!$A$2:$B$65,2,FALSE),"Unclassified"))</f>
        <v/>
      </c>
      <c r="Z699">
        <f>IF(T699="","",IF(T699&lt;12,"Daily","Weekly"))</f>
        <v/>
      </c>
      <c r="AA699">
        <f>IF(T699="",0,IF(T699&lt;12,T699*Controls!$B$29,T699*5))</f>
        <v/>
      </c>
      <c r="AB699">
        <f>IF(E699="",0,NETWORKDAYS(E699,Controls!$B$36,Ref!$K$2:$K$42))</f>
        <v/>
      </c>
      <c r="AC699">
        <f>IF(AND(AA699&gt;0,AB699&gt;=Controls!$B$39*AA699),1,0)</f>
        <v/>
      </c>
      <c r="AD699">
        <f>IF(AND(E699&lt;&gt;"",E699&gt;=Controls!$B$37,E699&lt;=Controls!$B$38),1,0)</f>
        <v/>
      </c>
      <c r="AE699">
        <f>IF(IFERROR(VLOOKUP(D699,Controls!$A$64:$E$74,2,FALSE),"No")="Yes",1,0)</f>
        <v/>
      </c>
      <c r="AF699">
        <f>IF(IFERROR(VLOOKUP(D699,Controls!$A$64:$E$74,3,FALSE),"No")="Yes",1,0)</f>
        <v/>
      </c>
      <c r="AG699">
        <f>IF(IFERROR(VLOOKUP(D699,Controls!$A$64:$E$74,4,FALSE),"No")="Yes",1,0)</f>
        <v/>
      </c>
      <c r="AH699">
        <f>IF(IFERROR(VLOOKUP(D699,Controls!$A$64:$E$74,5,FALSE),"No")="Yes",1,0)</f>
        <v/>
      </c>
      <c r="AI699">
        <f>IF(ISNUMBER(MATCH(D699,Controls!$A$64:$A$74,0)),1,0)</f>
        <v/>
      </c>
      <c r="AJ699">
        <f>Q699-N699</f>
        <v/>
      </c>
      <c r="AK699">
        <f>IF(AE699=1,MAX(0,N699-Q699),0)</f>
        <v/>
      </c>
      <c r="AL699">
        <f>IF(OR(V699="",V699=0),0,N699/V699)</f>
        <v/>
      </c>
      <c r="AM699">
        <f>IF(OR(V699="",V699=0),0,1)</f>
        <v/>
      </c>
      <c r="AN699">
        <f>IF(OR(E699="",F699=""),0,NETWORKDAYS(E699,F699,Ref!$K$2:$K$42))</f>
        <v/>
      </c>
      <c r="AO699">
        <f>IF(L699="Renewal",1,0)</f>
        <v/>
      </c>
      <c r="AP699">
        <f>AC699*AD699</f>
        <v/>
      </c>
      <c r="AQ699">
        <f>IF(AND(G699&lt;&gt;"",'Historical Score'!$C$6&lt;&gt;""),IF(G699='Historical Score'!$C$6,1,0),0)</f>
        <v/>
      </c>
      <c r="AR699">
        <f>IF(AND(L699&lt;&gt;"",'Historical Score'!$C$5&lt;&gt;""),IF(L699='Historical Score'!$C$5,1,0),0)</f>
        <v/>
      </c>
      <c r="AS699">
        <f>IF(AND(Y699&lt;&gt;"",'Historical Score'!$C$7&lt;&gt;""),IF(Y699='Historical Score'!$C$7,1,0),0)</f>
        <v/>
      </c>
      <c r="AT699">
        <f>IF(AND(K699&lt;&gt;"",'Historical Score'!$C$8&lt;&gt;""),IF(K699='Historical Score'!$C$8,1,0),0)</f>
        <v/>
      </c>
      <c r="AU699">
        <f>IF(AND(J699&lt;&gt;"",'Historical Score'!$C$9&lt;&gt;""),IF(J699='Historical Score'!$C$9,1,0),0)</f>
        <v/>
      </c>
      <c r="AV699">
        <f>AR699*AS699*AQ699</f>
        <v/>
      </c>
      <c r="AW699">
        <f>AR699*AT699*AQ699</f>
        <v/>
      </c>
      <c r="AX699">
        <f>AR699*AS699</f>
        <v/>
      </c>
      <c r="AY699">
        <f>AR699*AT699</f>
        <v/>
      </c>
      <c r="AZ699">
        <f>AR699*AQ699</f>
        <v/>
      </c>
      <c r="BA699">
        <f>AR699</f>
        <v/>
      </c>
      <c r="BB699">
        <f>1</f>
        <v/>
      </c>
      <c r="BC699">
        <f>IF(AV699=1,1,IF(AW699=1,2,IF(AX699=1,3,IF(AY699=1,4,IF(AZ699=1,5,IF(BA699=1,6,7))))))</f>
        <v/>
      </c>
      <c r="BD699">
        <f>IF(AD699=1,CHOOSE('Historical Score'!$C$29,AV699,AW699,AX699,AY699,AZ699,BA699,BB699),0)</f>
        <v/>
      </c>
      <c r="BE699">
        <f>IF(BD699=1,COUNTIF($BD$2:BD699,1),"")</f>
        <v/>
      </c>
    </row>
    <row r="700">
      <c r="A700" t="inlineStr">
        <is>
          <t>5674179984</t>
        </is>
      </c>
      <c r="B700" t="inlineStr">
        <is>
          <t>H30 TRUCKING LLC</t>
        </is>
      </c>
      <c r="C700" t="inlineStr">
        <is>
          <t>H30 TRUCKING LLC</t>
        </is>
      </c>
      <c r="D700" t="inlineStr">
        <is>
          <t>Closed</t>
        </is>
      </c>
      <c r="E700" s="297" t="n">
        <v>46092</v>
      </c>
      <c r="F700" s="297" t="n">
        <v>46169</v>
      </c>
      <c r="G700" t="n">
        <v>3</v>
      </c>
      <c r="H700" t="inlineStr">
        <is>
          <t>4212</t>
        </is>
      </c>
      <c r="I700" t="inlineStr">
        <is>
          <t>42</t>
        </is>
      </c>
      <c r="J700" t="inlineStr">
        <is>
          <t>VA</t>
        </is>
      </c>
      <c r="K700" t="inlineStr">
        <is>
          <t>Ballicci</t>
        </is>
      </c>
      <c r="L700" t="inlineStr">
        <is>
          <t>New Deal</t>
        </is>
      </c>
      <c r="M700" s="298" t="n">
        <v>1.49</v>
      </c>
      <c r="N700" s="299" t="n">
        <v>20000</v>
      </c>
      <c r="O700" s="299" t="n">
        <v>2800</v>
      </c>
      <c r="P700" s="299" t="n">
        <v>29800</v>
      </c>
      <c r="Q700" s="299" t="n">
        <v>29800</v>
      </c>
      <c r="R700" s="299" t="n">
        <v>0</v>
      </c>
      <c r="S700" s="300" t="n">
        <v>1</v>
      </c>
      <c r="T700" t="n">
        <v>24</v>
      </c>
      <c r="U700" t="n">
        <v>0</v>
      </c>
      <c r="V700" t="n">
        <v>114549.95</v>
      </c>
      <c r="W700" s="300" t="n">
        <v>0.0434</v>
      </c>
      <c r="X700" s="297" t="n">
        <v>43837</v>
      </c>
      <c r="Y700">
        <f>IF(I700="","No SIC",IFERROR(VLOOKUP(I700,Ref!$A$2:$B$65,2,FALSE),"Unclassified"))</f>
        <v/>
      </c>
      <c r="Z700">
        <f>IF(T700="","",IF(T700&lt;12,"Daily","Weekly"))</f>
        <v/>
      </c>
      <c r="AA700">
        <f>IF(T700="",0,IF(T700&lt;12,T700*Controls!$B$29,T700*5))</f>
        <v/>
      </c>
      <c r="AB700">
        <f>IF(E700="",0,NETWORKDAYS(E700,Controls!$B$36,Ref!$K$2:$K$42))</f>
        <v/>
      </c>
      <c r="AC700">
        <f>IF(AND(AA700&gt;0,AB700&gt;=Controls!$B$39*AA700),1,0)</f>
        <v/>
      </c>
      <c r="AD700">
        <f>IF(AND(E700&lt;&gt;"",E700&gt;=Controls!$B$37,E700&lt;=Controls!$B$38),1,0)</f>
        <v/>
      </c>
      <c r="AE700">
        <f>IF(IFERROR(VLOOKUP(D700,Controls!$A$64:$E$74,2,FALSE),"No")="Yes",1,0)</f>
        <v/>
      </c>
      <c r="AF700">
        <f>IF(IFERROR(VLOOKUP(D700,Controls!$A$64:$E$74,3,FALSE),"No")="Yes",1,0)</f>
        <v/>
      </c>
      <c r="AG700">
        <f>IF(IFERROR(VLOOKUP(D700,Controls!$A$64:$E$74,4,FALSE),"No")="Yes",1,0)</f>
        <v/>
      </c>
      <c r="AH700">
        <f>IF(IFERROR(VLOOKUP(D700,Controls!$A$64:$E$74,5,FALSE),"No")="Yes",1,0)</f>
        <v/>
      </c>
      <c r="AI700">
        <f>IF(ISNUMBER(MATCH(D700,Controls!$A$64:$A$74,0)),1,0)</f>
        <v/>
      </c>
      <c r="AJ700">
        <f>Q700-N700</f>
        <v/>
      </c>
      <c r="AK700">
        <f>IF(AE700=1,MAX(0,N700-Q700),0)</f>
        <v/>
      </c>
      <c r="AL700">
        <f>IF(OR(V700="",V700=0),0,N700/V700)</f>
        <v/>
      </c>
      <c r="AM700">
        <f>IF(OR(V700="",V700=0),0,1)</f>
        <v/>
      </c>
      <c r="AN700">
        <f>IF(OR(E700="",F700=""),0,NETWORKDAYS(E700,F700,Ref!$K$2:$K$42))</f>
        <v/>
      </c>
      <c r="AO700">
        <f>IF(L700="Renewal",1,0)</f>
        <v/>
      </c>
      <c r="AP700">
        <f>AC700*AD700</f>
        <v/>
      </c>
      <c r="AQ700">
        <f>IF(AND(G700&lt;&gt;"",'Historical Score'!$C$6&lt;&gt;""),IF(G700='Historical Score'!$C$6,1,0),0)</f>
        <v/>
      </c>
      <c r="AR700">
        <f>IF(AND(L700&lt;&gt;"",'Historical Score'!$C$5&lt;&gt;""),IF(L700='Historical Score'!$C$5,1,0),0)</f>
        <v/>
      </c>
      <c r="AS700">
        <f>IF(AND(Y700&lt;&gt;"",'Historical Score'!$C$7&lt;&gt;""),IF(Y700='Historical Score'!$C$7,1,0),0)</f>
        <v/>
      </c>
      <c r="AT700">
        <f>IF(AND(K700&lt;&gt;"",'Historical Score'!$C$8&lt;&gt;""),IF(K700='Historical Score'!$C$8,1,0),0)</f>
        <v/>
      </c>
      <c r="AU700">
        <f>IF(AND(J700&lt;&gt;"",'Historical Score'!$C$9&lt;&gt;""),IF(J700='Historical Score'!$C$9,1,0),0)</f>
        <v/>
      </c>
      <c r="AV700">
        <f>AR700*AS700*AQ700</f>
        <v/>
      </c>
      <c r="AW700">
        <f>AR700*AT700*AQ700</f>
        <v/>
      </c>
      <c r="AX700">
        <f>AR700*AS700</f>
        <v/>
      </c>
      <c r="AY700">
        <f>AR700*AT700</f>
        <v/>
      </c>
      <c r="AZ700">
        <f>AR700*AQ700</f>
        <v/>
      </c>
      <c r="BA700">
        <f>AR700</f>
        <v/>
      </c>
      <c r="BB700">
        <f>1</f>
        <v/>
      </c>
      <c r="BC700">
        <f>IF(AV700=1,1,IF(AW700=1,2,IF(AX700=1,3,IF(AY700=1,4,IF(AZ700=1,5,IF(BA700=1,6,7))))))</f>
        <v/>
      </c>
      <c r="BD700">
        <f>IF(AD700=1,CHOOSE('Historical Score'!$C$29,AV700,AW700,AX700,AY700,AZ700,BA700,BB700),0)</f>
        <v/>
      </c>
      <c r="BE700">
        <f>IF(BD700=1,COUNTIF($BD$2:BD700,1),"")</f>
        <v/>
      </c>
    </row>
    <row r="701">
      <c r="A701" t="inlineStr">
        <is>
          <t>5674180050</t>
        </is>
      </c>
      <c r="B701" t="inlineStr">
        <is>
          <t>vecs group llc</t>
        </is>
      </c>
      <c r="C701" t="inlineStr">
        <is>
          <t>vecs group llc</t>
        </is>
      </c>
      <c r="D701" t="inlineStr">
        <is>
          <t>Closed</t>
        </is>
      </c>
      <c r="E701" s="297" t="n">
        <v>46093</v>
      </c>
      <c r="F701" s="297" t="n">
        <v>46205</v>
      </c>
      <c r="G701" t="n">
        <v>3</v>
      </c>
      <c r="H701" t="inlineStr">
        <is>
          <t>5999</t>
        </is>
      </c>
      <c r="I701" t="inlineStr">
        <is>
          <t>59</t>
        </is>
      </c>
      <c r="J701" t="inlineStr">
        <is>
          <t>FL</t>
        </is>
      </c>
      <c r="K701" t="inlineStr">
        <is>
          <t>The Funding Channel</t>
        </is>
      </c>
      <c r="L701" t="inlineStr">
        <is>
          <t>New Deal</t>
        </is>
      </c>
      <c r="M701" s="298" t="n">
        <v>1.49</v>
      </c>
      <c r="N701" s="299" t="n">
        <v>12000</v>
      </c>
      <c r="O701" s="299" t="n">
        <v>1680</v>
      </c>
      <c r="P701" s="299" t="n">
        <v>17880</v>
      </c>
      <c r="Q701" s="299" t="n">
        <v>17880</v>
      </c>
      <c r="R701" s="299" t="n">
        <v>0</v>
      </c>
      <c r="S701" s="300" t="n">
        <v>1</v>
      </c>
      <c r="T701" t="n">
        <v>30</v>
      </c>
      <c r="U701" t="n">
        <v>0</v>
      </c>
      <c r="V701" t="n">
        <v>47032.66</v>
      </c>
      <c r="W701" s="300" t="n">
        <v>0.0507</v>
      </c>
      <c r="X701" s="297" t="n">
        <v>44336</v>
      </c>
      <c r="Y701">
        <f>IF(I701="","No SIC",IFERROR(VLOOKUP(I701,Ref!$A$2:$B$65,2,FALSE),"Unclassified"))</f>
        <v/>
      </c>
      <c r="Z701">
        <f>IF(T701="","",IF(T701&lt;12,"Daily","Weekly"))</f>
        <v/>
      </c>
      <c r="AA701">
        <f>IF(T701="",0,IF(T701&lt;12,T701*Controls!$B$29,T701*5))</f>
        <v/>
      </c>
      <c r="AB701">
        <f>IF(E701="",0,NETWORKDAYS(E701,Controls!$B$36,Ref!$K$2:$K$42))</f>
        <v/>
      </c>
      <c r="AC701">
        <f>IF(AND(AA701&gt;0,AB701&gt;=Controls!$B$39*AA701),1,0)</f>
        <v/>
      </c>
      <c r="AD701">
        <f>IF(AND(E701&lt;&gt;"",E701&gt;=Controls!$B$37,E701&lt;=Controls!$B$38),1,0)</f>
        <v/>
      </c>
      <c r="AE701">
        <f>IF(IFERROR(VLOOKUP(D701,Controls!$A$64:$E$74,2,FALSE),"No")="Yes",1,0)</f>
        <v/>
      </c>
      <c r="AF701">
        <f>IF(IFERROR(VLOOKUP(D701,Controls!$A$64:$E$74,3,FALSE),"No")="Yes",1,0)</f>
        <v/>
      </c>
      <c r="AG701">
        <f>IF(IFERROR(VLOOKUP(D701,Controls!$A$64:$E$74,4,FALSE),"No")="Yes",1,0)</f>
        <v/>
      </c>
      <c r="AH701">
        <f>IF(IFERROR(VLOOKUP(D701,Controls!$A$64:$E$74,5,FALSE),"No")="Yes",1,0)</f>
        <v/>
      </c>
      <c r="AI701">
        <f>IF(ISNUMBER(MATCH(D701,Controls!$A$64:$A$74,0)),1,0)</f>
        <v/>
      </c>
      <c r="AJ701">
        <f>Q701-N701</f>
        <v/>
      </c>
      <c r="AK701">
        <f>IF(AE701=1,MAX(0,N701-Q701),0)</f>
        <v/>
      </c>
      <c r="AL701">
        <f>IF(OR(V701="",V701=0),0,N701/V701)</f>
        <v/>
      </c>
      <c r="AM701">
        <f>IF(OR(V701="",V701=0),0,1)</f>
        <v/>
      </c>
      <c r="AN701">
        <f>IF(OR(E701="",F701=""),0,NETWORKDAYS(E701,F701,Ref!$K$2:$K$42))</f>
        <v/>
      </c>
      <c r="AO701">
        <f>IF(L701="Renewal",1,0)</f>
        <v/>
      </c>
      <c r="AP701">
        <f>AC701*AD701</f>
        <v/>
      </c>
      <c r="AQ701">
        <f>IF(AND(G701&lt;&gt;"",'Historical Score'!$C$6&lt;&gt;""),IF(G701='Historical Score'!$C$6,1,0),0)</f>
        <v/>
      </c>
      <c r="AR701">
        <f>IF(AND(L701&lt;&gt;"",'Historical Score'!$C$5&lt;&gt;""),IF(L701='Historical Score'!$C$5,1,0),0)</f>
        <v/>
      </c>
      <c r="AS701">
        <f>IF(AND(Y701&lt;&gt;"",'Historical Score'!$C$7&lt;&gt;""),IF(Y701='Historical Score'!$C$7,1,0),0)</f>
        <v/>
      </c>
      <c r="AT701">
        <f>IF(AND(K701&lt;&gt;"",'Historical Score'!$C$8&lt;&gt;""),IF(K701='Historical Score'!$C$8,1,0),0)</f>
        <v/>
      </c>
      <c r="AU701">
        <f>IF(AND(J701&lt;&gt;"",'Historical Score'!$C$9&lt;&gt;""),IF(J701='Historical Score'!$C$9,1,0),0)</f>
        <v/>
      </c>
      <c r="AV701">
        <f>AR701*AS701*AQ701</f>
        <v/>
      </c>
      <c r="AW701">
        <f>AR701*AT701*AQ701</f>
        <v/>
      </c>
      <c r="AX701">
        <f>AR701*AS701</f>
        <v/>
      </c>
      <c r="AY701">
        <f>AR701*AT701</f>
        <v/>
      </c>
      <c r="AZ701">
        <f>AR701*AQ701</f>
        <v/>
      </c>
      <c r="BA701">
        <f>AR701</f>
        <v/>
      </c>
      <c r="BB701">
        <f>1</f>
        <v/>
      </c>
      <c r="BC701">
        <f>IF(AV701=1,1,IF(AW701=1,2,IF(AX701=1,3,IF(AY701=1,4,IF(AZ701=1,5,IF(BA701=1,6,7))))))</f>
        <v/>
      </c>
      <c r="BD701">
        <f>IF(AD701=1,CHOOSE('Historical Score'!$C$29,AV701,AW701,AX701,AY701,AZ701,BA701,BB701),0)</f>
        <v/>
      </c>
      <c r="BE701">
        <f>IF(BD701=1,COUNTIF($BD$2:BD701,1),"")</f>
        <v/>
      </c>
    </row>
    <row r="702">
      <c r="A702" t="inlineStr">
        <is>
          <t>5674180053</t>
        </is>
      </c>
      <c r="B702" t="inlineStr">
        <is>
          <t>GREEN BOX FOUR LLC</t>
        </is>
      </c>
      <c r="C702" t="inlineStr">
        <is>
          <t>GREEN BOX FOUR LLC</t>
        </is>
      </c>
      <c r="D702" t="inlineStr">
        <is>
          <t>Closed</t>
        </is>
      </c>
      <c r="E702" s="297" t="n">
        <v>46093</v>
      </c>
      <c r="F702" s="297" t="n">
        <v>46237</v>
      </c>
      <c r="G702" t="n">
        <v>3</v>
      </c>
      <c r="H702" t="inlineStr">
        <is>
          <t>5812</t>
        </is>
      </c>
      <c r="I702" t="inlineStr">
        <is>
          <t>58</t>
        </is>
      </c>
      <c r="J702" t="inlineStr">
        <is>
          <t>CA</t>
        </is>
      </c>
      <c r="K702" t="inlineStr">
        <is>
          <t>Swift Business Funding</t>
        </is>
      </c>
      <c r="L702" t="inlineStr">
        <is>
          <t>New Deal</t>
        </is>
      </c>
      <c r="M702" s="298" t="n">
        <v>1.41</v>
      </c>
      <c r="N702" s="299" t="n">
        <v>40000</v>
      </c>
      <c r="O702" s="299" t="n">
        <v>4000</v>
      </c>
      <c r="P702" s="299" t="n">
        <v>56400</v>
      </c>
      <c r="Q702" s="299" t="n">
        <v>56400</v>
      </c>
      <c r="R702" s="299" t="n">
        <v>0</v>
      </c>
      <c r="S702" s="300" t="n">
        <v>1</v>
      </c>
      <c r="T702" t="n">
        <v>20</v>
      </c>
      <c r="U702" t="n">
        <v>0</v>
      </c>
      <c r="V702" t="n">
        <v>105321.88</v>
      </c>
      <c r="W702" s="300" t="n">
        <v>0.1071</v>
      </c>
      <c r="X702" s="297" t="n">
        <v>44686</v>
      </c>
      <c r="Y702">
        <f>IF(I702="","No SIC",IFERROR(VLOOKUP(I702,Ref!$A$2:$B$65,2,FALSE),"Unclassified"))</f>
        <v/>
      </c>
      <c r="Z702">
        <f>IF(T702="","",IF(T702&lt;12,"Daily","Weekly"))</f>
        <v/>
      </c>
      <c r="AA702">
        <f>IF(T702="",0,IF(T702&lt;12,T702*Controls!$B$29,T702*5))</f>
        <v/>
      </c>
      <c r="AB702">
        <f>IF(E702="",0,NETWORKDAYS(E702,Controls!$B$36,Ref!$K$2:$K$42))</f>
        <v/>
      </c>
      <c r="AC702">
        <f>IF(AND(AA702&gt;0,AB702&gt;=Controls!$B$39*AA702),1,0)</f>
        <v/>
      </c>
      <c r="AD702">
        <f>IF(AND(E702&lt;&gt;"",E702&gt;=Controls!$B$37,E702&lt;=Controls!$B$38),1,0)</f>
        <v/>
      </c>
      <c r="AE702">
        <f>IF(IFERROR(VLOOKUP(D702,Controls!$A$64:$E$74,2,FALSE),"No")="Yes",1,0)</f>
        <v/>
      </c>
      <c r="AF702">
        <f>IF(IFERROR(VLOOKUP(D702,Controls!$A$64:$E$74,3,FALSE),"No")="Yes",1,0)</f>
        <v/>
      </c>
      <c r="AG702">
        <f>IF(IFERROR(VLOOKUP(D702,Controls!$A$64:$E$74,4,FALSE),"No")="Yes",1,0)</f>
        <v/>
      </c>
      <c r="AH702">
        <f>IF(IFERROR(VLOOKUP(D702,Controls!$A$64:$E$74,5,FALSE),"No")="Yes",1,0)</f>
        <v/>
      </c>
      <c r="AI702">
        <f>IF(ISNUMBER(MATCH(D702,Controls!$A$64:$A$74,0)),1,0)</f>
        <v/>
      </c>
      <c r="AJ702">
        <f>Q702-N702</f>
        <v/>
      </c>
      <c r="AK702">
        <f>IF(AE702=1,MAX(0,N702-Q702),0)</f>
        <v/>
      </c>
      <c r="AL702">
        <f>IF(OR(V702="",V702=0),0,N702/V702)</f>
        <v/>
      </c>
      <c r="AM702">
        <f>IF(OR(V702="",V702=0),0,1)</f>
        <v/>
      </c>
      <c r="AN702">
        <f>IF(OR(E702="",F702=""),0,NETWORKDAYS(E702,F702,Ref!$K$2:$K$42))</f>
        <v/>
      </c>
      <c r="AO702">
        <f>IF(L702="Renewal",1,0)</f>
        <v/>
      </c>
      <c r="AP702">
        <f>AC702*AD702</f>
        <v/>
      </c>
      <c r="AQ702">
        <f>IF(AND(G702&lt;&gt;"",'Historical Score'!$C$6&lt;&gt;""),IF(G702='Historical Score'!$C$6,1,0),0)</f>
        <v/>
      </c>
      <c r="AR702">
        <f>IF(AND(L702&lt;&gt;"",'Historical Score'!$C$5&lt;&gt;""),IF(L702='Historical Score'!$C$5,1,0),0)</f>
        <v/>
      </c>
      <c r="AS702">
        <f>IF(AND(Y702&lt;&gt;"",'Historical Score'!$C$7&lt;&gt;""),IF(Y702='Historical Score'!$C$7,1,0),0)</f>
        <v/>
      </c>
      <c r="AT702">
        <f>IF(AND(K702&lt;&gt;"",'Historical Score'!$C$8&lt;&gt;""),IF(K702='Historical Score'!$C$8,1,0),0)</f>
        <v/>
      </c>
      <c r="AU702">
        <f>IF(AND(J702&lt;&gt;"",'Historical Score'!$C$9&lt;&gt;""),IF(J702='Historical Score'!$C$9,1,0),0)</f>
        <v/>
      </c>
      <c r="AV702">
        <f>AR702*AS702*AQ702</f>
        <v/>
      </c>
      <c r="AW702">
        <f>AR702*AT702*AQ702</f>
        <v/>
      </c>
      <c r="AX702">
        <f>AR702*AS702</f>
        <v/>
      </c>
      <c r="AY702">
        <f>AR702*AT702</f>
        <v/>
      </c>
      <c r="AZ702">
        <f>AR702*AQ702</f>
        <v/>
      </c>
      <c r="BA702">
        <f>AR702</f>
        <v/>
      </c>
      <c r="BB702">
        <f>1</f>
        <v/>
      </c>
      <c r="BC702">
        <f>IF(AV702=1,1,IF(AW702=1,2,IF(AX702=1,3,IF(AY702=1,4,IF(AZ702=1,5,IF(BA702=1,6,7))))))</f>
        <v/>
      </c>
      <c r="BD702">
        <f>IF(AD702=1,CHOOSE('Historical Score'!$C$29,AV702,AW702,AX702,AY702,AZ702,BA702,BB702),0)</f>
        <v/>
      </c>
      <c r="BE702">
        <f>IF(BD702=1,COUNTIF($BD$2:BD702,1),"")</f>
        <v/>
      </c>
    </row>
    <row r="703">
      <c r="A703" t="inlineStr">
        <is>
          <t>5674180082</t>
        </is>
      </c>
      <c r="B703" t="inlineStr">
        <is>
          <t>EAST BAY WINDOW CLEANING &amp; GENERAL BUILDING MAINTENANCE LLC</t>
        </is>
      </c>
      <c r="C703" t="inlineStr">
        <is>
          <t>EAST BAY WINDOW CLEANING &amp; GENERAL BUILDING MAINTENANCE LLC</t>
        </is>
      </c>
      <c r="D703" t="inlineStr">
        <is>
          <t>In House Collection</t>
        </is>
      </c>
      <c r="E703" s="297" t="n">
        <v>46093</v>
      </c>
      <c r="F703" s="297" t="n">
        <v>46253</v>
      </c>
      <c r="G703" t="n">
        <v>1</v>
      </c>
      <c r="H703" t="inlineStr">
        <is>
          <t>1521</t>
        </is>
      </c>
      <c r="I703" t="inlineStr">
        <is>
          <t>15</t>
        </is>
      </c>
      <c r="J703" t="inlineStr">
        <is>
          <t>CA</t>
        </is>
      </c>
      <c r="K703" t="inlineStr">
        <is>
          <t>Ballicci</t>
        </is>
      </c>
      <c r="L703" t="inlineStr">
        <is>
          <t>New Deal</t>
        </is>
      </c>
      <c r="M703" s="298" t="n">
        <v>1.49</v>
      </c>
      <c r="N703" s="299" t="n">
        <v>35000</v>
      </c>
      <c r="O703" s="299" t="n">
        <v>4900</v>
      </c>
      <c r="P703" s="299" t="n">
        <v>52150</v>
      </c>
      <c r="Q703" s="299" t="n">
        <v>22874.14</v>
      </c>
      <c r="R703" s="299" t="n">
        <v>29275.86</v>
      </c>
      <c r="S703" s="300" t="n">
        <v>0.43862205177373</v>
      </c>
      <c r="T703" t="n">
        <v>3.934</v>
      </c>
      <c r="U703" t="n">
        <v>10</v>
      </c>
      <c r="V703" t="n">
        <v>13302.29</v>
      </c>
      <c r="W703" s="300" t="n">
        <v>0.0905</v>
      </c>
      <c r="X703" s="297" t="n">
        <v>45769</v>
      </c>
      <c r="Y703">
        <f>IF(I703="","No SIC",IFERROR(VLOOKUP(I703,Ref!$A$2:$B$65,2,FALSE),"Unclassified"))</f>
        <v/>
      </c>
      <c r="Z703">
        <f>IF(T703="","",IF(T703&lt;12,"Daily","Weekly"))</f>
        <v/>
      </c>
      <c r="AA703">
        <f>IF(T703="",0,IF(T703&lt;12,T703*Controls!$B$29,T703*5))</f>
        <v/>
      </c>
      <c r="AB703">
        <f>IF(E703="",0,NETWORKDAYS(E703,Controls!$B$36,Ref!$K$2:$K$42))</f>
        <v/>
      </c>
      <c r="AC703">
        <f>IF(AND(AA703&gt;0,AB703&gt;=Controls!$B$39*AA703),1,0)</f>
        <v/>
      </c>
      <c r="AD703">
        <f>IF(AND(E703&lt;&gt;"",E703&gt;=Controls!$B$37,E703&lt;=Controls!$B$38),1,0)</f>
        <v/>
      </c>
      <c r="AE703">
        <f>IF(IFERROR(VLOOKUP(D703,Controls!$A$64:$E$74,2,FALSE),"No")="Yes",1,0)</f>
        <v/>
      </c>
      <c r="AF703">
        <f>IF(IFERROR(VLOOKUP(D703,Controls!$A$64:$E$74,3,FALSE),"No")="Yes",1,0)</f>
        <v/>
      </c>
      <c r="AG703">
        <f>IF(IFERROR(VLOOKUP(D703,Controls!$A$64:$E$74,4,FALSE),"No")="Yes",1,0)</f>
        <v/>
      </c>
      <c r="AH703">
        <f>IF(IFERROR(VLOOKUP(D703,Controls!$A$64:$E$74,5,FALSE),"No")="Yes",1,0)</f>
        <v/>
      </c>
      <c r="AI703">
        <f>IF(ISNUMBER(MATCH(D703,Controls!$A$64:$A$74,0)),1,0)</f>
        <v/>
      </c>
      <c r="AJ703">
        <f>Q703-N703</f>
        <v/>
      </c>
      <c r="AK703">
        <f>IF(AE703=1,MAX(0,N703-Q703),0)</f>
        <v/>
      </c>
      <c r="AL703">
        <f>IF(OR(V703="",V703=0),0,N703/V703)</f>
        <v/>
      </c>
      <c r="AM703">
        <f>IF(OR(V703="",V703=0),0,1)</f>
        <v/>
      </c>
      <c r="AN703">
        <f>IF(OR(E703="",F703=""),0,NETWORKDAYS(E703,F703,Ref!$K$2:$K$42))</f>
        <v/>
      </c>
      <c r="AO703">
        <f>IF(L703="Renewal",1,0)</f>
        <v/>
      </c>
      <c r="AP703">
        <f>AC703*AD703</f>
        <v/>
      </c>
      <c r="AQ703">
        <f>IF(AND(G703&lt;&gt;"",'Historical Score'!$C$6&lt;&gt;""),IF(G703='Historical Score'!$C$6,1,0),0)</f>
        <v/>
      </c>
      <c r="AR703">
        <f>IF(AND(L703&lt;&gt;"",'Historical Score'!$C$5&lt;&gt;""),IF(L703='Historical Score'!$C$5,1,0),0)</f>
        <v/>
      </c>
      <c r="AS703">
        <f>IF(AND(Y703&lt;&gt;"",'Historical Score'!$C$7&lt;&gt;""),IF(Y703='Historical Score'!$C$7,1,0),0)</f>
        <v/>
      </c>
      <c r="AT703">
        <f>IF(AND(K703&lt;&gt;"",'Historical Score'!$C$8&lt;&gt;""),IF(K703='Historical Score'!$C$8,1,0),0)</f>
        <v/>
      </c>
      <c r="AU703">
        <f>IF(AND(J703&lt;&gt;"",'Historical Score'!$C$9&lt;&gt;""),IF(J703='Historical Score'!$C$9,1,0),0)</f>
        <v/>
      </c>
      <c r="AV703">
        <f>AR703*AS703*AQ703</f>
        <v/>
      </c>
      <c r="AW703">
        <f>AR703*AT703*AQ703</f>
        <v/>
      </c>
      <c r="AX703">
        <f>AR703*AS703</f>
        <v/>
      </c>
      <c r="AY703">
        <f>AR703*AT703</f>
        <v/>
      </c>
      <c r="AZ703">
        <f>AR703*AQ703</f>
        <v/>
      </c>
      <c r="BA703">
        <f>AR703</f>
        <v/>
      </c>
      <c r="BB703">
        <f>1</f>
        <v/>
      </c>
      <c r="BC703">
        <f>IF(AV703=1,1,IF(AW703=1,2,IF(AX703=1,3,IF(AY703=1,4,IF(AZ703=1,5,IF(BA703=1,6,7))))))</f>
        <v/>
      </c>
      <c r="BD703">
        <f>IF(AD703=1,CHOOSE('Historical Score'!$C$29,AV703,AW703,AX703,AY703,AZ703,BA703,BB703),0)</f>
        <v/>
      </c>
      <c r="BE703">
        <f>IF(BD703=1,COUNTIF($BD$2:BD703,1),"")</f>
        <v/>
      </c>
    </row>
    <row r="704">
      <c r="A704" t="inlineStr">
        <is>
          <t>5674180096</t>
        </is>
      </c>
      <c r="B704" t="inlineStr">
        <is>
          <t>PARK HEAVY HAUL LLC</t>
        </is>
      </c>
      <c r="C704" t="inlineStr">
        <is>
          <t>PARK HEAVY HAUL LLC</t>
        </is>
      </c>
      <c r="D704" t="inlineStr">
        <is>
          <t>In House Collection</t>
        </is>
      </c>
      <c r="E704" s="297" t="n">
        <v>46093</v>
      </c>
      <c r="F704" s="297" t="n">
        <v>46234</v>
      </c>
      <c r="G704" t="n">
        <v>6</v>
      </c>
      <c r="H704" t="inlineStr">
        <is>
          <t>4212</t>
        </is>
      </c>
      <c r="I704" t="inlineStr">
        <is>
          <t>42</t>
        </is>
      </c>
      <c r="J704" t="inlineStr">
        <is>
          <t>CO</t>
        </is>
      </c>
      <c r="K704" t="inlineStr">
        <is>
          <t>Secure Capital Solutions 7</t>
        </is>
      </c>
      <c r="L704" t="inlineStr">
        <is>
          <t>Renewal</t>
        </is>
      </c>
      <c r="M704" s="298" t="n">
        <v>1.49</v>
      </c>
      <c r="N704" s="299" t="n">
        <v>55000</v>
      </c>
      <c r="O704" s="299" t="n">
        <v>7700</v>
      </c>
      <c r="P704" s="299" t="n">
        <v>81950</v>
      </c>
      <c r="Q704" s="299" t="n">
        <v>32289.54</v>
      </c>
      <c r="R704" s="299" t="n">
        <v>49660.46</v>
      </c>
      <c r="S704" s="300" t="n">
        <v>0.394015131177547</v>
      </c>
      <c r="T704" t="n">
        <v>18</v>
      </c>
      <c r="U704" t="n">
        <v>11</v>
      </c>
      <c r="V704" t="n">
        <v>380215.95</v>
      </c>
      <c r="W704" s="300" t="n">
        <v>0.0479</v>
      </c>
      <c r="X704" s="297" t="n">
        <v>45227</v>
      </c>
      <c r="Y704">
        <f>IF(I704="","No SIC",IFERROR(VLOOKUP(I704,Ref!$A$2:$B$65,2,FALSE),"Unclassified"))</f>
        <v/>
      </c>
      <c r="Z704">
        <f>IF(T704="","",IF(T704&lt;12,"Daily","Weekly"))</f>
        <v/>
      </c>
      <c r="AA704">
        <f>IF(T704="",0,IF(T704&lt;12,T704*Controls!$B$29,T704*5))</f>
        <v/>
      </c>
      <c r="AB704">
        <f>IF(E704="",0,NETWORKDAYS(E704,Controls!$B$36,Ref!$K$2:$K$42))</f>
        <v/>
      </c>
      <c r="AC704">
        <f>IF(AND(AA704&gt;0,AB704&gt;=Controls!$B$39*AA704),1,0)</f>
        <v/>
      </c>
      <c r="AD704">
        <f>IF(AND(E704&lt;&gt;"",E704&gt;=Controls!$B$37,E704&lt;=Controls!$B$38),1,0)</f>
        <v/>
      </c>
      <c r="AE704">
        <f>IF(IFERROR(VLOOKUP(D704,Controls!$A$64:$E$74,2,FALSE),"No")="Yes",1,0)</f>
        <v/>
      </c>
      <c r="AF704">
        <f>IF(IFERROR(VLOOKUP(D704,Controls!$A$64:$E$74,3,FALSE),"No")="Yes",1,0)</f>
        <v/>
      </c>
      <c r="AG704">
        <f>IF(IFERROR(VLOOKUP(D704,Controls!$A$64:$E$74,4,FALSE),"No")="Yes",1,0)</f>
        <v/>
      </c>
      <c r="AH704">
        <f>IF(IFERROR(VLOOKUP(D704,Controls!$A$64:$E$74,5,FALSE),"No")="Yes",1,0)</f>
        <v/>
      </c>
      <c r="AI704">
        <f>IF(ISNUMBER(MATCH(D704,Controls!$A$64:$A$74,0)),1,0)</f>
        <v/>
      </c>
      <c r="AJ704">
        <f>Q704-N704</f>
        <v/>
      </c>
      <c r="AK704">
        <f>IF(AE704=1,MAX(0,N704-Q704),0)</f>
        <v/>
      </c>
      <c r="AL704">
        <f>IF(OR(V704="",V704=0),0,N704/V704)</f>
        <v/>
      </c>
      <c r="AM704">
        <f>IF(OR(V704="",V704=0),0,1)</f>
        <v/>
      </c>
      <c r="AN704">
        <f>IF(OR(E704="",F704=""),0,NETWORKDAYS(E704,F704,Ref!$K$2:$K$42))</f>
        <v/>
      </c>
      <c r="AO704">
        <f>IF(L704="Renewal",1,0)</f>
        <v/>
      </c>
      <c r="AP704">
        <f>AC704*AD704</f>
        <v/>
      </c>
      <c r="AQ704">
        <f>IF(AND(G704&lt;&gt;"",'Historical Score'!$C$6&lt;&gt;""),IF(G704='Historical Score'!$C$6,1,0),0)</f>
        <v/>
      </c>
      <c r="AR704">
        <f>IF(AND(L704&lt;&gt;"",'Historical Score'!$C$5&lt;&gt;""),IF(L704='Historical Score'!$C$5,1,0),0)</f>
        <v/>
      </c>
      <c r="AS704">
        <f>IF(AND(Y704&lt;&gt;"",'Historical Score'!$C$7&lt;&gt;""),IF(Y704='Historical Score'!$C$7,1,0),0)</f>
        <v/>
      </c>
      <c r="AT704">
        <f>IF(AND(K704&lt;&gt;"",'Historical Score'!$C$8&lt;&gt;""),IF(K704='Historical Score'!$C$8,1,0),0)</f>
        <v/>
      </c>
      <c r="AU704">
        <f>IF(AND(J704&lt;&gt;"",'Historical Score'!$C$9&lt;&gt;""),IF(J704='Historical Score'!$C$9,1,0),0)</f>
        <v/>
      </c>
      <c r="AV704">
        <f>AR704*AS704*AQ704</f>
        <v/>
      </c>
      <c r="AW704">
        <f>AR704*AT704*AQ704</f>
        <v/>
      </c>
      <c r="AX704">
        <f>AR704*AS704</f>
        <v/>
      </c>
      <c r="AY704">
        <f>AR704*AT704</f>
        <v/>
      </c>
      <c r="AZ704">
        <f>AR704*AQ704</f>
        <v/>
      </c>
      <c r="BA704">
        <f>AR704</f>
        <v/>
      </c>
      <c r="BB704">
        <f>1</f>
        <v/>
      </c>
      <c r="BC704">
        <f>IF(AV704=1,1,IF(AW704=1,2,IF(AX704=1,3,IF(AY704=1,4,IF(AZ704=1,5,IF(BA704=1,6,7))))))</f>
        <v/>
      </c>
      <c r="BD704">
        <f>IF(AD704=1,CHOOSE('Historical Score'!$C$29,AV704,AW704,AX704,AY704,AZ704,BA704,BB704),0)</f>
        <v/>
      </c>
      <c r="BE704">
        <f>IF(BD704=1,COUNTIF($BD$2:BD704,1),"")</f>
        <v/>
      </c>
    </row>
    <row r="705">
      <c r="A705" t="inlineStr">
        <is>
          <t>5674180102</t>
        </is>
      </c>
      <c r="B705" t="inlineStr">
        <is>
          <t>BOOTS TO TRUCKS</t>
        </is>
      </c>
      <c r="C705" t="inlineStr">
        <is>
          <t>Boots To Trucks Inc.</t>
        </is>
      </c>
      <c r="D705" t="inlineStr">
        <is>
          <t>Open</t>
        </is>
      </c>
      <c r="E705" s="297" t="n">
        <v>46093</v>
      </c>
      <c r="F705" s="297" t="n">
        <v>46253</v>
      </c>
      <c r="G705" t="n">
        <v>3</v>
      </c>
      <c r="H705" t="inlineStr">
        <is>
          <t>1799</t>
        </is>
      </c>
      <c r="I705" t="inlineStr">
        <is>
          <t>17</t>
        </is>
      </c>
      <c r="J705" t="inlineStr">
        <is>
          <t>NC</t>
        </is>
      </c>
      <c r="K705" t="inlineStr">
        <is>
          <t>Platform Funding</t>
        </is>
      </c>
      <c r="L705" t="inlineStr">
        <is>
          <t>New Deal</t>
        </is>
      </c>
      <c r="M705" s="298" t="n">
        <v>1.35</v>
      </c>
      <c r="N705" s="299" t="n">
        <v>46000</v>
      </c>
      <c r="O705" s="299" t="n">
        <v>3220</v>
      </c>
      <c r="P705" s="299" t="n">
        <v>62100</v>
      </c>
      <c r="Q705" s="299" t="n">
        <v>41231.68</v>
      </c>
      <c r="R705" s="299" t="n">
        <v>20868.32</v>
      </c>
      <c r="S705" s="300" t="n">
        <v>0.663956199677939</v>
      </c>
      <c r="T705" t="n">
        <v>3.902</v>
      </c>
      <c r="U705" t="n">
        <v>36</v>
      </c>
      <c r="V705" t="n">
        <v>251384.46</v>
      </c>
      <c r="W705" s="300" t="n">
        <v>0.0436</v>
      </c>
      <c r="X705" s="297" t="n">
        <v>44853</v>
      </c>
      <c r="Y705">
        <f>IF(I705="","No SIC",IFERROR(VLOOKUP(I705,Ref!$A$2:$B$65,2,FALSE),"Unclassified"))</f>
        <v/>
      </c>
      <c r="Z705">
        <f>IF(T705="","",IF(T705&lt;12,"Daily","Weekly"))</f>
        <v/>
      </c>
      <c r="AA705">
        <f>IF(T705="",0,IF(T705&lt;12,T705*Controls!$B$29,T705*5))</f>
        <v/>
      </c>
      <c r="AB705">
        <f>IF(E705="",0,NETWORKDAYS(E705,Controls!$B$36,Ref!$K$2:$K$42))</f>
        <v/>
      </c>
      <c r="AC705">
        <f>IF(AND(AA705&gt;0,AB705&gt;=Controls!$B$39*AA705),1,0)</f>
        <v/>
      </c>
      <c r="AD705">
        <f>IF(AND(E705&lt;&gt;"",E705&gt;=Controls!$B$37,E705&lt;=Controls!$B$38),1,0)</f>
        <v/>
      </c>
      <c r="AE705">
        <f>IF(IFERROR(VLOOKUP(D705,Controls!$A$64:$E$74,2,FALSE),"No")="Yes",1,0)</f>
        <v/>
      </c>
      <c r="AF705">
        <f>IF(IFERROR(VLOOKUP(D705,Controls!$A$64:$E$74,3,FALSE),"No")="Yes",1,0)</f>
        <v/>
      </c>
      <c r="AG705">
        <f>IF(IFERROR(VLOOKUP(D705,Controls!$A$64:$E$74,4,FALSE),"No")="Yes",1,0)</f>
        <v/>
      </c>
      <c r="AH705">
        <f>IF(IFERROR(VLOOKUP(D705,Controls!$A$64:$E$74,5,FALSE),"No")="Yes",1,0)</f>
        <v/>
      </c>
      <c r="AI705">
        <f>IF(ISNUMBER(MATCH(D705,Controls!$A$64:$A$74,0)),1,0)</f>
        <v/>
      </c>
      <c r="AJ705">
        <f>Q705-N705</f>
        <v/>
      </c>
      <c r="AK705">
        <f>IF(AE705=1,MAX(0,N705-Q705),0)</f>
        <v/>
      </c>
      <c r="AL705">
        <f>IF(OR(V705="",V705=0),0,N705/V705)</f>
        <v/>
      </c>
      <c r="AM705">
        <f>IF(OR(V705="",V705=0),0,1)</f>
        <v/>
      </c>
      <c r="AN705">
        <f>IF(OR(E705="",F705=""),0,NETWORKDAYS(E705,F705,Ref!$K$2:$K$42))</f>
        <v/>
      </c>
      <c r="AO705">
        <f>IF(L705="Renewal",1,0)</f>
        <v/>
      </c>
      <c r="AP705">
        <f>AC705*AD705</f>
        <v/>
      </c>
      <c r="AQ705">
        <f>IF(AND(G705&lt;&gt;"",'Historical Score'!$C$6&lt;&gt;""),IF(G705='Historical Score'!$C$6,1,0),0)</f>
        <v/>
      </c>
      <c r="AR705">
        <f>IF(AND(L705&lt;&gt;"",'Historical Score'!$C$5&lt;&gt;""),IF(L705='Historical Score'!$C$5,1,0),0)</f>
        <v/>
      </c>
      <c r="AS705">
        <f>IF(AND(Y705&lt;&gt;"",'Historical Score'!$C$7&lt;&gt;""),IF(Y705='Historical Score'!$C$7,1,0),0)</f>
        <v/>
      </c>
      <c r="AT705">
        <f>IF(AND(K705&lt;&gt;"",'Historical Score'!$C$8&lt;&gt;""),IF(K705='Historical Score'!$C$8,1,0),0)</f>
        <v/>
      </c>
      <c r="AU705">
        <f>IF(AND(J705&lt;&gt;"",'Historical Score'!$C$9&lt;&gt;""),IF(J705='Historical Score'!$C$9,1,0),0)</f>
        <v/>
      </c>
      <c r="AV705">
        <f>AR705*AS705*AQ705</f>
        <v/>
      </c>
      <c r="AW705">
        <f>AR705*AT705*AQ705</f>
        <v/>
      </c>
      <c r="AX705">
        <f>AR705*AS705</f>
        <v/>
      </c>
      <c r="AY705">
        <f>AR705*AT705</f>
        <v/>
      </c>
      <c r="AZ705">
        <f>AR705*AQ705</f>
        <v/>
      </c>
      <c r="BA705">
        <f>AR705</f>
        <v/>
      </c>
      <c r="BB705">
        <f>1</f>
        <v/>
      </c>
      <c r="BC705">
        <f>IF(AV705=1,1,IF(AW705=1,2,IF(AX705=1,3,IF(AY705=1,4,IF(AZ705=1,5,IF(BA705=1,6,7))))))</f>
        <v/>
      </c>
      <c r="BD705">
        <f>IF(AD705=1,CHOOSE('Historical Score'!$C$29,AV705,AW705,AX705,AY705,AZ705,BA705,BB705),0)</f>
        <v/>
      </c>
      <c r="BE705">
        <f>IF(BD705=1,COUNTIF($BD$2:BD705,1),"")</f>
        <v/>
      </c>
    </row>
    <row r="706">
      <c r="A706" t="inlineStr">
        <is>
          <t>5674180126</t>
        </is>
      </c>
      <c r="B706" t="inlineStr">
        <is>
          <t>SILVER STAR INVESTIGATION</t>
        </is>
      </c>
      <c r="C706" t="inlineStr">
        <is>
          <t>SILVER STAR INVESTIGATION</t>
        </is>
      </c>
      <c r="D706" t="inlineStr">
        <is>
          <t>Closed</t>
        </is>
      </c>
      <c r="E706" s="297" t="n">
        <v>46094</v>
      </c>
      <c r="F706" s="297" t="n">
        <v>46161</v>
      </c>
      <c r="G706" t="n">
        <v>4</v>
      </c>
      <c r="H706" t="inlineStr">
        <is>
          <t>5999</t>
        </is>
      </c>
      <c r="I706" t="inlineStr">
        <is>
          <t>59</t>
        </is>
      </c>
      <c r="J706" t="inlineStr">
        <is>
          <t>PR</t>
        </is>
      </c>
      <c r="K706" t="inlineStr">
        <is>
          <t>Westwood</t>
        </is>
      </c>
      <c r="L706" t="inlineStr">
        <is>
          <t>New Deal</t>
        </is>
      </c>
      <c r="M706" s="298" t="n">
        <v>1.49</v>
      </c>
      <c r="N706" s="299" t="n">
        <v>12000</v>
      </c>
      <c r="O706" s="299" t="n">
        <v>1680</v>
      </c>
      <c r="P706" s="299" t="n">
        <v>17880</v>
      </c>
      <c r="Q706" s="299" t="n">
        <v>17880</v>
      </c>
      <c r="R706" s="299" t="n">
        <v>0</v>
      </c>
      <c r="S706" s="300" t="n">
        <v>1</v>
      </c>
      <c r="T706" t="n">
        <v>2.951</v>
      </c>
      <c r="U706" t="n">
        <v>3</v>
      </c>
      <c r="V706" t="n">
        <v>61560.84</v>
      </c>
      <c r="W706" s="300" t="n">
        <v>0.0678</v>
      </c>
      <c r="X706" s="297" t="n">
        <v>40850</v>
      </c>
      <c r="Y706">
        <f>IF(I706="","No SIC",IFERROR(VLOOKUP(I706,Ref!$A$2:$B$65,2,FALSE),"Unclassified"))</f>
        <v/>
      </c>
      <c r="Z706">
        <f>IF(T706="","",IF(T706&lt;12,"Daily","Weekly"))</f>
        <v/>
      </c>
      <c r="AA706">
        <f>IF(T706="",0,IF(T706&lt;12,T706*Controls!$B$29,T706*5))</f>
        <v/>
      </c>
      <c r="AB706">
        <f>IF(E706="",0,NETWORKDAYS(E706,Controls!$B$36,Ref!$K$2:$K$42))</f>
        <v/>
      </c>
      <c r="AC706">
        <f>IF(AND(AA706&gt;0,AB706&gt;=Controls!$B$39*AA706),1,0)</f>
        <v/>
      </c>
      <c r="AD706">
        <f>IF(AND(E706&lt;&gt;"",E706&gt;=Controls!$B$37,E706&lt;=Controls!$B$38),1,0)</f>
        <v/>
      </c>
      <c r="AE706">
        <f>IF(IFERROR(VLOOKUP(D706,Controls!$A$64:$E$74,2,FALSE),"No")="Yes",1,0)</f>
        <v/>
      </c>
      <c r="AF706">
        <f>IF(IFERROR(VLOOKUP(D706,Controls!$A$64:$E$74,3,FALSE),"No")="Yes",1,0)</f>
        <v/>
      </c>
      <c r="AG706">
        <f>IF(IFERROR(VLOOKUP(D706,Controls!$A$64:$E$74,4,FALSE),"No")="Yes",1,0)</f>
        <v/>
      </c>
      <c r="AH706">
        <f>IF(IFERROR(VLOOKUP(D706,Controls!$A$64:$E$74,5,FALSE),"No")="Yes",1,0)</f>
        <v/>
      </c>
      <c r="AI706">
        <f>IF(ISNUMBER(MATCH(D706,Controls!$A$64:$A$74,0)),1,0)</f>
        <v/>
      </c>
      <c r="AJ706">
        <f>Q706-N706</f>
        <v/>
      </c>
      <c r="AK706">
        <f>IF(AE706=1,MAX(0,N706-Q706),0)</f>
        <v/>
      </c>
      <c r="AL706">
        <f>IF(OR(V706="",V706=0),0,N706/V706)</f>
        <v/>
      </c>
      <c r="AM706">
        <f>IF(OR(V706="",V706=0),0,1)</f>
        <v/>
      </c>
      <c r="AN706">
        <f>IF(OR(E706="",F706=""),0,NETWORKDAYS(E706,F706,Ref!$K$2:$K$42))</f>
        <v/>
      </c>
      <c r="AO706">
        <f>IF(L706="Renewal",1,0)</f>
        <v/>
      </c>
      <c r="AP706">
        <f>AC706*AD706</f>
        <v/>
      </c>
      <c r="AQ706">
        <f>IF(AND(G706&lt;&gt;"",'Historical Score'!$C$6&lt;&gt;""),IF(G706='Historical Score'!$C$6,1,0),0)</f>
        <v/>
      </c>
      <c r="AR706">
        <f>IF(AND(L706&lt;&gt;"",'Historical Score'!$C$5&lt;&gt;""),IF(L706='Historical Score'!$C$5,1,0),0)</f>
        <v/>
      </c>
      <c r="AS706">
        <f>IF(AND(Y706&lt;&gt;"",'Historical Score'!$C$7&lt;&gt;""),IF(Y706='Historical Score'!$C$7,1,0),0)</f>
        <v/>
      </c>
      <c r="AT706">
        <f>IF(AND(K706&lt;&gt;"",'Historical Score'!$C$8&lt;&gt;""),IF(K706='Historical Score'!$C$8,1,0),0)</f>
        <v/>
      </c>
      <c r="AU706">
        <f>IF(AND(J706&lt;&gt;"",'Historical Score'!$C$9&lt;&gt;""),IF(J706='Historical Score'!$C$9,1,0),0)</f>
        <v/>
      </c>
      <c r="AV706">
        <f>AR706*AS706*AQ706</f>
        <v/>
      </c>
      <c r="AW706">
        <f>AR706*AT706*AQ706</f>
        <v/>
      </c>
      <c r="AX706">
        <f>AR706*AS706</f>
        <v/>
      </c>
      <c r="AY706">
        <f>AR706*AT706</f>
        <v/>
      </c>
      <c r="AZ706">
        <f>AR706*AQ706</f>
        <v/>
      </c>
      <c r="BA706">
        <f>AR706</f>
        <v/>
      </c>
      <c r="BB706">
        <f>1</f>
        <v/>
      </c>
      <c r="BC706">
        <f>IF(AV706=1,1,IF(AW706=1,2,IF(AX706=1,3,IF(AY706=1,4,IF(AZ706=1,5,IF(BA706=1,6,7))))))</f>
        <v/>
      </c>
      <c r="BD706">
        <f>IF(AD706=1,CHOOSE('Historical Score'!$C$29,AV706,AW706,AX706,AY706,AZ706,BA706,BB706),0)</f>
        <v/>
      </c>
      <c r="BE706">
        <f>IF(BD706=1,COUNTIF($BD$2:BD706,1),"")</f>
        <v/>
      </c>
    </row>
    <row r="707">
      <c r="A707" t="inlineStr">
        <is>
          <t>5674180153</t>
        </is>
      </c>
      <c r="B707" t="inlineStr">
        <is>
          <t>One Day Real Estate Services Llc</t>
        </is>
      </c>
      <c r="C707" t="inlineStr">
        <is>
          <t>One Day Real Estate Services Llc</t>
        </is>
      </c>
      <c r="D707" t="inlineStr">
        <is>
          <t>Legal</t>
        </is>
      </c>
      <c r="E707" s="297" t="n">
        <v>46094</v>
      </c>
      <c r="F707" s="297" t="n">
        <v>46115</v>
      </c>
      <c r="G707" t="n">
        <v>3</v>
      </c>
      <c r="H707" t="inlineStr">
        <is>
          <t>6531</t>
        </is>
      </c>
      <c r="I707" t="inlineStr">
        <is>
          <t>65</t>
        </is>
      </c>
      <c r="J707" t="inlineStr">
        <is>
          <t>WI</t>
        </is>
      </c>
      <c r="K707" t="inlineStr">
        <is>
          <t>Ballicci</t>
        </is>
      </c>
      <c r="L707" t="inlineStr">
        <is>
          <t>New Deal</t>
        </is>
      </c>
      <c r="M707" s="298" t="n">
        <v>1.49</v>
      </c>
      <c r="N707" s="299" t="n">
        <v>15000</v>
      </c>
      <c r="O707" s="299" t="n">
        <v>0</v>
      </c>
      <c r="P707" s="299" t="n">
        <v>22350</v>
      </c>
      <c r="Q707" s="299" t="n">
        <v>2732.29</v>
      </c>
      <c r="R707" s="299" t="n">
        <v>19617.71</v>
      </c>
      <c r="S707" s="300" t="n">
        <v>0.122250111856823</v>
      </c>
      <c r="T707" t="n">
        <v>2.951</v>
      </c>
      <c r="U707" t="n">
        <v>4</v>
      </c>
      <c r="V707" t="n">
        <v>26238.89</v>
      </c>
      <c r="W707" s="300" t="n">
        <v>0.1988</v>
      </c>
      <c r="X707" s="297" t="n">
        <v>39448</v>
      </c>
      <c r="Y707">
        <f>IF(I707="","No SIC",IFERROR(VLOOKUP(I707,Ref!$A$2:$B$65,2,FALSE),"Unclassified"))</f>
        <v/>
      </c>
      <c r="Z707">
        <f>IF(T707="","",IF(T707&lt;12,"Daily","Weekly"))</f>
        <v/>
      </c>
      <c r="AA707">
        <f>IF(T707="",0,IF(T707&lt;12,T707*Controls!$B$29,T707*5))</f>
        <v/>
      </c>
      <c r="AB707">
        <f>IF(E707="",0,NETWORKDAYS(E707,Controls!$B$36,Ref!$K$2:$K$42))</f>
        <v/>
      </c>
      <c r="AC707">
        <f>IF(AND(AA707&gt;0,AB707&gt;=Controls!$B$39*AA707),1,0)</f>
        <v/>
      </c>
      <c r="AD707">
        <f>IF(AND(E707&lt;&gt;"",E707&gt;=Controls!$B$37,E707&lt;=Controls!$B$38),1,0)</f>
        <v/>
      </c>
      <c r="AE707">
        <f>IF(IFERROR(VLOOKUP(D707,Controls!$A$64:$E$74,2,FALSE),"No")="Yes",1,0)</f>
        <v/>
      </c>
      <c r="AF707">
        <f>IF(IFERROR(VLOOKUP(D707,Controls!$A$64:$E$74,3,FALSE),"No")="Yes",1,0)</f>
        <v/>
      </c>
      <c r="AG707">
        <f>IF(IFERROR(VLOOKUP(D707,Controls!$A$64:$E$74,4,FALSE),"No")="Yes",1,0)</f>
        <v/>
      </c>
      <c r="AH707">
        <f>IF(IFERROR(VLOOKUP(D707,Controls!$A$64:$E$74,5,FALSE),"No")="Yes",1,0)</f>
        <v/>
      </c>
      <c r="AI707">
        <f>IF(ISNUMBER(MATCH(D707,Controls!$A$64:$A$74,0)),1,0)</f>
        <v/>
      </c>
      <c r="AJ707">
        <f>Q707-N707</f>
        <v/>
      </c>
      <c r="AK707">
        <f>IF(AE707=1,MAX(0,N707-Q707),0)</f>
        <v/>
      </c>
      <c r="AL707">
        <f>IF(OR(V707="",V707=0),0,N707/V707)</f>
        <v/>
      </c>
      <c r="AM707">
        <f>IF(OR(V707="",V707=0),0,1)</f>
        <v/>
      </c>
      <c r="AN707">
        <f>IF(OR(E707="",F707=""),0,NETWORKDAYS(E707,F707,Ref!$K$2:$K$42))</f>
        <v/>
      </c>
      <c r="AO707">
        <f>IF(L707="Renewal",1,0)</f>
        <v/>
      </c>
      <c r="AP707">
        <f>AC707*AD707</f>
        <v/>
      </c>
      <c r="AQ707">
        <f>IF(AND(G707&lt;&gt;"",'Historical Score'!$C$6&lt;&gt;""),IF(G707='Historical Score'!$C$6,1,0),0)</f>
        <v/>
      </c>
      <c r="AR707">
        <f>IF(AND(L707&lt;&gt;"",'Historical Score'!$C$5&lt;&gt;""),IF(L707='Historical Score'!$C$5,1,0),0)</f>
        <v/>
      </c>
      <c r="AS707">
        <f>IF(AND(Y707&lt;&gt;"",'Historical Score'!$C$7&lt;&gt;""),IF(Y707='Historical Score'!$C$7,1,0),0)</f>
        <v/>
      </c>
      <c r="AT707">
        <f>IF(AND(K707&lt;&gt;"",'Historical Score'!$C$8&lt;&gt;""),IF(K707='Historical Score'!$C$8,1,0),0)</f>
        <v/>
      </c>
      <c r="AU707">
        <f>IF(AND(J707&lt;&gt;"",'Historical Score'!$C$9&lt;&gt;""),IF(J707='Historical Score'!$C$9,1,0),0)</f>
        <v/>
      </c>
      <c r="AV707">
        <f>AR707*AS707*AQ707</f>
        <v/>
      </c>
      <c r="AW707">
        <f>AR707*AT707*AQ707</f>
        <v/>
      </c>
      <c r="AX707">
        <f>AR707*AS707</f>
        <v/>
      </c>
      <c r="AY707">
        <f>AR707*AT707</f>
        <v/>
      </c>
      <c r="AZ707">
        <f>AR707*AQ707</f>
        <v/>
      </c>
      <c r="BA707">
        <f>AR707</f>
        <v/>
      </c>
      <c r="BB707">
        <f>1</f>
        <v/>
      </c>
      <c r="BC707">
        <f>IF(AV707=1,1,IF(AW707=1,2,IF(AX707=1,3,IF(AY707=1,4,IF(AZ707=1,5,IF(BA707=1,6,7))))))</f>
        <v/>
      </c>
      <c r="BD707">
        <f>IF(AD707=1,CHOOSE('Historical Score'!$C$29,AV707,AW707,AX707,AY707,AZ707,BA707,BB707),0)</f>
        <v/>
      </c>
      <c r="BE707">
        <f>IF(BD707=1,COUNTIF($BD$2:BD707,1),"")</f>
        <v/>
      </c>
    </row>
    <row r="708">
      <c r="A708" t="inlineStr">
        <is>
          <t>5674180155</t>
        </is>
      </c>
      <c r="B708" t="inlineStr">
        <is>
          <t>Earl Ives Painting LLC</t>
        </is>
      </c>
      <c r="C708" t="inlineStr">
        <is>
          <t>Earl Ives Painting LLC</t>
        </is>
      </c>
      <c r="D708" t="inlineStr">
        <is>
          <t>In House Collection</t>
        </is>
      </c>
      <c r="E708" s="297" t="n">
        <v>46094</v>
      </c>
      <c r="F708" s="297" t="n">
        <v>46182</v>
      </c>
      <c r="G708" t="n">
        <v>2</v>
      </c>
      <c r="H708" t="inlineStr">
        <is>
          <t>1799</t>
        </is>
      </c>
      <c r="I708" t="inlineStr">
        <is>
          <t>17</t>
        </is>
      </c>
      <c r="J708" t="inlineStr">
        <is>
          <t>FL</t>
        </is>
      </c>
      <c r="K708" t="inlineStr">
        <is>
          <t>Redline Capital</t>
        </is>
      </c>
      <c r="L708" t="inlineStr">
        <is>
          <t>New Deal</t>
        </is>
      </c>
      <c r="M708" s="298" t="n">
        <v>1.37</v>
      </c>
      <c r="N708" s="299" t="n">
        <v>10000</v>
      </c>
      <c r="O708" s="299" t="n">
        <v>0</v>
      </c>
      <c r="P708" s="299" t="n">
        <v>13700</v>
      </c>
      <c r="Q708" s="299" t="n">
        <v>877.72</v>
      </c>
      <c r="R708" s="299" t="n">
        <v>12822.28</v>
      </c>
      <c r="S708" s="300" t="n">
        <v>0.0640671532846715</v>
      </c>
      <c r="T708" t="n">
        <v>20</v>
      </c>
      <c r="U708" t="n">
        <v>1</v>
      </c>
      <c r="V708" t="n">
        <v>39861.55</v>
      </c>
      <c r="W708" s="300" t="n">
        <v>0.0687</v>
      </c>
      <c r="X708" s="297" t="n">
        <v>45790</v>
      </c>
      <c r="Y708">
        <f>IF(I708="","No SIC",IFERROR(VLOOKUP(I708,Ref!$A$2:$B$65,2,FALSE),"Unclassified"))</f>
        <v/>
      </c>
      <c r="Z708">
        <f>IF(T708="","",IF(T708&lt;12,"Daily","Weekly"))</f>
        <v/>
      </c>
      <c r="AA708">
        <f>IF(T708="",0,IF(T708&lt;12,T708*Controls!$B$29,T708*5))</f>
        <v/>
      </c>
      <c r="AB708">
        <f>IF(E708="",0,NETWORKDAYS(E708,Controls!$B$36,Ref!$K$2:$K$42))</f>
        <v/>
      </c>
      <c r="AC708">
        <f>IF(AND(AA708&gt;0,AB708&gt;=Controls!$B$39*AA708),1,0)</f>
        <v/>
      </c>
      <c r="AD708">
        <f>IF(AND(E708&lt;&gt;"",E708&gt;=Controls!$B$37,E708&lt;=Controls!$B$38),1,0)</f>
        <v/>
      </c>
      <c r="AE708">
        <f>IF(IFERROR(VLOOKUP(D708,Controls!$A$64:$E$74,2,FALSE),"No")="Yes",1,0)</f>
        <v/>
      </c>
      <c r="AF708">
        <f>IF(IFERROR(VLOOKUP(D708,Controls!$A$64:$E$74,3,FALSE),"No")="Yes",1,0)</f>
        <v/>
      </c>
      <c r="AG708">
        <f>IF(IFERROR(VLOOKUP(D708,Controls!$A$64:$E$74,4,FALSE),"No")="Yes",1,0)</f>
        <v/>
      </c>
      <c r="AH708">
        <f>IF(IFERROR(VLOOKUP(D708,Controls!$A$64:$E$74,5,FALSE),"No")="Yes",1,0)</f>
        <v/>
      </c>
      <c r="AI708">
        <f>IF(ISNUMBER(MATCH(D708,Controls!$A$64:$A$74,0)),1,0)</f>
        <v/>
      </c>
      <c r="AJ708">
        <f>Q708-N708</f>
        <v/>
      </c>
      <c r="AK708">
        <f>IF(AE708=1,MAX(0,N708-Q708),0)</f>
        <v/>
      </c>
      <c r="AL708">
        <f>IF(OR(V708="",V708=0),0,N708/V708)</f>
        <v/>
      </c>
      <c r="AM708">
        <f>IF(OR(V708="",V708=0),0,1)</f>
        <v/>
      </c>
      <c r="AN708">
        <f>IF(OR(E708="",F708=""),0,NETWORKDAYS(E708,F708,Ref!$K$2:$K$42))</f>
        <v/>
      </c>
      <c r="AO708">
        <f>IF(L708="Renewal",1,0)</f>
        <v/>
      </c>
      <c r="AP708">
        <f>AC708*AD708</f>
        <v/>
      </c>
      <c r="AQ708">
        <f>IF(AND(G708&lt;&gt;"",'Historical Score'!$C$6&lt;&gt;""),IF(G708='Historical Score'!$C$6,1,0),0)</f>
        <v/>
      </c>
      <c r="AR708">
        <f>IF(AND(L708&lt;&gt;"",'Historical Score'!$C$5&lt;&gt;""),IF(L708='Historical Score'!$C$5,1,0),0)</f>
        <v/>
      </c>
      <c r="AS708">
        <f>IF(AND(Y708&lt;&gt;"",'Historical Score'!$C$7&lt;&gt;""),IF(Y708='Historical Score'!$C$7,1,0),0)</f>
        <v/>
      </c>
      <c r="AT708">
        <f>IF(AND(K708&lt;&gt;"",'Historical Score'!$C$8&lt;&gt;""),IF(K708='Historical Score'!$C$8,1,0),0)</f>
        <v/>
      </c>
      <c r="AU708">
        <f>IF(AND(J708&lt;&gt;"",'Historical Score'!$C$9&lt;&gt;""),IF(J708='Historical Score'!$C$9,1,0),0)</f>
        <v/>
      </c>
      <c r="AV708">
        <f>AR708*AS708*AQ708</f>
        <v/>
      </c>
      <c r="AW708">
        <f>AR708*AT708*AQ708</f>
        <v/>
      </c>
      <c r="AX708">
        <f>AR708*AS708</f>
        <v/>
      </c>
      <c r="AY708">
        <f>AR708*AT708</f>
        <v/>
      </c>
      <c r="AZ708">
        <f>AR708*AQ708</f>
        <v/>
      </c>
      <c r="BA708">
        <f>AR708</f>
        <v/>
      </c>
      <c r="BB708">
        <f>1</f>
        <v/>
      </c>
      <c r="BC708">
        <f>IF(AV708=1,1,IF(AW708=1,2,IF(AX708=1,3,IF(AY708=1,4,IF(AZ708=1,5,IF(BA708=1,6,7))))))</f>
        <v/>
      </c>
      <c r="BD708">
        <f>IF(AD708=1,CHOOSE('Historical Score'!$C$29,AV708,AW708,AX708,AY708,AZ708,BA708,BB708),0)</f>
        <v/>
      </c>
      <c r="BE708">
        <f>IF(BD708=1,COUNTIF($BD$2:BD708,1),"")</f>
        <v/>
      </c>
    </row>
    <row r="709">
      <c r="A709" t="inlineStr">
        <is>
          <t>5674180160</t>
        </is>
      </c>
      <c r="B709" t="inlineStr">
        <is>
          <t>JS4 Trucking</t>
        </is>
      </c>
      <c r="C709" t="inlineStr">
        <is>
          <t>JS4 TRUCKING INC</t>
        </is>
      </c>
      <c r="D709" t="inlineStr">
        <is>
          <t>Open</t>
        </is>
      </c>
      <c r="E709" s="297" t="n">
        <v>46094</v>
      </c>
      <c r="F709" s="297" t="n">
        <v>46248</v>
      </c>
      <c r="G709" t="n">
        <v>3</v>
      </c>
      <c r="H709" t="inlineStr">
        <is>
          <t>4212</t>
        </is>
      </c>
      <c r="I709" t="inlineStr">
        <is>
          <t>42</t>
        </is>
      </c>
      <c r="J709" t="inlineStr">
        <is>
          <t>VA</t>
        </is>
      </c>
      <c r="K709" t="inlineStr">
        <is>
          <t>AVON ADVANCE</t>
        </is>
      </c>
      <c r="L709" t="inlineStr">
        <is>
          <t>New Deal</t>
        </is>
      </c>
      <c r="M709" s="298" t="n">
        <v>1.49</v>
      </c>
      <c r="N709" s="299" t="n">
        <v>20000</v>
      </c>
      <c r="O709" s="299" t="n">
        <v>2800</v>
      </c>
      <c r="P709" s="299" t="n">
        <v>29800</v>
      </c>
      <c r="Q709" s="299" t="n">
        <v>17885.88</v>
      </c>
      <c r="R709" s="299" t="n">
        <v>11914.12</v>
      </c>
      <c r="S709" s="300" t="n">
        <v>0.600197315436242</v>
      </c>
      <c r="T709" t="n">
        <v>20</v>
      </c>
      <c r="U709" t="n">
        <v>10</v>
      </c>
      <c r="V709" t="n">
        <v>50482.4</v>
      </c>
      <c r="W709" s="300" t="n">
        <v>0.1181</v>
      </c>
      <c r="X709" s="297" t="n">
        <v>44216</v>
      </c>
      <c r="Y709">
        <f>IF(I709="","No SIC",IFERROR(VLOOKUP(I709,Ref!$A$2:$B$65,2,FALSE),"Unclassified"))</f>
        <v/>
      </c>
      <c r="Z709">
        <f>IF(T709="","",IF(T709&lt;12,"Daily","Weekly"))</f>
        <v/>
      </c>
      <c r="AA709">
        <f>IF(T709="",0,IF(T709&lt;12,T709*Controls!$B$29,T709*5))</f>
        <v/>
      </c>
      <c r="AB709">
        <f>IF(E709="",0,NETWORKDAYS(E709,Controls!$B$36,Ref!$K$2:$K$42))</f>
        <v/>
      </c>
      <c r="AC709">
        <f>IF(AND(AA709&gt;0,AB709&gt;=Controls!$B$39*AA709),1,0)</f>
        <v/>
      </c>
      <c r="AD709">
        <f>IF(AND(E709&lt;&gt;"",E709&gt;=Controls!$B$37,E709&lt;=Controls!$B$38),1,0)</f>
        <v/>
      </c>
      <c r="AE709">
        <f>IF(IFERROR(VLOOKUP(D709,Controls!$A$64:$E$74,2,FALSE),"No")="Yes",1,0)</f>
        <v/>
      </c>
      <c r="AF709">
        <f>IF(IFERROR(VLOOKUP(D709,Controls!$A$64:$E$74,3,FALSE),"No")="Yes",1,0)</f>
        <v/>
      </c>
      <c r="AG709">
        <f>IF(IFERROR(VLOOKUP(D709,Controls!$A$64:$E$74,4,FALSE),"No")="Yes",1,0)</f>
        <v/>
      </c>
      <c r="AH709">
        <f>IF(IFERROR(VLOOKUP(D709,Controls!$A$64:$E$74,5,FALSE),"No")="Yes",1,0)</f>
        <v/>
      </c>
      <c r="AI709">
        <f>IF(ISNUMBER(MATCH(D709,Controls!$A$64:$A$74,0)),1,0)</f>
        <v/>
      </c>
      <c r="AJ709">
        <f>Q709-N709</f>
        <v/>
      </c>
      <c r="AK709">
        <f>IF(AE709=1,MAX(0,N709-Q709),0)</f>
        <v/>
      </c>
      <c r="AL709">
        <f>IF(OR(V709="",V709=0),0,N709/V709)</f>
        <v/>
      </c>
      <c r="AM709">
        <f>IF(OR(V709="",V709=0),0,1)</f>
        <v/>
      </c>
      <c r="AN709">
        <f>IF(OR(E709="",F709=""),0,NETWORKDAYS(E709,F709,Ref!$K$2:$K$42))</f>
        <v/>
      </c>
      <c r="AO709">
        <f>IF(L709="Renewal",1,0)</f>
        <v/>
      </c>
      <c r="AP709">
        <f>AC709*AD709</f>
        <v/>
      </c>
      <c r="AQ709">
        <f>IF(AND(G709&lt;&gt;"",'Historical Score'!$C$6&lt;&gt;""),IF(G709='Historical Score'!$C$6,1,0),0)</f>
        <v/>
      </c>
      <c r="AR709">
        <f>IF(AND(L709&lt;&gt;"",'Historical Score'!$C$5&lt;&gt;""),IF(L709='Historical Score'!$C$5,1,0),0)</f>
        <v/>
      </c>
      <c r="AS709">
        <f>IF(AND(Y709&lt;&gt;"",'Historical Score'!$C$7&lt;&gt;""),IF(Y709='Historical Score'!$C$7,1,0),0)</f>
        <v/>
      </c>
      <c r="AT709">
        <f>IF(AND(K709&lt;&gt;"",'Historical Score'!$C$8&lt;&gt;""),IF(K709='Historical Score'!$C$8,1,0),0)</f>
        <v/>
      </c>
      <c r="AU709">
        <f>IF(AND(J709&lt;&gt;"",'Historical Score'!$C$9&lt;&gt;""),IF(J709='Historical Score'!$C$9,1,0),0)</f>
        <v/>
      </c>
      <c r="AV709">
        <f>AR709*AS709*AQ709</f>
        <v/>
      </c>
      <c r="AW709">
        <f>AR709*AT709*AQ709</f>
        <v/>
      </c>
      <c r="AX709">
        <f>AR709*AS709</f>
        <v/>
      </c>
      <c r="AY709">
        <f>AR709*AT709</f>
        <v/>
      </c>
      <c r="AZ709">
        <f>AR709*AQ709</f>
        <v/>
      </c>
      <c r="BA709">
        <f>AR709</f>
        <v/>
      </c>
      <c r="BB709">
        <f>1</f>
        <v/>
      </c>
      <c r="BC709">
        <f>IF(AV709=1,1,IF(AW709=1,2,IF(AX709=1,3,IF(AY709=1,4,IF(AZ709=1,5,IF(BA709=1,6,7))))))</f>
        <v/>
      </c>
      <c r="BD709">
        <f>IF(AD709=1,CHOOSE('Historical Score'!$C$29,AV709,AW709,AX709,AY709,AZ709,BA709,BB709),0)</f>
        <v/>
      </c>
      <c r="BE709">
        <f>IF(BD709=1,COUNTIF($BD$2:BD709,1),"")</f>
        <v/>
      </c>
    </row>
    <row r="710">
      <c r="A710" t="inlineStr">
        <is>
          <t>5674180163</t>
        </is>
      </c>
      <c r="B710" t="inlineStr">
        <is>
          <t>FIVE STARZ LOGISTICS DBA FIVE STARZ TRUCKING INC</t>
        </is>
      </c>
      <c r="C710" t="inlineStr">
        <is>
          <t>FIVE STARZ LOGISTICS INCORPORATED</t>
        </is>
      </c>
      <c r="D710" t="inlineStr">
        <is>
          <t>Closed/NSF</t>
        </is>
      </c>
      <c r="E710" s="297" t="n">
        <v>46094</v>
      </c>
      <c r="F710" s="297" t="n">
        <v>46244</v>
      </c>
      <c r="G710" t="n">
        <v>1</v>
      </c>
      <c r="H710" t="inlineStr">
        <is>
          <t>1442</t>
        </is>
      </c>
      <c r="I710" t="inlineStr">
        <is>
          <t>14</t>
        </is>
      </c>
      <c r="J710" t="inlineStr">
        <is>
          <t>VA</t>
        </is>
      </c>
      <c r="K710" t="inlineStr">
        <is>
          <t>Vanguard Equities</t>
        </is>
      </c>
      <c r="L710" t="inlineStr">
        <is>
          <t>New Deal</t>
        </is>
      </c>
      <c r="M710" s="298" t="n">
        <v>1.49</v>
      </c>
      <c r="N710" s="299" t="n">
        <v>30000</v>
      </c>
      <c r="O710" s="299" t="n">
        <v>4200</v>
      </c>
      <c r="P710" s="299" t="n">
        <v>44700</v>
      </c>
      <c r="Q710" s="299" t="n">
        <v>44700</v>
      </c>
      <c r="R710" s="299" t="n">
        <v>0</v>
      </c>
      <c r="S710" s="300" t="n">
        <v>1</v>
      </c>
      <c r="T710" t="n">
        <v>3.279</v>
      </c>
      <c r="U710" t="n">
        <v>4</v>
      </c>
      <c r="V710" t="n">
        <v>190677.94</v>
      </c>
      <c r="W710" s="300" t="n">
        <v>0.0492</v>
      </c>
      <c r="X710" s="297" t="n">
        <v>43617</v>
      </c>
      <c r="Y710">
        <f>IF(I710="","No SIC",IFERROR(VLOOKUP(I710,Ref!$A$2:$B$65,2,FALSE),"Unclassified"))</f>
        <v/>
      </c>
      <c r="Z710">
        <f>IF(T710="","",IF(T710&lt;12,"Daily","Weekly"))</f>
        <v/>
      </c>
      <c r="AA710">
        <f>IF(T710="",0,IF(T710&lt;12,T710*Controls!$B$29,T710*5))</f>
        <v/>
      </c>
      <c r="AB710">
        <f>IF(E710="",0,NETWORKDAYS(E710,Controls!$B$36,Ref!$K$2:$K$42))</f>
        <v/>
      </c>
      <c r="AC710">
        <f>IF(AND(AA710&gt;0,AB710&gt;=Controls!$B$39*AA710),1,0)</f>
        <v/>
      </c>
      <c r="AD710">
        <f>IF(AND(E710&lt;&gt;"",E710&gt;=Controls!$B$37,E710&lt;=Controls!$B$38),1,0)</f>
        <v/>
      </c>
      <c r="AE710">
        <f>IF(IFERROR(VLOOKUP(D710,Controls!$A$64:$E$74,2,FALSE),"No")="Yes",1,0)</f>
        <v/>
      </c>
      <c r="AF710">
        <f>IF(IFERROR(VLOOKUP(D710,Controls!$A$64:$E$74,3,FALSE),"No")="Yes",1,0)</f>
        <v/>
      </c>
      <c r="AG710">
        <f>IF(IFERROR(VLOOKUP(D710,Controls!$A$64:$E$74,4,FALSE),"No")="Yes",1,0)</f>
        <v/>
      </c>
      <c r="AH710">
        <f>IF(IFERROR(VLOOKUP(D710,Controls!$A$64:$E$74,5,FALSE),"No")="Yes",1,0)</f>
        <v/>
      </c>
      <c r="AI710">
        <f>IF(ISNUMBER(MATCH(D710,Controls!$A$64:$A$74,0)),1,0)</f>
        <v/>
      </c>
      <c r="AJ710">
        <f>Q710-N710</f>
        <v/>
      </c>
      <c r="AK710">
        <f>IF(AE710=1,MAX(0,N710-Q710),0)</f>
        <v/>
      </c>
      <c r="AL710">
        <f>IF(OR(V710="",V710=0),0,N710/V710)</f>
        <v/>
      </c>
      <c r="AM710">
        <f>IF(OR(V710="",V710=0),0,1)</f>
        <v/>
      </c>
      <c r="AN710">
        <f>IF(OR(E710="",F710=""),0,NETWORKDAYS(E710,F710,Ref!$K$2:$K$42))</f>
        <v/>
      </c>
      <c r="AO710">
        <f>IF(L710="Renewal",1,0)</f>
        <v/>
      </c>
      <c r="AP710">
        <f>AC710*AD710</f>
        <v/>
      </c>
      <c r="AQ710">
        <f>IF(AND(G710&lt;&gt;"",'Historical Score'!$C$6&lt;&gt;""),IF(G710='Historical Score'!$C$6,1,0),0)</f>
        <v/>
      </c>
      <c r="AR710">
        <f>IF(AND(L710&lt;&gt;"",'Historical Score'!$C$5&lt;&gt;""),IF(L710='Historical Score'!$C$5,1,0),0)</f>
        <v/>
      </c>
      <c r="AS710">
        <f>IF(AND(Y710&lt;&gt;"",'Historical Score'!$C$7&lt;&gt;""),IF(Y710='Historical Score'!$C$7,1,0),0)</f>
        <v/>
      </c>
      <c r="AT710">
        <f>IF(AND(K710&lt;&gt;"",'Historical Score'!$C$8&lt;&gt;""),IF(K710='Historical Score'!$C$8,1,0),0)</f>
        <v/>
      </c>
      <c r="AU710">
        <f>IF(AND(J710&lt;&gt;"",'Historical Score'!$C$9&lt;&gt;""),IF(J710='Historical Score'!$C$9,1,0),0)</f>
        <v/>
      </c>
      <c r="AV710">
        <f>AR710*AS710*AQ710</f>
        <v/>
      </c>
      <c r="AW710">
        <f>AR710*AT710*AQ710</f>
        <v/>
      </c>
      <c r="AX710">
        <f>AR710*AS710</f>
        <v/>
      </c>
      <c r="AY710">
        <f>AR710*AT710</f>
        <v/>
      </c>
      <c r="AZ710">
        <f>AR710*AQ710</f>
        <v/>
      </c>
      <c r="BA710">
        <f>AR710</f>
        <v/>
      </c>
      <c r="BB710">
        <f>1</f>
        <v/>
      </c>
      <c r="BC710">
        <f>IF(AV710=1,1,IF(AW710=1,2,IF(AX710=1,3,IF(AY710=1,4,IF(AZ710=1,5,IF(BA710=1,6,7))))))</f>
        <v/>
      </c>
      <c r="BD710">
        <f>IF(AD710=1,CHOOSE('Historical Score'!$C$29,AV710,AW710,AX710,AY710,AZ710,BA710,BB710),0)</f>
        <v/>
      </c>
      <c r="BE710">
        <f>IF(BD710=1,COUNTIF($BD$2:BD710,1),"")</f>
        <v/>
      </c>
    </row>
    <row r="711">
      <c r="A711" t="inlineStr">
        <is>
          <t>5674180170</t>
        </is>
      </c>
      <c r="B711" t="inlineStr">
        <is>
          <t>Southern Emblem Inc</t>
        </is>
      </c>
      <c r="C711" t="inlineStr">
        <is>
          <t>Southern Emblem Inc</t>
        </is>
      </c>
      <c r="D711" t="inlineStr">
        <is>
          <t>Open</t>
        </is>
      </c>
      <c r="E711" s="297" t="n">
        <v>46094</v>
      </c>
      <c r="F711" s="297" t="n">
        <v>46248</v>
      </c>
      <c r="G711" t="n">
        <v>4</v>
      </c>
      <c r="H711" t="inlineStr">
        <is>
          <t>5699</t>
        </is>
      </c>
      <c r="I711" t="inlineStr">
        <is>
          <t>56</t>
        </is>
      </c>
      <c r="J711" t="inlineStr">
        <is>
          <t>LA</t>
        </is>
      </c>
      <c r="K711" t="inlineStr">
        <is>
          <t>Ballicci</t>
        </is>
      </c>
      <c r="L711" t="inlineStr">
        <is>
          <t>New Deal</t>
        </is>
      </c>
      <c r="M711" s="298" t="n">
        <v>1.49</v>
      </c>
      <c r="N711" s="299" t="n">
        <v>25000</v>
      </c>
      <c r="O711" s="299" t="n">
        <v>3500</v>
      </c>
      <c r="P711" s="299" t="n">
        <v>37250</v>
      </c>
      <c r="Q711" s="299" t="n">
        <v>35102</v>
      </c>
      <c r="R711" s="299" t="n">
        <v>2148</v>
      </c>
      <c r="S711" s="300" t="n">
        <v>0.942335570469799</v>
      </c>
      <c r="T711" t="n">
        <v>20</v>
      </c>
      <c r="U711" t="n">
        <v>1</v>
      </c>
      <c r="V711" t="n">
        <v>85000</v>
      </c>
      <c r="W711" s="300" t="n">
        <v>0.133</v>
      </c>
      <c r="X711" s="297" t="n">
        <v>46094</v>
      </c>
      <c r="Y711">
        <f>IF(I711="","No SIC",IFERROR(VLOOKUP(I711,Ref!$A$2:$B$65,2,FALSE),"Unclassified"))</f>
        <v/>
      </c>
      <c r="Z711">
        <f>IF(T711="","",IF(T711&lt;12,"Daily","Weekly"))</f>
        <v/>
      </c>
      <c r="AA711">
        <f>IF(T711="",0,IF(T711&lt;12,T711*Controls!$B$29,T711*5))</f>
        <v/>
      </c>
      <c r="AB711">
        <f>IF(E711="",0,NETWORKDAYS(E711,Controls!$B$36,Ref!$K$2:$K$42))</f>
        <v/>
      </c>
      <c r="AC711">
        <f>IF(AND(AA711&gt;0,AB711&gt;=Controls!$B$39*AA711),1,0)</f>
        <v/>
      </c>
      <c r="AD711">
        <f>IF(AND(E711&lt;&gt;"",E711&gt;=Controls!$B$37,E711&lt;=Controls!$B$38),1,0)</f>
        <v/>
      </c>
      <c r="AE711">
        <f>IF(IFERROR(VLOOKUP(D711,Controls!$A$64:$E$74,2,FALSE),"No")="Yes",1,0)</f>
        <v/>
      </c>
      <c r="AF711">
        <f>IF(IFERROR(VLOOKUP(D711,Controls!$A$64:$E$74,3,FALSE),"No")="Yes",1,0)</f>
        <v/>
      </c>
      <c r="AG711">
        <f>IF(IFERROR(VLOOKUP(D711,Controls!$A$64:$E$74,4,FALSE),"No")="Yes",1,0)</f>
        <v/>
      </c>
      <c r="AH711">
        <f>IF(IFERROR(VLOOKUP(D711,Controls!$A$64:$E$74,5,FALSE),"No")="Yes",1,0)</f>
        <v/>
      </c>
      <c r="AI711">
        <f>IF(ISNUMBER(MATCH(D711,Controls!$A$64:$A$74,0)),1,0)</f>
        <v/>
      </c>
      <c r="AJ711">
        <f>Q711-N711</f>
        <v/>
      </c>
      <c r="AK711">
        <f>IF(AE711=1,MAX(0,N711-Q711),0)</f>
        <v/>
      </c>
      <c r="AL711">
        <f>IF(OR(V711="",V711=0),0,N711/V711)</f>
        <v/>
      </c>
      <c r="AM711">
        <f>IF(OR(V711="",V711=0),0,1)</f>
        <v/>
      </c>
      <c r="AN711">
        <f>IF(OR(E711="",F711=""),0,NETWORKDAYS(E711,F711,Ref!$K$2:$K$42))</f>
        <v/>
      </c>
      <c r="AO711">
        <f>IF(L711="Renewal",1,0)</f>
        <v/>
      </c>
      <c r="AP711">
        <f>AC711*AD711</f>
        <v/>
      </c>
      <c r="AQ711">
        <f>IF(AND(G711&lt;&gt;"",'Historical Score'!$C$6&lt;&gt;""),IF(G711='Historical Score'!$C$6,1,0),0)</f>
        <v/>
      </c>
      <c r="AR711">
        <f>IF(AND(L711&lt;&gt;"",'Historical Score'!$C$5&lt;&gt;""),IF(L711='Historical Score'!$C$5,1,0),0)</f>
        <v/>
      </c>
      <c r="AS711">
        <f>IF(AND(Y711&lt;&gt;"",'Historical Score'!$C$7&lt;&gt;""),IF(Y711='Historical Score'!$C$7,1,0),0)</f>
        <v/>
      </c>
      <c r="AT711">
        <f>IF(AND(K711&lt;&gt;"",'Historical Score'!$C$8&lt;&gt;""),IF(K711='Historical Score'!$C$8,1,0),0)</f>
        <v/>
      </c>
      <c r="AU711">
        <f>IF(AND(J711&lt;&gt;"",'Historical Score'!$C$9&lt;&gt;""),IF(J711='Historical Score'!$C$9,1,0),0)</f>
        <v/>
      </c>
      <c r="AV711">
        <f>AR711*AS711*AQ711</f>
        <v/>
      </c>
      <c r="AW711">
        <f>AR711*AT711*AQ711</f>
        <v/>
      </c>
      <c r="AX711">
        <f>AR711*AS711</f>
        <v/>
      </c>
      <c r="AY711">
        <f>AR711*AT711</f>
        <v/>
      </c>
      <c r="AZ711">
        <f>AR711*AQ711</f>
        <v/>
      </c>
      <c r="BA711">
        <f>AR711</f>
        <v/>
      </c>
      <c r="BB711">
        <f>1</f>
        <v/>
      </c>
      <c r="BC711">
        <f>IF(AV711=1,1,IF(AW711=1,2,IF(AX711=1,3,IF(AY711=1,4,IF(AZ711=1,5,IF(BA711=1,6,7))))))</f>
        <v/>
      </c>
      <c r="BD711">
        <f>IF(AD711=1,CHOOSE('Historical Score'!$C$29,AV711,AW711,AX711,AY711,AZ711,BA711,BB711),0)</f>
        <v/>
      </c>
      <c r="BE711">
        <f>IF(BD711=1,COUNTIF($BD$2:BD711,1),"")</f>
        <v/>
      </c>
    </row>
    <row r="712">
      <c r="A712" t="inlineStr">
        <is>
          <t>5674180179</t>
        </is>
      </c>
      <c r="B712" t="inlineStr">
        <is>
          <t>scrubs4u</t>
        </is>
      </c>
      <c r="C712" t="inlineStr">
        <is>
          <t>scrub 4 U corp</t>
        </is>
      </c>
      <c r="D712" t="inlineStr">
        <is>
          <t>Lowered Payments</t>
        </is>
      </c>
      <c r="E712" s="297" t="n">
        <v>46094</v>
      </c>
      <c r="F712" s="297" t="n">
        <v>46248</v>
      </c>
      <c r="G712" t="n">
        <v>3</v>
      </c>
      <c r="J712" t="inlineStr">
        <is>
          <t>CA</t>
        </is>
      </c>
      <c r="K712" t="inlineStr">
        <is>
          <t>Fundwell</t>
        </is>
      </c>
      <c r="L712" t="inlineStr">
        <is>
          <t>New Deal</t>
        </is>
      </c>
      <c r="M712" s="298" t="n">
        <v>1.42</v>
      </c>
      <c r="N712" s="299" t="n">
        <v>22000</v>
      </c>
      <c r="O712" s="299" t="n">
        <v>3080</v>
      </c>
      <c r="P712" s="299" t="n">
        <v>31240</v>
      </c>
      <c r="Q712" s="299" t="n">
        <v>19600.58</v>
      </c>
      <c r="R712" s="299" t="n">
        <v>11639.42</v>
      </c>
      <c r="S712" s="300" t="n">
        <v>0.62741933418694</v>
      </c>
      <c r="T712" t="n">
        <v>28</v>
      </c>
      <c r="U712" t="n">
        <v>1</v>
      </c>
      <c r="V712" t="n">
        <v>25855.28</v>
      </c>
      <c r="W712" s="300" t="n">
        <v>0.1726</v>
      </c>
      <c r="X712" s="297" t="n">
        <v>43160</v>
      </c>
      <c r="Y712">
        <f>IF(I712="","No SIC",IFERROR(VLOOKUP(I712,Ref!$A$2:$B$65,2,FALSE),"Unclassified"))</f>
        <v/>
      </c>
      <c r="Z712">
        <f>IF(T712="","",IF(T712&lt;12,"Daily","Weekly"))</f>
        <v/>
      </c>
      <c r="AA712">
        <f>IF(T712="",0,IF(T712&lt;12,T712*Controls!$B$29,T712*5))</f>
        <v/>
      </c>
      <c r="AB712">
        <f>IF(E712="",0,NETWORKDAYS(E712,Controls!$B$36,Ref!$K$2:$K$42))</f>
        <v/>
      </c>
      <c r="AC712">
        <f>IF(AND(AA712&gt;0,AB712&gt;=Controls!$B$39*AA712),1,0)</f>
        <v/>
      </c>
      <c r="AD712">
        <f>IF(AND(E712&lt;&gt;"",E712&gt;=Controls!$B$37,E712&lt;=Controls!$B$38),1,0)</f>
        <v/>
      </c>
      <c r="AE712">
        <f>IF(IFERROR(VLOOKUP(D712,Controls!$A$64:$E$74,2,FALSE),"No")="Yes",1,0)</f>
        <v/>
      </c>
      <c r="AF712">
        <f>IF(IFERROR(VLOOKUP(D712,Controls!$A$64:$E$74,3,FALSE),"No")="Yes",1,0)</f>
        <v/>
      </c>
      <c r="AG712">
        <f>IF(IFERROR(VLOOKUP(D712,Controls!$A$64:$E$74,4,FALSE),"No")="Yes",1,0)</f>
        <v/>
      </c>
      <c r="AH712">
        <f>IF(IFERROR(VLOOKUP(D712,Controls!$A$64:$E$74,5,FALSE),"No")="Yes",1,0)</f>
        <v/>
      </c>
      <c r="AI712">
        <f>IF(ISNUMBER(MATCH(D712,Controls!$A$64:$A$74,0)),1,0)</f>
        <v/>
      </c>
      <c r="AJ712">
        <f>Q712-N712</f>
        <v/>
      </c>
      <c r="AK712">
        <f>IF(AE712=1,MAX(0,N712-Q712),0)</f>
        <v/>
      </c>
      <c r="AL712">
        <f>IF(OR(V712="",V712=0),0,N712/V712)</f>
        <v/>
      </c>
      <c r="AM712">
        <f>IF(OR(V712="",V712=0),0,1)</f>
        <v/>
      </c>
      <c r="AN712">
        <f>IF(OR(E712="",F712=""),0,NETWORKDAYS(E712,F712,Ref!$K$2:$K$42))</f>
        <v/>
      </c>
      <c r="AO712">
        <f>IF(L712="Renewal",1,0)</f>
        <v/>
      </c>
      <c r="AP712">
        <f>AC712*AD712</f>
        <v/>
      </c>
      <c r="AQ712">
        <f>IF(AND(G712&lt;&gt;"",'Historical Score'!$C$6&lt;&gt;""),IF(G712='Historical Score'!$C$6,1,0),0)</f>
        <v/>
      </c>
      <c r="AR712">
        <f>IF(AND(L712&lt;&gt;"",'Historical Score'!$C$5&lt;&gt;""),IF(L712='Historical Score'!$C$5,1,0),0)</f>
        <v/>
      </c>
      <c r="AS712">
        <f>IF(AND(Y712&lt;&gt;"",'Historical Score'!$C$7&lt;&gt;""),IF(Y712='Historical Score'!$C$7,1,0),0)</f>
        <v/>
      </c>
      <c r="AT712">
        <f>IF(AND(K712&lt;&gt;"",'Historical Score'!$C$8&lt;&gt;""),IF(K712='Historical Score'!$C$8,1,0),0)</f>
        <v/>
      </c>
      <c r="AU712">
        <f>IF(AND(J712&lt;&gt;"",'Historical Score'!$C$9&lt;&gt;""),IF(J712='Historical Score'!$C$9,1,0),0)</f>
        <v/>
      </c>
      <c r="AV712">
        <f>AR712*AS712*AQ712</f>
        <v/>
      </c>
      <c r="AW712">
        <f>AR712*AT712*AQ712</f>
        <v/>
      </c>
      <c r="AX712">
        <f>AR712*AS712</f>
        <v/>
      </c>
      <c r="AY712">
        <f>AR712*AT712</f>
        <v/>
      </c>
      <c r="AZ712">
        <f>AR712*AQ712</f>
        <v/>
      </c>
      <c r="BA712">
        <f>AR712</f>
        <v/>
      </c>
      <c r="BB712">
        <f>1</f>
        <v/>
      </c>
      <c r="BC712">
        <f>IF(AV712=1,1,IF(AW712=1,2,IF(AX712=1,3,IF(AY712=1,4,IF(AZ712=1,5,IF(BA712=1,6,7))))))</f>
        <v/>
      </c>
      <c r="BD712">
        <f>IF(AD712=1,CHOOSE('Historical Score'!$C$29,AV712,AW712,AX712,AY712,AZ712,BA712,BB712),0)</f>
        <v/>
      </c>
      <c r="BE712">
        <f>IF(BD712=1,COUNTIF($BD$2:BD712,1),"")</f>
        <v/>
      </c>
    </row>
    <row r="713">
      <c r="A713" t="inlineStr">
        <is>
          <t>5674180203</t>
        </is>
      </c>
      <c r="B713" t="inlineStr">
        <is>
          <t>Nest Protection Plan</t>
        </is>
      </c>
      <c r="C713" t="inlineStr">
        <is>
          <t>Miami Valley Environmental Services LLC</t>
        </is>
      </c>
      <c r="D713" t="inlineStr">
        <is>
          <t>Closed</t>
        </is>
      </c>
      <c r="E713" s="297" t="n">
        <v>46097</v>
      </c>
      <c r="F713" s="297" t="n">
        <v>46219</v>
      </c>
      <c r="G713" t="n">
        <v>3</v>
      </c>
      <c r="H713" t="inlineStr">
        <is>
          <t>8999</t>
        </is>
      </c>
      <c r="I713" t="inlineStr">
        <is>
          <t>89</t>
        </is>
      </c>
      <c r="J713" t="inlineStr">
        <is>
          <t>OH</t>
        </is>
      </c>
      <c r="K713" t="inlineStr">
        <is>
          <t>Fundwell</t>
        </is>
      </c>
      <c r="L713" t="inlineStr">
        <is>
          <t>Renewal</t>
        </is>
      </c>
      <c r="M713" s="298" t="n">
        <v>1.4</v>
      </c>
      <c r="N713" s="299" t="n">
        <v>15500</v>
      </c>
      <c r="O713" s="299" t="n">
        <v>2015</v>
      </c>
      <c r="P713" s="299" t="n">
        <v>21700</v>
      </c>
      <c r="Q713" s="299" t="n">
        <v>21700</v>
      </c>
      <c r="R713" s="299" t="n">
        <v>0</v>
      </c>
      <c r="S713" s="300" t="n">
        <v>1</v>
      </c>
      <c r="T713" t="n">
        <v>4.262</v>
      </c>
      <c r="U713" t="n">
        <v>0</v>
      </c>
      <c r="V713" t="n">
        <v>14934.99</v>
      </c>
      <c r="W713" s="300" t="n">
        <v>0.2347</v>
      </c>
      <c r="X713" s="297" t="n">
        <v>45524</v>
      </c>
      <c r="Y713">
        <f>IF(I713="","No SIC",IFERROR(VLOOKUP(I713,Ref!$A$2:$B$65,2,FALSE),"Unclassified"))</f>
        <v/>
      </c>
      <c r="Z713">
        <f>IF(T713="","",IF(T713&lt;12,"Daily","Weekly"))</f>
        <v/>
      </c>
      <c r="AA713">
        <f>IF(T713="",0,IF(T713&lt;12,T713*Controls!$B$29,T713*5))</f>
        <v/>
      </c>
      <c r="AB713">
        <f>IF(E713="",0,NETWORKDAYS(E713,Controls!$B$36,Ref!$K$2:$K$42))</f>
        <v/>
      </c>
      <c r="AC713">
        <f>IF(AND(AA713&gt;0,AB713&gt;=Controls!$B$39*AA713),1,0)</f>
        <v/>
      </c>
      <c r="AD713">
        <f>IF(AND(E713&lt;&gt;"",E713&gt;=Controls!$B$37,E713&lt;=Controls!$B$38),1,0)</f>
        <v/>
      </c>
      <c r="AE713">
        <f>IF(IFERROR(VLOOKUP(D713,Controls!$A$64:$E$74,2,FALSE),"No")="Yes",1,0)</f>
        <v/>
      </c>
      <c r="AF713">
        <f>IF(IFERROR(VLOOKUP(D713,Controls!$A$64:$E$74,3,FALSE),"No")="Yes",1,0)</f>
        <v/>
      </c>
      <c r="AG713">
        <f>IF(IFERROR(VLOOKUP(D713,Controls!$A$64:$E$74,4,FALSE),"No")="Yes",1,0)</f>
        <v/>
      </c>
      <c r="AH713">
        <f>IF(IFERROR(VLOOKUP(D713,Controls!$A$64:$E$74,5,FALSE),"No")="Yes",1,0)</f>
        <v/>
      </c>
      <c r="AI713">
        <f>IF(ISNUMBER(MATCH(D713,Controls!$A$64:$A$74,0)),1,0)</f>
        <v/>
      </c>
      <c r="AJ713">
        <f>Q713-N713</f>
        <v/>
      </c>
      <c r="AK713">
        <f>IF(AE713=1,MAX(0,N713-Q713),0)</f>
        <v/>
      </c>
      <c r="AL713">
        <f>IF(OR(V713="",V713=0),0,N713/V713)</f>
        <v/>
      </c>
      <c r="AM713">
        <f>IF(OR(V713="",V713=0),0,1)</f>
        <v/>
      </c>
      <c r="AN713">
        <f>IF(OR(E713="",F713=""),0,NETWORKDAYS(E713,F713,Ref!$K$2:$K$42))</f>
        <v/>
      </c>
      <c r="AO713">
        <f>IF(L713="Renewal",1,0)</f>
        <v/>
      </c>
      <c r="AP713">
        <f>AC713*AD713</f>
        <v/>
      </c>
      <c r="AQ713">
        <f>IF(AND(G713&lt;&gt;"",'Historical Score'!$C$6&lt;&gt;""),IF(G713='Historical Score'!$C$6,1,0),0)</f>
        <v/>
      </c>
      <c r="AR713">
        <f>IF(AND(L713&lt;&gt;"",'Historical Score'!$C$5&lt;&gt;""),IF(L713='Historical Score'!$C$5,1,0),0)</f>
        <v/>
      </c>
      <c r="AS713">
        <f>IF(AND(Y713&lt;&gt;"",'Historical Score'!$C$7&lt;&gt;""),IF(Y713='Historical Score'!$C$7,1,0),0)</f>
        <v/>
      </c>
      <c r="AT713">
        <f>IF(AND(K713&lt;&gt;"",'Historical Score'!$C$8&lt;&gt;""),IF(K713='Historical Score'!$C$8,1,0),0)</f>
        <v/>
      </c>
      <c r="AU713">
        <f>IF(AND(J713&lt;&gt;"",'Historical Score'!$C$9&lt;&gt;""),IF(J713='Historical Score'!$C$9,1,0),0)</f>
        <v/>
      </c>
      <c r="AV713">
        <f>AR713*AS713*AQ713</f>
        <v/>
      </c>
      <c r="AW713">
        <f>AR713*AT713*AQ713</f>
        <v/>
      </c>
      <c r="AX713">
        <f>AR713*AS713</f>
        <v/>
      </c>
      <c r="AY713">
        <f>AR713*AT713</f>
        <v/>
      </c>
      <c r="AZ713">
        <f>AR713*AQ713</f>
        <v/>
      </c>
      <c r="BA713">
        <f>AR713</f>
        <v/>
      </c>
      <c r="BB713">
        <f>1</f>
        <v/>
      </c>
      <c r="BC713">
        <f>IF(AV713=1,1,IF(AW713=1,2,IF(AX713=1,3,IF(AY713=1,4,IF(AZ713=1,5,IF(BA713=1,6,7))))))</f>
        <v/>
      </c>
      <c r="BD713">
        <f>IF(AD713=1,CHOOSE('Historical Score'!$C$29,AV713,AW713,AX713,AY713,AZ713,BA713,BB713),0)</f>
        <v/>
      </c>
      <c r="BE713">
        <f>IF(BD713=1,COUNTIF($BD$2:BD713,1),"")</f>
        <v/>
      </c>
    </row>
    <row r="714">
      <c r="A714" t="inlineStr">
        <is>
          <t>5674180207</t>
        </is>
      </c>
      <c r="B714" t="inlineStr">
        <is>
          <t>BLU POWER SOLUTIONS DBA YORIKO S CARREON SOLE MBR</t>
        </is>
      </c>
      <c r="C714" t="inlineStr">
        <is>
          <t>BLU POWER SOLUTIONS, LLC</t>
        </is>
      </c>
      <c r="D714" t="inlineStr">
        <is>
          <t>Legal</t>
        </is>
      </c>
      <c r="E714" s="297" t="n">
        <v>46097</v>
      </c>
      <c r="F714" s="297" t="n">
        <v>46189</v>
      </c>
      <c r="G714" t="n">
        <v>3</v>
      </c>
      <c r="H714" t="inlineStr">
        <is>
          <t>8748</t>
        </is>
      </c>
      <c r="I714" t="inlineStr">
        <is>
          <t>87</t>
        </is>
      </c>
      <c r="J714" t="inlineStr">
        <is>
          <t>TX</t>
        </is>
      </c>
      <c r="K714" t="inlineStr">
        <is>
          <t>J Capital Solutions</t>
        </is>
      </c>
      <c r="L714" t="inlineStr">
        <is>
          <t>New Deal</t>
        </is>
      </c>
      <c r="M714" s="298" t="n">
        <v>1.49</v>
      </c>
      <c r="N714" s="299" t="n">
        <v>80000</v>
      </c>
      <c r="O714" s="299" t="n">
        <v>0</v>
      </c>
      <c r="P714" s="299" t="n">
        <v>119200</v>
      </c>
      <c r="Q714" s="299" t="n">
        <v>15018.62</v>
      </c>
      <c r="R714" s="299" t="n">
        <v>104181.38</v>
      </c>
      <c r="S714" s="300" t="n">
        <v>0.125995134228188</v>
      </c>
      <c r="T714" t="n">
        <v>27</v>
      </c>
      <c r="U714" t="n">
        <v>32</v>
      </c>
      <c r="V714" t="n">
        <v>241369.86</v>
      </c>
      <c r="W714" s="300" t="n">
        <v>0.0732</v>
      </c>
      <c r="X714" s="297" t="n">
        <v>44197</v>
      </c>
      <c r="Y714">
        <f>IF(I714="","No SIC",IFERROR(VLOOKUP(I714,Ref!$A$2:$B$65,2,FALSE),"Unclassified"))</f>
        <v/>
      </c>
      <c r="Z714">
        <f>IF(T714="","",IF(T714&lt;12,"Daily","Weekly"))</f>
        <v/>
      </c>
      <c r="AA714">
        <f>IF(T714="",0,IF(T714&lt;12,T714*Controls!$B$29,T714*5))</f>
        <v/>
      </c>
      <c r="AB714">
        <f>IF(E714="",0,NETWORKDAYS(E714,Controls!$B$36,Ref!$K$2:$K$42))</f>
        <v/>
      </c>
      <c r="AC714">
        <f>IF(AND(AA714&gt;0,AB714&gt;=Controls!$B$39*AA714),1,0)</f>
        <v/>
      </c>
      <c r="AD714">
        <f>IF(AND(E714&lt;&gt;"",E714&gt;=Controls!$B$37,E714&lt;=Controls!$B$38),1,0)</f>
        <v/>
      </c>
      <c r="AE714">
        <f>IF(IFERROR(VLOOKUP(D714,Controls!$A$64:$E$74,2,FALSE),"No")="Yes",1,0)</f>
        <v/>
      </c>
      <c r="AF714">
        <f>IF(IFERROR(VLOOKUP(D714,Controls!$A$64:$E$74,3,FALSE),"No")="Yes",1,0)</f>
        <v/>
      </c>
      <c r="AG714">
        <f>IF(IFERROR(VLOOKUP(D714,Controls!$A$64:$E$74,4,FALSE),"No")="Yes",1,0)</f>
        <v/>
      </c>
      <c r="AH714">
        <f>IF(IFERROR(VLOOKUP(D714,Controls!$A$64:$E$74,5,FALSE),"No")="Yes",1,0)</f>
        <v/>
      </c>
      <c r="AI714">
        <f>IF(ISNUMBER(MATCH(D714,Controls!$A$64:$A$74,0)),1,0)</f>
        <v/>
      </c>
      <c r="AJ714">
        <f>Q714-N714</f>
        <v/>
      </c>
      <c r="AK714">
        <f>IF(AE714=1,MAX(0,N714-Q714),0)</f>
        <v/>
      </c>
      <c r="AL714">
        <f>IF(OR(V714="",V714=0),0,N714/V714)</f>
        <v/>
      </c>
      <c r="AM714">
        <f>IF(OR(V714="",V714=0),0,1)</f>
        <v/>
      </c>
      <c r="AN714">
        <f>IF(OR(E714="",F714=""),0,NETWORKDAYS(E714,F714,Ref!$K$2:$K$42))</f>
        <v/>
      </c>
      <c r="AO714">
        <f>IF(L714="Renewal",1,0)</f>
        <v/>
      </c>
      <c r="AP714">
        <f>AC714*AD714</f>
        <v/>
      </c>
      <c r="AQ714">
        <f>IF(AND(G714&lt;&gt;"",'Historical Score'!$C$6&lt;&gt;""),IF(G714='Historical Score'!$C$6,1,0),0)</f>
        <v/>
      </c>
      <c r="AR714">
        <f>IF(AND(L714&lt;&gt;"",'Historical Score'!$C$5&lt;&gt;""),IF(L714='Historical Score'!$C$5,1,0),0)</f>
        <v/>
      </c>
      <c r="AS714">
        <f>IF(AND(Y714&lt;&gt;"",'Historical Score'!$C$7&lt;&gt;""),IF(Y714='Historical Score'!$C$7,1,0),0)</f>
        <v/>
      </c>
      <c r="AT714">
        <f>IF(AND(K714&lt;&gt;"",'Historical Score'!$C$8&lt;&gt;""),IF(K714='Historical Score'!$C$8,1,0),0)</f>
        <v/>
      </c>
      <c r="AU714">
        <f>IF(AND(J714&lt;&gt;"",'Historical Score'!$C$9&lt;&gt;""),IF(J714='Historical Score'!$C$9,1,0),0)</f>
        <v/>
      </c>
      <c r="AV714">
        <f>AR714*AS714*AQ714</f>
        <v/>
      </c>
      <c r="AW714">
        <f>AR714*AT714*AQ714</f>
        <v/>
      </c>
      <c r="AX714">
        <f>AR714*AS714</f>
        <v/>
      </c>
      <c r="AY714">
        <f>AR714*AT714</f>
        <v/>
      </c>
      <c r="AZ714">
        <f>AR714*AQ714</f>
        <v/>
      </c>
      <c r="BA714">
        <f>AR714</f>
        <v/>
      </c>
      <c r="BB714">
        <f>1</f>
        <v/>
      </c>
      <c r="BC714">
        <f>IF(AV714=1,1,IF(AW714=1,2,IF(AX714=1,3,IF(AY714=1,4,IF(AZ714=1,5,IF(BA714=1,6,7))))))</f>
        <v/>
      </c>
      <c r="BD714">
        <f>IF(AD714=1,CHOOSE('Historical Score'!$C$29,AV714,AW714,AX714,AY714,AZ714,BA714,BB714),0)</f>
        <v/>
      </c>
      <c r="BE714">
        <f>IF(BD714=1,COUNTIF($BD$2:BD714,1),"")</f>
        <v/>
      </c>
    </row>
    <row r="715">
      <c r="A715" t="inlineStr">
        <is>
          <t>5674180211</t>
        </is>
      </c>
      <c r="B715" t="inlineStr">
        <is>
          <t>ON MY WAY EXPRESS</t>
        </is>
      </c>
      <c r="C715" t="inlineStr">
        <is>
          <t>ON MY WAY EXPRESS LLC</t>
        </is>
      </c>
      <c r="D715" t="inlineStr">
        <is>
          <t>Legal</t>
        </is>
      </c>
      <c r="E715" s="297" t="n">
        <v>46097</v>
      </c>
      <c r="F715" s="297" t="n">
        <v>46177</v>
      </c>
      <c r="G715" t="n">
        <v>3</v>
      </c>
      <c r="H715" t="inlineStr">
        <is>
          <t>4212</t>
        </is>
      </c>
      <c r="I715" t="inlineStr">
        <is>
          <t>42</t>
        </is>
      </c>
      <c r="J715" t="inlineStr">
        <is>
          <t>MO</t>
        </is>
      </c>
      <c r="K715" t="inlineStr">
        <is>
          <t>United Secured Capital 8</t>
        </is>
      </c>
      <c r="L715" t="inlineStr">
        <is>
          <t>New Deal</t>
        </is>
      </c>
      <c r="M715" s="298" t="n">
        <v>1.49</v>
      </c>
      <c r="N715" s="299" t="n">
        <v>20000</v>
      </c>
      <c r="O715" s="299" t="n">
        <v>2800</v>
      </c>
      <c r="P715" s="299" t="n">
        <v>29800</v>
      </c>
      <c r="Q715" s="299" t="n">
        <v>12220.05</v>
      </c>
      <c r="R715" s="299" t="n">
        <v>17579.95</v>
      </c>
      <c r="S715" s="300" t="n">
        <v>0.410068791946309</v>
      </c>
      <c r="T715" t="n">
        <v>3.279</v>
      </c>
      <c r="U715" t="n">
        <v>17</v>
      </c>
      <c r="V715" t="n">
        <v>145000</v>
      </c>
      <c r="W715" s="300" t="n">
        <v>0.1138</v>
      </c>
      <c r="X715" s="297" t="n">
        <v>44883</v>
      </c>
      <c r="Y715">
        <f>IF(I715="","No SIC",IFERROR(VLOOKUP(I715,Ref!$A$2:$B$65,2,FALSE),"Unclassified"))</f>
        <v/>
      </c>
      <c r="Z715">
        <f>IF(T715="","",IF(T715&lt;12,"Daily","Weekly"))</f>
        <v/>
      </c>
      <c r="AA715">
        <f>IF(T715="",0,IF(T715&lt;12,T715*Controls!$B$29,T715*5))</f>
        <v/>
      </c>
      <c r="AB715">
        <f>IF(E715="",0,NETWORKDAYS(E715,Controls!$B$36,Ref!$K$2:$K$42))</f>
        <v/>
      </c>
      <c r="AC715">
        <f>IF(AND(AA715&gt;0,AB715&gt;=Controls!$B$39*AA715),1,0)</f>
        <v/>
      </c>
      <c r="AD715">
        <f>IF(AND(E715&lt;&gt;"",E715&gt;=Controls!$B$37,E715&lt;=Controls!$B$38),1,0)</f>
        <v/>
      </c>
      <c r="AE715">
        <f>IF(IFERROR(VLOOKUP(D715,Controls!$A$64:$E$74,2,FALSE),"No")="Yes",1,0)</f>
        <v/>
      </c>
      <c r="AF715">
        <f>IF(IFERROR(VLOOKUP(D715,Controls!$A$64:$E$74,3,FALSE),"No")="Yes",1,0)</f>
        <v/>
      </c>
      <c r="AG715">
        <f>IF(IFERROR(VLOOKUP(D715,Controls!$A$64:$E$74,4,FALSE),"No")="Yes",1,0)</f>
        <v/>
      </c>
      <c r="AH715">
        <f>IF(IFERROR(VLOOKUP(D715,Controls!$A$64:$E$74,5,FALSE),"No")="Yes",1,0)</f>
        <v/>
      </c>
      <c r="AI715">
        <f>IF(ISNUMBER(MATCH(D715,Controls!$A$64:$A$74,0)),1,0)</f>
        <v/>
      </c>
      <c r="AJ715">
        <f>Q715-N715</f>
        <v/>
      </c>
      <c r="AK715">
        <f>IF(AE715=1,MAX(0,N715-Q715),0)</f>
        <v/>
      </c>
      <c r="AL715">
        <f>IF(OR(V715="",V715=0),0,N715/V715)</f>
        <v/>
      </c>
      <c r="AM715">
        <f>IF(OR(V715="",V715=0),0,1)</f>
        <v/>
      </c>
      <c r="AN715">
        <f>IF(OR(E715="",F715=""),0,NETWORKDAYS(E715,F715,Ref!$K$2:$K$42))</f>
        <v/>
      </c>
      <c r="AO715">
        <f>IF(L715="Renewal",1,0)</f>
        <v/>
      </c>
      <c r="AP715">
        <f>AC715*AD715</f>
        <v/>
      </c>
      <c r="AQ715">
        <f>IF(AND(G715&lt;&gt;"",'Historical Score'!$C$6&lt;&gt;""),IF(G715='Historical Score'!$C$6,1,0),0)</f>
        <v/>
      </c>
      <c r="AR715">
        <f>IF(AND(L715&lt;&gt;"",'Historical Score'!$C$5&lt;&gt;""),IF(L715='Historical Score'!$C$5,1,0),0)</f>
        <v/>
      </c>
      <c r="AS715">
        <f>IF(AND(Y715&lt;&gt;"",'Historical Score'!$C$7&lt;&gt;""),IF(Y715='Historical Score'!$C$7,1,0),0)</f>
        <v/>
      </c>
      <c r="AT715">
        <f>IF(AND(K715&lt;&gt;"",'Historical Score'!$C$8&lt;&gt;""),IF(K715='Historical Score'!$C$8,1,0),0)</f>
        <v/>
      </c>
      <c r="AU715">
        <f>IF(AND(J715&lt;&gt;"",'Historical Score'!$C$9&lt;&gt;""),IF(J715='Historical Score'!$C$9,1,0),0)</f>
        <v/>
      </c>
      <c r="AV715">
        <f>AR715*AS715*AQ715</f>
        <v/>
      </c>
      <c r="AW715">
        <f>AR715*AT715*AQ715</f>
        <v/>
      </c>
      <c r="AX715">
        <f>AR715*AS715</f>
        <v/>
      </c>
      <c r="AY715">
        <f>AR715*AT715</f>
        <v/>
      </c>
      <c r="AZ715">
        <f>AR715*AQ715</f>
        <v/>
      </c>
      <c r="BA715">
        <f>AR715</f>
        <v/>
      </c>
      <c r="BB715">
        <f>1</f>
        <v/>
      </c>
      <c r="BC715">
        <f>IF(AV715=1,1,IF(AW715=1,2,IF(AX715=1,3,IF(AY715=1,4,IF(AZ715=1,5,IF(BA715=1,6,7))))))</f>
        <v/>
      </c>
      <c r="BD715">
        <f>IF(AD715=1,CHOOSE('Historical Score'!$C$29,AV715,AW715,AX715,AY715,AZ715,BA715,BB715),0)</f>
        <v/>
      </c>
      <c r="BE715">
        <f>IF(BD715=1,COUNTIF($BD$2:BD715,1),"")</f>
        <v/>
      </c>
    </row>
    <row r="716">
      <c r="A716" t="inlineStr">
        <is>
          <t>5674180214</t>
        </is>
      </c>
      <c r="B716" t="inlineStr">
        <is>
          <t>KABOB VILLAGE</t>
        </is>
      </c>
      <c r="C716" t="inlineStr">
        <is>
          <t>KABOB VILLAGE VIP CALABASAS</t>
        </is>
      </c>
      <c r="D716" t="inlineStr">
        <is>
          <t>Open</t>
        </is>
      </c>
      <c r="E716" s="297" t="n">
        <v>46097</v>
      </c>
      <c r="F716" s="297" t="n">
        <v>46248</v>
      </c>
      <c r="G716" t="n">
        <v>3</v>
      </c>
      <c r="H716" t="inlineStr">
        <is>
          <t>5812</t>
        </is>
      </c>
      <c r="I716" t="inlineStr">
        <is>
          <t>58</t>
        </is>
      </c>
      <c r="J716" t="inlineStr">
        <is>
          <t>CA</t>
        </is>
      </c>
      <c r="K716" t="inlineStr">
        <is>
          <t>lexington capital holdings</t>
        </is>
      </c>
      <c r="L716" t="inlineStr">
        <is>
          <t>New Deal</t>
        </is>
      </c>
      <c r="M716" s="298" t="n">
        <v>1.49</v>
      </c>
      <c r="N716" s="299" t="n">
        <v>20000</v>
      </c>
      <c r="O716" s="299" t="n">
        <v>2800</v>
      </c>
      <c r="P716" s="299" t="n">
        <v>29800</v>
      </c>
      <c r="Q716" s="299" t="n">
        <v>17634.27</v>
      </c>
      <c r="R716" s="299" t="n">
        <v>12165.73</v>
      </c>
      <c r="S716" s="300" t="n">
        <v>0.591754026845638</v>
      </c>
      <c r="T716" t="n">
        <v>3.934</v>
      </c>
      <c r="U716" t="n">
        <v>20</v>
      </c>
      <c r="V716" t="n">
        <v>80989.14</v>
      </c>
      <c r="W716" s="300" t="n">
        <v>0.0644</v>
      </c>
      <c r="X716" s="297" t="n">
        <v>45519</v>
      </c>
      <c r="Y716">
        <f>IF(I716="","No SIC",IFERROR(VLOOKUP(I716,Ref!$A$2:$B$65,2,FALSE),"Unclassified"))</f>
        <v/>
      </c>
      <c r="Z716">
        <f>IF(T716="","",IF(T716&lt;12,"Daily","Weekly"))</f>
        <v/>
      </c>
      <c r="AA716">
        <f>IF(T716="",0,IF(T716&lt;12,T716*Controls!$B$29,T716*5))</f>
        <v/>
      </c>
      <c r="AB716">
        <f>IF(E716="",0,NETWORKDAYS(E716,Controls!$B$36,Ref!$K$2:$K$42))</f>
        <v/>
      </c>
      <c r="AC716">
        <f>IF(AND(AA716&gt;0,AB716&gt;=Controls!$B$39*AA716),1,0)</f>
        <v/>
      </c>
      <c r="AD716">
        <f>IF(AND(E716&lt;&gt;"",E716&gt;=Controls!$B$37,E716&lt;=Controls!$B$38),1,0)</f>
        <v/>
      </c>
      <c r="AE716">
        <f>IF(IFERROR(VLOOKUP(D716,Controls!$A$64:$E$74,2,FALSE),"No")="Yes",1,0)</f>
        <v/>
      </c>
      <c r="AF716">
        <f>IF(IFERROR(VLOOKUP(D716,Controls!$A$64:$E$74,3,FALSE),"No")="Yes",1,0)</f>
        <v/>
      </c>
      <c r="AG716">
        <f>IF(IFERROR(VLOOKUP(D716,Controls!$A$64:$E$74,4,FALSE),"No")="Yes",1,0)</f>
        <v/>
      </c>
      <c r="AH716">
        <f>IF(IFERROR(VLOOKUP(D716,Controls!$A$64:$E$74,5,FALSE),"No")="Yes",1,0)</f>
        <v/>
      </c>
      <c r="AI716">
        <f>IF(ISNUMBER(MATCH(D716,Controls!$A$64:$A$74,0)),1,0)</f>
        <v/>
      </c>
      <c r="AJ716">
        <f>Q716-N716</f>
        <v/>
      </c>
      <c r="AK716">
        <f>IF(AE716=1,MAX(0,N716-Q716),0)</f>
        <v/>
      </c>
      <c r="AL716">
        <f>IF(OR(V716="",V716=0),0,N716/V716)</f>
        <v/>
      </c>
      <c r="AM716">
        <f>IF(OR(V716="",V716=0),0,1)</f>
        <v/>
      </c>
      <c r="AN716">
        <f>IF(OR(E716="",F716=""),0,NETWORKDAYS(E716,F716,Ref!$K$2:$K$42))</f>
        <v/>
      </c>
      <c r="AO716">
        <f>IF(L716="Renewal",1,0)</f>
        <v/>
      </c>
      <c r="AP716">
        <f>AC716*AD716</f>
        <v/>
      </c>
      <c r="AQ716">
        <f>IF(AND(G716&lt;&gt;"",'Historical Score'!$C$6&lt;&gt;""),IF(G716='Historical Score'!$C$6,1,0),0)</f>
        <v/>
      </c>
      <c r="AR716">
        <f>IF(AND(L716&lt;&gt;"",'Historical Score'!$C$5&lt;&gt;""),IF(L716='Historical Score'!$C$5,1,0),0)</f>
        <v/>
      </c>
      <c r="AS716">
        <f>IF(AND(Y716&lt;&gt;"",'Historical Score'!$C$7&lt;&gt;""),IF(Y716='Historical Score'!$C$7,1,0),0)</f>
        <v/>
      </c>
      <c r="AT716">
        <f>IF(AND(K716&lt;&gt;"",'Historical Score'!$C$8&lt;&gt;""),IF(K716='Historical Score'!$C$8,1,0),0)</f>
        <v/>
      </c>
      <c r="AU716">
        <f>IF(AND(J716&lt;&gt;"",'Historical Score'!$C$9&lt;&gt;""),IF(J716='Historical Score'!$C$9,1,0),0)</f>
        <v/>
      </c>
      <c r="AV716">
        <f>AR716*AS716*AQ716</f>
        <v/>
      </c>
      <c r="AW716">
        <f>AR716*AT716*AQ716</f>
        <v/>
      </c>
      <c r="AX716">
        <f>AR716*AS716</f>
        <v/>
      </c>
      <c r="AY716">
        <f>AR716*AT716</f>
        <v/>
      </c>
      <c r="AZ716">
        <f>AR716*AQ716</f>
        <v/>
      </c>
      <c r="BA716">
        <f>AR716</f>
        <v/>
      </c>
      <c r="BB716">
        <f>1</f>
        <v/>
      </c>
      <c r="BC716">
        <f>IF(AV716=1,1,IF(AW716=1,2,IF(AX716=1,3,IF(AY716=1,4,IF(AZ716=1,5,IF(BA716=1,6,7))))))</f>
        <v/>
      </c>
      <c r="BD716">
        <f>IF(AD716=1,CHOOSE('Historical Score'!$C$29,AV716,AW716,AX716,AY716,AZ716,BA716,BB716),0)</f>
        <v/>
      </c>
      <c r="BE716">
        <f>IF(BD716=1,COUNTIF($BD$2:BD716,1),"")</f>
        <v/>
      </c>
    </row>
    <row r="717">
      <c r="A717" t="inlineStr">
        <is>
          <t>5674180232</t>
        </is>
      </c>
      <c r="B717" t="inlineStr">
        <is>
          <t>NOR CAL CONCRETE CUTTING INC.</t>
        </is>
      </c>
      <c r="C717" t="inlineStr">
        <is>
          <t>NOR CAL CONCRETE CUTTING INC.</t>
        </is>
      </c>
      <c r="D717" t="inlineStr">
        <is>
          <t>Open</t>
        </is>
      </c>
      <c r="E717" s="297" t="n">
        <v>46097</v>
      </c>
      <c r="F717" s="297" t="n">
        <v>46248</v>
      </c>
      <c r="G717" t="n">
        <v>3</v>
      </c>
      <c r="H717" t="inlineStr">
        <is>
          <t>1521</t>
        </is>
      </c>
      <c r="I717" t="inlineStr">
        <is>
          <t>15</t>
        </is>
      </c>
      <c r="J717" t="inlineStr">
        <is>
          <t>CA</t>
        </is>
      </c>
      <c r="K717" t="inlineStr">
        <is>
          <t>NS PRO INC.</t>
        </is>
      </c>
      <c r="L717" t="inlineStr">
        <is>
          <t>New Deal</t>
        </is>
      </c>
      <c r="M717" s="298" t="n">
        <v>1.49</v>
      </c>
      <c r="N717" s="299" t="n">
        <v>15000</v>
      </c>
      <c r="O717" s="299" t="n">
        <v>2100</v>
      </c>
      <c r="P717" s="299" t="n">
        <v>22350</v>
      </c>
      <c r="Q717" s="299" t="n">
        <v>9451.09</v>
      </c>
      <c r="R717" s="299" t="n">
        <v>12898.91</v>
      </c>
      <c r="S717" s="300" t="n">
        <v>0.422867561521253</v>
      </c>
      <c r="T717" t="n">
        <v>26</v>
      </c>
      <c r="U717" t="n">
        <v>11</v>
      </c>
      <c r="V717" t="n">
        <v>101513.17</v>
      </c>
      <c r="W717" s="300" t="n">
        <v>0.042</v>
      </c>
      <c r="X717" s="297" t="n">
        <v>43936</v>
      </c>
      <c r="Y717">
        <f>IF(I717="","No SIC",IFERROR(VLOOKUP(I717,Ref!$A$2:$B$65,2,FALSE),"Unclassified"))</f>
        <v/>
      </c>
      <c r="Z717">
        <f>IF(T717="","",IF(T717&lt;12,"Daily","Weekly"))</f>
        <v/>
      </c>
      <c r="AA717">
        <f>IF(T717="",0,IF(T717&lt;12,T717*Controls!$B$29,T717*5))</f>
        <v/>
      </c>
      <c r="AB717">
        <f>IF(E717="",0,NETWORKDAYS(E717,Controls!$B$36,Ref!$K$2:$K$42))</f>
        <v/>
      </c>
      <c r="AC717">
        <f>IF(AND(AA717&gt;0,AB717&gt;=Controls!$B$39*AA717),1,0)</f>
        <v/>
      </c>
      <c r="AD717">
        <f>IF(AND(E717&lt;&gt;"",E717&gt;=Controls!$B$37,E717&lt;=Controls!$B$38),1,0)</f>
        <v/>
      </c>
      <c r="AE717">
        <f>IF(IFERROR(VLOOKUP(D717,Controls!$A$64:$E$74,2,FALSE),"No")="Yes",1,0)</f>
        <v/>
      </c>
      <c r="AF717">
        <f>IF(IFERROR(VLOOKUP(D717,Controls!$A$64:$E$74,3,FALSE),"No")="Yes",1,0)</f>
        <v/>
      </c>
      <c r="AG717">
        <f>IF(IFERROR(VLOOKUP(D717,Controls!$A$64:$E$74,4,FALSE),"No")="Yes",1,0)</f>
        <v/>
      </c>
      <c r="AH717">
        <f>IF(IFERROR(VLOOKUP(D717,Controls!$A$64:$E$74,5,FALSE),"No")="Yes",1,0)</f>
        <v/>
      </c>
      <c r="AI717">
        <f>IF(ISNUMBER(MATCH(D717,Controls!$A$64:$A$74,0)),1,0)</f>
        <v/>
      </c>
      <c r="AJ717">
        <f>Q717-N717</f>
        <v/>
      </c>
      <c r="AK717">
        <f>IF(AE717=1,MAX(0,N717-Q717),0)</f>
        <v/>
      </c>
      <c r="AL717">
        <f>IF(OR(V717="",V717=0),0,N717/V717)</f>
        <v/>
      </c>
      <c r="AM717">
        <f>IF(OR(V717="",V717=0),0,1)</f>
        <v/>
      </c>
      <c r="AN717">
        <f>IF(OR(E717="",F717=""),0,NETWORKDAYS(E717,F717,Ref!$K$2:$K$42))</f>
        <v/>
      </c>
      <c r="AO717">
        <f>IF(L717="Renewal",1,0)</f>
        <v/>
      </c>
      <c r="AP717">
        <f>AC717*AD717</f>
        <v/>
      </c>
      <c r="AQ717">
        <f>IF(AND(G717&lt;&gt;"",'Historical Score'!$C$6&lt;&gt;""),IF(G717='Historical Score'!$C$6,1,0),0)</f>
        <v/>
      </c>
      <c r="AR717">
        <f>IF(AND(L717&lt;&gt;"",'Historical Score'!$C$5&lt;&gt;""),IF(L717='Historical Score'!$C$5,1,0),0)</f>
        <v/>
      </c>
      <c r="AS717">
        <f>IF(AND(Y717&lt;&gt;"",'Historical Score'!$C$7&lt;&gt;""),IF(Y717='Historical Score'!$C$7,1,0),0)</f>
        <v/>
      </c>
      <c r="AT717">
        <f>IF(AND(K717&lt;&gt;"",'Historical Score'!$C$8&lt;&gt;""),IF(K717='Historical Score'!$C$8,1,0),0)</f>
        <v/>
      </c>
      <c r="AU717">
        <f>IF(AND(J717&lt;&gt;"",'Historical Score'!$C$9&lt;&gt;""),IF(J717='Historical Score'!$C$9,1,0),0)</f>
        <v/>
      </c>
      <c r="AV717">
        <f>AR717*AS717*AQ717</f>
        <v/>
      </c>
      <c r="AW717">
        <f>AR717*AT717*AQ717</f>
        <v/>
      </c>
      <c r="AX717">
        <f>AR717*AS717</f>
        <v/>
      </c>
      <c r="AY717">
        <f>AR717*AT717</f>
        <v/>
      </c>
      <c r="AZ717">
        <f>AR717*AQ717</f>
        <v/>
      </c>
      <c r="BA717">
        <f>AR717</f>
        <v/>
      </c>
      <c r="BB717">
        <f>1</f>
        <v/>
      </c>
      <c r="BC717">
        <f>IF(AV717=1,1,IF(AW717=1,2,IF(AX717=1,3,IF(AY717=1,4,IF(AZ717=1,5,IF(BA717=1,6,7))))))</f>
        <v/>
      </c>
      <c r="BD717">
        <f>IF(AD717=1,CHOOSE('Historical Score'!$C$29,AV717,AW717,AX717,AY717,AZ717,BA717,BB717),0)</f>
        <v/>
      </c>
      <c r="BE717">
        <f>IF(BD717=1,COUNTIF($BD$2:BD717,1),"")</f>
        <v/>
      </c>
    </row>
    <row r="718">
      <c r="A718" t="inlineStr">
        <is>
          <t>5674180282</t>
        </is>
      </c>
      <c r="B718" t="inlineStr">
        <is>
          <t>Resurge Insurance Marketing, Inc.</t>
        </is>
      </c>
      <c r="C718" t="inlineStr">
        <is>
          <t>Resurge Insurance Marketing, Inc.</t>
        </is>
      </c>
      <c r="D718" t="inlineStr">
        <is>
          <t>Closed</t>
        </is>
      </c>
      <c r="E718" s="297" t="n">
        <v>46098</v>
      </c>
      <c r="F718" s="297" t="n">
        <v>46177</v>
      </c>
      <c r="G718" t="n">
        <v>3</v>
      </c>
      <c r="H718" t="inlineStr">
        <is>
          <t>6411</t>
        </is>
      </c>
      <c r="I718" t="inlineStr">
        <is>
          <t>64</t>
        </is>
      </c>
      <c r="J718" t="inlineStr">
        <is>
          <t>CT</t>
        </is>
      </c>
      <c r="K718" t="inlineStr">
        <is>
          <t>Vanguard Equities</t>
        </is>
      </c>
      <c r="L718" t="inlineStr">
        <is>
          <t>New Deal</t>
        </is>
      </c>
      <c r="M718" s="298" t="n">
        <v>1.42</v>
      </c>
      <c r="N718" s="299" t="n">
        <v>25000</v>
      </c>
      <c r="O718" s="299" t="n">
        <v>2625</v>
      </c>
      <c r="P718" s="299" t="n">
        <v>35500</v>
      </c>
      <c r="Q718" s="299" t="n">
        <v>35500</v>
      </c>
      <c r="R718" s="299" t="n">
        <v>0</v>
      </c>
      <c r="S718" s="300" t="n">
        <v>1</v>
      </c>
      <c r="T718" t="n">
        <v>18</v>
      </c>
      <c r="U718" t="n">
        <v>0</v>
      </c>
      <c r="V718" t="n">
        <v>48422.85</v>
      </c>
      <c r="W718" s="300" t="n">
        <v>0.1629</v>
      </c>
      <c r="X718" s="297" t="n">
        <v>45405</v>
      </c>
      <c r="Y718">
        <f>IF(I718="","No SIC",IFERROR(VLOOKUP(I718,Ref!$A$2:$B$65,2,FALSE),"Unclassified"))</f>
        <v/>
      </c>
      <c r="Z718">
        <f>IF(T718="","",IF(T718&lt;12,"Daily","Weekly"))</f>
        <v/>
      </c>
      <c r="AA718">
        <f>IF(T718="",0,IF(T718&lt;12,T718*Controls!$B$29,T718*5))</f>
        <v/>
      </c>
      <c r="AB718">
        <f>IF(E718="",0,NETWORKDAYS(E718,Controls!$B$36,Ref!$K$2:$K$42))</f>
        <v/>
      </c>
      <c r="AC718">
        <f>IF(AND(AA718&gt;0,AB718&gt;=Controls!$B$39*AA718),1,0)</f>
        <v/>
      </c>
      <c r="AD718">
        <f>IF(AND(E718&lt;&gt;"",E718&gt;=Controls!$B$37,E718&lt;=Controls!$B$38),1,0)</f>
        <v/>
      </c>
      <c r="AE718">
        <f>IF(IFERROR(VLOOKUP(D718,Controls!$A$64:$E$74,2,FALSE),"No")="Yes",1,0)</f>
        <v/>
      </c>
      <c r="AF718">
        <f>IF(IFERROR(VLOOKUP(D718,Controls!$A$64:$E$74,3,FALSE),"No")="Yes",1,0)</f>
        <v/>
      </c>
      <c r="AG718">
        <f>IF(IFERROR(VLOOKUP(D718,Controls!$A$64:$E$74,4,FALSE),"No")="Yes",1,0)</f>
        <v/>
      </c>
      <c r="AH718">
        <f>IF(IFERROR(VLOOKUP(D718,Controls!$A$64:$E$74,5,FALSE),"No")="Yes",1,0)</f>
        <v/>
      </c>
      <c r="AI718">
        <f>IF(ISNUMBER(MATCH(D718,Controls!$A$64:$A$74,0)),1,0)</f>
        <v/>
      </c>
      <c r="AJ718">
        <f>Q718-N718</f>
        <v/>
      </c>
      <c r="AK718">
        <f>IF(AE718=1,MAX(0,N718-Q718),0)</f>
        <v/>
      </c>
      <c r="AL718">
        <f>IF(OR(V718="",V718=0),0,N718/V718)</f>
        <v/>
      </c>
      <c r="AM718">
        <f>IF(OR(V718="",V718=0),0,1)</f>
        <v/>
      </c>
      <c r="AN718">
        <f>IF(OR(E718="",F718=""),0,NETWORKDAYS(E718,F718,Ref!$K$2:$K$42))</f>
        <v/>
      </c>
      <c r="AO718">
        <f>IF(L718="Renewal",1,0)</f>
        <v/>
      </c>
      <c r="AP718">
        <f>AC718*AD718</f>
        <v/>
      </c>
      <c r="AQ718">
        <f>IF(AND(G718&lt;&gt;"",'Historical Score'!$C$6&lt;&gt;""),IF(G718='Historical Score'!$C$6,1,0),0)</f>
        <v/>
      </c>
      <c r="AR718">
        <f>IF(AND(L718&lt;&gt;"",'Historical Score'!$C$5&lt;&gt;""),IF(L718='Historical Score'!$C$5,1,0),0)</f>
        <v/>
      </c>
      <c r="AS718">
        <f>IF(AND(Y718&lt;&gt;"",'Historical Score'!$C$7&lt;&gt;""),IF(Y718='Historical Score'!$C$7,1,0),0)</f>
        <v/>
      </c>
      <c r="AT718">
        <f>IF(AND(K718&lt;&gt;"",'Historical Score'!$C$8&lt;&gt;""),IF(K718='Historical Score'!$C$8,1,0),0)</f>
        <v/>
      </c>
      <c r="AU718">
        <f>IF(AND(J718&lt;&gt;"",'Historical Score'!$C$9&lt;&gt;""),IF(J718='Historical Score'!$C$9,1,0),0)</f>
        <v/>
      </c>
      <c r="AV718">
        <f>AR718*AS718*AQ718</f>
        <v/>
      </c>
      <c r="AW718">
        <f>AR718*AT718*AQ718</f>
        <v/>
      </c>
      <c r="AX718">
        <f>AR718*AS718</f>
        <v/>
      </c>
      <c r="AY718">
        <f>AR718*AT718</f>
        <v/>
      </c>
      <c r="AZ718">
        <f>AR718*AQ718</f>
        <v/>
      </c>
      <c r="BA718">
        <f>AR718</f>
        <v/>
      </c>
      <c r="BB718">
        <f>1</f>
        <v/>
      </c>
      <c r="BC718">
        <f>IF(AV718=1,1,IF(AW718=1,2,IF(AX718=1,3,IF(AY718=1,4,IF(AZ718=1,5,IF(BA718=1,6,7))))))</f>
        <v/>
      </c>
      <c r="BD718">
        <f>IF(AD718=1,CHOOSE('Historical Score'!$C$29,AV718,AW718,AX718,AY718,AZ718,BA718,BB718),0)</f>
        <v/>
      </c>
      <c r="BE718">
        <f>IF(BD718=1,COUNTIF($BD$2:BD718,1),"")</f>
        <v/>
      </c>
    </row>
    <row r="719">
      <c r="A719" t="inlineStr">
        <is>
          <t>5674180316</t>
        </is>
      </c>
      <c r="B719" t="inlineStr">
        <is>
          <t>TK AUTOMOTIVE LOGISTICS SOLUTIONS DBA MARIO DOMINGUEZ SOLE MBR</t>
        </is>
      </c>
      <c r="C719" t="inlineStr">
        <is>
          <t>TK AUTOMOTIVE LOGISTICS SOLUTIONS LLC</t>
        </is>
      </c>
      <c r="D719" t="inlineStr">
        <is>
          <t>Closed</t>
        </is>
      </c>
      <c r="E719" s="297" t="n">
        <v>46098</v>
      </c>
      <c r="F719" s="297" t="n">
        <v>46168</v>
      </c>
      <c r="G719" t="n">
        <v>4</v>
      </c>
      <c r="H719" t="inlineStr">
        <is>
          <t>5012</t>
        </is>
      </c>
      <c r="I719" t="inlineStr">
        <is>
          <t>50</t>
        </is>
      </c>
      <c r="J719" t="inlineStr">
        <is>
          <t>TX</t>
        </is>
      </c>
      <c r="K719" t="inlineStr">
        <is>
          <t>United Secured Capital 8</t>
        </is>
      </c>
      <c r="L719" t="inlineStr">
        <is>
          <t>New Deal</t>
        </is>
      </c>
      <c r="M719" s="298" t="n">
        <v>1.39</v>
      </c>
      <c r="N719" s="299" t="n">
        <v>50000</v>
      </c>
      <c r="O719" s="299" t="n">
        <v>4500</v>
      </c>
      <c r="P719" s="299" t="n">
        <v>69500</v>
      </c>
      <c r="Q719" s="299" t="n">
        <v>69500</v>
      </c>
      <c r="R719" s="299" t="n">
        <v>0</v>
      </c>
      <c r="S719" s="300" t="n">
        <v>1</v>
      </c>
      <c r="T719" t="n">
        <v>2.721</v>
      </c>
      <c r="U719" t="n">
        <v>0</v>
      </c>
      <c r="V719" t="n">
        <v>950775.36</v>
      </c>
      <c r="W719" s="300" t="n">
        <v>0.019</v>
      </c>
      <c r="X719" s="297" t="n">
        <v>41277</v>
      </c>
      <c r="Y719">
        <f>IF(I719="","No SIC",IFERROR(VLOOKUP(I719,Ref!$A$2:$B$65,2,FALSE),"Unclassified"))</f>
        <v/>
      </c>
      <c r="Z719">
        <f>IF(T719="","",IF(T719&lt;12,"Daily","Weekly"))</f>
        <v/>
      </c>
      <c r="AA719">
        <f>IF(T719="",0,IF(T719&lt;12,T719*Controls!$B$29,T719*5))</f>
        <v/>
      </c>
      <c r="AB719">
        <f>IF(E719="",0,NETWORKDAYS(E719,Controls!$B$36,Ref!$K$2:$K$42))</f>
        <v/>
      </c>
      <c r="AC719">
        <f>IF(AND(AA719&gt;0,AB719&gt;=Controls!$B$39*AA719),1,0)</f>
        <v/>
      </c>
      <c r="AD719">
        <f>IF(AND(E719&lt;&gt;"",E719&gt;=Controls!$B$37,E719&lt;=Controls!$B$38),1,0)</f>
        <v/>
      </c>
      <c r="AE719">
        <f>IF(IFERROR(VLOOKUP(D719,Controls!$A$64:$E$74,2,FALSE),"No")="Yes",1,0)</f>
        <v/>
      </c>
      <c r="AF719">
        <f>IF(IFERROR(VLOOKUP(D719,Controls!$A$64:$E$74,3,FALSE),"No")="Yes",1,0)</f>
        <v/>
      </c>
      <c r="AG719">
        <f>IF(IFERROR(VLOOKUP(D719,Controls!$A$64:$E$74,4,FALSE),"No")="Yes",1,0)</f>
        <v/>
      </c>
      <c r="AH719">
        <f>IF(IFERROR(VLOOKUP(D719,Controls!$A$64:$E$74,5,FALSE),"No")="Yes",1,0)</f>
        <v/>
      </c>
      <c r="AI719">
        <f>IF(ISNUMBER(MATCH(D719,Controls!$A$64:$A$74,0)),1,0)</f>
        <v/>
      </c>
      <c r="AJ719">
        <f>Q719-N719</f>
        <v/>
      </c>
      <c r="AK719">
        <f>IF(AE719=1,MAX(0,N719-Q719),0)</f>
        <v/>
      </c>
      <c r="AL719">
        <f>IF(OR(V719="",V719=0),0,N719/V719)</f>
        <v/>
      </c>
      <c r="AM719">
        <f>IF(OR(V719="",V719=0),0,1)</f>
        <v/>
      </c>
      <c r="AN719">
        <f>IF(OR(E719="",F719=""),0,NETWORKDAYS(E719,F719,Ref!$K$2:$K$42))</f>
        <v/>
      </c>
      <c r="AO719">
        <f>IF(L719="Renewal",1,0)</f>
        <v/>
      </c>
      <c r="AP719">
        <f>AC719*AD719</f>
        <v/>
      </c>
      <c r="AQ719">
        <f>IF(AND(G719&lt;&gt;"",'Historical Score'!$C$6&lt;&gt;""),IF(G719='Historical Score'!$C$6,1,0),0)</f>
        <v/>
      </c>
      <c r="AR719">
        <f>IF(AND(L719&lt;&gt;"",'Historical Score'!$C$5&lt;&gt;""),IF(L719='Historical Score'!$C$5,1,0),0)</f>
        <v/>
      </c>
      <c r="AS719">
        <f>IF(AND(Y719&lt;&gt;"",'Historical Score'!$C$7&lt;&gt;""),IF(Y719='Historical Score'!$C$7,1,0),0)</f>
        <v/>
      </c>
      <c r="AT719">
        <f>IF(AND(K719&lt;&gt;"",'Historical Score'!$C$8&lt;&gt;""),IF(K719='Historical Score'!$C$8,1,0),0)</f>
        <v/>
      </c>
      <c r="AU719">
        <f>IF(AND(J719&lt;&gt;"",'Historical Score'!$C$9&lt;&gt;""),IF(J719='Historical Score'!$C$9,1,0),0)</f>
        <v/>
      </c>
      <c r="AV719">
        <f>AR719*AS719*AQ719</f>
        <v/>
      </c>
      <c r="AW719">
        <f>AR719*AT719*AQ719</f>
        <v/>
      </c>
      <c r="AX719">
        <f>AR719*AS719</f>
        <v/>
      </c>
      <c r="AY719">
        <f>AR719*AT719</f>
        <v/>
      </c>
      <c r="AZ719">
        <f>AR719*AQ719</f>
        <v/>
      </c>
      <c r="BA719">
        <f>AR719</f>
        <v/>
      </c>
      <c r="BB719">
        <f>1</f>
        <v/>
      </c>
      <c r="BC719">
        <f>IF(AV719=1,1,IF(AW719=1,2,IF(AX719=1,3,IF(AY719=1,4,IF(AZ719=1,5,IF(BA719=1,6,7))))))</f>
        <v/>
      </c>
      <c r="BD719">
        <f>IF(AD719=1,CHOOSE('Historical Score'!$C$29,AV719,AW719,AX719,AY719,AZ719,BA719,BB719),0)</f>
        <v/>
      </c>
      <c r="BE719">
        <f>IF(BD719=1,COUNTIF($BD$2:BD719,1),"")</f>
        <v/>
      </c>
    </row>
    <row r="720">
      <c r="A720" t="inlineStr">
        <is>
          <t>5674180336</t>
        </is>
      </c>
      <c r="B720" t="inlineStr">
        <is>
          <t>B.M. Construction Services llc</t>
        </is>
      </c>
      <c r="C720" t="inlineStr">
        <is>
          <t>B.M. Construction Services llc</t>
        </is>
      </c>
      <c r="D720" t="inlineStr">
        <is>
          <t>Open</t>
        </is>
      </c>
      <c r="E720" s="297" t="n">
        <v>46099</v>
      </c>
      <c r="F720" s="297" t="n">
        <v>46248</v>
      </c>
      <c r="G720" t="n">
        <v>3</v>
      </c>
      <c r="H720" t="inlineStr">
        <is>
          <t>1521</t>
        </is>
      </c>
      <c r="I720" t="inlineStr">
        <is>
          <t>15</t>
        </is>
      </c>
      <c r="J720" t="inlineStr">
        <is>
          <t>TX</t>
        </is>
      </c>
      <c r="K720" t="inlineStr">
        <is>
          <t>The Funding Channel</t>
        </is>
      </c>
      <c r="L720" t="inlineStr">
        <is>
          <t>New Deal</t>
        </is>
      </c>
      <c r="M720" s="298" t="n">
        <v>1.49</v>
      </c>
      <c r="N720" s="299" t="n">
        <v>30000</v>
      </c>
      <c r="O720" s="299" t="n">
        <v>4200</v>
      </c>
      <c r="P720" s="299" t="n">
        <v>44700</v>
      </c>
      <c r="Q720" s="299" t="n">
        <v>29790.4</v>
      </c>
      <c r="R720" s="299" t="n">
        <v>14909.6</v>
      </c>
      <c r="S720" s="300" t="n">
        <v>0.666451901565996</v>
      </c>
      <c r="T720" t="n">
        <v>30</v>
      </c>
      <c r="U720" t="n">
        <v>3</v>
      </c>
      <c r="V720" t="n">
        <v>130659.57</v>
      </c>
      <c r="W720" s="300" t="n">
        <v>0.0456</v>
      </c>
      <c r="X720" s="297" t="n">
        <v>44197</v>
      </c>
      <c r="Y720">
        <f>IF(I720="","No SIC",IFERROR(VLOOKUP(I720,Ref!$A$2:$B$65,2,FALSE),"Unclassified"))</f>
        <v/>
      </c>
      <c r="Z720">
        <f>IF(T720="","",IF(T720&lt;12,"Daily","Weekly"))</f>
        <v/>
      </c>
      <c r="AA720">
        <f>IF(T720="",0,IF(T720&lt;12,T720*Controls!$B$29,T720*5))</f>
        <v/>
      </c>
      <c r="AB720">
        <f>IF(E720="",0,NETWORKDAYS(E720,Controls!$B$36,Ref!$K$2:$K$42))</f>
        <v/>
      </c>
      <c r="AC720">
        <f>IF(AND(AA720&gt;0,AB720&gt;=Controls!$B$39*AA720),1,0)</f>
        <v/>
      </c>
      <c r="AD720">
        <f>IF(AND(E720&lt;&gt;"",E720&gt;=Controls!$B$37,E720&lt;=Controls!$B$38),1,0)</f>
        <v/>
      </c>
      <c r="AE720">
        <f>IF(IFERROR(VLOOKUP(D720,Controls!$A$64:$E$74,2,FALSE),"No")="Yes",1,0)</f>
        <v/>
      </c>
      <c r="AF720">
        <f>IF(IFERROR(VLOOKUP(D720,Controls!$A$64:$E$74,3,FALSE),"No")="Yes",1,0)</f>
        <v/>
      </c>
      <c r="AG720">
        <f>IF(IFERROR(VLOOKUP(D720,Controls!$A$64:$E$74,4,FALSE),"No")="Yes",1,0)</f>
        <v/>
      </c>
      <c r="AH720">
        <f>IF(IFERROR(VLOOKUP(D720,Controls!$A$64:$E$74,5,FALSE),"No")="Yes",1,0)</f>
        <v/>
      </c>
      <c r="AI720">
        <f>IF(ISNUMBER(MATCH(D720,Controls!$A$64:$A$74,0)),1,0)</f>
        <v/>
      </c>
      <c r="AJ720">
        <f>Q720-N720</f>
        <v/>
      </c>
      <c r="AK720">
        <f>IF(AE720=1,MAX(0,N720-Q720),0)</f>
        <v/>
      </c>
      <c r="AL720">
        <f>IF(OR(V720="",V720=0),0,N720/V720)</f>
        <v/>
      </c>
      <c r="AM720">
        <f>IF(OR(V720="",V720=0),0,1)</f>
        <v/>
      </c>
      <c r="AN720">
        <f>IF(OR(E720="",F720=""),0,NETWORKDAYS(E720,F720,Ref!$K$2:$K$42))</f>
        <v/>
      </c>
      <c r="AO720">
        <f>IF(L720="Renewal",1,0)</f>
        <v/>
      </c>
      <c r="AP720">
        <f>AC720*AD720</f>
        <v/>
      </c>
      <c r="AQ720">
        <f>IF(AND(G720&lt;&gt;"",'Historical Score'!$C$6&lt;&gt;""),IF(G720='Historical Score'!$C$6,1,0),0)</f>
        <v/>
      </c>
      <c r="AR720">
        <f>IF(AND(L720&lt;&gt;"",'Historical Score'!$C$5&lt;&gt;""),IF(L720='Historical Score'!$C$5,1,0),0)</f>
        <v/>
      </c>
      <c r="AS720">
        <f>IF(AND(Y720&lt;&gt;"",'Historical Score'!$C$7&lt;&gt;""),IF(Y720='Historical Score'!$C$7,1,0),0)</f>
        <v/>
      </c>
      <c r="AT720">
        <f>IF(AND(K720&lt;&gt;"",'Historical Score'!$C$8&lt;&gt;""),IF(K720='Historical Score'!$C$8,1,0),0)</f>
        <v/>
      </c>
      <c r="AU720">
        <f>IF(AND(J720&lt;&gt;"",'Historical Score'!$C$9&lt;&gt;""),IF(J720='Historical Score'!$C$9,1,0),0)</f>
        <v/>
      </c>
      <c r="AV720">
        <f>AR720*AS720*AQ720</f>
        <v/>
      </c>
      <c r="AW720">
        <f>AR720*AT720*AQ720</f>
        <v/>
      </c>
      <c r="AX720">
        <f>AR720*AS720</f>
        <v/>
      </c>
      <c r="AY720">
        <f>AR720*AT720</f>
        <v/>
      </c>
      <c r="AZ720">
        <f>AR720*AQ720</f>
        <v/>
      </c>
      <c r="BA720">
        <f>AR720</f>
        <v/>
      </c>
      <c r="BB720">
        <f>1</f>
        <v/>
      </c>
      <c r="BC720">
        <f>IF(AV720=1,1,IF(AW720=1,2,IF(AX720=1,3,IF(AY720=1,4,IF(AZ720=1,5,IF(BA720=1,6,7))))))</f>
        <v/>
      </c>
      <c r="BD720">
        <f>IF(AD720=1,CHOOSE('Historical Score'!$C$29,AV720,AW720,AX720,AY720,AZ720,BA720,BB720),0)</f>
        <v/>
      </c>
      <c r="BE720">
        <f>IF(BD720=1,COUNTIF($BD$2:BD720,1),"")</f>
        <v/>
      </c>
    </row>
    <row r="721">
      <c r="A721" t="inlineStr">
        <is>
          <t>5674180350</t>
        </is>
      </c>
      <c r="B721" t="inlineStr">
        <is>
          <t>Tack Car Rentals LLC</t>
        </is>
      </c>
      <c r="C721" t="inlineStr">
        <is>
          <t>Tack Car Rentals LLC</t>
        </is>
      </c>
      <c r="D721" t="inlineStr">
        <is>
          <t>Legal</t>
        </is>
      </c>
      <c r="E721" s="297" t="n">
        <v>46099</v>
      </c>
      <c r="F721" s="297" t="n">
        <v>46129</v>
      </c>
      <c r="G721" t="n">
        <v>3</v>
      </c>
      <c r="H721" t="inlineStr">
        <is>
          <t>7514</t>
        </is>
      </c>
      <c r="I721" t="inlineStr">
        <is>
          <t>75</t>
        </is>
      </c>
      <c r="J721" t="inlineStr">
        <is>
          <t>CA</t>
        </is>
      </c>
      <c r="K721" t="inlineStr">
        <is>
          <t>Milestone Capital Funding Inc</t>
        </is>
      </c>
      <c r="L721" t="inlineStr">
        <is>
          <t>New Deal</t>
        </is>
      </c>
      <c r="M721" s="298" t="n">
        <v>1.49</v>
      </c>
      <c r="N721" s="299" t="n">
        <v>17000</v>
      </c>
      <c r="O721" s="299" t="n">
        <v>0</v>
      </c>
      <c r="P721" s="299" t="n">
        <v>25330</v>
      </c>
      <c r="Q721" s="299" t="n">
        <v>2110.72</v>
      </c>
      <c r="R721" s="299" t="n">
        <v>23219.28</v>
      </c>
      <c r="S721" s="300" t="n">
        <v>0.0833288590604027</v>
      </c>
      <c r="T721" t="n">
        <v>24</v>
      </c>
      <c r="U721" t="n">
        <v>2</v>
      </c>
      <c r="V721" t="n">
        <v>35327.94</v>
      </c>
      <c r="W721" s="300" t="n">
        <v>0.1116</v>
      </c>
      <c r="X721" s="297" t="n">
        <v>45400</v>
      </c>
      <c r="Y721">
        <f>IF(I721="","No SIC",IFERROR(VLOOKUP(I721,Ref!$A$2:$B$65,2,FALSE),"Unclassified"))</f>
        <v/>
      </c>
      <c r="Z721">
        <f>IF(T721="","",IF(T721&lt;12,"Daily","Weekly"))</f>
        <v/>
      </c>
      <c r="AA721">
        <f>IF(T721="",0,IF(T721&lt;12,T721*Controls!$B$29,T721*5))</f>
        <v/>
      </c>
      <c r="AB721">
        <f>IF(E721="",0,NETWORKDAYS(E721,Controls!$B$36,Ref!$K$2:$K$42))</f>
        <v/>
      </c>
      <c r="AC721">
        <f>IF(AND(AA721&gt;0,AB721&gt;=Controls!$B$39*AA721),1,0)</f>
        <v/>
      </c>
      <c r="AD721">
        <f>IF(AND(E721&lt;&gt;"",E721&gt;=Controls!$B$37,E721&lt;=Controls!$B$38),1,0)</f>
        <v/>
      </c>
      <c r="AE721">
        <f>IF(IFERROR(VLOOKUP(D721,Controls!$A$64:$E$74,2,FALSE),"No")="Yes",1,0)</f>
        <v/>
      </c>
      <c r="AF721">
        <f>IF(IFERROR(VLOOKUP(D721,Controls!$A$64:$E$74,3,FALSE),"No")="Yes",1,0)</f>
        <v/>
      </c>
      <c r="AG721">
        <f>IF(IFERROR(VLOOKUP(D721,Controls!$A$64:$E$74,4,FALSE),"No")="Yes",1,0)</f>
        <v/>
      </c>
      <c r="AH721">
        <f>IF(IFERROR(VLOOKUP(D721,Controls!$A$64:$E$74,5,FALSE),"No")="Yes",1,0)</f>
        <v/>
      </c>
      <c r="AI721">
        <f>IF(ISNUMBER(MATCH(D721,Controls!$A$64:$A$74,0)),1,0)</f>
        <v/>
      </c>
      <c r="AJ721">
        <f>Q721-N721</f>
        <v/>
      </c>
      <c r="AK721">
        <f>IF(AE721=1,MAX(0,N721-Q721),0)</f>
        <v/>
      </c>
      <c r="AL721">
        <f>IF(OR(V721="",V721=0),0,N721/V721)</f>
        <v/>
      </c>
      <c r="AM721">
        <f>IF(OR(V721="",V721=0),0,1)</f>
        <v/>
      </c>
      <c r="AN721">
        <f>IF(OR(E721="",F721=""),0,NETWORKDAYS(E721,F721,Ref!$K$2:$K$42))</f>
        <v/>
      </c>
      <c r="AO721">
        <f>IF(L721="Renewal",1,0)</f>
        <v/>
      </c>
      <c r="AP721">
        <f>AC721*AD721</f>
        <v/>
      </c>
      <c r="AQ721">
        <f>IF(AND(G721&lt;&gt;"",'Historical Score'!$C$6&lt;&gt;""),IF(G721='Historical Score'!$C$6,1,0),0)</f>
        <v/>
      </c>
      <c r="AR721">
        <f>IF(AND(L721&lt;&gt;"",'Historical Score'!$C$5&lt;&gt;""),IF(L721='Historical Score'!$C$5,1,0),0)</f>
        <v/>
      </c>
      <c r="AS721">
        <f>IF(AND(Y721&lt;&gt;"",'Historical Score'!$C$7&lt;&gt;""),IF(Y721='Historical Score'!$C$7,1,0),0)</f>
        <v/>
      </c>
      <c r="AT721">
        <f>IF(AND(K721&lt;&gt;"",'Historical Score'!$C$8&lt;&gt;""),IF(K721='Historical Score'!$C$8,1,0),0)</f>
        <v/>
      </c>
      <c r="AU721">
        <f>IF(AND(J721&lt;&gt;"",'Historical Score'!$C$9&lt;&gt;""),IF(J721='Historical Score'!$C$9,1,0),0)</f>
        <v/>
      </c>
      <c r="AV721">
        <f>AR721*AS721*AQ721</f>
        <v/>
      </c>
      <c r="AW721">
        <f>AR721*AT721*AQ721</f>
        <v/>
      </c>
      <c r="AX721">
        <f>AR721*AS721</f>
        <v/>
      </c>
      <c r="AY721">
        <f>AR721*AT721</f>
        <v/>
      </c>
      <c r="AZ721">
        <f>AR721*AQ721</f>
        <v/>
      </c>
      <c r="BA721">
        <f>AR721</f>
        <v/>
      </c>
      <c r="BB721">
        <f>1</f>
        <v/>
      </c>
      <c r="BC721">
        <f>IF(AV721=1,1,IF(AW721=1,2,IF(AX721=1,3,IF(AY721=1,4,IF(AZ721=1,5,IF(BA721=1,6,7))))))</f>
        <v/>
      </c>
      <c r="BD721">
        <f>IF(AD721=1,CHOOSE('Historical Score'!$C$29,AV721,AW721,AX721,AY721,AZ721,BA721,BB721),0)</f>
        <v/>
      </c>
      <c r="BE721">
        <f>IF(BD721=1,COUNTIF($BD$2:BD721,1),"")</f>
        <v/>
      </c>
    </row>
    <row r="722">
      <c r="A722" t="inlineStr">
        <is>
          <t>5674180390</t>
        </is>
      </c>
      <c r="B722" t="inlineStr">
        <is>
          <t>SHELTON DIAGNOSTICS INC</t>
        </is>
      </c>
      <c r="C722" t="inlineStr">
        <is>
          <t>SHELTON DIAGNOSTICS INC</t>
        </is>
      </c>
      <c r="D722" t="inlineStr">
        <is>
          <t>Legal</t>
        </is>
      </c>
      <c r="E722" s="297" t="n">
        <v>46099</v>
      </c>
      <c r="F722" s="297" t="n">
        <v>46122</v>
      </c>
      <c r="G722" t="n">
        <v>3</v>
      </c>
      <c r="H722" t="inlineStr">
        <is>
          <t>8071</t>
        </is>
      </c>
      <c r="I722" t="inlineStr">
        <is>
          <t>80</t>
        </is>
      </c>
      <c r="J722" t="inlineStr">
        <is>
          <t>MI</t>
        </is>
      </c>
      <c r="K722" t="inlineStr">
        <is>
          <t>Ballicci</t>
        </is>
      </c>
      <c r="L722" t="inlineStr">
        <is>
          <t>New Deal</t>
        </is>
      </c>
      <c r="M722" s="298" t="n">
        <v>1.49</v>
      </c>
      <c r="N722" s="299" t="n">
        <v>35000</v>
      </c>
      <c r="O722" s="299" t="n">
        <v>0</v>
      </c>
      <c r="P722" s="299" t="n">
        <v>52150</v>
      </c>
      <c r="Q722" s="299" t="n">
        <v>2006</v>
      </c>
      <c r="R722" s="299" t="n">
        <v>50144</v>
      </c>
      <c r="S722" s="300" t="n">
        <v>0.0384659635666347</v>
      </c>
      <c r="T722" t="n">
        <v>26</v>
      </c>
      <c r="U722" t="n">
        <v>2</v>
      </c>
      <c r="V722" t="n">
        <v>107844.81</v>
      </c>
      <c r="W722" s="300" t="n">
        <v>0.07439999999999999</v>
      </c>
      <c r="X722" s="297" t="n">
        <v>41380</v>
      </c>
      <c r="Y722">
        <f>IF(I722="","No SIC",IFERROR(VLOOKUP(I722,Ref!$A$2:$B$65,2,FALSE),"Unclassified"))</f>
        <v/>
      </c>
      <c r="Z722">
        <f>IF(T722="","",IF(T722&lt;12,"Daily","Weekly"))</f>
        <v/>
      </c>
      <c r="AA722">
        <f>IF(T722="",0,IF(T722&lt;12,T722*Controls!$B$29,T722*5))</f>
        <v/>
      </c>
      <c r="AB722">
        <f>IF(E722="",0,NETWORKDAYS(E722,Controls!$B$36,Ref!$K$2:$K$42))</f>
        <v/>
      </c>
      <c r="AC722">
        <f>IF(AND(AA722&gt;0,AB722&gt;=Controls!$B$39*AA722),1,0)</f>
        <v/>
      </c>
      <c r="AD722">
        <f>IF(AND(E722&lt;&gt;"",E722&gt;=Controls!$B$37,E722&lt;=Controls!$B$38),1,0)</f>
        <v/>
      </c>
      <c r="AE722">
        <f>IF(IFERROR(VLOOKUP(D722,Controls!$A$64:$E$74,2,FALSE),"No")="Yes",1,0)</f>
        <v/>
      </c>
      <c r="AF722">
        <f>IF(IFERROR(VLOOKUP(D722,Controls!$A$64:$E$74,3,FALSE),"No")="Yes",1,0)</f>
        <v/>
      </c>
      <c r="AG722">
        <f>IF(IFERROR(VLOOKUP(D722,Controls!$A$64:$E$74,4,FALSE),"No")="Yes",1,0)</f>
        <v/>
      </c>
      <c r="AH722">
        <f>IF(IFERROR(VLOOKUP(D722,Controls!$A$64:$E$74,5,FALSE),"No")="Yes",1,0)</f>
        <v/>
      </c>
      <c r="AI722">
        <f>IF(ISNUMBER(MATCH(D722,Controls!$A$64:$A$74,0)),1,0)</f>
        <v/>
      </c>
      <c r="AJ722">
        <f>Q722-N722</f>
        <v/>
      </c>
      <c r="AK722">
        <f>IF(AE722=1,MAX(0,N722-Q722),0)</f>
        <v/>
      </c>
      <c r="AL722">
        <f>IF(OR(V722="",V722=0),0,N722/V722)</f>
        <v/>
      </c>
      <c r="AM722">
        <f>IF(OR(V722="",V722=0),0,1)</f>
        <v/>
      </c>
      <c r="AN722">
        <f>IF(OR(E722="",F722=""),0,NETWORKDAYS(E722,F722,Ref!$K$2:$K$42))</f>
        <v/>
      </c>
      <c r="AO722">
        <f>IF(L722="Renewal",1,0)</f>
        <v/>
      </c>
      <c r="AP722">
        <f>AC722*AD722</f>
        <v/>
      </c>
      <c r="AQ722">
        <f>IF(AND(G722&lt;&gt;"",'Historical Score'!$C$6&lt;&gt;""),IF(G722='Historical Score'!$C$6,1,0),0)</f>
        <v/>
      </c>
      <c r="AR722">
        <f>IF(AND(L722&lt;&gt;"",'Historical Score'!$C$5&lt;&gt;""),IF(L722='Historical Score'!$C$5,1,0),0)</f>
        <v/>
      </c>
      <c r="AS722">
        <f>IF(AND(Y722&lt;&gt;"",'Historical Score'!$C$7&lt;&gt;""),IF(Y722='Historical Score'!$C$7,1,0),0)</f>
        <v/>
      </c>
      <c r="AT722">
        <f>IF(AND(K722&lt;&gt;"",'Historical Score'!$C$8&lt;&gt;""),IF(K722='Historical Score'!$C$8,1,0),0)</f>
        <v/>
      </c>
      <c r="AU722">
        <f>IF(AND(J722&lt;&gt;"",'Historical Score'!$C$9&lt;&gt;""),IF(J722='Historical Score'!$C$9,1,0),0)</f>
        <v/>
      </c>
      <c r="AV722">
        <f>AR722*AS722*AQ722</f>
        <v/>
      </c>
      <c r="AW722">
        <f>AR722*AT722*AQ722</f>
        <v/>
      </c>
      <c r="AX722">
        <f>AR722*AS722</f>
        <v/>
      </c>
      <c r="AY722">
        <f>AR722*AT722</f>
        <v/>
      </c>
      <c r="AZ722">
        <f>AR722*AQ722</f>
        <v/>
      </c>
      <c r="BA722">
        <f>AR722</f>
        <v/>
      </c>
      <c r="BB722">
        <f>1</f>
        <v/>
      </c>
      <c r="BC722">
        <f>IF(AV722=1,1,IF(AW722=1,2,IF(AX722=1,3,IF(AY722=1,4,IF(AZ722=1,5,IF(BA722=1,6,7))))))</f>
        <v/>
      </c>
      <c r="BD722">
        <f>IF(AD722=1,CHOOSE('Historical Score'!$C$29,AV722,AW722,AX722,AY722,AZ722,BA722,BB722),0)</f>
        <v/>
      </c>
      <c r="BE722">
        <f>IF(BD722=1,COUNTIF($BD$2:BD722,1),"")</f>
        <v/>
      </c>
    </row>
    <row r="723">
      <c r="A723" t="inlineStr">
        <is>
          <t>5674180395</t>
        </is>
      </c>
      <c r="B723" t="inlineStr">
        <is>
          <t>Pixels Investments</t>
        </is>
      </c>
      <c r="C723" t="inlineStr">
        <is>
          <t>Pixels Investments</t>
        </is>
      </c>
      <c r="D723" t="inlineStr">
        <is>
          <t>In House Collection</t>
        </is>
      </c>
      <c r="E723" s="297" t="n">
        <v>46099</v>
      </c>
      <c r="F723" s="297" t="n">
        <v>46245</v>
      </c>
      <c r="G723" t="n">
        <v>4</v>
      </c>
      <c r="H723" t="inlineStr">
        <is>
          <t>5999</t>
        </is>
      </c>
      <c r="I723" t="inlineStr">
        <is>
          <t>59</t>
        </is>
      </c>
      <c r="J723" t="inlineStr">
        <is>
          <t>WA</t>
        </is>
      </c>
      <c r="K723" t="inlineStr">
        <is>
          <t>Secure Capital Solutions 7</t>
        </is>
      </c>
      <c r="L723" t="inlineStr">
        <is>
          <t>New Deal</t>
        </is>
      </c>
      <c r="M723" s="298" t="n">
        <v>1.49</v>
      </c>
      <c r="N723" s="299" t="n">
        <v>10000</v>
      </c>
      <c r="O723" s="299" t="n">
        <v>1400</v>
      </c>
      <c r="P723" s="299" t="n">
        <v>14900</v>
      </c>
      <c r="Q723" s="299" t="n">
        <v>3507.4</v>
      </c>
      <c r="R723" s="299" t="n">
        <v>11392.6</v>
      </c>
      <c r="S723" s="300" t="n">
        <v>0.235395973154362</v>
      </c>
      <c r="T723" t="n">
        <v>2.787</v>
      </c>
      <c r="U723" t="n">
        <v>35</v>
      </c>
      <c r="V723" t="n">
        <v>48265.96</v>
      </c>
      <c r="W723" s="300" t="n">
        <v>0.07630000000000001</v>
      </c>
      <c r="X723" s="297" t="n">
        <v>45658</v>
      </c>
      <c r="Y723">
        <f>IF(I723="","No SIC",IFERROR(VLOOKUP(I723,Ref!$A$2:$B$65,2,FALSE),"Unclassified"))</f>
        <v/>
      </c>
      <c r="Z723">
        <f>IF(T723="","",IF(T723&lt;12,"Daily","Weekly"))</f>
        <v/>
      </c>
      <c r="AA723">
        <f>IF(T723="",0,IF(T723&lt;12,T723*Controls!$B$29,T723*5))</f>
        <v/>
      </c>
      <c r="AB723">
        <f>IF(E723="",0,NETWORKDAYS(E723,Controls!$B$36,Ref!$K$2:$K$42))</f>
        <v/>
      </c>
      <c r="AC723">
        <f>IF(AND(AA723&gt;0,AB723&gt;=Controls!$B$39*AA723),1,0)</f>
        <v/>
      </c>
      <c r="AD723">
        <f>IF(AND(E723&lt;&gt;"",E723&gt;=Controls!$B$37,E723&lt;=Controls!$B$38),1,0)</f>
        <v/>
      </c>
      <c r="AE723">
        <f>IF(IFERROR(VLOOKUP(D723,Controls!$A$64:$E$74,2,FALSE),"No")="Yes",1,0)</f>
        <v/>
      </c>
      <c r="AF723">
        <f>IF(IFERROR(VLOOKUP(D723,Controls!$A$64:$E$74,3,FALSE),"No")="Yes",1,0)</f>
        <v/>
      </c>
      <c r="AG723">
        <f>IF(IFERROR(VLOOKUP(D723,Controls!$A$64:$E$74,4,FALSE),"No")="Yes",1,0)</f>
        <v/>
      </c>
      <c r="AH723">
        <f>IF(IFERROR(VLOOKUP(D723,Controls!$A$64:$E$74,5,FALSE),"No")="Yes",1,0)</f>
        <v/>
      </c>
      <c r="AI723">
        <f>IF(ISNUMBER(MATCH(D723,Controls!$A$64:$A$74,0)),1,0)</f>
        <v/>
      </c>
      <c r="AJ723">
        <f>Q723-N723</f>
        <v/>
      </c>
      <c r="AK723">
        <f>IF(AE723=1,MAX(0,N723-Q723),0)</f>
        <v/>
      </c>
      <c r="AL723">
        <f>IF(OR(V723="",V723=0),0,N723/V723)</f>
        <v/>
      </c>
      <c r="AM723">
        <f>IF(OR(V723="",V723=0),0,1)</f>
        <v/>
      </c>
      <c r="AN723">
        <f>IF(OR(E723="",F723=""),0,NETWORKDAYS(E723,F723,Ref!$K$2:$K$42))</f>
        <v/>
      </c>
      <c r="AO723">
        <f>IF(L723="Renewal",1,0)</f>
        <v/>
      </c>
      <c r="AP723">
        <f>AC723*AD723</f>
        <v/>
      </c>
      <c r="AQ723">
        <f>IF(AND(G723&lt;&gt;"",'Historical Score'!$C$6&lt;&gt;""),IF(G723='Historical Score'!$C$6,1,0),0)</f>
        <v/>
      </c>
      <c r="AR723">
        <f>IF(AND(L723&lt;&gt;"",'Historical Score'!$C$5&lt;&gt;""),IF(L723='Historical Score'!$C$5,1,0),0)</f>
        <v/>
      </c>
      <c r="AS723">
        <f>IF(AND(Y723&lt;&gt;"",'Historical Score'!$C$7&lt;&gt;""),IF(Y723='Historical Score'!$C$7,1,0),0)</f>
        <v/>
      </c>
      <c r="AT723">
        <f>IF(AND(K723&lt;&gt;"",'Historical Score'!$C$8&lt;&gt;""),IF(K723='Historical Score'!$C$8,1,0),0)</f>
        <v/>
      </c>
      <c r="AU723">
        <f>IF(AND(J723&lt;&gt;"",'Historical Score'!$C$9&lt;&gt;""),IF(J723='Historical Score'!$C$9,1,0),0)</f>
        <v/>
      </c>
      <c r="AV723">
        <f>AR723*AS723*AQ723</f>
        <v/>
      </c>
      <c r="AW723">
        <f>AR723*AT723*AQ723</f>
        <v/>
      </c>
      <c r="AX723">
        <f>AR723*AS723</f>
        <v/>
      </c>
      <c r="AY723">
        <f>AR723*AT723</f>
        <v/>
      </c>
      <c r="AZ723">
        <f>AR723*AQ723</f>
        <v/>
      </c>
      <c r="BA723">
        <f>AR723</f>
        <v/>
      </c>
      <c r="BB723">
        <f>1</f>
        <v/>
      </c>
      <c r="BC723">
        <f>IF(AV723=1,1,IF(AW723=1,2,IF(AX723=1,3,IF(AY723=1,4,IF(AZ723=1,5,IF(BA723=1,6,7))))))</f>
        <v/>
      </c>
      <c r="BD723">
        <f>IF(AD723=1,CHOOSE('Historical Score'!$C$29,AV723,AW723,AX723,AY723,AZ723,BA723,BB723),0)</f>
        <v/>
      </c>
      <c r="BE723">
        <f>IF(BD723=1,COUNTIF($BD$2:BD723,1),"")</f>
        <v/>
      </c>
    </row>
    <row r="724">
      <c r="A724" t="inlineStr">
        <is>
          <t>5674180417</t>
        </is>
      </c>
      <c r="B724" t="inlineStr">
        <is>
          <t>Artkuisine LLC</t>
        </is>
      </c>
      <c r="C724" t="inlineStr">
        <is>
          <t>Artkuisine LLC</t>
        </is>
      </c>
      <c r="D724" t="inlineStr">
        <is>
          <t>Open</t>
        </is>
      </c>
      <c r="E724" s="297" t="n">
        <v>46100</v>
      </c>
      <c r="F724" s="297" t="n">
        <v>46248</v>
      </c>
      <c r="G724" t="n">
        <v>3</v>
      </c>
      <c r="H724" t="inlineStr">
        <is>
          <t>5812</t>
        </is>
      </c>
      <c r="I724" t="inlineStr">
        <is>
          <t>58</t>
        </is>
      </c>
      <c r="J724" t="inlineStr">
        <is>
          <t>CT</t>
        </is>
      </c>
      <c r="K724" t="inlineStr">
        <is>
          <t>Monarch funding Group</t>
        </is>
      </c>
      <c r="L724" t="inlineStr">
        <is>
          <t>New Deal</t>
        </is>
      </c>
      <c r="M724" s="298" t="n">
        <v>1.41</v>
      </c>
      <c r="N724" s="299" t="n">
        <v>25000</v>
      </c>
      <c r="O724" s="299" t="n">
        <v>2500</v>
      </c>
      <c r="P724" s="299" t="n">
        <v>35250</v>
      </c>
      <c r="Q724" s="299" t="n">
        <v>24669.54</v>
      </c>
      <c r="R724" s="299" t="n">
        <v>10580.46</v>
      </c>
      <c r="S724" s="300" t="n">
        <v>0.699845106382979</v>
      </c>
      <c r="T724" t="n">
        <v>30</v>
      </c>
      <c r="U724" t="n">
        <v>0</v>
      </c>
      <c r="V724" t="n">
        <v>59707.27</v>
      </c>
      <c r="W724" s="300" t="n">
        <v>0.07870000000000001</v>
      </c>
      <c r="X724" s="297" t="n">
        <v>42875</v>
      </c>
      <c r="Y724">
        <f>IF(I724="","No SIC",IFERROR(VLOOKUP(I724,Ref!$A$2:$B$65,2,FALSE),"Unclassified"))</f>
        <v/>
      </c>
      <c r="Z724">
        <f>IF(T724="","",IF(T724&lt;12,"Daily","Weekly"))</f>
        <v/>
      </c>
      <c r="AA724">
        <f>IF(T724="",0,IF(T724&lt;12,T724*Controls!$B$29,T724*5))</f>
        <v/>
      </c>
      <c r="AB724">
        <f>IF(E724="",0,NETWORKDAYS(E724,Controls!$B$36,Ref!$K$2:$K$42))</f>
        <v/>
      </c>
      <c r="AC724">
        <f>IF(AND(AA724&gt;0,AB724&gt;=Controls!$B$39*AA724),1,0)</f>
        <v/>
      </c>
      <c r="AD724">
        <f>IF(AND(E724&lt;&gt;"",E724&gt;=Controls!$B$37,E724&lt;=Controls!$B$38),1,0)</f>
        <v/>
      </c>
      <c r="AE724">
        <f>IF(IFERROR(VLOOKUP(D724,Controls!$A$64:$E$74,2,FALSE),"No")="Yes",1,0)</f>
        <v/>
      </c>
      <c r="AF724">
        <f>IF(IFERROR(VLOOKUP(D724,Controls!$A$64:$E$74,3,FALSE),"No")="Yes",1,0)</f>
        <v/>
      </c>
      <c r="AG724">
        <f>IF(IFERROR(VLOOKUP(D724,Controls!$A$64:$E$74,4,FALSE),"No")="Yes",1,0)</f>
        <v/>
      </c>
      <c r="AH724">
        <f>IF(IFERROR(VLOOKUP(D724,Controls!$A$64:$E$74,5,FALSE),"No")="Yes",1,0)</f>
        <v/>
      </c>
      <c r="AI724">
        <f>IF(ISNUMBER(MATCH(D724,Controls!$A$64:$A$74,0)),1,0)</f>
        <v/>
      </c>
      <c r="AJ724">
        <f>Q724-N724</f>
        <v/>
      </c>
      <c r="AK724">
        <f>IF(AE724=1,MAX(0,N724-Q724),0)</f>
        <v/>
      </c>
      <c r="AL724">
        <f>IF(OR(V724="",V724=0),0,N724/V724)</f>
        <v/>
      </c>
      <c r="AM724">
        <f>IF(OR(V724="",V724=0),0,1)</f>
        <v/>
      </c>
      <c r="AN724">
        <f>IF(OR(E724="",F724=""),0,NETWORKDAYS(E724,F724,Ref!$K$2:$K$42))</f>
        <v/>
      </c>
      <c r="AO724">
        <f>IF(L724="Renewal",1,0)</f>
        <v/>
      </c>
      <c r="AP724">
        <f>AC724*AD724</f>
        <v/>
      </c>
      <c r="AQ724">
        <f>IF(AND(G724&lt;&gt;"",'Historical Score'!$C$6&lt;&gt;""),IF(G724='Historical Score'!$C$6,1,0),0)</f>
        <v/>
      </c>
      <c r="AR724">
        <f>IF(AND(L724&lt;&gt;"",'Historical Score'!$C$5&lt;&gt;""),IF(L724='Historical Score'!$C$5,1,0),0)</f>
        <v/>
      </c>
      <c r="AS724">
        <f>IF(AND(Y724&lt;&gt;"",'Historical Score'!$C$7&lt;&gt;""),IF(Y724='Historical Score'!$C$7,1,0),0)</f>
        <v/>
      </c>
      <c r="AT724">
        <f>IF(AND(K724&lt;&gt;"",'Historical Score'!$C$8&lt;&gt;""),IF(K724='Historical Score'!$C$8,1,0),0)</f>
        <v/>
      </c>
      <c r="AU724">
        <f>IF(AND(J724&lt;&gt;"",'Historical Score'!$C$9&lt;&gt;""),IF(J724='Historical Score'!$C$9,1,0),0)</f>
        <v/>
      </c>
      <c r="AV724">
        <f>AR724*AS724*AQ724</f>
        <v/>
      </c>
      <c r="AW724">
        <f>AR724*AT724*AQ724</f>
        <v/>
      </c>
      <c r="AX724">
        <f>AR724*AS724</f>
        <v/>
      </c>
      <c r="AY724">
        <f>AR724*AT724</f>
        <v/>
      </c>
      <c r="AZ724">
        <f>AR724*AQ724</f>
        <v/>
      </c>
      <c r="BA724">
        <f>AR724</f>
        <v/>
      </c>
      <c r="BB724">
        <f>1</f>
        <v/>
      </c>
      <c r="BC724">
        <f>IF(AV724=1,1,IF(AW724=1,2,IF(AX724=1,3,IF(AY724=1,4,IF(AZ724=1,5,IF(BA724=1,6,7))))))</f>
        <v/>
      </c>
      <c r="BD724">
        <f>IF(AD724=1,CHOOSE('Historical Score'!$C$29,AV724,AW724,AX724,AY724,AZ724,BA724,BB724),0)</f>
        <v/>
      </c>
      <c r="BE724">
        <f>IF(BD724=1,COUNTIF($BD$2:BD724,1),"")</f>
        <v/>
      </c>
    </row>
    <row r="725">
      <c r="A725" t="inlineStr">
        <is>
          <t>5674180422</t>
        </is>
      </c>
      <c r="B725" t="inlineStr">
        <is>
          <t>TRES JARDINES LLC</t>
        </is>
      </c>
      <c r="C725" t="inlineStr">
        <is>
          <t>TRES JARDINES LLC</t>
        </is>
      </c>
      <c r="D725" t="inlineStr">
        <is>
          <t>Closed</t>
        </is>
      </c>
      <c r="E725" s="297" t="n">
        <v>46100</v>
      </c>
      <c r="F725" s="297" t="n">
        <v>46231</v>
      </c>
      <c r="G725" t="n">
        <v>3</v>
      </c>
      <c r="H725" t="inlineStr">
        <is>
          <t>5812</t>
        </is>
      </c>
      <c r="I725" t="inlineStr">
        <is>
          <t>58</t>
        </is>
      </c>
      <c r="J725" t="inlineStr">
        <is>
          <t>GA</t>
        </is>
      </c>
      <c r="K725" t="inlineStr">
        <is>
          <t>secure way capital</t>
        </is>
      </c>
      <c r="L725" t="inlineStr">
        <is>
          <t>New Deal</t>
        </is>
      </c>
      <c r="M725" s="298" t="n">
        <v>1.49</v>
      </c>
      <c r="N725" s="299" t="n">
        <v>15000</v>
      </c>
      <c r="O725" s="299" t="n">
        <v>2100</v>
      </c>
      <c r="P725" s="299" t="n">
        <v>22350</v>
      </c>
      <c r="Q725" s="299" t="n">
        <v>22350</v>
      </c>
      <c r="R725" s="299" t="n">
        <v>0</v>
      </c>
      <c r="S725" s="300" t="n">
        <v>1</v>
      </c>
      <c r="T725" t="n">
        <v>2.623</v>
      </c>
      <c r="U725" t="n">
        <v>0</v>
      </c>
      <c r="V725" t="n">
        <v>32880.33</v>
      </c>
      <c r="W725" s="300" t="n">
        <v>0.1784</v>
      </c>
      <c r="X725" s="297" t="n">
        <v>44288</v>
      </c>
      <c r="Y725">
        <f>IF(I725="","No SIC",IFERROR(VLOOKUP(I725,Ref!$A$2:$B$65,2,FALSE),"Unclassified"))</f>
        <v/>
      </c>
      <c r="Z725">
        <f>IF(T725="","",IF(T725&lt;12,"Daily","Weekly"))</f>
        <v/>
      </c>
      <c r="AA725">
        <f>IF(T725="",0,IF(T725&lt;12,T725*Controls!$B$29,T725*5))</f>
        <v/>
      </c>
      <c r="AB725">
        <f>IF(E725="",0,NETWORKDAYS(E725,Controls!$B$36,Ref!$K$2:$K$42))</f>
        <v/>
      </c>
      <c r="AC725">
        <f>IF(AND(AA725&gt;0,AB725&gt;=Controls!$B$39*AA725),1,0)</f>
        <v/>
      </c>
      <c r="AD725">
        <f>IF(AND(E725&lt;&gt;"",E725&gt;=Controls!$B$37,E725&lt;=Controls!$B$38),1,0)</f>
        <v/>
      </c>
      <c r="AE725">
        <f>IF(IFERROR(VLOOKUP(D725,Controls!$A$64:$E$74,2,FALSE),"No")="Yes",1,0)</f>
        <v/>
      </c>
      <c r="AF725">
        <f>IF(IFERROR(VLOOKUP(D725,Controls!$A$64:$E$74,3,FALSE),"No")="Yes",1,0)</f>
        <v/>
      </c>
      <c r="AG725">
        <f>IF(IFERROR(VLOOKUP(D725,Controls!$A$64:$E$74,4,FALSE),"No")="Yes",1,0)</f>
        <v/>
      </c>
      <c r="AH725">
        <f>IF(IFERROR(VLOOKUP(D725,Controls!$A$64:$E$74,5,FALSE),"No")="Yes",1,0)</f>
        <v/>
      </c>
      <c r="AI725">
        <f>IF(ISNUMBER(MATCH(D725,Controls!$A$64:$A$74,0)),1,0)</f>
        <v/>
      </c>
      <c r="AJ725">
        <f>Q725-N725</f>
        <v/>
      </c>
      <c r="AK725">
        <f>IF(AE725=1,MAX(0,N725-Q725),0)</f>
        <v/>
      </c>
      <c r="AL725">
        <f>IF(OR(V725="",V725=0),0,N725/V725)</f>
        <v/>
      </c>
      <c r="AM725">
        <f>IF(OR(V725="",V725=0),0,1)</f>
        <v/>
      </c>
      <c r="AN725">
        <f>IF(OR(E725="",F725=""),0,NETWORKDAYS(E725,F725,Ref!$K$2:$K$42))</f>
        <v/>
      </c>
      <c r="AO725">
        <f>IF(L725="Renewal",1,0)</f>
        <v/>
      </c>
      <c r="AP725">
        <f>AC725*AD725</f>
        <v/>
      </c>
      <c r="AQ725">
        <f>IF(AND(G725&lt;&gt;"",'Historical Score'!$C$6&lt;&gt;""),IF(G725='Historical Score'!$C$6,1,0),0)</f>
        <v/>
      </c>
      <c r="AR725">
        <f>IF(AND(L725&lt;&gt;"",'Historical Score'!$C$5&lt;&gt;""),IF(L725='Historical Score'!$C$5,1,0),0)</f>
        <v/>
      </c>
      <c r="AS725">
        <f>IF(AND(Y725&lt;&gt;"",'Historical Score'!$C$7&lt;&gt;""),IF(Y725='Historical Score'!$C$7,1,0),0)</f>
        <v/>
      </c>
      <c r="AT725">
        <f>IF(AND(K725&lt;&gt;"",'Historical Score'!$C$8&lt;&gt;""),IF(K725='Historical Score'!$C$8,1,0),0)</f>
        <v/>
      </c>
      <c r="AU725">
        <f>IF(AND(J725&lt;&gt;"",'Historical Score'!$C$9&lt;&gt;""),IF(J725='Historical Score'!$C$9,1,0),0)</f>
        <v/>
      </c>
      <c r="AV725">
        <f>AR725*AS725*AQ725</f>
        <v/>
      </c>
      <c r="AW725">
        <f>AR725*AT725*AQ725</f>
        <v/>
      </c>
      <c r="AX725">
        <f>AR725*AS725</f>
        <v/>
      </c>
      <c r="AY725">
        <f>AR725*AT725</f>
        <v/>
      </c>
      <c r="AZ725">
        <f>AR725*AQ725</f>
        <v/>
      </c>
      <c r="BA725">
        <f>AR725</f>
        <v/>
      </c>
      <c r="BB725">
        <f>1</f>
        <v/>
      </c>
      <c r="BC725">
        <f>IF(AV725=1,1,IF(AW725=1,2,IF(AX725=1,3,IF(AY725=1,4,IF(AZ725=1,5,IF(BA725=1,6,7))))))</f>
        <v/>
      </c>
      <c r="BD725">
        <f>IF(AD725=1,CHOOSE('Historical Score'!$C$29,AV725,AW725,AX725,AY725,AZ725,BA725,BB725),0)</f>
        <v/>
      </c>
      <c r="BE725">
        <f>IF(BD725=1,COUNTIF($BD$2:BD725,1),"")</f>
        <v/>
      </c>
    </row>
    <row r="726">
      <c r="A726" t="inlineStr">
        <is>
          <t>5674180444</t>
        </is>
      </c>
      <c r="B726" t="inlineStr">
        <is>
          <t>KLIPPER AUTOMOTIVE</t>
        </is>
      </c>
      <c r="C726" t="inlineStr">
        <is>
          <t>Klipper Automotive LLC</t>
        </is>
      </c>
      <c r="D726" t="inlineStr">
        <is>
          <t>Open</t>
        </is>
      </c>
      <c r="E726" s="297" t="n">
        <v>46100</v>
      </c>
      <c r="F726" s="297" t="n">
        <v>46230</v>
      </c>
      <c r="G726" t="n">
        <v>4</v>
      </c>
      <c r="H726" t="inlineStr">
        <is>
          <t>7538</t>
        </is>
      </c>
      <c r="I726" t="inlineStr">
        <is>
          <t>75</t>
        </is>
      </c>
      <c r="J726" t="inlineStr">
        <is>
          <t>AZ</t>
        </is>
      </c>
      <c r="K726" t="inlineStr">
        <is>
          <t>Westwood</t>
        </is>
      </c>
      <c r="L726" t="inlineStr">
        <is>
          <t>Renewal</t>
        </is>
      </c>
      <c r="M726" s="298" t="n">
        <v>1.48</v>
      </c>
      <c r="N726" s="299" t="n">
        <v>185000</v>
      </c>
      <c r="O726" s="299" t="n">
        <v>25900</v>
      </c>
      <c r="P726" s="299" t="n">
        <v>273800</v>
      </c>
      <c r="Q726" s="299" t="n">
        <v>83602.09</v>
      </c>
      <c r="R726" s="299" t="n">
        <v>190197.91</v>
      </c>
      <c r="S726" s="300" t="n">
        <v>0.305339992695398</v>
      </c>
      <c r="T726" t="n">
        <v>36</v>
      </c>
      <c r="U726" t="n">
        <v>2</v>
      </c>
      <c r="V726" t="n">
        <v>188237.32</v>
      </c>
      <c r="W726" s="300" t="n">
        <v>0.1396</v>
      </c>
      <c r="X726" s="297" t="n">
        <v>43573</v>
      </c>
      <c r="Y726">
        <f>IF(I726="","No SIC",IFERROR(VLOOKUP(I726,Ref!$A$2:$B$65,2,FALSE),"Unclassified"))</f>
        <v/>
      </c>
      <c r="Z726">
        <f>IF(T726="","",IF(T726&lt;12,"Daily","Weekly"))</f>
        <v/>
      </c>
      <c r="AA726">
        <f>IF(T726="",0,IF(T726&lt;12,T726*Controls!$B$29,T726*5))</f>
        <v/>
      </c>
      <c r="AB726">
        <f>IF(E726="",0,NETWORKDAYS(E726,Controls!$B$36,Ref!$K$2:$K$42))</f>
        <v/>
      </c>
      <c r="AC726">
        <f>IF(AND(AA726&gt;0,AB726&gt;=Controls!$B$39*AA726),1,0)</f>
        <v/>
      </c>
      <c r="AD726">
        <f>IF(AND(E726&lt;&gt;"",E726&gt;=Controls!$B$37,E726&lt;=Controls!$B$38),1,0)</f>
        <v/>
      </c>
      <c r="AE726">
        <f>IF(IFERROR(VLOOKUP(D726,Controls!$A$64:$E$74,2,FALSE),"No")="Yes",1,0)</f>
        <v/>
      </c>
      <c r="AF726">
        <f>IF(IFERROR(VLOOKUP(D726,Controls!$A$64:$E$74,3,FALSE),"No")="Yes",1,0)</f>
        <v/>
      </c>
      <c r="AG726">
        <f>IF(IFERROR(VLOOKUP(D726,Controls!$A$64:$E$74,4,FALSE),"No")="Yes",1,0)</f>
        <v/>
      </c>
      <c r="AH726">
        <f>IF(IFERROR(VLOOKUP(D726,Controls!$A$64:$E$74,5,FALSE),"No")="Yes",1,0)</f>
        <v/>
      </c>
      <c r="AI726">
        <f>IF(ISNUMBER(MATCH(D726,Controls!$A$64:$A$74,0)),1,0)</f>
        <v/>
      </c>
      <c r="AJ726">
        <f>Q726-N726</f>
        <v/>
      </c>
      <c r="AK726">
        <f>IF(AE726=1,MAX(0,N726-Q726),0)</f>
        <v/>
      </c>
      <c r="AL726">
        <f>IF(OR(V726="",V726=0),0,N726/V726)</f>
        <v/>
      </c>
      <c r="AM726">
        <f>IF(OR(V726="",V726=0),0,1)</f>
        <v/>
      </c>
      <c r="AN726">
        <f>IF(OR(E726="",F726=""),0,NETWORKDAYS(E726,F726,Ref!$K$2:$K$42))</f>
        <v/>
      </c>
      <c r="AO726">
        <f>IF(L726="Renewal",1,0)</f>
        <v/>
      </c>
      <c r="AP726">
        <f>AC726*AD726</f>
        <v/>
      </c>
      <c r="AQ726">
        <f>IF(AND(G726&lt;&gt;"",'Historical Score'!$C$6&lt;&gt;""),IF(G726='Historical Score'!$C$6,1,0),0)</f>
        <v/>
      </c>
      <c r="AR726">
        <f>IF(AND(L726&lt;&gt;"",'Historical Score'!$C$5&lt;&gt;""),IF(L726='Historical Score'!$C$5,1,0),0)</f>
        <v/>
      </c>
      <c r="AS726">
        <f>IF(AND(Y726&lt;&gt;"",'Historical Score'!$C$7&lt;&gt;""),IF(Y726='Historical Score'!$C$7,1,0),0)</f>
        <v/>
      </c>
      <c r="AT726">
        <f>IF(AND(K726&lt;&gt;"",'Historical Score'!$C$8&lt;&gt;""),IF(K726='Historical Score'!$C$8,1,0),0)</f>
        <v/>
      </c>
      <c r="AU726">
        <f>IF(AND(J726&lt;&gt;"",'Historical Score'!$C$9&lt;&gt;""),IF(J726='Historical Score'!$C$9,1,0),0)</f>
        <v/>
      </c>
      <c r="AV726">
        <f>AR726*AS726*AQ726</f>
        <v/>
      </c>
      <c r="AW726">
        <f>AR726*AT726*AQ726</f>
        <v/>
      </c>
      <c r="AX726">
        <f>AR726*AS726</f>
        <v/>
      </c>
      <c r="AY726">
        <f>AR726*AT726</f>
        <v/>
      </c>
      <c r="AZ726">
        <f>AR726*AQ726</f>
        <v/>
      </c>
      <c r="BA726">
        <f>AR726</f>
        <v/>
      </c>
      <c r="BB726">
        <f>1</f>
        <v/>
      </c>
      <c r="BC726">
        <f>IF(AV726=1,1,IF(AW726=1,2,IF(AX726=1,3,IF(AY726=1,4,IF(AZ726=1,5,IF(BA726=1,6,7))))))</f>
        <v/>
      </c>
      <c r="BD726">
        <f>IF(AD726=1,CHOOSE('Historical Score'!$C$29,AV726,AW726,AX726,AY726,AZ726,BA726,BB726),0)</f>
        <v/>
      </c>
      <c r="BE726">
        <f>IF(BD726=1,COUNTIF($BD$2:BD726,1),"")</f>
        <v/>
      </c>
    </row>
    <row r="727">
      <c r="A727" t="inlineStr">
        <is>
          <t>5674180467</t>
        </is>
      </c>
      <c r="B727" t="inlineStr">
        <is>
          <t>G&amp;K Carpet and Flooring LLC</t>
        </is>
      </c>
      <c r="C727" t="inlineStr">
        <is>
          <t>G&amp;K Carpet and Flooring LLC</t>
        </is>
      </c>
      <c r="D727" t="inlineStr">
        <is>
          <t>Open</t>
        </is>
      </c>
      <c r="E727" s="297" t="n">
        <v>46100</v>
      </c>
      <c r="F727" s="297" t="n">
        <v>46247</v>
      </c>
      <c r="G727" t="n">
        <v>2</v>
      </c>
      <c r="H727" t="inlineStr">
        <is>
          <t>1752</t>
        </is>
      </c>
      <c r="I727" t="inlineStr">
        <is>
          <t>17</t>
        </is>
      </c>
      <c r="J727" t="inlineStr">
        <is>
          <t>NJ</t>
        </is>
      </c>
      <c r="K727" t="inlineStr">
        <is>
          <t>National Business Capital</t>
        </is>
      </c>
      <c r="L727" t="inlineStr">
        <is>
          <t>New Deal</t>
        </is>
      </c>
      <c r="M727" s="298" t="n">
        <v>1.4</v>
      </c>
      <c r="N727" s="299" t="n">
        <v>11000</v>
      </c>
      <c r="O727" s="299" t="n">
        <v>1045</v>
      </c>
      <c r="P727" s="299" t="n">
        <v>15400</v>
      </c>
      <c r="Q727" s="299" t="n">
        <v>12837.2</v>
      </c>
      <c r="R727" s="299" t="n">
        <v>2562.8</v>
      </c>
      <c r="S727" s="300" t="n">
        <v>0.833584415584416</v>
      </c>
      <c r="T727" t="n">
        <v>24</v>
      </c>
      <c r="U727" t="n">
        <v>1</v>
      </c>
      <c r="V727" t="n">
        <v>59431.27</v>
      </c>
      <c r="W727" s="300" t="n">
        <v>0.0432</v>
      </c>
      <c r="X727" s="297" t="n">
        <v>41038</v>
      </c>
      <c r="Y727">
        <f>IF(I727="","No SIC",IFERROR(VLOOKUP(I727,Ref!$A$2:$B$65,2,FALSE),"Unclassified"))</f>
        <v/>
      </c>
      <c r="Z727">
        <f>IF(T727="","",IF(T727&lt;12,"Daily","Weekly"))</f>
        <v/>
      </c>
      <c r="AA727">
        <f>IF(T727="",0,IF(T727&lt;12,T727*Controls!$B$29,T727*5))</f>
        <v/>
      </c>
      <c r="AB727">
        <f>IF(E727="",0,NETWORKDAYS(E727,Controls!$B$36,Ref!$K$2:$K$42))</f>
        <v/>
      </c>
      <c r="AC727">
        <f>IF(AND(AA727&gt;0,AB727&gt;=Controls!$B$39*AA727),1,0)</f>
        <v/>
      </c>
      <c r="AD727">
        <f>IF(AND(E727&lt;&gt;"",E727&gt;=Controls!$B$37,E727&lt;=Controls!$B$38),1,0)</f>
        <v/>
      </c>
      <c r="AE727">
        <f>IF(IFERROR(VLOOKUP(D727,Controls!$A$64:$E$74,2,FALSE),"No")="Yes",1,0)</f>
        <v/>
      </c>
      <c r="AF727">
        <f>IF(IFERROR(VLOOKUP(D727,Controls!$A$64:$E$74,3,FALSE),"No")="Yes",1,0)</f>
        <v/>
      </c>
      <c r="AG727">
        <f>IF(IFERROR(VLOOKUP(D727,Controls!$A$64:$E$74,4,FALSE),"No")="Yes",1,0)</f>
        <v/>
      </c>
      <c r="AH727">
        <f>IF(IFERROR(VLOOKUP(D727,Controls!$A$64:$E$74,5,FALSE),"No")="Yes",1,0)</f>
        <v/>
      </c>
      <c r="AI727">
        <f>IF(ISNUMBER(MATCH(D727,Controls!$A$64:$A$74,0)),1,0)</f>
        <v/>
      </c>
      <c r="AJ727">
        <f>Q727-N727</f>
        <v/>
      </c>
      <c r="AK727">
        <f>IF(AE727=1,MAX(0,N727-Q727),0)</f>
        <v/>
      </c>
      <c r="AL727">
        <f>IF(OR(V727="",V727=0),0,N727/V727)</f>
        <v/>
      </c>
      <c r="AM727">
        <f>IF(OR(V727="",V727=0),0,1)</f>
        <v/>
      </c>
      <c r="AN727">
        <f>IF(OR(E727="",F727=""),0,NETWORKDAYS(E727,F727,Ref!$K$2:$K$42))</f>
        <v/>
      </c>
      <c r="AO727">
        <f>IF(L727="Renewal",1,0)</f>
        <v/>
      </c>
      <c r="AP727">
        <f>AC727*AD727</f>
        <v/>
      </c>
      <c r="AQ727">
        <f>IF(AND(G727&lt;&gt;"",'Historical Score'!$C$6&lt;&gt;""),IF(G727='Historical Score'!$C$6,1,0),0)</f>
        <v/>
      </c>
      <c r="AR727">
        <f>IF(AND(L727&lt;&gt;"",'Historical Score'!$C$5&lt;&gt;""),IF(L727='Historical Score'!$C$5,1,0),0)</f>
        <v/>
      </c>
      <c r="AS727">
        <f>IF(AND(Y727&lt;&gt;"",'Historical Score'!$C$7&lt;&gt;""),IF(Y727='Historical Score'!$C$7,1,0),0)</f>
        <v/>
      </c>
      <c r="AT727">
        <f>IF(AND(K727&lt;&gt;"",'Historical Score'!$C$8&lt;&gt;""),IF(K727='Historical Score'!$C$8,1,0),0)</f>
        <v/>
      </c>
      <c r="AU727">
        <f>IF(AND(J727&lt;&gt;"",'Historical Score'!$C$9&lt;&gt;""),IF(J727='Historical Score'!$C$9,1,0),0)</f>
        <v/>
      </c>
      <c r="AV727">
        <f>AR727*AS727*AQ727</f>
        <v/>
      </c>
      <c r="AW727">
        <f>AR727*AT727*AQ727</f>
        <v/>
      </c>
      <c r="AX727">
        <f>AR727*AS727</f>
        <v/>
      </c>
      <c r="AY727">
        <f>AR727*AT727</f>
        <v/>
      </c>
      <c r="AZ727">
        <f>AR727*AQ727</f>
        <v/>
      </c>
      <c r="BA727">
        <f>AR727</f>
        <v/>
      </c>
      <c r="BB727">
        <f>1</f>
        <v/>
      </c>
      <c r="BC727">
        <f>IF(AV727=1,1,IF(AW727=1,2,IF(AX727=1,3,IF(AY727=1,4,IF(AZ727=1,5,IF(BA727=1,6,7))))))</f>
        <v/>
      </c>
      <c r="BD727">
        <f>IF(AD727=1,CHOOSE('Historical Score'!$C$29,AV727,AW727,AX727,AY727,AZ727,BA727,BB727),0)</f>
        <v/>
      </c>
      <c r="BE727">
        <f>IF(BD727=1,COUNTIF($BD$2:BD727,1),"")</f>
        <v/>
      </c>
    </row>
    <row r="728">
      <c r="A728" t="inlineStr">
        <is>
          <t>5674180469</t>
        </is>
      </c>
      <c r="B728" t="inlineStr">
        <is>
          <t>4 EVER TRUCKING 2 LLC</t>
        </is>
      </c>
      <c r="C728" t="inlineStr">
        <is>
          <t>4 EVER TRUCKING 2 LLC</t>
        </is>
      </c>
      <c r="D728" t="inlineStr">
        <is>
          <t>Closed</t>
        </is>
      </c>
      <c r="E728" s="297" t="n">
        <v>46100</v>
      </c>
      <c r="F728" s="297" t="n">
        <v>46225</v>
      </c>
      <c r="G728" t="n">
        <v>3</v>
      </c>
      <c r="H728" t="inlineStr">
        <is>
          <t>4212</t>
        </is>
      </c>
      <c r="I728" t="inlineStr">
        <is>
          <t>42</t>
        </is>
      </c>
      <c r="J728" t="inlineStr">
        <is>
          <t>MS</t>
        </is>
      </c>
      <c r="K728" t="inlineStr">
        <is>
          <t>DIRECT CAPITAL SOURCE, INC.</t>
        </is>
      </c>
      <c r="L728" t="inlineStr">
        <is>
          <t>New Deal</t>
        </is>
      </c>
      <c r="M728" s="298" t="n">
        <v>1.49</v>
      </c>
      <c r="N728" s="299" t="n">
        <v>5000</v>
      </c>
      <c r="O728" s="299" t="n">
        <v>700</v>
      </c>
      <c r="P728" s="299" t="n">
        <v>7450</v>
      </c>
      <c r="Q728" s="299" t="n">
        <v>7450</v>
      </c>
      <c r="R728" s="299" t="n">
        <v>0</v>
      </c>
      <c r="S728" s="300" t="n">
        <v>1</v>
      </c>
      <c r="T728" t="n">
        <v>30</v>
      </c>
      <c r="U728" t="n">
        <v>0</v>
      </c>
      <c r="V728" t="n">
        <v>37897</v>
      </c>
      <c r="W728" s="300" t="n">
        <v>0.0262</v>
      </c>
      <c r="X728" s="297" t="n">
        <v>44256</v>
      </c>
      <c r="Y728">
        <f>IF(I728="","No SIC",IFERROR(VLOOKUP(I728,Ref!$A$2:$B$65,2,FALSE),"Unclassified"))</f>
        <v/>
      </c>
      <c r="Z728">
        <f>IF(T728="","",IF(T728&lt;12,"Daily","Weekly"))</f>
        <v/>
      </c>
      <c r="AA728">
        <f>IF(T728="",0,IF(T728&lt;12,T728*Controls!$B$29,T728*5))</f>
        <v/>
      </c>
      <c r="AB728">
        <f>IF(E728="",0,NETWORKDAYS(E728,Controls!$B$36,Ref!$K$2:$K$42))</f>
        <v/>
      </c>
      <c r="AC728">
        <f>IF(AND(AA728&gt;0,AB728&gt;=Controls!$B$39*AA728),1,0)</f>
        <v/>
      </c>
      <c r="AD728">
        <f>IF(AND(E728&lt;&gt;"",E728&gt;=Controls!$B$37,E728&lt;=Controls!$B$38),1,0)</f>
        <v/>
      </c>
      <c r="AE728">
        <f>IF(IFERROR(VLOOKUP(D728,Controls!$A$64:$E$74,2,FALSE),"No")="Yes",1,0)</f>
        <v/>
      </c>
      <c r="AF728">
        <f>IF(IFERROR(VLOOKUP(D728,Controls!$A$64:$E$74,3,FALSE),"No")="Yes",1,0)</f>
        <v/>
      </c>
      <c r="AG728">
        <f>IF(IFERROR(VLOOKUP(D728,Controls!$A$64:$E$74,4,FALSE),"No")="Yes",1,0)</f>
        <v/>
      </c>
      <c r="AH728">
        <f>IF(IFERROR(VLOOKUP(D728,Controls!$A$64:$E$74,5,FALSE),"No")="Yes",1,0)</f>
        <v/>
      </c>
      <c r="AI728">
        <f>IF(ISNUMBER(MATCH(D728,Controls!$A$64:$A$74,0)),1,0)</f>
        <v/>
      </c>
      <c r="AJ728">
        <f>Q728-N728</f>
        <v/>
      </c>
      <c r="AK728">
        <f>IF(AE728=1,MAX(0,N728-Q728),0)</f>
        <v/>
      </c>
      <c r="AL728">
        <f>IF(OR(V728="",V728=0),0,N728/V728)</f>
        <v/>
      </c>
      <c r="AM728">
        <f>IF(OR(V728="",V728=0),0,1)</f>
        <v/>
      </c>
      <c r="AN728">
        <f>IF(OR(E728="",F728=""),0,NETWORKDAYS(E728,F728,Ref!$K$2:$K$42))</f>
        <v/>
      </c>
      <c r="AO728">
        <f>IF(L728="Renewal",1,0)</f>
        <v/>
      </c>
      <c r="AP728">
        <f>AC728*AD728</f>
        <v/>
      </c>
      <c r="AQ728">
        <f>IF(AND(G728&lt;&gt;"",'Historical Score'!$C$6&lt;&gt;""),IF(G728='Historical Score'!$C$6,1,0),0)</f>
        <v/>
      </c>
      <c r="AR728">
        <f>IF(AND(L728&lt;&gt;"",'Historical Score'!$C$5&lt;&gt;""),IF(L728='Historical Score'!$C$5,1,0),0)</f>
        <v/>
      </c>
      <c r="AS728">
        <f>IF(AND(Y728&lt;&gt;"",'Historical Score'!$C$7&lt;&gt;""),IF(Y728='Historical Score'!$C$7,1,0),0)</f>
        <v/>
      </c>
      <c r="AT728">
        <f>IF(AND(K728&lt;&gt;"",'Historical Score'!$C$8&lt;&gt;""),IF(K728='Historical Score'!$C$8,1,0),0)</f>
        <v/>
      </c>
      <c r="AU728">
        <f>IF(AND(J728&lt;&gt;"",'Historical Score'!$C$9&lt;&gt;""),IF(J728='Historical Score'!$C$9,1,0),0)</f>
        <v/>
      </c>
      <c r="AV728">
        <f>AR728*AS728*AQ728</f>
        <v/>
      </c>
      <c r="AW728">
        <f>AR728*AT728*AQ728</f>
        <v/>
      </c>
      <c r="AX728">
        <f>AR728*AS728</f>
        <v/>
      </c>
      <c r="AY728">
        <f>AR728*AT728</f>
        <v/>
      </c>
      <c r="AZ728">
        <f>AR728*AQ728</f>
        <v/>
      </c>
      <c r="BA728">
        <f>AR728</f>
        <v/>
      </c>
      <c r="BB728">
        <f>1</f>
        <v/>
      </c>
      <c r="BC728">
        <f>IF(AV728=1,1,IF(AW728=1,2,IF(AX728=1,3,IF(AY728=1,4,IF(AZ728=1,5,IF(BA728=1,6,7))))))</f>
        <v/>
      </c>
      <c r="BD728">
        <f>IF(AD728=1,CHOOSE('Historical Score'!$C$29,AV728,AW728,AX728,AY728,AZ728,BA728,BB728),0)</f>
        <v/>
      </c>
      <c r="BE728">
        <f>IF(BD728=1,COUNTIF($BD$2:BD728,1),"")</f>
        <v/>
      </c>
    </row>
    <row r="729">
      <c r="A729" t="inlineStr">
        <is>
          <t>5674180473</t>
        </is>
      </c>
      <c r="B729" t="inlineStr">
        <is>
          <t>PROSPECT MASTER</t>
        </is>
      </c>
      <c r="C729" t="inlineStr">
        <is>
          <t>PROSPECT MASTER LLC</t>
        </is>
      </c>
      <c r="D729" t="inlineStr">
        <is>
          <t>Open</t>
        </is>
      </c>
      <c r="E729" s="297" t="n">
        <v>46100</v>
      </c>
      <c r="F729" s="297" t="n">
        <v>46248</v>
      </c>
      <c r="G729" t="n">
        <v>4</v>
      </c>
      <c r="H729" t="inlineStr">
        <is>
          <t>5999</t>
        </is>
      </c>
      <c r="I729" t="inlineStr">
        <is>
          <t>59</t>
        </is>
      </c>
      <c r="J729" t="inlineStr">
        <is>
          <t>FL</t>
        </is>
      </c>
      <c r="K729" t="inlineStr">
        <is>
          <t>Fundwell</t>
        </is>
      </c>
      <c r="L729" t="inlineStr">
        <is>
          <t>Renewal</t>
        </is>
      </c>
      <c r="M729" s="298" t="n">
        <v>1.49</v>
      </c>
      <c r="N729" s="299" t="n">
        <v>30000</v>
      </c>
      <c r="O729" s="299" t="n">
        <v>4800</v>
      </c>
      <c r="P729" s="299" t="n">
        <v>44700</v>
      </c>
      <c r="Q729" s="299" t="n">
        <v>24584.34</v>
      </c>
      <c r="R729" s="299" t="n">
        <v>20115.66</v>
      </c>
      <c r="S729" s="300" t="n">
        <v>0.549985234899329</v>
      </c>
      <c r="T729" t="n">
        <v>3.934</v>
      </c>
      <c r="U729" t="n">
        <v>38</v>
      </c>
      <c r="V729" t="n">
        <v>129019.66</v>
      </c>
      <c r="W729" s="300" t="n">
        <v>0.1083</v>
      </c>
      <c r="X729" s="297" t="n">
        <v>42017</v>
      </c>
      <c r="Y729">
        <f>IF(I729="","No SIC",IFERROR(VLOOKUP(I729,Ref!$A$2:$B$65,2,FALSE),"Unclassified"))</f>
        <v/>
      </c>
      <c r="Z729">
        <f>IF(T729="","",IF(T729&lt;12,"Daily","Weekly"))</f>
        <v/>
      </c>
      <c r="AA729">
        <f>IF(T729="",0,IF(T729&lt;12,T729*Controls!$B$29,T729*5))</f>
        <v/>
      </c>
      <c r="AB729">
        <f>IF(E729="",0,NETWORKDAYS(E729,Controls!$B$36,Ref!$K$2:$K$42))</f>
        <v/>
      </c>
      <c r="AC729">
        <f>IF(AND(AA729&gt;0,AB729&gt;=Controls!$B$39*AA729),1,0)</f>
        <v/>
      </c>
      <c r="AD729">
        <f>IF(AND(E729&lt;&gt;"",E729&gt;=Controls!$B$37,E729&lt;=Controls!$B$38),1,0)</f>
        <v/>
      </c>
      <c r="AE729">
        <f>IF(IFERROR(VLOOKUP(D729,Controls!$A$64:$E$74,2,FALSE),"No")="Yes",1,0)</f>
        <v/>
      </c>
      <c r="AF729">
        <f>IF(IFERROR(VLOOKUP(D729,Controls!$A$64:$E$74,3,FALSE),"No")="Yes",1,0)</f>
        <v/>
      </c>
      <c r="AG729">
        <f>IF(IFERROR(VLOOKUP(D729,Controls!$A$64:$E$74,4,FALSE),"No")="Yes",1,0)</f>
        <v/>
      </c>
      <c r="AH729">
        <f>IF(IFERROR(VLOOKUP(D729,Controls!$A$64:$E$74,5,FALSE),"No")="Yes",1,0)</f>
        <v/>
      </c>
      <c r="AI729">
        <f>IF(ISNUMBER(MATCH(D729,Controls!$A$64:$A$74,0)),1,0)</f>
        <v/>
      </c>
      <c r="AJ729">
        <f>Q729-N729</f>
        <v/>
      </c>
      <c r="AK729">
        <f>IF(AE729=1,MAX(0,N729-Q729),0)</f>
        <v/>
      </c>
      <c r="AL729">
        <f>IF(OR(V729="",V729=0),0,N729/V729)</f>
        <v/>
      </c>
      <c r="AM729">
        <f>IF(OR(V729="",V729=0),0,1)</f>
        <v/>
      </c>
      <c r="AN729">
        <f>IF(OR(E729="",F729=""),0,NETWORKDAYS(E729,F729,Ref!$K$2:$K$42))</f>
        <v/>
      </c>
      <c r="AO729">
        <f>IF(L729="Renewal",1,0)</f>
        <v/>
      </c>
      <c r="AP729">
        <f>AC729*AD729</f>
        <v/>
      </c>
      <c r="AQ729">
        <f>IF(AND(G729&lt;&gt;"",'Historical Score'!$C$6&lt;&gt;""),IF(G729='Historical Score'!$C$6,1,0),0)</f>
        <v/>
      </c>
      <c r="AR729">
        <f>IF(AND(L729&lt;&gt;"",'Historical Score'!$C$5&lt;&gt;""),IF(L729='Historical Score'!$C$5,1,0),0)</f>
        <v/>
      </c>
      <c r="AS729">
        <f>IF(AND(Y729&lt;&gt;"",'Historical Score'!$C$7&lt;&gt;""),IF(Y729='Historical Score'!$C$7,1,0),0)</f>
        <v/>
      </c>
      <c r="AT729">
        <f>IF(AND(K729&lt;&gt;"",'Historical Score'!$C$8&lt;&gt;""),IF(K729='Historical Score'!$C$8,1,0),0)</f>
        <v/>
      </c>
      <c r="AU729">
        <f>IF(AND(J729&lt;&gt;"",'Historical Score'!$C$9&lt;&gt;""),IF(J729='Historical Score'!$C$9,1,0),0)</f>
        <v/>
      </c>
      <c r="AV729">
        <f>AR729*AS729*AQ729</f>
        <v/>
      </c>
      <c r="AW729">
        <f>AR729*AT729*AQ729</f>
        <v/>
      </c>
      <c r="AX729">
        <f>AR729*AS729</f>
        <v/>
      </c>
      <c r="AY729">
        <f>AR729*AT729</f>
        <v/>
      </c>
      <c r="AZ729">
        <f>AR729*AQ729</f>
        <v/>
      </c>
      <c r="BA729">
        <f>AR729</f>
        <v/>
      </c>
      <c r="BB729">
        <f>1</f>
        <v/>
      </c>
      <c r="BC729">
        <f>IF(AV729=1,1,IF(AW729=1,2,IF(AX729=1,3,IF(AY729=1,4,IF(AZ729=1,5,IF(BA729=1,6,7))))))</f>
        <v/>
      </c>
      <c r="BD729">
        <f>IF(AD729=1,CHOOSE('Historical Score'!$C$29,AV729,AW729,AX729,AY729,AZ729,BA729,BB729),0)</f>
        <v/>
      </c>
      <c r="BE729">
        <f>IF(BD729=1,COUNTIF($BD$2:BD729,1),"")</f>
        <v/>
      </c>
    </row>
    <row r="730">
      <c r="A730" t="inlineStr">
        <is>
          <t>5674180478</t>
        </is>
      </c>
      <c r="B730" t="inlineStr">
        <is>
          <t>The Eklund Companies, INC</t>
        </is>
      </c>
      <c r="C730" t="inlineStr">
        <is>
          <t>The Eklund Companies, INC</t>
        </is>
      </c>
      <c r="D730" t="inlineStr">
        <is>
          <t>Closed</t>
        </is>
      </c>
      <c r="E730" s="297" t="n">
        <v>46100</v>
      </c>
      <c r="F730" s="297" t="n">
        <v>46161</v>
      </c>
      <c r="G730" t="n">
        <v>3</v>
      </c>
      <c r="H730" t="inlineStr">
        <is>
          <t>1521</t>
        </is>
      </c>
      <c r="I730" t="inlineStr">
        <is>
          <t>15</t>
        </is>
      </c>
      <c r="J730" t="inlineStr">
        <is>
          <t>CO</t>
        </is>
      </c>
      <c r="K730" t="inlineStr">
        <is>
          <t>TRUSTFI</t>
        </is>
      </c>
      <c r="L730" t="inlineStr">
        <is>
          <t>New Deal</t>
        </is>
      </c>
      <c r="M730" s="298" t="n">
        <v>1.45</v>
      </c>
      <c r="N730" s="299" t="n">
        <v>20000</v>
      </c>
      <c r="O730" s="299" t="n">
        <v>2400</v>
      </c>
      <c r="P730" s="299" t="n">
        <v>29000</v>
      </c>
      <c r="Q730" s="299" t="n">
        <v>29000</v>
      </c>
      <c r="R730" s="299" t="n">
        <v>0</v>
      </c>
      <c r="S730" s="300" t="n">
        <v>1</v>
      </c>
      <c r="T730" t="n">
        <v>16</v>
      </c>
      <c r="U730" t="n">
        <v>0</v>
      </c>
      <c r="V730" t="n">
        <v>61785.9</v>
      </c>
      <c r="W730" s="300" t="n">
        <v>0.1173</v>
      </c>
      <c r="X730" s="297" t="n">
        <v>41591</v>
      </c>
      <c r="Y730">
        <f>IF(I730="","No SIC",IFERROR(VLOOKUP(I730,Ref!$A$2:$B$65,2,FALSE),"Unclassified"))</f>
        <v/>
      </c>
      <c r="Z730">
        <f>IF(T730="","",IF(T730&lt;12,"Daily","Weekly"))</f>
        <v/>
      </c>
      <c r="AA730">
        <f>IF(T730="",0,IF(T730&lt;12,T730*Controls!$B$29,T730*5))</f>
        <v/>
      </c>
      <c r="AB730">
        <f>IF(E730="",0,NETWORKDAYS(E730,Controls!$B$36,Ref!$K$2:$K$42))</f>
        <v/>
      </c>
      <c r="AC730">
        <f>IF(AND(AA730&gt;0,AB730&gt;=Controls!$B$39*AA730),1,0)</f>
        <v/>
      </c>
      <c r="AD730">
        <f>IF(AND(E730&lt;&gt;"",E730&gt;=Controls!$B$37,E730&lt;=Controls!$B$38),1,0)</f>
        <v/>
      </c>
      <c r="AE730">
        <f>IF(IFERROR(VLOOKUP(D730,Controls!$A$64:$E$74,2,FALSE),"No")="Yes",1,0)</f>
        <v/>
      </c>
      <c r="AF730">
        <f>IF(IFERROR(VLOOKUP(D730,Controls!$A$64:$E$74,3,FALSE),"No")="Yes",1,0)</f>
        <v/>
      </c>
      <c r="AG730">
        <f>IF(IFERROR(VLOOKUP(D730,Controls!$A$64:$E$74,4,FALSE),"No")="Yes",1,0)</f>
        <v/>
      </c>
      <c r="AH730">
        <f>IF(IFERROR(VLOOKUP(D730,Controls!$A$64:$E$74,5,FALSE),"No")="Yes",1,0)</f>
        <v/>
      </c>
      <c r="AI730">
        <f>IF(ISNUMBER(MATCH(D730,Controls!$A$64:$A$74,0)),1,0)</f>
        <v/>
      </c>
      <c r="AJ730">
        <f>Q730-N730</f>
        <v/>
      </c>
      <c r="AK730">
        <f>IF(AE730=1,MAX(0,N730-Q730),0)</f>
        <v/>
      </c>
      <c r="AL730">
        <f>IF(OR(V730="",V730=0),0,N730/V730)</f>
        <v/>
      </c>
      <c r="AM730">
        <f>IF(OR(V730="",V730=0),0,1)</f>
        <v/>
      </c>
      <c r="AN730">
        <f>IF(OR(E730="",F730=""),0,NETWORKDAYS(E730,F730,Ref!$K$2:$K$42))</f>
        <v/>
      </c>
      <c r="AO730">
        <f>IF(L730="Renewal",1,0)</f>
        <v/>
      </c>
      <c r="AP730">
        <f>AC730*AD730</f>
        <v/>
      </c>
      <c r="AQ730">
        <f>IF(AND(G730&lt;&gt;"",'Historical Score'!$C$6&lt;&gt;""),IF(G730='Historical Score'!$C$6,1,0),0)</f>
        <v/>
      </c>
      <c r="AR730">
        <f>IF(AND(L730&lt;&gt;"",'Historical Score'!$C$5&lt;&gt;""),IF(L730='Historical Score'!$C$5,1,0),0)</f>
        <v/>
      </c>
      <c r="AS730">
        <f>IF(AND(Y730&lt;&gt;"",'Historical Score'!$C$7&lt;&gt;""),IF(Y730='Historical Score'!$C$7,1,0),0)</f>
        <v/>
      </c>
      <c r="AT730">
        <f>IF(AND(K730&lt;&gt;"",'Historical Score'!$C$8&lt;&gt;""),IF(K730='Historical Score'!$C$8,1,0),0)</f>
        <v/>
      </c>
      <c r="AU730">
        <f>IF(AND(J730&lt;&gt;"",'Historical Score'!$C$9&lt;&gt;""),IF(J730='Historical Score'!$C$9,1,0),0)</f>
        <v/>
      </c>
      <c r="AV730">
        <f>AR730*AS730*AQ730</f>
        <v/>
      </c>
      <c r="AW730">
        <f>AR730*AT730*AQ730</f>
        <v/>
      </c>
      <c r="AX730">
        <f>AR730*AS730</f>
        <v/>
      </c>
      <c r="AY730">
        <f>AR730*AT730</f>
        <v/>
      </c>
      <c r="AZ730">
        <f>AR730*AQ730</f>
        <v/>
      </c>
      <c r="BA730">
        <f>AR730</f>
        <v/>
      </c>
      <c r="BB730">
        <f>1</f>
        <v/>
      </c>
      <c r="BC730">
        <f>IF(AV730=1,1,IF(AW730=1,2,IF(AX730=1,3,IF(AY730=1,4,IF(AZ730=1,5,IF(BA730=1,6,7))))))</f>
        <v/>
      </c>
      <c r="BD730">
        <f>IF(AD730=1,CHOOSE('Historical Score'!$C$29,AV730,AW730,AX730,AY730,AZ730,BA730,BB730),0)</f>
        <v/>
      </c>
      <c r="BE730">
        <f>IF(BD730=1,COUNTIF($BD$2:BD730,1),"")</f>
        <v/>
      </c>
    </row>
    <row r="731">
      <c r="A731" t="inlineStr">
        <is>
          <t>5674180495</t>
        </is>
      </c>
      <c r="B731" t="inlineStr">
        <is>
          <t>JACK N MARK TRADING</t>
        </is>
      </c>
      <c r="C731" t="inlineStr">
        <is>
          <t>JACK N MARK TRADING</t>
        </is>
      </c>
      <c r="D731" t="inlineStr">
        <is>
          <t>Closed</t>
        </is>
      </c>
      <c r="E731" s="297" t="n">
        <v>46101</v>
      </c>
      <c r="F731" s="297" t="n">
        <v>46230</v>
      </c>
      <c r="G731" t="n">
        <v>2</v>
      </c>
      <c r="H731" t="inlineStr">
        <is>
          <t>5399</t>
        </is>
      </c>
      <c r="I731" t="inlineStr">
        <is>
          <t>53</t>
        </is>
      </c>
      <c r="J731" t="inlineStr">
        <is>
          <t>CA</t>
        </is>
      </c>
      <c r="K731" t="inlineStr">
        <is>
          <t>United Secured Capital 8</t>
        </is>
      </c>
      <c r="L731" t="inlineStr">
        <is>
          <t>New Deal</t>
        </is>
      </c>
      <c r="M731" s="298" t="n">
        <v>1.49</v>
      </c>
      <c r="N731" s="299" t="n">
        <v>25000</v>
      </c>
      <c r="O731" s="299" t="n">
        <v>3500</v>
      </c>
      <c r="P731" s="299" t="n">
        <v>37250</v>
      </c>
      <c r="Q731" s="299" t="n">
        <v>37250</v>
      </c>
      <c r="R731" s="299" t="n">
        <v>0</v>
      </c>
      <c r="S731" s="300" t="n">
        <v>1</v>
      </c>
      <c r="T731" t="n">
        <v>22</v>
      </c>
      <c r="U731" t="n">
        <v>0</v>
      </c>
      <c r="V731" t="n">
        <v>296382.23</v>
      </c>
      <c r="W731" s="300" t="n">
        <v>0.0229</v>
      </c>
      <c r="X731" s="297" t="n">
        <v>45547</v>
      </c>
      <c r="Y731">
        <f>IF(I731="","No SIC",IFERROR(VLOOKUP(I731,Ref!$A$2:$B$65,2,FALSE),"Unclassified"))</f>
        <v/>
      </c>
      <c r="Z731">
        <f>IF(T731="","",IF(T731&lt;12,"Daily","Weekly"))</f>
        <v/>
      </c>
      <c r="AA731">
        <f>IF(T731="",0,IF(T731&lt;12,T731*Controls!$B$29,T731*5))</f>
        <v/>
      </c>
      <c r="AB731">
        <f>IF(E731="",0,NETWORKDAYS(E731,Controls!$B$36,Ref!$K$2:$K$42))</f>
        <v/>
      </c>
      <c r="AC731">
        <f>IF(AND(AA731&gt;0,AB731&gt;=Controls!$B$39*AA731),1,0)</f>
        <v/>
      </c>
      <c r="AD731">
        <f>IF(AND(E731&lt;&gt;"",E731&gt;=Controls!$B$37,E731&lt;=Controls!$B$38),1,0)</f>
        <v/>
      </c>
      <c r="AE731">
        <f>IF(IFERROR(VLOOKUP(D731,Controls!$A$64:$E$74,2,FALSE),"No")="Yes",1,0)</f>
        <v/>
      </c>
      <c r="AF731">
        <f>IF(IFERROR(VLOOKUP(D731,Controls!$A$64:$E$74,3,FALSE),"No")="Yes",1,0)</f>
        <v/>
      </c>
      <c r="AG731">
        <f>IF(IFERROR(VLOOKUP(D731,Controls!$A$64:$E$74,4,FALSE),"No")="Yes",1,0)</f>
        <v/>
      </c>
      <c r="AH731">
        <f>IF(IFERROR(VLOOKUP(D731,Controls!$A$64:$E$74,5,FALSE),"No")="Yes",1,0)</f>
        <v/>
      </c>
      <c r="AI731">
        <f>IF(ISNUMBER(MATCH(D731,Controls!$A$64:$A$74,0)),1,0)</f>
        <v/>
      </c>
      <c r="AJ731">
        <f>Q731-N731</f>
        <v/>
      </c>
      <c r="AK731">
        <f>IF(AE731=1,MAX(0,N731-Q731),0)</f>
        <v/>
      </c>
      <c r="AL731">
        <f>IF(OR(V731="",V731=0),0,N731/V731)</f>
        <v/>
      </c>
      <c r="AM731">
        <f>IF(OR(V731="",V731=0),0,1)</f>
        <v/>
      </c>
      <c r="AN731">
        <f>IF(OR(E731="",F731=""),0,NETWORKDAYS(E731,F731,Ref!$K$2:$K$42))</f>
        <v/>
      </c>
      <c r="AO731">
        <f>IF(L731="Renewal",1,0)</f>
        <v/>
      </c>
      <c r="AP731">
        <f>AC731*AD731</f>
        <v/>
      </c>
      <c r="AQ731">
        <f>IF(AND(G731&lt;&gt;"",'Historical Score'!$C$6&lt;&gt;""),IF(G731='Historical Score'!$C$6,1,0),0)</f>
        <v/>
      </c>
      <c r="AR731">
        <f>IF(AND(L731&lt;&gt;"",'Historical Score'!$C$5&lt;&gt;""),IF(L731='Historical Score'!$C$5,1,0),0)</f>
        <v/>
      </c>
      <c r="AS731">
        <f>IF(AND(Y731&lt;&gt;"",'Historical Score'!$C$7&lt;&gt;""),IF(Y731='Historical Score'!$C$7,1,0),0)</f>
        <v/>
      </c>
      <c r="AT731">
        <f>IF(AND(K731&lt;&gt;"",'Historical Score'!$C$8&lt;&gt;""),IF(K731='Historical Score'!$C$8,1,0),0)</f>
        <v/>
      </c>
      <c r="AU731">
        <f>IF(AND(J731&lt;&gt;"",'Historical Score'!$C$9&lt;&gt;""),IF(J731='Historical Score'!$C$9,1,0),0)</f>
        <v/>
      </c>
      <c r="AV731">
        <f>AR731*AS731*AQ731</f>
        <v/>
      </c>
      <c r="AW731">
        <f>AR731*AT731*AQ731</f>
        <v/>
      </c>
      <c r="AX731">
        <f>AR731*AS731</f>
        <v/>
      </c>
      <c r="AY731">
        <f>AR731*AT731</f>
        <v/>
      </c>
      <c r="AZ731">
        <f>AR731*AQ731</f>
        <v/>
      </c>
      <c r="BA731">
        <f>AR731</f>
        <v/>
      </c>
      <c r="BB731">
        <f>1</f>
        <v/>
      </c>
      <c r="BC731">
        <f>IF(AV731=1,1,IF(AW731=1,2,IF(AX731=1,3,IF(AY731=1,4,IF(AZ731=1,5,IF(BA731=1,6,7))))))</f>
        <v/>
      </c>
      <c r="BD731">
        <f>IF(AD731=1,CHOOSE('Historical Score'!$C$29,AV731,AW731,AX731,AY731,AZ731,BA731,BB731),0)</f>
        <v/>
      </c>
      <c r="BE731">
        <f>IF(BD731=1,COUNTIF($BD$2:BD731,1),"")</f>
        <v/>
      </c>
    </row>
    <row r="732">
      <c r="A732" t="inlineStr">
        <is>
          <t>5674180506</t>
        </is>
      </c>
      <c r="B732" t="inlineStr">
        <is>
          <t>ONSIGHT HEALTHCARE</t>
        </is>
      </c>
      <c r="C732" t="inlineStr">
        <is>
          <t>Healthcare Hospitality Group LLC</t>
        </is>
      </c>
      <c r="D732" t="inlineStr">
        <is>
          <t>Closed</t>
        </is>
      </c>
      <c r="E732" s="297" t="n">
        <v>46101</v>
      </c>
      <c r="F732" s="297" t="n">
        <v>46223</v>
      </c>
      <c r="G732" t="n">
        <v>3</v>
      </c>
      <c r="H732" t="inlineStr">
        <is>
          <t>8062</t>
        </is>
      </c>
      <c r="I732" t="inlineStr">
        <is>
          <t>80</t>
        </is>
      </c>
      <c r="J732" t="inlineStr">
        <is>
          <t>TN</t>
        </is>
      </c>
      <c r="K732" t="inlineStr">
        <is>
          <t>United Secured Capital 8</t>
        </is>
      </c>
      <c r="L732" t="inlineStr">
        <is>
          <t>New Deal</t>
        </is>
      </c>
      <c r="M732" s="298" t="n">
        <v>1.34</v>
      </c>
      <c r="N732" s="299" t="n">
        <v>200000</v>
      </c>
      <c r="O732" s="299" t="n">
        <v>25000</v>
      </c>
      <c r="P732" s="299" t="n">
        <v>268000</v>
      </c>
      <c r="Q732" s="299" t="n">
        <v>268000</v>
      </c>
      <c r="R732" s="299" t="n">
        <v>0</v>
      </c>
      <c r="S732" s="300" t="n">
        <v>1</v>
      </c>
      <c r="T732" t="n">
        <v>40</v>
      </c>
      <c r="U732" t="n">
        <v>0</v>
      </c>
      <c r="V732" t="n">
        <v>653595.48</v>
      </c>
      <c r="W732" s="300" t="n">
        <v>0.0487</v>
      </c>
      <c r="X732" s="297" t="n">
        <v>41695</v>
      </c>
      <c r="Y732">
        <f>IF(I732="","No SIC",IFERROR(VLOOKUP(I732,Ref!$A$2:$B$65,2,FALSE),"Unclassified"))</f>
        <v/>
      </c>
      <c r="Z732">
        <f>IF(T732="","",IF(T732&lt;12,"Daily","Weekly"))</f>
        <v/>
      </c>
      <c r="AA732">
        <f>IF(T732="",0,IF(T732&lt;12,T732*Controls!$B$29,T732*5))</f>
        <v/>
      </c>
      <c r="AB732">
        <f>IF(E732="",0,NETWORKDAYS(E732,Controls!$B$36,Ref!$K$2:$K$42))</f>
        <v/>
      </c>
      <c r="AC732">
        <f>IF(AND(AA732&gt;0,AB732&gt;=Controls!$B$39*AA732),1,0)</f>
        <v/>
      </c>
      <c r="AD732">
        <f>IF(AND(E732&lt;&gt;"",E732&gt;=Controls!$B$37,E732&lt;=Controls!$B$38),1,0)</f>
        <v/>
      </c>
      <c r="AE732">
        <f>IF(IFERROR(VLOOKUP(D732,Controls!$A$64:$E$74,2,FALSE),"No")="Yes",1,0)</f>
        <v/>
      </c>
      <c r="AF732">
        <f>IF(IFERROR(VLOOKUP(D732,Controls!$A$64:$E$74,3,FALSE),"No")="Yes",1,0)</f>
        <v/>
      </c>
      <c r="AG732">
        <f>IF(IFERROR(VLOOKUP(D732,Controls!$A$64:$E$74,4,FALSE),"No")="Yes",1,0)</f>
        <v/>
      </c>
      <c r="AH732">
        <f>IF(IFERROR(VLOOKUP(D732,Controls!$A$64:$E$74,5,FALSE),"No")="Yes",1,0)</f>
        <v/>
      </c>
      <c r="AI732">
        <f>IF(ISNUMBER(MATCH(D732,Controls!$A$64:$A$74,0)),1,0)</f>
        <v/>
      </c>
      <c r="AJ732">
        <f>Q732-N732</f>
        <v/>
      </c>
      <c r="AK732">
        <f>IF(AE732=1,MAX(0,N732-Q732),0)</f>
        <v/>
      </c>
      <c r="AL732">
        <f>IF(OR(V732="",V732=0),0,N732/V732)</f>
        <v/>
      </c>
      <c r="AM732">
        <f>IF(OR(V732="",V732=0),0,1)</f>
        <v/>
      </c>
      <c r="AN732">
        <f>IF(OR(E732="",F732=""),0,NETWORKDAYS(E732,F732,Ref!$K$2:$K$42))</f>
        <v/>
      </c>
      <c r="AO732">
        <f>IF(L732="Renewal",1,0)</f>
        <v/>
      </c>
      <c r="AP732">
        <f>AC732*AD732</f>
        <v/>
      </c>
      <c r="AQ732">
        <f>IF(AND(G732&lt;&gt;"",'Historical Score'!$C$6&lt;&gt;""),IF(G732='Historical Score'!$C$6,1,0),0)</f>
        <v/>
      </c>
      <c r="AR732">
        <f>IF(AND(L732&lt;&gt;"",'Historical Score'!$C$5&lt;&gt;""),IF(L732='Historical Score'!$C$5,1,0),0)</f>
        <v/>
      </c>
      <c r="AS732">
        <f>IF(AND(Y732&lt;&gt;"",'Historical Score'!$C$7&lt;&gt;""),IF(Y732='Historical Score'!$C$7,1,0),0)</f>
        <v/>
      </c>
      <c r="AT732">
        <f>IF(AND(K732&lt;&gt;"",'Historical Score'!$C$8&lt;&gt;""),IF(K732='Historical Score'!$C$8,1,0),0)</f>
        <v/>
      </c>
      <c r="AU732">
        <f>IF(AND(J732&lt;&gt;"",'Historical Score'!$C$9&lt;&gt;""),IF(J732='Historical Score'!$C$9,1,0),0)</f>
        <v/>
      </c>
      <c r="AV732">
        <f>AR732*AS732*AQ732</f>
        <v/>
      </c>
      <c r="AW732">
        <f>AR732*AT732*AQ732</f>
        <v/>
      </c>
      <c r="AX732">
        <f>AR732*AS732</f>
        <v/>
      </c>
      <c r="AY732">
        <f>AR732*AT732</f>
        <v/>
      </c>
      <c r="AZ732">
        <f>AR732*AQ732</f>
        <v/>
      </c>
      <c r="BA732">
        <f>AR732</f>
        <v/>
      </c>
      <c r="BB732">
        <f>1</f>
        <v/>
      </c>
      <c r="BC732">
        <f>IF(AV732=1,1,IF(AW732=1,2,IF(AX732=1,3,IF(AY732=1,4,IF(AZ732=1,5,IF(BA732=1,6,7))))))</f>
        <v/>
      </c>
      <c r="BD732">
        <f>IF(AD732=1,CHOOSE('Historical Score'!$C$29,AV732,AW732,AX732,AY732,AZ732,BA732,BB732),0)</f>
        <v/>
      </c>
      <c r="BE732">
        <f>IF(BD732=1,COUNTIF($BD$2:BD732,1),"")</f>
        <v/>
      </c>
    </row>
    <row r="733">
      <c r="A733" t="inlineStr">
        <is>
          <t>5674180513</t>
        </is>
      </c>
      <c r="B733" t="inlineStr">
        <is>
          <t>JMJ IT Services Corp</t>
        </is>
      </c>
      <c r="C733" t="inlineStr">
        <is>
          <t>JMJ IT Services Corp</t>
        </is>
      </c>
      <c r="D733" t="inlineStr">
        <is>
          <t>In House Collection</t>
        </is>
      </c>
      <c r="E733" s="297" t="n">
        <v>46101</v>
      </c>
      <c r="F733" s="297" t="n">
        <v>46223</v>
      </c>
      <c r="G733" t="n">
        <v>3</v>
      </c>
      <c r="H733" t="inlineStr">
        <is>
          <t>7371</t>
        </is>
      </c>
      <c r="I733" t="inlineStr">
        <is>
          <t>73</t>
        </is>
      </c>
      <c r="J733" t="inlineStr">
        <is>
          <t>TX</t>
        </is>
      </c>
      <c r="K733" t="inlineStr">
        <is>
          <t>Vanguard Equities</t>
        </is>
      </c>
      <c r="L733" t="inlineStr">
        <is>
          <t>New Deal</t>
        </is>
      </c>
      <c r="M733" s="298" t="n">
        <v>1.49</v>
      </c>
      <c r="N733" s="299" t="n">
        <v>3000</v>
      </c>
      <c r="O733" s="299" t="n">
        <v>420</v>
      </c>
      <c r="P733" s="299" t="n">
        <v>4470</v>
      </c>
      <c r="Q733" s="299" t="n">
        <v>1117.76</v>
      </c>
      <c r="R733" s="299" t="n">
        <v>3352.24</v>
      </c>
      <c r="S733" s="300" t="n">
        <v>0.250058165548099</v>
      </c>
      <c r="T733" t="n">
        <v>26</v>
      </c>
      <c r="U733" t="n">
        <v>8</v>
      </c>
      <c r="V733" t="n">
        <v>3089.98</v>
      </c>
      <c r="W733" s="300" t="n">
        <v>0.2226</v>
      </c>
      <c r="X733" s="297" t="n">
        <v>45566</v>
      </c>
      <c r="Y733">
        <f>IF(I733="","No SIC",IFERROR(VLOOKUP(I733,Ref!$A$2:$B$65,2,FALSE),"Unclassified"))</f>
        <v/>
      </c>
      <c r="Z733">
        <f>IF(T733="","",IF(T733&lt;12,"Daily","Weekly"))</f>
        <v/>
      </c>
      <c r="AA733">
        <f>IF(T733="",0,IF(T733&lt;12,T733*Controls!$B$29,T733*5))</f>
        <v/>
      </c>
      <c r="AB733">
        <f>IF(E733="",0,NETWORKDAYS(E733,Controls!$B$36,Ref!$K$2:$K$42))</f>
        <v/>
      </c>
      <c r="AC733">
        <f>IF(AND(AA733&gt;0,AB733&gt;=Controls!$B$39*AA733),1,0)</f>
        <v/>
      </c>
      <c r="AD733">
        <f>IF(AND(E733&lt;&gt;"",E733&gt;=Controls!$B$37,E733&lt;=Controls!$B$38),1,0)</f>
        <v/>
      </c>
      <c r="AE733">
        <f>IF(IFERROR(VLOOKUP(D733,Controls!$A$64:$E$74,2,FALSE),"No")="Yes",1,0)</f>
        <v/>
      </c>
      <c r="AF733">
        <f>IF(IFERROR(VLOOKUP(D733,Controls!$A$64:$E$74,3,FALSE),"No")="Yes",1,0)</f>
        <v/>
      </c>
      <c r="AG733">
        <f>IF(IFERROR(VLOOKUP(D733,Controls!$A$64:$E$74,4,FALSE),"No")="Yes",1,0)</f>
        <v/>
      </c>
      <c r="AH733">
        <f>IF(IFERROR(VLOOKUP(D733,Controls!$A$64:$E$74,5,FALSE),"No")="Yes",1,0)</f>
        <v/>
      </c>
      <c r="AI733">
        <f>IF(ISNUMBER(MATCH(D733,Controls!$A$64:$A$74,0)),1,0)</f>
        <v/>
      </c>
      <c r="AJ733">
        <f>Q733-N733</f>
        <v/>
      </c>
      <c r="AK733">
        <f>IF(AE733=1,MAX(0,N733-Q733),0)</f>
        <v/>
      </c>
      <c r="AL733">
        <f>IF(OR(V733="",V733=0),0,N733/V733)</f>
        <v/>
      </c>
      <c r="AM733">
        <f>IF(OR(V733="",V733=0),0,1)</f>
        <v/>
      </c>
      <c r="AN733">
        <f>IF(OR(E733="",F733=""),0,NETWORKDAYS(E733,F733,Ref!$K$2:$K$42))</f>
        <v/>
      </c>
      <c r="AO733">
        <f>IF(L733="Renewal",1,0)</f>
        <v/>
      </c>
      <c r="AP733">
        <f>AC733*AD733</f>
        <v/>
      </c>
      <c r="AQ733">
        <f>IF(AND(G733&lt;&gt;"",'Historical Score'!$C$6&lt;&gt;""),IF(G733='Historical Score'!$C$6,1,0),0)</f>
        <v/>
      </c>
      <c r="AR733">
        <f>IF(AND(L733&lt;&gt;"",'Historical Score'!$C$5&lt;&gt;""),IF(L733='Historical Score'!$C$5,1,0),0)</f>
        <v/>
      </c>
      <c r="AS733">
        <f>IF(AND(Y733&lt;&gt;"",'Historical Score'!$C$7&lt;&gt;""),IF(Y733='Historical Score'!$C$7,1,0),0)</f>
        <v/>
      </c>
      <c r="AT733">
        <f>IF(AND(K733&lt;&gt;"",'Historical Score'!$C$8&lt;&gt;""),IF(K733='Historical Score'!$C$8,1,0),0)</f>
        <v/>
      </c>
      <c r="AU733">
        <f>IF(AND(J733&lt;&gt;"",'Historical Score'!$C$9&lt;&gt;""),IF(J733='Historical Score'!$C$9,1,0),0)</f>
        <v/>
      </c>
      <c r="AV733">
        <f>AR733*AS733*AQ733</f>
        <v/>
      </c>
      <c r="AW733">
        <f>AR733*AT733*AQ733</f>
        <v/>
      </c>
      <c r="AX733">
        <f>AR733*AS733</f>
        <v/>
      </c>
      <c r="AY733">
        <f>AR733*AT733</f>
        <v/>
      </c>
      <c r="AZ733">
        <f>AR733*AQ733</f>
        <v/>
      </c>
      <c r="BA733">
        <f>AR733</f>
        <v/>
      </c>
      <c r="BB733">
        <f>1</f>
        <v/>
      </c>
      <c r="BC733">
        <f>IF(AV733=1,1,IF(AW733=1,2,IF(AX733=1,3,IF(AY733=1,4,IF(AZ733=1,5,IF(BA733=1,6,7))))))</f>
        <v/>
      </c>
      <c r="BD733">
        <f>IF(AD733=1,CHOOSE('Historical Score'!$C$29,AV733,AW733,AX733,AY733,AZ733,BA733,BB733),0)</f>
        <v/>
      </c>
      <c r="BE733">
        <f>IF(BD733=1,COUNTIF($BD$2:BD733,1),"")</f>
        <v/>
      </c>
    </row>
    <row r="734">
      <c r="A734" t="inlineStr">
        <is>
          <t>5674180514</t>
        </is>
      </c>
      <c r="B734" t="inlineStr">
        <is>
          <t>REYOGMAR TECHNOLOGIES INC</t>
        </is>
      </c>
      <c r="C734" t="inlineStr">
        <is>
          <t>REYOGMAR TECHNOLOGIES INC</t>
        </is>
      </c>
      <c r="D734" t="inlineStr">
        <is>
          <t>Legal</t>
        </is>
      </c>
      <c r="E734" s="297" t="n">
        <v>46101</v>
      </c>
      <c r="F734" s="297" t="n">
        <v>46230</v>
      </c>
      <c r="G734" t="n">
        <v>4</v>
      </c>
      <c r="H734" t="inlineStr">
        <is>
          <t>7371</t>
        </is>
      </c>
      <c r="I734" t="inlineStr">
        <is>
          <t>73</t>
        </is>
      </c>
      <c r="J734" t="inlineStr">
        <is>
          <t>NJ</t>
        </is>
      </c>
      <c r="K734" t="inlineStr">
        <is>
          <t>United Secured Capital 8</t>
        </is>
      </c>
      <c r="L734" t="inlineStr">
        <is>
          <t>New Deal</t>
        </is>
      </c>
      <c r="M734" s="298" t="n">
        <v>1.49</v>
      </c>
      <c r="N734" s="299" t="n">
        <v>15000</v>
      </c>
      <c r="O734" s="299" t="n">
        <v>0</v>
      </c>
      <c r="P734" s="299" t="n">
        <v>22350</v>
      </c>
      <c r="Q734" s="299" t="n">
        <v>3577.47</v>
      </c>
      <c r="R734" s="299" t="n">
        <v>18772.53</v>
      </c>
      <c r="S734" s="300" t="n">
        <v>0.160065771812081</v>
      </c>
      <c r="T734" t="n">
        <v>20</v>
      </c>
      <c r="U734" t="n">
        <v>7</v>
      </c>
      <c r="V734" t="n">
        <v>64875.77</v>
      </c>
      <c r="W734" s="300" t="n">
        <v>0.0689</v>
      </c>
      <c r="X734" s="297" t="n">
        <v>44812</v>
      </c>
      <c r="Y734">
        <f>IF(I734="","No SIC",IFERROR(VLOOKUP(I734,Ref!$A$2:$B$65,2,FALSE),"Unclassified"))</f>
        <v/>
      </c>
      <c r="Z734">
        <f>IF(T734="","",IF(T734&lt;12,"Daily","Weekly"))</f>
        <v/>
      </c>
      <c r="AA734">
        <f>IF(T734="",0,IF(T734&lt;12,T734*Controls!$B$29,T734*5))</f>
        <v/>
      </c>
      <c r="AB734">
        <f>IF(E734="",0,NETWORKDAYS(E734,Controls!$B$36,Ref!$K$2:$K$42))</f>
        <v/>
      </c>
      <c r="AC734">
        <f>IF(AND(AA734&gt;0,AB734&gt;=Controls!$B$39*AA734),1,0)</f>
        <v/>
      </c>
      <c r="AD734">
        <f>IF(AND(E734&lt;&gt;"",E734&gt;=Controls!$B$37,E734&lt;=Controls!$B$38),1,0)</f>
        <v/>
      </c>
      <c r="AE734">
        <f>IF(IFERROR(VLOOKUP(D734,Controls!$A$64:$E$74,2,FALSE),"No")="Yes",1,0)</f>
        <v/>
      </c>
      <c r="AF734">
        <f>IF(IFERROR(VLOOKUP(D734,Controls!$A$64:$E$74,3,FALSE),"No")="Yes",1,0)</f>
        <v/>
      </c>
      <c r="AG734">
        <f>IF(IFERROR(VLOOKUP(D734,Controls!$A$64:$E$74,4,FALSE),"No")="Yes",1,0)</f>
        <v/>
      </c>
      <c r="AH734">
        <f>IF(IFERROR(VLOOKUP(D734,Controls!$A$64:$E$74,5,FALSE),"No")="Yes",1,0)</f>
        <v/>
      </c>
      <c r="AI734">
        <f>IF(ISNUMBER(MATCH(D734,Controls!$A$64:$A$74,0)),1,0)</f>
        <v/>
      </c>
      <c r="AJ734">
        <f>Q734-N734</f>
        <v/>
      </c>
      <c r="AK734">
        <f>IF(AE734=1,MAX(0,N734-Q734),0)</f>
        <v/>
      </c>
      <c r="AL734">
        <f>IF(OR(V734="",V734=0),0,N734/V734)</f>
        <v/>
      </c>
      <c r="AM734">
        <f>IF(OR(V734="",V734=0),0,1)</f>
        <v/>
      </c>
      <c r="AN734">
        <f>IF(OR(E734="",F734=""),0,NETWORKDAYS(E734,F734,Ref!$K$2:$K$42))</f>
        <v/>
      </c>
      <c r="AO734">
        <f>IF(L734="Renewal",1,0)</f>
        <v/>
      </c>
      <c r="AP734">
        <f>AC734*AD734</f>
        <v/>
      </c>
      <c r="AQ734">
        <f>IF(AND(G734&lt;&gt;"",'Historical Score'!$C$6&lt;&gt;""),IF(G734='Historical Score'!$C$6,1,0),0)</f>
        <v/>
      </c>
      <c r="AR734">
        <f>IF(AND(L734&lt;&gt;"",'Historical Score'!$C$5&lt;&gt;""),IF(L734='Historical Score'!$C$5,1,0),0)</f>
        <v/>
      </c>
      <c r="AS734">
        <f>IF(AND(Y734&lt;&gt;"",'Historical Score'!$C$7&lt;&gt;""),IF(Y734='Historical Score'!$C$7,1,0),0)</f>
        <v/>
      </c>
      <c r="AT734">
        <f>IF(AND(K734&lt;&gt;"",'Historical Score'!$C$8&lt;&gt;""),IF(K734='Historical Score'!$C$8,1,0),0)</f>
        <v/>
      </c>
      <c r="AU734">
        <f>IF(AND(J734&lt;&gt;"",'Historical Score'!$C$9&lt;&gt;""),IF(J734='Historical Score'!$C$9,1,0),0)</f>
        <v/>
      </c>
      <c r="AV734">
        <f>AR734*AS734*AQ734</f>
        <v/>
      </c>
      <c r="AW734">
        <f>AR734*AT734*AQ734</f>
        <v/>
      </c>
      <c r="AX734">
        <f>AR734*AS734</f>
        <v/>
      </c>
      <c r="AY734">
        <f>AR734*AT734</f>
        <v/>
      </c>
      <c r="AZ734">
        <f>AR734*AQ734</f>
        <v/>
      </c>
      <c r="BA734">
        <f>AR734</f>
        <v/>
      </c>
      <c r="BB734">
        <f>1</f>
        <v/>
      </c>
      <c r="BC734">
        <f>IF(AV734=1,1,IF(AW734=1,2,IF(AX734=1,3,IF(AY734=1,4,IF(AZ734=1,5,IF(BA734=1,6,7))))))</f>
        <v/>
      </c>
      <c r="BD734">
        <f>IF(AD734=1,CHOOSE('Historical Score'!$C$29,AV734,AW734,AX734,AY734,AZ734,BA734,BB734),0)</f>
        <v/>
      </c>
      <c r="BE734">
        <f>IF(BD734=1,COUNTIF($BD$2:BD734,1),"")</f>
        <v/>
      </c>
    </row>
    <row r="735">
      <c r="A735" t="inlineStr">
        <is>
          <t>5674180517</t>
        </is>
      </c>
      <c r="B735" t="inlineStr">
        <is>
          <t>Innovate Insurance Agency, Inc.</t>
        </is>
      </c>
      <c r="C735" t="inlineStr">
        <is>
          <t>Innovate Insurance Agency, Inc.</t>
        </is>
      </c>
      <c r="D735" t="inlineStr">
        <is>
          <t>Open</t>
        </is>
      </c>
      <c r="E735" s="297" t="n">
        <v>46101</v>
      </c>
      <c r="F735" s="297" t="n">
        <v>46253</v>
      </c>
      <c r="G735" t="n">
        <v>3</v>
      </c>
      <c r="H735" t="inlineStr">
        <is>
          <t>6411</t>
        </is>
      </c>
      <c r="I735" t="inlineStr">
        <is>
          <t>64</t>
        </is>
      </c>
      <c r="J735" t="inlineStr">
        <is>
          <t>NJ</t>
        </is>
      </c>
      <c r="K735" t="inlineStr">
        <is>
          <t>Westwood</t>
        </is>
      </c>
      <c r="L735" t="inlineStr">
        <is>
          <t>Renewal</t>
        </is>
      </c>
      <c r="M735" s="298" t="n">
        <v>1.49</v>
      </c>
      <c r="N735" s="299" t="n">
        <v>27500</v>
      </c>
      <c r="O735" s="299" t="n">
        <v>3850</v>
      </c>
      <c r="P735" s="299" t="n">
        <v>40975</v>
      </c>
      <c r="Q735" s="299" t="n">
        <v>14096.46</v>
      </c>
      <c r="R735" s="299" t="n">
        <v>26878.54</v>
      </c>
      <c r="S735" s="300" t="n">
        <v>0.344025869432581</v>
      </c>
      <c r="T735" t="n">
        <v>3.607</v>
      </c>
      <c r="U735" t="n">
        <v>67</v>
      </c>
      <c r="V735" t="n">
        <v>47795.52</v>
      </c>
      <c r="W735" s="300" t="n">
        <v>0.1637</v>
      </c>
      <c r="X735" s="297" t="n">
        <v>43574</v>
      </c>
      <c r="Y735">
        <f>IF(I735="","No SIC",IFERROR(VLOOKUP(I735,Ref!$A$2:$B$65,2,FALSE),"Unclassified"))</f>
        <v/>
      </c>
      <c r="Z735">
        <f>IF(T735="","",IF(T735&lt;12,"Daily","Weekly"))</f>
        <v/>
      </c>
      <c r="AA735">
        <f>IF(T735="",0,IF(T735&lt;12,T735*Controls!$B$29,T735*5))</f>
        <v/>
      </c>
      <c r="AB735">
        <f>IF(E735="",0,NETWORKDAYS(E735,Controls!$B$36,Ref!$K$2:$K$42))</f>
        <v/>
      </c>
      <c r="AC735">
        <f>IF(AND(AA735&gt;0,AB735&gt;=Controls!$B$39*AA735),1,0)</f>
        <v/>
      </c>
      <c r="AD735">
        <f>IF(AND(E735&lt;&gt;"",E735&gt;=Controls!$B$37,E735&lt;=Controls!$B$38),1,0)</f>
        <v/>
      </c>
      <c r="AE735">
        <f>IF(IFERROR(VLOOKUP(D735,Controls!$A$64:$E$74,2,FALSE),"No")="Yes",1,0)</f>
        <v/>
      </c>
      <c r="AF735">
        <f>IF(IFERROR(VLOOKUP(D735,Controls!$A$64:$E$74,3,FALSE),"No")="Yes",1,0)</f>
        <v/>
      </c>
      <c r="AG735">
        <f>IF(IFERROR(VLOOKUP(D735,Controls!$A$64:$E$74,4,FALSE),"No")="Yes",1,0)</f>
        <v/>
      </c>
      <c r="AH735">
        <f>IF(IFERROR(VLOOKUP(D735,Controls!$A$64:$E$74,5,FALSE),"No")="Yes",1,0)</f>
        <v/>
      </c>
      <c r="AI735">
        <f>IF(ISNUMBER(MATCH(D735,Controls!$A$64:$A$74,0)),1,0)</f>
        <v/>
      </c>
      <c r="AJ735">
        <f>Q735-N735</f>
        <v/>
      </c>
      <c r="AK735">
        <f>IF(AE735=1,MAX(0,N735-Q735),0)</f>
        <v/>
      </c>
      <c r="AL735">
        <f>IF(OR(V735="",V735=0),0,N735/V735)</f>
        <v/>
      </c>
      <c r="AM735">
        <f>IF(OR(V735="",V735=0),0,1)</f>
        <v/>
      </c>
      <c r="AN735">
        <f>IF(OR(E735="",F735=""),0,NETWORKDAYS(E735,F735,Ref!$K$2:$K$42))</f>
        <v/>
      </c>
      <c r="AO735">
        <f>IF(L735="Renewal",1,0)</f>
        <v/>
      </c>
      <c r="AP735">
        <f>AC735*AD735</f>
        <v/>
      </c>
      <c r="AQ735">
        <f>IF(AND(G735&lt;&gt;"",'Historical Score'!$C$6&lt;&gt;""),IF(G735='Historical Score'!$C$6,1,0),0)</f>
        <v/>
      </c>
      <c r="AR735">
        <f>IF(AND(L735&lt;&gt;"",'Historical Score'!$C$5&lt;&gt;""),IF(L735='Historical Score'!$C$5,1,0),0)</f>
        <v/>
      </c>
      <c r="AS735">
        <f>IF(AND(Y735&lt;&gt;"",'Historical Score'!$C$7&lt;&gt;""),IF(Y735='Historical Score'!$C$7,1,0),0)</f>
        <v/>
      </c>
      <c r="AT735">
        <f>IF(AND(K735&lt;&gt;"",'Historical Score'!$C$8&lt;&gt;""),IF(K735='Historical Score'!$C$8,1,0),0)</f>
        <v/>
      </c>
      <c r="AU735">
        <f>IF(AND(J735&lt;&gt;"",'Historical Score'!$C$9&lt;&gt;""),IF(J735='Historical Score'!$C$9,1,0),0)</f>
        <v/>
      </c>
      <c r="AV735">
        <f>AR735*AS735*AQ735</f>
        <v/>
      </c>
      <c r="AW735">
        <f>AR735*AT735*AQ735</f>
        <v/>
      </c>
      <c r="AX735">
        <f>AR735*AS735</f>
        <v/>
      </c>
      <c r="AY735">
        <f>AR735*AT735</f>
        <v/>
      </c>
      <c r="AZ735">
        <f>AR735*AQ735</f>
        <v/>
      </c>
      <c r="BA735">
        <f>AR735</f>
        <v/>
      </c>
      <c r="BB735">
        <f>1</f>
        <v/>
      </c>
      <c r="BC735">
        <f>IF(AV735=1,1,IF(AW735=1,2,IF(AX735=1,3,IF(AY735=1,4,IF(AZ735=1,5,IF(BA735=1,6,7))))))</f>
        <v/>
      </c>
      <c r="BD735">
        <f>IF(AD735=1,CHOOSE('Historical Score'!$C$29,AV735,AW735,AX735,AY735,AZ735,BA735,BB735),0)</f>
        <v/>
      </c>
      <c r="BE735">
        <f>IF(BD735=1,COUNTIF($BD$2:BD735,1),"")</f>
        <v/>
      </c>
    </row>
    <row r="736">
      <c r="A736" t="inlineStr">
        <is>
          <t>5674180538</t>
        </is>
      </c>
      <c r="B736" t="inlineStr">
        <is>
          <t>So Baltimore, LLC</t>
        </is>
      </c>
      <c r="C736" t="inlineStr">
        <is>
          <t>So Baltimore, LLC</t>
        </is>
      </c>
      <c r="D736" t="inlineStr">
        <is>
          <t>Lowered Payments</t>
        </is>
      </c>
      <c r="E736" s="297" t="n">
        <v>46101</v>
      </c>
      <c r="F736" s="297" t="n">
        <v>46253</v>
      </c>
      <c r="G736" t="n">
        <v>4</v>
      </c>
      <c r="H736" t="inlineStr">
        <is>
          <t>5812</t>
        </is>
      </c>
      <c r="I736" t="inlineStr">
        <is>
          <t>58</t>
        </is>
      </c>
      <c r="J736" t="inlineStr">
        <is>
          <t>MD</t>
        </is>
      </c>
      <c r="K736" t="inlineStr">
        <is>
          <t>Llama Loan</t>
        </is>
      </c>
      <c r="L736" t="inlineStr">
        <is>
          <t>Renewal</t>
        </is>
      </c>
      <c r="M736" s="298" t="n">
        <v>1.45</v>
      </c>
      <c r="N736" s="299" t="n">
        <v>27000</v>
      </c>
      <c r="O736" s="299" t="n">
        <v>3240</v>
      </c>
      <c r="P736" s="299" t="n">
        <v>39150</v>
      </c>
      <c r="Q736" s="299" t="n">
        <v>14777</v>
      </c>
      <c r="R736" s="299" t="n">
        <v>24373</v>
      </c>
      <c r="S736" s="300" t="n">
        <v>0.377445721583653</v>
      </c>
      <c r="T736" t="n">
        <v>4.59</v>
      </c>
      <c r="U736" t="n">
        <v>4</v>
      </c>
      <c r="V736" t="n">
        <v>82755.78</v>
      </c>
      <c r="W736" s="300" t="n">
        <v>0.1035</v>
      </c>
      <c r="X736" s="297" t="n">
        <v>44378</v>
      </c>
      <c r="Y736">
        <f>IF(I736="","No SIC",IFERROR(VLOOKUP(I736,Ref!$A$2:$B$65,2,FALSE),"Unclassified"))</f>
        <v/>
      </c>
      <c r="Z736">
        <f>IF(T736="","",IF(T736&lt;12,"Daily","Weekly"))</f>
        <v/>
      </c>
      <c r="AA736">
        <f>IF(T736="",0,IF(T736&lt;12,T736*Controls!$B$29,T736*5))</f>
        <v/>
      </c>
      <c r="AB736">
        <f>IF(E736="",0,NETWORKDAYS(E736,Controls!$B$36,Ref!$K$2:$K$42))</f>
        <v/>
      </c>
      <c r="AC736">
        <f>IF(AND(AA736&gt;0,AB736&gt;=Controls!$B$39*AA736),1,0)</f>
        <v/>
      </c>
      <c r="AD736">
        <f>IF(AND(E736&lt;&gt;"",E736&gt;=Controls!$B$37,E736&lt;=Controls!$B$38),1,0)</f>
        <v/>
      </c>
      <c r="AE736">
        <f>IF(IFERROR(VLOOKUP(D736,Controls!$A$64:$E$74,2,FALSE),"No")="Yes",1,0)</f>
        <v/>
      </c>
      <c r="AF736">
        <f>IF(IFERROR(VLOOKUP(D736,Controls!$A$64:$E$74,3,FALSE),"No")="Yes",1,0)</f>
        <v/>
      </c>
      <c r="AG736">
        <f>IF(IFERROR(VLOOKUP(D736,Controls!$A$64:$E$74,4,FALSE),"No")="Yes",1,0)</f>
        <v/>
      </c>
      <c r="AH736">
        <f>IF(IFERROR(VLOOKUP(D736,Controls!$A$64:$E$74,5,FALSE),"No")="Yes",1,0)</f>
        <v/>
      </c>
      <c r="AI736">
        <f>IF(ISNUMBER(MATCH(D736,Controls!$A$64:$A$74,0)),1,0)</f>
        <v/>
      </c>
      <c r="AJ736">
        <f>Q736-N736</f>
        <v/>
      </c>
      <c r="AK736">
        <f>IF(AE736=1,MAX(0,N736-Q736),0)</f>
        <v/>
      </c>
      <c r="AL736">
        <f>IF(OR(V736="",V736=0),0,N736/V736)</f>
        <v/>
      </c>
      <c r="AM736">
        <f>IF(OR(V736="",V736=0),0,1)</f>
        <v/>
      </c>
      <c r="AN736">
        <f>IF(OR(E736="",F736=""),0,NETWORKDAYS(E736,F736,Ref!$K$2:$K$42))</f>
        <v/>
      </c>
      <c r="AO736">
        <f>IF(L736="Renewal",1,0)</f>
        <v/>
      </c>
      <c r="AP736">
        <f>AC736*AD736</f>
        <v/>
      </c>
      <c r="AQ736">
        <f>IF(AND(G736&lt;&gt;"",'Historical Score'!$C$6&lt;&gt;""),IF(G736='Historical Score'!$C$6,1,0),0)</f>
        <v/>
      </c>
      <c r="AR736">
        <f>IF(AND(L736&lt;&gt;"",'Historical Score'!$C$5&lt;&gt;""),IF(L736='Historical Score'!$C$5,1,0),0)</f>
        <v/>
      </c>
      <c r="AS736">
        <f>IF(AND(Y736&lt;&gt;"",'Historical Score'!$C$7&lt;&gt;""),IF(Y736='Historical Score'!$C$7,1,0),0)</f>
        <v/>
      </c>
      <c r="AT736">
        <f>IF(AND(K736&lt;&gt;"",'Historical Score'!$C$8&lt;&gt;""),IF(K736='Historical Score'!$C$8,1,0),0)</f>
        <v/>
      </c>
      <c r="AU736">
        <f>IF(AND(J736&lt;&gt;"",'Historical Score'!$C$9&lt;&gt;""),IF(J736='Historical Score'!$C$9,1,0),0)</f>
        <v/>
      </c>
      <c r="AV736">
        <f>AR736*AS736*AQ736</f>
        <v/>
      </c>
      <c r="AW736">
        <f>AR736*AT736*AQ736</f>
        <v/>
      </c>
      <c r="AX736">
        <f>AR736*AS736</f>
        <v/>
      </c>
      <c r="AY736">
        <f>AR736*AT736</f>
        <v/>
      </c>
      <c r="AZ736">
        <f>AR736*AQ736</f>
        <v/>
      </c>
      <c r="BA736">
        <f>AR736</f>
        <v/>
      </c>
      <c r="BB736">
        <f>1</f>
        <v/>
      </c>
      <c r="BC736">
        <f>IF(AV736=1,1,IF(AW736=1,2,IF(AX736=1,3,IF(AY736=1,4,IF(AZ736=1,5,IF(BA736=1,6,7))))))</f>
        <v/>
      </c>
      <c r="BD736">
        <f>IF(AD736=1,CHOOSE('Historical Score'!$C$29,AV736,AW736,AX736,AY736,AZ736,BA736,BB736),0)</f>
        <v/>
      </c>
      <c r="BE736">
        <f>IF(BD736=1,COUNTIF($BD$2:BD736,1),"")</f>
        <v/>
      </c>
    </row>
    <row r="737">
      <c r="A737" t="inlineStr">
        <is>
          <t>5674180564</t>
        </is>
      </c>
      <c r="B737" t="inlineStr">
        <is>
          <t>ANIMAL MICROBIOME ANALYTICS</t>
        </is>
      </c>
      <c r="C737" t="inlineStr">
        <is>
          <t>Animal Microbiome Analytics, Inc.</t>
        </is>
      </c>
      <c r="D737" t="inlineStr">
        <is>
          <t>Open</t>
        </is>
      </c>
      <c r="E737" s="297" t="n">
        <v>46104</v>
      </c>
      <c r="F737" s="297" t="n">
        <v>46248</v>
      </c>
      <c r="G737" t="n">
        <v>2</v>
      </c>
      <c r="H737" t="inlineStr">
        <is>
          <t>2047</t>
        </is>
      </c>
      <c r="I737" t="inlineStr">
        <is>
          <t>20</t>
        </is>
      </c>
      <c r="J737" t="inlineStr">
        <is>
          <t>CA</t>
        </is>
      </c>
      <c r="K737" t="inlineStr">
        <is>
          <t>Fundwell</t>
        </is>
      </c>
      <c r="L737" t="inlineStr">
        <is>
          <t>New Deal</t>
        </is>
      </c>
      <c r="M737" s="298" t="n">
        <v>1.4</v>
      </c>
      <c r="N737" s="299" t="n">
        <v>300000</v>
      </c>
      <c r="O737" s="299" t="n">
        <v>39000</v>
      </c>
      <c r="P737" s="299" t="n">
        <v>420000</v>
      </c>
      <c r="Q737" s="299" t="n">
        <v>233313.2</v>
      </c>
      <c r="R737" s="299" t="n">
        <v>186686.8</v>
      </c>
      <c r="S737" s="300" t="n">
        <v>0.555507619047619</v>
      </c>
      <c r="T737" t="n">
        <v>36</v>
      </c>
      <c r="U737" t="n">
        <v>1</v>
      </c>
      <c r="V737" t="n">
        <v>1300604.97</v>
      </c>
      <c r="W737" s="300" t="n">
        <v>0.039</v>
      </c>
      <c r="X737" s="297" t="n">
        <v>42628</v>
      </c>
      <c r="Y737">
        <f>IF(I737="","No SIC",IFERROR(VLOOKUP(I737,Ref!$A$2:$B$65,2,FALSE),"Unclassified"))</f>
        <v/>
      </c>
      <c r="Z737">
        <f>IF(T737="","",IF(T737&lt;12,"Daily","Weekly"))</f>
        <v/>
      </c>
      <c r="AA737">
        <f>IF(T737="",0,IF(T737&lt;12,T737*Controls!$B$29,T737*5))</f>
        <v/>
      </c>
      <c r="AB737">
        <f>IF(E737="",0,NETWORKDAYS(E737,Controls!$B$36,Ref!$K$2:$K$42))</f>
        <v/>
      </c>
      <c r="AC737">
        <f>IF(AND(AA737&gt;0,AB737&gt;=Controls!$B$39*AA737),1,0)</f>
        <v/>
      </c>
      <c r="AD737">
        <f>IF(AND(E737&lt;&gt;"",E737&gt;=Controls!$B$37,E737&lt;=Controls!$B$38),1,0)</f>
        <v/>
      </c>
      <c r="AE737">
        <f>IF(IFERROR(VLOOKUP(D737,Controls!$A$64:$E$74,2,FALSE),"No")="Yes",1,0)</f>
        <v/>
      </c>
      <c r="AF737">
        <f>IF(IFERROR(VLOOKUP(D737,Controls!$A$64:$E$74,3,FALSE),"No")="Yes",1,0)</f>
        <v/>
      </c>
      <c r="AG737">
        <f>IF(IFERROR(VLOOKUP(D737,Controls!$A$64:$E$74,4,FALSE),"No")="Yes",1,0)</f>
        <v/>
      </c>
      <c r="AH737">
        <f>IF(IFERROR(VLOOKUP(D737,Controls!$A$64:$E$74,5,FALSE),"No")="Yes",1,0)</f>
        <v/>
      </c>
      <c r="AI737">
        <f>IF(ISNUMBER(MATCH(D737,Controls!$A$64:$A$74,0)),1,0)</f>
        <v/>
      </c>
      <c r="AJ737">
        <f>Q737-N737</f>
        <v/>
      </c>
      <c r="AK737">
        <f>IF(AE737=1,MAX(0,N737-Q737),0)</f>
        <v/>
      </c>
      <c r="AL737">
        <f>IF(OR(V737="",V737=0),0,N737/V737)</f>
        <v/>
      </c>
      <c r="AM737">
        <f>IF(OR(V737="",V737=0),0,1)</f>
        <v/>
      </c>
      <c r="AN737">
        <f>IF(OR(E737="",F737=""),0,NETWORKDAYS(E737,F737,Ref!$K$2:$K$42))</f>
        <v/>
      </c>
      <c r="AO737">
        <f>IF(L737="Renewal",1,0)</f>
        <v/>
      </c>
      <c r="AP737">
        <f>AC737*AD737</f>
        <v/>
      </c>
      <c r="AQ737">
        <f>IF(AND(G737&lt;&gt;"",'Historical Score'!$C$6&lt;&gt;""),IF(G737='Historical Score'!$C$6,1,0),0)</f>
        <v/>
      </c>
      <c r="AR737">
        <f>IF(AND(L737&lt;&gt;"",'Historical Score'!$C$5&lt;&gt;""),IF(L737='Historical Score'!$C$5,1,0),0)</f>
        <v/>
      </c>
      <c r="AS737">
        <f>IF(AND(Y737&lt;&gt;"",'Historical Score'!$C$7&lt;&gt;""),IF(Y737='Historical Score'!$C$7,1,0),0)</f>
        <v/>
      </c>
      <c r="AT737">
        <f>IF(AND(K737&lt;&gt;"",'Historical Score'!$C$8&lt;&gt;""),IF(K737='Historical Score'!$C$8,1,0),0)</f>
        <v/>
      </c>
      <c r="AU737">
        <f>IF(AND(J737&lt;&gt;"",'Historical Score'!$C$9&lt;&gt;""),IF(J737='Historical Score'!$C$9,1,0),0)</f>
        <v/>
      </c>
      <c r="AV737">
        <f>AR737*AS737*AQ737</f>
        <v/>
      </c>
      <c r="AW737">
        <f>AR737*AT737*AQ737</f>
        <v/>
      </c>
      <c r="AX737">
        <f>AR737*AS737</f>
        <v/>
      </c>
      <c r="AY737">
        <f>AR737*AT737</f>
        <v/>
      </c>
      <c r="AZ737">
        <f>AR737*AQ737</f>
        <v/>
      </c>
      <c r="BA737">
        <f>AR737</f>
        <v/>
      </c>
      <c r="BB737">
        <f>1</f>
        <v/>
      </c>
      <c r="BC737">
        <f>IF(AV737=1,1,IF(AW737=1,2,IF(AX737=1,3,IF(AY737=1,4,IF(AZ737=1,5,IF(BA737=1,6,7))))))</f>
        <v/>
      </c>
      <c r="BD737">
        <f>IF(AD737=1,CHOOSE('Historical Score'!$C$29,AV737,AW737,AX737,AY737,AZ737,BA737,BB737),0)</f>
        <v/>
      </c>
      <c r="BE737">
        <f>IF(BD737=1,COUNTIF($BD$2:BD737,1),"")</f>
        <v/>
      </c>
    </row>
    <row r="738">
      <c r="A738" t="inlineStr">
        <is>
          <t>5674180572</t>
        </is>
      </c>
      <c r="B738" t="inlineStr">
        <is>
          <t>Virtuous Vices LLC</t>
        </is>
      </c>
      <c r="C738" t="inlineStr">
        <is>
          <t>Virtuous Vices LLC</t>
        </is>
      </c>
      <c r="D738" t="inlineStr">
        <is>
          <t>Legal</t>
        </is>
      </c>
      <c r="E738" s="297" t="n">
        <v>46104</v>
      </c>
      <c r="F738" s="297" t="n">
        <v>46181</v>
      </c>
      <c r="G738" t="n">
        <v>3</v>
      </c>
      <c r="H738" t="inlineStr">
        <is>
          <t>5999</t>
        </is>
      </c>
      <c r="I738" t="inlineStr">
        <is>
          <t>59</t>
        </is>
      </c>
      <c r="J738" t="inlineStr">
        <is>
          <t>CA</t>
        </is>
      </c>
      <c r="K738" t="inlineStr">
        <is>
          <t>Capital 1 Group LLC DBA Tier One Financing LLC</t>
        </is>
      </c>
      <c r="L738" t="inlineStr">
        <is>
          <t>New Deal</t>
        </is>
      </c>
      <c r="M738" s="298" t="n">
        <v>1.38</v>
      </c>
      <c r="N738" s="299" t="n">
        <v>15000</v>
      </c>
      <c r="O738" s="299" t="n">
        <v>1575</v>
      </c>
      <c r="P738" s="299" t="n">
        <v>20700</v>
      </c>
      <c r="Q738" s="299" t="n">
        <v>4924.52</v>
      </c>
      <c r="R738" s="299" t="n">
        <v>15775.48</v>
      </c>
      <c r="S738" s="300" t="n">
        <v>0.237899516908213</v>
      </c>
      <c r="T738" t="n">
        <v>3.279</v>
      </c>
      <c r="U738" t="n">
        <v>25</v>
      </c>
      <c r="V738" t="n">
        <v>177014.65</v>
      </c>
      <c r="W738" s="300" t="n"/>
      <c r="X738" s="297" t="n">
        <v>42416</v>
      </c>
      <c r="Y738">
        <f>IF(I738="","No SIC",IFERROR(VLOOKUP(I738,Ref!$A$2:$B$65,2,FALSE),"Unclassified"))</f>
        <v/>
      </c>
      <c r="Z738">
        <f>IF(T738="","",IF(T738&lt;12,"Daily","Weekly"))</f>
        <v/>
      </c>
      <c r="AA738">
        <f>IF(T738="",0,IF(T738&lt;12,T738*Controls!$B$29,T738*5))</f>
        <v/>
      </c>
      <c r="AB738">
        <f>IF(E738="",0,NETWORKDAYS(E738,Controls!$B$36,Ref!$K$2:$K$42))</f>
        <v/>
      </c>
      <c r="AC738">
        <f>IF(AND(AA738&gt;0,AB738&gt;=Controls!$B$39*AA738),1,0)</f>
        <v/>
      </c>
      <c r="AD738">
        <f>IF(AND(E738&lt;&gt;"",E738&gt;=Controls!$B$37,E738&lt;=Controls!$B$38),1,0)</f>
        <v/>
      </c>
      <c r="AE738">
        <f>IF(IFERROR(VLOOKUP(D738,Controls!$A$64:$E$74,2,FALSE),"No")="Yes",1,0)</f>
        <v/>
      </c>
      <c r="AF738">
        <f>IF(IFERROR(VLOOKUP(D738,Controls!$A$64:$E$74,3,FALSE),"No")="Yes",1,0)</f>
        <v/>
      </c>
      <c r="AG738">
        <f>IF(IFERROR(VLOOKUP(D738,Controls!$A$64:$E$74,4,FALSE),"No")="Yes",1,0)</f>
        <v/>
      </c>
      <c r="AH738">
        <f>IF(IFERROR(VLOOKUP(D738,Controls!$A$64:$E$74,5,FALSE),"No")="Yes",1,0)</f>
        <v/>
      </c>
      <c r="AI738">
        <f>IF(ISNUMBER(MATCH(D738,Controls!$A$64:$A$74,0)),1,0)</f>
        <v/>
      </c>
      <c r="AJ738">
        <f>Q738-N738</f>
        <v/>
      </c>
      <c r="AK738">
        <f>IF(AE738=1,MAX(0,N738-Q738),0)</f>
        <v/>
      </c>
      <c r="AL738">
        <f>IF(OR(V738="",V738=0),0,N738/V738)</f>
        <v/>
      </c>
      <c r="AM738">
        <f>IF(OR(V738="",V738=0),0,1)</f>
        <v/>
      </c>
      <c r="AN738">
        <f>IF(OR(E738="",F738=""),0,NETWORKDAYS(E738,F738,Ref!$K$2:$K$42))</f>
        <v/>
      </c>
      <c r="AO738">
        <f>IF(L738="Renewal",1,0)</f>
        <v/>
      </c>
      <c r="AP738">
        <f>AC738*AD738</f>
        <v/>
      </c>
      <c r="AQ738">
        <f>IF(AND(G738&lt;&gt;"",'Historical Score'!$C$6&lt;&gt;""),IF(G738='Historical Score'!$C$6,1,0),0)</f>
        <v/>
      </c>
      <c r="AR738">
        <f>IF(AND(L738&lt;&gt;"",'Historical Score'!$C$5&lt;&gt;""),IF(L738='Historical Score'!$C$5,1,0),0)</f>
        <v/>
      </c>
      <c r="AS738">
        <f>IF(AND(Y738&lt;&gt;"",'Historical Score'!$C$7&lt;&gt;""),IF(Y738='Historical Score'!$C$7,1,0),0)</f>
        <v/>
      </c>
      <c r="AT738">
        <f>IF(AND(K738&lt;&gt;"",'Historical Score'!$C$8&lt;&gt;""),IF(K738='Historical Score'!$C$8,1,0),0)</f>
        <v/>
      </c>
      <c r="AU738">
        <f>IF(AND(J738&lt;&gt;"",'Historical Score'!$C$9&lt;&gt;""),IF(J738='Historical Score'!$C$9,1,0),0)</f>
        <v/>
      </c>
      <c r="AV738">
        <f>AR738*AS738*AQ738</f>
        <v/>
      </c>
      <c r="AW738">
        <f>AR738*AT738*AQ738</f>
        <v/>
      </c>
      <c r="AX738">
        <f>AR738*AS738</f>
        <v/>
      </c>
      <c r="AY738">
        <f>AR738*AT738</f>
        <v/>
      </c>
      <c r="AZ738">
        <f>AR738*AQ738</f>
        <v/>
      </c>
      <c r="BA738">
        <f>AR738</f>
        <v/>
      </c>
      <c r="BB738">
        <f>1</f>
        <v/>
      </c>
      <c r="BC738">
        <f>IF(AV738=1,1,IF(AW738=1,2,IF(AX738=1,3,IF(AY738=1,4,IF(AZ738=1,5,IF(BA738=1,6,7))))))</f>
        <v/>
      </c>
      <c r="BD738">
        <f>IF(AD738=1,CHOOSE('Historical Score'!$C$29,AV738,AW738,AX738,AY738,AZ738,BA738,BB738),0)</f>
        <v/>
      </c>
      <c r="BE738">
        <f>IF(BD738=1,COUNTIF($BD$2:BD738,1),"")</f>
        <v/>
      </c>
    </row>
    <row r="739">
      <c r="A739" t="inlineStr">
        <is>
          <t>5674180590</t>
        </is>
      </c>
      <c r="B739" t="inlineStr">
        <is>
          <t>TTC EVENTS</t>
        </is>
      </c>
      <c r="C739" t="inlineStr">
        <is>
          <t>THAT TEXAS CREW LLC</t>
        </is>
      </c>
      <c r="D739" t="inlineStr">
        <is>
          <t>Closed</t>
        </is>
      </c>
      <c r="E739" s="297" t="n">
        <v>46104</v>
      </c>
      <c r="F739" s="297" t="n">
        <v>46140</v>
      </c>
      <c r="G739" t="n">
        <v>1</v>
      </c>
      <c r="H739" t="inlineStr">
        <is>
          <t>7991</t>
        </is>
      </c>
      <c r="I739" t="inlineStr">
        <is>
          <t>79</t>
        </is>
      </c>
      <c r="J739" t="inlineStr">
        <is>
          <t>TX</t>
        </is>
      </c>
      <c r="K739" t="inlineStr">
        <is>
          <t>Lemonaid</t>
        </is>
      </c>
      <c r="L739" t="inlineStr">
        <is>
          <t>New Deal</t>
        </is>
      </c>
      <c r="M739" s="298" t="n">
        <v>1.3899888</v>
      </c>
      <c r="N739" s="299" t="n">
        <v>50000</v>
      </c>
      <c r="O739" s="299" t="n">
        <v>7000</v>
      </c>
      <c r="P739" s="299" t="n">
        <v>69499.44</v>
      </c>
      <c r="Q739" s="299" t="n">
        <v>69499.44</v>
      </c>
      <c r="R739" s="299" t="n">
        <v>0</v>
      </c>
      <c r="S739" s="300" t="n">
        <v>1</v>
      </c>
      <c r="T739" t="n">
        <v>35</v>
      </c>
      <c r="U739" t="n">
        <v>0</v>
      </c>
      <c r="V739" t="n">
        <v>56029.2</v>
      </c>
      <c r="W739" s="300" t="n">
        <v>0.152</v>
      </c>
      <c r="X739" s="297" t="n">
        <v>45444</v>
      </c>
      <c r="Y739">
        <f>IF(I739="","No SIC",IFERROR(VLOOKUP(I739,Ref!$A$2:$B$65,2,FALSE),"Unclassified"))</f>
        <v/>
      </c>
      <c r="Z739">
        <f>IF(T739="","",IF(T739&lt;12,"Daily","Weekly"))</f>
        <v/>
      </c>
      <c r="AA739">
        <f>IF(T739="",0,IF(T739&lt;12,T739*Controls!$B$29,T739*5))</f>
        <v/>
      </c>
      <c r="AB739">
        <f>IF(E739="",0,NETWORKDAYS(E739,Controls!$B$36,Ref!$K$2:$K$42))</f>
        <v/>
      </c>
      <c r="AC739">
        <f>IF(AND(AA739&gt;0,AB739&gt;=Controls!$B$39*AA739),1,0)</f>
        <v/>
      </c>
      <c r="AD739">
        <f>IF(AND(E739&lt;&gt;"",E739&gt;=Controls!$B$37,E739&lt;=Controls!$B$38),1,0)</f>
        <v/>
      </c>
      <c r="AE739">
        <f>IF(IFERROR(VLOOKUP(D739,Controls!$A$64:$E$74,2,FALSE),"No")="Yes",1,0)</f>
        <v/>
      </c>
      <c r="AF739">
        <f>IF(IFERROR(VLOOKUP(D739,Controls!$A$64:$E$74,3,FALSE),"No")="Yes",1,0)</f>
        <v/>
      </c>
      <c r="AG739">
        <f>IF(IFERROR(VLOOKUP(D739,Controls!$A$64:$E$74,4,FALSE),"No")="Yes",1,0)</f>
        <v/>
      </c>
      <c r="AH739">
        <f>IF(IFERROR(VLOOKUP(D739,Controls!$A$64:$E$74,5,FALSE),"No")="Yes",1,0)</f>
        <v/>
      </c>
      <c r="AI739">
        <f>IF(ISNUMBER(MATCH(D739,Controls!$A$64:$A$74,0)),1,0)</f>
        <v/>
      </c>
      <c r="AJ739">
        <f>Q739-N739</f>
        <v/>
      </c>
      <c r="AK739">
        <f>IF(AE739=1,MAX(0,N739-Q739),0)</f>
        <v/>
      </c>
      <c r="AL739">
        <f>IF(OR(V739="",V739=0),0,N739/V739)</f>
        <v/>
      </c>
      <c r="AM739">
        <f>IF(OR(V739="",V739=0),0,1)</f>
        <v/>
      </c>
      <c r="AN739">
        <f>IF(OR(E739="",F739=""),0,NETWORKDAYS(E739,F739,Ref!$K$2:$K$42))</f>
        <v/>
      </c>
      <c r="AO739">
        <f>IF(L739="Renewal",1,0)</f>
        <v/>
      </c>
      <c r="AP739">
        <f>AC739*AD739</f>
        <v/>
      </c>
      <c r="AQ739">
        <f>IF(AND(G739&lt;&gt;"",'Historical Score'!$C$6&lt;&gt;""),IF(G739='Historical Score'!$C$6,1,0),0)</f>
        <v/>
      </c>
      <c r="AR739">
        <f>IF(AND(L739&lt;&gt;"",'Historical Score'!$C$5&lt;&gt;""),IF(L739='Historical Score'!$C$5,1,0),0)</f>
        <v/>
      </c>
      <c r="AS739">
        <f>IF(AND(Y739&lt;&gt;"",'Historical Score'!$C$7&lt;&gt;""),IF(Y739='Historical Score'!$C$7,1,0),0)</f>
        <v/>
      </c>
      <c r="AT739">
        <f>IF(AND(K739&lt;&gt;"",'Historical Score'!$C$8&lt;&gt;""),IF(K739='Historical Score'!$C$8,1,0),0)</f>
        <v/>
      </c>
      <c r="AU739">
        <f>IF(AND(J739&lt;&gt;"",'Historical Score'!$C$9&lt;&gt;""),IF(J739='Historical Score'!$C$9,1,0),0)</f>
        <v/>
      </c>
      <c r="AV739">
        <f>AR739*AS739*AQ739</f>
        <v/>
      </c>
      <c r="AW739">
        <f>AR739*AT739*AQ739</f>
        <v/>
      </c>
      <c r="AX739">
        <f>AR739*AS739</f>
        <v/>
      </c>
      <c r="AY739">
        <f>AR739*AT739</f>
        <v/>
      </c>
      <c r="AZ739">
        <f>AR739*AQ739</f>
        <v/>
      </c>
      <c r="BA739">
        <f>AR739</f>
        <v/>
      </c>
      <c r="BB739">
        <f>1</f>
        <v/>
      </c>
      <c r="BC739">
        <f>IF(AV739=1,1,IF(AW739=1,2,IF(AX739=1,3,IF(AY739=1,4,IF(AZ739=1,5,IF(BA739=1,6,7))))))</f>
        <v/>
      </c>
      <c r="BD739">
        <f>IF(AD739=1,CHOOSE('Historical Score'!$C$29,AV739,AW739,AX739,AY739,AZ739,BA739,BB739),0)</f>
        <v/>
      </c>
      <c r="BE739">
        <f>IF(BD739=1,COUNTIF($BD$2:BD739,1),"")</f>
        <v/>
      </c>
    </row>
    <row r="740">
      <c r="A740" t="inlineStr">
        <is>
          <t>5674180677</t>
        </is>
      </c>
      <c r="B740" t="inlineStr">
        <is>
          <t>BLACKSTACK SECURITY DBA AARON EDWARD BLACK SOLE MBR</t>
        </is>
      </c>
      <c r="C740" t="inlineStr">
        <is>
          <t>BLACKSTACK SECURITY SERVICES LLC</t>
        </is>
      </c>
      <c r="D740" t="inlineStr">
        <is>
          <t>Closed</t>
        </is>
      </c>
      <c r="E740" s="297" t="n">
        <v>46105</v>
      </c>
      <c r="F740" s="297" t="n">
        <v>46133</v>
      </c>
      <c r="G740" t="n">
        <v>4</v>
      </c>
      <c r="H740" t="inlineStr">
        <is>
          <t>6231</t>
        </is>
      </c>
      <c r="I740" t="inlineStr">
        <is>
          <t>62</t>
        </is>
      </c>
      <c r="J740" t="inlineStr">
        <is>
          <t>MO</t>
        </is>
      </c>
      <c r="K740" t="inlineStr">
        <is>
          <t>J Capital Solutions</t>
        </is>
      </c>
      <c r="L740" t="inlineStr">
        <is>
          <t>New Deal</t>
        </is>
      </c>
      <c r="M740" s="298" t="n">
        <v>1.44556942</v>
      </c>
      <c r="N740" s="299" t="n">
        <v>120000</v>
      </c>
      <c r="O740" s="299" t="n">
        <v>16800</v>
      </c>
      <c r="P740" s="299" t="n">
        <v>173468.3304</v>
      </c>
      <c r="Q740" s="299" t="n">
        <v>173468.33</v>
      </c>
      <c r="R740" s="299" t="n">
        <v>0.000400000018998981</v>
      </c>
      <c r="S740" s="300" t="n">
        <v>0.999999997694104</v>
      </c>
      <c r="T740" t="n">
        <v>32</v>
      </c>
      <c r="U740" t="n">
        <v>0</v>
      </c>
      <c r="V740" t="n">
        <v>137728.39</v>
      </c>
      <c r="W740" s="300" t="n">
        <v>0.1623</v>
      </c>
      <c r="X740" s="297" t="n">
        <v>45117</v>
      </c>
      <c r="Y740">
        <f>IF(I740="","No SIC",IFERROR(VLOOKUP(I740,Ref!$A$2:$B$65,2,FALSE),"Unclassified"))</f>
        <v/>
      </c>
      <c r="Z740">
        <f>IF(T740="","",IF(T740&lt;12,"Daily","Weekly"))</f>
        <v/>
      </c>
      <c r="AA740">
        <f>IF(T740="",0,IF(T740&lt;12,T740*Controls!$B$29,T740*5))</f>
        <v/>
      </c>
      <c r="AB740">
        <f>IF(E740="",0,NETWORKDAYS(E740,Controls!$B$36,Ref!$K$2:$K$42))</f>
        <v/>
      </c>
      <c r="AC740">
        <f>IF(AND(AA740&gt;0,AB740&gt;=Controls!$B$39*AA740),1,0)</f>
        <v/>
      </c>
      <c r="AD740">
        <f>IF(AND(E740&lt;&gt;"",E740&gt;=Controls!$B$37,E740&lt;=Controls!$B$38),1,0)</f>
        <v/>
      </c>
      <c r="AE740">
        <f>IF(IFERROR(VLOOKUP(D740,Controls!$A$64:$E$74,2,FALSE),"No")="Yes",1,0)</f>
        <v/>
      </c>
      <c r="AF740">
        <f>IF(IFERROR(VLOOKUP(D740,Controls!$A$64:$E$74,3,FALSE),"No")="Yes",1,0)</f>
        <v/>
      </c>
      <c r="AG740">
        <f>IF(IFERROR(VLOOKUP(D740,Controls!$A$64:$E$74,4,FALSE),"No")="Yes",1,0)</f>
        <v/>
      </c>
      <c r="AH740">
        <f>IF(IFERROR(VLOOKUP(D740,Controls!$A$64:$E$74,5,FALSE),"No")="Yes",1,0)</f>
        <v/>
      </c>
      <c r="AI740">
        <f>IF(ISNUMBER(MATCH(D740,Controls!$A$64:$A$74,0)),1,0)</f>
        <v/>
      </c>
      <c r="AJ740">
        <f>Q740-N740</f>
        <v/>
      </c>
      <c r="AK740">
        <f>IF(AE740=1,MAX(0,N740-Q740),0)</f>
        <v/>
      </c>
      <c r="AL740">
        <f>IF(OR(V740="",V740=0),0,N740/V740)</f>
        <v/>
      </c>
      <c r="AM740">
        <f>IF(OR(V740="",V740=0),0,1)</f>
        <v/>
      </c>
      <c r="AN740">
        <f>IF(OR(E740="",F740=""),0,NETWORKDAYS(E740,F740,Ref!$K$2:$K$42))</f>
        <v/>
      </c>
      <c r="AO740">
        <f>IF(L740="Renewal",1,0)</f>
        <v/>
      </c>
      <c r="AP740">
        <f>AC740*AD740</f>
        <v/>
      </c>
      <c r="AQ740">
        <f>IF(AND(G740&lt;&gt;"",'Historical Score'!$C$6&lt;&gt;""),IF(G740='Historical Score'!$C$6,1,0),0)</f>
        <v/>
      </c>
      <c r="AR740">
        <f>IF(AND(L740&lt;&gt;"",'Historical Score'!$C$5&lt;&gt;""),IF(L740='Historical Score'!$C$5,1,0),0)</f>
        <v/>
      </c>
      <c r="AS740">
        <f>IF(AND(Y740&lt;&gt;"",'Historical Score'!$C$7&lt;&gt;""),IF(Y740='Historical Score'!$C$7,1,0),0)</f>
        <v/>
      </c>
      <c r="AT740">
        <f>IF(AND(K740&lt;&gt;"",'Historical Score'!$C$8&lt;&gt;""),IF(K740='Historical Score'!$C$8,1,0),0)</f>
        <v/>
      </c>
      <c r="AU740">
        <f>IF(AND(J740&lt;&gt;"",'Historical Score'!$C$9&lt;&gt;""),IF(J740='Historical Score'!$C$9,1,0),0)</f>
        <v/>
      </c>
      <c r="AV740">
        <f>AR740*AS740*AQ740</f>
        <v/>
      </c>
      <c r="AW740">
        <f>AR740*AT740*AQ740</f>
        <v/>
      </c>
      <c r="AX740">
        <f>AR740*AS740</f>
        <v/>
      </c>
      <c r="AY740">
        <f>AR740*AT740</f>
        <v/>
      </c>
      <c r="AZ740">
        <f>AR740*AQ740</f>
        <v/>
      </c>
      <c r="BA740">
        <f>AR740</f>
        <v/>
      </c>
      <c r="BB740">
        <f>1</f>
        <v/>
      </c>
      <c r="BC740">
        <f>IF(AV740=1,1,IF(AW740=1,2,IF(AX740=1,3,IF(AY740=1,4,IF(AZ740=1,5,IF(BA740=1,6,7))))))</f>
        <v/>
      </c>
      <c r="BD740">
        <f>IF(AD740=1,CHOOSE('Historical Score'!$C$29,AV740,AW740,AX740,AY740,AZ740,BA740,BB740),0)</f>
        <v/>
      </c>
      <c r="BE740">
        <f>IF(BD740=1,COUNTIF($BD$2:BD740,1),"")</f>
        <v/>
      </c>
    </row>
    <row r="741">
      <c r="A741" t="inlineStr">
        <is>
          <t>5674180689</t>
        </is>
      </c>
      <c r="B741" t="inlineStr">
        <is>
          <t>WO-BO FARMS</t>
        </is>
      </c>
      <c r="C741" t="inlineStr">
        <is>
          <t>DAVID R WOLFINGER</t>
        </is>
      </c>
      <c r="D741" t="inlineStr">
        <is>
          <t>Closed</t>
        </is>
      </c>
      <c r="E741" s="297" t="n">
        <v>46105</v>
      </c>
      <c r="F741" s="297" t="n">
        <v>46237</v>
      </c>
      <c r="G741" t="n">
        <v>3</v>
      </c>
      <c r="H741" t="inlineStr">
        <is>
          <t>5999</t>
        </is>
      </c>
      <c r="I741" t="inlineStr">
        <is>
          <t>59</t>
        </is>
      </c>
      <c r="J741" t="inlineStr">
        <is>
          <t>PA</t>
        </is>
      </c>
      <c r="K741" t="inlineStr">
        <is>
          <t>Ballicci</t>
        </is>
      </c>
      <c r="L741" t="inlineStr">
        <is>
          <t>New Deal</t>
        </is>
      </c>
      <c r="M741" s="298" t="n">
        <v>1.48</v>
      </c>
      <c r="N741" s="299" t="n">
        <v>15000</v>
      </c>
      <c r="O741" s="299" t="n">
        <v>2175</v>
      </c>
      <c r="P741" s="299" t="n">
        <v>22200</v>
      </c>
      <c r="Q741" s="299" t="n">
        <v>22200</v>
      </c>
      <c r="R741" s="299" t="n">
        <v>0</v>
      </c>
      <c r="S741" s="300" t="n">
        <v>1</v>
      </c>
      <c r="T741" t="n">
        <v>24</v>
      </c>
      <c r="U741" t="n">
        <v>0</v>
      </c>
      <c r="V741" t="n">
        <v>34518.42</v>
      </c>
      <c r="W741" s="300" t="n">
        <v>0.1072</v>
      </c>
      <c r="X741" s="297" t="n">
        <v>28856</v>
      </c>
      <c r="Y741">
        <f>IF(I741="","No SIC",IFERROR(VLOOKUP(I741,Ref!$A$2:$B$65,2,FALSE),"Unclassified"))</f>
        <v/>
      </c>
      <c r="Z741">
        <f>IF(T741="","",IF(T741&lt;12,"Daily","Weekly"))</f>
        <v/>
      </c>
      <c r="AA741">
        <f>IF(T741="",0,IF(T741&lt;12,T741*Controls!$B$29,T741*5))</f>
        <v/>
      </c>
      <c r="AB741">
        <f>IF(E741="",0,NETWORKDAYS(E741,Controls!$B$36,Ref!$K$2:$K$42))</f>
        <v/>
      </c>
      <c r="AC741">
        <f>IF(AND(AA741&gt;0,AB741&gt;=Controls!$B$39*AA741),1,0)</f>
        <v/>
      </c>
      <c r="AD741">
        <f>IF(AND(E741&lt;&gt;"",E741&gt;=Controls!$B$37,E741&lt;=Controls!$B$38),1,0)</f>
        <v/>
      </c>
      <c r="AE741">
        <f>IF(IFERROR(VLOOKUP(D741,Controls!$A$64:$E$74,2,FALSE),"No")="Yes",1,0)</f>
        <v/>
      </c>
      <c r="AF741">
        <f>IF(IFERROR(VLOOKUP(D741,Controls!$A$64:$E$74,3,FALSE),"No")="Yes",1,0)</f>
        <v/>
      </c>
      <c r="AG741">
        <f>IF(IFERROR(VLOOKUP(D741,Controls!$A$64:$E$74,4,FALSE),"No")="Yes",1,0)</f>
        <v/>
      </c>
      <c r="AH741">
        <f>IF(IFERROR(VLOOKUP(D741,Controls!$A$64:$E$74,5,FALSE),"No")="Yes",1,0)</f>
        <v/>
      </c>
      <c r="AI741">
        <f>IF(ISNUMBER(MATCH(D741,Controls!$A$64:$A$74,0)),1,0)</f>
        <v/>
      </c>
      <c r="AJ741">
        <f>Q741-N741</f>
        <v/>
      </c>
      <c r="AK741">
        <f>IF(AE741=1,MAX(0,N741-Q741),0)</f>
        <v/>
      </c>
      <c r="AL741">
        <f>IF(OR(V741="",V741=0),0,N741/V741)</f>
        <v/>
      </c>
      <c r="AM741">
        <f>IF(OR(V741="",V741=0),0,1)</f>
        <v/>
      </c>
      <c r="AN741">
        <f>IF(OR(E741="",F741=""),0,NETWORKDAYS(E741,F741,Ref!$K$2:$K$42))</f>
        <v/>
      </c>
      <c r="AO741">
        <f>IF(L741="Renewal",1,0)</f>
        <v/>
      </c>
      <c r="AP741">
        <f>AC741*AD741</f>
        <v/>
      </c>
      <c r="AQ741">
        <f>IF(AND(G741&lt;&gt;"",'Historical Score'!$C$6&lt;&gt;""),IF(G741='Historical Score'!$C$6,1,0),0)</f>
        <v/>
      </c>
      <c r="AR741">
        <f>IF(AND(L741&lt;&gt;"",'Historical Score'!$C$5&lt;&gt;""),IF(L741='Historical Score'!$C$5,1,0),0)</f>
        <v/>
      </c>
      <c r="AS741">
        <f>IF(AND(Y741&lt;&gt;"",'Historical Score'!$C$7&lt;&gt;""),IF(Y741='Historical Score'!$C$7,1,0),0)</f>
        <v/>
      </c>
      <c r="AT741">
        <f>IF(AND(K741&lt;&gt;"",'Historical Score'!$C$8&lt;&gt;""),IF(K741='Historical Score'!$C$8,1,0),0)</f>
        <v/>
      </c>
      <c r="AU741">
        <f>IF(AND(J741&lt;&gt;"",'Historical Score'!$C$9&lt;&gt;""),IF(J741='Historical Score'!$C$9,1,0),0)</f>
        <v/>
      </c>
      <c r="AV741">
        <f>AR741*AS741*AQ741</f>
        <v/>
      </c>
      <c r="AW741">
        <f>AR741*AT741*AQ741</f>
        <v/>
      </c>
      <c r="AX741">
        <f>AR741*AS741</f>
        <v/>
      </c>
      <c r="AY741">
        <f>AR741*AT741</f>
        <v/>
      </c>
      <c r="AZ741">
        <f>AR741*AQ741</f>
        <v/>
      </c>
      <c r="BA741">
        <f>AR741</f>
        <v/>
      </c>
      <c r="BB741">
        <f>1</f>
        <v/>
      </c>
      <c r="BC741">
        <f>IF(AV741=1,1,IF(AW741=1,2,IF(AX741=1,3,IF(AY741=1,4,IF(AZ741=1,5,IF(BA741=1,6,7))))))</f>
        <v/>
      </c>
      <c r="BD741">
        <f>IF(AD741=1,CHOOSE('Historical Score'!$C$29,AV741,AW741,AX741,AY741,AZ741,BA741,BB741),0)</f>
        <v/>
      </c>
      <c r="BE741">
        <f>IF(BD741=1,COUNTIF($BD$2:BD741,1),"")</f>
        <v/>
      </c>
    </row>
    <row r="742">
      <c r="A742" t="inlineStr">
        <is>
          <t>5674180710</t>
        </is>
      </c>
      <c r="B742" t="inlineStr">
        <is>
          <t>Green Living Freight</t>
        </is>
      </c>
      <c r="C742" t="inlineStr">
        <is>
          <t>The Green Living Freight Inc.</t>
        </is>
      </c>
      <c r="D742" t="inlineStr">
        <is>
          <t>In House Collection</t>
        </is>
      </c>
      <c r="E742" s="297" t="n">
        <v>46105</v>
      </c>
      <c r="F742" s="297" t="n">
        <v>46253</v>
      </c>
      <c r="G742" t="n">
        <v>3</v>
      </c>
      <c r="H742" t="inlineStr">
        <is>
          <t>4213</t>
        </is>
      </c>
      <c r="I742" t="inlineStr">
        <is>
          <t>42</t>
        </is>
      </c>
      <c r="J742" t="inlineStr">
        <is>
          <t>IL</t>
        </is>
      </c>
      <c r="K742" t="inlineStr">
        <is>
          <t>Fundible</t>
        </is>
      </c>
      <c r="L742" t="inlineStr">
        <is>
          <t>New Deal</t>
        </is>
      </c>
      <c r="M742" s="298" t="n">
        <v>1.4525</v>
      </c>
      <c r="N742" s="299" t="n">
        <v>40000</v>
      </c>
      <c r="O742" s="299" t="n">
        <v>0</v>
      </c>
      <c r="P742" s="299" t="n">
        <v>58100</v>
      </c>
      <c r="Q742" s="299" t="n">
        <v>24751.65</v>
      </c>
      <c r="R742" s="299" t="n">
        <v>33348.35</v>
      </c>
      <c r="S742" s="300" t="n">
        <v>0.426018072289157</v>
      </c>
      <c r="T742" t="n">
        <v>24</v>
      </c>
      <c r="U742" t="n">
        <v>1</v>
      </c>
      <c r="V742" t="n">
        <v>189983.54</v>
      </c>
      <c r="W742" s="300" t="n">
        <v>0.0488</v>
      </c>
      <c r="X742" s="297" t="n">
        <v>39521</v>
      </c>
      <c r="Y742">
        <f>IF(I742="","No SIC",IFERROR(VLOOKUP(I742,Ref!$A$2:$B$65,2,FALSE),"Unclassified"))</f>
        <v/>
      </c>
      <c r="Z742">
        <f>IF(T742="","",IF(T742&lt;12,"Daily","Weekly"))</f>
        <v/>
      </c>
      <c r="AA742">
        <f>IF(T742="",0,IF(T742&lt;12,T742*Controls!$B$29,T742*5))</f>
        <v/>
      </c>
      <c r="AB742">
        <f>IF(E742="",0,NETWORKDAYS(E742,Controls!$B$36,Ref!$K$2:$K$42))</f>
        <v/>
      </c>
      <c r="AC742">
        <f>IF(AND(AA742&gt;0,AB742&gt;=Controls!$B$39*AA742),1,0)</f>
        <v/>
      </c>
      <c r="AD742">
        <f>IF(AND(E742&lt;&gt;"",E742&gt;=Controls!$B$37,E742&lt;=Controls!$B$38),1,0)</f>
        <v/>
      </c>
      <c r="AE742">
        <f>IF(IFERROR(VLOOKUP(D742,Controls!$A$64:$E$74,2,FALSE),"No")="Yes",1,0)</f>
        <v/>
      </c>
      <c r="AF742">
        <f>IF(IFERROR(VLOOKUP(D742,Controls!$A$64:$E$74,3,FALSE),"No")="Yes",1,0)</f>
        <v/>
      </c>
      <c r="AG742">
        <f>IF(IFERROR(VLOOKUP(D742,Controls!$A$64:$E$74,4,FALSE),"No")="Yes",1,0)</f>
        <v/>
      </c>
      <c r="AH742">
        <f>IF(IFERROR(VLOOKUP(D742,Controls!$A$64:$E$74,5,FALSE),"No")="Yes",1,0)</f>
        <v/>
      </c>
      <c r="AI742">
        <f>IF(ISNUMBER(MATCH(D742,Controls!$A$64:$A$74,0)),1,0)</f>
        <v/>
      </c>
      <c r="AJ742">
        <f>Q742-N742</f>
        <v/>
      </c>
      <c r="AK742">
        <f>IF(AE742=1,MAX(0,N742-Q742),0)</f>
        <v/>
      </c>
      <c r="AL742">
        <f>IF(OR(V742="",V742=0),0,N742/V742)</f>
        <v/>
      </c>
      <c r="AM742">
        <f>IF(OR(V742="",V742=0),0,1)</f>
        <v/>
      </c>
      <c r="AN742">
        <f>IF(OR(E742="",F742=""),0,NETWORKDAYS(E742,F742,Ref!$K$2:$K$42))</f>
        <v/>
      </c>
      <c r="AO742">
        <f>IF(L742="Renewal",1,0)</f>
        <v/>
      </c>
      <c r="AP742">
        <f>AC742*AD742</f>
        <v/>
      </c>
      <c r="AQ742">
        <f>IF(AND(G742&lt;&gt;"",'Historical Score'!$C$6&lt;&gt;""),IF(G742='Historical Score'!$C$6,1,0),0)</f>
        <v/>
      </c>
      <c r="AR742">
        <f>IF(AND(L742&lt;&gt;"",'Historical Score'!$C$5&lt;&gt;""),IF(L742='Historical Score'!$C$5,1,0),0)</f>
        <v/>
      </c>
      <c r="AS742">
        <f>IF(AND(Y742&lt;&gt;"",'Historical Score'!$C$7&lt;&gt;""),IF(Y742='Historical Score'!$C$7,1,0),0)</f>
        <v/>
      </c>
      <c r="AT742">
        <f>IF(AND(K742&lt;&gt;"",'Historical Score'!$C$8&lt;&gt;""),IF(K742='Historical Score'!$C$8,1,0),0)</f>
        <v/>
      </c>
      <c r="AU742">
        <f>IF(AND(J742&lt;&gt;"",'Historical Score'!$C$9&lt;&gt;""),IF(J742='Historical Score'!$C$9,1,0),0)</f>
        <v/>
      </c>
      <c r="AV742">
        <f>AR742*AS742*AQ742</f>
        <v/>
      </c>
      <c r="AW742">
        <f>AR742*AT742*AQ742</f>
        <v/>
      </c>
      <c r="AX742">
        <f>AR742*AS742</f>
        <v/>
      </c>
      <c r="AY742">
        <f>AR742*AT742</f>
        <v/>
      </c>
      <c r="AZ742">
        <f>AR742*AQ742</f>
        <v/>
      </c>
      <c r="BA742">
        <f>AR742</f>
        <v/>
      </c>
      <c r="BB742">
        <f>1</f>
        <v/>
      </c>
      <c r="BC742">
        <f>IF(AV742=1,1,IF(AW742=1,2,IF(AX742=1,3,IF(AY742=1,4,IF(AZ742=1,5,IF(BA742=1,6,7))))))</f>
        <v/>
      </c>
      <c r="BD742">
        <f>IF(AD742=1,CHOOSE('Historical Score'!$C$29,AV742,AW742,AX742,AY742,AZ742,BA742,BB742),0)</f>
        <v/>
      </c>
      <c r="BE742">
        <f>IF(BD742=1,COUNTIF($BD$2:BD742,1),"")</f>
        <v/>
      </c>
    </row>
    <row r="743">
      <c r="A743" t="inlineStr">
        <is>
          <t>5674180777</t>
        </is>
      </c>
      <c r="B743" t="inlineStr">
        <is>
          <t>BLULEO TRANSPORT LLC</t>
        </is>
      </c>
      <c r="C743" t="inlineStr">
        <is>
          <t>BLULEO TRANSPORT LLC</t>
        </is>
      </c>
      <c r="D743" t="inlineStr">
        <is>
          <t>Closed</t>
        </is>
      </c>
      <c r="E743" s="297" t="n">
        <v>46106</v>
      </c>
      <c r="F743" s="297" t="n">
        <v>46216</v>
      </c>
      <c r="G743" t="n">
        <v>3</v>
      </c>
      <c r="H743" t="inlineStr">
        <is>
          <t>4212</t>
        </is>
      </c>
      <c r="I743" t="inlineStr">
        <is>
          <t>42</t>
        </is>
      </c>
      <c r="J743" t="inlineStr">
        <is>
          <t>TX</t>
        </is>
      </c>
      <c r="K743" t="inlineStr">
        <is>
          <t>United Secured Capital 8</t>
        </is>
      </c>
      <c r="L743" t="inlineStr">
        <is>
          <t>New Deal</t>
        </is>
      </c>
      <c r="M743" s="298" t="n">
        <v>1.49</v>
      </c>
      <c r="N743" s="299" t="n">
        <v>10000</v>
      </c>
      <c r="O743" s="299" t="n">
        <v>1400</v>
      </c>
      <c r="P743" s="299" t="n">
        <v>14900</v>
      </c>
      <c r="Q743" s="299" t="n">
        <v>14900</v>
      </c>
      <c r="R743" s="299" t="n">
        <v>0</v>
      </c>
      <c r="S743" s="300" t="n">
        <v>1</v>
      </c>
      <c r="T743" t="n">
        <v>2.623</v>
      </c>
      <c r="U743" t="n">
        <v>0</v>
      </c>
      <c r="V743" t="n">
        <v>45946.75</v>
      </c>
      <c r="W743" s="300" t="n">
        <v>0.0851</v>
      </c>
      <c r="X743" s="297" t="n">
        <v>45185</v>
      </c>
      <c r="Y743">
        <f>IF(I743="","No SIC",IFERROR(VLOOKUP(I743,Ref!$A$2:$B$65,2,FALSE),"Unclassified"))</f>
        <v/>
      </c>
      <c r="Z743">
        <f>IF(T743="","",IF(T743&lt;12,"Daily","Weekly"))</f>
        <v/>
      </c>
      <c r="AA743">
        <f>IF(T743="",0,IF(T743&lt;12,T743*Controls!$B$29,T743*5))</f>
        <v/>
      </c>
      <c r="AB743">
        <f>IF(E743="",0,NETWORKDAYS(E743,Controls!$B$36,Ref!$K$2:$K$42))</f>
        <v/>
      </c>
      <c r="AC743">
        <f>IF(AND(AA743&gt;0,AB743&gt;=Controls!$B$39*AA743),1,0)</f>
        <v/>
      </c>
      <c r="AD743">
        <f>IF(AND(E743&lt;&gt;"",E743&gt;=Controls!$B$37,E743&lt;=Controls!$B$38),1,0)</f>
        <v/>
      </c>
      <c r="AE743">
        <f>IF(IFERROR(VLOOKUP(D743,Controls!$A$64:$E$74,2,FALSE),"No")="Yes",1,0)</f>
        <v/>
      </c>
      <c r="AF743">
        <f>IF(IFERROR(VLOOKUP(D743,Controls!$A$64:$E$74,3,FALSE),"No")="Yes",1,0)</f>
        <v/>
      </c>
      <c r="AG743">
        <f>IF(IFERROR(VLOOKUP(D743,Controls!$A$64:$E$74,4,FALSE),"No")="Yes",1,0)</f>
        <v/>
      </c>
      <c r="AH743">
        <f>IF(IFERROR(VLOOKUP(D743,Controls!$A$64:$E$74,5,FALSE),"No")="Yes",1,0)</f>
        <v/>
      </c>
      <c r="AI743">
        <f>IF(ISNUMBER(MATCH(D743,Controls!$A$64:$A$74,0)),1,0)</f>
        <v/>
      </c>
      <c r="AJ743">
        <f>Q743-N743</f>
        <v/>
      </c>
      <c r="AK743">
        <f>IF(AE743=1,MAX(0,N743-Q743),0)</f>
        <v/>
      </c>
      <c r="AL743">
        <f>IF(OR(V743="",V743=0),0,N743/V743)</f>
        <v/>
      </c>
      <c r="AM743">
        <f>IF(OR(V743="",V743=0),0,1)</f>
        <v/>
      </c>
      <c r="AN743">
        <f>IF(OR(E743="",F743=""),0,NETWORKDAYS(E743,F743,Ref!$K$2:$K$42))</f>
        <v/>
      </c>
      <c r="AO743">
        <f>IF(L743="Renewal",1,0)</f>
        <v/>
      </c>
      <c r="AP743">
        <f>AC743*AD743</f>
        <v/>
      </c>
      <c r="AQ743">
        <f>IF(AND(G743&lt;&gt;"",'Historical Score'!$C$6&lt;&gt;""),IF(G743='Historical Score'!$C$6,1,0),0)</f>
        <v/>
      </c>
      <c r="AR743">
        <f>IF(AND(L743&lt;&gt;"",'Historical Score'!$C$5&lt;&gt;""),IF(L743='Historical Score'!$C$5,1,0),0)</f>
        <v/>
      </c>
      <c r="AS743">
        <f>IF(AND(Y743&lt;&gt;"",'Historical Score'!$C$7&lt;&gt;""),IF(Y743='Historical Score'!$C$7,1,0),0)</f>
        <v/>
      </c>
      <c r="AT743">
        <f>IF(AND(K743&lt;&gt;"",'Historical Score'!$C$8&lt;&gt;""),IF(K743='Historical Score'!$C$8,1,0),0)</f>
        <v/>
      </c>
      <c r="AU743">
        <f>IF(AND(J743&lt;&gt;"",'Historical Score'!$C$9&lt;&gt;""),IF(J743='Historical Score'!$C$9,1,0),0)</f>
        <v/>
      </c>
      <c r="AV743">
        <f>AR743*AS743*AQ743</f>
        <v/>
      </c>
      <c r="AW743">
        <f>AR743*AT743*AQ743</f>
        <v/>
      </c>
      <c r="AX743">
        <f>AR743*AS743</f>
        <v/>
      </c>
      <c r="AY743">
        <f>AR743*AT743</f>
        <v/>
      </c>
      <c r="AZ743">
        <f>AR743*AQ743</f>
        <v/>
      </c>
      <c r="BA743">
        <f>AR743</f>
        <v/>
      </c>
      <c r="BB743">
        <f>1</f>
        <v/>
      </c>
      <c r="BC743">
        <f>IF(AV743=1,1,IF(AW743=1,2,IF(AX743=1,3,IF(AY743=1,4,IF(AZ743=1,5,IF(BA743=1,6,7))))))</f>
        <v/>
      </c>
      <c r="BD743">
        <f>IF(AD743=1,CHOOSE('Historical Score'!$C$29,AV743,AW743,AX743,AY743,AZ743,BA743,BB743),0)</f>
        <v/>
      </c>
      <c r="BE743">
        <f>IF(BD743=1,COUNTIF($BD$2:BD743,1),"")</f>
        <v/>
      </c>
    </row>
    <row r="744">
      <c r="A744" t="inlineStr">
        <is>
          <t>5674180785</t>
        </is>
      </c>
      <c r="B744" t="inlineStr">
        <is>
          <t>NC Top Service LLC</t>
        </is>
      </c>
      <c r="C744" t="inlineStr">
        <is>
          <t>NC Top Service LLC</t>
        </is>
      </c>
      <c r="D744" t="inlineStr">
        <is>
          <t>Open</t>
        </is>
      </c>
      <c r="E744" s="297" t="n">
        <v>46106</v>
      </c>
      <c r="F744" s="297" t="n">
        <v>46241</v>
      </c>
      <c r="G744" t="n">
        <v>3</v>
      </c>
      <c r="H744" t="inlineStr">
        <is>
          <t>1799</t>
        </is>
      </c>
      <c r="I744" t="inlineStr">
        <is>
          <t>17</t>
        </is>
      </c>
      <c r="J744" t="inlineStr">
        <is>
          <t>NC</t>
        </is>
      </c>
      <c r="K744" t="inlineStr">
        <is>
          <t>United Secured Capital 8</t>
        </is>
      </c>
      <c r="L744" t="inlineStr">
        <is>
          <t>Renewal</t>
        </is>
      </c>
      <c r="M744" s="298" t="n">
        <v>1.42</v>
      </c>
      <c r="N744" s="299" t="n">
        <v>33000</v>
      </c>
      <c r="O744" s="299" t="n">
        <v>3465</v>
      </c>
      <c r="P744" s="299" t="n">
        <v>46860</v>
      </c>
      <c r="Q744" s="299" t="n">
        <v>19871.69</v>
      </c>
      <c r="R744" s="299" t="n">
        <v>26988.31</v>
      </c>
      <c r="S744" s="300" t="n">
        <v>0.424065087494665</v>
      </c>
      <c r="T744" t="n">
        <v>34</v>
      </c>
      <c r="U744" t="n">
        <v>2</v>
      </c>
      <c r="V744" t="n">
        <v>94340.63</v>
      </c>
      <c r="W744" s="300" t="n">
        <v>0.0584</v>
      </c>
      <c r="X744" s="297" t="n">
        <v>45679</v>
      </c>
      <c r="Y744">
        <f>IF(I744="","No SIC",IFERROR(VLOOKUP(I744,Ref!$A$2:$B$65,2,FALSE),"Unclassified"))</f>
        <v/>
      </c>
      <c r="Z744">
        <f>IF(T744="","",IF(T744&lt;12,"Daily","Weekly"))</f>
        <v/>
      </c>
      <c r="AA744">
        <f>IF(T744="",0,IF(T744&lt;12,T744*Controls!$B$29,T744*5))</f>
        <v/>
      </c>
      <c r="AB744">
        <f>IF(E744="",0,NETWORKDAYS(E744,Controls!$B$36,Ref!$K$2:$K$42))</f>
        <v/>
      </c>
      <c r="AC744">
        <f>IF(AND(AA744&gt;0,AB744&gt;=Controls!$B$39*AA744),1,0)</f>
        <v/>
      </c>
      <c r="AD744">
        <f>IF(AND(E744&lt;&gt;"",E744&gt;=Controls!$B$37,E744&lt;=Controls!$B$38),1,0)</f>
        <v/>
      </c>
      <c r="AE744">
        <f>IF(IFERROR(VLOOKUP(D744,Controls!$A$64:$E$74,2,FALSE),"No")="Yes",1,0)</f>
        <v/>
      </c>
      <c r="AF744">
        <f>IF(IFERROR(VLOOKUP(D744,Controls!$A$64:$E$74,3,FALSE),"No")="Yes",1,0)</f>
        <v/>
      </c>
      <c r="AG744">
        <f>IF(IFERROR(VLOOKUP(D744,Controls!$A$64:$E$74,4,FALSE),"No")="Yes",1,0)</f>
        <v/>
      </c>
      <c r="AH744">
        <f>IF(IFERROR(VLOOKUP(D744,Controls!$A$64:$E$74,5,FALSE),"No")="Yes",1,0)</f>
        <v/>
      </c>
      <c r="AI744">
        <f>IF(ISNUMBER(MATCH(D744,Controls!$A$64:$A$74,0)),1,0)</f>
        <v/>
      </c>
      <c r="AJ744">
        <f>Q744-N744</f>
        <v/>
      </c>
      <c r="AK744">
        <f>IF(AE744=1,MAX(0,N744-Q744),0)</f>
        <v/>
      </c>
      <c r="AL744">
        <f>IF(OR(V744="",V744=0),0,N744/V744)</f>
        <v/>
      </c>
      <c r="AM744">
        <f>IF(OR(V744="",V744=0),0,1)</f>
        <v/>
      </c>
      <c r="AN744">
        <f>IF(OR(E744="",F744=""),0,NETWORKDAYS(E744,F744,Ref!$K$2:$K$42))</f>
        <v/>
      </c>
      <c r="AO744">
        <f>IF(L744="Renewal",1,0)</f>
        <v/>
      </c>
      <c r="AP744">
        <f>AC744*AD744</f>
        <v/>
      </c>
      <c r="AQ744">
        <f>IF(AND(G744&lt;&gt;"",'Historical Score'!$C$6&lt;&gt;""),IF(G744='Historical Score'!$C$6,1,0),0)</f>
        <v/>
      </c>
      <c r="AR744">
        <f>IF(AND(L744&lt;&gt;"",'Historical Score'!$C$5&lt;&gt;""),IF(L744='Historical Score'!$C$5,1,0),0)</f>
        <v/>
      </c>
      <c r="AS744">
        <f>IF(AND(Y744&lt;&gt;"",'Historical Score'!$C$7&lt;&gt;""),IF(Y744='Historical Score'!$C$7,1,0),0)</f>
        <v/>
      </c>
      <c r="AT744">
        <f>IF(AND(K744&lt;&gt;"",'Historical Score'!$C$8&lt;&gt;""),IF(K744='Historical Score'!$C$8,1,0),0)</f>
        <v/>
      </c>
      <c r="AU744">
        <f>IF(AND(J744&lt;&gt;"",'Historical Score'!$C$9&lt;&gt;""),IF(J744='Historical Score'!$C$9,1,0),0)</f>
        <v/>
      </c>
      <c r="AV744">
        <f>AR744*AS744*AQ744</f>
        <v/>
      </c>
      <c r="AW744">
        <f>AR744*AT744*AQ744</f>
        <v/>
      </c>
      <c r="AX744">
        <f>AR744*AS744</f>
        <v/>
      </c>
      <c r="AY744">
        <f>AR744*AT744</f>
        <v/>
      </c>
      <c r="AZ744">
        <f>AR744*AQ744</f>
        <v/>
      </c>
      <c r="BA744">
        <f>AR744</f>
        <v/>
      </c>
      <c r="BB744">
        <f>1</f>
        <v/>
      </c>
      <c r="BC744">
        <f>IF(AV744=1,1,IF(AW744=1,2,IF(AX744=1,3,IF(AY744=1,4,IF(AZ744=1,5,IF(BA744=1,6,7))))))</f>
        <v/>
      </c>
      <c r="BD744">
        <f>IF(AD744=1,CHOOSE('Historical Score'!$C$29,AV744,AW744,AX744,AY744,AZ744,BA744,BB744),0)</f>
        <v/>
      </c>
      <c r="BE744">
        <f>IF(BD744=1,COUNTIF($BD$2:BD744,1),"")</f>
        <v/>
      </c>
    </row>
    <row r="745">
      <c r="A745" t="inlineStr">
        <is>
          <t>5674180794</t>
        </is>
      </c>
      <c r="B745" t="inlineStr">
        <is>
          <t>EAGLE'S LOGISTIC AND DELIVERIES LLC</t>
        </is>
      </c>
      <c r="C745" t="inlineStr">
        <is>
          <t>EAGLE'S LOGISTIC AND DELIVERIES LLC</t>
        </is>
      </c>
      <c r="D745" t="inlineStr">
        <is>
          <t>Closed</t>
        </is>
      </c>
      <c r="E745" s="297" t="n">
        <v>46106</v>
      </c>
      <c r="F745" s="297" t="n">
        <v>46234</v>
      </c>
      <c r="G745" t="n">
        <v>3</v>
      </c>
      <c r="H745" t="inlineStr">
        <is>
          <t>4212</t>
        </is>
      </c>
      <c r="I745" t="inlineStr">
        <is>
          <t>42</t>
        </is>
      </c>
      <c r="J745" t="inlineStr">
        <is>
          <t>FL</t>
        </is>
      </c>
      <c r="K745" t="inlineStr">
        <is>
          <t>United Secured Capital 8</t>
        </is>
      </c>
      <c r="L745" t="inlineStr">
        <is>
          <t>New Deal</t>
        </is>
      </c>
      <c r="M745" s="298" t="n">
        <v>1.44</v>
      </c>
      <c r="N745" s="299" t="n">
        <v>35000</v>
      </c>
      <c r="O745" s="299" t="n">
        <v>4025</v>
      </c>
      <c r="P745" s="299" t="n">
        <v>50400</v>
      </c>
      <c r="Q745" s="299" t="n">
        <v>50400</v>
      </c>
      <c r="R745" s="299" t="n">
        <v>0</v>
      </c>
      <c r="S745" s="300" t="n">
        <v>1</v>
      </c>
      <c r="T745" t="n">
        <v>36</v>
      </c>
      <c r="U745" t="n">
        <v>1</v>
      </c>
      <c r="V745" t="n">
        <v>514264.29</v>
      </c>
      <c r="W745" s="300" t="n">
        <v>0.0109</v>
      </c>
      <c r="X745" s="297" t="n">
        <v>45524</v>
      </c>
      <c r="Y745">
        <f>IF(I745="","No SIC",IFERROR(VLOOKUP(I745,Ref!$A$2:$B$65,2,FALSE),"Unclassified"))</f>
        <v/>
      </c>
      <c r="Z745">
        <f>IF(T745="","",IF(T745&lt;12,"Daily","Weekly"))</f>
        <v/>
      </c>
      <c r="AA745">
        <f>IF(T745="",0,IF(T745&lt;12,T745*Controls!$B$29,T745*5))</f>
        <v/>
      </c>
      <c r="AB745">
        <f>IF(E745="",0,NETWORKDAYS(E745,Controls!$B$36,Ref!$K$2:$K$42))</f>
        <v/>
      </c>
      <c r="AC745">
        <f>IF(AND(AA745&gt;0,AB745&gt;=Controls!$B$39*AA745),1,0)</f>
        <v/>
      </c>
      <c r="AD745">
        <f>IF(AND(E745&lt;&gt;"",E745&gt;=Controls!$B$37,E745&lt;=Controls!$B$38),1,0)</f>
        <v/>
      </c>
      <c r="AE745">
        <f>IF(IFERROR(VLOOKUP(D745,Controls!$A$64:$E$74,2,FALSE),"No")="Yes",1,0)</f>
        <v/>
      </c>
      <c r="AF745">
        <f>IF(IFERROR(VLOOKUP(D745,Controls!$A$64:$E$74,3,FALSE),"No")="Yes",1,0)</f>
        <v/>
      </c>
      <c r="AG745">
        <f>IF(IFERROR(VLOOKUP(D745,Controls!$A$64:$E$74,4,FALSE),"No")="Yes",1,0)</f>
        <v/>
      </c>
      <c r="AH745">
        <f>IF(IFERROR(VLOOKUP(D745,Controls!$A$64:$E$74,5,FALSE),"No")="Yes",1,0)</f>
        <v/>
      </c>
      <c r="AI745">
        <f>IF(ISNUMBER(MATCH(D745,Controls!$A$64:$A$74,0)),1,0)</f>
        <v/>
      </c>
      <c r="AJ745">
        <f>Q745-N745</f>
        <v/>
      </c>
      <c r="AK745">
        <f>IF(AE745=1,MAX(0,N745-Q745),0)</f>
        <v/>
      </c>
      <c r="AL745">
        <f>IF(OR(V745="",V745=0),0,N745/V745)</f>
        <v/>
      </c>
      <c r="AM745">
        <f>IF(OR(V745="",V745=0),0,1)</f>
        <v/>
      </c>
      <c r="AN745">
        <f>IF(OR(E745="",F745=""),0,NETWORKDAYS(E745,F745,Ref!$K$2:$K$42))</f>
        <v/>
      </c>
      <c r="AO745">
        <f>IF(L745="Renewal",1,0)</f>
        <v/>
      </c>
      <c r="AP745">
        <f>AC745*AD745</f>
        <v/>
      </c>
      <c r="AQ745">
        <f>IF(AND(G745&lt;&gt;"",'Historical Score'!$C$6&lt;&gt;""),IF(G745='Historical Score'!$C$6,1,0),0)</f>
        <v/>
      </c>
      <c r="AR745">
        <f>IF(AND(L745&lt;&gt;"",'Historical Score'!$C$5&lt;&gt;""),IF(L745='Historical Score'!$C$5,1,0),0)</f>
        <v/>
      </c>
      <c r="AS745">
        <f>IF(AND(Y745&lt;&gt;"",'Historical Score'!$C$7&lt;&gt;""),IF(Y745='Historical Score'!$C$7,1,0),0)</f>
        <v/>
      </c>
      <c r="AT745">
        <f>IF(AND(K745&lt;&gt;"",'Historical Score'!$C$8&lt;&gt;""),IF(K745='Historical Score'!$C$8,1,0),0)</f>
        <v/>
      </c>
      <c r="AU745">
        <f>IF(AND(J745&lt;&gt;"",'Historical Score'!$C$9&lt;&gt;""),IF(J745='Historical Score'!$C$9,1,0),0)</f>
        <v/>
      </c>
      <c r="AV745">
        <f>AR745*AS745*AQ745</f>
        <v/>
      </c>
      <c r="AW745">
        <f>AR745*AT745*AQ745</f>
        <v/>
      </c>
      <c r="AX745">
        <f>AR745*AS745</f>
        <v/>
      </c>
      <c r="AY745">
        <f>AR745*AT745</f>
        <v/>
      </c>
      <c r="AZ745">
        <f>AR745*AQ745</f>
        <v/>
      </c>
      <c r="BA745">
        <f>AR745</f>
        <v/>
      </c>
      <c r="BB745">
        <f>1</f>
        <v/>
      </c>
      <c r="BC745">
        <f>IF(AV745=1,1,IF(AW745=1,2,IF(AX745=1,3,IF(AY745=1,4,IF(AZ745=1,5,IF(BA745=1,6,7))))))</f>
        <v/>
      </c>
      <c r="BD745">
        <f>IF(AD745=1,CHOOSE('Historical Score'!$C$29,AV745,AW745,AX745,AY745,AZ745,BA745,BB745),0)</f>
        <v/>
      </c>
      <c r="BE745">
        <f>IF(BD745=1,COUNTIF($BD$2:BD745,1),"")</f>
        <v/>
      </c>
    </row>
    <row r="746">
      <c r="A746" t="inlineStr">
        <is>
          <t>5674180798</t>
        </is>
      </c>
      <c r="B746" t="inlineStr">
        <is>
          <t>WILLIE'S REPAIR SERVICE</t>
        </is>
      </c>
      <c r="C746" t="inlineStr">
        <is>
          <t>Willie's Repair Service LLC</t>
        </is>
      </c>
      <c r="D746" t="inlineStr">
        <is>
          <t>Closed</t>
        </is>
      </c>
      <c r="E746" s="297" t="n">
        <v>46106</v>
      </c>
      <c r="F746" s="297" t="n">
        <v>46176</v>
      </c>
      <c r="G746" t="n">
        <v>3</v>
      </c>
      <c r="H746" t="inlineStr">
        <is>
          <t>7538</t>
        </is>
      </c>
      <c r="I746" t="inlineStr">
        <is>
          <t>75</t>
        </is>
      </c>
      <c r="J746" t="inlineStr">
        <is>
          <t>VA</t>
        </is>
      </c>
      <c r="K746" t="inlineStr">
        <is>
          <t>ROYAL FUNDING GROUP</t>
        </is>
      </c>
      <c r="L746" t="inlineStr">
        <is>
          <t>Renewal</t>
        </is>
      </c>
      <c r="M746" s="298" t="n">
        <v>1.49</v>
      </c>
      <c r="N746" s="299" t="n">
        <v>17000</v>
      </c>
      <c r="O746" s="299" t="n">
        <v>2380</v>
      </c>
      <c r="P746" s="299" t="n">
        <v>25330</v>
      </c>
      <c r="Q746" s="299" t="n">
        <v>25330</v>
      </c>
      <c r="R746" s="299" t="n">
        <v>0</v>
      </c>
      <c r="S746" s="300" t="n">
        <v>1</v>
      </c>
      <c r="T746" t="n">
        <v>3.279</v>
      </c>
      <c r="U746" t="n">
        <v>0</v>
      </c>
      <c r="V746" t="n">
        <v>47264.79</v>
      </c>
      <c r="W746" s="300" t="n">
        <v>0.1456</v>
      </c>
      <c r="X746" s="297" t="n">
        <v>30767</v>
      </c>
      <c r="Y746">
        <f>IF(I746="","No SIC",IFERROR(VLOOKUP(I746,Ref!$A$2:$B$65,2,FALSE),"Unclassified"))</f>
        <v/>
      </c>
      <c r="Z746">
        <f>IF(T746="","",IF(T746&lt;12,"Daily","Weekly"))</f>
        <v/>
      </c>
      <c r="AA746">
        <f>IF(T746="",0,IF(T746&lt;12,T746*Controls!$B$29,T746*5))</f>
        <v/>
      </c>
      <c r="AB746">
        <f>IF(E746="",0,NETWORKDAYS(E746,Controls!$B$36,Ref!$K$2:$K$42))</f>
        <v/>
      </c>
      <c r="AC746">
        <f>IF(AND(AA746&gt;0,AB746&gt;=Controls!$B$39*AA746),1,0)</f>
        <v/>
      </c>
      <c r="AD746">
        <f>IF(AND(E746&lt;&gt;"",E746&gt;=Controls!$B$37,E746&lt;=Controls!$B$38),1,0)</f>
        <v/>
      </c>
      <c r="AE746">
        <f>IF(IFERROR(VLOOKUP(D746,Controls!$A$64:$E$74,2,FALSE),"No")="Yes",1,0)</f>
        <v/>
      </c>
      <c r="AF746">
        <f>IF(IFERROR(VLOOKUP(D746,Controls!$A$64:$E$74,3,FALSE),"No")="Yes",1,0)</f>
        <v/>
      </c>
      <c r="AG746">
        <f>IF(IFERROR(VLOOKUP(D746,Controls!$A$64:$E$74,4,FALSE),"No")="Yes",1,0)</f>
        <v/>
      </c>
      <c r="AH746">
        <f>IF(IFERROR(VLOOKUP(D746,Controls!$A$64:$E$74,5,FALSE),"No")="Yes",1,0)</f>
        <v/>
      </c>
      <c r="AI746">
        <f>IF(ISNUMBER(MATCH(D746,Controls!$A$64:$A$74,0)),1,0)</f>
        <v/>
      </c>
      <c r="AJ746">
        <f>Q746-N746</f>
        <v/>
      </c>
      <c r="AK746">
        <f>IF(AE746=1,MAX(0,N746-Q746),0)</f>
        <v/>
      </c>
      <c r="AL746">
        <f>IF(OR(V746="",V746=0),0,N746/V746)</f>
        <v/>
      </c>
      <c r="AM746">
        <f>IF(OR(V746="",V746=0),0,1)</f>
        <v/>
      </c>
      <c r="AN746">
        <f>IF(OR(E746="",F746=""),0,NETWORKDAYS(E746,F746,Ref!$K$2:$K$42))</f>
        <v/>
      </c>
      <c r="AO746">
        <f>IF(L746="Renewal",1,0)</f>
        <v/>
      </c>
      <c r="AP746">
        <f>AC746*AD746</f>
        <v/>
      </c>
      <c r="AQ746">
        <f>IF(AND(G746&lt;&gt;"",'Historical Score'!$C$6&lt;&gt;""),IF(G746='Historical Score'!$C$6,1,0),0)</f>
        <v/>
      </c>
      <c r="AR746">
        <f>IF(AND(L746&lt;&gt;"",'Historical Score'!$C$5&lt;&gt;""),IF(L746='Historical Score'!$C$5,1,0),0)</f>
        <v/>
      </c>
      <c r="AS746">
        <f>IF(AND(Y746&lt;&gt;"",'Historical Score'!$C$7&lt;&gt;""),IF(Y746='Historical Score'!$C$7,1,0),0)</f>
        <v/>
      </c>
      <c r="AT746">
        <f>IF(AND(K746&lt;&gt;"",'Historical Score'!$C$8&lt;&gt;""),IF(K746='Historical Score'!$C$8,1,0),0)</f>
        <v/>
      </c>
      <c r="AU746">
        <f>IF(AND(J746&lt;&gt;"",'Historical Score'!$C$9&lt;&gt;""),IF(J746='Historical Score'!$C$9,1,0),0)</f>
        <v/>
      </c>
      <c r="AV746">
        <f>AR746*AS746*AQ746</f>
        <v/>
      </c>
      <c r="AW746">
        <f>AR746*AT746*AQ746</f>
        <v/>
      </c>
      <c r="AX746">
        <f>AR746*AS746</f>
        <v/>
      </c>
      <c r="AY746">
        <f>AR746*AT746</f>
        <v/>
      </c>
      <c r="AZ746">
        <f>AR746*AQ746</f>
        <v/>
      </c>
      <c r="BA746">
        <f>AR746</f>
        <v/>
      </c>
      <c r="BB746">
        <f>1</f>
        <v/>
      </c>
      <c r="BC746">
        <f>IF(AV746=1,1,IF(AW746=1,2,IF(AX746=1,3,IF(AY746=1,4,IF(AZ746=1,5,IF(BA746=1,6,7))))))</f>
        <v/>
      </c>
      <c r="BD746">
        <f>IF(AD746=1,CHOOSE('Historical Score'!$C$29,AV746,AW746,AX746,AY746,AZ746,BA746,BB746),0)</f>
        <v/>
      </c>
      <c r="BE746">
        <f>IF(BD746=1,COUNTIF($BD$2:BD746,1),"")</f>
        <v/>
      </c>
    </row>
    <row r="747">
      <c r="A747" t="inlineStr">
        <is>
          <t>5674180814</t>
        </is>
      </c>
      <c r="B747" t="inlineStr">
        <is>
          <t>Air duck, chimney, fireplace</t>
        </is>
      </c>
      <c r="C747" t="inlineStr">
        <is>
          <t>Isnvn LLC</t>
        </is>
      </c>
      <c r="D747" t="inlineStr">
        <is>
          <t>In House Collection</t>
        </is>
      </c>
      <c r="E747" s="297" t="n">
        <v>46106</v>
      </c>
      <c r="F747" s="297" t="n">
        <v>46206</v>
      </c>
      <c r="G747" t="n">
        <v>3</v>
      </c>
      <c r="H747" t="inlineStr">
        <is>
          <t>1711</t>
        </is>
      </c>
      <c r="I747" t="inlineStr">
        <is>
          <t>17</t>
        </is>
      </c>
      <c r="J747" t="inlineStr">
        <is>
          <t>FL</t>
        </is>
      </c>
      <c r="K747" t="inlineStr">
        <is>
          <t>Fundible</t>
        </is>
      </c>
      <c r="L747" t="inlineStr">
        <is>
          <t>New Deal</t>
        </is>
      </c>
      <c r="M747" s="298" t="n">
        <v>1.49</v>
      </c>
      <c r="N747" s="299" t="n">
        <v>15000</v>
      </c>
      <c r="O747" s="299" t="n">
        <v>2100</v>
      </c>
      <c r="P747" s="299" t="n">
        <v>22350</v>
      </c>
      <c r="Q747" s="299" t="n">
        <v>4655.25</v>
      </c>
      <c r="R747" s="299" t="n">
        <v>17694.75</v>
      </c>
      <c r="S747" s="300" t="n">
        <v>0.208288590604027</v>
      </c>
      <c r="T747" t="n">
        <v>24</v>
      </c>
      <c r="U747" t="n">
        <v>10</v>
      </c>
      <c r="V747" t="n">
        <v>20295.44</v>
      </c>
      <c r="W747" s="300" t="n">
        <v>0.1835</v>
      </c>
      <c r="X747" s="297" t="n">
        <v>45887</v>
      </c>
      <c r="Y747">
        <f>IF(I747="","No SIC",IFERROR(VLOOKUP(I747,Ref!$A$2:$B$65,2,FALSE),"Unclassified"))</f>
        <v/>
      </c>
      <c r="Z747">
        <f>IF(T747="","",IF(T747&lt;12,"Daily","Weekly"))</f>
        <v/>
      </c>
      <c r="AA747">
        <f>IF(T747="",0,IF(T747&lt;12,T747*Controls!$B$29,T747*5))</f>
        <v/>
      </c>
      <c r="AB747">
        <f>IF(E747="",0,NETWORKDAYS(E747,Controls!$B$36,Ref!$K$2:$K$42))</f>
        <v/>
      </c>
      <c r="AC747">
        <f>IF(AND(AA747&gt;0,AB747&gt;=Controls!$B$39*AA747),1,0)</f>
        <v/>
      </c>
      <c r="AD747">
        <f>IF(AND(E747&lt;&gt;"",E747&gt;=Controls!$B$37,E747&lt;=Controls!$B$38),1,0)</f>
        <v/>
      </c>
      <c r="AE747">
        <f>IF(IFERROR(VLOOKUP(D747,Controls!$A$64:$E$74,2,FALSE),"No")="Yes",1,0)</f>
        <v/>
      </c>
      <c r="AF747">
        <f>IF(IFERROR(VLOOKUP(D747,Controls!$A$64:$E$74,3,FALSE),"No")="Yes",1,0)</f>
        <v/>
      </c>
      <c r="AG747">
        <f>IF(IFERROR(VLOOKUP(D747,Controls!$A$64:$E$74,4,FALSE),"No")="Yes",1,0)</f>
        <v/>
      </c>
      <c r="AH747">
        <f>IF(IFERROR(VLOOKUP(D747,Controls!$A$64:$E$74,5,FALSE),"No")="Yes",1,0)</f>
        <v/>
      </c>
      <c r="AI747">
        <f>IF(ISNUMBER(MATCH(D747,Controls!$A$64:$A$74,0)),1,0)</f>
        <v/>
      </c>
      <c r="AJ747">
        <f>Q747-N747</f>
        <v/>
      </c>
      <c r="AK747">
        <f>IF(AE747=1,MAX(0,N747-Q747),0)</f>
        <v/>
      </c>
      <c r="AL747">
        <f>IF(OR(V747="",V747=0),0,N747/V747)</f>
        <v/>
      </c>
      <c r="AM747">
        <f>IF(OR(V747="",V747=0),0,1)</f>
        <v/>
      </c>
      <c r="AN747">
        <f>IF(OR(E747="",F747=""),0,NETWORKDAYS(E747,F747,Ref!$K$2:$K$42))</f>
        <v/>
      </c>
      <c r="AO747">
        <f>IF(L747="Renewal",1,0)</f>
        <v/>
      </c>
      <c r="AP747">
        <f>AC747*AD747</f>
        <v/>
      </c>
      <c r="AQ747">
        <f>IF(AND(G747&lt;&gt;"",'Historical Score'!$C$6&lt;&gt;""),IF(G747='Historical Score'!$C$6,1,0),0)</f>
        <v/>
      </c>
      <c r="AR747">
        <f>IF(AND(L747&lt;&gt;"",'Historical Score'!$C$5&lt;&gt;""),IF(L747='Historical Score'!$C$5,1,0),0)</f>
        <v/>
      </c>
      <c r="AS747">
        <f>IF(AND(Y747&lt;&gt;"",'Historical Score'!$C$7&lt;&gt;""),IF(Y747='Historical Score'!$C$7,1,0),0)</f>
        <v/>
      </c>
      <c r="AT747">
        <f>IF(AND(K747&lt;&gt;"",'Historical Score'!$C$8&lt;&gt;""),IF(K747='Historical Score'!$C$8,1,0),0)</f>
        <v/>
      </c>
      <c r="AU747">
        <f>IF(AND(J747&lt;&gt;"",'Historical Score'!$C$9&lt;&gt;""),IF(J747='Historical Score'!$C$9,1,0),0)</f>
        <v/>
      </c>
      <c r="AV747">
        <f>AR747*AS747*AQ747</f>
        <v/>
      </c>
      <c r="AW747">
        <f>AR747*AT747*AQ747</f>
        <v/>
      </c>
      <c r="AX747">
        <f>AR747*AS747</f>
        <v/>
      </c>
      <c r="AY747">
        <f>AR747*AT747</f>
        <v/>
      </c>
      <c r="AZ747">
        <f>AR747*AQ747</f>
        <v/>
      </c>
      <c r="BA747">
        <f>AR747</f>
        <v/>
      </c>
      <c r="BB747">
        <f>1</f>
        <v/>
      </c>
      <c r="BC747">
        <f>IF(AV747=1,1,IF(AW747=1,2,IF(AX747=1,3,IF(AY747=1,4,IF(AZ747=1,5,IF(BA747=1,6,7))))))</f>
        <v/>
      </c>
      <c r="BD747">
        <f>IF(AD747=1,CHOOSE('Historical Score'!$C$29,AV747,AW747,AX747,AY747,AZ747,BA747,BB747),0)</f>
        <v/>
      </c>
      <c r="BE747">
        <f>IF(BD747=1,COUNTIF($BD$2:BD747,1),"")</f>
        <v/>
      </c>
    </row>
    <row r="748">
      <c r="A748" t="inlineStr">
        <is>
          <t>5674180836</t>
        </is>
      </c>
      <c r="B748" t="inlineStr">
        <is>
          <t>CRYSTAL STAIRS LLC</t>
        </is>
      </c>
      <c r="C748" t="inlineStr">
        <is>
          <t>CRYSTAL STAIRS LLC</t>
        </is>
      </c>
      <c r="D748" t="inlineStr">
        <is>
          <t>Open</t>
        </is>
      </c>
      <c r="E748" s="297" t="n">
        <v>46107</v>
      </c>
      <c r="F748" s="297" t="n">
        <v>46253</v>
      </c>
      <c r="G748" t="n">
        <v>2</v>
      </c>
      <c r="H748" t="inlineStr">
        <is>
          <t>8351</t>
        </is>
      </c>
      <c r="I748" t="inlineStr">
        <is>
          <t>83</t>
        </is>
      </c>
      <c r="J748" t="inlineStr">
        <is>
          <t>TX</t>
        </is>
      </c>
      <c r="K748" t="inlineStr">
        <is>
          <t>United Secured Capital 8</t>
        </is>
      </c>
      <c r="L748" t="inlineStr">
        <is>
          <t>New Deal</t>
        </is>
      </c>
      <c r="M748" s="298" t="n">
        <v>1.49</v>
      </c>
      <c r="N748" s="299" t="n">
        <v>18000</v>
      </c>
      <c r="O748" s="299" t="n">
        <v>2520</v>
      </c>
      <c r="P748" s="299" t="n">
        <v>26820</v>
      </c>
      <c r="Q748" s="299" t="n">
        <v>19571.16</v>
      </c>
      <c r="R748" s="299" t="n">
        <v>7248.84</v>
      </c>
      <c r="S748" s="300" t="n">
        <v>0.7297225950783</v>
      </c>
      <c r="T748" t="n">
        <v>3.77</v>
      </c>
      <c r="U748" t="n">
        <v>18</v>
      </c>
      <c r="V748" t="n">
        <v>166424.4</v>
      </c>
      <c r="W748" s="300" t="n">
        <v>0.0294</v>
      </c>
      <c r="X748" s="297" t="n">
        <v>41369</v>
      </c>
      <c r="Y748">
        <f>IF(I748="","No SIC",IFERROR(VLOOKUP(I748,Ref!$A$2:$B$65,2,FALSE),"Unclassified"))</f>
        <v/>
      </c>
      <c r="Z748">
        <f>IF(T748="","",IF(T748&lt;12,"Daily","Weekly"))</f>
        <v/>
      </c>
      <c r="AA748">
        <f>IF(T748="",0,IF(T748&lt;12,T748*Controls!$B$29,T748*5))</f>
        <v/>
      </c>
      <c r="AB748">
        <f>IF(E748="",0,NETWORKDAYS(E748,Controls!$B$36,Ref!$K$2:$K$42))</f>
        <v/>
      </c>
      <c r="AC748">
        <f>IF(AND(AA748&gt;0,AB748&gt;=Controls!$B$39*AA748),1,0)</f>
        <v/>
      </c>
      <c r="AD748">
        <f>IF(AND(E748&lt;&gt;"",E748&gt;=Controls!$B$37,E748&lt;=Controls!$B$38),1,0)</f>
        <v/>
      </c>
      <c r="AE748">
        <f>IF(IFERROR(VLOOKUP(D748,Controls!$A$64:$E$74,2,FALSE),"No")="Yes",1,0)</f>
        <v/>
      </c>
      <c r="AF748">
        <f>IF(IFERROR(VLOOKUP(D748,Controls!$A$64:$E$74,3,FALSE),"No")="Yes",1,0)</f>
        <v/>
      </c>
      <c r="AG748">
        <f>IF(IFERROR(VLOOKUP(D748,Controls!$A$64:$E$74,4,FALSE),"No")="Yes",1,0)</f>
        <v/>
      </c>
      <c r="AH748">
        <f>IF(IFERROR(VLOOKUP(D748,Controls!$A$64:$E$74,5,FALSE),"No")="Yes",1,0)</f>
        <v/>
      </c>
      <c r="AI748">
        <f>IF(ISNUMBER(MATCH(D748,Controls!$A$64:$A$74,0)),1,0)</f>
        <v/>
      </c>
      <c r="AJ748">
        <f>Q748-N748</f>
        <v/>
      </c>
      <c r="AK748">
        <f>IF(AE748=1,MAX(0,N748-Q748),0)</f>
        <v/>
      </c>
      <c r="AL748">
        <f>IF(OR(V748="",V748=0),0,N748/V748)</f>
        <v/>
      </c>
      <c r="AM748">
        <f>IF(OR(V748="",V748=0),0,1)</f>
        <v/>
      </c>
      <c r="AN748">
        <f>IF(OR(E748="",F748=""),0,NETWORKDAYS(E748,F748,Ref!$K$2:$K$42))</f>
        <v/>
      </c>
      <c r="AO748">
        <f>IF(L748="Renewal",1,0)</f>
        <v/>
      </c>
      <c r="AP748">
        <f>AC748*AD748</f>
        <v/>
      </c>
      <c r="AQ748">
        <f>IF(AND(G748&lt;&gt;"",'Historical Score'!$C$6&lt;&gt;""),IF(G748='Historical Score'!$C$6,1,0),0)</f>
        <v/>
      </c>
      <c r="AR748">
        <f>IF(AND(L748&lt;&gt;"",'Historical Score'!$C$5&lt;&gt;""),IF(L748='Historical Score'!$C$5,1,0),0)</f>
        <v/>
      </c>
      <c r="AS748">
        <f>IF(AND(Y748&lt;&gt;"",'Historical Score'!$C$7&lt;&gt;""),IF(Y748='Historical Score'!$C$7,1,0),0)</f>
        <v/>
      </c>
      <c r="AT748">
        <f>IF(AND(K748&lt;&gt;"",'Historical Score'!$C$8&lt;&gt;""),IF(K748='Historical Score'!$C$8,1,0),0)</f>
        <v/>
      </c>
      <c r="AU748">
        <f>IF(AND(J748&lt;&gt;"",'Historical Score'!$C$9&lt;&gt;""),IF(J748='Historical Score'!$C$9,1,0),0)</f>
        <v/>
      </c>
      <c r="AV748">
        <f>AR748*AS748*AQ748</f>
        <v/>
      </c>
      <c r="AW748">
        <f>AR748*AT748*AQ748</f>
        <v/>
      </c>
      <c r="AX748">
        <f>AR748*AS748</f>
        <v/>
      </c>
      <c r="AY748">
        <f>AR748*AT748</f>
        <v/>
      </c>
      <c r="AZ748">
        <f>AR748*AQ748</f>
        <v/>
      </c>
      <c r="BA748">
        <f>AR748</f>
        <v/>
      </c>
      <c r="BB748">
        <f>1</f>
        <v/>
      </c>
      <c r="BC748">
        <f>IF(AV748=1,1,IF(AW748=1,2,IF(AX748=1,3,IF(AY748=1,4,IF(AZ748=1,5,IF(BA748=1,6,7))))))</f>
        <v/>
      </c>
      <c r="BD748">
        <f>IF(AD748=1,CHOOSE('Historical Score'!$C$29,AV748,AW748,AX748,AY748,AZ748,BA748,BB748),0)</f>
        <v/>
      </c>
      <c r="BE748">
        <f>IF(BD748=1,COUNTIF($BD$2:BD748,1),"")</f>
        <v/>
      </c>
    </row>
    <row r="749">
      <c r="A749" t="inlineStr">
        <is>
          <t>5674180868</t>
        </is>
      </c>
      <c r="B749" t="inlineStr">
        <is>
          <t>E-Z ELECTRIC LLC</t>
        </is>
      </c>
      <c r="C749" t="inlineStr">
        <is>
          <t>E-Z ELECTRIC LLC</t>
        </is>
      </c>
      <c r="D749" t="inlineStr">
        <is>
          <t>Closed</t>
        </is>
      </c>
      <c r="E749" s="297" t="n">
        <v>46107</v>
      </c>
      <c r="F749" s="297" t="n">
        <v>46164</v>
      </c>
      <c r="G749" t="n">
        <v>3</v>
      </c>
      <c r="H749" t="inlineStr">
        <is>
          <t>1731</t>
        </is>
      </c>
      <c r="I749" t="inlineStr">
        <is>
          <t>17</t>
        </is>
      </c>
      <c r="J749" t="inlineStr">
        <is>
          <t>OK</t>
        </is>
      </c>
      <c r="K749" t="inlineStr">
        <is>
          <t>United Secured Capital 8</t>
        </is>
      </c>
      <c r="L749" t="inlineStr">
        <is>
          <t>New Deal</t>
        </is>
      </c>
      <c r="M749" s="298" t="n">
        <v>1.49</v>
      </c>
      <c r="N749" s="299" t="n">
        <v>28000</v>
      </c>
      <c r="O749" s="299" t="n">
        <v>3920</v>
      </c>
      <c r="P749" s="299" t="n">
        <v>41720</v>
      </c>
      <c r="Q749" s="299" t="n">
        <v>41720</v>
      </c>
      <c r="R749" s="299" t="n">
        <v>0</v>
      </c>
      <c r="S749" s="300" t="n">
        <v>1</v>
      </c>
      <c r="T749" t="n">
        <v>20</v>
      </c>
      <c r="U749" t="n">
        <v>2</v>
      </c>
      <c r="V749" t="n">
        <v>57015.76</v>
      </c>
      <c r="W749" s="300" t="n">
        <v>0.1463</v>
      </c>
      <c r="X749" s="297" t="n">
        <v>44034</v>
      </c>
      <c r="Y749">
        <f>IF(I749="","No SIC",IFERROR(VLOOKUP(I749,Ref!$A$2:$B$65,2,FALSE),"Unclassified"))</f>
        <v/>
      </c>
      <c r="Z749">
        <f>IF(T749="","",IF(T749&lt;12,"Daily","Weekly"))</f>
        <v/>
      </c>
      <c r="AA749">
        <f>IF(T749="",0,IF(T749&lt;12,T749*Controls!$B$29,T749*5))</f>
        <v/>
      </c>
      <c r="AB749">
        <f>IF(E749="",0,NETWORKDAYS(E749,Controls!$B$36,Ref!$K$2:$K$42))</f>
        <v/>
      </c>
      <c r="AC749">
        <f>IF(AND(AA749&gt;0,AB749&gt;=Controls!$B$39*AA749),1,0)</f>
        <v/>
      </c>
      <c r="AD749">
        <f>IF(AND(E749&lt;&gt;"",E749&gt;=Controls!$B$37,E749&lt;=Controls!$B$38),1,0)</f>
        <v/>
      </c>
      <c r="AE749">
        <f>IF(IFERROR(VLOOKUP(D749,Controls!$A$64:$E$74,2,FALSE),"No")="Yes",1,0)</f>
        <v/>
      </c>
      <c r="AF749">
        <f>IF(IFERROR(VLOOKUP(D749,Controls!$A$64:$E$74,3,FALSE),"No")="Yes",1,0)</f>
        <v/>
      </c>
      <c r="AG749">
        <f>IF(IFERROR(VLOOKUP(D749,Controls!$A$64:$E$74,4,FALSE),"No")="Yes",1,0)</f>
        <v/>
      </c>
      <c r="AH749">
        <f>IF(IFERROR(VLOOKUP(D749,Controls!$A$64:$E$74,5,FALSE),"No")="Yes",1,0)</f>
        <v/>
      </c>
      <c r="AI749">
        <f>IF(ISNUMBER(MATCH(D749,Controls!$A$64:$A$74,0)),1,0)</f>
        <v/>
      </c>
      <c r="AJ749">
        <f>Q749-N749</f>
        <v/>
      </c>
      <c r="AK749">
        <f>IF(AE749=1,MAX(0,N749-Q749),0)</f>
        <v/>
      </c>
      <c r="AL749">
        <f>IF(OR(V749="",V749=0),0,N749/V749)</f>
        <v/>
      </c>
      <c r="AM749">
        <f>IF(OR(V749="",V749=0),0,1)</f>
        <v/>
      </c>
      <c r="AN749">
        <f>IF(OR(E749="",F749=""),0,NETWORKDAYS(E749,F749,Ref!$K$2:$K$42))</f>
        <v/>
      </c>
      <c r="AO749">
        <f>IF(L749="Renewal",1,0)</f>
        <v/>
      </c>
      <c r="AP749">
        <f>AC749*AD749</f>
        <v/>
      </c>
      <c r="AQ749">
        <f>IF(AND(G749&lt;&gt;"",'Historical Score'!$C$6&lt;&gt;""),IF(G749='Historical Score'!$C$6,1,0),0)</f>
        <v/>
      </c>
      <c r="AR749">
        <f>IF(AND(L749&lt;&gt;"",'Historical Score'!$C$5&lt;&gt;""),IF(L749='Historical Score'!$C$5,1,0),0)</f>
        <v/>
      </c>
      <c r="AS749">
        <f>IF(AND(Y749&lt;&gt;"",'Historical Score'!$C$7&lt;&gt;""),IF(Y749='Historical Score'!$C$7,1,0),0)</f>
        <v/>
      </c>
      <c r="AT749">
        <f>IF(AND(K749&lt;&gt;"",'Historical Score'!$C$8&lt;&gt;""),IF(K749='Historical Score'!$C$8,1,0),0)</f>
        <v/>
      </c>
      <c r="AU749">
        <f>IF(AND(J749&lt;&gt;"",'Historical Score'!$C$9&lt;&gt;""),IF(J749='Historical Score'!$C$9,1,0),0)</f>
        <v/>
      </c>
      <c r="AV749">
        <f>AR749*AS749*AQ749</f>
        <v/>
      </c>
      <c r="AW749">
        <f>AR749*AT749*AQ749</f>
        <v/>
      </c>
      <c r="AX749">
        <f>AR749*AS749</f>
        <v/>
      </c>
      <c r="AY749">
        <f>AR749*AT749</f>
        <v/>
      </c>
      <c r="AZ749">
        <f>AR749*AQ749</f>
        <v/>
      </c>
      <c r="BA749">
        <f>AR749</f>
        <v/>
      </c>
      <c r="BB749">
        <f>1</f>
        <v/>
      </c>
      <c r="BC749">
        <f>IF(AV749=1,1,IF(AW749=1,2,IF(AX749=1,3,IF(AY749=1,4,IF(AZ749=1,5,IF(BA749=1,6,7))))))</f>
        <v/>
      </c>
      <c r="BD749">
        <f>IF(AD749=1,CHOOSE('Historical Score'!$C$29,AV749,AW749,AX749,AY749,AZ749,BA749,BB749),0)</f>
        <v/>
      </c>
      <c r="BE749">
        <f>IF(BD749=1,COUNTIF($BD$2:BD749,1),"")</f>
        <v/>
      </c>
    </row>
    <row r="750">
      <c r="A750" t="inlineStr">
        <is>
          <t>5674180889</t>
        </is>
      </c>
      <c r="B750" t="inlineStr">
        <is>
          <t>A Better Child Care 3</t>
        </is>
      </c>
      <c r="C750" t="inlineStr">
        <is>
          <t>A Better Child Care 3</t>
        </is>
      </c>
      <c r="D750" t="inlineStr">
        <is>
          <t>Closed</t>
        </is>
      </c>
      <c r="E750" s="297" t="n">
        <v>46107</v>
      </c>
      <c r="F750" s="297" t="n">
        <v>46182</v>
      </c>
      <c r="G750" t="n">
        <v>3</v>
      </c>
      <c r="H750" t="inlineStr">
        <is>
          <t>8351</t>
        </is>
      </c>
      <c r="I750" t="inlineStr">
        <is>
          <t>83</t>
        </is>
      </c>
      <c r="J750" t="inlineStr">
        <is>
          <t>WA</t>
        </is>
      </c>
      <c r="K750" t="inlineStr">
        <is>
          <t>United Secured Capital 8</t>
        </is>
      </c>
      <c r="L750" t="inlineStr">
        <is>
          <t>New Deal</t>
        </is>
      </c>
      <c r="M750" s="298" t="n">
        <v>1.49</v>
      </c>
      <c r="N750" s="299" t="n">
        <v>20000</v>
      </c>
      <c r="O750" s="299" t="n">
        <v>2800</v>
      </c>
      <c r="P750" s="299" t="n">
        <v>29800</v>
      </c>
      <c r="Q750" s="299" t="n">
        <v>29800</v>
      </c>
      <c r="R750" s="299" t="n">
        <v>0</v>
      </c>
      <c r="S750" s="300" t="n">
        <v>1</v>
      </c>
      <c r="T750" t="n">
        <v>22</v>
      </c>
      <c r="U750" t="n">
        <v>0</v>
      </c>
      <c r="V750" t="n">
        <v>24532.07</v>
      </c>
      <c r="W750" s="300" t="n">
        <v>0.2209</v>
      </c>
      <c r="X750" s="297" t="n">
        <v>43181</v>
      </c>
      <c r="Y750">
        <f>IF(I750="","No SIC",IFERROR(VLOOKUP(I750,Ref!$A$2:$B$65,2,FALSE),"Unclassified"))</f>
        <v/>
      </c>
      <c r="Z750">
        <f>IF(T750="","",IF(T750&lt;12,"Daily","Weekly"))</f>
        <v/>
      </c>
      <c r="AA750">
        <f>IF(T750="",0,IF(T750&lt;12,T750*Controls!$B$29,T750*5))</f>
        <v/>
      </c>
      <c r="AB750">
        <f>IF(E750="",0,NETWORKDAYS(E750,Controls!$B$36,Ref!$K$2:$K$42))</f>
        <v/>
      </c>
      <c r="AC750">
        <f>IF(AND(AA750&gt;0,AB750&gt;=Controls!$B$39*AA750),1,0)</f>
        <v/>
      </c>
      <c r="AD750">
        <f>IF(AND(E750&lt;&gt;"",E750&gt;=Controls!$B$37,E750&lt;=Controls!$B$38),1,0)</f>
        <v/>
      </c>
      <c r="AE750">
        <f>IF(IFERROR(VLOOKUP(D750,Controls!$A$64:$E$74,2,FALSE),"No")="Yes",1,0)</f>
        <v/>
      </c>
      <c r="AF750">
        <f>IF(IFERROR(VLOOKUP(D750,Controls!$A$64:$E$74,3,FALSE),"No")="Yes",1,0)</f>
        <v/>
      </c>
      <c r="AG750">
        <f>IF(IFERROR(VLOOKUP(D750,Controls!$A$64:$E$74,4,FALSE),"No")="Yes",1,0)</f>
        <v/>
      </c>
      <c r="AH750">
        <f>IF(IFERROR(VLOOKUP(D750,Controls!$A$64:$E$74,5,FALSE),"No")="Yes",1,0)</f>
        <v/>
      </c>
      <c r="AI750">
        <f>IF(ISNUMBER(MATCH(D750,Controls!$A$64:$A$74,0)),1,0)</f>
        <v/>
      </c>
      <c r="AJ750">
        <f>Q750-N750</f>
        <v/>
      </c>
      <c r="AK750">
        <f>IF(AE750=1,MAX(0,N750-Q750),0)</f>
        <v/>
      </c>
      <c r="AL750">
        <f>IF(OR(V750="",V750=0),0,N750/V750)</f>
        <v/>
      </c>
      <c r="AM750">
        <f>IF(OR(V750="",V750=0),0,1)</f>
        <v/>
      </c>
      <c r="AN750">
        <f>IF(OR(E750="",F750=""),0,NETWORKDAYS(E750,F750,Ref!$K$2:$K$42))</f>
        <v/>
      </c>
      <c r="AO750">
        <f>IF(L750="Renewal",1,0)</f>
        <v/>
      </c>
      <c r="AP750">
        <f>AC750*AD750</f>
        <v/>
      </c>
      <c r="AQ750">
        <f>IF(AND(G750&lt;&gt;"",'Historical Score'!$C$6&lt;&gt;""),IF(G750='Historical Score'!$C$6,1,0),0)</f>
        <v/>
      </c>
      <c r="AR750">
        <f>IF(AND(L750&lt;&gt;"",'Historical Score'!$C$5&lt;&gt;""),IF(L750='Historical Score'!$C$5,1,0),0)</f>
        <v/>
      </c>
      <c r="AS750">
        <f>IF(AND(Y750&lt;&gt;"",'Historical Score'!$C$7&lt;&gt;""),IF(Y750='Historical Score'!$C$7,1,0),0)</f>
        <v/>
      </c>
      <c r="AT750">
        <f>IF(AND(K750&lt;&gt;"",'Historical Score'!$C$8&lt;&gt;""),IF(K750='Historical Score'!$C$8,1,0),0)</f>
        <v/>
      </c>
      <c r="AU750">
        <f>IF(AND(J750&lt;&gt;"",'Historical Score'!$C$9&lt;&gt;""),IF(J750='Historical Score'!$C$9,1,0),0)</f>
        <v/>
      </c>
      <c r="AV750">
        <f>AR750*AS750*AQ750</f>
        <v/>
      </c>
      <c r="AW750">
        <f>AR750*AT750*AQ750</f>
        <v/>
      </c>
      <c r="AX750">
        <f>AR750*AS750</f>
        <v/>
      </c>
      <c r="AY750">
        <f>AR750*AT750</f>
        <v/>
      </c>
      <c r="AZ750">
        <f>AR750*AQ750</f>
        <v/>
      </c>
      <c r="BA750">
        <f>AR750</f>
        <v/>
      </c>
      <c r="BB750">
        <f>1</f>
        <v/>
      </c>
      <c r="BC750">
        <f>IF(AV750=1,1,IF(AW750=1,2,IF(AX750=1,3,IF(AY750=1,4,IF(AZ750=1,5,IF(BA750=1,6,7))))))</f>
        <v/>
      </c>
      <c r="BD750">
        <f>IF(AD750=1,CHOOSE('Historical Score'!$C$29,AV750,AW750,AX750,AY750,AZ750,BA750,BB750),0)</f>
        <v/>
      </c>
      <c r="BE750">
        <f>IF(BD750=1,COUNTIF($BD$2:BD750,1),"")</f>
        <v/>
      </c>
    </row>
    <row r="751">
      <c r="A751" t="inlineStr">
        <is>
          <t>5674180906</t>
        </is>
      </c>
      <c r="B751" t="inlineStr">
        <is>
          <t>IPDR HAIL &amp; DENT REPAIR</t>
        </is>
      </c>
      <c r="C751" t="inlineStr">
        <is>
          <t>IPDR HAIL &amp; DENT REPAIR LLC</t>
        </is>
      </c>
      <c r="D751" t="inlineStr">
        <is>
          <t>Open</t>
        </is>
      </c>
      <c r="E751" s="297" t="n">
        <v>46107</v>
      </c>
      <c r="F751" s="297" t="n">
        <v>46253</v>
      </c>
      <c r="G751" t="n">
        <v>3</v>
      </c>
      <c r="H751" t="inlineStr">
        <is>
          <t>1711</t>
        </is>
      </c>
      <c r="I751" t="inlineStr">
        <is>
          <t>17</t>
        </is>
      </c>
      <c r="J751" t="inlineStr">
        <is>
          <t>TX</t>
        </is>
      </c>
      <c r="K751" t="inlineStr">
        <is>
          <t>Shore Funding USA</t>
        </is>
      </c>
      <c r="L751" t="inlineStr">
        <is>
          <t>Renewal</t>
        </is>
      </c>
      <c r="M751" s="298" t="n">
        <v>1.49</v>
      </c>
      <c r="N751" s="299" t="n">
        <v>15000</v>
      </c>
      <c r="O751" s="299" t="n">
        <v>2100</v>
      </c>
      <c r="P751" s="299" t="n">
        <v>22350</v>
      </c>
      <c r="Q751" s="299" t="n">
        <v>13657.76</v>
      </c>
      <c r="R751" s="299" t="n">
        <v>8692.24</v>
      </c>
      <c r="S751" s="300" t="n">
        <v>0.611085458612975</v>
      </c>
      <c r="T751" t="n">
        <v>4.59</v>
      </c>
      <c r="U751" t="n">
        <v>15</v>
      </c>
      <c r="W751" s="300" t="n">
        <v>0.0464</v>
      </c>
      <c r="X751" s="297" t="n">
        <v>44562</v>
      </c>
      <c r="Y751">
        <f>IF(I751="","No SIC",IFERROR(VLOOKUP(I751,Ref!$A$2:$B$65,2,FALSE),"Unclassified"))</f>
        <v/>
      </c>
      <c r="Z751">
        <f>IF(T751="","",IF(T751&lt;12,"Daily","Weekly"))</f>
        <v/>
      </c>
      <c r="AA751">
        <f>IF(T751="",0,IF(T751&lt;12,T751*Controls!$B$29,T751*5))</f>
        <v/>
      </c>
      <c r="AB751">
        <f>IF(E751="",0,NETWORKDAYS(E751,Controls!$B$36,Ref!$K$2:$K$42))</f>
        <v/>
      </c>
      <c r="AC751">
        <f>IF(AND(AA751&gt;0,AB751&gt;=Controls!$B$39*AA751),1,0)</f>
        <v/>
      </c>
      <c r="AD751">
        <f>IF(AND(E751&lt;&gt;"",E751&gt;=Controls!$B$37,E751&lt;=Controls!$B$38),1,0)</f>
        <v/>
      </c>
      <c r="AE751">
        <f>IF(IFERROR(VLOOKUP(D751,Controls!$A$64:$E$74,2,FALSE),"No")="Yes",1,0)</f>
        <v/>
      </c>
      <c r="AF751">
        <f>IF(IFERROR(VLOOKUP(D751,Controls!$A$64:$E$74,3,FALSE),"No")="Yes",1,0)</f>
        <v/>
      </c>
      <c r="AG751">
        <f>IF(IFERROR(VLOOKUP(D751,Controls!$A$64:$E$74,4,FALSE),"No")="Yes",1,0)</f>
        <v/>
      </c>
      <c r="AH751">
        <f>IF(IFERROR(VLOOKUP(D751,Controls!$A$64:$E$74,5,FALSE),"No")="Yes",1,0)</f>
        <v/>
      </c>
      <c r="AI751">
        <f>IF(ISNUMBER(MATCH(D751,Controls!$A$64:$A$74,0)),1,0)</f>
        <v/>
      </c>
      <c r="AJ751">
        <f>Q751-N751</f>
        <v/>
      </c>
      <c r="AK751">
        <f>IF(AE751=1,MAX(0,N751-Q751),0)</f>
        <v/>
      </c>
      <c r="AL751">
        <f>IF(OR(V751="",V751=0),0,N751/V751)</f>
        <v/>
      </c>
      <c r="AM751">
        <f>IF(OR(V751="",V751=0),0,1)</f>
        <v/>
      </c>
      <c r="AN751">
        <f>IF(OR(E751="",F751=""),0,NETWORKDAYS(E751,F751,Ref!$K$2:$K$42))</f>
        <v/>
      </c>
      <c r="AO751">
        <f>IF(L751="Renewal",1,0)</f>
        <v/>
      </c>
      <c r="AP751">
        <f>AC751*AD751</f>
        <v/>
      </c>
      <c r="AQ751">
        <f>IF(AND(G751&lt;&gt;"",'Historical Score'!$C$6&lt;&gt;""),IF(G751='Historical Score'!$C$6,1,0),0)</f>
        <v/>
      </c>
      <c r="AR751">
        <f>IF(AND(L751&lt;&gt;"",'Historical Score'!$C$5&lt;&gt;""),IF(L751='Historical Score'!$C$5,1,0),0)</f>
        <v/>
      </c>
      <c r="AS751">
        <f>IF(AND(Y751&lt;&gt;"",'Historical Score'!$C$7&lt;&gt;""),IF(Y751='Historical Score'!$C$7,1,0),0)</f>
        <v/>
      </c>
      <c r="AT751">
        <f>IF(AND(K751&lt;&gt;"",'Historical Score'!$C$8&lt;&gt;""),IF(K751='Historical Score'!$C$8,1,0),0)</f>
        <v/>
      </c>
      <c r="AU751">
        <f>IF(AND(J751&lt;&gt;"",'Historical Score'!$C$9&lt;&gt;""),IF(J751='Historical Score'!$C$9,1,0),0)</f>
        <v/>
      </c>
      <c r="AV751">
        <f>AR751*AS751*AQ751</f>
        <v/>
      </c>
      <c r="AW751">
        <f>AR751*AT751*AQ751</f>
        <v/>
      </c>
      <c r="AX751">
        <f>AR751*AS751</f>
        <v/>
      </c>
      <c r="AY751">
        <f>AR751*AT751</f>
        <v/>
      </c>
      <c r="AZ751">
        <f>AR751*AQ751</f>
        <v/>
      </c>
      <c r="BA751">
        <f>AR751</f>
        <v/>
      </c>
      <c r="BB751">
        <f>1</f>
        <v/>
      </c>
      <c r="BC751">
        <f>IF(AV751=1,1,IF(AW751=1,2,IF(AX751=1,3,IF(AY751=1,4,IF(AZ751=1,5,IF(BA751=1,6,7))))))</f>
        <v/>
      </c>
      <c r="BD751">
        <f>IF(AD751=1,CHOOSE('Historical Score'!$C$29,AV751,AW751,AX751,AY751,AZ751,BA751,BB751),0)</f>
        <v/>
      </c>
      <c r="BE751">
        <f>IF(BD751=1,COUNTIF($BD$2:BD751,1),"")</f>
        <v/>
      </c>
    </row>
    <row r="752">
      <c r="A752" t="inlineStr">
        <is>
          <t>5674180910</t>
        </is>
      </c>
      <c r="B752" t="inlineStr">
        <is>
          <t>CONSULTANT MANAGEMENT GROUP LLC</t>
        </is>
      </c>
      <c r="C752" t="inlineStr">
        <is>
          <t>CONSULTANT MANAGEMENT GROUP LLC</t>
        </is>
      </c>
      <c r="D752" t="inlineStr">
        <is>
          <t>Legal</t>
        </is>
      </c>
      <c r="E752" s="297" t="n">
        <v>46107</v>
      </c>
      <c r="F752" s="297" t="n">
        <v>46157</v>
      </c>
      <c r="G752" t="n">
        <v>3</v>
      </c>
      <c r="H752" t="inlineStr">
        <is>
          <t>8742</t>
        </is>
      </c>
      <c r="I752" t="inlineStr">
        <is>
          <t>87</t>
        </is>
      </c>
      <c r="J752" t="inlineStr">
        <is>
          <t>FL</t>
        </is>
      </c>
      <c r="K752" t="inlineStr">
        <is>
          <t>United Secured Capital 8</t>
        </is>
      </c>
      <c r="L752" t="inlineStr">
        <is>
          <t>New Deal</t>
        </is>
      </c>
      <c r="M752" s="298" t="n">
        <v>1.49</v>
      </c>
      <c r="N752" s="299" t="n">
        <v>26500</v>
      </c>
      <c r="O752" s="299" t="n">
        <v>0</v>
      </c>
      <c r="P752" s="299" t="n">
        <v>39485</v>
      </c>
      <c r="Q752" s="299" t="n">
        <v>5883.8</v>
      </c>
      <c r="R752" s="299" t="n">
        <v>33601.2</v>
      </c>
      <c r="S752" s="300" t="n">
        <v>0.149013549449158</v>
      </c>
      <c r="T752" t="n">
        <v>22</v>
      </c>
      <c r="U752" t="n">
        <v>6</v>
      </c>
      <c r="V752" t="n">
        <v>23015.11</v>
      </c>
      <c r="W752" s="300" t="n">
        <v>0.3119</v>
      </c>
      <c r="X752" s="297" t="n">
        <v>42441</v>
      </c>
      <c r="Y752">
        <f>IF(I752="","No SIC",IFERROR(VLOOKUP(I752,Ref!$A$2:$B$65,2,FALSE),"Unclassified"))</f>
        <v/>
      </c>
      <c r="Z752">
        <f>IF(T752="","",IF(T752&lt;12,"Daily","Weekly"))</f>
        <v/>
      </c>
      <c r="AA752">
        <f>IF(T752="",0,IF(T752&lt;12,T752*Controls!$B$29,T752*5))</f>
        <v/>
      </c>
      <c r="AB752">
        <f>IF(E752="",0,NETWORKDAYS(E752,Controls!$B$36,Ref!$K$2:$K$42))</f>
        <v/>
      </c>
      <c r="AC752">
        <f>IF(AND(AA752&gt;0,AB752&gt;=Controls!$B$39*AA752),1,0)</f>
        <v/>
      </c>
      <c r="AD752">
        <f>IF(AND(E752&lt;&gt;"",E752&gt;=Controls!$B$37,E752&lt;=Controls!$B$38),1,0)</f>
        <v/>
      </c>
      <c r="AE752">
        <f>IF(IFERROR(VLOOKUP(D752,Controls!$A$64:$E$74,2,FALSE),"No")="Yes",1,0)</f>
        <v/>
      </c>
      <c r="AF752">
        <f>IF(IFERROR(VLOOKUP(D752,Controls!$A$64:$E$74,3,FALSE),"No")="Yes",1,0)</f>
        <v/>
      </c>
      <c r="AG752">
        <f>IF(IFERROR(VLOOKUP(D752,Controls!$A$64:$E$74,4,FALSE),"No")="Yes",1,0)</f>
        <v/>
      </c>
      <c r="AH752">
        <f>IF(IFERROR(VLOOKUP(D752,Controls!$A$64:$E$74,5,FALSE),"No")="Yes",1,0)</f>
        <v/>
      </c>
      <c r="AI752">
        <f>IF(ISNUMBER(MATCH(D752,Controls!$A$64:$A$74,0)),1,0)</f>
        <v/>
      </c>
      <c r="AJ752">
        <f>Q752-N752</f>
        <v/>
      </c>
      <c r="AK752">
        <f>IF(AE752=1,MAX(0,N752-Q752),0)</f>
        <v/>
      </c>
      <c r="AL752">
        <f>IF(OR(V752="",V752=0),0,N752/V752)</f>
        <v/>
      </c>
      <c r="AM752">
        <f>IF(OR(V752="",V752=0),0,1)</f>
        <v/>
      </c>
      <c r="AN752">
        <f>IF(OR(E752="",F752=""),0,NETWORKDAYS(E752,F752,Ref!$K$2:$K$42))</f>
        <v/>
      </c>
      <c r="AO752">
        <f>IF(L752="Renewal",1,0)</f>
        <v/>
      </c>
      <c r="AP752">
        <f>AC752*AD752</f>
        <v/>
      </c>
      <c r="AQ752">
        <f>IF(AND(G752&lt;&gt;"",'Historical Score'!$C$6&lt;&gt;""),IF(G752='Historical Score'!$C$6,1,0),0)</f>
        <v/>
      </c>
      <c r="AR752">
        <f>IF(AND(L752&lt;&gt;"",'Historical Score'!$C$5&lt;&gt;""),IF(L752='Historical Score'!$C$5,1,0),0)</f>
        <v/>
      </c>
      <c r="AS752">
        <f>IF(AND(Y752&lt;&gt;"",'Historical Score'!$C$7&lt;&gt;""),IF(Y752='Historical Score'!$C$7,1,0),0)</f>
        <v/>
      </c>
      <c r="AT752">
        <f>IF(AND(K752&lt;&gt;"",'Historical Score'!$C$8&lt;&gt;""),IF(K752='Historical Score'!$C$8,1,0),0)</f>
        <v/>
      </c>
      <c r="AU752">
        <f>IF(AND(J752&lt;&gt;"",'Historical Score'!$C$9&lt;&gt;""),IF(J752='Historical Score'!$C$9,1,0),0)</f>
        <v/>
      </c>
      <c r="AV752">
        <f>AR752*AS752*AQ752</f>
        <v/>
      </c>
      <c r="AW752">
        <f>AR752*AT752*AQ752</f>
        <v/>
      </c>
      <c r="AX752">
        <f>AR752*AS752</f>
        <v/>
      </c>
      <c r="AY752">
        <f>AR752*AT752</f>
        <v/>
      </c>
      <c r="AZ752">
        <f>AR752*AQ752</f>
        <v/>
      </c>
      <c r="BA752">
        <f>AR752</f>
        <v/>
      </c>
      <c r="BB752">
        <f>1</f>
        <v/>
      </c>
      <c r="BC752">
        <f>IF(AV752=1,1,IF(AW752=1,2,IF(AX752=1,3,IF(AY752=1,4,IF(AZ752=1,5,IF(BA752=1,6,7))))))</f>
        <v/>
      </c>
      <c r="BD752">
        <f>IF(AD752=1,CHOOSE('Historical Score'!$C$29,AV752,AW752,AX752,AY752,AZ752,BA752,BB752),0)</f>
        <v/>
      </c>
      <c r="BE752">
        <f>IF(BD752=1,COUNTIF($BD$2:BD752,1),"")</f>
        <v/>
      </c>
    </row>
    <row r="753">
      <c r="A753" t="inlineStr">
        <is>
          <t>5674180911</t>
        </is>
      </c>
      <c r="B753" t="inlineStr">
        <is>
          <t>Reece Renovations Inc</t>
        </is>
      </c>
      <c r="C753" t="inlineStr">
        <is>
          <t>Reece Renovations Inc</t>
        </is>
      </c>
      <c r="D753" t="inlineStr">
        <is>
          <t>In House Collection</t>
        </is>
      </c>
      <c r="E753" s="297" t="n">
        <v>46107</v>
      </c>
      <c r="F753" s="297" t="n">
        <v>46189</v>
      </c>
      <c r="G753" t="n">
        <v>3</v>
      </c>
      <c r="H753" t="inlineStr">
        <is>
          <t>1521</t>
        </is>
      </c>
      <c r="I753" t="inlineStr">
        <is>
          <t>15</t>
        </is>
      </c>
      <c r="J753" t="inlineStr">
        <is>
          <t>FL</t>
        </is>
      </c>
      <c r="K753" t="inlineStr">
        <is>
          <t>United Secured Capital 8</t>
        </is>
      </c>
      <c r="L753" t="inlineStr">
        <is>
          <t>New Deal</t>
        </is>
      </c>
      <c r="M753" s="298" t="n">
        <v>1.49</v>
      </c>
      <c r="N753" s="299" t="n">
        <v>10000</v>
      </c>
      <c r="O753" s="299" t="n">
        <v>1400</v>
      </c>
      <c r="P753" s="299" t="n">
        <v>14900</v>
      </c>
      <c r="Q753" s="299" t="n">
        <v>10858.92</v>
      </c>
      <c r="R753" s="299" t="n">
        <v>4041.08</v>
      </c>
      <c r="S753" s="300" t="n">
        <v>0.728786577181208</v>
      </c>
      <c r="T753" t="n">
        <v>2.295</v>
      </c>
      <c r="U753" t="n">
        <v>6</v>
      </c>
      <c r="V753" t="n">
        <v>41248.09</v>
      </c>
      <c r="W753" s="300" t="n">
        <v>0.1084</v>
      </c>
      <c r="X753" s="297" t="n">
        <v>26104</v>
      </c>
      <c r="Y753">
        <f>IF(I753="","No SIC",IFERROR(VLOOKUP(I753,Ref!$A$2:$B$65,2,FALSE),"Unclassified"))</f>
        <v/>
      </c>
      <c r="Z753">
        <f>IF(T753="","",IF(T753&lt;12,"Daily","Weekly"))</f>
        <v/>
      </c>
      <c r="AA753">
        <f>IF(T753="",0,IF(T753&lt;12,T753*Controls!$B$29,T753*5))</f>
        <v/>
      </c>
      <c r="AB753">
        <f>IF(E753="",0,NETWORKDAYS(E753,Controls!$B$36,Ref!$K$2:$K$42))</f>
        <v/>
      </c>
      <c r="AC753">
        <f>IF(AND(AA753&gt;0,AB753&gt;=Controls!$B$39*AA753),1,0)</f>
        <v/>
      </c>
      <c r="AD753">
        <f>IF(AND(E753&lt;&gt;"",E753&gt;=Controls!$B$37,E753&lt;=Controls!$B$38),1,0)</f>
        <v/>
      </c>
      <c r="AE753">
        <f>IF(IFERROR(VLOOKUP(D753,Controls!$A$64:$E$74,2,FALSE),"No")="Yes",1,0)</f>
        <v/>
      </c>
      <c r="AF753">
        <f>IF(IFERROR(VLOOKUP(D753,Controls!$A$64:$E$74,3,FALSE),"No")="Yes",1,0)</f>
        <v/>
      </c>
      <c r="AG753">
        <f>IF(IFERROR(VLOOKUP(D753,Controls!$A$64:$E$74,4,FALSE),"No")="Yes",1,0)</f>
        <v/>
      </c>
      <c r="AH753">
        <f>IF(IFERROR(VLOOKUP(D753,Controls!$A$64:$E$74,5,FALSE),"No")="Yes",1,0)</f>
        <v/>
      </c>
      <c r="AI753">
        <f>IF(ISNUMBER(MATCH(D753,Controls!$A$64:$A$74,0)),1,0)</f>
        <v/>
      </c>
      <c r="AJ753">
        <f>Q753-N753</f>
        <v/>
      </c>
      <c r="AK753">
        <f>IF(AE753=1,MAX(0,N753-Q753),0)</f>
        <v/>
      </c>
      <c r="AL753">
        <f>IF(OR(V753="",V753=0),0,N753/V753)</f>
        <v/>
      </c>
      <c r="AM753">
        <f>IF(OR(V753="",V753=0),0,1)</f>
        <v/>
      </c>
      <c r="AN753">
        <f>IF(OR(E753="",F753=""),0,NETWORKDAYS(E753,F753,Ref!$K$2:$K$42))</f>
        <v/>
      </c>
      <c r="AO753">
        <f>IF(L753="Renewal",1,0)</f>
        <v/>
      </c>
      <c r="AP753">
        <f>AC753*AD753</f>
        <v/>
      </c>
      <c r="AQ753">
        <f>IF(AND(G753&lt;&gt;"",'Historical Score'!$C$6&lt;&gt;""),IF(G753='Historical Score'!$C$6,1,0),0)</f>
        <v/>
      </c>
      <c r="AR753">
        <f>IF(AND(L753&lt;&gt;"",'Historical Score'!$C$5&lt;&gt;""),IF(L753='Historical Score'!$C$5,1,0),0)</f>
        <v/>
      </c>
      <c r="AS753">
        <f>IF(AND(Y753&lt;&gt;"",'Historical Score'!$C$7&lt;&gt;""),IF(Y753='Historical Score'!$C$7,1,0),0)</f>
        <v/>
      </c>
      <c r="AT753">
        <f>IF(AND(K753&lt;&gt;"",'Historical Score'!$C$8&lt;&gt;""),IF(K753='Historical Score'!$C$8,1,0),0)</f>
        <v/>
      </c>
      <c r="AU753">
        <f>IF(AND(J753&lt;&gt;"",'Historical Score'!$C$9&lt;&gt;""),IF(J753='Historical Score'!$C$9,1,0),0)</f>
        <v/>
      </c>
      <c r="AV753">
        <f>AR753*AS753*AQ753</f>
        <v/>
      </c>
      <c r="AW753">
        <f>AR753*AT753*AQ753</f>
        <v/>
      </c>
      <c r="AX753">
        <f>AR753*AS753</f>
        <v/>
      </c>
      <c r="AY753">
        <f>AR753*AT753</f>
        <v/>
      </c>
      <c r="AZ753">
        <f>AR753*AQ753</f>
        <v/>
      </c>
      <c r="BA753">
        <f>AR753</f>
        <v/>
      </c>
      <c r="BB753">
        <f>1</f>
        <v/>
      </c>
      <c r="BC753">
        <f>IF(AV753=1,1,IF(AW753=1,2,IF(AX753=1,3,IF(AY753=1,4,IF(AZ753=1,5,IF(BA753=1,6,7))))))</f>
        <v/>
      </c>
      <c r="BD753">
        <f>IF(AD753=1,CHOOSE('Historical Score'!$C$29,AV753,AW753,AX753,AY753,AZ753,BA753,BB753),0)</f>
        <v/>
      </c>
      <c r="BE753">
        <f>IF(BD753=1,COUNTIF($BD$2:BD753,1),"")</f>
        <v/>
      </c>
    </row>
    <row r="754">
      <c r="A754" t="inlineStr">
        <is>
          <t>5674180915</t>
        </is>
      </c>
      <c r="B754" t="inlineStr">
        <is>
          <t>GOLDEN GROVE, USA DBA CAROLINA  NUT TRANSPORT, INC DBA GOLDEN GROVE</t>
        </is>
      </c>
      <c r="C754" t="inlineStr">
        <is>
          <t>GOLDEN GROVE, USA INC</t>
        </is>
      </c>
      <c r="D754" t="inlineStr">
        <is>
          <t>Legal</t>
        </is>
      </c>
      <c r="E754" s="297" t="n">
        <v>46107</v>
      </c>
      <c r="F754" s="297" t="n">
        <v>46177</v>
      </c>
      <c r="G754" t="n">
        <v>3</v>
      </c>
      <c r="H754" t="inlineStr">
        <is>
          <t>5191</t>
        </is>
      </c>
      <c r="I754" t="inlineStr">
        <is>
          <t>51</t>
        </is>
      </c>
      <c r="J754" t="inlineStr">
        <is>
          <t>NC</t>
        </is>
      </c>
      <c r="K754" t="inlineStr">
        <is>
          <t>PMF</t>
        </is>
      </c>
      <c r="L754" t="inlineStr">
        <is>
          <t>New Deal</t>
        </is>
      </c>
      <c r="M754" s="298" t="n">
        <v>1.42</v>
      </c>
      <c r="N754" s="299" t="n">
        <v>250000</v>
      </c>
      <c r="O754" s="299" t="n">
        <v>0</v>
      </c>
      <c r="P754" s="299" t="n">
        <v>355000</v>
      </c>
      <c r="Q754" s="299" t="n">
        <v>23071.94</v>
      </c>
      <c r="R754" s="299" t="n">
        <v>331928.06</v>
      </c>
      <c r="S754" s="300" t="n">
        <v>0.0649913802816901</v>
      </c>
      <c r="T754" t="n">
        <v>3.279</v>
      </c>
      <c r="U754" t="n">
        <v>32</v>
      </c>
      <c r="V754" t="n">
        <v>2129544.31</v>
      </c>
      <c r="W754" s="300" t="n">
        <v>0.0535</v>
      </c>
      <c r="X754" s="297" t="n">
        <v>43017</v>
      </c>
      <c r="Y754">
        <f>IF(I754="","No SIC",IFERROR(VLOOKUP(I754,Ref!$A$2:$B$65,2,FALSE),"Unclassified"))</f>
        <v/>
      </c>
      <c r="Z754">
        <f>IF(T754="","",IF(T754&lt;12,"Daily","Weekly"))</f>
        <v/>
      </c>
      <c r="AA754">
        <f>IF(T754="",0,IF(T754&lt;12,T754*Controls!$B$29,T754*5))</f>
        <v/>
      </c>
      <c r="AB754">
        <f>IF(E754="",0,NETWORKDAYS(E754,Controls!$B$36,Ref!$K$2:$K$42))</f>
        <v/>
      </c>
      <c r="AC754">
        <f>IF(AND(AA754&gt;0,AB754&gt;=Controls!$B$39*AA754),1,0)</f>
        <v/>
      </c>
      <c r="AD754">
        <f>IF(AND(E754&lt;&gt;"",E754&gt;=Controls!$B$37,E754&lt;=Controls!$B$38),1,0)</f>
        <v/>
      </c>
      <c r="AE754">
        <f>IF(IFERROR(VLOOKUP(D754,Controls!$A$64:$E$74,2,FALSE),"No")="Yes",1,0)</f>
        <v/>
      </c>
      <c r="AF754">
        <f>IF(IFERROR(VLOOKUP(D754,Controls!$A$64:$E$74,3,FALSE),"No")="Yes",1,0)</f>
        <v/>
      </c>
      <c r="AG754">
        <f>IF(IFERROR(VLOOKUP(D754,Controls!$A$64:$E$74,4,FALSE),"No")="Yes",1,0)</f>
        <v/>
      </c>
      <c r="AH754">
        <f>IF(IFERROR(VLOOKUP(D754,Controls!$A$64:$E$74,5,FALSE),"No")="Yes",1,0)</f>
        <v/>
      </c>
      <c r="AI754">
        <f>IF(ISNUMBER(MATCH(D754,Controls!$A$64:$A$74,0)),1,0)</f>
        <v/>
      </c>
      <c r="AJ754">
        <f>Q754-N754</f>
        <v/>
      </c>
      <c r="AK754">
        <f>IF(AE754=1,MAX(0,N754-Q754),0)</f>
        <v/>
      </c>
      <c r="AL754">
        <f>IF(OR(V754="",V754=0),0,N754/V754)</f>
        <v/>
      </c>
      <c r="AM754">
        <f>IF(OR(V754="",V754=0),0,1)</f>
        <v/>
      </c>
      <c r="AN754">
        <f>IF(OR(E754="",F754=""),0,NETWORKDAYS(E754,F754,Ref!$K$2:$K$42))</f>
        <v/>
      </c>
      <c r="AO754">
        <f>IF(L754="Renewal",1,0)</f>
        <v/>
      </c>
      <c r="AP754">
        <f>AC754*AD754</f>
        <v/>
      </c>
      <c r="AQ754">
        <f>IF(AND(G754&lt;&gt;"",'Historical Score'!$C$6&lt;&gt;""),IF(G754='Historical Score'!$C$6,1,0),0)</f>
        <v/>
      </c>
      <c r="AR754">
        <f>IF(AND(L754&lt;&gt;"",'Historical Score'!$C$5&lt;&gt;""),IF(L754='Historical Score'!$C$5,1,0),0)</f>
        <v/>
      </c>
      <c r="AS754">
        <f>IF(AND(Y754&lt;&gt;"",'Historical Score'!$C$7&lt;&gt;""),IF(Y754='Historical Score'!$C$7,1,0),0)</f>
        <v/>
      </c>
      <c r="AT754">
        <f>IF(AND(K754&lt;&gt;"",'Historical Score'!$C$8&lt;&gt;""),IF(K754='Historical Score'!$C$8,1,0),0)</f>
        <v/>
      </c>
      <c r="AU754">
        <f>IF(AND(J754&lt;&gt;"",'Historical Score'!$C$9&lt;&gt;""),IF(J754='Historical Score'!$C$9,1,0),0)</f>
        <v/>
      </c>
      <c r="AV754">
        <f>AR754*AS754*AQ754</f>
        <v/>
      </c>
      <c r="AW754">
        <f>AR754*AT754*AQ754</f>
        <v/>
      </c>
      <c r="AX754">
        <f>AR754*AS754</f>
        <v/>
      </c>
      <c r="AY754">
        <f>AR754*AT754</f>
        <v/>
      </c>
      <c r="AZ754">
        <f>AR754*AQ754</f>
        <v/>
      </c>
      <c r="BA754">
        <f>AR754</f>
        <v/>
      </c>
      <c r="BB754">
        <f>1</f>
        <v/>
      </c>
      <c r="BC754">
        <f>IF(AV754=1,1,IF(AW754=1,2,IF(AX754=1,3,IF(AY754=1,4,IF(AZ754=1,5,IF(BA754=1,6,7))))))</f>
        <v/>
      </c>
      <c r="BD754">
        <f>IF(AD754=1,CHOOSE('Historical Score'!$C$29,AV754,AW754,AX754,AY754,AZ754,BA754,BB754),0)</f>
        <v/>
      </c>
      <c r="BE754">
        <f>IF(BD754=1,COUNTIF($BD$2:BD754,1),"")</f>
        <v/>
      </c>
    </row>
    <row r="755">
      <c r="A755" t="inlineStr">
        <is>
          <t>5674180929</t>
        </is>
      </c>
      <c r="B755" t="inlineStr">
        <is>
          <t>Vets 4 Alltrades Dumping And Hauling</t>
        </is>
      </c>
      <c r="C755" t="inlineStr">
        <is>
          <t>Vets 4 Alltrades Dumping And Hauling</t>
        </is>
      </c>
      <c r="D755" t="inlineStr">
        <is>
          <t>In House Collection</t>
        </is>
      </c>
      <c r="E755" s="297" t="n">
        <v>46108</v>
      </c>
      <c r="F755" s="297" t="n">
        <v>46174</v>
      </c>
      <c r="G755" t="n">
        <v>3</v>
      </c>
      <c r="H755" t="inlineStr">
        <is>
          <t>3537</t>
        </is>
      </c>
      <c r="I755" t="inlineStr">
        <is>
          <t>35</t>
        </is>
      </c>
      <c r="J755" t="inlineStr">
        <is>
          <t>SC</t>
        </is>
      </c>
      <c r="K755" t="inlineStr">
        <is>
          <t>Ace Partners</t>
        </is>
      </c>
      <c r="L755" t="inlineStr">
        <is>
          <t>New Deal</t>
        </is>
      </c>
      <c r="M755" s="298" t="n">
        <v>1.45</v>
      </c>
      <c r="N755" s="299" t="n">
        <v>30000</v>
      </c>
      <c r="O755" s="299" t="n">
        <v>3600</v>
      </c>
      <c r="P755" s="299" t="n">
        <v>43500</v>
      </c>
      <c r="Q755" s="299" t="n">
        <v>15225</v>
      </c>
      <c r="R755" s="299" t="n">
        <v>28275</v>
      </c>
      <c r="S755" s="300" t="n">
        <v>0.35</v>
      </c>
      <c r="T755" t="n">
        <v>3.934</v>
      </c>
      <c r="U755" t="n">
        <v>4</v>
      </c>
      <c r="V755" t="n">
        <v>47194.8</v>
      </c>
      <c r="W755" s="300" t="n">
        <v>0.1613</v>
      </c>
      <c r="X755" s="297" t="n">
        <v>44511</v>
      </c>
      <c r="Y755">
        <f>IF(I755="","No SIC",IFERROR(VLOOKUP(I755,Ref!$A$2:$B$65,2,FALSE),"Unclassified"))</f>
        <v/>
      </c>
      <c r="Z755">
        <f>IF(T755="","",IF(T755&lt;12,"Daily","Weekly"))</f>
        <v/>
      </c>
      <c r="AA755">
        <f>IF(T755="",0,IF(T755&lt;12,T755*Controls!$B$29,T755*5))</f>
        <v/>
      </c>
      <c r="AB755">
        <f>IF(E755="",0,NETWORKDAYS(E755,Controls!$B$36,Ref!$K$2:$K$42))</f>
        <v/>
      </c>
      <c r="AC755">
        <f>IF(AND(AA755&gt;0,AB755&gt;=Controls!$B$39*AA755),1,0)</f>
        <v/>
      </c>
      <c r="AD755">
        <f>IF(AND(E755&lt;&gt;"",E755&gt;=Controls!$B$37,E755&lt;=Controls!$B$38),1,0)</f>
        <v/>
      </c>
      <c r="AE755">
        <f>IF(IFERROR(VLOOKUP(D755,Controls!$A$64:$E$74,2,FALSE),"No")="Yes",1,0)</f>
        <v/>
      </c>
      <c r="AF755">
        <f>IF(IFERROR(VLOOKUP(D755,Controls!$A$64:$E$74,3,FALSE),"No")="Yes",1,0)</f>
        <v/>
      </c>
      <c r="AG755">
        <f>IF(IFERROR(VLOOKUP(D755,Controls!$A$64:$E$74,4,FALSE),"No")="Yes",1,0)</f>
        <v/>
      </c>
      <c r="AH755">
        <f>IF(IFERROR(VLOOKUP(D755,Controls!$A$64:$E$74,5,FALSE),"No")="Yes",1,0)</f>
        <v/>
      </c>
      <c r="AI755">
        <f>IF(ISNUMBER(MATCH(D755,Controls!$A$64:$A$74,0)),1,0)</f>
        <v/>
      </c>
      <c r="AJ755">
        <f>Q755-N755</f>
        <v/>
      </c>
      <c r="AK755">
        <f>IF(AE755=1,MAX(0,N755-Q755),0)</f>
        <v/>
      </c>
      <c r="AL755">
        <f>IF(OR(V755="",V755=0),0,N755/V755)</f>
        <v/>
      </c>
      <c r="AM755">
        <f>IF(OR(V755="",V755=0),0,1)</f>
        <v/>
      </c>
      <c r="AN755">
        <f>IF(OR(E755="",F755=""),0,NETWORKDAYS(E755,F755,Ref!$K$2:$K$42))</f>
        <v/>
      </c>
      <c r="AO755">
        <f>IF(L755="Renewal",1,0)</f>
        <v/>
      </c>
      <c r="AP755">
        <f>AC755*AD755</f>
        <v/>
      </c>
      <c r="AQ755">
        <f>IF(AND(G755&lt;&gt;"",'Historical Score'!$C$6&lt;&gt;""),IF(G755='Historical Score'!$C$6,1,0),0)</f>
        <v/>
      </c>
      <c r="AR755">
        <f>IF(AND(L755&lt;&gt;"",'Historical Score'!$C$5&lt;&gt;""),IF(L755='Historical Score'!$C$5,1,0),0)</f>
        <v/>
      </c>
      <c r="AS755">
        <f>IF(AND(Y755&lt;&gt;"",'Historical Score'!$C$7&lt;&gt;""),IF(Y755='Historical Score'!$C$7,1,0),0)</f>
        <v/>
      </c>
      <c r="AT755">
        <f>IF(AND(K755&lt;&gt;"",'Historical Score'!$C$8&lt;&gt;""),IF(K755='Historical Score'!$C$8,1,0),0)</f>
        <v/>
      </c>
      <c r="AU755">
        <f>IF(AND(J755&lt;&gt;"",'Historical Score'!$C$9&lt;&gt;""),IF(J755='Historical Score'!$C$9,1,0),0)</f>
        <v/>
      </c>
      <c r="AV755">
        <f>AR755*AS755*AQ755</f>
        <v/>
      </c>
      <c r="AW755">
        <f>AR755*AT755*AQ755</f>
        <v/>
      </c>
      <c r="AX755">
        <f>AR755*AS755</f>
        <v/>
      </c>
      <c r="AY755">
        <f>AR755*AT755</f>
        <v/>
      </c>
      <c r="AZ755">
        <f>AR755*AQ755</f>
        <v/>
      </c>
      <c r="BA755">
        <f>AR755</f>
        <v/>
      </c>
      <c r="BB755">
        <f>1</f>
        <v/>
      </c>
      <c r="BC755">
        <f>IF(AV755=1,1,IF(AW755=1,2,IF(AX755=1,3,IF(AY755=1,4,IF(AZ755=1,5,IF(BA755=1,6,7))))))</f>
        <v/>
      </c>
      <c r="BD755">
        <f>IF(AD755=1,CHOOSE('Historical Score'!$C$29,AV755,AW755,AX755,AY755,AZ755,BA755,BB755),0)</f>
        <v/>
      </c>
      <c r="BE755">
        <f>IF(BD755=1,COUNTIF($BD$2:BD755,1),"")</f>
        <v/>
      </c>
    </row>
    <row r="756">
      <c r="A756" t="inlineStr">
        <is>
          <t>5674180949</t>
        </is>
      </c>
      <c r="B756" t="inlineStr">
        <is>
          <t>Escapade Games</t>
        </is>
      </c>
      <c r="C756" t="inlineStr">
        <is>
          <t>ZOE ESCAPE LLC</t>
        </is>
      </c>
      <c r="D756" t="inlineStr">
        <is>
          <t>Closed</t>
        </is>
      </c>
      <c r="E756" s="297" t="n">
        <v>46108</v>
      </c>
      <c r="F756" s="297" t="n">
        <v>46237</v>
      </c>
      <c r="G756" t="n">
        <v>1</v>
      </c>
      <c r="H756" t="inlineStr">
        <is>
          <t>5812</t>
        </is>
      </c>
      <c r="I756" t="inlineStr">
        <is>
          <t>58</t>
        </is>
      </c>
      <c r="J756" t="inlineStr">
        <is>
          <t>CA</t>
        </is>
      </c>
      <c r="K756" t="inlineStr">
        <is>
          <t>Platform Funding</t>
        </is>
      </c>
      <c r="L756" t="inlineStr">
        <is>
          <t>Renewal</t>
        </is>
      </c>
      <c r="M756" s="298" t="n">
        <v>1.49</v>
      </c>
      <c r="N756" s="299" t="n">
        <v>20000</v>
      </c>
      <c r="O756" s="299" t="n">
        <v>2800</v>
      </c>
      <c r="P756" s="299" t="n">
        <v>29800</v>
      </c>
      <c r="Q756" s="299" t="n">
        <v>29800</v>
      </c>
      <c r="R756" s="299" t="n">
        <v>0</v>
      </c>
      <c r="S756" s="300" t="n">
        <v>1</v>
      </c>
      <c r="T756" t="n">
        <v>3.016</v>
      </c>
      <c r="U756" t="n">
        <v>1</v>
      </c>
      <c r="V756" t="n">
        <v>36941.24</v>
      </c>
      <c r="W756" s="300" t="n">
        <v>0.0746</v>
      </c>
      <c r="X756" s="297" t="n">
        <v>45139</v>
      </c>
      <c r="Y756">
        <f>IF(I756="","No SIC",IFERROR(VLOOKUP(I756,Ref!$A$2:$B$65,2,FALSE),"Unclassified"))</f>
        <v/>
      </c>
      <c r="Z756">
        <f>IF(T756="","",IF(T756&lt;12,"Daily","Weekly"))</f>
        <v/>
      </c>
      <c r="AA756">
        <f>IF(T756="",0,IF(T756&lt;12,T756*Controls!$B$29,T756*5))</f>
        <v/>
      </c>
      <c r="AB756">
        <f>IF(E756="",0,NETWORKDAYS(E756,Controls!$B$36,Ref!$K$2:$K$42))</f>
        <v/>
      </c>
      <c r="AC756">
        <f>IF(AND(AA756&gt;0,AB756&gt;=Controls!$B$39*AA756),1,0)</f>
        <v/>
      </c>
      <c r="AD756">
        <f>IF(AND(E756&lt;&gt;"",E756&gt;=Controls!$B$37,E756&lt;=Controls!$B$38),1,0)</f>
        <v/>
      </c>
      <c r="AE756">
        <f>IF(IFERROR(VLOOKUP(D756,Controls!$A$64:$E$74,2,FALSE),"No")="Yes",1,0)</f>
        <v/>
      </c>
      <c r="AF756">
        <f>IF(IFERROR(VLOOKUP(D756,Controls!$A$64:$E$74,3,FALSE),"No")="Yes",1,0)</f>
        <v/>
      </c>
      <c r="AG756">
        <f>IF(IFERROR(VLOOKUP(D756,Controls!$A$64:$E$74,4,FALSE),"No")="Yes",1,0)</f>
        <v/>
      </c>
      <c r="AH756">
        <f>IF(IFERROR(VLOOKUP(D756,Controls!$A$64:$E$74,5,FALSE),"No")="Yes",1,0)</f>
        <v/>
      </c>
      <c r="AI756">
        <f>IF(ISNUMBER(MATCH(D756,Controls!$A$64:$A$74,0)),1,0)</f>
        <v/>
      </c>
      <c r="AJ756">
        <f>Q756-N756</f>
        <v/>
      </c>
      <c r="AK756">
        <f>IF(AE756=1,MAX(0,N756-Q756),0)</f>
        <v/>
      </c>
      <c r="AL756">
        <f>IF(OR(V756="",V756=0),0,N756/V756)</f>
        <v/>
      </c>
      <c r="AM756">
        <f>IF(OR(V756="",V756=0),0,1)</f>
        <v/>
      </c>
      <c r="AN756">
        <f>IF(OR(E756="",F756=""),0,NETWORKDAYS(E756,F756,Ref!$K$2:$K$42))</f>
        <v/>
      </c>
      <c r="AO756">
        <f>IF(L756="Renewal",1,0)</f>
        <v/>
      </c>
      <c r="AP756">
        <f>AC756*AD756</f>
        <v/>
      </c>
      <c r="AQ756">
        <f>IF(AND(G756&lt;&gt;"",'Historical Score'!$C$6&lt;&gt;""),IF(G756='Historical Score'!$C$6,1,0),0)</f>
        <v/>
      </c>
      <c r="AR756">
        <f>IF(AND(L756&lt;&gt;"",'Historical Score'!$C$5&lt;&gt;""),IF(L756='Historical Score'!$C$5,1,0),0)</f>
        <v/>
      </c>
      <c r="AS756">
        <f>IF(AND(Y756&lt;&gt;"",'Historical Score'!$C$7&lt;&gt;""),IF(Y756='Historical Score'!$C$7,1,0),0)</f>
        <v/>
      </c>
      <c r="AT756">
        <f>IF(AND(K756&lt;&gt;"",'Historical Score'!$C$8&lt;&gt;""),IF(K756='Historical Score'!$C$8,1,0),0)</f>
        <v/>
      </c>
      <c r="AU756">
        <f>IF(AND(J756&lt;&gt;"",'Historical Score'!$C$9&lt;&gt;""),IF(J756='Historical Score'!$C$9,1,0),0)</f>
        <v/>
      </c>
      <c r="AV756">
        <f>AR756*AS756*AQ756</f>
        <v/>
      </c>
      <c r="AW756">
        <f>AR756*AT756*AQ756</f>
        <v/>
      </c>
      <c r="AX756">
        <f>AR756*AS756</f>
        <v/>
      </c>
      <c r="AY756">
        <f>AR756*AT756</f>
        <v/>
      </c>
      <c r="AZ756">
        <f>AR756*AQ756</f>
        <v/>
      </c>
      <c r="BA756">
        <f>AR756</f>
        <v/>
      </c>
      <c r="BB756">
        <f>1</f>
        <v/>
      </c>
      <c r="BC756">
        <f>IF(AV756=1,1,IF(AW756=1,2,IF(AX756=1,3,IF(AY756=1,4,IF(AZ756=1,5,IF(BA756=1,6,7))))))</f>
        <v/>
      </c>
      <c r="BD756">
        <f>IF(AD756=1,CHOOSE('Historical Score'!$C$29,AV756,AW756,AX756,AY756,AZ756,BA756,BB756),0)</f>
        <v/>
      </c>
      <c r="BE756">
        <f>IF(BD756=1,COUNTIF($BD$2:BD756,1),"")</f>
        <v/>
      </c>
    </row>
    <row r="757">
      <c r="A757" t="inlineStr">
        <is>
          <t>5674180955</t>
        </is>
      </c>
      <c r="B757" t="inlineStr">
        <is>
          <t>JERICHO AUDIO/VISUAL, L.L.C.</t>
        </is>
      </c>
      <c r="C757" t="inlineStr">
        <is>
          <t>JERICHO AUDIO/VISUAL, L.L.C.</t>
        </is>
      </c>
      <c r="D757" t="inlineStr">
        <is>
          <t>Open</t>
        </is>
      </c>
      <c r="E757" s="297" t="n">
        <v>46108</v>
      </c>
      <c r="F757" s="297" t="n">
        <v>46253</v>
      </c>
      <c r="G757" t="n">
        <v>2</v>
      </c>
      <c r="H757" t="inlineStr">
        <is>
          <t>3651</t>
        </is>
      </c>
      <c r="I757" t="inlineStr">
        <is>
          <t>36</t>
        </is>
      </c>
      <c r="J757" t="inlineStr">
        <is>
          <t>NC</t>
        </is>
      </c>
      <c r="K757" t="inlineStr">
        <is>
          <t>Fundwell</t>
        </is>
      </c>
      <c r="L757" t="inlineStr">
        <is>
          <t>Renewal</t>
        </is>
      </c>
      <c r="M757" s="298" t="n">
        <v>1.45</v>
      </c>
      <c r="N757" s="299" t="n">
        <v>20000</v>
      </c>
      <c r="O757" s="299" t="n">
        <v>2960</v>
      </c>
      <c r="P757" s="299" t="n">
        <v>29000</v>
      </c>
      <c r="Q757" s="299" t="n">
        <v>20053.63</v>
      </c>
      <c r="R757" s="299" t="n">
        <v>8946.370000000001</v>
      </c>
      <c r="S757" s="300" t="n">
        <v>0.691504482758621</v>
      </c>
      <c r="T757" t="n">
        <v>3.934</v>
      </c>
      <c r="U757" t="n">
        <v>11</v>
      </c>
      <c r="V757" t="n">
        <v>37312.1</v>
      </c>
      <c r="W757" s="300" t="n">
        <v>0.1443</v>
      </c>
      <c r="X757" s="297" t="n">
        <v>40922</v>
      </c>
      <c r="Y757">
        <f>IF(I757="","No SIC",IFERROR(VLOOKUP(I757,Ref!$A$2:$B$65,2,FALSE),"Unclassified"))</f>
        <v/>
      </c>
      <c r="Z757">
        <f>IF(T757="","",IF(T757&lt;12,"Daily","Weekly"))</f>
        <v/>
      </c>
      <c r="AA757">
        <f>IF(T757="",0,IF(T757&lt;12,T757*Controls!$B$29,T757*5))</f>
        <v/>
      </c>
      <c r="AB757">
        <f>IF(E757="",0,NETWORKDAYS(E757,Controls!$B$36,Ref!$K$2:$K$42))</f>
        <v/>
      </c>
      <c r="AC757">
        <f>IF(AND(AA757&gt;0,AB757&gt;=Controls!$B$39*AA757),1,0)</f>
        <v/>
      </c>
      <c r="AD757">
        <f>IF(AND(E757&lt;&gt;"",E757&gt;=Controls!$B$37,E757&lt;=Controls!$B$38),1,0)</f>
        <v/>
      </c>
      <c r="AE757">
        <f>IF(IFERROR(VLOOKUP(D757,Controls!$A$64:$E$74,2,FALSE),"No")="Yes",1,0)</f>
        <v/>
      </c>
      <c r="AF757">
        <f>IF(IFERROR(VLOOKUP(D757,Controls!$A$64:$E$74,3,FALSE),"No")="Yes",1,0)</f>
        <v/>
      </c>
      <c r="AG757">
        <f>IF(IFERROR(VLOOKUP(D757,Controls!$A$64:$E$74,4,FALSE),"No")="Yes",1,0)</f>
        <v/>
      </c>
      <c r="AH757">
        <f>IF(IFERROR(VLOOKUP(D757,Controls!$A$64:$E$74,5,FALSE),"No")="Yes",1,0)</f>
        <v/>
      </c>
      <c r="AI757">
        <f>IF(ISNUMBER(MATCH(D757,Controls!$A$64:$A$74,0)),1,0)</f>
        <v/>
      </c>
      <c r="AJ757">
        <f>Q757-N757</f>
        <v/>
      </c>
      <c r="AK757">
        <f>IF(AE757=1,MAX(0,N757-Q757),0)</f>
        <v/>
      </c>
      <c r="AL757">
        <f>IF(OR(V757="",V757=0),0,N757/V757)</f>
        <v/>
      </c>
      <c r="AM757">
        <f>IF(OR(V757="",V757=0),0,1)</f>
        <v/>
      </c>
      <c r="AN757">
        <f>IF(OR(E757="",F757=""),0,NETWORKDAYS(E757,F757,Ref!$K$2:$K$42))</f>
        <v/>
      </c>
      <c r="AO757">
        <f>IF(L757="Renewal",1,0)</f>
        <v/>
      </c>
      <c r="AP757">
        <f>AC757*AD757</f>
        <v/>
      </c>
      <c r="AQ757">
        <f>IF(AND(G757&lt;&gt;"",'Historical Score'!$C$6&lt;&gt;""),IF(G757='Historical Score'!$C$6,1,0),0)</f>
        <v/>
      </c>
      <c r="AR757">
        <f>IF(AND(L757&lt;&gt;"",'Historical Score'!$C$5&lt;&gt;""),IF(L757='Historical Score'!$C$5,1,0),0)</f>
        <v/>
      </c>
      <c r="AS757">
        <f>IF(AND(Y757&lt;&gt;"",'Historical Score'!$C$7&lt;&gt;""),IF(Y757='Historical Score'!$C$7,1,0),0)</f>
        <v/>
      </c>
      <c r="AT757">
        <f>IF(AND(K757&lt;&gt;"",'Historical Score'!$C$8&lt;&gt;""),IF(K757='Historical Score'!$C$8,1,0),0)</f>
        <v/>
      </c>
      <c r="AU757">
        <f>IF(AND(J757&lt;&gt;"",'Historical Score'!$C$9&lt;&gt;""),IF(J757='Historical Score'!$C$9,1,0),0)</f>
        <v/>
      </c>
      <c r="AV757">
        <f>AR757*AS757*AQ757</f>
        <v/>
      </c>
      <c r="AW757">
        <f>AR757*AT757*AQ757</f>
        <v/>
      </c>
      <c r="AX757">
        <f>AR757*AS757</f>
        <v/>
      </c>
      <c r="AY757">
        <f>AR757*AT757</f>
        <v/>
      </c>
      <c r="AZ757">
        <f>AR757*AQ757</f>
        <v/>
      </c>
      <c r="BA757">
        <f>AR757</f>
        <v/>
      </c>
      <c r="BB757">
        <f>1</f>
        <v/>
      </c>
      <c r="BC757">
        <f>IF(AV757=1,1,IF(AW757=1,2,IF(AX757=1,3,IF(AY757=1,4,IF(AZ757=1,5,IF(BA757=1,6,7))))))</f>
        <v/>
      </c>
      <c r="BD757">
        <f>IF(AD757=1,CHOOSE('Historical Score'!$C$29,AV757,AW757,AX757,AY757,AZ757,BA757,BB757),0)</f>
        <v/>
      </c>
      <c r="BE757">
        <f>IF(BD757=1,COUNTIF($BD$2:BD757,1),"")</f>
        <v/>
      </c>
    </row>
    <row r="758">
      <c r="A758" t="inlineStr">
        <is>
          <t>5674180967</t>
        </is>
      </c>
      <c r="B758" t="inlineStr">
        <is>
          <t>FSP CONTRACTING LLC</t>
        </is>
      </c>
      <c r="C758" t="inlineStr">
        <is>
          <t>FSP CONTRACTING LLC</t>
        </is>
      </c>
      <c r="D758" t="inlineStr">
        <is>
          <t>In House Collection</t>
        </is>
      </c>
      <c r="E758" s="297" t="n">
        <v>46108</v>
      </c>
      <c r="F758" s="297" t="n">
        <v>46223</v>
      </c>
      <c r="G758" t="n">
        <v>3</v>
      </c>
      <c r="H758" t="inlineStr">
        <is>
          <t>1521</t>
        </is>
      </c>
      <c r="I758" t="inlineStr">
        <is>
          <t>15</t>
        </is>
      </c>
      <c r="J758" t="inlineStr">
        <is>
          <t>KS</t>
        </is>
      </c>
      <c r="K758" t="inlineStr">
        <is>
          <t>United Secured Capital 8</t>
        </is>
      </c>
      <c r="L758" t="inlineStr">
        <is>
          <t>New Deal</t>
        </is>
      </c>
      <c r="M758" s="298" t="n">
        <v>1.49</v>
      </c>
      <c r="N758" s="299" t="n">
        <v>5000</v>
      </c>
      <c r="O758" s="299" t="n">
        <v>0</v>
      </c>
      <c r="P758" s="299" t="n">
        <v>7450</v>
      </c>
      <c r="Q758" s="299" t="n">
        <v>1304.17</v>
      </c>
      <c r="R758" s="299" t="n">
        <v>6145.83</v>
      </c>
      <c r="S758" s="300" t="n">
        <v>0.175056375838926</v>
      </c>
      <c r="T758" t="n">
        <v>2.623</v>
      </c>
      <c r="U758" t="n">
        <v>49</v>
      </c>
      <c r="V758" t="n">
        <v>39596.57</v>
      </c>
      <c r="W758" s="300" t="n">
        <v>0.0494</v>
      </c>
      <c r="X758" s="297" t="n">
        <v>45860</v>
      </c>
      <c r="Y758">
        <f>IF(I758="","No SIC",IFERROR(VLOOKUP(I758,Ref!$A$2:$B$65,2,FALSE),"Unclassified"))</f>
        <v/>
      </c>
      <c r="Z758">
        <f>IF(T758="","",IF(T758&lt;12,"Daily","Weekly"))</f>
        <v/>
      </c>
      <c r="AA758">
        <f>IF(T758="",0,IF(T758&lt;12,T758*Controls!$B$29,T758*5))</f>
        <v/>
      </c>
      <c r="AB758">
        <f>IF(E758="",0,NETWORKDAYS(E758,Controls!$B$36,Ref!$K$2:$K$42))</f>
        <v/>
      </c>
      <c r="AC758">
        <f>IF(AND(AA758&gt;0,AB758&gt;=Controls!$B$39*AA758),1,0)</f>
        <v/>
      </c>
      <c r="AD758">
        <f>IF(AND(E758&lt;&gt;"",E758&gt;=Controls!$B$37,E758&lt;=Controls!$B$38),1,0)</f>
        <v/>
      </c>
      <c r="AE758">
        <f>IF(IFERROR(VLOOKUP(D758,Controls!$A$64:$E$74,2,FALSE),"No")="Yes",1,0)</f>
        <v/>
      </c>
      <c r="AF758">
        <f>IF(IFERROR(VLOOKUP(D758,Controls!$A$64:$E$74,3,FALSE),"No")="Yes",1,0)</f>
        <v/>
      </c>
      <c r="AG758">
        <f>IF(IFERROR(VLOOKUP(D758,Controls!$A$64:$E$74,4,FALSE),"No")="Yes",1,0)</f>
        <v/>
      </c>
      <c r="AH758">
        <f>IF(IFERROR(VLOOKUP(D758,Controls!$A$64:$E$74,5,FALSE),"No")="Yes",1,0)</f>
        <v/>
      </c>
      <c r="AI758">
        <f>IF(ISNUMBER(MATCH(D758,Controls!$A$64:$A$74,0)),1,0)</f>
        <v/>
      </c>
      <c r="AJ758">
        <f>Q758-N758</f>
        <v/>
      </c>
      <c r="AK758">
        <f>IF(AE758=1,MAX(0,N758-Q758),0)</f>
        <v/>
      </c>
      <c r="AL758">
        <f>IF(OR(V758="",V758=0),0,N758/V758)</f>
        <v/>
      </c>
      <c r="AM758">
        <f>IF(OR(V758="",V758=0),0,1)</f>
        <v/>
      </c>
      <c r="AN758">
        <f>IF(OR(E758="",F758=""),0,NETWORKDAYS(E758,F758,Ref!$K$2:$K$42))</f>
        <v/>
      </c>
      <c r="AO758">
        <f>IF(L758="Renewal",1,0)</f>
        <v/>
      </c>
      <c r="AP758">
        <f>AC758*AD758</f>
        <v/>
      </c>
      <c r="AQ758">
        <f>IF(AND(G758&lt;&gt;"",'Historical Score'!$C$6&lt;&gt;""),IF(G758='Historical Score'!$C$6,1,0),0)</f>
        <v/>
      </c>
      <c r="AR758">
        <f>IF(AND(L758&lt;&gt;"",'Historical Score'!$C$5&lt;&gt;""),IF(L758='Historical Score'!$C$5,1,0),0)</f>
        <v/>
      </c>
      <c r="AS758">
        <f>IF(AND(Y758&lt;&gt;"",'Historical Score'!$C$7&lt;&gt;""),IF(Y758='Historical Score'!$C$7,1,0),0)</f>
        <v/>
      </c>
      <c r="AT758">
        <f>IF(AND(K758&lt;&gt;"",'Historical Score'!$C$8&lt;&gt;""),IF(K758='Historical Score'!$C$8,1,0),0)</f>
        <v/>
      </c>
      <c r="AU758">
        <f>IF(AND(J758&lt;&gt;"",'Historical Score'!$C$9&lt;&gt;""),IF(J758='Historical Score'!$C$9,1,0),0)</f>
        <v/>
      </c>
      <c r="AV758">
        <f>AR758*AS758*AQ758</f>
        <v/>
      </c>
      <c r="AW758">
        <f>AR758*AT758*AQ758</f>
        <v/>
      </c>
      <c r="AX758">
        <f>AR758*AS758</f>
        <v/>
      </c>
      <c r="AY758">
        <f>AR758*AT758</f>
        <v/>
      </c>
      <c r="AZ758">
        <f>AR758*AQ758</f>
        <v/>
      </c>
      <c r="BA758">
        <f>AR758</f>
        <v/>
      </c>
      <c r="BB758">
        <f>1</f>
        <v/>
      </c>
      <c r="BC758">
        <f>IF(AV758=1,1,IF(AW758=1,2,IF(AX758=1,3,IF(AY758=1,4,IF(AZ758=1,5,IF(BA758=1,6,7))))))</f>
        <v/>
      </c>
      <c r="BD758">
        <f>IF(AD758=1,CHOOSE('Historical Score'!$C$29,AV758,AW758,AX758,AY758,AZ758,BA758,BB758),0)</f>
        <v/>
      </c>
      <c r="BE758">
        <f>IF(BD758=1,COUNTIF($BD$2:BD758,1),"")</f>
        <v/>
      </c>
    </row>
    <row r="759">
      <c r="A759" t="inlineStr">
        <is>
          <t>5674181000</t>
        </is>
      </c>
      <c r="B759" t="inlineStr">
        <is>
          <t>AISB ENTERPRISES, INC.</t>
        </is>
      </c>
      <c r="C759" t="inlineStr">
        <is>
          <t>AISB ENTERPRISES, INC.</t>
        </is>
      </c>
      <c r="D759" t="inlineStr">
        <is>
          <t>Legal</t>
        </is>
      </c>
      <c r="E759" s="297" t="n">
        <v>46108</v>
      </c>
      <c r="F759" s="297" t="n">
        <v>46136</v>
      </c>
      <c r="G759" t="n">
        <v>3</v>
      </c>
      <c r="H759" t="inlineStr">
        <is>
          <t>7378</t>
        </is>
      </c>
      <c r="I759" t="inlineStr">
        <is>
          <t>73</t>
        </is>
      </c>
      <c r="J759" t="inlineStr">
        <is>
          <t>TX</t>
        </is>
      </c>
      <c r="K759" t="inlineStr">
        <is>
          <t>United Secured Capital 8</t>
        </is>
      </c>
      <c r="L759" t="inlineStr">
        <is>
          <t>New Deal</t>
        </is>
      </c>
      <c r="M759" s="298" t="n">
        <v>1.39</v>
      </c>
      <c r="N759" s="299" t="n">
        <v>30000</v>
      </c>
      <c r="O759" s="299" t="n">
        <v>0</v>
      </c>
      <c r="P759" s="299" t="n">
        <v>41700</v>
      </c>
      <c r="Q759" s="299" t="n">
        <v>6575.73</v>
      </c>
      <c r="R759" s="299" t="n">
        <v>35124.27</v>
      </c>
      <c r="S759" s="300" t="n">
        <v>0.157691366906475</v>
      </c>
      <c r="T759" t="n">
        <v>19</v>
      </c>
      <c r="U759" t="n">
        <v>1</v>
      </c>
      <c r="V759" t="n">
        <v>301293.75</v>
      </c>
      <c r="W759" s="300" t="n">
        <v>0.0291</v>
      </c>
      <c r="X759" s="297" t="n">
        <v>43101</v>
      </c>
      <c r="Y759">
        <f>IF(I759="","No SIC",IFERROR(VLOOKUP(I759,Ref!$A$2:$B$65,2,FALSE),"Unclassified"))</f>
        <v/>
      </c>
      <c r="Z759">
        <f>IF(T759="","",IF(T759&lt;12,"Daily","Weekly"))</f>
        <v/>
      </c>
      <c r="AA759">
        <f>IF(T759="",0,IF(T759&lt;12,T759*Controls!$B$29,T759*5))</f>
        <v/>
      </c>
      <c r="AB759">
        <f>IF(E759="",0,NETWORKDAYS(E759,Controls!$B$36,Ref!$K$2:$K$42))</f>
        <v/>
      </c>
      <c r="AC759">
        <f>IF(AND(AA759&gt;0,AB759&gt;=Controls!$B$39*AA759),1,0)</f>
        <v/>
      </c>
      <c r="AD759">
        <f>IF(AND(E759&lt;&gt;"",E759&gt;=Controls!$B$37,E759&lt;=Controls!$B$38),1,0)</f>
        <v/>
      </c>
      <c r="AE759">
        <f>IF(IFERROR(VLOOKUP(D759,Controls!$A$64:$E$74,2,FALSE),"No")="Yes",1,0)</f>
        <v/>
      </c>
      <c r="AF759">
        <f>IF(IFERROR(VLOOKUP(D759,Controls!$A$64:$E$74,3,FALSE),"No")="Yes",1,0)</f>
        <v/>
      </c>
      <c r="AG759">
        <f>IF(IFERROR(VLOOKUP(D759,Controls!$A$64:$E$74,4,FALSE),"No")="Yes",1,0)</f>
        <v/>
      </c>
      <c r="AH759">
        <f>IF(IFERROR(VLOOKUP(D759,Controls!$A$64:$E$74,5,FALSE),"No")="Yes",1,0)</f>
        <v/>
      </c>
      <c r="AI759">
        <f>IF(ISNUMBER(MATCH(D759,Controls!$A$64:$A$74,0)),1,0)</f>
        <v/>
      </c>
      <c r="AJ759">
        <f>Q759-N759</f>
        <v/>
      </c>
      <c r="AK759">
        <f>IF(AE759=1,MAX(0,N759-Q759),0)</f>
        <v/>
      </c>
      <c r="AL759">
        <f>IF(OR(V759="",V759=0),0,N759/V759)</f>
        <v/>
      </c>
      <c r="AM759">
        <f>IF(OR(V759="",V759=0),0,1)</f>
        <v/>
      </c>
      <c r="AN759">
        <f>IF(OR(E759="",F759=""),0,NETWORKDAYS(E759,F759,Ref!$K$2:$K$42))</f>
        <v/>
      </c>
      <c r="AO759">
        <f>IF(L759="Renewal",1,0)</f>
        <v/>
      </c>
      <c r="AP759">
        <f>AC759*AD759</f>
        <v/>
      </c>
      <c r="AQ759">
        <f>IF(AND(G759&lt;&gt;"",'Historical Score'!$C$6&lt;&gt;""),IF(G759='Historical Score'!$C$6,1,0),0)</f>
        <v/>
      </c>
      <c r="AR759">
        <f>IF(AND(L759&lt;&gt;"",'Historical Score'!$C$5&lt;&gt;""),IF(L759='Historical Score'!$C$5,1,0),0)</f>
        <v/>
      </c>
      <c r="AS759">
        <f>IF(AND(Y759&lt;&gt;"",'Historical Score'!$C$7&lt;&gt;""),IF(Y759='Historical Score'!$C$7,1,0),0)</f>
        <v/>
      </c>
      <c r="AT759">
        <f>IF(AND(K759&lt;&gt;"",'Historical Score'!$C$8&lt;&gt;""),IF(K759='Historical Score'!$C$8,1,0),0)</f>
        <v/>
      </c>
      <c r="AU759">
        <f>IF(AND(J759&lt;&gt;"",'Historical Score'!$C$9&lt;&gt;""),IF(J759='Historical Score'!$C$9,1,0),0)</f>
        <v/>
      </c>
      <c r="AV759">
        <f>AR759*AS759*AQ759</f>
        <v/>
      </c>
      <c r="AW759">
        <f>AR759*AT759*AQ759</f>
        <v/>
      </c>
      <c r="AX759">
        <f>AR759*AS759</f>
        <v/>
      </c>
      <c r="AY759">
        <f>AR759*AT759</f>
        <v/>
      </c>
      <c r="AZ759">
        <f>AR759*AQ759</f>
        <v/>
      </c>
      <c r="BA759">
        <f>AR759</f>
        <v/>
      </c>
      <c r="BB759">
        <f>1</f>
        <v/>
      </c>
      <c r="BC759">
        <f>IF(AV759=1,1,IF(AW759=1,2,IF(AX759=1,3,IF(AY759=1,4,IF(AZ759=1,5,IF(BA759=1,6,7))))))</f>
        <v/>
      </c>
      <c r="BD759">
        <f>IF(AD759=1,CHOOSE('Historical Score'!$C$29,AV759,AW759,AX759,AY759,AZ759,BA759,BB759),0)</f>
        <v/>
      </c>
      <c r="BE759">
        <f>IF(BD759=1,COUNTIF($BD$2:BD759,1),"")</f>
        <v/>
      </c>
    </row>
    <row r="760">
      <c r="A760" t="inlineStr">
        <is>
          <t>5674181035</t>
        </is>
      </c>
      <c r="B760" t="inlineStr">
        <is>
          <t>STRAIGHTWAY TRANSPORTATION DBA ANTHONY BETHEL SOLE MBR</t>
        </is>
      </c>
      <c r="C760" t="inlineStr">
        <is>
          <t>STRAIGHTWAY TRANSPORTATION INC.</t>
        </is>
      </c>
      <c r="D760" t="inlineStr">
        <is>
          <t>Open</t>
        </is>
      </c>
      <c r="E760" s="297" t="n">
        <v>46111</v>
      </c>
      <c r="F760" s="297" t="n">
        <v>46252</v>
      </c>
      <c r="G760" t="n">
        <v>2</v>
      </c>
      <c r="H760" t="inlineStr">
        <is>
          <t>4212</t>
        </is>
      </c>
      <c r="I760" t="inlineStr">
        <is>
          <t>42</t>
        </is>
      </c>
      <c r="J760" t="inlineStr">
        <is>
          <t>NC</t>
        </is>
      </c>
      <c r="K760" t="inlineStr">
        <is>
          <t>United Secured Capital 8</t>
        </is>
      </c>
      <c r="L760" t="inlineStr">
        <is>
          <t>New Deal</t>
        </is>
      </c>
      <c r="M760" s="298" t="n">
        <v>1.36</v>
      </c>
      <c r="N760" s="299" t="n">
        <v>30000</v>
      </c>
      <c r="O760" s="299" t="n">
        <v>2250</v>
      </c>
      <c r="P760" s="299" t="n">
        <v>40800</v>
      </c>
      <c r="Q760" s="299" t="n">
        <v>40800</v>
      </c>
      <c r="R760" s="299" t="n">
        <v>0</v>
      </c>
      <c r="S760" s="300" t="n">
        <v>1</v>
      </c>
      <c r="T760" t="n">
        <v>3.279</v>
      </c>
      <c r="U760" t="n">
        <v>0</v>
      </c>
      <c r="V760" t="n">
        <v>101082.98</v>
      </c>
      <c r="W760" s="300" t="n">
        <v>0.0848</v>
      </c>
      <c r="X760" s="297" t="n">
        <v>43466</v>
      </c>
      <c r="Y760">
        <f>IF(I760="","No SIC",IFERROR(VLOOKUP(I760,Ref!$A$2:$B$65,2,FALSE),"Unclassified"))</f>
        <v/>
      </c>
      <c r="Z760">
        <f>IF(T760="","",IF(T760&lt;12,"Daily","Weekly"))</f>
        <v/>
      </c>
      <c r="AA760">
        <f>IF(T760="",0,IF(T760&lt;12,T760*Controls!$B$29,T760*5))</f>
        <v/>
      </c>
      <c r="AB760">
        <f>IF(E760="",0,NETWORKDAYS(E760,Controls!$B$36,Ref!$K$2:$K$42))</f>
        <v/>
      </c>
      <c r="AC760">
        <f>IF(AND(AA760&gt;0,AB760&gt;=Controls!$B$39*AA760),1,0)</f>
        <v/>
      </c>
      <c r="AD760">
        <f>IF(AND(E760&lt;&gt;"",E760&gt;=Controls!$B$37,E760&lt;=Controls!$B$38),1,0)</f>
        <v/>
      </c>
      <c r="AE760">
        <f>IF(IFERROR(VLOOKUP(D760,Controls!$A$64:$E$74,2,FALSE),"No")="Yes",1,0)</f>
        <v/>
      </c>
      <c r="AF760">
        <f>IF(IFERROR(VLOOKUP(D760,Controls!$A$64:$E$74,3,FALSE),"No")="Yes",1,0)</f>
        <v/>
      </c>
      <c r="AG760">
        <f>IF(IFERROR(VLOOKUP(D760,Controls!$A$64:$E$74,4,FALSE),"No")="Yes",1,0)</f>
        <v/>
      </c>
      <c r="AH760">
        <f>IF(IFERROR(VLOOKUP(D760,Controls!$A$64:$E$74,5,FALSE),"No")="Yes",1,0)</f>
        <v/>
      </c>
      <c r="AI760">
        <f>IF(ISNUMBER(MATCH(D760,Controls!$A$64:$A$74,0)),1,0)</f>
        <v/>
      </c>
      <c r="AJ760">
        <f>Q760-N760</f>
        <v/>
      </c>
      <c r="AK760">
        <f>IF(AE760=1,MAX(0,N760-Q760),0)</f>
        <v/>
      </c>
      <c r="AL760">
        <f>IF(OR(V760="",V760=0),0,N760/V760)</f>
        <v/>
      </c>
      <c r="AM760">
        <f>IF(OR(V760="",V760=0),0,1)</f>
        <v/>
      </c>
      <c r="AN760">
        <f>IF(OR(E760="",F760=""),0,NETWORKDAYS(E760,F760,Ref!$K$2:$K$42))</f>
        <v/>
      </c>
      <c r="AO760">
        <f>IF(L760="Renewal",1,0)</f>
        <v/>
      </c>
      <c r="AP760">
        <f>AC760*AD760</f>
        <v/>
      </c>
      <c r="AQ760">
        <f>IF(AND(G760&lt;&gt;"",'Historical Score'!$C$6&lt;&gt;""),IF(G760='Historical Score'!$C$6,1,0),0)</f>
        <v/>
      </c>
      <c r="AR760">
        <f>IF(AND(L760&lt;&gt;"",'Historical Score'!$C$5&lt;&gt;""),IF(L760='Historical Score'!$C$5,1,0),0)</f>
        <v/>
      </c>
      <c r="AS760">
        <f>IF(AND(Y760&lt;&gt;"",'Historical Score'!$C$7&lt;&gt;""),IF(Y760='Historical Score'!$C$7,1,0),0)</f>
        <v/>
      </c>
      <c r="AT760">
        <f>IF(AND(K760&lt;&gt;"",'Historical Score'!$C$8&lt;&gt;""),IF(K760='Historical Score'!$C$8,1,0),0)</f>
        <v/>
      </c>
      <c r="AU760">
        <f>IF(AND(J760&lt;&gt;"",'Historical Score'!$C$9&lt;&gt;""),IF(J760='Historical Score'!$C$9,1,0),0)</f>
        <v/>
      </c>
      <c r="AV760">
        <f>AR760*AS760*AQ760</f>
        <v/>
      </c>
      <c r="AW760">
        <f>AR760*AT760*AQ760</f>
        <v/>
      </c>
      <c r="AX760">
        <f>AR760*AS760</f>
        <v/>
      </c>
      <c r="AY760">
        <f>AR760*AT760</f>
        <v/>
      </c>
      <c r="AZ760">
        <f>AR760*AQ760</f>
        <v/>
      </c>
      <c r="BA760">
        <f>AR760</f>
        <v/>
      </c>
      <c r="BB760">
        <f>1</f>
        <v/>
      </c>
      <c r="BC760">
        <f>IF(AV760=1,1,IF(AW760=1,2,IF(AX760=1,3,IF(AY760=1,4,IF(AZ760=1,5,IF(BA760=1,6,7))))))</f>
        <v/>
      </c>
      <c r="BD760">
        <f>IF(AD760=1,CHOOSE('Historical Score'!$C$29,AV760,AW760,AX760,AY760,AZ760,BA760,BB760),0)</f>
        <v/>
      </c>
      <c r="BE760">
        <f>IF(BD760=1,COUNTIF($BD$2:BD760,1),"")</f>
        <v/>
      </c>
    </row>
    <row r="761">
      <c r="A761" t="inlineStr">
        <is>
          <t>5674181052</t>
        </is>
      </c>
      <c r="B761" t="inlineStr">
        <is>
          <t>SR UNBOUNDED</t>
        </is>
      </c>
      <c r="C761" t="inlineStr">
        <is>
          <t>SR UNBOUNDED LLC</t>
        </is>
      </c>
      <c r="D761" t="inlineStr">
        <is>
          <t>Open</t>
        </is>
      </c>
      <c r="E761" s="297" t="n">
        <v>46111</v>
      </c>
      <c r="F761" s="297" t="n">
        <v>46253</v>
      </c>
      <c r="G761" t="n">
        <v>3</v>
      </c>
      <c r="H761" t="inlineStr">
        <is>
          <t>5999</t>
        </is>
      </c>
      <c r="I761" t="inlineStr">
        <is>
          <t>59</t>
        </is>
      </c>
      <c r="J761" t="inlineStr">
        <is>
          <t>CA</t>
        </is>
      </c>
      <c r="K761" t="inlineStr">
        <is>
          <t>Shore Funding USA</t>
        </is>
      </c>
      <c r="L761" t="inlineStr">
        <is>
          <t>Renewal</t>
        </is>
      </c>
      <c r="M761" s="298" t="n">
        <v>1.49</v>
      </c>
      <c r="N761" s="299" t="n">
        <v>16000</v>
      </c>
      <c r="O761" s="299" t="n">
        <v>2240</v>
      </c>
      <c r="P761" s="299" t="n">
        <v>23840</v>
      </c>
      <c r="Q761" s="299" t="n">
        <v>7368.82</v>
      </c>
      <c r="R761" s="299" t="n">
        <v>16471.18</v>
      </c>
      <c r="S761" s="300" t="n">
        <v>0.309094798657718</v>
      </c>
      <c r="T761" t="n">
        <v>3.607</v>
      </c>
      <c r="U761" t="n">
        <v>24</v>
      </c>
      <c r="V761" t="n">
        <v>19576</v>
      </c>
      <c r="W761" s="300" t="n">
        <v>0.2325</v>
      </c>
      <c r="X761" s="297" t="n">
        <v>43863</v>
      </c>
      <c r="Y761">
        <f>IF(I761="","No SIC",IFERROR(VLOOKUP(I761,Ref!$A$2:$B$65,2,FALSE),"Unclassified"))</f>
        <v/>
      </c>
      <c r="Z761">
        <f>IF(T761="","",IF(T761&lt;12,"Daily","Weekly"))</f>
        <v/>
      </c>
      <c r="AA761">
        <f>IF(T761="",0,IF(T761&lt;12,T761*Controls!$B$29,T761*5))</f>
        <v/>
      </c>
      <c r="AB761">
        <f>IF(E761="",0,NETWORKDAYS(E761,Controls!$B$36,Ref!$K$2:$K$42))</f>
        <v/>
      </c>
      <c r="AC761">
        <f>IF(AND(AA761&gt;0,AB761&gt;=Controls!$B$39*AA761),1,0)</f>
        <v/>
      </c>
      <c r="AD761">
        <f>IF(AND(E761&lt;&gt;"",E761&gt;=Controls!$B$37,E761&lt;=Controls!$B$38),1,0)</f>
        <v/>
      </c>
      <c r="AE761">
        <f>IF(IFERROR(VLOOKUP(D761,Controls!$A$64:$E$74,2,FALSE),"No")="Yes",1,0)</f>
        <v/>
      </c>
      <c r="AF761">
        <f>IF(IFERROR(VLOOKUP(D761,Controls!$A$64:$E$74,3,FALSE),"No")="Yes",1,0)</f>
        <v/>
      </c>
      <c r="AG761">
        <f>IF(IFERROR(VLOOKUP(D761,Controls!$A$64:$E$74,4,FALSE),"No")="Yes",1,0)</f>
        <v/>
      </c>
      <c r="AH761">
        <f>IF(IFERROR(VLOOKUP(D761,Controls!$A$64:$E$74,5,FALSE),"No")="Yes",1,0)</f>
        <v/>
      </c>
      <c r="AI761">
        <f>IF(ISNUMBER(MATCH(D761,Controls!$A$64:$A$74,0)),1,0)</f>
        <v/>
      </c>
      <c r="AJ761">
        <f>Q761-N761</f>
        <v/>
      </c>
      <c r="AK761">
        <f>IF(AE761=1,MAX(0,N761-Q761),0)</f>
        <v/>
      </c>
      <c r="AL761">
        <f>IF(OR(V761="",V761=0),0,N761/V761)</f>
        <v/>
      </c>
      <c r="AM761">
        <f>IF(OR(V761="",V761=0),0,1)</f>
        <v/>
      </c>
      <c r="AN761">
        <f>IF(OR(E761="",F761=""),0,NETWORKDAYS(E761,F761,Ref!$K$2:$K$42))</f>
        <v/>
      </c>
      <c r="AO761">
        <f>IF(L761="Renewal",1,0)</f>
        <v/>
      </c>
      <c r="AP761">
        <f>AC761*AD761</f>
        <v/>
      </c>
      <c r="AQ761">
        <f>IF(AND(G761&lt;&gt;"",'Historical Score'!$C$6&lt;&gt;""),IF(G761='Historical Score'!$C$6,1,0),0)</f>
        <v/>
      </c>
      <c r="AR761">
        <f>IF(AND(L761&lt;&gt;"",'Historical Score'!$C$5&lt;&gt;""),IF(L761='Historical Score'!$C$5,1,0),0)</f>
        <v/>
      </c>
      <c r="AS761">
        <f>IF(AND(Y761&lt;&gt;"",'Historical Score'!$C$7&lt;&gt;""),IF(Y761='Historical Score'!$C$7,1,0),0)</f>
        <v/>
      </c>
      <c r="AT761">
        <f>IF(AND(K761&lt;&gt;"",'Historical Score'!$C$8&lt;&gt;""),IF(K761='Historical Score'!$C$8,1,0),0)</f>
        <v/>
      </c>
      <c r="AU761">
        <f>IF(AND(J761&lt;&gt;"",'Historical Score'!$C$9&lt;&gt;""),IF(J761='Historical Score'!$C$9,1,0),0)</f>
        <v/>
      </c>
      <c r="AV761">
        <f>AR761*AS761*AQ761</f>
        <v/>
      </c>
      <c r="AW761">
        <f>AR761*AT761*AQ761</f>
        <v/>
      </c>
      <c r="AX761">
        <f>AR761*AS761</f>
        <v/>
      </c>
      <c r="AY761">
        <f>AR761*AT761</f>
        <v/>
      </c>
      <c r="AZ761">
        <f>AR761*AQ761</f>
        <v/>
      </c>
      <c r="BA761">
        <f>AR761</f>
        <v/>
      </c>
      <c r="BB761">
        <f>1</f>
        <v/>
      </c>
      <c r="BC761">
        <f>IF(AV761=1,1,IF(AW761=1,2,IF(AX761=1,3,IF(AY761=1,4,IF(AZ761=1,5,IF(BA761=1,6,7))))))</f>
        <v/>
      </c>
      <c r="BD761">
        <f>IF(AD761=1,CHOOSE('Historical Score'!$C$29,AV761,AW761,AX761,AY761,AZ761,BA761,BB761),0)</f>
        <v/>
      </c>
      <c r="BE761">
        <f>IF(BD761=1,COUNTIF($BD$2:BD761,1),"")</f>
        <v/>
      </c>
    </row>
    <row r="762">
      <c r="A762" t="inlineStr">
        <is>
          <t>5674181104</t>
        </is>
      </c>
      <c r="B762" t="inlineStr">
        <is>
          <t>Baby Boss Auto Shop</t>
        </is>
      </c>
      <c r="C762" t="inlineStr">
        <is>
          <t>Carlos A Jamie</t>
        </is>
      </c>
      <c r="D762" t="inlineStr">
        <is>
          <t>Open</t>
        </is>
      </c>
      <c r="E762" s="297" t="n">
        <v>46112</v>
      </c>
      <c r="F762" s="297" t="n">
        <v>46247</v>
      </c>
      <c r="G762" t="n">
        <v>3</v>
      </c>
      <c r="H762" t="inlineStr">
        <is>
          <t>7538</t>
        </is>
      </c>
      <c r="I762" t="inlineStr">
        <is>
          <t>75</t>
        </is>
      </c>
      <c r="J762" t="inlineStr">
        <is>
          <t>TX</t>
        </is>
      </c>
      <c r="K762" t="inlineStr">
        <is>
          <t>Ballicci</t>
        </is>
      </c>
      <c r="L762" t="inlineStr">
        <is>
          <t>Renewal</t>
        </is>
      </c>
      <c r="M762" s="298" t="n">
        <v>1.49</v>
      </c>
      <c r="N762" s="299" t="n">
        <v>30000</v>
      </c>
      <c r="O762" s="299" t="n">
        <v>4500</v>
      </c>
      <c r="P762" s="299" t="n">
        <v>44700</v>
      </c>
      <c r="Q762" s="299" t="n">
        <v>17139.14</v>
      </c>
      <c r="R762" s="299" t="n">
        <v>27560.86</v>
      </c>
      <c r="S762" s="300" t="n">
        <v>0.383425950782998</v>
      </c>
      <c r="T762" t="n">
        <v>3.934</v>
      </c>
      <c r="U762" t="n">
        <v>49</v>
      </c>
      <c r="V762" t="n">
        <v>50675.93</v>
      </c>
      <c r="W762" s="300" t="n">
        <v>0.1544</v>
      </c>
      <c r="X762" s="297" t="n">
        <v>44845</v>
      </c>
      <c r="Y762">
        <f>IF(I762="","No SIC",IFERROR(VLOOKUP(I762,Ref!$A$2:$B$65,2,FALSE),"Unclassified"))</f>
        <v/>
      </c>
      <c r="Z762">
        <f>IF(T762="","",IF(T762&lt;12,"Daily","Weekly"))</f>
        <v/>
      </c>
      <c r="AA762">
        <f>IF(T762="",0,IF(T762&lt;12,T762*Controls!$B$29,T762*5))</f>
        <v/>
      </c>
      <c r="AB762">
        <f>IF(E762="",0,NETWORKDAYS(E762,Controls!$B$36,Ref!$K$2:$K$42))</f>
        <v/>
      </c>
      <c r="AC762">
        <f>IF(AND(AA762&gt;0,AB762&gt;=Controls!$B$39*AA762),1,0)</f>
        <v/>
      </c>
      <c r="AD762">
        <f>IF(AND(E762&lt;&gt;"",E762&gt;=Controls!$B$37,E762&lt;=Controls!$B$38),1,0)</f>
        <v/>
      </c>
      <c r="AE762">
        <f>IF(IFERROR(VLOOKUP(D762,Controls!$A$64:$E$74,2,FALSE),"No")="Yes",1,0)</f>
        <v/>
      </c>
      <c r="AF762">
        <f>IF(IFERROR(VLOOKUP(D762,Controls!$A$64:$E$74,3,FALSE),"No")="Yes",1,0)</f>
        <v/>
      </c>
      <c r="AG762">
        <f>IF(IFERROR(VLOOKUP(D762,Controls!$A$64:$E$74,4,FALSE),"No")="Yes",1,0)</f>
        <v/>
      </c>
      <c r="AH762">
        <f>IF(IFERROR(VLOOKUP(D762,Controls!$A$64:$E$74,5,FALSE),"No")="Yes",1,0)</f>
        <v/>
      </c>
      <c r="AI762">
        <f>IF(ISNUMBER(MATCH(D762,Controls!$A$64:$A$74,0)),1,0)</f>
        <v/>
      </c>
      <c r="AJ762">
        <f>Q762-N762</f>
        <v/>
      </c>
      <c r="AK762">
        <f>IF(AE762=1,MAX(0,N762-Q762),0)</f>
        <v/>
      </c>
      <c r="AL762">
        <f>IF(OR(V762="",V762=0),0,N762/V762)</f>
        <v/>
      </c>
      <c r="AM762">
        <f>IF(OR(V762="",V762=0),0,1)</f>
        <v/>
      </c>
      <c r="AN762">
        <f>IF(OR(E762="",F762=""),0,NETWORKDAYS(E762,F762,Ref!$K$2:$K$42))</f>
        <v/>
      </c>
      <c r="AO762">
        <f>IF(L762="Renewal",1,0)</f>
        <v/>
      </c>
      <c r="AP762">
        <f>AC762*AD762</f>
        <v/>
      </c>
      <c r="AQ762">
        <f>IF(AND(G762&lt;&gt;"",'Historical Score'!$C$6&lt;&gt;""),IF(G762='Historical Score'!$C$6,1,0),0)</f>
        <v/>
      </c>
      <c r="AR762">
        <f>IF(AND(L762&lt;&gt;"",'Historical Score'!$C$5&lt;&gt;""),IF(L762='Historical Score'!$C$5,1,0),0)</f>
        <v/>
      </c>
      <c r="AS762">
        <f>IF(AND(Y762&lt;&gt;"",'Historical Score'!$C$7&lt;&gt;""),IF(Y762='Historical Score'!$C$7,1,0),0)</f>
        <v/>
      </c>
      <c r="AT762">
        <f>IF(AND(K762&lt;&gt;"",'Historical Score'!$C$8&lt;&gt;""),IF(K762='Historical Score'!$C$8,1,0),0)</f>
        <v/>
      </c>
      <c r="AU762">
        <f>IF(AND(J762&lt;&gt;"",'Historical Score'!$C$9&lt;&gt;""),IF(J762='Historical Score'!$C$9,1,0),0)</f>
        <v/>
      </c>
      <c r="AV762">
        <f>AR762*AS762*AQ762</f>
        <v/>
      </c>
      <c r="AW762">
        <f>AR762*AT762*AQ762</f>
        <v/>
      </c>
      <c r="AX762">
        <f>AR762*AS762</f>
        <v/>
      </c>
      <c r="AY762">
        <f>AR762*AT762</f>
        <v/>
      </c>
      <c r="AZ762">
        <f>AR762*AQ762</f>
        <v/>
      </c>
      <c r="BA762">
        <f>AR762</f>
        <v/>
      </c>
      <c r="BB762">
        <f>1</f>
        <v/>
      </c>
      <c r="BC762">
        <f>IF(AV762=1,1,IF(AW762=1,2,IF(AX762=1,3,IF(AY762=1,4,IF(AZ762=1,5,IF(BA762=1,6,7))))))</f>
        <v/>
      </c>
      <c r="BD762">
        <f>IF(AD762=1,CHOOSE('Historical Score'!$C$29,AV762,AW762,AX762,AY762,AZ762,BA762,BB762),0)</f>
        <v/>
      </c>
      <c r="BE762">
        <f>IF(BD762=1,COUNTIF($BD$2:BD762,1),"")</f>
        <v/>
      </c>
    </row>
    <row r="763">
      <c r="A763" t="inlineStr">
        <is>
          <t>5674181110</t>
        </is>
      </c>
      <c r="B763" t="inlineStr">
        <is>
          <t>Hollins &amp; Associates</t>
        </is>
      </c>
      <c r="C763" t="inlineStr">
        <is>
          <t>Hollins &amp; Associates</t>
        </is>
      </c>
      <c r="D763" t="inlineStr">
        <is>
          <t>Closed</t>
        </is>
      </c>
      <c r="E763" s="297" t="n">
        <v>46112</v>
      </c>
      <c r="F763" s="297" t="n">
        <v>46169</v>
      </c>
      <c r="G763" t="n">
        <v>3</v>
      </c>
      <c r="H763" t="inlineStr">
        <is>
          <t>8721</t>
        </is>
      </c>
      <c r="I763" t="inlineStr">
        <is>
          <t>87</t>
        </is>
      </c>
      <c r="J763" t="inlineStr">
        <is>
          <t>TX</t>
        </is>
      </c>
      <c r="K763" t="inlineStr">
        <is>
          <t>TRUSTFI</t>
        </is>
      </c>
      <c r="L763" t="inlineStr">
        <is>
          <t>New Deal</t>
        </is>
      </c>
      <c r="M763" s="298" t="n">
        <v>1.3972744</v>
      </c>
      <c r="N763" s="299" t="n">
        <v>25000</v>
      </c>
      <c r="O763" s="299" t="n">
        <v>3000</v>
      </c>
      <c r="P763" s="299" t="n">
        <v>34931.86</v>
      </c>
      <c r="Q763" s="299" t="n">
        <v>34931.86</v>
      </c>
      <c r="R763" s="299" t="n">
        <v>0</v>
      </c>
      <c r="S763" s="300" t="n">
        <v>1</v>
      </c>
      <c r="T763" t="n">
        <v>22</v>
      </c>
      <c r="U763" t="n">
        <v>0</v>
      </c>
      <c r="V763" t="n">
        <v>14086.41</v>
      </c>
      <c r="W763" s="300" t="n">
        <v>0.4679</v>
      </c>
      <c r="X763" s="297" t="n">
        <v>42005</v>
      </c>
      <c r="Y763">
        <f>IF(I763="","No SIC",IFERROR(VLOOKUP(I763,Ref!$A$2:$B$65,2,FALSE),"Unclassified"))</f>
        <v/>
      </c>
      <c r="Z763">
        <f>IF(T763="","",IF(T763&lt;12,"Daily","Weekly"))</f>
        <v/>
      </c>
      <c r="AA763">
        <f>IF(T763="",0,IF(T763&lt;12,T763*Controls!$B$29,T763*5))</f>
        <v/>
      </c>
      <c r="AB763">
        <f>IF(E763="",0,NETWORKDAYS(E763,Controls!$B$36,Ref!$K$2:$K$42))</f>
        <v/>
      </c>
      <c r="AC763">
        <f>IF(AND(AA763&gt;0,AB763&gt;=Controls!$B$39*AA763),1,0)</f>
        <v/>
      </c>
      <c r="AD763">
        <f>IF(AND(E763&lt;&gt;"",E763&gt;=Controls!$B$37,E763&lt;=Controls!$B$38),1,0)</f>
        <v/>
      </c>
      <c r="AE763">
        <f>IF(IFERROR(VLOOKUP(D763,Controls!$A$64:$E$74,2,FALSE),"No")="Yes",1,0)</f>
        <v/>
      </c>
      <c r="AF763">
        <f>IF(IFERROR(VLOOKUP(D763,Controls!$A$64:$E$74,3,FALSE),"No")="Yes",1,0)</f>
        <v/>
      </c>
      <c r="AG763">
        <f>IF(IFERROR(VLOOKUP(D763,Controls!$A$64:$E$74,4,FALSE),"No")="Yes",1,0)</f>
        <v/>
      </c>
      <c r="AH763">
        <f>IF(IFERROR(VLOOKUP(D763,Controls!$A$64:$E$74,5,FALSE),"No")="Yes",1,0)</f>
        <v/>
      </c>
      <c r="AI763">
        <f>IF(ISNUMBER(MATCH(D763,Controls!$A$64:$A$74,0)),1,0)</f>
        <v/>
      </c>
      <c r="AJ763">
        <f>Q763-N763</f>
        <v/>
      </c>
      <c r="AK763">
        <f>IF(AE763=1,MAX(0,N763-Q763),0)</f>
        <v/>
      </c>
      <c r="AL763">
        <f>IF(OR(V763="",V763=0),0,N763/V763)</f>
        <v/>
      </c>
      <c r="AM763">
        <f>IF(OR(V763="",V763=0),0,1)</f>
        <v/>
      </c>
      <c r="AN763">
        <f>IF(OR(E763="",F763=""),0,NETWORKDAYS(E763,F763,Ref!$K$2:$K$42))</f>
        <v/>
      </c>
      <c r="AO763">
        <f>IF(L763="Renewal",1,0)</f>
        <v/>
      </c>
      <c r="AP763">
        <f>AC763*AD763</f>
        <v/>
      </c>
      <c r="AQ763">
        <f>IF(AND(G763&lt;&gt;"",'Historical Score'!$C$6&lt;&gt;""),IF(G763='Historical Score'!$C$6,1,0),0)</f>
        <v/>
      </c>
      <c r="AR763">
        <f>IF(AND(L763&lt;&gt;"",'Historical Score'!$C$5&lt;&gt;""),IF(L763='Historical Score'!$C$5,1,0),0)</f>
        <v/>
      </c>
      <c r="AS763">
        <f>IF(AND(Y763&lt;&gt;"",'Historical Score'!$C$7&lt;&gt;""),IF(Y763='Historical Score'!$C$7,1,0),0)</f>
        <v/>
      </c>
      <c r="AT763">
        <f>IF(AND(K763&lt;&gt;"",'Historical Score'!$C$8&lt;&gt;""),IF(K763='Historical Score'!$C$8,1,0),0)</f>
        <v/>
      </c>
      <c r="AU763">
        <f>IF(AND(J763&lt;&gt;"",'Historical Score'!$C$9&lt;&gt;""),IF(J763='Historical Score'!$C$9,1,0),0)</f>
        <v/>
      </c>
      <c r="AV763">
        <f>AR763*AS763*AQ763</f>
        <v/>
      </c>
      <c r="AW763">
        <f>AR763*AT763*AQ763</f>
        <v/>
      </c>
      <c r="AX763">
        <f>AR763*AS763</f>
        <v/>
      </c>
      <c r="AY763">
        <f>AR763*AT763</f>
        <v/>
      </c>
      <c r="AZ763">
        <f>AR763*AQ763</f>
        <v/>
      </c>
      <c r="BA763">
        <f>AR763</f>
        <v/>
      </c>
      <c r="BB763">
        <f>1</f>
        <v/>
      </c>
      <c r="BC763">
        <f>IF(AV763=1,1,IF(AW763=1,2,IF(AX763=1,3,IF(AY763=1,4,IF(AZ763=1,5,IF(BA763=1,6,7))))))</f>
        <v/>
      </c>
      <c r="BD763">
        <f>IF(AD763=1,CHOOSE('Historical Score'!$C$29,AV763,AW763,AX763,AY763,AZ763,BA763,BB763),0)</f>
        <v/>
      </c>
      <c r="BE763">
        <f>IF(BD763=1,COUNTIF($BD$2:BD763,1),"")</f>
        <v/>
      </c>
    </row>
    <row r="764">
      <c r="A764" t="inlineStr">
        <is>
          <t>5674181173</t>
        </is>
      </c>
      <c r="B764" t="inlineStr">
        <is>
          <t>FEDL Monique Bakery</t>
        </is>
      </c>
      <c r="C764" t="inlineStr">
        <is>
          <t>FEDL MONIQUE BAKERIES INC</t>
        </is>
      </c>
      <c r="D764" t="inlineStr">
        <is>
          <t>Open</t>
        </is>
      </c>
      <c r="E764" s="297" t="n">
        <v>46112</v>
      </c>
      <c r="F764" s="297" t="n">
        <v>46252</v>
      </c>
      <c r="G764" t="n">
        <v>2</v>
      </c>
      <c r="H764" t="inlineStr">
        <is>
          <t>2051</t>
        </is>
      </c>
      <c r="I764" t="inlineStr">
        <is>
          <t>20</t>
        </is>
      </c>
      <c r="J764" t="inlineStr">
        <is>
          <t>TX</t>
        </is>
      </c>
      <c r="K764" t="inlineStr">
        <is>
          <t>Fidelity Funding</t>
        </is>
      </c>
      <c r="L764" t="inlineStr">
        <is>
          <t>Renewal</t>
        </is>
      </c>
      <c r="M764" s="298" t="n">
        <v>1.49</v>
      </c>
      <c r="N764" s="299" t="n">
        <v>55000</v>
      </c>
      <c r="O764" s="299" t="n">
        <v>7700</v>
      </c>
      <c r="P764" s="299" t="n">
        <v>81950</v>
      </c>
      <c r="Q764" s="299" t="n">
        <v>46114.56</v>
      </c>
      <c r="R764" s="299" t="n">
        <v>35835.44</v>
      </c>
      <c r="S764" s="300" t="n">
        <v>0.5627158023184869</v>
      </c>
      <c r="T764" t="n">
        <v>32</v>
      </c>
      <c r="U764" t="n">
        <v>2</v>
      </c>
      <c r="V764" t="n">
        <v>94974</v>
      </c>
      <c r="W764" s="300" t="n">
        <v>0.1079</v>
      </c>
      <c r="X764" s="297" t="n"/>
      <c r="Y764">
        <f>IF(I764="","No SIC",IFERROR(VLOOKUP(I764,Ref!$A$2:$B$65,2,FALSE),"Unclassified"))</f>
        <v/>
      </c>
      <c r="Z764">
        <f>IF(T764="","",IF(T764&lt;12,"Daily","Weekly"))</f>
        <v/>
      </c>
      <c r="AA764">
        <f>IF(T764="",0,IF(T764&lt;12,T764*Controls!$B$29,T764*5))</f>
        <v/>
      </c>
      <c r="AB764">
        <f>IF(E764="",0,NETWORKDAYS(E764,Controls!$B$36,Ref!$K$2:$K$42))</f>
        <v/>
      </c>
      <c r="AC764">
        <f>IF(AND(AA764&gt;0,AB764&gt;=Controls!$B$39*AA764),1,0)</f>
        <v/>
      </c>
      <c r="AD764">
        <f>IF(AND(E764&lt;&gt;"",E764&gt;=Controls!$B$37,E764&lt;=Controls!$B$38),1,0)</f>
        <v/>
      </c>
      <c r="AE764">
        <f>IF(IFERROR(VLOOKUP(D764,Controls!$A$64:$E$74,2,FALSE),"No")="Yes",1,0)</f>
        <v/>
      </c>
      <c r="AF764">
        <f>IF(IFERROR(VLOOKUP(D764,Controls!$A$64:$E$74,3,FALSE),"No")="Yes",1,0)</f>
        <v/>
      </c>
      <c r="AG764">
        <f>IF(IFERROR(VLOOKUP(D764,Controls!$A$64:$E$74,4,FALSE),"No")="Yes",1,0)</f>
        <v/>
      </c>
      <c r="AH764">
        <f>IF(IFERROR(VLOOKUP(D764,Controls!$A$64:$E$74,5,FALSE),"No")="Yes",1,0)</f>
        <v/>
      </c>
      <c r="AI764">
        <f>IF(ISNUMBER(MATCH(D764,Controls!$A$64:$A$74,0)),1,0)</f>
        <v/>
      </c>
      <c r="AJ764">
        <f>Q764-N764</f>
        <v/>
      </c>
      <c r="AK764">
        <f>IF(AE764=1,MAX(0,N764-Q764),0)</f>
        <v/>
      </c>
      <c r="AL764">
        <f>IF(OR(V764="",V764=0),0,N764/V764)</f>
        <v/>
      </c>
      <c r="AM764">
        <f>IF(OR(V764="",V764=0),0,1)</f>
        <v/>
      </c>
      <c r="AN764">
        <f>IF(OR(E764="",F764=""),0,NETWORKDAYS(E764,F764,Ref!$K$2:$K$42))</f>
        <v/>
      </c>
      <c r="AO764">
        <f>IF(L764="Renewal",1,0)</f>
        <v/>
      </c>
      <c r="AP764">
        <f>AC764*AD764</f>
        <v/>
      </c>
      <c r="AQ764">
        <f>IF(AND(G764&lt;&gt;"",'Historical Score'!$C$6&lt;&gt;""),IF(G764='Historical Score'!$C$6,1,0),0)</f>
        <v/>
      </c>
      <c r="AR764">
        <f>IF(AND(L764&lt;&gt;"",'Historical Score'!$C$5&lt;&gt;""),IF(L764='Historical Score'!$C$5,1,0),0)</f>
        <v/>
      </c>
      <c r="AS764">
        <f>IF(AND(Y764&lt;&gt;"",'Historical Score'!$C$7&lt;&gt;""),IF(Y764='Historical Score'!$C$7,1,0),0)</f>
        <v/>
      </c>
      <c r="AT764">
        <f>IF(AND(K764&lt;&gt;"",'Historical Score'!$C$8&lt;&gt;""),IF(K764='Historical Score'!$C$8,1,0),0)</f>
        <v/>
      </c>
      <c r="AU764">
        <f>IF(AND(J764&lt;&gt;"",'Historical Score'!$C$9&lt;&gt;""),IF(J764='Historical Score'!$C$9,1,0),0)</f>
        <v/>
      </c>
      <c r="AV764">
        <f>AR764*AS764*AQ764</f>
        <v/>
      </c>
      <c r="AW764">
        <f>AR764*AT764*AQ764</f>
        <v/>
      </c>
      <c r="AX764">
        <f>AR764*AS764</f>
        <v/>
      </c>
      <c r="AY764">
        <f>AR764*AT764</f>
        <v/>
      </c>
      <c r="AZ764">
        <f>AR764*AQ764</f>
        <v/>
      </c>
      <c r="BA764">
        <f>AR764</f>
        <v/>
      </c>
      <c r="BB764">
        <f>1</f>
        <v/>
      </c>
      <c r="BC764">
        <f>IF(AV764=1,1,IF(AW764=1,2,IF(AX764=1,3,IF(AY764=1,4,IF(AZ764=1,5,IF(BA764=1,6,7))))))</f>
        <v/>
      </c>
      <c r="BD764">
        <f>IF(AD764=1,CHOOSE('Historical Score'!$C$29,AV764,AW764,AX764,AY764,AZ764,BA764,BB764),0)</f>
        <v/>
      </c>
      <c r="BE764">
        <f>IF(BD764=1,COUNTIF($BD$2:BD764,1),"")</f>
        <v/>
      </c>
    </row>
    <row r="765">
      <c r="A765" t="inlineStr">
        <is>
          <t>5674181224</t>
        </is>
      </c>
      <c r="B765" t="inlineStr">
        <is>
          <t>THP</t>
        </is>
      </c>
      <c r="C765" t="inlineStr">
        <is>
          <t>RELAXATION GROUP LLC</t>
        </is>
      </c>
      <c r="D765" t="inlineStr">
        <is>
          <t>In House Collection</t>
        </is>
      </c>
      <c r="E765" s="297" t="n">
        <v>46113</v>
      </c>
      <c r="F765" s="297" t="n">
        <v>46190</v>
      </c>
      <c r="G765" t="n">
        <v>3</v>
      </c>
      <c r="H765" t="inlineStr">
        <is>
          <t>5399</t>
        </is>
      </c>
      <c r="I765" t="inlineStr">
        <is>
          <t>53</t>
        </is>
      </c>
      <c r="J765" t="inlineStr">
        <is>
          <t>TX</t>
        </is>
      </c>
      <c r="K765" t="inlineStr">
        <is>
          <t>Upwise capital</t>
        </is>
      </c>
      <c r="L765" t="inlineStr">
        <is>
          <t>New Deal</t>
        </is>
      </c>
      <c r="M765" s="298" t="n">
        <v>1.49</v>
      </c>
      <c r="N765" s="299" t="n">
        <v>3000</v>
      </c>
      <c r="O765" s="299" t="n">
        <v>420</v>
      </c>
      <c r="P765" s="299" t="n">
        <v>4470</v>
      </c>
      <c r="Q765" s="299" t="n">
        <v>2554</v>
      </c>
      <c r="R765" s="299" t="n">
        <v>1916</v>
      </c>
      <c r="S765" s="300" t="n">
        <v>0.571364653243848</v>
      </c>
      <c r="T765" t="n">
        <v>2.295</v>
      </c>
      <c r="U765" t="n">
        <v>9</v>
      </c>
      <c r="V765" t="n">
        <v>11618.3</v>
      </c>
      <c r="W765" s="300" t="n">
        <v>0.1154</v>
      </c>
      <c r="X765" s="297" t="n">
        <v>45675</v>
      </c>
      <c r="Y765">
        <f>IF(I765="","No SIC",IFERROR(VLOOKUP(I765,Ref!$A$2:$B$65,2,FALSE),"Unclassified"))</f>
        <v/>
      </c>
      <c r="Z765">
        <f>IF(T765="","",IF(T765&lt;12,"Daily","Weekly"))</f>
        <v/>
      </c>
      <c r="AA765">
        <f>IF(T765="",0,IF(T765&lt;12,T765*Controls!$B$29,T765*5))</f>
        <v/>
      </c>
      <c r="AB765">
        <f>IF(E765="",0,NETWORKDAYS(E765,Controls!$B$36,Ref!$K$2:$K$42))</f>
        <v/>
      </c>
      <c r="AC765">
        <f>IF(AND(AA765&gt;0,AB765&gt;=Controls!$B$39*AA765),1,0)</f>
        <v/>
      </c>
      <c r="AD765">
        <f>IF(AND(E765&lt;&gt;"",E765&gt;=Controls!$B$37,E765&lt;=Controls!$B$38),1,0)</f>
        <v/>
      </c>
      <c r="AE765">
        <f>IF(IFERROR(VLOOKUP(D765,Controls!$A$64:$E$74,2,FALSE),"No")="Yes",1,0)</f>
        <v/>
      </c>
      <c r="AF765">
        <f>IF(IFERROR(VLOOKUP(D765,Controls!$A$64:$E$74,3,FALSE),"No")="Yes",1,0)</f>
        <v/>
      </c>
      <c r="AG765">
        <f>IF(IFERROR(VLOOKUP(D765,Controls!$A$64:$E$74,4,FALSE),"No")="Yes",1,0)</f>
        <v/>
      </c>
      <c r="AH765">
        <f>IF(IFERROR(VLOOKUP(D765,Controls!$A$64:$E$74,5,FALSE),"No")="Yes",1,0)</f>
        <v/>
      </c>
      <c r="AI765">
        <f>IF(ISNUMBER(MATCH(D765,Controls!$A$64:$A$74,0)),1,0)</f>
        <v/>
      </c>
      <c r="AJ765">
        <f>Q765-N765</f>
        <v/>
      </c>
      <c r="AK765">
        <f>IF(AE765=1,MAX(0,N765-Q765),0)</f>
        <v/>
      </c>
      <c r="AL765">
        <f>IF(OR(V765="",V765=0),0,N765/V765)</f>
        <v/>
      </c>
      <c r="AM765">
        <f>IF(OR(V765="",V765=0),0,1)</f>
        <v/>
      </c>
      <c r="AN765">
        <f>IF(OR(E765="",F765=""),0,NETWORKDAYS(E765,F765,Ref!$K$2:$K$42))</f>
        <v/>
      </c>
      <c r="AO765">
        <f>IF(L765="Renewal",1,0)</f>
        <v/>
      </c>
      <c r="AP765">
        <f>AC765*AD765</f>
        <v/>
      </c>
      <c r="AQ765">
        <f>IF(AND(G765&lt;&gt;"",'Historical Score'!$C$6&lt;&gt;""),IF(G765='Historical Score'!$C$6,1,0),0)</f>
        <v/>
      </c>
      <c r="AR765">
        <f>IF(AND(L765&lt;&gt;"",'Historical Score'!$C$5&lt;&gt;""),IF(L765='Historical Score'!$C$5,1,0),0)</f>
        <v/>
      </c>
      <c r="AS765">
        <f>IF(AND(Y765&lt;&gt;"",'Historical Score'!$C$7&lt;&gt;""),IF(Y765='Historical Score'!$C$7,1,0),0)</f>
        <v/>
      </c>
      <c r="AT765">
        <f>IF(AND(K765&lt;&gt;"",'Historical Score'!$C$8&lt;&gt;""),IF(K765='Historical Score'!$C$8,1,0),0)</f>
        <v/>
      </c>
      <c r="AU765">
        <f>IF(AND(J765&lt;&gt;"",'Historical Score'!$C$9&lt;&gt;""),IF(J765='Historical Score'!$C$9,1,0),0)</f>
        <v/>
      </c>
      <c r="AV765">
        <f>AR765*AS765*AQ765</f>
        <v/>
      </c>
      <c r="AW765">
        <f>AR765*AT765*AQ765</f>
        <v/>
      </c>
      <c r="AX765">
        <f>AR765*AS765</f>
        <v/>
      </c>
      <c r="AY765">
        <f>AR765*AT765</f>
        <v/>
      </c>
      <c r="AZ765">
        <f>AR765*AQ765</f>
        <v/>
      </c>
      <c r="BA765">
        <f>AR765</f>
        <v/>
      </c>
      <c r="BB765">
        <f>1</f>
        <v/>
      </c>
      <c r="BC765">
        <f>IF(AV765=1,1,IF(AW765=1,2,IF(AX765=1,3,IF(AY765=1,4,IF(AZ765=1,5,IF(BA765=1,6,7))))))</f>
        <v/>
      </c>
      <c r="BD765">
        <f>IF(AD765=1,CHOOSE('Historical Score'!$C$29,AV765,AW765,AX765,AY765,AZ765,BA765,BB765),0)</f>
        <v/>
      </c>
      <c r="BE765">
        <f>IF(BD765=1,COUNTIF($BD$2:BD765,1),"")</f>
        <v/>
      </c>
    </row>
    <row r="766">
      <c r="A766" t="inlineStr">
        <is>
          <t>5674181227</t>
        </is>
      </c>
      <c r="B766" t="inlineStr">
        <is>
          <t>SHIINES TRUCKING LLC</t>
        </is>
      </c>
      <c r="C766" t="inlineStr">
        <is>
          <t>SHIINES TRUCKING LLC</t>
        </is>
      </c>
      <c r="D766" t="inlineStr">
        <is>
          <t>Legal</t>
        </is>
      </c>
      <c r="E766" s="297" t="n">
        <v>46113</v>
      </c>
      <c r="F766" s="297" t="n">
        <v>46147</v>
      </c>
      <c r="G766" t="n">
        <v>3</v>
      </c>
      <c r="H766" t="inlineStr">
        <is>
          <t>4212</t>
        </is>
      </c>
      <c r="I766" t="inlineStr">
        <is>
          <t>42</t>
        </is>
      </c>
      <c r="J766" t="inlineStr">
        <is>
          <t>NC</t>
        </is>
      </c>
      <c r="K766" t="inlineStr">
        <is>
          <t>Ballicci</t>
        </is>
      </c>
      <c r="L766" t="inlineStr">
        <is>
          <t>New Deal</t>
        </is>
      </c>
      <c r="M766" s="298" t="n">
        <v>1.49</v>
      </c>
      <c r="N766" s="299" t="n">
        <v>20000</v>
      </c>
      <c r="O766" s="299" t="n">
        <v>0</v>
      </c>
      <c r="P766" s="299" t="n">
        <v>29800</v>
      </c>
      <c r="Q766" s="299" t="n">
        <v>743.5599999999999</v>
      </c>
      <c r="R766" s="299" t="n">
        <v>29056.44</v>
      </c>
      <c r="S766" s="300" t="n">
        <v>0.024951677852349</v>
      </c>
      <c r="T766" t="n">
        <v>2.623</v>
      </c>
      <c r="U766" t="n">
        <v>21</v>
      </c>
      <c r="V766" t="n">
        <v>361452.41</v>
      </c>
      <c r="W766" s="300" t="n">
        <v>0.0216</v>
      </c>
      <c r="X766" s="297" t="n">
        <v>43466</v>
      </c>
      <c r="Y766">
        <f>IF(I766="","No SIC",IFERROR(VLOOKUP(I766,Ref!$A$2:$B$65,2,FALSE),"Unclassified"))</f>
        <v/>
      </c>
      <c r="Z766">
        <f>IF(T766="","",IF(T766&lt;12,"Daily","Weekly"))</f>
        <v/>
      </c>
      <c r="AA766">
        <f>IF(T766="",0,IF(T766&lt;12,T766*Controls!$B$29,T766*5))</f>
        <v/>
      </c>
      <c r="AB766">
        <f>IF(E766="",0,NETWORKDAYS(E766,Controls!$B$36,Ref!$K$2:$K$42))</f>
        <v/>
      </c>
      <c r="AC766">
        <f>IF(AND(AA766&gt;0,AB766&gt;=Controls!$B$39*AA766),1,0)</f>
        <v/>
      </c>
      <c r="AD766">
        <f>IF(AND(E766&lt;&gt;"",E766&gt;=Controls!$B$37,E766&lt;=Controls!$B$38),1,0)</f>
        <v/>
      </c>
      <c r="AE766">
        <f>IF(IFERROR(VLOOKUP(D766,Controls!$A$64:$E$74,2,FALSE),"No")="Yes",1,0)</f>
        <v/>
      </c>
      <c r="AF766">
        <f>IF(IFERROR(VLOOKUP(D766,Controls!$A$64:$E$74,3,FALSE),"No")="Yes",1,0)</f>
        <v/>
      </c>
      <c r="AG766">
        <f>IF(IFERROR(VLOOKUP(D766,Controls!$A$64:$E$74,4,FALSE),"No")="Yes",1,0)</f>
        <v/>
      </c>
      <c r="AH766">
        <f>IF(IFERROR(VLOOKUP(D766,Controls!$A$64:$E$74,5,FALSE),"No")="Yes",1,0)</f>
        <v/>
      </c>
      <c r="AI766">
        <f>IF(ISNUMBER(MATCH(D766,Controls!$A$64:$A$74,0)),1,0)</f>
        <v/>
      </c>
      <c r="AJ766">
        <f>Q766-N766</f>
        <v/>
      </c>
      <c r="AK766">
        <f>IF(AE766=1,MAX(0,N766-Q766),0)</f>
        <v/>
      </c>
      <c r="AL766">
        <f>IF(OR(V766="",V766=0),0,N766/V766)</f>
        <v/>
      </c>
      <c r="AM766">
        <f>IF(OR(V766="",V766=0),0,1)</f>
        <v/>
      </c>
      <c r="AN766">
        <f>IF(OR(E766="",F766=""),0,NETWORKDAYS(E766,F766,Ref!$K$2:$K$42))</f>
        <v/>
      </c>
      <c r="AO766">
        <f>IF(L766="Renewal",1,0)</f>
        <v/>
      </c>
      <c r="AP766">
        <f>AC766*AD766</f>
        <v/>
      </c>
      <c r="AQ766">
        <f>IF(AND(G766&lt;&gt;"",'Historical Score'!$C$6&lt;&gt;""),IF(G766='Historical Score'!$C$6,1,0),0)</f>
        <v/>
      </c>
      <c r="AR766">
        <f>IF(AND(L766&lt;&gt;"",'Historical Score'!$C$5&lt;&gt;""),IF(L766='Historical Score'!$C$5,1,0),0)</f>
        <v/>
      </c>
      <c r="AS766">
        <f>IF(AND(Y766&lt;&gt;"",'Historical Score'!$C$7&lt;&gt;""),IF(Y766='Historical Score'!$C$7,1,0),0)</f>
        <v/>
      </c>
      <c r="AT766">
        <f>IF(AND(K766&lt;&gt;"",'Historical Score'!$C$8&lt;&gt;""),IF(K766='Historical Score'!$C$8,1,0),0)</f>
        <v/>
      </c>
      <c r="AU766">
        <f>IF(AND(J766&lt;&gt;"",'Historical Score'!$C$9&lt;&gt;""),IF(J766='Historical Score'!$C$9,1,0),0)</f>
        <v/>
      </c>
      <c r="AV766">
        <f>AR766*AS766*AQ766</f>
        <v/>
      </c>
      <c r="AW766">
        <f>AR766*AT766*AQ766</f>
        <v/>
      </c>
      <c r="AX766">
        <f>AR766*AS766</f>
        <v/>
      </c>
      <c r="AY766">
        <f>AR766*AT766</f>
        <v/>
      </c>
      <c r="AZ766">
        <f>AR766*AQ766</f>
        <v/>
      </c>
      <c r="BA766">
        <f>AR766</f>
        <v/>
      </c>
      <c r="BB766">
        <f>1</f>
        <v/>
      </c>
      <c r="BC766">
        <f>IF(AV766=1,1,IF(AW766=1,2,IF(AX766=1,3,IF(AY766=1,4,IF(AZ766=1,5,IF(BA766=1,6,7))))))</f>
        <v/>
      </c>
      <c r="BD766">
        <f>IF(AD766=1,CHOOSE('Historical Score'!$C$29,AV766,AW766,AX766,AY766,AZ766,BA766,BB766),0)</f>
        <v/>
      </c>
      <c r="BE766">
        <f>IF(BD766=1,COUNTIF($BD$2:BD766,1),"")</f>
        <v/>
      </c>
    </row>
    <row r="767">
      <c r="A767" t="inlineStr">
        <is>
          <t>5674181234</t>
        </is>
      </c>
      <c r="B767" t="inlineStr">
        <is>
          <t>ON SITE REPAIR SERVICES LLC</t>
        </is>
      </c>
      <c r="C767" t="inlineStr">
        <is>
          <t>ON SITE REPAIR SERVICES LLC</t>
        </is>
      </c>
      <c r="D767" t="inlineStr">
        <is>
          <t>Open</t>
        </is>
      </c>
      <c r="E767" s="297" t="n">
        <v>46113</v>
      </c>
      <c r="F767" s="297" t="n">
        <v>46253</v>
      </c>
      <c r="G767" t="n">
        <v>3</v>
      </c>
      <c r="H767" t="inlineStr">
        <is>
          <t>1521</t>
        </is>
      </c>
      <c r="I767" t="inlineStr">
        <is>
          <t>15</t>
        </is>
      </c>
      <c r="J767" t="inlineStr">
        <is>
          <t>TX</t>
        </is>
      </c>
      <c r="K767" t="inlineStr">
        <is>
          <t>Ballicci</t>
        </is>
      </c>
      <c r="L767" t="inlineStr">
        <is>
          <t>Renewal</t>
        </is>
      </c>
      <c r="M767" s="298" t="n">
        <v>1.35</v>
      </c>
      <c r="N767" s="299" t="n">
        <v>50000</v>
      </c>
      <c r="O767" s="299" t="n">
        <v>4000</v>
      </c>
      <c r="P767" s="299" t="n">
        <v>67500</v>
      </c>
      <c r="Q767" s="299" t="n">
        <v>41343.26</v>
      </c>
      <c r="R767" s="299" t="n">
        <v>26156.74</v>
      </c>
      <c r="S767" s="300" t="n">
        <v>0.612492740740741</v>
      </c>
      <c r="T767" t="n">
        <v>5.246</v>
      </c>
      <c r="U767" t="n">
        <v>0</v>
      </c>
      <c r="V767" t="n">
        <v>63010.24</v>
      </c>
      <c r="W767" s="300" t="n">
        <v>0.1406</v>
      </c>
      <c r="X767" s="297" t="n"/>
      <c r="Y767">
        <f>IF(I767="","No SIC",IFERROR(VLOOKUP(I767,Ref!$A$2:$B$65,2,FALSE),"Unclassified"))</f>
        <v/>
      </c>
      <c r="Z767">
        <f>IF(T767="","",IF(T767&lt;12,"Daily","Weekly"))</f>
        <v/>
      </c>
      <c r="AA767">
        <f>IF(T767="",0,IF(T767&lt;12,T767*Controls!$B$29,T767*5))</f>
        <v/>
      </c>
      <c r="AB767">
        <f>IF(E767="",0,NETWORKDAYS(E767,Controls!$B$36,Ref!$K$2:$K$42))</f>
        <v/>
      </c>
      <c r="AC767">
        <f>IF(AND(AA767&gt;0,AB767&gt;=Controls!$B$39*AA767),1,0)</f>
        <v/>
      </c>
      <c r="AD767">
        <f>IF(AND(E767&lt;&gt;"",E767&gt;=Controls!$B$37,E767&lt;=Controls!$B$38),1,0)</f>
        <v/>
      </c>
      <c r="AE767">
        <f>IF(IFERROR(VLOOKUP(D767,Controls!$A$64:$E$74,2,FALSE),"No")="Yes",1,0)</f>
        <v/>
      </c>
      <c r="AF767">
        <f>IF(IFERROR(VLOOKUP(D767,Controls!$A$64:$E$74,3,FALSE),"No")="Yes",1,0)</f>
        <v/>
      </c>
      <c r="AG767">
        <f>IF(IFERROR(VLOOKUP(D767,Controls!$A$64:$E$74,4,FALSE),"No")="Yes",1,0)</f>
        <v/>
      </c>
      <c r="AH767">
        <f>IF(IFERROR(VLOOKUP(D767,Controls!$A$64:$E$74,5,FALSE),"No")="Yes",1,0)</f>
        <v/>
      </c>
      <c r="AI767">
        <f>IF(ISNUMBER(MATCH(D767,Controls!$A$64:$A$74,0)),1,0)</f>
        <v/>
      </c>
      <c r="AJ767">
        <f>Q767-N767</f>
        <v/>
      </c>
      <c r="AK767">
        <f>IF(AE767=1,MAX(0,N767-Q767),0)</f>
        <v/>
      </c>
      <c r="AL767">
        <f>IF(OR(V767="",V767=0),0,N767/V767)</f>
        <v/>
      </c>
      <c r="AM767">
        <f>IF(OR(V767="",V767=0),0,1)</f>
        <v/>
      </c>
      <c r="AN767">
        <f>IF(OR(E767="",F767=""),0,NETWORKDAYS(E767,F767,Ref!$K$2:$K$42))</f>
        <v/>
      </c>
      <c r="AO767">
        <f>IF(L767="Renewal",1,0)</f>
        <v/>
      </c>
      <c r="AP767">
        <f>AC767*AD767</f>
        <v/>
      </c>
      <c r="AQ767">
        <f>IF(AND(G767&lt;&gt;"",'Historical Score'!$C$6&lt;&gt;""),IF(G767='Historical Score'!$C$6,1,0),0)</f>
        <v/>
      </c>
      <c r="AR767">
        <f>IF(AND(L767&lt;&gt;"",'Historical Score'!$C$5&lt;&gt;""),IF(L767='Historical Score'!$C$5,1,0),0)</f>
        <v/>
      </c>
      <c r="AS767">
        <f>IF(AND(Y767&lt;&gt;"",'Historical Score'!$C$7&lt;&gt;""),IF(Y767='Historical Score'!$C$7,1,0),0)</f>
        <v/>
      </c>
      <c r="AT767">
        <f>IF(AND(K767&lt;&gt;"",'Historical Score'!$C$8&lt;&gt;""),IF(K767='Historical Score'!$C$8,1,0),0)</f>
        <v/>
      </c>
      <c r="AU767">
        <f>IF(AND(J767&lt;&gt;"",'Historical Score'!$C$9&lt;&gt;""),IF(J767='Historical Score'!$C$9,1,0),0)</f>
        <v/>
      </c>
      <c r="AV767">
        <f>AR767*AS767*AQ767</f>
        <v/>
      </c>
      <c r="AW767">
        <f>AR767*AT767*AQ767</f>
        <v/>
      </c>
      <c r="AX767">
        <f>AR767*AS767</f>
        <v/>
      </c>
      <c r="AY767">
        <f>AR767*AT767</f>
        <v/>
      </c>
      <c r="AZ767">
        <f>AR767*AQ767</f>
        <v/>
      </c>
      <c r="BA767">
        <f>AR767</f>
        <v/>
      </c>
      <c r="BB767">
        <f>1</f>
        <v/>
      </c>
      <c r="BC767">
        <f>IF(AV767=1,1,IF(AW767=1,2,IF(AX767=1,3,IF(AY767=1,4,IF(AZ767=1,5,IF(BA767=1,6,7))))))</f>
        <v/>
      </c>
      <c r="BD767">
        <f>IF(AD767=1,CHOOSE('Historical Score'!$C$29,AV767,AW767,AX767,AY767,AZ767,BA767,BB767),0)</f>
        <v/>
      </c>
      <c r="BE767">
        <f>IF(BD767=1,COUNTIF($BD$2:BD767,1),"")</f>
        <v/>
      </c>
    </row>
    <row r="768">
      <c r="A768" t="inlineStr">
        <is>
          <t>5674181256</t>
        </is>
      </c>
      <c r="B768" t="inlineStr">
        <is>
          <t>NORTH VALLEY TRANSPORT</t>
        </is>
      </c>
      <c r="C768" t="inlineStr">
        <is>
          <t>NORTH VALLEY TRANSPORT LLC</t>
        </is>
      </c>
      <c r="D768" t="inlineStr">
        <is>
          <t>Open</t>
        </is>
      </c>
      <c r="E768" s="297" t="n">
        <v>46114</v>
      </c>
      <c r="F768" s="297" t="n">
        <v>46247</v>
      </c>
      <c r="G768" t="n">
        <v>2</v>
      </c>
      <c r="H768" t="inlineStr">
        <is>
          <t>4212</t>
        </is>
      </c>
      <c r="I768" t="inlineStr">
        <is>
          <t>42</t>
        </is>
      </c>
      <c r="J768" t="inlineStr">
        <is>
          <t>No state</t>
        </is>
      </c>
      <c r="K768" t="inlineStr">
        <is>
          <t>ez alternative solutions</t>
        </is>
      </c>
      <c r="L768" t="inlineStr">
        <is>
          <t>New Deal</t>
        </is>
      </c>
      <c r="M768" s="298" t="n">
        <v>1.37</v>
      </c>
      <c r="N768" s="299" t="n">
        <v>160000</v>
      </c>
      <c r="O768" s="299" t="n">
        <v>12800</v>
      </c>
      <c r="P768" s="299" t="n">
        <v>219200</v>
      </c>
      <c r="Q768" s="299" t="n">
        <v>138810.77</v>
      </c>
      <c r="R768" s="299" t="n">
        <v>80389.23</v>
      </c>
      <c r="S768" s="300" t="n">
        <v>0.633260812043796</v>
      </c>
      <c r="T768" t="n">
        <v>30</v>
      </c>
      <c r="U768" t="n">
        <v>0</v>
      </c>
      <c r="V768" t="n">
        <v>716257.36</v>
      </c>
      <c r="W768" s="300" t="n">
        <v>0.0408</v>
      </c>
      <c r="X768" s="297" t="n">
        <v>43259</v>
      </c>
      <c r="Y768">
        <f>IF(I768="","No SIC",IFERROR(VLOOKUP(I768,Ref!$A$2:$B$65,2,FALSE),"Unclassified"))</f>
        <v/>
      </c>
      <c r="Z768">
        <f>IF(T768="","",IF(T768&lt;12,"Daily","Weekly"))</f>
        <v/>
      </c>
      <c r="AA768">
        <f>IF(T768="",0,IF(T768&lt;12,T768*Controls!$B$29,T768*5))</f>
        <v/>
      </c>
      <c r="AB768">
        <f>IF(E768="",0,NETWORKDAYS(E768,Controls!$B$36,Ref!$K$2:$K$42))</f>
        <v/>
      </c>
      <c r="AC768">
        <f>IF(AND(AA768&gt;0,AB768&gt;=Controls!$B$39*AA768),1,0)</f>
        <v/>
      </c>
      <c r="AD768">
        <f>IF(AND(E768&lt;&gt;"",E768&gt;=Controls!$B$37,E768&lt;=Controls!$B$38),1,0)</f>
        <v/>
      </c>
      <c r="AE768">
        <f>IF(IFERROR(VLOOKUP(D768,Controls!$A$64:$E$74,2,FALSE),"No")="Yes",1,0)</f>
        <v/>
      </c>
      <c r="AF768">
        <f>IF(IFERROR(VLOOKUP(D768,Controls!$A$64:$E$74,3,FALSE),"No")="Yes",1,0)</f>
        <v/>
      </c>
      <c r="AG768">
        <f>IF(IFERROR(VLOOKUP(D768,Controls!$A$64:$E$74,4,FALSE),"No")="Yes",1,0)</f>
        <v/>
      </c>
      <c r="AH768">
        <f>IF(IFERROR(VLOOKUP(D768,Controls!$A$64:$E$74,5,FALSE),"No")="Yes",1,0)</f>
        <v/>
      </c>
      <c r="AI768">
        <f>IF(ISNUMBER(MATCH(D768,Controls!$A$64:$A$74,0)),1,0)</f>
        <v/>
      </c>
      <c r="AJ768">
        <f>Q768-N768</f>
        <v/>
      </c>
      <c r="AK768">
        <f>IF(AE768=1,MAX(0,N768-Q768),0)</f>
        <v/>
      </c>
      <c r="AL768">
        <f>IF(OR(V768="",V768=0),0,N768/V768)</f>
        <v/>
      </c>
      <c r="AM768">
        <f>IF(OR(V768="",V768=0),0,1)</f>
        <v/>
      </c>
      <c r="AN768">
        <f>IF(OR(E768="",F768=""),0,NETWORKDAYS(E768,F768,Ref!$K$2:$K$42))</f>
        <v/>
      </c>
      <c r="AO768">
        <f>IF(L768="Renewal",1,0)</f>
        <v/>
      </c>
      <c r="AP768">
        <f>AC768*AD768</f>
        <v/>
      </c>
      <c r="AQ768">
        <f>IF(AND(G768&lt;&gt;"",'Historical Score'!$C$6&lt;&gt;""),IF(G768='Historical Score'!$C$6,1,0),0)</f>
        <v/>
      </c>
      <c r="AR768">
        <f>IF(AND(L768&lt;&gt;"",'Historical Score'!$C$5&lt;&gt;""),IF(L768='Historical Score'!$C$5,1,0),0)</f>
        <v/>
      </c>
      <c r="AS768">
        <f>IF(AND(Y768&lt;&gt;"",'Historical Score'!$C$7&lt;&gt;""),IF(Y768='Historical Score'!$C$7,1,0),0)</f>
        <v/>
      </c>
      <c r="AT768">
        <f>IF(AND(K768&lt;&gt;"",'Historical Score'!$C$8&lt;&gt;""),IF(K768='Historical Score'!$C$8,1,0),0)</f>
        <v/>
      </c>
      <c r="AU768">
        <f>IF(AND(J768&lt;&gt;"",'Historical Score'!$C$9&lt;&gt;""),IF(J768='Historical Score'!$C$9,1,0),0)</f>
        <v/>
      </c>
      <c r="AV768">
        <f>AR768*AS768*AQ768</f>
        <v/>
      </c>
      <c r="AW768">
        <f>AR768*AT768*AQ768</f>
        <v/>
      </c>
      <c r="AX768">
        <f>AR768*AS768</f>
        <v/>
      </c>
      <c r="AY768">
        <f>AR768*AT768</f>
        <v/>
      </c>
      <c r="AZ768">
        <f>AR768*AQ768</f>
        <v/>
      </c>
      <c r="BA768">
        <f>AR768</f>
        <v/>
      </c>
      <c r="BB768">
        <f>1</f>
        <v/>
      </c>
      <c r="BC768">
        <f>IF(AV768=1,1,IF(AW768=1,2,IF(AX768=1,3,IF(AY768=1,4,IF(AZ768=1,5,IF(BA768=1,6,7))))))</f>
        <v/>
      </c>
      <c r="BD768">
        <f>IF(AD768=1,CHOOSE('Historical Score'!$C$29,AV768,AW768,AX768,AY768,AZ768,BA768,BB768),0)</f>
        <v/>
      </c>
      <c r="BE768">
        <f>IF(BD768=1,COUNTIF($BD$2:BD768,1),"")</f>
        <v/>
      </c>
    </row>
    <row r="769">
      <c r="A769" t="inlineStr">
        <is>
          <t>5674181270</t>
        </is>
      </c>
      <c r="B769" t="inlineStr">
        <is>
          <t>h-h transport</t>
        </is>
      </c>
      <c r="C769" t="inlineStr">
        <is>
          <t>H-H transport</t>
        </is>
      </c>
      <c r="D769" t="inlineStr">
        <is>
          <t>Closed</t>
        </is>
      </c>
      <c r="E769" s="297" t="n">
        <v>46114</v>
      </c>
      <c r="F769" s="297" t="n">
        <v>46168</v>
      </c>
      <c r="G769" t="n">
        <v>3</v>
      </c>
      <c r="H769" t="inlineStr">
        <is>
          <t>4212</t>
        </is>
      </c>
      <c r="I769" t="inlineStr">
        <is>
          <t>42</t>
        </is>
      </c>
      <c r="J769" t="inlineStr">
        <is>
          <t>AZ</t>
        </is>
      </c>
      <c r="K769" t="inlineStr">
        <is>
          <t>Westwood</t>
        </is>
      </c>
      <c r="L769" t="inlineStr">
        <is>
          <t>New Deal</t>
        </is>
      </c>
      <c r="M769" s="298" t="n">
        <v>1.49</v>
      </c>
      <c r="N769" s="299" t="n">
        <v>20000</v>
      </c>
      <c r="O769" s="299" t="n">
        <v>2800</v>
      </c>
      <c r="P769" s="299" t="n">
        <v>29800</v>
      </c>
      <c r="Q769" s="299" t="n">
        <v>29800</v>
      </c>
      <c r="R769" s="299" t="n">
        <v>0</v>
      </c>
      <c r="S769" s="300" t="n">
        <v>1</v>
      </c>
      <c r="T769" t="n">
        <v>1.639</v>
      </c>
      <c r="U769" t="n">
        <v>0</v>
      </c>
      <c r="V769" t="n">
        <v>80000</v>
      </c>
      <c r="W769" s="300" t="n">
        <v>0.1422</v>
      </c>
      <c r="X769" s="297" t="n">
        <v>44621</v>
      </c>
      <c r="Y769">
        <f>IF(I769="","No SIC",IFERROR(VLOOKUP(I769,Ref!$A$2:$B$65,2,FALSE),"Unclassified"))</f>
        <v/>
      </c>
      <c r="Z769">
        <f>IF(T769="","",IF(T769&lt;12,"Daily","Weekly"))</f>
        <v/>
      </c>
      <c r="AA769">
        <f>IF(T769="",0,IF(T769&lt;12,T769*Controls!$B$29,T769*5))</f>
        <v/>
      </c>
      <c r="AB769">
        <f>IF(E769="",0,NETWORKDAYS(E769,Controls!$B$36,Ref!$K$2:$K$42))</f>
        <v/>
      </c>
      <c r="AC769">
        <f>IF(AND(AA769&gt;0,AB769&gt;=Controls!$B$39*AA769),1,0)</f>
        <v/>
      </c>
      <c r="AD769">
        <f>IF(AND(E769&lt;&gt;"",E769&gt;=Controls!$B$37,E769&lt;=Controls!$B$38),1,0)</f>
        <v/>
      </c>
      <c r="AE769">
        <f>IF(IFERROR(VLOOKUP(D769,Controls!$A$64:$E$74,2,FALSE),"No")="Yes",1,0)</f>
        <v/>
      </c>
      <c r="AF769">
        <f>IF(IFERROR(VLOOKUP(D769,Controls!$A$64:$E$74,3,FALSE),"No")="Yes",1,0)</f>
        <v/>
      </c>
      <c r="AG769">
        <f>IF(IFERROR(VLOOKUP(D769,Controls!$A$64:$E$74,4,FALSE),"No")="Yes",1,0)</f>
        <v/>
      </c>
      <c r="AH769">
        <f>IF(IFERROR(VLOOKUP(D769,Controls!$A$64:$E$74,5,FALSE),"No")="Yes",1,0)</f>
        <v/>
      </c>
      <c r="AI769">
        <f>IF(ISNUMBER(MATCH(D769,Controls!$A$64:$A$74,0)),1,0)</f>
        <v/>
      </c>
      <c r="AJ769">
        <f>Q769-N769</f>
        <v/>
      </c>
      <c r="AK769">
        <f>IF(AE769=1,MAX(0,N769-Q769),0)</f>
        <v/>
      </c>
      <c r="AL769">
        <f>IF(OR(V769="",V769=0),0,N769/V769)</f>
        <v/>
      </c>
      <c r="AM769">
        <f>IF(OR(V769="",V769=0),0,1)</f>
        <v/>
      </c>
      <c r="AN769">
        <f>IF(OR(E769="",F769=""),0,NETWORKDAYS(E769,F769,Ref!$K$2:$K$42))</f>
        <v/>
      </c>
      <c r="AO769">
        <f>IF(L769="Renewal",1,0)</f>
        <v/>
      </c>
      <c r="AP769">
        <f>AC769*AD769</f>
        <v/>
      </c>
      <c r="AQ769">
        <f>IF(AND(G769&lt;&gt;"",'Historical Score'!$C$6&lt;&gt;""),IF(G769='Historical Score'!$C$6,1,0),0)</f>
        <v/>
      </c>
      <c r="AR769">
        <f>IF(AND(L769&lt;&gt;"",'Historical Score'!$C$5&lt;&gt;""),IF(L769='Historical Score'!$C$5,1,0),0)</f>
        <v/>
      </c>
      <c r="AS769">
        <f>IF(AND(Y769&lt;&gt;"",'Historical Score'!$C$7&lt;&gt;""),IF(Y769='Historical Score'!$C$7,1,0),0)</f>
        <v/>
      </c>
      <c r="AT769">
        <f>IF(AND(K769&lt;&gt;"",'Historical Score'!$C$8&lt;&gt;""),IF(K769='Historical Score'!$C$8,1,0),0)</f>
        <v/>
      </c>
      <c r="AU769">
        <f>IF(AND(J769&lt;&gt;"",'Historical Score'!$C$9&lt;&gt;""),IF(J769='Historical Score'!$C$9,1,0),0)</f>
        <v/>
      </c>
      <c r="AV769">
        <f>AR769*AS769*AQ769</f>
        <v/>
      </c>
      <c r="AW769">
        <f>AR769*AT769*AQ769</f>
        <v/>
      </c>
      <c r="AX769">
        <f>AR769*AS769</f>
        <v/>
      </c>
      <c r="AY769">
        <f>AR769*AT769</f>
        <v/>
      </c>
      <c r="AZ769">
        <f>AR769*AQ769</f>
        <v/>
      </c>
      <c r="BA769">
        <f>AR769</f>
        <v/>
      </c>
      <c r="BB769">
        <f>1</f>
        <v/>
      </c>
      <c r="BC769">
        <f>IF(AV769=1,1,IF(AW769=1,2,IF(AX769=1,3,IF(AY769=1,4,IF(AZ769=1,5,IF(BA769=1,6,7))))))</f>
        <v/>
      </c>
      <c r="BD769">
        <f>IF(AD769=1,CHOOSE('Historical Score'!$C$29,AV769,AW769,AX769,AY769,AZ769,BA769,BB769),0)</f>
        <v/>
      </c>
      <c r="BE769">
        <f>IF(BD769=1,COUNTIF($BD$2:BD769,1),"")</f>
        <v/>
      </c>
    </row>
    <row r="770">
      <c r="A770" t="inlineStr">
        <is>
          <t>5674181276</t>
        </is>
      </c>
      <c r="B770" t="inlineStr">
        <is>
          <t>FIRST CLASS REPAIR CORPORATION</t>
        </is>
      </c>
      <c r="C770" t="inlineStr">
        <is>
          <t>FIRST CLASS REPAIR CORPORATION</t>
        </is>
      </c>
      <c r="D770" t="inlineStr">
        <is>
          <t>Bankruptcy</t>
        </is>
      </c>
      <c r="E770" s="297" t="n">
        <v>46114</v>
      </c>
      <c r="F770" s="297" t="n">
        <v>46234</v>
      </c>
      <c r="G770" t="n">
        <v>3</v>
      </c>
      <c r="H770" t="inlineStr">
        <is>
          <t>1521</t>
        </is>
      </c>
      <c r="I770" t="inlineStr">
        <is>
          <t>15</t>
        </is>
      </c>
      <c r="J770" t="inlineStr">
        <is>
          <t>IA</t>
        </is>
      </c>
      <c r="K770" t="inlineStr">
        <is>
          <t>TRUSTFI</t>
        </is>
      </c>
      <c r="L770" t="inlineStr">
        <is>
          <t>New Deal</t>
        </is>
      </c>
      <c r="M770" s="298" t="n">
        <v>1.49</v>
      </c>
      <c r="N770" s="299" t="n">
        <v>20000</v>
      </c>
      <c r="O770" s="299" t="n">
        <v>2800</v>
      </c>
      <c r="P770" s="299" t="n">
        <v>29800</v>
      </c>
      <c r="Q770" s="299" t="n">
        <v>19206.12</v>
      </c>
      <c r="R770" s="299" t="n">
        <v>10593.88</v>
      </c>
      <c r="S770" s="300" t="n">
        <v>0.64450067114094</v>
      </c>
      <c r="T770" t="n">
        <v>2.951</v>
      </c>
      <c r="U770" t="n">
        <v>19</v>
      </c>
      <c r="V770" t="n">
        <v>74692.34</v>
      </c>
      <c r="W770" s="300" t="n">
        <v>0.0931</v>
      </c>
      <c r="X770" s="297" t="n">
        <v>45797</v>
      </c>
      <c r="Y770">
        <f>IF(I770="","No SIC",IFERROR(VLOOKUP(I770,Ref!$A$2:$B$65,2,FALSE),"Unclassified"))</f>
        <v/>
      </c>
      <c r="Z770">
        <f>IF(T770="","",IF(T770&lt;12,"Daily","Weekly"))</f>
        <v/>
      </c>
      <c r="AA770">
        <f>IF(T770="",0,IF(T770&lt;12,T770*Controls!$B$29,T770*5))</f>
        <v/>
      </c>
      <c r="AB770">
        <f>IF(E770="",0,NETWORKDAYS(E770,Controls!$B$36,Ref!$K$2:$K$42))</f>
        <v/>
      </c>
      <c r="AC770">
        <f>IF(AND(AA770&gt;0,AB770&gt;=Controls!$B$39*AA770),1,0)</f>
        <v/>
      </c>
      <c r="AD770">
        <f>IF(AND(E770&lt;&gt;"",E770&gt;=Controls!$B$37,E770&lt;=Controls!$B$38),1,0)</f>
        <v/>
      </c>
      <c r="AE770">
        <f>IF(IFERROR(VLOOKUP(D770,Controls!$A$64:$E$74,2,FALSE),"No")="Yes",1,0)</f>
        <v/>
      </c>
      <c r="AF770">
        <f>IF(IFERROR(VLOOKUP(D770,Controls!$A$64:$E$74,3,FALSE),"No")="Yes",1,0)</f>
        <v/>
      </c>
      <c r="AG770">
        <f>IF(IFERROR(VLOOKUP(D770,Controls!$A$64:$E$74,4,FALSE),"No")="Yes",1,0)</f>
        <v/>
      </c>
      <c r="AH770">
        <f>IF(IFERROR(VLOOKUP(D770,Controls!$A$64:$E$74,5,FALSE),"No")="Yes",1,0)</f>
        <v/>
      </c>
      <c r="AI770">
        <f>IF(ISNUMBER(MATCH(D770,Controls!$A$64:$A$74,0)),1,0)</f>
        <v/>
      </c>
      <c r="AJ770">
        <f>Q770-N770</f>
        <v/>
      </c>
      <c r="AK770">
        <f>IF(AE770=1,MAX(0,N770-Q770),0)</f>
        <v/>
      </c>
      <c r="AL770">
        <f>IF(OR(V770="",V770=0),0,N770/V770)</f>
        <v/>
      </c>
      <c r="AM770">
        <f>IF(OR(V770="",V770=0),0,1)</f>
        <v/>
      </c>
      <c r="AN770">
        <f>IF(OR(E770="",F770=""),0,NETWORKDAYS(E770,F770,Ref!$K$2:$K$42))</f>
        <v/>
      </c>
      <c r="AO770">
        <f>IF(L770="Renewal",1,0)</f>
        <v/>
      </c>
      <c r="AP770">
        <f>AC770*AD770</f>
        <v/>
      </c>
      <c r="AQ770">
        <f>IF(AND(G770&lt;&gt;"",'Historical Score'!$C$6&lt;&gt;""),IF(G770='Historical Score'!$C$6,1,0),0)</f>
        <v/>
      </c>
      <c r="AR770">
        <f>IF(AND(L770&lt;&gt;"",'Historical Score'!$C$5&lt;&gt;""),IF(L770='Historical Score'!$C$5,1,0),0)</f>
        <v/>
      </c>
      <c r="AS770">
        <f>IF(AND(Y770&lt;&gt;"",'Historical Score'!$C$7&lt;&gt;""),IF(Y770='Historical Score'!$C$7,1,0),0)</f>
        <v/>
      </c>
      <c r="AT770">
        <f>IF(AND(K770&lt;&gt;"",'Historical Score'!$C$8&lt;&gt;""),IF(K770='Historical Score'!$C$8,1,0),0)</f>
        <v/>
      </c>
      <c r="AU770">
        <f>IF(AND(J770&lt;&gt;"",'Historical Score'!$C$9&lt;&gt;""),IF(J770='Historical Score'!$C$9,1,0),0)</f>
        <v/>
      </c>
      <c r="AV770">
        <f>AR770*AS770*AQ770</f>
        <v/>
      </c>
      <c r="AW770">
        <f>AR770*AT770*AQ770</f>
        <v/>
      </c>
      <c r="AX770">
        <f>AR770*AS770</f>
        <v/>
      </c>
      <c r="AY770">
        <f>AR770*AT770</f>
        <v/>
      </c>
      <c r="AZ770">
        <f>AR770*AQ770</f>
        <v/>
      </c>
      <c r="BA770">
        <f>AR770</f>
        <v/>
      </c>
      <c r="BB770">
        <f>1</f>
        <v/>
      </c>
      <c r="BC770">
        <f>IF(AV770=1,1,IF(AW770=1,2,IF(AX770=1,3,IF(AY770=1,4,IF(AZ770=1,5,IF(BA770=1,6,7))))))</f>
        <v/>
      </c>
      <c r="BD770">
        <f>IF(AD770=1,CHOOSE('Historical Score'!$C$29,AV770,AW770,AX770,AY770,AZ770,BA770,BB770),0)</f>
        <v/>
      </c>
      <c r="BE770">
        <f>IF(BD770=1,COUNTIF($BD$2:BD770,1),"")</f>
        <v/>
      </c>
    </row>
    <row r="771">
      <c r="A771" t="inlineStr">
        <is>
          <t>5674181280</t>
        </is>
      </c>
      <c r="B771" t="inlineStr">
        <is>
          <t>Hecto Group, LLC</t>
        </is>
      </c>
      <c r="C771" t="inlineStr">
        <is>
          <t>Hecto Group, LLC</t>
        </is>
      </c>
      <c r="D771" t="inlineStr">
        <is>
          <t>Closed</t>
        </is>
      </c>
      <c r="E771" s="297" t="n">
        <v>46114</v>
      </c>
      <c r="F771" s="297" t="n">
        <v>46218</v>
      </c>
      <c r="G771" t="n">
        <v>2</v>
      </c>
      <c r="H771" t="inlineStr">
        <is>
          <t>8732</t>
        </is>
      </c>
      <c r="I771" t="inlineStr">
        <is>
          <t>87</t>
        </is>
      </c>
      <c r="J771" t="inlineStr">
        <is>
          <t>KS</t>
        </is>
      </c>
      <c r="K771" t="inlineStr">
        <is>
          <t>Westwood</t>
        </is>
      </c>
      <c r="L771" t="inlineStr">
        <is>
          <t>New Deal</t>
        </is>
      </c>
      <c r="M771" s="298" t="n">
        <v>1.49</v>
      </c>
      <c r="N771" s="299" t="n">
        <v>30000</v>
      </c>
      <c r="O771" s="299" t="n">
        <v>4200</v>
      </c>
      <c r="P771" s="299" t="n">
        <v>44700</v>
      </c>
      <c r="Q771" s="299" t="n">
        <v>44700</v>
      </c>
      <c r="R771" s="299" t="n">
        <v>0</v>
      </c>
      <c r="S771" s="300" t="n">
        <v>1</v>
      </c>
      <c r="T771" t="n">
        <v>23</v>
      </c>
      <c r="U771" t="n">
        <v>3</v>
      </c>
      <c r="V771" t="n">
        <v>103955.24</v>
      </c>
      <c r="W771" s="300" t="n">
        <v>0.07480000000000001</v>
      </c>
      <c r="X771" s="297" t="n">
        <v>40380</v>
      </c>
      <c r="Y771">
        <f>IF(I771="","No SIC",IFERROR(VLOOKUP(I771,Ref!$A$2:$B$65,2,FALSE),"Unclassified"))</f>
        <v/>
      </c>
      <c r="Z771">
        <f>IF(T771="","",IF(T771&lt;12,"Daily","Weekly"))</f>
        <v/>
      </c>
      <c r="AA771">
        <f>IF(T771="",0,IF(T771&lt;12,T771*Controls!$B$29,T771*5))</f>
        <v/>
      </c>
      <c r="AB771">
        <f>IF(E771="",0,NETWORKDAYS(E771,Controls!$B$36,Ref!$K$2:$K$42))</f>
        <v/>
      </c>
      <c r="AC771">
        <f>IF(AND(AA771&gt;0,AB771&gt;=Controls!$B$39*AA771),1,0)</f>
        <v/>
      </c>
      <c r="AD771">
        <f>IF(AND(E771&lt;&gt;"",E771&gt;=Controls!$B$37,E771&lt;=Controls!$B$38),1,0)</f>
        <v/>
      </c>
      <c r="AE771">
        <f>IF(IFERROR(VLOOKUP(D771,Controls!$A$64:$E$74,2,FALSE),"No")="Yes",1,0)</f>
        <v/>
      </c>
      <c r="AF771">
        <f>IF(IFERROR(VLOOKUP(D771,Controls!$A$64:$E$74,3,FALSE),"No")="Yes",1,0)</f>
        <v/>
      </c>
      <c r="AG771">
        <f>IF(IFERROR(VLOOKUP(D771,Controls!$A$64:$E$74,4,FALSE),"No")="Yes",1,0)</f>
        <v/>
      </c>
      <c r="AH771">
        <f>IF(IFERROR(VLOOKUP(D771,Controls!$A$64:$E$74,5,FALSE),"No")="Yes",1,0)</f>
        <v/>
      </c>
      <c r="AI771">
        <f>IF(ISNUMBER(MATCH(D771,Controls!$A$64:$A$74,0)),1,0)</f>
        <v/>
      </c>
      <c r="AJ771">
        <f>Q771-N771</f>
        <v/>
      </c>
      <c r="AK771">
        <f>IF(AE771=1,MAX(0,N771-Q771),0)</f>
        <v/>
      </c>
      <c r="AL771">
        <f>IF(OR(V771="",V771=0),0,N771/V771)</f>
        <v/>
      </c>
      <c r="AM771">
        <f>IF(OR(V771="",V771=0),0,1)</f>
        <v/>
      </c>
      <c r="AN771">
        <f>IF(OR(E771="",F771=""),0,NETWORKDAYS(E771,F771,Ref!$K$2:$K$42))</f>
        <v/>
      </c>
      <c r="AO771">
        <f>IF(L771="Renewal",1,0)</f>
        <v/>
      </c>
      <c r="AP771">
        <f>AC771*AD771</f>
        <v/>
      </c>
      <c r="AQ771">
        <f>IF(AND(G771&lt;&gt;"",'Historical Score'!$C$6&lt;&gt;""),IF(G771='Historical Score'!$C$6,1,0),0)</f>
        <v/>
      </c>
      <c r="AR771">
        <f>IF(AND(L771&lt;&gt;"",'Historical Score'!$C$5&lt;&gt;""),IF(L771='Historical Score'!$C$5,1,0),0)</f>
        <v/>
      </c>
      <c r="AS771">
        <f>IF(AND(Y771&lt;&gt;"",'Historical Score'!$C$7&lt;&gt;""),IF(Y771='Historical Score'!$C$7,1,0),0)</f>
        <v/>
      </c>
      <c r="AT771">
        <f>IF(AND(K771&lt;&gt;"",'Historical Score'!$C$8&lt;&gt;""),IF(K771='Historical Score'!$C$8,1,0),0)</f>
        <v/>
      </c>
      <c r="AU771">
        <f>IF(AND(J771&lt;&gt;"",'Historical Score'!$C$9&lt;&gt;""),IF(J771='Historical Score'!$C$9,1,0),0)</f>
        <v/>
      </c>
      <c r="AV771">
        <f>AR771*AS771*AQ771</f>
        <v/>
      </c>
      <c r="AW771">
        <f>AR771*AT771*AQ771</f>
        <v/>
      </c>
      <c r="AX771">
        <f>AR771*AS771</f>
        <v/>
      </c>
      <c r="AY771">
        <f>AR771*AT771</f>
        <v/>
      </c>
      <c r="AZ771">
        <f>AR771*AQ771</f>
        <v/>
      </c>
      <c r="BA771">
        <f>AR771</f>
        <v/>
      </c>
      <c r="BB771">
        <f>1</f>
        <v/>
      </c>
      <c r="BC771">
        <f>IF(AV771=1,1,IF(AW771=1,2,IF(AX771=1,3,IF(AY771=1,4,IF(AZ771=1,5,IF(BA771=1,6,7))))))</f>
        <v/>
      </c>
      <c r="BD771">
        <f>IF(AD771=1,CHOOSE('Historical Score'!$C$29,AV771,AW771,AX771,AY771,AZ771,BA771,BB771),0)</f>
        <v/>
      </c>
      <c r="BE771">
        <f>IF(BD771=1,COUNTIF($BD$2:BD771,1),"")</f>
        <v/>
      </c>
    </row>
    <row r="772">
      <c r="A772" t="inlineStr">
        <is>
          <t>5674181302</t>
        </is>
      </c>
      <c r="B772" t="inlineStr">
        <is>
          <t>CENTER HARBOR SUTTON HOUSE B&amp;B</t>
        </is>
      </c>
      <c r="C772" t="inlineStr">
        <is>
          <t>THAIS D ST CLAIR</t>
        </is>
      </c>
      <c r="D772" t="inlineStr">
        <is>
          <t>Open</t>
        </is>
      </c>
      <c r="E772" s="297" t="n">
        <v>46115</v>
      </c>
      <c r="F772" s="297" t="n">
        <v>46248</v>
      </c>
      <c r="G772" t="n">
        <v>3</v>
      </c>
      <c r="H772" t="inlineStr">
        <is>
          <t>5812</t>
        </is>
      </c>
      <c r="I772" t="inlineStr">
        <is>
          <t>58</t>
        </is>
      </c>
      <c r="J772" t="inlineStr">
        <is>
          <t>NH</t>
        </is>
      </c>
      <c r="K772" t="inlineStr">
        <is>
          <t>Ballicci</t>
        </is>
      </c>
      <c r="L772" t="inlineStr">
        <is>
          <t>New Deal</t>
        </is>
      </c>
      <c r="M772" s="298" t="n">
        <v>1.49</v>
      </c>
      <c r="N772" s="299" t="n">
        <v>25000</v>
      </c>
      <c r="O772" s="299" t="n">
        <v>3500</v>
      </c>
      <c r="P772" s="299" t="n">
        <v>37250</v>
      </c>
      <c r="Q772" s="299" t="n">
        <v>14165.35</v>
      </c>
      <c r="R772" s="299" t="n">
        <v>23084.65</v>
      </c>
      <c r="S772" s="300" t="n">
        <v>0.380277852348993</v>
      </c>
      <c r="T772" t="n">
        <v>26</v>
      </c>
      <c r="U772" t="n">
        <v>0</v>
      </c>
      <c r="V772" t="n">
        <v>47968.78</v>
      </c>
      <c r="W772" s="300" t="n">
        <v>0.1195</v>
      </c>
      <c r="X772" s="297" t="n">
        <v>41377</v>
      </c>
      <c r="Y772">
        <f>IF(I772="","No SIC",IFERROR(VLOOKUP(I772,Ref!$A$2:$B$65,2,FALSE),"Unclassified"))</f>
        <v/>
      </c>
      <c r="Z772">
        <f>IF(T772="","",IF(T772&lt;12,"Daily","Weekly"))</f>
        <v/>
      </c>
      <c r="AA772">
        <f>IF(T772="",0,IF(T772&lt;12,T772*Controls!$B$29,T772*5))</f>
        <v/>
      </c>
      <c r="AB772">
        <f>IF(E772="",0,NETWORKDAYS(E772,Controls!$B$36,Ref!$K$2:$K$42))</f>
        <v/>
      </c>
      <c r="AC772">
        <f>IF(AND(AA772&gt;0,AB772&gt;=Controls!$B$39*AA772),1,0)</f>
        <v/>
      </c>
      <c r="AD772">
        <f>IF(AND(E772&lt;&gt;"",E772&gt;=Controls!$B$37,E772&lt;=Controls!$B$38),1,0)</f>
        <v/>
      </c>
      <c r="AE772">
        <f>IF(IFERROR(VLOOKUP(D772,Controls!$A$64:$E$74,2,FALSE),"No")="Yes",1,0)</f>
        <v/>
      </c>
      <c r="AF772">
        <f>IF(IFERROR(VLOOKUP(D772,Controls!$A$64:$E$74,3,FALSE),"No")="Yes",1,0)</f>
        <v/>
      </c>
      <c r="AG772">
        <f>IF(IFERROR(VLOOKUP(D772,Controls!$A$64:$E$74,4,FALSE),"No")="Yes",1,0)</f>
        <v/>
      </c>
      <c r="AH772">
        <f>IF(IFERROR(VLOOKUP(D772,Controls!$A$64:$E$74,5,FALSE),"No")="Yes",1,0)</f>
        <v/>
      </c>
      <c r="AI772">
        <f>IF(ISNUMBER(MATCH(D772,Controls!$A$64:$A$74,0)),1,0)</f>
        <v/>
      </c>
      <c r="AJ772">
        <f>Q772-N772</f>
        <v/>
      </c>
      <c r="AK772">
        <f>IF(AE772=1,MAX(0,N772-Q772),0)</f>
        <v/>
      </c>
      <c r="AL772">
        <f>IF(OR(V772="",V772=0),0,N772/V772)</f>
        <v/>
      </c>
      <c r="AM772">
        <f>IF(OR(V772="",V772=0),0,1)</f>
        <v/>
      </c>
      <c r="AN772">
        <f>IF(OR(E772="",F772=""),0,NETWORKDAYS(E772,F772,Ref!$K$2:$K$42))</f>
        <v/>
      </c>
      <c r="AO772">
        <f>IF(L772="Renewal",1,0)</f>
        <v/>
      </c>
      <c r="AP772">
        <f>AC772*AD772</f>
        <v/>
      </c>
      <c r="AQ772">
        <f>IF(AND(G772&lt;&gt;"",'Historical Score'!$C$6&lt;&gt;""),IF(G772='Historical Score'!$C$6,1,0),0)</f>
        <v/>
      </c>
      <c r="AR772">
        <f>IF(AND(L772&lt;&gt;"",'Historical Score'!$C$5&lt;&gt;""),IF(L772='Historical Score'!$C$5,1,0),0)</f>
        <v/>
      </c>
      <c r="AS772">
        <f>IF(AND(Y772&lt;&gt;"",'Historical Score'!$C$7&lt;&gt;""),IF(Y772='Historical Score'!$C$7,1,0),0)</f>
        <v/>
      </c>
      <c r="AT772">
        <f>IF(AND(K772&lt;&gt;"",'Historical Score'!$C$8&lt;&gt;""),IF(K772='Historical Score'!$C$8,1,0),0)</f>
        <v/>
      </c>
      <c r="AU772">
        <f>IF(AND(J772&lt;&gt;"",'Historical Score'!$C$9&lt;&gt;""),IF(J772='Historical Score'!$C$9,1,0),0)</f>
        <v/>
      </c>
      <c r="AV772">
        <f>AR772*AS772*AQ772</f>
        <v/>
      </c>
      <c r="AW772">
        <f>AR772*AT772*AQ772</f>
        <v/>
      </c>
      <c r="AX772">
        <f>AR772*AS772</f>
        <v/>
      </c>
      <c r="AY772">
        <f>AR772*AT772</f>
        <v/>
      </c>
      <c r="AZ772">
        <f>AR772*AQ772</f>
        <v/>
      </c>
      <c r="BA772">
        <f>AR772</f>
        <v/>
      </c>
      <c r="BB772">
        <f>1</f>
        <v/>
      </c>
      <c r="BC772">
        <f>IF(AV772=1,1,IF(AW772=1,2,IF(AX772=1,3,IF(AY772=1,4,IF(AZ772=1,5,IF(BA772=1,6,7))))))</f>
        <v/>
      </c>
      <c r="BD772">
        <f>IF(AD772=1,CHOOSE('Historical Score'!$C$29,AV772,AW772,AX772,AY772,AZ772,BA772,BB772),0)</f>
        <v/>
      </c>
      <c r="BE772">
        <f>IF(BD772=1,COUNTIF($BD$2:BD772,1),"")</f>
        <v/>
      </c>
    </row>
    <row r="773">
      <c r="A773" t="inlineStr">
        <is>
          <t>5674181345</t>
        </is>
      </c>
      <c r="B773" t="inlineStr">
        <is>
          <t>Obys Auto Restoration LLC</t>
        </is>
      </c>
      <c r="C773" t="inlineStr">
        <is>
          <t>Obys Auto Restoration LLC</t>
        </is>
      </c>
      <c r="D773" t="inlineStr">
        <is>
          <t>Closed</t>
        </is>
      </c>
      <c r="E773" s="297" t="n">
        <v>46118</v>
      </c>
      <c r="F773" s="297" t="n">
        <v>46213</v>
      </c>
      <c r="G773" t="n">
        <v>3</v>
      </c>
      <c r="H773" t="inlineStr">
        <is>
          <t>7538</t>
        </is>
      </c>
      <c r="I773" t="inlineStr">
        <is>
          <t>75</t>
        </is>
      </c>
      <c r="J773" t="inlineStr">
        <is>
          <t>WI</t>
        </is>
      </c>
      <c r="K773" t="inlineStr">
        <is>
          <t>United Secured Capital 8</t>
        </is>
      </c>
      <c r="L773" t="inlineStr">
        <is>
          <t>Renewal</t>
        </is>
      </c>
      <c r="M773" s="298" t="n">
        <v>1.45</v>
      </c>
      <c r="N773" s="299" t="n">
        <v>25000</v>
      </c>
      <c r="O773" s="299" t="n">
        <v>3000</v>
      </c>
      <c r="P773" s="299" t="n">
        <v>36250</v>
      </c>
      <c r="Q773" s="299" t="n">
        <v>36250</v>
      </c>
      <c r="R773" s="299" t="n">
        <v>0</v>
      </c>
      <c r="S773" s="300" t="n">
        <v>1</v>
      </c>
      <c r="T773" t="n">
        <v>30</v>
      </c>
      <c r="U773" t="n">
        <v>0</v>
      </c>
      <c r="V773" t="n">
        <v>36089.77</v>
      </c>
      <c r="W773" s="300" t="n">
        <v>0.1339</v>
      </c>
      <c r="X773" s="297" t="n">
        <v>45812</v>
      </c>
      <c r="Y773">
        <f>IF(I773="","No SIC",IFERROR(VLOOKUP(I773,Ref!$A$2:$B$65,2,FALSE),"Unclassified"))</f>
        <v/>
      </c>
      <c r="Z773">
        <f>IF(T773="","",IF(T773&lt;12,"Daily","Weekly"))</f>
        <v/>
      </c>
      <c r="AA773">
        <f>IF(T773="",0,IF(T773&lt;12,T773*Controls!$B$29,T773*5))</f>
        <v/>
      </c>
      <c r="AB773">
        <f>IF(E773="",0,NETWORKDAYS(E773,Controls!$B$36,Ref!$K$2:$K$42))</f>
        <v/>
      </c>
      <c r="AC773">
        <f>IF(AND(AA773&gt;0,AB773&gt;=Controls!$B$39*AA773),1,0)</f>
        <v/>
      </c>
      <c r="AD773">
        <f>IF(AND(E773&lt;&gt;"",E773&gt;=Controls!$B$37,E773&lt;=Controls!$B$38),1,0)</f>
        <v/>
      </c>
      <c r="AE773">
        <f>IF(IFERROR(VLOOKUP(D773,Controls!$A$64:$E$74,2,FALSE),"No")="Yes",1,0)</f>
        <v/>
      </c>
      <c r="AF773">
        <f>IF(IFERROR(VLOOKUP(D773,Controls!$A$64:$E$74,3,FALSE),"No")="Yes",1,0)</f>
        <v/>
      </c>
      <c r="AG773">
        <f>IF(IFERROR(VLOOKUP(D773,Controls!$A$64:$E$74,4,FALSE),"No")="Yes",1,0)</f>
        <v/>
      </c>
      <c r="AH773">
        <f>IF(IFERROR(VLOOKUP(D773,Controls!$A$64:$E$74,5,FALSE),"No")="Yes",1,0)</f>
        <v/>
      </c>
      <c r="AI773">
        <f>IF(ISNUMBER(MATCH(D773,Controls!$A$64:$A$74,0)),1,0)</f>
        <v/>
      </c>
      <c r="AJ773">
        <f>Q773-N773</f>
        <v/>
      </c>
      <c r="AK773">
        <f>IF(AE773=1,MAX(0,N773-Q773),0)</f>
        <v/>
      </c>
      <c r="AL773">
        <f>IF(OR(V773="",V773=0),0,N773/V773)</f>
        <v/>
      </c>
      <c r="AM773">
        <f>IF(OR(V773="",V773=0),0,1)</f>
        <v/>
      </c>
      <c r="AN773">
        <f>IF(OR(E773="",F773=""),0,NETWORKDAYS(E773,F773,Ref!$K$2:$K$42))</f>
        <v/>
      </c>
      <c r="AO773">
        <f>IF(L773="Renewal",1,0)</f>
        <v/>
      </c>
      <c r="AP773">
        <f>AC773*AD773</f>
        <v/>
      </c>
      <c r="AQ773">
        <f>IF(AND(G773&lt;&gt;"",'Historical Score'!$C$6&lt;&gt;""),IF(G773='Historical Score'!$C$6,1,0),0)</f>
        <v/>
      </c>
      <c r="AR773">
        <f>IF(AND(L773&lt;&gt;"",'Historical Score'!$C$5&lt;&gt;""),IF(L773='Historical Score'!$C$5,1,0),0)</f>
        <v/>
      </c>
      <c r="AS773">
        <f>IF(AND(Y773&lt;&gt;"",'Historical Score'!$C$7&lt;&gt;""),IF(Y773='Historical Score'!$C$7,1,0),0)</f>
        <v/>
      </c>
      <c r="AT773">
        <f>IF(AND(K773&lt;&gt;"",'Historical Score'!$C$8&lt;&gt;""),IF(K773='Historical Score'!$C$8,1,0),0)</f>
        <v/>
      </c>
      <c r="AU773">
        <f>IF(AND(J773&lt;&gt;"",'Historical Score'!$C$9&lt;&gt;""),IF(J773='Historical Score'!$C$9,1,0),0)</f>
        <v/>
      </c>
      <c r="AV773">
        <f>AR773*AS773*AQ773</f>
        <v/>
      </c>
      <c r="AW773">
        <f>AR773*AT773*AQ773</f>
        <v/>
      </c>
      <c r="AX773">
        <f>AR773*AS773</f>
        <v/>
      </c>
      <c r="AY773">
        <f>AR773*AT773</f>
        <v/>
      </c>
      <c r="AZ773">
        <f>AR773*AQ773</f>
        <v/>
      </c>
      <c r="BA773">
        <f>AR773</f>
        <v/>
      </c>
      <c r="BB773">
        <f>1</f>
        <v/>
      </c>
      <c r="BC773">
        <f>IF(AV773=1,1,IF(AW773=1,2,IF(AX773=1,3,IF(AY773=1,4,IF(AZ773=1,5,IF(BA773=1,6,7))))))</f>
        <v/>
      </c>
      <c r="BD773">
        <f>IF(AD773=1,CHOOSE('Historical Score'!$C$29,AV773,AW773,AX773,AY773,AZ773,BA773,BB773),0)</f>
        <v/>
      </c>
      <c r="BE773">
        <f>IF(BD773=1,COUNTIF($BD$2:BD773,1),"")</f>
        <v/>
      </c>
    </row>
    <row r="774">
      <c r="A774" t="inlineStr">
        <is>
          <t>5674181352</t>
        </is>
      </c>
      <c r="B774" t="inlineStr">
        <is>
          <t>Free Flow Plumbing</t>
        </is>
      </c>
      <c r="C774" t="inlineStr">
        <is>
          <t>FREE FLOW PLUMBING LLC</t>
        </is>
      </c>
      <c r="D774" t="inlineStr">
        <is>
          <t>Open</t>
        </is>
      </c>
      <c r="E774" s="297" t="n">
        <v>46118</v>
      </c>
      <c r="F774" s="297" t="n">
        <v>46248</v>
      </c>
      <c r="G774" t="n">
        <v>2</v>
      </c>
      <c r="H774" t="inlineStr">
        <is>
          <t>1711</t>
        </is>
      </c>
      <c r="I774" t="inlineStr">
        <is>
          <t>17</t>
        </is>
      </c>
      <c r="J774" t="inlineStr">
        <is>
          <t>TX</t>
        </is>
      </c>
      <c r="K774" t="inlineStr">
        <is>
          <t>Fundwell</t>
        </is>
      </c>
      <c r="L774" t="inlineStr">
        <is>
          <t>New Deal</t>
        </is>
      </c>
      <c r="M774" s="298" t="n">
        <v>1.4</v>
      </c>
      <c r="N774" s="299" t="n">
        <v>12000</v>
      </c>
      <c r="O774" s="299" t="n">
        <v>1560</v>
      </c>
      <c r="P774" s="299" t="n">
        <v>16800</v>
      </c>
      <c r="Q774" s="299" t="n">
        <v>8400.6</v>
      </c>
      <c r="R774" s="299" t="n">
        <v>8399.4</v>
      </c>
      <c r="S774" s="300" t="n">
        <v>0.500035714285714</v>
      </c>
      <c r="T774" t="n">
        <v>20</v>
      </c>
      <c r="U774" t="n">
        <v>9</v>
      </c>
      <c r="V774" t="n">
        <v>26129.33</v>
      </c>
      <c r="W774" s="300" t="n">
        <v>0.1286</v>
      </c>
      <c r="X774" s="297" t="n">
        <v>42170</v>
      </c>
      <c r="Y774">
        <f>IF(I774="","No SIC",IFERROR(VLOOKUP(I774,Ref!$A$2:$B$65,2,FALSE),"Unclassified"))</f>
        <v/>
      </c>
      <c r="Z774">
        <f>IF(T774="","",IF(T774&lt;12,"Daily","Weekly"))</f>
        <v/>
      </c>
      <c r="AA774">
        <f>IF(T774="",0,IF(T774&lt;12,T774*Controls!$B$29,T774*5))</f>
        <v/>
      </c>
      <c r="AB774">
        <f>IF(E774="",0,NETWORKDAYS(E774,Controls!$B$36,Ref!$K$2:$K$42))</f>
        <v/>
      </c>
      <c r="AC774">
        <f>IF(AND(AA774&gt;0,AB774&gt;=Controls!$B$39*AA774),1,0)</f>
        <v/>
      </c>
      <c r="AD774">
        <f>IF(AND(E774&lt;&gt;"",E774&gt;=Controls!$B$37,E774&lt;=Controls!$B$38),1,0)</f>
        <v/>
      </c>
      <c r="AE774">
        <f>IF(IFERROR(VLOOKUP(D774,Controls!$A$64:$E$74,2,FALSE),"No")="Yes",1,0)</f>
        <v/>
      </c>
      <c r="AF774">
        <f>IF(IFERROR(VLOOKUP(D774,Controls!$A$64:$E$74,3,FALSE),"No")="Yes",1,0)</f>
        <v/>
      </c>
      <c r="AG774">
        <f>IF(IFERROR(VLOOKUP(D774,Controls!$A$64:$E$74,4,FALSE),"No")="Yes",1,0)</f>
        <v/>
      </c>
      <c r="AH774">
        <f>IF(IFERROR(VLOOKUP(D774,Controls!$A$64:$E$74,5,FALSE),"No")="Yes",1,0)</f>
        <v/>
      </c>
      <c r="AI774">
        <f>IF(ISNUMBER(MATCH(D774,Controls!$A$64:$A$74,0)),1,0)</f>
        <v/>
      </c>
      <c r="AJ774">
        <f>Q774-N774</f>
        <v/>
      </c>
      <c r="AK774">
        <f>IF(AE774=1,MAX(0,N774-Q774),0)</f>
        <v/>
      </c>
      <c r="AL774">
        <f>IF(OR(V774="",V774=0),0,N774/V774)</f>
        <v/>
      </c>
      <c r="AM774">
        <f>IF(OR(V774="",V774=0),0,1)</f>
        <v/>
      </c>
      <c r="AN774">
        <f>IF(OR(E774="",F774=""),0,NETWORKDAYS(E774,F774,Ref!$K$2:$K$42))</f>
        <v/>
      </c>
      <c r="AO774">
        <f>IF(L774="Renewal",1,0)</f>
        <v/>
      </c>
      <c r="AP774">
        <f>AC774*AD774</f>
        <v/>
      </c>
      <c r="AQ774">
        <f>IF(AND(G774&lt;&gt;"",'Historical Score'!$C$6&lt;&gt;""),IF(G774='Historical Score'!$C$6,1,0),0)</f>
        <v/>
      </c>
      <c r="AR774">
        <f>IF(AND(L774&lt;&gt;"",'Historical Score'!$C$5&lt;&gt;""),IF(L774='Historical Score'!$C$5,1,0),0)</f>
        <v/>
      </c>
      <c r="AS774">
        <f>IF(AND(Y774&lt;&gt;"",'Historical Score'!$C$7&lt;&gt;""),IF(Y774='Historical Score'!$C$7,1,0),0)</f>
        <v/>
      </c>
      <c r="AT774">
        <f>IF(AND(K774&lt;&gt;"",'Historical Score'!$C$8&lt;&gt;""),IF(K774='Historical Score'!$C$8,1,0),0)</f>
        <v/>
      </c>
      <c r="AU774">
        <f>IF(AND(J774&lt;&gt;"",'Historical Score'!$C$9&lt;&gt;""),IF(J774='Historical Score'!$C$9,1,0),0)</f>
        <v/>
      </c>
      <c r="AV774">
        <f>AR774*AS774*AQ774</f>
        <v/>
      </c>
      <c r="AW774">
        <f>AR774*AT774*AQ774</f>
        <v/>
      </c>
      <c r="AX774">
        <f>AR774*AS774</f>
        <v/>
      </c>
      <c r="AY774">
        <f>AR774*AT774</f>
        <v/>
      </c>
      <c r="AZ774">
        <f>AR774*AQ774</f>
        <v/>
      </c>
      <c r="BA774">
        <f>AR774</f>
        <v/>
      </c>
      <c r="BB774">
        <f>1</f>
        <v/>
      </c>
      <c r="BC774">
        <f>IF(AV774=1,1,IF(AW774=1,2,IF(AX774=1,3,IF(AY774=1,4,IF(AZ774=1,5,IF(BA774=1,6,7))))))</f>
        <v/>
      </c>
      <c r="BD774">
        <f>IF(AD774=1,CHOOSE('Historical Score'!$C$29,AV774,AW774,AX774,AY774,AZ774,BA774,BB774),0)</f>
        <v/>
      </c>
      <c r="BE774">
        <f>IF(BD774=1,COUNTIF($BD$2:BD774,1),"")</f>
        <v/>
      </c>
    </row>
    <row r="775">
      <c r="A775" t="inlineStr">
        <is>
          <t>5674181355</t>
        </is>
      </c>
      <c r="B775" t="inlineStr">
        <is>
          <t>ECH TOOLS MATCO DISTRIBUTOR</t>
        </is>
      </c>
      <c r="C775" t="inlineStr">
        <is>
          <t>ECH TOOLS MATCO DISTRIBUTOR</t>
        </is>
      </c>
      <c r="D775" t="inlineStr">
        <is>
          <t>Open</t>
        </is>
      </c>
      <c r="E775" s="297" t="n">
        <v>46118</v>
      </c>
      <c r="F775" s="297" t="n">
        <v>46253</v>
      </c>
      <c r="G775" t="n">
        <v>3</v>
      </c>
      <c r="H775" t="inlineStr">
        <is>
          <t>3541</t>
        </is>
      </c>
      <c r="I775" t="inlineStr">
        <is>
          <t>35</t>
        </is>
      </c>
      <c r="J775" t="inlineStr">
        <is>
          <t>CA</t>
        </is>
      </c>
      <c r="K775" t="inlineStr">
        <is>
          <t>Ballicci</t>
        </is>
      </c>
      <c r="L775" t="inlineStr">
        <is>
          <t>New Deal</t>
        </is>
      </c>
      <c r="M775" s="298" t="n">
        <v>1.45</v>
      </c>
      <c r="N775" s="299" t="n">
        <v>25000</v>
      </c>
      <c r="O775" s="299" t="n">
        <v>3000</v>
      </c>
      <c r="P775" s="299" t="n">
        <v>36250</v>
      </c>
      <c r="Q775" s="299" t="n">
        <v>21750.75</v>
      </c>
      <c r="R775" s="299" t="n">
        <v>14499.25</v>
      </c>
      <c r="S775" s="300" t="n">
        <v>0.600020689655172</v>
      </c>
      <c r="T775" t="n">
        <v>4.098</v>
      </c>
      <c r="U775" t="n">
        <v>20</v>
      </c>
      <c r="V775" t="n">
        <v>25882.4</v>
      </c>
      <c r="W775" s="300" t="n">
        <v>0.2353</v>
      </c>
      <c r="X775" s="297" t="n">
        <v>43472</v>
      </c>
      <c r="Y775">
        <f>IF(I775="","No SIC",IFERROR(VLOOKUP(I775,Ref!$A$2:$B$65,2,FALSE),"Unclassified"))</f>
        <v/>
      </c>
      <c r="Z775">
        <f>IF(T775="","",IF(T775&lt;12,"Daily","Weekly"))</f>
        <v/>
      </c>
      <c r="AA775">
        <f>IF(T775="",0,IF(T775&lt;12,T775*Controls!$B$29,T775*5))</f>
        <v/>
      </c>
      <c r="AB775">
        <f>IF(E775="",0,NETWORKDAYS(E775,Controls!$B$36,Ref!$K$2:$K$42))</f>
        <v/>
      </c>
      <c r="AC775">
        <f>IF(AND(AA775&gt;0,AB775&gt;=Controls!$B$39*AA775),1,0)</f>
        <v/>
      </c>
      <c r="AD775">
        <f>IF(AND(E775&lt;&gt;"",E775&gt;=Controls!$B$37,E775&lt;=Controls!$B$38),1,0)</f>
        <v/>
      </c>
      <c r="AE775">
        <f>IF(IFERROR(VLOOKUP(D775,Controls!$A$64:$E$74,2,FALSE),"No")="Yes",1,0)</f>
        <v/>
      </c>
      <c r="AF775">
        <f>IF(IFERROR(VLOOKUP(D775,Controls!$A$64:$E$74,3,FALSE),"No")="Yes",1,0)</f>
        <v/>
      </c>
      <c r="AG775">
        <f>IF(IFERROR(VLOOKUP(D775,Controls!$A$64:$E$74,4,FALSE),"No")="Yes",1,0)</f>
        <v/>
      </c>
      <c r="AH775">
        <f>IF(IFERROR(VLOOKUP(D775,Controls!$A$64:$E$74,5,FALSE),"No")="Yes",1,0)</f>
        <v/>
      </c>
      <c r="AI775">
        <f>IF(ISNUMBER(MATCH(D775,Controls!$A$64:$A$74,0)),1,0)</f>
        <v/>
      </c>
      <c r="AJ775">
        <f>Q775-N775</f>
        <v/>
      </c>
      <c r="AK775">
        <f>IF(AE775=1,MAX(0,N775-Q775),0)</f>
        <v/>
      </c>
      <c r="AL775">
        <f>IF(OR(V775="",V775=0),0,N775/V775)</f>
        <v/>
      </c>
      <c r="AM775">
        <f>IF(OR(V775="",V775=0),0,1)</f>
        <v/>
      </c>
      <c r="AN775">
        <f>IF(OR(E775="",F775=""),0,NETWORKDAYS(E775,F775,Ref!$K$2:$K$42))</f>
        <v/>
      </c>
      <c r="AO775">
        <f>IF(L775="Renewal",1,0)</f>
        <v/>
      </c>
      <c r="AP775">
        <f>AC775*AD775</f>
        <v/>
      </c>
      <c r="AQ775">
        <f>IF(AND(G775&lt;&gt;"",'Historical Score'!$C$6&lt;&gt;""),IF(G775='Historical Score'!$C$6,1,0),0)</f>
        <v/>
      </c>
      <c r="AR775">
        <f>IF(AND(L775&lt;&gt;"",'Historical Score'!$C$5&lt;&gt;""),IF(L775='Historical Score'!$C$5,1,0),0)</f>
        <v/>
      </c>
      <c r="AS775">
        <f>IF(AND(Y775&lt;&gt;"",'Historical Score'!$C$7&lt;&gt;""),IF(Y775='Historical Score'!$C$7,1,0),0)</f>
        <v/>
      </c>
      <c r="AT775">
        <f>IF(AND(K775&lt;&gt;"",'Historical Score'!$C$8&lt;&gt;""),IF(K775='Historical Score'!$C$8,1,0),0)</f>
        <v/>
      </c>
      <c r="AU775">
        <f>IF(AND(J775&lt;&gt;"",'Historical Score'!$C$9&lt;&gt;""),IF(J775='Historical Score'!$C$9,1,0),0)</f>
        <v/>
      </c>
      <c r="AV775">
        <f>AR775*AS775*AQ775</f>
        <v/>
      </c>
      <c r="AW775">
        <f>AR775*AT775*AQ775</f>
        <v/>
      </c>
      <c r="AX775">
        <f>AR775*AS775</f>
        <v/>
      </c>
      <c r="AY775">
        <f>AR775*AT775</f>
        <v/>
      </c>
      <c r="AZ775">
        <f>AR775*AQ775</f>
        <v/>
      </c>
      <c r="BA775">
        <f>AR775</f>
        <v/>
      </c>
      <c r="BB775">
        <f>1</f>
        <v/>
      </c>
      <c r="BC775">
        <f>IF(AV775=1,1,IF(AW775=1,2,IF(AX775=1,3,IF(AY775=1,4,IF(AZ775=1,5,IF(BA775=1,6,7))))))</f>
        <v/>
      </c>
      <c r="BD775">
        <f>IF(AD775=1,CHOOSE('Historical Score'!$C$29,AV775,AW775,AX775,AY775,AZ775,BA775,BB775),0)</f>
        <v/>
      </c>
      <c r="BE775">
        <f>IF(BD775=1,COUNTIF($BD$2:BD775,1),"")</f>
        <v/>
      </c>
    </row>
    <row r="776">
      <c r="A776" t="inlineStr">
        <is>
          <t>5674181361</t>
        </is>
      </c>
      <c r="B776" t="inlineStr">
        <is>
          <t>Ur Power Source Llc</t>
        </is>
      </c>
      <c r="C776" t="inlineStr">
        <is>
          <t>Ur Power Source Llc</t>
        </is>
      </c>
      <c r="D776" t="inlineStr">
        <is>
          <t>Legal</t>
        </is>
      </c>
      <c r="E776" s="297" t="n">
        <v>46118</v>
      </c>
      <c r="F776" s="297" t="n">
        <v>46163</v>
      </c>
      <c r="G776" t="n">
        <v>3</v>
      </c>
      <c r="H776" t="inlineStr">
        <is>
          <t>1731</t>
        </is>
      </c>
      <c r="I776" t="inlineStr">
        <is>
          <t>17</t>
        </is>
      </c>
      <c r="J776" t="inlineStr">
        <is>
          <t>GA</t>
        </is>
      </c>
      <c r="K776" t="inlineStr">
        <is>
          <t>Ballicci</t>
        </is>
      </c>
      <c r="L776" t="inlineStr">
        <is>
          <t>New Deal</t>
        </is>
      </c>
      <c r="M776" s="298" t="n">
        <v>1.49</v>
      </c>
      <c r="N776" s="299" t="n">
        <v>20000</v>
      </c>
      <c r="O776" s="299" t="n">
        <v>0</v>
      </c>
      <c r="P776" s="299" t="n">
        <v>29800</v>
      </c>
      <c r="Q776" s="299" t="n">
        <v>7945.44</v>
      </c>
      <c r="R776" s="299" t="n">
        <v>21854.56</v>
      </c>
      <c r="S776" s="300" t="n">
        <v>0.266625503355705</v>
      </c>
      <c r="T776" t="n">
        <v>2.951</v>
      </c>
      <c r="U776" t="n">
        <v>6</v>
      </c>
      <c r="V776" t="n">
        <v>66592.34</v>
      </c>
      <c r="W776" s="300" t="n">
        <v>0.1044</v>
      </c>
      <c r="X776" s="297" t="n">
        <v>44927</v>
      </c>
      <c r="Y776">
        <f>IF(I776="","No SIC",IFERROR(VLOOKUP(I776,Ref!$A$2:$B$65,2,FALSE),"Unclassified"))</f>
        <v/>
      </c>
      <c r="Z776">
        <f>IF(T776="","",IF(T776&lt;12,"Daily","Weekly"))</f>
        <v/>
      </c>
      <c r="AA776">
        <f>IF(T776="",0,IF(T776&lt;12,T776*Controls!$B$29,T776*5))</f>
        <v/>
      </c>
      <c r="AB776">
        <f>IF(E776="",0,NETWORKDAYS(E776,Controls!$B$36,Ref!$K$2:$K$42))</f>
        <v/>
      </c>
      <c r="AC776">
        <f>IF(AND(AA776&gt;0,AB776&gt;=Controls!$B$39*AA776),1,0)</f>
        <v/>
      </c>
      <c r="AD776">
        <f>IF(AND(E776&lt;&gt;"",E776&gt;=Controls!$B$37,E776&lt;=Controls!$B$38),1,0)</f>
        <v/>
      </c>
      <c r="AE776">
        <f>IF(IFERROR(VLOOKUP(D776,Controls!$A$64:$E$74,2,FALSE),"No")="Yes",1,0)</f>
        <v/>
      </c>
      <c r="AF776">
        <f>IF(IFERROR(VLOOKUP(D776,Controls!$A$64:$E$74,3,FALSE),"No")="Yes",1,0)</f>
        <v/>
      </c>
      <c r="AG776">
        <f>IF(IFERROR(VLOOKUP(D776,Controls!$A$64:$E$74,4,FALSE),"No")="Yes",1,0)</f>
        <v/>
      </c>
      <c r="AH776">
        <f>IF(IFERROR(VLOOKUP(D776,Controls!$A$64:$E$74,5,FALSE),"No")="Yes",1,0)</f>
        <v/>
      </c>
      <c r="AI776">
        <f>IF(ISNUMBER(MATCH(D776,Controls!$A$64:$A$74,0)),1,0)</f>
        <v/>
      </c>
      <c r="AJ776">
        <f>Q776-N776</f>
        <v/>
      </c>
      <c r="AK776">
        <f>IF(AE776=1,MAX(0,N776-Q776),0)</f>
        <v/>
      </c>
      <c r="AL776">
        <f>IF(OR(V776="",V776=0),0,N776/V776)</f>
        <v/>
      </c>
      <c r="AM776">
        <f>IF(OR(V776="",V776=0),0,1)</f>
        <v/>
      </c>
      <c r="AN776">
        <f>IF(OR(E776="",F776=""),0,NETWORKDAYS(E776,F776,Ref!$K$2:$K$42))</f>
        <v/>
      </c>
      <c r="AO776">
        <f>IF(L776="Renewal",1,0)</f>
        <v/>
      </c>
      <c r="AP776">
        <f>AC776*AD776</f>
        <v/>
      </c>
      <c r="AQ776">
        <f>IF(AND(G776&lt;&gt;"",'Historical Score'!$C$6&lt;&gt;""),IF(G776='Historical Score'!$C$6,1,0),0)</f>
        <v/>
      </c>
      <c r="AR776">
        <f>IF(AND(L776&lt;&gt;"",'Historical Score'!$C$5&lt;&gt;""),IF(L776='Historical Score'!$C$5,1,0),0)</f>
        <v/>
      </c>
      <c r="AS776">
        <f>IF(AND(Y776&lt;&gt;"",'Historical Score'!$C$7&lt;&gt;""),IF(Y776='Historical Score'!$C$7,1,0),0)</f>
        <v/>
      </c>
      <c r="AT776">
        <f>IF(AND(K776&lt;&gt;"",'Historical Score'!$C$8&lt;&gt;""),IF(K776='Historical Score'!$C$8,1,0),0)</f>
        <v/>
      </c>
      <c r="AU776">
        <f>IF(AND(J776&lt;&gt;"",'Historical Score'!$C$9&lt;&gt;""),IF(J776='Historical Score'!$C$9,1,0),0)</f>
        <v/>
      </c>
      <c r="AV776">
        <f>AR776*AS776*AQ776</f>
        <v/>
      </c>
      <c r="AW776">
        <f>AR776*AT776*AQ776</f>
        <v/>
      </c>
      <c r="AX776">
        <f>AR776*AS776</f>
        <v/>
      </c>
      <c r="AY776">
        <f>AR776*AT776</f>
        <v/>
      </c>
      <c r="AZ776">
        <f>AR776*AQ776</f>
        <v/>
      </c>
      <c r="BA776">
        <f>AR776</f>
        <v/>
      </c>
      <c r="BB776">
        <f>1</f>
        <v/>
      </c>
      <c r="BC776">
        <f>IF(AV776=1,1,IF(AW776=1,2,IF(AX776=1,3,IF(AY776=1,4,IF(AZ776=1,5,IF(BA776=1,6,7))))))</f>
        <v/>
      </c>
      <c r="BD776">
        <f>IF(AD776=1,CHOOSE('Historical Score'!$C$29,AV776,AW776,AX776,AY776,AZ776,BA776,BB776),0)</f>
        <v/>
      </c>
      <c r="BE776">
        <f>IF(BD776=1,COUNTIF($BD$2:BD776,1),"")</f>
        <v/>
      </c>
    </row>
    <row r="777">
      <c r="A777" t="inlineStr">
        <is>
          <t>5674181378</t>
        </is>
      </c>
      <c r="B777" t="inlineStr">
        <is>
          <t>Guided Property Solutions LLC</t>
        </is>
      </c>
      <c r="C777" t="inlineStr">
        <is>
          <t>Guided Property Solutions LLC</t>
        </is>
      </c>
      <c r="D777" t="inlineStr">
        <is>
          <t>In House Collection</t>
        </is>
      </c>
      <c r="E777" s="297" t="n">
        <v>46119</v>
      </c>
      <c r="F777" s="297" t="n">
        <v>46248</v>
      </c>
      <c r="G777" t="n">
        <v>3</v>
      </c>
      <c r="H777" t="inlineStr">
        <is>
          <t>6531</t>
        </is>
      </c>
      <c r="I777" t="inlineStr">
        <is>
          <t>65</t>
        </is>
      </c>
      <c r="J777" t="inlineStr">
        <is>
          <t>TX</t>
        </is>
      </c>
      <c r="K777" t="inlineStr">
        <is>
          <t>United Secured Capital 8</t>
        </is>
      </c>
      <c r="L777" t="inlineStr">
        <is>
          <t>New Deal</t>
        </is>
      </c>
      <c r="M777" s="298" t="n">
        <v>1.43</v>
      </c>
      <c r="N777" s="299" t="n">
        <v>25000</v>
      </c>
      <c r="O777" s="299" t="n">
        <v>2750</v>
      </c>
      <c r="P777" s="299" t="n">
        <v>35750</v>
      </c>
      <c r="Q777" s="299" t="n">
        <v>3715.2</v>
      </c>
      <c r="R777" s="299" t="n">
        <v>32034.8</v>
      </c>
      <c r="S777" s="300" t="n">
        <v>0.103921678321678</v>
      </c>
      <c r="T777" t="n">
        <v>25</v>
      </c>
      <c r="U777" t="n">
        <v>13</v>
      </c>
      <c r="V777" t="n">
        <v>196465.29</v>
      </c>
      <c r="W777" s="300" t="n">
        <v>0.0291</v>
      </c>
      <c r="X777" s="297" t="n">
        <v>42704</v>
      </c>
      <c r="Y777">
        <f>IF(I777="","No SIC",IFERROR(VLOOKUP(I777,Ref!$A$2:$B$65,2,FALSE),"Unclassified"))</f>
        <v/>
      </c>
      <c r="Z777">
        <f>IF(T777="","",IF(T777&lt;12,"Daily","Weekly"))</f>
        <v/>
      </c>
      <c r="AA777">
        <f>IF(T777="",0,IF(T777&lt;12,T777*Controls!$B$29,T777*5))</f>
        <v/>
      </c>
      <c r="AB777">
        <f>IF(E777="",0,NETWORKDAYS(E777,Controls!$B$36,Ref!$K$2:$K$42))</f>
        <v/>
      </c>
      <c r="AC777">
        <f>IF(AND(AA777&gt;0,AB777&gt;=Controls!$B$39*AA777),1,0)</f>
        <v/>
      </c>
      <c r="AD777">
        <f>IF(AND(E777&lt;&gt;"",E777&gt;=Controls!$B$37,E777&lt;=Controls!$B$38),1,0)</f>
        <v/>
      </c>
      <c r="AE777">
        <f>IF(IFERROR(VLOOKUP(D777,Controls!$A$64:$E$74,2,FALSE),"No")="Yes",1,0)</f>
        <v/>
      </c>
      <c r="AF777">
        <f>IF(IFERROR(VLOOKUP(D777,Controls!$A$64:$E$74,3,FALSE),"No")="Yes",1,0)</f>
        <v/>
      </c>
      <c r="AG777">
        <f>IF(IFERROR(VLOOKUP(D777,Controls!$A$64:$E$74,4,FALSE),"No")="Yes",1,0)</f>
        <v/>
      </c>
      <c r="AH777">
        <f>IF(IFERROR(VLOOKUP(D777,Controls!$A$64:$E$74,5,FALSE),"No")="Yes",1,0)</f>
        <v/>
      </c>
      <c r="AI777">
        <f>IF(ISNUMBER(MATCH(D777,Controls!$A$64:$A$74,0)),1,0)</f>
        <v/>
      </c>
      <c r="AJ777">
        <f>Q777-N777</f>
        <v/>
      </c>
      <c r="AK777">
        <f>IF(AE777=1,MAX(0,N777-Q777),0)</f>
        <v/>
      </c>
      <c r="AL777">
        <f>IF(OR(V777="",V777=0),0,N777/V777)</f>
        <v/>
      </c>
      <c r="AM777">
        <f>IF(OR(V777="",V777=0),0,1)</f>
        <v/>
      </c>
      <c r="AN777">
        <f>IF(OR(E777="",F777=""),0,NETWORKDAYS(E777,F777,Ref!$K$2:$K$42))</f>
        <v/>
      </c>
      <c r="AO777">
        <f>IF(L777="Renewal",1,0)</f>
        <v/>
      </c>
      <c r="AP777">
        <f>AC777*AD777</f>
        <v/>
      </c>
      <c r="AQ777">
        <f>IF(AND(G777&lt;&gt;"",'Historical Score'!$C$6&lt;&gt;""),IF(G777='Historical Score'!$C$6,1,0),0)</f>
        <v/>
      </c>
      <c r="AR777">
        <f>IF(AND(L777&lt;&gt;"",'Historical Score'!$C$5&lt;&gt;""),IF(L777='Historical Score'!$C$5,1,0),0)</f>
        <v/>
      </c>
      <c r="AS777">
        <f>IF(AND(Y777&lt;&gt;"",'Historical Score'!$C$7&lt;&gt;""),IF(Y777='Historical Score'!$C$7,1,0),0)</f>
        <v/>
      </c>
      <c r="AT777">
        <f>IF(AND(K777&lt;&gt;"",'Historical Score'!$C$8&lt;&gt;""),IF(K777='Historical Score'!$C$8,1,0),0)</f>
        <v/>
      </c>
      <c r="AU777">
        <f>IF(AND(J777&lt;&gt;"",'Historical Score'!$C$9&lt;&gt;""),IF(J777='Historical Score'!$C$9,1,0),0)</f>
        <v/>
      </c>
      <c r="AV777">
        <f>AR777*AS777*AQ777</f>
        <v/>
      </c>
      <c r="AW777">
        <f>AR777*AT777*AQ777</f>
        <v/>
      </c>
      <c r="AX777">
        <f>AR777*AS777</f>
        <v/>
      </c>
      <c r="AY777">
        <f>AR777*AT777</f>
        <v/>
      </c>
      <c r="AZ777">
        <f>AR777*AQ777</f>
        <v/>
      </c>
      <c r="BA777">
        <f>AR777</f>
        <v/>
      </c>
      <c r="BB777">
        <f>1</f>
        <v/>
      </c>
      <c r="BC777">
        <f>IF(AV777=1,1,IF(AW777=1,2,IF(AX777=1,3,IF(AY777=1,4,IF(AZ777=1,5,IF(BA777=1,6,7))))))</f>
        <v/>
      </c>
      <c r="BD777">
        <f>IF(AD777=1,CHOOSE('Historical Score'!$C$29,AV777,AW777,AX777,AY777,AZ777,BA777,BB777),0)</f>
        <v/>
      </c>
      <c r="BE777">
        <f>IF(BD777=1,COUNTIF($BD$2:BD777,1),"")</f>
        <v/>
      </c>
    </row>
    <row r="778">
      <c r="A778" t="inlineStr">
        <is>
          <t>5674181380</t>
        </is>
      </c>
      <c r="B778" t="inlineStr">
        <is>
          <t>ANB PASTRY EMPIRE</t>
        </is>
      </c>
      <c r="C778" t="inlineStr">
        <is>
          <t>ANB PASTRY EMPIRE LLC</t>
        </is>
      </c>
      <c r="D778" t="inlineStr">
        <is>
          <t>Open</t>
        </is>
      </c>
      <c r="E778" s="297" t="n">
        <v>46119</v>
      </c>
      <c r="F778" s="297" t="n">
        <v>46246</v>
      </c>
      <c r="G778" t="n">
        <v>3</v>
      </c>
      <c r="H778" t="inlineStr">
        <is>
          <t>5812</t>
        </is>
      </c>
      <c r="I778" t="inlineStr">
        <is>
          <t>58</t>
        </is>
      </c>
      <c r="J778" t="inlineStr">
        <is>
          <t>TX</t>
        </is>
      </c>
      <c r="K778" t="inlineStr">
        <is>
          <t>Fundwell</t>
        </is>
      </c>
      <c r="L778" t="inlineStr">
        <is>
          <t>Renewal</t>
        </is>
      </c>
      <c r="M778" s="298" t="n">
        <v>1.49</v>
      </c>
      <c r="N778" s="299" t="n">
        <v>10000</v>
      </c>
      <c r="O778" s="299" t="n">
        <v>1600</v>
      </c>
      <c r="P778" s="299" t="n">
        <v>14900</v>
      </c>
      <c r="Q778" s="299" t="n">
        <v>14900</v>
      </c>
      <c r="R778" s="299" t="n">
        <v>0</v>
      </c>
      <c r="S778" s="300" t="n">
        <v>1</v>
      </c>
      <c r="T778" t="n">
        <v>2.951</v>
      </c>
      <c r="U778" t="n">
        <v>0</v>
      </c>
      <c r="V778" t="n">
        <v>25456</v>
      </c>
      <c r="W778" s="300" t="n">
        <v>0.1537</v>
      </c>
      <c r="X778" s="297" t="n">
        <v>43623</v>
      </c>
      <c r="Y778">
        <f>IF(I778="","No SIC",IFERROR(VLOOKUP(I778,Ref!$A$2:$B$65,2,FALSE),"Unclassified"))</f>
        <v/>
      </c>
      <c r="Z778">
        <f>IF(T778="","",IF(T778&lt;12,"Daily","Weekly"))</f>
        <v/>
      </c>
      <c r="AA778">
        <f>IF(T778="",0,IF(T778&lt;12,T778*Controls!$B$29,T778*5))</f>
        <v/>
      </c>
      <c r="AB778">
        <f>IF(E778="",0,NETWORKDAYS(E778,Controls!$B$36,Ref!$K$2:$K$42))</f>
        <v/>
      </c>
      <c r="AC778">
        <f>IF(AND(AA778&gt;0,AB778&gt;=Controls!$B$39*AA778),1,0)</f>
        <v/>
      </c>
      <c r="AD778">
        <f>IF(AND(E778&lt;&gt;"",E778&gt;=Controls!$B$37,E778&lt;=Controls!$B$38),1,0)</f>
        <v/>
      </c>
      <c r="AE778">
        <f>IF(IFERROR(VLOOKUP(D778,Controls!$A$64:$E$74,2,FALSE),"No")="Yes",1,0)</f>
        <v/>
      </c>
      <c r="AF778">
        <f>IF(IFERROR(VLOOKUP(D778,Controls!$A$64:$E$74,3,FALSE),"No")="Yes",1,0)</f>
        <v/>
      </c>
      <c r="AG778">
        <f>IF(IFERROR(VLOOKUP(D778,Controls!$A$64:$E$74,4,FALSE),"No")="Yes",1,0)</f>
        <v/>
      </c>
      <c r="AH778">
        <f>IF(IFERROR(VLOOKUP(D778,Controls!$A$64:$E$74,5,FALSE),"No")="Yes",1,0)</f>
        <v/>
      </c>
      <c r="AI778">
        <f>IF(ISNUMBER(MATCH(D778,Controls!$A$64:$A$74,0)),1,0)</f>
        <v/>
      </c>
      <c r="AJ778">
        <f>Q778-N778</f>
        <v/>
      </c>
      <c r="AK778">
        <f>IF(AE778=1,MAX(0,N778-Q778),0)</f>
        <v/>
      </c>
      <c r="AL778">
        <f>IF(OR(V778="",V778=0),0,N778/V778)</f>
        <v/>
      </c>
      <c r="AM778">
        <f>IF(OR(V778="",V778=0),0,1)</f>
        <v/>
      </c>
      <c r="AN778">
        <f>IF(OR(E778="",F778=""),0,NETWORKDAYS(E778,F778,Ref!$K$2:$K$42))</f>
        <v/>
      </c>
      <c r="AO778">
        <f>IF(L778="Renewal",1,0)</f>
        <v/>
      </c>
      <c r="AP778">
        <f>AC778*AD778</f>
        <v/>
      </c>
      <c r="AQ778">
        <f>IF(AND(G778&lt;&gt;"",'Historical Score'!$C$6&lt;&gt;""),IF(G778='Historical Score'!$C$6,1,0),0)</f>
        <v/>
      </c>
      <c r="AR778">
        <f>IF(AND(L778&lt;&gt;"",'Historical Score'!$C$5&lt;&gt;""),IF(L778='Historical Score'!$C$5,1,0),0)</f>
        <v/>
      </c>
      <c r="AS778">
        <f>IF(AND(Y778&lt;&gt;"",'Historical Score'!$C$7&lt;&gt;""),IF(Y778='Historical Score'!$C$7,1,0),0)</f>
        <v/>
      </c>
      <c r="AT778">
        <f>IF(AND(K778&lt;&gt;"",'Historical Score'!$C$8&lt;&gt;""),IF(K778='Historical Score'!$C$8,1,0),0)</f>
        <v/>
      </c>
      <c r="AU778">
        <f>IF(AND(J778&lt;&gt;"",'Historical Score'!$C$9&lt;&gt;""),IF(J778='Historical Score'!$C$9,1,0),0)</f>
        <v/>
      </c>
      <c r="AV778">
        <f>AR778*AS778*AQ778</f>
        <v/>
      </c>
      <c r="AW778">
        <f>AR778*AT778*AQ778</f>
        <v/>
      </c>
      <c r="AX778">
        <f>AR778*AS778</f>
        <v/>
      </c>
      <c r="AY778">
        <f>AR778*AT778</f>
        <v/>
      </c>
      <c r="AZ778">
        <f>AR778*AQ778</f>
        <v/>
      </c>
      <c r="BA778">
        <f>AR778</f>
        <v/>
      </c>
      <c r="BB778">
        <f>1</f>
        <v/>
      </c>
      <c r="BC778">
        <f>IF(AV778=1,1,IF(AW778=1,2,IF(AX778=1,3,IF(AY778=1,4,IF(AZ778=1,5,IF(BA778=1,6,7))))))</f>
        <v/>
      </c>
      <c r="BD778">
        <f>IF(AD778=1,CHOOSE('Historical Score'!$C$29,AV778,AW778,AX778,AY778,AZ778,BA778,BB778),0)</f>
        <v/>
      </c>
      <c r="BE778">
        <f>IF(BD778=1,COUNTIF($BD$2:BD778,1),"")</f>
        <v/>
      </c>
    </row>
    <row r="779">
      <c r="A779" t="inlineStr">
        <is>
          <t>5674181387</t>
        </is>
      </c>
      <c r="B779" t="inlineStr">
        <is>
          <t>TECHNOLOGY INTEGRATORS OF TEXAS</t>
        </is>
      </c>
      <c r="C779" t="inlineStr">
        <is>
          <t>TECHNOLOGY INTEGRATORS OF TEXAS, LLC</t>
        </is>
      </c>
      <c r="D779" t="inlineStr">
        <is>
          <t>Legal</t>
        </is>
      </c>
      <c r="E779" s="297" t="n">
        <v>46119</v>
      </c>
      <c r="F779" s="297" t="n">
        <v>46204</v>
      </c>
      <c r="G779" t="n">
        <v>2</v>
      </c>
      <c r="H779" t="inlineStr">
        <is>
          <t>7371</t>
        </is>
      </c>
      <c r="I779" t="inlineStr">
        <is>
          <t>73</t>
        </is>
      </c>
      <c r="J779" t="inlineStr">
        <is>
          <t>TX</t>
        </is>
      </c>
      <c r="K779" t="inlineStr">
        <is>
          <t>Fundwell</t>
        </is>
      </c>
      <c r="L779" t="inlineStr">
        <is>
          <t>New Deal</t>
        </is>
      </c>
      <c r="M779" s="298" t="n">
        <v>1.42</v>
      </c>
      <c r="N779" s="299" t="n">
        <v>10000</v>
      </c>
      <c r="O779" s="299" t="n">
        <v>0</v>
      </c>
      <c r="P779" s="299" t="n">
        <v>14200</v>
      </c>
      <c r="Q779" s="299" t="n">
        <v>6394.86</v>
      </c>
      <c r="R779" s="299" t="n">
        <v>7805.14</v>
      </c>
      <c r="S779" s="300" t="n">
        <v>0.450342253521127</v>
      </c>
      <c r="T779" t="n">
        <v>20</v>
      </c>
      <c r="U779" t="n">
        <v>3</v>
      </c>
      <c r="V779" t="n">
        <v>47369.23</v>
      </c>
      <c r="W779" s="300" t="n">
        <v>0.06</v>
      </c>
      <c r="X779" s="297" t="n">
        <v>44089</v>
      </c>
      <c r="Y779">
        <f>IF(I779="","No SIC",IFERROR(VLOOKUP(I779,Ref!$A$2:$B$65,2,FALSE),"Unclassified"))</f>
        <v/>
      </c>
      <c r="Z779">
        <f>IF(T779="","",IF(T779&lt;12,"Daily","Weekly"))</f>
        <v/>
      </c>
      <c r="AA779">
        <f>IF(T779="",0,IF(T779&lt;12,T779*Controls!$B$29,T779*5))</f>
        <v/>
      </c>
      <c r="AB779">
        <f>IF(E779="",0,NETWORKDAYS(E779,Controls!$B$36,Ref!$K$2:$K$42))</f>
        <v/>
      </c>
      <c r="AC779">
        <f>IF(AND(AA779&gt;0,AB779&gt;=Controls!$B$39*AA779),1,0)</f>
        <v/>
      </c>
      <c r="AD779">
        <f>IF(AND(E779&lt;&gt;"",E779&gt;=Controls!$B$37,E779&lt;=Controls!$B$38),1,0)</f>
        <v/>
      </c>
      <c r="AE779">
        <f>IF(IFERROR(VLOOKUP(D779,Controls!$A$64:$E$74,2,FALSE),"No")="Yes",1,0)</f>
        <v/>
      </c>
      <c r="AF779">
        <f>IF(IFERROR(VLOOKUP(D779,Controls!$A$64:$E$74,3,FALSE),"No")="Yes",1,0)</f>
        <v/>
      </c>
      <c r="AG779">
        <f>IF(IFERROR(VLOOKUP(D779,Controls!$A$64:$E$74,4,FALSE),"No")="Yes",1,0)</f>
        <v/>
      </c>
      <c r="AH779">
        <f>IF(IFERROR(VLOOKUP(D779,Controls!$A$64:$E$74,5,FALSE),"No")="Yes",1,0)</f>
        <v/>
      </c>
      <c r="AI779">
        <f>IF(ISNUMBER(MATCH(D779,Controls!$A$64:$A$74,0)),1,0)</f>
        <v/>
      </c>
      <c r="AJ779">
        <f>Q779-N779</f>
        <v/>
      </c>
      <c r="AK779">
        <f>IF(AE779=1,MAX(0,N779-Q779),0)</f>
        <v/>
      </c>
      <c r="AL779">
        <f>IF(OR(V779="",V779=0),0,N779/V779)</f>
        <v/>
      </c>
      <c r="AM779">
        <f>IF(OR(V779="",V779=0),0,1)</f>
        <v/>
      </c>
      <c r="AN779">
        <f>IF(OR(E779="",F779=""),0,NETWORKDAYS(E779,F779,Ref!$K$2:$K$42))</f>
        <v/>
      </c>
      <c r="AO779">
        <f>IF(L779="Renewal",1,0)</f>
        <v/>
      </c>
      <c r="AP779">
        <f>AC779*AD779</f>
        <v/>
      </c>
      <c r="AQ779">
        <f>IF(AND(G779&lt;&gt;"",'Historical Score'!$C$6&lt;&gt;""),IF(G779='Historical Score'!$C$6,1,0),0)</f>
        <v/>
      </c>
      <c r="AR779">
        <f>IF(AND(L779&lt;&gt;"",'Historical Score'!$C$5&lt;&gt;""),IF(L779='Historical Score'!$C$5,1,0),0)</f>
        <v/>
      </c>
      <c r="AS779">
        <f>IF(AND(Y779&lt;&gt;"",'Historical Score'!$C$7&lt;&gt;""),IF(Y779='Historical Score'!$C$7,1,0),0)</f>
        <v/>
      </c>
      <c r="AT779">
        <f>IF(AND(K779&lt;&gt;"",'Historical Score'!$C$8&lt;&gt;""),IF(K779='Historical Score'!$C$8,1,0),0)</f>
        <v/>
      </c>
      <c r="AU779">
        <f>IF(AND(J779&lt;&gt;"",'Historical Score'!$C$9&lt;&gt;""),IF(J779='Historical Score'!$C$9,1,0),0)</f>
        <v/>
      </c>
      <c r="AV779">
        <f>AR779*AS779*AQ779</f>
        <v/>
      </c>
      <c r="AW779">
        <f>AR779*AT779*AQ779</f>
        <v/>
      </c>
      <c r="AX779">
        <f>AR779*AS779</f>
        <v/>
      </c>
      <c r="AY779">
        <f>AR779*AT779</f>
        <v/>
      </c>
      <c r="AZ779">
        <f>AR779*AQ779</f>
        <v/>
      </c>
      <c r="BA779">
        <f>AR779</f>
        <v/>
      </c>
      <c r="BB779">
        <f>1</f>
        <v/>
      </c>
      <c r="BC779">
        <f>IF(AV779=1,1,IF(AW779=1,2,IF(AX779=1,3,IF(AY779=1,4,IF(AZ779=1,5,IF(BA779=1,6,7))))))</f>
        <v/>
      </c>
      <c r="BD779">
        <f>IF(AD779=1,CHOOSE('Historical Score'!$C$29,AV779,AW779,AX779,AY779,AZ779,BA779,BB779),0)</f>
        <v/>
      </c>
      <c r="BE779">
        <f>IF(BD779=1,COUNTIF($BD$2:BD779,1),"")</f>
        <v/>
      </c>
    </row>
    <row r="780">
      <c r="A780" t="inlineStr">
        <is>
          <t>5674181431</t>
        </is>
      </c>
      <c r="B780" t="inlineStr">
        <is>
          <t>MC SITE WORK INC</t>
        </is>
      </c>
      <c r="C780" t="inlineStr">
        <is>
          <t>MC SITE WORK INC</t>
        </is>
      </c>
      <c r="D780" t="inlineStr">
        <is>
          <t>Legal</t>
        </is>
      </c>
      <c r="E780" s="297" t="n">
        <v>46120</v>
      </c>
      <c r="F780" s="297" t="n">
        <v>46212</v>
      </c>
      <c r="G780" t="n">
        <v>3</v>
      </c>
      <c r="H780" t="inlineStr">
        <is>
          <t>1521</t>
        </is>
      </c>
      <c r="I780" t="inlineStr">
        <is>
          <t>15</t>
        </is>
      </c>
      <c r="J780" t="inlineStr">
        <is>
          <t>IA</t>
        </is>
      </c>
      <c r="K780" t="inlineStr">
        <is>
          <t>ALLSTATE FUND PROS LLC</t>
        </is>
      </c>
      <c r="L780" t="inlineStr">
        <is>
          <t>New Deal</t>
        </is>
      </c>
      <c r="M780" s="298" t="n">
        <v>1.45</v>
      </c>
      <c r="N780" s="299" t="n">
        <v>10000</v>
      </c>
      <c r="O780" s="299" t="n">
        <v>1200</v>
      </c>
      <c r="P780" s="299" t="n">
        <v>14500</v>
      </c>
      <c r="Q780" s="299" t="n">
        <v>5478.08</v>
      </c>
      <c r="R780" s="299" t="n">
        <v>9021.92</v>
      </c>
      <c r="S780" s="300" t="n">
        <v>0.377798620689655</v>
      </c>
      <c r="T780" t="n">
        <v>2.951</v>
      </c>
      <c r="U780" t="n">
        <v>19</v>
      </c>
      <c r="V780" t="n">
        <v>58058.07</v>
      </c>
      <c r="W780" s="300" t="n">
        <v>0.0572</v>
      </c>
      <c r="X780" s="297" t="n">
        <v>44409</v>
      </c>
      <c r="Y780">
        <f>IF(I780="","No SIC",IFERROR(VLOOKUP(I780,Ref!$A$2:$B$65,2,FALSE),"Unclassified"))</f>
        <v/>
      </c>
      <c r="Z780">
        <f>IF(T780="","",IF(T780&lt;12,"Daily","Weekly"))</f>
        <v/>
      </c>
      <c r="AA780">
        <f>IF(T780="",0,IF(T780&lt;12,T780*Controls!$B$29,T780*5))</f>
        <v/>
      </c>
      <c r="AB780">
        <f>IF(E780="",0,NETWORKDAYS(E780,Controls!$B$36,Ref!$K$2:$K$42))</f>
        <v/>
      </c>
      <c r="AC780">
        <f>IF(AND(AA780&gt;0,AB780&gt;=Controls!$B$39*AA780),1,0)</f>
        <v/>
      </c>
      <c r="AD780">
        <f>IF(AND(E780&lt;&gt;"",E780&gt;=Controls!$B$37,E780&lt;=Controls!$B$38),1,0)</f>
        <v/>
      </c>
      <c r="AE780">
        <f>IF(IFERROR(VLOOKUP(D780,Controls!$A$64:$E$74,2,FALSE),"No")="Yes",1,0)</f>
        <v/>
      </c>
      <c r="AF780">
        <f>IF(IFERROR(VLOOKUP(D780,Controls!$A$64:$E$74,3,FALSE),"No")="Yes",1,0)</f>
        <v/>
      </c>
      <c r="AG780">
        <f>IF(IFERROR(VLOOKUP(D780,Controls!$A$64:$E$74,4,FALSE),"No")="Yes",1,0)</f>
        <v/>
      </c>
      <c r="AH780">
        <f>IF(IFERROR(VLOOKUP(D780,Controls!$A$64:$E$74,5,FALSE),"No")="Yes",1,0)</f>
        <v/>
      </c>
      <c r="AI780">
        <f>IF(ISNUMBER(MATCH(D780,Controls!$A$64:$A$74,0)),1,0)</f>
        <v/>
      </c>
      <c r="AJ780">
        <f>Q780-N780</f>
        <v/>
      </c>
      <c r="AK780">
        <f>IF(AE780=1,MAX(0,N780-Q780),0)</f>
        <v/>
      </c>
      <c r="AL780">
        <f>IF(OR(V780="",V780=0),0,N780/V780)</f>
        <v/>
      </c>
      <c r="AM780">
        <f>IF(OR(V780="",V780=0),0,1)</f>
        <v/>
      </c>
      <c r="AN780">
        <f>IF(OR(E780="",F780=""),0,NETWORKDAYS(E780,F780,Ref!$K$2:$K$42))</f>
        <v/>
      </c>
      <c r="AO780">
        <f>IF(L780="Renewal",1,0)</f>
        <v/>
      </c>
      <c r="AP780">
        <f>AC780*AD780</f>
        <v/>
      </c>
      <c r="AQ780">
        <f>IF(AND(G780&lt;&gt;"",'Historical Score'!$C$6&lt;&gt;""),IF(G780='Historical Score'!$C$6,1,0),0)</f>
        <v/>
      </c>
      <c r="AR780">
        <f>IF(AND(L780&lt;&gt;"",'Historical Score'!$C$5&lt;&gt;""),IF(L780='Historical Score'!$C$5,1,0),0)</f>
        <v/>
      </c>
      <c r="AS780">
        <f>IF(AND(Y780&lt;&gt;"",'Historical Score'!$C$7&lt;&gt;""),IF(Y780='Historical Score'!$C$7,1,0),0)</f>
        <v/>
      </c>
      <c r="AT780">
        <f>IF(AND(K780&lt;&gt;"",'Historical Score'!$C$8&lt;&gt;""),IF(K780='Historical Score'!$C$8,1,0),0)</f>
        <v/>
      </c>
      <c r="AU780">
        <f>IF(AND(J780&lt;&gt;"",'Historical Score'!$C$9&lt;&gt;""),IF(J780='Historical Score'!$C$9,1,0),0)</f>
        <v/>
      </c>
      <c r="AV780">
        <f>AR780*AS780*AQ780</f>
        <v/>
      </c>
      <c r="AW780">
        <f>AR780*AT780*AQ780</f>
        <v/>
      </c>
      <c r="AX780">
        <f>AR780*AS780</f>
        <v/>
      </c>
      <c r="AY780">
        <f>AR780*AT780</f>
        <v/>
      </c>
      <c r="AZ780">
        <f>AR780*AQ780</f>
        <v/>
      </c>
      <c r="BA780">
        <f>AR780</f>
        <v/>
      </c>
      <c r="BB780">
        <f>1</f>
        <v/>
      </c>
      <c r="BC780">
        <f>IF(AV780=1,1,IF(AW780=1,2,IF(AX780=1,3,IF(AY780=1,4,IF(AZ780=1,5,IF(BA780=1,6,7))))))</f>
        <v/>
      </c>
      <c r="BD780">
        <f>IF(AD780=1,CHOOSE('Historical Score'!$C$29,AV780,AW780,AX780,AY780,AZ780,BA780,BB780),0)</f>
        <v/>
      </c>
      <c r="BE780">
        <f>IF(BD780=1,COUNTIF($BD$2:BD780,1),"")</f>
        <v/>
      </c>
    </row>
    <row r="781">
      <c r="A781" t="inlineStr">
        <is>
          <t>5674181443</t>
        </is>
      </c>
      <c r="B781" t="inlineStr">
        <is>
          <t>AS ONE TRANSPORTATION</t>
        </is>
      </c>
      <c r="C781" t="inlineStr">
        <is>
          <t>AS ONE TRANSPORTATION</t>
        </is>
      </c>
      <c r="D781" t="inlineStr">
        <is>
          <t>Closed</t>
        </is>
      </c>
      <c r="E781" s="297" t="n">
        <v>46120</v>
      </c>
      <c r="F781" s="297" t="n">
        <v>46231</v>
      </c>
      <c r="G781" t="n">
        <v>3</v>
      </c>
      <c r="H781" t="inlineStr">
        <is>
          <t>4212</t>
        </is>
      </c>
      <c r="I781" t="inlineStr">
        <is>
          <t>42</t>
        </is>
      </c>
      <c r="J781" t="inlineStr">
        <is>
          <t>MO</t>
        </is>
      </c>
      <c r="K781" t="inlineStr">
        <is>
          <t>Westwood</t>
        </is>
      </c>
      <c r="L781" t="inlineStr">
        <is>
          <t>Renewal</t>
        </is>
      </c>
      <c r="M781" s="298" t="n">
        <v>1.4</v>
      </c>
      <c r="N781" s="299" t="n">
        <v>30000</v>
      </c>
      <c r="O781" s="299" t="n">
        <v>2850</v>
      </c>
      <c r="P781" s="299" t="n">
        <v>42000</v>
      </c>
      <c r="Q781" s="299" t="n">
        <v>42000</v>
      </c>
      <c r="R781" s="299" t="n">
        <v>0</v>
      </c>
      <c r="S781" s="300" t="n">
        <v>1</v>
      </c>
      <c r="T781" t="n">
        <v>3.934</v>
      </c>
      <c r="U781" t="n">
        <v>0</v>
      </c>
      <c r="V781" t="n">
        <v>99070.63</v>
      </c>
      <c r="W781" s="300" t="n">
        <v>0.0742</v>
      </c>
      <c r="X781" s="297" t="n">
        <v>44047</v>
      </c>
      <c r="Y781">
        <f>IF(I781="","No SIC",IFERROR(VLOOKUP(I781,Ref!$A$2:$B$65,2,FALSE),"Unclassified"))</f>
        <v/>
      </c>
      <c r="Z781">
        <f>IF(T781="","",IF(T781&lt;12,"Daily","Weekly"))</f>
        <v/>
      </c>
      <c r="AA781">
        <f>IF(T781="",0,IF(T781&lt;12,T781*Controls!$B$29,T781*5))</f>
        <v/>
      </c>
      <c r="AB781">
        <f>IF(E781="",0,NETWORKDAYS(E781,Controls!$B$36,Ref!$K$2:$K$42))</f>
        <v/>
      </c>
      <c r="AC781">
        <f>IF(AND(AA781&gt;0,AB781&gt;=Controls!$B$39*AA781),1,0)</f>
        <v/>
      </c>
      <c r="AD781">
        <f>IF(AND(E781&lt;&gt;"",E781&gt;=Controls!$B$37,E781&lt;=Controls!$B$38),1,0)</f>
        <v/>
      </c>
      <c r="AE781">
        <f>IF(IFERROR(VLOOKUP(D781,Controls!$A$64:$E$74,2,FALSE),"No")="Yes",1,0)</f>
        <v/>
      </c>
      <c r="AF781">
        <f>IF(IFERROR(VLOOKUP(D781,Controls!$A$64:$E$74,3,FALSE),"No")="Yes",1,0)</f>
        <v/>
      </c>
      <c r="AG781">
        <f>IF(IFERROR(VLOOKUP(D781,Controls!$A$64:$E$74,4,FALSE),"No")="Yes",1,0)</f>
        <v/>
      </c>
      <c r="AH781">
        <f>IF(IFERROR(VLOOKUP(D781,Controls!$A$64:$E$74,5,FALSE),"No")="Yes",1,0)</f>
        <v/>
      </c>
      <c r="AI781">
        <f>IF(ISNUMBER(MATCH(D781,Controls!$A$64:$A$74,0)),1,0)</f>
        <v/>
      </c>
      <c r="AJ781">
        <f>Q781-N781</f>
        <v/>
      </c>
      <c r="AK781">
        <f>IF(AE781=1,MAX(0,N781-Q781),0)</f>
        <v/>
      </c>
      <c r="AL781">
        <f>IF(OR(V781="",V781=0),0,N781/V781)</f>
        <v/>
      </c>
      <c r="AM781">
        <f>IF(OR(V781="",V781=0),0,1)</f>
        <v/>
      </c>
      <c r="AN781">
        <f>IF(OR(E781="",F781=""),0,NETWORKDAYS(E781,F781,Ref!$K$2:$K$42))</f>
        <v/>
      </c>
      <c r="AO781">
        <f>IF(L781="Renewal",1,0)</f>
        <v/>
      </c>
      <c r="AP781">
        <f>AC781*AD781</f>
        <v/>
      </c>
      <c r="AQ781">
        <f>IF(AND(G781&lt;&gt;"",'Historical Score'!$C$6&lt;&gt;""),IF(G781='Historical Score'!$C$6,1,0),0)</f>
        <v/>
      </c>
      <c r="AR781">
        <f>IF(AND(L781&lt;&gt;"",'Historical Score'!$C$5&lt;&gt;""),IF(L781='Historical Score'!$C$5,1,0),0)</f>
        <v/>
      </c>
      <c r="AS781">
        <f>IF(AND(Y781&lt;&gt;"",'Historical Score'!$C$7&lt;&gt;""),IF(Y781='Historical Score'!$C$7,1,0),0)</f>
        <v/>
      </c>
      <c r="AT781">
        <f>IF(AND(K781&lt;&gt;"",'Historical Score'!$C$8&lt;&gt;""),IF(K781='Historical Score'!$C$8,1,0),0)</f>
        <v/>
      </c>
      <c r="AU781">
        <f>IF(AND(J781&lt;&gt;"",'Historical Score'!$C$9&lt;&gt;""),IF(J781='Historical Score'!$C$9,1,0),0)</f>
        <v/>
      </c>
      <c r="AV781">
        <f>AR781*AS781*AQ781</f>
        <v/>
      </c>
      <c r="AW781">
        <f>AR781*AT781*AQ781</f>
        <v/>
      </c>
      <c r="AX781">
        <f>AR781*AS781</f>
        <v/>
      </c>
      <c r="AY781">
        <f>AR781*AT781</f>
        <v/>
      </c>
      <c r="AZ781">
        <f>AR781*AQ781</f>
        <v/>
      </c>
      <c r="BA781">
        <f>AR781</f>
        <v/>
      </c>
      <c r="BB781">
        <f>1</f>
        <v/>
      </c>
      <c r="BC781">
        <f>IF(AV781=1,1,IF(AW781=1,2,IF(AX781=1,3,IF(AY781=1,4,IF(AZ781=1,5,IF(BA781=1,6,7))))))</f>
        <v/>
      </c>
      <c r="BD781">
        <f>IF(AD781=1,CHOOSE('Historical Score'!$C$29,AV781,AW781,AX781,AY781,AZ781,BA781,BB781),0)</f>
        <v/>
      </c>
      <c r="BE781">
        <f>IF(BD781=1,COUNTIF($BD$2:BD781,1),"")</f>
        <v/>
      </c>
    </row>
    <row r="782">
      <c r="A782" t="inlineStr">
        <is>
          <t>5674181446</t>
        </is>
      </c>
      <c r="B782" t="inlineStr">
        <is>
          <t>DBA EL TACO LOCO AL VAPOR</t>
        </is>
      </c>
      <c r="C782" t="inlineStr">
        <is>
          <t>DBA EL TACO LOCO AL VAPOR</t>
        </is>
      </c>
      <c r="D782" t="inlineStr">
        <is>
          <t>Closed</t>
        </is>
      </c>
      <c r="E782" s="297" t="n">
        <v>46120</v>
      </c>
      <c r="F782" s="297" t="n">
        <v>46225</v>
      </c>
      <c r="G782" t="n">
        <v>3</v>
      </c>
      <c r="H782" t="inlineStr">
        <is>
          <t>5812</t>
        </is>
      </c>
      <c r="I782" t="inlineStr">
        <is>
          <t>58</t>
        </is>
      </c>
      <c r="J782" t="inlineStr">
        <is>
          <t>TX</t>
        </is>
      </c>
      <c r="K782" t="inlineStr">
        <is>
          <t>Westwood</t>
        </is>
      </c>
      <c r="L782" t="inlineStr">
        <is>
          <t>Renewal</t>
        </is>
      </c>
      <c r="M782" s="298" t="n">
        <v>1.49</v>
      </c>
      <c r="N782" s="299" t="n">
        <v>25000</v>
      </c>
      <c r="O782" s="299" t="n">
        <v>3500</v>
      </c>
      <c r="P782" s="299" t="n">
        <v>37250</v>
      </c>
      <c r="Q782" s="299" t="n">
        <v>37250</v>
      </c>
      <c r="R782" s="299" t="n">
        <v>0</v>
      </c>
      <c r="S782" s="300" t="n">
        <v>1</v>
      </c>
      <c r="T782" t="n">
        <v>20</v>
      </c>
      <c r="U782" t="n">
        <v>0</v>
      </c>
      <c r="V782" t="n">
        <v>42000</v>
      </c>
      <c r="W782" s="300" t="n">
        <v>0.149</v>
      </c>
      <c r="X782" s="297" t="n">
        <v>44977</v>
      </c>
      <c r="Y782">
        <f>IF(I782="","No SIC",IFERROR(VLOOKUP(I782,Ref!$A$2:$B$65,2,FALSE),"Unclassified"))</f>
        <v/>
      </c>
      <c r="Z782">
        <f>IF(T782="","",IF(T782&lt;12,"Daily","Weekly"))</f>
        <v/>
      </c>
      <c r="AA782">
        <f>IF(T782="",0,IF(T782&lt;12,T782*Controls!$B$29,T782*5))</f>
        <v/>
      </c>
      <c r="AB782">
        <f>IF(E782="",0,NETWORKDAYS(E782,Controls!$B$36,Ref!$K$2:$K$42))</f>
        <v/>
      </c>
      <c r="AC782">
        <f>IF(AND(AA782&gt;0,AB782&gt;=Controls!$B$39*AA782),1,0)</f>
        <v/>
      </c>
      <c r="AD782">
        <f>IF(AND(E782&lt;&gt;"",E782&gt;=Controls!$B$37,E782&lt;=Controls!$B$38),1,0)</f>
        <v/>
      </c>
      <c r="AE782">
        <f>IF(IFERROR(VLOOKUP(D782,Controls!$A$64:$E$74,2,FALSE),"No")="Yes",1,0)</f>
        <v/>
      </c>
      <c r="AF782">
        <f>IF(IFERROR(VLOOKUP(D782,Controls!$A$64:$E$74,3,FALSE),"No")="Yes",1,0)</f>
        <v/>
      </c>
      <c r="AG782">
        <f>IF(IFERROR(VLOOKUP(D782,Controls!$A$64:$E$74,4,FALSE),"No")="Yes",1,0)</f>
        <v/>
      </c>
      <c r="AH782">
        <f>IF(IFERROR(VLOOKUP(D782,Controls!$A$64:$E$74,5,FALSE),"No")="Yes",1,0)</f>
        <v/>
      </c>
      <c r="AI782">
        <f>IF(ISNUMBER(MATCH(D782,Controls!$A$64:$A$74,0)),1,0)</f>
        <v/>
      </c>
      <c r="AJ782">
        <f>Q782-N782</f>
        <v/>
      </c>
      <c r="AK782">
        <f>IF(AE782=1,MAX(0,N782-Q782),0)</f>
        <v/>
      </c>
      <c r="AL782">
        <f>IF(OR(V782="",V782=0),0,N782/V782)</f>
        <v/>
      </c>
      <c r="AM782">
        <f>IF(OR(V782="",V782=0),0,1)</f>
        <v/>
      </c>
      <c r="AN782">
        <f>IF(OR(E782="",F782=""),0,NETWORKDAYS(E782,F782,Ref!$K$2:$K$42))</f>
        <v/>
      </c>
      <c r="AO782">
        <f>IF(L782="Renewal",1,0)</f>
        <v/>
      </c>
      <c r="AP782">
        <f>AC782*AD782</f>
        <v/>
      </c>
      <c r="AQ782">
        <f>IF(AND(G782&lt;&gt;"",'Historical Score'!$C$6&lt;&gt;""),IF(G782='Historical Score'!$C$6,1,0),0)</f>
        <v/>
      </c>
      <c r="AR782">
        <f>IF(AND(L782&lt;&gt;"",'Historical Score'!$C$5&lt;&gt;""),IF(L782='Historical Score'!$C$5,1,0),0)</f>
        <v/>
      </c>
      <c r="AS782">
        <f>IF(AND(Y782&lt;&gt;"",'Historical Score'!$C$7&lt;&gt;""),IF(Y782='Historical Score'!$C$7,1,0),0)</f>
        <v/>
      </c>
      <c r="AT782">
        <f>IF(AND(K782&lt;&gt;"",'Historical Score'!$C$8&lt;&gt;""),IF(K782='Historical Score'!$C$8,1,0),0)</f>
        <v/>
      </c>
      <c r="AU782">
        <f>IF(AND(J782&lt;&gt;"",'Historical Score'!$C$9&lt;&gt;""),IF(J782='Historical Score'!$C$9,1,0),0)</f>
        <v/>
      </c>
      <c r="AV782">
        <f>AR782*AS782*AQ782</f>
        <v/>
      </c>
      <c r="AW782">
        <f>AR782*AT782*AQ782</f>
        <v/>
      </c>
      <c r="AX782">
        <f>AR782*AS782</f>
        <v/>
      </c>
      <c r="AY782">
        <f>AR782*AT782</f>
        <v/>
      </c>
      <c r="AZ782">
        <f>AR782*AQ782</f>
        <v/>
      </c>
      <c r="BA782">
        <f>AR782</f>
        <v/>
      </c>
      <c r="BB782">
        <f>1</f>
        <v/>
      </c>
      <c r="BC782">
        <f>IF(AV782=1,1,IF(AW782=1,2,IF(AX782=1,3,IF(AY782=1,4,IF(AZ782=1,5,IF(BA782=1,6,7))))))</f>
        <v/>
      </c>
      <c r="BD782">
        <f>IF(AD782=1,CHOOSE('Historical Score'!$C$29,AV782,AW782,AX782,AY782,AZ782,BA782,BB782),0)</f>
        <v/>
      </c>
      <c r="BE782">
        <f>IF(BD782=1,COUNTIF($BD$2:BD782,1),"")</f>
        <v/>
      </c>
    </row>
    <row r="783">
      <c r="A783" t="inlineStr">
        <is>
          <t>5674181461</t>
        </is>
      </c>
      <c r="B783" t="inlineStr">
        <is>
          <t>paredes construction inc</t>
        </is>
      </c>
      <c r="C783" t="inlineStr">
        <is>
          <t>paredes construction inc</t>
        </is>
      </c>
      <c r="D783" t="inlineStr">
        <is>
          <t>In House Collection</t>
        </is>
      </c>
      <c r="E783" s="297" t="n">
        <v>46121</v>
      </c>
      <c r="F783" s="297" t="n">
        <v>46175</v>
      </c>
      <c r="G783" t="n">
        <v>3</v>
      </c>
      <c r="H783" t="inlineStr">
        <is>
          <t>1521</t>
        </is>
      </c>
      <c r="I783" t="inlineStr">
        <is>
          <t>15</t>
        </is>
      </c>
      <c r="J783" t="inlineStr">
        <is>
          <t>KS</t>
        </is>
      </c>
      <c r="K783" t="inlineStr">
        <is>
          <t>Ballicci</t>
        </is>
      </c>
      <c r="L783" t="inlineStr">
        <is>
          <t>New Deal</t>
        </is>
      </c>
      <c r="M783" s="298" t="n">
        <v>1.49</v>
      </c>
      <c r="N783" s="299" t="n">
        <v>10000</v>
      </c>
      <c r="O783" s="299" t="n">
        <v>0</v>
      </c>
      <c r="P783" s="299" t="n">
        <v>14900</v>
      </c>
      <c r="Q783" s="299" t="n">
        <v>4285.12</v>
      </c>
      <c r="R783" s="299" t="n">
        <v>10614.88</v>
      </c>
      <c r="S783" s="300" t="n">
        <v>0.287591946308725</v>
      </c>
      <c r="T783" t="n">
        <v>2.623</v>
      </c>
      <c r="U783" t="n">
        <v>12</v>
      </c>
      <c r="V783" t="n">
        <v>28127.66</v>
      </c>
      <c r="W783" s="300" t="n">
        <v>0.1391</v>
      </c>
      <c r="X783" s="297" t="n">
        <v>36942</v>
      </c>
      <c r="Y783">
        <f>IF(I783="","No SIC",IFERROR(VLOOKUP(I783,Ref!$A$2:$B$65,2,FALSE),"Unclassified"))</f>
        <v/>
      </c>
      <c r="Z783">
        <f>IF(T783="","",IF(T783&lt;12,"Daily","Weekly"))</f>
        <v/>
      </c>
      <c r="AA783">
        <f>IF(T783="",0,IF(T783&lt;12,T783*Controls!$B$29,T783*5))</f>
        <v/>
      </c>
      <c r="AB783">
        <f>IF(E783="",0,NETWORKDAYS(E783,Controls!$B$36,Ref!$K$2:$K$42))</f>
        <v/>
      </c>
      <c r="AC783">
        <f>IF(AND(AA783&gt;0,AB783&gt;=Controls!$B$39*AA783),1,0)</f>
        <v/>
      </c>
      <c r="AD783">
        <f>IF(AND(E783&lt;&gt;"",E783&gt;=Controls!$B$37,E783&lt;=Controls!$B$38),1,0)</f>
        <v/>
      </c>
      <c r="AE783">
        <f>IF(IFERROR(VLOOKUP(D783,Controls!$A$64:$E$74,2,FALSE),"No")="Yes",1,0)</f>
        <v/>
      </c>
      <c r="AF783">
        <f>IF(IFERROR(VLOOKUP(D783,Controls!$A$64:$E$74,3,FALSE),"No")="Yes",1,0)</f>
        <v/>
      </c>
      <c r="AG783">
        <f>IF(IFERROR(VLOOKUP(D783,Controls!$A$64:$E$74,4,FALSE),"No")="Yes",1,0)</f>
        <v/>
      </c>
      <c r="AH783">
        <f>IF(IFERROR(VLOOKUP(D783,Controls!$A$64:$E$74,5,FALSE),"No")="Yes",1,0)</f>
        <v/>
      </c>
      <c r="AI783">
        <f>IF(ISNUMBER(MATCH(D783,Controls!$A$64:$A$74,0)),1,0)</f>
        <v/>
      </c>
      <c r="AJ783">
        <f>Q783-N783</f>
        <v/>
      </c>
      <c r="AK783">
        <f>IF(AE783=1,MAX(0,N783-Q783),0)</f>
        <v/>
      </c>
      <c r="AL783">
        <f>IF(OR(V783="",V783=0),0,N783/V783)</f>
        <v/>
      </c>
      <c r="AM783">
        <f>IF(OR(V783="",V783=0),0,1)</f>
        <v/>
      </c>
      <c r="AN783">
        <f>IF(OR(E783="",F783=""),0,NETWORKDAYS(E783,F783,Ref!$K$2:$K$42))</f>
        <v/>
      </c>
      <c r="AO783">
        <f>IF(L783="Renewal",1,0)</f>
        <v/>
      </c>
      <c r="AP783">
        <f>AC783*AD783</f>
        <v/>
      </c>
      <c r="AQ783">
        <f>IF(AND(G783&lt;&gt;"",'Historical Score'!$C$6&lt;&gt;""),IF(G783='Historical Score'!$C$6,1,0),0)</f>
        <v/>
      </c>
      <c r="AR783">
        <f>IF(AND(L783&lt;&gt;"",'Historical Score'!$C$5&lt;&gt;""),IF(L783='Historical Score'!$C$5,1,0),0)</f>
        <v/>
      </c>
      <c r="AS783">
        <f>IF(AND(Y783&lt;&gt;"",'Historical Score'!$C$7&lt;&gt;""),IF(Y783='Historical Score'!$C$7,1,0),0)</f>
        <v/>
      </c>
      <c r="AT783">
        <f>IF(AND(K783&lt;&gt;"",'Historical Score'!$C$8&lt;&gt;""),IF(K783='Historical Score'!$C$8,1,0),0)</f>
        <v/>
      </c>
      <c r="AU783">
        <f>IF(AND(J783&lt;&gt;"",'Historical Score'!$C$9&lt;&gt;""),IF(J783='Historical Score'!$C$9,1,0),0)</f>
        <v/>
      </c>
      <c r="AV783">
        <f>AR783*AS783*AQ783</f>
        <v/>
      </c>
      <c r="AW783">
        <f>AR783*AT783*AQ783</f>
        <v/>
      </c>
      <c r="AX783">
        <f>AR783*AS783</f>
        <v/>
      </c>
      <c r="AY783">
        <f>AR783*AT783</f>
        <v/>
      </c>
      <c r="AZ783">
        <f>AR783*AQ783</f>
        <v/>
      </c>
      <c r="BA783">
        <f>AR783</f>
        <v/>
      </c>
      <c r="BB783">
        <f>1</f>
        <v/>
      </c>
      <c r="BC783">
        <f>IF(AV783=1,1,IF(AW783=1,2,IF(AX783=1,3,IF(AY783=1,4,IF(AZ783=1,5,IF(BA783=1,6,7))))))</f>
        <v/>
      </c>
      <c r="BD783">
        <f>IF(AD783=1,CHOOSE('Historical Score'!$C$29,AV783,AW783,AX783,AY783,AZ783,BA783,BB783),0)</f>
        <v/>
      </c>
      <c r="BE783">
        <f>IF(BD783=1,COUNTIF($BD$2:BD783,1),"")</f>
        <v/>
      </c>
    </row>
    <row r="784">
      <c r="A784" t="inlineStr">
        <is>
          <t>5674181471</t>
        </is>
      </c>
      <c r="B784" t="inlineStr">
        <is>
          <t>The Face Place</t>
        </is>
      </c>
      <c r="C784" t="inlineStr">
        <is>
          <t>Green Chrysalis Enterprise LLC</t>
        </is>
      </c>
      <c r="D784" t="inlineStr">
        <is>
          <t>Open</t>
        </is>
      </c>
      <c r="E784" s="297" t="n">
        <v>46121</v>
      </c>
      <c r="F784" s="297" t="n">
        <v>46247</v>
      </c>
      <c r="G784" t="n">
        <v>3</v>
      </c>
      <c r="H784" t="inlineStr">
        <is>
          <t>7231</t>
        </is>
      </c>
      <c r="I784" t="inlineStr">
        <is>
          <t>72</t>
        </is>
      </c>
      <c r="J784" t="inlineStr">
        <is>
          <t>TX</t>
        </is>
      </c>
      <c r="K784" t="inlineStr">
        <is>
          <t>Ballicci</t>
        </is>
      </c>
      <c r="L784" t="inlineStr">
        <is>
          <t>New Deal</t>
        </is>
      </c>
      <c r="M784" s="298" t="n">
        <v>1.49</v>
      </c>
      <c r="N784" s="299" t="n">
        <v>20000</v>
      </c>
      <c r="O784" s="299" t="n">
        <v>2800</v>
      </c>
      <c r="P784" s="299" t="n">
        <v>29800</v>
      </c>
      <c r="Q784" s="299" t="n">
        <v>5297.12</v>
      </c>
      <c r="R784" s="299" t="n">
        <v>24502.88</v>
      </c>
      <c r="S784" s="300" t="n">
        <v>0.177755704697987</v>
      </c>
      <c r="T784" t="n">
        <v>2.951</v>
      </c>
      <c r="U784" t="n">
        <v>7</v>
      </c>
      <c r="V784" t="n">
        <v>48000</v>
      </c>
      <c r="W784" s="300" t="n">
        <v>0.1545</v>
      </c>
      <c r="X784" s="297" t="n">
        <v>41091</v>
      </c>
      <c r="Y784">
        <f>IF(I784="","No SIC",IFERROR(VLOOKUP(I784,Ref!$A$2:$B$65,2,FALSE),"Unclassified"))</f>
        <v/>
      </c>
      <c r="Z784">
        <f>IF(T784="","",IF(T784&lt;12,"Daily","Weekly"))</f>
        <v/>
      </c>
      <c r="AA784">
        <f>IF(T784="",0,IF(T784&lt;12,T784*Controls!$B$29,T784*5))</f>
        <v/>
      </c>
      <c r="AB784">
        <f>IF(E784="",0,NETWORKDAYS(E784,Controls!$B$36,Ref!$K$2:$K$42))</f>
        <v/>
      </c>
      <c r="AC784">
        <f>IF(AND(AA784&gt;0,AB784&gt;=Controls!$B$39*AA784),1,0)</f>
        <v/>
      </c>
      <c r="AD784">
        <f>IF(AND(E784&lt;&gt;"",E784&gt;=Controls!$B$37,E784&lt;=Controls!$B$38),1,0)</f>
        <v/>
      </c>
      <c r="AE784">
        <f>IF(IFERROR(VLOOKUP(D784,Controls!$A$64:$E$74,2,FALSE),"No")="Yes",1,0)</f>
        <v/>
      </c>
      <c r="AF784">
        <f>IF(IFERROR(VLOOKUP(D784,Controls!$A$64:$E$74,3,FALSE),"No")="Yes",1,0)</f>
        <v/>
      </c>
      <c r="AG784">
        <f>IF(IFERROR(VLOOKUP(D784,Controls!$A$64:$E$74,4,FALSE),"No")="Yes",1,0)</f>
        <v/>
      </c>
      <c r="AH784">
        <f>IF(IFERROR(VLOOKUP(D784,Controls!$A$64:$E$74,5,FALSE),"No")="Yes",1,0)</f>
        <v/>
      </c>
      <c r="AI784">
        <f>IF(ISNUMBER(MATCH(D784,Controls!$A$64:$A$74,0)),1,0)</f>
        <v/>
      </c>
      <c r="AJ784">
        <f>Q784-N784</f>
        <v/>
      </c>
      <c r="AK784">
        <f>IF(AE784=1,MAX(0,N784-Q784),0)</f>
        <v/>
      </c>
      <c r="AL784">
        <f>IF(OR(V784="",V784=0),0,N784/V784)</f>
        <v/>
      </c>
      <c r="AM784">
        <f>IF(OR(V784="",V784=0),0,1)</f>
        <v/>
      </c>
      <c r="AN784">
        <f>IF(OR(E784="",F784=""),0,NETWORKDAYS(E784,F784,Ref!$K$2:$K$42))</f>
        <v/>
      </c>
      <c r="AO784">
        <f>IF(L784="Renewal",1,0)</f>
        <v/>
      </c>
      <c r="AP784">
        <f>AC784*AD784</f>
        <v/>
      </c>
      <c r="AQ784">
        <f>IF(AND(G784&lt;&gt;"",'Historical Score'!$C$6&lt;&gt;""),IF(G784='Historical Score'!$C$6,1,0),0)</f>
        <v/>
      </c>
      <c r="AR784">
        <f>IF(AND(L784&lt;&gt;"",'Historical Score'!$C$5&lt;&gt;""),IF(L784='Historical Score'!$C$5,1,0),0)</f>
        <v/>
      </c>
      <c r="AS784">
        <f>IF(AND(Y784&lt;&gt;"",'Historical Score'!$C$7&lt;&gt;""),IF(Y784='Historical Score'!$C$7,1,0),0)</f>
        <v/>
      </c>
      <c r="AT784">
        <f>IF(AND(K784&lt;&gt;"",'Historical Score'!$C$8&lt;&gt;""),IF(K784='Historical Score'!$C$8,1,0),0)</f>
        <v/>
      </c>
      <c r="AU784">
        <f>IF(AND(J784&lt;&gt;"",'Historical Score'!$C$9&lt;&gt;""),IF(J784='Historical Score'!$C$9,1,0),0)</f>
        <v/>
      </c>
      <c r="AV784">
        <f>AR784*AS784*AQ784</f>
        <v/>
      </c>
      <c r="AW784">
        <f>AR784*AT784*AQ784</f>
        <v/>
      </c>
      <c r="AX784">
        <f>AR784*AS784</f>
        <v/>
      </c>
      <c r="AY784">
        <f>AR784*AT784</f>
        <v/>
      </c>
      <c r="AZ784">
        <f>AR784*AQ784</f>
        <v/>
      </c>
      <c r="BA784">
        <f>AR784</f>
        <v/>
      </c>
      <c r="BB784">
        <f>1</f>
        <v/>
      </c>
      <c r="BC784">
        <f>IF(AV784=1,1,IF(AW784=1,2,IF(AX784=1,3,IF(AY784=1,4,IF(AZ784=1,5,IF(BA784=1,6,7))))))</f>
        <v/>
      </c>
      <c r="BD784">
        <f>IF(AD784=1,CHOOSE('Historical Score'!$C$29,AV784,AW784,AX784,AY784,AZ784,BA784,BB784),0)</f>
        <v/>
      </c>
      <c r="BE784">
        <f>IF(BD784=1,COUNTIF($BD$2:BD784,1),"")</f>
        <v/>
      </c>
    </row>
    <row r="785">
      <c r="A785" t="inlineStr">
        <is>
          <t>5674181477</t>
        </is>
      </c>
      <c r="B785" t="inlineStr">
        <is>
          <t>GP AUTO SERVICES LLC</t>
        </is>
      </c>
      <c r="C785" t="inlineStr">
        <is>
          <t>GP AUTO SERVICES LLC</t>
        </is>
      </c>
      <c r="D785" t="inlineStr">
        <is>
          <t>Open</t>
        </is>
      </c>
      <c r="E785" s="297" t="n">
        <v>46121</v>
      </c>
      <c r="F785" s="297" t="n">
        <v>46248</v>
      </c>
      <c r="G785" t="n">
        <v>3</v>
      </c>
      <c r="H785" t="inlineStr">
        <is>
          <t>7538</t>
        </is>
      </c>
      <c r="I785" t="inlineStr">
        <is>
          <t>75</t>
        </is>
      </c>
      <c r="J785" t="inlineStr">
        <is>
          <t>MD</t>
        </is>
      </c>
      <c r="K785" t="inlineStr">
        <is>
          <t>Linked In Funding</t>
        </is>
      </c>
      <c r="L785" t="inlineStr">
        <is>
          <t>New Deal</t>
        </is>
      </c>
      <c r="M785" s="298" t="n">
        <v>1.49</v>
      </c>
      <c r="N785" s="299" t="n">
        <v>35000</v>
      </c>
      <c r="O785" s="299" t="n">
        <v>4900</v>
      </c>
      <c r="P785" s="299" t="n">
        <v>52150</v>
      </c>
      <c r="Q785" s="299" t="n">
        <v>33542.1</v>
      </c>
      <c r="R785" s="299" t="n">
        <v>18607.9</v>
      </c>
      <c r="S785" s="300" t="n">
        <v>0.643185043144775</v>
      </c>
      <c r="T785" t="n">
        <v>28</v>
      </c>
      <c r="U785" t="n">
        <v>0</v>
      </c>
      <c r="V785" t="n">
        <v>80000</v>
      </c>
      <c r="W785" s="300" t="n">
        <v>0.09089999999999999</v>
      </c>
      <c r="X785" s="297" t="n">
        <v>44854</v>
      </c>
      <c r="Y785">
        <f>IF(I785="","No SIC",IFERROR(VLOOKUP(I785,Ref!$A$2:$B$65,2,FALSE),"Unclassified"))</f>
        <v/>
      </c>
      <c r="Z785">
        <f>IF(T785="","",IF(T785&lt;12,"Daily","Weekly"))</f>
        <v/>
      </c>
      <c r="AA785">
        <f>IF(T785="",0,IF(T785&lt;12,T785*Controls!$B$29,T785*5))</f>
        <v/>
      </c>
      <c r="AB785">
        <f>IF(E785="",0,NETWORKDAYS(E785,Controls!$B$36,Ref!$K$2:$K$42))</f>
        <v/>
      </c>
      <c r="AC785">
        <f>IF(AND(AA785&gt;0,AB785&gt;=Controls!$B$39*AA785),1,0)</f>
        <v/>
      </c>
      <c r="AD785">
        <f>IF(AND(E785&lt;&gt;"",E785&gt;=Controls!$B$37,E785&lt;=Controls!$B$38),1,0)</f>
        <v/>
      </c>
      <c r="AE785">
        <f>IF(IFERROR(VLOOKUP(D785,Controls!$A$64:$E$74,2,FALSE),"No")="Yes",1,0)</f>
        <v/>
      </c>
      <c r="AF785">
        <f>IF(IFERROR(VLOOKUP(D785,Controls!$A$64:$E$74,3,FALSE),"No")="Yes",1,0)</f>
        <v/>
      </c>
      <c r="AG785">
        <f>IF(IFERROR(VLOOKUP(D785,Controls!$A$64:$E$74,4,FALSE),"No")="Yes",1,0)</f>
        <v/>
      </c>
      <c r="AH785">
        <f>IF(IFERROR(VLOOKUP(D785,Controls!$A$64:$E$74,5,FALSE),"No")="Yes",1,0)</f>
        <v/>
      </c>
      <c r="AI785">
        <f>IF(ISNUMBER(MATCH(D785,Controls!$A$64:$A$74,0)),1,0)</f>
        <v/>
      </c>
      <c r="AJ785">
        <f>Q785-N785</f>
        <v/>
      </c>
      <c r="AK785">
        <f>IF(AE785=1,MAX(0,N785-Q785),0)</f>
        <v/>
      </c>
      <c r="AL785">
        <f>IF(OR(V785="",V785=0),0,N785/V785)</f>
        <v/>
      </c>
      <c r="AM785">
        <f>IF(OR(V785="",V785=0),0,1)</f>
        <v/>
      </c>
      <c r="AN785">
        <f>IF(OR(E785="",F785=""),0,NETWORKDAYS(E785,F785,Ref!$K$2:$K$42))</f>
        <v/>
      </c>
      <c r="AO785">
        <f>IF(L785="Renewal",1,0)</f>
        <v/>
      </c>
      <c r="AP785">
        <f>AC785*AD785</f>
        <v/>
      </c>
      <c r="AQ785">
        <f>IF(AND(G785&lt;&gt;"",'Historical Score'!$C$6&lt;&gt;""),IF(G785='Historical Score'!$C$6,1,0),0)</f>
        <v/>
      </c>
      <c r="AR785">
        <f>IF(AND(L785&lt;&gt;"",'Historical Score'!$C$5&lt;&gt;""),IF(L785='Historical Score'!$C$5,1,0),0)</f>
        <v/>
      </c>
      <c r="AS785">
        <f>IF(AND(Y785&lt;&gt;"",'Historical Score'!$C$7&lt;&gt;""),IF(Y785='Historical Score'!$C$7,1,0),0)</f>
        <v/>
      </c>
      <c r="AT785">
        <f>IF(AND(K785&lt;&gt;"",'Historical Score'!$C$8&lt;&gt;""),IF(K785='Historical Score'!$C$8,1,0),0)</f>
        <v/>
      </c>
      <c r="AU785">
        <f>IF(AND(J785&lt;&gt;"",'Historical Score'!$C$9&lt;&gt;""),IF(J785='Historical Score'!$C$9,1,0),0)</f>
        <v/>
      </c>
      <c r="AV785">
        <f>AR785*AS785*AQ785</f>
        <v/>
      </c>
      <c r="AW785">
        <f>AR785*AT785*AQ785</f>
        <v/>
      </c>
      <c r="AX785">
        <f>AR785*AS785</f>
        <v/>
      </c>
      <c r="AY785">
        <f>AR785*AT785</f>
        <v/>
      </c>
      <c r="AZ785">
        <f>AR785*AQ785</f>
        <v/>
      </c>
      <c r="BA785">
        <f>AR785</f>
        <v/>
      </c>
      <c r="BB785">
        <f>1</f>
        <v/>
      </c>
      <c r="BC785">
        <f>IF(AV785=1,1,IF(AW785=1,2,IF(AX785=1,3,IF(AY785=1,4,IF(AZ785=1,5,IF(BA785=1,6,7))))))</f>
        <v/>
      </c>
      <c r="BD785">
        <f>IF(AD785=1,CHOOSE('Historical Score'!$C$29,AV785,AW785,AX785,AY785,AZ785,BA785,BB785),0)</f>
        <v/>
      </c>
      <c r="BE785">
        <f>IF(BD785=1,COUNTIF($BD$2:BD785,1),"")</f>
        <v/>
      </c>
    </row>
    <row r="786">
      <c r="A786" t="inlineStr">
        <is>
          <t>5674181502</t>
        </is>
      </c>
      <c r="B786" t="inlineStr">
        <is>
          <t>STAYLO GROUP LLC</t>
        </is>
      </c>
      <c r="C786" t="inlineStr">
        <is>
          <t>STAYLO GROUP LLC</t>
        </is>
      </c>
      <c r="D786" t="inlineStr">
        <is>
          <t>Open</t>
        </is>
      </c>
      <c r="E786" s="297" t="n">
        <v>46122</v>
      </c>
      <c r="F786" s="297" t="n">
        <v>46253</v>
      </c>
      <c r="G786" t="n">
        <v>3</v>
      </c>
      <c r="H786" t="inlineStr">
        <is>
          <t>5999</t>
        </is>
      </c>
      <c r="I786" t="inlineStr">
        <is>
          <t>59</t>
        </is>
      </c>
      <c r="J786" t="inlineStr">
        <is>
          <t>FL</t>
        </is>
      </c>
      <c r="K786" t="inlineStr">
        <is>
          <t>Westwood</t>
        </is>
      </c>
      <c r="L786" t="inlineStr">
        <is>
          <t>New Deal</t>
        </is>
      </c>
      <c r="M786" s="298" t="n">
        <v>1.46</v>
      </c>
      <c r="N786" s="299" t="n">
        <v>17500</v>
      </c>
      <c r="O786" s="299" t="n">
        <v>2187.5</v>
      </c>
      <c r="P786" s="299" t="n">
        <v>25550</v>
      </c>
      <c r="Q786" s="299" t="n">
        <v>11500.38</v>
      </c>
      <c r="R786" s="299" t="n">
        <v>14049.62</v>
      </c>
      <c r="S786" s="300" t="n">
        <v>0.450112720156556</v>
      </c>
      <c r="T786" t="n">
        <v>3.934</v>
      </c>
      <c r="U786" t="n">
        <v>32</v>
      </c>
      <c r="V786" t="n">
        <v>41680.35</v>
      </c>
      <c r="W786" s="300" t="n">
        <v>0.1073</v>
      </c>
      <c r="X786" s="297" t="n">
        <v>45575</v>
      </c>
      <c r="Y786">
        <f>IF(I786="","No SIC",IFERROR(VLOOKUP(I786,Ref!$A$2:$B$65,2,FALSE),"Unclassified"))</f>
        <v/>
      </c>
      <c r="Z786">
        <f>IF(T786="","",IF(T786&lt;12,"Daily","Weekly"))</f>
        <v/>
      </c>
      <c r="AA786">
        <f>IF(T786="",0,IF(T786&lt;12,T786*Controls!$B$29,T786*5))</f>
        <v/>
      </c>
      <c r="AB786">
        <f>IF(E786="",0,NETWORKDAYS(E786,Controls!$B$36,Ref!$K$2:$K$42))</f>
        <v/>
      </c>
      <c r="AC786">
        <f>IF(AND(AA786&gt;0,AB786&gt;=Controls!$B$39*AA786),1,0)</f>
        <v/>
      </c>
      <c r="AD786">
        <f>IF(AND(E786&lt;&gt;"",E786&gt;=Controls!$B$37,E786&lt;=Controls!$B$38),1,0)</f>
        <v/>
      </c>
      <c r="AE786">
        <f>IF(IFERROR(VLOOKUP(D786,Controls!$A$64:$E$74,2,FALSE),"No")="Yes",1,0)</f>
        <v/>
      </c>
      <c r="AF786">
        <f>IF(IFERROR(VLOOKUP(D786,Controls!$A$64:$E$74,3,FALSE),"No")="Yes",1,0)</f>
        <v/>
      </c>
      <c r="AG786">
        <f>IF(IFERROR(VLOOKUP(D786,Controls!$A$64:$E$74,4,FALSE),"No")="Yes",1,0)</f>
        <v/>
      </c>
      <c r="AH786">
        <f>IF(IFERROR(VLOOKUP(D786,Controls!$A$64:$E$74,5,FALSE),"No")="Yes",1,0)</f>
        <v/>
      </c>
      <c r="AI786">
        <f>IF(ISNUMBER(MATCH(D786,Controls!$A$64:$A$74,0)),1,0)</f>
        <v/>
      </c>
      <c r="AJ786">
        <f>Q786-N786</f>
        <v/>
      </c>
      <c r="AK786">
        <f>IF(AE786=1,MAX(0,N786-Q786),0)</f>
        <v/>
      </c>
      <c r="AL786">
        <f>IF(OR(V786="",V786=0),0,N786/V786)</f>
        <v/>
      </c>
      <c r="AM786">
        <f>IF(OR(V786="",V786=0),0,1)</f>
        <v/>
      </c>
      <c r="AN786">
        <f>IF(OR(E786="",F786=""),0,NETWORKDAYS(E786,F786,Ref!$K$2:$K$42))</f>
        <v/>
      </c>
      <c r="AO786">
        <f>IF(L786="Renewal",1,0)</f>
        <v/>
      </c>
      <c r="AP786">
        <f>AC786*AD786</f>
        <v/>
      </c>
      <c r="AQ786">
        <f>IF(AND(G786&lt;&gt;"",'Historical Score'!$C$6&lt;&gt;""),IF(G786='Historical Score'!$C$6,1,0),0)</f>
        <v/>
      </c>
      <c r="AR786">
        <f>IF(AND(L786&lt;&gt;"",'Historical Score'!$C$5&lt;&gt;""),IF(L786='Historical Score'!$C$5,1,0),0)</f>
        <v/>
      </c>
      <c r="AS786">
        <f>IF(AND(Y786&lt;&gt;"",'Historical Score'!$C$7&lt;&gt;""),IF(Y786='Historical Score'!$C$7,1,0),0)</f>
        <v/>
      </c>
      <c r="AT786">
        <f>IF(AND(K786&lt;&gt;"",'Historical Score'!$C$8&lt;&gt;""),IF(K786='Historical Score'!$C$8,1,0),0)</f>
        <v/>
      </c>
      <c r="AU786">
        <f>IF(AND(J786&lt;&gt;"",'Historical Score'!$C$9&lt;&gt;""),IF(J786='Historical Score'!$C$9,1,0),0)</f>
        <v/>
      </c>
      <c r="AV786">
        <f>AR786*AS786*AQ786</f>
        <v/>
      </c>
      <c r="AW786">
        <f>AR786*AT786*AQ786</f>
        <v/>
      </c>
      <c r="AX786">
        <f>AR786*AS786</f>
        <v/>
      </c>
      <c r="AY786">
        <f>AR786*AT786</f>
        <v/>
      </c>
      <c r="AZ786">
        <f>AR786*AQ786</f>
        <v/>
      </c>
      <c r="BA786">
        <f>AR786</f>
        <v/>
      </c>
      <c r="BB786">
        <f>1</f>
        <v/>
      </c>
      <c r="BC786">
        <f>IF(AV786=1,1,IF(AW786=1,2,IF(AX786=1,3,IF(AY786=1,4,IF(AZ786=1,5,IF(BA786=1,6,7))))))</f>
        <v/>
      </c>
      <c r="BD786">
        <f>IF(AD786=1,CHOOSE('Historical Score'!$C$29,AV786,AW786,AX786,AY786,AZ786,BA786,BB786),0)</f>
        <v/>
      </c>
      <c r="BE786">
        <f>IF(BD786=1,COUNTIF($BD$2:BD786,1),"")</f>
        <v/>
      </c>
    </row>
    <row r="787">
      <c r="A787" t="inlineStr">
        <is>
          <t>5674181521</t>
        </is>
      </c>
      <c r="B787" t="inlineStr">
        <is>
          <t>National Food Equipment LLC</t>
        </is>
      </c>
      <c r="C787" t="inlineStr">
        <is>
          <t>National Food Equipment LLC</t>
        </is>
      </c>
      <c r="D787" t="inlineStr">
        <is>
          <t>Closed</t>
        </is>
      </c>
      <c r="E787" s="297" t="n">
        <v>46122</v>
      </c>
      <c r="F787" s="297" t="n">
        <v>46213</v>
      </c>
      <c r="G787" t="n">
        <v>3</v>
      </c>
      <c r="H787" t="inlineStr">
        <is>
          <t>5999</t>
        </is>
      </c>
      <c r="I787" t="inlineStr">
        <is>
          <t>59</t>
        </is>
      </c>
      <c r="J787" t="inlineStr">
        <is>
          <t>CA</t>
        </is>
      </c>
      <c r="K787" t="inlineStr">
        <is>
          <t>AVON ADVANCE</t>
        </is>
      </c>
      <c r="L787" t="inlineStr">
        <is>
          <t>Renewal</t>
        </is>
      </c>
      <c r="M787" s="298" t="n">
        <v>1.49</v>
      </c>
      <c r="N787" s="299" t="n">
        <v>15000</v>
      </c>
      <c r="O787" s="299" t="n">
        <v>2100</v>
      </c>
      <c r="P787" s="299" t="n">
        <v>22350</v>
      </c>
      <c r="Q787" s="299" t="n">
        <v>22350</v>
      </c>
      <c r="R787" s="299" t="n">
        <v>0</v>
      </c>
      <c r="S787" s="300" t="n">
        <v>1</v>
      </c>
      <c r="T787" t="n">
        <v>2.951</v>
      </c>
      <c r="U787" t="n">
        <v>6</v>
      </c>
      <c r="V787" t="n">
        <v>14538.12</v>
      </c>
      <c r="W787" s="300" t="n">
        <v>0.2037</v>
      </c>
      <c r="X787" s="297" t="n">
        <v>42370</v>
      </c>
      <c r="Y787">
        <f>IF(I787="","No SIC",IFERROR(VLOOKUP(I787,Ref!$A$2:$B$65,2,FALSE),"Unclassified"))</f>
        <v/>
      </c>
      <c r="Z787">
        <f>IF(T787="","",IF(T787&lt;12,"Daily","Weekly"))</f>
        <v/>
      </c>
      <c r="AA787">
        <f>IF(T787="",0,IF(T787&lt;12,T787*Controls!$B$29,T787*5))</f>
        <v/>
      </c>
      <c r="AB787">
        <f>IF(E787="",0,NETWORKDAYS(E787,Controls!$B$36,Ref!$K$2:$K$42))</f>
        <v/>
      </c>
      <c r="AC787">
        <f>IF(AND(AA787&gt;0,AB787&gt;=Controls!$B$39*AA787),1,0)</f>
        <v/>
      </c>
      <c r="AD787">
        <f>IF(AND(E787&lt;&gt;"",E787&gt;=Controls!$B$37,E787&lt;=Controls!$B$38),1,0)</f>
        <v/>
      </c>
      <c r="AE787">
        <f>IF(IFERROR(VLOOKUP(D787,Controls!$A$64:$E$74,2,FALSE),"No")="Yes",1,0)</f>
        <v/>
      </c>
      <c r="AF787">
        <f>IF(IFERROR(VLOOKUP(D787,Controls!$A$64:$E$74,3,FALSE),"No")="Yes",1,0)</f>
        <v/>
      </c>
      <c r="AG787">
        <f>IF(IFERROR(VLOOKUP(D787,Controls!$A$64:$E$74,4,FALSE),"No")="Yes",1,0)</f>
        <v/>
      </c>
      <c r="AH787">
        <f>IF(IFERROR(VLOOKUP(D787,Controls!$A$64:$E$74,5,FALSE),"No")="Yes",1,0)</f>
        <v/>
      </c>
      <c r="AI787">
        <f>IF(ISNUMBER(MATCH(D787,Controls!$A$64:$A$74,0)),1,0)</f>
        <v/>
      </c>
      <c r="AJ787">
        <f>Q787-N787</f>
        <v/>
      </c>
      <c r="AK787">
        <f>IF(AE787=1,MAX(0,N787-Q787),0)</f>
        <v/>
      </c>
      <c r="AL787">
        <f>IF(OR(V787="",V787=0),0,N787/V787)</f>
        <v/>
      </c>
      <c r="AM787">
        <f>IF(OR(V787="",V787=0),0,1)</f>
        <v/>
      </c>
      <c r="AN787">
        <f>IF(OR(E787="",F787=""),0,NETWORKDAYS(E787,F787,Ref!$K$2:$K$42))</f>
        <v/>
      </c>
      <c r="AO787">
        <f>IF(L787="Renewal",1,0)</f>
        <v/>
      </c>
      <c r="AP787">
        <f>AC787*AD787</f>
        <v/>
      </c>
      <c r="AQ787">
        <f>IF(AND(G787&lt;&gt;"",'Historical Score'!$C$6&lt;&gt;""),IF(G787='Historical Score'!$C$6,1,0),0)</f>
        <v/>
      </c>
      <c r="AR787">
        <f>IF(AND(L787&lt;&gt;"",'Historical Score'!$C$5&lt;&gt;""),IF(L787='Historical Score'!$C$5,1,0),0)</f>
        <v/>
      </c>
      <c r="AS787">
        <f>IF(AND(Y787&lt;&gt;"",'Historical Score'!$C$7&lt;&gt;""),IF(Y787='Historical Score'!$C$7,1,0),0)</f>
        <v/>
      </c>
      <c r="AT787">
        <f>IF(AND(K787&lt;&gt;"",'Historical Score'!$C$8&lt;&gt;""),IF(K787='Historical Score'!$C$8,1,0),0)</f>
        <v/>
      </c>
      <c r="AU787">
        <f>IF(AND(J787&lt;&gt;"",'Historical Score'!$C$9&lt;&gt;""),IF(J787='Historical Score'!$C$9,1,0),0)</f>
        <v/>
      </c>
      <c r="AV787">
        <f>AR787*AS787*AQ787</f>
        <v/>
      </c>
      <c r="AW787">
        <f>AR787*AT787*AQ787</f>
        <v/>
      </c>
      <c r="AX787">
        <f>AR787*AS787</f>
        <v/>
      </c>
      <c r="AY787">
        <f>AR787*AT787</f>
        <v/>
      </c>
      <c r="AZ787">
        <f>AR787*AQ787</f>
        <v/>
      </c>
      <c r="BA787">
        <f>AR787</f>
        <v/>
      </c>
      <c r="BB787">
        <f>1</f>
        <v/>
      </c>
      <c r="BC787">
        <f>IF(AV787=1,1,IF(AW787=1,2,IF(AX787=1,3,IF(AY787=1,4,IF(AZ787=1,5,IF(BA787=1,6,7))))))</f>
        <v/>
      </c>
      <c r="BD787">
        <f>IF(AD787=1,CHOOSE('Historical Score'!$C$29,AV787,AW787,AX787,AY787,AZ787,BA787,BB787),0)</f>
        <v/>
      </c>
      <c r="BE787">
        <f>IF(BD787=1,COUNTIF($BD$2:BD787,1),"")</f>
        <v/>
      </c>
    </row>
    <row r="788">
      <c r="A788" t="inlineStr">
        <is>
          <t>5674181523</t>
        </is>
      </c>
      <c r="B788" t="inlineStr">
        <is>
          <t>LONDON'S LITTLE ANGELS LEARNING ACADEMY INC</t>
        </is>
      </c>
      <c r="C788" t="inlineStr">
        <is>
          <t>LONDON'S LITTLE ANGELS LEARNING ACADEMY INC</t>
        </is>
      </c>
      <c r="D788" t="inlineStr">
        <is>
          <t>Open</t>
        </is>
      </c>
      <c r="E788" s="297" t="n">
        <v>46122</v>
      </c>
      <c r="F788" s="297" t="n">
        <v>46247</v>
      </c>
      <c r="G788" t="n">
        <v>3</v>
      </c>
      <c r="H788" t="inlineStr">
        <is>
          <t>8351</t>
        </is>
      </c>
      <c r="I788" t="inlineStr">
        <is>
          <t>83</t>
        </is>
      </c>
      <c r="J788" t="inlineStr">
        <is>
          <t>GA</t>
        </is>
      </c>
      <c r="K788" t="inlineStr">
        <is>
          <t>Ballicci</t>
        </is>
      </c>
      <c r="L788" t="inlineStr">
        <is>
          <t>Renewal</t>
        </is>
      </c>
      <c r="M788" s="298" t="n">
        <v>1.49</v>
      </c>
      <c r="N788" s="299" t="n">
        <v>25000</v>
      </c>
      <c r="O788" s="299" t="n">
        <v>3500</v>
      </c>
      <c r="P788" s="299" t="n">
        <v>37250</v>
      </c>
      <c r="Q788" s="299" t="n">
        <v>15410.64</v>
      </c>
      <c r="R788" s="299" t="n">
        <v>21839.36</v>
      </c>
      <c r="S788" s="300" t="n">
        <v>0.413708456375839</v>
      </c>
      <c r="T788" t="n">
        <v>3.934</v>
      </c>
      <c r="U788" t="n">
        <v>5</v>
      </c>
      <c r="V788" t="n">
        <v>43810.35</v>
      </c>
      <c r="W788" s="300" t="n">
        <v>0.1488</v>
      </c>
      <c r="X788" s="297" t="n">
        <v>43621</v>
      </c>
      <c r="Y788">
        <f>IF(I788="","No SIC",IFERROR(VLOOKUP(I788,Ref!$A$2:$B$65,2,FALSE),"Unclassified"))</f>
        <v/>
      </c>
      <c r="Z788">
        <f>IF(T788="","",IF(T788&lt;12,"Daily","Weekly"))</f>
        <v/>
      </c>
      <c r="AA788">
        <f>IF(T788="",0,IF(T788&lt;12,T788*Controls!$B$29,T788*5))</f>
        <v/>
      </c>
      <c r="AB788">
        <f>IF(E788="",0,NETWORKDAYS(E788,Controls!$B$36,Ref!$K$2:$K$42))</f>
        <v/>
      </c>
      <c r="AC788">
        <f>IF(AND(AA788&gt;0,AB788&gt;=Controls!$B$39*AA788),1,0)</f>
        <v/>
      </c>
      <c r="AD788">
        <f>IF(AND(E788&lt;&gt;"",E788&gt;=Controls!$B$37,E788&lt;=Controls!$B$38),1,0)</f>
        <v/>
      </c>
      <c r="AE788">
        <f>IF(IFERROR(VLOOKUP(D788,Controls!$A$64:$E$74,2,FALSE),"No")="Yes",1,0)</f>
        <v/>
      </c>
      <c r="AF788">
        <f>IF(IFERROR(VLOOKUP(D788,Controls!$A$64:$E$74,3,FALSE),"No")="Yes",1,0)</f>
        <v/>
      </c>
      <c r="AG788">
        <f>IF(IFERROR(VLOOKUP(D788,Controls!$A$64:$E$74,4,FALSE),"No")="Yes",1,0)</f>
        <v/>
      </c>
      <c r="AH788">
        <f>IF(IFERROR(VLOOKUP(D788,Controls!$A$64:$E$74,5,FALSE),"No")="Yes",1,0)</f>
        <v/>
      </c>
      <c r="AI788">
        <f>IF(ISNUMBER(MATCH(D788,Controls!$A$64:$A$74,0)),1,0)</f>
        <v/>
      </c>
      <c r="AJ788">
        <f>Q788-N788</f>
        <v/>
      </c>
      <c r="AK788">
        <f>IF(AE788=1,MAX(0,N788-Q788),0)</f>
        <v/>
      </c>
      <c r="AL788">
        <f>IF(OR(V788="",V788=0),0,N788/V788)</f>
        <v/>
      </c>
      <c r="AM788">
        <f>IF(OR(V788="",V788=0),0,1)</f>
        <v/>
      </c>
      <c r="AN788">
        <f>IF(OR(E788="",F788=""),0,NETWORKDAYS(E788,F788,Ref!$K$2:$K$42))</f>
        <v/>
      </c>
      <c r="AO788">
        <f>IF(L788="Renewal",1,0)</f>
        <v/>
      </c>
      <c r="AP788">
        <f>AC788*AD788</f>
        <v/>
      </c>
      <c r="AQ788">
        <f>IF(AND(G788&lt;&gt;"",'Historical Score'!$C$6&lt;&gt;""),IF(G788='Historical Score'!$C$6,1,0),0)</f>
        <v/>
      </c>
      <c r="AR788">
        <f>IF(AND(L788&lt;&gt;"",'Historical Score'!$C$5&lt;&gt;""),IF(L788='Historical Score'!$C$5,1,0),0)</f>
        <v/>
      </c>
      <c r="AS788">
        <f>IF(AND(Y788&lt;&gt;"",'Historical Score'!$C$7&lt;&gt;""),IF(Y788='Historical Score'!$C$7,1,0),0)</f>
        <v/>
      </c>
      <c r="AT788">
        <f>IF(AND(K788&lt;&gt;"",'Historical Score'!$C$8&lt;&gt;""),IF(K788='Historical Score'!$C$8,1,0),0)</f>
        <v/>
      </c>
      <c r="AU788">
        <f>IF(AND(J788&lt;&gt;"",'Historical Score'!$C$9&lt;&gt;""),IF(J788='Historical Score'!$C$9,1,0),0)</f>
        <v/>
      </c>
      <c r="AV788">
        <f>AR788*AS788*AQ788</f>
        <v/>
      </c>
      <c r="AW788">
        <f>AR788*AT788*AQ788</f>
        <v/>
      </c>
      <c r="AX788">
        <f>AR788*AS788</f>
        <v/>
      </c>
      <c r="AY788">
        <f>AR788*AT788</f>
        <v/>
      </c>
      <c r="AZ788">
        <f>AR788*AQ788</f>
        <v/>
      </c>
      <c r="BA788">
        <f>AR788</f>
        <v/>
      </c>
      <c r="BB788">
        <f>1</f>
        <v/>
      </c>
      <c r="BC788">
        <f>IF(AV788=1,1,IF(AW788=1,2,IF(AX788=1,3,IF(AY788=1,4,IF(AZ788=1,5,IF(BA788=1,6,7))))))</f>
        <v/>
      </c>
      <c r="BD788">
        <f>IF(AD788=1,CHOOSE('Historical Score'!$C$29,AV788,AW788,AX788,AY788,AZ788,BA788,BB788),0)</f>
        <v/>
      </c>
      <c r="BE788">
        <f>IF(BD788=1,COUNTIF($BD$2:BD788,1),"")</f>
        <v/>
      </c>
    </row>
    <row r="789">
      <c r="A789" t="inlineStr">
        <is>
          <t>5674181642</t>
        </is>
      </c>
      <c r="B789" t="inlineStr">
        <is>
          <t>Wolf Inn Llc</t>
        </is>
      </c>
      <c r="C789" t="inlineStr">
        <is>
          <t>Wolf Inn Llc</t>
        </is>
      </c>
      <c r="D789" t="inlineStr">
        <is>
          <t>Open</t>
        </is>
      </c>
      <c r="E789" s="297" t="n">
        <v>46125</v>
      </c>
      <c r="F789" s="297" t="n">
        <v>46248</v>
      </c>
      <c r="G789" t="n">
        <v>3</v>
      </c>
      <c r="H789" t="inlineStr">
        <is>
          <t>7011</t>
        </is>
      </c>
      <c r="I789" t="inlineStr">
        <is>
          <t>70</t>
        </is>
      </c>
      <c r="J789" t="inlineStr">
        <is>
          <t>OH</t>
        </is>
      </c>
      <c r="K789" t="inlineStr">
        <is>
          <t>United Secured Capital 8</t>
        </is>
      </c>
      <c r="L789" t="inlineStr">
        <is>
          <t>New Deal</t>
        </is>
      </c>
      <c r="M789" s="298" t="n">
        <v>1.49</v>
      </c>
      <c r="N789" s="299" t="n">
        <v>20000</v>
      </c>
      <c r="O789" s="299" t="n">
        <v>2800</v>
      </c>
      <c r="P789" s="299" t="n">
        <v>29800</v>
      </c>
      <c r="Q789" s="299" t="n">
        <v>15608.43</v>
      </c>
      <c r="R789" s="299" t="n">
        <v>14191.57</v>
      </c>
      <c r="S789" s="300" t="n">
        <v>0.523772818791946</v>
      </c>
      <c r="T789" t="n">
        <v>24</v>
      </c>
      <c r="U789" t="n">
        <v>1</v>
      </c>
      <c r="V789" t="n">
        <v>124047.57</v>
      </c>
      <c r="W789" s="300" t="n">
        <v>0.2089</v>
      </c>
      <c r="X789" s="297" t="n">
        <v>43160</v>
      </c>
      <c r="Y789">
        <f>IF(I789="","No SIC",IFERROR(VLOOKUP(I789,Ref!$A$2:$B$65,2,FALSE),"Unclassified"))</f>
        <v/>
      </c>
      <c r="Z789">
        <f>IF(T789="","",IF(T789&lt;12,"Daily","Weekly"))</f>
        <v/>
      </c>
      <c r="AA789">
        <f>IF(T789="",0,IF(T789&lt;12,T789*Controls!$B$29,T789*5))</f>
        <v/>
      </c>
      <c r="AB789">
        <f>IF(E789="",0,NETWORKDAYS(E789,Controls!$B$36,Ref!$K$2:$K$42))</f>
        <v/>
      </c>
      <c r="AC789">
        <f>IF(AND(AA789&gt;0,AB789&gt;=Controls!$B$39*AA789),1,0)</f>
        <v/>
      </c>
      <c r="AD789">
        <f>IF(AND(E789&lt;&gt;"",E789&gt;=Controls!$B$37,E789&lt;=Controls!$B$38),1,0)</f>
        <v/>
      </c>
      <c r="AE789">
        <f>IF(IFERROR(VLOOKUP(D789,Controls!$A$64:$E$74,2,FALSE),"No")="Yes",1,0)</f>
        <v/>
      </c>
      <c r="AF789">
        <f>IF(IFERROR(VLOOKUP(D789,Controls!$A$64:$E$74,3,FALSE),"No")="Yes",1,0)</f>
        <v/>
      </c>
      <c r="AG789">
        <f>IF(IFERROR(VLOOKUP(D789,Controls!$A$64:$E$74,4,FALSE),"No")="Yes",1,0)</f>
        <v/>
      </c>
      <c r="AH789">
        <f>IF(IFERROR(VLOOKUP(D789,Controls!$A$64:$E$74,5,FALSE),"No")="Yes",1,0)</f>
        <v/>
      </c>
      <c r="AI789">
        <f>IF(ISNUMBER(MATCH(D789,Controls!$A$64:$A$74,0)),1,0)</f>
        <v/>
      </c>
      <c r="AJ789">
        <f>Q789-N789</f>
        <v/>
      </c>
      <c r="AK789">
        <f>IF(AE789=1,MAX(0,N789-Q789),0)</f>
        <v/>
      </c>
      <c r="AL789">
        <f>IF(OR(V789="",V789=0),0,N789/V789)</f>
        <v/>
      </c>
      <c r="AM789">
        <f>IF(OR(V789="",V789=0),0,1)</f>
        <v/>
      </c>
      <c r="AN789">
        <f>IF(OR(E789="",F789=""),0,NETWORKDAYS(E789,F789,Ref!$K$2:$K$42))</f>
        <v/>
      </c>
      <c r="AO789">
        <f>IF(L789="Renewal",1,0)</f>
        <v/>
      </c>
      <c r="AP789">
        <f>AC789*AD789</f>
        <v/>
      </c>
      <c r="AQ789">
        <f>IF(AND(G789&lt;&gt;"",'Historical Score'!$C$6&lt;&gt;""),IF(G789='Historical Score'!$C$6,1,0),0)</f>
        <v/>
      </c>
      <c r="AR789">
        <f>IF(AND(L789&lt;&gt;"",'Historical Score'!$C$5&lt;&gt;""),IF(L789='Historical Score'!$C$5,1,0),0)</f>
        <v/>
      </c>
      <c r="AS789">
        <f>IF(AND(Y789&lt;&gt;"",'Historical Score'!$C$7&lt;&gt;""),IF(Y789='Historical Score'!$C$7,1,0),0)</f>
        <v/>
      </c>
      <c r="AT789">
        <f>IF(AND(K789&lt;&gt;"",'Historical Score'!$C$8&lt;&gt;""),IF(K789='Historical Score'!$C$8,1,0),0)</f>
        <v/>
      </c>
      <c r="AU789">
        <f>IF(AND(J789&lt;&gt;"",'Historical Score'!$C$9&lt;&gt;""),IF(J789='Historical Score'!$C$9,1,0),0)</f>
        <v/>
      </c>
      <c r="AV789">
        <f>AR789*AS789*AQ789</f>
        <v/>
      </c>
      <c r="AW789">
        <f>AR789*AT789*AQ789</f>
        <v/>
      </c>
      <c r="AX789">
        <f>AR789*AS789</f>
        <v/>
      </c>
      <c r="AY789">
        <f>AR789*AT789</f>
        <v/>
      </c>
      <c r="AZ789">
        <f>AR789*AQ789</f>
        <v/>
      </c>
      <c r="BA789">
        <f>AR789</f>
        <v/>
      </c>
      <c r="BB789">
        <f>1</f>
        <v/>
      </c>
      <c r="BC789">
        <f>IF(AV789=1,1,IF(AW789=1,2,IF(AX789=1,3,IF(AY789=1,4,IF(AZ789=1,5,IF(BA789=1,6,7))))))</f>
        <v/>
      </c>
      <c r="BD789">
        <f>IF(AD789=1,CHOOSE('Historical Score'!$C$29,AV789,AW789,AX789,AY789,AZ789,BA789,BB789),0)</f>
        <v/>
      </c>
      <c r="BE789">
        <f>IF(BD789=1,COUNTIF($BD$2:BD789,1),"")</f>
        <v/>
      </c>
    </row>
    <row r="790">
      <c r="A790" t="inlineStr">
        <is>
          <t>5674181662</t>
        </is>
      </c>
      <c r="B790" t="inlineStr">
        <is>
          <t>BUG BUSTERS LLC</t>
        </is>
      </c>
      <c r="C790" t="inlineStr">
        <is>
          <t>BUG BUSTERS LLC</t>
        </is>
      </c>
      <c r="D790" t="inlineStr">
        <is>
          <t>Open</t>
        </is>
      </c>
      <c r="E790" s="297" t="n">
        <v>46126</v>
      </c>
      <c r="F790" s="297" t="n">
        <v>46253</v>
      </c>
      <c r="G790" t="n">
        <v>3</v>
      </c>
      <c r="H790" t="inlineStr">
        <is>
          <t>7342</t>
        </is>
      </c>
      <c r="I790" t="inlineStr">
        <is>
          <t>73</t>
        </is>
      </c>
      <c r="J790" t="inlineStr">
        <is>
          <t>SD</t>
        </is>
      </c>
      <c r="K790" t="inlineStr">
        <is>
          <t>Llama Loan</t>
        </is>
      </c>
      <c r="L790" t="inlineStr">
        <is>
          <t>New Deal</t>
        </is>
      </c>
      <c r="M790" s="298" t="n">
        <v>1.49</v>
      </c>
      <c r="N790" s="299" t="n">
        <v>10000</v>
      </c>
      <c r="O790" s="299" t="n">
        <v>1400</v>
      </c>
      <c r="P790" s="299" t="n">
        <v>14900</v>
      </c>
      <c r="Q790" s="299" t="n">
        <v>13409.1</v>
      </c>
      <c r="R790" s="299" t="n">
        <v>1490.9</v>
      </c>
      <c r="S790" s="300" t="n">
        <v>0.899939597315436</v>
      </c>
      <c r="T790" t="n">
        <v>3.279</v>
      </c>
      <c r="U790" t="n">
        <v>0</v>
      </c>
      <c r="V790" t="n">
        <v>22590.58</v>
      </c>
      <c r="W790" s="300" t="n">
        <v>0.1385</v>
      </c>
      <c r="X790" s="297" t="n">
        <v>39569</v>
      </c>
      <c r="Y790">
        <f>IF(I790="","No SIC",IFERROR(VLOOKUP(I790,Ref!$A$2:$B$65,2,FALSE),"Unclassified"))</f>
        <v/>
      </c>
      <c r="Z790">
        <f>IF(T790="","",IF(T790&lt;12,"Daily","Weekly"))</f>
        <v/>
      </c>
      <c r="AA790">
        <f>IF(T790="",0,IF(T790&lt;12,T790*Controls!$B$29,T790*5))</f>
        <v/>
      </c>
      <c r="AB790">
        <f>IF(E790="",0,NETWORKDAYS(E790,Controls!$B$36,Ref!$K$2:$K$42))</f>
        <v/>
      </c>
      <c r="AC790">
        <f>IF(AND(AA790&gt;0,AB790&gt;=Controls!$B$39*AA790),1,0)</f>
        <v/>
      </c>
      <c r="AD790">
        <f>IF(AND(E790&lt;&gt;"",E790&gt;=Controls!$B$37,E790&lt;=Controls!$B$38),1,0)</f>
        <v/>
      </c>
      <c r="AE790">
        <f>IF(IFERROR(VLOOKUP(D790,Controls!$A$64:$E$74,2,FALSE),"No")="Yes",1,0)</f>
        <v/>
      </c>
      <c r="AF790">
        <f>IF(IFERROR(VLOOKUP(D790,Controls!$A$64:$E$74,3,FALSE),"No")="Yes",1,0)</f>
        <v/>
      </c>
      <c r="AG790">
        <f>IF(IFERROR(VLOOKUP(D790,Controls!$A$64:$E$74,4,FALSE),"No")="Yes",1,0)</f>
        <v/>
      </c>
      <c r="AH790">
        <f>IF(IFERROR(VLOOKUP(D790,Controls!$A$64:$E$74,5,FALSE),"No")="Yes",1,0)</f>
        <v/>
      </c>
      <c r="AI790">
        <f>IF(ISNUMBER(MATCH(D790,Controls!$A$64:$A$74,0)),1,0)</f>
        <v/>
      </c>
      <c r="AJ790">
        <f>Q790-N790</f>
        <v/>
      </c>
      <c r="AK790">
        <f>IF(AE790=1,MAX(0,N790-Q790),0)</f>
        <v/>
      </c>
      <c r="AL790">
        <f>IF(OR(V790="",V790=0),0,N790/V790)</f>
        <v/>
      </c>
      <c r="AM790">
        <f>IF(OR(V790="",V790=0),0,1)</f>
        <v/>
      </c>
      <c r="AN790">
        <f>IF(OR(E790="",F790=""),0,NETWORKDAYS(E790,F790,Ref!$K$2:$K$42))</f>
        <v/>
      </c>
      <c r="AO790">
        <f>IF(L790="Renewal",1,0)</f>
        <v/>
      </c>
      <c r="AP790">
        <f>AC790*AD790</f>
        <v/>
      </c>
      <c r="AQ790">
        <f>IF(AND(G790&lt;&gt;"",'Historical Score'!$C$6&lt;&gt;""),IF(G790='Historical Score'!$C$6,1,0),0)</f>
        <v/>
      </c>
      <c r="AR790">
        <f>IF(AND(L790&lt;&gt;"",'Historical Score'!$C$5&lt;&gt;""),IF(L790='Historical Score'!$C$5,1,0),0)</f>
        <v/>
      </c>
      <c r="AS790">
        <f>IF(AND(Y790&lt;&gt;"",'Historical Score'!$C$7&lt;&gt;""),IF(Y790='Historical Score'!$C$7,1,0),0)</f>
        <v/>
      </c>
      <c r="AT790">
        <f>IF(AND(K790&lt;&gt;"",'Historical Score'!$C$8&lt;&gt;""),IF(K790='Historical Score'!$C$8,1,0),0)</f>
        <v/>
      </c>
      <c r="AU790">
        <f>IF(AND(J790&lt;&gt;"",'Historical Score'!$C$9&lt;&gt;""),IF(J790='Historical Score'!$C$9,1,0),0)</f>
        <v/>
      </c>
      <c r="AV790">
        <f>AR790*AS790*AQ790</f>
        <v/>
      </c>
      <c r="AW790">
        <f>AR790*AT790*AQ790</f>
        <v/>
      </c>
      <c r="AX790">
        <f>AR790*AS790</f>
        <v/>
      </c>
      <c r="AY790">
        <f>AR790*AT790</f>
        <v/>
      </c>
      <c r="AZ790">
        <f>AR790*AQ790</f>
        <v/>
      </c>
      <c r="BA790">
        <f>AR790</f>
        <v/>
      </c>
      <c r="BB790">
        <f>1</f>
        <v/>
      </c>
      <c r="BC790">
        <f>IF(AV790=1,1,IF(AW790=1,2,IF(AX790=1,3,IF(AY790=1,4,IF(AZ790=1,5,IF(BA790=1,6,7))))))</f>
        <v/>
      </c>
      <c r="BD790">
        <f>IF(AD790=1,CHOOSE('Historical Score'!$C$29,AV790,AW790,AX790,AY790,AZ790,BA790,BB790),0)</f>
        <v/>
      </c>
      <c r="BE790">
        <f>IF(BD790=1,COUNTIF($BD$2:BD790,1),"")</f>
        <v/>
      </c>
    </row>
    <row r="791">
      <c r="A791" t="inlineStr">
        <is>
          <t>5674181703</t>
        </is>
      </c>
      <c r="B791" t="inlineStr">
        <is>
          <t>SANSAN USA</t>
        </is>
      </c>
      <c r="C791" t="inlineStr">
        <is>
          <t>SANSAN USA</t>
        </is>
      </c>
      <c r="D791" t="inlineStr">
        <is>
          <t>Closed</t>
        </is>
      </c>
      <c r="E791" s="297" t="n">
        <v>46126</v>
      </c>
      <c r="F791" s="297" t="n">
        <v>46188</v>
      </c>
      <c r="G791" t="n">
        <v>3</v>
      </c>
      <c r="H791" t="inlineStr">
        <is>
          <t>8748</t>
        </is>
      </c>
      <c r="I791" t="inlineStr">
        <is>
          <t>87</t>
        </is>
      </c>
      <c r="J791" t="inlineStr">
        <is>
          <t>CA</t>
        </is>
      </c>
      <c r="K791" t="inlineStr">
        <is>
          <t>Can I Have Money</t>
        </is>
      </c>
      <c r="L791" t="inlineStr">
        <is>
          <t>New Deal</t>
        </is>
      </c>
      <c r="M791" s="298" t="n">
        <v>1.4</v>
      </c>
      <c r="N791" s="299" t="n">
        <v>20000</v>
      </c>
      <c r="O791" s="299" t="n">
        <v>1900</v>
      </c>
      <c r="P791" s="299" t="n">
        <v>28000</v>
      </c>
      <c r="Q791" s="299" t="n">
        <v>28000</v>
      </c>
      <c r="R791" s="299" t="n">
        <v>0</v>
      </c>
      <c r="S791" s="300" t="n">
        <v>1</v>
      </c>
      <c r="T791" t="n">
        <v>24</v>
      </c>
      <c r="U791" t="n">
        <v>0</v>
      </c>
      <c r="V791" t="n">
        <v>235136.27</v>
      </c>
      <c r="W791" s="300" t="n">
        <v>0.0198</v>
      </c>
      <c r="X791" s="297" t="n">
        <v>44761</v>
      </c>
      <c r="Y791">
        <f>IF(I791="","No SIC",IFERROR(VLOOKUP(I791,Ref!$A$2:$B$65,2,FALSE),"Unclassified"))</f>
        <v/>
      </c>
      <c r="Z791">
        <f>IF(T791="","",IF(T791&lt;12,"Daily","Weekly"))</f>
        <v/>
      </c>
      <c r="AA791">
        <f>IF(T791="",0,IF(T791&lt;12,T791*Controls!$B$29,T791*5))</f>
        <v/>
      </c>
      <c r="AB791">
        <f>IF(E791="",0,NETWORKDAYS(E791,Controls!$B$36,Ref!$K$2:$K$42))</f>
        <v/>
      </c>
      <c r="AC791">
        <f>IF(AND(AA791&gt;0,AB791&gt;=Controls!$B$39*AA791),1,0)</f>
        <v/>
      </c>
      <c r="AD791">
        <f>IF(AND(E791&lt;&gt;"",E791&gt;=Controls!$B$37,E791&lt;=Controls!$B$38),1,0)</f>
        <v/>
      </c>
      <c r="AE791">
        <f>IF(IFERROR(VLOOKUP(D791,Controls!$A$64:$E$74,2,FALSE),"No")="Yes",1,0)</f>
        <v/>
      </c>
      <c r="AF791">
        <f>IF(IFERROR(VLOOKUP(D791,Controls!$A$64:$E$74,3,FALSE),"No")="Yes",1,0)</f>
        <v/>
      </c>
      <c r="AG791">
        <f>IF(IFERROR(VLOOKUP(D791,Controls!$A$64:$E$74,4,FALSE),"No")="Yes",1,0)</f>
        <v/>
      </c>
      <c r="AH791">
        <f>IF(IFERROR(VLOOKUP(D791,Controls!$A$64:$E$74,5,FALSE),"No")="Yes",1,0)</f>
        <v/>
      </c>
      <c r="AI791">
        <f>IF(ISNUMBER(MATCH(D791,Controls!$A$64:$A$74,0)),1,0)</f>
        <v/>
      </c>
      <c r="AJ791">
        <f>Q791-N791</f>
        <v/>
      </c>
      <c r="AK791">
        <f>IF(AE791=1,MAX(0,N791-Q791),0)</f>
        <v/>
      </c>
      <c r="AL791">
        <f>IF(OR(V791="",V791=0),0,N791/V791)</f>
        <v/>
      </c>
      <c r="AM791">
        <f>IF(OR(V791="",V791=0),0,1)</f>
        <v/>
      </c>
      <c r="AN791">
        <f>IF(OR(E791="",F791=""),0,NETWORKDAYS(E791,F791,Ref!$K$2:$K$42))</f>
        <v/>
      </c>
      <c r="AO791">
        <f>IF(L791="Renewal",1,0)</f>
        <v/>
      </c>
      <c r="AP791">
        <f>AC791*AD791</f>
        <v/>
      </c>
      <c r="AQ791">
        <f>IF(AND(G791&lt;&gt;"",'Historical Score'!$C$6&lt;&gt;""),IF(G791='Historical Score'!$C$6,1,0),0)</f>
        <v/>
      </c>
      <c r="AR791">
        <f>IF(AND(L791&lt;&gt;"",'Historical Score'!$C$5&lt;&gt;""),IF(L791='Historical Score'!$C$5,1,0),0)</f>
        <v/>
      </c>
      <c r="AS791">
        <f>IF(AND(Y791&lt;&gt;"",'Historical Score'!$C$7&lt;&gt;""),IF(Y791='Historical Score'!$C$7,1,0),0)</f>
        <v/>
      </c>
      <c r="AT791">
        <f>IF(AND(K791&lt;&gt;"",'Historical Score'!$C$8&lt;&gt;""),IF(K791='Historical Score'!$C$8,1,0),0)</f>
        <v/>
      </c>
      <c r="AU791">
        <f>IF(AND(J791&lt;&gt;"",'Historical Score'!$C$9&lt;&gt;""),IF(J791='Historical Score'!$C$9,1,0),0)</f>
        <v/>
      </c>
      <c r="AV791">
        <f>AR791*AS791*AQ791</f>
        <v/>
      </c>
      <c r="AW791">
        <f>AR791*AT791*AQ791</f>
        <v/>
      </c>
      <c r="AX791">
        <f>AR791*AS791</f>
        <v/>
      </c>
      <c r="AY791">
        <f>AR791*AT791</f>
        <v/>
      </c>
      <c r="AZ791">
        <f>AR791*AQ791</f>
        <v/>
      </c>
      <c r="BA791">
        <f>AR791</f>
        <v/>
      </c>
      <c r="BB791">
        <f>1</f>
        <v/>
      </c>
      <c r="BC791">
        <f>IF(AV791=1,1,IF(AW791=1,2,IF(AX791=1,3,IF(AY791=1,4,IF(AZ791=1,5,IF(BA791=1,6,7))))))</f>
        <v/>
      </c>
      <c r="BD791">
        <f>IF(AD791=1,CHOOSE('Historical Score'!$C$29,AV791,AW791,AX791,AY791,AZ791,BA791,BB791),0)</f>
        <v/>
      </c>
      <c r="BE791">
        <f>IF(BD791=1,COUNTIF($BD$2:BD791,1),"")</f>
        <v/>
      </c>
    </row>
    <row r="792">
      <c r="A792" t="inlineStr">
        <is>
          <t>5674181745</t>
        </is>
      </c>
      <c r="B792" t="inlineStr">
        <is>
          <t>A &amp; H Sullivan Construction</t>
        </is>
      </c>
      <c r="C792" t="inlineStr">
        <is>
          <t>A &amp; H Sullivan Construction LLC</t>
        </is>
      </c>
      <c r="D792" t="inlineStr">
        <is>
          <t>Legal</t>
        </is>
      </c>
      <c r="E792" s="297" t="n">
        <v>46126</v>
      </c>
      <c r="F792" s="297" t="n">
        <v>46155</v>
      </c>
      <c r="G792" t="n">
        <v>3</v>
      </c>
      <c r="H792" t="inlineStr">
        <is>
          <t>1521</t>
        </is>
      </c>
      <c r="I792" t="inlineStr">
        <is>
          <t>15</t>
        </is>
      </c>
      <c r="J792" t="inlineStr">
        <is>
          <t>CA</t>
        </is>
      </c>
      <c r="K792" t="inlineStr">
        <is>
          <t>Westwood</t>
        </is>
      </c>
      <c r="L792" t="inlineStr">
        <is>
          <t>New Deal</t>
        </is>
      </c>
      <c r="M792" s="298" t="n">
        <v>1.49</v>
      </c>
      <c r="N792" s="299" t="n">
        <v>10000</v>
      </c>
      <c r="O792" s="299" t="n">
        <v>0</v>
      </c>
      <c r="P792" s="299" t="n">
        <v>14900</v>
      </c>
      <c r="Q792" s="299" t="n">
        <v>2978.82</v>
      </c>
      <c r="R792" s="299" t="n">
        <v>11921.18</v>
      </c>
      <c r="S792" s="300" t="n">
        <v>0.199920805369128</v>
      </c>
      <c r="T792" t="n">
        <v>2.951</v>
      </c>
      <c r="U792" t="n">
        <v>8</v>
      </c>
      <c r="V792" t="n">
        <v>31795.77</v>
      </c>
      <c r="W792" s="300" t="n">
        <v>0.1093</v>
      </c>
      <c r="X792" s="297" t="n">
        <v>45272</v>
      </c>
      <c r="Y792">
        <f>IF(I792="","No SIC",IFERROR(VLOOKUP(I792,Ref!$A$2:$B$65,2,FALSE),"Unclassified"))</f>
        <v/>
      </c>
      <c r="Z792">
        <f>IF(T792="","",IF(T792&lt;12,"Daily","Weekly"))</f>
        <v/>
      </c>
      <c r="AA792">
        <f>IF(T792="",0,IF(T792&lt;12,T792*Controls!$B$29,T792*5))</f>
        <v/>
      </c>
      <c r="AB792">
        <f>IF(E792="",0,NETWORKDAYS(E792,Controls!$B$36,Ref!$K$2:$K$42))</f>
        <v/>
      </c>
      <c r="AC792">
        <f>IF(AND(AA792&gt;0,AB792&gt;=Controls!$B$39*AA792),1,0)</f>
        <v/>
      </c>
      <c r="AD792">
        <f>IF(AND(E792&lt;&gt;"",E792&gt;=Controls!$B$37,E792&lt;=Controls!$B$38),1,0)</f>
        <v/>
      </c>
      <c r="AE792">
        <f>IF(IFERROR(VLOOKUP(D792,Controls!$A$64:$E$74,2,FALSE),"No")="Yes",1,0)</f>
        <v/>
      </c>
      <c r="AF792">
        <f>IF(IFERROR(VLOOKUP(D792,Controls!$A$64:$E$74,3,FALSE),"No")="Yes",1,0)</f>
        <v/>
      </c>
      <c r="AG792">
        <f>IF(IFERROR(VLOOKUP(D792,Controls!$A$64:$E$74,4,FALSE),"No")="Yes",1,0)</f>
        <v/>
      </c>
      <c r="AH792">
        <f>IF(IFERROR(VLOOKUP(D792,Controls!$A$64:$E$74,5,FALSE),"No")="Yes",1,0)</f>
        <v/>
      </c>
      <c r="AI792">
        <f>IF(ISNUMBER(MATCH(D792,Controls!$A$64:$A$74,0)),1,0)</f>
        <v/>
      </c>
      <c r="AJ792">
        <f>Q792-N792</f>
        <v/>
      </c>
      <c r="AK792">
        <f>IF(AE792=1,MAX(0,N792-Q792),0)</f>
        <v/>
      </c>
      <c r="AL792">
        <f>IF(OR(V792="",V792=0),0,N792/V792)</f>
        <v/>
      </c>
      <c r="AM792">
        <f>IF(OR(V792="",V792=0),0,1)</f>
        <v/>
      </c>
      <c r="AN792">
        <f>IF(OR(E792="",F792=""),0,NETWORKDAYS(E792,F792,Ref!$K$2:$K$42))</f>
        <v/>
      </c>
      <c r="AO792">
        <f>IF(L792="Renewal",1,0)</f>
        <v/>
      </c>
      <c r="AP792">
        <f>AC792*AD792</f>
        <v/>
      </c>
      <c r="AQ792">
        <f>IF(AND(G792&lt;&gt;"",'Historical Score'!$C$6&lt;&gt;""),IF(G792='Historical Score'!$C$6,1,0),0)</f>
        <v/>
      </c>
      <c r="AR792">
        <f>IF(AND(L792&lt;&gt;"",'Historical Score'!$C$5&lt;&gt;""),IF(L792='Historical Score'!$C$5,1,0),0)</f>
        <v/>
      </c>
      <c r="AS792">
        <f>IF(AND(Y792&lt;&gt;"",'Historical Score'!$C$7&lt;&gt;""),IF(Y792='Historical Score'!$C$7,1,0),0)</f>
        <v/>
      </c>
      <c r="AT792">
        <f>IF(AND(K792&lt;&gt;"",'Historical Score'!$C$8&lt;&gt;""),IF(K792='Historical Score'!$C$8,1,0),0)</f>
        <v/>
      </c>
      <c r="AU792">
        <f>IF(AND(J792&lt;&gt;"",'Historical Score'!$C$9&lt;&gt;""),IF(J792='Historical Score'!$C$9,1,0),0)</f>
        <v/>
      </c>
      <c r="AV792">
        <f>AR792*AS792*AQ792</f>
        <v/>
      </c>
      <c r="AW792">
        <f>AR792*AT792*AQ792</f>
        <v/>
      </c>
      <c r="AX792">
        <f>AR792*AS792</f>
        <v/>
      </c>
      <c r="AY792">
        <f>AR792*AT792</f>
        <v/>
      </c>
      <c r="AZ792">
        <f>AR792*AQ792</f>
        <v/>
      </c>
      <c r="BA792">
        <f>AR792</f>
        <v/>
      </c>
      <c r="BB792">
        <f>1</f>
        <v/>
      </c>
      <c r="BC792">
        <f>IF(AV792=1,1,IF(AW792=1,2,IF(AX792=1,3,IF(AY792=1,4,IF(AZ792=1,5,IF(BA792=1,6,7))))))</f>
        <v/>
      </c>
      <c r="BD792">
        <f>IF(AD792=1,CHOOSE('Historical Score'!$C$29,AV792,AW792,AX792,AY792,AZ792,BA792,BB792),0)</f>
        <v/>
      </c>
      <c r="BE792">
        <f>IF(BD792=1,COUNTIF($BD$2:BD792,1),"")</f>
        <v/>
      </c>
    </row>
    <row r="793">
      <c r="A793" t="inlineStr">
        <is>
          <t>5674181778</t>
        </is>
      </c>
      <c r="B793" t="inlineStr">
        <is>
          <t>U.S. Moving</t>
        </is>
      </c>
      <c r="C793" t="inlineStr">
        <is>
          <t>U.S. Moving</t>
        </is>
      </c>
      <c r="D793" t="inlineStr">
        <is>
          <t>Open</t>
        </is>
      </c>
      <c r="E793" s="297" t="n">
        <v>46127</v>
      </c>
      <c r="F793" s="297" t="n">
        <v>46248</v>
      </c>
      <c r="G793" t="n">
        <v>3</v>
      </c>
      <c r="H793" t="inlineStr">
        <is>
          <t>4212</t>
        </is>
      </c>
      <c r="I793" t="inlineStr">
        <is>
          <t>42</t>
        </is>
      </c>
      <c r="J793" t="inlineStr">
        <is>
          <t>TN</t>
        </is>
      </c>
      <c r="K793" t="inlineStr">
        <is>
          <t>Platform Funding</t>
        </is>
      </c>
      <c r="L793" t="inlineStr">
        <is>
          <t>New Deal</t>
        </is>
      </c>
      <c r="M793" s="298" t="n">
        <v>1.48</v>
      </c>
      <c r="N793" s="299" t="n">
        <v>45000</v>
      </c>
      <c r="O793" s="299" t="n">
        <v>6075</v>
      </c>
      <c r="P793" s="299" t="n">
        <v>66600</v>
      </c>
      <c r="Q793" s="299" t="n">
        <v>22878.68</v>
      </c>
      <c r="R793" s="299" t="n">
        <v>43721.32</v>
      </c>
      <c r="S793" s="300" t="n">
        <v>0.343523723723724</v>
      </c>
      <c r="T793" t="n">
        <v>32</v>
      </c>
      <c r="U793" t="n">
        <v>7</v>
      </c>
      <c r="V793" t="n">
        <v>158466.98</v>
      </c>
      <c r="W793" s="300" t="n">
        <v>0.0525</v>
      </c>
      <c r="X793" s="297" t="n">
        <v>41640</v>
      </c>
      <c r="Y793">
        <f>IF(I793="","No SIC",IFERROR(VLOOKUP(I793,Ref!$A$2:$B$65,2,FALSE),"Unclassified"))</f>
        <v/>
      </c>
      <c r="Z793">
        <f>IF(T793="","",IF(T793&lt;12,"Daily","Weekly"))</f>
        <v/>
      </c>
      <c r="AA793">
        <f>IF(T793="",0,IF(T793&lt;12,T793*Controls!$B$29,T793*5))</f>
        <v/>
      </c>
      <c r="AB793">
        <f>IF(E793="",0,NETWORKDAYS(E793,Controls!$B$36,Ref!$K$2:$K$42))</f>
        <v/>
      </c>
      <c r="AC793">
        <f>IF(AND(AA793&gt;0,AB793&gt;=Controls!$B$39*AA793),1,0)</f>
        <v/>
      </c>
      <c r="AD793">
        <f>IF(AND(E793&lt;&gt;"",E793&gt;=Controls!$B$37,E793&lt;=Controls!$B$38),1,0)</f>
        <v/>
      </c>
      <c r="AE793">
        <f>IF(IFERROR(VLOOKUP(D793,Controls!$A$64:$E$74,2,FALSE),"No")="Yes",1,0)</f>
        <v/>
      </c>
      <c r="AF793">
        <f>IF(IFERROR(VLOOKUP(D793,Controls!$A$64:$E$74,3,FALSE),"No")="Yes",1,0)</f>
        <v/>
      </c>
      <c r="AG793">
        <f>IF(IFERROR(VLOOKUP(D793,Controls!$A$64:$E$74,4,FALSE),"No")="Yes",1,0)</f>
        <v/>
      </c>
      <c r="AH793">
        <f>IF(IFERROR(VLOOKUP(D793,Controls!$A$64:$E$74,5,FALSE),"No")="Yes",1,0)</f>
        <v/>
      </c>
      <c r="AI793">
        <f>IF(ISNUMBER(MATCH(D793,Controls!$A$64:$A$74,0)),1,0)</f>
        <v/>
      </c>
      <c r="AJ793">
        <f>Q793-N793</f>
        <v/>
      </c>
      <c r="AK793">
        <f>IF(AE793=1,MAX(0,N793-Q793),0)</f>
        <v/>
      </c>
      <c r="AL793">
        <f>IF(OR(V793="",V793=0),0,N793/V793)</f>
        <v/>
      </c>
      <c r="AM793">
        <f>IF(OR(V793="",V793=0),0,1)</f>
        <v/>
      </c>
      <c r="AN793">
        <f>IF(OR(E793="",F793=""),0,NETWORKDAYS(E793,F793,Ref!$K$2:$K$42))</f>
        <v/>
      </c>
      <c r="AO793">
        <f>IF(L793="Renewal",1,0)</f>
        <v/>
      </c>
      <c r="AP793">
        <f>AC793*AD793</f>
        <v/>
      </c>
      <c r="AQ793">
        <f>IF(AND(G793&lt;&gt;"",'Historical Score'!$C$6&lt;&gt;""),IF(G793='Historical Score'!$C$6,1,0),0)</f>
        <v/>
      </c>
      <c r="AR793">
        <f>IF(AND(L793&lt;&gt;"",'Historical Score'!$C$5&lt;&gt;""),IF(L793='Historical Score'!$C$5,1,0),0)</f>
        <v/>
      </c>
      <c r="AS793">
        <f>IF(AND(Y793&lt;&gt;"",'Historical Score'!$C$7&lt;&gt;""),IF(Y793='Historical Score'!$C$7,1,0),0)</f>
        <v/>
      </c>
      <c r="AT793">
        <f>IF(AND(K793&lt;&gt;"",'Historical Score'!$C$8&lt;&gt;""),IF(K793='Historical Score'!$C$8,1,0),0)</f>
        <v/>
      </c>
      <c r="AU793">
        <f>IF(AND(J793&lt;&gt;"",'Historical Score'!$C$9&lt;&gt;""),IF(J793='Historical Score'!$C$9,1,0),0)</f>
        <v/>
      </c>
      <c r="AV793">
        <f>AR793*AS793*AQ793</f>
        <v/>
      </c>
      <c r="AW793">
        <f>AR793*AT793*AQ793</f>
        <v/>
      </c>
      <c r="AX793">
        <f>AR793*AS793</f>
        <v/>
      </c>
      <c r="AY793">
        <f>AR793*AT793</f>
        <v/>
      </c>
      <c r="AZ793">
        <f>AR793*AQ793</f>
        <v/>
      </c>
      <c r="BA793">
        <f>AR793</f>
        <v/>
      </c>
      <c r="BB793">
        <f>1</f>
        <v/>
      </c>
      <c r="BC793">
        <f>IF(AV793=1,1,IF(AW793=1,2,IF(AX793=1,3,IF(AY793=1,4,IF(AZ793=1,5,IF(BA793=1,6,7))))))</f>
        <v/>
      </c>
      <c r="BD793">
        <f>IF(AD793=1,CHOOSE('Historical Score'!$C$29,AV793,AW793,AX793,AY793,AZ793,BA793,BB793),0)</f>
        <v/>
      </c>
      <c r="BE793">
        <f>IF(BD793=1,COUNTIF($BD$2:BD793,1),"")</f>
        <v/>
      </c>
    </row>
    <row r="794">
      <c r="A794" t="inlineStr">
        <is>
          <t>5674181807</t>
        </is>
      </c>
      <c r="B794" t="inlineStr">
        <is>
          <t>503 BUILDERS LLC</t>
        </is>
      </c>
      <c r="C794" t="inlineStr">
        <is>
          <t>503 Builders LLC</t>
        </is>
      </c>
      <c r="D794" t="inlineStr">
        <is>
          <t>Open</t>
        </is>
      </c>
      <c r="E794" s="297" t="n">
        <v>46127</v>
      </c>
      <c r="F794" s="297" t="n">
        <v>46248</v>
      </c>
      <c r="G794" t="n">
        <v>3</v>
      </c>
      <c r="H794" t="inlineStr">
        <is>
          <t>1521</t>
        </is>
      </c>
      <c r="I794" t="inlineStr">
        <is>
          <t>15</t>
        </is>
      </c>
      <c r="J794" t="inlineStr">
        <is>
          <t>OR</t>
        </is>
      </c>
      <c r="K794" t="inlineStr">
        <is>
          <t>Biz fuel</t>
        </is>
      </c>
      <c r="L794" t="inlineStr">
        <is>
          <t>Renewal</t>
        </is>
      </c>
      <c r="M794" s="298" t="n">
        <v>1.49</v>
      </c>
      <c r="N794" s="299" t="n">
        <v>70000</v>
      </c>
      <c r="O794" s="299" t="n">
        <v>9800</v>
      </c>
      <c r="P794" s="299" t="n">
        <v>104300</v>
      </c>
      <c r="Q794" s="299" t="n">
        <v>39937.84</v>
      </c>
      <c r="R794" s="299" t="n">
        <v>64362.16</v>
      </c>
      <c r="S794" s="300" t="n">
        <v>0.382913135186961</v>
      </c>
      <c r="T794" t="n">
        <v>38</v>
      </c>
      <c r="U794" t="n">
        <v>0</v>
      </c>
      <c r="V794" t="n">
        <v>64267.19</v>
      </c>
      <c r="W794" s="300" t="n"/>
      <c r="X794" s="297" t="n">
        <v>44367</v>
      </c>
      <c r="Y794">
        <f>IF(I794="","No SIC",IFERROR(VLOOKUP(I794,Ref!$A$2:$B$65,2,FALSE),"Unclassified"))</f>
        <v/>
      </c>
      <c r="Z794">
        <f>IF(T794="","",IF(T794&lt;12,"Daily","Weekly"))</f>
        <v/>
      </c>
      <c r="AA794">
        <f>IF(T794="",0,IF(T794&lt;12,T794*Controls!$B$29,T794*5))</f>
        <v/>
      </c>
      <c r="AB794">
        <f>IF(E794="",0,NETWORKDAYS(E794,Controls!$B$36,Ref!$K$2:$K$42))</f>
        <v/>
      </c>
      <c r="AC794">
        <f>IF(AND(AA794&gt;0,AB794&gt;=Controls!$B$39*AA794),1,0)</f>
        <v/>
      </c>
      <c r="AD794">
        <f>IF(AND(E794&lt;&gt;"",E794&gt;=Controls!$B$37,E794&lt;=Controls!$B$38),1,0)</f>
        <v/>
      </c>
      <c r="AE794">
        <f>IF(IFERROR(VLOOKUP(D794,Controls!$A$64:$E$74,2,FALSE),"No")="Yes",1,0)</f>
        <v/>
      </c>
      <c r="AF794">
        <f>IF(IFERROR(VLOOKUP(D794,Controls!$A$64:$E$74,3,FALSE),"No")="Yes",1,0)</f>
        <v/>
      </c>
      <c r="AG794">
        <f>IF(IFERROR(VLOOKUP(D794,Controls!$A$64:$E$74,4,FALSE),"No")="Yes",1,0)</f>
        <v/>
      </c>
      <c r="AH794">
        <f>IF(IFERROR(VLOOKUP(D794,Controls!$A$64:$E$74,5,FALSE),"No")="Yes",1,0)</f>
        <v/>
      </c>
      <c r="AI794">
        <f>IF(ISNUMBER(MATCH(D794,Controls!$A$64:$A$74,0)),1,0)</f>
        <v/>
      </c>
      <c r="AJ794">
        <f>Q794-N794</f>
        <v/>
      </c>
      <c r="AK794">
        <f>IF(AE794=1,MAX(0,N794-Q794),0)</f>
        <v/>
      </c>
      <c r="AL794">
        <f>IF(OR(V794="",V794=0),0,N794/V794)</f>
        <v/>
      </c>
      <c r="AM794">
        <f>IF(OR(V794="",V794=0),0,1)</f>
        <v/>
      </c>
      <c r="AN794">
        <f>IF(OR(E794="",F794=""),0,NETWORKDAYS(E794,F794,Ref!$K$2:$K$42))</f>
        <v/>
      </c>
      <c r="AO794">
        <f>IF(L794="Renewal",1,0)</f>
        <v/>
      </c>
      <c r="AP794">
        <f>AC794*AD794</f>
        <v/>
      </c>
      <c r="AQ794">
        <f>IF(AND(G794&lt;&gt;"",'Historical Score'!$C$6&lt;&gt;""),IF(G794='Historical Score'!$C$6,1,0),0)</f>
        <v/>
      </c>
      <c r="AR794">
        <f>IF(AND(L794&lt;&gt;"",'Historical Score'!$C$5&lt;&gt;""),IF(L794='Historical Score'!$C$5,1,0),0)</f>
        <v/>
      </c>
      <c r="AS794">
        <f>IF(AND(Y794&lt;&gt;"",'Historical Score'!$C$7&lt;&gt;""),IF(Y794='Historical Score'!$C$7,1,0),0)</f>
        <v/>
      </c>
      <c r="AT794">
        <f>IF(AND(K794&lt;&gt;"",'Historical Score'!$C$8&lt;&gt;""),IF(K794='Historical Score'!$C$8,1,0),0)</f>
        <v/>
      </c>
      <c r="AU794">
        <f>IF(AND(J794&lt;&gt;"",'Historical Score'!$C$9&lt;&gt;""),IF(J794='Historical Score'!$C$9,1,0),0)</f>
        <v/>
      </c>
      <c r="AV794">
        <f>AR794*AS794*AQ794</f>
        <v/>
      </c>
      <c r="AW794">
        <f>AR794*AT794*AQ794</f>
        <v/>
      </c>
      <c r="AX794">
        <f>AR794*AS794</f>
        <v/>
      </c>
      <c r="AY794">
        <f>AR794*AT794</f>
        <v/>
      </c>
      <c r="AZ794">
        <f>AR794*AQ794</f>
        <v/>
      </c>
      <c r="BA794">
        <f>AR794</f>
        <v/>
      </c>
      <c r="BB794">
        <f>1</f>
        <v/>
      </c>
      <c r="BC794">
        <f>IF(AV794=1,1,IF(AW794=1,2,IF(AX794=1,3,IF(AY794=1,4,IF(AZ794=1,5,IF(BA794=1,6,7))))))</f>
        <v/>
      </c>
      <c r="BD794">
        <f>IF(AD794=1,CHOOSE('Historical Score'!$C$29,AV794,AW794,AX794,AY794,AZ794,BA794,BB794),0)</f>
        <v/>
      </c>
      <c r="BE794">
        <f>IF(BD794=1,COUNTIF($BD$2:BD794,1),"")</f>
        <v/>
      </c>
    </row>
    <row r="795">
      <c r="A795" t="inlineStr">
        <is>
          <t>5674181840</t>
        </is>
      </c>
      <c r="B795" t="inlineStr">
        <is>
          <t>NHI T DAO SOLE PROP</t>
        </is>
      </c>
      <c r="C795" t="inlineStr">
        <is>
          <t>NHI T DAO SOLE PROP</t>
        </is>
      </c>
      <c r="D795" t="inlineStr">
        <is>
          <t>Closed</t>
        </is>
      </c>
      <c r="E795" s="297" t="n">
        <v>46127</v>
      </c>
      <c r="F795" s="297" t="n">
        <v>46241</v>
      </c>
      <c r="G795" t="n">
        <v>3</v>
      </c>
      <c r="H795" t="inlineStr">
        <is>
          <t>7231</t>
        </is>
      </c>
      <c r="I795" t="inlineStr">
        <is>
          <t>72</t>
        </is>
      </c>
      <c r="J795" t="inlineStr">
        <is>
          <t>MI</t>
        </is>
      </c>
      <c r="K795" t="inlineStr">
        <is>
          <t>United Secured Capital 8</t>
        </is>
      </c>
      <c r="L795" t="inlineStr">
        <is>
          <t>New Deal</t>
        </is>
      </c>
      <c r="M795" s="298" t="n">
        <v>1.49</v>
      </c>
      <c r="N795" s="299" t="n">
        <v>5000</v>
      </c>
      <c r="O795" s="299" t="n">
        <v>700</v>
      </c>
      <c r="P795" s="299" t="n">
        <v>7450</v>
      </c>
      <c r="Q795" s="299" t="n">
        <v>7450</v>
      </c>
      <c r="R795" s="299" t="n">
        <v>0</v>
      </c>
      <c r="S795" s="300" t="n">
        <v>1</v>
      </c>
      <c r="T795" t="n">
        <v>2.623</v>
      </c>
      <c r="U795" t="n">
        <v>0</v>
      </c>
      <c r="V795" t="n">
        <v>50624.1</v>
      </c>
      <c r="W795" s="300" t="n">
        <v>0.0386</v>
      </c>
      <c r="X795" s="297" t="n">
        <v>45612</v>
      </c>
      <c r="Y795">
        <f>IF(I795="","No SIC",IFERROR(VLOOKUP(I795,Ref!$A$2:$B$65,2,FALSE),"Unclassified"))</f>
        <v/>
      </c>
      <c r="Z795">
        <f>IF(T795="","",IF(T795&lt;12,"Daily","Weekly"))</f>
        <v/>
      </c>
      <c r="AA795">
        <f>IF(T795="",0,IF(T795&lt;12,T795*Controls!$B$29,T795*5))</f>
        <v/>
      </c>
      <c r="AB795">
        <f>IF(E795="",0,NETWORKDAYS(E795,Controls!$B$36,Ref!$K$2:$K$42))</f>
        <v/>
      </c>
      <c r="AC795">
        <f>IF(AND(AA795&gt;0,AB795&gt;=Controls!$B$39*AA795),1,0)</f>
        <v/>
      </c>
      <c r="AD795">
        <f>IF(AND(E795&lt;&gt;"",E795&gt;=Controls!$B$37,E795&lt;=Controls!$B$38),1,0)</f>
        <v/>
      </c>
      <c r="AE795">
        <f>IF(IFERROR(VLOOKUP(D795,Controls!$A$64:$E$74,2,FALSE),"No")="Yes",1,0)</f>
        <v/>
      </c>
      <c r="AF795">
        <f>IF(IFERROR(VLOOKUP(D795,Controls!$A$64:$E$74,3,FALSE),"No")="Yes",1,0)</f>
        <v/>
      </c>
      <c r="AG795">
        <f>IF(IFERROR(VLOOKUP(D795,Controls!$A$64:$E$74,4,FALSE),"No")="Yes",1,0)</f>
        <v/>
      </c>
      <c r="AH795">
        <f>IF(IFERROR(VLOOKUP(D795,Controls!$A$64:$E$74,5,FALSE),"No")="Yes",1,0)</f>
        <v/>
      </c>
      <c r="AI795">
        <f>IF(ISNUMBER(MATCH(D795,Controls!$A$64:$A$74,0)),1,0)</f>
        <v/>
      </c>
      <c r="AJ795">
        <f>Q795-N795</f>
        <v/>
      </c>
      <c r="AK795">
        <f>IF(AE795=1,MAX(0,N795-Q795),0)</f>
        <v/>
      </c>
      <c r="AL795">
        <f>IF(OR(V795="",V795=0),0,N795/V795)</f>
        <v/>
      </c>
      <c r="AM795">
        <f>IF(OR(V795="",V795=0),0,1)</f>
        <v/>
      </c>
      <c r="AN795">
        <f>IF(OR(E795="",F795=""),0,NETWORKDAYS(E795,F795,Ref!$K$2:$K$42))</f>
        <v/>
      </c>
      <c r="AO795">
        <f>IF(L795="Renewal",1,0)</f>
        <v/>
      </c>
      <c r="AP795">
        <f>AC795*AD795</f>
        <v/>
      </c>
      <c r="AQ795">
        <f>IF(AND(G795&lt;&gt;"",'Historical Score'!$C$6&lt;&gt;""),IF(G795='Historical Score'!$C$6,1,0),0)</f>
        <v/>
      </c>
      <c r="AR795">
        <f>IF(AND(L795&lt;&gt;"",'Historical Score'!$C$5&lt;&gt;""),IF(L795='Historical Score'!$C$5,1,0),0)</f>
        <v/>
      </c>
      <c r="AS795">
        <f>IF(AND(Y795&lt;&gt;"",'Historical Score'!$C$7&lt;&gt;""),IF(Y795='Historical Score'!$C$7,1,0),0)</f>
        <v/>
      </c>
      <c r="AT795">
        <f>IF(AND(K795&lt;&gt;"",'Historical Score'!$C$8&lt;&gt;""),IF(K795='Historical Score'!$C$8,1,0),0)</f>
        <v/>
      </c>
      <c r="AU795">
        <f>IF(AND(J795&lt;&gt;"",'Historical Score'!$C$9&lt;&gt;""),IF(J795='Historical Score'!$C$9,1,0),0)</f>
        <v/>
      </c>
      <c r="AV795">
        <f>AR795*AS795*AQ795</f>
        <v/>
      </c>
      <c r="AW795">
        <f>AR795*AT795*AQ795</f>
        <v/>
      </c>
      <c r="AX795">
        <f>AR795*AS795</f>
        <v/>
      </c>
      <c r="AY795">
        <f>AR795*AT795</f>
        <v/>
      </c>
      <c r="AZ795">
        <f>AR795*AQ795</f>
        <v/>
      </c>
      <c r="BA795">
        <f>AR795</f>
        <v/>
      </c>
      <c r="BB795">
        <f>1</f>
        <v/>
      </c>
      <c r="BC795">
        <f>IF(AV795=1,1,IF(AW795=1,2,IF(AX795=1,3,IF(AY795=1,4,IF(AZ795=1,5,IF(BA795=1,6,7))))))</f>
        <v/>
      </c>
      <c r="BD795">
        <f>IF(AD795=1,CHOOSE('Historical Score'!$C$29,AV795,AW795,AX795,AY795,AZ795,BA795,BB795),0)</f>
        <v/>
      </c>
      <c r="BE795">
        <f>IF(BD795=1,COUNTIF($BD$2:BD795,1),"")</f>
        <v/>
      </c>
    </row>
    <row r="796">
      <c r="A796" t="inlineStr">
        <is>
          <t>5674181872</t>
        </is>
      </c>
      <c r="B796" t="inlineStr">
        <is>
          <t>Matt Gifford Painting LLC</t>
        </is>
      </c>
      <c r="C796" t="inlineStr">
        <is>
          <t>Matt Gifford Painting LLC</t>
        </is>
      </c>
      <c r="D796" t="inlineStr">
        <is>
          <t>Open</t>
        </is>
      </c>
      <c r="E796" s="297" t="n">
        <v>46128</v>
      </c>
      <c r="F796" s="297" t="n">
        <v>46248</v>
      </c>
      <c r="G796" t="n">
        <v>3</v>
      </c>
      <c r="H796" t="inlineStr">
        <is>
          <t>1799</t>
        </is>
      </c>
      <c r="I796" t="inlineStr">
        <is>
          <t>17</t>
        </is>
      </c>
      <c r="J796" t="inlineStr">
        <is>
          <t>CA</t>
        </is>
      </c>
      <c r="K796" t="inlineStr">
        <is>
          <t>Vanguard Equities</t>
        </is>
      </c>
      <c r="L796" t="inlineStr">
        <is>
          <t>New Deal</t>
        </is>
      </c>
      <c r="M796" s="298" t="n">
        <v>1.4</v>
      </c>
      <c r="N796" s="299" t="n">
        <v>20000</v>
      </c>
      <c r="O796" s="299" t="n">
        <v>1900</v>
      </c>
      <c r="P796" s="299" t="n">
        <v>28000</v>
      </c>
      <c r="Q796" s="299" t="n">
        <v>21629.61</v>
      </c>
      <c r="R796" s="299" t="n">
        <v>6370.39</v>
      </c>
      <c r="S796" s="300" t="n">
        <v>0.772486071428571</v>
      </c>
      <c r="T796" t="n">
        <v>22</v>
      </c>
      <c r="U796" t="n">
        <v>0</v>
      </c>
      <c r="V796" t="n">
        <v>65584.03</v>
      </c>
      <c r="W796" s="300" t="n">
        <v>0.0776</v>
      </c>
      <c r="X796" s="297" t="n">
        <v>43800</v>
      </c>
      <c r="Y796">
        <f>IF(I796="","No SIC",IFERROR(VLOOKUP(I796,Ref!$A$2:$B$65,2,FALSE),"Unclassified"))</f>
        <v/>
      </c>
      <c r="Z796">
        <f>IF(T796="","",IF(T796&lt;12,"Daily","Weekly"))</f>
        <v/>
      </c>
      <c r="AA796">
        <f>IF(T796="",0,IF(T796&lt;12,T796*Controls!$B$29,T796*5))</f>
        <v/>
      </c>
      <c r="AB796">
        <f>IF(E796="",0,NETWORKDAYS(E796,Controls!$B$36,Ref!$K$2:$K$42))</f>
        <v/>
      </c>
      <c r="AC796">
        <f>IF(AND(AA796&gt;0,AB796&gt;=Controls!$B$39*AA796),1,0)</f>
        <v/>
      </c>
      <c r="AD796">
        <f>IF(AND(E796&lt;&gt;"",E796&gt;=Controls!$B$37,E796&lt;=Controls!$B$38),1,0)</f>
        <v/>
      </c>
      <c r="AE796">
        <f>IF(IFERROR(VLOOKUP(D796,Controls!$A$64:$E$74,2,FALSE),"No")="Yes",1,0)</f>
        <v/>
      </c>
      <c r="AF796">
        <f>IF(IFERROR(VLOOKUP(D796,Controls!$A$64:$E$74,3,FALSE),"No")="Yes",1,0)</f>
        <v/>
      </c>
      <c r="AG796">
        <f>IF(IFERROR(VLOOKUP(D796,Controls!$A$64:$E$74,4,FALSE),"No")="Yes",1,0)</f>
        <v/>
      </c>
      <c r="AH796">
        <f>IF(IFERROR(VLOOKUP(D796,Controls!$A$64:$E$74,5,FALSE),"No")="Yes",1,0)</f>
        <v/>
      </c>
      <c r="AI796">
        <f>IF(ISNUMBER(MATCH(D796,Controls!$A$64:$A$74,0)),1,0)</f>
        <v/>
      </c>
      <c r="AJ796">
        <f>Q796-N796</f>
        <v/>
      </c>
      <c r="AK796">
        <f>IF(AE796=1,MAX(0,N796-Q796),0)</f>
        <v/>
      </c>
      <c r="AL796">
        <f>IF(OR(V796="",V796=0),0,N796/V796)</f>
        <v/>
      </c>
      <c r="AM796">
        <f>IF(OR(V796="",V796=0),0,1)</f>
        <v/>
      </c>
      <c r="AN796">
        <f>IF(OR(E796="",F796=""),0,NETWORKDAYS(E796,F796,Ref!$K$2:$K$42))</f>
        <v/>
      </c>
      <c r="AO796">
        <f>IF(L796="Renewal",1,0)</f>
        <v/>
      </c>
      <c r="AP796">
        <f>AC796*AD796</f>
        <v/>
      </c>
      <c r="AQ796">
        <f>IF(AND(G796&lt;&gt;"",'Historical Score'!$C$6&lt;&gt;""),IF(G796='Historical Score'!$C$6,1,0),0)</f>
        <v/>
      </c>
      <c r="AR796">
        <f>IF(AND(L796&lt;&gt;"",'Historical Score'!$C$5&lt;&gt;""),IF(L796='Historical Score'!$C$5,1,0),0)</f>
        <v/>
      </c>
      <c r="AS796">
        <f>IF(AND(Y796&lt;&gt;"",'Historical Score'!$C$7&lt;&gt;""),IF(Y796='Historical Score'!$C$7,1,0),0)</f>
        <v/>
      </c>
      <c r="AT796">
        <f>IF(AND(K796&lt;&gt;"",'Historical Score'!$C$8&lt;&gt;""),IF(K796='Historical Score'!$C$8,1,0),0)</f>
        <v/>
      </c>
      <c r="AU796">
        <f>IF(AND(J796&lt;&gt;"",'Historical Score'!$C$9&lt;&gt;""),IF(J796='Historical Score'!$C$9,1,0),0)</f>
        <v/>
      </c>
      <c r="AV796">
        <f>AR796*AS796*AQ796</f>
        <v/>
      </c>
      <c r="AW796">
        <f>AR796*AT796*AQ796</f>
        <v/>
      </c>
      <c r="AX796">
        <f>AR796*AS796</f>
        <v/>
      </c>
      <c r="AY796">
        <f>AR796*AT796</f>
        <v/>
      </c>
      <c r="AZ796">
        <f>AR796*AQ796</f>
        <v/>
      </c>
      <c r="BA796">
        <f>AR796</f>
        <v/>
      </c>
      <c r="BB796">
        <f>1</f>
        <v/>
      </c>
      <c r="BC796">
        <f>IF(AV796=1,1,IF(AW796=1,2,IF(AX796=1,3,IF(AY796=1,4,IF(AZ796=1,5,IF(BA796=1,6,7))))))</f>
        <v/>
      </c>
      <c r="BD796">
        <f>IF(AD796=1,CHOOSE('Historical Score'!$C$29,AV796,AW796,AX796,AY796,AZ796,BA796,BB796),0)</f>
        <v/>
      </c>
      <c r="BE796">
        <f>IF(BD796=1,COUNTIF($BD$2:BD796,1),"")</f>
        <v/>
      </c>
    </row>
    <row r="797">
      <c r="A797" t="inlineStr">
        <is>
          <t>5674181931</t>
        </is>
      </c>
      <c r="B797" t="inlineStr">
        <is>
          <t>CP INFINITY CONSULTING LLC</t>
        </is>
      </c>
      <c r="C797" t="inlineStr">
        <is>
          <t>CP INFINITY CONSULTING LLC</t>
        </is>
      </c>
      <c r="D797" t="inlineStr">
        <is>
          <t>Open</t>
        </is>
      </c>
      <c r="E797" s="297" t="n">
        <v>46128</v>
      </c>
      <c r="F797" s="297" t="n">
        <v>46248</v>
      </c>
      <c r="G797" t="n">
        <v>3</v>
      </c>
      <c r="H797" t="inlineStr">
        <is>
          <t>8742</t>
        </is>
      </c>
      <c r="I797" t="inlineStr">
        <is>
          <t>87</t>
        </is>
      </c>
      <c r="J797" t="inlineStr">
        <is>
          <t>FL</t>
        </is>
      </c>
      <c r="K797" t="inlineStr">
        <is>
          <t>level 3 funding</t>
        </is>
      </c>
      <c r="L797" t="inlineStr">
        <is>
          <t>New Deal</t>
        </is>
      </c>
      <c r="M797" s="298" t="n">
        <v>1.49</v>
      </c>
      <c r="N797" s="299" t="n">
        <v>6000</v>
      </c>
      <c r="O797" s="299" t="n">
        <v>840</v>
      </c>
      <c r="P797" s="299" t="n">
        <v>8940</v>
      </c>
      <c r="Q797" s="299" t="n">
        <v>4470.24</v>
      </c>
      <c r="R797" s="299" t="n">
        <v>4469.76</v>
      </c>
      <c r="S797" s="300" t="n">
        <v>0.500026845637584</v>
      </c>
      <c r="T797" t="n">
        <v>24</v>
      </c>
      <c r="U797" t="n">
        <v>5</v>
      </c>
      <c r="V797" t="n">
        <v>6400.67</v>
      </c>
      <c r="W797" s="300" t="n">
        <v>0.2328</v>
      </c>
      <c r="X797" s="297" t="n">
        <v>45627</v>
      </c>
      <c r="Y797">
        <f>IF(I797="","No SIC",IFERROR(VLOOKUP(I797,Ref!$A$2:$B$65,2,FALSE),"Unclassified"))</f>
        <v/>
      </c>
      <c r="Z797">
        <f>IF(T797="","",IF(T797&lt;12,"Daily","Weekly"))</f>
        <v/>
      </c>
      <c r="AA797">
        <f>IF(T797="",0,IF(T797&lt;12,T797*Controls!$B$29,T797*5))</f>
        <v/>
      </c>
      <c r="AB797">
        <f>IF(E797="",0,NETWORKDAYS(E797,Controls!$B$36,Ref!$K$2:$K$42))</f>
        <v/>
      </c>
      <c r="AC797">
        <f>IF(AND(AA797&gt;0,AB797&gt;=Controls!$B$39*AA797),1,0)</f>
        <v/>
      </c>
      <c r="AD797">
        <f>IF(AND(E797&lt;&gt;"",E797&gt;=Controls!$B$37,E797&lt;=Controls!$B$38),1,0)</f>
        <v/>
      </c>
      <c r="AE797">
        <f>IF(IFERROR(VLOOKUP(D797,Controls!$A$64:$E$74,2,FALSE),"No")="Yes",1,0)</f>
        <v/>
      </c>
      <c r="AF797">
        <f>IF(IFERROR(VLOOKUP(D797,Controls!$A$64:$E$74,3,FALSE),"No")="Yes",1,0)</f>
        <v/>
      </c>
      <c r="AG797">
        <f>IF(IFERROR(VLOOKUP(D797,Controls!$A$64:$E$74,4,FALSE),"No")="Yes",1,0)</f>
        <v/>
      </c>
      <c r="AH797">
        <f>IF(IFERROR(VLOOKUP(D797,Controls!$A$64:$E$74,5,FALSE),"No")="Yes",1,0)</f>
        <v/>
      </c>
      <c r="AI797">
        <f>IF(ISNUMBER(MATCH(D797,Controls!$A$64:$A$74,0)),1,0)</f>
        <v/>
      </c>
      <c r="AJ797">
        <f>Q797-N797</f>
        <v/>
      </c>
      <c r="AK797">
        <f>IF(AE797=1,MAX(0,N797-Q797),0)</f>
        <v/>
      </c>
      <c r="AL797">
        <f>IF(OR(V797="",V797=0),0,N797/V797)</f>
        <v/>
      </c>
      <c r="AM797">
        <f>IF(OR(V797="",V797=0),0,1)</f>
        <v/>
      </c>
      <c r="AN797">
        <f>IF(OR(E797="",F797=""),0,NETWORKDAYS(E797,F797,Ref!$K$2:$K$42))</f>
        <v/>
      </c>
      <c r="AO797">
        <f>IF(L797="Renewal",1,0)</f>
        <v/>
      </c>
      <c r="AP797">
        <f>AC797*AD797</f>
        <v/>
      </c>
      <c r="AQ797">
        <f>IF(AND(G797&lt;&gt;"",'Historical Score'!$C$6&lt;&gt;""),IF(G797='Historical Score'!$C$6,1,0),0)</f>
        <v/>
      </c>
      <c r="AR797">
        <f>IF(AND(L797&lt;&gt;"",'Historical Score'!$C$5&lt;&gt;""),IF(L797='Historical Score'!$C$5,1,0),0)</f>
        <v/>
      </c>
      <c r="AS797">
        <f>IF(AND(Y797&lt;&gt;"",'Historical Score'!$C$7&lt;&gt;""),IF(Y797='Historical Score'!$C$7,1,0),0)</f>
        <v/>
      </c>
      <c r="AT797">
        <f>IF(AND(K797&lt;&gt;"",'Historical Score'!$C$8&lt;&gt;""),IF(K797='Historical Score'!$C$8,1,0),0)</f>
        <v/>
      </c>
      <c r="AU797">
        <f>IF(AND(J797&lt;&gt;"",'Historical Score'!$C$9&lt;&gt;""),IF(J797='Historical Score'!$C$9,1,0),0)</f>
        <v/>
      </c>
      <c r="AV797">
        <f>AR797*AS797*AQ797</f>
        <v/>
      </c>
      <c r="AW797">
        <f>AR797*AT797*AQ797</f>
        <v/>
      </c>
      <c r="AX797">
        <f>AR797*AS797</f>
        <v/>
      </c>
      <c r="AY797">
        <f>AR797*AT797</f>
        <v/>
      </c>
      <c r="AZ797">
        <f>AR797*AQ797</f>
        <v/>
      </c>
      <c r="BA797">
        <f>AR797</f>
        <v/>
      </c>
      <c r="BB797">
        <f>1</f>
        <v/>
      </c>
      <c r="BC797">
        <f>IF(AV797=1,1,IF(AW797=1,2,IF(AX797=1,3,IF(AY797=1,4,IF(AZ797=1,5,IF(BA797=1,6,7))))))</f>
        <v/>
      </c>
      <c r="BD797">
        <f>IF(AD797=1,CHOOSE('Historical Score'!$C$29,AV797,AW797,AX797,AY797,AZ797,BA797,BB797),0)</f>
        <v/>
      </c>
      <c r="BE797">
        <f>IF(BD797=1,COUNTIF($BD$2:BD797,1),"")</f>
        <v/>
      </c>
    </row>
    <row r="798">
      <c r="A798" t="inlineStr">
        <is>
          <t>5674181935</t>
        </is>
      </c>
      <c r="B798" t="inlineStr">
        <is>
          <t>All inclusive service station Corp</t>
        </is>
      </c>
      <c r="C798" t="inlineStr">
        <is>
          <t>All inclusive service station Corp</t>
        </is>
      </c>
      <c r="D798" t="inlineStr">
        <is>
          <t>Closed</t>
        </is>
      </c>
      <c r="E798" s="297" t="n">
        <v>46128</v>
      </c>
      <c r="F798" s="297" t="n">
        <v>46181</v>
      </c>
      <c r="G798" t="n">
        <v>3</v>
      </c>
      <c r="H798" t="inlineStr">
        <is>
          <t>5541</t>
        </is>
      </c>
      <c r="I798" t="inlineStr">
        <is>
          <t>55</t>
        </is>
      </c>
      <c r="J798" t="inlineStr">
        <is>
          <t>PR</t>
        </is>
      </c>
      <c r="K798" t="inlineStr">
        <is>
          <t>ontime cap</t>
        </is>
      </c>
      <c r="L798" t="inlineStr">
        <is>
          <t>Renewal</t>
        </is>
      </c>
      <c r="M798" s="298" t="n">
        <v>1.49</v>
      </c>
      <c r="N798" s="299" t="n">
        <v>40000</v>
      </c>
      <c r="O798" s="299" t="n">
        <v>5600</v>
      </c>
      <c r="P798" s="299" t="n">
        <v>59600</v>
      </c>
      <c r="Q798" s="299" t="n">
        <v>59600</v>
      </c>
      <c r="R798" s="299" t="n">
        <v>0</v>
      </c>
      <c r="S798" s="300" t="n">
        <v>1</v>
      </c>
      <c r="T798" t="n">
        <v>1.967</v>
      </c>
      <c r="U798" t="n">
        <v>0</v>
      </c>
      <c r="V798" t="n">
        <v>457409.35</v>
      </c>
      <c r="W798" s="300" t="n">
        <v>0.0553</v>
      </c>
      <c r="X798" s="297" t="n">
        <v>42535</v>
      </c>
      <c r="Y798">
        <f>IF(I798="","No SIC",IFERROR(VLOOKUP(I798,Ref!$A$2:$B$65,2,FALSE),"Unclassified"))</f>
        <v/>
      </c>
      <c r="Z798">
        <f>IF(T798="","",IF(T798&lt;12,"Daily","Weekly"))</f>
        <v/>
      </c>
      <c r="AA798">
        <f>IF(T798="",0,IF(T798&lt;12,T798*Controls!$B$29,T798*5))</f>
        <v/>
      </c>
      <c r="AB798">
        <f>IF(E798="",0,NETWORKDAYS(E798,Controls!$B$36,Ref!$K$2:$K$42))</f>
        <v/>
      </c>
      <c r="AC798">
        <f>IF(AND(AA798&gt;0,AB798&gt;=Controls!$B$39*AA798),1,0)</f>
        <v/>
      </c>
      <c r="AD798">
        <f>IF(AND(E798&lt;&gt;"",E798&gt;=Controls!$B$37,E798&lt;=Controls!$B$38),1,0)</f>
        <v/>
      </c>
      <c r="AE798">
        <f>IF(IFERROR(VLOOKUP(D798,Controls!$A$64:$E$74,2,FALSE),"No")="Yes",1,0)</f>
        <v/>
      </c>
      <c r="AF798">
        <f>IF(IFERROR(VLOOKUP(D798,Controls!$A$64:$E$74,3,FALSE),"No")="Yes",1,0)</f>
        <v/>
      </c>
      <c r="AG798">
        <f>IF(IFERROR(VLOOKUP(D798,Controls!$A$64:$E$74,4,FALSE),"No")="Yes",1,0)</f>
        <v/>
      </c>
      <c r="AH798">
        <f>IF(IFERROR(VLOOKUP(D798,Controls!$A$64:$E$74,5,FALSE),"No")="Yes",1,0)</f>
        <v/>
      </c>
      <c r="AI798">
        <f>IF(ISNUMBER(MATCH(D798,Controls!$A$64:$A$74,0)),1,0)</f>
        <v/>
      </c>
      <c r="AJ798">
        <f>Q798-N798</f>
        <v/>
      </c>
      <c r="AK798">
        <f>IF(AE798=1,MAX(0,N798-Q798),0)</f>
        <v/>
      </c>
      <c r="AL798">
        <f>IF(OR(V798="",V798=0),0,N798/V798)</f>
        <v/>
      </c>
      <c r="AM798">
        <f>IF(OR(V798="",V798=0),0,1)</f>
        <v/>
      </c>
      <c r="AN798">
        <f>IF(OR(E798="",F798=""),0,NETWORKDAYS(E798,F798,Ref!$K$2:$K$42))</f>
        <v/>
      </c>
      <c r="AO798">
        <f>IF(L798="Renewal",1,0)</f>
        <v/>
      </c>
      <c r="AP798">
        <f>AC798*AD798</f>
        <v/>
      </c>
      <c r="AQ798">
        <f>IF(AND(G798&lt;&gt;"",'Historical Score'!$C$6&lt;&gt;""),IF(G798='Historical Score'!$C$6,1,0),0)</f>
        <v/>
      </c>
      <c r="AR798">
        <f>IF(AND(L798&lt;&gt;"",'Historical Score'!$C$5&lt;&gt;""),IF(L798='Historical Score'!$C$5,1,0),0)</f>
        <v/>
      </c>
      <c r="AS798">
        <f>IF(AND(Y798&lt;&gt;"",'Historical Score'!$C$7&lt;&gt;""),IF(Y798='Historical Score'!$C$7,1,0),0)</f>
        <v/>
      </c>
      <c r="AT798">
        <f>IF(AND(K798&lt;&gt;"",'Historical Score'!$C$8&lt;&gt;""),IF(K798='Historical Score'!$C$8,1,0),0)</f>
        <v/>
      </c>
      <c r="AU798">
        <f>IF(AND(J798&lt;&gt;"",'Historical Score'!$C$9&lt;&gt;""),IF(J798='Historical Score'!$C$9,1,0),0)</f>
        <v/>
      </c>
      <c r="AV798">
        <f>AR798*AS798*AQ798</f>
        <v/>
      </c>
      <c r="AW798">
        <f>AR798*AT798*AQ798</f>
        <v/>
      </c>
      <c r="AX798">
        <f>AR798*AS798</f>
        <v/>
      </c>
      <c r="AY798">
        <f>AR798*AT798</f>
        <v/>
      </c>
      <c r="AZ798">
        <f>AR798*AQ798</f>
        <v/>
      </c>
      <c r="BA798">
        <f>AR798</f>
        <v/>
      </c>
      <c r="BB798">
        <f>1</f>
        <v/>
      </c>
      <c r="BC798">
        <f>IF(AV798=1,1,IF(AW798=1,2,IF(AX798=1,3,IF(AY798=1,4,IF(AZ798=1,5,IF(BA798=1,6,7))))))</f>
        <v/>
      </c>
      <c r="BD798">
        <f>IF(AD798=1,CHOOSE('Historical Score'!$C$29,AV798,AW798,AX798,AY798,AZ798,BA798,BB798),0)</f>
        <v/>
      </c>
      <c r="BE798">
        <f>IF(BD798=1,COUNTIF($BD$2:BD798,1),"")</f>
        <v/>
      </c>
    </row>
    <row r="799">
      <c r="A799" t="inlineStr">
        <is>
          <t>5674181942</t>
        </is>
      </c>
      <c r="B799" t="inlineStr">
        <is>
          <t>MCD VETERANS LLC</t>
        </is>
      </c>
      <c r="C799" t="inlineStr">
        <is>
          <t>MCD VETERANS LLC</t>
        </is>
      </c>
      <c r="D799" t="inlineStr">
        <is>
          <t>Open</t>
        </is>
      </c>
      <c r="E799" s="297" t="n">
        <v>46128</v>
      </c>
      <c r="F799" s="297" t="n">
        <v>46233</v>
      </c>
      <c r="G799" t="n">
        <v>3</v>
      </c>
      <c r="H799" t="inlineStr">
        <is>
          <t>6531</t>
        </is>
      </c>
      <c r="I799" t="inlineStr">
        <is>
          <t>65</t>
        </is>
      </c>
      <c r="J799" t="inlineStr">
        <is>
          <t>LA</t>
        </is>
      </c>
      <c r="K799" t="inlineStr">
        <is>
          <t>United Secured Capital 8</t>
        </is>
      </c>
      <c r="L799" t="inlineStr">
        <is>
          <t>New Deal</t>
        </is>
      </c>
      <c r="M799" s="298" t="n">
        <v>1.49</v>
      </c>
      <c r="N799" s="299" t="n">
        <v>20000</v>
      </c>
      <c r="O799" s="299" t="n">
        <v>2800</v>
      </c>
      <c r="P799" s="299" t="n">
        <v>29800</v>
      </c>
      <c r="Q799" s="299" t="n">
        <v>29765</v>
      </c>
      <c r="R799" s="299" t="n">
        <v>35</v>
      </c>
      <c r="S799" s="300" t="n">
        <v>0.998825503355705</v>
      </c>
      <c r="T799" t="n">
        <v>3.279</v>
      </c>
      <c r="U799" t="n">
        <v>1</v>
      </c>
      <c r="V799" t="n">
        <v>144343.78</v>
      </c>
      <c r="W799" s="300" t="n">
        <v>0.0434</v>
      </c>
      <c r="X799" s="297" t="n">
        <v>44044</v>
      </c>
      <c r="Y799">
        <f>IF(I799="","No SIC",IFERROR(VLOOKUP(I799,Ref!$A$2:$B$65,2,FALSE),"Unclassified"))</f>
        <v/>
      </c>
      <c r="Z799">
        <f>IF(T799="","",IF(T799&lt;12,"Daily","Weekly"))</f>
        <v/>
      </c>
      <c r="AA799">
        <f>IF(T799="",0,IF(T799&lt;12,T799*Controls!$B$29,T799*5))</f>
        <v/>
      </c>
      <c r="AB799">
        <f>IF(E799="",0,NETWORKDAYS(E799,Controls!$B$36,Ref!$K$2:$K$42))</f>
        <v/>
      </c>
      <c r="AC799">
        <f>IF(AND(AA799&gt;0,AB799&gt;=Controls!$B$39*AA799),1,0)</f>
        <v/>
      </c>
      <c r="AD799">
        <f>IF(AND(E799&lt;&gt;"",E799&gt;=Controls!$B$37,E799&lt;=Controls!$B$38),1,0)</f>
        <v/>
      </c>
      <c r="AE799">
        <f>IF(IFERROR(VLOOKUP(D799,Controls!$A$64:$E$74,2,FALSE),"No")="Yes",1,0)</f>
        <v/>
      </c>
      <c r="AF799">
        <f>IF(IFERROR(VLOOKUP(D799,Controls!$A$64:$E$74,3,FALSE),"No")="Yes",1,0)</f>
        <v/>
      </c>
      <c r="AG799">
        <f>IF(IFERROR(VLOOKUP(D799,Controls!$A$64:$E$74,4,FALSE),"No")="Yes",1,0)</f>
        <v/>
      </c>
      <c r="AH799">
        <f>IF(IFERROR(VLOOKUP(D799,Controls!$A$64:$E$74,5,FALSE),"No")="Yes",1,0)</f>
        <v/>
      </c>
      <c r="AI799">
        <f>IF(ISNUMBER(MATCH(D799,Controls!$A$64:$A$74,0)),1,0)</f>
        <v/>
      </c>
      <c r="AJ799">
        <f>Q799-N799</f>
        <v/>
      </c>
      <c r="AK799">
        <f>IF(AE799=1,MAX(0,N799-Q799),0)</f>
        <v/>
      </c>
      <c r="AL799">
        <f>IF(OR(V799="",V799=0),0,N799/V799)</f>
        <v/>
      </c>
      <c r="AM799">
        <f>IF(OR(V799="",V799=0),0,1)</f>
        <v/>
      </c>
      <c r="AN799">
        <f>IF(OR(E799="",F799=""),0,NETWORKDAYS(E799,F799,Ref!$K$2:$K$42))</f>
        <v/>
      </c>
      <c r="AO799">
        <f>IF(L799="Renewal",1,0)</f>
        <v/>
      </c>
      <c r="AP799">
        <f>AC799*AD799</f>
        <v/>
      </c>
      <c r="AQ799">
        <f>IF(AND(G799&lt;&gt;"",'Historical Score'!$C$6&lt;&gt;""),IF(G799='Historical Score'!$C$6,1,0),0)</f>
        <v/>
      </c>
      <c r="AR799">
        <f>IF(AND(L799&lt;&gt;"",'Historical Score'!$C$5&lt;&gt;""),IF(L799='Historical Score'!$C$5,1,0),0)</f>
        <v/>
      </c>
      <c r="AS799">
        <f>IF(AND(Y799&lt;&gt;"",'Historical Score'!$C$7&lt;&gt;""),IF(Y799='Historical Score'!$C$7,1,0),0)</f>
        <v/>
      </c>
      <c r="AT799">
        <f>IF(AND(K799&lt;&gt;"",'Historical Score'!$C$8&lt;&gt;""),IF(K799='Historical Score'!$C$8,1,0),0)</f>
        <v/>
      </c>
      <c r="AU799">
        <f>IF(AND(J799&lt;&gt;"",'Historical Score'!$C$9&lt;&gt;""),IF(J799='Historical Score'!$C$9,1,0),0)</f>
        <v/>
      </c>
      <c r="AV799">
        <f>AR799*AS799*AQ799</f>
        <v/>
      </c>
      <c r="AW799">
        <f>AR799*AT799*AQ799</f>
        <v/>
      </c>
      <c r="AX799">
        <f>AR799*AS799</f>
        <v/>
      </c>
      <c r="AY799">
        <f>AR799*AT799</f>
        <v/>
      </c>
      <c r="AZ799">
        <f>AR799*AQ799</f>
        <v/>
      </c>
      <c r="BA799">
        <f>AR799</f>
        <v/>
      </c>
      <c r="BB799">
        <f>1</f>
        <v/>
      </c>
      <c r="BC799">
        <f>IF(AV799=1,1,IF(AW799=1,2,IF(AX799=1,3,IF(AY799=1,4,IF(AZ799=1,5,IF(BA799=1,6,7))))))</f>
        <v/>
      </c>
      <c r="BD799">
        <f>IF(AD799=1,CHOOSE('Historical Score'!$C$29,AV799,AW799,AX799,AY799,AZ799,BA799,BB799),0)</f>
        <v/>
      </c>
      <c r="BE799">
        <f>IF(BD799=1,COUNTIF($BD$2:BD799,1),"")</f>
        <v/>
      </c>
    </row>
    <row r="800">
      <c r="A800" t="inlineStr">
        <is>
          <t>5674181949</t>
        </is>
      </c>
      <c r="B800" t="inlineStr">
        <is>
          <t>1st Choice Realty, LLC</t>
        </is>
      </c>
      <c r="C800" t="inlineStr">
        <is>
          <t>1st Choice Realty, LLC</t>
        </is>
      </c>
      <c r="D800" t="inlineStr">
        <is>
          <t>Closed</t>
        </is>
      </c>
      <c r="E800" s="297" t="n">
        <v>46128</v>
      </c>
      <c r="F800" s="297" t="n">
        <v>46218</v>
      </c>
      <c r="G800" t="n">
        <v>3</v>
      </c>
      <c r="H800" t="inlineStr">
        <is>
          <t>6531</t>
        </is>
      </c>
      <c r="I800" t="inlineStr">
        <is>
          <t>65</t>
        </is>
      </c>
      <c r="J800" t="inlineStr">
        <is>
          <t>No state</t>
        </is>
      </c>
      <c r="K800" t="inlineStr">
        <is>
          <t>Monarch funding Group</t>
        </is>
      </c>
      <c r="L800" t="inlineStr">
        <is>
          <t>New Deal</t>
        </is>
      </c>
      <c r="M800" s="298" t="n">
        <v>1.49</v>
      </c>
      <c r="N800" s="299" t="n">
        <v>10000</v>
      </c>
      <c r="O800" s="299" t="n">
        <v>1400</v>
      </c>
      <c r="P800" s="299" t="n">
        <v>14900</v>
      </c>
      <c r="Q800" s="299" t="n">
        <v>14900</v>
      </c>
      <c r="R800" s="299" t="n">
        <v>0</v>
      </c>
      <c r="S800" s="300" t="n">
        <v>1</v>
      </c>
      <c r="T800" t="n">
        <v>2.459</v>
      </c>
      <c r="U800" t="n">
        <v>0</v>
      </c>
      <c r="V800" t="n">
        <v>96907.37</v>
      </c>
      <c r="W800" s="300" t="n">
        <v>0.0431</v>
      </c>
      <c r="X800" s="297" t="n">
        <v>44232</v>
      </c>
      <c r="Y800">
        <f>IF(I800="","No SIC",IFERROR(VLOOKUP(I800,Ref!$A$2:$B$65,2,FALSE),"Unclassified"))</f>
        <v/>
      </c>
      <c r="Z800">
        <f>IF(T800="","",IF(T800&lt;12,"Daily","Weekly"))</f>
        <v/>
      </c>
      <c r="AA800">
        <f>IF(T800="",0,IF(T800&lt;12,T800*Controls!$B$29,T800*5))</f>
        <v/>
      </c>
      <c r="AB800">
        <f>IF(E800="",0,NETWORKDAYS(E800,Controls!$B$36,Ref!$K$2:$K$42))</f>
        <v/>
      </c>
      <c r="AC800">
        <f>IF(AND(AA800&gt;0,AB800&gt;=Controls!$B$39*AA800),1,0)</f>
        <v/>
      </c>
      <c r="AD800">
        <f>IF(AND(E800&lt;&gt;"",E800&gt;=Controls!$B$37,E800&lt;=Controls!$B$38),1,0)</f>
        <v/>
      </c>
      <c r="AE800">
        <f>IF(IFERROR(VLOOKUP(D800,Controls!$A$64:$E$74,2,FALSE),"No")="Yes",1,0)</f>
        <v/>
      </c>
      <c r="AF800">
        <f>IF(IFERROR(VLOOKUP(D800,Controls!$A$64:$E$74,3,FALSE),"No")="Yes",1,0)</f>
        <v/>
      </c>
      <c r="AG800">
        <f>IF(IFERROR(VLOOKUP(D800,Controls!$A$64:$E$74,4,FALSE),"No")="Yes",1,0)</f>
        <v/>
      </c>
      <c r="AH800">
        <f>IF(IFERROR(VLOOKUP(D800,Controls!$A$64:$E$74,5,FALSE),"No")="Yes",1,0)</f>
        <v/>
      </c>
      <c r="AI800">
        <f>IF(ISNUMBER(MATCH(D800,Controls!$A$64:$A$74,0)),1,0)</f>
        <v/>
      </c>
      <c r="AJ800">
        <f>Q800-N800</f>
        <v/>
      </c>
      <c r="AK800">
        <f>IF(AE800=1,MAX(0,N800-Q800),0)</f>
        <v/>
      </c>
      <c r="AL800">
        <f>IF(OR(V800="",V800=0),0,N800/V800)</f>
        <v/>
      </c>
      <c r="AM800">
        <f>IF(OR(V800="",V800=0),0,1)</f>
        <v/>
      </c>
      <c r="AN800">
        <f>IF(OR(E800="",F800=""),0,NETWORKDAYS(E800,F800,Ref!$K$2:$K$42))</f>
        <v/>
      </c>
      <c r="AO800">
        <f>IF(L800="Renewal",1,0)</f>
        <v/>
      </c>
      <c r="AP800">
        <f>AC800*AD800</f>
        <v/>
      </c>
      <c r="AQ800">
        <f>IF(AND(G800&lt;&gt;"",'Historical Score'!$C$6&lt;&gt;""),IF(G800='Historical Score'!$C$6,1,0),0)</f>
        <v/>
      </c>
      <c r="AR800">
        <f>IF(AND(L800&lt;&gt;"",'Historical Score'!$C$5&lt;&gt;""),IF(L800='Historical Score'!$C$5,1,0),0)</f>
        <v/>
      </c>
      <c r="AS800">
        <f>IF(AND(Y800&lt;&gt;"",'Historical Score'!$C$7&lt;&gt;""),IF(Y800='Historical Score'!$C$7,1,0),0)</f>
        <v/>
      </c>
      <c r="AT800">
        <f>IF(AND(K800&lt;&gt;"",'Historical Score'!$C$8&lt;&gt;""),IF(K800='Historical Score'!$C$8,1,0),0)</f>
        <v/>
      </c>
      <c r="AU800">
        <f>IF(AND(J800&lt;&gt;"",'Historical Score'!$C$9&lt;&gt;""),IF(J800='Historical Score'!$C$9,1,0),0)</f>
        <v/>
      </c>
      <c r="AV800">
        <f>AR800*AS800*AQ800</f>
        <v/>
      </c>
      <c r="AW800">
        <f>AR800*AT800*AQ800</f>
        <v/>
      </c>
      <c r="AX800">
        <f>AR800*AS800</f>
        <v/>
      </c>
      <c r="AY800">
        <f>AR800*AT800</f>
        <v/>
      </c>
      <c r="AZ800">
        <f>AR800*AQ800</f>
        <v/>
      </c>
      <c r="BA800">
        <f>AR800</f>
        <v/>
      </c>
      <c r="BB800">
        <f>1</f>
        <v/>
      </c>
      <c r="BC800">
        <f>IF(AV800=1,1,IF(AW800=1,2,IF(AX800=1,3,IF(AY800=1,4,IF(AZ800=1,5,IF(BA800=1,6,7))))))</f>
        <v/>
      </c>
      <c r="BD800">
        <f>IF(AD800=1,CHOOSE('Historical Score'!$C$29,AV800,AW800,AX800,AY800,AZ800,BA800,BB800),0)</f>
        <v/>
      </c>
      <c r="BE800">
        <f>IF(BD800=1,COUNTIF($BD$2:BD800,1),"")</f>
        <v/>
      </c>
    </row>
    <row r="801">
      <c r="A801" t="inlineStr">
        <is>
          <t>5674182027</t>
        </is>
      </c>
      <c r="B801" t="inlineStr">
        <is>
          <t>KNIGHT MAINTENANCE LLC</t>
        </is>
      </c>
      <c r="C801" t="inlineStr">
        <is>
          <t>KNIGHT MAINTENANCE LLC</t>
        </is>
      </c>
      <c r="D801" t="inlineStr">
        <is>
          <t>Closed</t>
        </is>
      </c>
      <c r="E801" s="297" t="n">
        <v>46129</v>
      </c>
      <c r="F801" s="297" t="n">
        <v>46231</v>
      </c>
      <c r="G801" t="n">
        <v>7</v>
      </c>
      <c r="H801" t="inlineStr">
        <is>
          <t>7349</t>
        </is>
      </c>
      <c r="I801" t="inlineStr">
        <is>
          <t>73</t>
        </is>
      </c>
      <c r="J801" t="inlineStr">
        <is>
          <t>NJ</t>
        </is>
      </c>
      <c r="K801" t="inlineStr">
        <is>
          <t>Triumph Cap Fund</t>
        </is>
      </c>
      <c r="L801" t="inlineStr">
        <is>
          <t>Renewal</t>
        </is>
      </c>
      <c r="M801" s="298" t="n">
        <v>1.49</v>
      </c>
      <c r="N801" s="299" t="n">
        <v>25000</v>
      </c>
      <c r="O801" s="299" t="n">
        <v>3500</v>
      </c>
      <c r="P801" s="299" t="n">
        <v>37250</v>
      </c>
      <c r="Q801" s="299" t="n">
        <v>37250</v>
      </c>
      <c r="R801" s="299" t="n">
        <v>0</v>
      </c>
      <c r="S801" s="300" t="n">
        <v>1</v>
      </c>
      <c r="T801" t="n">
        <v>3.934</v>
      </c>
      <c r="U801" t="n">
        <v>0</v>
      </c>
      <c r="V801" t="n">
        <v>56609.08</v>
      </c>
      <c r="W801" s="300" t="n">
        <v>0.1152</v>
      </c>
      <c r="X801" s="297" t="n">
        <v>42223</v>
      </c>
      <c r="Y801">
        <f>IF(I801="","No SIC",IFERROR(VLOOKUP(I801,Ref!$A$2:$B$65,2,FALSE),"Unclassified"))</f>
        <v/>
      </c>
      <c r="Z801">
        <f>IF(T801="","",IF(T801&lt;12,"Daily","Weekly"))</f>
        <v/>
      </c>
      <c r="AA801">
        <f>IF(T801="",0,IF(T801&lt;12,T801*Controls!$B$29,T801*5))</f>
        <v/>
      </c>
      <c r="AB801">
        <f>IF(E801="",0,NETWORKDAYS(E801,Controls!$B$36,Ref!$K$2:$K$42))</f>
        <v/>
      </c>
      <c r="AC801">
        <f>IF(AND(AA801&gt;0,AB801&gt;=Controls!$B$39*AA801),1,0)</f>
        <v/>
      </c>
      <c r="AD801">
        <f>IF(AND(E801&lt;&gt;"",E801&gt;=Controls!$B$37,E801&lt;=Controls!$B$38),1,0)</f>
        <v/>
      </c>
      <c r="AE801">
        <f>IF(IFERROR(VLOOKUP(D801,Controls!$A$64:$E$74,2,FALSE),"No")="Yes",1,0)</f>
        <v/>
      </c>
      <c r="AF801">
        <f>IF(IFERROR(VLOOKUP(D801,Controls!$A$64:$E$74,3,FALSE),"No")="Yes",1,0)</f>
        <v/>
      </c>
      <c r="AG801">
        <f>IF(IFERROR(VLOOKUP(D801,Controls!$A$64:$E$74,4,FALSE),"No")="Yes",1,0)</f>
        <v/>
      </c>
      <c r="AH801">
        <f>IF(IFERROR(VLOOKUP(D801,Controls!$A$64:$E$74,5,FALSE),"No")="Yes",1,0)</f>
        <v/>
      </c>
      <c r="AI801">
        <f>IF(ISNUMBER(MATCH(D801,Controls!$A$64:$A$74,0)),1,0)</f>
        <v/>
      </c>
      <c r="AJ801">
        <f>Q801-N801</f>
        <v/>
      </c>
      <c r="AK801">
        <f>IF(AE801=1,MAX(0,N801-Q801),0)</f>
        <v/>
      </c>
      <c r="AL801">
        <f>IF(OR(V801="",V801=0),0,N801/V801)</f>
        <v/>
      </c>
      <c r="AM801">
        <f>IF(OR(V801="",V801=0),0,1)</f>
        <v/>
      </c>
      <c r="AN801">
        <f>IF(OR(E801="",F801=""),0,NETWORKDAYS(E801,F801,Ref!$K$2:$K$42))</f>
        <v/>
      </c>
      <c r="AO801">
        <f>IF(L801="Renewal",1,0)</f>
        <v/>
      </c>
      <c r="AP801">
        <f>AC801*AD801</f>
        <v/>
      </c>
      <c r="AQ801">
        <f>IF(AND(G801&lt;&gt;"",'Historical Score'!$C$6&lt;&gt;""),IF(G801='Historical Score'!$C$6,1,0),0)</f>
        <v/>
      </c>
      <c r="AR801">
        <f>IF(AND(L801&lt;&gt;"",'Historical Score'!$C$5&lt;&gt;""),IF(L801='Historical Score'!$C$5,1,0),0)</f>
        <v/>
      </c>
      <c r="AS801">
        <f>IF(AND(Y801&lt;&gt;"",'Historical Score'!$C$7&lt;&gt;""),IF(Y801='Historical Score'!$C$7,1,0),0)</f>
        <v/>
      </c>
      <c r="AT801">
        <f>IF(AND(K801&lt;&gt;"",'Historical Score'!$C$8&lt;&gt;""),IF(K801='Historical Score'!$C$8,1,0),0)</f>
        <v/>
      </c>
      <c r="AU801">
        <f>IF(AND(J801&lt;&gt;"",'Historical Score'!$C$9&lt;&gt;""),IF(J801='Historical Score'!$C$9,1,0),0)</f>
        <v/>
      </c>
      <c r="AV801">
        <f>AR801*AS801*AQ801</f>
        <v/>
      </c>
      <c r="AW801">
        <f>AR801*AT801*AQ801</f>
        <v/>
      </c>
      <c r="AX801">
        <f>AR801*AS801</f>
        <v/>
      </c>
      <c r="AY801">
        <f>AR801*AT801</f>
        <v/>
      </c>
      <c r="AZ801">
        <f>AR801*AQ801</f>
        <v/>
      </c>
      <c r="BA801">
        <f>AR801</f>
        <v/>
      </c>
      <c r="BB801">
        <f>1</f>
        <v/>
      </c>
      <c r="BC801">
        <f>IF(AV801=1,1,IF(AW801=1,2,IF(AX801=1,3,IF(AY801=1,4,IF(AZ801=1,5,IF(BA801=1,6,7))))))</f>
        <v/>
      </c>
      <c r="BD801">
        <f>IF(AD801=1,CHOOSE('Historical Score'!$C$29,AV801,AW801,AX801,AY801,AZ801,BA801,BB801),0)</f>
        <v/>
      </c>
      <c r="BE801">
        <f>IF(BD801=1,COUNTIF($BD$2:BD801,1),"")</f>
        <v/>
      </c>
    </row>
    <row r="802">
      <c r="A802" t="inlineStr">
        <is>
          <t>5674182028</t>
        </is>
      </c>
      <c r="B802" t="inlineStr">
        <is>
          <t>BSL Construction LLC</t>
        </is>
      </c>
      <c r="C802" t="inlineStr">
        <is>
          <t>BSL Construction LLC</t>
        </is>
      </c>
      <c r="D802" t="inlineStr">
        <is>
          <t>In House Collection</t>
        </is>
      </c>
      <c r="E802" s="297" t="n">
        <v>46129</v>
      </c>
      <c r="F802" s="297" t="n">
        <v>46203</v>
      </c>
      <c r="G802" t="n">
        <v>3</v>
      </c>
      <c r="H802" t="inlineStr">
        <is>
          <t>1521</t>
        </is>
      </c>
      <c r="I802" t="inlineStr">
        <is>
          <t>15</t>
        </is>
      </c>
      <c r="J802" t="inlineStr">
        <is>
          <t>TX</t>
        </is>
      </c>
      <c r="K802" t="inlineStr">
        <is>
          <t>Premium Capital (AMRK)</t>
        </is>
      </c>
      <c r="L802" t="inlineStr">
        <is>
          <t>New Deal</t>
        </is>
      </c>
      <c r="M802" s="298" t="n">
        <v>1.49</v>
      </c>
      <c r="N802" s="299" t="n">
        <v>3500</v>
      </c>
      <c r="O802" s="299" t="n">
        <v>490</v>
      </c>
      <c r="P802" s="299" t="n">
        <v>5215</v>
      </c>
      <c r="Q802" s="299" t="n">
        <v>1490.82</v>
      </c>
      <c r="R802" s="299" t="n">
        <v>3724.18</v>
      </c>
      <c r="S802" s="300" t="n">
        <v>0.285871524448706</v>
      </c>
      <c r="T802" t="n">
        <v>2.295</v>
      </c>
      <c r="U802" t="n">
        <v>19</v>
      </c>
      <c r="V802" t="n">
        <v>23956.58</v>
      </c>
      <c r="W802" s="300" t="n">
        <v>0.0653</v>
      </c>
      <c r="X802" s="297" t="n">
        <v>45139</v>
      </c>
      <c r="Y802">
        <f>IF(I802="","No SIC",IFERROR(VLOOKUP(I802,Ref!$A$2:$B$65,2,FALSE),"Unclassified"))</f>
        <v/>
      </c>
      <c r="Z802">
        <f>IF(T802="","",IF(T802&lt;12,"Daily","Weekly"))</f>
        <v/>
      </c>
      <c r="AA802">
        <f>IF(T802="",0,IF(T802&lt;12,T802*Controls!$B$29,T802*5))</f>
        <v/>
      </c>
      <c r="AB802">
        <f>IF(E802="",0,NETWORKDAYS(E802,Controls!$B$36,Ref!$K$2:$K$42))</f>
        <v/>
      </c>
      <c r="AC802">
        <f>IF(AND(AA802&gt;0,AB802&gt;=Controls!$B$39*AA802),1,0)</f>
        <v/>
      </c>
      <c r="AD802">
        <f>IF(AND(E802&lt;&gt;"",E802&gt;=Controls!$B$37,E802&lt;=Controls!$B$38),1,0)</f>
        <v/>
      </c>
      <c r="AE802">
        <f>IF(IFERROR(VLOOKUP(D802,Controls!$A$64:$E$74,2,FALSE),"No")="Yes",1,0)</f>
        <v/>
      </c>
      <c r="AF802">
        <f>IF(IFERROR(VLOOKUP(D802,Controls!$A$64:$E$74,3,FALSE),"No")="Yes",1,0)</f>
        <v/>
      </c>
      <c r="AG802">
        <f>IF(IFERROR(VLOOKUP(D802,Controls!$A$64:$E$74,4,FALSE),"No")="Yes",1,0)</f>
        <v/>
      </c>
      <c r="AH802">
        <f>IF(IFERROR(VLOOKUP(D802,Controls!$A$64:$E$74,5,FALSE),"No")="Yes",1,0)</f>
        <v/>
      </c>
      <c r="AI802">
        <f>IF(ISNUMBER(MATCH(D802,Controls!$A$64:$A$74,0)),1,0)</f>
        <v/>
      </c>
      <c r="AJ802">
        <f>Q802-N802</f>
        <v/>
      </c>
      <c r="AK802">
        <f>IF(AE802=1,MAX(0,N802-Q802),0)</f>
        <v/>
      </c>
      <c r="AL802">
        <f>IF(OR(V802="",V802=0),0,N802/V802)</f>
        <v/>
      </c>
      <c r="AM802">
        <f>IF(OR(V802="",V802=0),0,1)</f>
        <v/>
      </c>
      <c r="AN802">
        <f>IF(OR(E802="",F802=""),0,NETWORKDAYS(E802,F802,Ref!$K$2:$K$42))</f>
        <v/>
      </c>
      <c r="AO802">
        <f>IF(L802="Renewal",1,0)</f>
        <v/>
      </c>
      <c r="AP802">
        <f>AC802*AD802</f>
        <v/>
      </c>
      <c r="AQ802">
        <f>IF(AND(G802&lt;&gt;"",'Historical Score'!$C$6&lt;&gt;""),IF(G802='Historical Score'!$C$6,1,0),0)</f>
        <v/>
      </c>
      <c r="AR802">
        <f>IF(AND(L802&lt;&gt;"",'Historical Score'!$C$5&lt;&gt;""),IF(L802='Historical Score'!$C$5,1,0),0)</f>
        <v/>
      </c>
      <c r="AS802">
        <f>IF(AND(Y802&lt;&gt;"",'Historical Score'!$C$7&lt;&gt;""),IF(Y802='Historical Score'!$C$7,1,0),0)</f>
        <v/>
      </c>
      <c r="AT802">
        <f>IF(AND(K802&lt;&gt;"",'Historical Score'!$C$8&lt;&gt;""),IF(K802='Historical Score'!$C$8,1,0),0)</f>
        <v/>
      </c>
      <c r="AU802">
        <f>IF(AND(J802&lt;&gt;"",'Historical Score'!$C$9&lt;&gt;""),IF(J802='Historical Score'!$C$9,1,0),0)</f>
        <v/>
      </c>
      <c r="AV802">
        <f>AR802*AS802*AQ802</f>
        <v/>
      </c>
      <c r="AW802">
        <f>AR802*AT802*AQ802</f>
        <v/>
      </c>
      <c r="AX802">
        <f>AR802*AS802</f>
        <v/>
      </c>
      <c r="AY802">
        <f>AR802*AT802</f>
        <v/>
      </c>
      <c r="AZ802">
        <f>AR802*AQ802</f>
        <v/>
      </c>
      <c r="BA802">
        <f>AR802</f>
        <v/>
      </c>
      <c r="BB802">
        <f>1</f>
        <v/>
      </c>
      <c r="BC802">
        <f>IF(AV802=1,1,IF(AW802=1,2,IF(AX802=1,3,IF(AY802=1,4,IF(AZ802=1,5,IF(BA802=1,6,7))))))</f>
        <v/>
      </c>
      <c r="BD802">
        <f>IF(AD802=1,CHOOSE('Historical Score'!$C$29,AV802,AW802,AX802,AY802,AZ802,BA802,BB802),0)</f>
        <v/>
      </c>
      <c r="BE802">
        <f>IF(BD802=1,COUNTIF($BD$2:BD802,1),"")</f>
        <v/>
      </c>
    </row>
    <row r="803">
      <c r="A803" t="inlineStr">
        <is>
          <t>5674182067</t>
        </is>
      </c>
      <c r="B803" t="inlineStr">
        <is>
          <t>S&amp;K Property Services LLC</t>
        </is>
      </c>
      <c r="C803" t="inlineStr">
        <is>
          <t>S&amp;K Property Services LLC</t>
        </is>
      </c>
      <c r="D803" t="inlineStr">
        <is>
          <t>Open</t>
        </is>
      </c>
      <c r="E803" s="297" t="n">
        <v>46132</v>
      </c>
      <c r="F803" s="297" t="n">
        <v>46248</v>
      </c>
      <c r="G803" t="n">
        <v>3</v>
      </c>
      <c r="H803" t="inlineStr">
        <is>
          <t>6531</t>
        </is>
      </c>
      <c r="I803" t="inlineStr">
        <is>
          <t>65</t>
        </is>
      </c>
      <c r="J803" t="inlineStr">
        <is>
          <t>GA</t>
        </is>
      </c>
      <c r="K803" t="inlineStr">
        <is>
          <t>Ballicci</t>
        </is>
      </c>
      <c r="L803" t="inlineStr">
        <is>
          <t>Renewal</t>
        </is>
      </c>
      <c r="M803" s="298" t="n">
        <v>1.49</v>
      </c>
      <c r="N803" s="299" t="n">
        <v>40000</v>
      </c>
      <c r="O803" s="299" t="n">
        <v>5600</v>
      </c>
      <c r="P803" s="299" t="n">
        <v>59600</v>
      </c>
      <c r="Q803" s="299" t="n">
        <v>16385.49</v>
      </c>
      <c r="R803" s="299" t="n">
        <v>43214.51</v>
      </c>
      <c r="S803" s="300" t="n">
        <v>0.27492432885906</v>
      </c>
      <c r="T803" t="n">
        <v>40</v>
      </c>
      <c r="U803" t="n">
        <v>6</v>
      </c>
      <c r="V803" t="n">
        <v>40259.29</v>
      </c>
      <c r="W803" s="300" t="n">
        <v>0.148</v>
      </c>
      <c r="X803" s="297" t="n">
        <v>43466</v>
      </c>
      <c r="Y803">
        <f>IF(I803="","No SIC",IFERROR(VLOOKUP(I803,Ref!$A$2:$B$65,2,FALSE),"Unclassified"))</f>
        <v/>
      </c>
      <c r="Z803">
        <f>IF(T803="","",IF(T803&lt;12,"Daily","Weekly"))</f>
        <v/>
      </c>
      <c r="AA803">
        <f>IF(T803="",0,IF(T803&lt;12,T803*Controls!$B$29,T803*5))</f>
        <v/>
      </c>
      <c r="AB803">
        <f>IF(E803="",0,NETWORKDAYS(E803,Controls!$B$36,Ref!$K$2:$K$42))</f>
        <v/>
      </c>
      <c r="AC803">
        <f>IF(AND(AA803&gt;0,AB803&gt;=Controls!$B$39*AA803),1,0)</f>
        <v/>
      </c>
      <c r="AD803">
        <f>IF(AND(E803&lt;&gt;"",E803&gt;=Controls!$B$37,E803&lt;=Controls!$B$38),1,0)</f>
        <v/>
      </c>
      <c r="AE803">
        <f>IF(IFERROR(VLOOKUP(D803,Controls!$A$64:$E$74,2,FALSE),"No")="Yes",1,0)</f>
        <v/>
      </c>
      <c r="AF803">
        <f>IF(IFERROR(VLOOKUP(D803,Controls!$A$64:$E$74,3,FALSE),"No")="Yes",1,0)</f>
        <v/>
      </c>
      <c r="AG803">
        <f>IF(IFERROR(VLOOKUP(D803,Controls!$A$64:$E$74,4,FALSE),"No")="Yes",1,0)</f>
        <v/>
      </c>
      <c r="AH803">
        <f>IF(IFERROR(VLOOKUP(D803,Controls!$A$64:$E$74,5,FALSE),"No")="Yes",1,0)</f>
        <v/>
      </c>
      <c r="AI803">
        <f>IF(ISNUMBER(MATCH(D803,Controls!$A$64:$A$74,0)),1,0)</f>
        <v/>
      </c>
      <c r="AJ803">
        <f>Q803-N803</f>
        <v/>
      </c>
      <c r="AK803">
        <f>IF(AE803=1,MAX(0,N803-Q803),0)</f>
        <v/>
      </c>
      <c r="AL803">
        <f>IF(OR(V803="",V803=0),0,N803/V803)</f>
        <v/>
      </c>
      <c r="AM803">
        <f>IF(OR(V803="",V803=0),0,1)</f>
        <v/>
      </c>
      <c r="AN803">
        <f>IF(OR(E803="",F803=""),0,NETWORKDAYS(E803,F803,Ref!$K$2:$K$42))</f>
        <v/>
      </c>
      <c r="AO803">
        <f>IF(L803="Renewal",1,0)</f>
        <v/>
      </c>
      <c r="AP803">
        <f>AC803*AD803</f>
        <v/>
      </c>
      <c r="AQ803">
        <f>IF(AND(G803&lt;&gt;"",'Historical Score'!$C$6&lt;&gt;""),IF(G803='Historical Score'!$C$6,1,0),0)</f>
        <v/>
      </c>
      <c r="AR803">
        <f>IF(AND(L803&lt;&gt;"",'Historical Score'!$C$5&lt;&gt;""),IF(L803='Historical Score'!$C$5,1,0),0)</f>
        <v/>
      </c>
      <c r="AS803">
        <f>IF(AND(Y803&lt;&gt;"",'Historical Score'!$C$7&lt;&gt;""),IF(Y803='Historical Score'!$C$7,1,0),0)</f>
        <v/>
      </c>
      <c r="AT803">
        <f>IF(AND(K803&lt;&gt;"",'Historical Score'!$C$8&lt;&gt;""),IF(K803='Historical Score'!$C$8,1,0),0)</f>
        <v/>
      </c>
      <c r="AU803">
        <f>IF(AND(J803&lt;&gt;"",'Historical Score'!$C$9&lt;&gt;""),IF(J803='Historical Score'!$C$9,1,0),0)</f>
        <v/>
      </c>
      <c r="AV803">
        <f>AR803*AS803*AQ803</f>
        <v/>
      </c>
      <c r="AW803">
        <f>AR803*AT803*AQ803</f>
        <v/>
      </c>
      <c r="AX803">
        <f>AR803*AS803</f>
        <v/>
      </c>
      <c r="AY803">
        <f>AR803*AT803</f>
        <v/>
      </c>
      <c r="AZ803">
        <f>AR803*AQ803</f>
        <v/>
      </c>
      <c r="BA803">
        <f>AR803</f>
        <v/>
      </c>
      <c r="BB803">
        <f>1</f>
        <v/>
      </c>
      <c r="BC803">
        <f>IF(AV803=1,1,IF(AW803=1,2,IF(AX803=1,3,IF(AY803=1,4,IF(AZ803=1,5,IF(BA803=1,6,7))))))</f>
        <v/>
      </c>
      <c r="BD803">
        <f>IF(AD803=1,CHOOSE('Historical Score'!$C$29,AV803,AW803,AX803,AY803,AZ803,BA803,BB803),0)</f>
        <v/>
      </c>
      <c r="BE803">
        <f>IF(BD803=1,COUNTIF($BD$2:BD803,1),"")</f>
        <v/>
      </c>
    </row>
    <row r="804">
      <c r="A804" t="inlineStr">
        <is>
          <t>5674182078</t>
        </is>
      </c>
      <c r="B804" t="inlineStr">
        <is>
          <t>LEGACY BARN DOORS INC.</t>
        </is>
      </c>
      <c r="C804" t="inlineStr">
        <is>
          <t>LEGACY BARN DOORS INC.</t>
        </is>
      </c>
      <c r="D804" t="inlineStr">
        <is>
          <t>Closed</t>
        </is>
      </c>
      <c r="E804" s="297" t="n">
        <v>46132</v>
      </c>
      <c r="F804" s="297" t="n">
        <v>46230</v>
      </c>
      <c r="G804" t="n">
        <v>3</v>
      </c>
      <c r="H804" t="inlineStr">
        <is>
          <t>6221</t>
        </is>
      </c>
      <c r="I804" t="inlineStr">
        <is>
          <t>62</t>
        </is>
      </c>
      <c r="J804" t="inlineStr">
        <is>
          <t>TX</t>
        </is>
      </c>
      <c r="K804" t="inlineStr">
        <is>
          <t>United Secured Capital 8</t>
        </is>
      </c>
      <c r="L804" t="inlineStr">
        <is>
          <t>Renewal</t>
        </is>
      </c>
      <c r="M804" s="298" t="n">
        <v>1.49</v>
      </c>
      <c r="N804" s="299" t="n">
        <v>30000</v>
      </c>
      <c r="O804" s="299" t="n">
        <v>4200</v>
      </c>
      <c r="P804" s="299" t="n">
        <v>44700</v>
      </c>
      <c r="Q804" s="299" t="n">
        <v>44700</v>
      </c>
      <c r="R804" s="299" t="n">
        <v>0</v>
      </c>
      <c r="S804" s="300" t="n">
        <v>1</v>
      </c>
      <c r="T804" t="n">
        <v>26</v>
      </c>
      <c r="U804" t="n">
        <v>0</v>
      </c>
      <c r="V804" t="n">
        <v>45291.67</v>
      </c>
      <c r="W804" s="300" t="n">
        <v>0.1518</v>
      </c>
      <c r="X804" s="297" t="n">
        <v>44427</v>
      </c>
      <c r="Y804">
        <f>IF(I804="","No SIC",IFERROR(VLOOKUP(I804,Ref!$A$2:$B$65,2,FALSE),"Unclassified"))</f>
        <v/>
      </c>
      <c r="Z804">
        <f>IF(T804="","",IF(T804&lt;12,"Daily","Weekly"))</f>
        <v/>
      </c>
      <c r="AA804">
        <f>IF(T804="",0,IF(T804&lt;12,T804*Controls!$B$29,T804*5))</f>
        <v/>
      </c>
      <c r="AB804">
        <f>IF(E804="",0,NETWORKDAYS(E804,Controls!$B$36,Ref!$K$2:$K$42))</f>
        <v/>
      </c>
      <c r="AC804">
        <f>IF(AND(AA804&gt;0,AB804&gt;=Controls!$B$39*AA804),1,0)</f>
        <v/>
      </c>
      <c r="AD804">
        <f>IF(AND(E804&lt;&gt;"",E804&gt;=Controls!$B$37,E804&lt;=Controls!$B$38),1,0)</f>
        <v/>
      </c>
      <c r="AE804">
        <f>IF(IFERROR(VLOOKUP(D804,Controls!$A$64:$E$74,2,FALSE),"No")="Yes",1,0)</f>
        <v/>
      </c>
      <c r="AF804">
        <f>IF(IFERROR(VLOOKUP(D804,Controls!$A$64:$E$74,3,FALSE),"No")="Yes",1,0)</f>
        <v/>
      </c>
      <c r="AG804">
        <f>IF(IFERROR(VLOOKUP(D804,Controls!$A$64:$E$74,4,FALSE),"No")="Yes",1,0)</f>
        <v/>
      </c>
      <c r="AH804">
        <f>IF(IFERROR(VLOOKUP(D804,Controls!$A$64:$E$74,5,FALSE),"No")="Yes",1,0)</f>
        <v/>
      </c>
      <c r="AI804">
        <f>IF(ISNUMBER(MATCH(D804,Controls!$A$64:$A$74,0)),1,0)</f>
        <v/>
      </c>
      <c r="AJ804">
        <f>Q804-N804</f>
        <v/>
      </c>
      <c r="AK804">
        <f>IF(AE804=1,MAX(0,N804-Q804),0)</f>
        <v/>
      </c>
      <c r="AL804">
        <f>IF(OR(V804="",V804=0),0,N804/V804)</f>
        <v/>
      </c>
      <c r="AM804">
        <f>IF(OR(V804="",V804=0),0,1)</f>
        <v/>
      </c>
      <c r="AN804">
        <f>IF(OR(E804="",F804=""),0,NETWORKDAYS(E804,F804,Ref!$K$2:$K$42))</f>
        <v/>
      </c>
      <c r="AO804">
        <f>IF(L804="Renewal",1,0)</f>
        <v/>
      </c>
      <c r="AP804">
        <f>AC804*AD804</f>
        <v/>
      </c>
      <c r="AQ804">
        <f>IF(AND(G804&lt;&gt;"",'Historical Score'!$C$6&lt;&gt;""),IF(G804='Historical Score'!$C$6,1,0),0)</f>
        <v/>
      </c>
      <c r="AR804">
        <f>IF(AND(L804&lt;&gt;"",'Historical Score'!$C$5&lt;&gt;""),IF(L804='Historical Score'!$C$5,1,0),0)</f>
        <v/>
      </c>
      <c r="AS804">
        <f>IF(AND(Y804&lt;&gt;"",'Historical Score'!$C$7&lt;&gt;""),IF(Y804='Historical Score'!$C$7,1,0),0)</f>
        <v/>
      </c>
      <c r="AT804">
        <f>IF(AND(K804&lt;&gt;"",'Historical Score'!$C$8&lt;&gt;""),IF(K804='Historical Score'!$C$8,1,0),0)</f>
        <v/>
      </c>
      <c r="AU804">
        <f>IF(AND(J804&lt;&gt;"",'Historical Score'!$C$9&lt;&gt;""),IF(J804='Historical Score'!$C$9,1,0),0)</f>
        <v/>
      </c>
      <c r="AV804">
        <f>AR804*AS804*AQ804</f>
        <v/>
      </c>
      <c r="AW804">
        <f>AR804*AT804*AQ804</f>
        <v/>
      </c>
      <c r="AX804">
        <f>AR804*AS804</f>
        <v/>
      </c>
      <c r="AY804">
        <f>AR804*AT804</f>
        <v/>
      </c>
      <c r="AZ804">
        <f>AR804*AQ804</f>
        <v/>
      </c>
      <c r="BA804">
        <f>AR804</f>
        <v/>
      </c>
      <c r="BB804">
        <f>1</f>
        <v/>
      </c>
      <c r="BC804">
        <f>IF(AV804=1,1,IF(AW804=1,2,IF(AX804=1,3,IF(AY804=1,4,IF(AZ804=1,5,IF(BA804=1,6,7))))))</f>
        <v/>
      </c>
      <c r="BD804">
        <f>IF(AD804=1,CHOOSE('Historical Score'!$C$29,AV804,AW804,AX804,AY804,AZ804,BA804,BB804),0)</f>
        <v/>
      </c>
      <c r="BE804">
        <f>IF(BD804=1,COUNTIF($BD$2:BD804,1),"")</f>
        <v/>
      </c>
    </row>
    <row r="805">
      <c r="A805" t="inlineStr">
        <is>
          <t>5674182104</t>
        </is>
      </c>
      <c r="B805" t="inlineStr">
        <is>
          <t>TAVERN ON THE HILL</t>
        </is>
      </c>
      <c r="C805" t="inlineStr">
        <is>
          <t>TAVERN ON THE HILL LLC</t>
        </is>
      </c>
      <c r="D805" t="inlineStr">
        <is>
          <t>Open</t>
        </is>
      </c>
      <c r="E805" s="297" t="n">
        <v>46132</v>
      </c>
      <c r="F805" s="297" t="n">
        <v>46248</v>
      </c>
      <c r="G805" t="n">
        <v>3</v>
      </c>
      <c r="H805" t="inlineStr">
        <is>
          <t>5812</t>
        </is>
      </c>
      <c r="I805" t="inlineStr">
        <is>
          <t>58</t>
        </is>
      </c>
      <c r="J805" t="inlineStr">
        <is>
          <t>PA</t>
        </is>
      </c>
      <c r="K805" t="inlineStr">
        <is>
          <t>Ballicci</t>
        </is>
      </c>
      <c r="L805" t="inlineStr">
        <is>
          <t>New Deal</t>
        </is>
      </c>
      <c r="M805" s="298" t="n">
        <v>1.4</v>
      </c>
      <c r="N805" s="299" t="n">
        <v>20000</v>
      </c>
      <c r="O805" s="299" t="n">
        <v>1900</v>
      </c>
      <c r="P805" s="299" t="n">
        <v>28000</v>
      </c>
      <c r="Q805" s="299" t="n">
        <v>15410.78</v>
      </c>
      <c r="R805" s="299" t="n">
        <v>12589.22</v>
      </c>
      <c r="S805" s="300" t="n">
        <v>0.550385</v>
      </c>
      <c r="T805" t="n">
        <v>20</v>
      </c>
      <c r="U805" t="n">
        <v>6</v>
      </c>
      <c r="V805" t="n">
        <v>94025.75999999999</v>
      </c>
      <c r="W805" s="300" t="n">
        <v>0.0596</v>
      </c>
      <c r="X805" s="297" t="n">
        <v>38949</v>
      </c>
      <c r="Y805">
        <f>IF(I805="","No SIC",IFERROR(VLOOKUP(I805,Ref!$A$2:$B$65,2,FALSE),"Unclassified"))</f>
        <v/>
      </c>
      <c r="Z805">
        <f>IF(T805="","",IF(T805&lt;12,"Daily","Weekly"))</f>
        <v/>
      </c>
      <c r="AA805">
        <f>IF(T805="",0,IF(T805&lt;12,T805*Controls!$B$29,T805*5))</f>
        <v/>
      </c>
      <c r="AB805">
        <f>IF(E805="",0,NETWORKDAYS(E805,Controls!$B$36,Ref!$K$2:$K$42))</f>
        <v/>
      </c>
      <c r="AC805">
        <f>IF(AND(AA805&gt;0,AB805&gt;=Controls!$B$39*AA805),1,0)</f>
        <v/>
      </c>
      <c r="AD805">
        <f>IF(AND(E805&lt;&gt;"",E805&gt;=Controls!$B$37,E805&lt;=Controls!$B$38),1,0)</f>
        <v/>
      </c>
      <c r="AE805">
        <f>IF(IFERROR(VLOOKUP(D805,Controls!$A$64:$E$74,2,FALSE),"No")="Yes",1,0)</f>
        <v/>
      </c>
      <c r="AF805">
        <f>IF(IFERROR(VLOOKUP(D805,Controls!$A$64:$E$74,3,FALSE),"No")="Yes",1,0)</f>
        <v/>
      </c>
      <c r="AG805">
        <f>IF(IFERROR(VLOOKUP(D805,Controls!$A$64:$E$74,4,FALSE),"No")="Yes",1,0)</f>
        <v/>
      </c>
      <c r="AH805">
        <f>IF(IFERROR(VLOOKUP(D805,Controls!$A$64:$E$74,5,FALSE),"No")="Yes",1,0)</f>
        <v/>
      </c>
      <c r="AI805">
        <f>IF(ISNUMBER(MATCH(D805,Controls!$A$64:$A$74,0)),1,0)</f>
        <v/>
      </c>
      <c r="AJ805">
        <f>Q805-N805</f>
        <v/>
      </c>
      <c r="AK805">
        <f>IF(AE805=1,MAX(0,N805-Q805),0)</f>
        <v/>
      </c>
      <c r="AL805">
        <f>IF(OR(V805="",V805=0),0,N805/V805)</f>
        <v/>
      </c>
      <c r="AM805">
        <f>IF(OR(V805="",V805=0),0,1)</f>
        <v/>
      </c>
      <c r="AN805">
        <f>IF(OR(E805="",F805=""),0,NETWORKDAYS(E805,F805,Ref!$K$2:$K$42))</f>
        <v/>
      </c>
      <c r="AO805">
        <f>IF(L805="Renewal",1,0)</f>
        <v/>
      </c>
      <c r="AP805">
        <f>AC805*AD805</f>
        <v/>
      </c>
      <c r="AQ805">
        <f>IF(AND(G805&lt;&gt;"",'Historical Score'!$C$6&lt;&gt;""),IF(G805='Historical Score'!$C$6,1,0),0)</f>
        <v/>
      </c>
      <c r="AR805">
        <f>IF(AND(L805&lt;&gt;"",'Historical Score'!$C$5&lt;&gt;""),IF(L805='Historical Score'!$C$5,1,0),0)</f>
        <v/>
      </c>
      <c r="AS805">
        <f>IF(AND(Y805&lt;&gt;"",'Historical Score'!$C$7&lt;&gt;""),IF(Y805='Historical Score'!$C$7,1,0),0)</f>
        <v/>
      </c>
      <c r="AT805">
        <f>IF(AND(K805&lt;&gt;"",'Historical Score'!$C$8&lt;&gt;""),IF(K805='Historical Score'!$C$8,1,0),0)</f>
        <v/>
      </c>
      <c r="AU805">
        <f>IF(AND(J805&lt;&gt;"",'Historical Score'!$C$9&lt;&gt;""),IF(J805='Historical Score'!$C$9,1,0),0)</f>
        <v/>
      </c>
      <c r="AV805">
        <f>AR805*AS805*AQ805</f>
        <v/>
      </c>
      <c r="AW805">
        <f>AR805*AT805*AQ805</f>
        <v/>
      </c>
      <c r="AX805">
        <f>AR805*AS805</f>
        <v/>
      </c>
      <c r="AY805">
        <f>AR805*AT805</f>
        <v/>
      </c>
      <c r="AZ805">
        <f>AR805*AQ805</f>
        <v/>
      </c>
      <c r="BA805">
        <f>AR805</f>
        <v/>
      </c>
      <c r="BB805">
        <f>1</f>
        <v/>
      </c>
      <c r="BC805">
        <f>IF(AV805=1,1,IF(AW805=1,2,IF(AX805=1,3,IF(AY805=1,4,IF(AZ805=1,5,IF(BA805=1,6,7))))))</f>
        <v/>
      </c>
      <c r="BD805">
        <f>IF(AD805=1,CHOOSE('Historical Score'!$C$29,AV805,AW805,AX805,AY805,AZ805,BA805,BB805),0)</f>
        <v/>
      </c>
      <c r="BE805">
        <f>IF(BD805=1,COUNTIF($BD$2:BD805,1),"")</f>
        <v/>
      </c>
    </row>
    <row r="806">
      <c r="A806" t="inlineStr">
        <is>
          <t>5674182144</t>
        </is>
      </c>
      <c r="B806" t="inlineStr">
        <is>
          <t>REVUP ENTERPRISES LLC</t>
        </is>
      </c>
      <c r="C806" t="inlineStr">
        <is>
          <t>REVUP ENTERPRISES LLC</t>
        </is>
      </c>
      <c r="D806" t="inlineStr">
        <is>
          <t>Closed</t>
        </is>
      </c>
      <c r="E806" s="297" t="n">
        <v>46133</v>
      </c>
      <c r="F806" s="297" t="n">
        <v>46177</v>
      </c>
      <c r="G806" t="n">
        <v>3</v>
      </c>
      <c r="H806" t="inlineStr">
        <is>
          <t>7538</t>
        </is>
      </c>
      <c r="I806" t="inlineStr">
        <is>
          <t>75</t>
        </is>
      </c>
      <c r="J806" t="inlineStr">
        <is>
          <t>TX</t>
        </is>
      </c>
      <c r="K806" t="inlineStr">
        <is>
          <t>PMF</t>
        </is>
      </c>
      <c r="L806" t="inlineStr">
        <is>
          <t>New Deal</t>
        </is>
      </c>
      <c r="M806" s="298" t="n">
        <v>1.49</v>
      </c>
      <c r="N806" s="299" t="n">
        <v>8500</v>
      </c>
      <c r="O806" s="299" t="n">
        <v>1190</v>
      </c>
      <c r="P806" s="299" t="n">
        <v>12665</v>
      </c>
      <c r="Q806" s="299" t="n">
        <v>12665</v>
      </c>
      <c r="R806" s="299" t="n">
        <v>0</v>
      </c>
      <c r="S806" s="300" t="n">
        <v>1</v>
      </c>
      <c r="T806" t="n">
        <v>1.311</v>
      </c>
      <c r="U806" t="n">
        <v>0</v>
      </c>
      <c r="V806" t="n">
        <v>94553.25</v>
      </c>
      <c r="W806" s="300" t="n">
        <v>0.0703</v>
      </c>
      <c r="X806" s="297" t="n">
        <v>45465</v>
      </c>
      <c r="Y806">
        <f>IF(I806="","No SIC",IFERROR(VLOOKUP(I806,Ref!$A$2:$B$65,2,FALSE),"Unclassified"))</f>
        <v/>
      </c>
      <c r="Z806">
        <f>IF(T806="","",IF(T806&lt;12,"Daily","Weekly"))</f>
        <v/>
      </c>
      <c r="AA806">
        <f>IF(T806="",0,IF(T806&lt;12,T806*Controls!$B$29,T806*5))</f>
        <v/>
      </c>
      <c r="AB806">
        <f>IF(E806="",0,NETWORKDAYS(E806,Controls!$B$36,Ref!$K$2:$K$42))</f>
        <v/>
      </c>
      <c r="AC806">
        <f>IF(AND(AA806&gt;0,AB806&gt;=Controls!$B$39*AA806),1,0)</f>
        <v/>
      </c>
      <c r="AD806">
        <f>IF(AND(E806&lt;&gt;"",E806&gt;=Controls!$B$37,E806&lt;=Controls!$B$38),1,0)</f>
        <v/>
      </c>
      <c r="AE806">
        <f>IF(IFERROR(VLOOKUP(D806,Controls!$A$64:$E$74,2,FALSE),"No")="Yes",1,0)</f>
        <v/>
      </c>
      <c r="AF806">
        <f>IF(IFERROR(VLOOKUP(D806,Controls!$A$64:$E$74,3,FALSE),"No")="Yes",1,0)</f>
        <v/>
      </c>
      <c r="AG806">
        <f>IF(IFERROR(VLOOKUP(D806,Controls!$A$64:$E$74,4,FALSE),"No")="Yes",1,0)</f>
        <v/>
      </c>
      <c r="AH806">
        <f>IF(IFERROR(VLOOKUP(D806,Controls!$A$64:$E$74,5,FALSE),"No")="Yes",1,0)</f>
        <v/>
      </c>
      <c r="AI806">
        <f>IF(ISNUMBER(MATCH(D806,Controls!$A$64:$A$74,0)),1,0)</f>
        <v/>
      </c>
      <c r="AJ806">
        <f>Q806-N806</f>
        <v/>
      </c>
      <c r="AK806">
        <f>IF(AE806=1,MAX(0,N806-Q806),0)</f>
        <v/>
      </c>
      <c r="AL806">
        <f>IF(OR(V806="",V806=0),0,N806/V806)</f>
        <v/>
      </c>
      <c r="AM806">
        <f>IF(OR(V806="",V806=0),0,1)</f>
        <v/>
      </c>
      <c r="AN806">
        <f>IF(OR(E806="",F806=""),0,NETWORKDAYS(E806,F806,Ref!$K$2:$K$42))</f>
        <v/>
      </c>
      <c r="AO806">
        <f>IF(L806="Renewal",1,0)</f>
        <v/>
      </c>
      <c r="AP806">
        <f>AC806*AD806</f>
        <v/>
      </c>
      <c r="AQ806">
        <f>IF(AND(G806&lt;&gt;"",'Historical Score'!$C$6&lt;&gt;""),IF(G806='Historical Score'!$C$6,1,0),0)</f>
        <v/>
      </c>
      <c r="AR806">
        <f>IF(AND(L806&lt;&gt;"",'Historical Score'!$C$5&lt;&gt;""),IF(L806='Historical Score'!$C$5,1,0),0)</f>
        <v/>
      </c>
      <c r="AS806">
        <f>IF(AND(Y806&lt;&gt;"",'Historical Score'!$C$7&lt;&gt;""),IF(Y806='Historical Score'!$C$7,1,0),0)</f>
        <v/>
      </c>
      <c r="AT806">
        <f>IF(AND(K806&lt;&gt;"",'Historical Score'!$C$8&lt;&gt;""),IF(K806='Historical Score'!$C$8,1,0),0)</f>
        <v/>
      </c>
      <c r="AU806">
        <f>IF(AND(J806&lt;&gt;"",'Historical Score'!$C$9&lt;&gt;""),IF(J806='Historical Score'!$C$9,1,0),0)</f>
        <v/>
      </c>
      <c r="AV806">
        <f>AR806*AS806*AQ806</f>
        <v/>
      </c>
      <c r="AW806">
        <f>AR806*AT806*AQ806</f>
        <v/>
      </c>
      <c r="AX806">
        <f>AR806*AS806</f>
        <v/>
      </c>
      <c r="AY806">
        <f>AR806*AT806</f>
        <v/>
      </c>
      <c r="AZ806">
        <f>AR806*AQ806</f>
        <v/>
      </c>
      <c r="BA806">
        <f>AR806</f>
        <v/>
      </c>
      <c r="BB806">
        <f>1</f>
        <v/>
      </c>
      <c r="BC806">
        <f>IF(AV806=1,1,IF(AW806=1,2,IF(AX806=1,3,IF(AY806=1,4,IF(AZ806=1,5,IF(BA806=1,6,7))))))</f>
        <v/>
      </c>
      <c r="BD806">
        <f>IF(AD806=1,CHOOSE('Historical Score'!$C$29,AV806,AW806,AX806,AY806,AZ806,BA806,BB806),0)</f>
        <v/>
      </c>
      <c r="BE806">
        <f>IF(BD806=1,COUNTIF($BD$2:BD806,1),"")</f>
        <v/>
      </c>
    </row>
    <row r="807">
      <c r="A807" t="inlineStr">
        <is>
          <t>5674182179</t>
        </is>
      </c>
      <c r="B807" t="inlineStr">
        <is>
          <t>JIMMY IN THE HOUSE SERVICES LLC</t>
        </is>
      </c>
      <c r="C807" t="inlineStr">
        <is>
          <t>JIMMY IN THE HOUSE SERVICES LLC</t>
        </is>
      </c>
      <c r="D807" t="inlineStr">
        <is>
          <t>Open</t>
        </is>
      </c>
      <c r="E807" s="297" t="n">
        <v>46133</v>
      </c>
      <c r="F807" s="297" t="n">
        <v>46253</v>
      </c>
      <c r="G807" t="n">
        <v>3</v>
      </c>
      <c r="H807" t="inlineStr">
        <is>
          <t>7217</t>
        </is>
      </c>
      <c r="I807" t="inlineStr">
        <is>
          <t>72</t>
        </is>
      </c>
      <c r="J807" t="inlineStr">
        <is>
          <t>KS</t>
        </is>
      </c>
      <c r="K807" t="inlineStr">
        <is>
          <t>level 3 funding</t>
        </is>
      </c>
      <c r="L807" t="inlineStr">
        <is>
          <t>Renewal</t>
        </is>
      </c>
      <c r="M807" s="298" t="n">
        <v>1.49</v>
      </c>
      <c r="N807" s="299" t="n">
        <v>7500</v>
      </c>
      <c r="O807" s="299" t="n">
        <v>1050</v>
      </c>
      <c r="P807" s="299" t="n">
        <v>11175</v>
      </c>
      <c r="Q807" s="299" t="n">
        <v>3677.81</v>
      </c>
      <c r="R807" s="299" t="n">
        <v>7497.19</v>
      </c>
      <c r="S807" s="300" t="n">
        <v>0.329110514541387</v>
      </c>
      <c r="T807" t="n">
        <v>4.098</v>
      </c>
      <c r="U807" t="n">
        <v>48</v>
      </c>
      <c r="V807" t="n">
        <v>34534.9</v>
      </c>
      <c r="W807" s="300" t="n">
        <v>0.0444</v>
      </c>
      <c r="X807" s="297" t="n">
        <v>44289</v>
      </c>
      <c r="Y807">
        <f>IF(I807="","No SIC",IFERROR(VLOOKUP(I807,Ref!$A$2:$B$65,2,FALSE),"Unclassified"))</f>
        <v/>
      </c>
      <c r="Z807">
        <f>IF(T807="","",IF(T807&lt;12,"Daily","Weekly"))</f>
        <v/>
      </c>
      <c r="AA807">
        <f>IF(T807="",0,IF(T807&lt;12,T807*Controls!$B$29,T807*5))</f>
        <v/>
      </c>
      <c r="AB807">
        <f>IF(E807="",0,NETWORKDAYS(E807,Controls!$B$36,Ref!$K$2:$K$42))</f>
        <v/>
      </c>
      <c r="AC807">
        <f>IF(AND(AA807&gt;0,AB807&gt;=Controls!$B$39*AA807),1,0)</f>
        <v/>
      </c>
      <c r="AD807">
        <f>IF(AND(E807&lt;&gt;"",E807&gt;=Controls!$B$37,E807&lt;=Controls!$B$38),1,0)</f>
        <v/>
      </c>
      <c r="AE807">
        <f>IF(IFERROR(VLOOKUP(D807,Controls!$A$64:$E$74,2,FALSE),"No")="Yes",1,0)</f>
        <v/>
      </c>
      <c r="AF807">
        <f>IF(IFERROR(VLOOKUP(D807,Controls!$A$64:$E$74,3,FALSE),"No")="Yes",1,0)</f>
        <v/>
      </c>
      <c r="AG807">
        <f>IF(IFERROR(VLOOKUP(D807,Controls!$A$64:$E$74,4,FALSE),"No")="Yes",1,0)</f>
        <v/>
      </c>
      <c r="AH807">
        <f>IF(IFERROR(VLOOKUP(D807,Controls!$A$64:$E$74,5,FALSE),"No")="Yes",1,0)</f>
        <v/>
      </c>
      <c r="AI807">
        <f>IF(ISNUMBER(MATCH(D807,Controls!$A$64:$A$74,0)),1,0)</f>
        <v/>
      </c>
      <c r="AJ807">
        <f>Q807-N807</f>
        <v/>
      </c>
      <c r="AK807">
        <f>IF(AE807=1,MAX(0,N807-Q807),0)</f>
        <v/>
      </c>
      <c r="AL807">
        <f>IF(OR(V807="",V807=0),0,N807/V807)</f>
        <v/>
      </c>
      <c r="AM807">
        <f>IF(OR(V807="",V807=0),0,1)</f>
        <v/>
      </c>
      <c r="AN807">
        <f>IF(OR(E807="",F807=""),0,NETWORKDAYS(E807,F807,Ref!$K$2:$K$42))</f>
        <v/>
      </c>
      <c r="AO807">
        <f>IF(L807="Renewal",1,0)</f>
        <v/>
      </c>
      <c r="AP807">
        <f>AC807*AD807</f>
        <v/>
      </c>
      <c r="AQ807">
        <f>IF(AND(G807&lt;&gt;"",'Historical Score'!$C$6&lt;&gt;""),IF(G807='Historical Score'!$C$6,1,0),0)</f>
        <v/>
      </c>
      <c r="AR807">
        <f>IF(AND(L807&lt;&gt;"",'Historical Score'!$C$5&lt;&gt;""),IF(L807='Historical Score'!$C$5,1,0),0)</f>
        <v/>
      </c>
      <c r="AS807">
        <f>IF(AND(Y807&lt;&gt;"",'Historical Score'!$C$7&lt;&gt;""),IF(Y807='Historical Score'!$C$7,1,0),0)</f>
        <v/>
      </c>
      <c r="AT807">
        <f>IF(AND(K807&lt;&gt;"",'Historical Score'!$C$8&lt;&gt;""),IF(K807='Historical Score'!$C$8,1,0),0)</f>
        <v/>
      </c>
      <c r="AU807">
        <f>IF(AND(J807&lt;&gt;"",'Historical Score'!$C$9&lt;&gt;""),IF(J807='Historical Score'!$C$9,1,0),0)</f>
        <v/>
      </c>
      <c r="AV807">
        <f>AR807*AS807*AQ807</f>
        <v/>
      </c>
      <c r="AW807">
        <f>AR807*AT807*AQ807</f>
        <v/>
      </c>
      <c r="AX807">
        <f>AR807*AS807</f>
        <v/>
      </c>
      <c r="AY807">
        <f>AR807*AT807</f>
        <v/>
      </c>
      <c r="AZ807">
        <f>AR807*AQ807</f>
        <v/>
      </c>
      <c r="BA807">
        <f>AR807</f>
        <v/>
      </c>
      <c r="BB807">
        <f>1</f>
        <v/>
      </c>
      <c r="BC807">
        <f>IF(AV807=1,1,IF(AW807=1,2,IF(AX807=1,3,IF(AY807=1,4,IF(AZ807=1,5,IF(BA807=1,6,7))))))</f>
        <v/>
      </c>
      <c r="BD807">
        <f>IF(AD807=1,CHOOSE('Historical Score'!$C$29,AV807,AW807,AX807,AY807,AZ807,BA807,BB807),0)</f>
        <v/>
      </c>
      <c r="BE807">
        <f>IF(BD807=1,COUNTIF($BD$2:BD807,1),"")</f>
        <v/>
      </c>
    </row>
    <row r="808">
      <c r="A808" t="inlineStr">
        <is>
          <t>5674182193</t>
        </is>
      </c>
      <c r="B808" t="inlineStr">
        <is>
          <t>PARIKH LAW GROUP</t>
        </is>
      </c>
      <c r="C808" t="inlineStr">
        <is>
          <t>PARIKH LAW GROUP LLC</t>
        </is>
      </c>
      <c r="D808" t="inlineStr">
        <is>
          <t>Open</t>
        </is>
      </c>
      <c r="E808" s="297" t="n">
        <v>46133</v>
      </c>
      <c r="F808" s="297" t="n">
        <v>46253</v>
      </c>
      <c r="G808" t="n">
        <v>4</v>
      </c>
      <c r="H808" t="inlineStr">
        <is>
          <t>8111</t>
        </is>
      </c>
      <c r="I808" t="inlineStr">
        <is>
          <t>81</t>
        </is>
      </c>
      <c r="J808" t="inlineStr">
        <is>
          <t>IL</t>
        </is>
      </c>
      <c r="K808" t="inlineStr">
        <is>
          <t>Westwood</t>
        </is>
      </c>
      <c r="L808" t="inlineStr">
        <is>
          <t>Renewal</t>
        </is>
      </c>
      <c r="M808" s="298" t="n">
        <v>1.49</v>
      </c>
      <c r="N808" s="299" t="n">
        <v>210000</v>
      </c>
      <c r="O808" s="299" t="n">
        <v>31500</v>
      </c>
      <c r="P808" s="299" t="n">
        <v>312900</v>
      </c>
      <c r="Q808" s="299" t="n">
        <v>98912.60000000001</v>
      </c>
      <c r="R808" s="299" t="n">
        <v>213987.4</v>
      </c>
      <c r="S808" s="300" t="n">
        <v>0.31611569191435</v>
      </c>
      <c r="T808" t="n">
        <v>3.77</v>
      </c>
      <c r="U808" t="n">
        <v>39</v>
      </c>
      <c r="V808" t="n">
        <v>215089.84</v>
      </c>
      <c r="W808" s="300" t="n">
        <v>0.2148</v>
      </c>
      <c r="X808" s="297" t="n">
        <v>40198</v>
      </c>
      <c r="Y808">
        <f>IF(I808="","No SIC",IFERROR(VLOOKUP(I808,Ref!$A$2:$B$65,2,FALSE),"Unclassified"))</f>
        <v/>
      </c>
      <c r="Z808">
        <f>IF(T808="","",IF(T808&lt;12,"Daily","Weekly"))</f>
        <v/>
      </c>
      <c r="AA808">
        <f>IF(T808="",0,IF(T808&lt;12,T808*Controls!$B$29,T808*5))</f>
        <v/>
      </c>
      <c r="AB808">
        <f>IF(E808="",0,NETWORKDAYS(E808,Controls!$B$36,Ref!$K$2:$K$42))</f>
        <v/>
      </c>
      <c r="AC808">
        <f>IF(AND(AA808&gt;0,AB808&gt;=Controls!$B$39*AA808),1,0)</f>
        <v/>
      </c>
      <c r="AD808">
        <f>IF(AND(E808&lt;&gt;"",E808&gt;=Controls!$B$37,E808&lt;=Controls!$B$38),1,0)</f>
        <v/>
      </c>
      <c r="AE808">
        <f>IF(IFERROR(VLOOKUP(D808,Controls!$A$64:$E$74,2,FALSE),"No")="Yes",1,0)</f>
        <v/>
      </c>
      <c r="AF808">
        <f>IF(IFERROR(VLOOKUP(D808,Controls!$A$64:$E$74,3,FALSE),"No")="Yes",1,0)</f>
        <v/>
      </c>
      <c r="AG808">
        <f>IF(IFERROR(VLOOKUP(D808,Controls!$A$64:$E$74,4,FALSE),"No")="Yes",1,0)</f>
        <v/>
      </c>
      <c r="AH808">
        <f>IF(IFERROR(VLOOKUP(D808,Controls!$A$64:$E$74,5,FALSE),"No")="Yes",1,0)</f>
        <v/>
      </c>
      <c r="AI808">
        <f>IF(ISNUMBER(MATCH(D808,Controls!$A$64:$A$74,0)),1,0)</f>
        <v/>
      </c>
      <c r="AJ808">
        <f>Q808-N808</f>
        <v/>
      </c>
      <c r="AK808">
        <f>IF(AE808=1,MAX(0,N808-Q808),0)</f>
        <v/>
      </c>
      <c r="AL808">
        <f>IF(OR(V808="",V808=0),0,N808/V808)</f>
        <v/>
      </c>
      <c r="AM808">
        <f>IF(OR(V808="",V808=0),0,1)</f>
        <v/>
      </c>
      <c r="AN808">
        <f>IF(OR(E808="",F808=""),0,NETWORKDAYS(E808,F808,Ref!$K$2:$K$42))</f>
        <v/>
      </c>
      <c r="AO808">
        <f>IF(L808="Renewal",1,0)</f>
        <v/>
      </c>
      <c r="AP808">
        <f>AC808*AD808</f>
        <v/>
      </c>
      <c r="AQ808">
        <f>IF(AND(G808&lt;&gt;"",'Historical Score'!$C$6&lt;&gt;""),IF(G808='Historical Score'!$C$6,1,0),0)</f>
        <v/>
      </c>
      <c r="AR808">
        <f>IF(AND(L808&lt;&gt;"",'Historical Score'!$C$5&lt;&gt;""),IF(L808='Historical Score'!$C$5,1,0),0)</f>
        <v/>
      </c>
      <c r="AS808">
        <f>IF(AND(Y808&lt;&gt;"",'Historical Score'!$C$7&lt;&gt;""),IF(Y808='Historical Score'!$C$7,1,0),0)</f>
        <v/>
      </c>
      <c r="AT808">
        <f>IF(AND(K808&lt;&gt;"",'Historical Score'!$C$8&lt;&gt;""),IF(K808='Historical Score'!$C$8,1,0),0)</f>
        <v/>
      </c>
      <c r="AU808">
        <f>IF(AND(J808&lt;&gt;"",'Historical Score'!$C$9&lt;&gt;""),IF(J808='Historical Score'!$C$9,1,0),0)</f>
        <v/>
      </c>
      <c r="AV808">
        <f>AR808*AS808*AQ808</f>
        <v/>
      </c>
      <c r="AW808">
        <f>AR808*AT808*AQ808</f>
        <v/>
      </c>
      <c r="AX808">
        <f>AR808*AS808</f>
        <v/>
      </c>
      <c r="AY808">
        <f>AR808*AT808</f>
        <v/>
      </c>
      <c r="AZ808">
        <f>AR808*AQ808</f>
        <v/>
      </c>
      <c r="BA808">
        <f>AR808</f>
        <v/>
      </c>
      <c r="BB808">
        <f>1</f>
        <v/>
      </c>
      <c r="BC808">
        <f>IF(AV808=1,1,IF(AW808=1,2,IF(AX808=1,3,IF(AY808=1,4,IF(AZ808=1,5,IF(BA808=1,6,7))))))</f>
        <v/>
      </c>
      <c r="BD808">
        <f>IF(AD808=1,CHOOSE('Historical Score'!$C$29,AV808,AW808,AX808,AY808,AZ808,BA808,BB808),0)</f>
        <v/>
      </c>
      <c r="BE808">
        <f>IF(BD808=1,COUNTIF($BD$2:BD808,1),"")</f>
        <v/>
      </c>
    </row>
    <row r="809">
      <c r="A809" t="inlineStr">
        <is>
          <t>5674182197</t>
        </is>
      </c>
      <c r="B809" t="inlineStr">
        <is>
          <t>Brass Kisses</t>
        </is>
      </c>
      <c r="C809" t="inlineStr">
        <is>
          <t>Douglas Alan, LLC</t>
        </is>
      </c>
      <c r="D809" t="inlineStr">
        <is>
          <t>Open</t>
        </is>
      </c>
      <c r="E809" s="297" t="n">
        <v>46133</v>
      </c>
      <c r="F809" s="297" t="n">
        <v>46211</v>
      </c>
      <c r="G809" t="n">
        <v>3</v>
      </c>
      <c r="H809" t="inlineStr">
        <is>
          <t>5999</t>
        </is>
      </c>
      <c r="I809" t="inlineStr">
        <is>
          <t>59</t>
        </is>
      </c>
      <c r="J809" t="inlineStr">
        <is>
          <t>UT</t>
        </is>
      </c>
      <c r="K809" t="inlineStr">
        <is>
          <t>United Secured Capital 8</t>
        </is>
      </c>
      <c r="L809" t="inlineStr">
        <is>
          <t>New Deal</t>
        </is>
      </c>
      <c r="M809" s="298" t="n">
        <v>1.49</v>
      </c>
      <c r="N809" s="299" t="n">
        <v>25000</v>
      </c>
      <c r="O809" s="299" t="n">
        <v>3500</v>
      </c>
      <c r="P809" s="299" t="n">
        <v>37250</v>
      </c>
      <c r="Q809" s="299" t="n">
        <v>12672.14</v>
      </c>
      <c r="R809" s="299" t="n">
        <v>24577.86</v>
      </c>
      <c r="S809" s="300" t="n">
        <v>0.340191677852349</v>
      </c>
      <c r="T809" t="n">
        <v>3.279</v>
      </c>
      <c r="U809" t="n">
        <v>15</v>
      </c>
      <c r="V809" t="n">
        <v>148238.19</v>
      </c>
      <c r="W809" s="300" t="n">
        <v>0.0528</v>
      </c>
      <c r="X809" s="297" t="n">
        <v>44063</v>
      </c>
      <c r="Y809">
        <f>IF(I809="","No SIC",IFERROR(VLOOKUP(I809,Ref!$A$2:$B$65,2,FALSE),"Unclassified"))</f>
        <v/>
      </c>
      <c r="Z809">
        <f>IF(T809="","",IF(T809&lt;12,"Daily","Weekly"))</f>
        <v/>
      </c>
      <c r="AA809">
        <f>IF(T809="",0,IF(T809&lt;12,T809*Controls!$B$29,T809*5))</f>
        <v/>
      </c>
      <c r="AB809">
        <f>IF(E809="",0,NETWORKDAYS(E809,Controls!$B$36,Ref!$K$2:$K$42))</f>
        <v/>
      </c>
      <c r="AC809">
        <f>IF(AND(AA809&gt;0,AB809&gt;=Controls!$B$39*AA809),1,0)</f>
        <v/>
      </c>
      <c r="AD809">
        <f>IF(AND(E809&lt;&gt;"",E809&gt;=Controls!$B$37,E809&lt;=Controls!$B$38),1,0)</f>
        <v/>
      </c>
      <c r="AE809">
        <f>IF(IFERROR(VLOOKUP(D809,Controls!$A$64:$E$74,2,FALSE),"No")="Yes",1,0)</f>
        <v/>
      </c>
      <c r="AF809">
        <f>IF(IFERROR(VLOOKUP(D809,Controls!$A$64:$E$74,3,FALSE),"No")="Yes",1,0)</f>
        <v/>
      </c>
      <c r="AG809">
        <f>IF(IFERROR(VLOOKUP(D809,Controls!$A$64:$E$74,4,FALSE),"No")="Yes",1,0)</f>
        <v/>
      </c>
      <c r="AH809">
        <f>IF(IFERROR(VLOOKUP(D809,Controls!$A$64:$E$74,5,FALSE),"No")="Yes",1,0)</f>
        <v/>
      </c>
      <c r="AI809">
        <f>IF(ISNUMBER(MATCH(D809,Controls!$A$64:$A$74,0)),1,0)</f>
        <v/>
      </c>
      <c r="AJ809">
        <f>Q809-N809</f>
        <v/>
      </c>
      <c r="AK809">
        <f>IF(AE809=1,MAX(0,N809-Q809),0)</f>
        <v/>
      </c>
      <c r="AL809">
        <f>IF(OR(V809="",V809=0),0,N809/V809)</f>
        <v/>
      </c>
      <c r="AM809">
        <f>IF(OR(V809="",V809=0),0,1)</f>
        <v/>
      </c>
      <c r="AN809">
        <f>IF(OR(E809="",F809=""),0,NETWORKDAYS(E809,F809,Ref!$K$2:$K$42))</f>
        <v/>
      </c>
      <c r="AO809">
        <f>IF(L809="Renewal",1,0)</f>
        <v/>
      </c>
      <c r="AP809">
        <f>AC809*AD809</f>
        <v/>
      </c>
      <c r="AQ809">
        <f>IF(AND(G809&lt;&gt;"",'Historical Score'!$C$6&lt;&gt;""),IF(G809='Historical Score'!$C$6,1,0),0)</f>
        <v/>
      </c>
      <c r="AR809">
        <f>IF(AND(L809&lt;&gt;"",'Historical Score'!$C$5&lt;&gt;""),IF(L809='Historical Score'!$C$5,1,0),0)</f>
        <v/>
      </c>
      <c r="AS809">
        <f>IF(AND(Y809&lt;&gt;"",'Historical Score'!$C$7&lt;&gt;""),IF(Y809='Historical Score'!$C$7,1,0),0)</f>
        <v/>
      </c>
      <c r="AT809">
        <f>IF(AND(K809&lt;&gt;"",'Historical Score'!$C$8&lt;&gt;""),IF(K809='Historical Score'!$C$8,1,0),0)</f>
        <v/>
      </c>
      <c r="AU809">
        <f>IF(AND(J809&lt;&gt;"",'Historical Score'!$C$9&lt;&gt;""),IF(J809='Historical Score'!$C$9,1,0),0)</f>
        <v/>
      </c>
      <c r="AV809">
        <f>AR809*AS809*AQ809</f>
        <v/>
      </c>
      <c r="AW809">
        <f>AR809*AT809*AQ809</f>
        <v/>
      </c>
      <c r="AX809">
        <f>AR809*AS809</f>
        <v/>
      </c>
      <c r="AY809">
        <f>AR809*AT809</f>
        <v/>
      </c>
      <c r="AZ809">
        <f>AR809*AQ809</f>
        <v/>
      </c>
      <c r="BA809">
        <f>AR809</f>
        <v/>
      </c>
      <c r="BB809">
        <f>1</f>
        <v/>
      </c>
      <c r="BC809">
        <f>IF(AV809=1,1,IF(AW809=1,2,IF(AX809=1,3,IF(AY809=1,4,IF(AZ809=1,5,IF(BA809=1,6,7))))))</f>
        <v/>
      </c>
      <c r="BD809">
        <f>IF(AD809=1,CHOOSE('Historical Score'!$C$29,AV809,AW809,AX809,AY809,AZ809,BA809,BB809),0)</f>
        <v/>
      </c>
      <c r="BE809">
        <f>IF(BD809=1,COUNTIF($BD$2:BD809,1),"")</f>
        <v/>
      </c>
    </row>
    <row r="810">
      <c r="A810" t="inlineStr">
        <is>
          <t>5674182220</t>
        </is>
      </c>
      <c r="B810" t="inlineStr">
        <is>
          <t>Design Mix Solutions</t>
        </is>
      </c>
      <c r="C810" t="inlineStr">
        <is>
          <t>Design Mix Solutions</t>
        </is>
      </c>
      <c r="D810" t="inlineStr">
        <is>
          <t>In House Collection</t>
        </is>
      </c>
      <c r="E810" s="297" t="n">
        <v>46134</v>
      </c>
      <c r="F810" s="297" t="n">
        <v>46241</v>
      </c>
      <c r="G810" t="n">
        <v>3</v>
      </c>
      <c r="H810" t="inlineStr">
        <is>
          <t>5039</t>
        </is>
      </c>
      <c r="I810" t="inlineStr">
        <is>
          <t>50</t>
        </is>
      </c>
      <c r="J810" t="inlineStr">
        <is>
          <t>FL</t>
        </is>
      </c>
      <c r="K810" t="inlineStr">
        <is>
          <t>TRUSTFI</t>
        </is>
      </c>
      <c r="L810" t="inlineStr">
        <is>
          <t>New Deal</t>
        </is>
      </c>
      <c r="M810" s="298" t="n">
        <v>1.49</v>
      </c>
      <c r="N810" s="299" t="n">
        <v>20000</v>
      </c>
      <c r="O810" s="299" t="n">
        <v>2800</v>
      </c>
      <c r="P810" s="299" t="n">
        <v>29800</v>
      </c>
      <c r="Q810" s="299" t="n">
        <v>17383.1</v>
      </c>
      <c r="R810" s="299" t="n">
        <v>12416.9</v>
      </c>
      <c r="S810" s="300" t="n">
        <v>0.583325503355705</v>
      </c>
      <c r="T810" t="n">
        <v>24</v>
      </c>
      <c r="U810" t="n">
        <v>2</v>
      </c>
      <c r="V810" t="n">
        <v>29829.51</v>
      </c>
      <c r="W810" s="300" t="n">
        <v>0.1665</v>
      </c>
      <c r="X810" s="297" t="n">
        <v>44583</v>
      </c>
      <c r="Y810">
        <f>IF(I810="","No SIC",IFERROR(VLOOKUP(I810,Ref!$A$2:$B$65,2,FALSE),"Unclassified"))</f>
        <v/>
      </c>
      <c r="Z810">
        <f>IF(T810="","",IF(T810&lt;12,"Daily","Weekly"))</f>
        <v/>
      </c>
      <c r="AA810">
        <f>IF(T810="",0,IF(T810&lt;12,T810*Controls!$B$29,T810*5))</f>
        <v/>
      </c>
      <c r="AB810">
        <f>IF(E810="",0,NETWORKDAYS(E810,Controls!$B$36,Ref!$K$2:$K$42))</f>
        <v/>
      </c>
      <c r="AC810">
        <f>IF(AND(AA810&gt;0,AB810&gt;=Controls!$B$39*AA810),1,0)</f>
        <v/>
      </c>
      <c r="AD810">
        <f>IF(AND(E810&lt;&gt;"",E810&gt;=Controls!$B$37,E810&lt;=Controls!$B$38),1,0)</f>
        <v/>
      </c>
      <c r="AE810">
        <f>IF(IFERROR(VLOOKUP(D810,Controls!$A$64:$E$74,2,FALSE),"No")="Yes",1,0)</f>
        <v/>
      </c>
      <c r="AF810">
        <f>IF(IFERROR(VLOOKUP(D810,Controls!$A$64:$E$74,3,FALSE),"No")="Yes",1,0)</f>
        <v/>
      </c>
      <c r="AG810">
        <f>IF(IFERROR(VLOOKUP(D810,Controls!$A$64:$E$74,4,FALSE),"No")="Yes",1,0)</f>
        <v/>
      </c>
      <c r="AH810">
        <f>IF(IFERROR(VLOOKUP(D810,Controls!$A$64:$E$74,5,FALSE),"No")="Yes",1,0)</f>
        <v/>
      </c>
      <c r="AI810">
        <f>IF(ISNUMBER(MATCH(D810,Controls!$A$64:$A$74,0)),1,0)</f>
        <v/>
      </c>
      <c r="AJ810">
        <f>Q810-N810</f>
        <v/>
      </c>
      <c r="AK810">
        <f>IF(AE810=1,MAX(0,N810-Q810),0)</f>
        <v/>
      </c>
      <c r="AL810">
        <f>IF(OR(V810="",V810=0),0,N810/V810)</f>
        <v/>
      </c>
      <c r="AM810">
        <f>IF(OR(V810="",V810=0),0,1)</f>
        <v/>
      </c>
      <c r="AN810">
        <f>IF(OR(E810="",F810=""),0,NETWORKDAYS(E810,F810,Ref!$K$2:$K$42))</f>
        <v/>
      </c>
      <c r="AO810">
        <f>IF(L810="Renewal",1,0)</f>
        <v/>
      </c>
      <c r="AP810">
        <f>AC810*AD810</f>
        <v/>
      </c>
      <c r="AQ810">
        <f>IF(AND(G810&lt;&gt;"",'Historical Score'!$C$6&lt;&gt;""),IF(G810='Historical Score'!$C$6,1,0),0)</f>
        <v/>
      </c>
      <c r="AR810">
        <f>IF(AND(L810&lt;&gt;"",'Historical Score'!$C$5&lt;&gt;""),IF(L810='Historical Score'!$C$5,1,0),0)</f>
        <v/>
      </c>
      <c r="AS810">
        <f>IF(AND(Y810&lt;&gt;"",'Historical Score'!$C$7&lt;&gt;""),IF(Y810='Historical Score'!$C$7,1,0),0)</f>
        <v/>
      </c>
      <c r="AT810">
        <f>IF(AND(K810&lt;&gt;"",'Historical Score'!$C$8&lt;&gt;""),IF(K810='Historical Score'!$C$8,1,0),0)</f>
        <v/>
      </c>
      <c r="AU810">
        <f>IF(AND(J810&lt;&gt;"",'Historical Score'!$C$9&lt;&gt;""),IF(J810='Historical Score'!$C$9,1,0),0)</f>
        <v/>
      </c>
      <c r="AV810">
        <f>AR810*AS810*AQ810</f>
        <v/>
      </c>
      <c r="AW810">
        <f>AR810*AT810*AQ810</f>
        <v/>
      </c>
      <c r="AX810">
        <f>AR810*AS810</f>
        <v/>
      </c>
      <c r="AY810">
        <f>AR810*AT810</f>
        <v/>
      </c>
      <c r="AZ810">
        <f>AR810*AQ810</f>
        <v/>
      </c>
      <c r="BA810">
        <f>AR810</f>
        <v/>
      </c>
      <c r="BB810">
        <f>1</f>
        <v/>
      </c>
      <c r="BC810">
        <f>IF(AV810=1,1,IF(AW810=1,2,IF(AX810=1,3,IF(AY810=1,4,IF(AZ810=1,5,IF(BA810=1,6,7))))))</f>
        <v/>
      </c>
      <c r="BD810">
        <f>IF(AD810=1,CHOOSE('Historical Score'!$C$29,AV810,AW810,AX810,AY810,AZ810,BA810,BB810),0)</f>
        <v/>
      </c>
      <c r="BE810">
        <f>IF(BD810=1,COUNTIF($BD$2:BD810,1),"")</f>
        <v/>
      </c>
    </row>
    <row r="811">
      <c r="A811" t="inlineStr">
        <is>
          <t>5674182236</t>
        </is>
      </c>
      <c r="B811" t="inlineStr">
        <is>
          <t>FIRST STEPS PEDIATRICS, BRUCE R. LANTRY, MD</t>
        </is>
      </c>
      <c r="C811" t="inlineStr">
        <is>
          <t>First Steps Pediatrics PLLC</t>
        </is>
      </c>
      <c r="D811" t="inlineStr">
        <is>
          <t>Open</t>
        </is>
      </c>
      <c r="E811" s="297" t="n">
        <v>46134</v>
      </c>
      <c r="F811" s="297" t="n">
        <v>46251</v>
      </c>
      <c r="G811" t="n">
        <v>4</v>
      </c>
      <c r="H811" t="inlineStr">
        <is>
          <t>8011</t>
        </is>
      </c>
      <c r="I811" t="inlineStr">
        <is>
          <t>80</t>
        </is>
      </c>
      <c r="J811" t="inlineStr">
        <is>
          <t>TX</t>
        </is>
      </c>
      <c r="K811" t="inlineStr">
        <is>
          <t>Vanguard Equities</t>
        </is>
      </c>
      <c r="L811" t="inlineStr">
        <is>
          <t>New Deal</t>
        </is>
      </c>
      <c r="M811" s="298" t="n">
        <v>1.49</v>
      </c>
      <c r="N811" s="299" t="n">
        <v>15000</v>
      </c>
      <c r="O811" s="299" t="n">
        <v>2100</v>
      </c>
      <c r="P811" s="299" t="n">
        <v>22350</v>
      </c>
      <c r="Q811" s="299" t="n">
        <v>13966.35</v>
      </c>
      <c r="R811" s="299" t="n">
        <v>8383.65</v>
      </c>
      <c r="S811" s="300" t="n">
        <v>0.624892617449664</v>
      </c>
      <c r="T811" t="n">
        <v>24</v>
      </c>
      <c r="U811" t="n">
        <v>2</v>
      </c>
      <c r="V811" t="n">
        <v>26621.57</v>
      </c>
      <c r="W811" s="300" t="n">
        <v>0.1399</v>
      </c>
      <c r="X811" s="297" t="n">
        <v>36100</v>
      </c>
      <c r="Y811">
        <f>IF(I811="","No SIC",IFERROR(VLOOKUP(I811,Ref!$A$2:$B$65,2,FALSE),"Unclassified"))</f>
        <v/>
      </c>
      <c r="Z811">
        <f>IF(T811="","",IF(T811&lt;12,"Daily","Weekly"))</f>
        <v/>
      </c>
      <c r="AA811">
        <f>IF(T811="",0,IF(T811&lt;12,T811*Controls!$B$29,T811*5))</f>
        <v/>
      </c>
      <c r="AB811">
        <f>IF(E811="",0,NETWORKDAYS(E811,Controls!$B$36,Ref!$K$2:$K$42))</f>
        <v/>
      </c>
      <c r="AC811">
        <f>IF(AND(AA811&gt;0,AB811&gt;=Controls!$B$39*AA811),1,0)</f>
        <v/>
      </c>
      <c r="AD811">
        <f>IF(AND(E811&lt;&gt;"",E811&gt;=Controls!$B$37,E811&lt;=Controls!$B$38),1,0)</f>
        <v/>
      </c>
      <c r="AE811">
        <f>IF(IFERROR(VLOOKUP(D811,Controls!$A$64:$E$74,2,FALSE),"No")="Yes",1,0)</f>
        <v/>
      </c>
      <c r="AF811">
        <f>IF(IFERROR(VLOOKUP(D811,Controls!$A$64:$E$74,3,FALSE),"No")="Yes",1,0)</f>
        <v/>
      </c>
      <c r="AG811">
        <f>IF(IFERROR(VLOOKUP(D811,Controls!$A$64:$E$74,4,FALSE),"No")="Yes",1,0)</f>
        <v/>
      </c>
      <c r="AH811">
        <f>IF(IFERROR(VLOOKUP(D811,Controls!$A$64:$E$74,5,FALSE),"No")="Yes",1,0)</f>
        <v/>
      </c>
      <c r="AI811">
        <f>IF(ISNUMBER(MATCH(D811,Controls!$A$64:$A$74,0)),1,0)</f>
        <v/>
      </c>
      <c r="AJ811">
        <f>Q811-N811</f>
        <v/>
      </c>
      <c r="AK811">
        <f>IF(AE811=1,MAX(0,N811-Q811),0)</f>
        <v/>
      </c>
      <c r="AL811">
        <f>IF(OR(V811="",V811=0),0,N811/V811)</f>
        <v/>
      </c>
      <c r="AM811">
        <f>IF(OR(V811="",V811=0),0,1)</f>
        <v/>
      </c>
      <c r="AN811">
        <f>IF(OR(E811="",F811=""),0,NETWORKDAYS(E811,F811,Ref!$K$2:$K$42))</f>
        <v/>
      </c>
      <c r="AO811">
        <f>IF(L811="Renewal",1,0)</f>
        <v/>
      </c>
      <c r="AP811">
        <f>AC811*AD811</f>
        <v/>
      </c>
      <c r="AQ811">
        <f>IF(AND(G811&lt;&gt;"",'Historical Score'!$C$6&lt;&gt;""),IF(G811='Historical Score'!$C$6,1,0),0)</f>
        <v/>
      </c>
      <c r="AR811">
        <f>IF(AND(L811&lt;&gt;"",'Historical Score'!$C$5&lt;&gt;""),IF(L811='Historical Score'!$C$5,1,0),0)</f>
        <v/>
      </c>
      <c r="AS811">
        <f>IF(AND(Y811&lt;&gt;"",'Historical Score'!$C$7&lt;&gt;""),IF(Y811='Historical Score'!$C$7,1,0),0)</f>
        <v/>
      </c>
      <c r="AT811">
        <f>IF(AND(K811&lt;&gt;"",'Historical Score'!$C$8&lt;&gt;""),IF(K811='Historical Score'!$C$8,1,0),0)</f>
        <v/>
      </c>
      <c r="AU811">
        <f>IF(AND(J811&lt;&gt;"",'Historical Score'!$C$9&lt;&gt;""),IF(J811='Historical Score'!$C$9,1,0),0)</f>
        <v/>
      </c>
      <c r="AV811">
        <f>AR811*AS811*AQ811</f>
        <v/>
      </c>
      <c r="AW811">
        <f>AR811*AT811*AQ811</f>
        <v/>
      </c>
      <c r="AX811">
        <f>AR811*AS811</f>
        <v/>
      </c>
      <c r="AY811">
        <f>AR811*AT811</f>
        <v/>
      </c>
      <c r="AZ811">
        <f>AR811*AQ811</f>
        <v/>
      </c>
      <c r="BA811">
        <f>AR811</f>
        <v/>
      </c>
      <c r="BB811">
        <f>1</f>
        <v/>
      </c>
      <c r="BC811">
        <f>IF(AV811=1,1,IF(AW811=1,2,IF(AX811=1,3,IF(AY811=1,4,IF(AZ811=1,5,IF(BA811=1,6,7))))))</f>
        <v/>
      </c>
      <c r="BD811">
        <f>IF(AD811=1,CHOOSE('Historical Score'!$C$29,AV811,AW811,AX811,AY811,AZ811,BA811,BB811),0)</f>
        <v/>
      </c>
      <c r="BE811">
        <f>IF(BD811=1,COUNTIF($BD$2:BD811,1),"")</f>
        <v/>
      </c>
    </row>
    <row r="812">
      <c r="A812" t="inlineStr">
        <is>
          <t>5674182314</t>
        </is>
      </c>
      <c r="B812" t="inlineStr">
        <is>
          <t>LUKA CONTRACTING SERVICES LLC</t>
        </is>
      </c>
      <c r="C812" t="inlineStr">
        <is>
          <t>LUKA CONTRACTING SERVICES LLC</t>
        </is>
      </c>
      <c r="D812" t="inlineStr">
        <is>
          <t>Open</t>
        </is>
      </c>
      <c r="E812" s="297" t="n">
        <v>46135</v>
      </c>
      <c r="F812" s="297" t="n">
        <v>46253</v>
      </c>
      <c r="G812" t="n">
        <v>3</v>
      </c>
      <c r="H812" t="inlineStr">
        <is>
          <t>1521</t>
        </is>
      </c>
      <c r="I812" t="inlineStr">
        <is>
          <t>15</t>
        </is>
      </c>
      <c r="J812" t="inlineStr">
        <is>
          <t>NJ</t>
        </is>
      </c>
      <c r="K812" t="inlineStr">
        <is>
          <t>Lend Bull LLC</t>
        </is>
      </c>
      <c r="L812" t="inlineStr">
        <is>
          <t>New Deal</t>
        </is>
      </c>
      <c r="M812" s="298" t="n">
        <v>1.45</v>
      </c>
      <c r="N812" s="299" t="n">
        <v>30000</v>
      </c>
      <c r="O812" s="299" t="n">
        <v>3600</v>
      </c>
      <c r="P812" s="299" t="n">
        <v>43500</v>
      </c>
      <c r="Q812" s="299" t="n">
        <v>19919.35</v>
      </c>
      <c r="R812" s="299" t="n">
        <v>23580.65</v>
      </c>
      <c r="S812" s="300" t="n">
        <v>0.457916091954023</v>
      </c>
      <c r="T812" t="n">
        <v>3.934</v>
      </c>
      <c r="U812" t="n">
        <v>27</v>
      </c>
      <c r="V812" t="n">
        <v>139553.38</v>
      </c>
      <c r="W812" s="300" t="n">
        <v>0.0545</v>
      </c>
      <c r="X812" s="297" t="n">
        <v>45839</v>
      </c>
      <c r="Y812">
        <f>IF(I812="","No SIC",IFERROR(VLOOKUP(I812,Ref!$A$2:$B$65,2,FALSE),"Unclassified"))</f>
        <v/>
      </c>
      <c r="Z812">
        <f>IF(T812="","",IF(T812&lt;12,"Daily","Weekly"))</f>
        <v/>
      </c>
      <c r="AA812">
        <f>IF(T812="",0,IF(T812&lt;12,T812*Controls!$B$29,T812*5))</f>
        <v/>
      </c>
      <c r="AB812">
        <f>IF(E812="",0,NETWORKDAYS(E812,Controls!$B$36,Ref!$K$2:$K$42))</f>
        <v/>
      </c>
      <c r="AC812">
        <f>IF(AND(AA812&gt;0,AB812&gt;=Controls!$B$39*AA812),1,0)</f>
        <v/>
      </c>
      <c r="AD812">
        <f>IF(AND(E812&lt;&gt;"",E812&gt;=Controls!$B$37,E812&lt;=Controls!$B$38),1,0)</f>
        <v/>
      </c>
      <c r="AE812">
        <f>IF(IFERROR(VLOOKUP(D812,Controls!$A$64:$E$74,2,FALSE),"No")="Yes",1,0)</f>
        <v/>
      </c>
      <c r="AF812">
        <f>IF(IFERROR(VLOOKUP(D812,Controls!$A$64:$E$74,3,FALSE),"No")="Yes",1,0)</f>
        <v/>
      </c>
      <c r="AG812">
        <f>IF(IFERROR(VLOOKUP(D812,Controls!$A$64:$E$74,4,FALSE),"No")="Yes",1,0)</f>
        <v/>
      </c>
      <c r="AH812">
        <f>IF(IFERROR(VLOOKUP(D812,Controls!$A$64:$E$74,5,FALSE),"No")="Yes",1,0)</f>
        <v/>
      </c>
      <c r="AI812">
        <f>IF(ISNUMBER(MATCH(D812,Controls!$A$64:$A$74,0)),1,0)</f>
        <v/>
      </c>
      <c r="AJ812">
        <f>Q812-N812</f>
        <v/>
      </c>
      <c r="AK812">
        <f>IF(AE812=1,MAX(0,N812-Q812),0)</f>
        <v/>
      </c>
      <c r="AL812">
        <f>IF(OR(V812="",V812=0),0,N812/V812)</f>
        <v/>
      </c>
      <c r="AM812">
        <f>IF(OR(V812="",V812=0),0,1)</f>
        <v/>
      </c>
      <c r="AN812">
        <f>IF(OR(E812="",F812=""),0,NETWORKDAYS(E812,F812,Ref!$K$2:$K$42))</f>
        <v/>
      </c>
      <c r="AO812">
        <f>IF(L812="Renewal",1,0)</f>
        <v/>
      </c>
      <c r="AP812">
        <f>AC812*AD812</f>
        <v/>
      </c>
      <c r="AQ812">
        <f>IF(AND(G812&lt;&gt;"",'Historical Score'!$C$6&lt;&gt;""),IF(G812='Historical Score'!$C$6,1,0),0)</f>
        <v/>
      </c>
      <c r="AR812">
        <f>IF(AND(L812&lt;&gt;"",'Historical Score'!$C$5&lt;&gt;""),IF(L812='Historical Score'!$C$5,1,0),0)</f>
        <v/>
      </c>
      <c r="AS812">
        <f>IF(AND(Y812&lt;&gt;"",'Historical Score'!$C$7&lt;&gt;""),IF(Y812='Historical Score'!$C$7,1,0),0)</f>
        <v/>
      </c>
      <c r="AT812">
        <f>IF(AND(K812&lt;&gt;"",'Historical Score'!$C$8&lt;&gt;""),IF(K812='Historical Score'!$C$8,1,0),0)</f>
        <v/>
      </c>
      <c r="AU812">
        <f>IF(AND(J812&lt;&gt;"",'Historical Score'!$C$9&lt;&gt;""),IF(J812='Historical Score'!$C$9,1,0),0)</f>
        <v/>
      </c>
      <c r="AV812">
        <f>AR812*AS812*AQ812</f>
        <v/>
      </c>
      <c r="AW812">
        <f>AR812*AT812*AQ812</f>
        <v/>
      </c>
      <c r="AX812">
        <f>AR812*AS812</f>
        <v/>
      </c>
      <c r="AY812">
        <f>AR812*AT812</f>
        <v/>
      </c>
      <c r="AZ812">
        <f>AR812*AQ812</f>
        <v/>
      </c>
      <c r="BA812">
        <f>AR812</f>
        <v/>
      </c>
      <c r="BB812">
        <f>1</f>
        <v/>
      </c>
      <c r="BC812">
        <f>IF(AV812=1,1,IF(AW812=1,2,IF(AX812=1,3,IF(AY812=1,4,IF(AZ812=1,5,IF(BA812=1,6,7))))))</f>
        <v/>
      </c>
      <c r="BD812">
        <f>IF(AD812=1,CHOOSE('Historical Score'!$C$29,AV812,AW812,AX812,AY812,AZ812,BA812,BB812),0)</f>
        <v/>
      </c>
      <c r="BE812">
        <f>IF(BD812=1,COUNTIF($BD$2:BD812,1),"")</f>
        <v/>
      </c>
    </row>
    <row r="813">
      <c r="A813" t="inlineStr">
        <is>
          <t>5674182328</t>
        </is>
      </c>
      <c r="B813" t="inlineStr">
        <is>
          <t>CORNUCOPIA FARMS LLC</t>
        </is>
      </c>
      <c r="C813" t="inlineStr">
        <is>
          <t>CORNUCOPIA FARMS LLC</t>
        </is>
      </c>
      <c r="D813" t="inlineStr">
        <is>
          <t>Open</t>
        </is>
      </c>
      <c r="E813" s="297" t="n">
        <v>46135</v>
      </c>
      <c r="F813" s="297" t="n">
        <v>46253</v>
      </c>
      <c r="G813" t="n">
        <v>3</v>
      </c>
      <c r="H813" t="inlineStr">
        <is>
          <t>5999</t>
        </is>
      </c>
      <c r="I813" t="inlineStr">
        <is>
          <t>59</t>
        </is>
      </c>
      <c r="J813" t="inlineStr">
        <is>
          <t>GA</t>
        </is>
      </c>
      <c r="K813" t="inlineStr">
        <is>
          <t>United Secured Capital 8</t>
        </is>
      </c>
      <c r="L813" t="inlineStr">
        <is>
          <t>Renewal</t>
        </is>
      </c>
      <c r="M813" s="298" t="n">
        <v>1.49</v>
      </c>
      <c r="N813" s="299" t="n">
        <v>40000</v>
      </c>
      <c r="O813" s="299" t="n">
        <v>5600</v>
      </c>
      <c r="P813" s="299" t="n">
        <v>59600</v>
      </c>
      <c r="Q813" s="299" t="n">
        <v>22084.92</v>
      </c>
      <c r="R813" s="299" t="n">
        <v>37515.08</v>
      </c>
      <c r="S813" s="300" t="n">
        <v>0.370552348993289</v>
      </c>
      <c r="T813" t="n">
        <v>4.262</v>
      </c>
      <c r="U813" t="n">
        <v>33</v>
      </c>
      <c r="V813" t="n">
        <v>94891.3</v>
      </c>
      <c r="W813" s="300" t="n">
        <v>0.1234</v>
      </c>
      <c r="X813" s="297" t="n">
        <v>45045</v>
      </c>
      <c r="Y813">
        <f>IF(I813="","No SIC",IFERROR(VLOOKUP(I813,Ref!$A$2:$B$65,2,FALSE),"Unclassified"))</f>
        <v/>
      </c>
      <c r="Z813">
        <f>IF(T813="","",IF(T813&lt;12,"Daily","Weekly"))</f>
        <v/>
      </c>
      <c r="AA813">
        <f>IF(T813="",0,IF(T813&lt;12,T813*Controls!$B$29,T813*5))</f>
        <v/>
      </c>
      <c r="AB813">
        <f>IF(E813="",0,NETWORKDAYS(E813,Controls!$B$36,Ref!$K$2:$K$42))</f>
        <v/>
      </c>
      <c r="AC813">
        <f>IF(AND(AA813&gt;0,AB813&gt;=Controls!$B$39*AA813),1,0)</f>
        <v/>
      </c>
      <c r="AD813">
        <f>IF(AND(E813&lt;&gt;"",E813&gt;=Controls!$B$37,E813&lt;=Controls!$B$38),1,0)</f>
        <v/>
      </c>
      <c r="AE813">
        <f>IF(IFERROR(VLOOKUP(D813,Controls!$A$64:$E$74,2,FALSE),"No")="Yes",1,0)</f>
        <v/>
      </c>
      <c r="AF813">
        <f>IF(IFERROR(VLOOKUP(D813,Controls!$A$64:$E$74,3,FALSE),"No")="Yes",1,0)</f>
        <v/>
      </c>
      <c r="AG813">
        <f>IF(IFERROR(VLOOKUP(D813,Controls!$A$64:$E$74,4,FALSE),"No")="Yes",1,0)</f>
        <v/>
      </c>
      <c r="AH813">
        <f>IF(IFERROR(VLOOKUP(D813,Controls!$A$64:$E$74,5,FALSE),"No")="Yes",1,0)</f>
        <v/>
      </c>
      <c r="AI813">
        <f>IF(ISNUMBER(MATCH(D813,Controls!$A$64:$A$74,0)),1,0)</f>
        <v/>
      </c>
      <c r="AJ813">
        <f>Q813-N813</f>
        <v/>
      </c>
      <c r="AK813">
        <f>IF(AE813=1,MAX(0,N813-Q813),0)</f>
        <v/>
      </c>
      <c r="AL813">
        <f>IF(OR(V813="",V813=0),0,N813/V813)</f>
        <v/>
      </c>
      <c r="AM813">
        <f>IF(OR(V813="",V813=0),0,1)</f>
        <v/>
      </c>
      <c r="AN813">
        <f>IF(OR(E813="",F813=""),0,NETWORKDAYS(E813,F813,Ref!$K$2:$K$42))</f>
        <v/>
      </c>
      <c r="AO813">
        <f>IF(L813="Renewal",1,0)</f>
        <v/>
      </c>
      <c r="AP813">
        <f>AC813*AD813</f>
        <v/>
      </c>
      <c r="AQ813">
        <f>IF(AND(G813&lt;&gt;"",'Historical Score'!$C$6&lt;&gt;""),IF(G813='Historical Score'!$C$6,1,0),0)</f>
        <v/>
      </c>
      <c r="AR813">
        <f>IF(AND(L813&lt;&gt;"",'Historical Score'!$C$5&lt;&gt;""),IF(L813='Historical Score'!$C$5,1,0),0)</f>
        <v/>
      </c>
      <c r="AS813">
        <f>IF(AND(Y813&lt;&gt;"",'Historical Score'!$C$7&lt;&gt;""),IF(Y813='Historical Score'!$C$7,1,0),0)</f>
        <v/>
      </c>
      <c r="AT813">
        <f>IF(AND(K813&lt;&gt;"",'Historical Score'!$C$8&lt;&gt;""),IF(K813='Historical Score'!$C$8,1,0),0)</f>
        <v/>
      </c>
      <c r="AU813">
        <f>IF(AND(J813&lt;&gt;"",'Historical Score'!$C$9&lt;&gt;""),IF(J813='Historical Score'!$C$9,1,0),0)</f>
        <v/>
      </c>
      <c r="AV813">
        <f>AR813*AS813*AQ813</f>
        <v/>
      </c>
      <c r="AW813">
        <f>AR813*AT813*AQ813</f>
        <v/>
      </c>
      <c r="AX813">
        <f>AR813*AS813</f>
        <v/>
      </c>
      <c r="AY813">
        <f>AR813*AT813</f>
        <v/>
      </c>
      <c r="AZ813">
        <f>AR813*AQ813</f>
        <v/>
      </c>
      <c r="BA813">
        <f>AR813</f>
        <v/>
      </c>
      <c r="BB813">
        <f>1</f>
        <v/>
      </c>
      <c r="BC813">
        <f>IF(AV813=1,1,IF(AW813=1,2,IF(AX813=1,3,IF(AY813=1,4,IF(AZ813=1,5,IF(BA813=1,6,7))))))</f>
        <v/>
      </c>
      <c r="BD813">
        <f>IF(AD813=1,CHOOSE('Historical Score'!$C$29,AV813,AW813,AX813,AY813,AZ813,BA813,BB813),0)</f>
        <v/>
      </c>
      <c r="BE813">
        <f>IF(BD813=1,COUNTIF($BD$2:BD813,1),"")</f>
        <v/>
      </c>
    </row>
    <row r="814">
      <c r="A814" t="inlineStr">
        <is>
          <t>5674182355</t>
        </is>
      </c>
      <c r="B814" t="inlineStr">
        <is>
          <t>ApexCare</t>
        </is>
      </c>
      <c r="C814" t="inlineStr">
        <is>
          <t>ApexCare</t>
        </is>
      </c>
      <c r="D814" t="inlineStr">
        <is>
          <t>Legal</t>
        </is>
      </c>
      <c r="E814" s="297" t="n">
        <v>46135</v>
      </c>
      <c r="F814" s="297" t="n">
        <v>46150</v>
      </c>
      <c r="G814" t="n">
        <v>3</v>
      </c>
      <c r="H814" t="inlineStr">
        <is>
          <t>8011</t>
        </is>
      </c>
      <c r="I814" t="inlineStr">
        <is>
          <t>80</t>
        </is>
      </c>
      <c r="J814" t="inlineStr">
        <is>
          <t>TX</t>
        </is>
      </c>
      <c r="K814" t="inlineStr">
        <is>
          <t>Platform Funding</t>
        </is>
      </c>
      <c r="L814" t="inlineStr">
        <is>
          <t>New Deal</t>
        </is>
      </c>
      <c r="M814" s="298" t="n">
        <v>1.45</v>
      </c>
      <c r="N814" s="299" t="n">
        <v>40000</v>
      </c>
      <c r="O814" s="299" t="n">
        <v>4800</v>
      </c>
      <c r="P814" s="299" t="n">
        <v>58000</v>
      </c>
      <c r="Q814" s="299" t="n">
        <v>2898.17</v>
      </c>
      <c r="R814" s="299" t="n">
        <v>55101.83</v>
      </c>
      <c r="S814" s="300" t="n">
        <v>0.0499684482758621</v>
      </c>
      <c r="T814" t="n">
        <v>20</v>
      </c>
      <c r="U814" t="n">
        <v>1</v>
      </c>
      <c r="V814" t="n">
        <v>167282.61</v>
      </c>
      <c r="W814" s="300" t="n">
        <v>0.0693</v>
      </c>
      <c r="X814" s="297" t="n">
        <v>43770</v>
      </c>
      <c r="Y814">
        <f>IF(I814="","No SIC",IFERROR(VLOOKUP(I814,Ref!$A$2:$B$65,2,FALSE),"Unclassified"))</f>
        <v/>
      </c>
      <c r="Z814">
        <f>IF(T814="","",IF(T814&lt;12,"Daily","Weekly"))</f>
        <v/>
      </c>
      <c r="AA814">
        <f>IF(T814="",0,IF(T814&lt;12,T814*Controls!$B$29,T814*5))</f>
        <v/>
      </c>
      <c r="AB814">
        <f>IF(E814="",0,NETWORKDAYS(E814,Controls!$B$36,Ref!$K$2:$K$42))</f>
        <v/>
      </c>
      <c r="AC814">
        <f>IF(AND(AA814&gt;0,AB814&gt;=Controls!$B$39*AA814),1,0)</f>
        <v/>
      </c>
      <c r="AD814">
        <f>IF(AND(E814&lt;&gt;"",E814&gt;=Controls!$B$37,E814&lt;=Controls!$B$38),1,0)</f>
        <v/>
      </c>
      <c r="AE814">
        <f>IF(IFERROR(VLOOKUP(D814,Controls!$A$64:$E$74,2,FALSE),"No")="Yes",1,0)</f>
        <v/>
      </c>
      <c r="AF814">
        <f>IF(IFERROR(VLOOKUP(D814,Controls!$A$64:$E$74,3,FALSE),"No")="Yes",1,0)</f>
        <v/>
      </c>
      <c r="AG814">
        <f>IF(IFERROR(VLOOKUP(D814,Controls!$A$64:$E$74,4,FALSE),"No")="Yes",1,0)</f>
        <v/>
      </c>
      <c r="AH814">
        <f>IF(IFERROR(VLOOKUP(D814,Controls!$A$64:$E$74,5,FALSE),"No")="Yes",1,0)</f>
        <v/>
      </c>
      <c r="AI814">
        <f>IF(ISNUMBER(MATCH(D814,Controls!$A$64:$A$74,0)),1,0)</f>
        <v/>
      </c>
      <c r="AJ814">
        <f>Q814-N814</f>
        <v/>
      </c>
      <c r="AK814">
        <f>IF(AE814=1,MAX(0,N814-Q814),0)</f>
        <v/>
      </c>
      <c r="AL814">
        <f>IF(OR(V814="",V814=0),0,N814/V814)</f>
        <v/>
      </c>
      <c r="AM814">
        <f>IF(OR(V814="",V814=0),0,1)</f>
        <v/>
      </c>
      <c r="AN814">
        <f>IF(OR(E814="",F814=""),0,NETWORKDAYS(E814,F814,Ref!$K$2:$K$42))</f>
        <v/>
      </c>
      <c r="AO814">
        <f>IF(L814="Renewal",1,0)</f>
        <v/>
      </c>
      <c r="AP814">
        <f>AC814*AD814</f>
        <v/>
      </c>
      <c r="AQ814">
        <f>IF(AND(G814&lt;&gt;"",'Historical Score'!$C$6&lt;&gt;""),IF(G814='Historical Score'!$C$6,1,0),0)</f>
        <v/>
      </c>
      <c r="AR814">
        <f>IF(AND(L814&lt;&gt;"",'Historical Score'!$C$5&lt;&gt;""),IF(L814='Historical Score'!$C$5,1,0),0)</f>
        <v/>
      </c>
      <c r="AS814">
        <f>IF(AND(Y814&lt;&gt;"",'Historical Score'!$C$7&lt;&gt;""),IF(Y814='Historical Score'!$C$7,1,0),0)</f>
        <v/>
      </c>
      <c r="AT814">
        <f>IF(AND(K814&lt;&gt;"",'Historical Score'!$C$8&lt;&gt;""),IF(K814='Historical Score'!$C$8,1,0),0)</f>
        <v/>
      </c>
      <c r="AU814">
        <f>IF(AND(J814&lt;&gt;"",'Historical Score'!$C$9&lt;&gt;""),IF(J814='Historical Score'!$C$9,1,0),0)</f>
        <v/>
      </c>
      <c r="AV814">
        <f>AR814*AS814*AQ814</f>
        <v/>
      </c>
      <c r="AW814">
        <f>AR814*AT814*AQ814</f>
        <v/>
      </c>
      <c r="AX814">
        <f>AR814*AS814</f>
        <v/>
      </c>
      <c r="AY814">
        <f>AR814*AT814</f>
        <v/>
      </c>
      <c r="AZ814">
        <f>AR814*AQ814</f>
        <v/>
      </c>
      <c r="BA814">
        <f>AR814</f>
        <v/>
      </c>
      <c r="BB814">
        <f>1</f>
        <v/>
      </c>
      <c r="BC814">
        <f>IF(AV814=1,1,IF(AW814=1,2,IF(AX814=1,3,IF(AY814=1,4,IF(AZ814=1,5,IF(BA814=1,6,7))))))</f>
        <v/>
      </c>
      <c r="BD814">
        <f>IF(AD814=1,CHOOSE('Historical Score'!$C$29,AV814,AW814,AX814,AY814,AZ814,BA814,BB814),0)</f>
        <v/>
      </c>
      <c r="BE814">
        <f>IF(BD814=1,COUNTIF($BD$2:BD814,1),"")</f>
        <v/>
      </c>
    </row>
    <row r="815">
      <c r="A815" t="inlineStr">
        <is>
          <t>5674182358</t>
        </is>
      </c>
      <c r="B815" t="inlineStr">
        <is>
          <t>UPPLICATION LLC</t>
        </is>
      </c>
      <c r="C815" t="inlineStr">
        <is>
          <t>UPPLICATION LLC</t>
        </is>
      </c>
      <c r="D815" t="inlineStr">
        <is>
          <t>Open</t>
        </is>
      </c>
      <c r="E815" s="297" t="n">
        <v>46135</v>
      </c>
      <c r="F815" s="297" t="n">
        <v>46253</v>
      </c>
      <c r="G815" t="n">
        <v>3</v>
      </c>
      <c r="H815" t="inlineStr">
        <is>
          <t>7371</t>
        </is>
      </c>
      <c r="I815" t="inlineStr">
        <is>
          <t>73</t>
        </is>
      </c>
      <c r="J815" t="inlineStr">
        <is>
          <t>FL</t>
        </is>
      </c>
      <c r="K815" t="inlineStr">
        <is>
          <t>Westwood</t>
        </is>
      </c>
      <c r="L815" t="inlineStr">
        <is>
          <t>New Deal</t>
        </is>
      </c>
      <c r="M815" s="298" t="n">
        <v>1.49</v>
      </c>
      <c r="N815" s="299" t="n">
        <v>15000</v>
      </c>
      <c r="O815" s="299" t="n">
        <v>2100</v>
      </c>
      <c r="P815" s="299" t="n">
        <v>22350</v>
      </c>
      <c r="Q815" s="299" t="n">
        <v>20608.9</v>
      </c>
      <c r="R815" s="299" t="n">
        <v>1741.1</v>
      </c>
      <c r="S815" s="300" t="n">
        <v>0.922098434004474</v>
      </c>
      <c r="T815" t="n">
        <v>2.951</v>
      </c>
      <c r="U815" t="n">
        <v>0</v>
      </c>
      <c r="V815" t="n">
        <v>147294.84</v>
      </c>
      <c r="W815" s="300" t="n">
        <v>0.0354</v>
      </c>
      <c r="X815" s="297" t="n">
        <v>45585</v>
      </c>
      <c r="Y815">
        <f>IF(I815="","No SIC",IFERROR(VLOOKUP(I815,Ref!$A$2:$B$65,2,FALSE),"Unclassified"))</f>
        <v/>
      </c>
      <c r="Z815">
        <f>IF(T815="","",IF(T815&lt;12,"Daily","Weekly"))</f>
        <v/>
      </c>
      <c r="AA815">
        <f>IF(T815="",0,IF(T815&lt;12,T815*Controls!$B$29,T815*5))</f>
        <v/>
      </c>
      <c r="AB815">
        <f>IF(E815="",0,NETWORKDAYS(E815,Controls!$B$36,Ref!$K$2:$K$42))</f>
        <v/>
      </c>
      <c r="AC815">
        <f>IF(AND(AA815&gt;0,AB815&gt;=Controls!$B$39*AA815),1,0)</f>
        <v/>
      </c>
      <c r="AD815">
        <f>IF(AND(E815&lt;&gt;"",E815&gt;=Controls!$B$37,E815&lt;=Controls!$B$38),1,0)</f>
        <v/>
      </c>
      <c r="AE815">
        <f>IF(IFERROR(VLOOKUP(D815,Controls!$A$64:$E$74,2,FALSE),"No")="Yes",1,0)</f>
        <v/>
      </c>
      <c r="AF815">
        <f>IF(IFERROR(VLOOKUP(D815,Controls!$A$64:$E$74,3,FALSE),"No")="Yes",1,0)</f>
        <v/>
      </c>
      <c r="AG815">
        <f>IF(IFERROR(VLOOKUP(D815,Controls!$A$64:$E$74,4,FALSE),"No")="Yes",1,0)</f>
        <v/>
      </c>
      <c r="AH815">
        <f>IF(IFERROR(VLOOKUP(D815,Controls!$A$64:$E$74,5,FALSE),"No")="Yes",1,0)</f>
        <v/>
      </c>
      <c r="AI815">
        <f>IF(ISNUMBER(MATCH(D815,Controls!$A$64:$A$74,0)),1,0)</f>
        <v/>
      </c>
      <c r="AJ815">
        <f>Q815-N815</f>
        <v/>
      </c>
      <c r="AK815">
        <f>IF(AE815=1,MAX(0,N815-Q815),0)</f>
        <v/>
      </c>
      <c r="AL815">
        <f>IF(OR(V815="",V815=0),0,N815/V815)</f>
        <v/>
      </c>
      <c r="AM815">
        <f>IF(OR(V815="",V815=0),0,1)</f>
        <v/>
      </c>
      <c r="AN815">
        <f>IF(OR(E815="",F815=""),0,NETWORKDAYS(E815,F815,Ref!$K$2:$K$42))</f>
        <v/>
      </c>
      <c r="AO815">
        <f>IF(L815="Renewal",1,0)</f>
        <v/>
      </c>
      <c r="AP815">
        <f>AC815*AD815</f>
        <v/>
      </c>
      <c r="AQ815">
        <f>IF(AND(G815&lt;&gt;"",'Historical Score'!$C$6&lt;&gt;""),IF(G815='Historical Score'!$C$6,1,0),0)</f>
        <v/>
      </c>
      <c r="AR815">
        <f>IF(AND(L815&lt;&gt;"",'Historical Score'!$C$5&lt;&gt;""),IF(L815='Historical Score'!$C$5,1,0),0)</f>
        <v/>
      </c>
      <c r="AS815">
        <f>IF(AND(Y815&lt;&gt;"",'Historical Score'!$C$7&lt;&gt;""),IF(Y815='Historical Score'!$C$7,1,0),0)</f>
        <v/>
      </c>
      <c r="AT815">
        <f>IF(AND(K815&lt;&gt;"",'Historical Score'!$C$8&lt;&gt;""),IF(K815='Historical Score'!$C$8,1,0),0)</f>
        <v/>
      </c>
      <c r="AU815">
        <f>IF(AND(J815&lt;&gt;"",'Historical Score'!$C$9&lt;&gt;""),IF(J815='Historical Score'!$C$9,1,0),0)</f>
        <v/>
      </c>
      <c r="AV815">
        <f>AR815*AS815*AQ815</f>
        <v/>
      </c>
      <c r="AW815">
        <f>AR815*AT815*AQ815</f>
        <v/>
      </c>
      <c r="AX815">
        <f>AR815*AS815</f>
        <v/>
      </c>
      <c r="AY815">
        <f>AR815*AT815</f>
        <v/>
      </c>
      <c r="AZ815">
        <f>AR815*AQ815</f>
        <v/>
      </c>
      <c r="BA815">
        <f>AR815</f>
        <v/>
      </c>
      <c r="BB815">
        <f>1</f>
        <v/>
      </c>
      <c r="BC815">
        <f>IF(AV815=1,1,IF(AW815=1,2,IF(AX815=1,3,IF(AY815=1,4,IF(AZ815=1,5,IF(BA815=1,6,7))))))</f>
        <v/>
      </c>
      <c r="BD815">
        <f>IF(AD815=1,CHOOSE('Historical Score'!$C$29,AV815,AW815,AX815,AY815,AZ815,BA815,BB815),0)</f>
        <v/>
      </c>
      <c r="BE815">
        <f>IF(BD815=1,COUNTIF($BD$2:BD815,1),"")</f>
        <v/>
      </c>
    </row>
    <row r="816">
      <c r="A816" t="inlineStr">
        <is>
          <t>5674182385</t>
        </is>
      </c>
      <c r="B816" t="inlineStr">
        <is>
          <t>BARKLEAN CORP</t>
        </is>
      </c>
      <c r="C816" t="inlineStr">
        <is>
          <t>BARKLEAN CORP</t>
        </is>
      </c>
      <c r="D816" t="inlineStr">
        <is>
          <t>Open</t>
        </is>
      </c>
      <c r="E816" s="297" t="n">
        <v>46136</v>
      </c>
      <c r="F816" s="297" t="n">
        <v>46248</v>
      </c>
      <c r="G816" t="n">
        <v>3</v>
      </c>
      <c r="H816" t="inlineStr">
        <is>
          <t>0752</t>
        </is>
      </c>
      <c r="I816" t="inlineStr">
        <is>
          <t>07</t>
        </is>
      </c>
      <c r="J816" t="inlineStr">
        <is>
          <t>FL</t>
        </is>
      </c>
      <c r="K816" t="inlineStr">
        <is>
          <t>Credibly</t>
        </is>
      </c>
      <c r="L816" t="inlineStr">
        <is>
          <t>New Deal</t>
        </is>
      </c>
      <c r="M816" s="298" t="n">
        <v>1.35</v>
      </c>
      <c r="N816" s="299" t="n">
        <v>15000</v>
      </c>
      <c r="O816" s="299" t="n">
        <v>1050</v>
      </c>
      <c r="P816" s="299" t="n">
        <v>20250</v>
      </c>
      <c r="Q816" s="299" t="n">
        <v>12464</v>
      </c>
      <c r="R816" s="299" t="n">
        <v>7786</v>
      </c>
      <c r="S816" s="300" t="n">
        <v>0.615506172839506</v>
      </c>
      <c r="T816" t="n">
        <v>26</v>
      </c>
      <c r="U816" t="n">
        <v>0</v>
      </c>
      <c r="V816" t="n">
        <v>38000</v>
      </c>
      <c r="W816" s="300" t="n">
        <v>0.1558</v>
      </c>
      <c r="X816" s="297" t="n">
        <v>45005</v>
      </c>
      <c r="Y816">
        <f>IF(I816="","No SIC",IFERROR(VLOOKUP(I816,Ref!$A$2:$B$65,2,FALSE),"Unclassified"))</f>
        <v/>
      </c>
      <c r="Z816">
        <f>IF(T816="","",IF(T816&lt;12,"Daily","Weekly"))</f>
        <v/>
      </c>
      <c r="AA816">
        <f>IF(T816="",0,IF(T816&lt;12,T816*Controls!$B$29,T816*5))</f>
        <v/>
      </c>
      <c r="AB816">
        <f>IF(E816="",0,NETWORKDAYS(E816,Controls!$B$36,Ref!$K$2:$K$42))</f>
        <v/>
      </c>
      <c r="AC816">
        <f>IF(AND(AA816&gt;0,AB816&gt;=Controls!$B$39*AA816),1,0)</f>
        <v/>
      </c>
      <c r="AD816">
        <f>IF(AND(E816&lt;&gt;"",E816&gt;=Controls!$B$37,E816&lt;=Controls!$B$38),1,0)</f>
        <v/>
      </c>
      <c r="AE816">
        <f>IF(IFERROR(VLOOKUP(D816,Controls!$A$64:$E$74,2,FALSE),"No")="Yes",1,0)</f>
        <v/>
      </c>
      <c r="AF816">
        <f>IF(IFERROR(VLOOKUP(D816,Controls!$A$64:$E$74,3,FALSE),"No")="Yes",1,0)</f>
        <v/>
      </c>
      <c r="AG816">
        <f>IF(IFERROR(VLOOKUP(D816,Controls!$A$64:$E$74,4,FALSE),"No")="Yes",1,0)</f>
        <v/>
      </c>
      <c r="AH816">
        <f>IF(IFERROR(VLOOKUP(D816,Controls!$A$64:$E$74,5,FALSE),"No")="Yes",1,0)</f>
        <v/>
      </c>
      <c r="AI816">
        <f>IF(ISNUMBER(MATCH(D816,Controls!$A$64:$A$74,0)),1,0)</f>
        <v/>
      </c>
      <c r="AJ816">
        <f>Q816-N816</f>
        <v/>
      </c>
      <c r="AK816">
        <f>IF(AE816=1,MAX(0,N816-Q816),0)</f>
        <v/>
      </c>
      <c r="AL816">
        <f>IF(OR(V816="",V816=0),0,N816/V816)</f>
        <v/>
      </c>
      <c r="AM816">
        <f>IF(OR(V816="",V816=0),0,1)</f>
        <v/>
      </c>
      <c r="AN816">
        <f>IF(OR(E816="",F816=""),0,NETWORKDAYS(E816,F816,Ref!$K$2:$K$42))</f>
        <v/>
      </c>
      <c r="AO816">
        <f>IF(L816="Renewal",1,0)</f>
        <v/>
      </c>
      <c r="AP816">
        <f>AC816*AD816</f>
        <v/>
      </c>
      <c r="AQ816">
        <f>IF(AND(G816&lt;&gt;"",'Historical Score'!$C$6&lt;&gt;""),IF(G816='Historical Score'!$C$6,1,0),0)</f>
        <v/>
      </c>
      <c r="AR816">
        <f>IF(AND(L816&lt;&gt;"",'Historical Score'!$C$5&lt;&gt;""),IF(L816='Historical Score'!$C$5,1,0),0)</f>
        <v/>
      </c>
      <c r="AS816">
        <f>IF(AND(Y816&lt;&gt;"",'Historical Score'!$C$7&lt;&gt;""),IF(Y816='Historical Score'!$C$7,1,0),0)</f>
        <v/>
      </c>
      <c r="AT816">
        <f>IF(AND(K816&lt;&gt;"",'Historical Score'!$C$8&lt;&gt;""),IF(K816='Historical Score'!$C$8,1,0),0)</f>
        <v/>
      </c>
      <c r="AU816">
        <f>IF(AND(J816&lt;&gt;"",'Historical Score'!$C$9&lt;&gt;""),IF(J816='Historical Score'!$C$9,1,0),0)</f>
        <v/>
      </c>
      <c r="AV816">
        <f>AR816*AS816*AQ816</f>
        <v/>
      </c>
      <c r="AW816">
        <f>AR816*AT816*AQ816</f>
        <v/>
      </c>
      <c r="AX816">
        <f>AR816*AS816</f>
        <v/>
      </c>
      <c r="AY816">
        <f>AR816*AT816</f>
        <v/>
      </c>
      <c r="AZ816">
        <f>AR816*AQ816</f>
        <v/>
      </c>
      <c r="BA816">
        <f>AR816</f>
        <v/>
      </c>
      <c r="BB816">
        <f>1</f>
        <v/>
      </c>
      <c r="BC816">
        <f>IF(AV816=1,1,IF(AW816=1,2,IF(AX816=1,3,IF(AY816=1,4,IF(AZ816=1,5,IF(BA816=1,6,7))))))</f>
        <v/>
      </c>
      <c r="BD816">
        <f>IF(AD816=1,CHOOSE('Historical Score'!$C$29,AV816,AW816,AX816,AY816,AZ816,BA816,BB816),0)</f>
        <v/>
      </c>
      <c r="BE816">
        <f>IF(BD816=1,COUNTIF($BD$2:BD816,1),"")</f>
        <v/>
      </c>
    </row>
    <row r="817">
      <c r="A817" t="inlineStr">
        <is>
          <t>5674182388</t>
        </is>
      </c>
      <c r="B817" t="inlineStr">
        <is>
          <t>Bland Funeral Home, LLC</t>
        </is>
      </c>
      <c r="C817" t="inlineStr">
        <is>
          <t>Bland Funeral Home, LLC</t>
        </is>
      </c>
      <c r="D817" t="inlineStr">
        <is>
          <t>Open</t>
        </is>
      </c>
      <c r="E817" s="297" t="n">
        <v>46136</v>
      </c>
      <c r="F817" s="297" t="n">
        <v>46253</v>
      </c>
      <c r="G817" t="n">
        <v>3</v>
      </c>
      <c r="H817" t="inlineStr">
        <is>
          <t>7261</t>
        </is>
      </c>
      <c r="I817" t="inlineStr">
        <is>
          <t>72</t>
        </is>
      </c>
      <c r="J817" t="inlineStr">
        <is>
          <t>VA</t>
        </is>
      </c>
      <c r="K817" t="inlineStr">
        <is>
          <t>Ballicci</t>
        </is>
      </c>
      <c r="L817" t="inlineStr">
        <is>
          <t>Renewal</t>
        </is>
      </c>
      <c r="M817" s="298" t="n">
        <v>1.49</v>
      </c>
      <c r="N817" s="299" t="n">
        <v>40000</v>
      </c>
      <c r="O817" s="299" t="n">
        <v>5600</v>
      </c>
      <c r="P817" s="299" t="n">
        <v>59600</v>
      </c>
      <c r="Q817" s="299" t="n">
        <v>28809.18</v>
      </c>
      <c r="R817" s="299" t="n">
        <v>30790.82</v>
      </c>
      <c r="S817" s="300" t="n">
        <v>0.483375503355705</v>
      </c>
      <c r="T817" t="n">
        <v>3.934</v>
      </c>
      <c r="U817" t="n">
        <v>10</v>
      </c>
      <c r="V817" t="n">
        <v>57502.52</v>
      </c>
      <c r="W817" s="300" t="n">
        <v>0.1814</v>
      </c>
      <c r="X817" s="297" t="n">
        <v>36323</v>
      </c>
      <c r="Y817">
        <f>IF(I817="","No SIC",IFERROR(VLOOKUP(I817,Ref!$A$2:$B$65,2,FALSE),"Unclassified"))</f>
        <v/>
      </c>
      <c r="Z817">
        <f>IF(T817="","",IF(T817&lt;12,"Daily","Weekly"))</f>
        <v/>
      </c>
      <c r="AA817">
        <f>IF(T817="",0,IF(T817&lt;12,T817*Controls!$B$29,T817*5))</f>
        <v/>
      </c>
      <c r="AB817">
        <f>IF(E817="",0,NETWORKDAYS(E817,Controls!$B$36,Ref!$K$2:$K$42))</f>
        <v/>
      </c>
      <c r="AC817">
        <f>IF(AND(AA817&gt;0,AB817&gt;=Controls!$B$39*AA817),1,0)</f>
        <v/>
      </c>
      <c r="AD817">
        <f>IF(AND(E817&lt;&gt;"",E817&gt;=Controls!$B$37,E817&lt;=Controls!$B$38),1,0)</f>
        <v/>
      </c>
      <c r="AE817">
        <f>IF(IFERROR(VLOOKUP(D817,Controls!$A$64:$E$74,2,FALSE),"No")="Yes",1,0)</f>
        <v/>
      </c>
      <c r="AF817">
        <f>IF(IFERROR(VLOOKUP(D817,Controls!$A$64:$E$74,3,FALSE),"No")="Yes",1,0)</f>
        <v/>
      </c>
      <c r="AG817">
        <f>IF(IFERROR(VLOOKUP(D817,Controls!$A$64:$E$74,4,FALSE),"No")="Yes",1,0)</f>
        <v/>
      </c>
      <c r="AH817">
        <f>IF(IFERROR(VLOOKUP(D817,Controls!$A$64:$E$74,5,FALSE),"No")="Yes",1,0)</f>
        <v/>
      </c>
      <c r="AI817">
        <f>IF(ISNUMBER(MATCH(D817,Controls!$A$64:$A$74,0)),1,0)</f>
        <v/>
      </c>
      <c r="AJ817">
        <f>Q817-N817</f>
        <v/>
      </c>
      <c r="AK817">
        <f>IF(AE817=1,MAX(0,N817-Q817),0)</f>
        <v/>
      </c>
      <c r="AL817">
        <f>IF(OR(V817="",V817=0),0,N817/V817)</f>
        <v/>
      </c>
      <c r="AM817">
        <f>IF(OR(V817="",V817=0),0,1)</f>
        <v/>
      </c>
      <c r="AN817">
        <f>IF(OR(E817="",F817=""),0,NETWORKDAYS(E817,F817,Ref!$K$2:$K$42))</f>
        <v/>
      </c>
      <c r="AO817">
        <f>IF(L817="Renewal",1,0)</f>
        <v/>
      </c>
      <c r="AP817">
        <f>AC817*AD817</f>
        <v/>
      </c>
      <c r="AQ817">
        <f>IF(AND(G817&lt;&gt;"",'Historical Score'!$C$6&lt;&gt;""),IF(G817='Historical Score'!$C$6,1,0),0)</f>
        <v/>
      </c>
      <c r="AR817">
        <f>IF(AND(L817&lt;&gt;"",'Historical Score'!$C$5&lt;&gt;""),IF(L817='Historical Score'!$C$5,1,0),0)</f>
        <v/>
      </c>
      <c r="AS817">
        <f>IF(AND(Y817&lt;&gt;"",'Historical Score'!$C$7&lt;&gt;""),IF(Y817='Historical Score'!$C$7,1,0),0)</f>
        <v/>
      </c>
      <c r="AT817">
        <f>IF(AND(K817&lt;&gt;"",'Historical Score'!$C$8&lt;&gt;""),IF(K817='Historical Score'!$C$8,1,0),0)</f>
        <v/>
      </c>
      <c r="AU817">
        <f>IF(AND(J817&lt;&gt;"",'Historical Score'!$C$9&lt;&gt;""),IF(J817='Historical Score'!$C$9,1,0),0)</f>
        <v/>
      </c>
      <c r="AV817">
        <f>AR817*AS817*AQ817</f>
        <v/>
      </c>
      <c r="AW817">
        <f>AR817*AT817*AQ817</f>
        <v/>
      </c>
      <c r="AX817">
        <f>AR817*AS817</f>
        <v/>
      </c>
      <c r="AY817">
        <f>AR817*AT817</f>
        <v/>
      </c>
      <c r="AZ817">
        <f>AR817*AQ817</f>
        <v/>
      </c>
      <c r="BA817">
        <f>AR817</f>
        <v/>
      </c>
      <c r="BB817">
        <f>1</f>
        <v/>
      </c>
      <c r="BC817">
        <f>IF(AV817=1,1,IF(AW817=1,2,IF(AX817=1,3,IF(AY817=1,4,IF(AZ817=1,5,IF(BA817=1,6,7))))))</f>
        <v/>
      </c>
      <c r="BD817">
        <f>IF(AD817=1,CHOOSE('Historical Score'!$C$29,AV817,AW817,AX817,AY817,AZ817,BA817,BB817),0)</f>
        <v/>
      </c>
      <c r="BE817">
        <f>IF(BD817=1,COUNTIF($BD$2:BD817,1),"")</f>
        <v/>
      </c>
    </row>
    <row r="818">
      <c r="A818" t="inlineStr">
        <is>
          <t>5674182444</t>
        </is>
      </c>
      <c r="B818" t="inlineStr">
        <is>
          <t>Gallo Enterprise</t>
        </is>
      </c>
      <c r="C818" t="inlineStr">
        <is>
          <t>SAGRARIO RAMIREZ-HERNANDEZ SOLE PROP</t>
        </is>
      </c>
      <c r="D818" t="inlineStr">
        <is>
          <t>Legal</t>
        </is>
      </c>
      <c r="E818" s="297" t="n">
        <v>46136</v>
      </c>
      <c r="F818" s="297" t="n">
        <v>46168</v>
      </c>
      <c r="G818" t="n">
        <v>1</v>
      </c>
      <c r="H818" t="inlineStr">
        <is>
          <t>1521</t>
        </is>
      </c>
      <c r="I818" t="inlineStr">
        <is>
          <t>15</t>
        </is>
      </c>
      <c r="J818" t="inlineStr">
        <is>
          <t>TX</t>
        </is>
      </c>
      <c r="K818" t="inlineStr">
        <is>
          <t>Premium Capital (AMRK)</t>
        </is>
      </c>
      <c r="L818" t="inlineStr">
        <is>
          <t>New Deal</t>
        </is>
      </c>
      <c r="M818" s="298" t="n">
        <v>1.4</v>
      </c>
      <c r="N818" s="299" t="n">
        <v>15000</v>
      </c>
      <c r="O818" s="299" t="n">
        <v>0</v>
      </c>
      <c r="P818" s="299" t="n">
        <v>21000</v>
      </c>
      <c r="Q818" s="299" t="n">
        <v>2247.3</v>
      </c>
      <c r="R818" s="299" t="n">
        <v>18752.7</v>
      </c>
      <c r="S818" s="300" t="n">
        <v>0.107014285714286</v>
      </c>
      <c r="T818" t="n">
        <v>28</v>
      </c>
      <c r="U818" t="n">
        <v>1</v>
      </c>
      <c r="V818" t="n">
        <v>121805.2</v>
      </c>
      <c r="W818" s="300" t="n">
        <v>0.0246</v>
      </c>
      <c r="X818" s="297" t="n">
        <v>40179</v>
      </c>
      <c r="Y818">
        <f>IF(I818="","No SIC",IFERROR(VLOOKUP(I818,Ref!$A$2:$B$65,2,FALSE),"Unclassified"))</f>
        <v/>
      </c>
      <c r="Z818">
        <f>IF(T818="","",IF(T818&lt;12,"Daily","Weekly"))</f>
        <v/>
      </c>
      <c r="AA818">
        <f>IF(T818="",0,IF(T818&lt;12,T818*Controls!$B$29,T818*5))</f>
        <v/>
      </c>
      <c r="AB818">
        <f>IF(E818="",0,NETWORKDAYS(E818,Controls!$B$36,Ref!$K$2:$K$42))</f>
        <v/>
      </c>
      <c r="AC818">
        <f>IF(AND(AA818&gt;0,AB818&gt;=Controls!$B$39*AA818),1,0)</f>
        <v/>
      </c>
      <c r="AD818">
        <f>IF(AND(E818&lt;&gt;"",E818&gt;=Controls!$B$37,E818&lt;=Controls!$B$38),1,0)</f>
        <v/>
      </c>
      <c r="AE818">
        <f>IF(IFERROR(VLOOKUP(D818,Controls!$A$64:$E$74,2,FALSE),"No")="Yes",1,0)</f>
        <v/>
      </c>
      <c r="AF818">
        <f>IF(IFERROR(VLOOKUP(D818,Controls!$A$64:$E$74,3,FALSE),"No")="Yes",1,0)</f>
        <v/>
      </c>
      <c r="AG818">
        <f>IF(IFERROR(VLOOKUP(D818,Controls!$A$64:$E$74,4,FALSE),"No")="Yes",1,0)</f>
        <v/>
      </c>
      <c r="AH818">
        <f>IF(IFERROR(VLOOKUP(D818,Controls!$A$64:$E$74,5,FALSE),"No")="Yes",1,0)</f>
        <v/>
      </c>
      <c r="AI818">
        <f>IF(ISNUMBER(MATCH(D818,Controls!$A$64:$A$74,0)),1,0)</f>
        <v/>
      </c>
      <c r="AJ818">
        <f>Q818-N818</f>
        <v/>
      </c>
      <c r="AK818">
        <f>IF(AE818=1,MAX(0,N818-Q818),0)</f>
        <v/>
      </c>
      <c r="AL818">
        <f>IF(OR(V818="",V818=0),0,N818/V818)</f>
        <v/>
      </c>
      <c r="AM818">
        <f>IF(OR(V818="",V818=0),0,1)</f>
        <v/>
      </c>
      <c r="AN818">
        <f>IF(OR(E818="",F818=""),0,NETWORKDAYS(E818,F818,Ref!$K$2:$K$42))</f>
        <v/>
      </c>
      <c r="AO818">
        <f>IF(L818="Renewal",1,0)</f>
        <v/>
      </c>
      <c r="AP818">
        <f>AC818*AD818</f>
        <v/>
      </c>
      <c r="AQ818">
        <f>IF(AND(G818&lt;&gt;"",'Historical Score'!$C$6&lt;&gt;""),IF(G818='Historical Score'!$C$6,1,0),0)</f>
        <v/>
      </c>
      <c r="AR818">
        <f>IF(AND(L818&lt;&gt;"",'Historical Score'!$C$5&lt;&gt;""),IF(L818='Historical Score'!$C$5,1,0),0)</f>
        <v/>
      </c>
      <c r="AS818">
        <f>IF(AND(Y818&lt;&gt;"",'Historical Score'!$C$7&lt;&gt;""),IF(Y818='Historical Score'!$C$7,1,0),0)</f>
        <v/>
      </c>
      <c r="AT818">
        <f>IF(AND(K818&lt;&gt;"",'Historical Score'!$C$8&lt;&gt;""),IF(K818='Historical Score'!$C$8,1,0),0)</f>
        <v/>
      </c>
      <c r="AU818">
        <f>IF(AND(J818&lt;&gt;"",'Historical Score'!$C$9&lt;&gt;""),IF(J818='Historical Score'!$C$9,1,0),0)</f>
        <v/>
      </c>
      <c r="AV818">
        <f>AR818*AS818*AQ818</f>
        <v/>
      </c>
      <c r="AW818">
        <f>AR818*AT818*AQ818</f>
        <v/>
      </c>
      <c r="AX818">
        <f>AR818*AS818</f>
        <v/>
      </c>
      <c r="AY818">
        <f>AR818*AT818</f>
        <v/>
      </c>
      <c r="AZ818">
        <f>AR818*AQ818</f>
        <v/>
      </c>
      <c r="BA818">
        <f>AR818</f>
        <v/>
      </c>
      <c r="BB818">
        <f>1</f>
        <v/>
      </c>
      <c r="BC818">
        <f>IF(AV818=1,1,IF(AW818=1,2,IF(AX818=1,3,IF(AY818=1,4,IF(AZ818=1,5,IF(BA818=1,6,7))))))</f>
        <v/>
      </c>
      <c r="BD818">
        <f>IF(AD818=1,CHOOSE('Historical Score'!$C$29,AV818,AW818,AX818,AY818,AZ818,BA818,BB818),0)</f>
        <v/>
      </c>
      <c r="BE818">
        <f>IF(BD818=1,COUNTIF($BD$2:BD818,1),"")</f>
        <v/>
      </c>
    </row>
    <row r="819">
      <c r="A819" t="inlineStr">
        <is>
          <t>5674182475</t>
        </is>
      </c>
      <c r="B819" t="inlineStr">
        <is>
          <t>Fresh Dental</t>
        </is>
      </c>
      <c r="C819" t="inlineStr">
        <is>
          <t>Fresh Dental LLC</t>
        </is>
      </c>
      <c r="D819" t="inlineStr">
        <is>
          <t>Open</t>
        </is>
      </c>
      <c r="E819" s="297" t="n">
        <v>46136</v>
      </c>
      <c r="F819" s="297" t="n">
        <v>46253</v>
      </c>
      <c r="G819" t="n">
        <v>3</v>
      </c>
      <c r="H819" t="inlineStr">
        <is>
          <t>5047</t>
        </is>
      </c>
      <c r="I819" t="inlineStr">
        <is>
          <t>50</t>
        </is>
      </c>
      <c r="J819" t="inlineStr">
        <is>
          <t>GA</t>
        </is>
      </c>
      <c r="K819" t="inlineStr">
        <is>
          <t>Westwood</t>
        </is>
      </c>
      <c r="L819" t="inlineStr">
        <is>
          <t>Renewal</t>
        </is>
      </c>
      <c r="M819" s="298" t="n">
        <v>1.459</v>
      </c>
      <c r="N819" s="299" t="n">
        <v>200000</v>
      </c>
      <c r="O819" s="299" t="n">
        <v>26000</v>
      </c>
      <c r="P819" s="299" t="n">
        <v>291800</v>
      </c>
      <c r="Q819" s="299" t="n">
        <v>103589</v>
      </c>
      <c r="R819" s="299" t="n">
        <v>188211</v>
      </c>
      <c r="S819" s="300" t="n">
        <v>0.355</v>
      </c>
      <c r="T819" t="n">
        <v>6.557</v>
      </c>
      <c r="U819" t="n">
        <v>4</v>
      </c>
      <c r="V819" t="n">
        <v>210633.67</v>
      </c>
      <c r="W819" s="300" t="n">
        <v>0.1282</v>
      </c>
      <c r="X819" s="297" t="n">
        <v>43714</v>
      </c>
      <c r="Y819">
        <f>IF(I819="","No SIC",IFERROR(VLOOKUP(I819,Ref!$A$2:$B$65,2,FALSE),"Unclassified"))</f>
        <v/>
      </c>
      <c r="Z819">
        <f>IF(T819="","",IF(T819&lt;12,"Daily","Weekly"))</f>
        <v/>
      </c>
      <c r="AA819">
        <f>IF(T819="",0,IF(T819&lt;12,T819*Controls!$B$29,T819*5))</f>
        <v/>
      </c>
      <c r="AB819">
        <f>IF(E819="",0,NETWORKDAYS(E819,Controls!$B$36,Ref!$K$2:$K$42))</f>
        <v/>
      </c>
      <c r="AC819">
        <f>IF(AND(AA819&gt;0,AB819&gt;=Controls!$B$39*AA819),1,0)</f>
        <v/>
      </c>
      <c r="AD819">
        <f>IF(AND(E819&lt;&gt;"",E819&gt;=Controls!$B$37,E819&lt;=Controls!$B$38),1,0)</f>
        <v/>
      </c>
      <c r="AE819">
        <f>IF(IFERROR(VLOOKUP(D819,Controls!$A$64:$E$74,2,FALSE),"No")="Yes",1,0)</f>
        <v/>
      </c>
      <c r="AF819">
        <f>IF(IFERROR(VLOOKUP(D819,Controls!$A$64:$E$74,3,FALSE),"No")="Yes",1,0)</f>
        <v/>
      </c>
      <c r="AG819">
        <f>IF(IFERROR(VLOOKUP(D819,Controls!$A$64:$E$74,4,FALSE),"No")="Yes",1,0)</f>
        <v/>
      </c>
      <c r="AH819">
        <f>IF(IFERROR(VLOOKUP(D819,Controls!$A$64:$E$74,5,FALSE),"No")="Yes",1,0)</f>
        <v/>
      </c>
      <c r="AI819">
        <f>IF(ISNUMBER(MATCH(D819,Controls!$A$64:$A$74,0)),1,0)</f>
        <v/>
      </c>
      <c r="AJ819">
        <f>Q819-N819</f>
        <v/>
      </c>
      <c r="AK819">
        <f>IF(AE819=1,MAX(0,N819-Q819),0)</f>
        <v/>
      </c>
      <c r="AL819">
        <f>IF(OR(V819="",V819=0),0,N819/V819)</f>
        <v/>
      </c>
      <c r="AM819">
        <f>IF(OR(V819="",V819=0),0,1)</f>
        <v/>
      </c>
      <c r="AN819">
        <f>IF(OR(E819="",F819=""),0,NETWORKDAYS(E819,F819,Ref!$K$2:$K$42))</f>
        <v/>
      </c>
      <c r="AO819">
        <f>IF(L819="Renewal",1,0)</f>
        <v/>
      </c>
      <c r="AP819">
        <f>AC819*AD819</f>
        <v/>
      </c>
      <c r="AQ819">
        <f>IF(AND(G819&lt;&gt;"",'Historical Score'!$C$6&lt;&gt;""),IF(G819='Historical Score'!$C$6,1,0),0)</f>
        <v/>
      </c>
      <c r="AR819">
        <f>IF(AND(L819&lt;&gt;"",'Historical Score'!$C$5&lt;&gt;""),IF(L819='Historical Score'!$C$5,1,0),0)</f>
        <v/>
      </c>
      <c r="AS819">
        <f>IF(AND(Y819&lt;&gt;"",'Historical Score'!$C$7&lt;&gt;""),IF(Y819='Historical Score'!$C$7,1,0),0)</f>
        <v/>
      </c>
      <c r="AT819">
        <f>IF(AND(K819&lt;&gt;"",'Historical Score'!$C$8&lt;&gt;""),IF(K819='Historical Score'!$C$8,1,0),0)</f>
        <v/>
      </c>
      <c r="AU819">
        <f>IF(AND(J819&lt;&gt;"",'Historical Score'!$C$9&lt;&gt;""),IF(J819='Historical Score'!$C$9,1,0),0)</f>
        <v/>
      </c>
      <c r="AV819">
        <f>AR819*AS819*AQ819</f>
        <v/>
      </c>
      <c r="AW819">
        <f>AR819*AT819*AQ819</f>
        <v/>
      </c>
      <c r="AX819">
        <f>AR819*AS819</f>
        <v/>
      </c>
      <c r="AY819">
        <f>AR819*AT819</f>
        <v/>
      </c>
      <c r="AZ819">
        <f>AR819*AQ819</f>
        <v/>
      </c>
      <c r="BA819">
        <f>AR819</f>
        <v/>
      </c>
      <c r="BB819">
        <f>1</f>
        <v/>
      </c>
      <c r="BC819">
        <f>IF(AV819=1,1,IF(AW819=1,2,IF(AX819=1,3,IF(AY819=1,4,IF(AZ819=1,5,IF(BA819=1,6,7))))))</f>
        <v/>
      </c>
      <c r="BD819">
        <f>IF(AD819=1,CHOOSE('Historical Score'!$C$29,AV819,AW819,AX819,AY819,AZ819,BA819,BB819),0)</f>
        <v/>
      </c>
      <c r="BE819">
        <f>IF(BD819=1,COUNTIF($BD$2:BD819,1),"")</f>
        <v/>
      </c>
    </row>
    <row r="820">
      <c r="A820" t="inlineStr">
        <is>
          <t>5674182494</t>
        </is>
      </c>
      <c r="B820" t="inlineStr">
        <is>
          <t>KATHY'S MASON JAR FAMILY DINER LLC</t>
        </is>
      </c>
      <c r="C820" t="inlineStr">
        <is>
          <t>KATHY'S MASON JAR FAMILY DINER LLC</t>
        </is>
      </c>
      <c r="D820" t="inlineStr">
        <is>
          <t>Closed</t>
        </is>
      </c>
      <c r="E820" s="297" t="n">
        <v>46139</v>
      </c>
      <c r="F820" s="297" t="n">
        <v>46237</v>
      </c>
      <c r="G820" t="n">
        <v>3</v>
      </c>
      <c r="J820" t="inlineStr">
        <is>
          <t>OK</t>
        </is>
      </c>
      <c r="K820" t="inlineStr">
        <is>
          <t>United Secured Capital 8</t>
        </is>
      </c>
      <c r="L820" t="inlineStr">
        <is>
          <t>Renewal</t>
        </is>
      </c>
      <c r="M820" s="298" t="n">
        <v>1.49</v>
      </c>
      <c r="N820" s="299" t="n">
        <v>25000</v>
      </c>
      <c r="O820" s="299" t="n">
        <v>3500</v>
      </c>
      <c r="P820" s="299" t="n">
        <v>37250</v>
      </c>
      <c r="Q820" s="299" t="n">
        <v>37250</v>
      </c>
      <c r="R820" s="299" t="n">
        <v>0</v>
      </c>
      <c r="S820" s="300" t="n">
        <v>1</v>
      </c>
      <c r="T820" t="n">
        <v>3.607</v>
      </c>
      <c r="U820" t="n">
        <v>0</v>
      </c>
      <c r="V820" t="n">
        <v>37733.39</v>
      </c>
      <c r="W820" s="300" t="n">
        <v>0.1885</v>
      </c>
      <c r="X820" s="297" t="n">
        <v>44793</v>
      </c>
      <c r="Y820">
        <f>IF(I820="","No SIC",IFERROR(VLOOKUP(I820,Ref!$A$2:$B$65,2,FALSE),"Unclassified"))</f>
        <v/>
      </c>
      <c r="Z820">
        <f>IF(T820="","",IF(T820&lt;12,"Daily","Weekly"))</f>
        <v/>
      </c>
      <c r="AA820">
        <f>IF(T820="",0,IF(T820&lt;12,T820*Controls!$B$29,T820*5))</f>
        <v/>
      </c>
      <c r="AB820">
        <f>IF(E820="",0,NETWORKDAYS(E820,Controls!$B$36,Ref!$K$2:$K$42))</f>
        <v/>
      </c>
      <c r="AC820">
        <f>IF(AND(AA820&gt;0,AB820&gt;=Controls!$B$39*AA820),1,0)</f>
        <v/>
      </c>
      <c r="AD820">
        <f>IF(AND(E820&lt;&gt;"",E820&gt;=Controls!$B$37,E820&lt;=Controls!$B$38),1,0)</f>
        <v/>
      </c>
      <c r="AE820">
        <f>IF(IFERROR(VLOOKUP(D820,Controls!$A$64:$E$74,2,FALSE),"No")="Yes",1,0)</f>
        <v/>
      </c>
      <c r="AF820">
        <f>IF(IFERROR(VLOOKUP(D820,Controls!$A$64:$E$74,3,FALSE),"No")="Yes",1,0)</f>
        <v/>
      </c>
      <c r="AG820">
        <f>IF(IFERROR(VLOOKUP(D820,Controls!$A$64:$E$74,4,FALSE),"No")="Yes",1,0)</f>
        <v/>
      </c>
      <c r="AH820">
        <f>IF(IFERROR(VLOOKUP(D820,Controls!$A$64:$E$74,5,FALSE),"No")="Yes",1,0)</f>
        <v/>
      </c>
      <c r="AI820">
        <f>IF(ISNUMBER(MATCH(D820,Controls!$A$64:$A$74,0)),1,0)</f>
        <v/>
      </c>
      <c r="AJ820">
        <f>Q820-N820</f>
        <v/>
      </c>
      <c r="AK820">
        <f>IF(AE820=1,MAX(0,N820-Q820),0)</f>
        <v/>
      </c>
      <c r="AL820">
        <f>IF(OR(V820="",V820=0),0,N820/V820)</f>
        <v/>
      </c>
      <c r="AM820">
        <f>IF(OR(V820="",V820=0),0,1)</f>
        <v/>
      </c>
      <c r="AN820">
        <f>IF(OR(E820="",F820=""),0,NETWORKDAYS(E820,F820,Ref!$K$2:$K$42))</f>
        <v/>
      </c>
      <c r="AO820">
        <f>IF(L820="Renewal",1,0)</f>
        <v/>
      </c>
      <c r="AP820">
        <f>AC820*AD820</f>
        <v/>
      </c>
      <c r="AQ820">
        <f>IF(AND(G820&lt;&gt;"",'Historical Score'!$C$6&lt;&gt;""),IF(G820='Historical Score'!$C$6,1,0),0)</f>
        <v/>
      </c>
      <c r="AR820">
        <f>IF(AND(L820&lt;&gt;"",'Historical Score'!$C$5&lt;&gt;""),IF(L820='Historical Score'!$C$5,1,0),0)</f>
        <v/>
      </c>
      <c r="AS820">
        <f>IF(AND(Y820&lt;&gt;"",'Historical Score'!$C$7&lt;&gt;""),IF(Y820='Historical Score'!$C$7,1,0),0)</f>
        <v/>
      </c>
      <c r="AT820">
        <f>IF(AND(K820&lt;&gt;"",'Historical Score'!$C$8&lt;&gt;""),IF(K820='Historical Score'!$C$8,1,0),0)</f>
        <v/>
      </c>
      <c r="AU820">
        <f>IF(AND(J820&lt;&gt;"",'Historical Score'!$C$9&lt;&gt;""),IF(J820='Historical Score'!$C$9,1,0),0)</f>
        <v/>
      </c>
      <c r="AV820">
        <f>AR820*AS820*AQ820</f>
        <v/>
      </c>
      <c r="AW820">
        <f>AR820*AT820*AQ820</f>
        <v/>
      </c>
      <c r="AX820">
        <f>AR820*AS820</f>
        <v/>
      </c>
      <c r="AY820">
        <f>AR820*AT820</f>
        <v/>
      </c>
      <c r="AZ820">
        <f>AR820*AQ820</f>
        <v/>
      </c>
      <c r="BA820">
        <f>AR820</f>
        <v/>
      </c>
      <c r="BB820">
        <f>1</f>
        <v/>
      </c>
      <c r="BC820">
        <f>IF(AV820=1,1,IF(AW820=1,2,IF(AX820=1,3,IF(AY820=1,4,IF(AZ820=1,5,IF(BA820=1,6,7))))))</f>
        <v/>
      </c>
      <c r="BD820">
        <f>IF(AD820=1,CHOOSE('Historical Score'!$C$29,AV820,AW820,AX820,AY820,AZ820,BA820,BB820),0)</f>
        <v/>
      </c>
      <c r="BE820">
        <f>IF(BD820=1,COUNTIF($BD$2:BD820,1),"")</f>
        <v/>
      </c>
    </row>
    <row r="821">
      <c r="A821" t="inlineStr">
        <is>
          <t>5674182516</t>
        </is>
      </c>
      <c r="B821" t="inlineStr">
        <is>
          <t>DOMINIC'S ITALIAN RESTAURANT</t>
        </is>
      </c>
      <c r="C821" t="inlineStr">
        <is>
          <t>Dominic the great Inc.</t>
        </is>
      </c>
      <c r="D821" t="inlineStr">
        <is>
          <t>Legal</t>
        </is>
      </c>
      <c r="E821" s="297" t="n">
        <v>46139</v>
      </c>
      <c r="F821" s="297" t="n">
        <v>46217</v>
      </c>
      <c r="G821" t="n">
        <v>4</v>
      </c>
      <c r="H821" t="inlineStr">
        <is>
          <t>5812</t>
        </is>
      </c>
      <c r="I821" t="inlineStr">
        <is>
          <t>58</t>
        </is>
      </c>
      <c r="J821" t="inlineStr">
        <is>
          <t>CA</t>
        </is>
      </c>
      <c r="K821" t="inlineStr">
        <is>
          <t>PMF</t>
        </is>
      </c>
      <c r="L821" t="inlineStr">
        <is>
          <t>New Deal</t>
        </is>
      </c>
      <c r="M821" s="298" t="n">
        <v>1.37</v>
      </c>
      <c r="N821" s="299" t="n">
        <v>80000</v>
      </c>
      <c r="O821" s="299" t="n">
        <v>4000</v>
      </c>
      <c r="P821" s="299" t="n">
        <v>109600</v>
      </c>
      <c r="Q821" s="299" t="n">
        <v>20549.94</v>
      </c>
      <c r="R821" s="299" t="n">
        <v>89050.06</v>
      </c>
      <c r="S821" s="300" t="n">
        <v>0.187499452554745</v>
      </c>
      <c r="T821" t="n">
        <v>32</v>
      </c>
      <c r="U821" t="n">
        <v>5</v>
      </c>
      <c r="V821" t="n">
        <v>111745.14</v>
      </c>
      <c r="W821" s="300" t="n">
        <v>0.1226</v>
      </c>
      <c r="X821" s="297" t="n">
        <v>36861</v>
      </c>
      <c r="Y821">
        <f>IF(I821="","No SIC",IFERROR(VLOOKUP(I821,Ref!$A$2:$B$65,2,FALSE),"Unclassified"))</f>
        <v/>
      </c>
      <c r="Z821">
        <f>IF(T821="","",IF(T821&lt;12,"Daily","Weekly"))</f>
        <v/>
      </c>
      <c r="AA821">
        <f>IF(T821="",0,IF(T821&lt;12,T821*Controls!$B$29,T821*5))</f>
        <v/>
      </c>
      <c r="AB821">
        <f>IF(E821="",0,NETWORKDAYS(E821,Controls!$B$36,Ref!$K$2:$K$42))</f>
        <v/>
      </c>
      <c r="AC821">
        <f>IF(AND(AA821&gt;0,AB821&gt;=Controls!$B$39*AA821),1,0)</f>
        <v/>
      </c>
      <c r="AD821">
        <f>IF(AND(E821&lt;&gt;"",E821&gt;=Controls!$B$37,E821&lt;=Controls!$B$38),1,0)</f>
        <v/>
      </c>
      <c r="AE821">
        <f>IF(IFERROR(VLOOKUP(D821,Controls!$A$64:$E$74,2,FALSE),"No")="Yes",1,0)</f>
        <v/>
      </c>
      <c r="AF821">
        <f>IF(IFERROR(VLOOKUP(D821,Controls!$A$64:$E$74,3,FALSE),"No")="Yes",1,0)</f>
        <v/>
      </c>
      <c r="AG821">
        <f>IF(IFERROR(VLOOKUP(D821,Controls!$A$64:$E$74,4,FALSE),"No")="Yes",1,0)</f>
        <v/>
      </c>
      <c r="AH821">
        <f>IF(IFERROR(VLOOKUP(D821,Controls!$A$64:$E$74,5,FALSE),"No")="Yes",1,0)</f>
        <v/>
      </c>
      <c r="AI821">
        <f>IF(ISNUMBER(MATCH(D821,Controls!$A$64:$A$74,0)),1,0)</f>
        <v/>
      </c>
      <c r="AJ821">
        <f>Q821-N821</f>
        <v/>
      </c>
      <c r="AK821">
        <f>IF(AE821=1,MAX(0,N821-Q821),0)</f>
        <v/>
      </c>
      <c r="AL821">
        <f>IF(OR(V821="",V821=0),0,N821/V821)</f>
        <v/>
      </c>
      <c r="AM821">
        <f>IF(OR(V821="",V821=0),0,1)</f>
        <v/>
      </c>
      <c r="AN821">
        <f>IF(OR(E821="",F821=""),0,NETWORKDAYS(E821,F821,Ref!$K$2:$K$42))</f>
        <v/>
      </c>
      <c r="AO821">
        <f>IF(L821="Renewal",1,0)</f>
        <v/>
      </c>
      <c r="AP821">
        <f>AC821*AD821</f>
        <v/>
      </c>
      <c r="AQ821">
        <f>IF(AND(G821&lt;&gt;"",'Historical Score'!$C$6&lt;&gt;""),IF(G821='Historical Score'!$C$6,1,0),0)</f>
        <v/>
      </c>
      <c r="AR821">
        <f>IF(AND(L821&lt;&gt;"",'Historical Score'!$C$5&lt;&gt;""),IF(L821='Historical Score'!$C$5,1,0),0)</f>
        <v/>
      </c>
      <c r="AS821">
        <f>IF(AND(Y821&lt;&gt;"",'Historical Score'!$C$7&lt;&gt;""),IF(Y821='Historical Score'!$C$7,1,0),0)</f>
        <v/>
      </c>
      <c r="AT821">
        <f>IF(AND(K821&lt;&gt;"",'Historical Score'!$C$8&lt;&gt;""),IF(K821='Historical Score'!$C$8,1,0),0)</f>
        <v/>
      </c>
      <c r="AU821">
        <f>IF(AND(J821&lt;&gt;"",'Historical Score'!$C$9&lt;&gt;""),IF(J821='Historical Score'!$C$9,1,0),0)</f>
        <v/>
      </c>
      <c r="AV821">
        <f>AR821*AS821*AQ821</f>
        <v/>
      </c>
      <c r="AW821">
        <f>AR821*AT821*AQ821</f>
        <v/>
      </c>
      <c r="AX821">
        <f>AR821*AS821</f>
        <v/>
      </c>
      <c r="AY821">
        <f>AR821*AT821</f>
        <v/>
      </c>
      <c r="AZ821">
        <f>AR821*AQ821</f>
        <v/>
      </c>
      <c r="BA821">
        <f>AR821</f>
        <v/>
      </c>
      <c r="BB821">
        <f>1</f>
        <v/>
      </c>
      <c r="BC821">
        <f>IF(AV821=1,1,IF(AW821=1,2,IF(AX821=1,3,IF(AY821=1,4,IF(AZ821=1,5,IF(BA821=1,6,7))))))</f>
        <v/>
      </c>
      <c r="BD821">
        <f>IF(AD821=1,CHOOSE('Historical Score'!$C$29,AV821,AW821,AX821,AY821,AZ821,BA821,BB821),0)</f>
        <v/>
      </c>
      <c r="BE821">
        <f>IF(BD821=1,COUNTIF($BD$2:BD821,1),"")</f>
        <v/>
      </c>
    </row>
    <row r="822">
      <c r="A822" t="inlineStr">
        <is>
          <t>5674182552</t>
        </is>
      </c>
      <c r="B822" t="inlineStr">
        <is>
          <t>AAMCO of Athens</t>
        </is>
      </c>
      <c r="C822" t="inlineStr">
        <is>
          <t>RL BARRRON HOLDING INC</t>
        </is>
      </c>
      <c r="D822" t="inlineStr">
        <is>
          <t>Closed</t>
        </is>
      </c>
      <c r="E822" s="297" t="n">
        <v>46140</v>
      </c>
      <c r="F822" s="297" t="n">
        <v>46213</v>
      </c>
      <c r="G822" t="n">
        <v>3</v>
      </c>
      <c r="H822" t="inlineStr">
        <is>
          <t>7538</t>
        </is>
      </c>
      <c r="I822" t="inlineStr">
        <is>
          <t>75</t>
        </is>
      </c>
      <c r="J822" t="inlineStr">
        <is>
          <t>GA</t>
        </is>
      </c>
      <c r="K822" t="inlineStr">
        <is>
          <t>Ballicci</t>
        </is>
      </c>
      <c r="L822" t="inlineStr">
        <is>
          <t>Renewal</t>
        </is>
      </c>
      <c r="M822" s="298" t="n">
        <v>1.49</v>
      </c>
      <c r="N822" s="299" t="n">
        <v>35000</v>
      </c>
      <c r="O822" s="299" t="n">
        <v>4900</v>
      </c>
      <c r="P822" s="299" t="n">
        <v>52150</v>
      </c>
      <c r="Q822" s="299" t="n">
        <v>52150</v>
      </c>
      <c r="R822" s="299" t="n">
        <v>0</v>
      </c>
      <c r="S822" s="300" t="n">
        <v>1</v>
      </c>
      <c r="T822" t="n">
        <v>3.934</v>
      </c>
      <c r="U822" t="n">
        <v>3</v>
      </c>
      <c r="V822" t="n">
        <v>41414.05</v>
      </c>
      <c r="W822" s="300" t="n">
        <v>0.2204</v>
      </c>
      <c r="X822" s="297" t="n">
        <v>41351</v>
      </c>
      <c r="Y822">
        <f>IF(I822="","No SIC",IFERROR(VLOOKUP(I822,Ref!$A$2:$B$65,2,FALSE),"Unclassified"))</f>
        <v/>
      </c>
      <c r="Z822">
        <f>IF(T822="","",IF(T822&lt;12,"Daily","Weekly"))</f>
        <v/>
      </c>
      <c r="AA822">
        <f>IF(T822="",0,IF(T822&lt;12,T822*Controls!$B$29,T822*5))</f>
        <v/>
      </c>
      <c r="AB822">
        <f>IF(E822="",0,NETWORKDAYS(E822,Controls!$B$36,Ref!$K$2:$K$42))</f>
        <v/>
      </c>
      <c r="AC822">
        <f>IF(AND(AA822&gt;0,AB822&gt;=Controls!$B$39*AA822),1,0)</f>
        <v/>
      </c>
      <c r="AD822">
        <f>IF(AND(E822&lt;&gt;"",E822&gt;=Controls!$B$37,E822&lt;=Controls!$B$38),1,0)</f>
        <v/>
      </c>
      <c r="AE822">
        <f>IF(IFERROR(VLOOKUP(D822,Controls!$A$64:$E$74,2,FALSE),"No")="Yes",1,0)</f>
        <v/>
      </c>
      <c r="AF822">
        <f>IF(IFERROR(VLOOKUP(D822,Controls!$A$64:$E$74,3,FALSE),"No")="Yes",1,0)</f>
        <v/>
      </c>
      <c r="AG822">
        <f>IF(IFERROR(VLOOKUP(D822,Controls!$A$64:$E$74,4,FALSE),"No")="Yes",1,0)</f>
        <v/>
      </c>
      <c r="AH822">
        <f>IF(IFERROR(VLOOKUP(D822,Controls!$A$64:$E$74,5,FALSE),"No")="Yes",1,0)</f>
        <v/>
      </c>
      <c r="AI822">
        <f>IF(ISNUMBER(MATCH(D822,Controls!$A$64:$A$74,0)),1,0)</f>
        <v/>
      </c>
      <c r="AJ822">
        <f>Q822-N822</f>
        <v/>
      </c>
      <c r="AK822">
        <f>IF(AE822=1,MAX(0,N822-Q822),0)</f>
        <v/>
      </c>
      <c r="AL822">
        <f>IF(OR(V822="",V822=0),0,N822/V822)</f>
        <v/>
      </c>
      <c r="AM822">
        <f>IF(OR(V822="",V822=0),0,1)</f>
        <v/>
      </c>
      <c r="AN822">
        <f>IF(OR(E822="",F822=""),0,NETWORKDAYS(E822,F822,Ref!$K$2:$K$42))</f>
        <v/>
      </c>
      <c r="AO822">
        <f>IF(L822="Renewal",1,0)</f>
        <v/>
      </c>
      <c r="AP822">
        <f>AC822*AD822</f>
        <v/>
      </c>
      <c r="AQ822">
        <f>IF(AND(G822&lt;&gt;"",'Historical Score'!$C$6&lt;&gt;""),IF(G822='Historical Score'!$C$6,1,0),0)</f>
        <v/>
      </c>
      <c r="AR822">
        <f>IF(AND(L822&lt;&gt;"",'Historical Score'!$C$5&lt;&gt;""),IF(L822='Historical Score'!$C$5,1,0),0)</f>
        <v/>
      </c>
      <c r="AS822">
        <f>IF(AND(Y822&lt;&gt;"",'Historical Score'!$C$7&lt;&gt;""),IF(Y822='Historical Score'!$C$7,1,0),0)</f>
        <v/>
      </c>
      <c r="AT822">
        <f>IF(AND(K822&lt;&gt;"",'Historical Score'!$C$8&lt;&gt;""),IF(K822='Historical Score'!$C$8,1,0),0)</f>
        <v/>
      </c>
      <c r="AU822">
        <f>IF(AND(J822&lt;&gt;"",'Historical Score'!$C$9&lt;&gt;""),IF(J822='Historical Score'!$C$9,1,0),0)</f>
        <v/>
      </c>
      <c r="AV822">
        <f>AR822*AS822*AQ822</f>
        <v/>
      </c>
      <c r="AW822">
        <f>AR822*AT822*AQ822</f>
        <v/>
      </c>
      <c r="AX822">
        <f>AR822*AS822</f>
        <v/>
      </c>
      <c r="AY822">
        <f>AR822*AT822</f>
        <v/>
      </c>
      <c r="AZ822">
        <f>AR822*AQ822</f>
        <v/>
      </c>
      <c r="BA822">
        <f>AR822</f>
        <v/>
      </c>
      <c r="BB822">
        <f>1</f>
        <v/>
      </c>
      <c r="BC822">
        <f>IF(AV822=1,1,IF(AW822=1,2,IF(AX822=1,3,IF(AY822=1,4,IF(AZ822=1,5,IF(BA822=1,6,7))))))</f>
        <v/>
      </c>
      <c r="BD822">
        <f>IF(AD822=1,CHOOSE('Historical Score'!$C$29,AV822,AW822,AX822,AY822,AZ822,BA822,BB822),0)</f>
        <v/>
      </c>
      <c r="BE822">
        <f>IF(BD822=1,COUNTIF($BD$2:BD822,1),"")</f>
        <v/>
      </c>
    </row>
    <row r="823">
      <c r="A823" t="inlineStr">
        <is>
          <t>5674182566</t>
        </is>
      </c>
      <c r="B823" t="inlineStr">
        <is>
          <t>Mobile Park Management LLC</t>
        </is>
      </c>
      <c r="C823" t="inlineStr">
        <is>
          <t>Mobile Park Management LLC</t>
        </is>
      </c>
      <c r="D823" t="inlineStr">
        <is>
          <t>Open</t>
        </is>
      </c>
      <c r="E823" s="297" t="n">
        <v>46140</v>
      </c>
      <c r="F823" s="297" t="n">
        <v>46227</v>
      </c>
      <c r="G823" t="n">
        <v>3</v>
      </c>
      <c r="H823" t="inlineStr">
        <is>
          <t>6531</t>
        </is>
      </c>
      <c r="I823" t="inlineStr">
        <is>
          <t>65</t>
        </is>
      </c>
      <c r="J823" t="inlineStr">
        <is>
          <t>TX</t>
        </is>
      </c>
      <c r="K823" t="inlineStr">
        <is>
          <t>Pro Source Lending Group</t>
        </is>
      </c>
      <c r="L823" t="inlineStr">
        <is>
          <t>New Deal</t>
        </is>
      </c>
      <c r="M823" s="298" t="n">
        <v>1.48</v>
      </c>
      <c r="N823" s="299" t="n">
        <v>30000</v>
      </c>
      <c r="O823" s="299" t="n">
        <v>4050</v>
      </c>
      <c r="P823" s="299" t="n">
        <v>44400</v>
      </c>
      <c r="Q823" s="299" t="n">
        <v>20337.24</v>
      </c>
      <c r="R823" s="299" t="n">
        <v>24062.76</v>
      </c>
      <c r="S823" s="300" t="n">
        <v>0.458045945945946</v>
      </c>
      <c r="T823" t="n">
        <v>24</v>
      </c>
      <c r="U823" t="n">
        <v>1</v>
      </c>
      <c r="V823" t="n">
        <v>324357.13</v>
      </c>
      <c r="W823" s="300" t="n">
        <v>0.0228</v>
      </c>
      <c r="X823" s="297" t="n">
        <v>45323</v>
      </c>
      <c r="Y823">
        <f>IF(I823="","No SIC",IFERROR(VLOOKUP(I823,Ref!$A$2:$B$65,2,FALSE),"Unclassified"))</f>
        <v/>
      </c>
      <c r="Z823">
        <f>IF(T823="","",IF(T823&lt;12,"Daily","Weekly"))</f>
        <v/>
      </c>
      <c r="AA823">
        <f>IF(T823="",0,IF(T823&lt;12,T823*Controls!$B$29,T823*5))</f>
        <v/>
      </c>
      <c r="AB823">
        <f>IF(E823="",0,NETWORKDAYS(E823,Controls!$B$36,Ref!$K$2:$K$42))</f>
        <v/>
      </c>
      <c r="AC823">
        <f>IF(AND(AA823&gt;0,AB823&gt;=Controls!$B$39*AA823),1,0)</f>
        <v/>
      </c>
      <c r="AD823">
        <f>IF(AND(E823&lt;&gt;"",E823&gt;=Controls!$B$37,E823&lt;=Controls!$B$38),1,0)</f>
        <v/>
      </c>
      <c r="AE823">
        <f>IF(IFERROR(VLOOKUP(D823,Controls!$A$64:$E$74,2,FALSE),"No")="Yes",1,0)</f>
        <v/>
      </c>
      <c r="AF823">
        <f>IF(IFERROR(VLOOKUP(D823,Controls!$A$64:$E$74,3,FALSE),"No")="Yes",1,0)</f>
        <v/>
      </c>
      <c r="AG823">
        <f>IF(IFERROR(VLOOKUP(D823,Controls!$A$64:$E$74,4,FALSE),"No")="Yes",1,0)</f>
        <v/>
      </c>
      <c r="AH823">
        <f>IF(IFERROR(VLOOKUP(D823,Controls!$A$64:$E$74,5,FALSE),"No")="Yes",1,0)</f>
        <v/>
      </c>
      <c r="AI823">
        <f>IF(ISNUMBER(MATCH(D823,Controls!$A$64:$A$74,0)),1,0)</f>
        <v/>
      </c>
      <c r="AJ823">
        <f>Q823-N823</f>
        <v/>
      </c>
      <c r="AK823">
        <f>IF(AE823=1,MAX(0,N823-Q823),0)</f>
        <v/>
      </c>
      <c r="AL823">
        <f>IF(OR(V823="",V823=0),0,N823/V823)</f>
        <v/>
      </c>
      <c r="AM823">
        <f>IF(OR(V823="",V823=0),0,1)</f>
        <v/>
      </c>
      <c r="AN823">
        <f>IF(OR(E823="",F823=""),0,NETWORKDAYS(E823,F823,Ref!$K$2:$K$42))</f>
        <v/>
      </c>
      <c r="AO823">
        <f>IF(L823="Renewal",1,0)</f>
        <v/>
      </c>
      <c r="AP823">
        <f>AC823*AD823</f>
        <v/>
      </c>
      <c r="AQ823">
        <f>IF(AND(G823&lt;&gt;"",'Historical Score'!$C$6&lt;&gt;""),IF(G823='Historical Score'!$C$6,1,0),0)</f>
        <v/>
      </c>
      <c r="AR823">
        <f>IF(AND(L823&lt;&gt;"",'Historical Score'!$C$5&lt;&gt;""),IF(L823='Historical Score'!$C$5,1,0),0)</f>
        <v/>
      </c>
      <c r="AS823">
        <f>IF(AND(Y823&lt;&gt;"",'Historical Score'!$C$7&lt;&gt;""),IF(Y823='Historical Score'!$C$7,1,0),0)</f>
        <v/>
      </c>
      <c r="AT823">
        <f>IF(AND(K823&lt;&gt;"",'Historical Score'!$C$8&lt;&gt;""),IF(K823='Historical Score'!$C$8,1,0),0)</f>
        <v/>
      </c>
      <c r="AU823">
        <f>IF(AND(J823&lt;&gt;"",'Historical Score'!$C$9&lt;&gt;""),IF(J823='Historical Score'!$C$9,1,0),0)</f>
        <v/>
      </c>
      <c r="AV823">
        <f>AR823*AS823*AQ823</f>
        <v/>
      </c>
      <c r="AW823">
        <f>AR823*AT823*AQ823</f>
        <v/>
      </c>
      <c r="AX823">
        <f>AR823*AS823</f>
        <v/>
      </c>
      <c r="AY823">
        <f>AR823*AT823</f>
        <v/>
      </c>
      <c r="AZ823">
        <f>AR823*AQ823</f>
        <v/>
      </c>
      <c r="BA823">
        <f>AR823</f>
        <v/>
      </c>
      <c r="BB823">
        <f>1</f>
        <v/>
      </c>
      <c r="BC823">
        <f>IF(AV823=1,1,IF(AW823=1,2,IF(AX823=1,3,IF(AY823=1,4,IF(AZ823=1,5,IF(BA823=1,6,7))))))</f>
        <v/>
      </c>
      <c r="BD823">
        <f>IF(AD823=1,CHOOSE('Historical Score'!$C$29,AV823,AW823,AX823,AY823,AZ823,BA823,BB823),0)</f>
        <v/>
      </c>
      <c r="BE823">
        <f>IF(BD823=1,COUNTIF($BD$2:BD823,1),"")</f>
        <v/>
      </c>
    </row>
    <row r="824">
      <c r="A824" t="inlineStr">
        <is>
          <t>5674182569</t>
        </is>
      </c>
      <c r="B824" t="inlineStr">
        <is>
          <t>A AND K ASSOCIATES</t>
        </is>
      </c>
      <c r="C824" t="inlineStr">
        <is>
          <t>KAY INVESTMENT INC</t>
        </is>
      </c>
      <c r="D824" t="inlineStr">
        <is>
          <t>Open</t>
        </is>
      </c>
      <c r="E824" s="297" t="n">
        <v>46140</v>
      </c>
      <c r="F824" s="297" t="n">
        <v>46248</v>
      </c>
      <c r="G824" t="n">
        <v>3</v>
      </c>
      <c r="H824" t="inlineStr">
        <is>
          <t>8748</t>
        </is>
      </c>
      <c r="I824" t="inlineStr">
        <is>
          <t>87</t>
        </is>
      </c>
      <c r="J824" t="inlineStr">
        <is>
          <t>TX</t>
        </is>
      </c>
      <c r="K824" t="inlineStr">
        <is>
          <t>Triumph Cap Fund</t>
        </is>
      </c>
      <c r="L824" t="inlineStr">
        <is>
          <t>Renewal</t>
        </is>
      </c>
      <c r="M824" s="298" t="n">
        <v>1.49</v>
      </c>
      <c r="N824" s="299" t="n">
        <v>30000</v>
      </c>
      <c r="O824" s="299" t="n">
        <v>4200</v>
      </c>
      <c r="P824" s="299" t="n">
        <v>44700</v>
      </c>
      <c r="Q824" s="299" t="n">
        <v>25782.15</v>
      </c>
      <c r="R824" s="299" t="n">
        <v>18917.85</v>
      </c>
      <c r="S824" s="300" t="n">
        <v>0.576781879194631</v>
      </c>
      <c r="T824" t="n">
        <v>26</v>
      </c>
      <c r="U824" t="n">
        <v>0</v>
      </c>
      <c r="V824" t="n">
        <v>50516.18</v>
      </c>
      <c r="W824" s="300" t="n">
        <v>0.1361</v>
      </c>
      <c r="X824" s="297" t="n">
        <v>44341</v>
      </c>
      <c r="Y824">
        <f>IF(I824="","No SIC",IFERROR(VLOOKUP(I824,Ref!$A$2:$B$65,2,FALSE),"Unclassified"))</f>
        <v/>
      </c>
      <c r="Z824">
        <f>IF(T824="","",IF(T824&lt;12,"Daily","Weekly"))</f>
        <v/>
      </c>
      <c r="AA824">
        <f>IF(T824="",0,IF(T824&lt;12,T824*Controls!$B$29,T824*5))</f>
        <v/>
      </c>
      <c r="AB824">
        <f>IF(E824="",0,NETWORKDAYS(E824,Controls!$B$36,Ref!$K$2:$K$42))</f>
        <v/>
      </c>
      <c r="AC824">
        <f>IF(AND(AA824&gt;0,AB824&gt;=Controls!$B$39*AA824),1,0)</f>
        <v/>
      </c>
      <c r="AD824">
        <f>IF(AND(E824&lt;&gt;"",E824&gt;=Controls!$B$37,E824&lt;=Controls!$B$38),1,0)</f>
        <v/>
      </c>
      <c r="AE824">
        <f>IF(IFERROR(VLOOKUP(D824,Controls!$A$64:$E$74,2,FALSE),"No")="Yes",1,0)</f>
        <v/>
      </c>
      <c r="AF824">
        <f>IF(IFERROR(VLOOKUP(D824,Controls!$A$64:$E$74,3,FALSE),"No")="Yes",1,0)</f>
        <v/>
      </c>
      <c r="AG824">
        <f>IF(IFERROR(VLOOKUP(D824,Controls!$A$64:$E$74,4,FALSE),"No")="Yes",1,0)</f>
        <v/>
      </c>
      <c r="AH824">
        <f>IF(IFERROR(VLOOKUP(D824,Controls!$A$64:$E$74,5,FALSE),"No")="Yes",1,0)</f>
        <v/>
      </c>
      <c r="AI824">
        <f>IF(ISNUMBER(MATCH(D824,Controls!$A$64:$A$74,0)),1,0)</f>
        <v/>
      </c>
      <c r="AJ824">
        <f>Q824-N824</f>
        <v/>
      </c>
      <c r="AK824">
        <f>IF(AE824=1,MAX(0,N824-Q824),0)</f>
        <v/>
      </c>
      <c r="AL824">
        <f>IF(OR(V824="",V824=0),0,N824/V824)</f>
        <v/>
      </c>
      <c r="AM824">
        <f>IF(OR(V824="",V824=0),0,1)</f>
        <v/>
      </c>
      <c r="AN824">
        <f>IF(OR(E824="",F824=""),0,NETWORKDAYS(E824,F824,Ref!$K$2:$K$42))</f>
        <v/>
      </c>
      <c r="AO824">
        <f>IF(L824="Renewal",1,0)</f>
        <v/>
      </c>
      <c r="AP824">
        <f>AC824*AD824</f>
        <v/>
      </c>
      <c r="AQ824">
        <f>IF(AND(G824&lt;&gt;"",'Historical Score'!$C$6&lt;&gt;""),IF(G824='Historical Score'!$C$6,1,0),0)</f>
        <v/>
      </c>
      <c r="AR824">
        <f>IF(AND(L824&lt;&gt;"",'Historical Score'!$C$5&lt;&gt;""),IF(L824='Historical Score'!$C$5,1,0),0)</f>
        <v/>
      </c>
      <c r="AS824">
        <f>IF(AND(Y824&lt;&gt;"",'Historical Score'!$C$7&lt;&gt;""),IF(Y824='Historical Score'!$C$7,1,0),0)</f>
        <v/>
      </c>
      <c r="AT824">
        <f>IF(AND(K824&lt;&gt;"",'Historical Score'!$C$8&lt;&gt;""),IF(K824='Historical Score'!$C$8,1,0),0)</f>
        <v/>
      </c>
      <c r="AU824">
        <f>IF(AND(J824&lt;&gt;"",'Historical Score'!$C$9&lt;&gt;""),IF(J824='Historical Score'!$C$9,1,0),0)</f>
        <v/>
      </c>
      <c r="AV824">
        <f>AR824*AS824*AQ824</f>
        <v/>
      </c>
      <c r="AW824">
        <f>AR824*AT824*AQ824</f>
        <v/>
      </c>
      <c r="AX824">
        <f>AR824*AS824</f>
        <v/>
      </c>
      <c r="AY824">
        <f>AR824*AT824</f>
        <v/>
      </c>
      <c r="AZ824">
        <f>AR824*AQ824</f>
        <v/>
      </c>
      <c r="BA824">
        <f>AR824</f>
        <v/>
      </c>
      <c r="BB824">
        <f>1</f>
        <v/>
      </c>
      <c r="BC824">
        <f>IF(AV824=1,1,IF(AW824=1,2,IF(AX824=1,3,IF(AY824=1,4,IF(AZ824=1,5,IF(BA824=1,6,7))))))</f>
        <v/>
      </c>
      <c r="BD824">
        <f>IF(AD824=1,CHOOSE('Historical Score'!$C$29,AV824,AW824,AX824,AY824,AZ824,BA824,BB824),0)</f>
        <v/>
      </c>
      <c r="BE824">
        <f>IF(BD824=1,COUNTIF($BD$2:BD824,1),"")</f>
        <v/>
      </c>
    </row>
    <row r="825">
      <c r="A825" t="inlineStr">
        <is>
          <t>5674182576</t>
        </is>
      </c>
      <c r="B825" t="inlineStr">
        <is>
          <t>DRTX Facility Maintenance, LLC</t>
        </is>
      </c>
      <c r="C825" t="inlineStr">
        <is>
          <t>DRTX Facility Maintenance, LLC</t>
        </is>
      </c>
      <c r="D825" t="inlineStr">
        <is>
          <t>Closed</t>
        </is>
      </c>
      <c r="E825" s="297" t="n">
        <v>46140</v>
      </c>
      <c r="F825" s="297" t="n">
        <v>46220</v>
      </c>
      <c r="G825" t="n">
        <v>3</v>
      </c>
      <c r="H825" t="inlineStr">
        <is>
          <t>1521</t>
        </is>
      </c>
      <c r="I825" t="inlineStr">
        <is>
          <t>15</t>
        </is>
      </c>
      <c r="J825" t="inlineStr">
        <is>
          <t>TX</t>
        </is>
      </c>
      <c r="K825" t="inlineStr">
        <is>
          <t>SNB CAPITAL 18 LLC</t>
        </is>
      </c>
      <c r="L825" t="inlineStr">
        <is>
          <t>New Deal</t>
        </is>
      </c>
      <c r="M825" s="298" t="n">
        <v>1.49</v>
      </c>
      <c r="N825" s="299" t="n">
        <v>8000</v>
      </c>
      <c r="O825" s="299" t="n">
        <v>1120</v>
      </c>
      <c r="P825" s="299" t="n">
        <v>11920</v>
      </c>
      <c r="Q825" s="299" t="n">
        <v>11920</v>
      </c>
      <c r="R825" s="299" t="n">
        <v>0</v>
      </c>
      <c r="S825" s="300" t="n">
        <v>1</v>
      </c>
      <c r="T825" t="n">
        <v>3.279</v>
      </c>
      <c r="U825" t="n">
        <v>0</v>
      </c>
      <c r="V825" t="n">
        <v>51341.83</v>
      </c>
      <c r="W825" s="300" t="n">
        <v>0.0488</v>
      </c>
      <c r="X825" s="297" t="n">
        <v>39965</v>
      </c>
      <c r="Y825">
        <f>IF(I825="","No SIC",IFERROR(VLOOKUP(I825,Ref!$A$2:$B$65,2,FALSE),"Unclassified"))</f>
        <v/>
      </c>
      <c r="Z825">
        <f>IF(T825="","",IF(T825&lt;12,"Daily","Weekly"))</f>
        <v/>
      </c>
      <c r="AA825">
        <f>IF(T825="",0,IF(T825&lt;12,T825*Controls!$B$29,T825*5))</f>
        <v/>
      </c>
      <c r="AB825">
        <f>IF(E825="",0,NETWORKDAYS(E825,Controls!$B$36,Ref!$K$2:$K$42))</f>
        <v/>
      </c>
      <c r="AC825">
        <f>IF(AND(AA825&gt;0,AB825&gt;=Controls!$B$39*AA825),1,0)</f>
        <v/>
      </c>
      <c r="AD825">
        <f>IF(AND(E825&lt;&gt;"",E825&gt;=Controls!$B$37,E825&lt;=Controls!$B$38),1,0)</f>
        <v/>
      </c>
      <c r="AE825">
        <f>IF(IFERROR(VLOOKUP(D825,Controls!$A$64:$E$74,2,FALSE),"No")="Yes",1,0)</f>
        <v/>
      </c>
      <c r="AF825">
        <f>IF(IFERROR(VLOOKUP(D825,Controls!$A$64:$E$74,3,FALSE),"No")="Yes",1,0)</f>
        <v/>
      </c>
      <c r="AG825">
        <f>IF(IFERROR(VLOOKUP(D825,Controls!$A$64:$E$74,4,FALSE),"No")="Yes",1,0)</f>
        <v/>
      </c>
      <c r="AH825">
        <f>IF(IFERROR(VLOOKUP(D825,Controls!$A$64:$E$74,5,FALSE),"No")="Yes",1,0)</f>
        <v/>
      </c>
      <c r="AI825">
        <f>IF(ISNUMBER(MATCH(D825,Controls!$A$64:$A$74,0)),1,0)</f>
        <v/>
      </c>
      <c r="AJ825">
        <f>Q825-N825</f>
        <v/>
      </c>
      <c r="AK825">
        <f>IF(AE825=1,MAX(0,N825-Q825),0)</f>
        <v/>
      </c>
      <c r="AL825">
        <f>IF(OR(V825="",V825=0),0,N825/V825)</f>
        <v/>
      </c>
      <c r="AM825">
        <f>IF(OR(V825="",V825=0),0,1)</f>
        <v/>
      </c>
      <c r="AN825">
        <f>IF(OR(E825="",F825=""),0,NETWORKDAYS(E825,F825,Ref!$K$2:$K$42))</f>
        <v/>
      </c>
      <c r="AO825">
        <f>IF(L825="Renewal",1,0)</f>
        <v/>
      </c>
      <c r="AP825">
        <f>AC825*AD825</f>
        <v/>
      </c>
      <c r="AQ825">
        <f>IF(AND(G825&lt;&gt;"",'Historical Score'!$C$6&lt;&gt;""),IF(G825='Historical Score'!$C$6,1,0),0)</f>
        <v/>
      </c>
      <c r="AR825">
        <f>IF(AND(L825&lt;&gt;"",'Historical Score'!$C$5&lt;&gt;""),IF(L825='Historical Score'!$C$5,1,0),0)</f>
        <v/>
      </c>
      <c r="AS825">
        <f>IF(AND(Y825&lt;&gt;"",'Historical Score'!$C$7&lt;&gt;""),IF(Y825='Historical Score'!$C$7,1,0),0)</f>
        <v/>
      </c>
      <c r="AT825">
        <f>IF(AND(K825&lt;&gt;"",'Historical Score'!$C$8&lt;&gt;""),IF(K825='Historical Score'!$C$8,1,0),0)</f>
        <v/>
      </c>
      <c r="AU825">
        <f>IF(AND(J825&lt;&gt;"",'Historical Score'!$C$9&lt;&gt;""),IF(J825='Historical Score'!$C$9,1,0),0)</f>
        <v/>
      </c>
      <c r="AV825">
        <f>AR825*AS825*AQ825</f>
        <v/>
      </c>
      <c r="AW825">
        <f>AR825*AT825*AQ825</f>
        <v/>
      </c>
      <c r="AX825">
        <f>AR825*AS825</f>
        <v/>
      </c>
      <c r="AY825">
        <f>AR825*AT825</f>
        <v/>
      </c>
      <c r="AZ825">
        <f>AR825*AQ825</f>
        <v/>
      </c>
      <c r="BA825">
        <f>AR825</f>
        <v/>
      </c>
      <c r="BB825">
        <f>1</f>
        <v/>
      </c>
      <c r="BC825">
        <f>IF(AV825=1,1,IF(AW825=1,2,IF(AX825=1,3,IF(AY825=1,4,IF(AZ825=1,5,IF(BA825=1,6,7))))))</f>
        <v/>
      </c>
      <c r="BD825">
        <f>IF(AD825=1,CHOOSE('Historical Score'!$C$29,AV825,AW825,AX825,AY825,AZ825,BA825,BB825),0)</f>
        <v/>
      </c>
      <c r="BE825">
        <f>IF(BD825=1,COUNTIF($BD$2:BD825,1),"")</f>
        <v/>
      </c>
    </row>
    <row r="826">
      <c r="A826" t="inlineStr">
        <is>
          <t>5674182583</t>
        </is>
      </c>
      <c r="B826" t="inlineStr">
        <is>
          <t>Connected Contracting Corp</t>
        </is>
      </c>
      <c r="C826" t="inlineStr">
        <is>
          <t>Connected Contracting Corp</t>
        </is>
      </c>
      <c r="D826" t="inlineStr">
        <is>
          <t>Open</t>
        </is>
      </c>
      <c r="E826" s="297" t="n">
        <v>46140</v>
      </c>
      <c r="F826" s="297" t="n">
        <v>46253</v>
      </c>
      <c r="G826" t="n">
        <v>3</v>
      </c>
      <c r="H826" t="inlineStr">
        <is>
          <t>1799</t>
        </is>
      </c>
      <c r="I826" t="inlineStr">
        <is>
          <t>17</t>
        </is>
      </c>
      <c r="J826" t="inlineStr">
        <is>
          <t>FL</t>
        </is>
      </c>
      <c r="K826" t="inlineStr">
        <is>
          <t>Credibly</t>
        </is>
      </c>
      <c r="L826" t="inlineStr">
        <is>
          <t>New Deal</t>
        </is>
      </c>
      <c r="M826" s="298" t="n">
        <v>1.34</v>
      </c>
      <c r="N826" s="299" t="n">
        <v>10000</v>
      </c>
      <c r="O826" s="299" t="n">
        <v>600</v>
      </c>
      <c r="P826" s="299" t="n">
        <v>13400</v>
      </c>
      <c r="Q826" s="299" t="n">
        <v>5474.77</v>
      </c>
      <c r="R826" s="299" t="n">
        <v>7925.23</v>
      </c>
      <c r="S826" s="300" t="n">
        <v>0.408564925373134</v>
      </c>
      <c r="T826" t="n">
        <v>3.934</v>
      </c>
      <c r="U826" t="n">
        <v>31</v>
      </c>
      <c r="V826" t="n">
        <v>26098.36</v>
      </c>
      <c r="W826" s="300" t="n">
        <v>0.08989999999999999</v>
      </c>
      <c r="X826" s="297" t="n">
        <v>45007</v>
      </c>
      <c r="Y826">
        <f>IF(I826="","No SIC",IFERROR(VLOOKUP(I826,Ref!$A$2:$B$65,2,FALSE),"Unclassified"))</f>
        <v/>
      </c>
      <c r="Z826">
        <f>IF(T826="","",IF(T826&lt;12,"Daily","Weekly"))</f>
        <v/>
      </c>
      <c r="AA826">
        <f>IF(T826="",0,IF(T826&lt;12,T826*Controls!$B$29,T826*5))</f>
        <v/>
      </c>
      <c r="AB826">
        <f>IF(E826="",0,NETWORKDAYS(E826,Controls!$B$36,Ref!$K$2:$K$42))</f>
        <v/>
      </c>
      <c r="AC826">
        <f>IF(AND(AA826&gt;0,AB826&gt;=Controls!$B$39*AA826),1,0)</f>
        <v/>
      </c>
      <c r="AD826">
        <f>IF(AND(E826&lt;&gt;"",E826&gt;=Controls!$B$37,E826&lt;=Controls!$B$38),1,0)</f>
        <v/>
      </c>
      <c r="AE826">
        <f>IF(IFERROR(VLOOKUP(D826,Controls!$A$64:$E$74,2,FALSE),"No")="Yes",1,0)</f>
        <v/>
      </c>
      <c r="AF826">
        <f>IF(IFERROR(VLOOKUP(D826,Controls!$A$64:$E$74,3,FALSE),"No")="Yes",1,0)</f>
        <v/>
      </c>
      <c r="AG826">
        <f>IF(IFERROR(VLOOKUP(D826,Controls!$A$64:$E$74,4,FALSE),"No")="Yes",1,0)</f>
        <v/>
      </c>
      <c r="AH826">
        <f>IF(IFERROR(VLOOKUP(D826,Controls!$A$64:$E$74,5,FALSE),"No")="Yes",1,0)</f>
        <v/>
      </c>
      <c r="AI826">
        <f>IF(ISNUMBER(MATCH(D826,Controls!$A$64:$A$74,0)),1,0)</f>
        <v/>
      </c>
      <c r="AJ826">
        <f>Q826-N826</f>
        <v/>
      </c>
      <c r="AK826">
        <f>IF(AE826=1,MAX(0,N826-Q826),0)</f>
        <v/>
      </c>
      <c r="AL826">
        <f>IF(OR(V826="",V826=0),0,N826/V826)</f>
        <v/>
      </c>
      <c r="AM826">
        <f>IF(OR(V826="",V826=0),0,1)</f>
        <v/>
      </c>
      <c r="AN826">
        <f>IF(OR(E826="",F826=""),0,NETWORKDAYS(E826,F826,Ref!$K$2:$K$42))</f>
        <v/>
      </c>
      <c r="AO826">
        <f>IF(L826="Renewal",1,0)</f>
        <v/>
      </c>
      <c r="AP826">
        <f>AC826*AD826</f>
        <v/>
      </c>
      <c r="AQ826">
        <f>IF(AND(G826&lt;&gt;"",'Historical Score'!$C$6&lt;&gt;""),IF(G826='Historical Score'!$C$6,1,0),0)</f>
        <v/>
      </c>
      <c r="AR826">
        <f>IF(AND(L826&lt;&gt;"",'Historical Score'!$C$5&lt;&gt;""),IF(L826='Historical Score'!$C$5,1,0),0)</f>
        <v/>
      </c>
      <c r="AS826">
        <f>IF(AND(Y826&lt;&gt;"",'Historical Score'!$C$7&lt;&gt;""),IF(Y826='Historical Score'!$C$7,1,0),0)</f>
        <v/>
      </c>
      <c r="AT826">
        <f>IF(AND(K826&lt;&gt;"",'Historical Score'!$C$8&lt;&gt;""),IF(K826='Historical Score'!$C$8,1,0),0)</f>
        <v/>
      </c>
      <c r="AU826">
        <f>IF(AND(J826&lt;&gt;"",'Historical Score'!$C$9&lt;&gt;""),IF(J826='Historical Score'!$C$9,1,0),0)</f>
        <v/>
      </c>
      <c r="AV826">
        <f>AR826*AS826*AQ826</f>
        <v/>
      </c>
      <c r="AW826">
        <f>AR826*AT826*AQ826</f>
        <v/>
      </c>
      <c r="AX826">
        <f>AR826*AS826</f>
        <v/>
      </c>
      <c r="AY826">
        <f>AR826*AT826</f>
        <v/>
      </c>
      <c r="AZ826">
        <f>AR826*AQ826</f>
        <v/>
      </c>
      <c r="BA826">
        <f>AR826</f>
        <v/>
      </c>
      <c r="BB826">
        <f>1</f>
        <v/>
      </c>
      <c r="BC826">
        <f>IF(AV826=1,1,IF(AW826=1,2,IF(AX826=1,3,IF(AY826=1,4,IF(AZ826=1,5,IF(BA826=1,6,7))))))</f>
        <v/>
      </c>
      <c r="BD826">
        <f>IF(AD826=1,CHOOSE('Historical Score'!$C$29,AV826,AW826,AX826,AY826,AZ826,BA826,BB826),0)</f>
        <v/>
      </c>
      <c r="BE826">
        <f>IF(BD826=1,COUNTIF($BD$2:BD826,1),"")</f>
        <v/>
      </c>
    </row>
    <row r="827">
      <c r="A827" t="inlineStr">
        <is>
          <t>5674182601</t>
        </is>
      </c>
      <c r="B827" t="inlineStr">
        <is>
          <t>Donopoly remodeling expert LLC</t>
        </is>
      </c>
      <c r="C827" t="inlineStr">
        <is>
          <t>Donopoly remodeling expert LLC</t>
        </is>
      </c>
      <c r="D827" t="inlineStr">
        <is>
          <t>Legal</t>
        </is>
      </c>
      <c r="E827" s="297" t="n">
        <v>46140</v>
      </c>
      <c r="F827" s="297" t="n">
        <v>46150</v>
      </c>
      <c r="G827" t="n">
        <v>3</v>
      </c>
      <c r="H827" t="inlineStr">
        <is>
          <t>1521</t>
        </is>
      </c>
      <c r="I827" t="inlineStr">
        <is>
          <t>15</t>
        </is>
      </c>
      <c r="J827" t="inlineStr">
        <is>
          <t>PA</t>
        </is>
      </c>
      <c r="K827" t="inlineStr">
        <is>
          <t>Shore Funding USA</t>
        </is>
      </c>
      <c r="L827" t="inlineStr">
        <is>
          <t>New Deal</t>
        </is>
      </c>
      <c r="M827" s="298" t="n">
        <v>1.49</v>
      </c>
      <c r="N827" s="299" t="n">
        <v>20000</v>
      </c>
      <c r="O827" s="299" t="n">
        <v>0</v>
      </c>
      <c r="P827" s="299" t="n">
        <v>29800</v>
      </c>
      <c r="Q827" s="299" t="n">
        <v>0</v>
      </c>
      <c r="R827" s="299" t="n">
        <v>29800</v>
      </c>
      <c r="S827" s="300" t="n">
        <v>0</v>
      </c>
      <c r="T827" t="n">
        <v>28</v>
      </c>
      <c r="U827" t="n">
        <v>1</v>
      </c>
      <c r="V827" t="n">
        <v>49200.57</v>
      </c>
      <c r="W827" s="300" t="n">
        <v>0.08649999999999999</v>
      </c>
      <c r="X827" s="297" t="n">
        <v>32025</v>
      </c>
      <c r="Y827">
        <f>IF(I827="","No SIC",IFERROR(VLOOKUP(I827,Ref!$A$2:$B$65,2,FALSE),"Unclassified"))</f>
        <v/>
      </c>
      <c r="Z827">
        <f>IF(T827="","",IF(T827&lt;12,"Daily","Weekly"))</f>
        <v/>
      </c>
      <c r="AA827">
        <f>IF(T827="",0,IF(T827&lt;12,T827*Controls!$B$29,T827*5))</f>
        <v/>
      </c>
      <c r="AB827">
        <f>IF(E827="",0,NETWORKDAYS(E827,Controls!$B$36,Ref!$K$2:$K$42))</f>
        <v/>
      </c>
      <c r="AC827">
        <f>IF(AND(AA827&gt;0,AB827&gt;=Controls!$B$39*AA827),1,0)</f>
        <v/>
      </c>
      <c r="AD827">
        <f>IF(AND(E827&lt;&gt;"",E827&gt;=Controls!$B$37,E827&lt;=Controls!$B$38),1,0)</f>
        <v/>
      </c>
      <c r="AE827">
        <f>IF(IFERROR(VLOOKUP(D827,Controls!$A$64:$E$74,2,FALSE),"No")="Yes",1,0)</f>
        <v/>
      </c>
      <c r="AF827">
        <f>IF(IFERROR(VLOOKUP(D827,Controls!$A$64:$E$74,3,FALSE),"No")="Yes",1,0)</f>
        <v/>
      </c>
      <c r="AG827">
        <f>IF(IFERROR(VLOOKUP(D827,Controls!$A$64:$E$74,4,FALSE),"No")="Yes",1,0)</f>
        <v/>
      </c>
      <c r="AH827">
        <f>IF(IFERROR(VLOOKUP(D827,Controls!$A$64:$E$74,5,FALSE),"No")="Yes",1,0)</f>
        <v/>
      </c>
      <c r="AI827">
        <f>IF(ISNUMBER(MATCH(D827,Controls!$A$64:$A$74,0)),1,0)</f>
        <v/>
      </c>
      <c r="AJ827">
        <f>Q827-N827</f>
        <v/>
      </c>
      <c r="AK827">
        <f>IF(AE827=1,MAX(0,N827-Q827),0)</f>
        <v/>
      </c>
      <c r="AL827">
        <f>IF(OR(V827="",V827=0),0,N827/V827)</f>
        <v/>
      </c>
      <c r="AM827">
        <f>IF(OR(V827="",V827=0),0,1)</f>
        <v/>
      </c>
      <c r="AN827">
        <f>IF(OR(E827="",F827=""),0,NETWORKDAYS(E827,F827,Ref!$K$2:$K$42))</f>
        <v/>
      </c>
      <c r="AO827">
        <f>IF(L827="Renewal",1,0)</f>
        <v/>
      </c>
      <c r="AP827">
        <f>AC827*AD827</f>
        <v/>
      </c>
      <c r="AQ827">
        <f>IF(AND(G827&lt;&gt;"",'Historical Score'!$C$6&lt;&gt;""),IF(G827='Historical Score'!$C$6,1,0),0)</f>
        <v/>
      </c>
      <c r="AR827">
        <f>IF(AND(L827&lt;&gt;"",'Historical Score'!$C$5&lt;&gt;""),IF(L827='Historical Score'!$C$5,1,0),0)</f>
        <v/>
      </c>
      <c r="AS827">
        <f>IF(AND(Y827&lt;&gt;"",'Historical Score'!$C$7&lt;&gt;""),IF(Y827='Historical Score'!$C$7,1,0),0)</f>
        <v/>
      </c>
      <c r="AT827">
        <f>IF(AND(K827&lt;&gt;"",'Historical Score'!$C$8&lt;&gt;""),IF(K827='Historical Score'!$C$8,1,0),0)</f>
        <v/>
      </c>
      <c r="AU827">
        <f>IF(AND(J827&lt;&gt;"",'Historical Score'!$C$9&lt;&gt;""),IF(J827='Historical Score'!$C$9,1,0),0)</f>
        <v/>
      </c>
      <c r="AV827">
        <f>AR827*AS827*AQ827</f>
        <v/>
      </c>
      <c r="AW827">
        <f>AR827*AT827*AQ827</f>
        <v/>
      </c>
      <c r="AX827">
        <f>AR827*AS827</f>
        <v/>
      </c>
      <c r="AY827">
        <f>AR827*AT827</f>
        <v/>
      </c>
      <c r="AZ827">
        <f>AR827*AQ827</f>
        <v/>
      </c>
      <c r="BA827">
        <f>AR827</f>
        <v/>
      </c>
      <c r="BB827">
        <f>1</f>
        <v/>
      </c>
      <c r="BC827">
        <f>IF(AV827=1,1,IF(AW827=1,2,IF(AX827=1,3,IF(AY827=1,4,IF(AZ827=1,5,IF(BA827=1,6,7))))))</f>
        <v/>
      </c>
      <c r="BD827">
        <f>IF(AD827=1,CHOOSE('Historical Score'!$C$29,AV827,AW827,AX827,AY827,AZ827,BA827,BB827),0)</f>
        <v/>
      </c>
      <c r="BE827">
        <f>IF(BD827=1,COUNTIF($BD$2:BD827,1),"")</f>
        <v/>
      </c>
    </row>
    <row r="828">
      <c r="A828" t="inlineStr">
        <is>
          <t>5674182640</t>
        </is>
      </c>
      <c r="B828" t="inlineStr">
        <is>
          <t>Elk Hotel, LLC Dba</t>
        </is>
      </c>
      <c r="C828" t="inlineStr">
        <is>
          <t>Elk Hotel, LLC Dba</t>
        </is>
      </c>
      <c r="D828" t="inlineStr">
        <is>
          <t>Open</t>
        </is>
      </c>
      <c r="E828" s="297" t="n">
        <v>46141</v>
      </c>
      <c r="F828" s="297" t="n">
        <v>46251</v>
      </c>
      <c r="G828" t="n">
        <v>3</v>
      </c>
      <c r="H828" t="inlineStr">
        <is>
          <t>7011</t>
        </is>
      </c>
      <c r="I828" t="inlineStr">
        <is>
          <t>70</t>
        </is>
      </c>
      <c r="J828" t="inlineStr">
        <is>
          <t>CA</t>
        </is>
      </c>
      <c r="K828" t="inlineStr">
        <is>
          <t>Llama Loan</t>
        </is>
      </c>
      <c r="L828" t="inlineStr">
        <is>
          <t>New Deal</t>
        </is>
      </c>
      <c r="M828" s="298" t="n">
        <v>1.49</v>
      </c>
      <c r="N828" s="299" t="n">
        <v>45000</v>
      </c>
      <c r="O828" s="299" t="n">
        <v>6300</v>
      </c>
      <c r="P828" s="299" t="n">
        <v>67050</v>
      </c>
      <c r="Q828" s="299" t="n">
        <v>67050</v>
      </c>
      <c r="R828" s="299" t="n">
        <v>0</v>
      </c>
      <c r="S828" s="300" t="n">
        <v>1</v>
      </c>
      <c r="T828" t="n">
        <v>24</v>
      </c>
      <c r="U828" t="n">
        <v>0</v>
      </c>
      <c r="V828" t="n">
        <v>71345.28</v>
      </c>
      <c r="W828" s="300" t="n">
        <v>0.1566</v>
      </c>
      <c r="X828" s="297" t="n">
        <v>37257</v>
      </c>
      <c r="Y828">
        <f>IF(I828="","No SIC",IFERROR(VLOOKUP(I828,Ref!$A$2:$B$65,2,FALSE),"Unclassified"))</f>
        <v/>
      </c>
      <c r="Z828">
        <f>IF(T828="","",IF(T828&lt;12,"Daily","Weekly"))</f>
        <v/>
      </c>
      <c r="AA828">
        <f>IF(T828="",0,IF(T828&lt;12,T828*Controls!$B$29,T828*5))</f>
        <v/>
      </c>
      <c r="AB828">
        <f>IF(E828="",0,NETWORKDAYS(E828,Controls!$B$36,Ref!$K$2:$K$42))</f>
        <v/>
      </c>
      <c r="AC828">
        <f>IF(AND(AA828&gt;0,AB828&gt;=Controls!$B$39*AA828),1,0)</f>
        <v/>
      </c>
      <c r="AD828">
        <f>IF(AND(E828&lt;&gt;"",E828&gt;=Controls!$B$37,E828&lt;=Controls!$B$38),1,0)</f>
        <v/>
      </c>
      <c r="AE828">
        <f>IF(IFERROR(VLOOKUP(D828,Controls!$A$64:$E$74,2,FALSE),"No")="Yes",1,0)</f>
        <v/>
      </c>
      <c r="AF828">
        <f>IF(IFERROR(VLOOKUP(D828,Controls!$A$64:$E$74,3,FALSE),"No")="Yes",1,0)</f>
        <v/>
      </c>
      <c r="AG828">
        <f>IF(IFERROR(VLOOKUP(D828,Controls!$A$64:$E$74,4,FALSE),"No")="Yes",1,0)</f>
        <v/>
      </c>
      <c r="AH828">
        <f>IF(IFERROR(VLOOKUP(D828,Controls!$A$64:$E$74,5,FALSE),"No")="Yes",1,0)</f>
        <v/>
      </c>
      <c r="AI828">
        <f>IF(ISNUMBER(MATCH(D828,Controls!$A$64:$A$74,0)),1,0)</f>
        <v/>
      </c>
      <c r="AJ828">
        <f>Q828-N828</f>
        <v/>
      </c>
      <c r="AK828">
        <f>IF(AE828=1,MAX(0,N828-Q828),0)</f>
        <v/>
      </c>
      <c r="AL828">
        <f>IF(OR(V828="",V828=0),0,N828/V828)</f>
        <v/>
      </c>
      <c r="AM828">
        <f>IF(OR(V828="",V828=0),0,1)</f>
        <v/>
      </c>
      <c r="AN828">
        <f>IF(OR(E828="",F828=""),0,NETWORKDAYS(E828,F828,Ref!$K$2:$K$42))</f>
        <v/>
      </c>
      <c r="AO828">
        <f>IF(L828="Renewal",1,0)</f>
        <v/>
      </c>
      <c r="AP828">
        <f>AC828*AD828</f>
        <v/>
      </c>
      <c r="AQ828">
        <f>IF(AND(G828&lt;&gt;"",'Historical Score'!$C$6&lt;&gt;""),IF(G828='Historical Score'!$C$6,1,0),0)</f>
        <v/>
      </c>
      <c r="AR828">
        <f>IF(AND(L828&lt;&gt;"",'Historical Score'!$C$5&lt;&gt;""),IF(L828='Historical Score'!$C$5,1,0),0)</f>
        <v/>
      </c>
      <c r="AS828">
        <f>IF(AND(Y828&lt;&gt;"",'Historical Score'!$C$7&lt;&gt;""),IF(Y828='Historical Score'!$C$7,1,0),0)</f>
        <v/>
      </c>
      <c r="AT828">
        <f>IF(AND(K828&lt;&gt;"",'Historical Score'!$C$8&lt;&gt;""),IF(K828='Historical Score'!$C$8,1,0),0)</f>
        <v/>
      </c>
      <c r="AU828">
        <f>IF(AND(J828&lt;&gt;"",'Historical Score'!$C$9&lt;&gt;""),IF(J828='Historical Score'!$C$9,1,0),0)</f>
        <v/>
      </c>
      <c r="AV828">
        <f>AR828*AS828*AQ828</f>
        <v/>
      </c>
      <c r="AW828">
        <f>AR828*AT828*AQ828</f>
        <v/>
      </c>
      <c r="AX828">
        <f>AR828*AS828</f>
        <v/>
      </c>
      <c r="AY828">
        <f>AR828*AT828</f>
        <v/>
      </c>
      <c r="AZ828">
        <f>AR828*AQ828</f>
        <v/>
      </c>
      <c r="BA828">
        <f>AR828</f>
        <v/>
      </c>
      <c r="BB828">
        <f>1</f>
        <v/>
      </c>
      <c r="BC828">
        <f>IF(AV828=1,1,IF(AW828=1,2,IF(AX828=1,3,IF(AY828=1,4,IF(AZ828=1,5,IF(BA828=1,6,7))))))</f>
        <v/>
      </c>
      <c r="BD828">
        <f>IF(AD828=1,CHOOSE('Historical Score'!$C$29,AV828,AW828,AX828,AY828,AZ828,BA828,BB828),0)</f>
        <v/>
      </c>
      <c r="BE828">
        <f>IF(BD828=1,COUNTIF($BD$2:BD828,1),"")</f>
        <v/>
      </c>
    </row>
    <row r="829">
      <c r="A829" t="inlineStr">
        <is>
          <t>5674182650</t>
        </is>
      </c>
      <c r="B829" t="inlineStr">
        <is>
          <t>JIU HONG CANYIN YULE, INC</t>
        </is>
      </c>
      <c r="C829" t="inlineStr">
        <is>
          <t>JIU HONG CANYIN YULE, INC</t>
        </is>
      </c>
      <c r="D829" t="inlineStr">
        <is>
          <t>In House Collection</t>
        </is>
      </c>
      <c r="E829" s="297" t="n">
        <v>46141</v>
      </c>
      <c r="F829" s="297" t="n">
        <v>46195</v>
      </c>
      <c r="G829" t="n">
        <v>3</v>
      </c>
      <c r="H829" t="inlineStr">
        <is>
          <t>5699</t>
        </is>
      </c>
      <c r="I829" t="inlineStr">
        <is>
          <t>56</t>
        </is>
      </c>
      <c r="J829" t="inlineStr">
        <is>
          <t>CO</t>
        </is>
      </c>
      <c r="K829" t="inlineStr">
        <is>
          <t>United Secured Capital 8</t>
        </is>
      </c>
      <c r="L829" t="inlineStr">
        <is>
          <t>Renewal</t>
        </is>
      </c>
      <c r="M829" s="298" t="n">
        <v>1.49</v>
      </c>
      <c r="N829" s="299" t="n">
        <v>50000</v>
      </c>
      <c r="O829" s="299" t="n">
        <v>7000</v>
      </c>
      <c r="P829" s="299" t="n">
        <v>74500</v>
      </c>
      <c r="Q829" s="299" t="n">
        <v>12240.14</v>
      </c>
      <c r="R829" s="299" t="n">
        <v>62259.86</v>
      </c>
      <c r="S829" s="300" t="n">
        <v>0.164297181208054</v>
      </c>
      <c r="T829" t="n">
        <v>4.59</v>
      </c>
      <c r="U829" t="n">
        <v>4</v>
      </c>
      <c r="V829" t="n">
        <v>42013.9</v>
      </c>
      <c r="W829" s="300" t="n">
        <v>0.266</v>
      </c>
      <c r="X829" s="297" t="n">
        <v>44659</v>
      </c>
      <c r="Y829">
        <f>IF(I829="","No SIC",IFERROR(VLOOKUP(I829,Ref!$A$2:$B$65,2,FALSE),"Unclassified"))</f>
        <v/>
      </c>
      <c r="Z829">
        <f>IF(T829="","",IF(T829&lt;12,"Daily","Weekly"))</f>
        <v/>
      </c>
      <c r="AA829">
        <f>IF(T829="",0,IF(T829&lt;12,T829*Controls!$B$29,T829*5))</f>
        <v/>
      </c>
      <c r="AB829">
        <f>IF(E829="",0,NETWORKDAYS(E829,Controls!$B$36,Ref!$K$2:$K$42))</f>
        <v/>
      </c>
      <c r="AC829">
        <f>IF(AND(AA829&gt;0,AB829&gt;=Controls!$B$39*AA829),1,0)</f>
        <v/>
      </c>
      <c r="AD829">
        <f>IF(AND(E829&lt;&gt;"",E829&gt;=Controls!$B$37,E829&lt;=Controls!$B$38),1,0)</f>
        <v/>
      </c>
      <c r="AE829">
        <f>IF(IFERROR(VLOOKUP(D829,Controls!$A$64:$E$74,2,FALSE),"No")="Yes",1,0)</f>
        <v/>
      </c>
      <c r="AF829">
        <f>IF(IFERROR(VLOOKUP(D829,Controls!$A$64:$E$74,3,FALSE),"No")="Yes",1,0)</f>
        <v/>
      </c>
      <c r="AG829">
        <f>IF(IFERROR(VLOOKUP(D829,Controls!$A$64:$E$74,4,FALSE),"No")="Yes",1,0)</f>
        <v/>
      </c>
      <c r="AH829">
        <f>IF(IFERROR(VLOOKUP(D829,Controls!$A$64:$E$74,5,FALSE),"No")="Yes",1,0)</f>
        <v/>
      </c>
      <c r="AI829">
        <f>IF(ISNUMBER(MATCH(D829,Controls!$A$64:$A$74,0)),1,0)</f>
        <v/>
      </c>
      <c r="AJ829">
        <f>Q829-N829</f>
        <v/>
      </c>
      <c r="AK829">
        <f>IF(AE829=1,MAX(0,N829-Q829),0)</f>
        <v/>
      </c>
      <c r="AL829">
        <f>IF(OR(V829="",V829=0),0,N829/V829)</f>
        <v/>
      </c>
      <c r="AM829">
        <f>IF(OR(V829="",V829=0),0,1)</f>
        <v/>
      </c>
      <c r="AN829">
        <f>IF(OR(E829="",F829=""),0,NETWORKDAYS(E829,F829,Ref!$K$2:$K$42))</f>
        <v/>
      </c>
      <c r="AO829">
        <f>IF(L829="Renewal",1,0)</f>
        <v/>
      </c>
      <c r="AP829">
        <f>AC829*AD829</f>
        <v/>
      </c>
      <c r="AQ829">
        <f>IF(AND(G829&lt;&gt;"",'Historical Score'!$C$6&lt;&gt;""),IF(G829='Historical Score'!$C$6,1,0),0)</f>
        <v/>
      </c>
      <c r="AR829">
        <f>IF(AND(L829&lt;&gt;"",'Historical Score'!$C$5&lt;&gt;""),IF(L829='Historical Score'!$C$5,1,0),0)</f>
        <v/>
      </c>
      <c r="AS829">
        <f>IF(AND(Y829&lt;&gt;"",'Historical Score'!$C$7&lt;&gt;""),IF(Y829='Historical Score'!$C$7,1,0),0)</f>
        <v/>
      </c>
      <c r="AT829">
        <f>IF(AND(K829&lt;&gt;"",'Historical Score'!$C$8&lt;&gt;""),IF(K829='Historical Score'!$C$8,1,0),0)</f>
        <v/>
      </c>
      <c r="AU829">
        <f>IF(AND(J829&lt;&gt;"",'Historical Score'!$C$9&lt;&gt;""),IF(J829='Historical Score'!$C$9,1,0),0)</f>
        <v/>
      </c>
      <c r="AV829">
        <f>AR829*AS829*AQ829</f>
        <v/>
      </c>
      <c r="AW829">
        <f>AR829*AT829*AQ829</f>
        <v/>
      </c>
      <c r="AX829">
        <f>AR829*AS829</f>
        <v/>
      </c>
      <c r="AY829">
        <f>AR829*AT829</f>
        <v/>
      </c>
      <c r="AZ829">
        <f>AR829*AQ829</f>
        <v/>
      </c>
      <c r="BA829">
        <f>AR829</f>
        <v/>
      </c>
      <c r="BB829">
        <f>1</f>
        <v/>
      </c>
      <c r="BC829">
        <f>IF(AV829=1,1,IF(AW829=1,2,IF(AX829=1,3,IF(AY829=1,4,IF(AZ829=1,5,IF(BA829=1,6,7))))))</f>
        <v/>
      </c>
      <c r="BD829">
        <f>IF(AD829=1,CHOOSE('Historical Score'!$C$29,AV829,AW829,AX829,AY829,AZ829,BA829,BB829),0)</f>
        <v/>
      </c>
      <c r="BE829">
        <f>IF(BD829=1,COUNTIF($BD$2:BD829,1),"")</f>
        <v/>
      </c>
    </row>
    <row r="830">
      <c r="A830" t="inlineStr">
        <is>
          <t>5674182666</t>
        </is>
      </c>
      <c r="B830" t="inlineStr">
        <is>
          <t>Immpacto flooring LLc</t>
        </is>
      </c>
      <c r="C830" t="inlineStr">
        <is>
          <t>Immpacto flooring LLc</t>
        </is>
      </c>
      <c r="D830" t="inlineStr">
        <is>
          <t>Legal</t>
        </is>
      </c>
      <c r="E830" s="297" t="n">
        <v>46141</v>
      </c>
      <c r="F830" s="297" t="n">
        <v>46171</v>
      </c>
      <c r="G830" t="n">
        <v>3</v>
      </c>
      <c r="H830" t="inlineStr">
        <is>
          <t>1799</t>
        </is>
      </c>
      <c r="I830" t="inlineStr">
        <is>
          <t>17</t>
        </is>
      </c>
      <c r="J830" t="inlineStr">
        <is>
          <t>NJ</t>
        </is>
      </c>
      <c r="K830" t="inlineStr">
        <is>
          <t>PMF</t>
        </is>
      </c>
      <c r="L830" t="inlineStr">
        <is>
          <t>New Deal</t>
        </is>
      </c>
      <c r="M830" s="298" t="n">
        <v>1.49</v>
      </c>
      <c r="N830" s="299" t="n">
        <v>35000</v>
      </c>
      <c r="O830" s="299" t="n">
        <v>0</v>
      </c>
      <c r="P830" s="299" t="n">
        <v>52150</v>
      </c>
      <c r="Q830" s="299" t="n">
        <v>3722.18</v>
      </c>
      <c r="R830" s="299" t="n">
        <v>48427.82</v>
      </c>
      <c r="S830" s="300" t="n">
        <v>0.07137449664429529</v>
      </c>
      <c r="T830" t="n">
        <v>28</v>
      </c>
      <c r="U830" t="n">
        <v>2</v>
      </c>
      <c r="V830" t="n">
        <v>809169.74</v>
      </c>
      <c r="W830" s="300" t="n">
        <v>0.0092</v>
      </c>
      <c r="X830" s="297" t="n">
        <v>42467</v>
      </c>
      <c r="Y830">
        <f>IF(I830="","No SIC",IFERROR(VLOOKUP(I830,Ref!$A$2:$B$65,2,FALSE),"Unclassified"))</f>
        <v/>
      </c>
      <c r="Z830">
        <f>IF(T830="","",IF(T830&lt;12,"Daily","Weekly"))</f>
        <v/>
      </c>
      <c r="AA830">
        <f>IF(T830="",0,IF(T830&lt;12,T830*Controls!$B$29,T830*5))</f>
        <v/>
      </c>
      <c r="AB830">
        <f>IF(E830="",0,NETWORKDAYS(E830,Controls!$B$36,Ref!$K$2:$K$42))</f>
        <v/>
      </c>
      <c r="AC830">
        <f>IF(AND(AA830&gt;0,AB830&gt;=Controls!$B$39*AA830),1,0)</f>
        <v/>
      </c>
      <c r="AD830">
        <f>IF(AND(E830&lt;&gt;"",E830&gt;=Controls!$B$37,E830&lt;=Controls!$B$38),1,0)</f>
        <v/>
      </c>
      <c r="AE830">
        <f>IF(IFERROR(VLOOKUP(D830,Controls!$A$64:$E$74,2,FALSE),"No")="Yes",1,0)</f>
        <v/>
      </c>
      <c r="AF830">
        <f>IF(IFERROR(VLOOKUP(D830,Controls!$A$64:$E$74,3,FALSE),"No")="Yes",1,0)</f>
        <v/>
      </c>
      <c r="AG830">
        <f>IF(IFERROR(VLOOKUP(D830,Controls!$A$64:$E$74,4,FALSE),"No")="Yes",1,0)</f>
        <v/>
      </c>
      <c r="AH830">
        <f>IF(IFERROR(VLOOKUP(D830,Controls!$A$64:$E$74,5,FALSE),"No")="Yes",1,0)</f>
        <v/>
      </c>
      <c r="AI830">
        <f>IF(ISNUMBER(MATCH(D830,Controls!$A$64:$A$74,0)),1,0)</f>
        <v/>
      </c>
      <c r="AJ830">
        <f>Q830-N830</f>
        <v/>
      </c>
      <c r="AK830">
        <f>IF(AE830=1,MAX(0,N830-Q830),0)</f>
        <v/>
      </c>
      <c r="AL830">
        <f>IF(OR(V830="",V830=0),0,N830/V830)</f>
        <v/>
      </c>
      <c r="AM830">
        <f>IF(OR(V830="",V830=0),0,1)</f>
        <v/>
      </c>
      <c r="AN830">
        <f>IF(OR(E830="",F830=""),0,NETWORKDAYS(E830,F830,Ref!$K$2:$K$42))</f>
        <v/>
      </c>
      <c r="AO830">
        <f>IF(L830="Renewal",1,0)</f>
        <v/>
      </c>
      <c r="AP830">
        <f>AC830*AD830</f>
        <v/>
      </c>
      <c r="AQ830">
        <f>IF(AND(G830&lt;&gt;"",'Historical Score'!$C$6&lt;&gt;""),IF(G830='Historical Score'!$C$6,1,0),0)</f>
        <v/>
      </c>
      <c r="AR830">
        <f>IF(AND(L830&lt;&gt;"",'Historical Score'!$C$5&lt;&gt;""),IF(L830='Historical Score'!$C$5,1,0),0)</f>
        <v/>
      </c>
      <c r="AS830">
        <f>IF(AND(Y830&lt;&gt;"",'Historical Score'!$C$7&lt;&gt;""),IF(Y830='Historical Score'!$C$7,1,0),0)</f>
        <v/>
      </c>
      <c r="AT830">
        <f>IF(AND(K830&lt;&gt;"",'Historical Score'!$C$8&lt;&gt;""),IF(K830='Historical Score'!$C$8,1,0),0)</f>
        <v/>
      </c>
      <c r="AU830">
        <f>IF(AND(J830&lt;&gt;"",'Historical Score'!$C$9&lt;&gt;""),IF(J830='Historical Score'!$C$9,1,0),0)</f>
        <v/>
      </c>
      <c r="AV830">
        <f>AR830*AS830*AQ830</f>
        <v/>
      </c>
      <c r="AW830">
        <f>AR830*AT830*AQ830</f>
        <v/>
      </c>
      <c r="AX830">
        <f>AR830*AS830</f>
        <v/>
      </c>
      <c r="AY830">
        <f>AR830*AT830</f>
        <v/>
      </c>
      <c r="AZ830">
        <f>AR830*AQ830</f>
        <v/>
      </c>
      <c r="BA830">
        <f>AR830</f>
        <v/>
      </c>
      <c r="BB830">
        <f>1</f>
        <v/>
      </c>
      <c r="BC830">
        <f>IF(AV830=1,1,IF(AW830=1,2,IF(AX830=1,3,IF(AY830=1,4,IF(AZ830=1,5,IF(BA830=1,6,7))))))</f>
        <v/>
      </c>
      <c r="BD830">
        <f>IF(AD830=1,CHOOSE('Historical Score'!$C$29,AV830,AW830,AX830,AY830,AZ830,BA830,BB830),0)</f>
        <v/>
      </c>
      <c r="BE830">
        <f>IF(BD830=1,COUNTIF($BD$2:BD830,1),"")</f>
        <v/>
      </c>
    </row>
    <row r="831">
      <c r="A831" t="inlineStr">
        <is>
          <t>5674182695</t>
        </is>
      </c>
      <c r="B831" t="inlineStr">
        <is>
          <t>Beauty Bar Medispa Greenville, PLLC</t>
        </is>
      </c>
      <c r="C831" t="inlineStr">
        <is>
          <t>Beauty Bar Medispa Greenville, PLLC</t>
        </is>
      </c>
      <c r="D831" t="inlineStr">
        <is>
          <t>Open</t>
        </is>
      </c>
      <c r="E831" s="297" t="n">
        <v>46141</v>
      </c>
      <c r="F831" s="297" t="n">
        <v>46218</v>
      </c>
      <c r="G831" t="n">
        <v>3</v>
      </c>
      <c r="H831" t="inlineStr">
        <is>
          <t>7231</t>
        </is>
      </c>
      <c r="I831" t="inlineStr">
        <is>
          <t>72</t>
        </is>
      </c>
      <c r="J831" t="inlineStr">
        <is>
          <t>NC</t>
        </is>
      </c>
      <c r="K831" t="inlineStr">
        <is>
          <t>Ballicci</t>
        </is>
      </c>
      <c r="L831" t="inlineStr">
        <is>
          <t>Renewal</t>
        </is>
      </c>
      <c r="M831" s="298" t="n">
        <v>1.49</v>
      </c>
      <c r="N831" s="299" t="n">
        <v>50000</v>
      </c>
      <c r="O831" s="299" t="n">
        <v>7000</v>
      </c>
      <c r="P831" s="299" t="n">
        <v>74500</v>
      </c>
      <c r="Q831" s="299" t="n">
        <v>19864</v>
      </c>
      <c r="R831" s="299" t="n">
        <v>54636</v>
      </c>
      <c r="S831" s="300" t="n">
        <v>0.266630872483222</v>
      </c>
      <c r="T831" t="n">
        <v>30</v>
      </c>
      <c r="U831" t="n">
        <v>2</v>
      </c>
      <c r="V831" t="n">
        <v>165533.36</v>
      </c>
      <c r="W831" s="300" t="n">
        <v>0.06</v>
      </c>
      <c r="X831" s="297" t="n">
        <v>43908</v>
      </c>
      <c r="Y831">
        <f>IF(I831="","No SIC",IFERROR(VLOOKUP(I831,Ref!$A$2:$B$65,2,FALSE),"Unclassified"))</f>
        <v/>
      </c>
      <c r="Z831">
        <f>IF(T831="","",IF(T831&lt;12,"Daily","Weekly"))</f>
        <v/>
      </c>
      <c r="AA831">
        <f>IF(T831="",0,IF(T831&lt;12,T831*Controls!$B$29,T831*5))</f>
        <v/>
      </c>
      <c r="AB831">
        <f>IF(E831="",0,NETWORKDAYS(E831,Controls!$B$36,Ref!$K$2:$K$42))</f>
        <v/>
      </c>
      <c r="AC831">
        <f>IF(AND(AA831&gt;0,AB831&gt;=Controls!$B$39*AA831),1,0)</f>
        <v/>
      </c>
      <c r="AD831">
        <f>IF(AND(E831&lt;&gt;"",E831&gt;=Controls!$B$37,E831&lt;=Controls!$B$38),1,0)</f>
        <v/>
      </c>
      <c r="AE831">
        <f>IF(IFERROR(VLOOKUP(D831,Controls!$A$64:$E$74,2,FALSE),"No")="Yes",1,0)</f>
        <v/>
      </c>
      <c r="AF831">
        <f>IF(IFERROR(VLOOKUP(D831,Controls!$A$64:$E$74,3,FALSE),"No")="Yes",1,0)</f>
        <v/>
      </c>
      <c r="AG831">
        <f>IF(IFERROR(VLOOKUP(D831,Controls!$A$64:$E$74,4,FALSE),"No")="Yes",1,0)</f>
        <v/>
      </c>
      <c r="AH831">
        <f>IF(IFERROR(VLOOKUP(D831,Controls!$A$64:$E$74,5,FALSE),"No")="Yes",1,0)</f>
        <v/>
      </c>
      <c r="AI831">
        <f>IF(ISNUMBER(MATCH(D831,Controls!$A$64:$A$74,0)),1,0)</f>
        <v/>
      </c>
      <c r="AJ831">
        <f>Q831-N831</f>
        <v/>
      </c>
      <c r="AK831">
        <f>IF(AE831=1,MAX(0,N831-Q831),0)</f>
        <v/>
      </c>
      <c r="AL831">
        <f>IF(OR(V831="",V831=0),0,N831/V831)</f>
        <v/>
      </c>
      <c r="AM831">
        <f>IF(OR(V831="",V831=0),0,1)</f>
        <v/>
      </c>
      <c r="AN831">
        <f>IF(OR(E831="",F831=""),0,NETWORKDAYS(E831,F831,Ref!$K$2:$K$42))</f>
        <v/>
      </c>
      <c r="AO831">
        <f>IF(L831="Renewal",1,0)</f>
        <v/>
      </c>
      <c r="AP831">
        <f>AC831*AD831</f>
        <v/>
      </c>
      <c r="AQ831">
        <f>IF(AND(G831&lt;&gt;"",'Historical Score'!$C$6&lt;&gt;""),IF(G831='Historical Score'!$C$6,1,0),0)</f>
        <v/>
      </c>
      <c r="AR831">
        <f>IF(AND(L831&lt;&gt;"",'Historical Score'!$C$5&lt;&gt;""),IF(L831='Historical Score'!$C$5,1,0),0)</f>
        <v/>
      </c>
      <c r="AS831">
        <f>IF(AND(Y831&lt;&gt;"",'Historical Score'!$C$7&lt;&gt;""),IF(Y831='Historical Score'!$C$7,1,0),0)</f>
        <v/>
      </c>
      <c r="AT831">
        <f>IF(AND(K831&lt;&gt;"",'Historical Score'!$C$8&lt;&gt;""),IF(K831='Historical Score'!$C$8,1,0),0)</f>
        <v/>
      </c>
      <c r="AU831">
        <f>IF(AND(J831&lt;&gt;"",'Historical Score'!$C$9&lt;&gt;""),IF(J831='Historical Score'!$C$9,1,0),0)</f>
        <v/>
      </c>
      <c r="AV831">
        <f>AR831*AS831*AQ831</f>
        <v/>
      </c>
      <c r="AW831">
        <f>AR831*AT831*AQ831</f>
        <v/>
      </c>
      <c r="AX831">
        <f>AR831*AS831</f>
        <v/>
      </c>
      <c r="AY831">
        <f>AR831*AT831</f>
        <v/>
      </c>
      <c r="AZ831">
        <f>AR831*AQ831</f>
        <v/>
      </c>
      <c r="BA831">
        <f>AR831</f>
        <v/>
      </c>
      <c r="BB831">
        <f>1</f>
        <v/>
      </c>
      <c r="BC831">
        <f>IF(AV831=1,1,IF(AW831=1,2,IF(AX831=1,3,IF(AY831=1,4,IF(AZ831=1,5,IF(BA831=1,6,7))))))</f>
        <v/>
      </c>
      <c r="BD831">
        <f>IF(AD831=1,CHOOSE('Historical Score'!$C$29,AV831,AW831,AX831,AY831,AZ831,BA831,BB831),0)</f>
        <v/>
      </c>
      <c r="BE831">
        <f>IF(BD831=1,COUNTIF($BD$2:BD831,1),"")</f>
        <v/>
      </c>
    </row>
    <row r="832">
      <c r="A832" t="inlineStr">
        <is>
          <t>5674182765</t>
        </is>
      </c>
      <c r="B832" t="inlineStr">
        <is>
          <t>Map and Map</t>
        </is>
      </c>
      <c r="C832" t="inlineStr">
        <is>
          <t>Map and Map</t>
        </is>
      </c>
      <c r="D832" t="inlineStr">
        <is>
          <t>Closed</t>
        </is>
      </c>
      <c r="E832" s="297" t="n">
        <v>46142</v>
      </c>
      <c r="F832" s="297" t="n">
        <v>46231</v>
      </c>
      <c r="G832" t="n">
        <v>3</v>
      </c>
      <c r="H832" t="inlineStr">
        <is>
          <t>5999</t>
        </is>
      </c>
      <c r="I832" t="inlineStr">
        <is>
          <t>59</t>
        </is>
      </c>
      <c r="J832" t="inlineStr">
        <is>
          <t>TX</t>
        </is>
      </c>
      <c r="K832" t="inlineStr">
        <is>
          <t>PMF</t>
        </is>
      </c>
      <c r="L832" t="inlineStr">
        <is>
          <t>Renewal</t>
        </is>
      </c>
      <c r="M832" s="298" t="n">
        <v>1.49</v>
      </c>
      <c r="N832" s="299" t="n">
        <v>10000</v>
      </c>
      <c r="O832" s="299" t="n">
        <v>1400</v>
      </c>
      <c r="P832" s="299" t="n">
        <v>14900</v>
      </c>
      <c r="Q832" s="299" t="n">
        <v>14900</v>
      </c>
      <c r="R832" s="299" t="n">
        <v>0</v>
      </c>
      <c r="S832" s="300" t="n">
        <v>1</v>
      </c>
      <c r="T832" t="n">
        <v>3.279</v>
      </c>
      <c r="U832" t="n">
        <v>1</v>
      </c>
      <c r="V832" t="n">
        <v>19491.45</v>
      </c>
      <c r="W832" s="300" t="n">
        <v>0.1622</v>
      </c>
      <c r="X832" s="297" t="n">
        <v>44356</v>
      </c>
      <c r="Y832">
        <f>IF(I832="","No SIC",IFERROR(VLOOKUP(I832,Ref!$A$2:$B$65,2,FALSE),"Unclassified"))</f>
        <v/>
      </c>
      <c r="Z832">
        <f>IF(T832="","",IF(T832&lt;12,"Daily","Weekly"))</f>
        <v/>
      </c>
      <c r="AA832">
        <f>IF(T832="",0,IF(T832&lt;12,T832*Controls!$B$29,T832*5))</f>
        <v/>
      </c>
      <c r="AB832">
        <f>IF(E832="",0,NETWORKDAYS(E832,Controls!$B$36,Ref!$K$2:$K$42))</f>
        <v/>
      </c>
      <c r="AC832">
        <f>IF(AND(AA832&gt;0,AB832&gt;=Controls!$B$39*AA832),1,0)</f>
        <v/>
      </c>
      <c r="AD832">
        <f>IF(AND(E832&lt;&gt;"",E832&gt;=Controls!$B$37,E832&lt;=Controls!$B$38),1,0)</f>
        <v/>
      </c>
      <c r="AE832">
        <f>IF(IFERROR(VLOOKUP(D832,Controls!$A$64:$E$74,2,FALSE),"No")="Yes",1,0)</f>
        <v/>
      </c>
      <c r="AF832">
        <f>IF(IFERROR(VLOOKUP(D832,Controls!$A$64:$E$74,3,FALSE),"No")="Yes",1,0)</f>
        <v/>
      </c>
      <c r="AG832">
        <f>IF(IFERROR(VLOOKUP(D832,Controls!$A$64:$E$74,4,FALSE),"No")="Yes",1,0)</f>
        <v/>
      </c>
      <c r="AH832">
        <f>IF(IFERROR(VLOOKUP(D832,Controls!$A$64:$E$74,5,FALSE),"No")="Yes",1,0)</f>
        <v/>
      </c>
      <c r="AI832">
        <f>IF(ISNUMBER(MATCH(D832,Controls!$A$64:$A$74,0)),1,0)</f>
        <v/>
      </c>
      <c r="AJ832">
        <f>Q832-N832</f>
        <v/>
      </c>
      <c r="AK832">
        <f>IF(AE832=1,MAX(0,N832-Q832),0)</f>
        <v/>
      </c>
      <c r="AL832">
        <f>IF(OR(V832="",V832=0),0,N832/V832)</f>
        <v/>
      </c>
      <c r="AM832">
        <f>IF(OR(V832="",V832=0),0,1)</f>
        <v/>
      </c>
      <c r="AN832">
        <f>IF(OR(E832="",F832=""),0,NETWORKDAYS(E832,F832,Ref!$K$2:$K$42))</f>
        <v/>
      </c>
      <c r="AO832">
        <f>IF(L832="Renewal",1,0)</f>
        <v/>
      </c>
      <c r="AP832">
        <f>AC832*AD832</f>
        <v/>
      </c>
      <c r="AQ832">
        <f>IF(AND(G832&lt;&gt;"",'Historical Score'!$C$6&lt;&gt;""),IF(G832='Historical Score'!$C$6,1,0),0)</f>
        <v/>
      </c>
      <c r="AR832">
        <f>IF(AND(L832&lt;&gt;"",'Historical Score'!$C$5&lt;&gt;""),IF(L832='Historical Score'!$C$5,1,0),0)</f>
        <v/>
      </c>
      <c r="AS832">
        <f>IF(AND(Y832&lt;&gt;"",'Historical Score'!$C$7&lt;&gt;""),IF(Y832='Historical Score'!$C$7,1,0),0)</f>
        <v/>
      </c>
      <c r="AT832">
        <f>IF(AND(K832&lt;&gt;"",'Historical Score'!$C$8&lt;&gt;""),IF(K832='Historical Score'!$C$8,1,0),0)</f>
        <v/>
      </c>
      <c r="AU832">
        <f>IF(AND(J832&lt;&gt;"",'Historical Score'!$C$9&lt;&gt;""),IF(J832='Historical Score'!$C$9,1,0),0)</f>
        <v/>
      </c>
      <c r="AV832">
        <f>AR832*AS832*AQ832</f>
        <v/>
      </c>
      <c r="AW832">
        <f>AR832*AT832*AQ832</f>
        <v/>
      </c>
      <c r="AX832">
        <f>AR832*AS832</f>
        <v/>
      </c>
      <c r="AY832">
        <f>AR832*AT832</f>
        <v/>
      </c>
      <c r="AZ832">
        <f>AR832*AQ832</f>
        <v/>
      </c>
      <c r="BA832">
        <f>AR832</f>
        <v/>
      </c>
      <c r="BB832">
        <f>1</f>
        <v/>
      </c>
      <c r="BC832">
        <f>IF(AV832=1,1,IF(AW832=1,2,IF(AX832=1,3,IF(AY832=1,4,IF(AZ832=1,5,IF(BA832=1,6,7))))))</f>
        <v/>
      </c>
      <c r="BD832">
        <f>IF(AD832=1,CHOOSE('Historical Score'!$C$29,AV832,AW832,AX832,AY832,AZ832,BA832,BB832),0)</f>
        <v/>
      </c>
      <c r="BE832">
        <f>IF(BD832=1,COUNTIF($BD$2:BD832,1),"")</f>
        <v/>
      </c>
    </row>
    <row r="833">
      <c r="A833" t="inlineStr">
        <is>
          <t>5674182775</t>
        </is>
      </c>
      <c r="B833" t="inlineStr">
        <is>
          <t>M&amp;K Boardroom LLC</t>
        </is>
      </c>
      <c r="C833" t="inlineStr">
        <is>
          <t>M&amp;K Boardroom LLC</t>
        </is>
      </c>
      <c r="D833" t="inlineStr">
        <is>
          <t>Open</t>
        </is>
      </c>
      <c r="E833" s="297" t="n">
        <v>46142</v>
      </c>
      <c r="F833" s="297" t="n">
        <v>46253</v>
      </c>
      <c r="G833" t="n">
        <v>3</v>
      </c>
      <c r="H833" t="inlineStr">
        <is>
          <t>5999</t>
        </is>
      </c>
      <c r="I833" t="inlineStr">
        <is>
          <t>59</t>
        </is>
      </c>
      <c r="J833" t="inlineStr">
        <is>
          <t>FL</t>
        </is>
      </c>
      <c r="K833" t="inlineStr">
        <is>
          <t>Credibly</t>
        </is>
      </c>
      <c r="L833" t="inlineStr">
        <is>
          <t>New Deal</t>
        </is>
      </c>
      <c r="M833" s="298" t="n">
        <v>1.41</v>
      </c>
      <c r="N833" s="299" t="n">
        <v>10000</v>
      </c>
      <c r="O833" s="299" t="n">
        <v>1000</v>
      </c>
      <c r="P833" s="299" t="n">
        <v>14100</v>
      </c>
      <c r="Q833" s="299" t="n">
        <v>8607.1</v>
      </c>
      <c r="R833" s="299" t="n">
        <v>5492.9</v>
      </c>
      <c r="S833" s="300" t="n">
        <v>0.610432624113475</v>
      </c>
      <c r="T833" t="n">
        <v>3.279</v>
      </c>
      <c r="U833" t="n">
        <v>17</v>
      </c>
      <c r="V833" t="n">
        <v>44893.89</v>
      </c>
      <c r="W833" s="300" t="n">
        <v>0.066</v>
      </c>
      <c r="X833" s="297" t="n">
        <v>45748</v>
      </c>
      <c r="Y833">
        <f>IF(I833="","No SIC",IFERROR(VLOOKUP(I833,Ref!$A$2:$B$65,2,FALSE),"Unclassified"))</f>
        <v/>
      </c>
      <c r="Z833">
        <f>IF(T833="","",IF(T833&lt;12,"Daily","Weekly"))</f>
        <v/>
      </c>
      <c r="AA833">
        <f>IF(T833="",0,IF(T833&lt;12,T833*Controls!$B$29,T833*5))</f>
        <v/>
      </c>
      <c r="AB833">
        <f>IF(E833="",0,NETWORKDAYS(E833,Controls!$B$36,Ref!$K$2:$K$42))</f>
        <v/>
      </c>
      <c r="AC833">
        <f>IF(AND(AA833&gt;0,AB833&gt;=Controls!$B$39*AA833),1,0)</f>
        <v/>
      </c>
      <c r="AD833">
        <f>IF(AND(E833&lt;&gt;"",E833&gt;=Controls!$B$37,E833&lt;=Controls!$B$38),1,0)</f>
        <v/>
      </c>
      <c r="AE833">
        <f>IF(IFERROR(VLOOKUP(D833,Controls!$A$64:$E$74,2,FALSE),"No")="Yes",1,0)</f>
        <v/>
      </c>
      <c r="AF833">
        <f>IF(IFERROR(VLOOKUP(D833,Controls!$A$64:$E$74,3,FALSE),"No")="Yes",1,0)</f>
        <v/>
      </c>
      <c r="AG833">
        <f>IF(IFERROR(VLOOKUP(D833,Controls!$A$64:$E$74,4,FALSE),"No")="Yes",1,0)</f>
        <v/>
      </c>
      <c r="AH833">
        <f>IF(IFERROR(VLOOKUP(D833,Controls!$A$64:$E$74,5,FALSE),"No")="Yes",1,0)</f>
        <v/>
      </c>
      <c r="AI833">
        <f>IF(ISNUMBER(MATCH(D833,Controls!$A$64:$A$74,0)),1,0)</f>
        <v/>
      </c>
      <c r="AJ833">
        <f>Q833-N833</f>
        <v/>
      </c>
      <c r="AK833">
        <f>IF(AE833=1,MAX(0,N833-Q833),0)</f>
        <v/>
      </c>
      <c r="AL833">
        <f>IF(OR(V833="",V833=0),0,N833/V833)</f>
        <v/>
      </c>
      <c r="AM833">
        <f>IF(OR(V833="",V833=0),0,1)</f>
        <v/>
      </c>
      <c r="AN833">
        <f>IF(OR(E833="",F833=""),0,NETWORKDAYS(E833,F833,Ref!$K$2:$K$42))</f>
        <v/>
      </c>
      <c r="AO833">
        <f>IF(L833="Renewal",1,0)</f>
        <v/>
      </c>
      <c r="AP833">
        <f>AC833*AD833</f>
        <v/>
      </c>
      <c r="AQ833">
        <f>IF(AND(G833&lt;&gt;"",'Historical Score'!$C$6&lt;&gt;""),IF(G833='Historical Score'!$C$6,1,0),0)</f>
        <v/>
      </c>
      <c r="AR833">
        <f>IF(AND(L833&lt;&gt;"",'Historical Score'!$C$5&lt;&gt;""),IF(L833='Historical Score'!$C$5,1,0),0)</f>
        <v/>
      </c>
      <c r="AS833">
        <f>IF(AND(Y833&lt;&gt;"",'Historical Score'!$C$7&lt;&gt;""),IF(Y833='Historical Score'!$C$7,1,0),0)</f>
        <v/>
      </c>
      <c r="AT833">
        <f>IF(AND(K833&lt;&gt;"",'Historical Score'!$C$8&lt;&gt;""),IF(K833='Historical Score'!$C$8,1,0),0)</f>
        <v/>
      </c>
      <c r="AU833">
        <f>IF(AND(J833&lt;&gt;"",'Historical Score'!$C$9&lt;&gt;""),IF(J833='Historical Score'!$C$9,1,0),0)</f>
        <v/>
      </c>
      <c r="AV833">
        <f>AR833*AS833*AQ833</f>
        <v/>
      </c>
      <c r="AW833">
        <f>AR833*AT833*AQ833</f>
        <v/>
      </c>
      <c r="AX833">
        <f>AR833*AS833</f>
        <v/>
      </c>
      <c r="AY833">
        <f>AR833*AT833</f>
        <v/>
      </c>
      <c r="AZ833">
        <f>AR833*AQ833</f>
        <v/>
      </c>
      <c r="BA833">
        <f>AR833</f>
        <v/>
      </c>
      <c r="BB833">
        <f>1</f>
        <v/>
      </c>
      <c r="BC833">
        <f>IF(AV833=1,1,IF(AW833=1,2,IF(AX833=1,3,IF(AY833=1,4,IF(AZ833=1,5,IF(BA833=1,6,7))))))</f>
        <v/>
      </c>
      <c r="BD833">
        <f>IF(AD833=1,CHOOSE('Historical Score'!$C$29,AV833,AW833,AX833,AY833,AZ833,BA833,BB833),0)</f>
        <v/>
      </c>
      <c r="BE833">
        <f>IF(BD833=1,COUNTIF($BD$2:BD833,1),"")</f>
        <v/>
      </c>
    </row>
    <row r="834">
      <c r="A834" t="inlineStr">
        <is>
          <t>5674182778</t>
        </is>
      </c>
      <c r="B834" t="inlineStr">
        <is>
          <t>JRA Enterprises LLC</t>
        </is>
      </c>
      <c r="C834" t="inlineStr">
        <is>
          <t>JRA Enterprises LLC</t>
        </is>
      </c>
      <c r="D834" t="inlineStr">
        <is>
          <t>Closed</t>
        </is>
      </c>
      <c r="E834" s="297" t="n">
        <v>46142</v>
      </c>
      <c r="F834" s="297" t="n">
        <v>46244</v>
      </c>
      <c r="G834" t="n">
        <v>3</v>
      </c>
      <c r="H834" t="inlineStr">
        <is>
          <t>4213</t>
        </is>
      </c>
      <c r="I834" t="inlineStr">
        <is>
          <t>42</t>
        </is>
      </c>
      <c r="J834" t="inlineStr">
        <is>
          <t>MO</t>
        </is>
      </c>
      <c r="K834" t="inlineStr">
        <is>
          <t>Ballicci</t>
        </is>
      </c>
      <c r="L834" t="inlineStr">
        <is>
          <t>New Deal</t>
        </is>
      </c>
      <c r="M834" s="298" t="n">
        <v>1.49</v>
      </c>
      <c r="N834" s="299" t="n">
        <v>25000</v>
      </c>
      <c r="O834" s="299" t="n">
        <v>3500</v>
      </c>
      <c r="P834" s="299" t="n">
        <v>37250</v>
      </c>
      <c r="Q834" s="299" t="n">
        <v>37250</v>
      </c>
      <c r="R834" s="299" t="n">
        <v>0</v>
      </c>
      <c r="S834" s="300" t="n">
        <v>1</v>
      </c>
      <c r="T834" t="n">
        <v>22</v>
      </c>
      <c r="U834" t="n">
        <v>0</v>
      </c>
      <c r="V834" t="n">
        <v>109364.95</v>
      </c>
      <c r="W834" s="300" t="n">
        <v>0.0619</v>
      </c>
      <c r="X834" s="297" t="n">
        <v>42282</v>
      </c>
      <c r="Y834">
        <f>IF(I834="","No SIC",IFERROR(VLOOKUP(I834,Ref!$A$2:$B$65,2,FALSE),"Unclassified"))</f>
        <v/>
      </c>
      <c r="Z834">
        <f>IF(T834="","",IF(T834&lt;12,"Daily","Weekly"))</f>
        <v/>
      </c>
      <c r="AA834">
        <f>IF(T834="",0,IF(T834&lt;12,T834*Controls!$B$29,T834*5))</f>
        <v/>
      </c>
      <c r="AB834">
        <f>IF(E834="",0,NETWORKDAYS(E834,Controls!$B$36,Ref!$K$2:$K$42))</f>
        <v/>
      </c>
      <c r="AC834">
        <f>IF(AND(AA834&gt;0,AB834&gt;=Controls!$B$39*AA834),1,0)</f>
        <v/>
      </c>
      <c r="AD834">
        <f>IF(AND(E834&lt;&gt;"",E834&gt;=Controls!$B$37,E834&lt;=Controls!$B$38),1,0)</f>
        <v/>
      </c>
      <c r="AE834">
        <f>IF(IFERROR(VLOOKUP(D834,Controls!$A$64:$E$74,2,FALSE),"No")="Yes",1,0)</f>
        <v/>
      </c>
      <c r="AF834">
        <f>IF(IFERROR(VLOOKUP(D834,Controls!$A$64:$E$74,3,FALSE),"No")="Yes",1,0)</f>
        <v/>
      </c>
      <c r="AG834">
        <f>IF(IFERROR(VLOOKUP(D834,Controls!$A$64:$E$74,4,FALSE),"No")="Yes",1,0)</f>
        <v/>
      </c>
      <c r="AH834">
        <f>IF(IFERROR(VLOOKUP(D834,Controls!$A$64:$E$74,5,FALSE),"No")="Yes",1,0)</f>
        <v/>
      </c>
      <c r="AI834">
        <f>IF(ISNUMBER(MATCH(D834,Controls!$A$64:$A$74,0)),1,0)</f>
        <v/>
      </c>
      <c r="AJ834">
        <f>Q834-N834</f>
        <v/>
      </c>
      <c r="AK834">
        <f>IF(AE834=1,MAX(0,N834-Q834),0)</f>
        <v/>
      </c>
      <c r="AL834">
        <f>IF(OR(V834="",V834=0),0,N834/V834)</f>
        <v/>
      </c>
      <c r="AM834">
        <f>IF(OR(V834="",V834=0),0,1)</f>
        <v/>
      </c>
      <c r="AN834">
        <f>IF(OR(E834="",F834=""),0,NETWORKDAYS(E834,F834,Ref!$K$2:$K$42))</f>
        <v/>
      </c>
      <c r="AO834">
        <f>IF(L834="Renewal",1,0)</f>
        <v/>
      </c>
      <c r="AP834">
        <f>AC834*AD834</f>
        <v/>
      </c>
      <c r="AQ834">
        <f>IF(AND(G834&lt;&gt;"",'Historical Score'!$C$6&lt;&gt;""),IF(G834='Historical Score'!$C$6,1,0),0)</f>
        <v/>
      </c>
      <c r="AR834">
        <f>IF(AND(L834&lt;&gt;"",'Historical Score'!$C$5&lt;&gt;""),IF(L834='Historical Score'!$C$5,1,0),0)</f>
        <v/>
      </c>
      <c r="AS834">
        <f>IF(AND(Y834&lt;&gt;"",'Historical Score'!$C$7&lt;&gt;""),IF(Y834='Historical Score'!$C$7,1,0),0)</f>
        <v/>
      </c>
      <c r="AT834">
        <f>IF(AND(K834&lt;&gt;"",'Historical Score'!$C$8&lt;&gt;""),IF(K834='Historical Score'!$C$8,1,0),0)</f>
        <v/>
      </c>
      <c r="AU834">
        <f>IF(AND(J834&lt;&gt;"",'Historical Score'!$C$9&lt;&gt;""),IF(J834='Historical Score'!$C$9,1,0),0)</f>
        <v/>
      </c>
      <c r="AV834">
        <f>AR834*AS834*AQ834</f>
        <v/>
      </c>
      <c r="AW834">
        <f>AR834*AT834*AQ834</f>
        <v/>
      </c>
      <c r="AX834">
        <f>AR834*AS834</f>
        <v/>
      </c>
      <c r="AY834">
        <f>AR834*AT834</f>
        <v/>
      </c>
      <c r="AZ834">
        <f>AR834*AQ834</f>
        <v/>
      </c>
      <c r="BA834">
        <f>AR834</f>
        <v/>
      </c>
      <c r="BB834">
        <f>1</f>
        <v/>
      </c>
      <c r="BC834">
        <f>IF(AV834=1,1,IF(AW834=1,2,IF(AX834=1,3,IF(AY834=1,4,IF(AZ834=1,5,IF(BA834=1,6,7))))))</f>
        <v/>
      </c>
      <c r="BD834">
        <f>IF(AD834=1,CHOOSE('Historical Score'!$C$29,AV834,AW834,AX834,AY834,AZ834,BA834,BB834),0)</f>
        <v/>
      </c>
      <c r="BE834">
        <f>IF(BD834=1,COUNTIF($BD$2:BD834,1),"")</f>
        <v/>
      </c>
    </row>
    <row r="835">
      <c r="A835" t="inlineStr">
        <is>
          <t>5674182805</t>
        </is>
      </c>
      <c r="B835" t="inlineStr">
        <is>
          <t>B &amp; c Hauling LLC</t>
        </is>
      </c>
      <c r="C835" t="inlineStr">
        <is>
          <t>B &amp; c Hauling LLC</t>
        </is>
      </c>
      <c r="D835" t="inlineStr">
        <is>
          <t>Open</t>
        </is>
      </c>
      <c r="E835" s="297" t="n">
        <v>46142</v>
      </c>
      <c r="F835" s="297" t="n">
        <v>46253</v>
      </c>
      <c r="G835" t="n">
        <v>3</v>
      </c>
      <c r="H835" t="inlineStr">
        <is>
          <t>4212</t>
        </is>
      </c>
      <c r="I835" t="inlineStr">
        <is>
          <t>42</t>
        </is>
      </c>
      <c r="J835" t="inlineStr">
        <is>
          <t>GA</t>
        </is>
      </c>
      <c r="K835" t="inlineStr">
        <is>
          <t>United Secured Capital 8</t>
        </is>
      </c>
      <c r="L835" t="inlineStr">
        <is>
          <t>New Deal</t>
        </is>
      </c>
      <c r="M835" s="298" t="n">
        <v>1.49</v>
      </c>
      <c r="N835" s="299" t="n">
        <v>5000</v>
      </c>
      <c r="O835" s="299" t="n">
        <v>700</v>
      </c>
      <c r="P835" s="299" t="n">
        <v>7450</v>
      </c>
      <c r="Q835" s="299" t="n">
        <v>6395.53</v>
      </c>
      <c r="R835" s="299" t="n">
        <v>1054.47</v>
      </c>
      <c r="S835" s="300" t="n">
        <v>0.858460402684564</v>
      </c>
      <c r="T835" t="n">
        <v>2.787</v>
      </c>
      <c r="U835" t="n">
        <v>5</v>
      </c>
      <c r="V835" t="n">
        <v>17340.83</v>
      </c>
      <c r="W835" s="300" t="n">
        <v>0.1061</v>
      </c>
      <c r="X835" s="297" t="n">
        <v>43832</v>
      </c>
      <c r="Y835">
        <f>IF(I835="","No SIC",IFERROR(VLOOKUP(I835,Ref!$A$2:$B$65,2,FALSE),"Unclassified"))</f>
        <v/>
      </c>
      <c r="Z835">
        <f>IF(T835="","",IF(T835&lt;12,"Daily","Weekly"))</f>
        <v/>
      </c>
      <c r="AA835">
        <f>IF(T835="",0,IF(T835&lt;12,T835*Controls!$B$29,T835*5))</f>
        <v/>
      </c>
      <c r="AB835">
        <f>IF(E835="",0,NETWORKDAYS(E835,Controls!$B$36,Ref!$K$2:$K$42))</f>
        <v/>
      </c>
      <c r="AC835">
        <f>IF(AND(AA835&gt;0,AB835&gt;=Controls!$B$39*AA835),1,0)</f>
        <v/>
      </c>
      <c r="AD835">
        <f>IF(AND(E835&lt;&gt;"",E835&gt;=Controls!$B$37,E835&lt;=Controls!$B$38),1,0)</f>
        <v/>
      </c>
      <c r="AE835">
        <f>IF(IFERROR(VLOOKUP(D835,Controls!$A$64:$E$74,2,FALSE),"No")="Yes",1,0)</f>
        <v/>
      </c>
      <c r="AF835">
        <f>IF(IFERROR(VLOOKUP(D835,Controls!$A$64:$E$74,3,FALSE),"No")="Yes",1,0)</f>
        <v/>
      </c>
      <c r="AG835">
        <f>IF(IFERROR(VLOOKUP(D835,Controls!$A$64:$E$74,4,FALSE),"No")="Yes",1,0)</f>
        <v/>
      </c>
      <c r="AH835">
        <f>IF(IFERROR(VLOOKUP(D835,Controls!$A$64:$E$74,5,FALSE),"No")="Yes",1,0)</f>
        <v/>
      </c>
      <c r="AI835">
        <f>IF(ISNUMBER(MATCH(D835,Controls!$A$64:$A$74,0)),1,0)</f>
        <v/>
      </c>
      <c r="AJ835">
        <f>Q835-N835</f>
        <v/>
      </c>
      <c r="AK835">
        <f>IF(AE835=1,MAX(0,N835-Q835),0)</f>
        <v/>
      </c>
      <c r="AL835">
        <f>IF(OR(V835="",V835=0),0,N835/V835)</f>
        <v/>
      </c>
      <c r="AM835">
        <f>IF(OR(V835="",V835=0),0,1)</f>
        <v/>
      </c>
      <c r="AN835">
        <f>IF(OR(E835="",F835=""),0,NETWORKDAYS(E835,F835,Ref!$K$2:$K$42))</f>
        <v/>
      </c>
      <c r="AO835">
        <f>IF(L835="Renewal",1,0)</f>
        <v/>
      </c>
      <c r="AP835">
        <f>AC835*AD835</f>
        <v/>
      </c>
      <c r="AQ835">
        <f>IF(AND(G835&lt;&gt;"",'Historical Score'!$C$6&lt;&gt;""),IF(G835='Historical Score'!$C$6,1,0),0)</f>
        <v/>
      </c>
      <c r="AR835">
        <f>IF(AND(L835&lt;&gt;"",'Historical Score'!$C$5&lt;&gt;""),IF(L835='Historical Score'!$C$5,1,0),0)</f>
        <v/>
      </c>
      <c r="AS835">
        <f>IF(AND(Y835&lt;&gt;"",'Historical Score'!$C$7&lt;&gt;""),IF(Y835='Historical Score'!$C$7,1,0),0)</f>
        <v/>
      </c>
      <c r="AT835">
        <f>IF(AND(K835&lt;&gt;"",'Historical Score'!$C$8&lt;&gt;""),IF(K835='Historical Score'!$C$8,1,0),0)</f>
        <v/>
      </c>
      <c r="AU835">
        <f>IF(AND(J835&lt;&gt;"",'Historical Score'!$C$9&lt;&gt;""),IF(J835='Historical Score'!$C$9,1,0),0)</f>
        <v/>
      </c>
      <c r="AV835">
        <f>AR835*AS835*AQ835</f>
        <v/>
      </c>
      <c r="AW835">
        <f>AR835*AT835*AQ835</f>
        <v/>
      </c>
      <c r="AX835">
        <f>AR835*AS835</f>
        <v/>
      </c>
      <c r="AY835">
        <f>AR835*AT835</f>
        <v/>
      </c>
      <c r="AZ835">
        <f>AR835*AQ835</f>
        <v/>
      </c>
      <c r="BA835">
        <f>AR835</f>
        <v/>
      </c>
      <c r="BB835">
        <f>1</f>
        <v/>
      </c>
      <c r="BC835">
        <f>IF(AV835=1,1,IF(AW835=1,2,IF(AX835=1,3,IF(AY835=1,4,IF(AZ835=1,5,IF(BA835=1,6,7))))))</f>
        <v/>
      </c>
      <c r="BD835">
        <f>IF(AD835=1,CHOOSE('Historical Score'!$C$29,AV835,AW835,AX835,AY835,AZ835,BA835,BB835),0)</f>
        <v/>
      </c>
      <c r="BE835">
        <f>IF(BD835=1,COUNTIF($BD$2:BD835,1),"")</f>
        <v/>
      </c>
    </row>
    <row r="836">
      <c r="A836" t="inlineStr">
        <is>
          <t>5674182814</t>
        </is>
      </c>
      <c r="B836" t="inlineStr">
        <is>
          <t>WESTBROOK AUTOMOTIVE</t>
        </is>
      </c>
      <c r="C836" t="inlineStr">
        <is>
          <t>WESTBROOK AUTOMOTIVE, INC.</t>
        </is>
      </c>
      <c r="D836" t="inlineStr">
        <is>
          <t>Open</t>
        </is>
      </c>
      <c r="E836" s="297" t="n">
        <v>46142</v>
      </c>
      <c r="F836" s="297" t="n">
        <v>46248</v>
      </c>
      <c r="G836" t="n">
        <v>3</v>
      </c>
      <c r="H836" t="inlineStr">
        <is>
          <t>7538</t>
        </is>
      </c>
      <c r="I836" t="inlineStr">
        <is>
          <t>75</t>
        </is>
      </c>
      <c r="J836" t="inlineStr">
        <is>
          <t>TN</t>
        </is>
      </c>
      <c r="K836" t="inlineStr">
        <is>
          <t>United Secured Capital 8</t>
        </is>
      </c>
      <c r="L836" t="inlineStr">
        <is>
          <t>Renewal</t>
        </is>
      </c>
      <c r="M836" s="298" t="n">
        <v>1.49</v>
      </c>
      <c r="N836" s="299" t="n">
        <v>20000</v>
      </c>
      <c r="O836" s="299" t="n">
        <v>2800</v>
      </c>
      <c r="P836" s="299" t="n">
        <v>29800</v>
      </c>
      <c r="Q836" s="299" t="n">
        <v>13414.32</v>
      </c>
      <c r="R836" s="299" t="n">
        <v>16385.68</v>
      </c>
      <c r="S836" s="300" t="n">
        <v>0.450144966442953</v>
      </c>
      <c r="T836" t="n">
        <v>20</v>
      </c>
      <c r="U836" t="n">
        <v>4</v>
      </c>
      <c r="V836" t="n">
        <v>67518.91</v>
      </c>
      <c r="W836" s="300" t="n">
        <v>0.0883</v>
      </c>
      <c r="X836" s="297" t="n">
        <v>45247</v>
      </c>
      <c r="Y836">
        <f>IF(I836="","No SIC",IFERROR(VLOOKUP(I836,Ref!$A$2:$B$65,2,FALSE),"Unclassified"))</f>
        <v/>
      </c>
      <c r="Z836">
        <f>IF(T836="","",IF(T836&lt;12,"Daily","Weekly"))</f>
        <v/>
      </c>
      <c r="AA836">
        <f>IF(T836="",0,IF(T836&lt;12,T836*Controls!$B$29,T836*5))</f>
        <v/>
      </c>
      <c r="AB836">
        <f>IF(E836="",0,NETWORKDAYS(E836,Controls!$B$36,Ref!$K$2:$K$42))</f>
        <v/>
      </c>
      <c r="AC836">
        <f>IF(AND(AA836&gt;0,AB836&gt;=Controls!$B$39*AA836),1,0)</f>
        <v/>
      </c>
      <c r="AD836">
        <f>IF(AND(E836&lt;&gt;"",E836&gt;=Controls!$B$37,E836&lt;=Controls!$B$38),1,0)</f>
        <v/>
      </c>
      <c r="AE836">
        <f>IF(IFERROR(VLOOKUP(D836,Controls!$A$64:$E$74,2,FALSE),"No")="Yes",1,0)</f>
        <v/>
      </c>
      <c r="AF836">
        <f>IF(IFERROR(VLOOKUP(D836,Controls!$A$64:$E$74,3,FALSE),"No")="Yes",1,0)</f>
        <v/>
      </c>
      <c r="AG836">
        <f>IF(IFERROR(VLOOKUP(D836,Controls!$A$64:$E$74,4,FALSE),"No")="Yes",1,0)</f>
        <v/>
      </c>
      <c r="AH836">
        <f>IF(IFERROR(VLOOKUP(D836,Controls!$A$64:$E$74,5,FALSE),"No")="Yes",1,0)</f>
        <v/>
      </c>
      <c r="AI836">
        <f>IF(ISNUMBER(MATCH(D836,Controls!$A$64:$A$74,0)),1,0)</f>
        <v/>
      </c>
      <c r="AJ836">
        <f>Q836-N836</f>
        <v/>
      </c>
      <c r="AK836">
        <f>IF(AE836=1,MAX(0,N836-Q836),0)</f>
        <v/>
      </c>
      <c r="AL836">
        <f>IF(OR(V836="",V836=0),0,N836/V836)</f>
        <v/>
      </c>
      <c r="AM836">
        <f>IF(OR(V836="",V836=0),0,1)</f>
        <v/>
      </c>
      <c r="AN836">
        <f>IF(OR(E836="",F836=""),0,NETWORKDAYS(E836,F836,Ref!$K$2:$K$42))</f>
        <v/>
      </c>
      <c r="AO836">
        <f>IF(L836="Renewal",1,0)</f>
        <v/>
      </c>
      <c r="AP836">
        <f>AC836*AD836</f>
        <v/>
      </c>
      <c r="AQ836">
        <f>IF(AND(G836&lt;&gt;"",'Historical Score'!$C$6&lt;&gt;""),IF(G836='Historical Score'!$C$6,1,0),0)</f>
        <v/>
      </c>
      <c r="AR836">
        <f>IF(AND(L836&lt;&gt;"",'Historical Score'!$C$5&lt;&gt;""),IF(L836='Historical Score'!$C$5,1,0),0)</f>
        <v/>
      </c>
      <c r="AS836">
        <f>IF(AND(Y836&lt;&gt;"",'Historical Score'!$C$7&lt;&gt;""),IF(Y836='Historical Score'!$C$7,1,0),0)</f>
        <v/>
      </c>
      <c r="AT836">
        <f>IF(AND(K836&lt;&gt;"",'Historical Score'!$C$8&lt;&gt;""),IF(K836='Historical Score'!$C$8,1,0),0)</f>
        <v/>
      </c>
      <c r="AU836">
        <f>IF(AND(J836&lt;&gt;"",'Historical Score'!$C$9&lt;&gt;""),IF(J836='Historical Score'!$C$9,1,0),0)</f>
        <v/>
      </c>
      <c r="AV836">
        <f>AR836*AS836*AQ836</f>
        <v/>
      </c>
      <c r="AW836">
        <f>AR836*AT836*AQ836</f>
        <v/>
      </c>
      <c r="AX836">
        <f>AR836*AS836</f>
        <v/>
      </c>
      <c r="AY836">
        <f>AR836*AT836</f>
        <v/>
      </c>
      <c r="AZ836">
        <f>AR836*AQ836</f>
        <v/>
      </c>
      <c r="BA836">
        <f>AR836</f>
        <v/>
      </c>
      <c r="BB836">
        <f>1</f>
        <v/>
      </c>
      <c r="BC836">
        <f>IF(AV836=1,1,IF(AW836=1,2,IF(AX836=1,3,IF(AY836=1,4,IF(AZ836=1,5,IF(BA836=1,6,7))))))</f>
        <v/>
      </c>
      <c r="BD836">
        <f>IF(AD836=1,CHOOSE('Historical Score'!$C$29,AV836,AW836,AX836,AY836,AZ836,BA836,BB836),0)</f>
        <v/>
      </c>
      <c r="BE836">
        <f>IF(BD836=1,COUNTIF($BD$2:BD836,1),"")</f>
        <v/>
      </c>
    </row>
    <row r="837">
      <c r="A837" t="inlineStr">
        <is>
          <t>5674182861</t>
        </is>
      </c>
      <c r="B837" t="inlineStr">
        <is>
          <t>LANDSCAPE ASSOCIATES OF GA</t>
        </is>
      </c>
      <c r="C837" t="inlineStr">
        <is>
          <t>LANDSCAPE ASSOCIATES OF GA LLC</t>
        </is>
      </c>
      <c r="D837" t="inlineStr">
        <is>
          <t>Open</t>
        </is>
      </c>
      <c r="E837" s="297" t="n">
        <v>46143</v>
      </c>
      <c r="F837" s="297" t="n">
        <v>46248</v>
      </c>
      <c r="G837" t="n">
        <v>3</v>
      </c>
      <c r="H837" t="inlineStr">
        <is>
          <t>0781</t>
        </is>
      </c>
      <c r="I837" t="inlineStr">
        <is>
          <t>07</t>
        </is>
      </c>
      <c r="J837" t="inlineStr">
        <is>
          <t>GA</t>
        </is>
      </c>
      <c r="K837" t="inlineStr">
        <is>
          <t>cavala funding</t>
        </is>
      </c>
      <c r="L837" t="inlineStr">
        <is>
          <t>Renewal</t>
        </is>
      </c>
      <c r="M837" s="298" t="n">
        <v>1.49</v>
      </c>
      <c r="N837" s="299" t="n">
        <v>30000</v>
      </c>
      <c r="O837" s="299" t="n">
        <v>4200</v>
      </c>
      <c r="P837" s="299" t="n">
        <v>44700</v>
      </c>
      <c r="Q837" s="299" t="n">
        <v>27916.65</v>
      </c>
      <c r="R837" s="299" t="n">
        <v>16783.35</v>
      </c>
      <c r="S837" s="300" t="n">
        <v>0.62453355704698</v>
      </c>
      <c r="T837" t="n">
        <v>24</v>
      </c>
      <c r="U837" t="n">
        <v>0</v>
      </c>
      <c r="V837" t="n">
        <v>159454.73</v>
      </c>
      <c r="W837" s="300" t="n">
        <v>0.0403</v>
      </c>
      <c r="X837" s="297" t="n">
        <v>36526</v>
      </c>
      <c r="Y837">
        <f>IF(I837="","No SIC",IFERROR(VLOOKUP(I837,Ref!$A$2:$B$65,2,FALSE),"Unclassified"))</f>
        <v/>
      </c>
      <c r="Z837">
        <f>IF(T837="","",IF(T837&lt;12,"Daily","Weekly"))</f>
        <v/>
      </c>
      <c r="AA837">
        <f>IF(T837="",0,IF(T837&lt;12,T837*Controls!$B$29,T837*5))</f>
        <v/>
      </c>
      <c r="AB837">
        <f>IF(E837="",0,NETWORKDAYS(E837,Controls!$B$36,Ref!$K$2:$K$42))</f>
        <v/>
      </c>
      <c r="AC837">
        <f>IF(AND(AA837&gt;0,AB837&gt;=Controls!$B$39*AA837),1,0)</f>
        <v/>
      </c>
      <c r="AD837">
        <f>IF(AND(E837&lt;&gt;"",E837&gt;=Controls!$B$37,E837&lt;=Controls!$B$38),1,0)</f>
        <v/>
      </c>
      <c r="AE837">
        <f>IF(IFERROR(VLOOKUP(D837,Controls!$A$64:$E$74,2,FALSE),"No")="Yes",1,0)</f>
        <v/>
      </c>
      <c r="AF837">
        <f>IF(IFERROR(VLOOKUP(D837,Controls!$A$64:$E$74,3,FALSE),"No")="Yes",1,0)</f>
        <v/>
      </c>
      <c r="AG837">
        <f>IF(IFERROR(VLOOKUP(D837,Controls!$A$64:$E$74,4,FALSE),"No")="Yes",1,0)</f>
        <v/>
      </c>
      <c r="AH837">
        <f>IF(IFERROR(VLOOKUP(D837,Controls!$A$64:$E$74,5,FALSE),"No")="Yes",1,0)</f>
        <v/>
      </c>
      <c r="AI837">
        <f>IF(ISNUMBER(MATCH(D837,Controls!$A$64:$A$74,0)),1,0)</f>
        <v/>
      </c>
      <c r="AJ837">
        <f>Q837-N837</f>
        <v/>
      </c>
      <c r="AK837">
        <f>IF(AE837=1,MAX(0,N837-Q837),0)</f>
        <v/>
      </c>
      <c r="AL837">
        <f>IF(OR(V837="",V837=0),0,N837/V837)</f>
        <v/>
      </c>
      <c r="AM837">
        <f>IF(OR(V837="",V837=0),0,1)</f>
        <v/>
      </c>
      <c r="AN837">
        <f>IF(OR(E837="",F837=""),0,NETWORKDAYS(E837,F837,Ref!$K$2:$K$42))</f>
        <v/>
      </c>
      <c r="AO837">
        <f>IF(L837="Renewal",1,0)</f>
        <v/>
      </c>
      <c r="AP837">
        <f>AC837*AD837</f>
        <v/>
      </c>
      <c r="AQ837">
        <f>IF(AND(G837&lt;&gt;"",'Historical Score'!$C$6&lt;&gt;""),IF(G837='Historical Score'!$C$6,1,0),0)</f>
        <v/>
      </c>
      <c r="AR837">
        <f>IF(AND(L837&lt;&gt;"",'Historical Score'!$C$5&lt;&gt;""),IF(L837='Historical Score'!$C$5,1,0),0)</f>
        <v/>
      </c>
      <c r="AS837">
        <f>IF(AND(Y837&lt;&gt;"",'Historical Score'!$C$7&lt;&gt;""),IF(Y837='Historical Score'!$C$7,1,0),0)</f>
        <v/>
      </c>
      <c r="AT837">
        <f>IF(AND(K837&lt;&gt;"",'Historical Score'!$C$8&lt;&gt;""),IF(K837='Historical Score'!$C$8,1,0),0)</f>
        <v/>
      </c>
      <c r="AU837">
        <f>IF(AND(J837&lt;&gt;"",'Historical Score'!$C$9&lt;&gt;""),IF(J837='Historical Score'!$C$9,1,0),0)</f>
        <v/>
      </c>
      <c r="AV837">
        <f>AR837*AS837*AQ837</f>
        <v/>
      </c>
      <c r="AW837">
        <f>AR837*AT837*AQ837</f>
        <v/>
      </c>
      <c r="AX837">
        <f>AR837*AS837</f>
        <v/>
      </c>
      <c r="AY837">
        <f>AR837*AT837</f>
        <v/>
      </c>
      <c r="AZ837">
        <f>AR837*AQ837</f>
        <v/>
      </c>
      <c r="BA837">
        <f>AR837</f>
        <v/>
      </c>
      <c r="BB837">
        <f>1</f>
        <v/>
      </c>
      <c r="BC837">
        <f>IF(AV837=1,1,IF(AW837=1,2,IF(AX837=1,3,IF(AY837=1,4,IF(AZ837=1,5,IF(BA837=1,6,7))))))</f>
        <v/>
      </c>
      <c r="BD837">
        <f>IF(AD837=1,CHOOSE('Historical Score'!$C$29,AV837,AW837,AX837,AY837,AZ837,BA837,BB837),0)</f>
        <v/>
      </c>
      <c r="BE837">
        <f>IF(BD837=1,COUNTIF($BD$2:BD837,1),"")</f>
        <v/>
      </c>
    </row>
    <row r="838">
      <c r="A838" t="inlineStr">
        <is>
          <t>5674182862</t>
        </is>
      </c>
      <c r="B838" t="inlineStr">
        <is>
          <t>pops shop</t>
        </is>
      </c>
      <c r="C838" t="inlineStr">
        <is>
          <t>pops management LLC</t>
        </is>
      </c>
      <c r="D838" t="inlineStr">
        <is>
          <t>Open</t>
        </is>
      </c>
      <c r="E838" s="297" t="n">
        <v>46143</v>
      </c>
      <c r="F838" s="297" t="n">
        <v>46219</v>
      </c>
      <c r="G838" t="n">
        <v>2</v>
      </c>
      <c r="H838" t="inlineStr">
        <is>
          <t>5999</t>
        </is>
      </c>
      <c r="I838" t="inlineStr">
        <is>
          <t>59</t>
        </is>
      </c>
      <c r="J838" t="inlineStr">
        <is>
          <t>VA</t>
        </is>
      </c>
      <c r="K838" t="inlineStr">
        <is>
          <t>ICG Funding</t>
        </is>
      </c>
      <c r="L838" t="inlineStr">
        <is>
          <t>New Deal</t>
        </is>
      </c>
      <c r="M838" s="298" t="n">
        <v>1.49</v>
      </c>
      <c r="N838" s="299" t="n">
        <v>18000</v>
      </c>
      <c r="O838" s="299" t="n">
        <v>2520</v>
      </c>
      <c r="P838" s="299" t="n">
        <v>26820</v>
      </c>
      <c r="Q838" s="299" t="n">
        <v>8045.85</v>
      </c>
      <c r="R838" s="299" t="n">
        <v>18774.15</v>
      </c>
      <c r="S838" s="300" t="n">
        <v>0.299994407158837</v>
      </c>
      <c r="T838" t="n">
        <v>24</v>
      </c>
      <c r="U838" t="n">
        <v>6</v>
      </c>
      <c r="V838" t="n">
        <v>30850.27</v>
      </c>
      <c r="W838" s="300" t="n">
        <v>0.1449</v>
      </c>
      <c r="X838" s="297" t="n">
        <v>45610</v>
      </c>
      <c r="Y838">
        <f>IF(I838="","No SIC",IFERROR(VLOOKUP(I838,Ref!$A$2:$B$65,2,FALSE),"Unclassified"))</f>
        <v/>
      </c>
      <c r="Z838">
        <f>IF(T838="","",IF(T838&lt;12,"Daily","Weekly"))</f>
        <v/>
      </c>
      <c r="AA838">
        <f>IF(T838="",0,IF(T838&lt;12,T838*Controls!$B$29,T838*5))</f>
        <v/>
      </c>
      <c r="AB838">
        <f>IF(E838="",0,NETWORKDAYS(E838,Controls!$B$36,Ref!$K$2:$K$42))</f>
        <v/>
      </c>
      <c r="AC838">
        <f>IF(AND(AA838&gt;0,AB838&gt;=Controls!$B$39*AA838),1,0)</f>
        <v/>
      </c>
      <c r="AD838">
        <f>IF(AND(E838&lt;&gt;"",E838&gt;=Controls!$B$37,E838&lt;=Controls!$B$38),1,0)</f>
        <v/>
      </c>
      <c r="AE838">
        <f>IF(IFERROR(VLOOKUP(D838,Controls!$A$64:$E$74,2,FALSE),"No")="Yes",1,0)</f>
        <v/>
      </c>
      <c r="AF838">
        <f>IF(IFERROR(VLOOKUP(D838,Controls!$A$64:$E$74,3,FALSE),"No")="Yes",1,0)</f>
        <v/>
      </c>
      <c r="AG838">
        <f>IF(IFERROR(VLOOKUP(D838,Controls!$A$64:$E$74,4,FALSE),"No")="Yes",1,0)</f>
        <v/>
      </c>
      <c r="AH838">
        <f>IF(IFERROR(VLOOKUP(D838,Controls!$A$64:$E$74,5,FALSE),"No")="Yes",1,0)</f>
        <v/>
      </c>
      <c r="AI838">
        <f>IF(ISNUMBER(MATCH(D838,Controls!$A$64:$A$74,0)),1,0)</f>
        <v/>
      </c>
      <c r="AJ838">
        <f>Q838-N838</f>
        <v/>
      </c>
      <c r="AK838">
        <f>IF(AE838=1,MAX(0,N838-Q838),0)</f>
        <v/>
      </c>
      <c r="AL838">
        <f>IF(OR(V838="",V838=0),0,N838/V838)</f>
        <v/>
      </c>
      <c r="AM838">
        <f>IF(OR(V838="",V838=0),0,1)</f>
        <v/>
      </c>
      <c r="AN838">
        <f>IF(OR(E838="",F838=""),0,NETWORKDAYS(E838,F838,Ref!$K$2:$K$42))</f>
        <v/>
      </c>
      <c r="AO838">
        <f>IF(L838="Renewal",1,0)</f>
        <v/>
      </c>
      <c r="AP838">
        <f>AC838*AD838</f>
        <v/>
      </c>
      <c r="AQ838">
        <f>IF(AND(G838&lt;&gt;"",'Historical Score'!$C$6&lt;&gt;""),IF(G838='Historical Score'!$C$6,1,0),0)</f>
        <v/>
      </c>
      <c r="AR838">
        <f>IF(AND(L838&lt;&gt;"",'Historical Score'!$C$5&lt;&gt;""),IF(L838='Historical Score'!$C$5,1,0),0)</f>
        <v/>
      </c>
      <c r="AS838">
        <f>IF(AND(Y838&lt;&gt;"",'Historical Score'!$C$7&lt;&gt;""),IF(Y838='Historical Score'!$C$7,1,0),0)</f>
        <v/>
      </c>
      <c r="AT838">
        <f>IF(AND(K838&lt;&gt;"",'Historical Score'!$C$8&lt;&gt;""),IF(K838='Historical Score'!$C$8,1,0),0)</f>
        <v/>
      </c>
      <c r="AU838">
        <f>IF(AND(J838&lt;&gt;"",'Historical Score'!$C$9&lt;&gt;""),IF(J838='Historical Score'!$C$9,1,0),0)</f>
        <v/>
      </c>
      <c r="AV838">
        <f>AR838*AS838*AQ838</f>
        <v/>
      </c>
      <c r="AW838">
        <f>AR838*AT838*AQ838</f>
        <v/>
      </c>
      <c r="AX838">
        <f>AR838*AS838</f>
        <v/>
      </c>
      <c r="AY838">
        <f>AR838*AT838</f>
        <v/>
      </c>
      <c r="AZ838">
        <f>AR838*AQ838</f>
        <v/>
      </c>
      <c r="BA838">
        <f>AR838</f>
        <v/>
      </c>
      <c r="BB838">
        <f>1</f>
        <v/>
      </c>
      <c r="BC838">
        <f>IF(AV838=1,1,IF(AW838=1,2,IF(AX838=1,3,IF(AY838=1,4,IF(AZ838=1,5,IF(BA838=1,6,7))))))</f>
        <v/>
      </c>
      <c r="BD838">
        <f>IF(AD838=1,CHOOSE('Historical Score'!$C$29,AV838,AW838,AX838,AY838,AZ838,BA838,BB838),0)</f>
        <v/>
      </c>
      <c r="BE838">
        <f>IF(BD838=1,COUNTIF($BD$2:BD838,1),"")</f>
        <v/>
      </c>
    </row>
    <row r="839">
      <c r="A839" t="inlineStr">
        <is>
          <t>5674182949</t>
        </is>
      </c>
      <c r="B839" t="inlineStr">
        <is>
          <t>irwin printing company inc</t>
        </is>
      </c>
      <c r="C839" t="inlineStr">
        <is>
          <t>irwin printing company inc</t>
        </is>
      </c>
      <c r="D839" t="inlineStr">
        <is>
          <t>Open</t>
        </is>
      </c>
      <c r="E839" s="297" t="n">
        <v>46146</v>
      </c>
      <c r="F839" s="297" t="n">
        <v>46253</v>
      </c>
      <c r="G839" t="n">
        <v>3</v>
      </c>
      <c r="H839" t="inlineStr">
        <is>
          <t>5999</t>
        </is>
      </c>
      <c r="I839" t="inlineStr">
        <is>
          <t>59</t>
        </is>
      </c>
      <c r="J839" t="inlineStr">
        <is>
          <t>MO</t>
        </is>
      </c>
      <c r="K839" t="inlineStr">
        <is>
          <t>secure way capital</t>
        </is>
      </c>
      <c r="L839" t="inlineStr">
        <is>
          <t>Renewal</t>
        </is>
      </c>
      <c r="M839" s="298" t="n">
        <v>1.49</v>
      </c>
      <c r="N839" s="299" t="n">
        <v>15000</v>
      </c>
      <c r="O839" s="299" t="n">
        <v>2100</v>
      </c>
      <c r="P839" s="299" t="n">
        <v>22350</v>
      </c>
      <c r="Q839" s="299" t="n">
        <v>11577.84</v>
      </c>
      <c r="R839" s="299" t="n">
        <v>10772.16</v>
      </c>
      <c r="S839" s="300" t="n">
        <v>0.518024161073826</v>
      </c>
      <c r="T839" t="n">
        <v>3.607</v>
      </c>
      <c r="U839" t="n">
        <v>12</v>
      </c>
      <c r="V839" t="n">
        <v>31719.45</v>
      </c>
      <c r="W839" s="300" t="n">
        <v>0.1333</v>
      </c>
      <c r="X839" s="297" t="n">
        <v>28525</v>
      </c>
      <c r="Y839">
        <f>IF(I839="","No SIC",IFERROR(VLOOKUP(I839,Ref!$A$2:$B$65,2,FALSE),"Unclassified"))</f>
        <v/>
      </c>
      <c r="Z839">
        <f>IF(T839="","",IF(T839&lt;12,"Daily","Weekly"))</f>
        <v/>
      </c>
      <c r="AA839">
        <f>IF(T839="",0,IF(T839&lt;12,T839*Controls!$B$29,T839*5))</f>
        <v/>
      </c>
      <c r="AB839">
        <f>IF(E839="",0,NETWORKDAYS(E839,Controls!$B$36,Ref!$K$2:$K$42))</f>
        <v/>
      </c>
      <c r="AC839">
        <f>IF(AND(AA839&gt;0,AB839&gt;=Controls!$B$39*AA839),1,0)</f>
        <v/>
      </c>
      <c r="AD839">
        <f>IF(AND(E839&lt;&gt;"",E839&gt;=Controls!$B$37,E839&lt;=Controls!$B$38),1,0)</f>
        <v/>
      </c>
      <c r="AE839">
        <f>IF(IFERROR(VLOOKUP(D839,Controls!$A$64:$E$74,2,FALSE),"No")="Yes",1,0)</f>
        <v/>
      </c>
      <c r="AF839">
        <f>IF(IFERROR(VLOOKUP(D839,Controls!$A$64:$E$74,3,FALSE),"No")="Yes",1,0)</f>
        <v/>
      </c>
      <c r="AG839">
        <f>IF(IFERROR(VLOOKUP(D839,Controls!$A$64:$E$74,4,FALSE),"No")="Yes",1,0)</f>
        <v/>
      </c>
      <c r="AH839">
        <f>IF(IFERROR(VLOOKUP(D839,Controls!$A$64:$E$74,5,FALSE),"No")="Yes",1,0)</f>
        <v/>
      </c>
      <c r="AI839">
        <f>IF(ISNUMBER(MATCH(D839,Controls!$A$64:$A$74,0)),1,0)</f>
        <v/>
      </c>
      <c r="AJ839">
        <f>Q839-N839</f>
        <v/>
      </c>
      <c r="AK839">
        <f>IF(AE839=1,MAX(0,N839-Q839),0)</f>
        <v/>
      </c>
      <c r="AL839">
        <f>IF(OR(V839="",V839=0),0,N839/V839)</f>
        <v/>
      </c>
      <c r="AM839">
        <f>IF(OR(V839="",V839=0),0,1)</f>
        <v/>
      </c>
      <c r="AN839">
        <f>IF(OR(E839="",F839=""),0,NETWORKDAYS(E839,F839,Ref!$K$2:$K$42))</f>
        <v/>
      </c>
      <c r="AO839">
        <f>IF(L839="Renewal",1,0)</f>
        <v/>
      </c>
      <c r="AP839">
        <f>AC839*AD839</f>
        <v/>
      </c>
      <c r="AQ839">
        <f>IF(AND(G839&lt;&gt;"",'Historical Score'!$C$6&lt;&gt;""),IF(G839='Historical Score'!$C$6,1,0),0)</f>
        <v/>
      </c>
      <c r="AR839">
        <f>IF(AND(L839&lt;&gt;"",'Historical Score'!$C$5&lt;&gt;""),IF(L839='Historical Score'!$C$5,1,0),0)</f>
        <v/>
      </c>
      <c r="AS839">
        <f>IF(AND(Y839&lt;&gt;"",'Historical Score'!$C$7&lt;&gt;""),IF(Y839='Historical Score'!$C$7,1,0),0)</f>
        <v/>
      </c>
      <c r="AT839">
        <f>IF(AND(K839&lt;&gt;"",'Historical Score'!$C$8&lt;&gt;""),IF(K839='Historical Score'!$C$8,1,0),0)</f>
        <v/>
      </c>
      <c r="AU839">
        <f>IF(AND(J839&lt;&gt;"",'Historical Score'!$C$9&lt;&gt;""),IF(J839='Historical Score'!$C$9,1,0),0)</f>
        <v/>
      </c>
      <c r="AV839">
        <f>AR839*AS839*AQ839</f>
        <v/>
      </c>
      <c r="AW839">
        <f>AR839*AT839*AQ839</f>
        <v/>
      </c>
      <c r="AX839">
        <f>AR839*AS839</f>
        <v/>
      </c>
      <c r="AY839">
        <f>AR839*AT839</f>
        <v/>
      </c>
      <c r="AZ839">
        <f>AR839*AQ839</f>
        <v/>
      </c>
      <c r="BA839">
        <f>AR839</f>
        <v/>
      </c>
      <c r="BB839">
        <f>1</f>
        <v/>
      </c>
      <c r="BC839">
        <f>IF(AV839=1,1,IF(AW839=1,2,IF(AX839=1,3,IF(AY839=1,4,IF(AZ839=1,5,IF(BA839=1,6,7))))))</f>
        <v/>
      </c>
      <c r="BD839">
        <f>IF(AD839=1,CHOOSE('Historical Score'!$C$29,AV839,AW839,AX839,AY839,AZ839,BA839,BB839),0)</f>
        <v/>
      </c>
      <c r="BE839">
        <f>IF(BD839=1,COUNTIF($BD$2:BD839,1),"")</f>
        <v/>
      </c>
    </row>
    <row r="840">
      <c r="A840" t="inlineStr">
        <is>
          <t>5674182983</t>
        </is>
      </c>
      <c r="B840" t="inlineStr">
        <is>
          <t>MOU LOGISTICS LLC</t>
        </is>
      </c>
      <c r="C840" t="inlineStr">
        <is>
          <t>MOU LOGISTICS LLC</t>
        </is>
      </c>
      <c r="D840" t="inlineStr">
        <is>
          <t>Open</t>
        </is>
      </c>
      <c r="E840" s="297" t="n">
        <v>46147</v>
      </c>
      <c r="F840" s="297" t="n">
        <v>46248</v>
      </c>
      <c r="G840" t="n">
        <v>3</v>
      </c>
      <c r="H840" t="inlineStr">
        <is>
          <t>4212</t>
        </is>
      </c>
      <c r="I840" t="inlineStr">
        <is>
          <t>42</t>
        </is>
      </c>
      <c r="J840" t="inlineStr">
        <is>
          <t>GA</t>
        </is>
      </c>
      <c r="K840" t="inlineStr">
        <is>
          <t>United Secured Capital 8</t>
        </is>
      </c>
      <c r="L840" t="inlineStr">
        <is>
          <t>New Deal</t>
        </is>
      </c>
      <c r="M840" s="298" t="n">
        <v>1.49</v>
      </c>
      <c r="N840" s="299" t="n">
        <v>20000</v>
      </c>
      <c r="O840" s="299" t="n">
        <v>2800</v>
      </c>
      <c r="P840" s="299" t="n">
        <v>29800</v>
      </c>
      <c r="Q840" s="299" t="n">
        <v>5725</v>
      </c>
      <c r="R840" s="299" t="n">
        <v>24075</v>
      </c>
      <c r="S840" s="300" t="n">
        <v>0.192114093959732</v>
      </c>
      <c r="T840" t="n">
        <v>26</v>
      </c>
      <c r="U840" t="n">
        <v>8</v>
      </c>
      <c r="W840" s="300" t="n">
        <v>0.0458</v>
      </c>
      <c r="X840" s="297" t="n">
        <v>43101</v>
      </c>
      <c r="Y840">
        <f>IF(I840="","No SIC",IFERROR(VLOOKUP(I840,Ref!$A$2:$B$65,2,FALSE),"Unclassified"))</f>
        <v/>
      </c>
      <c r="Z840">
        <f>IF(T840="","",IF(T840&lt;12,"Daily","Weekly"))</f>
        <v/>
      </c>
      <c r="AA840">
        <f>IF(T840="",0,IF(T840&lt;12,T840*Controls!$B$29,T840*5))</f>
        <v/>
      </c>
      <c r="AB840">
        <f>IF(E840="",0,NETWORKDAYS(E840,Controls!$B$36,Ref!$K$2:$K$42))</f>
        <v/>
      </c>
      <c r="AC840">
        <f>IF(AND(AA840&gt;0,AB840&gt;=Controls!$B$39*AA840),1,0)</f>
        <v/>
      </c>
      <c r="AD840">
        <f>IF(AND(E840&lt;&gt;"",E840&gt;=Controls!$B$37,E840&lt;=Controls!$B$38),1,0)</f>
        <v/>
      </c>
      <c r="AE840">
        <f>IF(IFERROR(VLOOKUP(D840,Controls!$A$64:$E$74,2,FALSE),"No")="Yes",1,0)</f>
        <v/>
      </c>
      <c r="AF840">
        <f>IF(IFERROR(VLOOKUP(D840,Controls!$A$64:$E$74,3,FALSE),"No")="Yes",1,0)</f>
        <v/>
      </c>
      <c r="AG840">
        <f>IF(IFERROR(VLOOKUP(D840,Controls!$A$64:$E$74,4,FALSE),"No")="Yes",1,0)</f>
        <v/>
      </c>
      <c r="AH840">
        <f>IF(IFERROR(VLOOKUP(D840,Controls!$A$64:$E$74,5,FALSE),"No")="Yes",1,0)</f>
        <v/>
      </c>
      <c r="AI840">
        <f>IF(ISNUMBER(MATCH(D840,Controls!$A$64:$A$74,0)),1,0)</f>
        <v/>
      </c>
      <c r="AJ840">
        <f>Q840-N840</f>
        <v/>
      </c>
      <c r="AK840">
        <f>IF(AE840=1,MAX(0,N840-Q840),0)</f>
        <v/>
      </c>
      <c r="AL840">
        <f>IF(OR(V840="",V840=0),0,N840/V840)</f>
        <v/>
      </c>
      <c r="AM840">
        <f>IF(OR(V840="",V840=0),0,1)</f>
        <v/>
      </c>
      <c r="AN840">
        <f>IF(OR(E840="",F840=""),0,NETWORKDAYS(E840,F840,Ref!$K$2:$K$42))</f>
        <v/>
      </c>
      <c r="AO840">
        <f>IF(L840="Renewal",1,0)</f>
        <v/>
      </c>
      <c r="AP840">
        <f>AC840*AD840</f>
        <v/>
      </c>
      <c r="AQ840">
        <f>IF(AND(G840&lt;&gt;"",'Historical Score'!$C$6&lt;&gt;""),IF(G840='Historical Score'!$C$6,1,0),0)</f>
        <v/>
      </c>
      <c r="AR840">
        <f>IF(AND(L840&lt;&gt;"",'Historical Score'!$C$5&lt;&gt;""),IF(L840='Historical Score'!$C$5,1,0),0)</f>
        <v/>
      </c>
      <c r="AS840">
        <f>IF(AND(Y840&lt;&gt;"",'Historical Score'!$C$7&lt;&gt;""),IF(Y840='Historical Score'!$C$7,1,0),0)</f>
        <v/>
      </c>
      <c r="AT840">
        <f>IF(AND(K840&lt;&gt;"",'Historical Score'!$C$8&lt;&gt;""),IF(K840='Historical Score'!$C$8,1,0),0)</f>
        <v/>
      </c>
      <c r="AU840">
        <f>IF(AND(J840&lt;&gt;"",'Historical Score'!$C$9&lt;&gt;""),IF(J840='Historical Score'!$C$9,1,0),0)</f>
        <v/>
      </c>
      <c r="AV840">
        <f>AR840*AS840*AQ840</f>
        <v/>
      </c>
      <c r="AW840">
        <f>AR840*AT840*AQ840</f>
        <v/>
      </c>
      <c r="AX840">
        <f>AR840*AS840</f>
        <v/>
      </c>
      <c r="AY840">
        <f>AR840*AT840</f>
        <v/>
      </c>
      <c r="AZ840">
        <f>AR840*AQ840</f>
        <v/>
      </c>
      <c r="BA840">
        <f>AR840</f>
        <v/>
      </c>
      <c r="BB840">
        <f>1</f>
        <v/>
      </c>
      <c r="BC840">
        <f>IF(AV840=1,1,IF(AW840=1,2,IF(AX840=1,3,IF(AY840=1,4,IF(AZ840=1,5,IF(BA840=1,6,7))))))</f>
        <v/>
      </c>
      <c r="BD840">
        <f>IF(AD840=1,CHOOSE('Historical Score'!$C$29,AV840,AW840,AX840,AY840,AZ840,BA840,BB840),0)</f>
        <v/>
      </c>
      <c r="BE840">
        <f>IF(BD840=1,COUNTIF($BD$2:BD840,1),"")</f>
        <v/>
      </c>
    </row>
    <row r="841">
      <c r="A841" t="inlineStr">
        <is>
          <t>5674182986</t>
        </is>
      </c>
      <c r="B841" t="inlineStr">
        <is>
          <t>MOOR HERBS MARKETPLACE</t>
        </is>
      </c>
      <c r="C841" t="inlineStr">
        <is>
          <t>THE MOORISH SCIENCE - TEMPLE THE DIVINE AND NATIONAL MOVEMENT OF NORTH AMERICA INC</t>
        </is>
      </c>
      <c r="D841" t="inlineStr">
        <is>
          <t>Open</t>
        </is>
      </c>
      <c r="E841" s="297" t="n">
        <v>46147</v>
      </c>
      <c r="F841" s="297" t="n">
        <v>46253</v>
      </c>
      <c r="G841" t="n">
        <v>3</v>
      </c>
      <c r="H841" t="inlineStr">
        <is>
          <t>5999</t>
        </is>
      </c>
      <c r="I841" t="inlineStr">
        <is>
          <t>59</t>
        </is>
      </c>
      <c r="J841" t="inlineStr">
        <is>
          <t>MI</t>
        </is>
      </c>
      <c r="K841" t="inlineStr">
        <is>
          <t>United Secured Capital 8</t>
        </is>
      </c>
      <c r="L841" t="inlineStr">
        <is>
          <t>Renewal</t>
        </is>
      </c>
      <c r="M841" s="298" t="n">
        <v>1.49</v>
      </c>
      <c r="N841" s="299" t="n">
        <v>55000</v>
      </c>
      <c r="O841" s="299" t="n">
        <v>7700</v>
      </c>
      <c r="P841" s="299" t="n">
        <v>81950</v>
      </c>
      <c r="Q841" s="299" t="n">
        <v>43323.3</v>
      </c>
      <c r="R841" s="299" t="n">
        <v>38626.7</v>
      </c>
      <c r="S841" s="300" t="n">
        <v>0.528655277608298</v>
      </c>
      <c r="T841" t="n">
        <v>4.59</v>
      </c>
      <c r="U841" t="n">
        <v>0</v>
      </c>
      <c r="V841" t="n">
        <v>104379.99</v>
      </c>
      <c r="W841" s="300" t="n">
        <v>0.174</v>
      </c>
      <c r="X841" s="297" t="n">
        <v>43221</v>
      </c>
      <c r="Y841">
        <f>IF(I841="","No SIC",IFERROR(VLOOKUP(I841,Ref!$A$2:$B$65,2,FALSE),"Unclassified"))</f>
        <v/>
      </c>
      <c r="Z841">
        <f>IF(T841="","",IF(T841&lt;12,"Daily","Weekly"))</f>
        <v/>
      </c>
      <c r="AA841">
        <f>IF(T841="",0,IF(T841&lt;12,T841*Controls!$B$29,T841*5))</f>
        <v/>
      </c>
      <c r="AB841">
        <f>IF(E841="",0,NETWORKDAYS(E841,Controls!$B$36,Ref!$K$2:$K$42))</f>
        <v/>
      </c>
      <c r="AC841">
        <f>IF(AND(AA841&gt;0,AB841&gt;=Controls!$B$39*AA841),1,0)</f>
        <v/>
      </c>
      <c r="AD841">
        <f>IF(AND(E841&lt;&gt;"",E841&gt;=Controls!$B$37,E841&lt;=Controls!$B$38),1,0)</f>
        <v/>
      </c>
      <c r="AE841">
        <f>IF(IFERROR(VLOOKUP(D841,Controls!$A$64:$E$74,2,FALSE),"No")="Yes",1,0)</f>
        <v/>
      </c>
      <c r="AF841">
        <f>IF(IFERROR(VLOOKUP(D841,Controls!$A$64:$E$74,3,FALSE),"No")="Yes",1,0)</f>
        <v/>
      </c>
      <c r="AG841">
        <f>IF(IFERROR(VLOOKUP(D841,Controls!$A$64:$E$74,4,FALSE),"No")="Yes",1,0)</f>
        <v/>
      </c>
      <c r="AH841">
        <f>IF(IFERROR(VLOOKUP(D841,Controls!$A$64:$E$74,5,FALSE),"No")="Yes",1,0)</f>
        <v/>
      </c>
      <c r="AI841">
        <f>IF(ISNUMBER(MATCH(D841,Controls!$A$64:$A$74,0)),1,0)</f>
        <v/>
      </c>
      <c r="AJ841">
        <f>Q841-N841</f>
        <v/>
      </c>
      <c r="AK841">
        <f>IF(AE841=1,MAX(0,N841-Q841),0)</f>
        <v/>
      </c>
      <c r="AL841">
        <f>IF(OR(V841="",V841=0),0,N841/V841)</f>
        <v/>
      </c>
      <c r="AM841">
        <f>IF(OR(V841="",V841=0),0,1)</f>
        <v/>
      </c>
      <c r="AN841">
        <f>IF(OR(E841="",F841=""),0,NETWORKDAYS(E841,F841,Ref!$K$2:$K$42))</f>
        <v/>
      </c>
      <c r="AO841">
        <f>IF(L841="Renewal",1,0)</f>
        <v/>
      </c>
      <c r="AP841">
        <f>AC841*AD841</f>
        <v/>
      </c>
      <c r="AQ841">
        <f>IF(AND(G841&lt;&gt;"",'Historical Score'!$C$6&lt;&gt;""),IF(G841='Historical Score'!$C$6,1,0),0)</f>
        <v/>
      </c>
      <c r="AR841">
        <f>IF(AND(L841&lt;&gt;"",'Historical Score'!$C$5&lt;&gt;""),IF(L841='Historical Score'!$C$5,1,0),0)</f>
        <v/>
      </c>
      <c r="AS841">
        <f>IF(AND(Y841&lt;&gt;"",'Historical Score'!$C$7&lt;&gt;""),IF(Y841='Historical Score'!$C$7,1,0),0)</f>
        <v/>
      </c>
      <c r="AT841">
        <f>IF(AND(K841&lt;&gt;"",'Historical Score'!$C$8&lt;&gt;""),IF(K841='Historical Score'!$C$8,1,0),0)</f>
        <v/>
      </c>
      <c r="AU841">
        <f>IF(AND(J841&lt;&gt;"",'Historical Score'!$C$9&lt;&gt;""),IF(J841='Historical Score'!$C$9,1,0),0)</f>
        <v/>
      </c>
      <c r="AV841">
        <f>AR841*AS841*AQ841</f>
        <v/>
      </c>
      <c r="AW841">
        <f>AR841*AT841*AQ841</f>
        <v/>
      </c>
      <c r="AX841">
        <f>AR841*AS841</f>
        <v/>
      </c>
      <c r="AY841">
        <f>AR841*AT841</f>
        <v/>
      </c>
      <c r="AZ841">
        <f>AR841*AQ841</f>
        <v/>
      </c>
      <c r="BA841">
        <f>AR841</f>
        <v/>
      </c>
      <c r="BB841">
        <f>1</f>
        <v/>
      </c>
      <c r="BC841">
        <f>IF(AV841=1,1,IF(AW841=1,2,IF(AX841=1,3,IF(AY841=1,4,IF(AZ841=1,5,IF(BA841=1,6,7))))))</f>
        <v/>
      </c>
      <c r="BD841">
        <f>IF(AD841=1,CHOOSE('Historical Score'!$C$29,AV841,AW841,AX841,AY841,AZ841,BA841,BB841),0)</f>
        <v/>
      </c>
      <c r="BE841">
        <f>IF(BD841=1,COUNTIF($BD$2:BD841,1),"")</f>
        <v/>
      </c>
    </row>
    <row r="842">
      <c r="A842" t="inlineStr">
        <is>
          <t>5674183018</t>
        </is>
      </c>
      <c r="B842" t="inlineStr">
        <is>
          <t>Trajum Machine Learning</t>
        </is>
      </c>
      <c r="C842" t="inlineStr">
        <is>
          <t>Trajum Machine Learning</t>
        </is>
      </c>
      <c r="D842" t="inlineStr">
        <is>
          <t>Open</t>
        </is>
      </c>
      <c r="E842" s="297" t="n">
        <v>46147</v>
      </c>
      <c r="F842" s="297" t="n">
        <v>46253</v>
      </c>
      <c r="G842" t="n">
        <v>3</v>
      </c>
      <c r="H842" t="inlineStr">
        <is>
          <t>7371</t>
        </is>
      </c>
      <c r="I842" t="inlineStr">
        <is>
          <t>73</t>
        </is>
      </c>
      <c r="J842" t="inlineStr">
        <is>
          <t>FL</t>
        </is>
      </c>
      <c r="K842" t="inlineStr">
        <is>
          <t>Shore Funding USA</t>
        </is>
      </c>
      <c r="L842" t="inlineStr">
        <is>
          <t>New Deal</t>
        </is>
      </c>
      <c r="M842" s="298" t="n">
        <v>1.49</v>
      </c>
      <c r="N842" s="299" t="n">
        <v>5000</v>
      </c>
      <c r="O842" s="299" t="n">
        <v>700</v>
      </c>
      <c r="P842" s="299" t="n">
        <v>7450</v>
      </c>
      <c r="Q842" s="299" t="n">
        <v>5213.04</v>
      </c>
      <c r="R842" s="299" t="n">
        <v>2236.96</v>
      </c>
      <c r="S842" s="300" t="n">
        <v>0.699736912751678</v>
      </c>
      <c r="T842" t="n">
        <v>1.967</v>
      </c>
      <c r="U842" t="n">
        <v>31</v>
      </c>
      <c r="V842" t="n">
        <v>20818.97</v>
      </c>
      <c r="W842" s="300" t="n">
        <v>0.1252</v>
      </c>
      <c r="X842" s="297" t="n">
        <v>44962</v>
      </c>
      <c r="Y842">
        <f>IF(I842="","No SIC",IFERROR(VLOOKUP(I842,Ref!$A$2:$B$65,2,FALSE),"Unclassified"))</f>
        <v/>
      </c>
      <c r="Z842">
        <f>IF(T842="","",IF(T842&lt;12,"Daily","Weekly"))</f>
        <v/>
      </c>
      <c r="AA842">
        <f>IF(T842="",0,IF(T842&lt;12,T842*Controls!$B$29,T842*5))</f>
        <v/>
      </c>
      <c r="AB842">
        <f>IF(E842="",0,NETWORKDAYS(E842,Controls!$B$36,Ref!$K$2:$K$42))</f>
        <v/>
      </c>
      <c r="AC842">
        <f>IF(AND(AA842&gt;0,AB842&gt;=Controls!$B$39*AA842),1,0)</f>
        <v/>
      </c>
      <c r="AD842">
        <f>IF(AND(E842&lt;&gt;"",E842&gt;=Controls!$B$37,E842&lt;=Controls!$B$38),1,0)</f>
        <v/>
      </c>
      <c r="AE842">
        <f>IF(IFERROR(VLOOKUP(D842,Controls!$A$64:$E$74,2,FALSE),"No")="Yes",1,0)</f>
        <v/>
      </c>
      <c r="AF842">
        <f>IF(IFERROR(VLOOKUP(D842,Controls!$A$64:$E$74,3,FALSE),"No")="Yes",1,0)</f>
        <v/>
      </c>
      <c r="AG842">
        <f>IF(IFERROR(VLOOKUP(D842,Controls!$A$64:$E$74,4,FALSE),"No")="Yes",1,0)</f>
        <v/>
      </c>
      <c r="AH842">
        <f>IF(IFERROR(VLOOKUP(D842,Controls!$A$64:$E$74,5,FALSE),"No")="Yes",1,0)</f>
        <v/>
      </c>
      <c r="AI842">
        <f>IF(ISNUMBER(MATCH(D842,Controls!$A$64:$A$74,0)),1,0)</f>
        <v/>
      </c>
      <c r="AJ842">
        <f>Q842-N842</f>
        <v/>
      </c>
      <c r="AK842">
        <f>IF(AE842=1,MAX(0,N842-Q842),0)</f>
        <v/>
      </c>
      <c r="AL842">
        <f>IF(OR(V842="",V842=0),0,N842/V842)</f>
        <v/>
      </c>
      <c r="AM842">
        <f>IF(OR(V842="",V842=0),0,1)</f>
        <v/>
      </c>
      <c r="AN842">
        <f>IF(OR(E842="",F842=""),0,NETWORKDAYS(E842,F842,Ref!$K$2:$K$42))</f>
        <v/>
      </c>
      <c r="AO842">
        <f>IF(L842="Renewal",1,0)</f>
        <v/>
      </c>
      <c r="AP842">
        <f>AC842*AD842</f>
        <v/>
      </c>
      <c r="AQ842">
        <f>IF(AND(G842&lt;&gt;"",'Historical Score'!$C$6&lt;&gt;""),IF(G842='Historical Score'!$C$6,1,0),0)</f>
        <v/>
      </c>
      <c r="AR842">
        <f>IF(AND(L842&lt;&gt;"",'Historical Score'!$C$5&lt;&gt;""),IF(L842='Historical Score'!$C$5,1,0),0)</f>
        <v/>
      </c>
      <c r="AS842">
        <f>IF(AND(Y842&lt;&gt;"",'Historical Score'!$C$7&lt;&gt;""),IF(Y842='Historical Score'!$C$7,1,0),0)</f>
        <v/>
      </c>
      <c r="AT842">
        <f>IF(AND(K842&lt;&gt;"",'Historical Score'!$C$8&lt;&gt;""),IF(K842='Historical Score'!$C$8,1,0),0)</f>
        <v/>
      </c>
      <c r="AU842">
        <f>IF(AND(J842&lt;&gt;"",'Historical Score'!$C$9&lt;&gt;""),IF(J842='Historical Score'!$C$9,1,0),0)</f>
        <v/>
      </c>
      <c r="AV842">
        <f>AR842*AS842*AQ842</f>
        <v/>
      </c>
      <c r="AW842">
        <f>AR842*AT842*AQ842</f>
        <v/>
      </c>
      <c r="AX842">
        <f>AR842*AS842</f>
        <v/>
      </c>
      <c r="AY842">
        <f>AR842*AT842</f>
        <v/>
      </c>
      <c r="AZ842">
        <f>AR842*AQ842</f>
        <v/>
      </c>
      <c r="BA842">
        <f>AR842</f>
        <v/>
      </c>
      <c r="BB842">
        <f>1</f>
        <v/>
      </c>
      <c r="BC842">
        <f>IF(AV842=1,1,IF(AW842=1,2,IF(AX842=1,3,IF(AY842=1,4,IF(AZ842=1,5,IF(BA842=1,6,7))))))</f>
        <v/>
      </c>
      <c r="BD842">
        <f>IF(AD842=1,CHOOSE('Historical Score'!$C$29,AV842,AW842,AX842,AY842,AZ842,BA842,BB842),0)</f>
        <v/>
      </c>
      <c r="BE842">
        <f>IF(BD842=1,COUNTIF($BD$2:BD842,1),"")</f>
        <v/>
      </c>
    </row>
    <row r="843">
      <c r="A843" t="inlineStr">
        <is>
          <t>5674183058</t>
        </is>
      </c>
      <c r="B843" t="inlineStr">
        <is>
          <t>B&amp;D Truck and Trailer Repair</t>
        </is>
      </c>
      <c r="C843" t="inlineStr">
        <is>
          <t>B&amp;D Truck and Trailer Repair</t>
        </is>
      </c>
      <c r="D843" t="inlineStr">
        <is>
          <t>Legal</t>
        </is>
      </c>
      <c r="E843" s="297" t="n">
        <v>46148</v>
      </c>
      <c r="F843" s="297" t="n">
        <v>46175</v>
      </c>
      <c r="G843" t="n">
        <v>3</v>
      </c>
      <c r="H843" t="inlineStr">
        <is>
          <t>7539</t>
        </is>
      </c>
      <c r="I843" t="inlineStr">
        <is>
          <t>75</t>
        </is>
      </c>
      <c r="J843" t="inlineStr">
        <is>
          <t>TX</t>
        </is>
      </c>
      <c r="K843" t="inlineStr">
        <is>
          <t>Shore Funding USA</t>
        </is>
      </c>
      <c r="L843" t="inlineStr">
        <is>
          <t>New Deal</t>
        </is>
      </c>
      <c r="M843" s="298" t="n">
        <v>1.49</v>
      </c>
      <c r="N843" s="299" t="n">
        <v>5000</v>
      </c>
      <c r="O843" s="299" t="n">
        <v>0</v>
      </c>
      <c r="P843" s="299" t="n">
        <v>7450</v>
      </c>
      <c r="Q843" s="299" t="n">
        <v>198.58</v>
      </c>
      <c r="R843" s="299" t="n">
        <v>7251.42</v>
      </c>
      <c r="S843" s="300" t="n">
        <v>0.026655033557047</v>
      </c>
      <c r="T843" t="n">
        <v>2.459</v>
      </c>
      <c r="U843" t="n">
        <v>16</v>
      </c>
      <c r="V843" t="n">
        <v>15000</v>
      </c>
      <c r="W843" s="300" t="n">
        <v>0.06950000000000001</v>
      </c>
      <c r="X843" s="297" t="n">
        <v>44996</v>
      </c>
      <c r="Y843">
        <f>IF(I843="","No SIC",IFERROR(VLOOKUP(I843,Ref!$A$2:$B$65,2,FALSE),"Unclassified"))</f>
        <v/>
      </c>
      <c r="Z843">
        <f>IF(T843="","",IF(T843&lt;12,"Daily","Weekly"))</f>
        <v/>
      </c>
      <c r="AA843">
        <f>IF(T843="",0,IF(T843&lt;12,T843*Controls!$B$29,T843*5))</f>
        <v/>
      </c>
      <c r="AB843">
        <f>IF(E843="",0,NETWORKDAYS(E843,Controls!$B$36,Ref!$K$2:$K$42))</f>
        <v/>
      </c>
      <c r="AC843">
        <f>IF(AND(AA843&gt;0,AB843&gt;=Controls!$B$39*AA843),1,0)</f>
        <v/>
      </c>
      <c r="AD843">
        <f>IF(AND(E843&lt;&gt;"",E843&gt;=Controls!$B$37,E843&lt;=Controls!$B$38),1,0)</f>
        <v/>
      </c>
      <c r="AE843">
        <f>IF(IFERROR(VLOOKUP(D843,Controls!$A$64:$E$74,2,FALSE),"No")="Yes",1,0)</f>
        <v/>
      </c>
      <c r="AF843">
        <f>IF(IFERROR(VLOOKUP(D843,Controls!$A$64:$E$74,3,FALSE),"No")="Yes",1,0)</f>
        <v/>
      </c>
      <c r="AG843">
        <f>IF(IFERROR(VLOOKUP(D843,Controls!$A$64:$E$74,4,FALSE),"No")="Yes",1,0)</f>
        <v/>
      </c>
      <c r="AH843">
        <f>IF(IFERROR(VLOOKUP(D843,Controls!$A$64:$E$74,5,FALSE),"No")="Yes",1,0)</f>
        <v/>
      </c>
      <c r="AI843">
        <f>IF(ISNUMBER(MATCH(D843,Controls!$A$64:$A$74,0)),1,0)</f>
        <v/>
      </c>
      <c r="AJ843">
        <f>Q843-N843</f>
        <v/>
      </c>
      <c r="AK843">
        <f>IF(AE843=1,MAX(0,N843-Q843),0)</f>
        <v/>
      </c>
      <c r="AL843">
        <f>IF(OR(V843="",V843=0),0,N843/V843)</f>
        <v/>
      </c>
      <c r="AM843">
        <f>IF(OR(V843="",V843=0),0,1)</f>
        <v/>
      </c>
      <c r="AN843">
        <f>IF(OR(E843="",F843=""),0,NETWORKDAYS(E843,F843,Ref!$K$2:$K$42))</f>
        <v/>
      </c>
      <c r="AO843">
        <f>IF(L843="Renewal",1,0)</f>
        <v/>
      </c>
      <c r="AP843">
        <f>AC843*AD843</f>
        <v/>
      </c>
      <c r="AQ843">
        <f>IF(AND(G843&lt;&gt;"",'Historical Score'!$C$6&lt;&gt;""),IF(G843='Historical Score'!$C$6,1,0),0)</f>
        <v/>
      </c>
      <c r="AR843">
        <f>IF(AND(L843&lt;&gt;"",'Historical Score'!$C$5&lt;&gt;""),IF(L843='Historical Score'!$C$5,1,0),0)</f>
        <v/>
      </c>
      <c r="AS843">
        <f>IF(AND(Y843&lt;&gt;"",'Historical Score'!$C$7&lt;&gt;""),IF(Y843='Historical Score'!$C$7,1,0),0)</f>
        <v/>
      </c>
      <c r="AT843">
        <f>IF(AND(K843&lt;&gt;"",'Historical Score'!$C$8&lt;&gt;""),IF(K843='Historical Score'!$C$8,1,0),0)</f>
        <v/>
      </c>
      <c r="AU843">
        <f>IF(AND(J843&lt;&gt;"",'Historical Score'!$C$9&lt;&gt;""),IF(J843='Historical Score'!$C$9,1,0),0)</f>
        <v/>
      </c>
      <c r="AV843">
        <f>AR843*AS843*AQ843</f>
        <v/>
      </c>
      <c r="AW843">
        <f>AR843*AT843*AQ843</f>
        <v/>
      </c>
      <c r="AX843">
        <f>AR843*AS843</f>
        <v/>
      </c>
      <c r="AY843">
        <f>AR843*AT843</f>
        <v/>
      </c>
      <c r="AZ843">
        <f>AR843*AQ843</f>
        <v/>
      </c>
      <c r="BA843">
        <f>AR843</f>
        <v/>
      </c>
      <c r="BB843">
        <f>1</f>
        <v/>
      </c>
      <c r="BC843">
        <f>IF(AV843=1,1,IF(AW843=1,2,IF(AX843=1,3,IF(AY843=1,4,IF(AZ843=1,5,IF(BA843=1,6,7))))))</f>
        <v/>
      </c>
      <c r="BD843">
        <f>IF(AD843=1,CHOOSE('Historical Score'!$C$29,AV843,AW843,AX843,AY843,AZ843,BA843,BB843),0)</f>
        <v/>
      </c>
      <c r="BE843">
        <f>IF(BD843=1,COUNTIF($BD$2:BD843,1),"")</f>
        <v/>
      </c>
    </row>
    <row r="844">
      <c r="A844" t="inlineStr">
        <is>
          <t>5674183068</t>
        </is>
      </c>
      <c r="B844" t="inlineStr">
        <is>
          <t>HOOF LAW FIRM</t>
        </is>
      </c>
      <c r="C844" t="inlineStr">
        <is>
          <t>THE HOOF LAW FIRM PLLC</t>
        </is>
      </c>
      <c r="D844" t="inlineStr">
        <is>
          <t>Open</t>
        </is>
      </c>
      <c r="E844" s="297" t="n">
        <v>46148</v>
      </c>
      <c r="F844" s="297" t="n">
        <v>46251</v>
      </c>
      <c r="G844" t="n">
        <v>1</v>
      </c>
      <c r="H844" t="inlineStr">
        <is>
          <t>8111</t>
        </is>
      </c>
      <c r="I844" t="inlineStr">
        <is>
          <t>81</t>
        </is>
      </c>
      <c r="J844" t="inlineStr">
        <is>
          <t>TX</t>
        </is>
      </c>
      <c r="K844" t="inlineStr">
        <is>
          <t>PMF</t>
        </is>
      </c>
      <c r="L844" t="inlineStr">
        <is>
          <t>New Deal</t>
        </is>
      </c>
      <c r="M844" s="298" t="n">
        <v>1.49</v>
      </c>
      <c r="N844" s="299" t="n">
        <v>75000</v>
      </c>
      <c r="O844" s="299" t="n">
        <v>10500</v>
      </c>
      <c r="P844" s="299" t="n">
        <v>111750</v>
      </c>
      <c r="Q844" s="299" t="n">
        <v>46575</v>
      </c>
      <c r="R844" s="299" t="n">
        <v>65175</v>
      </c>
      <c r="S844" s="300" t="n">
        <v>0.416778523489933</v>
      </c>
      <c r="T844" t="n">
        <v>36</v>
      </c>
      <c r="U844" t="n">
        <v>0</v>
      </c>
      <c r="V844" t="n">
        <v>150000</v>
      </c>
      <c r="W844" s="300" t="n">
        <v>0.0828</v>
      </c>
      <c r="X844" s="297" t="n">
        <v>42186</v>
      </c>
      <c r="Y844">
        <f>IF(I844="","No SIC",IFERROR(VLOOKUP(I844,Ref!$A$2:$B$65,2,FALSE),"Unclassified"))</f>
        <v/>
      </c>
      <c r="Z844">
        <f>IF(T844="","",IF(T844&lt;12,"Daily","Weekly"))</f>
        <v/>
      </c>
      <c r="AA844">
        <f>IF(T844="",0,IF(T844&lt;12,T844*Controls!$B$29,T844*5))</f>
        <v/>
      </c>
      <c r="AB844">
        <f>IF(E844="",0,NETWORKDAYS(E844,Controls!$B$36,Ref!$K$2:$K$42))</f>
        <v/>
      </c>
      <c r="AC844">
        <f>IF(AND(AA844&gt;0,AB844&gt;=Controls!$B$39*AA844),1,0)</f>
        <v/>
      </c>
      <c r="AD844">
        <f>IF(AND(E844&lt;&gt;"",E844&gt;=Controls!$B$37,E844&lt;=Controls!$B$38),1,0)</f>
        <v/>
      </c>
      <c r="AE844">
        <f>IF(IFERROR(VLOOKUP(D844,Controls!$A$64:$E$74,2,FALSE),"No")="Yes",1,0)</f>
        <v/>
      </c>
      <c r="AF844">
        <f>IF(IFERROR(VLOOKUP(D844,Controls!$A$64:$E$74,3,FALSE),"No")="Yes",1,0)</f>
        <v/>
      </c>
      <c r="AG844">
        <f>IF(IFERROR(VLOOKUP(D844,Controls!$A$64:$E$74,4,FALSE),"No")="Yes",1,0)</f>
        <v/>
      </c>
      <c r="AH844">
        <f>IF(IFERROR(VLOOKUP(D844,Controls!$A$64:$E$74,5,FALSE),"No")="Yes",1,0)</f>
        <v/>
      </c>
      <c r="AI844">
        <f>IF(ISNUMBER(MATCH(D844,Controls!$A$64:$A$74,0)),1,0)</f>
        <v/>
      </c>
      <c r="AJ844">
        <f>Q844-N844</f>
        <v/>
      </c>
      <c r="AK844">
        <f>IF(AE844=1,MAX(0,N844-Q844),0)</f>
        <v/>
      </c>
      <c r="AL844">
        <f>IF(OR(V844="",V844=0),0,N844/V844)</f>
        <v/>
      </c>
      <c r="AM844">
        <f>IF(OR(V844="",V844=0),0,1)</f>
        <v/>
      </c>
      <c r="AN844">
        <f>IF(OR(E844="",F844=""),0,NETWORKDAYS(E844,F844,Ref!$K$2:$K$42))</f>
        <v/>
      </c>
      <c r="AO844">
        <f>IF(L844="Renewal",1,0)</f>
        <v/>
      </c>
      <c r="AP844">
        <f>AC844*AD844</f>
        <v/>
      </c>
      <c r="AQ844">
        <f>IF(AND(G844&lt;&gt;"",'Historical Score'!$C$6&lt;&gt;""),IF(G844='Historical Score'!$C$6,1,0),0)</f>
        <v/>
      </c>
      <c r="AR844">
        <f>IF(AND(L844&lt;&gt;"",'Historical Score'!$C$5&lt;&gt;""),IF(L844='Historical Score'!$C$5,1,0),0)</f>
        <v/>
      </c>
      <c r="AS844">
        <f>IF(AND(Y844&lt;&gt;"",'Historical Score'!$C$7&lt;&gt;""),IF(Y844='Historical Score'!$C$7,1,0),0)</f>
        <v/>
      </c>
      <c r="AT844">
        <f>IF(AND(K844&lt;&gt;"",'Historical Score'!$C$8&lt;&gt;""),IF(K844='Historical Score'!$C$8,1,0),0)</f>
        <v/>
      </c>
      <c r="AU844">
        <f>IF(AND(J844&lt;&gt;"",'Historical Score'!$C$9&lt;&gt;""),IF(J844='Historical Score'!$C$9,1,0),0)</f>
        <v/>
      </c>
      <c r="AV844">
        <f>AR844*AS844*AQ844</f>
        <v/>
      </c>
      <c r="AW844">
        <f>AR844*AT844*AQ844</f>
        <v/>
      </c>
      <c r="AX844">
        <f>AR844*AS844</f>
        <v/>
      </c>
      <c r="AY844">
        <f>AR844*AT844</f>
        <v/>
      </c>
      <c r="AZ844">
        <f>AR844*AQ844</f>
        <v/>
      </c>
      <c r="BA844">
        <f>AR844</f>
        <v/>
      </c>
      <c r="BB844">
        <f>1</f>
        <v/>
      </c>
      <c r="BC844">
        <f>IF(AV844=1,1,IF(AW844=1,2,IF(AX844=1,3,IF(AY844=1,4,IF(AZ844=1,5,IF(BA844=1,6,7))))))</f>
        <v/>
      </c>
      <c r="BD844">
        <f>IF(AD844=1,CHOOSE('Historical Score'!$C$29,AV844,AW844,AX844,AY844,AZ844,BA844,BB844),0)</f>
        <v/>
      </c>
      <c r="BE844">
        <f>IF(BD844=1,COUNTIF($BD$2:BD844,1),"")</f>
        <v/>
      </c>
    </row>
    <row r="845">
      <c r="A845" t="inlineStr">
        <is>
          <t>5674183070</t>
        </is>
      </c>
      <c r="B845" t="inlineStr">
        <is>
          <t>Wise Path Recovery Centers</t>
        </is>
      </c>
      <c r="C845" t="inlineStr">
        <is>
          <t>Westover Project Associates LLC</t>
        </is>
      </c>
      <c r="D845" t="inlineStr">
        <is>
          <t>Open</t>
        </is>
      </c>
      <c r="E845" s="297" t="n">
        <v>46148</v>
      </c>
      <c r="F845" s="297" t="n">
        <v>46247</v>
      </c>
      <c r="G845" t="n">
        <v>2</v>
      </c>
      <c r="H845" t="inlineStr">
        <is>
          <t>8011</t>
        </is>
      </c>
      <c r="I845" t="inlineStr">
        <is>
          <t>80</t>
        </is>
      </c>
      <c r="J845" t="inlineStr">
        <is>
          <t>WV</t>
        </is>
      </c>
      <c r="K845" t="inlineStr">
        <is>
          <t>National Business Capital</t>
        </is>
      </c>
      <c r="L845" t="inlineStr">
        <is>
          <t>New Deal</t>
        </is>
      </c>
      <c r="M845" s="298" t="n">
        <v>1.45</v>
      </c>
      <c r="N845" s="299" t="n">
        <v>200000</v>
      </c>
      <c r="O845" s="299" t="n">
        <v>24000</v>
      </c>
      <c r="P845" s="299" t="n">
        <v>290000</v>
      </c>
      <c r="Q845" s="299" t="n">
        <v>135357.6</v>
      </c>
      <c r="R845" s="299" t="n">
        <v>154642.4</v>
      </c>
      <c r="S845" s="300" t="n">
        <v>0.466750344827586</v>
      </c>
      <c r="T845" t="n">
        <v>30</v>
      </c>
      <c r="U845" t="n">
        <v>0</v>
      </c>
      <c r="V845" t="n">
        <v>233960.04</v>
      </c>
      <c r="W845" s="300" t="n">
        <v>0.1653</v>
      </c>
      <c r="X845" s="297" t="n">
        <v>44625</v>
      </c>
      <c r="Y845">
        <f>IF(I845="","No SIC",IFERROR(VLOOKUP(I845,Ref!$A$2:$B$65,2,FALSE),"Unclassified"))</f>
        <v/>
      </c>
      <c r="Z845">
        <f>IF(T845="","",IF(T845&lt;12,"Daily","Weekly"))</f>
        <v/>
      </c>
      <c r="AA845">
        <f>IF(T845="",0,IF(T845&lt;12,T845*Controls!$B$29,T845*5))</f>
        <v/>
      </c>
      <c r="AB845">
        <f>IF(E845="",0,NETWORKDAYS(E845,Controls!$B$36,Ref!$K$2:$K$42))</f>
        <v/>
      </c>
      <c r="AC845">
        <f>IF(AND(AA845&gt;0,AB845&gt;=Controls!$B$39*AA845),1,0)</f>
        <v/>
      </c>
      <c r="AD845">
        <f>IF(AND(E845&lt;&gt;"",E845&gt;=Controls!$B$37,E845&lt;=Controls!$B$38),1,0)</f>
        <v/>
      </c>
      <c r="AE845">
        <f>IF(IFERROR(VLOOKUP(D845,Controls!$A$64:$E$74,2,FALSE),"No")="Yes",1,0)</f>
        <v/>
      </c>
      <c r="AF845">
        <f>IF(IFERROR(VLOOKUP(D845,Controls!$A$64:$E$74,3,FALSE),"No")="Yes",1,0)</f>
        <v/>
      </c>
      <c r="AG845">
        <f>IF(IFERROR(VLOOKUP(D845,Controls!$A$64:$E$74,4,FALSE),"No")="Yes",1,0)</f>
        <v/>
      </c>
      <c r="AH845">
        <f>IF(IFERROR(VLOOKUP(D845,Controls!$A$64:$E$74,5,FALSE),"No")="Yes",1,0)</f>
        <v/>
      </c>
      <c r="AI845">
        <f>IF(ISNUMBER(MATCH(D845,Controls!$A$64:$A$74,0)),1,0)</f>
        <v/>
      </c>
      <c r="AJ845">
        <f>Q845-N845</f>
        <v/>
      </c>
      <c r="AK845">
        <f>IF(AE845=1,MAX(0,N845-Q845),0)</f>
        <v/>
      </c>
      <c r="AL845">
        <f>IF(OR(V845="",V845=0),0,N845/V845)</f>
        <v/>
      </c>
      <c r="AM845">
        <f>IF(OR(V845="",V845=0),0,1)</f>
        <v/>
      </c>
      <c r="AN845">
        <f>IF(OR(E845="",F845=""),0,NETWORKDAYS(E845,F845,Ref!$K$2:$K$42))</f>
        <v/>
      </c>
      <c r="AO845">
        <f>IF(L845="Renewal",1,0)</f>
        <v/>
      </c>
      <c r="AP845">
        <f>AC845*AD845</f>
        <v/>
      </c>
      <c r="AQ845">
        <f>IF(AND(G845&lt;&gt;"",'Historical Score'!$C$6&lt;&gt;""),IF(G845='Historical Score'!$C$6,1,0),0)</f>
        <v/>
      </c>
      <c r="AR845">
        <f>IF(AND(L845&lt;&gt;"",'Historical Score'!$C$5&lt;&gt;""),IF(L845='Historical Score'!$C$5,1,0),0)</f>
        <v/>
      </c>
      <c r="AS845">
        <f>IF(AND(Y845&lt;&gt;"",'Historical Score'!$C$7&lt;&gt;""),IF(Y845='Historical Score'!$C$7,1,0),0)</f>
        <v/>
      </c>
      <c r="AT845">
        <f>IF(AND(K845&lt;&gt;"",'Historical Score'!$C$8&lt;&gt;""),IF(K845='Historical Score'!$C$8,1,0),0)</f>
        <v/>
      </c>
      <c r="AU845">
        <f>IF(AND(J845&lt;&gt;"",'Historical Score'!$C$9&lt;&gt;""),IF(J845='Historical Score'!$C$9,1,0),0)</f>
        <v/>
      </c>
      <c r="AV845">
        <f>AR845*AS845*AQ845</f>
        <v/>
      </c>
      <c r="AW845">
        <f>AR845*AT845*AQ845</f>
        <v/>
      </c>
      <c r="AX845">
        <f>AR845*AS845</f>
        <v/>
      </c>
      <c r="AY845">
        <f>AR845*AT845</f>
        <v/>
      </c>
      <c r="AZ845">
        <f>AR845*AQ845</f>
        <v/>
      </c>
      <c r="BA845">
        <f>AR845</f>
        <v/>
      </c>
      <c r="BB845">
        <f>1</f>
        <v/>
      </c>
      <c r="BC845">
        <f>IF(AV845=1,1,IF(AW845=1,2,IF(AX845=1,3,IF(AY845=1,4,IF(AZ845=1,5,IF(BA845=1,6,7))))))</f>
        <v/>
      </c>
      <c r="BD845">
        <f>IF(AD845=1,CHOOSE('Historical Score'!$C$29,AV845,AW845,AX845,AY845,AZ845,BA845,BB845),0)</f>
        <v/>
      </c>
      <c r="BE845">
        <f>IF(BD845=1,COUNTIF($BD$2:BD845,1),"")</f>
        <v/>
      </c>
    </row>
    <row r="846">
      <c r="A846" t="inlineStr">
        <is>
          <t>5674183112</t>
        </is>
      </c>
      <c r="B846" t="inlineStr">
        <is>
          <t>Williston Publishing</t>
        </is>
      </c>
      <c r="C846" t="inlineStr">
        <is>
          <t>Williston Publishing</t>
        </is>
      </c>
      <c r="D846" t="inlineStr">
        <is>
          <t>Closed</t>
        </is>
      </c>
      <c r="E846" s="297" t="n">
        <v>46148</v>
      </c>
      <c r="F846" s="297" t="n">
        <v>46241</v>
      </c>
      <c r="G846" t="n">
        <v>3</v>
      </c>
      <c r="H846" t="inlineStr">
        <is>
          <t>2711</t>
        </is>
      </c>
      <c r="I846" t="inlineStr">
        <is>
          <t>27</t>
        </is>
      </c>
      <c r="J846" t="inlineStr">
        <is>
          <t>VT</t>
        </is>
      </c>
      <c r="K846" t="inlineStr">
        <is>
          <t>Credibly</t>
        </is>
      </c>
      <c r="L846" t="inlineStr">
        <is>
          <t>New Deal</t>
        </is>
      </c>
      <c r="M846" s="298" t="n">
        <v>1.39</v>
      </c>
      <c r="N846" s="299" t="n">
        <v>15000</v>
      </c>
      <c r="O846" s="299" t="n">
        <v>1350</v>
      </c>
      <c r="P846" s="299" t="n">
        <v>20850</v>
      </c>
      <c r="Q846" s="299" t="n">
        <v>20850</v>
      </c>
      <c r="R846" s="299" t="n">
        <v>0</v>
      </c>
      <c r="S846" s="300" t="n">
        <v>1</v>
      </c>
      <c r="T846" t="n">
        <v>20</v>
      </c>
      <c r="U846" t="n">
        <v>0</v>
      </c>
      <c r="V846" t="n">
        <v>46967.68</v>
      </c>
      <c r="W846" s="300" t="n">
        <v>0.0888</v>
      </c>
      <c r="X846" s="297" t="n">
        <v>33970</v>
      </c>
      <c r="Y846">
        <f>IF(I846="","No SIC",IFERROR(VLOOKUP(I846,Ref!$A$2:$B$65,2,FALSE),"Unclassified"))</f>
        <v/>
      </c>
      <c r="Z846">
        <f>IF(T846="","",IF(T846&lt;12,"Daily","Weekly"))</f>
        <v/>
      </c>
      <c r="AA846">
        <f>IF(T846="",0,IF(T846&lt;12,T846*Controls!$B$29,T846*5))</f>
        <v/>
      </c>
      <c r="AB846">
        <f>IF(E846="",0,NETWORKDAYS(E846,Controls!$B$36,Ref!$K$2:$K$42))</f>
        <v/>
      </c>
      <c r="AC846">
        <f>IF(AND(AA846&gt;0,AB846&gt;=Controls!$B$39*AA846),1,0)</f>
        <v/>
      </c>
      <c r="AD846">
        <f>IF(AND(E846&lt;&gt;"",E846&gt;=Controls!$B$37,E846&lt;=Controls!$B$38),1,0)</f>
        <v/>
      </c>
      <c r="AE846">
        <f>IF(IFERROR(VLOOKUP(D846,Controls!$A$64:$E$74,2,FALSE),"No")="Yes",1,0)</f>
        <v/>
      </c>
      <c r="AF846">
        <f>IF(IFERROR(VLOOKUP(D846,Controls!$A$64:$E$74,3,FALSE),"No")="Yes",1,0)</f>
        <v/>
      </c>
      <c r="AG846">
        <f>IF(IFERROR(VLOOKUP(D846,Controls!$A$64:$E$74,4,FALSE),"No")="Yes",1,0)</f>
        <v/>
      </c>
      <c r="AH846">
        <f>IF(IFERROR(VLOOKUP(D846,Controls!$A$64:$E$74,5,FALSE),"No")="Yes",1,0)</f>
        <v/>
      </c>
      <c r="AI846">
        <f>IF(ISNUMBER(MATCH(D846,Controls!$A$64:$A$74,0)),1,0)</f>
        <v/>
      </c>
      <c r="AJ846">
        <f>Q846-N846</f>
        <v/>
      </c>
      <c r="AK846">
        <f>IF(AE846=1,MAX(0,N846-Q846),0)</f>
        <v/>
      </c>
      <c r="AL846">
        <f>IF(OR(V846="",V846=0),0,N846/V846)</f>
        <v/>
      </c>
      <c r="AM846">
        <f>IF(OR(V846="",V846=0),0,1)</f>
        <v/>
      </c>
      <c r="AN846">
        <f>IF(OR(E846="",F846=""),0,NETWORKDAYS(E846,F846,Ref!$K$2:$K$42))</f>
        <v/>
      </c>
      <c r="AO846">
        <f>IF(L846="Renewal",1,0)</f>
        <v/>
      </c>
      <c r="AP846">
        <f>AC846*AD846</f>
        <v/>
      </c>
      <c r="AQ846">
        <f>IF(AND(G846&lt;&gt;"",'Historical Score'!$C$6&lt;&gt;""),IF(G846='Historical Score'!$C$6,1,0),0)</f>
        <v/>
      </c>
      <c r="AR846">
        <f>IF(AND(L846&lt;&gt;"",'Historical Score'!$C$5&lt;&gt;""),IF(L846='Historical Score'!$C$5,1,0),0)</f>
        <v/>
      </c>
      <c r="AS846">
        <f>IF(AND(Y846&lt;&gt;"",'Historical Score'!$C$7&lt;&gt;""),IF(Y846='Historical Score'!$C$7,1,0),0)</f>
        <v/>
      </c>
      <c r="AT846">
        <f>IF(AND(K846&lt;&gt;"",'Historical Score'!$C$8&lt;&gt;""),IF(K846='Historical Score'!$C$8,1,0),0)</f>
        <v/>
      </c>
      <c r="AU846">
        <f>IF(AND(J846&lt;&gt;"",'Historical Score'!$C$9&lt;&gt;""),IF(J846='Historical Score'!$C$9,1,0),0)</f>
        <v/>
      </c>
      <c r="AV846">
        <f>AR846*AS846*AQ846</f>
        <v/>
      </c>
      <c r="AW846">
        <f>AR846*AT846*AQ846</f>
        <v/>
      </c>
      <c r="AX846">
        <f>AR846*AS846</f>
        <v/>
      </c>
      <c r="AY846">
        <f>AR846*AT846</f>
        <v/>
      </c>
      <c r="AZ846">
        <f>AR846*AQ846</f>
        <v/>
      </c>
      <c r="BA846">
        <f>AR846</f>
        <v/>
      </c>
      <c r="BB846">
        <f>1</f>
        <v/>
      </c>
      <c r="BC846">
        <f>IF(AV846=1,1,IF(AW846=1,2,IF(AX846=1,3,IF(AY846=1,4,IF(AZ846=1,5,IF(BA846=1,6,7))))))</f>
        <v/>
      </c>
      <c r="BD846">
        <f>IF(AD846=1,CHOOSE('Historical Score'!$C$29,AV846,AW846,AX846,AY846,AZ846,BA846,BB846),0)</f>
        <v/>
      </c>
      <c r="BE846">
        <f>IF(BD846=1,COUNTIF($BD$2:BD846,1),"")</f>
        <v/>
      </c>
    </row>
    <row r="847">
      <c r="A847" t="inlineStr">
        <is>
          <t>5674183176</t>
        </is>
      </c>
      <c r="B847" t="inlineStr">
        <is>
          <t>OBrien Mechanical LLC</t>
        </is>
      </c>
      <c r="C847" t="inlineStr">
        <is>
          <t>OBrien Mechanical LLC</t>
        </is>
      </c>
      <c r="D847" t="inlineStr">
        <is>
          <t>Open</t>
        </is>
      </c>
      <c r="E847" s="297" t="n">
        <v>46149</v>
      </c>
      <c r="F847" s="297" t="n">
        <v>46248</v>
      </c>
      <c r="G847" t="n">
        <v>3</v>
      </c>
      <c r="H847" t="inlineStr">
        <is>
          <t>7538</t>
        </is>
      </c>
      <c r="I847" t="inlineStr">
        <is>
          <t>75</t>
        </is>
      </c>
      <c r="J847" t="inlineStr">
        <is>
          <t>IN</t>
        </is>
      </c>
      <c r="K847" t="inlineStr">
        <is>
          <t>penco holdings</t>
        </is>
      </c>
      <c r="L847" t="inlineStr">
        <is>
          <t>New Deal</t>
        </is>
      </c>
      <c r="M847" s="298" t="n">
        <v>1.45</v>
      </c>
      <c r="N847" s="299" t="n">
        <v>35000</v>
      </c>
      <c r="O847" s="299" t="n">
        <v>4200</v>
      </c>
      <c r="P847" s="299" t="n">
        <v>50750</v>
      </c>
      <c r="Q847" s="299" t="n">
        <v>22196.16</v>
      </c>
      <c r="R847" s="299" t="n">
        <v>28553.84</v>
      </c>
      <c r="S847" s="300" t="n">
        <v>0.43736275862069</v>
      </c>
      <c r="T847" t="n">
        <v>32</v>
      </c>
      <c r="U847" t="n">
        <v>0</v>
      </c>
      <c r="V847" t="n">
        <v>66135.60000000001</v>
      </c>
      <c r="W847" s="300" t="n">
        <v>0.0853</v>
      </c>
      <c r="X847" s="297" t="n">
        <v>40057</v>
      </c>
      <c r="Y847">
        <f>IF(I847="","No SIC",IFERROR(VLOOKUP(I847,Ref!$A$2:$B$65,2,FALSE),"Unclassified"))</f>
        <v/>
      </c>
      <c r="Z847">
        <f>IF(T847="","",IF(T847&lt;12,"Daily","Weekly"))</f>
        <v/>
      </c>
      <c r="AA847">
        <f>IF(T847="",0,IF(T847&lt;12,T847*Controls!$B$29,T847*5))</f>
        <v/>
      </c>
      <c r="AB847">
        <f>IF(E847="",0,NETWORKDAYS(E847,Controls!$B$36,Ref!$K$2:$K$42))</f>
        <v/>
      </c>
      <c r="AC847">
        <f>IF(AND(AA847&gt;0,AB847&gt;=Controls!$B$39*AA847),1,0)</f>
        <v/>
      </c>
      <c r="AD847">
        <f>IF(AND(E847&lt;&gt;"",E847&gt;=Controls!$B$37,E847&lt;=Controls!$B$38),1,0)</f>
        <v/>
      </c>
      <c r="AE847">
        <f>IF(IFERROR(VLOOKUP(D847,Controls!$A$64:$E$74,2,FALSE),"No")="Yes",1,0)</f>
        <v/>
      </c>
      <c r="AF847">
        <f>IF(IFERROR(VLOOKUP(D847,Controls!$A$64:$E$74,3,FALSE),"No")="Yes",1,0)</f>
        <v/>
      </c>
      <c r="AG847">
        <f>IF(IFERROR(VLOOKUP(D847,Controls!$A$64:$E$74,4,FALSE),"No")="Yes",1,0)</f>
        <v/>
      </c>
      <c r="AH847">
        <f>IF(IFERROR(VLOOKUP(D847,Controls!$A$64:$E$74,5,FALSE),"No")="Yes",1,0)</f>
        <v/>
      </c>
      <c r="AI847">
        <f>IF(ISNUMBER(MATCH(D847,Controls!$A$64:$A$74,0)),1,0)</f>
        <v/>
      </c>
      <c r="AJ847">
        <f>Q847-N847</f>
        <v/>
      </c>
      <c r="AK847">
        <f>IF(AE847=1,MAX(0,N847-Q847),0)</f>
        <v/>
      </c>
      <c r="AL847">
        <f>IF(OR(V847="",V847=0),0,N847/V847)</f>
        <v/>
      </c>
      <c r="AM847">
        <f>IF(OR(V847="",V847=0),0,1)</f>
        <v/>
      </c>
      <c r="AN847">
        <f>IF(OR(E847="",F847=""),0,NETWORKDAYS(E847,F847,Ref!$K$2:$K$42))</f>
        <v/>
      </c>
      <c r="AO847">
        <f>IF(L847="Renewal",1,0)</f>
        <v/>
      </c>
      <c r="AP847">
        <f>AC847*AD847</f>
        <v/>
      </c>
      <c r="AQ847">
        <f>IF(AND(G847&lt;&gt;"",'Historical Score'!$C$6&lt;&gt;""),IF(G847='Historical Score'!$C$6,1,0),0)</f>
        <v/>
      </c>
      <c r="AR847">
        <f>IF(AND(L847&lt;&gt;"",'Historical Score'!$C$5&lt;&gt;""),IF(L847='Historical Score'!$C$5,1,0),0)</f>
        <v/>
      </c>
      <c r="AS847">
        <f>IF(AND(Y847&lt;&gt;"",'Historical Score'!$C$7&lt;&gt;""),IF(Y847='Historical Score'!$C$7,1,0),0)</f>
        <v/>
      </c>
      <c r="AT847">
        <f>IF(AND(K847&lt;&gt;"",'Historical Score'!$C$8&lt;&gt;""),IF(K847='Historical Score'!$C$8,1,0),0)</f>
        <v/>
      </c>
      <c r="AU847">
        <f>IF(AND(J847&lt;&gt;"",'Historical Score'!$C$9&lt;&gt;""),IF(J847='Historical Score'!$C$9,1,0),0)</f>
        <v/>
      </c>
      <c r="AV847">
        <f>AR847*AS847*AQ847</f>
        <v/>
      </c>
      <c r="AW847">
        <f>AR847*AT847*AQ847</f>
        <v/>
      </c>
      <c r="AX847">
        <f>AR847*AS847</f>
        <v/>
      </c>
      <c r="AY847">
        <f>AR847*AT847</f>
        <v/>
      </c>
      <c r="AZ847">
        <f>AR847*AQ847</f>
        <v/>
      </c>
      <c r="BA847">
        <f>AR847</f>
        <v/>
      </c>
      <c r="BB847">
        <f>1</f>
        <v/>
      </c>
      <c r="BC847">
        <f>IF(AV847=1,1,IF(AW847=1,2,IF(AX847=1,3,IF(AY847=1,4,IF(AZ847=1,5,IF(BA847=1,6,7))))))</f>
        <v/>
      </c>
      <c r="BD847">
        <f>IF(AD847=1,CHOOSE('Historical Score'!$C$29,AV847,AW847,AX847,AY847,AZ847,BA847,BB847),0)</f>
        <v/>
      </c>
      <c r="BE847">
        <f>IF(BD847=1,COUNTIF($BD$2:BD847,1),"")</f>
        <v/>
      </c>
    </row>
    <row r="848">
      <c r="A848" t="inlineStr">
        <is>
          <t>5674183201</t>
        </is>
      </c>
      <c r="B848" t="inlineStr">
        <is>
          <t>Jacbyte Systems and Software</t>
        </is>
      </c>
      <c r="C848" t="inlineStr">
        <is>
          <t>EPCG LLC</t>
        </is>
      </c>
      <c r="D848" t="inlineStr">
        <is>
          <t>Legal</t>
        </is>
      </c>
      <c r="E848" s="297" t="n">
        <v>46149</v>
      </c>
      <c r="F848" s="297" t="n">
        <v>46171</v>
      </c>
      <c r="G848" t="n">
        <v>3</v>
      </c>
      <c r="H848" t="inlineStr">
        <is>
          <t>7371</t>
        </is>
      </c>
      <c r="I848" t="inlineStr">
        <is>
          <t>73</t>
        </is>
      </c>
      <c r="J848" t="inlineStr">
        <is>
          <t>FL</t>
        </is>
      </c>
      <c r="K848" t="inlineStr">
        <is>
          <t>United Secured Capital 8</t>
        </is>
      </c>
      <c r="L848" t="inlineStr">
        <is>
          <t>New Deal</t>
        </is>
      </c>
      <c r="M848" s="298" t="n">
        <v>1.49</v>
      </c>
      <c r="N848" s="299" t="n">
        <v>20000</v>
      </c>
      <c r="O848" s="299" t="n">
        <v>0</v>
      </c>
      <c r="P848" s="299" t="n">
        <v>29800</v>
      </c>
      <c r="Q848" s="299" t="n">
        <v>0</v>
      </c>
      <c r="R848" s="299" t="n">
        <v>29800</v>
      </c>
      <c r="S848" s="300" t="n">
        <v>0</v>
      </c>
      <c r="T848" t="n">
        <v>24</v>
      </c>
      <c r="U848" t="n">
        <v>3</v>
      </c>
      <c r="V848" t="n">
        <v>155870.24</v>
      </c>
      <c r="W848" s="300" t="n">
        <v>0.0452</v>
      </c>
      <c r="X848" s="297" t="n">
        <v>45828</v>
      </c>
      <c r="Y848">
        <f>IF(I848="","No SIC",IFERROR(VLOOKUP(I848,Ref!$A$2:$B$65,2,FALSE),"Unclassified"))</f>
        <v/>
      </c>
      <c r="Z848">
        <f>IF(T848="","",IF(T848&lt;12,"Daily","Weekly"))</f>
        <v/>
      </c>
      <c r="AA848">
        <f>IF(T848="",0,IF(T848&lt;12,T848*Controls!$B$29,T848*5))</f>
        <v/>
      </c>
      <c r="AB848">
        <f>IF(E848="",0,NETWORKDAYS(E848,Controls!$B$36,Ref!$K$2:$K$42))</f>
        <v/>
      </c>
      <c r="AC848">
        <f>IF(AND(AA848&gt;0,AB848&gt;=Controls!$B$39*AA848),1,0)</f>
        <v/>
      </c>
      <c r="AD848">
        <f>IF(AND(E848&lt;&gt;"",E848&gt;=Controls!$B$37,E848&lt;=Controls!$B$38),1,0)</f>
        <v/>
      </c>
      <c r="AE848">
        <f>IF(IFERROR(VLOOKUP(D848,Controls!$A$64:$E$74,2,FALSE),"No")="Yes",1,0)</f>
        <v/>
      </c>
      <c r="AF848">
        <f>IF(IFERROR(VLOOKUP(D848,Controls!$A$64:$E$74,3,FALSE),"No")="Yes",1,0)</f>
        <v/>
      </c>
      <c r="AG848">
        <f>IF(IFERROR(VLOOKUP(D848,Controls!$A$64:$E$74,4,FALSE),"No")="Yes",1,0)</f>
        <v/>
      </c>
      <c r="AH848">
        <f>IF(IFERROR(VLOOKUP(D848,Controls!$A$64:$E$74,5,FALSE),"No")="Yes",1,0)</f>
        <v/>
      </c>
      <c r="AI848">
        <f>IF(ISNUMBER(MATCH(D848,Controls!$A$64:$A$74,0)),1,0)</f>
        <v/>
      </c>
      <c r="AJ848">
        <f>Q848-N848</f>
        <v/>
      </c>
      <c r="AK848">
        <f>IF(AE848=1,MAX(0,N848-Q848),0)</f>
        <v/>
      </c>
      <c r="AL848">
        <f>IF(OR(V848="",V848=0),0,N848/V848)</f>
        <v/>
      </c>
      <c r="AM848">
        <f>IF(OR(V848="",V848=0),0,1)</f>
        <v/>
      </c>
      <c r="AN848">
        <f>IF(OR(E848="",F848=""),0,NETWORKDAYS(E848,F848,Ref!$K$2:$K$42))</f>
        <v/>
      </c>
      <c r="AO848">
        <f>IF(L848="Renewal",1,0)</f>
        <v/>
      </c>
      <c r="AP848">
        <f>AC848*AD848</f>
        <v/>
      </c>
      <c r="AQ848">
        <f>IF(AND(G848&lt;&gt;"",'Historical Score'!$C$6&lt;&gt;""),IF(G848='Historical Score'!$C$6,1,0),0)</f>
        <v/>
      </c>
      <c r="AR848">
        <f>IF(AND(L848&lt;&gt;"",'Historical Score'!$C$5&lt;&gt;""),IF(L848='Historical Score'!$C$5,1,0),0)</f>
        <v/>
      </c>
      <c r="AS848">
        <f>IF(AND(Y848&lt;&gt;"",'Historical Score'!$C$7&lt;&gt;""),IF(Y848='Historical Score'!$C$7,1,0),0)</f>
        <v/>
      </c>
      <c r="AT848">
        <f>IF(AND(K848&lt;&gt;"",'Historical Score'!$C$8&lt;&gt;""),IF(K848='Historical Score'!$C$8,1,0),0)</f>
        <v/>
      </c>
      <c r="AU848">
        <f>IF(AND(J848&lt;&gt;"",'Historical Score'!$C$9&lt;&gt;""),IF(J848='Historical Score'!$C$9,1,0),0)</f>
        <v/>
      </c>
      <c r="AV848">
        <f>AR848*AS848*AQ848</f>
        <v/>
      </c>
      <c r="AW848">
        <f>AR848*AT848*AQ848</f>
        <v/>
      </c>
      <c r="AX848">
        <f>AR848*AS848</f>
        <v/>
      </c>
      <c r="AY848">
        <f>AR848*AT848</f>
        <v/>
      </c>
      <c r="AZ848">
        <f>AR848*AQ848</f>
        <v/>
      </c>
      <c r="BA848">
        <f>AR848</f>
        <v/>
      </c>
      <c r="BB848">
        <f>1</f>
        <v/>
      </c>
      <c r="BC848">
        <f>IF(AV848=1,1,IF(AW848=1,2,IF(AX848=1,3,IF(AY848=1,4,IF(AZ848=1,5,IF(BA848=1,6,7))))))</f>
        <v/>
      </c>
      <c r="BD848">
        <f>IF(AD848=1,CHOOSE('Historical Score'!$C$29,AV848,AW848,AX848,AY848,AZ848,BA848,BB848),0)</f>
        <v/>
      </c>
      <c r="BE848">
        <f>IF(BD848=1,COUNTIF($BD$2:BD848,1),"")</f>
        <v/>
      </c>
    </row>
    <row r="849">
      <c r="A849" t="inlineStr">
        <is>
          <t>5674183239</t>
        </is>
      </c>
      <c r="B849" t="inlineStr">
        <is>
          <t>DOMINICANA BUSINESS</t>
        </is>
      </c>
      <c r="C849" t="inlineStr">
        <is>
          <t>Dominicana Business INC</t>
        </is>
      </c>
      <c r="D849" t="inlineStr">
        <is>
          <t>Closed</t>
        </is>
      </c>
      <c r="E849" s="297" t="n">
        <v>46149</v>
      </c>
      <c r="F849" s="297" t="n">
        <v>46245</v>
      </c>
      <c r="G849" t="n">
        <v>3</v>
      </c>
      <c r="H849" t="inlineStr">
        <is>
          <t>5499</t>
        </is>
      </c>
      <c r="I849" t="inlineStr">
        <is>
          <t>54</t>
        </is>
      </c>
      <c r="J849" t="inlineStr">
        <is>
          <t>VA</t>
        </is>
      </c>
      <c r="K849" t="inlineStr">
        <is>
          <t>Broadway Advance LLC</t>
        </is>
      </c>
      <c r="L849" t="inlineStr">
        <is>
          <t>New Deal</t>
        </is>
      </c>
      <c r="M849" s="298" t="n">
        <v>1.45</v>
      </c>
      <c r="N849" s="299" t="n">
        <v>45000</v>
      </c>
      <c r="O849" s="299" t="n">
        <v>5400</v>
      </c>
      <c r="P849" s="299" t="n">
        <v>65250</v>
      </c>
      <c r="Q849" s="299" t="n">
        <v>65250</v>
      </c>
      <c r="R849" s="299" t="n">
        <v>0</v>
      </c>
      <c r="S849" s="300" t="n">
        <v>1</v>
      </c>
      <c r="T849" t="n">
        <v>4.59</v>
      </c>
      <c r="U849" t="n">
        <v>0</v>
      </c>
      <c r="V849" t="n">
        <v>154391.41</v>
      </c>
      <c r="W849" s="300" t="n">
        <v>0.0733</v>
      </c>
      <c r="X849" s="297" t="n">
        <v>44912</v>
      </c>
      <c r="Y849">
        <f>IF(I849="","No SIC",IFERROR(VLOOKUP(I849,Ref!$A$2:$B$65,2,FALSE),"Unclassified"))</f>
        <v/>
      </c>
      <c r="Z849">
        <f>IF(T849="","",IF(T849&lt;12,"Daily","Weekly"))</f>
        <v/>
      </c>
      <c r="AA849">
        <f>IF(T849="",0,IF(T849&lt;12,T849*Controls!$B$29,T849*5))</f>
        <v/>
      </c>
      <c r="AB849">
        <f>IF(E849="",0,NETWORKDAYS(E849,Controls!$B$36,Ref!$K$2:$K$42))</f>
        <v/>
      </c>
      <c r="AC849">
        <f>IF(AND(AA849&gt;0,AB849&gt;=Controls!$B$39*AA849),1,0)</f>
        <v/>
      </c>
      <c r="AD849">
        <f>IF(AND(E849&lt;&gt;"",E849&gt;=Controls!$B$37,E849&lt;=Controls!$B$38),1,0)</f>
        <v/>
      </c>
      <c r="AE849">
        <f>IF(IFERROR(VLOOKUP(D849,Controls!$A$64:$E$74,2,FALSE),"No")="Yes",1,0)</f>
        <v/>
      </c>
      <c r="AF849">
        <f>IF(IFERROR(VLOOKUP(D849,Controls!$A$64:$E$74,3,FALSE),"No")="Yes",1,0)</f>
        <v/>
      </c>
      <c r="AG849">
        <f>IF(IFERROR(VLOOKUP(D849,Controls!$A$64:$E$74,4,FALSE),"No")="Yes",1,0)</f>
        <v/>
      </c>
      <c r="AH849">
        <f>IF(IFERROR(VLOOKUP(D849,Controls!$A$64:$E$74,5,FALSE),"No")="Yes",1,0)</f>
        <v/>
      </c>
      <c r="AI849">
        <f>IF(ISNUMBER(MATCH(D849,Controls!$A$64:$A$74,0)),1,0)</f>
        <v/>
      </c>
      <c r="AJ849">
        <f>Q849-N849</f>
        <v/>
      </c>
      <c r="AK849">
        <f>IF(AE849=1,MAX(0,N849-Q849),0)</f>
        <v/>
      </c>
      <c r="AL849">
        <f>IF(OR(V849="",V849=0),0,N849/V849)</f>
        <v/>
      </c>
      <c r="AM849">
        <f>IF(OR(V849="",V849=0),0,1)</f>
        <v/>
      </c>
      <c r="AN849">
        <f>IF(OR(E849="",F849=""),0,NETWORKDAYS(E849,F849,Ref!$K$2:$K$42))</f>
        <v/>
      </c>
      <c r="AO849">
        <f>IF(L849="Renewal",1,0)</f>
        <v/>
      </c>
      <c r="AP849">
        <f>AC849*AD849</f>
        <v/>
      </c>
      <c r="AQ849">
        <f>IF(AND(G849&lt;&gt;"",'Historical Score'!$C$6&lt;&gt;""),IF(G849='Historical Score'!$C$6,1,0),0)</f>
        <v/>
      </c>
      <c r="AR849">
        <f>IF(AND(L849&lt;&gt;"",'Historical Score'!$C$5&lt;&gt;""),IF(L849='Historical Score'!$C$5,1,0),0)</f>
        <v/>
      </c>
      <c r="AS849">
        <f>IF(AND(Y849&lt;&gt;"",'Historical Score'!$C$7&lt;&gt;""),IF(Y849='Historical Score'!$C$7,1,0),0)</f>
        <v/>
      </c>
      <c r="AT849">
        <f>IF(AND(K849&lt;&gt;"",'Historical Score'!$C$8&lt;&gt;""),IF(K849='Historical Score'!$C$8,1,0),0)</f>
        <v/>
      </c>
      <c r="AU849">
        <f>IF(AND(J849&lt;&gt;"",'Historical Score'!$C$9&lt;&gt;""),IF(J849='Historical Score'!$C$9,1,0),0)</f>
        <v/>
      </c>
      <c r="AV849">
        <f>AR849*AS849*AQ849</f>
        <v/>
      </c>
      <c r="AW849">
        <f>AR849*AT849*AQ849</f>
        <v/>
      </c>
      <c r="AX849">
        <f>AR849*AS849</f>
        <v/>
      </c>
      <c r="AY849">
        <f>AR849*AT849</f>
        <v/>
      </c>
      <c r="AZ849">
        <f>AR849*AQ849</f>
        <v/>
      </c>
      <c r="BA849">
        <f>AR849</f>
        <v/>
      </c>
      <c r="BB849">
        <f>1</f>
        <v/>
      </c>
      <c r="BC849">
        <f>IF(AV849=1,1,IF(AW849=1,2,IF(AX849=1,3,IF(AY849=1,4,IF(AZ849=1,5,IF(BA849=1,6,7))))))</f>
        <v/>
      </c>
      <c r="BD849">
        <f>IF(AD849=1,CHOOSE('Historical Score'!$C$29,AV849,AW849,AX849,AY849,AZ849,BA849,BB849),0)</f>
        <v/>
      </c>
      <c r="BE849">
        <f>IF(BD849=1,COUNTIF($BD$2:BD849,1),"")</f>
        <v/>
      </c>
    </row>
    <row r="850">
      <c r="A850" t="inlineStr">
        <is>
          <t>5674183265</t>
        </is>
      </c>
      <c r="B850" t="inlineStr">
        <is>
          <t>SUPER CLEANER</t>
        </is>
      </c>
      <c r="C850" t="inlineStr">
        <is>
          <t>KIRAN INCORPORATED INC</t>
        </is>
      </c>
      <c r="D850" t="inlineStr">
        <is>
          <t>Open</t>
        </is>
      </c>
      <c r="E850" s="297" t="n">
        <v>46150</v>
      </c>
      <c r="F850" s="297" t="n">
        <v>46248</v>
      </c>
      <c r="G850" t="n">
        <v>3</v>
      </c>
      <c r="H850" t="inlineStr">
        <is>
          <t>5169</t>
        </is>
      </c>
      <c r="I850" t="inlineStr">
        <is>
          <t>51</t>
        </is>
      </c>
      <c r="J850" t="inlineStr">
        <is>
          <t>TX</t>
        </is>
      </c>
      <c r="K850" t="inlineStr">
        <is>
          <t>Triumph Cap Fund</t>
        </is>
      </c>
      <c r="L850" t="inlineStr">
        <is>
          <t>New Deal</t>
        </is>
      </c>
      <c r="M850" s="298" t="n">
        <v>1.32</v>
      </c>
      <c r="N850" s="299" t="n">
        <v>20000</v>
      </c>
      <c r="O850" s="299" t="n">
        <v>800</v>
      </c>
      <c r="P850" s="299" t="n">
        <v>26400</v>
      </c>
      <c r="Q850" s="299" t="n">
        <v>15402.1</v>
      </c>
      <c r="R850" s="299" t="n">
        <v>10997.9</v>
      </c>
      <c r="S850" s="300" t="n">
        <v>0.583412878787879</v>
      </c>
      <c r="T850" t="n">
        <v>24</v>
      </c>
      <c r="U850" t="n">
        <v>0</v>
      </c>
      <c r="V850" t="n">
        <v>45890</v>
      </c>
      <c r="W850" s="300" t="n">
        <v>0.141</v>
      </c>
      <c r="X850" s="297" t="n">
        <v>44565</v>
      </c>
      <c r="Y850">
        <f>IF(I850="","No SIC",IFERROR(VLOOKUP(I850,Ref!$A$2:$B$65,2,FALSE),"Unclassified"))</f>
        <v/>
      </c>
      <c r="Z850">
        <f>IF(T850="","",IF(T850&lt;12,"Daily","Weekly"))</f>
        <v/>
      </c>
      <c r="AA850">
        <f>IF(T850="",0,IF(T850&lt;12,T850*Controls!$B$29,T850*5))</f>
        <v/>
      </c>
      <c r="AB850">
        <f>IF(E850="",0,NETWORKDAYS(E850,Controls!$B$36,Ref!$K$2:$K$42))</f>
        <v/>
      </c>
      <c r="AC850">
        <f>IF(AND(AA850&gt;0,AB850&gt;=Controls!$B$39*AA850),1,0)</f>
        <v/>
      </c>
      <c r="AD850">
        <f>IF(AND(E850&lt;&gt;"",E850&gt;=Controls!$B$37,E850&lt;=Controls!$B$38),1,0)</f>
        <v/>
      </c>
      <c r="AE850">
        <f>IF(IFERROR(VLOOKUP(D850,Controls!$A$64:$E$74,2,FALSE),"No")="Yes",1,0)</f>
        <v/>
      </c>
      <c r="AF850">
        <f>IF(IFERROR(VLOOKUP(D850,Controls!$A$64:$E$74,3,FALSE),"No")="Yes",1,0)</f>
        <v/>
      </c>
      <c r="AG850">
        <f>IF(IFERROR(VLOOKUP(D850,Controls!$A$64:$E$74,4,FALSE),"No")="Yes",1,0)</f>
        <v/>
      </c>
      <c r="AH850">
        <f>IF(IFERROR(VLOOKUP(D850,Controls!$A$64:$E$74,5,FALSE),"No")="Yes",1,0)</f>
        <v/>
      </c>
      <c r="AI850">
        <f>IF(ISNUMBER(MATCH(D850,Controls!$A$64:$A$74,0)),1,0)</f>
        <v/>
      </c>
      <c r="AJ850">
        <f>Q850-N850</f>
        <v/>
      </c>
      <c r="AK850">
        <f>IF(AE850=1,MAX(0,N850-Q850),0)</f>
        <v/>
      </c>
      <c r="AL850">
        <f>IF(OR(V850="",V850=0),0,N850/V850)</f>
        <v/>
      </c>
      <c r="AM850">
        <f>IF(OR(V850="",V850=0),0,1)</f>
        <v/>
      </c>
      <c r="AN850">
        <f>IF(OR(E850="",F850=""),0,NETWORKDAYS(E850,F850,Ref!$K$2:$K$42))</f>
        <v/>
      </c>
      <c r="AO850">
        <f>IF(L850="Renewal",1,0)</f>
        <v/>
      </c>
      <c r="AP850">
        <f>AC850*AD850</f>
        <v/>
      </c>
      <c r="AQ850">
        <f>IF(AND(G850&lt;&gt;"",'Historical Score'!$C$6&lt;&gt;""),IF(G850='Historical Score'!$C$6,1,0),0)</f>
        <v/>
      </c>
      <c r="AR850">
        <f>IF(AND(L850&lt;&gt;"",'Historical Score'!$C$5&lt;&gt;""),IF(L850='Historical Score'!$C$5,1,0),0)</f>
        <v/>
      </c>
      <c r="AS850">
        <f>IF(AND(Y850&lt;&gt;"",'Historical Score'!$C$7&lt;&gt;""),IF(Y850='Historical Score'!$C$7,1,0),0)</f>
        <v/>
      </c>
      <c r="AT850">
        <f>IF(AND(K850&lt;&gt;"",'Historical Score'!$C$8&lt;&gt;""),IF(K850='Historical Score'!$C$8,1,0),0)</f>
        <v/>
      </c>
      <c r="AU850">
        <f>IF(AND(J850&lt;&gt;"",'Historical Score'!$C$9&lt;&gt;""),IF(J850='Historical Score'!$C$9,1,0),0)</f>
        <v/>
      </c>
      <c r="AV850">
        <f>AR850*AS850*AQ850</f>
        <v/>
      </c>
      <c r="AW850">
        <f>AR850*AT850*AQ850</f>
        <v/>
      </c>
      <c r="AX850">
        <f>AR850*AS850</f>
        <v/>
      </c>
      <c r="AY850">
        <f>AR850*AT850</f>
        <v/>
      </c>
      <c r="AZ850">
        <f>AR850*AQ850</f>
        <v/>
      </c>
      <c r="BA850">
        <f>AR850</f>
        <v/>
      </c>
      <c r="BB850">
        <f>1</f>
        <v/>
      </c>
      <c r="BC850">
        <f>IF(AV850=1,1,IF(AW850=1,2,IF(AX850=1,3,IF(AY850=1,4,IF(AZ850=1,5,IF(BA850=1,6,7))))))</f>
        <v/>
      </c>
      <c r="BD850">
        <f>IF(AD850=1,CHOOSE('Historical Score'!$C$29,AV850,AW850,AX850,AY850,AZ850,BA850,BB850),0)</f>
        <v/>
      </c>
      <c r="BE850">
        <f>IF(BD850=1,COUNTIF($BD$2:BD850,1),"")</f>
        <v/>
      </c>
    </row>
    <row r="851">
      <c r="A851" t="inlineStr">
        <is>
          <t>5674183284</t>
        </is>
      </c>
      <c r="B851" t="inlineStr">
        <is>
          <t>DBA-HOLO TRAK</t>
        </is>
      </c>
      <c r="C851" t="inlineStr">
        <is>
          <t>ROCKY MOUNTAIN TRACKING, INC</t>
        </is>
      </c>
      <c r="D851" t="inlineStr">
        <is>
          <t>Open</t>
        </is>
      </c>
      <c r="E851" s="297" t="n">
        <v>46150</v>
      </c>
      <c r="F851" s="297" t="n">
        <v>46248</v>
      </c>
      <c r="G851" t="n">
        <v>3</v>
      </c>
      <c r="H851" t="inlineStr">
        <is>
          <t>5699</t>
        </is>
      </c>
      <c r="I851" t="inlineStr">
        <is>
          <t>56</t>
        </is>
      </c>
      <c r="J851" t="inlineStr">
        <is>
          <t>VA</t>
        </is>
      </c>
      <c r="K851" t="inlineStr">
        <is>
          <t>Westwood</t>
        </is>
      </c>
      <c r="L851" t="inlineStr">
        <is>
          <t>New Deal</t>
        </is>
      </c>
      <c r="M851" s="298" t="n">
        <v>1.49</v>
      </c>
      <c r="N851" s="299" t="n">
        <v>12000</v>
      </c>
      <c r="O851" s="299" t="n">
        <v>1680</v>
      </c>
      <c r="P851" s="299" t="n">
        <v>17880</v>
      </c>
      <c r="Q851" s="299" t="n">
        <v>10428.6</v>
      </c>
      <c r="R851" s="299" t="n">
        <v>7451.4</v>
      </c>
      <c r="S851" s="300" t="n">
        <v>0.583255033557047</v>
      </c>
      <c r="T851" t="n">
        <v>24</v>
      </c>
      <c r="U851" t="n">
        <v>0</v>
      </c>
      <c r="V851" t="n">
        <v>16416.58</v>
      </c>
      <c r="W851" s="300" t="n">
        <v>0.1815</v>
      </c>
      <c r="X851" s="297" t="n">
        <v>43101</v>
      </c>
      <c r="Y851">
        <f>IF(I851="","No SIC",IFERROR(VLOOKUP(I851,Ref!$A$2:$B$65,2,FALSE),"Unclassified"))</f>
        <v/>
      </c>
      <c r="Z851">
        <f>IF(T851="","",IF(T851&lt;12,"Daily","Weekly"))</f>
        <v/>
      </c>
      <c r="AA851">
        <f>IF(T851="",0,IF(T851&lt;12,T851*Controls!$B$29,T851*5))</f>
        <v/>
      </c>
      <c r="AB851">
        <f>IF(E851="",0,NETWORKDAYS(E851,Controls!$B$36,Ref!$K$2:$K$42))</f>
        <v/>
      </c>
      <c r="AC851">
        <f>IF(AND(AA851&gt;0,AB851&gt;=Controls!$B$39*AA851),1,0)</f>
        <v/>
      </c>
      <c r="AD851">
        <f>IF(AND(E851&lt;&gt;"",E851&gt;=Controls!$B$37,E851&lt;=Controls!$B$38),1,0)</f>
        <v/>
      </c>
      <c r="AE851">
        <f>IF(IFERROR(VLOOKUP(D851,Controls!$A$64:$E$74,2,FALSE),"No")="Yes",1,0)</f>
        <v/>
      </c>
      <c r="AF851">
        <f>IF(IFERROR(VLOOKUP(D851,Controls!$A$64:$E$74,3,FALSE),"No")="Yes",1,0)</f>
        <v/>
      </c>
      <c r="AG851">
        <f>IF(IFERROR(VLOOKUP(D851,Controls!$A$64:$E$74,4,FALSE),"No")="Yes",1,0)</f>
        <v/>
      </c>
      <c r="AH851">
        <f>IF(IFERROR(VLOOKUP(D851,Controls!$A$64:$E$74,5,FALSE),"No")="Yes",1,0)</f>
        <v/>
      </c>
      <c r="AI851">
        <f>IF(ISNUMBER(MATCH(D851,Controls!$A$64:$A$74,0)),1,0)</f>
        <v/>
      </c>
      <c r="AJ851">
        <f>Q851-N851</f>
        <v/>
      </c>
      <c r="AK851">
        <f>IF(AE851=1,MAX(0,N851-Q851),0)</f>
        <v/>
      </c>
      <c r="AL851">
        <f>IF(OR(V851="",V851=0),0,N851/V851)</f>
        <v/>
      </c>
      <c r="AM851">
        <f>IF(OR(V851="",V851=0),0,1)</f>
        <v/>
      </c>
      <c r="AN851">
        <f>IF(OR(E851="",F851=""),0,NETWORKDAYS(E851,F851,Ref!$K$2:$K$42))</f>
        <v/>
      </c>
      <c r="AO851">
        <f>IF(L851="Renewal",1,0)</f>
        <v/>
      </c>
      <c r="AP851">
        <f>AC851*AD851</f>
        <v/>
      </c>
      <c r="AQ851">
        <f>IF(AND(G851&lt;&gt;"",'Historical Score'!$C$6&lt;&gt;""),IF(G851='Historical Score'!$C$6,1,0),0)</f>
        <v/>
      </c>
      <c r="AR851">
        <f>IF(AND(L851&lt;&gt;"",'Historical Score'!$C$5&lt;&gt;""),IF(L851='Historical Score'!$C$5,1,0),0)</f>
        <v/>
      </c>
      <c r="AS851">
        <f>IF(AND(Y851&lt;&gt;"",'Historical Score'!$C$7&lt;&gt;""),IF(Y851='Historical Score'!$C$7,1,0),0)</f>
        <v/>
      </c>
      <c r="AT851">
        <f>IF(AND(K851&lt;&gt;"",'Historical Score'!$C$8&lt;&gt;""),IF(K851='Historical Score'!$C$8,1,0),0)</f>
        <v/>
      </c>
      <c r="AU851">
        <f>IF(AND(J851&lt;&gt;"",'Historical Score'!$C$9&lt;&gt;""),IF(J851='Historical Score'!$C$9,1,0),0)</f>
        <v/>
      </c>
      <c r="AV851">
        <f>AR851*AS851*AQ851</f>
        <v/>
      </c>
      <c r="AW851">
        <f>AR851*AT851*AQ851</f>
        <v/>
      </c>
      <c r="AX851">
        <f>AR851*AS851</f>
        <v/>
      </c>
      <c r="AY851">
        <f>AR851*AT851</f>
        <v/>
      </c>
      <c r="AZ851">
        <f>AR851*AQ851</f>
        <v/>
      </c>
      <c r="BA851">
        <f>AR851</f>
        <v/>
      </c>
      <c r="BB851">
        <f>1</f>
        <v/>
      </c>
      <c r="BC851">
        <f>IF(AV851=1,1,IF(AW851=1,2,IF(AX851=1,3,IF(AY851=1,4,IF(AZ851=1,5,IF(BA851=1,6,7))))))</f>
        <v/>
      </c>
      <c r="BD851">
        <f>IF(AD851=1,CHOOSE('Historical Score'!$C$29,AV851,AW851,AX851,AY851,AZ851,BA851,BB851),0)</f>
        <v/>
      </c>
      <c r="BE851">
        <f>IF(BD851=1,COUNTIF($BD$2:BD851,1),"")</f>
        <v/>
      </c>
    </row>
    <row r="852">
      <c r="A852" t="inlineStr">
        <is>
          <t>5674183295</t>
        </is>
      </c>
      <c r="B852" t="inlineStr">
        <is>
          <t>URSUS VICTOR, LLC</t>
        </is>
      </c>
      <c r="C852" t="inlineStr">
        <is>
          <t>URSUS VICTOR, LLC</t>
        </is>
      </c>
      <c r="D852" t="inlineStr">
        <is>
          <t>In House Collection</t>
        </is>
      </c>
      <c r="E852" s="297" t="n">
        <v>46150</v>
      </c>
      <c r="F852" s="297" t="n">
        <v>46253</v>
      </c>
      <c r="G852" t="n">
        <v>3</v>
      </c>
      <c r="H852" t="inlineStr">
        <is>
          <t>3629</t>
        </is>
      </c>
      <c r="I852" t="inlineStr">
        <is>
          <t>36</t>
        </is>
      </c>
      <c r="J852" t="inlineStr">
        <is>
          <t>CA</t>
        </is>
      </c>
      <c r="K852" t="inlineStr">
        <is>
          <t>United Secured Capital 8</t>
        </is>
      </c>
      <c r="L852" t="inlineStr">
        <is>
          <t>New Deal</t>
        </is>
      </c>
      <c r="M852" s="298" t="n">
        <v>1.39</v>
      </c>
      <c r="N852" s="299" t="n">
        <v>25000</v>
      </c>
      <c r="O852" s="299" t="n">
        <v>2250</v>
      </c>
      <c r="P852" s="299" t="n">
        <v>34750</v>
      </c>
      <c r="Q852" s="299" t="n">
        <v>7465.99</v>
      </c>
      <c r="R852" s="299" t="n">
        <v>27284.01</v>
      </c>
      <c r="S852" s="300" t="n">
        <v>0.214848633093525</v>
      </c>
      <c r="T852" t="n">
        <v>18</v>
      </c>
      <c r="U852" t="n">
        <v>9</v>
      </c>
      <c r="V852" t="n">
        <v>150576.12</v>
      </c>
      <c r="W852" s="300" t="n">
        <v>0.0513</v>
      </c>
      <c r="X852" s="297" t="n">
        <v>44484</v>
      </c>
      <c r="Y852">
        <f>IF(I852="","No SIC",IFERROR(VLOOKUP(I852,Ref!$A$2:$B$65,2,FALSE),"Unclassified"))</f>
        <v/>
      </c>
      <c r="Z852">
        <f>IF(T852="","",IF(T852&lt;12,"Daily","Weekly"))</f>
        <v/>
      </c>
      <c r="AA852">
        <f>IF(T852="",0,IF(T852&lt;12,T852*Controls!$B$29,T852*5))</f>
        <v/>
      </c>
      <c r="AB852">
        <f>IF(E852="",0,NETWORKDAYS(E852,Controls!$B$36,Ref!$K$2:$K$42))</f>
        <v/>
      </c>
      <c r="AC852">
        <f>IF(AND(AA852&gt;0,AB852&gt;=Controls!$B$39*AA852),1,0)</f>
        <v/>
      </c>
      <c r="AD852">
        <f>IF(AND(E852&lt;&gt;"",E852&gt;=Controls!$B$37,E852&lt;=Controls!$B$38),1,0)</f>
        <v/>
      </c>
      <c r="AE852">
        <f>IF(IFERROR(VLOOKUP(D852,Controls!$A$64:$E$74,2,FALSE),"No")="Yes",1,0)</f>
        <v/>
      </c>
      <c r="AF852">
        <f>IF(IFERROR(VLOOKUP(D852,Controls!$A$64:$E$74,3,FALSE),"No")="Yes",1,0)</f>
        <v/>
      </c>
      <c r="AG852">
        <f>IF(IFERROR(VLOOKUP(D852,Controls!$A$64:$E$74,4,FALSE),"No")="Yes",1,0)</f>
        <v/>
      </c>
      <c r="AH852">
        <f>IF(IFERROR(VLOOKUP(D852,Controls!$A$64:$E$74,5,FALSE),"No")="Yes",1,0)</f>
        <v/>
      </c>
      <c r="AI852">
        <f>IF(ISNUMBER(MATCH(D852,Controls!$A$64:$A$74,0)),1,0)</f>
        <v/>
      </c>
      <c r="AJ852">
        <f>Q852-N852</f>
        <v/>
      </c>
      <c r="AK852">
        <f>IF(AE852=1,MAX(0,N852-Q852),0)</f>
        <v/>
      </c>
      <c r="AL852">
        <f>IF(OR(V852="",V852=0),0,N852/V852)</f>
        <v/>
      </c>
      <c r="AM852">
        <f>IF(OR(V852="",V852=0),0,1)</f>
        <v/>
      </c>
      <c r="AN852">
        <f>IF(OR(E852="",F852=""),0,NETWORKDAYS(E852,F852,Ref!$K$2:$K$42))</f>
        <v/>
      </c>
      <c r="AO852">
        <f>IF(L852="Renewal",1,0)</f>
        <v/>
      </c>
      <c r="AP852">
        <f>AC852*AD852</f>
        <v/>
      </c>
      <c r="AQ852">
        <f>IF(AND(G852&lt;&gt;"",'Historical Score'!$C$6&lt;&gt;""),IF(G852='Historical Score'!$C$6,1,0),0)</f>
        <v/>
      </c>
      <c r="AR852">
        <f>IF(AND(L852&lt;&gt;"",'Historical Score'!$C$5&lt;&gt;""),IF(L852='Historical Score'!$C$5,1,0),0)</f>
        <v/>
      </c>
      <c r="AS852">
        <f>IF(AND(Y852&lt;&gt;"",'Historical Score'!$C$7&lt;&gt;""),IF(Y852='Historical Score'!$C$7,1,0),0)</f>
        <v/>
      </c>
      <c r="AT852">
        <f>IF(AND(K852&lt;&gt;"",'Historical Score'!$C$8&lt;&gt;""),IF(K852='Historical Score'!$C$8,1,0),0)</f>
        <v/>
      </c>
      <c r="AU852">
        <f>IF(AND(J852&lt;&gt;"",'Historical Score'!$C$9&lt;&gt;""),IF(J852='Historical Score'!$C$9,1,0),0)</f>
        <v/>
      </c>
      <c r="AV852">
        <f>AR852*AS852*AQ852</f>
        <v/>
      </c>
      <c r="AW852">
        <f>AR852*AT852*AQ852</f>
        <v/>
      </c>
      <c r="AX852">
        <f>AR852*AS852</f>
        <v/>
      </c>
      <c r="AY852">
        <f>AR852*AT852</f>
        <v/>
      </c>
      <c r="AZ852">
        <f>AR852*AQ852</f>
        <v/>
      </c>
      <c r="BA852">
        <f>AR852</f>
        <v/>
      </c>
      <c r="BB852">
        <f>1</f>
        <v/>
      </c>
      <c r="BC852">
        <f>IF(AV852=1,1,IF(AW852=1,2,IF(AX852=1,3,IF(AY852=1,4,IF(AZ852=1,5,IF(BA852=1,6,7))))))</f>
        <v/>
      </c>
      <c r="BD852">
        <f>IF(AD852=1,CHOOSE('Historical Score'!$C$29,AV852,AW852,AX852,AY852,AZ852,BA852,BB852),0)</f>
        <v/>
      </c>
      <c r="BE852">
        <f>IF(BD852=1,COUNTIF($BD$2:BD852,1),"")</f>
        <v/>
      </c>
    </row>
    <row r="853">
      <c r="A853" t="inlineStr">
        <is>
          <t>5674183308</t>
        </is>
      </c>
      <c r="B853" t="inlineStr">
        <is>
          <t>Craft Roots Vegan Bar and Grill</t>
        </is>
      </c>
      <c r="C853" t="inlineStr">
        <is>
          <t>Gaich Group LLC</t>
        </is>
      </c>
      <c r="D853" t="inlineStr">
        <is>
          <t>Open</t>
        </is>
      </c>
      <c r="E853" s="297" t="n">
        <v>46150</v>
      </c>
      <c r="F853" s="297" t="n">
        <v>46253</v>
      </c>
      <c r="G853" t="n">
        <v>3</v>
      </c>
      <c r="H853" t="inlineStr">
        <is>
          <t>5812</t>
        </is>
      </c>
      <c r="I853" t="inlineStr">
        <is>
          <t>58</t>
        </is>
      </c>
      <c r="J853" t="inlineStr">
        <is>
          <t>CA</t>
        </is>
      </c>
      <c r="K853" t="inlineStr">
        <is>
          <t>National Business Capital</t>
        </is>
      </c>
      <c r="L853" t="inlineStr">
        <is>
          <t>New Deal</t>
        </is>
      </c>
      <c r="M853" s="298" t="n">
        <v>1.39</v>
      </c>
      <c r="N853" s="299" t="n">
        <v>25000</v>
      </c>
      <c r="O853" s="299" t="n">
        <v>2250</v>
      </c>
      <c r="P853" s="299" t="n">
        <v>34750</v>
      </c>
      <c r="Q853" s="299" t="n">
        <v>20560.18</v>
      </c>
      <c r="R853" s="299" t="n">
        <v>14189.82</v>
      </c>
      <c r="S853" s="300" t="n">
        <v>0.591659856115108</v>
      </c>
      <c r="T853" t="n">
        <v>3.934</v>
      </c>
      <c r="U853" t="n">
        <v>0</v>
      </c>
      <c r="V853" t="n">
        <v>164443.24</v>
      </c>
      <c r="W853" s="300" t="n">
        <v>0.0461</v>
      </c>
      <c r="X853" s="297" t="n">
        <v>43210</v>
      </c>
      <c r="Y853">
        <f>IF(I853="","No SIC",IFERROR(VLOOKUP(I853,Ref!$A$2:$B$65,2,FALSE),"Unclassified"))</f>
        <v/>
      </c>
      <c r="Z853">
        <f>IF(T853="","",IF(T853&lt;12,"Daily","Weekly"))</f>
        <v/>
      </c>
      <c r="AA853">
        <f>IF(T853="",0,IF(T853&lt;12,T853*Controls!$B$29,T853*5))</f>
        <v/>
      </c>
      <c r="AB853">
        <f>IF(E853="",0,NETWORKDAYS(E853,Controls!$B$36,Ref!$K$2:$K$42))</f>
        <v/>
      </c>
      <c r="AC853">
        <f>IF(AND(AA853&gt;0,AB853&gt;=Controls!$B$39*AA853),1,0)</f>
        <v/>
      </c>
      <c r="AD853">
        <f>IF(AND(E853&lt;&gt;"",E853&gt;=Controls!$B$37,E853&lt;=Controls!$B$38),1,0)</f>
        <v/>
      </c>
      <c r="AE853">
        <f>IF(IFERROR(VLOOKUP(D853,Controls!$A$64:$E$74,2,FALSE),"No")="Yes",1,0)</f>
        <v/>
      </c>
      <c r="AF853">
        <f>IF(IFERROR(VLOOKUP(D853,Controls!$A$64:$E$74,3,FALSE),"No")="Yes",1,0)</f>
        <v/>
      </c>
      <c r="AG853">
        <f>IF(IFERROR(VLOOKUP(D853,Controls!$A$64:$E$74,4,FALSE),"No")="Yes",1,0)</f>
        <v/>
      </c>
      <c r="AH853">
        <f>IF(IFERROR(VLOOKUP(D853,Controls!$A$64:$E$74,5,FALSE),"No")="Yes",1,0)</f>
        <v/>
      </c>
      <c r="AI853">
        <f>IF(ISNUMBER(MATCH(D853,Controls!$A$64:$A$74,0)),1,0)</f>
        <v/>
      </c>
      <c r="AJ853">
        <f>Q853-N853</f>
        <v/>
      </c>
      <c r="AK853">
        <f>IF(AE853=1,MAX(0,N853-Q853),0)</f>
        <v/>
      </c>
      <c r="AL853">
        <f>IF(OR(V853="",V853=0),0,N853/V853)</f>
        <v/>
      </c>
      <c r="AM853">
        <f>IF(OR(V853="",V853=0),0,1)</f>
        <v/>
      </c>
      <c r="AN853">
        <f>IF(OR(E853="",F853=""),0,NETWORKDAYS(E853,F853,Ref!$K$2:$K$42))</f>
        <v/>
      </c>
      <c r="AO853">
        <f>IF(L853="Renewal",1,0)</f>
        <v/>
      </c>
      <c r="AP853">
        <f>AC853*AD853</f>
        <v/>
      </c>
      <c r="AQ853">
        <f>IF(AND(G853&lt;&gt;"",'Historical Score'!$C$6&lt;&gt;""),IF(G853='Historical Score'!$C$6,1,0),0)</f>
        <v/>
      </c>
      <c r="AR853">
        <f>IF(AND(L853&lt;&gt;"",'Historical Score'!$C$5&lt;&gt;""),IF(L853='Historical Score'!$C$5,1,0),0)</f>
        <v/>
      </c>
      <c r="AS853">
        <f>IF(AND(Y853&lt;&gt;"",'Historical Score'!$C$7&lt;&gt;""),IF(Y853='Historical Score'!$C$7,1,0),0)</f>
        <v/>
      </c>
      <c r="AT853">
        <f>IF(AND(K853&lt;&gt;"",'Historical Score'!$C$8&lt;&gt;""),IF(K853='Historical Score'!$C$8,1,0),0)</f>
        <v/>
      </c>
      <c r="AU853">
        <f>IF(AND(J853&lt;&gt;"",'Historical Score'!$C$9&lt;&gt;""),IF(J853='Historical Score'!$C$9,1,0),0)</f>
        <v/>
      </c>
      <c r="AV853">
        <f>AR853*AS853*AQ853</f>
        <v/>
      </c>
      <c r="AW853">
        <f>AR853*AT853*AQ853</f>
        <v/>
      </c>
      <c r="AX853">
        <f>AR853*AS853</f>
        <v/>
      </c>
      <c r="AY853">
        <f>AR853*AT853</f>
        <v/>
      </c>
      <c r="AZ853">
        <f>AR853*AQ853</f>
        <v/>
      </c>
      <c r="BA853">
        <f>AR853</f>
        <v/>
      </c>
      <c r="BB853">
        <f>1</f>
        <v/>
      </c>
      <c r="BC853">
        <f>IF(AV853=1,1,IF(AW853=1,2,IF(AX853=1,3,IF(AY853=1,4,IF(AZ853=1,5,IF(BA853=1,6,7))))))</f>
        <v/>
      </c>
      <c r="BD853">
        <f>IF(AD853=1,CHOOSE('Historical Score'!$C$29,AV853,AW853,AX853,AY853,AZ853,BA853,BB853),0)</f>
        <v/>
      </c>
      <c r="BE853">
        <f>IF(BD853=1,COUNTIF($BD$2:BD853,1),"")</f>
        <v/>
      </c>
    </row>
    <row r="854">
      <c r="A854" t="inlineStr">
        <is>
          <t>5674183319</t>
        </is>
      </c>
      <c r="B854" t="inlineStr">
        <is>
          <t>Youth Oasis</t>
        </is>
      </c>
      <c r="C854" t="inlineStr">
        <is>
          <t>Youth Oasis</t>
        </is>
      </c>
      <c r="D854" t="inlineStr">
        <is>
          <t>Open</t>
        </is>
      </c>
      <c r="E854" s="297" t="n">
        <v>46150</v>
      </c>
      <c r="F854" s="297" t="n">
        <v>46248</v>
      </c>
      <c r="G854" t="n">
        <v>3</v>
      </c>
      <c r="H854" t="inlineStr">
        <is>
          <t>7231</t>
        </is>
      </c>
      <c r="I854" t="inlineStr">
        <is>
          <t>72</t>
        </is>
      </c>
      <c r="J854" t="inlineStr">
        <is>
          <t>LA</t>
        </is>
      </c>
      <c r="K854" t="inlineStr">
        <is>
          <t>Credibly</t>
        </is>
      </c>
      <c r="L854" t="inlineStr">
        <is>
          <t>New Deal</t>
        </is>
      </c>
      <c r="M854" s="298" t="n">
        <v>1.47</v>
      </c>
      <c r="N854" s="299" t="n">
        <v>45000</v>
      </c>
      <c r="O854" s="299" t="n">
        <v>5850</v>
      </c>
      <c r="P854" s="299" t="n">
        <v>66150</v>
      </c>
      <c r="Q854" s="299" t="n">
        <v>28940.8</v>
      </c>
      <c r="R854" s="299" t="n">
        <v>37209.2</v>
      </c>
      <c r="S854" s="300" t="n">
        <v>0.437502645502646</v>
      </c>
      <c r="T854" t="n">
        <v>32</v>
      </c>
      <c r="U854" t="n">
        <v>0</v>
      </c>
      <c r="V854" t="n">
        <v>102590.51</v>
      </c>
      <c r="W854" s="300" t="n">
        <v>0.0806</v>
      </c>
      <c r="X854" s="297" t="n">
        <v>36130</v>
      </c>
      <c r="Y854">
        <f>IF(I854="","No SIC",IFERROR(VLOOKUP(I854,Ref!$A$2:$B$65,2,FALSE),"Unclassified"))</f>
        <v/>
      </c>
      <c r="Z854">
        <f>IF(T854="","",IF(T854&lt;12,"Daily","Weekly"))</f>
        <v/>
      </c>
      <c r="AA854">
        <f>IF(T854="",0,IF(T854&lt;12,T854*Controls!$B$29,T854*5))</f>
        <v/>
      </c>
      <c r="AB854">
        <f>IF(E854="",0,NETWORKDAYS(E854,Controls!$B$36,Ref!$K$2:$K$42))</f>
        <v/>
      </c>
      <c r="AC854">
        <f>IF(AND(AA854&gt;0,AB854&gt;=Controls!$B$39*AA854),1,0)</f>
        <v/>
      </c>
      <c r="AD854">
        <f>IF(AND(E854&lt;&gt;"",E854&gt;=Controls!$B$37,E854&lt;=Controls!$B$38),1,0)</f>
        <v/>
      </c>
      <c r="AE854">
        <f>IF(IFERROR(VLOOKUP(D854,Controls!$A$64:$E$74,2,FALSE),"No")="Yes",1,0)</f>
        <v/>
      </c>
      <c r="AF854">
        <f>IF(IFERROR(VLOOKUP(D854,Controls!$A$64:$E$74,3,FALSE),"No")="Yes",1,0)</f>
        <v/>
      </c>
      <c r="AG854">
        <f>IF(IFERROR(VLOOKUP(D854,Controls!$A$64:$E$74,4,FALSE),"No")="Yes",1,0)</f>
        <v/>
      </c>
      <c r="AH854">
        <f>IF(IFERROR(VLOOKUP(D854,Controls!$A$64:$E$74,5,FALSE),"No")="Yes",1,0)</f>
        <v/>
      </c>
      <c r="AI854">
        <f>IF(ISNUMBER(MATCH(D854,Controls!$A$64:$A$74,0)),1,0)</f>
        <v/>
      </c>
      <c r="AJ854">
        <f>Q854-N854</f>
        <v/>
      </c>
      <c r="AK854">
        <f>IF(AE854=1,MAX(0,N854-Q854),0)</f>
        <v/>
      </c>
      <c r="AL854">
        <f>IF(OR(V854="",V854=0),0,N854/V854)</f>
        <v/>
      </c>
      <c r="AM854">
        <f>IF(OR(V854="",V854=0),0,1)</f>
        <v/>
      </c>
      <c r="AN854">
        <f>IF(OR(E854="",F854=""),0,NETWORKDAYS(E854,F854,Ref!$K$2:$K$42))</f>
        <v/>
      </c>
      <c r="AO854">
        <f>IF(L854="Renewal",1,0)</f>
        <v/>
      </c>
      <c r="AP854">
        <f>AC854*AD854</f>
        <v/>
      </c>
      <c r="AQ854">
        <f>IF(AND(G854&lt;&gt;"",'Historical Score'!$C$6&lt;&gt;""),IF(G854='Historical Score'!$C$6,1,0),0)</f>
        <v/>
      </c>
      <c r="AR854">
        <f>IF(AND(L854&lt;&gt;"",'Historical Score'!$C$5&lt;&gt;""),IF(L854='Historical Score'!$C$5,1,0),0)</f>
        <v/>
      </c>
      <c r="AS854">
        <f>IF(AND(Y854&lt;&gt;"",'Historical Score'!$C$7&lt;&gt;""),IF(Y854='Historical Score'!$C$7,1,0),0)</f>
        <v/>
      </c>
      <c r="AT854">
        <f>IF(AND(K854&lt;&gt;"",'Historical Score'!$C$8&lt;&gt;""),IF(K854='Historical Score'!$C$8,1,0),0)</f>
        <v/>
      </c>
      <c r="AU854">
        <f>IF(AND(J854&lt;&gt;"",'Historical Score'!$C$9&lt;&gt;""),IF(J854='Historical Score'!$C$9,1,0),0)</f>
        <v/>
      </c>
      <c r="AV854">
        <f>AR854*AS854*AQ854</f>
        <v/>
      </c>
      <c r="AW854">
        <f>AR854*AT854*AQ854</f>
        <v/>
      </c>
      <c r="AX854">
        <f>AR854*AS854</f>
        <v/>
      </c>
      <c r="AY854">
        <f>AR854*AT854</f>
        <v/>
      </c>
      <c r="AZ854">
        <f>AR854*AQ854</f>
        <v/>
      </c>
      <c r="BA854">
        <f>AR854</f>
        <v/>
      </c>
      <c r="BB854">
        <f>1</f>
        <v/>
      </c>
      <c r="BC854">
        <f>IF(AV854=1,1,IF(AW854=1,2,IF(AX854=1,3,IF(AY854=1,4,IF(AZ854=1,5,IF(BA854=1,6,7))))))</f>
        <v/>
      </c>
      <c r="BD854">
        <f>IF(AD854=1,CHOOSE('Historical Score'!$C$29,AV854,AW854,AX854,AY854,AZ854,BA854,BB854),0)</f>
        <v/>
      </c>
      <c r="BE854">
        <f>IF(BD854=1,COUNTIF($BD$2:BD854,1),"")</f>
        <v/>
      </c>
    </row>
    <row r="855">
      <c r="A855" t="inlineStr">
        <is>
          <t>5674183324</t>
        </is>
      </c>
      <c r="B855" t="inlineStr">
        <is>
          <t>WEIPLLC</t>
        </is>
      </c>
      <c r="C855" t="inlineStr">
        <is>
          <t>WEIPLLC</t>
        </is>
      </c>
      <c r="D855" t="inlineStr">
        <is>
          <t>Legal</t>
        </is>
      </c>
      <c r="E855" s="297" t="n">
        <v>46150</v>
      </c>
      <c r="F855" s="297" t="n">
        <v>46171</v>
      </c>
      <c r="G855" t="n">
        <v>3</v>
      </c>
      <c r="H855" t="inlineStr">
        <is>
          <t>5999</t>
        </is>
      </c>
      <c r="I855" t="inlineStr">
        <is>
          <t>59</t>
        </is>
      </c>
      <c r="J855" t="inlineStr">
        <is>
          <t>TN</t>
        </is>
      </c>
      <c r="K855" t="inlineStr">
        <is>
          <t>United Secured Capital 8</t>
        </is>
      </c>
      <c r="L855" t="inlineStr">
        <is>
          <t>New Deal</t>
        </is>
      </c>
      <c r="M855" s="298" t="n">
        <v>1.49</v>
      </c>
      <c r="N855" s="299" t="n">
        <v>20000</v>
      </c>
      <c r="O855" s="299" t="n">
        <v>2800</v>
      </c>
      <c r="P855" s="299" t="n">
        <v>29800</v>
      </c>
      <c r="Q855" s="299" t="n">
        <v>2481.88</v>
      </c>
      <c r="R855" s="299" t="n">
        <v>27318.12</v>
      </c>
      <c r="S855" s="300" t="n">
        <v>0.0832845637583893</v>
      </c>
      <c r="T855" t="n">
        <v>24</v>
      </c>
      <c r="U855" t="n">
        <v>1</v>
      </c>
      <c r="V855" t="n">
        <v>100684.96</v>
      </c>
      <c r="W855" s="300" t="n">
        <v>0.0493</v>
      </c>
      <c r="X855" s="297" t="n">
        <v>44094</v>
      </c>
      <c r="Y855">
        <f>IF(I855="","No SIC",IFERROR(VLOOKUP(I855,Ref!$A$2:$B$65,2,FALSE),"Unclassified"))</f>
        <v/>
      </c>
      <c r="Z855">
        <f>IF(T855="","",IF(T855&lt;12,"Daily","Weekly"))</f>
        <v/>
      </c>
      <c r="AA855">
        <f>IF(T855="",0,IF(T855&lt;12,T855*Controls!$B$29,T855*5))</f>
        <v/>
      </c>
      <c r="AB855">
        <f>IF(E855="",0,NETWORKDAYS(E855,Controls!$B$36,Ref!$K$2:$K$42))</f>
        <v/>
      </c>
      <c r="AC855">
        <f>IF(AND(AA855&gt;0,AB855&gt;=Controls!$B$39*AA855),1,0)</f>
        <v/>
      </c>
      <c r="AD855">
        <f>IF(AND(E855&lt;&gt;"",E855&gt;=Controls!$B$37,E855&lt;=Controls!$B$38),1,0)</f>
        <v/>
      </c>
      <c r="AE855">
        <f>IF(IFERROR(VLOOKUP(D855,Controls!$A$64:$E$74,2,FALSE),"No")="Yes",1,0)</f>
        <v/>
      </c>
      <c r="AF855">
        <f>IF(IFERROR(VLOOKUP(D855,Controls!$A$64:$E$74,3,FALSE),"No")="Yes",1,0)</f>
        <v/>
      </c>
      <c r="AG855">
        <f>IF(IFERROR(VLOOKUP(D855,Controls!$A$64:$E$74,4,FALSE),"No")="Yes",1,0)</f>
        <v/>
      </c>
      <c r="AH855">
        <f>IF(IFERROR(VLOOKUP(D855,Controls!$A$64:$E$74,5,FALSE),"No")="Yes",1,0)</f>
        <v/>
      </c>
      <c r="AI855">
        <f>IF(ISNUMBER(MATCH(D855,Controls!$A$64:$A$74,0)),1,0)</f>
        <v/>
      </c>
      <c r="AJ855">
        <f>Q855-N855</f>
        <v/>
      </c>
      <c r="AK855">
        <f>IF(AE855=1,MAX(0,N855-Q855),0)</f>
        <v/>
      </c>
      <c r="AL855">
        <f>IF(OR(V855="",V855=0),0,N855/V855)</f>
        <v/>
      </c>
      <c r="AM855">
        <f>IF(OR(V855="",V855=0),0,1)</f>
        <v/>
      </c>
      <c r="AN855">
        <f>IF(OR(E855="",F855=""),0,NETWORKDAYS(E855,F855,Ref!$K$2:$K$42))</f>
        <v/>
      </c>
      <c r="AO855">
        <f>IF(L855="Renewal",1,0)</f>
        <v/>
      </c>
      <c r="AP855">
        <f>AC855*AD855</f>
        <v/>
      </c>
      <c r="AQ855">
        <f>IF(AND(G855&lt;&gt;"",'Historical Score'!$C$6&lt;&gt;""),IF(G855='Historical Score'!$C$6,1,0),0)</f>
        <v/>
      </c>
      <c r="AR855">
        <f>IF(AND(L855&lt;&gt;"",'Historical Score'!$C$5&lt;&gt;""),IF(L855='Historical Score'!$C$5,1,0),0)</f>
        <v/>
      </c>
      <c r="AS855">
        <f>IF(AND(Y855&lt;&gt;"",'Historical Score'!$C$7&lt;&gt;""),IF(Y855='Historical Score'!$C$7,1,0),0)</f>
        <v/>
      </c>
      <c r="AT855">
        <f>IF(AND(K855&lt;&gt;"",'Historical Score'!$C$8&lt;&gt;""),IF(K855='Historical Score'!$C$8,1,0),0)</f>
        <v/>
      </c>
      <c r="AU855">
        <f>IF(AND(J855&lt;&gt;"",'Historical Score'!$C$9&lt;&gt;""),IF(J855='Historical Score'!$C$9,1,0),0)</f>
        <v/>
      </c>
      <c r="AV855">
        <f>AR855*AS855*AQ855</f>
        <v/>
      </c>
      <c r="AW855">
        <f>AR855*AT855*AQ855</f>
        <v/>
      </c>
      <c r="AX855">
        <f>AR855*AS855</f>
        <v/>
      </c>
      <c r="AY855">
        <f>AR855*AT855</f>
        <v/>
      </c>
      <c r="AZ855">
        <f>AR855*AQ855</f>
        <v/>
      </c>
      <c r="BA855">
        <f>AR855</f>
        <v/>
      </c>
      <c r="BB855">
        <f>1</f>
        <v/>
      </c>
      <c r="BC855">
        <f>IF(AV855=1,1,IF(AW855=1,2,IF(AX855=1,3,IF(AY855=1,4,IF(AZ855=1,5,IF(BA855=1,6,7))))))</f>
        <v/>
      </c>
      <c r="BD855">
        <f>IF(AD855=1,CHOOSE('Historical Score'!$C$29,AV855,AW855,AX855,AY855,AZ855,BA855,BB855),0)</f>
        <v/>
      </c>
      <c r="BE855">
        <f>IF(BD855=1,COUNTIF($BD$2:BD855,1),"")</f>
        <v/>
      </c>
    </row>
    <row r="856">
      <c r="A856" t="inlineStr">
        <is>
          <t>5674183362</t>
        </is>
      </c>
      <c r="B856" t="inlineStr">
        <is>
          <t>John Hebert MD</t>
        </is>
      </c>
      <c r="C856" t="inlineStr">
        <is>
          <t>John Hebert MD</t>
        </is>
      </c>
      <c r="D856" t="inlineStr">
        <is>
          <t>Closed</t>
        </is>
      </c>
      <c r="E856" s="297" t="n">
        <v>46153</v>
      </c>
      <c r="F856" s="297" t="n">
        <v>46223</v>
      </c>
      <c r="G856" t="n">
        <v>3</v>
      </c>
      <c r="H856" t="inlineStr">
        <is>
          <t>8011</t>
        </is>
      </c>
      <c r="I856" t="inlineStr">
        <is>
          <t>80</t>
        </is>
      </c>
      <c r="J856" t="inlineStr">
        <is>
          <t>LA</t>
        </is>
      </c>
      <c r="K856" t="inlineStr">
        <is>
          <t>United Secured Capital 8</t>
        </is>
      </c>
      <c r="L856" t="inlineStr">
        <is>
          <t>New Deal</t>
        </is>
      </c>
      <c r="M856" s="298" t="n">
        <v>1.49</v>
      </c>
      <c r="N856" s="299" t="n">
        <v>15000</v>
      </c>
      <c r="O856" s="299" t="n">
        <v>2100</v>
      </c>
      <c r="P856" s="299" t="n">
        <v>22350</v>
      </c>
      <c r="Q856" s="299" t="n">
        <v>22350</v>
      </c>
      <c r="R856" s="299" t="n">
        <v>0</v>
      </c>
      <c r="S856" s="300" t="n">
        <v>1</v>
      </c>
      <c r="T856" t="n">
        <v>3.279</v>
      </c>
      <c r="U856" t="n">
        <v>0</v>
      </c>
      <c r="V856" t="n">
        <v>28362.13</v>
      </c>
      <c r="W856" s="300" t="n">
        <v>0.1655</v>
      </c>
      <c r="X856" s="297" t="n"/>
      <c r="Y856">
        <f>IF(I856="","No SIC",IFERROR(VLOOKUP(I856,Ref!$A$2:$B$65,2,FALSE),"Unclassified"))</f>
        <v/>
      </c>
      <c r="Z856">
        <f>IF(T856="","",IF(T856&lt;12,"Daily","Weekly"))</f>
        <v/>
      </c>
      <c r="AA856">
        <f>IF(T856="",0,IF(T856&lt;12,T856*Controls!$B$29,T856*5))</f>
        <v/>
      </c>
      <c r="AB856">
        <f>IF(E856="",0,NETWORKDAYS(E856,Controls!$B$36,Ref!$K$2:$K$42))</f>
        <v/>
      </c>
      <c r="AC856">
        <f>IF(AND(AA856&gt;0,AB856&gt;=Controls!$B$39*AA856),1,0)</f>
        <v/>
      </c>
      <c r="AD856">
        <f>IF(AND(E856&lt;&gt;"",E856&gt;=Controls!$B$37,E856&lt;=Controls!$B$38),1,0)</f>
        <v/>
      </c>
      <c r="AE856">
        <f>IF(IFERROR(VLOOKUP(D856,Controls!$A$64:$E$74,2,FALSE),"No")="Yes",1,0)</f>
        <v/>
      </c>
      <c r="AF856">
        <f>IF(IFERROR(VLOOKUP(D856,Controls!$A$64:$E$74,3,FALSE),"No")="Yes",1,0)</f>
        <v/>
      </c>
      <c r="AG856">
        <f>IF(IFERROR(VLOOKUP(D856,Controls!$A$64:$E$74,4,FALSE),"No")="Yes",1,0)</f>
        <v/>
      </c>
      <c r="AH856">
        <f>IF(IFERROR(VLOOKUP(D856,Controls!$A$64:$E$74,5,FALSE),"No")="Yes",1,0)</f>
        <v/>
      </c>
      <c r="AI856">
        <f>IF(ISNUMBER(MATCH(D856,Controls!$A$64:$A$74,0)),1,0)</f>
        <v/>
      </c>
      <c r="AJ856">
        <f>Q856-N856</f>
        <v/>
      </c>
      <c r="AK856">
        <f>IF(AE856=1,MAX(0,N856-Q856),0)</f>
        <v/>
      </c>
      <c r="AL856">
        <f>IF(OR(V856="",V856=0),0,N856/V856)</f>
        <v/>
      </c>
      <c r="AM856">
        <f>IF(OR(V856="",V856=0),0,1)</f>
        <v/>
      </c>
      <c r="AN856">
        <f>IF(OR(E856="",F856=""),0,NETWORKDAYS(E856,F856,Ref!$K$2:$K$42))</f>
        <v/>
      </c>
      <c r="AO856">
        <f>IF(L856="Renewal",1,0)</f>
        <v/>
      </c>
      <c r="AP856">
        <f>AC856*AD856</f>
        <v/>
      </c>
      <c r="AQ856">
        <f>IF(AND(G856&lt;&gt;"",'Historical Score'!$C$6&lt;&gt;""),IF(G856='Historical Score'!$C$6,1,0),0)</f>
        <v/>
      </c>
      <c r="AR856">
        <f>IF(AND(L856&lt;&gt;"",'Historical Score'!$C$5&lt;&gt;""),IF(L856='Historical Score'!$C$5,1,0),0)</f>
        <v/>
      </c>
      <c r="AS856">
        <f>IF(AND(Y856&lt;&gt;"",'Historical Score'!$C$7&lt;&gt;""),IF(Y856='Historical Score'!$C$7,1,0),0)</f>
        <v/>
      </c>
      <c r="AT856">
        <f>IF(AND(K856&lt;&gt;"",'Historical Score'!$C$8&lt;&gt;""),IF(K856='Historical Score'!$C$8,1,0),0)</f>
        <v/>
      </c>
      <c r="AU856">
        <f>IF(AND(J856&lt;&gt;"",'Historical Score'!$C$9&lt;&gt;""),IF(J856='Historical Score'!$C$9,1,0),0)</f>
        <v/>
      </c>
      <c r="AV856">
        <f>AR856*AS856*AQ856</f>
        <v/>
      </c>
      <c r="AW856">
        <f>AR856*AT856*AQ856</f>
        <v/>
      </c>
      <c r="AX856">
        <f>AR856*AS856</f>
        <v/>
      </c>
      <c r="AY856">
        <f>AR856*AT856</f>
        <v/>
      </c>
      <c r="AZ856">
        <f>AR856*AQ856</f>
        <v/>
      </c>
      <c r="BA856">
        <f>AR856</f>
        <v/>
      </c>
      <c r="BB856">
        <f>1</f>
        <v/>
      </c>
      <c r="BC856">
        <f>IF(AV856=1,1,IF(AW856=1,2,IF(AX856=1,3,IF(AY856=1,4,IF(AZ856=1,5,IF(BA856=1,6,7))))))</f>
        <v/>
      </c>
      <c r="BD856">
        <f>IF(AD856=1,CHOOSE('Historical Score'!$C$29,AV856,AW856,AX856,AY856,AZ856,BA856,BB856),0)</f>
        <v/>
      </c>
      <c r="BE856">
        <f>IF(BD856=1,COUNTIF($BD$2:BD856,1),"")</f>
        <v/>
      </c>
    </row>
    <row r="857">
      <c r="A857" t="inlineStr">
        <is>
          <t>5674183368</t>
        </is>
      </c>
      <c r="B857" t="inlineStr">
        <is>
          <t>OBJECT ORIENTED PARTNERS DBA ZENITH PREP ACADEMY DBA FRANK SONG SOLE MBR</t>
        </is>
      </c>
      <c r="C857" t="inlineStr">
        <is>
          <t>OBJECT ORIENTED PARTNERS LLC</t>
        </is>
      </c>
      <c r="D857" t="inlineStr">
        <is>
          <t>Open</t>
        </is>
      </c>
      <c r="E857" s="297" t="n">
        <v>46153</v>
      </c>
      <c r="F857" s="297" t="n">
        <v>46252</v>
      </c>
      <c r="G857" t="n">
        <v>3</v>
      </c>
      <c r="H857" t="inlineStr">
        <is>
          <t>8741</t>
        </is>
      </c>
      <c r="I857" t="inlineStr">
        <is>
          <t>87</t>
        </is>
      </c>
      <c r="J857" t="inlineStr">
        <is>
          <t>CA</t>
        </is>
      </c>
      <c r="K857" t="inlineStr">
        <is>
          <t>Llama Loan</t>
        </is>
      </c>
      <c r="L857" t="inlineStr">
        <is>
          <t>New Deal</t>
        </is>
      </c>
      <c r="M857" s="298" t="n">
        <v>1.49</v>
      </c>
      <c r="N857" s="299" t="n">
        <v>250000</v>
      </c>
      <c r="O857" s="299" t="n">
        <v>35000</v>
      </c>
      <c r="P857" s="299" t="n">
        <v>372500</v>
      </c>
      <c r="Q857" s="299" t="n">
        <v>174078.66</v>
      </c>
      <c r="R857" s="299" t="n">
        <v>198421.34</v>
      </c>
      <c r="S857" s="300" t="n">
        <v>0.467325261744967</v>
      </c>
      <c r="T857" t="n">
        <v>30</v>
      </c>
      <c r="U857" t="n">
        <v>0</v>
      </c>
      <c r="V857" t="n">
        <v>1697500.34</v>
      </c>
      <c r="W857" s="300" t="n">
        <v>0.0293</v>
      </c>
      <c r="X857" s="297" t="n">
        <v>39179</v>
      </c>
      <c r="Y857">
        <f>IF(I857="","No SIC",IFERROR(VLOOKUP(I857,Ref!$A$2:$B$65,2,FALSE),"Unclassified"))</f>
        <v/>
      </c>
      <c r="Z857">
        <f>IF(T857="","",IF(T857&lt;12,"Daily","Weekly"))</f>
        <v/>
      </c>
      <c r="AA857">
        <f>IF(T857="",0,IF(T857&lt;12,T857*Controls!$B$29,T857*5))</f>
        <v/>
      </c>
      <c r="AB857">
        <f>IF(E857="",0,NETWORKDAYS(E857,Controls!$B$36,Ref!$K$2:$K$42))</f>
        <v/>
      </c>
      <c r="AC857">
        <f>IF(AND(AA857&gt;0,AB857&gt;=Controls!$B$39*AA857),1,0)</f>
        <v/>
      </c>
      <c r="AD857">
        <f>IF(AND(E857&lt;&gt;"",E857&gt;=Controls!$B$37,E857&lt;=Controls!$B$38),1,0)</f>
        <v/>
      </c>
      <c r="AE857">
        <f>IF(IFERROR(VLOOKUP(D857,Controls!$A$64:$E$74,2,FALSE),"No")="Yes",1,0)</f>
        <v/>
      </c>
      <c r="AF857">
        <f>IF(IFERROR(VLOOKUP(D857,Controls!$A$64:$E$74,3,FALSE),"No")="Yes",1,0)</f>
        <v/>
      </c>
      <c r="AG857">
        <f>IF(IFERROR(VLOOKUP(D857,Controls!$A$64:$E$74,4,FALSE),"No")="Yes",1,0)</f>
        <v/>
      </c>
      <c r="AH857">
        <f>IF(IFERROR(VLOOKUP(D857,Controls!$A$64:$E$74,5,FALSE),"No")="Yes",1,0)</f>
        <v/>
      </c>
      <c r="AI857">
        <f>IF(ISNUMBER(MATCH(D857,Controls!$A$64:$A$74,0)),1,0)</f>
        <v/>
      </c>
      <c r="AJ857">
        <f>Q857-N857</f>
        <v/>
      </c>
      <c r="AK857">
        <f>IF(AE857=1,MAX(0,N857-Q857),0)</f>
        <v/>
      </c>
      <c r="AL857">
        <f>IF(OR(V857="",V857=0),0,N857/V857)</f>
        <v/>
      </c>
      <c r="AM857">
        <f>IF(OR(V857="",V857=0),0,1)</f>
        <v/>
      </c>
      <c r="AN857">
        <f>IF(OR(E857="",F857=""),0,NETWORKDAYS(E857,F857,Ref!$K$2:$K$42))</f>
        <v/>
      </c>
      <c r="AO857">
        <f>IF(L857="Renewal",1,0)</f>
        <v/>
      </c>
      <c r="AP857">
        <f>AC857*AD857</f>
        <v/>
      </c>
      <c r="AQ857">
        <f>IF(AND(G857&lt;&gt;"",'Historical Score'!$C$6&lt;&gt;""),IF(G857='Historical Score'!$C$6,1,0),0)</f>
        <v/>
      </c>
      <c r="AR857">
        <f>IF(AND(L857&lt;&gt;"",'Historical Score'!$C$5&lt;&gt;""),IF(L857='Historical Score'!$C$5,1,0),0)</f>
        <v/>
      </c>
      <c r="AS857">
        <f>IF(AND(Y857&lt;&gt;"",'Historical Score'!$C$7&lt;&gt;""),IF(Y857='Historical Score'!$C$7,1,0),0)</f>
        <v/>
      </c>
      <c r="AT857">
        <f>IF(AND(K857&lt;&gt;"",'Historical Score'!$C$8&lt;&gt;""),IF(K857='Historical Score'!$C$8,1,0),0)</f>
        <v/>
      </c>
      <c r="AU857">
        <f>IF(AND(J857&lt;&gt;"",'Historical Score'!$C$9&lt;&gt;""),IF(J857='Historical Score'!$C$9,1,0),0)</f>
        <v/>
      </c>
      <c r="AV857">
        <f>AR857*AS857*AQ857</f>
        <v/>
      </c>
      <c r="AW857">
        <f>AR857*AT857*AQ857</f>
        <v/>
      </c>
      <c r="AX857">
        <f>AR857*AS857</f>
        <v/>
      </c>
      <c r="AY857">
        <f>AR857*AT857</f>
        <v/>
      </c>
      <c r="AZ857">
        <f>AR857*AQ857</f>
        <v/>
      </c>
      <c r="BA857">
        <f>AR857</f>
        <v/>
      </c>
      <c r="BB857">
        <f>1</f>
        <v/>
      </c>
      <c r="BC857">
        <f>IF(AV857=1,1,IF(AW857=1,2,IF(AX857=1,3,IF(AY857=1,4,IF(AZ857=1,5,IF(BA857=1,6,7))))))</f>
        <v/>
      </c>
      <c r="BD857">
        <f>IF(AD857=1,CHOOSE('Historical Score'!$C$29,AV857,AW857,AX857,AY857,AZ857,BA857,BB857),0)</f>
        <v/>
      </c>
      <c r="BE857">
        <f>IF(BD857=1,COUNTIF($BD$2:BD857,1),"")</f>
        <v/>
      </c>
    </row>
    <row r="858">
      <c r="A858" t="inlineStr">
        <is>
          <t>5674183390</t>
        </is>
      </c>
      <c r="B858" t="inlineStr">
        <is>
          <t>MAPULA LOGISTICS LLC</t>
        </is>
      </c>
      <c r="C858" t="inlineStr">
        <is>
          <t>MAPULA LOGISTICS LLC</t>
        </is>
      </c>
      <c r="D858" t="inlineStr">
        <is>
          <t>Open</t>
        </is>
      </c>
      <c r="E858" s="297" t="n">
        <v>46153</v>
      </c>
      <c r="F858" s="297" t="n">
        <v>46253</v>
      </c>
      <c r="G858" t="n">
        <v>3</v>
      </c>
      <c r="H858" t="inlineStr">
        <is>
          <t>4212</t>
        </is>
      </c>
      <c r="I858" t="inlineStr">
        <is>
          <t>42</t>
        </is>
      </c>
      <c r="J858" t="inlineStr">
        <is>
          <t>FL</t>
        </is>
      </c>
      <c r="K858" t="inlineStr">
        <is>
          <t>DIRECT CAPITAL SOURCE, INC.</t>
        </is>
      </c>
      <c r="L858" t="inlineStr">
        <is>
          <t>Renewal</t>
        </is>
      </c>
      <c r="M858" s="298" t="n">
        <v>1.49</v>
      </c>
      <c r="N858" s="299" t="n">
        <v>35000</v>
      </c>
      <c r="O858" s="299" t="n">
        <v>4900</v>
      </c>
      <c r="P858" s="299" t="n">
        <v>52150</v>
      </c>
      <c r="Q858" s="299" t="n">
        <v>29130.26</v>
      </c>
      <c r="R858" s="299" t="n">
        <v>23019.74</v>
      </c>
      <c r="S858" s="300" t="n">
        <v>0.558586001917546</v>
      </c>
      <c r="T858" t="n">
        <v>3.934</v>
      </c>
      <c r="U858" t="n">
        <v>3</v>
      </c>
      <c r="V858" t="n">
        <v>100887.92</v>
      </c>
      <c r="W858" s="300" t="n">
        <v>0.0905</v>
      </c>
      <c r="X858" s="297" t="n">
        <v>44019</v>
      </c>
      <c r="Y858">
        <f>IF(I858="","No SIC",IFERROR(VLOOKUP(I858,Ref!$A$2:$B$65,2,FALSE),"Unclassified"))</f>
        <v/>
      </c>
      <c r="Z858">
        <f>IF(T858="","",IF(T858&lt;12,"Daily","Weekly"))</f>
        <v/>
      </c>
      <c r="AA858">
        <f>IF(T858="",0,IF(T858&lt;12,T858*Controls!$B$29,T858*5))</f>
        <v/>
      </c>
      <c r="AB858">
        <f>IF(E858="",0,NETWORKDAYS(E858,Controls!$B$36,Ref!$K$2:$K$42))</f>
        <v/>
      </c>
      <c r="AC858">
        <f>IF(AND(AA858&gt;0,AB858&gt;=Controls!$B$39*AA858),1,0)</f>
        <v/>
      </c>
      <c r="AD858">
        <f>IF(AND(E858&lt;&gt;"",E858&gt;=Controls!$B$37,E858&lt;=Controls!$B$38),1,0)</f>
        <v/>
      </c>
      <c r="AE858">
        <f>IF(IFERROR(VLOOKUP(D858,Controls!$A$64:$E$74,2,FALSE),"No")="Yes",1,0)</f>
        <v/>
      </c>
      <c r="AF858">
        <f>IF(IFERROR(VLOOKUP(D858,Controls!$A$64:$E$74,3,FALSE),"No")="Yes",1,0)</f>
        <v/>
      </c>
      <c r="AG858">
        <f>IF(IFERROR(VLOOKUP(D858,Controls!$A$64:$E$74,4,FALSE),"No")="Yes",1,0)</f>
        <v/>
      </c>
      <c r="AH858">
        <f>IF(IFERROR(VLOOKUP(D858,Controls!$A$64:$E$74,5,FALSE),"No")="Yes",1,0)</f>
        <v/>
      </c>
      <c r="AI858">
        <f>IF(ISNUMBER(MATCH(D858,Controls!$A$64:$A$74,0)),1,0)</f>
        <v/>
      </c>
      <c r="AJ858">
        <f>Q858-N858</f>
        <v/>
      </c>
      <c r="AK858">
        <f>IF(AE858=1,MAX(0,N858-Q858),0)</f>
        <v/>
      </c>
      <c r="AL858">
        <f>IF(OR(V858="",V858=0),0,N858/V858)</f>
        <v/>
      </c>
      <c r="AM858">
        <f>IF(OR(V858="",V858=0),0,1)</f>
        <v/>
      </c>
      <c r="AN858">
        <f>IF(OR(E858="",F858=""),0,NETWORKDAYS(E858,F858,Ref!$K$2:$K$42))</f>
        <v/>
      </c>
      <c r="AO858">
        <f>IF(L858="Renewal",1,0)</f>
        <v/>
      </c>
      <c r="AP858">
        <f>AC858*AD858</f>
        <v/>
      </c>
      <c r="AQ858">
        <f>IF(AND(G858&lt;&gt;"",'Historical Score'!$C$6&lt;&gt;""),IF(G858='Historical Score'!$C$6,1,0),0)</f>
        <v/>
      </c>
      <c r="AR858">
        <f>IF(AND(L858&lt;&gt;"",'Historical Score'!$C$5&lt;&gt;""),IF(L858='Historical Score'!$C$5,1,0),0)</f>
        <v/>
      </c>
      <c r="AS858">
        <f>IF(AND(Y858&lt;&gt;"",'Historical Score'!$C$7&lt;&gt;""),IF(Y858='Historical Score'!$C$7,1,0),0)</f>
        <v/>
      </c>
      <c r="AT858">
        <f>IF(AND(K858&lt;&gt;"",'Historical Score'!$C$8&lt;&gt;""),IF(K858='Historical Score'!$C$8,1,0),0)</f>
        <v/>
      </c>
      <c r="AU858">
        <f>IF(AND(J858&lt;&gt;"",'Historical Score'!$C$9&lt;&gt;""),IF(J858='Historical Score'!$C$9,1,0),0)</f>
        <v/>
      </c>
      <c r="AV858">
        <f>AR858*AS858*AQ858</f>
        <v/>
      </c>
      <c r="AW858">
        <f>AR858*AT858*AQ858</f>
        <v/>
      </c>
      <c r="AX858">
        <f>AR858*AS858</f>
        <v/>
      </c>
      <c r="AY858">
        <f>AR858*AT858</f>
        <v/>
      </c>
      <c r="AZ858">
        <f>AR858*AQ858</f>
        <v/>
      </c>
      <c r="BA858">
        <f>AR858</f>
        <v/>
      </c>
      <c r="BB858">
        <f>1</f>
        <v/>
      </c>
      <c r="BC858">
        <f>IF(AV858=1,1,IF(AW858=1,2,IF(AX858=1,3,IF(AY858=1,4,IF(AZ858=1,5,IF(BA858=1,6,7))))))</f>
        <v/>
      </c>
      <c r="BD858">
        <f>IF(AD858=1,CHOOSE('Historical Score'!$C$29,AV858,AW858,AX858,AY858,AZ858,BA858,BB858),0)</f>
        <v/>
      </c>
      <c r="BE858">
        <f>IF(BD858=1,COUNTIF($BD$2:BD858,1),"")</f>
        <v/>
      </c>
    </row>
    <row r="859">
      <c r="A859" t="inlineStr">
        <is>
          <t>5674183401</t>
        </is>
      </c>
      <c r="B859" t="inlineStr">
        <is>
          <t>Holiday Cafe</t>
        </is>
      </c>
      <c r="C859" t="inlineStr">
        <is>
          <t>Stephanie Sieg</t>
        </is>
      </c>
      <c r="D859" t="inlineStr">
        <is>
          <t>Open</t>
        </is>
      </c>
      <c r="E859" s="297" t="n">
        <v>46153</v>
      </c>
      <c r="F859" s="297" t="n">
        <v>46231</v>
      </c>
      <c r="G859" t="n">
        <v>3</v>
      </c>
      <c r="H859" t="inlineStr">
        <is>
          <t>5812</t>
        </is>
      </c>
      <c r="I859" t="inlineStr">
        <is>
          <t>58</t>
        </is>
      </c>
      <c r="J859" t="inlineStr">
        <is>
          <t>WI</t>
        </is>
      </c>
      <c r="K859" t="inlineStr">
        <is>
          <t>lightningfundingsolutions</t>
        </is>
      </c>
      <c r="L859" t="inlineStr">
        <is>
          <t>New Deal</t>
        </is>
      </c>
      <c r="M859" s="298" t="n">
        <v>1.49</v>
      </c>
      <c r="N859" s="299" t="n">
        <v>10000</v>
      </c>
      <c r="O859" s="299" t="n">
        <v>1400</v>
      </c>
      <c r="P859" s="299" t="n">
        <v>14900</v>
      </c>
      <c r="Q859" s="299" t="n">
        <v>7151.04</v>
      </c>
      <c r="R859" s="299" t="n">
        <v>7748.96</v>
      </c>
      <c r="S859" s="300" t="n">
        <v>0.479935570469799</v>
      </c>
      <c r="T859" t="n">
        <v>3.279</v>
      </c>
      <c r="U859" t="n">
        <v>5</v>
      </c>
      <c r="V859" t="n">
        <v>29824.44</v>
      </c>
      <c r="W859" s="300" t="n">
        <v>0.1049</v>
      </c>
      <c r="X859" s="297" t="n">
        <v>41255</v>
      </c>
      <c r="Y859">
        <f>IF(I859="","No SIC",IFERROR(VLOOKUP(I859,Ref!$A$2:$B$65,2,FALSE),"Unclassified"))</f>
        <v/>
      </c>
      <c r="Z859">
        <f>IF(T859="","",IF(T859&lt;12,"Daily","Weekly"))</f>
        <v/>
      </c>
      <c r="AA859">
        <f>IF(T859="",0,IF(T859&lt;12,T859*Controls!$B$29,T859*5))</f>
        <v/>
      </c>
      <c r="AB859">
        <f>IF(E859="",0,NETWORKDAYS(E859,Controls!$B$36,Ref!$K$2:$K$42))</f>
        <v/>
      </c>
      <c r="AC859">
        <f>IF(AND(AA859&gt;0,AB859&gt;=Controls!$B$39*AA859),1,0)</f>
        <v/>
      </c>
      <c r="AD859">
        <f>IF(AND(E859&lt;&gt;"",E859&gt;=Controls!$B$37,E859&lt;=Controls!$B$38),1,0)</f>
        <v/>
      </c>
      <c r="AE859">
        <f>IF(IFERROR(VLOOKUP(D859,Controls!$A$64:$E$74,2,FALSE),"No")="Yes",1,0)</f>
        <v/>
      </c>
      <c r="AF859">
        <f>IF(IFERROR(VLOOKUP(D859,Controls!$A$64:$E$74,3,FALSE),"No")="Yes",1,0)</f>
        <v/>
      </c>
      <c r="AG859">
        <f>IF(IFERROR(VLOOKUP(D859,Controls!$A$64:$E$74,4,FALSE),"No")="Yes",1,0)</f>
        <v/>
      </c>
      <c r="AH859">
        <f>IF(IFERROR(VLOOKUP(D859,Controls!$A$64:$E$74,5,FALSE),"No")="Yes",1,0)</f>
        <v/>
      </c>
      <c r="AI859">
        <f>IF(ISNUMBER(MATCH(D859,Controls!$A$64:$A$74,0)),1,0)</f>
        <v/>
      </c>
      <c r="AJ859">
        <f>Q859-N859</f>
        <v/>
      </c>
      <c r="AK859">
        <f>IF(AE859=1,MAX(0,N859-Q859),0)</f>
        <v/>
      </c>
      <c r="AL859">
        <f>IF(OR(V859="",V859=0),0,N859/V859)</f>
        <v/>
      </c>
      <c r="AM859">
        <f>IF(OR(V859="",V859=0),0,1)</f>
        <v/>
      </c>
      <c r="AN859">
        <f>IF(OR(E859="",F859=""),0,NETWORKDAYS(E859,F859,Ref!$K$2:$K$42))</f>
        <v/>
      </c>
      <c r="AO859">
        <f>IF(L859="Renewal",1,0)</f>
        <v/>
      </c>
      <c r="AP859">
        <f>AC859*AD859</f>
        <v/>
      </c>
      <c r="AQ859">
        <f>IF(AND(G859&lt;&gt;"",'Historical Score'!$C$6&lt;&gt;""),IF(G859='Historical Score'!$C$6,1,0),0)</f>
        <v/>
      </c>
      <c r="AR859">
        <f>IF(AND(L859&lt;&gt;"",'Historical Score'!$C$5&lt;&gt;""),IF(L859='Historical Score'!$C$5,1,0),0)</f>
        <v/>
      </c>
      <c r="AS859">
        <f>IF(AND(Y859&lt;&gt;"",'Historical Score'!$C$7&lt;&gt;""),IF(Y859='Historical Score'!$C$7,1,0),0)</f>
        <v/>
      </c>
      <c r="AT859">
        <f>IF(AND(K859&lt;&gt;"",'Historical Score'!$C$8&lt;&gt;""),IF(K859='Historical Score'!$C$8,1,0),0)</f>
        <v/>
      </c>
      <c r="AU859">
        <f>IF(AND(J859&lt;&gt;"",'Historical Score'!$C$9&lt;&gt;""),IF(J859='Historical Score'!$C$9,1,0),0)</f>
        <v/>
      </c>
      <c r="AV859">
        <f>AR859*AS859*AQ859</f>
        <v/>
      </c>
      <c r="AW859">
        <f>AR859*AT859*AQ859</f>
        <v/>
      </c>
      <c r="AX859">
        <f>AR859*AS859</f>
        <v/>
      </c>
      <c r="AY859">
        <f>AR859*AT859</f>
        <v/>
      </c>
      <c r="AZ859">
        <f>AR859*AQ859</f>
        <v/>
      </c>
      <c r="BA859">
        <f>AR859</f>
        <v/>
      </c>
      <c r="BB859">
        <f>1</f>
        <v/>
      </c>
      <c r="BC859">
        <f>IF(AV859=1,1,IF(AW859=1,2,IF(AX859=1,3,IF(AY859=1,4,IF(AZ859=1,5,IF(BA859=1,6,7))))))</f>
        <v/>
      </c>
      <c r="BD859">
        <f>IF(AD859=1,CHOOSE('Historical Score'!$C$29,AV859,AW859,AX859,AY859,AZ859,BA859,BB859),0)</f>
        <v/>
      </c>
      <c r="BE859">
        <f>IF(BD859=1,COUNTIF($BD$2:BD859,1),"")</f>
        <v/>
      </c>
    </row>
    <row r="860">
      <c r="A860" t="inlineStr">
        <is>
          <t>5674183472</t>
        </is>
      </c>
      <c r="B860" t="inlineStr">
        <is>
          <t>SIZZLING BITES</t>
        </is>
      </c>
      <c r="C860" t="inlineStr">
        <is>
          <t>SIZZLING BITES LLC</t>
        </is>
      </c>
      <c r="D860" t="inlineStr">
        <is>
          <t>Open</t>
        </is>
      </c>
      <c r="E860" s="297" t="n">
        <v>46154</v>
      </c>
      <c r="F860" s="297" t="n">
        <v>46247</v>
      </c>
      <c r="G860" t="n">
        <v>2</v>
      </c>
      <c r="H860" t="inlineStr">
        <is>
          <t>5812</t>
        </is>
      </c>
      <c r="I860" t="inlineStr">
        <is>
          <t>58</t>
        </is>
      </c>
      <c r="J860" t="inlineStr">
        <is>
          <t>PA</t>
        </is>
      </c>
      <c r="K860" t="inlineStr">
        <is>
          <t>PMF</t>
        </is>
      </c>
      <c r="L860" t="inlineStr">
        <is>
          <t>New Deal</t>
        </is>
      </c>
      <c r="M860" s="298" t="n">
        <v>1.38</v>
      </c>
      <c r="N860" s="299" t="n">
        <v>200000</v>
      </c>
      <c r="O860" s="299" t="n">
        <v>14000</v>
      </c>
      <c r="P860" s="299" t="n">
        <v>276000</v>
      </c>
      <c r="Q860" s="299" t="n">
        <v>63721.8</v>
      </c>
      <c r="R860" s="299" t="n">
        <v>212278.2</v>
      </c>
      <c r="S860" s="300" t="n">
        <v>0.230876086956522</v>
      </c>
      <c r="T860" t="n">
        <v>52</v>
      </c>
      <c r="U860" t="n">
        <v>1</v>
      </c>
      <c r="V860" t="n">
        <v>202291.45</v>
      </c>
      <c r="W860" s="300" t="n">
        <v>0.105</v>
      </c>
      <c r="X860" s="297" t="n">
        <v>45292</v>
      </c>
      <c r="Y860">
        <f>IF(I860="","No SIC",IFERROR(VLOOKUP(I860,Ref!$A$2:$B$65,2,FALSE),"Unclassified"))</f>
        <v/>
      </c>
      <c r="Z860">
        <f>IF(T860="","",IF(T860&lt;12,"Daily","Weekly"))</f>
        <v/>
      </c>
      <c r="AA860">
        <f>IF(T860="",0,IF(T860&lt;12,T860*Controls!$B$29,T860*5))</f>
        <v/>
      </c>
      <c r="AB860">
        <f>IF(E860="",0,NETWORKDAYS(E860,Controls!$B$36,Ref!$K$2:$K$42))</f>
        <v/>
      </c>
      <c r="AC860">
        <f>IF(AND(AA860&gt;0,AB860&gt;=Controls!$B$39*AA860),1,0)</f>
        <v/>
      </c>
      <c r="AD860">
        <f>IF(AND(E860&lt;&gt;"",E860&gt;=Controls!$B$37,E860&lt;=Controls!$B$38),1,0)</f>
        <v/>
      </c>
      <c r="AE860">
        <f>IF(IFERROR(VLOOKUP(D860,Controls!$A$64:$E$74,2,FALSE),"No")="Yes",1,0)</f>
        <v/>
      </c>
      <c r="AF860">
        <f>IF(IFERROR(VLOOKUP(D860,Controls!$A$64:$E$74,3,FALSE),"No")="Yes",1,0)</f>
        <v/>
      </c>
      <c r="AG860">
        <f>IF(IFERROR(VLOOKUP(D860,Controls!$A$64:$E$74,4,FALSE),"No")="Yes",1,0)</f>
        <v/>
      </c>
      <c r="AH860">
        <f>IF(IFERROR(VLOOKUP(D860,Controls!$A$64:$E$74,5,FALSE),"No")="Yes",1,0)</f>
        <v/>
      </c>
      <c r="AI860">
        <f>IF(ISNUMBER(MATCH(D860,Controls!$A$64:$A$74,0)),1,0)</f>
        <v/>
      </c>
      <c r="AJ860">
        <f>Q860-N860</f>
        <v/>
      </c>
      <c r="AK860">
        <f>IF(AE860=1,MAX(0,N860-Q860),0)</f>
        <v/>
      </c>
      <c r="AL860">
        <f>IF(OR(V860="",V860=0),0,N860/V860)</f>
        <v/>
      </c>
      <c r="AM860">
        <f>IF(OR(V860="",V860=0),0,1)</f>
        <v/>
      </c>
      <c r="AN860">
        <f>IF(OR(E860="",F860=""),0,NETWORKDAYS(E860,F860,Ref!$K$2:$K$42))</f>
        <v/>
      </c>
      <c r="AO860">
        <f>IF(L860="Renewal",1,0)</f>
        <v/>
      </c>
      <c r="AP860">
        <f>AC860*AD860</f>
        <v/>
      </c>
      <c r="AQ860">
        <f>IF(AND(G860&lt;&gt;"",'Historical Score'!$C$6&lt;&gt;""),IF(G860='Historical Score'!$C$6,1,0),0)</f>
        <v/>
      </c>
      <c r="AR860">
        <f>IF(AND(L860&lt;&gt;"",'Historical Score'!$C$5&lt;&gt;""),IF(L860='Historical Score'!$C$5,1,0),0)</f>
        <v/>
      </c>
      <c r="AS860">
        <f>IF(AND(Y860&lt;&gt;"",'Historical Score'!$C$7&lt;&gt;""),IF(Y860='Historical Score'!$C$7,1,0),0)</f>
        <v/>
      </c>
      <c r="AT860">
        <f>IF(AND(K860&lt;&gt;"",'Historical Score'!$C$8&lt;&gt;""),IF(K860='Historical Score'!$C$8,1,0),0)</f>
        <v/>
      </c>
      <c r="AU860">
        <f>IF(AND(J860&lt;&gt;"",'Historical Score'!$C$9&lt;&gt;""),IF(J860='Historical Score'!$C$9,1,0),0)</f>
        <v/>
      </c>
      <c r="AV860">
        <f>AR860*AS860*AQ860</f>
        <v/>
      </c>
      <c r="AW860">
        <f>AR860*AT860*AQ860</f>
        <v/>
      </c>
      <c r="AX860">
        <f>AR860*AS860</f>
        <v/>
      </c>
      <c r="AY860">
        <f>AR860*AT860</f>
        <v/>
      </c>
      <c r="AZ860">
        <f>AR860*AQ860</f>
        <v/>
      </c>
      <c r="BA860">
        <f>AR860</f>
        <v/>
      </c>
      <c r="BB860">
        <f>1</f>
        <v/>
      </c>
      <c r="BC860">
        <f>IF(AV860=1,1,IF(AW860=1,2,IF(AX860=1,3,IF(AY860=1,4,IF(AZ860=1,5,IF(BA860=1,6,7))))))</f>
        <v/>
      </c>
      <c r="BD860">
        <f>IF(AD860=1,CHOOSE('Historical Score'!$C$29,AV860,AW860,AX860,AY860,AZ860,BA860,BB860),0)</f>
        <v/>
      </c>
      <c r="BE860">
        <f>IF(BD860=1,COUNTIF($BD$2:BD860,1),"")</f>
        <v/>
      </c>
    </row>
    <row r="861">
      <c r="A861" t="inlineStr">
        <is>
          <t>5674183524</t>
        </is>
      </c>
      <c r="B861" t="inlineStr">
        <is>
          <t>EL TACO LOCO AL VAPOR II,</t>
        </is>
      </c>
      <c r="C861" t="inlineStr">
        <is>
          <t>EL TACO LOCO AL VAPOR II,</t>
        </is>
      </c>
      <c r="D861" t="inlineStr">
        <is>
          <t>Open</t>
        </is>
      </c>
      <c r="E861" s="297" t="n">
        <v>46155</v>
      </c>
      <c r="F861" s="297" t="n">
        <v>46248</v>
      </c>
      <c r="G861" t="n">
        <v>3</v>
      </c>
      <c r="H861" t="inlineStr">
        <is>
          <t>5812</t>
        </is>
      </c>
      <c r="I861" t="inlineStr">
        <is>
          <t>58</t>
        </is>
      </c>
      <c r="J861" t="inlineStr">
        <is>
          <t>TX</t>
        </is>
      </c>
      <c r="K861" t="inlineStr">
        <is>
          <t>Westwood</t>
        </is>
      </c>
      <c r="L861" t="inlineStr">
        <is>
          <t>Renewal</t>
        </is>
      </c>
      <c r="M861" s="298" t="n">
        <v>1.49</v>
      </c>
      <c r="N861" s="299" t="n">
        <v>35000</v>
      </c>
      <c r="O861" s="299" t="n">
        <v>4900</v>
      </c>
      <c r="P861" s="299" t="n">
        <v>52150</v>
      </c>
      <c r="Q861" s="299" t="n">
        <v>22602.19</v>
      </c>
      <c r="R861" s="299" t="n">
        <v>29547.81</v>
      </c>
      <c r="S861" s="300" t="n">
        <v>0.433407286673058</v>
      </c>
      <c r="T861" t="n">
        <v>30</v>
      </c>
      <c r="U861" t="n">
        <v>0</v>
      </c>
      <c r="V861" t="n">
        <v>48000</v>
      </c>
      <c r="W861" s="300" t="n">
        <v>0.1987</v>
      </c>
      <c r="X861" s="297" t="n">
        <v>44854</v>
      </c>
      <c r="Y861">
        <f>IF(I861="","No SIC",IFERROR(VLOOKUP(I861,Ref!$A$2:$B$65,2,FALSE),"Unclassified"))</f>
        <v/>
      </c>
      <c r="Z861">
        <f>IF(T861="","",IF(T861&lt;12,"Daily","Weekly"))</f>
        <v/>
      </c>
      <c r="AA861">
        <f>IF(T861="",0,IF(T861&lt;12,T861*Controls!$B$29,T861*5))</f>
        <v/>
      </c>
      <c r="AB861">
        <f>IF(E861="",0,NETWORKDAYS(E861,Controls!$B$36,Ref!$K$2:$K$42))</f>
        <v/>
      </c>
      <c r="AC861">
        <f>IF(AND(AA861&gt;0,AB861&gt;=Controls!$B$39*AA861),1,0)</f>
        <v/>
      </c>
      <c r="AD861">
        <f>IF(AND(E861&lt;&gt;"",E861&gt;=Controls!$B$37,E861&lt;=Controls!$B$38),1,0)</f>
        <v/>
      </c>
      <c r="AE861">
        <f>IF(IFERROR(VLOOKUP(D861,Controls!$A$64:$E$74,2,FALSE),"No")="Yes",1,0)</f>
        <v/>
      </c>
      <c r="AF861">
        <f>IF(IFERROR(VLOOKUP(D861,Controls!$A$64:$E$74,3,FALSE),"No")="Yes",1,0)</f>
        <v/>
      </c>
      <c r="AG861">
        <f>IF(IFERROR(VLOOKUP(D861,Controls!$A$64:$E$74,4,FALSE),"No")="Yes",1,0)</f>
        <v/>
      </c>
      <c r="AH861">
        <f>IF(IFERROR(VLOOKUP(D861,Controls!$A$64:$E$74,5,FALSE),"No")="Yes",1,0)</f>
        <v/>
      </c>
      <c r="AI861">
        <f>IF(ISNUMBER(MATCH(D861,Controls!$A$64:$A$74,0)),1,0)</f>
        <v/>
      </c>
      <c r="AJ861">
        <f>Q861-N861</f>
        <v/>
      </c>
      <c r="AK861">
        <f>IF(AE861=1,MAX(0,N861-Q861),0)</f>
        <v/>
      </c>
      <c r="AL861">
        <f>IF(OR(V861="",V861=0),0,N861/V861)</f>
        <v/>
      </c>
      <c r="AM861">
        <f>IF(OR(V861="",V861=0),0,1)</f>
        <v/>
      </c>
      <c r="AN861">
        <f>IF(OR(E861="",F861=""),0,NETWORKDAYS(E861,F861,Ref!$K$2:$K$42))</f>
        <v/>
      </c>
      <c r="AO861">
        <f>IF(L861="Renewal",1,0)</f>
        <v/>
      </c>
      <c r="AP861">
        <f>AC861*AD861</f>
        <v/>
      </c>
      <c r="AQ861">
        <f>IF(AND(G861&lt;&gt;"",'Historical Score'!$C$6&lt;&gt;""),IF(G861='Historical Score'!$C$6,1,0),0)</f>
        <v/>
      </c>
      <c r="AR861">
        <f>IF(AND(L861&lt;&gt;"",'Historical Score'!$C$5&lt;&gt;""),IF(L861='Historical Score'!$C$5,1,0),0)</f>
        <v/>
      </c>
      <c r="AS861">
        <f>IF(AND(Y861&lt;&gt;"",'Historical Score'!$C$7&lt;&gt;""),IF(Y861='Historical Score'!$C$7,1,0),0)</f>
        <v/>
      </c>
      <c r="AT861">
        <f>IF(AND(K861&lt;&gt;"",'Historical Score'!$C$8&lt;&gt;""),IF(K861='Historical Score'!$C$8,1,0),0)</f>
        <v/>
      </c>
      <c r="AU861">
        <f>IF(AND(J861&lt;&gt;"",'Historical Score'!$C$9&lt;&gt;""),IF(J861='Historical Score'!$C$9,1,0),0)</f>
        <v/>
      </c>
      <c r="AV861">
        <f>AR861*AS861*AQ861</f>
        <v/>
      </c>
      <c r="AW861">
        <f>AR861*AT861*AQ861</f>
        <v/>
      </c>
      <c r="AX861">
        <f>AR861*AS861</f>
        <v/>
      </c>
      <c r="AY861">
        <f>AR861*AT861</f>
        <v/>
      </c>
      <c r="AZ861">
        <f>AR861*AQ861</f>
        <v/>
      </c>
      <c r="BA861">
        <f>AR861</f>
        <v/>
      </c>
      <c r="BB861">
        <f>1</f>
        <v/>
      </c>
      <c r="BC861">
        <f>IF(AV861=1,1,IF(AW861=1,2,IF(AX861=1,3,IF(AY861=1,4,IF(AZ861=1,5,IF(BA861=1,6,7))))))</f>
        <v/>
      </c>
      <c r="BD861">
        <f>IF(AD861=1,CHOOSE('Historical Score'!$C$29,AV861,AW861,AX861,AY861,AZ861,BA861,BB861),0)</f>
        <v/>
      </c>
      <c r="BE861">
        <f>IF(BD861=1,COUNTIF($BD$2:BD861,1),"")</f>
        <v/>
      </c>
    </row>
    <row r="862">
      <c r="A862" t="inlineStr">
        <is>
          <t>5674183525</t>
        </is>
      </c>
      <c r="B862" t="inlineStr">
        <is>
          <t>ANDREW R KLAUSNER, P.C. , KLAUSNER JOHNSON LLP</t>
        </is>
      </c>
      <c r="C862" t="inlineStr">
        <is>
          <t>ANDREW R KLAUSNER A PROFESSIONAL CORPORATION</t>
        </is>
      </c>
      <c r="D862" t="inlineStr">
        <is>
          <t>Bankruptcy</t>
        </is>
      </c>
      <c r="E862" s="297" t="n">
        <v>46155</v>
      </c>
      <c r="F862" s="297" t="n">
        <v>46244</v>
      </c>
      <c r="G862" t="n">
        <v>4</v>
      </c>
      <c r="H862" t="inlineStr">
        <is>
          <t>8111</t>
        </is>
      </c>
      <c r="I862" t="inlineStr">
        <is>
          <t>81</t>
        </is>
      </c>
      <c r="J862" t="inlineStr">
        <is>
          <t>No state</t>
        </is>
      </c>
      <c r="K862" t="inlineStr">
        <is>
          <t>Vanguard Equities</t>
        </is>
      </c>
      <c r="L862" t="inlineStr">
        <is>
          <t>New Deal</t>
        </is>
      </c>
      <c r="M862" s="298" t="n">
        <v>1.37</v>
      </c>
      <c r="N862" s="299" t="n">
        <v>25000</v>
      </c>
      <c r="O862" s="299" t="n">
        <v>2000</v>
      </c>
      <c r="P862" s="299" t="n">
        <v>34250</v>
      </c>
      <c r="Q862" s="299" t="n">
        <v>12844.26</v>
      </c>
      <c r="R862" s="299" t="n">
        <v>21405.74</v>
      </c>
      <c r="S862" s="300" t="n">
        <v>0.375014890510949</v>
      </c>
      <c r="T862" t="n">
        <v>24</v>
      </c>
      <c r="U862" t="n">
        <v>9</v>
      </c>
      <c r="V862" t="n">
        <v>91000</v>
      </c>
      <c r="W862" s="300" t="n">
        <v>0.333</v>
      </c>
      <c r="X862" s="297" t="n">
        <v>43586</v>
      </c>
      <c r="Y862">
        <f>IF(I862="","No SIC",IFERROR(VLOOKUP(I862,Ref!$A$2:$B$65,2,FALSE),"Unclassified"))</f>
        <v/>
      </c>
      <c r="Z862">
        <f>IF(T862="","",IF(T862&lt;12,"Daily","Weekly"))</f>
        <v/>
      </c>
      <c r="AA862">
        <f>IF(T862="",0,IF(T862&lt;12,T862*Controls!$B$29,T862*5))</f>
        <v/>
      </c>
      <c r="AB862">
        <f>IF(E862="",0,NETWORKDAYS(E862,Controls!$B$36,Ref!$K$2:$K$42))</f>
        <v/>
      </c>
      <c r="AC862">
        <f>IF(AND(AA862&gt;0,AB862&gt;=Controls!$B$39*AA862),1,0)</f>
        <v/>
      </c>
      <c r="AD862">
        <f>IF(AND(E862&lt;&gt;"",E862&gt;=Controls!$B$37,E862&lt;=Controls!$B$38),1,0)</f>
        <v/>
      </c>
      <c r="AE862">
        <f>IF(IFERROR(VLOOKUP(D862,Controls!$A$64:$E$74,2,FALSE),"No")="Yes",1,0)</f>
        <v/>
      </c>
      <c r="AF862">
        <f>IF(IFERROR(VLOOKUP(D862,Controls!$A$64:$E$74,3,FALSE),"No")="Yes",1,0)</f>
        <v/>
      </c>
      <c r="AG862">
        <f>IF(IFERROR(VLOOKUP(D862,Controls!$A$64:$E$74,4,FALSE),"No")="Yes",1,0)</f>
        <v/>
      </c>
      <c r="AH862">
        <f>IF(IFERROR(VLOOKUP(D862,Controls!$A$64:$E$74,5,FALSE),"No")="Yes",1,0)</f>
        <v/>
      </c>
      <c r="AI862">
        <f>IF(ISNUMBER(MATCH(D862,Controls!$A$64:$A$74,0)),1,0)</f>
        <v/>
      </c>
      <c r="AJ862">
        <f>Q862-N862</f>
        <v/>
      </c>
      <c r="AK862">
        <f>IF(AE862=1,MAX(0,N862-Q862),0)</f>
        <v/>
      </c>
      <c r="AL862">
        <f>IF(OR(V862="",V862=0),0,N862/V862)</f>
        <v/>
      </c>
      <c r="AM862">
        <f>IF(OR(V862="",V862=0),0,1)</f>
        <v/>
      </c>
      <c r="AN862">
        <f>IF(OR(E862="",F862=""),0,NETWORKDAYS(E862,F862,Ref!$K$2:$K$42))</f>
        <v/>
      </c>
      <c r="AO862">
        <f>IF(L862="Renewal",1,0)</f>
        <v/>
      </c>
      <c r="AP862">
        <f>AC862*AD862</f>
        <v/>
      </c>
      <c r="AQ862">
        <f>IF(AND(G862&lt;&gt;"",'Historical Score'!$C$6&lt;&gt;""),IF(G862='Historical Score'!$C$6,1,0),0)</f>
        <v/>
      </c>
      <c r="AR862">
        <f>IF(AND(L862&lt;&gt;"",'Historical Score'!$C$5&lt;&gt;""),IF(L862='Historical Score'!$C$5,1,0),0)</f>
        <v/>
      </c>
      <c r="AS862">
        <f>IF(AND(Y862&lt;&gt;"",'Historical Score'!$C$7&lt;&gt;""),IF(Y862='Historical Score'!$C$7,1,0),0)</f>
        <v/>
      </c>
      <c r="AT862">
        <f>IF(AND(K862&lt;&gt;"",'Historical Score'!$C$8&lt;&gt;""),IF(K862='Historical Score'!$C$8,1,0),0)</f>
        <v/>
      </c>
      <c r="AU862">
        <f>IF(AND(J862&lt;&gt;"",'Historical Score'!$C$9&lt;&gt;""),IF(J862='Historical Score'!$C$9,1,0),0)</f>
        <v/>
      </c>
      <c r="AV862">
        <f>AR862*AS862*AQ862</f>
        <v/>
      </c>
      <c r="AW862">
        <f>AR862*AT862*AQ862</f>
        <v/>
      </c>
      <c r="AX862">
        <f>AR862*AS862</f>
        <v/>
      </c>
      <c r="AY862">
        <f>AR862*AT862</f>
        <v/>
      </c>
      <c r="AZ862">
        <f>AR862*AQ862</f>
        <v/>
      </c>
      <c r="BA862">
        <f>AR862</f>
        <v/>
      </c>
      <c r="BB862">
        <f>1</f>
        <v/>
      </c>
      <c r="BC862">
        <f>IF(AV862=1,1,IF(AW862=1,2,IF(AX862=1,3,IF(AY862=1,4,IF(AZ862=1,5,IF(BA862=1,6,7))))))</f>
        <v/>
      </c>
      <c r="BD862">
        <f>IF(AD862=1,CHOOSE('Historical Score'!$C$29,AV862,AW862,AX862,AY862,AZ862,BA862,BB862),0)</f>
        <v/>
      </c>
      <c r="BE862">
        <f>IF(BD862=1,COUNTIF($BD$2:BD862,1),"")</f>
        <v/>
      </c>
    </row>
    <row r="863">
      <c r="A863" t="inlineStr">
        <is>
          <t>5674183565</t>
        </is>
      </c>
      <c r="B863" t="inlineStr">
        <is>
          <t>PLATINUM PARTNERS EST LLC</t>
        </is>
      </c>
      <c r="C863" t="inlineStr">
        <is>
          <t>PLATINUM PARTNERS EST LLC</t>
        </is>
      </c>
      <c r="D863" t="inlineStr">
        <is>
          <t>Legal</t>
        </is>
      </c>
      <c r="E863" s="297" t="n">
        <v>46155</v>
      </c>
      <c r="F863" s="297" t="n">
        <v>46199</v>
      </c>
      <c r="G863" t="n">
        <v>3</v>
      </c>
      <c r="H863" t="inlineStr">
        <is>
          <t>6531</t>
        </is>
      </c>
      <c r="I863" t="inlineStr">
        <is>
          <t>65</t>
        </is>
      </c>
      <c r="J863" t="inlineStr">
        <is>
          <t>SC</t>
        </is>
      </c>
      <c r="K863" t="inlineStr">
        <is>
          <t>DBS FUNDING GROUP</t>
        </is>
      </c>
      <c r="L863" t="inlineStr">
        <is>
          <t>New Deal</t>
        </is>
      </c>
      <c r="M863" s="298" t="n">
        <v>1.49</v>
      </c>
      <c r="N863" s="299" t="n">
        <v>17000</v>
      </c>
      <c r="O863" s="299" t="n">
        <v>0</v>
      </c>
      <c r="P863" s="299" t="n">
        <v>25330</v>
      </c>
      <c r="Q863" s="299" t="n">
        <v>2533.95</v>
      </c>
      <c r="R863" s="299" t="n">
        <v>22796.05</v>
      </c>
      <c r="S863" s="300" t="n">
        <v>0.10003750493486</v>
      </c>
      <c r="T863" t="n">
        <v>1.639</v>
      </c>
      <c r="U863" t="n">
        <v>23</v>
      </c>
      <c r="V863" t="n">
        <v>84734.25</v>
      </c>
      <c r="W863" s="300" t="n">
        <v>0.1256</v>
      </c>
      <c r="X863" s="297" t="n">
        <v>43910</v>
      </c>
      <c r="Y863">
        <f>IF(I863="","No SIC",IFERROR(VLOOKUP(I863,Ref!$A$2:$B$65,2,FALSE),"Unclassified"))</f>
        <v/>
      </c>
      <c r="Z863">
        <f>IF(T863="","",IF(T863&lt;12,"Daily","Weekly"))</f>
        <v/>
      </c>
      <c r="AA863">
        <f>IF(T863="",0,IF(T863&lt;12,T863*Controls!$B$29,T863*5))</f>
        <v/>
      </c>
      <c r="AB863">
        <f>IF(E863="",0,NETWORKDAYS(E863,Controls!$B$36,Ref!$K$2:$K$42))</f>
        <v/>
      </c>
      <c r="AC863">
        <f>IF(AND(AA863&gt;0,AB863&gt;=Controls!$B$39*AA863),1,0)</f>
        <v/>
      </c>
      <c r="AD863">
        <f>IF(AND(E863&lt;&gt;"",E863&gt;=Controls!$B$37,E863&lt;=Controls!$B$38),1,0)</f>
        <v/>
      </c>
      <c r="AE863">
        <f>IF(IFERROR(VLOOKUP(D863,Controls!$A$64:$E$74,2,FALSE),"No")="Yes",1,0)</f>
        <v/>
      </c>
      <c r="AF863">
        <f>IF(IFERROR(VLOOKUP(D863,Controls!$A$64:$E$74,3,FALSE),"No")="Yes",1,0)</f>
        <v/>
      </c>
      <c r="AG863">
        <f>IF(IFERROR(VLOOKUP(D863,Controls!$A$64:$E$74,4,FALSE),"No")="Yes",1,0)</f>
        <v/>
      </c>
      <c r="AH863">
        <f>IF(IFERROR(VLOOKUP(D863,Controls!$A$64:$E$74,5,FALSE),"No")="Yes",1,0)</f>
        <v/>
      </c>
      <c r="AI863">
        <f>IF(ISNUMBER(MATCH(D863,Controls!$A$64:$A$74,0)),1,0)</f>
        <v/>
      </c>
      <c r="AJ863">
        <f>Q863-N863</f>
        <v/>
      </c>
      <c r="AK863">
        <f>IF(AE863=1,MAX(0,N863-Q863),0)</f>
        <v/>
      </c>
      <c r="AL863">
        <f>IF(OR(V863="",V863=0),0,N863/V863)</f>
        <v/>
      </c>
      <c r="AM863">
        <f>IF(OR(V863="",V863=0),0,1)</f>
        <v/>
      </c>
      <c r="AN863">
        <f>IF(OR(E863="",F863=""),0,NETWORKDAYS(E863,F863,Ref!$K$2:$K$42))</f>
        <v/>
      </c>
      <c r="AO863">
        <f>IF(L863="Renewal",1,0)</f>
        <v/>
      </c>
      <c r="AP863">
        <f>AC863*AD863</f>
        <v/>
      </c>
      <c r="AQ863">
        <f>IF(AND(G863&lt;&gt;"",'Historical Score'!$C$6&lt;&gt;""),IF(G863='Historical Score'!$C$6,1,0),0)</f>
        <v/>
      </c>
      <c r="AR863">
        <f>IF(AND(L863&lt;&gt;"",'Historical Score'!$C$5&lt;&gt;""),IF(L863='Historical Score'!$C$5,1,0),0)</f>
        <v/>
      </c>
      <c r="AS863">
        <f>IF(AND(Y863&lt;&gt;"",'Historical Score'!$C$7&lt;&gt;""),IF(Y863='Historical Score'!$C$7,1,0),0)</f>
        <v/>
      </c>
      <c r="AT863">
        <f>IF(AND(K863&lt;&gt;"",'Historical Score'!$C$8&lt;&gt;""),IF(K863='Historical Score'!$C$8,1,0),0)</f>
        <v/>
      </c>
      <c r="AU863">
        <f>IF(AND(J863&lt;&gt;"",'Historical Score'!$C$9&lt;&gt;""),IF(J863='Historical Score'!$C$9,1,0),0)</f>
        <v/>
      </c>
      <c r="AV863">
        <f>AR863*AS863*AQ863</f>
        <v/>
      </c>
      <c r="AW863">
        <f>AR863*AT863*AQ863</f>
        <v/>
      </c>
      <c r="AX863">
        <f>AR863*AS863</f>
        <v/>
      </c>
      <c r="AY863">
        <f>AR863*AT863</f>
        <v/>
      </c>
      <c r="AZ863">
        <f>AR863*AQ863</f>
        <v/>
      </c>
      <c r="BA863">
        <f>AR863</f>
        <v/>
      </c>
      <c r="BB863">
        <f>1</f>
        <v/>
      </c>
      <c r="BC863">
        <f>IF(AV863=1,1,IF(AW863=1,2,IF(AX863=1,3,IF(AY863=1,4,IF(AZ863=1,5,IF(BA863=1,6,7))))))</f>
        <v/>
      </c>
      <c r="BD863">
        <f>IF(AD863=1,CHOOSE('Historical Score'!$C$29,AV863,AW863,AX863,AY863,AZ863,BA863,BB863),0)</f>
        <v/>
      </c>
      <c r="BE863">
        <f>IF(BD863=1,COUNTIF($BD$2:BD863,1),"")</f>
        <v/>
      </c>
    </row>
    <row r="864">
      <c r="A864" t="inlineStr">
        <is>
          <t>5674183566</t>
        </is>
      </c>
      <c r="B864" t="inlineStr">
        <is>
          <t>MOISES MARES AGUILAR</t>
        </is>
      </c>
      <c r="C864" t="inlineStr">
        <is>
          <t>MOISES MARES AGUILAR</t>
        </is>
      </c>
      <c r="D864" t="inlineStr">
        <is>
          <t>Open</t>
        </is>
      </c>
      <c r="E864" s="297" t="n">
        <v>46155</v>
      </c>
      <c r="F864" s="297" t="n">
        <v>46251</v>
      </c>
      <c r="G864" t="n">
        <v>3</v>
      </c>
      <c r="H864" t="inlineStr">
        <is>
          <t>7538</t>
        </is>
      </c>
      <c r="I864" t="inlineStr">
        <is>
          <t>75</t>
        </is>
      </c>
      <c r="J864" t="inlineStr">
        <is>
          <t>TX</t>
        </is>
      </c>
      <c r="K864" t="inlineStr">
        <is>
          <t>United Secured Capital 8</t>
        </is>
      </c>
      <c r="L864" t="inlineStr">
        <is>
          <t>Renewal</t>
        </is>
      </c>
      <c r="M864" s="298" t="n">
        <v>1.44</v>
      </c>
      <c r="N864" s="299" t="n">
        <v>58000</v>
      </c>
      <c r="O864" s="299" t="n">
        <v>6670</v>
      </c>
      <c r="P864" s="299" t="n">
        <v>83520</v>
      </c>
      <c r="Q864" s="299" t="n">
        <v>36525.02</v>
      </c>
      <c r="R864" s="299" t="n">
        <v>46994.98</v>
      </c>
      <c r="S864" s="300" t="n">
        <v>0.437320641762452</v>
      </c>
      <c r="T864" t="n">
        <v>32</v>
      </c>
      <c r="U864" t="n">
        <v>0</v>
      </c>
      <c r="V864" t="n">
        <v>135177.51</v>
      </c>
      <c r="W864" s="300" t="n">
        <v>0.0772</v>
      </c>
      <c r="X864" s="297" t="n"/>
      <c r="Y864">
        <f>IF(I864="","No SIC",IFERROR(VLOOKUP(I864,Ref!$A$2:$B$65,2,FALSE),"Unclassified"))</f>
        <v/>
      </c>
      <c r="Z864">
        <f>IF(T864="","",IF(T864&lt;12,"Daily","Weekly"))</f>
        <v/>
      </c>
      <c r="AA864">
        <f>IF(T864="",0,IF(T864&lt;12,T864*Controls!$B$29,T864*5))</f>
        <v/>
      </c>
      <c r="AB864">
        <f>IF(E864="",0,NETWORKDAYS(E864,Controls!$B$36,Ref!$K$2:$K$42))</f>
        <v/>
      </c>
      <c r="AC864">
        <f>IF(AND(AA864&gt;0,AB864&gt;=Controls!$B$39*AA864),1,0)</f>
        <v/>
      </c>
      <c r="AD864">
        <f>IF(AND(E864&lt;&gt;"",E864&gt;=Controls!$B$37,E864&lt;=Controls!$B$38),1,0)</f>
        <v/>
      </c>
      <c r="AE864">
        <f>IF(IFERROR(VLOOKUP(D864,Controls!$A$64:$E$74,2,FALSE),"No")="Yes",1,0)</f>
        <v/>
      </c>
      <c r="AF864">
        <f>IF(IFERROR(VLOOKUP(D864,Controls!$A$64:$E$74,3,FALSE),"No")="Yes",1,0)</f>
        <v/>
      </c>
      <c r="AG864">
        <f>IF(IFERROR(VLOOKUP(D864,Controls!$A$64:$E$74,4,FALSE),"No")="Yes",1,0)</f>
        <v/>
      </c>
      <c r="AH864">
        <f>IF(IFERROR(VLOOKUP(D864,Controls!$A$64:$E$74,5,FALSE),"No")="Yes",1,0)</f>
        <v/>
      </c>
      <c r="AI864">
        <f>IF(ISNUMBER(MATCH(D864,Controls!$A$64:$A$74,0)),1,0)</f>
        <v/>
      </c>
      <c r="AJ864">
        <f>Q864-N864</f>
        <v/>
      </c>
      <c r="AK864">
        <f>IF(AE864=1,MAX(0,N864-Q864),0)</f>
        <v/>
      </c>
      <c r="AL864">
        <f>IF(OR(V864="",V864=0),0,N864/V864)</f>
        <v/>
      </c>
      <c r="AM864">
        <f>IF(OR(V864="",V864=0),0,1)</f>
        <v/>
      </c>
      <c r="AN864">
        <f>IF(OR(E864="",F864=""),0,NETWORKDAYS(E864,F864,Ref!$K$2:$K$42))</f>
        <v/>
      </c>
      <c r="AO864">
        <f>IF(L864="Renewal",1,0)</f>
        <v/>
      </c>
      <c r="AP864">
        <f>AC864*AD864</f>
        <v/>
      </c>
      <c r="AQ864">
        <f>IF(AND(G864&lt;&gt;"",'Historical Score'!$C$6&lt;&gt;""),IF(G864='Historical Score'!$C$6,1,0),0)</f>
        <v/>
      </c>
      <c r="AR864">
        <f>IF(AND(L864&lt;&gt;"",'Historical Score'!$C$5&lt;&gt;""),IF(L864='Historical Score'!$C$5,1,0),0)</f>
        <v/>
      </c>
      <c r="AS864">
        <f>IF(AND(Y864&lt;&gt;"",'Historical Score'!$C$7&lt;&gt;""),IF(Y864='Historical Score'!$C$7,1,0),0)</f>
        <v/>
      </c>
      <c r="AT864">
        <f>IF(AND(K864&lt;&gt;"",'Historical Score'!$C$8&lt;&gt;""),IF(K864='Historical Score'!$C$8,1,0),0)</f>
        <v/>
      </c>
      <c r="AU864">
        <f>IF(AND(J864&lt;&gt;"",'Historical Score'!$C$9&lt;&gt;""),IF(J864='Historical Score'!$C$9,1,0),0)</f>
        <v/>
      </c>
      <c r="AV864">
        <f>AR864*AS864*AQ864</f>
        <v/>
      </c>
      <c r="AW864">
        <f>AR864*AT864*AQ864</f>
        <v/>
      </c>
      <c r="AX864">
        <f>AR864*AS864</f>
        <v/>
      </c>
      <c r="AY864">
        <f>AR864*AT864</f>
        <v/>
      </c>
      <c r="AZ864">
        <f>AR864*AQ864</f>
        <v/>
      </c>
      <c r="BA864">
        <f>AR864</f>
        <v/>
      </c>
      <c r="BB864">
        <f>1</f>
        <v/>
      </c>
      <c r="BC864">
        <f>IF(AV864=1,1,IF(AW864=1,2,IF(AX864=1,3,IF(AY864=1,4,IF(AZ864=1,5,IF(BA864=1,6,7))))))</f>
        <v/>
      </c>
      <c r="BD864">
        <f>IF(AD864=1,CHOOSE('Historical Score'!$C$29,AV864,AW864,AX864,AY864,AZ864,BA864,BB864),0)</f>
        <v/>
      </c>
      <c r="BE864">
        <f>IF(BD864=1,COUNTIF($BD$2:BD864,1),"")</f>
        <v/>
      </c>
    </row>
    <row r="865">
      <c r="A865" t="inlineStr">
        <is>
          <t>5674183568</t>
        </is>
      </c>
      <c r="B865" t="inlineStr">
        <is>
          <t>The beauty Clinic Med Spa</t>
        </is>
      </c>
      <c r="C865" t="inlineStr">
        <is>
          <t>THE BEAUTY CLINIC MED SPA INC</t>
        </is>
      </c>
      <c r="D865" t="inlineStr">
        <is>
          <t>Open</t>
        </is>
      </c>
      <c r="E865" s="297" t="n">
        <v>46155</v>
      </c>
      <c r="F865" s="297" t="n">
        <v>46248</v>
      </c>
      <c r="G865" t="n">
        <v>3</v>
      </c>
      <c r="H865" t="inlineStr">
        <is>
          <t>7231</t>
        </is>
      </c>
      <c r="I865" t="inlineStr">
        <is>
          <t>72</t>
        </is>
      </c>
      <c r="J865" t="inlineStr">
        <is>
          <t>TX</t>
        </is>
      </c>
      <c r="K865" t="inlineStr">
        <is>
          <t>Ballicci</t>
        </is>
      </c>
      <c r="L865" t="inlineStr">
        <is>
          <t>New Deal</t>
        </is>
      </c>
      <c r="M865" s="298" t="n">
        <v>1.49</v>
      </c>
      <c r="N865" s="299" t="n">
        <v>15000</v>
      </c>
      <c r="O865" s="299" t="n">
        <v>2100</v>
      </c>
      <c r="P865" s="299" t="n">
        <v>22350</v>
      </c>
      <c r="Q865" s="299" t="n">
        <v>13035.54</v>
      </c>
      <c r="R865" s="299" t="n">
        <v>9314.459999999999</v>
      </c>
      <c r="S865" s="300" t="n">
        <v>0.583245637583893</v>
      </c>
      <c r="T865" t="n">
        <v>24</v>
      </c>
      <c r="U865" t="n">
        <v>0</v>
      </c>
      <c r="V865" t="n">
        <v>26698.44</v>
      </c>
      <c r="W865" s="300" t="n">
        <v>0.1395</v>
      </c>
      <c r="X865" s="297" t="n">
        <v>37622</v>
      </c>
      <c r="Y865">
        <f>IF(I865="","No SIC",IFERROR(VLOOKUP(I865,Ref!$A$2:$B$65,2,FALSE),"Unclassified"))</f>
        <v/>
      </c>
      <c r="Z865">
        <f>IF(T865="","",IF(T865&lt;12,"Daily","Weekly"))</f>
        <v/>
      </c>
      <c r="AA865">
        <f>IF(T865="",0,IF(T865&lt;12,T865*Controls!$B$29,T865*5))</f>
        <v/>
      </c>
      <c r="AB865">
        <f>IF(E865="",0,NETWORKDAYS(E865,Controls!$B$36,Ref!$K$2:$K$42))</f>
        <v/>
      </c>
      <c r="AC865">
        <f>IF(AND(AA865&gt;0,AB865&gt;=Controls!$B$39*AA865),1,0)</f>
        <v/>
      </c>
      <c r="AD865">
        <f>IF(AND(E865&lt;&gt;"",E865&gt;=Controls!$B$37,E865&lt;=Controls!$B$38),1,0)</f>
        <v/>
      </c>
      <c r="AE865">
        <f>IF(IFERROR(VLOOKUP(D865,Controls!$A$64:$E$74,2,FALSE),"No")="Yes",1,0)</f>
        <v/>
      </c>
      <c r="AF865">
        <f>IF(IFERROR(VLOOKUP(D865,Controls!$A$64:$E$74,3,FALSE),"No")="Yes",1,0)</f>
        <v/>
      </c>
      <c r="AG865">
        <f>IF(IFERROR(VLOOKUP(D865,Controls!$A$64:$E$74,4,FALSE),"No")="Yes",1,0)</f>
        <v/>
      </c>
      <c r="AH865">
        <f>IF(IFERROR(VLOOKUP(D865,Controls!$A$64:$E$74,5,FALSE),"No")="Yes",1,0)</f>
        <v/>
      </c>
      <c r="AI865">
        <f>IF(ISNUMBER(MATCH(D865,Controls!$A$64:$A$74,0)),1,0)</f>
        <v/>
      </c>
      <c r="AJ865">
        <f>Q865-N865</f>
        <v/>
      </c>
      <c r="AK865">
        <f>IF(AE865=1,MAX(0,N865-Q865),0)</f>
        <v/>
      </c>
      <c r="AL865">
        <f>IF(OR(V865="",V865=0),0,N865/V865)</f>
        <v/>
      </c>
      <c r="AM865">
        <f>IF(OR(V865="",V865=0),0,1)</f>
        <v/>
      </c>
      <c r="AN865">
        <f>IF(OR(E865="",F865=""),0,NETWORKDAYS(E865,F865,Ref!$K$2:$K$42))</f>
        <v/>
      </c>
      <c r="AO865">
        <f>IF(L865="Renewal",1,0)</f>
        <v/>
      </c>
      <c r="AP865">
        <f>AC865*AD865</f>
        <v/>
      </c>
      <c r="AQ865">
        <f>IF(AND(G865&lt;&gt;"",'Historical Score'!$C$6&lt;&gt;""),IF(G865='Historical Score'!$C$6,1,0),0)</f>
        <v/>
      </c>
      <c r="AR865">
        <f>IF(AND(L865&lt;&gt;"",'Historical Score'!$C$5&lt;&gt;""),IF(L865='Historical Score'!$C$5,1,0),0)</f>
        <v/>
      </c>
      <c r="AS865">
        <f>IF(AND(Y865&lt;&gt;"",'Historical Score'!$C$7&lt;&gt;""),IF(Y865='Historical Score'!$C$7,1,0),0)</f>
        <v/>
      </c>
      <c r="AT865">
        <f>IF(AND(K865&lt;&gt;"",'Historical Score'!$C$8&lt;&gt;""),IF(K865='Historical Score'!$C$8,1,0),0)</f>
        <v/>
      </c>
      <c r="AU865">
        <f>IF(AND(J865&lt;&gt;"",'Historical Score'!$C$9&lt;&gt;""),IF(J865='Historical Score'!$C$9,1,0),0)</f>
        <v/>
      </c>
      <c r="AV865">
        <f>AR865*AS865*AQ865</f>
        <v/>
      </c>
      <c r="AW865">
        <f>AR865*AT865*AQ865</f>
        <v/>
      </c>
      <c r="AX865">
        <f>AR865*AS865</f>
        <v/>
      </c>
      <c r="AY865">
        <f>AR865*AT865</f>
        <v/>
      </c>
      <c r="AZ865">
        <f>AR865*AQ865</f>
        <v/>
      </c>
      <c r="BA865">
        <f>AR865</f>
        <v/>
      </c>
      <c r="BB865">
        <f>1</f>
        <v/>
      </c>
      <c r="BC865">
        <f>IF(AV865=1,1,IF(AW865=1,2,IF(AX865=1,3,IF(AY865=1,4,IF(AZ865=1,5,IF(BA865=1,6,7))))))</f>
        <v/>
      </c>
      <c r="BD865">
        <f>IF(AD865=1,CHOOSE('Historical Score'!$C$29,AV865,AW865,AX865,AY865,AZ865,BA865,BB865),0)</f>
        <v/>
      </c>
      <c r="BE865">
        <f>IF(BD865=1,COUNTIF($BD$2:BD865,1),"")</f>
        <v/>
      </c>
    </row>
    <row r="866">
      <c r="A866" t="inlineStr">
        <is>
          <t>5674183576</t>
        </is>
      </c>
      <c r="B866" t="inlineStr">
        <is>
          <t>Barberia calle loiza</t>
        </is>
      </c>
      <c r="C866" t="inlineStr">
        <is>
          <t>Barberia calle loiza</t>
        </is>
      </c>
      <c r="D866" t="inlineStr">
        <is>
          <t>Closed</t>
        </is>
      </c>
      <c r="E866" s="297" t="n">
        <v>46155</v>
      </c>
      <c r="F866" s="297" t="n">
        <v>46244</v>
      </c>
      <c r="G866" t="n">
        <v>3</v>
      </c>
      <c r="H866" t="inlineStr">
        <is>
          <t>7241</t>
        </is>
      </c>
      <c r="I866" t="inlineStr">
        <is>
          <t>72</t>
        </is>
      </c>
      <c r="J866" t="inlineStr">
        <is>
          <t>PR</t>
        </is>
      </c>
      <c r="K866" t="inlineStr">
        <is>
          <t>Siriux internacional corp</t>
        </is>
      </c>
      <c r="L866" t="inlineStr">
        <is>
          <t>Renewal</t>
        </is>
      </c>
      <c r="M866" s="298" t="n">
        <v>1.49</v>
      </c>
      <c r="N866" s="299" t="n">
        <v>10000</v>
      </c>
      <c r="O866" s="299" t="n">
        <v>1400</v>
      </c>
      <c r="P866" s="299" t="n">
        <v>14900</v>
      </c>
      <c r="Q866" s="299" t="n">
        <v>14900</v>
      </c>
      <c r="R866" s="299" t="n">
        <v>0</v>
      </c>
      <c r="S866" s="300" t="n">
        <v>1</v>
      </c>
      <c r="T866" t="n">
        <v>2.951</v>
      </c>
      <c r="U866" t="n">
        <v>0</v>
      </c>
      <c r="V866" t="n">
        <v>24522.78</v>
      </c>
      <c r="W866" s="300" t="n">
        <v>0.1418</v>
      </c>
      <c r="X866" s="297" t="n">
        <v>42309</v>
      </c>
      <c r="Y866">
        <f>IF(I866="","No SIC",IFERROR(VLOOKUP(I866,Ref!$A$2:$B$65,2,FALSE),"Unclassified"))</f>
        <v/>
      </c>
      <c r="Z866">
        <f>IF(T866="","",IF(T866&lt;12,"Daily","Weekly"))</f>
        <v/>
      </c>
      <c r="AA866">
        <f>IF(T866="",0,IF(T866&lt;12,T866*Controls!$B$29,T866*5))</f>
        <v/>
      </c>
      <c r="AB866">
        <f>IF(E866="",0,NETWORKDAYS(E866,Controls!$B$36,Ref!$K$2:$K$42))</f>
        <v/>
      </c>
      <c r="AC866">
        <f>IF(AND(AA866&gt;0,AB866&gt;=Controls!$B$39*AA866),1,0)</f>
        <v/>
      </c>
      <c r="AD866">
        <f>IF(AND(E866&lt;&gt;"",E866&gt;=Controls!$B$37,E866&lt;=Controls!$B$38),1,0)</f>
        <v/>
      </c>
      <c r="AE866">
        <f>IF(IFERROR(VLOOKUP(D866,Controls!$A$64:$E$74,2,FALSE),"No")="Yes",1,0)</f>
        <v/>
      </c>
      <c r="AF866">
        <f>IF(IFERROR(VLOOKUP(D866,Controls!$A$64:$E$74,3,FALSE),"No")="Yes",1,0)</f>
        <v/>
      </c>
      <c r="AG866">
        <f>IF(IFERROR(VLOOKUP(D866,Controls!$A$64:$E$74,4,FALSE),"No")="Yes",1,0)</f>
        <v/>
      </c>
      <c r="AH866">
        <f>IF(IFERROR(VLOOKUP(D866,Controls!$A$64:$E$74,5,FALSE),"No")="Yes",1,0)</f>
        <v/>
      </c>
      <c r="AI866">
        <f>IF(ISNUMBER(MATCH(D866,Controls!$A$64:$A$74,0)),1,0)</f>
        <v/>
      </c>
      <c r="AJ866">
        <f>Q866-N866</f>
        <v/>
      </c>
      <c r="AK866">
        <f>IF(AE866=1,MAX(0,N866-Q866),0)</f>
        <v/>
      </c>
      <c r="AL866">
        <f>IF(OR(V866="",V866=0),0,N866/V866)</f>
        <v/>
      </c>
      <c r="AM866">
        <f>IF(OR(V866="",V866=0),0,1)</f>
        <v/>
      </c>
      <c r="AN866">
        <f>IF(OR(E866="",F866=""),0,NETWORKDAYS(E866,F866,Ref!$K$2:$K$42))</f>
        <v/>
      </c>
      <c r="AO866">
        <f>IF(L866="Renewal",1,0)</f>
        <v/>
      </c>
      <c r="AP866">
        <f>AC866*AD866</f>
        <v/>
      </c>
      <c r="AQ866">
        <f>IF(AND(G866&lt;&gt;"",'Historical Score'!$C$6&lt;&gt;""),IF(G866='Historical Score'!$C$6,1,0),0)</f>
        <v/>
      </c>
      <c r="AR866">
        <f>IF(AND(L866&lt;&gt;"",'Historical Score'!$C$5&lt;&gt;""),IF(L866='Historical Score'!$C$5,1,0),0)</f>
        <v/>
      </c>
      <c r="AS866">
        <f>IF(AND(Y866&lt;&gt;"",'Historical Score'!$C$7&lt;&gt;""),IF(Y866='Historical Score'!$C$7,1,0),0)</f>
        <v/>
      </c>
      <c r="AT866">
        <f>IF(AND(K866&lt;&gt;"",'Historical Score'!$C$8&lt;&gt;""),IF(K866='Historical Score'!$C$8,1,0),0)</f>
        <v/>
      </c>
      <c r="AU866">
        <f>IF(AND(J866&lt;&gt;"",'Historical Score'!$C$9&lt;&gt;""),IF(J866='Historical Score'!$C$9,1,0),0)</f>
        <v/>
      </c>
      <c r="AV866">
        <f>AR866*AS866*AQ866</f>
        <v/>
      </c>
      <c r="AW866">
        <f>AR866*AT866*AQ866</f>
        <v/>
      </c>
      <c r="AX866">
        <f>AR866*AS866</f>
        <v/>
      </c>
      <c r="AY866">
        <f>AR866*AT866</f>
        <v/>
      </c>
      <c r="AZ866">
        <f>AR866*AQ866</f>
        <v/>
      </c>
      <c r="BA866">
        <f>AR866</f>
        <v/>
      </c>
      <c r="BB866">
        <f>1</f>
        <v/>
      </c>
      <c r="BC866">
        <f>IF(AV866=1,1,IF(AW866=1,2,IF(AX866=1,3,IF(AY866=1,4,IF(AZ866=1,5,IF(BA866=1,6,7))))))</f>
        <v/>
      </c>
      <c r="BD866">
        <f>IF(AD866=1,CHOOSE('Historical Score'!$C$29,AV866,AW866,AX866,AY866,AZ866,BA866,BB866),0)</f>
        <v/>
      </c>
      <c r="BE866">
        <f>IF(BD866=1,COUNTIF($BD$2:BD866,1),"")</f>
        <v/>
      </c>
    </row>
    <row r="867">
      <c r="A867" t="inlineStr">
        <is>
          <t>5674183596</t>
        </is>
      </c>
      <c r="B867" t="inlineStr">
        <is>
          <t>Jordan services llc</t>
        </is>
      </c>
      <c r="C867" t="inlineStr">
        <is>
          <t>Jordan services llc</t>
        </is>
      </c>
      <c r="D867" t="inlineStr">
        <is>
          <t>Open</t>
        </is>
      </c>
      <c r="E867" s="297" t="n">
        <v>46155</v>
      </c>
      <c r="F867" s="297" t="n">
        <v>46253</v>
      </c>
      <c r="G867" t="n">
        <v>3</v>
      </c>
      <c r="H867" t="inlineStr">
        <is>
          <t>5999</t>
        </is>
      </c>
      <c r="I867" t="inlineStr">
        <is>
          <t>59</t>
        </is>
      </c>
      <c r="J867" t="inlineStr">
        <is>
          <t>No state</t>
        </is>
      </c>
      <c r="K867" t="inlineStr">
        <is>
          <t>Redline Capital</t>
        </is>
      </c>
      <c r="L867" t="inlineStr">
        <is>
          <t>New Deal</t>
        </is>
      </c>
      <c r="M867" s="298" t="n">
        <v>1.49</v>
      </c>
      <c r="N867" s="299" t="n">
        <v>10000</v>
      </c>
      <c r="O867" s="299" t="n">
        <v>1400</v>
      </c>
      <c r="P867" s="299" t="n">
        <v>14900</v>
      </c>
      <c r="Q867" s="299" t="n">
        <v>10126.56</v>
      </c>
      <c r="R867" s="299" t="n">
        <v>4773.44</v>
      </c>
      <c r="S867" s="300" t="n">
        <v>0.679634899328859</v>
      </c>
      <c r="T867" t="n">
        <v>3.279</v>
      </c>
      <c r="U867" t="n">
        <v>0</v>
      </c>
      <c r="V867" t="n">
        <v>40562.51</v>
      </c>
      <c r="W867" s="300" t="n">
        <v>0.0771</v>
      </c>
      <c r="X867" s="297" t="n">
        <v>42675</v>
      </c>
      <c r="Y867">
        <f>IF(I867="","No SIC",IFERROR(VLOOKUP(I867,Ref!$A$2:$B$65,2,FALSE),"Unclassified"))</f>
        <v/>
      </c>
      <c r="Z867">
        <f>IF(T867="","",IF(T867&lt;12,"Daily","Weekly"))</f>
        <v/>
      </c>
      <c r="AA867">
        <f>IF(T867="",0,IF(T867&lt;12,T867*Controls!$B$29,T867*5))</f>
        <v/>
      </c>
      <c r="AB867">
        <f>IF(E867="",0,NETWORKDAYS(E867,Controls!$B$36,Ref!$K$2:$K$42))</f>
        <v/>
      </c>
      <c r="AC867">
        <f>IF(AND(AA867&gt;0,AB867&gt;=Controls!$B$39*AA867),1,0)</f>
        <v/>
      </c>
      <c r="AD867">
        <f>IF(AND(E867&lt;&gt;"",E867&gt;=Controls!$B$37,E867&lt;=Controls!$B$38),1,0)</f>
        <v/>
      </c>
      <c r="AE867">
        <f>IF(IFERROR(VLOOKUP(D867,Controls!$A$64:$E$74,2,FALSE),"No")="Yes",1,0)</f>
        <v/>
      </c>
      <c r="AF867">
        <f>IF(IFERROR(VLOOKUP(D867,Controls!$A$64:$E$74,3,FALSE),"No")="Yes",1,0)</f>
        <v/>
      </c>
      <c r="AG867">
        <f>IF(IFERROR(VLOOKUP(D867,Controls!$A$64:$E$74,4,FALSE),"No")="Yes",1,0)</f>
        <v/>
      </c>
      <c r="AH867">
        <f>IF(IFERROR(VLOOKUP(D867,Controls!$A$64:$E$74,5,FALSE),"No")="Yes",1,0)</f>
        <v/>
      </c>
      <c r="AI867">
        <f>IF(ISNUMBER(MATCH(D867,Controls!$A$64:$A$74,0)),1,0)</f>
        <v/>
      </c>
      <c r="AJ867">
        <f>Q867-N867</f>
        <v/>
      </c>
      <c r="AK867">
        <f>IF(AE867=1,MAX(0,N867-Q867),0)</f>
        <v/>
      </c>
      <c r="AL867">
        <f>IF(OR(V867="",V867=0),0,N867/V867)</f>
        <v/>
      </c>
      <c r="AM867">
        <f>IF(OR(V867="",V867=0),0,1)</f>
        <v/>
      </c>
      <c r="AN867">
        <f>IF(OR(E867="",F867=""),0,NETWORKDAYS(E867,F867,Ref!$K$2:$K$42))</f>
        <v/>
      </c>
      <c r="AO867">
        <f>IF(L867="Renewal",1,0)</f>
        <v/>
      </c>
      <c r="AP867">
        <f>AC867*AD867</f>
        <v/>
      </c>
      <c r="AQ867">
        <f>IF(AND(G867&lt;&gt;"",'Historical Score'!$C$6&lt;&gt;""),IF(G867='Historical Score'!$C$6,1,0),0)</f>
        <v/>
      </c>
      <c r="AR867">
        <f>IF(AND(L867&lt;&gt;"",'Historical Score'!$C$5&lt;&gt;""),IF(L867='Historical Score'!$C$5,1,0),0)</f>
        <v/>
      </c>
      <c r="AS867">
        <f>IF(AND(Y867&lt;&gt;"",'Historical Score'!$C$7&lt;&gt;""),IF(Y867='Historical Score'!$C$7,1,0),0)</f>
        <v/>
      </c>
      <c r="AT867">
        <f>IF(AND(K867&lt;&gt;"",'Historical Score'!$C$8&lt;&gt;""),IF(K867='Historical Score'!$C$8,1,0),0)</f>
        <v/>
      </c>
      <c r="AU867">
        <f>IF(AND(J867&lt;&gt;"",'Historical Score'!$C$9&lt;&gt;""),IF(J867='Historical Score'!$C$9,1,0),0)</f>
        <v/>
      </c>
      <c r="AV867">
        <f>AR867*AS867*AQ867</f>
        <v/>
      </c>
      <c r="AW867">
        <f>AR867*AT867*AQ867</f>
        <v/>
      </c>
      <c r="AX867">
        <f>AR867*AS867</f>
        <v/>
      </c>
      <c r="AY867">
        <f>AR867*AT867</f>
        <v/>
      </c>
      <c r="AZ867">
        <f>AR867*AQ867</f>
        <v/>
      </c>
      <c r="BA867">
        <f>AR867</f>
        <v/>
      </c>
      <c r="BB867">
        <f>1</f>
        <v/>
      </c>
      <c r="BC867">
        <f>IF(AV867=1,1,IF(AW867=1,2,IF(AX867=1,3,IF(AY867=1,4,IF(AZ867=1,5,IF(BA867=1,6,7))))))</f>
        <v/>
      </c>
      <c r="BD867">
        <f>IF(AD867=1,CHOOSE('Historical Score'!$C$29,AV867,AW867,AX867,AY867,AZ867,BA867,BB867),0)</f>
        <v/>
      </c>
      <c r="BE867">
        <f>IF(BD867=1,COUNTIF($BD$2:BD867,1),"")</f>
        <v/>
      </c>
    </row>
    <row r="868">
      <c r="A868" t="inlineStr">
        <is>
          <t>5674183634</t>
        </is>
      </c>
      <c r="B868" t="inlineStr">
        <is>
          <t>Fiduol sxm llc</t>
        </is>
      </c>
      <c r="C868" t="inlineStr">
        <is>
          <t>Fiduol sxm llc</t>
        </is>
      </c>
      <c r="D868" t="inlineStr">
        <is>
          <t>Open</t>
        </is>
      </c>
      <c r="E868" s="297" t="n">
        <v>46156</v>
      </c>
      <c r="F868" s="297" t="n">
        <v>46252</v>
      </c>
      <c r="G868" t="n">
        <v>1</v>
      </c>
      <c r="H868" t="inlineStr">
        <is>
          <t>5812</t>
        </is>
      </c>
      <c r="I868" t="inlineStr">
        <is>
          <t>58</t>
        </is>
      </c>
      <c r="J868" t="inlineStr">
        <is>
          <t>FL</t>
        </is>
      </c>
      <c r="K868" t="inlineStr">
        <is>
          <t>Credibly</t>
        </is>
      </c>
      <c r="L868" t="inlineStr">
        <is>
          <t>New Deal</t>
        </is>
      </c>
      <c r="M868" s="298" t="n">
        <v>1.35</v>
      </c>
      <c r="N868" s="299" t="n">
        <v>70000</v>
      </c>
      <c r="O868" s="299" t="n">
        <v>4900</v>
      </c>
      <c r="P868" s="299" t="n">
        <v>94500</v>
      </c>
      <c r="Q868" s="299" t="n">
        <v>55085.1</v>
      </c>
      <c r="R868" s="299" t="n">
        <v>39414.9</v>
      </c>
      <c r="S868" s="300" t="n">
        <v>0.582911111111111</v>
      </c>
      <c r="T868" t="n">
        <v>24</v>
      </c>
      <c r="U868" t="n">
        <v>0</v>
      </c>
      <c r="V868" t="n">
        <v>382005.05</v>
      </c>
      <c r="W868" s="300" t="n">
        <v>0.0412</v>
      </c>
      <c r="X868" s="297" t="n">
        <v>45398</v>
      </c>
      <c r="Y868">
        <f>IF(I868="","No SIC",IFERROR(VLOOKUP(I868,Ref!$A$2:$B$65,2,FALSE),"Unclassified"))</f>
        <v/>
      </c>
      <c r="Z868">
        <f>IF(T868="","",IF(T868&lt;12,"Daily","Weekly"))</f>
        <v/>
      </c>
      <c r="AA868">
        <f>IF(T868="",0,IF(T868&lt;12,T868*Controls!$B$29,T868*5))</f>
        <v/>
      </c>
      <c r="AB868">
        <f>IF(E868="",0,NETWORKDAYS(E868,Controls!$B$36,Ref!$K$2:$K$42))</f>
        <v/>
      </c>
      <c r="AC868">
        <f>IF(AND(AA868&gt;0,AB868&gt;=Controls!$B$39*AA868),1,0)</f>
        <v/>
      </c>
      <c r="AD868">
        <f>IF(AND(E868&lt;&gt;"",E868&gt;=Controls!$B$37,E868&lt;=Controls!$B$38),1,0)</f>
        <v/>
      </c>
      <c r="AE868">
        <f>IF(IFERROR(VLOOKUP(D868,Controls!$A$64:$E$74,2,FALSE),"No")="Yes",1,0)</f>
        <v/>
      </c>
      <c r="AF868">
        <f>IF(IFERROR(VLOOKUP(D868,Controls!$A$64:$E$74,3,FALSE),"No")="Yes",1,0)</f>
        <v/>
      </c>
      <c r="AG868">
        <f>IF(IFERROR(VLOOKUP(D868,Controls!$A$64:$E$74,4,FALSE),"No")="Yes",1,0)</f>
        <v/>
      </c>
      <c r="AH868">
        <f>IF(IFERROR(VLOOKUP(D868,Controls!$A$64:$E$74,5,FALSE),"No")="Yes",1,0)</f>
        <v/>
      </c>
      <c r="AI868">
        <f>IF(ISNUMBER(MATCH(D868,Controls!$A$64:$A$74,0)),1,0)</f>
        <v/>
      </c>
      <c r="AJ868">
        <f>Q868-N868</f>
        <v/>
      </c>
      <c r="AK868">
        <f>IF(AE868=1,MAX(0,N868-Q868),0)</f>
        <v/>
      </c>
      <c r="AL868">
        <f>IF(OR(V868="",V868=0),0,N868/V868)</f>
        <v/>
      </c>
      <c r="AM868">
        <f>IF(OR(V868="",V868=0),0,1)</f>
        <v/>
      </c>
      <c r="AN868">
        <f>IF(OR(E868="",F868=""),0,NETWORKDAYS(E868,F868,Ref!$K$2:$K$42))</f>
        <v/>
      </c>
      <c r="AO868">
        <f>IF(L868="Renewal",1,0)</f>
        <v/>
      </c>
      <c r="AP868">
        <f>AC868*AD868</f>
        <v/>
      </c>
      <c r="AQ868">
        <f>IF(AND(G868&lt;&gt;"",'Historical Score'!$C$6&lt;&gt;""),IF(G868='Historical Score'!$C$6,1,0),0)</f>
        <v/>
      </c>
      <c r="AR868">
        <f>IF(AND(L868&lt;&gt;"",'Historical Score'!$C$5&lt;&gt;""),IF(L868='Historical Score'!$C$5,1,0),0)</f>
        <v/>
      </c>
      <c r="AS868">
        <f>IF(AND(Y868&lt;&gt;"",'Historical Score'!$C$7&lt;&gt;""),IF(Y868='Historical Score'!$C$7,1,0),0)</f>
        <v/>
      </c>
      <c r="AT868">
        <f>IF(AND(K868&lt;&gt;"",'Historical Score'!$C$8&lt;&gt;""),IF(K868='Historical Score'!$C$8,1,0),0)</f>
        <v/>
      </c>
      <c r="AU868">
        <f>IF(AND(J868&lt;&gt;"",'Historical Score'!$C$9&lt;&gt;""),IF(J868='Historical Score'!$C$9,1,0),0)</f>
        <v/>
      </c>
      <c r="AV868">
        <f>AR868*AS868*AQ868</f>
        <v/>
      </c>
      <c r="AW868">
        <f>AR868*AT868*AQ868</f>
        <v/>
      </c>
      <c r="AX868">
        <f>AR868*AS868</f>
        <v/>
      </c>
      <c r="AY868">
        <f>AR868*AT868</f>
        <v/>
      </c>
      <c r="AZ868">
        <f>AR868*AQ868</f>
        <v/>
      </c>
      <c r="BA868">
        <f>AR868</f>
        <v/>
      </c>
      <c r="BB868">
        <f>1</f>
        <v/>
      </c>
      <c r="BC868">
        <f>IF(AV868=1,1,IF(AW868=1,2,IF(AX868=1,3,IF(AY868=1,4,IF(AZ868=1,5,IF(BA868=1,6,7))))))</f>
        <v/>
      </c>
      <c r="BD868">
        <f>IF(AD868=1,CHOOSE('Historical Score'!$C$29,AV868,AW868,AX868,AY868,AZ868,BA868,BB868),0)</f>
        <v/>
      </c>
      <c r="BE868">
        <f>IF(BD868=1,COUNTIF($BD$2:BD868,1),"")</f>
        <v/>
      </c>
    </row>
    <row r="869">
      <c r="A869" t="inlineStr">
        <is>
          <t>5674183658</t>
        </is>
      </c>
      <c r="B869" t="inlineStr">
        <is>
          <t>SC GROUP LLC</t>
        </is>
      </c>
      <c r="C869" t="inlineStr">
        <is>
          <t>SC GROUP LLC</t>
        </is>
      </c>
      <c r="D869" t="inlineStr">
        <is>
          <t>Open</t>
        </is>
      </c>
      <c r="E869" s="297" t="n">
        <v>46156</v>
      </c>
      <c r="F869" s="297" t="n">
        <v>46244</v>
      </c>
      <c r="G869" t="n">
        <v>3</v>
      </c>
      <c r="H869" t="inlineStr">
        <is>
          <t>1521</t>
        </is>
      </c>
      <c r="I869" t="inlineStr">
        <is>
          <t>15</t>
        </is>
      </c>
      <c r="J869" t="inlineStr">
        <is>
          <t>No state</t>
        </is>
      </c>
      <c r="K869" t="inlineStr">
        <is>
          <t>level 3 funding</t>
        </is>
      </c>
      <c r="L869" t="inlineStr">
        <is>
          <t>Renewal</t>
        </is>
      </c>
      <c r="M869" s="298" t="n">
        <v>1.49</v>
      </c>
      <c r="N869" s="299" t="n">
        <v>15000</v>
      </c>
      <c r="O869" s="299" t="n">
        <v>2100</v>
      </c>
      <c r="P869" s="299" t="n">
        <v>22350</v>
      </c>
      <c r="Q869" s="299" t="n">
        <v>21961.46</v>
      </c>
      <c r="R869" s="299" t="n">
        <v>388.540000000001</v>
      </c>
      <c r="S869" s="300" t="n">
        <v>0.982615659955257</v>
      </c>
      <c r="T869" t="n">
        <v>3.77</v>
      </c>
      <c r="U869" t="n">
        <v>2</v>
      </c>
      <c r="V869" t="n">
        <v>38306.63</v>
      </c>
      <c r="W869" s="300" t="n">
        <v>0.1065</v>
      </c>
      <c r="X869" s="297" t="n">
        <v>43374</v>
      </c>
      <c r="Y869">
        <f>IF(I869="","No SIC",IFERROR(VLOOKUP(I869,Ref!$A$2:$B$65,2,FALSE),"Unclassified"))</f>
        <v/>
      </c>
      <c r="Z869">
        <f>IF(T869="","",IF(T869&lt;12,"Daily","Weekly"))</f>
        <v/>
      </c>
      <c r="AA869">
        <f>IF(T869="",0,IF(T869&lt;12,T869*Controls!$B$29,T869*5))</f>
        <v/>
      </c>
      <c r="AB869">
        <f>IF(E869="",0,NETWORKDAYS(E869,Controls!$B$36,Ref!$K$2:$K$42))</f>
        <v/>
      </c>
      <c r="AC869">
        <f>IF(AND(AA869&gt;0,AB869&gt;=Controls!$B$39*AA869),1,0)</f>
        <v/>
      </c>
      <c r="AD869">
        <f>IF(AND(E869&lt;&gt;"",E869&gt;=Controls!$B$37,E869&lt;=Controls!$B$38),1,0)</f>
        <v/>
      </c>
      <c r="AE869">
        <f>IF(IFERROR(VLOOKUP(D869,Controls!$A$64:$E$74,2,FALSE),"No")="Yes",1,0)</f>
        <v/>
      </c>
      <c r="AF869">
        <f>IF(IFERROR(VLOOKUP(D869,Controls!$A$64:$E$74,3,FALSE),"No")="Yes",1,0)</f>
        <v/>
      </c>
      <c r="AG869">
        <f>IF(IFERROR(VLOOKUP(D869,Controls!$A$64:$E$74,4,FALSE),"No")="Yes",1,0)</f>
        <v/>
      </c>
      <c r="AH869">
        <f>IF(IFERROR(VLOOKUP(D869,Controls!$A$64:$E$74,5,FALSE),"No")="Yes",1,0)</f>
        <v/>
      </c>
      <c r="AI869">
        <f>IF(ISNUMBER(MATCH(D869,Controls!$A$64:$A$74,0)),1,0)</f>
        <v/>
      </c>
      <c r="AJ869">
        <f>Q869-N869</f>
        <v/>
      </c>
      <c r="AK869">
        <f>IF(AE869=1,MAX(0,N869-Q869),0)</f>
        <v/>
      </c>
      <c r="AL869">
        <f>IF(OR(V869="",V869=0),0,N869/V869)</f>
        <v/>
      </c>
      <c r="AM869">
        <f>IF(OR(V869="",V869=0),0,1)</f>
        <v/>
      </c>
      <c r="AN869">
        <f>IF(OR(E869="",F869=""),0,NETWORKDAYS(E869,F869,Ref!$K$2:$K$42))</f>
        <v/>
      </c>
      <c r="AO869">
        <f>IF(L869="Renewal",1,0)</f>
        <v/>
      </c>
      <c r="AP869">
        <f>AC869*AD869</f>
        <v/>
      </c>
      <c r="AQ869">
        <f>IF(AND(G869&lt;&gt;"",'Historical Score'!$C$6&lt;&gt;""),IF(G869='Historical Score'!$C$6,1,0),0)</f>
        <v/>
      </c>
      <c r="AR869">
        <f>IF(AND(L869&lt;&gt;"",'Historical Score'!$C$5&lt;&gt;""),IF(L869='Historical Score'!$C$5,1,0),0)</f>
        <v/>
      </c>
      <c r="AS869">
        <f>IF(AND(Y869&lt;&gt;"",'Historical Score'!$C$7&lt;&gt;""),IF(Y869='Historical Score'!$C$7,1,0),0)</f>
        <v/>
      </c>
      <c r="AT869">
        <f>IF(AND(K869&lt;&gt;"",'Historical Score'!$C$8&lt;&gt;""),IF(K869='Historical Score'!$C$8,1,0),0)</f>
        <v/>
      </c>
      <c r="AU869">
        <f>IF(AND(J869&lt;&gt;"",'Historical Score'!$C$9&lt;&gt;""),IF(J869='Historical Score'!$C$9,1,0),0)</f>
        <v/>
      </c>
      <c r="AV869">
        <f>AR869*AS869*AQ869</f>
        <v/>
      </c>
      <c r="AW869">
        <f>AR869*AT869*AQ869</f>
        <v/>
      </c>
      <c r="AX869">
        <f>AR869*AS869</f>
        <v/>
      </c>
      <c r="AY869">
        <f>AR869*AT869</f>
        <v/>
      </c>
      <c r="AZ869">
        <f>AR869*AQ869</f>
        <v/>
      </c>
      <c r="BA869">
        <f>AR869</f>
        <v/>
      </c>
      <c r="BB869">
        <f>1</f>
        <v/>
      </c>
      <c r="BC869">
        <f>IF(AV869=1,1,IF(AW869=1,2,IF(AX869=1,3,IF(AY869=1,4,IF(AZ869=1,5,IF(BA869=1,6,7))))))</f>
        <v/>
      </c>
      <c r="BD869">
        <f>IF(AD869=1,CHOOSE('Historical Score'!$C$29,AV869,AW869,AX869,AY869,AZ869,BA869,BB869),0)</f>
        <v/>
      </c>
      <c r="BE869">
        <f>IF(BD869=1,COUNTIF($BD$2:BD869,1),"")</f>
        <v/>
      </c>
    </row>
    <row r="870">
      <c r="A870" t="inlineStr">
        <is>
          <t>5674183673</t>
        </is>
      </c>
      <c r="B870" t="inlineStr">
        <is>
          <t>SKEENS RESTORATION &amp; CONSTRUCTION LLC</t>
        </is>
      </c>
      <c r="C870" t="inlineStr">
        <is>
          <t>SKEENS RESTORATION &amp; CONSTRUCTION LLC</t>
        </is>
      </c>
      <c r="D870" t="inlineStr">
        <is>
          <t>Open</t>
        </is>
      </c>
      <c r="E870" s="297" t="n">
        <v>46156</v>
      </c>
      <c r="F870" s="297" t="n">
        <v>46248</v>
      </c>
      <c r="G870" t="n">
        <v>3</v>
      </c>
      <c r="H870" t="inlineStr">
        <is>
          <t>1521</t>
        </is>
      </c>
      <c r="I870" t="inlineStr">
        <is>
          <t>15</t>
        </is>
      </c>
      <c r="J870" t="inlineStr">
        <is>
          <t>TN</t>
        </is>
      </c>
      <c r="K870" t="inlineStr">
        <is>
          <t>United Secured Capital 8</t>
        </is>
      </c>
      <c r="L870" t="inlineStr">
        <is>
          <t>Renewal</t>
        </is>
      </c>
      <c r="M870" s="298" t="n">
        <v>1.45</v>
      </c>
      <c r="N870" s="299" t="n">
        <v>15000</v>
      </c>
      <c r="O870" s="299" t="n">
        <v>1800</v>
      </c>
      <c r="P870" s="299" t="n">
        <v>21750</v>
      </c>
      <c r="Q870" s="299" t="n">
        <v>6223.04</v>
      </c>
      <c r="R870" s="299" t="n">
        <v>15526.96</v>
      </c>
      <c r="S870" s="300" t="n">
        <v>0.286116781609195</v>
      </c>
      <c r="T870" t="n">
        <v>28</v>
      </c>
      <c r="U870" t="n">
        <v>5</v>
      </c>
      <c r="V870" t="n">
        <v>117415.63</v>
      </c>
      <c r="W870" s="300" t="n">
        <v>0.0265</v>
      </c>
      <c r="X870" s="297" t="n">
        <v>36020</v>
      </c>
      <c r="Y870">
        <f>IF(I870="","No SIC",IFERROR(VLOOKUP(I870,Ref!$A$2:$B$65,2,FALSE),"Unclassified"))</f>
        <v/>
      </c>
      <c r="Z870">
        <f>IF(T870="","",IF(T870&lt;12,"Daily","Weekly"))</f>
        <v/>
      </c>
      <c r="AA870">
        <f>IF(T870="",0,IF(T870&lt;12,T870*Controls!$B$29,T870*5))</f>
        <v/>
      </c>
      <c r="AB870">
        <f>IF(E870="",0,NETWORKDAYS(E870,Controls!$B$36,Ref!$K$2:$K$42))</f>
        <v/>
      </c>
      <c r="AC870">
        <f>IF(AND(AA870&gt;0,AB870&gt;=Controls!$B$39*AA870),1,0)</f>
        <v/>
      </c>
      <c r="AD870">
        <f>IF(AND(E870&lt;&gt;"",E870&gt;=Controls!$B$37,E870&lt;=Controls!$B$38),1,0)</f>
        <v/>
      </c>
      <c r="AE870">
        <f>IF(IFERROR(VLOOKUP(D870,Controls!$A$64:$E$74,2,FALSE),"No")="Yes",1,0)</f>
        <v/>
      </c>
      <c r="AF870">
        <f>IF(IFERROR(VLOOKUP(D870,Controls!$A$64:$E$74,3,FALSE),"No")="Yes",1,0)</f>
        <v/>
      </c>
      <c r="AG870">
        <f>IF(IFERROR(VLOOKUP(D870,Controls!$A$64:$E$74,4,FALSE),"No")="Yes",1,0)</f>
        <v/>
      </c>
      <c r="AH870">
        <f>IF(IFERROR(VLOOKUP(D870,Controls!$A$64:$E$74,5,FALSE),"No")="Yes",1,0)</f>
        <v/>
      </c>
      <c r="AI870">
        <f>IF(ISNUMBER(MATCH(D870,Controls!$A$64:$A$74,0)),1,0)</f>
        <v/>
      </c>
      <c r="AJ870">
        <f>Q870-N870</f>
        <v/>
      </c>
      <c r="AK870">
        <f>IF(AE870=1,MAX(0,N870-Q870),0)</f>
        <v/>
      </c>
      <c r="AL870">
        <f>IF(OR(V870="",V870=0),0,N870/V870)</f>
        <v/>
      </c>
      <c r="AM870">
        <f>IF(OR(V870="",V870=0),0,1)</f>
        <v/>
      </c>
      <c r="AN870">
        <f>IF(OR(E870="",F870=""),0,NETWORKDAYS(E870,F870,Ref!$K$2:$K$42))</f>
        <v/>
      </c>
      <c r="AO870">
        <f>IF(L870="Renewal",1,0)</f>
        <v/>
      </c>
      <c r="AP870">
        <f>AC870*AD870</f>
        <v/>
      </c>
      <c r="AQ870">
        <f>IF(AND(G870&lt;&gt;"",'Historical Score'!$C$6&lt;&gt;""),IF(G870='Historical Score'!$C$6,1,0),0)</f>
        <v/>
      </c>
      <c r="AR870">
        <f>IF(AND(L870&lt;&gt;"",'Historical Score'!$C$5&lt;&gt;""),IF(L870='Historical Score'!$C$5,1,0),0)</f>
        <v/>
      </c>
      <c r="AS870">
        <f>IF(AND(Y870&lt;&gt;"",'Historical Score'!$C$7&lt;&gt;""),IF(Y870='Historical Score'!$C$7,1,0),0)</f>
        <v/>
      </c>
      <c r="AT870">
        <f>IF(AND(K870&lt;&gt;"",'Historical Score'!$C$8&lt;&gt;""),IF(K870='Historical Score'!$C$8,1,0),0)</f>
        <v/>
      </c>
      <c r="AU870">
        <f>IF(AND(J870&lt;&gt;"",'Historical Score'!$C$9&lt;&gt;""),IF(J870='Historical Score'!$C$9,1,0),0)</f>
        <v/>
      </c>
      <c r="AV870">
        <f>AR870*AS870*AQ870</f>
        <v/>
      </c>
      <c r="AW870">
        <f>AR870*AT870*AQ870</f>
        <v/>
      </c>
      <c r="AX870">
        <f>AR870*AS870</f>
        <v/>
      </c>
      <c r="AY870">
        <f>AR870*AT870</f>
        <v/>
      </c>
      <c r="AZ870">
        <f>AR870*AQ870</f>
        <v/>
      </c>
      <c r="BA870">
        <f>AR870</f>
        <v/>
      </c>
      <c r="BB870">
        <f>1</f>
        <v/>
      </c>
      <c r="BC870">
        <f>IF(AV870=1,1,IF(AW870=1,2,IF(AX870=1,3,IF(AY870=1,4,IF(AZ870=1,5,IF(BA870=1,6,7))))))</f>
        <v/>
      </c>
      <c r="BD870">
        <f>IF(AD870=1,CHOOSE('Historical Score'!$C$29,AV870,AW870,AX870,AY870,AZ870,BA870,BB870),0)</f>
        <v/>
      </c>
      <c r="BE870">
        <f>IF(BD870=1,COUNTIF($BD$2:BD870,1),"")</f>
        <v/>
      </c>
    </row>
    <row r="871">
      <c r="A871" t="inlineStr">
        <is>
          <t>5674183703</t>
        </is>
      </c>
      <c r="B871" t="inlineStr">
        <is>
          <t>DENVER IMMERSIVE REPERTORY THEATER</t>
        </is>
      </c>
      <c r="C871" t="inlineStr">
        <is>
          <t>DENVER IMMERSIVE REPERTORY THEATER</t>
        </is>
      </c>
      <c r="D871" t="inlineStr">
        <is>
          <t>In House Collection</t>
        </is>
      </c>
      <c r="E871" s="297" t="n">
        <v>46156</v>
      </c>
      <c r="F871" s="297" t="n">
        <v>46244</v>
      </c>
      <c r="G871" t="n">
        <v>3</v>
      </c>
      <c r="H871" t="inlineStr">
        <is>
          <t>7922</t>
        </is>
      </c>
      <c r="I871" t="inlineStr">
        <is>
          <t>79</t>
        </is>
      </c>
      <c r="J871" t="inlineStr">
        <is>
          <t>FL</t>
        </is>
      </c>
      <c r="K871" t="inlineStr">
        <is>
          <t>Ballicci</t>
        </is>
      </c>
      <c r="L871" t="inlineStr">
        <is>
          <t>New Deal</t>
        </is>
      </c>
      <c r="M871" s="298" t="n">
        <v>1.49</v>
      </c>
      <c r="N871" s="299" t="n">
        <v>25000</v>
      </c>
      <c r="O871" s="299" t="n">
        <v>3500</v>
      </c>
      <c r="P871" s="299" t="n">
        <v>37250</v>
      </c>
      <c r="Q871" s="299" t="n">
        <v>3362.86</v>
      </c>
      <c r="R871" s="299" t="n">
        <v>33887.14</v>
      </c>
      <c r="S871" s="300" t="n">
        <v>0.09027812080536909</v>
      </c>
      <c r="T871" t="n">
        <v>24</v>
      </c>
      <c r="U871" t="n">
        <v>9</v>
      </c>
      <c r="V871" t="n">
        <v>187788.78</v>
      </c>
      <c r="W871" s="300" t="n">
        <v>0.0331</v>
      </c>
      <c r="X871" s="297" t="n">
        <v>45378</v>
      </c>
      <c r="Y871">
        <f>IF(I871="","No SIC",IFERROR(VLOOKUP(I871,Ref!$A$2:$B$65,2,FALSE),"Unclassified"))</f>
        <v/>
      </c>
      <c r="Z871">
        <f>IF(T871="","",IF(T871&lt;12,"Daily","Weekly"))</f>
        <v/>
      </c>
      <c r="AA871">
        <f>IF(T871="",0,IF(T871&lt;12,T871*Controls!$B$29,T871*5))</f>
        <v/>
      </c>
      <c r="AB871">
        <f>IF(E871="",0,NETWORKDAYS(E871,Controls!$B$36,Ref!$K$2:$K$42))</f>
        <v/>
      </c>
      <c r="AC871">
        <f>IF(AND(AA871&gt;0,AB871&gt;=Controls!$B$39*AA871),1,0)</f>
        <v/>
      </c>
      <c r="AD871">
        <f>IF(AND(E871&lt;&gt;"",E871&gt;=Controls!$B$37,E871&lt;=Controls!$B$38),1,0)</f>
        <v/>
      </c>
      <c r="AE871">
        <f>IF(IFERROR(VLOOKUP(D871,Controls!$A$64:$E$74,2,FALSE),"No")="Yes",1,0)</f>
        <v/>
      </c>
      <c r="AF871">
        <f>IF(IFERROR(VLOOKUP(D871,Controls!$A$64:$E$74,3,FALSE),"No")="Yes",1,0)</f>
        <v/>
      </c>
      <c r="AG871">
        <f>IF(IFERROR(VLOOKUP(D871,Controls!$A$64:$E$74,4,FALSE),"No")="Yes",1,0)</f>
        <v/>
      </c>
      <c r="AH871">
        <f>IF(IFERROR(VLOOKUP(D871,Controls!$A$64:$E$74,5,FALSE),"No")="Yes",1,0)</f>
        <v/>
      </c>
      <c r="AI871">
        <f>IF(ISNUMBER(MATCH(D871,Controls!$A$64:$A$74,0)),1,0)</f>
        <v/>
      </c>
      <c r="AJ871">
        <f>Q871-N871</f>
        <v/>
      </c>
      <c r="AK871">
        <f>IF(AE871=1,MAX(0,N871-Q871),0)</f>
        <v/>
      </c>
      <c r="AL871">
        <f>IF(OR(V871="",V871=0),0,N871/V871)</f>
        <v/>
      </c>
      <c r="AM871">
        <f>IF(OR(V871="",V871=0),0,1)</f>
        <v/>
      </c>
      <c r="AN871">
        <f>IF(OR(E871="",F871=""),0,NETWORKDAYS(E871,F871,Ref!$K$2:$K$42))</f>
        <v/>
      </c>
      <c r="AO871">
        <f>IF(L871="Renewal",1,0)</f>
        <v/>
      </c>
      <c r="AP871">
        <f>AC871*AD871</f>
        <v/>
      </c>
      <c r="AQ871">
        <f>IF(AND(G871&lt;&gt;"",'Historical Score'!$C$6&lt;&gt;""),IF(G871='Historical Score'!$C$6,1,0),0)</f>
        <v/>
      </c>
      <c r="AR871">
        <f>IF(AND(L871&lt;&gt;"",'Historical Score'!$C$5&lt;&gt;""),IF(L871='Historical Score'!$C$5,1,0),0)</f>
        <v/>
      </c>
      <c r="AS871">
        <f>IF(AND(Y871&lt;&gt;"",'Historical Score'!$C$7&lt;&gt;""),IF(Y871='Historical Score'!$C$7,1,0),0)</f>
        <v/>
      </c>
      <c r="AT871">
        <f>IF(AND(K871&lt;&gt;"",'Historical Score'!$C$8&lt;&gt;""),IF(K871='Historical Score'!$C$8,1,0),0)</f>
        <v/>
      </c>
      <c r="AU871">
        <f>IF(AND(J871&lt;&gt;"",'Historical Score'!$C$9&lt;&gt;""),IF(J871='Historical Score'!$C$9,1,0),0)</f>
        <v/>
      </c>
      <c r="AV871">
        <f>AR871*AS871*AQ871</f>
        <v/>
      </c>
      <c r="AW871">
        <f>AR871*AT871*AQ871</f>
        <v/>
      </c>
      <c r="AX871">
        <f>AR871*AS871</f>
        <v/>
      </c>
      <c r="AY871">
        <f>AR871*AT871</f>
        <v/>
      </c>
      <c r="AZ871">
        <f>AR871*AQ871</f>
        <v/>
      </c>
      <c r="BA871">
        <f>AR871</f>
        <v/>
      </c>
      <c r="BB871">
        <f>1</f>
        <v/>
      </c>
      <c r="BC871">
        <f>IF(AV871=1,1,IF(AW871=1,2,IF(AX871=1,3,IF(AY871=1,4,IF(AZ871=1,5,IF(BA871=1,6,7))))))</f>
        <v/>
      </c>
      <c r="BD871">
        <f>IF(AD871=1,CHOOSE('Historical Score'!$C$29,AV871,AW871,AX871,AY871,AZ871,BA871,BB871),0)</f>
        <v/>
      </c>
      <c r="BE871">
        <f>IF(BD871=1,COUNTIF($BD$2:BD871,1),"")</f>
        <v/>
      </c>
    </row>
    <row r="872">
      <c r="A872" t="inlineStr">
        <is>
          <t>5674183704</t>
        </is>
      </c>
      <c r="B872" t="inlineStr">
        <is>
          <t>El bombazo Cuban food</t>
        </is>
      </c>
      <c r="C872" t="inlineStr">
        <is>
          <t>El bombazo Cuban food LLC</t>
        </is>
      </c>
      <c r="D872" t="inlineStr">
        <is>
          <t>Open</t>
        </is>
      </c>
      <c r="E872" s="297" t="n">
        <v>46156</v>
      </c>
      <c r="F872" s="297" t="n">
        <v>46251</v>
      </c>
      <c r="G872" t="n">
        <v>3</v>
      </c>
      <c r="H872" t="inlineStr">
        <is>
          <t>5812</t>
        </is>
      </c>
      <c r="I872" t="inlineStr">
        <is>
          <t>58</t>
        </is>
      </c>
      <c r="J872" t="inlineStr">
        <is>
          <t>No state</t>
        </is>
      </c>
      <c r="K872" t="inlineStr">
        <is>
          <t>The Funding Channel</t>
        </is>
      </c>
      <c r="L872" t="inlineStr">
        <is>
          <t>New Deal</t>
        </is>
      </c>
      <c r="M872" s="298" t="n">
        <v>1.49</v>
      </c>
      <c r="N872" s="299" t="n">
        <v>12000</v>
      </c>
      <c r="O872" s="299" t="n">
        <v>1680</v>
      </c>
      <c r="P872" s="299" t="n">
        <v>17880</v>
      </c>
      <c r="Q872" s="299" t="n">
        <v>11621.61</v>
      </c>
      <c r="R872" s="299" t="n">
        <v>6258.39</v>
      </c>
      <c r="S872" s="300" t="n">
        <v>0.649978187919463</v>
      </c>
      <c r="T872" t="n">
        <v>20</v>
      </c>
      <c r="U872" t="n">
        <v>0</v>
      </c>
      <c r="V872" t="n">
        <v>24953.93</v>
      </c>
      <c r="W872" s="300" t="n">
        <v>0.1433</v>
      </c>
      <c r="X872" s="297" t="n">
        <v>45641</v>
      </c>
      <c r="Y872">
        <f>IF(I872="","No SIC",IFERROR(VLOOKUP(I872,Ref!$A$2:$B$65,2,FALSE),"Unclassified"))</f>
        <v/>
      </c>
      <c r="Z872">
        <f>IF(T872="","",IF(T872&lt;12,"Daily","Weekly"))</f>
        <v/>
      </c>
      <c r="AA872">
        <f>IF(T872="",0,IF(T872&lt;12,T872*Controls!$B$29,T872*5))</f>
        <v/>
      </c>
      <c r="AB872">
        <f>IF(E872="",0,NETWORKDAYS(E872,Controls!$B$36,Ref!$K$2:$K$42))</f>
        <v/>
      </c>
      <c r="AC872">
        <f>IF(AND(AA872&gt;0,AB872&gt;=Controls!$B$39*AA872),1,0)</f>
        <v/>
      </c>
      <c r="AD872">
        <f>IF(AND(E872&lt;&gt;"",E872&gt;=Controls!$B$37,E872&lt;=Controls!$B$38),1,0)</f>
        <v/>
      </c>
      <c r="AE872">
        <f>IF(IFERROR(VLOOKUP(D872,Controls!$A$64:$E$74,2,FALSE),"No")="Yes",1,0)</f>
        <v/>
      </c>
      <c r="AF872">
        <f>IF(IFERROR(VLOOKUP(D872,Controls!$A$64:$E$74,3,FALSE),"No")="Yes",1,0)</f>
        <v/>
      </c>
      <c r="AG872">
        <f>IF(IFERROR(VLOOKUP(D872,Controls!$A$64:$E$74,4,FALSE),"No")="Yes",1,0)</f>
        <v/>
      </c>
      <c r="AH872">
        <f>IF(IFERROR(VLOOKUP(D872,Controls!$A$64:$E$74,5,FALSE),"No")="Yes",1,0)</f>
        <v/>
      </c>
      <c r="AI872">
        <f>IF(ISNUMBER(MATCH(D872,Controls!$A$64:$A$74,0)),1,0)</f>
        <v/>
      </c>
      <c r="AJ872">
        <f>Q872-N872</f>
        <v/>
      </c>
      <c r="AK872">
        <f>IF(AE872=1,MAX(0,N872-Q872),0)</f>
        <v/>
      </c>
      <c r="AL872">
        <f>IF(OR(V872="",V872=0),0,N872/V872)</f>
        <v/>
      </c>
      <c r="AM872">
        <f>IF(OR(V872="",V872=0),0,1)</f>
        <v/>
      </c>
      <c r="AN872">
        <f>IF(OR(E872="",F872=""),0,NETWORKDAYS(E872,F872,Ref!$K$2:$K$42))</f>
        <v/>
      </c>
      <c r="AO872">
        <f>IF(L872="Renewal",1,0)</f>
        <v/>
      </c>
      <c r="AP872">
        <f>AC872*AD872</f>
        <v/>
      </c>
      <c r="AQ872">
        <f>IF(AND(G872&lt;&gt;"",'Historical Score'!$C$6&lt;&gt;""),IF(G872='Historical Score'!$C$6,1,0),0)</f>
        <v/>
      </c>
      <c r="AR872">
        <f>IF(AND(L872&lt;&gt;"",'Historical Score'!$C$5&lt;&gt;""),IF(L872='Historical Score'!$C$5,1,0),0)</f>
        <v/>
      </c>
      <c r="AS872">
        <f>IF(AND(Y872&lt;&gt;"",'Historical Score'!$C$7&lt;&gt;""),IF(Y872='Historical Score'!$C$7,1,0),0)</f>
        <v/>
      </c>
      <c r="AT872">
        <f>IF(AND(K872&lt;&gt;"",'Historical Score'!$C$8&lt;&gt;""),IF(K872='Historical Score'!$C$8,1,0),0)</f>
        <v/>
      </c>
      <c r="AU872">
        <f>IF(AND(J872&lt;&gt;"",'Historical Score'!$C$9&lt;&gt;""),IF(J872='Historical Score'!$C$9,1,0),0)</f>
        <v/>
      </c>
      <c r="AV872">
        <f>AR872*AS872*AQ872</f>
        <v/>
      </c>
      <c r="AW872">
        <f>AR872*AT872*AQ872</f>
        <v/>
      </c>
      <c r="AX872">
        <f>AR872*AS872</f>
        <v/>
      </c>
      <c r="AY872">
        <f>AR872*AT872</f>
        <v/>
      </c>
      <c r="AZ872">
        <f>AR872*AQ872</f>
        <v/>
      </c>
      <c r="BA872">
        <f>AR872</f>
        <v/>
      </c>
      <c r="BB872">
        <f>1</f>
        <v/>
      </c>
      <c r="BC872">
        <f>IF(AV872=1,1,IF(AW872=1,2,IF(AX872=1,3,IF(AY872=1,4,IF(AZ872=1,5,IF(BA872=1,6,7))))))</f>
        <v/>
      </c>
      <c r="BD872">
        <f>IF(AD872=1,CHOOSE('Historical Score'!$C$29,AV872,AW872,AX872,AY872,AZ872,BA872,BB872),0)</f>
        <v/>
      </c>
      <c r="BE872">
        <f>IF(BD872=1,COUNTIF($BD$2:BD872,1),"")</f>
        <v/>
      </c>
    </row>
    <row r="873">
      <c r="A873" t="inlineStr">
        <is>
          <t>5674183705</t>
        </is>
      </c>
      <c r="B873" t="inlineStr">
        <is>
          <t>Foreman Logistics Inc.</t>
        </is>
      </c>
      <c r="C873" t="inlineStr">
        <is>
          <t>Foreman Logistics Inc.</t>
        </is>
      </c>
      <c r="D873" t="inlineStr">
        <is>
          <t>Open</t>
        </is>
      </c>
      <c r="E873" s="297" t="n">
        <v>46156</v>
      </c>
      <c r="F873" s="297" t="n">
        <v>46251</v>
      </c>
      <c r="G873" t="n">
        <v>2</v>
      </c>
      <c r="H873" t="inlineStr">
        <is>
          <t>4731</t>
        </is>
      </c>
      <c r="I873" t="inlineStr">
        <is>
          <t>47</t>
        </is>
      </c>
      <c r="J873" t="inlineStr">
        <is>
          <t>CA</t>
        </is>
      </c>
      <c r="K873" t="inlineStr">
        <is>
          <t>PMF</t>
        </is>
      </c>
      <c r="L873" t="inlineStr">
        <is>
          <t>New Deal</t>
        </is>
      </c>
      <c r="M873" s="298" t="n">
        <v>1.36</v>
      </c>
      <c r="N873" s="299" t="n">
        <v>400000</v>
      </c>
      <c r="O873" s="299" t="n">
        <v>38000</v>
      </c>
      <c r="P873" s="299" t="n">
        <v>544000</v>
      </c>
      <c r="Q873" s="299" t="n">
        <v>160675.71</v>
      </c>
      <c r="R873" s="299" t="n">
        <v>383324.29</v>
      </c>
      <c r="S873" s="300" t="n">
        <v>0.295359761029412</v>
      </c>
      <c r="T873" t="n">
        <v>44</v>
      </c>
      <c r="U873" t="n">
        <v>0</v>
      </c>
      <c r="V873" t="n">
        <v>973202.2</v>
      </c>
      <c r="W873" s="300" t="n">
        <v>0.0508</v>
      </c>
      <c r="X873" s="297" t="n">
        <v>42917</v>
      </c>
      <c r="Y873">
        <f>IF(I873="","No SIC",IFERROR(VLOOKUP(I873,Ref!$A$2:$B$65,2,FALSE),"Unclassified"))</f>
        <v/>
      </c>
      <c r="Z873">
        <f>IF(T873="","",IF(T873&lt;12,"Daily","Weekly"))</f>
        <v/>
      </c>
      <c r="AA873">
        <f>IF(T873="",0,IF(T873&lt;12,T873*Controls!$B$29,T873*5))</f>
        <v/>
      </c>
      <c r="AB873">
        <f>IF(E873="",0,NETWORKDAYS(E873,Controls!$B$36,Ref!$K$2:$K$42))</f>
        <v/>
      </c>
      <c r="AC873">
        <f>IF(AND(AA873&gt;0,AB873&gt;=Controls!$B$39*AA873),1,0)</f>
        <v/>
      </c>
      <c r="AD873">
        <f>IF(AND(E873&lt;&gt;"",E873&gt;=Controls!$B$37,E873&lt;=Controls!$B$38),1,0)</f>
        <v/>
      </c>
      <c r="AE873">
        <f>IF(IFERROR(VLOOKUP(D873,Controls!$A$64:$E$74,2,FALSE),"No")="Yes",1,0)</f>
        <v/>
      </c>
      <c r="AF873">
        <f>IF(IFERROR(VLOOKUP(D873,Controls!$A$64:$E$74,3,FALSE),"No")="Yes",1,0)</f>
        <v/>
      </c>
      <c r="AG873">
        <f>IF(IFERROR(VLOOKUP(D873,Controls!$A$64:$E$74,4,FALSE),"No")="Yes",1,0)</f>
        <v/>
      </c>
      <c r="AH873">
        <f>IF(IFERROR(VLOOKUP(D873,Controls!$A$64:$E$74,5,FALSE),"No")="Yes",1,0)</f>
        <v/>
      </c>
      <c r="AI873">
        <f>IF(ISNUMBER(MATCH(D873,Controls!$A$64:$A$74,0)),1,0)</f>
        <v/>
      </c>
      <c r="AJ873">
        <f>Q873-N873</f>
        <v/>
      </c>
      <c r="AK873">
        <f>IF(AE873=1,MAX(0,N873-Q873),0)</f>
        <v/>
      </c>
      <c r="AL873">
        <f>IF(OR(V873="",V873=0),0,N873/V873)</f>
        <v/>
      </c>
      <c r="AM873">
        <f>IF(OR(V873="",V873=0),0,1)</f>
        <v/>
      </c>
      <c r="AN873">
        <f>IF(OR(E873="",F873=""),0,NETWORKDAYS(E873,F873,Ref!$K$2:$K$42))</f>
        <v/>
      </c>
      <c r="AO873">
        <f>IF(L873="Renewal",1,0)</f>
        <v/>
      </c>
      <c r="AP873">
        <f>AC873*AD873</f>
        <v/>
      </c>
      <c r="AQ873">
        <f>IF(AND(G873&lt;&gt;"",'Historical Score'!$C$6&lt;&gt;""),IF(G873='Historical Score'!$C$6,1,0),0)</f>
        <v/>
      </c>
      <c r="AR873">
        <f>IF(AND(L873&lt;&gt;"",'Historical Score'!$C$5&lt;&gt;""),IF(L873='Historical Score'!$C$5,1,0),0)</f>
        <v/>
      </c>
      <c r="AS873">
        <f>IF(AND(Y873&lt;&gt;"",'Historical Score'!$C$7&lt;&gt;""),IF(Y873='Historical Score'!$C$7,1,0),0)</f>
        <v/>
      </c>
      <c r="AT873">
        <f>IF(AND(K873&lt;&gt;"",'Historical Score'!$C$8&lt;&gt;""),IF(K873='Historical Score'!$C$8,1,0),0)</f>
        <v/>
      </c>
      <c r="AU873">
        <f>IF(AND(J873&lt;&gt;"",'Historical Score'!$C$9&lt;&gt;""),IF(J873='Historical Score'!$C$9,1,0),0)</f>
        <v/>
      </c>
      <c r="AV873">
        <f>AR873*AS873*AQ873</f>
        <v/>
      </c>
      <c r="AW873">
        <f>AR873*AT873*AQ873</f>
        <v/>
      </c>
      <c r="AX873">
        <f>AR873*AS873</f>
        <v/>
      </c>
      <c r="AY873">
        <f>AR873*AT873</f>
        <v/>
      </c>
      <c r="AZ873">
        <f>AR873*AQ873</f>
        <v/>
      </c>
      <c r="BA873">
        <f>AR873</f>
        <v/>
      </c>
      <c r="BB873">
        <f>1</f>
        <v/>
      </c>
      <c r="BC873">
        <f>IF(AV873=1,1,IF(AW873=1,2,IF(AX873=1,3,IF(AY873=1,4,IF(AZ873=1,5,IF(BA873=1,6,7))))))</f>
        <v/>
      </c>
      <c r="BD873">
        <f>IF(AD873=1,CHOOSE('Historical Score'!$C$29,AV873,AW873,AX873,AY873,AZ873,BA873,BB873),0)</f>
        <v/>
      </c>
      <c r="BE873">
        <f>IF(BD873=1,COUNTIF($BD$2:BD873,1),"")</f>
        <v/>
      </c>
    </row>
    <row r="874">
      <c r="A874" t="inlineStr">
        <is>
          <t>5674183724</t>
        </is>
      </c>
      <c r="B874" t="inlineStr">
        <is>
          <t>Luminous Dental Studio</t>
        </is>
      </c>
      <c r="C874" t="inlineStr">
        <is>
          <t>Luminous Dental Associates PLLC</t>
        </is>
      </c>
      <c r="D874" t="inlineStr">
        <is>
          <t>Open</t>
        </is>
      </c>
      <c r="E874" s="297" t="n">
        <v>46157</v>
      </c>
      <c r="F874" s="297" t="n">
        <v>46247</v>
      </c>
      <c r="G874" t="n">
        <v>2</v>
      </c>
      <c r="H874" t="inlineStr">
        <is>
          <t>8021</t>
        </is>
      </c>
      <c r="I874" t="inlineStr">
        <is>
          <t>80</t>
        </is>
      </c>
      <c r="J874" t="inlineStr">
        <is>
          <t>TX</t>
        </is>
      </c>
      <c r="K874" t="inlineStr">
        <is>
          <t>Fundwell</t>
        </is>
      </c>
      <c r="L874" t="inlineStr">
        <is>
          <t>Renewal</t>
        </is>
      </c>
      <c r="M874" s="298" t="n">
        <v>1.38</v>
      </c>
      <c r="N874" s="299" t="n">
        <v>15000</v>
      </c>
      <c r="O874" s="299" t="n">
        <v>1650</v>
      </c>
      <c r="P874" s="299" t="n">
        <v>20700</v>
      </c>
      <c r="Q874" s="299" t="n">
        <v>8122</v>
      </c>
      <c r="R874" s="299" t="n">
        <v>12578</v>
      </c>
      <c r="S874" s="300" t="n">
        <v>0.392367149758454</v>
      </c>
      <c r="T874" t="n">
        <v>36</v>
      </c>
      <c r="U874" t="n">
        <v>0</v>
      </c>
      <c r="V874" t="n">
        <v>46940.92</v>
      </c>
      <c r="W874" s="300" t="n">
        <v>0.049</v>
      </c>
      <c r="X874" s="297" t="n">
        <v>42227</v>
      </c>
      <c r="Y874">
        <f>IF(I874="","No SIC",IFERROR(VLOOKUP(I874,Ref!$A$2:$B$65,2,FALSE),"Unclassified"))</f>
        <v/>
      </c>
      <c r="Z874">
        <f>IF(T874="","",IF(T874&lt;12,"Daily","Weekly"))</f>
        <v/>
      </c>
      <c r="AA874">
        <f>IF(T874="",0,IF(T874&lt;12,T874*Controls!$B$29,T874*5))</f>
        <v/>
      </c>
      <c r="AB874">
        <f>IF(E874="",0,NETWORKDAYS(E874,Controls!$B$36,Ref!$K$2:$K$42))</f>
        <v/>
      </c>
      <c r="AC874">
        <f>IF(AND(AA874&gt;0,AB874&gt;=Controls!$B$39*AA874),1,0)</f>
        <v/>
      </c>
      <c r="AD874">
        <f>IF(AND(E874&lt;&gt;"",E874&gt;=Controls!$B$37,E874&lt;=Controls!$B$38),1,0)</f>
        <v/>
      </c>
      <c r="AE874">
        <f>IF(IFERROR(VLOOKUP(D874,Controls!$A$64:$E$74,2,FALSE),"No")="Yes",1,0)</f>
        <v/>
      </c>
      <c r="AF874">
        <f>IF(IFERROR(VLOOKUP(D874,Controls!$A$64:$E$74,3,FALSE),"No")="Yes",1,0)</f>
        <v/>
      </c>
      <c r="AG874">
        <f>IF(IFERROR(VLOOKUP(D874,Controls!$A$64:$E$74,4,FALSE),"No")="Yes",1,0)</f>
        <v/>
      </c>
      <c r="AH874">
        <f>IF(IFERROR(VLOOKUP(D874,Controls!$A$64:$E$74,5,FALSE),"No")="Yes",1,0)</f>
        <v/>
      </c>
      <c r="AI874">
        <f>IF(ISNUMBER(MATCH(D874,Controls!$A$64:$A$74,0)),1,0)</f>
        <v/>
      </c>
      <c r="AJ874">
        <f>Q874-N874</f>
        <v/>
      </c>
      <c r="AK874">
        <f>IF(AE874=1,MAX(0,N874-Q874),0)</f>
        <v/>
      </c>
      <c r="AL874">
        <f>IF(OR(V874="",V874=0),0,N874/V874)</f>
        <v/>
      </c>
      <c r="AM874">
        <f>IF(OR(V874="",V874=0),0,1)</f>
        <v/>
      </c>
      <c r="AN874">
        <f>IF(OR(E874="",F874=""),0,NETWORKDAYS(E874,F874,Ref!$K$2:$K$42))</f>
        <v/>
      </c>
      <c r="AO874">
        <f>IF(L874="Renewal",1,0)</f>
        <v/>
      </c>
      <c r="AP874">
        <f>AC874*AD874</f>
        <v/>
      </c>
      <c r="AQ874">
        <f>IF(AND(G874&lt;&gt;"",'Historical Score'!$C$6&lt;&gt;""),IF(G874='Historical Score'!$C$6,1,0),0)</f>
        <v/>
      </c>
      <c r="AR874">
        <f>IF(AND(L874&lt;&gt;"",'Historical Score'!$C$5&lt;&gt;""),IF(L874='Historical Score'!$C$5,1,0),0)</f>
        <v/>
      </c>
      <c r="AS874">
        <f>IF(AND(Y874&lt;&gt;"",'Historical Score'!$C$7&lt;&gt;""),IF(Y874='Historical Score'!$C$7,1,0),0)</f>
        <v/>
      </c>
      <c r="AT874">
        <f>IF(AND(K874&lt;&gt;"",'Historical Score'!$C$8&lt;&gt;""),IF(K874='Historical Score'!$C$8,1,0),0)</f>
        <v/>
      </c>
      <c r="AU874">
        <f>IF(AND(J874&lt;&gt;"",'Historical Score'!$C$9&lt;&gt;""),IF(J874='Historical Score'!$C$9,1,0),0)</f>
        <v/>
      </c>
      <c r="AV874">
        <f>AR874*AS874*AQ874</f>
        <v/>
      </c>
      <c r="AW874">
        <f>AR874*AT874*AQ874</f>
        <v/>
      </c>
      <c r="AX874">
        <f>AR874*AS874</f>
        <v/>
      </c>
      <c r="AY874">
        <f>AR874*AT874</f>
        <v/>
      </c>
      <c r="AZ874">
        <f>AR874*AQ874</f>
        <v/>
      </c>
      <c r="BA874">
        <f>AR874</f>
        <v/>
      </c>
      <c r="BB874">
        <f>1</f>
        <v/>
      </c>
      <c r="BC874">
        <f>IF(AV874=1,1,IF(AW874=1,2,IF(AX874=1,3,IF(AY874=1,4,IF(AZ874=1,5,IF(BA874=1,6,7))))))</f>
        <v/>
      </c>
      <c r="BD874">
        <f>IF(AD874=1,CHOOSE('Historical Score'!$C$29,AV874,AW874,AX874,AY874,AZ874,BA874,BB874),0)</f>
        <v/>
      </c>
      <c r="BE874">
        <f>IF(BD874=1,COUNTIF($BD$2:BD874,1),"")</f>
        <v/>
      </c>
    </row>
    <row r="875">
      <c r="A875" t="inlineStr">
        <is>
          <t>5674183726</t>
        </is>
      </c>
      <c r="B875" t="inlineStr">
        <is>
          <t>Construction of the Texans ILLC</t>
        </is>
      </c>
      <c r="C875" t="inlineStr">
        <is>
          <t>Construction of the Texans LLC</t>
        </is>
      </c>
      <c r="D875" t="inlineStr">
        <is>
          <t>Open</t>
        </is>
      </c>
      <c r="E875" s="297" t="n">
        <v>46157</v>
      </c>
      <c r="F875" s="297" t="n">
        <v>46239</v>
      </c>
      <c r="G875" t="n">
        <v>3</v>
      </c>
      <c r="H875" t="inlineStr">
        <is>
          <t>1521</t>
        </is>
      </c>
      <c r="I875" t="inlineStr">
        <is>
          <t>15</t>
        </is>
      </c>
      <c r="J875" t="inlineStr">
        <is>
          <t>TX</t>
        </is>
      </c>
      <c r="K875" t="inlineStr">
        <is>
          <t>United Secured Capital 8</t>
        </is>
      </c>
      <c r="L875" t="inlineStr">
        <is>
          <t>New Deal</t>
        </is>
      </c>
      <c r="M875" s="298" t="n">
        <v>1.49</v>
      </c>
      <c r="N875" s="299" t="n">
        <v>17000</v>
      </c>
      <c r="O875" s="299" t="n">
        <v>2380</v>
      </c>
      <c r="P875" s="299" t="n">
        <v>25330</v>
      </c>
      <c r="Q875" s="299" t="n">
        <v>23604</v>
      </c>
      <c r="R875" s="299" t="n">
        <v>1726</v>
      </c>
      <c r="S875" s="300" t="n">
        <v>0.931859455191473</v>
      </c>
      <c r="T875" t="n">
        <v>1.475</v>
      </c>
      <c r="U875" t="n">
        <v>10</v>
      </c>
      <c r="V875" t="n">
        <v>135688.85</v>
      </c>
      <c r="W875" s="300" t="n">
        <v>0.0871</v>
      </c>
      <c r="X875" s="297" t="n">
        <v>44560</v>
      </c>
      <c r="Y875">
        <f>IF(I875="","No SIC",IFERROR(VLOOKUP(I875,Ref!$A$2:$B$65,2,FALSE),"Unclassified"))</f>
        <v/>
      </c>
      <c r="Z875">
        <f>IF(T875="","",IF(T875&lt;12,"Daily","Weekly"))</f>
        <v/>
      </c>
      <c r="AA875">
        <f>IF(T875="",0,IF(T875&lt;12,T875*Controls!$B$29,T875*5))</f>
        <v/>
      </c>
      <c r="AB875">
        <f>IF(E875="",0,NETWORKDAYS(E875,Controls!$B$36,Ref!$K$2:$K$42))</f>
        <v/>
      </c>
      <c r="AC875">
        <f>IF(AND(AA875&gt;0,AB875&gt;=Controls!$B$39*AA875),1,0)</f>
        <v/>
      </c>
      <c r="AD875">
        <f>IF(AND(E875&lt;&gt;"",E875&gt;=Controls!$B$37,E875&lt;=Controls!$B$38),1,0)</f>
        <v/>
      </c>
      <c r="AE875">
        <f>IF(IFERROR(VLOOKUP(D875,Controls!$A$64:$E$74,2,FALSE),"No")="Yes",1,0)</f>
        <v/>
      </c>
      <c r="AF875">
        <f>IF(IFERROR(VLOOKUP(D875,Controls!$A$64:$E$74,3,FALSE),"No")="Yes",1,0)</f>
        <v/>
      </c>
      <c r="AG875">
        <f>IF(IFERROR(VLOOKUP(D875,Controls!$A$64:$E$74,4,FALSE),"No")="Yes",1,0)</f>
        <v/>
      </c>
      <c r="AH875">
        <f>IF(IFERROR(VLOOKUP(D875,Controls!$A$64:$E$74,5,FALSE),"No")="Yes",1,0)</f>
        <v/>
      </c>
      <c r="AI875">
        <f>IF(ISNUMBER(MATCH(D875,Controls!$A$64:$A$74,0)),1,0)</f>
        <v/>
      </c>
      <c r="AJ875">
        <f>Q875-N875</f>
        <v/>
      </c>
      <c r="AK875">
        <f>IF(AE875=1,MAX(0,N875-Q875),0)</f>
        <v/>
      </c>
      <c r="AL875">
        <f>IF(OR(V875="",V875=0),0,N875/V875)</f>
        <v/>
      </c>
      <c r="AM875">
        <f>IF(OR(V875="",V875=0),0,1)</f>
        <v/>
      </c>
      <c r="AN875">
        <f>IF(OR(E875="",F875=""),0,NETWORKDAYS(E875,F875,Ref!$K$2:$K$42))</f>
        <v/>
      </c>
      <c r="AO875">
        <f>IF(L875="Renewal",1,0)</f>
        <v/>
      </c>
      <c r="AP875">
        <f>AC875*AD875</f>
        <v/>
      </c>
      <c r="AQ875">
        <f>IF(AND(G875&lt;&gt;"",'Historical Score'!$C$6&lt;&gt;""),IF(G875='Historical Score'!$C$6,1,0),0)</f>
        <v/>
      </c>
      <c r="AR875">
        <f>IF(AND(L875&lt;&gt;"",'Historical Score'!$C$5&lt;&gt;""),IF(L875='Historical Score'!$C$5,1,0),0)</f>
        <v/>
      </c>
      <c r="AS875">
        <f>IF(AND(Y875&lt;&gt;"",'Historical Score'!$C$7&lt;&gt;""),IF(Y875='Historical Score'!$C$7,1,0),0)</f>
        <v/>
      </c>
      <c r="AT875">
        <f>IF(AND(K875&lt;&gt;"",'Historical Score'!$C$8&lt;&gt;""),IF(K875='Historical Score'!$C$8,1,0),0)</f>
        <v/>
      </c>
      <c r="AU875">
        <f>IF(AND(J875&lt;&gt;"",'Historical Score'!$C$9&lt;&gt;""),IF(J875='Historical Score'!$C$9,1,0),0)</f>
        <v/>
      </c>
      <c r="AV875">
        <f>AR875*AS875*AQ875</f>
        <v/>
      </c>
      <c r="AW875">
        <f>AR875*AT875*AQ875</f>
        <v/>
      </c>
      <c r="AX875">
        <f>AR875*AS875</f>
        <v/>
      </c>
      <c r="AY875">
        <f>AR875*AT875</f>
        <v/>
      </c>
      <c r="AZ875">
        <f>AR875*AQ875</f>
        <v/>
      </c>
      <c r="BA875">
        <f>AR875</f>
        <v/>
      </c>
      <c r="BB875">
        <f>1</f>
        <v/>
      </c>
      <c r="BC875">
        <f>IF(AV875=1,1,IF(AW875=1,2,IF(AX875=1,3,IF(AY875=1,4,IF(AZ875=1,5,IF(BA875=1,6,7))))))</f>
        <v/>
      </c>
      <c r="BD875">
        <f>IF(AD875=1,CHOOSE('Historical Score'!$C$29,AV875,AW875,AX875,AY875,AZ875,BA875,BB875),0)</f>
        <v/>
      </c>
      <c r="BE875">
        <f>IF(BD875=1,COUNTIF($BD$2:BD875,1),"")</f>
        <v/>
      </c>
    </row>
    <row r="876">
      <c r="A876" t="inlineStr">
        <is>
          <t>5674183750</t>
        </is>
      </c>
      <c r="B876" t="inlineStr">
        <is>
          <t>CM&amp;M Construction Enterprise LLC</t>
        </is>
      </c>
      <c r="C876" t="inlineStr">
        <is>
          <t>CM&amp;M Construction Enterprise LLC</t>
        </is>
      </c>
      <c r="D876" t="inlineStr">
        <is>
          <t>Open</t>
        </is>
      </c>
      <c r="E876" s="297" t="n">
        <v>46157</v>
      </c>
      <c r="F876" s="297" t="n">
        <v>46253</v>
      </c>
      <c r="G876" t="n">
        <v>3</v>
      </c>
      <c r="H876" t="inlineStr">
        <is>
          <t>1521</t>
        </is>
      </c>
      <c r="I876" t="inlineStr">
        <is>
          <t>15</t>
        </is>
      </c>
      <c r="J876" t="inlineStr">
        <is>
          <t>AR</t>
        </is>
      </c>
      <c r="K876" t="inlineStr">
        <is>
          <t>PMF</t>
        </is>
      </c>
      <c r="L876" t="inlineStr">
        <is>
          <t>New Deal</t>
        </is>
      </c>
      <c r="M876" s="298" t="n">
        <v>1.45</v>
      </c>
      <c r="N876" s="299" t="n">
        <v>35000</v>
      </c>
      <c r="O876" s="299" t="n">
        <v>4200</v>
      </c>
      <c r="P876" s="299" t="n">
        <v>50750</v>
      </c>
      <c r="Q876" s="299" t="n">
        <v>16415.3</v>
      </c>
      <c r="R876" s="299" t="n">
        <v>34334.7</v>
      </c>
      <c r="S876" s="300" t="n">
        <v>0.323454187192118</v>
      </c>
      <c r="T876" t="n">
        <v>34</v>
      </c>
      <c r="U876" t="n">
        <v>2</v>
      </c>
      <c r="V876" t="n">
        <v>496528.38</v>
      </c>
      <c r="W876" s="300" t="n">
        <v>0.0934</v>
      </c>
      <c r="X876" s="297" t="n">
        <v>43417</v>
      </c>
      <c r="Y876">
        <f>IF(I876="","No SIC",IFERROR(VLOOKUP(I876,Ref!$A$2:$B$65,2,FALSE),"Unclassified"))</f>
        <v/>
      </c>
      <c r="Z876">
        <f>IF(T876="","",IF(T876&lt;12,"Daily","Weekly"))</f>
        <v/>
      </c>
      <c r="AA876">
        <f>IF(T876="",0,IF(T876&lt;12,T876*Controls!$B$29,T876*5))</f>
        <v/>
      </c>
      <c r="AB876">
        <f>IF(E876="",0,NETWORKDAYS(E876,Controls!$B$36,Ref!$K$2:$K$42))</f>
        <v/>
      </c>
      <c r="AC876">
        <f>IF(AND(AA876&gt;0,AB876&gt;=Controls!$B$39*AA876),1,0)</f>
        <v/>
      </c>
      <c r="AD876">
        <f>IF(AND(E876&lt;&gt;"",E876&gt;=Controls!$B$37,E876&lt;=Controls!$B$38),1,0)</f>
        <v/>
      </c>
      <c r="AE876">
        <f>IF(IFERROR(VLOOKUP(D876,Controls!$A$64:$E$74,2,FALSE),"No")="Yes",1,0)</f>
        <v/>
      </c>
      <c r="AF876">
        <f>IF(IFERROR(VLOOKUP(D876,Controls!$A$64:$E$74,3,FALSE),"No")="Yes",1,0)</f>
        <v/>
      </c>
      <c r="AG876">
        <f>IF(IFERROR(VLOOKUP(D876,Controls!$A$64:$E$74,4,FALSE),"No")="Yes",1,0)</f>
        <v/>
      </c>
      <c r="AH876">
        <f>IF(IFERROR(VLOOKUP(D876,Controls!$A$64:$E$74,5,FALSE),"No")="Yes",1,0)</f>
        <v/>
      </c>
      <c r="AI876">
        <f>IF(ISNUMBER(MATCH(D876,Controls!$A$64:$A$74,0)),1,0)</f>
        <v/>
      </c>
      <c r="AJ876">
        <f>Q876-N876</f>
        <v/>
      </c>
      <c r="AK876">
        <f>IF(AE876=1,MAX(0,N876-Q876),0)</f>
        <v/>
      </c>
      <c r="AL876">
        <f>IF(OR(V876="",V876=0),0,N876/V876)</f>
        <v/>
      </c>
      <c r="AM876">
        <f>IF(OR(V876="",V876=0),0,1)</f>
        <v/>
      </c>
      <c r="AN876">
        <f>IF(OR(E876="",F876=""),0,NETWORKDAYS(E876,F876,Ref!$K$2:$K$42))</f>
        <v/>
      </c>
      <c r="AO876">
        <f>IF(L876="Renewal",1,0)</f>
        <v/>
      </c>
      <c r="AP876">
        <f>AC876*AD876</f>
        <v/>
      </c>
      <c r="AQ876">
        <f>IF(AND(G876&lt;&gt;"",'Historical Score'!$C$6&lt;&gt;""),IF(G876='Historical Score'!$C$6,1,0),0)</f>
        <v/>
      </c>
      <c r="AR876">
        <f>IF(AND(L876&lt;&gt;"",'Historical Score'!$C$5&lt;&gt;""),IF(L876='Historical Score'!$C$5,1,0),0)</f>
        <v/>
      </c>
      <c r="AS876">
        <f>IF(AND(Y876&lt;&gt;"",'Historical Score'!$C$7&lt;&gt;""),IF(Y876='Historical Score'!$C$7,1,0),0)</f>
        <v/>
      </c>
      <c r="AT876">
        <f>IF(AND(K876&lt;&gt;"",'Historical Score'!$C$8&lt;&gt;""),IF(K876='Historical Score'!$C$8,1,0),0)</f>
        <v/>
      </c>
      <c r="AU876">
        <f>IF(AND(J876&lt;&gt;"",'Historical Score'!$C$9&lt;&gt;""),IF(J876='Historical Score'!$C$9,1,0),0)</f>
        <v/>
      </c>
      <c r="AV876">
        <f>AR876*AS876*AQ876</f>
        <v/>
      </c>
      <c r="AW876">
        <f>AR876*AT876*AQ876</f>
        <v/>
      </c>
      <c r="AX876">
        <f>AR876*AS876</f>
        <v/>
      </c>
      <c r="AY876">
        <f>AR876*AT876</f>
        <v/>
      </c>
      <c r="AZ876">
        <f>AR876*AQ876</f>
        <v/>
      </c>
      <c r="BA876">
        <f>AR876</f>
        <v/>
      </c>
      <c r="BB876">
        <f>1</f>
        <v/>
      </c>
      <c r="BC876">
        <f>IF(AV876=1,1,IF(AW876=1,2,IF(AX876=1,3,IF(AY876=1,4,IF(AZ876=1,5,IF(BA876=1,6,7))))))</f>
        <v/>
      </c>
      <c r="BD876">
        <f>IF(AD876=1,CHOOSE('Historical Score'!$C$29,AV876,AW876,AX876,AY876,AZ876,BA876,BB876),0)</f>
        <v/>
      </c>
      <c r="BE876">
        <f>IF(BD876=1,COUNTIF($BD$2:BD876,1),"")</f>
        <v/>
      </c>
    </row>
    <row r="877">
      <c r="A877" t="inlineStr">
        <is>
          <t>5674183764</t>
        </is>
      </c>
      <c r="B877" t="inlineStr">
        <is>
          <t>Recharge Exteriors</t>
        </is>
      </c>
      <c r="C877" t="inlineStr">
        <is>
          <t>Recharge Exteriors</t>
        </is>
      </c>
      <c r="D877" t="inlineStr">
        <is>
          <t>Legal</t>
        </is>
      </c>
      <c r="E877" s="297" t="n">
        <v>46157</v>
      </c>
      <c r="F877" s="297" t="n">
        <v>46178</v>
      </c>
      <c r="G877" t="n">
        <v>3</v>
      </c>
      <c r="H877" t="inlineStr">
        <is>
          <t>1521</t>
        </is>
      </c>
      <c r="I877" t="inlineStr">
        <is>
          <t>15</t>
        </is>
      </c>
      <c r="J877" t="inlineStr">
        <is>
          <t>FL</t>
        </is>
      </c>
      <c r="K877" t="inlineStr">
        <is>
          <t>United Secured Capital 8</t>
        </is>
      </c>
      <c r="L877" t="inlineStr">
        <is>
          <t>Renewal</t>
        </is>
      </c>
      <c r="M877" s="298" t="n">
        <v>1.44</v>
      </c>
      <c r="N877" s="299" t="n">
        <v>40000</v>
      </c>
      <c r="O877" s="299" t="n">
        <v>4600</v>
      </c>
      <c r="P877" s="299" t="n">
        <v>57600</v>
      </c>
      <c r="Q877" s="299" t="n">
        <v>4115</v>
      </c>
      <c r="R877" s="299" t="n">
        <v>53485</v>
      </c>
      <c r="S877" s="300" t="n">
        <v>0.0714409722222222</v>
      </c>
      <c r="T877" t="n">
        <v>28</v>
      </c>
      <c r="U877" t="n">
        <v>1</v>
      </c>
      <c r="V877" t="n">
        <v>40722.38</v>
      </c>
      <c r="W877" s="300" t="n">
        <v>0.2021</v>
      </c>
      <c r="X877" s="297" t="n">
        <v>44835</v>
      </c>
      <c r="Y877">
        <f>IF(I877="","No SIC",IFERROR(VLOOKUP(I877,Ref!$A$2:$B$65,2,FALSE),"Unclassified"))</f>
        <v/>
      </c>
      <c r="Z877">
        <f>IF(T877="","",IF(T877&lt;12,"Daily","Weekly"))</f>
        <v/>
      </c>
      <c r="AA877">
        <f>IF(T877="",0,IF(T877&lt;12,T877*Controls!$B$29,T877*5))</f>
        <v/>
      </c>
      <c r="AB877">
        <f>IF(E877="",0,NETWORKDAYS(E877,Controls!$B$36,Ref!$K$2:$K$42))</f>
        <v/>
      </c>
      <c r="AC877">
        <f>IF(AND(AA877&gt;0,AB877&gt;=Controls!$B$39*AA877),1,0)</f>
        <v/>
      </c>
      <c r="AD877">
        <f>IF(AND(E877&lt;&gt;"",E877&gt;=Controls!$B$37,E877&lt;=Controls!$B$38),1,0)</f>
        <v/>
      </c>
      <c r="AE877">
        <f>IF(IFERROR(VLOOKUP(D877,Controls!$A$64:$E$74,2,FALSE),"No")="Yes",1,0)</f>
        <v/>
      </c>
      <c r="AF877">
        <f>IF(IFERROR(VLOOKUP(D877,Controls!$A$64:$E$74,3,FALSE),"No")="Yes",1,0)</f>
        <v/>
      </c>
      <c r="AG877">
        <f>IF(IFERROR(VLOOKUP(D877,Controls!$A$64:$E$74,4,FALSE),"No")="Yes",1,0)</f>
        <v/>
      </c>
      <c r="AH877">
        <f>IF(IFERROR(VLOOKUP(D877,Controls!$A$64:$E$74,5,FALSE),"No")="Yes",1,0)</f>
        <v/>
      </c>
      <c r="AI877">
        <f>IF(ISNUMBER(MATCH(D877,Controls!$A$64:$A$74,0)),1,0)</f>
        <v/>
      </c>
      <c r="AJ877">
        <f>Q877-N877</f>
        <v/>
      </c>
      <c r="AK877">
        <f>IF(AE877=1,MAX(0,N877-Q877),0)</f>
        <v/>
      </c>
      <c r="AL877">
        <f>IF(OR(V877="",V877=0),0,N877/V877)</f>
        <v/>
      </c>
      <c r="AM877">
        <f>IF(OR(V877="",V877=0),0,1)</f>
        <v/>
      </c>
      <c r="AN877">
        <f>IF(OR(E877="",F877=""),0,NETWORKDAYS(E877,F877,Ref!$K$2:$K$42))</f>
        <v/>
      </c>
      <c r="AO877">
        <f>IF(L877="Renewal",1,0)</f>
        <v/>
      </c>
      <c r="AP877">
        <f>AC877*AD877</f>
        <v/>
      </c>
      <c r="AQ877">
        <f>IF(AND(G877&lt;&gt;"",'Historical Score'!$C$6&lt;&gt;""),IF(G877='Historical Score'!$C$6,1,0),0)</f>
        <v/>
      </c>
      <c r="AR877">
        <f>IF(AND(L877&lt;&gt;"",'Historical Score'!$C$5&lt;&gt;""),IF(L877='Historical Score'!$C$5,1,0),0)</f>
        <v/>
      </c>
      <c r="AS877">
        <f>IF(AND(Y877&lt;&gt;"",'Historical Score'!$C$7&lt;&gt;""),IF(Y877='Historical Score'!$C$7,1,0),0)</f>
        <v/>
      </c>
      <c r="AT877">
        <f>IF(AND(K877&lt;&gt;"",'Historical Score'!$C$8&lt;&gt;""),IF(K877='Historical Score'!$C$8,1,0),0)</f>
        <v/>
      </c>
      <c r="AU877">
        <f>IF(AND(J877&lt;&gt;"",'Historical Score'!$C$9&lt;&gt;""),IF(J877='Historical Score'!$C$9,1,0),0)</f>
        <v/>
      </c>
      <c r="AV877">
        <f>AR877*AS877*AQ877</f>
        <v/>
      </c>
      <c r="AW877">
        <f>AR877*AT877*AQ877</f>
        <v/>
      </c>
      <c r="AX877">
        <f>AR877*AS877</f>
        <v/>
      </c>
      <c r="AY877">
        <f>AR877*AT877</f>
        <v/>
      </c>
      <c r="AZ877">
        <f>AR877*AQ877</f>
        <v/>
      </c>
      <c r="BA877">
        <f>AR877</f>
        <v/>
      </c>
      <c r="BB877">
        <f>1</f>
        <v/>
      </c>
      <c r="BC877">
        <f>IF(AV877=1,1,IF(AW877=1,2,IF(AX877=1,3,IF(AY877=1,4,IF(AZ877=1,5,IF(BA877=1,6,7))))))</f>
        <v/>
      </c>
      <c r="BD877">
        <f>IF(AD877=1,CHOOSE('Historical Score'!$C$29,AV877,AW877,AX877,AY877,AZ877,BA877,BB877),0)</f>
        <v/>
      </c>
      <c r="BE877">
        <f>IF(BD877=1,COUNTIF($BD$2:BD877,1),"")</f>
        <v/>
      </c>
    </row>
    <row r="878">
      <c r="A878" t="inlineStr">
        <is>
          <t>5674183838</t>
        </is>
      </c>
      <c r="B878" t="inlineStr">
        <is>
          <t>BARWAAQA CAFE</t>
        </is>
      </c>
      <c r="C878" t="inlineStr">
        <is>
          <t>BARWAAQA CAFE LLC</t>
        </is>
      </c>
      <c r="D878" t="inlineStr">
        <is>
          <t>Open</t>
        </is>
      </c>
      <c r="E878" s="297" t="n">
        <v>46160</v>
      </c>
      <c r="F878" s="297" t="n">
        <v>46253</v>
      </c>
      <c r="G878" t="n">
        <v>2</v>
      </c>
      <c r="H878" t="inlineStr">
        <is>
          <t>5812</t>
        </is>
      </c>
      <c r="I878" t="inlineStr">
        <is>
          <t>58</t>
        </is>
      </c>
      <c r="J878" t="inlineStr">
        <is>
          <t>OH</t>
        </is>
      </c>
      <c r="K878" t="inlineStr">
        <is>
          <t>Lemonaid</t>
        </is>
      </c>
      <c r="L878" t="inlineStr">
        <is>
          <t>New Deal</t>
        </is>
      </c>
      <c r="M878" s="298" t="n">
        <v>1.49</v>
      </c>
      <c r="N878" s="299" t="n">
        <v>5000</v>
      </c>
      <c r="O878" s="299" t="n">
        <v>700</v>
      </c>
      <c r="P878" s="299" t="n">
        <v>7450</v>
      </c>
      <c r="Q878" s="299" t="n">
        <v>3723</v>
      </c>
      <c r="R878" s="299" t="n">
        <v>3727</v>
      </c>
      <c r="S878" s="300" t="n">
        <v>0.499731543624161</v>
      </c>
      <c r="T878" t="n">
        <v>3.279</v>
      </c>
      <c r="U878" t="n">
        <v>15</v>
      </c>
      <c r="V878" t="n">
        <v>22371.11</v>
      </c>
      <c r="W878" s="300" t="n">
        <v>0.0699</v>
      </c>
      <c r="X878" s="297" t="n">
        <v>44634</v>
      </c>
      <c r="Y878">
        <f>IF(I878="","No SIC",IFERROR(VLOOKUP(I878,Ref!$A$2:$B$65,2,FALSE),"Unclassified"))</f>
        <v/>
      </c>
      <c r="Z878">
        <f>IF(T878="","",IF(T878&lt;12,"Daily","Weekly"))</f>
        <v/>
      </c>
      <c r="AA878">
        <f>IF(T878="",0,IF(T878&lt;12,T878*Controls!$B$29,T878*5))</f>
        <v/>
      </c>
      <c r="AB878">
        <f>IF(E878="",0,NETWORKDAYS(E878,Controls!$B$36,Ref!$K$2:$K$42))</f>
        <v/>
      </c>
      <c r="AC878">
        <f>IF(AND(AA878&gt;0,AB878&gt;=Controls!$B$39*AA878),1,0)</f>
        <v/>
      </c>
      <c r="AD878">
        <f>IF(AND(E878&lt;&gt;"",E878&gt;=Controls!$B$37,E878&lt;=Controls!$B$38),1,0)</f>
        <v/>
      </c>
      <c r="AE878">
        <f>IF(IFERROR(VLOOKUP(D878,Controls!$A$64:$E$74,2,FALSE),"No")="Yes",1,0)</f>
        <v/>
      </c>
      <c r="AF878">
        <f>IF(IFERROR(VLOOKUP(D878,Controls!$A$64:$E$74,3,FALSE),"No")="Yes",1,0)</f>
        <v/>
      </c>
      <c r="AG878">
        <f>IF(IFERROR(VLOOKUP(D878,Controls!$A$64:$E$74,4,FALSE),"No")="Yes",1,0)</f>
        <v/>
      </c>
      <c r="AH878">
        <f>IF(IFERROR(VLOOKUP(D878,Controls!$A$64:$E$74,5,FALSE),"No")="Yes",1,0)</f>
        <v/>
      </c>
      <c r="AI878">
        <f>IF(ISNUMBER(MATCH(D878,Controls!$A$64:$A$74,0)),1,0)</f>
        <v/>
      </c>
      <c r="AJ878">
        <f>Q878-N878</f>
        <v/>
      </c>
      <c r="AK878">
        <f>IF(AE878=1,MAX(0,N878-Q878),0)</f>
        <v/>
      </c>
      <c r="AL878">
        <f>IF(OR(V878="",V878=0),0,N878/V878)</f>
        <v/>
      </c>
      <c r="AM878">
        <f>IF(OR(V878="",V878=0),0,1)</f>
        <v/>
      </c>
      <c r="AN878">
        <f>IF(OR(E878="",F878=""),0,NETWORKDAYS(E878,F878,Ref!$K$2:$K$42))</f>
        <v/>
      </c>
      <c r="AO878">
        <f>IF(L878="Renewal",1,0)</f>
        <v/>
      </c>
      <c r="AP878">
        <f>AC878*AD878</f>
        <v/>
      </c>
      <c r="AQ878">
        <f>IF(AND(G878&lt;&gt;"",'Historical Score'!$C$6&lt;&gt;""),IF(G878='Historical Score'!$C$6,1,0),0)</f>
        <v/>
      </c>
      <c r="AR878">
        <f>IF(AND(L878&lt;&gt;"",'Historical Score'!$C$5&lt;&gt;""),IF(L878='Historical Score'!$C$5,1,0),0)</f>
        <v/>
      </c>
      <c r="AS878">
        <f>IF(AND(Y878&lt;&gt;"",'Historical Score'!$C$7&lt;&gt;""),IF(Y878='Historical Score'!$C$7,1,0),0)</f>
        <v/>
      </c>
      <c r="AT878">
        <f>IF(AND(K878&lt;&gt;"",'Historical Score'!$C$8&lt;&gt;""),IF(K878='Historical Score'!$C$8,1,0),0)</f>
        <v/>
      </c>
      <c r="AU878">
        <f>IF(AND(J878&lt;&gt;"",'Historical Score'!$C$9&lt;&gt;""),IF(J878='Historical Score'!$C$9,1,0),0)</f>
        <v/>
      </c>
      <c r="AV878">
        <f>AR878*AS878*AQ878</f>
        <v/>
      </c>
      <c r="AW878">
        <f>AR878*AT878*AQ878</f>
        <v/>
      </c>
      <c r="AX878">
        <f>AR878*AS878</f>
        <v/>
      </c>
      <c r="AY878">
        <f>AR878*AT878</f>
        <v/>
      </c>
      <c r="AZ878">
        <f>AR878*AQ878</f>
        <v/>
      </c>
      <c r="BA878">
        <f>AR878</f>
        <v/>
      </c>
      <c r="BB878">
        <f>1</f>
        <v/>
      </c>
      <c r="BC878">
        <f>IF(AV878=1,1,IF(AW878=1,2,IF(AX878=1,3,IF(AY878=1,4,IF(AZ878=1,5,IF(BA878=1,6,7))))))</f>
        <v/>
      </c>
      <c r="BD878">
        <f>IF(AD878=1,CHOOSE('Historical Score'!$C$29,AV878,AW878,AX878,AY878,AZ878,BA878,BB878),0)</f>
        <v/>
      </c>
      <c r="BE878">
        <f>IF(BD878=1,COUNTIF($BD$2:BD878,1),"")</f>
        <v/>
      </c>
    </row>
    <row r="879">
      <c r="A879" t="inlineStr">
        <is>
          <t>5674183839</t>
        </is>
      </c>
      <c r="B879" t="inlineStr">
        <is>
          <t>ABOVE AND BEYOND EARLY LEARNERS ACADEMY LLC</t>
        </is>
      </c>
      <c r="C879" t="inlineStr">
        <is>
          <t>ABOVE AND BEYOND EARLY LEARNERS ACADEMY LLC</t>
        </is>
      </c>
      <c r="D879" t="inlineStr">
        <is>
          <t>In House Collection</t>
        </is>
      </c>
      <c r="E879" s="297" t="n">
        <v>46160</v>
      </c>
      <c r="F879" s="297" t="n">
        <v>46195</v>
      </c>
      <c r="G879" t="n">
        <v>3</v>
      </c>
      <c r="H879" t="inlineStr">
        <is>
          <t>8351</t>
        </is>
      </c>
      <c r="I879" t="inlineStr">
        <is>
          <t>83</t>
        </is>
      </c>
      <c r="J879" t="inlineStr">
        <is>
          <t>PA</t>
        </is>
      </c>
      <c r="K879" t="inlineStr">
        <is>
          <t>Ballicci</t>
        </is>
      </c>
      <c r="L879" t="inlineStr">
        <is>
          <t>New Deal</t>
        </is>
      </c>
      <c r="M879" s="298" t="n">
        <v>1.49</v>
      </c>
      <c r="N879" s="299" t="n">
        <v>15000</v>
      </c>
      <c r="O879" s="299" t="n">
        <v>0</v>
      </c>
      <c r="P879" s="299" t="n">
        <v>22350</v>
      </c>
      <c r="Q879" s="299" t="n">
        <v>2904.72</v>
      </c>
      <c r="R879" s="299" t="n">
        <v>19445.28</v>
      </c>
      <c r="S879" s="300" t="n">
        <v>0.129965100671141</v>
      </c>
      <c r="T879" t="n">
        <v>3.279</v>
      </c>
      <c r="U879" t="n">
        <v>10</v>
      </c>
      <c r="V879" t="n">
        <v>38148.46</v>
      </c>
      <c r="W879" s="300" t="n">
        <v>0.123</v>
      </c>
      <c r="X879" s="297" t="n">
        <v>45261</v>
      </c>
      <c r="Y879">
        <f>IF(I879="","No SIC",IFERROR(VLOOKUP(I879,Ref!$A$2:$B$65,2,FALSE),"Unclassified"))</f>
        <v/>
      </c>
      <c r="Z879">
        <f>IF(T879="","",IF(T879&lt;12,"Daily","Weekly"))</f>
        <v/>
      </c>
      <c r="AA879">
        <f>IF(T879="",0,IF(T879&lt;12,T879*Controls!$B$29,T879*5))</f>
        <v/>
      </c>
      <c r="AB879">
        <f>IF(E879="",0,NETWORKDAYS(E879,Controls!$B$36,Ref!$K$2:$K$42))</f>
        <v/>
      </c>
      <c r="AC879">
        <f>IF(AND(AA879&gt;0,AB879&gt;=Controls!$B$39*AA879),1,0)</f>
        <v/>
      </c>
      <c r="AD879">
        <f>IF(AND(E879&lt;&gt;"",E879&gt;=Controls!$B$37,E879&lt;=Controls!$B$38),1,0)</f>
        <v/>
      </c>
      <c r="AE879">
        <f>IF(IFERROR(VLOOKUP(D879,Controls!$A$64:$E$74,2,FALSE),"No")="Yes",1,0)</f>
        <v/>
      </c>
      <c r="AF879">
        <f>IF(IFERROR(VLOOKUP(D879,Controls!$A$64:$E$74,3,FALSE),"No")="Yes",1,0)</f>
        <v/>
      </c>
      <c r="AG879">
        <f>IF(IFERROR(VLOOKUP(D879,Controls!$A$64:$E$74,4,FALSE),"No")="Yes",1,0)</f>
        <v/>
      </c>
      <c r="AH879">
        <f>IF(IFERROR(VLOOKUP(D879,Controls!$A$64:$E$74,5,FALSE),"No")="Yes",1,0)</f>
        <v/>
      </c>
      <c r="AI879">
        <f>IF(ISNUMBER(MATCH(D879,Controls!$A$64:$A$74,0)),1,0)</f>
        <v/>
      </c>
      <c r="AJ879">
        <f>Q879-N879</f>
        <v/>
      </c>
      <c r="AK879">
        <f>IF(AE879=1,MAX(0,N879-Q879),0)</f>
        <v/>
      </c>
      <c r="AL879">
        <f>IF(OR(V879="",V879=0),0,N879/V879)</f>
        <v/>
      </c>
      <c r="AM879">
        <f>IF(OR(V879="",V879=0),0,1)</f>
        <v/>
      </c>
      <c r="AN879">
        <f>IF(OR(E879="",F879=""),0,NETWORKDAYS(E879,F879,Ref!$K$2:$K$42))</f>
        <v/>
      </c>
      <c r="AO879">
        <f>IF(L879="Renewal",1,0)</f>
        <v/>
      </c>
      <c r="AP879">
        <f>AC879*AD879</f>
        <v/>
      </c>
      <c r="AQ879">
        <f>IF(AND(G879&lt;&gt;"",'Historical Score'!$C$6&lt;&gt;""),IF(G879='Historical Score'!$C$6,1,0),0)</f>
        <v/>
      </c>
      <c r="AR879">
        <f>IF(AND(L879&lt;&gt;"",'Historical Score'!$C$5&lt;&gt;""),IF(L879='Historical Score'!$C$5,1,0),0)</f>
        <v/>
      </c>
      <c r="AS879">
        <f>IF(AND(Y879&lt;&gt;"",'Historical Score'!$C$7&lt;&gt;""),IF(Y879='Historical Score'!$C$7,1,0),0)</f>
        <v/>
      </c>
      <c r="AT879">
        <f>IF(AND(K879&lt;&gt;"",'Historical Score'!$C$8&lt;&gt;""),IF(K879='Historical Score'!$C$8,1,0),0)</f>
        <v/>
      </c>
      <c r="AU879">
        <f>IF(AND(J879&lt;&gt;"",'Historical Score'!$C$9&lt;&gt;""),IF(J879='Historical Score'!$C$9,1,0),0)</f>
        <v/>
      </c>
      <c r="AV879">
        <f>AR879*AS879*AQ879</f>
        <v/>
      </c>
      <c r="AW879">
        <f>AR879*AT879*AQ879</f>
        <v/>
      </c>
      <c r="AX879">
        <f>AR879*AS879</f>
        <v/>
      </c>
      <c r="AY879">
        <f>AR879*AT879</f>
        <v/>
      </c>
      <c r="AZ879">
        <f>AR879*AQ879</f>
        <v/>
      </c>
      <c r="BA879">
        <f>AR879</f>
        <v/>
      </c>
      <c r="BB879">
        <f>1</f>
        <v/>
      </c>
      <c r="BC879">
        <f>IF(AV879=1,1,IF(AW879=1,2,IF(AX879=1,3,IF(AY879=1,4,IF(AZ879=1,5,IF(BA879=1,6,7))))))</f>
        <v/>
      </c>
      <c r="BD879">
        <f>IF(AD879=1,CHOOSE('Historical Score'!$C$29,AV879,AW879,AX879,AY879,AZ879,BA879,BB879),0)</f>
        <v/>
      </c>
      <c r="BE879">
        <f>IF(BD879=1,COUNTIF($BD$2:BD879,1),"")</f>
        <v/>
      </c>
    </row>
    <row r="880">
      <c r="A880" t="inlineStr">
        <is>
          <t>5674183849</t>
        </is>
      </c>
      <c r="B880" t="inlineStr">
        <is>
          <t>Chasing More Vacations</t>
        </is>
      </c>
      <c r="C880" t="inlineStr">
        <is>
          <t>LORETTA DARNELL</t>
        </is>
      </c>
      <c r="D880" t="inlineStr">
        <is>
          <t>Open</t>
        </is>
      </c>
      <c r="E880" s="297" t="n">
        <v>46160</v>
      </c>
      <c r="F880" s="297" t="n">
        <v>46253</v>
      </c>
      <c r="G880" t="n">
        <v>2</v>
      </c>
      <c r="H880" t="inlineStr">
        <is>
          <t>4724</t>
        </is>
      </c>
      <c r="I880" t="inlineStr">
        <is>
          <t>47</t>
        </is>
      </c>
      <c r="J880" t="inlineStr">
        <is>
          <t>TX</t>
        </is>
      </c>
      <c r="K880" t="inlineStr">
        <is>
          <t>Fundwell</t>
        </is>
      </c>
      <c r="L880" t="inlineStr">
        <is>
          <t>Renewal</t>
        </is>
      </c>
      <c r="M880" s="298" t="n">
        <v>1.42</v>
      </c>
      <c r="N880" s="299" t="n">
        <v>11000</v>
      </c>
      <c r="O880" s="299" t="n">
        <v>1540</v>
      </c>
      <c r="P880" s="299" t="n">
        <v>15620</v>
      </c>
      <c r="Q880" s="299" t="n">
        <v>7252.7</v>
      </c>
      <c r="R880" s="299" t="n">
        <v>8367.299999999999</v>
      </c>
      <c r="S880" s="300" t="n">
        <v>0.46432138284251</v>
      </c>
      <c r="T880" t="n">
        <v>4.59</v>
      </c>
      <c r="U880" t="n">
        <v>0</v>
      </c>
      <c r="V880" t="n">
        <v>14115.65</v>
      </c>
      <c r="W880" s="300" t="n">
        <v>0.2311</v>
      </c>
      <c r="X880" s="297" t="n">
        <v>43299</v>
      </c>
      <c r="Y880">
        <f>IF(I880="","No SIC",IFERROR(VLOOKUP(I880,Ref!$A$2:$B$65,2,FALSE),"Unclassified"))</f>
        <v/>
      </c>
      <c r="Z880">
        <f>IF(T880="","",IF(T880&lt;12,"Daily","Weekly"))</f>
        <v/>
      </c>
      <c r="AA880">
        <f>IF(T880="",0,IF(T880&lt;12,T880*Controls!$B$29,T880*5))</f>
        <v/>
      </c>
      <c r="AB880">
        <f>IF(E880="",0,NETWORKDAYS(E880,Controls!$B$36,Ref!$K$2:$K$42))</f>
        <v/>
      </c>
      <c r="AC880">
        <f>IF(AND(AA880&gt;0,AB880&gt;=Controls!$B$39*AA880),1,0)</f>
        <v/>
      </c>
      <c r="AD880">
        <f>IF(AND(E880&lt;&gt;"",E880&gt;=Controls!$B$37,E880&lt;=Controls!$B$38),1,0)</f>
        <v/>
      </c>
      <c r="AE880">
        <f>IF(IFERROR(VLOOKUP(D880,Controls!$A$64:$E$74,2,FALSE),"No")="Yes",1,0)</f>
        <v/>
      </c>
      <c r="AF880">
        <f>IF(IFERROR(VLOOKUP(D880,Controls!$A$64:$E$74,3,FALSE),"No")="Yes",1,0)</f>
        <v/>
      </c>
      <c r="AG880">
        <f>IF(IFERROR(VLOOKUP(D880,Controls!$A$64:$E$74,4,FALSE),"No")="Yes",1,0)</f>
        <v/>
      </c>
      <c r="AH880">
        <f>IF(IFERROR(VLOOKUP(D880,Controls!$A$64:$E$74,5,FALSE),"No")="Yes",1,0)</f>
        <v/>
      </c>
      <c r="AI880">
        <f>IF(ISNUMBER(MATCH(D880,Controls!$A$64:$A$74,0)),1,0)</f>
        <v/>
      </c>
      <c r="AJ880">
        <f>Q880-N880</f>
        <v/>
      </c>
      <c r="AK880">
        <f>IF(AE880=1,MAX(0,N880-Q880),0)</f>
        <v/>
      </c>
      <c r="AL880">
        <f>IF(OR(V880="",V880=0),0,N880/V880)</f>
        <v/>
      </c>
      <c r="AM880">
        <f>IF(OR(V880="",V880=0),0,1)</f>
        <v/>
      </c>
      <c r="AN880">
        <f>IF(OR(E880="",F880=""),0,NETWORKDAYS(E880,F880,Ref!$K$2:$K$42))</f>
        <v/>
      </c>
      <c r="AO880">
        <f>IF(L880="Renewal",1,0)</f>
        <v/>
      </c>
      <c r="AP880">
        <f>AC880*AD880</f>
        <v/>
      </c>
      <c r="AQ880">
        <f>IF(AND(G880&lt;&gt;"",'Historical Score'!$C$6&lt;&gt;""),IF(G880='Historical Score'!$C$6,1,0),0)</f>
        <v/>
      </c>
      <c r="AR880">
        <f>IF(AND(L880&lt;&gt;"",'Historical Score'!$C$5&lt;&gt;""),IF(L880='Historical Score'!$C$5,1,0),0)</f>
        <v/>
      </c>
      <c r="AS880">
        <f>IF(AND(Y880&lt;&gt;"",'Historical Score'!$C$7&lt;&gt;""),IF(Y880='Historical Score'!$C$7,1,0),0)</f>
        <v/>
      </c>
      <c r="AT880">
        <f>IF(AND(K880&lt;&gt;"",'Historical Score'!$C$8&lt;&gt;""),IF(K880='Historical Score'!$C$8,1,0),0)</f>
        <v/>
      </c>
      <c r="AU880">
        <f>IF(AND(J880&lt;&gt;"",'Historical Score'!$C$9&lt;&gt;""),IF(J880='Historical Score'!$C$9,1,0),0)</f>
        <v/>
      </c>
      <c r="AV880">
        <f>AR880*AS880*AQ880</f>
        <v/>
      </c>
      <c r="AW880">
        <f>AR880*AT880*AQ880</f>
        <v/>
      </c>
      <c r="AX880">
        <f>AR880*AS880</f>
        <v/>
      </c>
      <c r="AY880">
        <f>AR880*AT880</f>
        <v/>
      </c>
      <c r="AZ880">
        <f>AR880*AQ880</f>
        <v/>
      </c>
      <c r="BA880">
        <f>AR880</f>
        <v/>
      </c>
      <c r="BB880">
        <f>1</f>
        <v/>
      </c>
      <c r="BC880">
        <f>IF(AV880=1,1,IF(AW880=1,2,IF(AX880=1,3,IF(AY880=1,4,IF(AZ880=1,5,IF(BA880=1,6,7))))))</f>
        <v/>
      </c>
      <c r="BD880">
        <f>IF(AD880=1,CHOOSE('Historical Score'!$C$29,AV880,AW880,AX880,AY880,AZ880,BA880,BB880),0)</f>
        <v/>
      </c>
      <c r="BE880">
        <f>IF(BD880=1,COUNTIF($BD$2:BD880,1),"")</f>
        <v/>
      </c>
    </row>
    <row r="881">
      <c r="A881" t="inlineStr">
        <is>
          <t>5674183898</t>
        </is>
      </c>
      <c r="B881" t="inlineStr">
        <is>
          <t>Exquisite Bride, LLC</t>
        </is>
      </c>
      <c r="C881" t="inlineStr">
        <is>
          <t>Exquisite Bride, LLC</t>
        </is>
      </c>
      <c r="D881" t="inlineStr">
        <is>
          <t>In House Collection</t>
        </is>
      </c>
      <c r="E881" s="297" t="n">
        <v>46161</v>
      </c>
      <c r="F881" s="297" t="n">
        <v>46251</v>
      </c>
      <c r="G881" t="n">
        <v>2</v>
      </c>
      <c r="H881" t="inlineStr">
        <is>
          <t>2331</t>
        </is>
      </c>
      <c r="I881" t="inlineStr">
        <is>
          <t>23</t>
        </is>
      </c>
      <c r="J881" t="inlineStr">
        <is>
          <t>TX</t>
        </is>
      </c>
      <c r="K881" t="inlineStr">
        <is>
          <t>Viking Funding LLC</t>
        </is>
      </c>
      <c r="L881" t="inlineStr">
        <is>
          <t>Renewal</t>
        </is>
      </c>
      <c r="M881" s="298" t="n">
        <v>1.49</v>
      </c>
      <c r="N881" s="299" t="n">
        <v>15000</v>
      </c>
      <c r="O881" s="299" t="n">
        <v>2100</v>
      </c>
      <c r="P881" s="299" t="n">
        <v>22350</v>
      </c>
      <c r="Q881" s="299" t="n">
        <v>1989.88</v>
      </c>
      <c r="R881" s="299" t="n">
        <v>20360.12</v>
      </c>
      <c r="S881" s="300" t="n">
        <v>0.0890326621923937</v>
      </c>
      <c r="T881" t="n">
        <v>4.918</v>
      </c>
      <c r="U881" t="n">
        <v>20</v>
      </c>
      <c r="V881" t="n">
        <v>38438.18</v>
      </c>
      <c r="W881" s="300" t="n">
        <v>0.0814</v>
      </c>
      <c r="X881" s="297" t="n">
        <v>44562</v>
      </c>
      <c r="Y881">
        <f>IF(I881="","No SIC",IFERROR(VLOOKUP(I881,Ref!$A$2:$B$65,2,FALSE),"Unclassified"))</f>
        <v/>
      </c>
      <c r="Z881">
        <f>IF(T881="","",IF(T881&lt;12,"Daily","Weekly"))</f>
        <v/>
      </c>
      <c r="AA881">
        <f>IF(T881="",0,IF(T881&lt;12,T881*Controls!$B$29,T881*5))</f>
        <v/>
      </c>
      <c r="AB881">
        <f>IF(E881="",0,NETWORKDAYS(E881,Controls!$B$36,Ref!$K$2:$K$42))</f>
        <v/>
      </c>
      <c r="AC881">
        <f>IF(AND(AA881&gt;0,AB881&gt;=Controls!$B$39*AA881),1,0)</f>
        <v/>
      </c>
      <c r="AD881">
        <f>IF(AND(E881&lt;&gt;"",E881&gt;=Controls!$B$37,E881&lt;=Controls!$B$38),1,0)</f>
        <v/>
      </c>
      <c r="AE881">
        <f>IF(IFERROR(VLOOKUP(D881,Controls!$A$64:$E$74,2,FALSE),"No")="Yes",1,0)</f>
        <v/>
      </c>
      <c r="AF881">
        <f>IF(IFERROR(VLOOKUP(D881,Controls!$A$64:$E$74,3,FALSE),"No")="Yes",1,0)</f>
        <v/>
      </c>
      <c r="AG881">
        <f>IF(IFERROR(VLOOKUP(D881,Controls!$A$64:$E$74,4,FALSE),"No")="Yes",1,0)</f>
        <v/>
      </c>
      <c r="AH881">
        <f>IF(IFERROR(VLOOKUP(D881,Controls!$A$64:$E$74,5,FALSE),"No")="Yes",1,0)</f>
        <v/>
      </c>
      <c r="AI881">
        <f>IF(ISNUMBER(MATCH(D881,Controls!$A$64:$A$74,0)),1,0)</f>
        <v/>
      </c>
      <c r="AJ881">
        <f>Q881-N881</f>
        <v/>
      </c>
      <c r="AK881">
        <f>IF(AE881=1,MAX(0,N881-Q881),0)</f>
        <v/>
      </c>
      <c r="AL881">
        <f>IF(OR(V881="",V881=0),0,N881/V881)</f>
        <v/>
      </c>
      <c r="AM881">
        <f>IF(OR(V881="",V881=0),0,1)</f>
        <v/>
      </c>
      <c r="AN881">
        <f>IF(OR(E881="",F881=""),0,NETWORKDAYS(E881,F881,Ref!$K$2:$K$42))</f>
        <v/>
      </c>
      <c r="AO881">
        <f>IF(L881="Renewal",1,0)</f>
        <v/>
      </c>
      <c r="AP881">
        <f>AC881*AD881</f>
        <v/>
      </c>
      <c r="AQ881">
        <f>IF(AND(G881&lt;&gt;"",'Historical Score'!$C$6&lt;&gt;""),IF(G881='Historical Score'!$C$6,1,0),0)</f>
        <v/>
      </c>
      <c r="AR881">
        <f>IF(AND(L881&lt;&gt;"",'Historical Score'!$C$5&lt;&gt;""),IF(L881='Historical Score'!$C$5,1,0),0)</f>
        <v/>
      </c>
      <c r="AS881">
        <f>IF(AND(Y881&lt;&gt;"",'Historical Score'!$C$7&lt;&gt;""),IF(Y881='Historical Score'!$C$7,1,0),0)</f>
        <v/>
      </c>
      <c r="AT881">
        <f>IF(AND(K881&lt;&gt;"",'Historical Score'!$C$8&lt;&gt;""),IF(K881='Historical Score'!$C$8,1,0),0)</f>
        <v/>
      </c>
      <c r="AU881">
        <f>IF(AND(J881&lt;&gt;"",'Historical Score'!$C$9&lt;&gt;""),IF(J881='Historical Score'!$C$9,1,0),0)</f>
        <v/>
      </c>
      <c r="AV881">
        <f>AR881*AS881*AQ881</f>
        <v/>
      </c>
      <c r="AW881">
        <f>AR881*AT881*AQ881</f>
        <v/>
      </c>
      <c r="AX881">
        <f>AR881*AS881</f>
        <v/>
      </c>
      <c r="AY881">
        <f>AR881*AT881</f>
        <v/>
      </c>
      <c r="AZ881">
        <f>AR881*AQ881</f>
        <v/>
      </c>
      <c r="BA881">
        <f>AR881</f>
        <v/>
      </c>
      <c r="BB881">
        <f>1</f>
        <v/>
      </c>
      <c r="BC881">
        <f>IF(AV881=1,1,IF(AW881=1,2,IF(AX881=1,3,IF(AY881=1,4,IF(AZ881=1,5,IF(BA881=1,6,7))))))</f>
        <v/>
      </c>
      <c r="BD881">
        <f>IF(AD881=1,CHOOSE('Historical Score'!$C$29,AV881,AW881,AX881,AY881,AZ881,BA881,BB881),0)</f>
        <v/>
      </c>
      <c r="BE881">
        <f>IF(BD881=1,COUNTIF($BD$2:BD881,1),"")</f>
        <v/>
      </c>
    </row>
    <row r="882">
      <c r="A882" t="inlineStr">
        <is>
          <t>5674183906</t>
        </is>
      </c>
      <c r="B882" t="inlineStr">
        <is>
          <t>The Eklund Companies, INC</t>
        </is>
      </c>
      <c r="C882" t="inlineStr">
        <is>
          <t>The Eklund Companies, INC</t>
        </is>
      </c>
      <c r="D882" t="inlineStr">
        <is>
          <t>Open</t>
        </is>
      </c>
      <c r="E882" s="297" t="n">
        <v>46161</v>
      </c>
      <c r="F882" s="297" t="n">
        <v>46227</v>
      </c>
      <c r="G882" t="n">
        <v>3</v>
      </c>
      <c r="H882" t="inlineStr">
        <is>
          <t>1521</t>
        </is>
      </c>
      <c r="I882" t="inlineStr">
        <is>
          <t>15</t>
        </is>
      </c>
      <c r="J882" t="inlineStr">
        <is>
          <t>No state</t>
        </is>
      </c>
      <c r="K882" t="inlineStr">
        <is>
          <t>TRUSTFI</t>
        </is>
      </c>
      <c r="L882" t="inlineStr">
        <is>
          <t>Renewal</t>
        </is>
      </c>
      <c r="M882" s="298" t="n">
        <v>1.49</v>
      </c>
      <c r="N882" s="299" t="n">
        <v>35000</v>
      </c>
      <c r="O882" s="299" t="n">
        <v>4900</v>
      </c>
      <c r="P882" s="299" t="n">
        <v>52150</v>
      </c>
      <c r="Q882" s="299" t="n">
        <v>15639.57</v>
      </c>
      <c r="R882" s="299" t="n">
        <v>36510.43</v>
      </c>
      <c r="S882" s="300" t="n">
        <v>0.299895877277085</v>
      </c>
      <c r="T882" t="n">
        <v>30</v>
      </c>
      <c r="U882" t="n">
        <v>1</v>
      </c>
      <c r="W882" s="300" t="n"/>
      <c r="X882" s="297" t="n">
        <v>41591</v>
      </c>
      <c r="Y882">
        <f>IF(I882="","No SIC",IFERROR(VLOOKUP(I882,Ref!$A$2:$B$65,2,FALSE),"Unclassified"))</f>
        <v/>
      </c>
      <c r="Z882">
        <f>IF(T882="","",IF(T882&lt;12,"Daily","Weekly"))</f>
        <v/>
      </c>
      <c r="AA882">
        <f>IF(T882="",0,IF(T882&lt;12,T882*Controls!$B$29,T882*5))</f>
        <v/>
      </c>
      <c r="AB882">
        <f>IF(E882="",0,NETWORKDAYS(E882,Controls!$B$36,Ref!$K$2:$K$42))</f>
        <v/>
      </c>
      <c r="AC882">
        <f>IF(AND(AA882&gt;0,AB882&gt;=Controls!$B$39*AA882),1,0)</f>
        <v/>
      </c>
      <c r="AD882">
        <f>IF(AND(E882&lt;&gt;"",E882&gt;=Controls!$B$37,E882&lt;=Controls!$B$38),1,0)</f>
        <v/>
      </c>
      <c r="AE882">
        <f>IF(IFERROR(VLOOKUP(D882,Controls!$A$64:$E$74,2,FALSE),"No")="Yes",1,0)</f>
        <v/>
      </c>
      <c r="AF882">
        <f>IF(IFERROR(VLOOKUP(D882,Controls!$A$64:$E$74,3,FALSE),"No")="Yes",1,0)</f>
        <v/>
      </c>
      <c r="AG882">
        <f>IF(IFERROR(VLOOKUP(D882,Controls!$A$64:$E$74,4,FALSE),"No")="Yes",1,0)</f>
        <v/>
      </c>
      <c r="AH882">
        <f>IF(IFERROR(VLOOKUP(D882,Controls!$A$64:$E$74,5,FALSE),"No")="Yes",1,0)</f>
        <v/>
      </c>
      <c r="AI882">
        <f>IF(ISNUMBER(MATCH(D882,Controls!$A$64:$A$74,0)),1,0)</f>
        <v/>
      </c>
      <c r="AJ882">
        <f>Q882-N882</f>
        <v/>
      </c>
      <c r="AK882">
        <f>IF(AE882=1,MAX(0,N882-Q882),0)</f>
        <v/>
      </c>
      <c r="AL882">
        <f>IF(OR(V882="",V882=0),0,N882/V882)</f>
        <v/>
      </c>
      <c r="AM882">
        <f>IF(OR(V882="",V882=0),0,1)</f>
        <v/>
      </c>
      <c r="AN882">
        <f>IF(OR(E882="",F882=""),0,NETWORKDAYS(E882,F882,Ref!$K$2:$K$42))</f>
        <v/>
      </c>
      <c r="AO882">
        <f>IF(L882="Renewal",1,0)</f>
        <v/>
      </c>
      <c r="AP882">
        <f>AC882*AD882</f>
        <v/>
      </c>
      <c r="AQ882">
        <f>IF(AND(G882&lt;&gt;"",'Historical Score'!$C$6&lt;&gt;""),IF(G882='Historical Score'!$C$6,1,0),0)</f>
        <v/>
      </c>
      <c r="AR882">
        <f>IF(AND(L882&lt;&gt;"",'Historical Score'!$C$5&lt;&gt;""),IF(L882='Historical Score'!$C$5,1,0),0)</f>
        <v/>
      </c>
      <c r="AS882">
        <f>IF(AND(Y882&lt;&gt;"",'Historical Score'!$C$7&lt;&gt;""),IF(Y882='Historical Score'!$C$7,1,0),0)</f>
        <v/>
      </c>
      <c r="AT882">
        <f>IF(AND(K882&lt;&gt;"",'Historical Score'!$C$8&lt;&gt;""),IF(K882='Historical Score'!$C$8,1,0),0)</f>
        <v/>
      </c>
      <c r="AU882">
        <f>IF(AND(J882&lt;&gt;"",'Historical Score'!$C$9&lt;&gt;""),IF(J882='Historical Score'!$C$9,1,0),0)</f>
        <v/>
      </c>
      <c r="AV882">
        <f>AR882*AS882*AQ882</f>
        <v/>
      </c>
      <c r="AW882">
        <f>AR882*AT882*AQ882</f>
        <v/>
      </c>
      <c r="AX882">
        <f>AR882*AS882</f>
        <v/>
      </c>
      <c r="AY882">
        <f>AR882*AT882</f>
        <v/>
      </c>
      <c r="AZ882">
        <f>AR882*AQ882</f>
        <v/>
      </c>
      <c r="BA882">
        <f>AR882</f>
        <v/>
      </c>
      <c r="BB882">
        <f>1</f>
        <v/>
      </c>
      <c r="BC882">
        <f>IF(AV882=1,1,IF(AW882=1,2,IF(AX882=1,3,IF(AY882=1,4,IF(AZ882=1,5,IF(BA882=1,6,7))))))</f>
        <v/>
      </c>
      <c r="BD882">
        <f>IF(AD882=1,CHOOSE('Historical Score'!$C$29,AV882,AW882,AX882,AY882,AZ882,BA882,BB882),0)</f>
        <v/>
      </c>
      <c r="BE882">
        <f>IF(BD882=1,COUNTIF($BD$2:BD882,1),"")</f>
        <v/>
      </c>
    </row>
    <row r="883">
      <c r="A883" t="inlineStr">
        <is>
          <t>5674183929</t>
        </is>
      </c>
      <c r="B883" t="inlineStr">
        <is>
          <t>ALPHA 3 MASONRY &amp; REMODEL</t>
        </is>
      </c>
      <c r="C883" t="inlineStr">
        <is>
          <t>ALPHA 3 MASONRY &amp; REMODEL LLC</t>
        </is>
      </c>
      <c r="D883" t="inlineStr">
        <is>
          <t>Open</t>
        </is>
      </c>
      <c r="E883" s="297" t="n">
        <v>46161</v>
      </c>
      <c r="F883" s="297" t="n">
        <v>46253</v>
      </c>
      <c r="G883" t="n">
        <v>3</v>
      </c>
      <c r="H883" t="inlineStr">
        <is>
          <t>1521</t>
        </is>
      </c>
      <c r="I883" t="inlineStr">
        <is>
          <t>15</t>
        </is>
      </c>
      <c r="J883" t="inlineStr">
        <is>
          <t>AZ</t>
        </is>
      </c>
      <c r="K883" t="inlineStr">
        <is>
          <t>FIMACAP INC</t>
        </is>
      </c>
      <c r="L883" t="inlineStr">
        <is>
          <t>New Deal</t>
        </is>
      </c>
      <c r="M883" s="298" t="n">
        <v>1.49</v>
      </c>
      <c r="N883" s="299" t="n">
        <v>27000</v>
      </c>
      <c r="O883" s="299" t="n">
        <v>3780</v>
      </c>
      <c r="P883" s="299" t="n">
        <v>40230</v>
      </c>
      <c r="Q883" s="299" t="n">
        <v>12418.04</v>
      </c>
      <c r="R883" s="299" t="n">
        <v>27811.96</v>
      </c>
      <c r="S883" s="300" t="n">
        <v>0.308676112353965</v>
      </c>
      <c r="T883" t="n">
        <v>28</v>
      </c>
      <c r="U883" t="n">
        <v>0</v>
      </c>
      <c r="V883" t="n">
        <v>123628.7</v>
      </c>
      <c r="W883" s="300" t="n">
        <v>0.0465</v>
      </c>
      <c r="X883" s="297" t="n">
        <v>44562</v>
      </c>
      <c r="Y883">
        <f>IF(I883="","No SIC",IFERROR(VLOOKUP(I883,Ref!$A$2:$B$65,2,FALSE),"Unclassified"))</f>
        <v/>
      </c>
      <c r="Z883">
        <f>IF(T883="","",IF(T883&lt;12,"Daily","Weekly"))</f>
        <v/>
      </c>
      <c r="AA883">
        <f>IF(T883="",0,IF(T883&lt;12,T883*Controls!$B$29,T883*5))</f>
        <v/>
      </c>
      <c r="AB883">
        <f>IF(E883="",0,NETWORKDAYS(E883,Controls!$B$36,Ref!$K$2:$K$42))</f>
        <v/>
      </c>
      <c r="AC883">
        <f>IF(AND(AA883&gt;0,AB883&gt;=Controls!$B$39*AA883),1,0)</f>
        <v/>
      </c>
      <c r="AD883">
        <f>IF(AND(E883&lt;&gt;"",E883&gt;=Controls!$B$37,E883&lt;=Controls!$B$38),1,0)</f>
        <v/>
      </c>
      <c r="AE883">
        <f>IF(IFERROR(VLOOKUP(D883,Controls!$A$64:$E$74,2,FALSE),"No")="Yes",1,0)</f>
        <v/>
      </c>
      <c r="AF883">
        <f>IF(IFERROR(VLOOKUP(D883,Controls!$A$64:$E$74,3,FALSE),"No")="Yes",1,0)</f>
        <v/>
      </c>
      <c r="AG883">
        <f>IF(IFERROR(VLOOKUP(D883,Controls!$A$64:$E$74,4,FALSE),"No")="Yes",1,0)</f>
        <v/>
      </c>
      <c r="AH883">
        <f>IF(IFERROR(VLOOKUP(D883,Controls!$A$64:$E$74,5,FALSE),"No")="Yes",1,0)</f>
        <v/>
      </c>
      <c r="AI883">
        <f>IF(ISNUMBER(MATCH(D883,Controls!$A$64:$A$74,0)),1,0)</f>
        <v/>
      </c>
      <c r="AJ883">
        <f>Q883-N883</f>
        <v/>
      </c>
      <c r="AK883">
        <f>IF(AE883=1,MAX(0,N883-Q883),0)</f>
        <v/>
      </c>
      <c r="AL883">
        <f>IF(OR(V883="",V883=0),0,N883/V883)</f>
        <v/>
      </c>
      <c r="AM883">
        <f>IF(OR(V883="",V883=0),0,1)</f>
        <v/>
      </c>
      <c r="AN883">
        <f>IF(OR(E883="",F883=""),0,NETWORKDAYS(E883,F883,Ref!$K$2:$K$42))</f>
        <v/>
      </c>
      <c r="AO883">
        <f>IF(L883="Renewal",1,0)</f>
        <v/>
      </c>
      <c r="AP883">
        <f>AC883*AD883</f>
        <v/>
      </c>
      <c r="AQ883">
        <f>IF(AND(G883&lt;&gt;"",'Historical Score'!$C$6&lt;&gt;""),IF(G883='Historical Score'!$C$6,1,0),0)</f>
        <v/>
      </c>
      <c r="AR883">
        <f>IF(AND(L883&lt;&gt;"",'Historical Score'!$C$5&lt;&gt;""),IF(L883='Historical Score'!$C$5,1,0),0)</f>
        <v/>
      </c>
      <c r="AS883">
        <f>IF(AND(Y883&lt;&gt;"",'Historical Score'!$C$7&lt;&gt;""),IF(Y883='Historical Score'!$C$7,1,0),0)</f>
        <v/>
      </c>
      <c r="AT883">
        <f>IF(AND(K883&lt;&gt;"",'Historical Score'!$C$8&lt;&gt;""),IF(K883='Historical Score'!$C$8,1,0),0)</f>
        <v/>
      </c>
      <c r="AU883">
        <f>IF(AND(J883&lt;&gt;"",'Historical Score'!$C$9&lt;&gt;""),IF(J883='Historical Score'!$C$9,1,0),0)</f>
        <v/>
      </c>
      <c r="AV883">
        <f>AR883*AS883*AQ883</f>
        <v/>
      </c>
      <c r="AW883">
        <f>AR883*AT883*AQ883</f>
        <v/>
      </c>
      <c r="AX883">
        <f>AR883*AS883</f>
        <v/>
      </c>
      <c r="AY883">
        <f>AR883*AT883</f>
        <v/>
      </c>
      <c r="AZ883">
        <f>AR883*AQ883</f>
        <v/>
      </c>
      <c r="BA883">
        <f>AR883</f>
        <v/>
      </c>
      <c r="BB883">
        <f>1</f>
        <v/>
      </c>
      <c r="BC883">
        <f>IF(AV883=1,1,IF(AW883=1,2,IF(AX883=1,3,IF(AY883=1,4,IF(AZ883=1,5,IF(BA883=1,6,7))))))</f>
        <v/>
      </c>
      <c r="BD883">
        <f>IF(AD883=1,CHOOSE('Historical Score'!$C$29,AV883,AW883,AX883,AY883,AZ883,BA883,BB883),0)</f>
        <v/>
      </c>
      <c r="BE883">
        <f>IF(BD883=1,COUNTIF($BD$2:BD883,1),"")</f>
        <v/>
      </c>
    </row>
    <row r="884">
      <c r="A884" t="inlineStr">
        <is>
          <t>5674183945</t>
        </is>
      </c>
      <c r="B884" t="inlineStr">
        <is>
          <t>LEAD MASTERS, INC.</t>
        </is>
      </c>
      <c r="C884" t="inlineStr">
        <is>
          <t>LEAD MASTERS, INC.</t>
        </is>
      </c>
      <c r="D884" t="inlineStr">
        <is>
          <t>Closed</t>
        </is>
      </c>
      <c r="E884" s="297" t="n">
        <v>46161</v>
      </c>
      <c r="F884" s="297" t="n">
        <v>46238</v>
      </c>
      <c r="G884" t="n">
        <v>3</v>
      </c>
      <c r="H884" t="inlineStr">
        <is>
          <t>5999</t>
        </is>
      </c>
      <c r="I884" t="inlineStr">
        <is>
          <t>59</t>
        </is>
      </c>
      <c r="J884" t="inlineStr">
        <is>
          <t>No state</t>
        </is>
      </c>
      <c r="K884" t="inlineStr">
        <is>
          <t>United Secured Capital 8</t>
        </is>
      </c>
      <c r="L884" t="inlineStr">
        <is>
          <t>New Deal</t>
        </is>
      </c>
      <c r="M884" s="298" t="n">
        <v>1.44</v>
      </c>
      <c r="N884" s="299" t="n">
        <v>15000</v>
      </c>
      <c r="O884" s="299" t="n">
        <v>1725</v>
      </c>
      <c r="P884" s="299" t="n">
        <v>21600</v>
      </c>
      <c r="Q884" s="299" t="n">
        <v>21600</v>
      </c>
      <c r="R884" s="299" t="n">
        <v>0</v>
      </c>
      <c r="S884" s="300" t="n">
        <v>1</v>
      </c>
      <c r="T884" t="n">
        <v>2.951</v>
      </c>
      <c r="U884" t="n">
        <v>3</v>
      </c>
      <c r="W884" s="300" t="n"/>
      <c r="X884" s="297" t="n">
        <v>29695</v>
      </c>
      <c r="Y884">
        <f>IF(I884="","No SIC",IFERROR(VLOOKUP(I884,Ref!$A$2:$B$65,2,FALSE),"Unclassified"))</f>
        <v/>
      </c>
      <c r="Z884">
        <f>IF(T884="","",IF(T884&lt;12,"Daily","Weekly"))</f>
        <v/>
      </c>
      <c r="AA884">
        <f>IF(T884="",0,IF(T884&lt;12,T884*Controls!$B$29,T884*5))</f>
        <v/>
      </c>
      <c r="AB884">
        <f>IF(E884="",0,NETWORKDAYS(E884,Controls!$B$36,Ref!$K$2:$K$42))</f>
        <v/>
      </c>
      <c r="AC884">
        <f>IF(AND(AA884&gt;0,AB884&gt;=Controls!$B$39*AA884),1,0)</f>
        <v/>
      </c>
      <c r="AD884">
        <f>IF(AND(E884&lt;&gt;"",E884&gt;=Controls!$B$37,E884&lt;=Controls!$B$38),1,0)</f>
        <v/>
      </c>
      <c r="AE884">
        <f>IF(IFERROR(VLOOKUP(D884,Controls!$A$64:$E$74,2,FALSE),"No")="Yes",1,0)</f>
        <v/>
      </c>
      <c r="AF884">
        <f>IF(IFERROR(VLOOKUP(D884,Controls!$A$64:$E$74,3,FALSE),"No")="Yes",1,0)</f>
        <v/>
      </c>
      <c r="AG884">
        <f>IF(IFERROR(VLOOKUP(D884,Controls!$A$64:$E$74,4,FALSE),"No")="Yes",1,0)</f>
        <v/>
      </c>
      <c r="AH884">
        <f>IF(IFERROR(VLOOKUP(D884,Controls!$A$64:$E$74,5,FALSE),"No")="Yes",1,0)</f>
        <v/>
      </c>
      <c r="AI884">
        <f>IF(ISNUMBER(MATCH(D884,Controls!$A$64:$A$74,0)),1,0)</f>
        <v/>
      </c>
      <c r="AJ884">
        <f>Q884-N884</f>
        <v/>
      </c>
      <c r="AK884">
        <f>IF(AE884=1,MAX(0,N884-Q884),0)</f>
        <v/>
      </c>
      <c r="AL884">
        <f>IF(OR(V884="",V884=0),0,N884/V884)</f>
        <v/>
      </c>
      <c r="AM884">
        <f>IF(OR(V884="",V884=0),0,1)</f>
        <v/>
      </c>
      <c r="AN884">
        <f>IF(OR(E884="",F884=""),0,NETWORKDAYS(E884,F884,Ref!$K$2:$K$42))</f>
        <v/>
      </c>
      <c r="AO884">
        <f>IF(L884="Renewal",1,0)</f>
        <v/>
      </c>
      <c r="AP884">
        <f>AC884*AD884</f>
        <v/>
      </c>
      <c r="AQ884">
        <f>IF(AND(G884&lt;&gt;"",'Historical Score'!$C$6&lt;&gt;""),IF(G884='Historical Score'!$C$6,1,0),0)</f>
        <v/>
      </c>
      <c r="AR884">
        <f>IF(AND(L884&lt;&gt;"",'Historical Score'!$C$5&lt;&gt;""),IF(L884='Historical Score'!$C$5,1,0),0)</f>
        <v/>
      </c>
      <c r="AS884">
        <f>IF(AND(Y884&lt;&gt;"",'Historical Score'!$C$7&lt;&gt;""),IF(Y884='Historical Score'!$C$7,1,0),0)</f>
        <v/>
      </c>
      <c r="AT884">
        <f>IF(AND(K884&lt;&gt;"",'Historical Score'!$C$8&lt;&gt;""),IF(K884='Historical Score'!$C$8,1,0),0)</f>
        <v/>
      </c>
      <c r="AU884">
        <f>IF(AND(J884&lt;&gt;"",'Historical Score'!$C$9&lt;&gt;""),IF(J884='Historical Score'!$C$9,1,0),0)</f>
        <v/>
      </c>
      <c r="AV884">
        <f>AR884*AS884*AQ884</f>
        <v/>
      </c>
      <c r="AW884">
        <f>AR884*AT884*AQ884</f>
        <v/>
      </c>
      <c r="AX884">
        <f>AR884*AS884</f>
        <v/>
      </c>
      <c r="AY884">
        <f>AR884*AT884</f>
        <v/>
      </c>
      <c r="AZ884">
        <f>AR884*AQ884</f>
        <v/>
      </c>
      <c r="BA884">
        <f>AR884</f>
        <v/>
      </c>
      <c r="BB884">
        <f>1</f>
        <v/>
      </c>
      <c r="BC884">
        <f>IF(AV884=1,1,IF(AW884=1,2,IF(AX884=1,3,IF(AY884=1,4,IF(AZ884=1,5,IF(BA884=1,6,7))))))</f>
        <v/>
      </c>
      <c r="BD884">
        <f>IF(AD884=1,CHOOSE('Historical Score'!$C$29,AV884,AW884,AX884,AY884,AZ884,BA884,BB884),0)</f>
        <v/>
      </c>
      <c r="BE884">
        <f>IF(BD884=1,COUNTIF($BD$2:BD884,1),"")</f>
        <v/>
      </c>
    </row>
    <row r="885">
      <c r="A885" t="inlineStr">
        <is>
          <t>5674183949</t>
        </is>
      </c>
      <c r="B885" t="inlineStr">
        <is>
          <t>SILVER STAR INVESTIGATION</t>
        </is>
      </c>
      <c r="C885" t="inlineStr">
        <is>
          <t>SILVER STAR INVESTIGATION CORP</t>
        </is>
      </c>
      <c r="D885" t="inlineStr">
        <is>
          <t>Open</t>
        </is>
      </c>
      <c r="E885" s="297" t="n">
        <v>46161</v>
      </c>
      <c r="F885" s="297" t="n">
        <v>46253</v>
      </c>
      <c r="G885" t="n">
        <v>3</v>
      </c>
      <c r="H885" t="inlineStr">
        <is>
          <t>7381</t>
        </is>
      </c>
      <c r="I885" t="inlineStr">
        <is>
          <t>73</t>
        </is>
      </c>
      <c r="J885" t="inlineStr">
        <is>
          <t>No state</t>
        </is>
      </c>
      <c r="K885" t="inlineStr">
        <is>
          <t>Westwood</t>
        </is>
      </c>
      <c r="L885" t="inlineStr">
        <is>
          <t>Renewal</t>
        </is>
      </c>
      <c r="M885" s="298" t="n">
        <v>1.49</v>
      </c>
      <c r="N885" s="299" t="n">
        <v>16000</v>
      </c>
      <c r="O885" s="299" t="n">
        <v>2240</v>
      </c>
      <c r="P885" s="299" t="n">
        <v>23840</v>
      </c>
      <c r="Q885" s="299" t="n">
        <v>9236.25</v>
      </c>
      <c r="R885" s="299" t="n">
        <v>14603.75</v>
      </c>
      <c r="S885" s="300" t="n">
        <v>0.387426593959732</v>
      </c>
      <c r="T885" t="n">
        <v>3.934</v>
      </c>
      <c r="U885" t="n">
        <v>17</v>
      </c>
      <c r="W885" s="300" t="n"/>
      <c r="X885" s="297" t="n">
        <v>40850</v>
      </c>
      <c r="Y885">
        <f>IF(I885="","No SIC",IFERROR(VLOOKUP(I885,Ref!$A$2:$B$65,2,FALSE),"Unclassified"))</f>
        <v/>
      </c>
      <c r="Z885">
        <f>IF(T885="","",IF(T885&lt;12,"Daily","Weekly"))</f>
        <v/>
      </c>
      <c r="AA885">
        <f>IF(T885="",0,IF(T885&lt;12,T885*Controls!$B$29,T885*5))</f>
        <v/>
      </c>
      <c r="AB885">
        <f>IF(E885="",0,NETWORKDAYS(E885,Controls!$B$36,Ref!$K$2:$K$42))</f>
        <v/>
      </c>
      <c r="AC885">
        <f>IF(AND(AA885&gt;0,AB885&gt;=Controls!$B$39*AA885),1,0)</f>
        <v/>
      </c>
      <c r="AD885">
        <f>IF(AND(E885&lt;&gt;"",E885&gt;=Controls!$B$37,E885&lt;=Controls!$B$38),1,0)</f>
        <v/>
      </c>
      <c r="AE885">
        <f>IF(IFERROR(VLOOKUP(D885,Controls!$A$64:$E$74,2,FALSE),"No")="Yes",1,0)</f>
        <v/>
      </c>
      <c r="AF885">
        <f>IF(IFERROR(VLOOKUP(D885,Controls!$A$64:$E$74,3,FALSE),"No")="Yes",1,0)</f>
        <v/>
      </c>
      <c r="AG885">
        <f>IF(IFERROR(VLOOKUP(D885,Controls!$A$64:$E$74,4,FALSE),"No")="Yes",1,0)</f>
        <v/>
      </c>
      <c r="AH885">
        <f>IF(IFERROR(VLOOKUP(D885,Controls!$A$64:$E$74,5,FALSE),"No")="Yes",1,0)</f>
        <v/>
      </c>
      <c r="AI885">
        <f>IF(ISNUMBER(MATCH(D885,Controls!$A$64:$A$74,0)),1,0)</f>
        <v/>
      </c>
      <c r="AJ885">
        <f>Q885-N885</f>
        <v/>
      </c>
      <c r="AK885">
        <f>IF(AE885=1,MAX(0,N885-Q885),0)</f>
        <v/>
      </c>
      <c r="AL885">
        <f>IF(OR(V885="",V885=0),0,N885/V885)</f>
        <v/>
      </c>
      <c r="AM885">
        <f>IF(OR(V885="",V885=0),0,1)</f>
        <v/>
      </c>
      <c r="AN885">
        <f>IF(OR(E885="",F885=""),0,NETWORKDAYS(E885,F885,Ref!$K$2:$K$42))</f>
        <v/>
      </c>
      <c r="AO885">
        <f>IF(L885="Renewal",1,0)</f>
        <v/>
      </c>
      <c r="AP885">
        <f>AC885*AD885</f>
        <v/>
      </c>
      <c r="AQ885">
        <f>IF(AND(G885&lt;&gt;"",'Historical Score'!$C$6&lt;&gt;""),IF(G885='Historical Score'!$C$6,1,0),0)</f>
        <v/>
      </c>
      <c r="AR885">
        <f>IF(AND(L885&lt;&gt;"",'Historical Score'!$C$5&lt;&gt;""),IF(L885='Historical Score'!$C$5,1,0),0)</f>
        <v/>
      </c>
      <c r="AS885">
        <f>IF(AND(Y885&lt;&gt;"",'Historical Score'!$C$7&lt;&gt;""),IF(Y885='Historical Score'!$C$7,1,0),0)</f>
        <v/>
      </c>
      <c r="AT885">
        <f>IF(AND(K885&lt;&gt;"",'Historical Score'!$C$8&lt;&gt;""),IF(K885='Historical Score'!$C$8,1,0),0)</f>
        <v/>
      </c>
      <c r="AU885">
        <f>IF(AND(J885&lt;&gt;"",'Historical Score'!$C$9&lt;&gt;""),IF(J885='Historical Score'!$C$9,1,0),0)</f>
        <v/>
      </c>
      <c r="AV885">
        <f>AR885*AS885*AQ885</f>
        <v/>
      </c>
      <c r="AW885">
        <f>AR885*AT885*AQ885</f>
        <v/>
      </c>
      <c r="AX885">
        <f>AR885*AS885</f>
        <v/>
      </c>
      <c r="AY885">
        <f>AR885*AT885</f>
        <v/>
      </c>
      <c r="AZ885">
        <f>AR885*AQ885</f>
        <v/>
      </c>
      <c r="BA885">
        <f>AR885</f>
        <v/>
      </c>
      <c r="BB885">
        <f>1</f>
        <v/>
      </c>
      <c r="BC885">
        <f>IF(AV885=1,1,IF(AW885=1,2,IF(AX885=1,3,IF(AY885=1,4,IF(AZ885=1,5,IF(BA885=1,6,7))))))</f>
        <v/>
      </c>
      <c r="BD885">
        <f>IF(AD885=1,CHOOSE('Historical Score'!$C$29,AV885,AW885,AX885,AY885,AZ885,BA885,BB885),0)</f>
        <v/>
      </c>
      <c r="BE885">
        <f>IF(BD885=1,COUNTIF($BD$2:BD885,1),"")</f>
        <v/>
      </c>
    </row>
    <row r="886">
      <c r="A886" t="inlineStr">
        <is>
          <t>5674183971</t>
        </is>
      </c>
      <c r="B886" t="inlineStr">
        <is>
          <t>IVY BROOK ACADEMY</t>
        </is>
      </c>
      <c r="C886" t="inlineStr">
        <is>
          <t>DANI ACADEMY INC</t>
        </is>
      </c>
      <c r="D886" t="inlineStr">
        <is>
          <t>Open</t>
        </is>
      </c>
      <c r="E886" s="297" t="n">
        <v>46162</v>
      </c>
      <c r="F886" s="297" t="n">
        <v>46251</v>
      </c>
      <c r="G886" t="n">
        <v>1</v>
      </c>
      <c r="H886" t="inlineStr">
        <is>
          <t>8211</t>
        </is>
      </c>
      <c r="I886" t="inlineStr">
        <is>
          <t>82</t>
        </is>
      </c>
      <c r="J886" t="inlineStr">
        <is>
          <t>TX</t>
        </is>
      </c>
      <c r="K886" t="inlineStr">
        <is>
          <t>Linked In Funding</t>
        </is>
      </c>
      <c r="L886" t="inlineStr">
        <is>
          <t>New Deal</t>
        </is>
      </c>
      <c r="M886" s="298" t="n">
        <v>1.49</v>
      </c>
      <c r="N886" s="299" t="n">
        <v>25000</v>
      </c>
      <c r="O886" s="299" t="n">
        <v>3500</v>
      </c>
      <c r="P886" s="299" t="n">
        <v>37250</v>
      </c>
      <c r="Q886" s="299" t="n">
        <v>17879.52</v>
      </c>
      <c r="R886" s="299" t="n">
        <v>19370.48</v>
      </c>
      <c r="S886" s="300" t="n">
        <v>0.47998711409396</v>
      </c>
      <c r="T886" t="n">
        <v>25</v>
      </c>
      <c r="U886" t="n">
        <v>0</v>
      </c>
      <c r="V886" t="n">
        <v>38550.16</v>
      </c>
      <c r="W886" s="300" t="n">
        <v>0.1546</v>
      </c>
      <c r="X886" s="297" t="n">
        <v>45066</v>
      </c>
      <c r="Y886">
        <f>IF(I886="","No SIC",IFERROR(VLOOKUP(I886,Ref!$A$2:$B$65,2,FALSE),"Unclassified"))</f>
        <v/>
      </c>
      <c r="Z886">
        <f>IF(T886="","",IF(T886&lt;12,"Daily","Weekly"))</f>
        <v/>
      </c>
      <c r="AA886">
        <f>IF(T886="",0,IF(T886&lt;12,T886*Controls!$B$29,T886*5))</f>
        <v/>
      </c>
      <c r="AB886">
        <f>IF(E886="",0,NETWORKDAYS(E886,Controls!$B$36,Ref!$K$2:$K$42))</f>
        <v/>
      </c>
      <c r="AC886">
        <f>IF(AND(AA886&gt;0,AB886&gt;=Controls!$B$39*AA886),1,0)</f>
        <v/>
      </c>
      <c r="AD886">
        <f>IF(AND(E886&lt;&gt;"",E886&gt;=Controls!$B$37,E886&lt;=Controls!$B$38),1,0)</f>
        <v/>
      </c>
      <c r="AE886">
        <f>IF(IFERROR(VLOOKUP(D886,Controls!$A$64:$E$74,2,FALSE),"No")="Yes",1,0)</f>
        <v/>
      </c>
      <c r="AF886">
        <f>IF(IFERROR(VLOOKUP(D886,Controls!$A$64:$E$74,3,FALSE),"No")="Yes",1,0)</f>
        <v/>
      </c>
      <c r="AG886">
        <f>IF(IFERROR(VLOOKUP(D886,Controls!$A$64:$E$74,4,FALSE),"No")="Yes",1,0)</f>
        <v/>
      </c>
      <c r="AH886">
        <f>IF(IFERROR(VLOOKUP(D886,Controls!$A$64:$E$74,5,FALSE),"No")="Yes",1,0)</f>
        <v/>
      </c>
      <c r="AI886">
        <f>IF(ISNUMBER(MATCH(D886,Controls!$A$64:$A$74,0)),1,0)</f>
        <v/>
      </c>
      <c r="AJ886">
        <f>Q886-N886</f>
        <v/>
      </c>
      <c r="AK886">
        <f>IF(AE886=1,MAX(0,N886-Q886),0)</f>
        <v/>
      </c>
      <c r="AL886">
        <f>IF(OR(V886="",V886=0),0,N886/V886)</f>
        <v/>
      </c>
      <c r="AM886">
        <f>IF(OR(V886="",V886=0),0,1)</f>
        <v/>
      </c>
      <c r="AN886">
        <f>IF(OR(E886="",F886=""),0,NETWORKDAYS(E886,F886,Ref!$K$2:$K$42))</f>
        <v/>
      </c>
      <c r="AO886">
        <f>IF(L886="Renewal",1,0)</f>
        <v/>
      </c>
      <c r="AP886">
        <f>AC886*AD886</f>
        <v/>
      </c>
      <c r="AQ886">
        <f>IF(AND(G886&lt;&gt;"",'Historical Score'!$C$6&lt;&gt;""),IF(G886='Historical Score'!$C$6,1,0),0)</f>
        <v/>
      </c>
      <c r="AR886">
        <f>IF(AND(L886&lt;&gt;"",'Historical Score'!$C$5&lt;&gt;""),IF(L886='Historical Score'!$C$5,1,0),0)</f>
        <v/>
      </c>
      <c r="AS886">
        <f>IF(AND(Y886&lt;&gt;"",'Historical Score'!$C$7&lt;&gt;""),IF(Y886='Historical Score'!$C$7,1,0),0)</f>
        <v/>
      </c>
      <c r="AT886">
        <f>IF(AND(K886&lt;&gt;"",'Historical Score'!$C$8&lt;&gt;""),IF(K886='Historical Score'!$C$8,1,0),0)</f>
        <v/>
      </c>
      <c r="AU886">
        <f>IF(AND(J886&lt;&gt;"",'Historical Score'!$C$9&lt;&gt;""),IF(J886='Historical Score'!$C$9,1,0),0)</f>
        <v/>
      </c>
      <c r="AV886">
        <f>AR886*AS886*AQ886</f>
        <v/>
      </c>
      <c r="AW886">
        <f>AR886*AT886*AQ886</f>
        <v/>
      </c>
      <c r="AX886">
        <f>AR886*AS886</f>
        <v/>
      </c>
      <c r="AY886">
        <f>AR886*AT886</f>
        <v/>
      </c>
      <c r="AZ886">
        <f>AR886*AQ886</f>
        <v/>
      </c>
      <c r="BA886">
        <f>AR886</f>
        <v/>
      </c>
      <c r="BB886">
        <f>1</f>
        <v/>
      </c>
      <c r="BC886">
        <f>IF(AV886=1,1,IF(AW886=1,2,IF(AX886=1,3,IF(AY886=1,4,IF(AZ886=1,5,IF(BA886=1,6,7))))))</f>
        <v/>
      </c>
      <c r="BD886">
        <f>IF(AD886=1,CHOOSE('Historical Score'!$C$29,AV886,AW886,AX886,AY886,AZ886,BA886,BB886),0)</f>
        <v/>
      </c>
      <c r="BE886">
        <f>IF(BD886=1,COUNTIF($BD$2:BD886,1),"")</f>
        <v/>
      </c>
    </row>
    <row r="887">
      <c r="A887" t="inlineStr">
        <is>
          <t>5674183985</t>
        </is>
      </c>
      <c r="B887" t="inlineStr">
        <is>
          <t>Road Logistics Freight LLC</t>
        </is>
      </c>
      <c r="C887" t="inlineStr">
        <is>
          <t>Road Logistics Freight LLC</t>
        </is>
      </c>
      <c r="D887" t="inlineStr">
        <is>
          <t>Open</t>
        </is>
      </c>
      <c r="E887" s="297" t="n">
        <v>46162</v>
      </c>
      <c r="F887" s="297" t="n">
        <v>46253</v>
      </c>
      <c r="G887" t="n">
        <v>3</v>
      </c>
      <c r="H887" t="inlineStr">
        <is>
          <t>4212</t>
        </is>
      </c>
      <c r="I887" t="inlineStr">
        <is>
          <t>42</t>
        </is>
      </c>
      <c r="J887" t="inlineStr">
        <is>
          <t>PR</t>
        </is>
      </c>
      <c r="K887" t="inlineStr">
        <is>
          <t>Financial Express LLC</t>
        </is>
      </c>
      <c r="L887" t="inlineStr">
        <is>
          <t>New Deal</t>
        </is>
      </c>
      <c r="M887" s="298" t="n">
        <v>1.49</v>
      </c>
      <c r="N887" s="299" t="n">
        <v>5000</v>
      </c>
      <c r="O887" s="299" t="n">
        <v>700</v>
      </c>
      <c r="P887" s="299" t="n">
        <v>7450</v>
      </c>
      <c r="Q887" s="299" t="n">
        <v>4376.64</v>
      </c>
      <c r="R887" s="299" t="n">
        <v>3073.36</v>
      </c>
      <c r="S887" s="300" t="n">
        <v>0.587468456375839</v>
      </c>
      <c r="T887" t="n">
        <v>2.623</v>
      </c>
      <c r="U887" t="n">
        <v>12</v>
      </c>
      <c r="V887" t="n">
        <v>26677.17</v>
      </c>
      <c r="W887" s="300" t="n">
        <v>0.0733</v>
      </c>
      <c r="X887" s="297" t="n">
        <v>42692</v>
      </c>
      <c r="Y887">
        <f>IF(I887="","No SIC",IFERROR(VLOOKUP(I887,Ref!$A$2:$B$65,2,FALSE),"Unclassified"))</f>
        <v/>
      </c>
      <c r="Z887">
        <f>IF(T887="","",IF(T887&lt;12,"Daily","Weekly"))</f>
        <v/>
      </c>
      <c r="AA887">
        <f>IF(T887="",0,IF(T887&lt;12,T887*Controls!$B$29,T887*5))</f>
        <v/>
      </c>
      <c r="AB887">
        <f>IF(E887="",0,NETWORKDAYS(E887,Controls!$B$36,Ref!$K$2:$K$42))</f>
        <v/>
      </c>
      <c r="AC887">
        <f>IF(AND(AA887&gt;0,AB887&gt;=Controls!$B$39*AA887),1,0)</f>
        <v/>
      </c>
      <c r="AD887">
        <f>IF(AND(E887&lt;&gt;"",E887&gt;=Controls!$B$37,E887&lt;=Controls!$B$38),1,0)</f>
        <v/>
      </c>
      <c r="AE887">
        <f>IF(IFERROR(VLOOKUP(D887,Controls!$A$64:$E$74,2,FALSE),"No")="Yes",1,0)</f>
        <v/>
      </c>
      <c r="AF887">
        <f>IF(IFERROR(VLOOKUP(D887,Controls!$A$64:$E$74,3,FALSE),"No")="Yes",1,0)</f>
        <v/>
      </c>
      <c r="AG887">
        <f>IF(IFERROR(VLOOKUP(D887,Controls!$A$64:$E$74,4,FALSE),"No")="Yes",1,0)</f>
        <v/>
      </c>
      <c r="AH887">
        <f>IF(IFERROR(VLOOKUP(D887,Controls!$A$64:$E$74,5,FALSE),"No")="Yes",1,0)</f>
        <v/>
      </c>
      <c r="AI887">
        <f>IF(ISNUMBER(MATCH(D887,Controls!$A$64:$A$74,0)),1,0)</f>
        <v/>
      </c>
      <c r="AJ887">
        <f>Q887-N887</f>
        <v/>
      </c>
      <c r="AK887">
        <f>IF(AE887=1,MAX(0,N887-Q887),0)</f>
        <v/>
      </c>
      <c r="AL887">
        <f>IF(OR(V887="",V887=0),0,N887/V887)</f>
        <v/>
      </c>
      <c r="AM887">
        <f>IF(OR(V887="",V887=0),0,1)</f>
        <v/>
      </c>
      <c r="AN887">
        <f>IF(OR(E887="",F887=""),0,NETWORKDAYS(E887,F887,Ref!$K$2:$K$42))</f>
        <v/>
      </c>
      <c r="AO887">
        <f>IF(L887="Renewal",1,0)</f>
        <v/>
      </c>
      <c r="AP887">
        <f>AC887*AD887</f>
        <v/>
      </c>
      <c r="AQ887">
        <f>IF(AND(G887&lt;&gt;"",'Historical Score'!$C$6&lt;&gt;""),IF(G887='Historical Score'!$C$6,1,0),0)</f>
        <v/>
      </c>
      <c r="AR887">
        <f>IF(AND(L887&lt;&gt;"",'Historical Score'!$C$5&lt;&gt;""),IF(L887='Historical Score'!$C$5,1,0),0)</f>
        <v/>
      </c>
      <c r="AS887">
        <f>IF(AND(Y887&lt;&gt;"",'Historical Score'!$C$7&lt;&gt;""),IF(Y887='Historical Score'!$C$7,1,0),0)</f>
        <v/>
      </c>
      <c r="AT887">
        <f>IF(AND(K887&lt;&gt;"",'Historical Score'!$C$8&lt;&gt;""),IF(K887='Historical Score'!$C$8,1,0),0)</f>
        <v/>
      </c>
      <c r="AU887">
        <f>IF(AND(J887&lt;&gt;"",'Historical Score'!$C$9&lt;&gt;""),IF(J887='Historical Score'!$C$9,1,0),0)</f>
        <v/>
      </c>
      <c r="AV887">
        <f>AR887*AS887*AQ887</f>
        <v/>
      </c>
      <c r="AW887">
        <f>AR887*AT887*AQ887</f>
        <v/>
      </c>
      <c r="AX887">
        <f>AR887*AS887</f>
        <v/>
      </c>
      <c r="AY887">
        <f>AR887*AT887</f>
        <v/>
      </c>
      <c r="AZ887">
        <f>AR887*AQ887</f>
        <v/>
      </c>
      <c r="BA887">
        <f>AR887</f>
        <v/>
      </c>
      <c r="BB887">
        <f>1</f>
        <v/>
      </c>
      <c r="BC887">
        <f>IF(AV887=1,1,IF(AW887=1,2,IF(AX887=1,3,IF(AY887=1,4,IF(AZ887=1,5,IF(BA887=1,6,7))))))</f>
        <v/>
      </c>
      <c r="BD887">
        <f>IF(AD887=1,CHOOSE('Historical Score'!$C$29,AV887,AW887,AX887,AY887,AZ887,BA887,BB887),0)</f>
        <v/>
      </c>
      <c r="BE887">
        <f>IF(BD887=1,COUNTIF($BD$2:BD887,1),"")</f>
        <v/>
      </c>
    </row>
    <row r="888">
      <c r="A888" t="inlineStr">
        <is>
          <t>5674184007</t>
        </is>
      </c>
      <c r="B888" t="inlineStr">
        <is>
          <t>TAPCLASSIFIEDS AUTO DBA TAPOVERDRIVE</t>
        </is>
      </c>
      <c r="C888" t="inlineStr">
        <is>
          <t>TAPCLASSIFIEDS AUTO, INC</t>
        </is>
      </c>
      <c r="D888" t="inlineStr">
        <is>
          <t>Open</t>
        </is>
      </c>
      <c r="E888" s="297" t="n">
        <v>46162</v>
      </c>
      <c r="F888" s="297" t="n">
        <v>46252</v>
      </c>
      <c r="G888" t="n">
        <v>3</v>
      </c>
      <c r="H888" t="inlineStr">
        <is>
          <t>5599</t>
        </is>
      </c>
      <c r="I888" t="inlineStr">
        <is>
          <t>55</t>
        </is>
      </c>
      <c r="J888" t="inlineStr">
        <is>
          <t>CA</t>
        </is>
      </c>
      <c r="K888" t="inlineStr">
        <is>
          <t>PMF</t>
        </is>
      </c>
      <c r="L888" t="inlineStr">
        <is>
          <t>New Deal</t>
        </is>
      </c>
      <c r="M888" s="298" t="n">
        <v>1.35</v>
      </c>
      <c r="N888" s="299" t="n">
        <v>155000</v>
      </c>
      <c r="O888" s="299" t="n">
        <v>10850</v>
      </c>
      <c r="P888" s="299" t="n">
        <v>209250</v>
      </c>
      <c r="Q888" s="299" t="n">
        <v>71566.42999999999</v>
      </c>
      <c r="R888" s="299" t="n">
        <v>137683.57</v>
      </c>
      <c r="S888" s="300" t="n">
        <v>0.342014002389486</v>
      </c>
      <c r="T888" t="n">
        <v>38</v>
      </c>
      <c r="U888" t="n">
        <v>0</v>
      </c>
      <c r="V888" t="n">
        <v>387002.54</v>
      </c>
      <c r="W888" s="300" t="n">
        <v>0.0569</v>
      </c>
      <c r="X888" s="297" t="n">
        <v>41575</v>
      </c>
      <c r="Y888">
        <f>IF(I888="","No SIC",IFERROR(VLOOKUP(I888,Ref!$A$2:$B$65,2,FALSE),"Unclassified"))</f>
        <v/>
      </c>
      <c r="Z888">
        <f>IF(T888="","",IF(T888&lt;12,"Daily","Weekly"))</f>
        <v/>
      </c>
      <c r="AA888">
        <f>IF(T888="",0,IF(T888&lt;12,T888*Controls!$B$29,T888*5))</f>
        <v/>
      </c>
      <c r="AB888">
        <f>IF(E888="",0,NETWORKDAYS(E888,Controls!$B$36,Ref!$K$2:$K$42))</f>
        <v/>
      </c>
      <c r="AC888">
        <f>IF(AND(AA888&gt;0,AB888&gt;=Controls!$B$39*AA888),1,0)</f>
        <v/>
      </c>
      <c r="AD888">
        <f>IF(AND(E888&lt;&gt;"",E888&gt;=Controls!$B$37,E888&lt;=Controls!$B$38),1,0)</f>
        <v/>
      </c>
      <c r="AE888">
        <f>IF(IFERROR(VLOOKUP(D888,Controls!$A$64:$E$74,2,FALSE),"No")="Yes",1,0)</f>
        <v/>
      </c>
      <c r="AF888">
        <f>IF(IFERROR(VLOOKUP(D888,Controls!$A$64:$E$74,3,FALSE),"No")="Yes",1,0)</f>
        <v/>
      </c>
      <c r="AG888">
        <f>IF(IFERROR(VLOOKUP(D888,Controls!$A$64:$E$74,4,FALSE),"No")="Yes",1,0)</f>
        <v/>
      </c>
      <c r="AH888">
        <f>IF(IFERROR(VLOOKUP(D888,Controls!$A$64:$E$74,5,FALSE),"No")="Yes",1,0)</f>
        <v/>
      </c>
      <c r="AI888">
        <f>IF(ISNUMBER(MATCH(D888,Controls!$A$64:$A$74,0)),1,0)</f>
        <v/>
      </c>
      <c r="AJ888">
        <f>Q888-N888</f>
        <v/>
      </c>
      <c r="AK888">
        <f>IF(AE888=1,MAX(0,N888-Q888),0)</f>
        <v/>
      </c>
      <c r="AL888">
        <f>IF(OR(V888="",V888=0),0,N888/V888)</f>
        <v/>
      </c>
      <c r="AM888">
        <f>IF(OR(V888="",V888=0),0,1)</f>
        <v/>
      </c>
      <c r="AN888">
        <f>IF(OR(E888="",F888=""),0,NETWORKDAYS(E888,F888,Ref!$K$2:$K$42))</f>
        <v/>
      </c>
      <c r="AO888">
        <f>IF(L888="Renewal",1,0)</f>
        <v/>
      </c>
      <c r="AP888">
        <f>AC888*AD888</f>
        <v/>
      </c>
      <c r="AQ888">
        <f>IF(AND(G888&lt;&gt;"",'Historical Score'!$C$6&lt;&gt;""),IF(G888='Historical Score'!$C$6,1,0),0)</f>
        <v/>
      </c>
      <c r="AR888">
        <f>IF(AND(L888&lt;&gt;"",'Historical Score'!$C$5&lt;&gt;""),IF(L888='Historical Score'!$C$5,1,0),0)</f>
        <v/>
      </c>
      <c r="AS888">
        <f>IF(AND(Y888&lt;&gt;"",'Historical Score'!$C$7&lt;&gt;""),IF(Y888='Historical Score'!$C$7,1,0),0)</f>
        <v/>
      </c>
      <c r="AT888">
        <f>IF(AND(K888&lt;&gt;"",'Historical Score'!$C$8&lt;&gt;""),IF(K888='Historical Score'!$C$8,1,0),0)</f>
        <v/>
      </c>
      <c r="AU888">
        <f>IF(AND(J888&lt;&gt;"",'Historical Score'!$C$9&lt;&gt;""),IF(J888='Historical Score'!$C$9,1,0),0)</f>
        <v/>
      </c>
      <c r="AV888">
        <f>AR888*AS888*AQ888</f>
        <v/>
      </c>
      <c r="AW888">
        <f>AR888*AT888*AQ888</f>
        <v/>
      </c>
      <c r="AX888">
        <f>AR888*AS888</f>
        <v/>
      </c>
      <c r="AY888">
        <f>AR888*AT888</f>
        <v/>
      </c>
      <c r="AZ888">
        <f>AR888*AQ888</f>
        <v/>
      </c>
      <c r="BA888">
        <f>AR888</f>
        <v/>
      </c>
      <c r="BB888">
        <f>1</f>
        <v/>
      </c>
      <c r="BC888">
        <f>IF(AV888=1,1,IF(AW888=1,2,IF(AX888=1,3,IF(AY888=1,4,IF(AZ888=1,5,IF(BA888=1,6,7))))))</f>
        <v/>
      </c>
      <c r="BD888">
        <f>IF(AD888=1,CHOOSE('Historical Score'!$C$29,AV888,AW888,AX888,AY888,AZ888,BA888,BB888),0)</f>
        <v/>
      </c>
      <c r="BE888">
        <f>IF(BD888=1,COUNTIF($BD$2:BD888,1),"")</f>
        <v/>
      </c>
    </row>
    <row r="889">
      <c r="A889" t="inlineStr">
        <is>
          <t>5674184019</t>
        </is>
      </c>
      <c r="B889" t="inlineStr">
        <is>
          <t>Wcs All Immigration Document Service</t>
        </is>
      </c>
      <c r="C889" t="inlineStr">
        <is>
          <t>WORLD COMPUTER SYSTEMS INC</t>
        </is>
      </c>
      <c r="D889" t="inlineStr">
        <is>
          <t>Open</t>
        </is>
      </c>
      <c r="E889" s="297" t="n">
        <v>46162</v>
      </c>
      <c r="F889" s="297" t="n">
        <v>46253</v>
      </c>
      <c r="G889" t="n">
        <v>3</v>
      </c>
      <c r="H889" t="inlineStr">
        <is>
          <t>8111</t>
        </is>
      </c>
      <c r="I889" t="inlineStr">
        <is>
          <t>81</t>
        </is>
      </c>
      <c r="J889" t="inlineStr">
        <is>
          <t>FL</t>
        </is>
      </c>
      <c r="K889" t="inlineStr">
        <is>
          <t>LENDCAP SOLUTIONS</t>
        </is>
      </c>
      <c r="L889" t="inlineStr">
        <is>
          <t>New Deal</t>
        </is>
      </c>
      <c r="M889" s="298" t="n">
        <v>1.49</v>
      </c>
      <c r="N889" s="299" t="n">
        <v>25000</v>
      </c>
      <c r="O889" s="299" t="n">
        <v>3500</v>
      </c>
      <c r="P889" s="299" t="n">
        <v>37250</v>
      </c>
      <c r="Q889" s="299" t="n">
        <v>18617.88</v>
      </c>
      <c r="R889" s="299" t="n">
        <v>18632.12</v>
      </c>
      <c r="S889" s="300" t="n">
        <v>0.499808859060403</v>
      </c>
      <c r="T889" t="n">
        <v>20</v>
      </c>
      <c r="U889" t="n">
        <v>9</v>
      </c>
      <c r="V889" t="n">
        <v>120314.31</v>
      </c>
      <c r="W889" s="300" t="n">
        <v>0.0619</v>
      </c>
      <c r="X889" s="297" t="n">
        <v>42566</v>
      </c>
      <c r="Y889">
        <f>IF(I889="","No SIC",IFERROR(VLOOKUP(I889,Ref!$A$2:$B$65,2,FALSE),"Unclassified"))</f>
        <v/>
      </c>
      <c r="Z889">
        <f>IF(T889="","",IF(T889&lt;12,"Daily","Weekly"))</f>
        <v/>
      </c>
      <c r="AA889">
        <f>IF(T889="",0,IF(T889&lt;12,T889*Controls!$B$29,T889*5))</f>
        <v/>
      </c>
      <c r="AB889">
        <f>IF(E889="",0,NETWORKDAYS(E889,Controls!$B$36,Ref!$K$2:$K$42))</f>
        <v/>
      </c>
      <c r="AC889">
        <f>IF(AND(AA889&gt;0,AB889&gt;=Controls!$B$39*AA889),1,0)</f>
        <v/>
      </c>
      <c r="AD889">
        <f>IF(AND(E889&lt;&gt;"",E889&gt;=Controls!$B$37,E889&lt;=Controls!$B$38),1,0)</f>
        <v/>
      </c>
      <c r="AE889">
        <f>IF(IFERROR(VLOOKUP(D889,Controls!$A$64:$E$74,2,FALSE),"No")="Yes",1,0)</f>
        <v/>
      </c>
      <c r="AF889">
        <f>IF(IFERROR(VLOOKUP(D889,Controls!$A$64:$E$74,3,FALSE),"No")="Yes",1,0)</f>
        <v/>
      </c>
      <c r="AG889">
        <f>IF(IFERROR(VLOOKUP(D889,Controls!$A$64:$E$74,4,FALSE),"No")="Yes",1,0)</f>
        <v/>
      </c>
      <c r="AH889">
        <f>IF(IFERROR(VLOOKUP(D889,Controls!$A$64:$E$74,5,FALSE),"No")="Yes",1,0)</f>
        <v/>
      </c>
      <c r="AI889">
        <f>IF(ISNUMBER(MATCH(D889,Controls!$A$64:$A$74,0)),1,0)</f>
        <v/>
      </c>
      <c r="AJ889">
        <f>Q889-N889</f>
        <v/>
      </c>
      <c r="AK889">
        <f>IF(AE889=1,MAX(0,N889-Q889),0)</f>
        <v/>
      </c>
      <c r="AL889">
        <f>IF(OR(V889="",V889=0),0,N889/V889)</f>
        <v/>
      </c>
      <c r="AM889">
        <f>IF(OR(V889="",V889=0),0,1)</f>
        <v/>
      </c>
      <c r="AN889">
        <f>IF(OR(E889="",F889=""),0,NETWORKDAYS(E889,F889,Ref!$K$2:$K$42))</f>
        <v/>
      </c>
      <c r="AO889">
        <f>IF(L889="Renewal",1,0)</f>
        <v/>
      </c>
      <c r="AP889">
        <f>AC889*AD889</f>
        <v/>
      </c>
      <c r="AQ889">
        <f>IF(AND(G889&lt;&gt;"",'Historical Score'!$C$6&lt;&gt;""),IF(G889='Historical Score'!$C$6,1,0),0)</f>
        <v/>
      </c>
      <c r="AR889">
        <f>IF(AND(L889&lt;&gt;"",'Historical Score'!$C$5&lt;&gt;""),IF(L889='Historical Score'!$C$5,1,0),0)</f>
        <v/>
      </c>
      <c r="AS889">
        <f>IF(AND(Y889&lt;&gt;"",'Historical Score'!$C$7&lt;&gt;""),IF(Y889='Historical Score'!$C$7,1,0),0)</f>
        <v/>
      </c>
      <c r="AT889">
        <f>IF(AND(K889&lt;&gt;"",'Historical Score'!$C$8&lt;&gt;""),IF(K889='Historical Score'!$C$8,1,0),0)</f>
        <v/>
      </c>
      <c r="AU889">
        <f>IF(AND(J889&lt;&gt;"",'Historical Score'!$C$9&lt;&gt;""),IF(J889='Historical Score'!$C$9,1,0),0)</f>
        <v/>
      </c>
      <c r="AV889">
        <f>AR889*AS889*AQ889</f>
        <v/>
      </c>
      <c r="AW889">
        <f>AR889*AT889*AQ889</f>
        <v/>
      </c>
      <c r="AX889">
        <f>AR889*AS889</f>
        <v/>
      </c>
      <c r="AY889">
        <f>AR889*AT889</f>
        <v/>
      </c>
      <c r="AZ889">
        <f>AR889*AQ889</f>
        <v/>
      </c>
      <c r="BA889">
        <f>AR889</f>
        <v/>
      </c>
      <c r="BB889">
        <f>1</f>
        <v/>
      </c>
      <c r="BC889">
        <f>IF(AV889=1,1,IF(AW889=1,2,IF(AX889=1,3,IF(AY889=1,4,IF(AZ889=1,5,IF(BA889=1,6,7))))))</f>
        <v/>
      </c>
      <c r="BD889">
        <f>IF(AD889=1,CHOOSE('Historical Score'!$C$29,AV889,AW889,AX889,AY889,AZ889,BA889,BB889),0)</f>
        <v/>
      </c>
      <c r="BE889">
        <f>IF(BD889=1,COUNTIF($BD$2:BD889,1),"")</f>
        <v/>
      </c>
    </row>
    <row r="890">
      <c r="A890" t="inlineStr">
        <is>
          <t>5674184028</t>
        </is>
      </c>
      <c r="B890" t="inlineStr">
        <is>
          <t>JACKS PEST MGMT LLC</t>
        </is>
      </c>
      <c r="C890" t="inlineStr">
        <is>
          <t>JACKS PEST MGMT LLC</t>
        </is>
      </c>
      <c r="D890" t="inlineStr">
        <is>
          <t>Open</t>
        </is>
      </c>
      <c r="E890" s="297" t="n">
        <v>46162</v>
      </c>
      <c r="F890" s="297" t="n">
        <v>46248</v>
      </c>
      <c r="G890" t="n">
        <v>3</v>
      </c>
      <c r="H890" t="inlineStr">
        <is>
          <t>7342</t>
        </is>
      </c>
      <c r="I890" t="inlineStr">
        <is>
          <t>73</t>
        </is>
      </c>
      <c r="J890" t="inlineStr">
        <is>
          <t>MO</t>
        </is>
      </c>
      <c r="K890" t="inlineStr">
        <is>
          <t>Samson Funding</t>
        </is>
      </c>
      <c r="L890" t="inlineStr">
        <is>
          <t>Renewal</t>
        </is>
      </c>
      <c r="M890" s="298" t="n">
        <v>1.35</v>
      </c>
      <c r="N890" s="299" t="n">
        <v>15000</v>
      </c>
      <c r="O890" s="299" t="n">
        <v>1050</v>
      </c>
      <c r="P890" s="299" t="n">
        <v>20250</v>
      </c>
      <c r="Q890" s="299" t="n">
        <v>7593.12</v>
      </c>
      <c r="R890" s="299" t="n">
        <v>12656.88</v>
      </c>
      <c r="S890" s="300" t="n">
        <v>0.374968888888889</v>
      </c>
      <c r="T890" t="n">
        <v>32</v>
      </c>
      <c r="U890" t="n">
        <v>0</v>
      </c>
      <c r="V890" t="n">
        <v>12993</v>
      </c>
      <c r="W890" s="300" t="n">
        <v>0.1948</v>
      </c>
      <c r="X890" s="297" t="n">
        <v>45280</v>
      </c>
      <c r="Y890">
        <f>IF(I890="","No SIC",IFERROR(VLOOKUP(I890,Ref!$A$2:$B$65,2,FALSE),"Unclassified"))</f>
        <v/>
      </c>
      <c r="Z890">
        <f>IF(T890="","",IF(T890&lt;12,"Daily","Weekly"))</f>
        <v/>
      </c>
      <c r="AA890">
        <f>IF(T890="",0,IF(T890&lt;12,T890*Controls!$B$29,T890*5))</f>
        <v/>
      </c>
      <c r="AB890">
        <f>IF(E890="",0,NETWORKDAYS(E890,Controls!$B$36,Ref!$K$2:$K$42))</f>
        <v/>
      </c>
      <c r="AC890">
        <f>IF(AND(AA890&gt;0,AB890&gt;=Controls!$B$39*AA890),1,0)</f>
        <v/>
      </c>
      <c r="AD890">
        <f>IF(AND(E890&lt;&gt;"",E890&gt;=Controls!$B$37,E890&lt;=Controls!$B$38),1,0)</f>
        <v/>
      </c>
      <c r="AE890">
        <f>IF(IFERROR(VLOOKUP(D890,Controls!$A$64:$E$74,2,FALSE),"No")="Yes",1,0)</f>
        <v/>
      </c>
      <c r="AF890">
        <f>IF(IFERROR(VLOOKUP(D890,Controls!$A$64:$E$74,3,FALSE),"No")="Yes",1,0)</f>
        <v/>
      </c>
      <c r="AG890">
        <f>IF(IFERROR(VLOOKUP(D890,Controls!$A$64:$E$74,4,FALSE),"No")="Yes",1,0)</f>
        <v/>
      </c>
      <c r="AH890">
        <f>IF(IFERROR(VLOOKUP(D890,Controls!$A$64:$E$74,5,FALSE),"No")="Yes",1,0)</f>
        <v/>
      </c>
      <c r="AI890">
        <f>IF(ISNUMBER(MATCH(D890,Controls!$A$64:$A$74,0)),1,0)</f>
        <v/>
      </c>
      <c r="AJ890">
        <f>Q890-N890</f>
        <v/>
      </c>
      <c r="AK890">
        <f>IF(AE890=1,MAX(0,N890-Q890),0)</f>
        <v/>
      </c>
      <c r="AL890">
        <f>IF(OR(V890="",V890=0),0,N890/V890)</f>
        <v/>
      </c>
      <c r="AM890">
        <f>IF(OR(V890="",V890=0),0,1)</f>
        <v/>
      </c>
      <c r="AN890">
        <f>IF(OR(E890="",F890=""),0,NETWORKDAYS(E890,F890,Ref!$K$2:$K$42))</f>
        <v/>
      </c>
      <c r="AO890">
        <f>IF(L890="Renewal",1,0)</f>
        <v/>
      </c>
      <c r="AP890">
        <f>AC890*AD890</f>
        <v/>
      </c>
      <c r="AQ890">
        <f>IF(AND(G890&lt;&gt;"",'Historical Score'!$C$6&lt;&gt;""),IF(G890='Historical Score'!$C$6,1,0),0)</f>
        <v/>
      </c>
      <c r="AR890">
        <f>IF(AND(L890&lt;&gt;"",'Historical Score'!$C$5&lt;&gt;""),IF(L890='Historical Score'!$C$5,1,0),0)</f>
        <v/>
      </c>
      <c r="AS890">
        <f>IF(AND(Y890&lt;&gt;"",'Historical Score'!$C$7&lt;&gt;""),IF(Y890='Historical Score'!$C$7,1,0),0)</f>
        <v/>
      </c>
      <c r="AT890">
        <f>IF(AND(K890&lt;&gt;"",'Historical Score'!$C$8&lt;&gt;""),IF(K890='Historical Score'!$C$8,1,0),0)</f>
        <v/>
      </c>
      <c r="AU890">
        <f>IF(AND(J890&lt;&gt;"",'Historical Score'!$C$9&lt;&gt;""),IF(J890='Historical Score'!$C$9,1,0),0)</f>
        <v/>
      </c>
      <c r="AV890">
        <f>AR890*AS890*AQ890</f>
        <v/>
      </c>
      <c r="AW890">
        <f>AR890*AT890*AQ890</f>
        <v/>
      </c>
      <c r="AX890">
        <f>AR890*AS890</f>
        <v/>
      </c>
      <c r="AY890">
        <f>AR890*AT890</f>
        <v/>
      </c>
      <c r="AZ890">
        <f>AR890*AQ890</f>
        <v/>
      </c>
      <c r="BA890">
        <f>AR890</f>
        <v/>
      </c>
      <c r="BB890">
        <f>1</f>
        <v/>
      </c>
      <c r="BC890">
        <f>IF(AV890=1,1,IF(AW890=1,2,IF(AX890=1,3,IF(AY890=1,4,IF(AZ890=1,5,IF(BA890=1,6,7))))))</f>
        <v/>
      </c>
      <c r="BD890">
        <f>IF(AD890=1,CHOOSE('Historical Score'!$C$29,AV890,AW890,AX890,AY890,AZ890,BA890,BB890),0)</f>
        <v/>
      </c>
      <c r="BE890">
        <f>IF(BD890=1,COUNTIF($BD$2:BD890,1),"")</f>
        <v/>
      </c>
    </row>
    <row r="891">
      <c r="A891" t="inlineStr">
        <is>
          <t>5674184040</t>
        </is>
      </c>
      <c r="B891" t="inlineStr">
        <is>
          <t>TASHAV'S CARIBBEAN &amp; SOUL FOOD CUISINE</t>
        </is>
      </c>
      <c r="C891" t="inlineStr">
        <is>
          <t>TASHA'S CARIBBEAN &amp; SOUL FOOD</t>
        </is>
      </c>
      <c r="D891" t="inlineStr">
        <is>
          <t>Open</t>
        </is>
      </c>
      <c r="E891" s="297" t="n">
        <v>46162</v>
      </c>
      <c r="F891" s="297" t="n">
        <v>46241</v>
      </c>
      <c r="G891" t="n">
        <v>3</v>
      </c>
      <c r="H891" t="inlineStr">
        <is>
          <t>5812</t>
        </is>
      </c>
      <c r="I891" t="inlineStr">
        <is>
          <t>58</t>
        </is>
      </c>
      <c r="J891" t="inlineStr">
        <is>
          <t>NJ</t>
        </is>
      </c>
      <c r="K891" t="inlineStr">
        <is>
          <t>Ballicci</t>
        </is>
      </c>
      <c r="L891" t="inlineStr">
        <is>
          <t>Renewal</t>
        </is>
      </c>
      <c r="M891" s="298" t="n">
        <v>1.42</v>
      </c>
      <c r="N891" s="299" t="n">
        <v>19000</v>
      </c>
      <c r="O891" s="299" t="n">
        <v>1995</v>
      </c>
      <c r="P891" s="299" t="n">
        <v>26980</v>
      </c>
      <c r="Q891" s="299" t="n">
        <v>8996.16</v>
      </c>
      <c r="R891" s="299" t="n">
        <v>17983.84</v>
      </c>
      <c r="S891" s="300" t="n">
        <v>0.333438102297999</v>
      </c>
      <c r="T891" t="n">
        <v>24</v>
      </c>
      <c r="U891" t="n">
        <v>1</v>
      </c>
      <c r="V891" t="n">
        <v>39147.9</v>
      </c>
      <c r="W891" s="300" t="n">
        <v>0.1149</v>
      </c>
      <c r="X891" s="297" t="n">
        <v>43466</v>
      </c>
      <c r="Y891">
        <f>IF(I891="","No SIC",IFERROR(VLOOKUP(I891,Ref!$A$2:$B$65,2,FALSE),"Unclassified"))</f>
        <v/>
      </c>
      <c r="Z891">
        <f>IF(T891="","",IF(T891&lt;12,"Daily","Weekly"))</f>
        <v/>
      </c>
      <c r="AA891">
        <f>IF(T891="",0,IF(T891&lt;12,T891*Controls!$B$29,T891*5))</f>
        <v/>
      </c>
      <c r="AB891">
        <f>IF(E891="",0,NETWORKDAYS(E891,Controls!$B$36,Ref!$K$2:$K$42))</f>
        <v/>
      </c>
      <c r="AC891">
        <f>IF(AND(AA891&gt;0,AB891&gt;=Controls!$B$39*AA891),1,0)</f>
        <v/>
      </c>
      <c r="AD891">
        <f>IF(AND(E891&lt;&gt;"",E891&gt;=Controls!$B$37,E891&lt;=Controls!$B$38),1,0)</f>
        <v/>
      </c>
      <c r="AE891">
        <f>IF(IFERROR(VLOOKUP(D891,Controls!$A$64:$E$74,2,FALSE),"No")="Yes",1,0)</f>
        <v/>
      </c>
      <c r="AF891">
        <f>IF(IFERROR(VLOOKUP(D891,Controls!$A$64:$E$74,3,FALSE),"No")="Yes",1,0)</f>
        <v/>
      </c>
      <c r="AG891">
        <f>IF(IFERROR(VLOOKUP(D891,Controls!$A$64:$E$74,4,FALSE),"No")="Yes",1,0)</f>
        <v/>
      </c>
      <c r="AH891">
        <f>IF(IFERROR(VLOOKUP(D891,Controls!$A$64:$E$74,5,FALSE),"No")="Yes",1,0)</f>
        <v/>
      </c>
      <c r="AI891">
        <f>IF(ISNUMBER(MATCH(D891,Controls!$A$64:$A$74,0)),1,0)</f>
        <v/>
      </c>
      <c r="AJ891">
        <f>Q891-N891</f>
        <v/>
      </c>
      <c r="AK891">
        <f>IF(AE891=1,MAX(0,N891-Q891),0)</f>
        <v/>
      </c>
      <c r="AL891">
        <f>IF(OR(V891="",V891=0),0,N891/V891)</f>
        <v/>
      </c>
      <c r="AM891">
        <f>IF(OR(V891="",V891=0),0,1)</f>
        <v/>
      </c>
      <c r="AN891">
        <f>IF(OR(E891="",F891=""),0,NETWORKDAYS(E891,F891,Ref!$K$2:$K$42))</f>
        <v/>
      </c>
      <c r="AO891">
        <f>IF(L891="Renewal",1,0)</f>
        <v/>
      </c>
      <c r="AP891">
        <f>AC891*AD891</f>
        <v/>
      </c>
      <c r="AQ891">
        <f>IF(AND(G891&lt;&gt;"",'Historical Score'!$C$6&lt;&gt;""),IF(G891='Historical Score'!$C$6,1,0),0)</f>
        <v/>
      </c>
      <c r="AR891">
        <f>IF(AND(L891&lt;&gt;"",'Historical Score'!$C$5&lt;&gt;""),IF(L891='Historical Score'!$C$5,1,0),0)</f>
        <v/>
      </c>
      <c r="AS891">
        <f>IF(AND(Y891&lt;&gt;"",'Historical Score'!$C$7&lt;&gt;""),IF(Y891='Historical Score'!$C$7,1,0),0)</f>
        <v/>
      </c>
      <c r="AT891">
        <f>IF(AND(K891&lt;&gt;"",'Historical Score'!$C$8&lt;&gt;""),IF(K891='Historical Score'!$C$8,1,0),0)</f>
        <v/>
      </c>
      <c r="AU891">
        <f>IF(AND(J891&lt;&gt;"",'Historical Score'!$C$9&lt;&gt;""),IF(J891='Historical Score'!$C$9,1,0),0)</f>
        <v/>
      </c>
      <c r="AV891">
        <f>AR891*AS891*AQ891</f>
        <v/>
      </c>
      <c r="AW891">
        <f>AR891*AT891*AQ891</f>
        <v/>
      </c>
      <c r="AX891">
        <f>AR891*AS891</f>
        <v/>
      </c>
      <c r="AY891">
        <f>AR891*AT891</f>
        <v/>
      </c>
      <c r="AZ891">
        <f>AR891*AQ891</f>
        <v/>
      </c>
      <c r="BA891">
        <f>AR891</f>
        <v/>
      </c>
      <c r="BB891">
        <f>1</f>
        <v/>
      </c>
      <c r="BC891">
        <f>IF(AV891=1,1,IF(AW891=1,2,IF(AX891=1,3,IF(AY891=1,4,IF(AZ891=1,5,IF(BA891=1,6,7))))))</f>
        <v/>
      </c>
      <c r="BD891">
        <f>IF(AD891=1,CHOOSE('Historical Score'!$C$29,AV891,AW891,AX891,AY891,AZ891,BA891,BB891),0)</f>
        <v/>
      </c>
      <c r="BE891">
        <f>IF(BD891=1,COUNTIF($BD$2:BD891,1),"")</f>
        <v/>
      </c>
    </row>
    <row r="892">
      <c r="A892" t="inlineStr">
        <is>
          <t>5674184066</t>
        </is>
      </c>
      <c r="B892" t="inlineStr">
        <is>
          <t>YOUR FAMILY HEALTHCARE</t>
        </is>
      </c>
      <c r="C892" t="inlineStr">
        <is>
          <t>YOUR FAMILY HEALTHCARE LLC</t>
        </is>
      </c>
      <c r="D892" t="inlineStr">
        <is>
          <t>Open</t>
        </is>
      </c>
      <c r="E892" s="297" t="n">
        <v>46163</v>
      </c>
      <c r="F892" s="297" t="n">
        <v>46247</v>
      </c>
      <c r="G892" t="n">
        <v>3</v>
      </c>
      <c r="H892" t="inlineStr">
        <is>
          <t>8011</t>
        </is>
      </c>
      <c r="I892" t="inlineStr">
        <is>
          <t>80</t>
        </is>
      </c>
      <c r="J892" t="inlineStr">
        <is>
          <t>TX</t>
        </is>
      </c>
      <c r="K892" t="inlineStr">
        <is>
          <t>SNB CAPITAL 18 LLC</t>
        </is>
      </c>
      <c r="L892" t="inlineStr">
        <is>
          <t>New Deal</t>
        </is>
      </c>
      <c r="M892" s="298" t="n">
        <v>1.45</v>
      </c>
      <c r="N892" s="299" t="n">
        <v>200000</v>
      </c>
      <c r="O892" s="299" t="n">
        <v>24000</v>
      </c>
      <c r="P892" s="299" t="n">
        <v>290000</v>
      </c>
      <c r="Q892" s="299" t="n">
        <v>90479.17999999999</v>
      </c>
      <c r="R892" s="299" t="n">
        <v>199520.82</v>
      </c>
      <c r="S892" s="300" t="n">
        <v>0.311997172413793</v>
      </c>
      <c r="T892" t="n">
        <v>36</v>
      </c>
      <c r="U892" t="n">
        <v>1</v>
      </c>
      <c r="V892" t="n">
        <v>465351.99</v>
      </c>
      <c r="W892" s="300" t="n">
        <v>0.0692</v>
      </c>
      <c r="X892" s="297" t="n">
        <v>42826</v>
      </c>
      <c r="Y892">
        <f>IF(I892="","No SIC",IFERROR(VLOOKUP(I892,Ref!$A$2:$B$65,2,FALSE),"Unclassified"))</f>
        <v/>
      </c>
      <c r="Z892">
        <f>IF(T892="","",IF(T892&lt;12,"Daily","Weekly"))</f>
        <v/>
      </c>
      <c r="AA892">
        <f>IF(T892="",0,IF(T892&lt;12,T892*Controls!$B$29,T892*5))</f>
        <v/>
      </c>
      <c r="AB892">
        <f>IF(E892="",0,NETWORKDAYS(E892,Controls!$B$36,Ref!$K$2:$K$42))</f>
        <v/>
      </c>
      <c r="AC892">
        <f>IF(AND(AA892&gt;0,AB892&gt;=Controls!$B$39*AA892),1,0)</f>
        <v/>
      </c>
      <c r="AD892">
        <f>IF(AND(E892&lt;&gt;"",E892&gt;=Controls!$B$37,E892&lt;=Controls!$B$38),1,0)</f>
        <v/>
      </c>
      <c r="AE892">
        <f>IF(IFERROR(VLOOKUP(D892,Controls!$A$64:$E$74,2,FALSE),"No")="Yes",1,0)</f>
        <v/>
      </c>
      <c r="AF892">
        <f>IF(IFERROR(VLOOKUP(D892,Controls!$A$64:$E$74,3,FALSE),"No")="Yes",1,0)</f>
        <v/>
      </c>
      <c r="AG892">
        <f>IF(IFERROR(VLOOKUP(D892,Controls!$A$64:$E$74,4,FALSE),"No")="Yes",1,0)</f>
        <v/>
      </c>
      <c r="AH892">
        <f>IF(IFERROR(VLOOKUP(D892,Controls!$A$64:$E$74,5,FALSE),"No")="Yes",1,0)</f>
        <v/>
      </c>
      <c r="AI892">
        <f>IF(ISNUMBER(MATCH(D892,Controls!$A$64:$A$74,0)),1,0)</f>
        <v/>
      </c>
      <c r="AJ892">
        <f>Q892-N892</f>
        <v/>
      </c>
      <c r="AK892">
        <f>IF(AE892=1,MAX(0,N892-Q892),0)</f>
        <v/>
      </c>
      <c r="AL892">
        <f>IF(OR(V892="",V892=0),0,N892/V892)</f>
        <v/>
      </c>
      <c r="AM892">
        <f>IF(OR(V892="",V892=0),0,1)</f>
        <v/>
      </c>
      <c r="AN892">
        <f>IF(OR(E892="",F892=""),0,NETWORKDAYS(E892,F892,Ref!$K$2:$K$42))</f>
        <v/>
      </c>
      <c r="AO892">
        <f>IF(L892="Renewal",1,0)</f>
        <v/>
      </c>
      <c r="AP892">
        <f>AC892*AD892</f>
        <v/>
      </c>
      <c r="AQ892">
        <f>IF(AND(G892&lt;&gt;"",'Historical Score'!$C$6&lt;&gt;""),IF(G892='Historical Score'!$C$6,1,0),0)</f>
        <v/>
      </c>
      <c r="AR892">
        <f>IF(AND(L892&lt;&gt;"",'Historical Score'!$C$5&lt;&gt;""),IF(L892='Historical Score'!$C$5,1,0),0)</f>
        <v/>
      </c>
      <c r="AS892">
        <f>IF(AND(Y892&lt;&gt;"",'Historical Score'!$C$7&lt;&gt;""),IF(Y892='Historical Score'!$C$7,1,0),0)</f>
        <v/>
      </c>
      <c r="AT892">
        <f>IF(AND(K892&lt;&gt;"",'Historical Score'!$C$8&lt;&gt;""),IF(K892='Historical Score'!$C$8,1,0),0)</f>
        <v/>
      </c>
      <c r="AU892">
        <f>IF(AND(J892&lt;&gt;"",'Historical Score'!$C$9&lt;&gt;""),IF(J892='Historical Score'!$C$9,1,0),0)</f>
        <v/>
      </c>
      <c r="AV892">
        <f>AR892*AS892*AQ892</f>
        <v/>
      </c>
      <c r="AW892">
        <f>AR892*AT892*AQ892</f>
        <v/>
      </c>
      <c r="AX892">
        <f>AR892*AS892</f>
        <v/>
      </c>
      <c r="AY892">
        <f>AR892*AT892</f>
        <v/>
      </c>
      <c r="AZ892">
        <f>AR892*AQ892</f>
        <v/>
      </c>
      <c r="BA892">
        <f>AR892</f>
        <v/>
      </c>
      <c r="BB892">
        <f>1</f>
        <v/>
      </c>
      <c r="BC892">
        <f>IF(AV892=1,1,IF(AW892=1,2,IF(AX892=1,3,IF(AY892=1,4,IF(AZ892=1,5,IF(BA892=1,6,7))))))</f>
        <v/>
      </c>
      <c r="BD892">
        <f>IF(AD892=1,CHOOSE('Historical Score'!$C$29,AV892,AW892,AX892,AY892,AZ892,BA892,BB892),0)</f>
        <v/>
      </c>
      <c r="BE892">
        <f>IF(BD892=1,COUNTIF($BD$2:BD892,1),"")</f>
        <v/>
      </c>
    </row>
    <row r="893">
      <c r="A893" t="inlineStr">
        <is>
          <t>5674184091</t>
        </is>
      </c>
      <c r="B893" t="inlineStr">
        <is>
          <t>Millersroom</t>
        </is>
      </c>
      <c r="C893" t="inlineStr">
        <is>
          <t>MILLERSROOM LLC, MARQUISE MILLER</t>
        </is>
      </c>
      <c r="D893" t="inlineStr">
        <is>
          <t>Open</t>
        </is>
      </c>
      <c r="E893" s="297" t="n">
        <v>46163</v>
      </c>
      <c r="F893" s="297" t="n">
        <v>46253</v>
      </c>
      <c r="G893" t="n">
        <v>1</v>
      </c>
      <c r="H893" t="inlineStr">
        <is>
          <t>5651</t>
        </is>
      </c>
      <c r="I893" t="inlineStr">
        <is>
          <t>56</t>
        </is>
      </c>
      <c r="J893" t="inlineStr">
        <is>
          <t>CA</t>
        </is>
      </c>
      <c r="K893" t="inlineStr">
        <is>
          <t>United Secured Capital 8</t>
        </is>
      </c>
      <c r="L893" t="inlineStr">
        <is>
          <t>New Deal</t>
        </is>
      </c>
      <c r="M893" s="298" t="n">
        <v>1.45</v>
      </c>
      <c r="N893" s="299" t="n">
        <v>13000</v>
      </c>
      <c r="O893" s="299" t="n">
        <v>1560</v>
      </c>
      <c r="P893" s="299" t="n">
        <v>18850</v>
      </c>
      <c r="Q893" s="299" t="n">
        <v>7534.32</v>
      </c>
      <c r="R893" s="299" t="n">
        <v>11315.68</v>
      </c>
      <c r="S893" s="300" t="n">
        <v>0.399698673740053</v>
      </c>
      <c r="T893" t="n">
        <v>18</v>
      </c>
      <c r="U893" t="n">
        <v>5</v>
      </c>
      <c r="V893" t="n">
        <v>66458.27</v>
      </c>
      <c r="W893" s="300" t="n">
        <v>0.063</v>
      </c>
      <c r="X893" s="297" t="n">
        <v>42740</v>
      </c>
      <c r="Y893">
        <f>IF(I893="","No SIC",IFERROR(VLOOKUP(I893,Ref!$A$2:$B$65,2,FALSE),"Unclassified"))</f>
        <v/>
      </c>
      <c r="Z893">
        <f>IF(T893="","",IF(T893&lt;12,"Daily","Weekly"))</f>
        <v/>
      </c>
      <c r="AA893">
        <f>IF(T893="",0,IF(T893&lt;12,T893*Controls!$B$29,T893*5))</f>
        <v/>
      </c>
      <c r="AB893">
        <f>IF(E893="",0,NETWORKDAYS(E893,Controls!$B$36,Ref!$K$2:$K$42))</f>
        <v/>
      </c>
      <c r="AC893">
        <f>IF(AND(AA893&gt;0,AB893&gt;=Controls!$B$39*AA893),1,0)</f>
        <v/>
      </c>
      <c r="AD893">
        <f>IF(AND(E893&lt;&gt;"",E893&gt;=Controls!$B$37,E893&lt;=Controls!$B$38),1,0)</f>
        <v/>
      </c>
      <c r="AE893">
        <f>IF(IFERROR(VLOOKUP(D893,Controls!$A$64:$E$74,2,FALSE),"No")="Yes",1,0)</f>
        <v/>
      </c>
      <c r="AF893">
        <f>IF(IFERROR(VLOOKUP(D893,Controls!$A$64:$E$74,3,FALSE),"No")="Yes",1,0)</f>
        <v/>
      </c>
      <c r="AG893">
        <f>IF(IFERROR(VLOOKUP(D893,Controls!$A$64:$E$74,4,FALSE),"No")="Yes",1,0)</f>
        <v/>
      </c>
      <c r="AH893">
        <f>IF(IFERROR(VLOOKUP(D893,Controls!$A$64:$E$74,5,FALSE),"No")="Yes",1,0)</f>
        <v/>
      </c>
      <c r="AI893">
        <f>IF(ISNUMBER(MATCH(D893,Controls!$A$64:$A$74,0)),1,0)</f>
        <v/>
      </c>
      <c r="AJ893">
        <f>Q893-N893</f>
        <v/>
      </c>
      <c r="AK893">
        <f>IF(AE893=1,MAX(0,N893-Q893),0)</f>
        <v/>
      </c>
      <c r="AL893">
        <f>IF(OR(V893="",V893=0),0,N893/V893)</f>
        <v/>
      </c>
      <c r="AM893">
        <f>IF(OR(V893="",V893=0),0,1)</f>
        <v/>
      </c>
      <c r="AN893">
        <f>IF(OR(E893="",F893=""),0,NETWORKDAYS(E893,F893,Ref!$K$2:$K$42))</f>
        <v/>
      </c>
      <c r="AO893">
        <f>IF(L893="Renewal",1,0)</f>
        <v/>
      </c>
      <c r="AP893">
        <f>AC893*AD893</f>
        <v/>
      </c>
      <c r="AQ893">
        <f>IF(AND(G893&lt;&gt;"",'Historical Score'!$C$6&lt;&gt;""),IF(G893='Historical Score'!$C$6,1,0),0)</f>
        <v/>
      </c>
      <c r="AR893">
        <f>IF(AND(L893&lt;&gt;"",'Historical Score'!$C$5&lt;&gt;""),IF(L893='Historical Score'!$C$5,1,0),0)</f>
        <v/>
      </c>
      <c r="AS893">
        <f>IF(AND(Y893&lt;&gt;"",'Historical Score'!$C$7&lt;&gt;""),IF(Y893='Historical Score'!$C$7,1,0),0)</f>
        <v/>
      </c>
      <c r="AT893">
        <f>IF(AND(K893&lt;&gt;"",'Historical Score'!$C$8&lt;&gt;""),IF(K893='Historical Score'!$C$8,1,0),0)</f>
        <v/>
      </c>
      <c r="AU893">
        <f>IF(AND(J893&lt;&gt;"",'Historical Score'!$C$9&lt;&gt;""),IF(J893='Historical Score'!$C$9,1,0),0)</f>
        <v/>
      </c>
      <c r="AV893">
        <f>AR893*AS893*AQ893</f>
        <v/>
      </c>
      <c r="AW893">
        <f>AR893*AT893*AQ893</f>
        <v/>
      </c>
      <c r="AX893">
        <f>AR893*AS893</f>
        <v/>
      </c>
      <c r="AY893">
        <f>AR893*AT893</f>
        <v/>
      </c>
      <c r="AZ893">
        <f>AR893*AQ893</f>
        <v/>
      </c>
      <c r="BA893">
        <f>AR893</f>
        <v/>
      </c>
      <c r="BB893">
        <f>1</f>
        <v/>
      </c>
      <c r="BC893">
        <f>IF(AV893=1,1,IF(AW893=1,2,IF(AX893=1,3,IF(AY893=1,4,IF(AZ893=1,5,IF(BA893=1,6,7))))))</f>
        <v/>
      </c>
      <c r="BD893">
        <f>IF(AD893=1,CHOOSE('Historical Score'!$C$29,AV893,AW893,AX893,AY893,AZ893,BA893,BB893),0)</f>
        <v/>
      </c>
      <c r="BE893">
        <f>IF(BD893=1,COUNTIF($BD$2:BD893,1),"")</f>
        <v/>
      </c>
    </row>
    <row r="894">
      <c r="A894" t="inlineStr">
        <is>
          <t>5674184099</t>
        </is>
      </c>
      <c r="B894" t="inlineStr">
        <is>
          <t>S&amp;R JANITORIAL SERVICE LLC</t>
        </is>
      </c>
      <c r="C894" t="inlineStr">
        <is>
          <t>S&amp;R JANITORIAL SERVICE LLC</t>
        </is>
      </c>
      <c r="D894" t="inlineStr">
        <is>
          <t>Closed</t>
        </is>
      </c>
      <c r="E894" s="297" t="n">
        <v>46163</v>
      </c>
      <c r="F894" s="297" t="n">
        <v>46244</v>
      </c>
      <c r="G894" t="n">
        <v>3</v>
      </c>
      <c r="H894" t="inlineStr">
        <is>
          <t>7349</t>
        </is>
      </c>
      <c r="I894" t="inlineStr">
        <is>
          <t>73</t>
        </is>
      </c>
      <c r="J894" t="inlineStr">
        <is>
          <t>CA</t>
        </is>
      </c>
      <c r="K894" t="inlineStr">
        <is>
          <t>Linked In Funding</t>
        </is>
      </c>
      <c r="L894" t="inlineStr">
        <is>
          <t>Renewal</t>
        </is>
      </c>
      <c r="M894" s="298" t="n">
        <v>1.49</v>
      </c>
      <c r="N894" s="299" t="n">
        <v>15000</v>
      </c>
      <c r="O894" s="299" t="n">
        <v>2100</v>
      </c>
      <c r="P894" s="299" t="n">
        <v>22350</v>
      </c>
      <c r="Q894" s="299" t="n">
        <v>22350</v>
      </c>
      <c r="R894" s="299" t="n">
        <v>0</v>
      </c>
      <c r="S894" s="300" t="n">
        <v>1</v>
      </c>
      <c r="T894" t="n">
        <v>3.279</v>
      </c>
      <c r="U894" t="n">
        <v>2</v>
      </c>
      <c r="V894" t="n">
        <v>94527.25999999999</v>
      </c>
      <c r="W894" s="300" t="n">
        <v>0.0497</v>
      </c>
      <c r="X894" s="297" t="n">
        <v>42906</v>
      </c>
      <c r="Y894">
        <f>IF(I894="","No SIC",IFERROR(VLOOKUP(I894,Ref!$A$2:$B$65,2,FALSE),"Unclassified"))</f>
        <v/>
      </c>
      <c r="Z894">
        <f>IF(T894="","",IF(T894&lt;12,"Daily","Weekly"))</f>
        <v/>
      </c>
      <c r="AA894">
        <f>IF(T894="",0,IF(T894&lt;12,T894*Controls!$B$29,T894*5))</f>
        <v/>
      </c>
      <c r="AB894">
        <f>IF(E894="",0,NETWORKDAYS(E894,Controls!$B$36,Ref!$K$2:$K$42))</f>
        <v/>
      </c>
      <c r="AC894">
        <f>IF(AND(AA894&gt;0,AB894&gt;=Controls!$B$39*AA894),1,0)</f>
        <v/>
      </c>
      <c r="AD894">
        <f>IF(AND(E894&lt;&gt;"",E894&gt;=Controls!$B$37,E894&lt;=Controls!$B$38),1,0)</f>
        <v/>
      </c>
      <c r="AE894">
        <f>IF(IFERROR(VLOOKUP(D894,Controls!$A$64:$E$74,2,FALSE),"No")="Yes",1,0)</f>
        <v/>
      </c>
      <c r="AF894">
        <f>IF(IFERROR(VLOOKUP(D894,Controls!$A$64:$E$74,3,FALSE),"No")="Yes",1,0)</f>
        <v/>
      </c>
      <c r="AG894">
        <f>IF(IFERROR(VLOOKUP(D894,Controls!$A$64:$E$74,4,FALSE),"No")="Yes",1,0)</f>
        <v/>
      </c>
      <c r="AH894">
        <f>IF(IFERROR(VLOOKUP(D894,Controls!$A$64:$E$74,5,FALSE),"No")="Yes",1,0)</f>
        <v/>
      </c>
      <c r="AI894">
        <f>IF(ISNUMBER(MATCH(D894,Controls!$A$64:$A$74,0)),1,0)</f>
        <v/>
      </c>
      <c r="AJ894">
        <f>Q894-N894</f>
        <v/>
      </c>
      <c r="AK894">
        <f>IF(AE894=1,MAX(0,N894-Q894),0)</f>
        <v/>
      </c>
      <c r="AL894">
        <f>IF(OR(V894="",V894=0),0,N894/V894)</f>
        <v/>
      </c>
      <c r="AM894">
        <f>IF(OR(V894="",V894=0),0,1)</f>
        <v/>
      </c>
      <c r="AN894">
        <f>IF(OR(E894="",F894=""),0,NETWORKDAYS(E894,F894,Ref!$K$2:$K$42))</f>
        <v/>
      </c>
      <c r="AO894">
        <f>IF(L894="Renewal",1,0)</f>
        <v/>
      </c>
      <c r="AP894">
        <f>AC894*AD894</f>
        <v/>
      </c>
      <c r="AQ894">
        <f>IF(AND(G894&lt;&gt;"",'Historical Score'!$C$6&lt;&gt;""),IF(G894='Historical Score'!$C$6,1,0),0)</f>
        <v/>
      </c>
      <c r="AR894">
        <f>IF(AND(L894&lt;&gt;"",'Historical Score'!$C$5&lt;&gt;""),IF(L894='Historical Score'!$C$5,1,0),0)</f>
        <v/>
      </c>
      <c r="AS894">
        <f>IF(AND(Y894&lt;&gt;"",'Historical Score'!$C$7&lt;&gt;""),IF(Y894='Historical Score'!$C$7,1,0),0)</f>
        <v/>
      </c>
      <c r="AT894">
        <f>IF(AND(K894&lt;&gt;"",'Historical Score'!$C$8&lt;&gt;""),IF(K894='Historical Score'!$C$8,1,0),0)</f>
        <v/>
      </c>
      <c r="AU894">
        <f>IF(AND(J894&lt;&gt;"",'Historical Score'!$C$9&lt;&gt;""),IF(J894='Historical Score'!$C$9,1,0),0)</f>
        <v/>
      </c>
      <c r="AV894">
        <f>AR894*AS894*AQ894</f>
        <v/>
      </c>
      <c r="AW894">
        <f>AR894*AT894*AQ894</f>
        <v/>
      </c>
      <c r="AX894">
        <f>AR894*AS894</f>
        <v/>
      </c>
      <c r="AY894">
        <f>AR894*AT894</f>
        <v/>
      </c>
      <c r="AZ894">
        <f>AR894*AQ894</f>
        <v/>
      </c>
      <c r="BA894">
        <f>AR894</f>
        <v/>
      </c>
      <c r="BB894">
        <f>1</f>
        <v/>
      </c>
      <c r="BC894">
        <f>IF(AV894=1,1,IF(AW894=1,2,IF(AX894=1,3,IF(AY894=1,4,IF(AZ894=1,5,IF(BA894=1,6,7))))))</f>
        <v/>
      </c>
      <c r="BD894">
        <f>IF(AD894=1,CHOOSE('Historical Score'!$C$29,AV894,AW894,AX894,AY894,AZ894,BA894,BB894),0)</f>
        <v/>
      </c>
      <c r="BE894">
        <f>IF(BD894=1,COUNTIF($BD$2:BD894,1),"")</f>
        <v/>
      </c>
    </row>
    <row r="895">
      <c r="A895" t="inlineStr">
        <is>
          <t>5674184124</t>
        </is>
      </c>
      <c r="B895" t="inlineStr">
        <is>
          <t>FLOW KING ROOTER DBA  FLOW KING ROOTER PLUMBING DBA FLOW KING SERVICES LLC</t>
        </is>
      </c>
      <c r="C895" t="inlineStr">
        <is>
          <t>FLOW KING ROOTER LLC</t>
        </is>
      </c>
      <c r="D895" t="inlineStr">
        <is>
          <t>Open</t>
        </is>
      </c>
      <c r="E895" s="297" t="n">
        <v>46163</v>
      </c>
      <c r="F895" s="297" t="n">
        <v>46253</v>
      </c>
      <c r="G895" t="n">
        <v>2</v>
      </c>
      <c r="H895" t="inlineStr">
        <is>
          <t>1711</t>
        </is>
      </c>
      <c r="I895" t="inlineStr">
        <is>
          <t>17</t>
        </is>
      </c>
      <c r="J895" t="inlineStr">
        <is>
          <t>MO</t>
        </is>
      </c>
      <c r="K895" t="inlineStr">
        <is>
          <t>PMF</t>
        </is>
      </c>
      <c r="L895" t="inlineStr">
        <is>
          <t>New Deal</t>
        </is>
      </c>
      <c r="M895" s="298" t="n">
        <v>1.45</v>
      </c>
      <c r="N895" s="299" t="n">
        <v>75000</v>
      </c>
      <c r="O895" s="299" t="n">
        <v>9000</v>
      </c>
      <c r="P895" s="299" t="n">
        <v>108750</v>
      </c>
      <c r="Q895" s="299" t="n">
        <v>38518.74</v>
      </c>
      <c r="R895" s="299" t="n">
        <v>70231.25999999999</v>
      </c>
      <c r="S895" s="300" t="n">
        <v>0.354195310344828</v>
      </c>
      <c r="T895" t="n">
        <v>5.738</v>
      </c>
      <c r="U895" t="n">
        <v>0</v>
      </c>
      <c r="V895" t="n">
        <v>217444.77</v>
      </c>
      <c r="W895" s="300" t="n">
        <v>0.06</v>
      </c>
      <c r="X895" s="297" t="n">
        <v>42856</v>
      </c>
      <c r="Y895">
        <f>IF(I895="","No SIC",IFERROR(VLOOKUP(I895,Ref!$A$2:$B$65,2,FALSE),"Unclassified"))</f>
        <v/>
      </c>
      <c r="Z895">
        <f>IF(T895="","",IF(T895&lt;12,"Daily","Weekly"))</f>
        <v/>
      </c>
      <c r="AA895">
        <f>IF(T895="",0,IF(T895&lt;12,T895*Controls!$B$29,T895*5))</f>
        <v/>
      </c>
      <c r="AB895">
        <f>IF(E895="",0,NETWORKDAYS(E895,Controls!$B$36,Ref!$K$2:$K$42))</f>
        <v/>
      </c>
      <c r="AC895">
        <f>IF(AND(AA895&gt;0,AB895&gt;=Controls!$B$39*AA895),1,0)</f>
        <v/>
      </c>
      <c r="AD895">
        <f>IF(AND(E895&lt;&gt;"",E895&gt;=Controls!$B$37,E895&lt;=Controls!$B$38),1,0)</f>
        <v/>
      </c>
      <c r="AE895">
        <f>IF(IFERROR(VLOOKUP(D895,Controls!$A$64:$E$74,2,FALSE),"No")="Yes",1,0)</f>
        <v/>
      </c>
      <c r="AF895">
        <f>IF(IFERROR(VLOOKUP(D895,Controls!$A$64:$E$74,3,FALSE),"No")="Yes",1,0)</f>
        <v/>
      </c>
      <c r="AG895">
        <f>IF(IFERROR(VLOOKUP(D895,Controls!$A$64:$E$74,4,FALSE),"No")="Yes",1,0)</f>
        <v/>
      </c>
      <c r="AH895">
        <f>IF(IFERROR(VLOOKUP(D895,Controls!$A$64:$E$74,5,FALSE),"No")="Yes",1,0)</f>
        <v/>
      </c>
      <c r="AI895">
        <f>IF(ISNUMBER(MATCH(D895,Controls!$A$64:$A$74,0)),1,0)</f>
        <v/>
      </c>
      <c r="AJ895">
        <f>Q895-N895</f>
        <v/>
      </c>
      <c r="AK895">
        <f>IF(AE895=1,MAX(0,N895-Q895),0)</f>
        <v/>
      </c>
      <c r="AL895">
        <f>IF(OR(V895="",V895=0),0,N895/V895)</f>
        <v/>
      </c>
      <c r="AM895">
        <f>IF(OR(V895="",V895=0),0,1)</f>
        <v/>
      </c>
      <c r="AN895">
        <f>IF(OR(E895="",F895=""),0,NETWORKDAYS(E895,F895,Ref!$K$2:$K$42))</f>
        <v/>
      </c>
      <c r="AO895">
        <f>IF(L895="Renewal",1,0)</f>
        <v/>
      </c>
      <c r="AP895">
        <f>AC895*AD895</f>
        <v/>
      </c>
      <c r="AQ895">
        <f>IF(AND(G895&lt;&gt;"",'Historical Score'!$C$6&lt;&gt;""),IF(G895='Historical Score'!$C$6,1,0),0)</f>
        <v/>
      </c>
      <c r="AR895">
        <f>IF(AND(L895&lt;&gt;"",'Historical Score'!$C$5&lt;&gt;""),IF(L895='Historical Score'!$C$5,1,0),0)</f>
        <v/>
      </c>
      <c r="AS895">
        <f>IF(AND(Y895&lt;&gt;"",'Historical Score'!$C$7&lt;&gt;""),IF(Y895='Historical Score'!$C$7,1,0),0)</f>
        <v/>
      </c>
      <c r="AT895">
        <f>IF(AND(K895&lt;&gt;"",'Historical Score'!$C$8&lt;&gt;""),IF(K895='Historical Score'!$C$8,1,0),0)</f>
        <v/>
      </c>
      <c r="AU895">
        <f>IF(AND(J895&lt;&gt;"",'Historical Score'!$C$9&lt;&gt;""),IF(J895='Historical Score'!$C$9,1,0),0)</f>
        <v/>
      </c>
      <c r="AV895">
        <f>AR895*AS895*AQ895</f>
        <v/>
      </c>
      <c r="AW895">
        <f>AR895*AT895*AQ895</f>
        <v/>
      </c>
      <c r="AX895">
        <f>AR895*AS895</f>
        <v/>
      </c>
      <c r="AY895">
        <f>AR895*AT895</f>
        <v/>
      </c>
      <c r="AZ895">
        <f>AR895*AQ895</f>
        <v/>
      </c>
      <c r="BA895">
        <f>AR895</f>
        <v/>
      </c>
      <c r="BB895">
        <f>1</f>
        <v/>
      </c>
      <c r="BC895">
        <f>IF(AV895=1,1,IF(AW895=1,2,IF(AX895=1,3,IF(AY895=1,4,IF(AZ895=1,5,IF(BA895=1,6,7))))))</f>
        <v/>
      </c>
      <c r="BD895">
        <f>IF(AD895=1,CHOOSE('Historical Score'!$C$29,AV895,AW895,AX895,AY895,AZ895,BA895,BB895),0)</f>
        <v/>
      </c>
      <c r="BE895">
        <f>IF(BD895=1,COUNTIF($BD$2:BD895,1),"")</f>
        <v/>
      </c>
    </row>
    <row r="896">
      <c r="A896" t="inlineStr">
        <is>
          <t>5674184146</t>
        </is>
      </c>
      <c r="B896" t="inlineStr">
        <is>
          <t>E-Z ELECTRIC LLC</t>
        </is>
      </c>
      <c r="C896" t="inlineStr">
        <is>
          <t>E-Z ELECTRIC LLC</t>
        </is>
      </c>
      <c r="D896" t="inlineStr">
        <is>
          <t>Open</t>
        </is>
      </c>
      <c r="E896" s="297" t="n">
        <v>46164</v>
      </c>
      <c r="F896" s="297" t="n">
        <v>46247</v>
      </c>
      <c r="G896" t="n">
        <v>3</v>
      </c>
      <c r="H896" t="inlineStr">
        <is>
          <t>1731</t>
        </is>
      </c>
      <c r="I896" t="inlineStr">
        <is>
          <t>17</t>
        </is>
      </c>
      <c r="J896" t="inlineStr">
        <is>
          <t>OK</t>
        </is>
      </c>
      <c r="K896" t="inlineStr">
        <is>
          <t>United Secured Capital 8</t>
        </is>
      </c>
      <c r="L896" t="inlineStr">
        <is>
          <t>Renewal</t>
        </is>
      </c>
      <c r="M896" s="298" t="n">
        <v>1.49</v>
      </c>
      <c r="N896" s="299" t="n">
        <v>42500</v>
      </c>
      <c r="O896" s="299" t="n">
        <v>5950</v>
      </c>
      <c r="P896" s="299" t="n">
        <v>63325</v>
      </c>
      <c r="Q896" s="299" t="n">
        <v>21762.85</v>
      </c>
      <c r="R896" s="299" t="n">
        <v>41562.15</v>
      </c>
      <c r="S896" s="300" t="n">
        <v>0.343669166995657</v>
      </c>
      <c r="T896" t="n">
        <v>32</v>
      </c>
      <c r="U896" t="n">
        <v>4</v>
      </c>
      <c r="V896" t="n">
        <v>57015.76</v>
      </c>
      <c r="W896" s="300" t="n">
        <v>0.1388</v>
      </c>
      <c r="X896" s="297" t="n">
        <v>44034</v>
      </c>
      <c r="Y896">
        <f>IF(I896="","No SIC",IFERROR(VLOOKUP(I896,Ref!$A$2:$B$65,2,FALSE),"Unclassified"))</f>
        <v/>
      </c>
      <c r="Z896">
        <f>IF(T896="","",IF(T896&lt;12,"Daily","Weekly"))</f>
        <v/>
      </c>
      <c r="AA896">
        <f>IF(T896="",0,IF(T896&lt;12,T896*Controls!$B$29,T896*5))</f>
        <v/>
      </c>
      <c r="AB896">
        <f>IF(E896="",0,NETWORKDAYS(E896,Controls!$B$36,Ref!$K$2:$K$42))</f>
        <v/>
      </c>
      <c r="AC896">
        <f>IF(AND(AA896&gt;0,AB896&gt;=Controls!$B$39*AA896),1,0)</f>
        <v/>
      </c>
      <c r="AD896">
        <f>IF(AND(E896&lt;&gt;"",E896&gt;=Controls!$B$37,E896&lt;=Controls!$B$38),1,0)</f>
        <v/>
      </c>
      <c r="AE896">
        <f>IF(IFERROR(VLOOKUP(D896,Controls!$A$64:$E$74,2,FALSE),"No")="Yes",1,0)</f>
        <v/>
      </c>
      <c r="AF896">
        <f>IF(IFERROR(VLOOKUP(D896,Controls!$A$64:$E$74,3,FALSE),"No")="Yes",1,0)</f>
        <v/>
      </c>
      <c r="AG896">
        <f>IF(IFERROR(VLOOKUP(D896,Controls!$A$64:$E$74,4,FALSE),"No")="Yes",1,0)</f>
        <v/>
      </c>
      <c r="AH896">
        <f>IF(IFERROR(VLOOKUP(D896,Controls!$A$64:$E$74,5,FALSE),"No")="Yes",1,0)</f>
        <v/>
      </c>
      <c r="AI896">
        <f>IF(ISNUMBER(MATCH(D896,Controls!$A$64:$A$74,0)),1,0)</f>
        <v/>
      </c>
      <c r="AJ896">
        <f>Q896-N896</f>
        <v/>
      </c>
      <c r="AK896">
        <f>IF(AE896=1,MAX(0,N896-Q896),0)</f>
        <v/>
      </c>
      <c r="AL896">
        <f>IF(OR(V896="",V896=0),0,N896/V896)</f>
        <v/>
      </c>
      <c r="AM896">
        <f>IF(OR(V896="",V896=0),0,1)</f>
        <v/>
      </c>
      <c r="AN896">
        <f>IF(OR(E896="",F896=""),0,NETWORKDAYS(E896,F896,Ref!$K$2:$K$42))</f>
        <v/>
      </c>
      <c r="AO896">
        <f>IF(L896="Renewal",1,0)</f>
        <v/>
      </c>
      <c r="AP896">
        <f>AC896*AD896</f>
        <v/>
      </c>
      <c r="AQ896">
        <f>IF(AND(G896&lt;&gt;"",'Historical Score'!$C$6&lt;&gt;""),IF(G896='Historical Score'!$C$6,1,0),0)</f>
        <v/>
      </c>
      <c r="AR896">
        <f>IF(AND(L896&lt;&gt;"",'Historical Score'!$C$5&lt;&gt;""),IF(L896='Historical Score'!$C$5,1,0),0)</f>
        <v/>
      </c>
      <c r="AS896">
        <f>IF(AND(Y896&lt;&gt;"",'Historical Score'!$C$7&lt;&gt;""),IF(Y896='Historical Score'!$C$7,1,0),0)</f>
        <v/>
      </c>
      <c r="AT896">
        <f>IF(AND(K896&lt;&gt;"",'Historical Score'!$C$8&lt;&gt;""),IF(K896='Historical Score'!$C$8,1,0),0)</f>
        <v/>
      </c>
      <c r="AU896">
        <f>IF(AND(J896&lt;&gt;"",'Historical Score'!$C$9&lt;&gt;""),IF(J896='Historical Score'!$C$9,1,0),0)</f>
        <v/>
      </c>
      <c r="AV896">
        <f>AR896*AS896*AQ896</f>
        <v/>
      </c>
      <c r="AW896">
        <f>AR896*AT896*AQ896</f>
        <v/>
      </c>
      <c r="AX896">
        <f>AR896*AS896</f>
        <v/>
      </c>
      <c r="AY896">
        <f>AR896*AT896</f>
        <v/>
      </c>
      <c r="AZ896">
        <f>AR896*AQ896</f>
        <v/>
      </c>
      <c r="BA896">
        <f>AR896</f>
        <v/>
      </c>
      <c r="BB896">
        <f>1</f>
        <v/>
      </c>
      <c r="BC896">
        <f>IF(AV896=1,1,IF(AW896=1,2,IF(AX896=1,3,IF(AY896=1,4,IF(AZ896=1,5,IF(BA896=1,6,7))))))</f>
        <v/>
      </c>
      <c r="BD896">
        <f>IF(AD896=1,CHOOSE('Historical Score'!$C$29,AV896,AW896,AX896,AY896,AZ896,BA896,BB896),0)</f>
        <v/>
      </c>
      <c r="BE896">
        <f>IF(BD896=1,COUNTIF($BD$2:BD896,1),"")</f>
        <v/>
      </c>
    </row>
    <row r="897">
      <c r="A897" t="inlineStr">
        <is>
          <t>5674184158</t>
        </is>
      </c>
      <c r="B897" t="inlineStr">
        <is>
          <t>The Market by Jennifer's LLC</t>
        </is>
      </c>
      <c r="C897" t="inlineStr">
        <is>
          <t>The Market by Jennifer's LLC</t>
        </is>
      </c>
      <c r="D897" t="inlineStr">
        <is>
          <t>Open</t>
        </is>
      </c>
      <c r="E897" s="297" t="n">
        <v>46164</v>
      </c>
      <c r="F897" s="297" t="n">
        <v>46248</v>
      </c>
      <c r="G897" t="n">
        <v>3</v>
      </c>
      <c r="H897" t="inlineStr">
        <is>
          <t>5812</t>
        </is>
      </c>
      <c r="I897" t="inlineStr">
        <is>
          <t>58</t>
        </is>
      </c>
      <c r="J897" t="inlineStr">
        <is>
          <t>AZ</t>
        </is>
      </c>
      <c r="K897" t="inlineStr">
        <is>
          <t>The Funding Family</t>
        </is>
      </c>
      <c r="L897" t="inlineStr">
        <is>
          <t>New Deal</t>
        </is>
      </c>
      <c r="M897" s="298" t="n">
        <v>1.47</v>
      </c>
      <c r="N897" s="299" t="n">
        <v>30000</v>
      </c>
      <c r="O897" s="299" t="n">
        <v>3900</v>
      </c>
      <c r="P897" s="299" t="n">
        <v>44100</v>
      </c>
      <c r="Q897" s="299" t="n">
        <v>16400.58</v>
      </c>
      <c r="R897" s="299" t="n">
        <v>27699.42</v>
      </c>
      <c r="S897" s="300" t="n">
        <v>0.371895238095238</v>
      </c>
      <c r="T897" t="n">
        <v>20</v>
      </c>
      <c r="U897" t="n">
        <v>2</v>
      </c>
      <c r="V897" t="n">
        <v>85000</v>
      </c>
      <c r="W897" s="300" t="n">
        <v>0.0818</v>
      </c>
      <c r="X897" s="297" t="n">
        <v>35753</v>
      </c>
      <c r="Y897">
        <f>IF(I897="","No SIC",IFERROR(VLOOKUP(I897,Ref!$A$2:$B$65,2,FALSE),"Unclassified"))</f>
        <v/>
      </c>
      <c r="Z897">
        <f>IF(T897="","",IF(T897&lt;12,"Daily","Weekly"))</f>
        <v/>
      </c>
      <c r="AA897">
        <f>IF(T897="",0,IF(T897&lt;12,T897*Controls!$B$29,T897*5))</f>
        <v/>
      </c>
      <c r="AB897">
        <f>IF(E897="",0,NETWORKDAYS(E897,Controls!$B$36,Ref!$K$2:$K$42))</f>
        <v/>
      </c>
      <c r="AC897">
        <f>IF(AND(AA897&gt;0,AB897&gt;=Controls!$B$39*AA897),1,0)</f>
        <v/>
      </c>
      <c r="AD897">
        <f>IF(AND(E897&lt;&gt;"",E897&gt;=Controls!$B$37,E897&lt;=Controls!$B$38),1,0)</f>
        <v/>
      </c>
      <c r="AE897">
        <f>IF(IFERROR(VLOOKUP(D897,Controls!$A$64:$E$74,2,FALSE),"No")="Yes",1,0)</f>
        <v/>
      </c>
      <c r="AF897">
        <f>IF(IFERROR(VLOOKUP(D897,Controls!$A$64:$E$74,3,FALSE),"No")="Yes",1,0)</f>
        <v/>
      </c>
      <c r="AG897">
        <f>IF(IFERROR(VLOOKUP(D897,Controls!$A$64:$E$74,4,FALSE),"No")="Yes",1,0)</f>
        <v/>
      </c>
      <c r="AH897">
        <f>IF(IFERROR(VLOOKUP(D897,Controls!$A$64:$E$74,5,FALSE),"No")="Yes",1,0)</f>
        <v/>
      </c>
      <c r="AI897">
        <f>IF(ISNUMBER(MATCH(D897,Controls!$A$64:$A$74,0)),1,0)</f>
        <v/>
      </c>
      <c r="AJ897">
        <f>Q897-N897</f>
        <v/>
      </c>
      <c r="AK897">
        <f>IF(AE897=1,MAX(0,N897-Q897),0)</f>
        <v/>
      </c>
      <c r="AL897">
        <f>IF(OR(V897="",V897=0),0,N897/V897)</f>
        <v/>
      </c>
      <c r="AM897">
        <f>IF(OR(V897="",V897=0),0,1)</f>
        <v/>
      </c>
      <c r="AN897">
        <f>IF(OR(E897="",F897=""),0,NETWORKDAYS(E897,F897,Ref!$K$2:$K$42))</f>
        <v/>
      </c>
      <c r="AO897">
        <f>IF(L897="Renewal",1,0)</f>
        <v/>
      </c>
      <c r="AP897">
        <f>AC897*AD897</f>
        <v/>
      </c>
      <c r="AQ897">
        <f>IF(AND(G897&lt;&gt;"",'Historical Score'!$C$6&lt;&gt;""),IF(G897='Historical Score'!$C$6,1,0),0)</f>
        <v/>
      </c>
      <c r="AR897">
        <f>IF(AND(L897&lt;&gt;"",'Historical Score'!$C$5&lt;&gt;""),IF(L897='Historical Score'!$C$5,1,0),0)</f>
        <v/>
      </c>
      <c r="AS897">
        <f>IF(AND(Y897&lt;&gt;"",'Historical Score'!$C$7&lt;&gt;""),IF(Y897='Historical Score'!$C$7,1,0),0)</f>
        <v/>
      </c>
      <c r="AT897">
        <f>IF(AND(K897&lt;&gt;"",'Historical Score'!$C$8&lt;&gt;""),IF(K897='Historical Score'!$C$8,1,0),0)</f>
        <v/>
      </c>
      <c r="AU897">
        <f>IF(AND(J897&lt;&gt;"",'Historical Score'!$C$9&lt;&gt;""),IF(J897='Historical Score'!$C$9,1,0),0)</f>
        <v/>
      </c>
      <c r="AV897">
        <f>AR897*AS897*AQ897</f>
        <v/>
      </c>
      <c r="AW897">
        <f>AR897*AT897*AQ897</f>
        <v/>
      </c>
      <c r="AX897">
        <f>AR897*AS897</f>
        <v/>
      </c>
      <c r="AY897">
        <f>AR897*AT897</f>
        <v/>
      </c>
      <c r="AZ897">
        <f>AR897*AQ897</f>
        <v/>
      </c>
      <c r="BA897">
        <f>AR897</f>
        <v/>
      </c>
      <c r="BB897">
        <f>1</f>
        <v/>
      </c>
      <c r="BC897">
        <f>IF(AV897=1,1,IF(AW897=1,2,IF(AX897=1,3,IF(AY897=1,4,IF(AZ897=1,5,IF(BA897=1,6,7))))))</f>
        <v/>
      </c>
      <c r="BD897">
        <f>IF(AD897=1,CHOOSE('Historical Score'!$C$29,AV897,AW897,AX897,AY897,AZ897,BA897,BB897),0)</f>
        <v/>
      </c>
      <c r="BE897">
        <f>IF(BD897=1,COUNTIF($BD$2:BD897,1),"")</f>
        <v/>
      </c>
    </row>
    <row r="898">
      <c r="A898" t="inlineStr">
        <is>
          <t>5674184186</t>
        </is>
      </c>
      <c r="B898" t="inlineStr">
        <is>
          <t>h-h transport</t>
        </is>
      </c>
      <c r="C898" t="inlineStr">
        <is>
          <t>H-H transport</t>
        </is>
      </c>
      <c r="D898" t="inlineStr">
        <is>
          <t>Closed</t>
        </is>
      </c>
      <c r="E898" s="297" t="n">
        <v>46168</v>
      </c>
      <c r="F898" s="297" t="n">
        <v>46246</v>
      </c>
      <c r="G898" t="n">
        <v>3</v>
      </c>
      <c r="H898" t="inlineStr">
        <is>
          <t>4212</t>
        </is>
      </c>
      <c r="I898" t="inlineStr">
        <is>
          <t>42</t>
        </is>
      </c>
      <c r="J898" t="inlineStr">
        <is>
          <t>AZ</t>
        </is>
      </c>
      <c r="K898" t="inlineStr">
        <is>
          <t>Westwood</t>
        </is>
      </c>
      <c r="L898" t="inlineStr">
        <is>
          <t>Renewal</t>
        </is>
      </c>
      <c r="M898" s="298" t="n">
        <v>1.49</v>
      </c>
      <c r="N898" s="299" t="n">
        <v>35000</v>
      </c>
      <c r="O898" s="299" t="n">
        <v>4900</v>
      </c>
      <c r="P898" s="299" t="n">
        <v>52150</v>
      </c>
      <c r="Q898" s="299" t="n">
        <v>52150</v>
      </c>
      <c r="R898" s="299" t="n">
        <v>0</v>
      </c>
      <c r="S898" s="300" t="n">
        <v>1</v>
      </c>
      <c r="T898" t="n">
        <v>2.459</v>
      </c>
      <c r="U898" t="n">
        <v>0</v>
      </c>
      <c r="V898" t="n">
        <v>205385.89</v>
      </c>
      <c r="W898" s="300" t="n">
        <v>0.1659</v>
      </c>
      <c r="X898" s="297" t="n">
        <v>44621</v>
      </c>
      <c r="Y898">
        <f>IF(I898="","No SIC",IFERROR(VLOOKUP(I898,Ref!$A$2:$B$65,2,FALSE),"Unclassified"))</f>
        <v/>
      </c>
      <c r="Z898">
        <f>IF(T898="","",IF(T898&lt;12,"Daily","Weekly"))</f>
        <v/>
      </c>
      <c r="AA898">
        <f>IF(T898="",0,IF(T898&lt;12,T898*Controls!$B$29,T898*5))</f>
        <v/>
      </c>
      <c r="AB898">
        <f>IF(E898="",0,NETWORKDAYS(E898,Controls!$B$36,Ref!$K$2:$K$42))</f>
        <v/>
      </c>
      <c r="AC898">
        <f>IF(AND(AA898&gt;0,AB898&gt;=Controls!$B$39*AA898),1,0)</f>
        <v/>
      </c>
      <c r="AD898">
        <f>IF(AND(E898&lt;&gt;"",E898&gt;=Controls!$B$37,E898&lt;=Controls!$B$38),1,0)</f>
        <v/>
      </c>
      <c r="AE898">
        <f>IF(IFERROR(VLOOKUP(D898,Controls!$A$64:$E$74,2,FALSE),"No")="Yes",1,0)</f>
        <v/>
      </c>
      <c r="AF898">
        <f>IF(IFERROR(VLOOKUP(D898,Controls!$A$64:$E$74,3,FALSE),"No")="Yes",1,0)</f>
        <v/>
      </c>
      <c r="AG898">
        <f>IF(IFERROR(VLOOKUP(D898,Controls!$A$64:$E$74,4,FALSE),"No")="Yes",1,0)</f>
        <v/>
      </c>
      <c r="AH898">
        <f>IF(IFERROR(VLOOKUP(D898,Controls!$A$64:$E$74,5,FALSE),"No")="Yes",1,0)</f>
        <v/>
      </c>
      <c r="AI898">
        <f>IF(ISNUMBER(MATCH(D898,Controls!$A$64:$A$74,0)),1,0)</f>
        <v/>
      </c>
      <c r="AJ898">
        <f>Q898-N898</f>
        <v/>
      </c>
      <c r="AK898">
        <f>IF(AE898=1,MAX(0,N898-Q898),0)</f>
        <v/>
      </c>
      <c r="AL898">
        <f>IF(OR(V898="",V898=0),0,N898/V898)</f>
        <v/>
      </c>
      <c r="AM898">
        <f>IF(OR(V898="",V898=0),0,1)</f>
        <v/>
      </c>
      <c r="AN898">
        <f>IF(OR(E898="",F898=""),0,NETWORKDAYS(E898,F898,Ref!$K$2:$K$42))</f>
        <v/>
      </c>
      <c r="AO898">
        <f>IF(L898="Renewal",1,0)</f>
        <v/>
      </c>
      <c r="AP898">
        <f>AC898*AD898</f>
        <v/>
      </c>
      <c r="AQ898">
        <f>IF(AND(G898&lt;&gt;"",'Historical Score'!$C$6&lt;&gt;""),IF(G898='Historical Score'!$C$6,1,0),0)</f>
        <v/>
      </c>
      <c r="AR898">
        <f>IF(AND(L898&lt;&gt;"",'Historical Score'!$C$5&lt;&gt;""),IF(L898='Historical Score'!$C$5,1,0),0)</f>
        <v/>
      </c>
      <c r="AS898">
        <f>IF(AND(Y898&lt;&gt;"",'Historical Score'!$C$7&lt;&gt;""),IF(Y898='Historical Score'!$C$7,1,0),0)</f>
        <v/>
      </c>
      <c r="AT898">
        <f>IF(AND(K898&lt;&gt;"",'Historical Score'!$C$8&lt;&gt;""),IF(K898='Historical Score'!$C$8,1,0),0)</f>
        <v/>
      </c>
      <c r="AU898">
        <f>IF(AND(J898&lt;&gt;"",'Historical Score'!$C$9&lt;&gt;""),IF(J898='Historical Score'!$C$9,1,0),0)</f>
        <v/>
      </c>
      <c r="AV898">
        <f>AR898*AS898*AQ898</f>
        <v/>
      </c>
      <c r="AW898">
        <f>AR898*AT898*AQ898</f>
        <v/>
      </c>
      <c r="AX898">
        <f>AR898*AS898</f>
        <v/>
      </c>
      <c r="AY898">
        <f>AR898*AT898</f>
        <v/>
      </c>
      <c r="AZ898">
        <f>AR898*AQ898</f>
        <v/>
      </c>
      <c r="BA898">
        <f>AR898</f>
        <v/>
      </c>
      <c r="BB898">
        <f>1</f>
        <v/>
      </c>
      <c r="BC898">
        <f>IF(AV898=1,1,IF(AW898=1,2,IF(AX898=1,3,IF(AY898=1,4,IF(AZ898=1,5,IF(BA898=1,6,7))))))</f>
        <v/>
      </c>
      <c r="BD898">
        <f>IF(AD898=1,CHOOSE('Historical Score'!$C$29,AV898,AW898,AX898,AY898,AZ898,BA898,BB898),0)</f>
        <v/>
      </c>
      <c r="BE898">
        <f>IF(BD898=1,COUNTIF($BD$2:BD898,1),"")</f>
        <v/>
      </c>
    </row>
    <row r="899">
      <c r="A899" t="inlineStr">
        <is>
          <t>5674184207</t>
        </is>
      </c>
      <c r="B899" t="inlineStr">
        <is>
          <t>METAL AND MATH LLC</t>
        </is>
      </c>
      <c r="C899" t="inlineStr">
        <is>
          <t>METAL AND MATH LLC</t>
        </is>
      </c>
      <c r="D899" t="inlineStr">
        <is>
          <t>Legal</t>
        </is>
      </c>
      <c r="E899" s="297" t="n">
        <v>46168</v>
      </c>
      <c r="F899" s="297" t="n">
        <v>46220</v>
      </c>
      <c r="G899" t="n">
        <v>5</v>
      </c>
      <c r="H899" t="inlineStr">
        <is>
          <t>1761</t>
        </is>
      </c>
      <c r="I899" t="inlineStr">
        <is>
          <t>17</t>
        </is>
      </c>
      <c r="J899" t="inlineStr">
        <is>
          <t>KY</t>
        </is>
      </c>
      <c r="K899" t="inlineStr">
        <is>
          <t>United Secured Capital 8</t>
        </is>
      </c>
      <c r="L899" t="inlineStr">
        <is>
          <t>Renewal</t>
        </is>
      </c>
      <c r="M899" s="298" t="n">
        <v>1.49</v>
      </c>
      <c r="N899" s="299" t="n">
        <v>25000</v>
      </c>
      <c r="O899" s="299" t="n">
        <v>3500</v>
      </c>
      <c r="P899" s="299" t="n">
        <v>37250</v>
      </c>
      <c r="Q899" s="299" t="n">
        <v>1330.88</v>
      </c>
      <c r="R899" s="299" t="n">
        <v>35919.12</v>
      </c>
      <c r="S899" s="300" t="n">
        <v>0.035728322147651</v>
      </c>
      <c r="T899" t="n">
        <v>28</v>
      </c>
      <c r="U899" t="n">
        <v>7</v>
      </c>
      <c r="V899" t="n">
        <v>65000</v>
      </c>
      <c r="W899" s="300" t="n">
        <v>0.1183</v>
      </c>
      <c r="X899" s="297" t="n"/>
      <c r="Y899">
        <f>IF(I899="","No SIC",IFERROR(VLOOKUP(I899,Ref!$A$2:$B$65,2,FALSE),"Unclassified"))</f>
        <v/>
      </c>
      <c r="Z899">
        <f>IF(T899="","",IF(T899&lt;12,"Daily","Weekly"))</f>
        <v/>
      </c>
      <c r="AA899">
        <f>IF(T899="",0,IF(T899&lt;12,T899*Controls!$B$29,T899*5))</f>
        <v/>
      </c>
      <c r="AB899">
        <f>IF(E899="",0,NETWORKDAYS(E899,Controls!$B$36,Ref!$K$2:$K$42))</f>
        <v/>
      </c>
      <c r="AC899">
        <f>IF(AND(AA899&gt;0,AB899&gt;=Controls!$B$39*AA899),1,0)</f>
        <v/>
      </c>
      <c r="AD899">
        <f>IF(AND(E899&lt;&gt;"",E899&gt;=Controls!$B$37,E899&lt;=Controls!$B$38),1,0)</f>
        <v/>
      </c>
      <c r="AE899">
        <f>IF(IFERROR(VLOOKUP(D899,Controls!$A$64:$E$74,2,FALSE),"No")="Yes",1,0)</f>
        <v/>
      </c>
      <c r="AF899">
        <f>IF(IFERROR(VLOOKUP(D899,Controls!$A$64:$E$74,3,FALSE),"No")="Yes",1,0)</f>
        <v/>
      </c>
      <c r="AG899">
        <f>IF(IFERROR(VLOOKUP(D899,Controls!$A$64:$E$74,4,FALSE),"No")="Yes",1,0)</f>
        <v/>
      </c>
      <c r="AH899">
        <f>IF(IFERROR(VLOOKUP(D899,Controls!$A$64:$E$74,5,FALSE),"No")="Yes",1,0)</f>
        <v/>
      </c>
      <c r="AI899">
        <f>IF(ISNUMBER(MATCH(D899,Controls!$A$64:$A$74,0)),1,0)</f>
        <v/>
      </c>
      <c r="AJ899">
        <f>Q899-N899</f>
        <v/>
      </c>
      <c r="AK899">
        <f>IF(AE899=1,MAX(0,N899-Q899),0)</f>
        <v/>
      </c>
      <c r="AL899">
        <f>IF(OR(V899="",V899=0),0,N899/V899)</f>
        <v/>
      </c>
      <c r="AM899">
        <f>IF(OR(V899="",V899=0),0,1)</f>
        <v/>
      </c>
      <c r="AN899">
        <f>IF(OR(E899="",F899=""),0,NETWORKDAYS(E899,F899,Ref!$K$2:$K$42))</f>
        <v/>
      </c>
      <c r="AO899">
        <f>IF(L899="Renewal",1,0)</f>
        <v/>
      </c>
      <c r="AP899">
        <f>AC899*AD899</f>
        <v/>
      </c>
      <c r="AQ899">
        <f>IF(AND(G899&lt;&gt;"",'Historical Score'!$C$6&lt;&gt;""),IF(G899='Historical Score'!$C$6,1,0),0)</f>
        <v/>
      </c>
      <c r="AR899">
        <f>IF(AND(L899&lt;&gt;"",'Historical Score'!$C$5&lt;&gt;""),IF(L899='Historical Score'!$C$5,1,0),0)</f>
        <v/>
      </c>
      <c r="AS899">
        <f>IF(AND(Y899&lt;&gt;"",'Historical Score'!$C$7&lt;&gt;""),IF(Y899='Historical Score'!$C$7,1,0),0)</f>
        <v/>
      </c>
      <c r="AT899">
        <f>IF(AND(K899&lt;&gt;"",'Historical Score'!$C$8&lt;&gt;""),IF(K899='Historical Score'!$C$8,1,0),0)</f>
        <v/>
      </c>
      <c r="AU899">
        <f>IF(AND(J899&lt;&gt;"",'Historical Score'!$C$9&lt;&gt;""),IF(J899='Historical Score'!$C$9,1,0),0)</f>
        <v/>
      </c>
      <c r="AV899">
        <f>AR899*AS899*AQ899</f>
        <v/>
      </c>
      <c r="AW899">
        <f>AR899*AT899*AQ899</f>
        <v/>
      </c>
      <c r="AX899">
        <f>AR899*AS899</f>
        <v/>
      </c>
      <c r="AY899">
        <f>AR899*AT899</f>
        <v/>
      </c>
      <c r="AZ899">
        <f>AR899*AQ899</f>
        <v/>
      </c>
      <c r="BA899">
        <f>AR899</f>
        <v/>
      </c>
      <c r="BB899">
        <f>1</f>
        <v/>
      </c>
      <c r="BC899">
        <f>IF(AV899=1,1,IF(AW899=1,2,IF(AX899=1,3,IF(AY899=1,4,IF(AZ899=1,5,IF(BA899=1,6,7))))))</f>
        <v/>
      </c>
      <c r="BD899">
        <f>IF(AD899=1,CHOOSE('Historical Score'!$C$29,AV899,AW899,AX899,AY899,AZ899,BA899,BB899),0)</f>
        <v/>
      </c>
      <c r="BE899">
        <f>IF(BD899=1,COUNTIF($BD$2:BD899,1),"")</f>
        <v/>
      </c>
    </row>
    <row r="900">
      <c r="A900" t="inlineStr">
        <is>
          <t>5674184225</t>
        </is>
      </c>
      <c r="B900" t="inlineStr">
        <is>
          <t>JJ MUTTS W&amp;S</t>
        </is>
      </c>
      <c r="C900" t="inlineStr">
        <is>
          <t>JJ MUTTS W&amp;S</t>
        </is>
      </c>
      <c r="D900" t="inlineStr">
        <is>
          <t>Open</t>
        </is>
      </c>
      <c r="E900" s="297" t="n">
        <v>46168</v>
      </c>
      <c r="F900" s="297" t="n">
        <v>46253</v>
      </c>
      <c r="G900" t="n">
        <v>3</v>
      </c>
      <c r="H900" t="inlineStr">
        <is>
          <t>5999</t>
        </is>
      </c>
      <c r="I900" t="inlineStr">
        <is>
          <t>59</t>
        </is>
      </c>
      <c r="J900" t="inlineStr">
        <is>
          <t>DC</t>
        </is>
      </c>
      <c r="K900" t="inlineStr">
        <is>
          <t>Mills  funding group</t>
        </is>
      </c>
      <c r="L900" t="inlineStr">
        <is>
          <t>Renewal</t>
        </is>
      </c>
      <c r="M900" s="298" t="n">
        <v>1.37</v>
      </c>
      <c r="N900" s="299" t="n">
        <v>25500</v>
      </c>
      <c r="O900" s="299" t="n">
        <v>2040</v>
      </c>
      <c r="P900" s="299" t="n">
        <v>34935</v>
      </c>
      <c r="Q900" s="299" t="n">
        <v>16605.81</v>
      </c>
      <c r="R900" s="299" t="n">
        <v>18329.19</v>
      </c>
      <c r="S900" s="300" t="n">
        <v>0.475334478316874</v>
      </c>
      <c r="T900" t="n">
        <v>3.934</v>
      </c>
      <c r="U900" t="n">
        <v>1</v>
      </c>
      <c r="V900" t="n">
        <v>152565.23</v>
      </c>
      <c r="W900" s="300" t="n">
        <v>0.0401</v>
      </c>
      <c r="X900" s="297" t="n">
        <v>45108</v>
      </c>
      <c r="Y900">
        <f>IF(I900="","No SIC",IFERROR(VLOOKUP(I900,Ref!$A$2:$B$65,2,FALSE),"Unclassified"))</f>
        <v/>
      </c>
      <c r="Z900">
        <f>IF(T900="","",IF(T900&lt;12,"Daily","Weekly"))</f>
        <v/>
      </c>
      <c r="AA900">
        <f>IF(T900="",0,IF(T900&lt;12,T900*Controls!$B$29,T900*5))</f>
        <v/>
      </c>
      <c r="AB900">
        <f>IF(E900="",0,NETWORKDAYS(E900,Controls!$B$36,Ref!$K$2:$K$42))</f>
        <v/>
      </c>
      <c r="AC900">
        <f>IF(AND(AA900&gt;0,AB900&gt;=Controls!$B$39*AA900),1,0)</f>
        <v/>
      </c>
      <c r="AD900">
        <f>IF(AND(E900&lt;&gt;"",E900&gt;=Controls!$B$37,E900&lt;=Controls!$B$38),1,0)</f>
        <v/>
      </c>
      <c r="AE900">
        <f>IF(IFERROR(VLOOKUP(D900,Controls!$A$64:$E$74,2,FALSE),"No")="Yes",1,0)</f>
        <v/>
      </c>
      <c r="AF900">
        <f>IF(IFERROR(VLOOKUP(D900,Controls!$A$64:$E$74,3,FALSE),"No")="Yes",1,0)</f>
        <v/>
      </c>
      <c r="AG900">
        <f>IF(IFERROR(VLOOKUP(D900,Controls!$A$64:$E$74,4,FALSE),"No")="Yes",1,0)</f>
        <v/>
      </c>
      <c r="AH900">
        <f>IF(IFERROR(VLOOKUP(D900,Controls!$A$64:$E$74,5,FALSE),"No")="Yes",1,0)</f>
        <v/>
      </c>
      <c r="AI900">
        <f>IF(ISNUMBER(MATCH(D900,Controls!$A$64:$A$74,0)),1,0)</f>
        <v/>
      </c>
      <c r="AJ900">
        <f>Q900-N900</f>
        <v/>
      </c>
      <c r="AK900">
        <f>IF(AE900=1,MAX(0,N900-Q900),0)</f>
        <v/>
      </c>
      <c r="AL900">
        <f>IF(OR(V900="",V900=0),0,N900/V900)</f>
        <v/>
      </c>
      <c r="AM900">
        <f>IF(OR(V900="",V900=0),0,1)</f>
        <v/>
      </c>
      <c r="AN900">
        <f>IF(OR(E900="",F900=""),0,NETWORKDAYS(E900,F900,Ref!$K$2:$K$42))</f>
        <v/>
      </c>
      <c r="AO900">
        <f>IF(L900="Renewal",1,0)</f>
        <v/>
      </c>
      <c r="AP900">
        <f>AC900*AD900</f>
        <v/>
      </c>
      <c r="AQ900">
        <f>IF(AND(G900&lt;&gt;"",'Historical Score'!$C$6&lt;&gt;""),IF(G900='Historical Score'!$C$6,1,0),0)</f>
        <v/>
      </c>
      <c r="AR900">
        <f>IF(AND(L900&lt;&gt;"",'Historical Score'!$C$5&lt;&gt;""),IF(L900='Historical Score'!$C$5,1,0),0)</f>
        <v/>
      </c>
      <c r="AS900">
        <f>IF(AND(Y900&lt;&gt;"",'Historical Score'!$C$7&lt;&gt;""),IF(Y900='Historical Score'!$C$7,1,0),0)</f>
        <v/>
      </c>
      <c r="AT900">
        <f>IF(AND(K900&lt;&gt;"",'Historical Score'!$C$8&lt;&gt;""),IF(K900='Historical Score'!$C$8,1,0),0)</f>
        <v/>
      </c>
      <c r="AU900">
        <f>IF(AND(J900&lt;&gt;"",'Historical Score'!$C$9&lt;&gt;""),IF(J900='Historical Score'!$C$9,1,0),0)</f>
        <v/>
      </c>
      <c r="AV900">
        <f>AR900*AS900*AQ900</f>
        <v/>
      </c>
      <c r="AW900">
        <f>AR900*AT900*AQ900</f>
        <v/>
      </c>
      <c r="AX900">
        <f>AR900*AS900</f>
        <v/>
      </c>
      <c r="AY900">
        <f>AR900*AT900</f>
        <v/>
      </c>
      <c r="AZ900">
        <f>AR900*AQ900</f>
        <v/>
      </c>
      <c r="BA900">
        <f>AR900</f>
        <v/>
      </c>
      <c r="BB900">
        <f>1</f>
        <v/>
      </c>
      <c r="BC900">
        <f>IF(AV900=1,1,IF(AW900=1,2,IF(AX900=1,3,IF(AY900=1,4,IF(AZ900=1,5,IF(BA900=1,6,7))))))</f>
        <v/>
      </c>
      <c r="BD900">
        <f>IF(AD900=1,CHOOSE('Historical Score'!$C$29,AV900,AW900,AX900,AY900,AZ900,BA900,BB900),0)</f>
        <v/>
      </c>
      <c r="BE900">
        <f>IF(BD900=1,COUNTIF($BD$2:BD900,1),"")</f>
        <v/>
      </c>
    </row>
    <row r="901">
      <c r="A901" t="inlineStr">
        <is>
          <t>5674184228</t>
        </is>
      </c>
      <c r="B901" t="inlineStr">
        <is>
          <t>Medina And Associates PC</t>
        </is>
      </c>
      <c r="C901" t="inlineStr">
        <is>
          <t>Medina And Associates PC</t>
        </is>
      </c>
      <c r="D901" t="inlineStr">
        <is>
          <t>Open</t>
        </is>
      </c>
      <c r="E901" s="297" t="n">
        <v>46168</v>
      </c>
      <c r="F901" s="297" t="n">
        <v>46252</v>
      </c>
      <c r="G901" t="n">
        <v>3</v>
      </c>
      <c r="H901" t="inlineStr">
        <is>
          <t>8111</t>
        </is>
      </c>
      <c r="I901" t="inlineStr">
        <is>
          <t>81</t>
        </is>
      </c>
      <c r="J901" t="inlineStr">
        <is>
          <t>MD</t>
        </is>
      </c>
      <c r="K901" t="inlineStr">
        <is>
          <t>Premium Capital (AMRK)</t>
        </is>
      </c>
      <c r="L901" t="inlineStr">
        <is>
          <t>Renewal</t>
        </is>
      </c>
      <c r="M901" s="298" t="n">
        <v>1.49</v>
      </c>
      <c r="N901" s="299" t="n">
        <v>65000</v>
      </c>
      <c r="O901" s="299" t="n">
        <v>9100</v>
      </c>
      <c r="P901" s="299" t="n">
        <v>96850</v>
      </c>
      <c r="Q901" s="299" t="n">
        <v>30258</v>
      </c>
      <c r="R901" s="299" t="n">
        <v>66592</v>
      </c>
      <c r="S901" s="300" t="n">
        <v>0.312421270005163</v>
      </c>
      <c r="T901" t="n">
        <v>32</v>
      </c>
      <c r="U901" t="n">
        <v>2</v>
      </c>
      <c r="V901" t="n">
        <v>122458.04</v>
      </c>
      <c r="W901" s="300" t="n">
        <v>0.1041</v>
      </c>
      <c r="X901" s="297" t="n">
        <v>43144</v>
      </c>
      <c r="Y901">
        <f>IF(I901="","No SIC",IFERROR(VLOOKUP(I901,Ref!$A$2:$B$65,2,FALSE),"Unclassified"))</f>
        <v/>
      </c>
      <c r="Z901">
        <f>IF(T901="","",IF(T901&lt;12,"Daily","Weekly"))</f>
        <v/>
      </c>
      <c r="AA901">
        <f>IF(T901="",0,IF(T901&lt;12,T901*Controls!$B$29,T901*5))</f>
        <v/>
      </c>
      <c r="AB901">
        <f>IF(E901="",0,NETWORKDAYS(E901,Controls!$B$36,Ref!$K$2:$K$42))</f>
        <v/>
      </c>
      <c r="AC901">
        <f>IF(AND(AA901&gt;0,AB901&gt;=Controls!$B$39*AA901),1,0)</f>
        <v/>
      </c>
      <c r="AD901">
        <f>IF(AND(E901&lt;&gt;"",E901&gt;=Controls!$B$37,E901&lt;=Controls!$B$38),1,0)</f>
        <v/>
      </c>
      <c r="AE901">
        <f>IF(IFERROR(VLOOKUP(D901,Controls!$A$64:$E$74,2,FALSE),"No")="Yes",1,0)</f>
        <v/>
      </c>
      <c r="AF901">
        <f>IF(IFERROR(VLOOKUP(D901,Controls!$A$64:$E$74,3,FALSE),"No")="Yes",1,0)</f>
        <v/>
      </c>
      <c r="AG901">
        <f>IF(IFERROR(VLOOKUP(D901,Controls!$A$64:$E$74,4,FALSE),"No")="Yes",1,0)</f>
        <v/>
      </c>
      <c r="AH901">
        <f>IF(IFERROR(VLOOKUP(D901,Controls!$A$64:$E$74,5,FALSE),"No")="Yes",1,0)</f>
        <v/>
      </c>
      <c r="AI901">
        <f>IF(ISNUMBER(MATCH(D901,Controls!$A$64:$A$74,0)),1,0)</f>
        <v/>
      </c>
      <c r="AJ901">
        <f>Q901-N901</f>
        <v/>
      </c>
      <c r="AK901">
        <f>IF(AE901=1,MAX(0,N901-Q901),0)</f>
        <v/>
      </c>
      <c r="AL901">
        <f>IF(OR(V901="",V901=0),0,N901/V901)</f>
        <v/>
      </c>
      <c r="AM901">
        <f>IF(OR(V901="",V901=0),0,1)</f>
        <v/>
      </c>
      <c r="AN901">
        <f>IF(OR(E901="",F901=""),0,NETWORKDAYS(E901,F901,Ref!$K$2:$K$42))</f>
        <v/>
      </c>
      <c r="AO901">
        <f>IF(L901="Renewal",1,0)</f>
        <v/>
      </c>
      <c r="AP901">
        <f>AC901*AD901</f>
        <v/>
      </c>
      <c r="AQ901">
        <f>IF(AND(G901&lt;&gt;"",'Historical Score'!$C$6&lt;&gt;""),IF(G901='Historical Score'!$C$6,1,0),0)</f>
        <v/>
      </c>
      <c r="AR901">
        <f>IF(AND(L901&lt;&gt;"",'Historical Score'!$C$5&lt;&gt;""),IF(L901='Historical Score'!$C$5,1,0),0)</f>
        <v/>
      </c>
      <c r="AS901">
        <f>IF(AND(Y901&lt;&gt;"",'Historical Score'!$C$7&lt;&gt;""),IF(Y901='Historical Score'!$C$7,1,0),0)</f>
        <v/>
      </c>
      <c r="AT901">
        <f>IF(AND(K901&lt;&gt;"",'Historical Score'!$C$8&lt;&gt;""),IF(K901='Historical Score'!$C$8,1,0),0)</f>
        <v/>
      </c>
      <c r="AU901">
        <f>IF(AND(J901&lt;&gt;"",'Historical Score'!$C$9&lt;&gt;""),IF(J901='Historical Score'!$C$9,1,0),0)</f>
        <v/>
      </c>
      <c r="AV901">
        <f>AR901*AS901*AQ901</f>
        <v/>
      </c>
      <c r="AW901">
        <f>AR901*AT901*AQ901</f>
        <v/>
      </c>
      <c r="AX901">
        <f>AR901*AS901</f>
        <v/>
      </c>
      <c r="AY901">
        <f>AR901*AT901</f>
        <v/>
      </c>
      <c r="AZ901">
        <f>AR901*AQ901</f>
        <v/>
      </c>
      <c r="BA901">
        <f>AR901</f>
        <v/>
      </c>
      <c r="BB901">
        <f>1</f>
        <v/>
      </c>
      <c r="BC901">
        <f>IF(AV901=1,1,IF(AW901=1,2,IF(AX901=1,3,IF(AY901=1,4,IF(AZ901=1,5,IF(BA901=1,6,7))))))</f>
        <v/>
      </c>
      <c r="BD901">
        <f>IF(AD901=1,CHOOSE('Historical Score'!$C$29,AV901,AW901,AX901,AY901,AZ901,BA901,BB901),0)</f>
        <v/>
      </c>
      <c r="BE901">
        <f>IF(BD901=1,COUNTIF($BD$2:BD901,1),"")</f>
        <v/>
      </c>
    </row>
    <row r="902">
      <c r="A902" t="inlineStr">
        <is>
          <t>5674184235</t>
        </is>
      </c>
      <c r="B902" t="inlineStr">
        <is>
          <t>Mully's Pub &amp; Patio</t>
        </is>
      </c>
      <c r="C902" t="inlineStr">
        <is>
          <t>Mulherin Hospitality LLC</t>
        </is>
      </c>
      <c r="D902" t="inlineStr">
        <is>
          <t>Open</t>
        </is>
      </c>
      <c r="E902" s="297" t="n">
        <v>46168</v>
      </c>
      <c r="F902" s="297" t="n">
        <v>46253</v>
      </c>
      <c r="G902" t="n">
        <v>4</v>
      </c>
      <c r="H902" t="inlineStr">
        <is>
          <t>5812</t>
        </is>
      </c>
      <c r="I902" t="inlineStr">
        <is>
          <t>58</t>
        </is>
      </c>
      <c r="J902" t="inlineStr">
        <is>
          <t>MO</t>
        </is>
      </c>
      <c r="K902" t="inlineStr">
        <is>
          <t>United Secured Capital 8</t>
        </is>
      </c>
      <c r="L902" t="inlineStr">
        <is>
          <t>Renewal</t>
        </is>
      </c>
      <c r="M902" s="298" t="n">
        <v>1.49</v>
      </c>
      <c r="N902" s="299" t="n">
        <v>25000</v>
      </c>
      <c r="O902" s="299" t="n">
        <v>3500</v>
      </c>
      <c r="P902" s="299" t="n">
        <v>37250</v>
      </c>
      <c r="Q902" s="299" t="n">
        <v>9466.559999999999</v>
      </c>
      <c r="R902" s="299" t="n">
        <v>27783.44</v>
      </c>
      <c r="S902" s="300" t="n">
        <v>0.254135838926175</v>
      </c>
      <c r="T902" t="n">
        <v>3.934</v>
      </c>
      <c r="U902" t="n">
        <v>19</v>
      </c>
      <c r="V902" t="n">
        <v>51525</v>
      </c>
      <c r="W902" s="300" t="n">
        <v>0.1265</v>
      </c>
      <c r="X902" s="297" t="n">
        <v>45597</v>
      </c>
      <c r="Y902">
        <f>IF(I902="","No SIC",IFERROR(VLOOKUP(I902,Ref!$A$2:$B$65,2,FALSE),"Unclassified"))</f>
        <v/>
      </c>
      <c r="Z902">
        <f>IF(T902="","",IF(T902&lt;12,"Daily","Weekly"))</f>
        <v/>
      </c>
      <c r="AA902">
        <f>IF(T902="",0,IF(T902&lt;12,T902*Controls!$B$29,T902*5))</f>
        <v/>
      </c>
      <c r="AB902">
        <f>IF(E902="",0,NETWORKDAYS(E902,Controls!$B$36,Ref!$K$2:$K$42))</f>
        <v/>
      </c>
      <c r="AC902">
        <f>IF(AND(AA902&gt;0,AB902&gt;=Controls!$B$39*AA902),1,0)</f>
        <v/>
      </c>
      <c r="AD902">
        <f>IF(AND(E902&lt;&gt;"",E902&gt;=Controls!$B$37,E902&lt;=Controls!$B$38),1,0)</f>
        <v/>
      </c>
      <c r="AE902">
        <f>IF(IFERROR(VLOOKUP(D902,Controls!$A$64:$E$74,2,FALSE),"No")="Yes",1,0)</f>
        <v/>
      </c>
      <c r="AF902">
        <f>IF(IFERROR(VLOOKUP(D902,Controls!$A$64:$E$74,3,FALSE),"No")="Yes",1,0)</f>
        <v/>
      </c>
      <c r="AG902">
        <f>IF(IFERROR(VLOOKUP(D902,Controls!$A$64:$E$74,4,FALSE),"No")="Yes",1,0)</f>
        <v/>
      </c>
      <c r="AH902">
        <f>IF(IFERROR(VLOOKUP(D902,Controls!$A$64:$E$74,5,FALSE),"No")="Yes",1,0)</f>
        <v/>
      </c>
      <c r="AI902">
        <f>IF(ISNUMBER(MATCH(D902,Controls!$A$64:$A$74,0)),1,0)</f>
        <v/>
      </c>
      <c r="AJ902">
        <f>Q902-N902</f>
        <v/>
      </c>
      <c r="AK902">
        <f>IF(AE902=1,MAX(0,N902-Q902),0)</f>
        <v/>
      </c>
      <c r="AL902">
        <f>IF(OR(V902="",V902=0),0,N902/V902)</f>
        <v/>
      </c>
      <c r="AM902">
        <f>IF(OR(V902="",V902=0),0,1)</f>
        <v/>
      </c>
      <c r="AN902">
        <f>IF(OR(E902="",F902=""),0,NETWORKDAYS(E902,F902,Ref!$K$2:$K$42))</f>
        <v/>
      </c>
      <c r="AO902">
        <f>IF(L902="Renewal",1,0)</f>
        <v/>
      </c>
      <c r="AP902">
        <f>AC902*AD902</f>
        <v/>
      </c>
      <c r="AQ902">
        <f>IF(AND(G902&lt;&gt;"",'Historical Score'!$C$6&lt;&gt;""),IF(G902='Historical Score'!$C$6,1,0),0)</f>
        <v/>
      </c>
      <c r="AR902">
        <f>IF(AND(L902&lt;&gt;"",'Historical Score'!$C$5&lt;&gt;""),IF(L902='Historical Score'!$C$5,1,0),0)</f>
        <v/>
      </c>
      <c r="AS902">
        <f>IF(AND(Y902&lt;&gt;"",'Historical Score'!$C$7&lt;&gt;""),IF(Y902='Historical Score'!$C$7,1,0),0)</f>
        <v/>
      </c>
      <c r="AT902">
        <f>IF(AND(K902&lt;&gt;"",'Historical Score'!$C$8&lt;&gt;""),IF(K902='Historical Score'!$C$8,1,0),0)</f>
        <v/>
      </c>
      <c r="AU902">
        <f>IF(AND(J902&lt;&gt;"",'Historical Score'!$C$9&lt;&gt;""),IF(J902='Historical Score'!$C$9,1,0),0)</f>
        <v/>
      </c>
      <c r="AV902">
        <f>AR902*AS902*AQ902</f>
        <v/>
      </c>
      <c r="AW902">
        <f>AR902*AT902*AQ902</f>
        <v/>
      </c>
      <c r="AX902">
        <f>AR902*AS902</f>
        <v/>
      </c>
      <c r="AY902">
        <f>AR902*AT902</f>
        <v/>
      </c>
      <c r="AZ902">
        <f>AR902*AQ902</f>
        <v/>
      </c>
      <c r="BA902">
        <f>AR902</f>
        <v/>
      </c>
      <c r="BB902">
        <f>1</f>
        <v/>
      </c>
      <c r="BC902">
        <f>IF(AV902=1,1,IF(AW902=1,2,IF(AX902=1,3,IF(AY902=1,4,IF(AZ902=1,5,IF(BA902=1,6,7))))))</f>
        <v/>
      </c>
      <c r="BD902">
        <f>IF(AD902=1,CHOOSE('Historical Score'!$C$29,AV902,AW902,AX902,AY902,AZ902,BA902,BB902),0)</f>
        <v/>
      </c>
      <c r="BE902">
        <f>IF(BD902=1,COUNTIF($BD$2:BD902,1),"")</f>
        <v/>
      </c>
    </row>
    <row r="903">
      <c r="A903" t="inlineStr">
        <is>
          <t>5674184236</t>
        </is>
      </c>
      <c r="B903" t="inlineStr">
        <is>
          <t>Hatmaker Holdings LLC</t>
        </is>
      </c>
      <c r="C903" t="inlineStr">
        <is>
          <t>Hatmaker Holdings LLC</t>
        </is>
      </c>
      <c r="D903" t="inlineStr">
        <is>
          <t>Open</t>
        </is>
      </c>
      <c r="E903" s="297" t="n">
        <v>46168</v>
      </c>
      <c r="F903" s="297" t="n">
        <v>46253</v>
      </c>
      <c r="G903" t="n">
        <v>3</v>
      </c>
      <c r="H903" t="inlineStr">
        <is>
          <t>7261</t>
        </is>
      </c>
      <c r="I903" t="inlineStr">
        <is>
          <t>72</t>
        </is>
      </c>
      <c r="J903" t="inlineStr">
        <is>
          <t>TN</t>
        </is>
      </c>
      <c r="K903" t="inlineStr">
        <is>
          <t>Ballicci</t>
        </is>
      </c>
      <c r="L903" t="inlineStr">
        <is>
          <t>Renewal</t>
        </is>
      </c>
      <c r="M903" s="298" t="n">
        <v>1.49</v>
      </c>
      <c r="N903" s="299" t="n">
        <v>45000</v>
      </c>
      <c r="O903" s="299" t="n">
        <v>6300</v>
      </c>
      <c r="P903" s="299" t="n">
        <v>67050</v>
      </c>
      <c r="Q903" s="299" t="n">
        <v>19641.44</v>
      </c>
      <c r="R903" s="299" t="n">
        <v>47408.56</v>
      </c>
      <c r="S903" s="300" t="n">
        <v>0.29293721103654</v>
      </c>
      <c r="T903" t="n">
        <v>3.967</v>
      </c>
      <c r="U903" t="n">
        <v>21</v>
      </c>
      <c r="V903" t="n">
        <v>68415.85000000001</v>
      </c>
      <c r="W903" s="300" t="n">
        <v>0.1455</v>
      </c>
      <c r="X903" s="297" t="n">
        <v>37215</v>
      </c>
      <c r="Y903">
        <f>IF(I903="","No SIC",IFERROR(VLOOKUP(I903,Ref!$A$2:$B$65,2,FALSE),"Unclassified"))</f>
        <v/>
      </c>
      <c r="Z903">
        <f>IF(T903="","",IF(T903&lt;12,"Daily","Weekly"))</f>
        <v/>
      </c>
      <c r="AA903">
        <f>IF(T903="",0,IF(T903&lt;12,T903*Controls!$B$29,T903*5))</f>
        <v/>
      </c>
      <c r="AB903">
        <f>IF(E903="",0,NETWORKDAYS(E903,Controls!$B$36,Ref!$K$2:$K$42))</f>
        <v/>
      </c>
      <c r="AC903">
        <f>IF(AND(AA903&gt;0,AB903&gt;=Controls!$B$39*AA903),1,0)</f>
        <v/>
      </c>
      <c r="AD903">
        <f>IF(AND(E903&lt;&gt;"",E903&gt;=Controls!$B$37,E903&lt;=Controls!$B$38),1,0)</f>
        <v/>
      </c>
      <c r="AE903">
        <f>IF(IFERROR(VLOOKUP(D903,Controls!$A$64:$E$74,2,FALSE),"No")="Yes",1,0)</f>
        <v/>
      </c>
      <c r="AF903">
        <f>IF(IFERROR(VLOOKUP(D903,Controls!$A$64:$E$74,3,FALSE),"No")="Yes",1,0)</f>
        <v/>
      </c>
      <c r="AG903">
        <f>IF(IFERROR(VLOOKUP(D903,Controls!$A$64:$E$74,4,FALSE),"No")="Yes",1,0)</f>
        <v/>
      </c>
      <c r="AH903">
        <f>IF(IFERROR(VLOOKUP(D903,Controls!$A$64:$E$74,5,FALSE),"No")="Yes",1,0)</f>
        <v/>
      </c>
      <c r="AI903">
        <f>IF(ISNUMBER(MATCH(D903,Controls!$A$64:$A$74,0)),1,0)</f>
        <v/>
      </c>
      <c r="AJ903">
        <f>Q903-N903</f>
        <v/>
      </c>
      <c r="AK903">
        <f>IF(AE903=1,MAX(0,N903-Q903),0)</f>
        <v/>
      </c>
      <c r="AL903">
        <f>IF(OR(V903="",V903=0),0,N903/V903)</f>
        <v/>
      </c>
      <c r="AM903">
        <f>IF(OR(V903="",V903=0),0,1)</f>
        <v/>
      </c>
      <c r="AN903">
        <f>IF(OR(E903="",F903=""),0,NETWORKDAYS(E903,F903,Ref!$K$2:$K$42))</f>
        <v/>
      </c>
      <c r="AO903">
        <f>IF(L903="Renewal",1,0)</f>
        <v/>
      </c>
      <c r="AP903">
        <f>AC903*AD903</f>
        <v/>
      </c>
      <c r="AQ903">
        <f>IF(AND(G903&lt;&gt;"",'Historical Score'!$C$6&lt;&gt;""),IF(G903='Historical Score'!$C$6,1,0),0)</f>
        <v/>
      </c>
      <c r="AR903">
        <f>IF(AND(L903&lt;&gt;"",'Historical Score'!$C$5&lt;&gt;""),IF(L903='Historical Score'!$C$5,1,0),0)</f>
        <v/>
      </c>
      <c r="AS903">
        <f>IF(AND(Y903&lt;&gt;"",'Historical Score'!$C$7&lt;&gt;""),IF(Y903='Historical Score'!$C$7,1,0),0)</f>
        <v/>
      </c>
      <c r="AT903">
        <f>IF(AND(K903&lt;&gt;"",'Historical Score'!$C$8&lt;&gt;""),IF(K903='Historical Score'!$C$8,1,0),0)</f>
        <v/>
      </c>
      <c r="AU903">
        <f>IF(AND(J903&lt;&gt;"",'Historical Score'!$C$9&lt;&gt;""),IF(J903='Historical Score'!$C$9,1,0),0)</f>
        <v/>
      </c>
      <c r="AV903">
        <f>AR903*AS903*AQ903</f>
        <v/>
      </c>
      <c r="AW903">
        <f>AR903*AT903*AQ903</f>
        <v/>
      </c>
      <c r="AX903">
        <f>AR903*AS903</f>
        <v/>
      </c>
      <c r="AY903">
        <f>AR903*AT903</f>
        <v/>
      </c>
      <c r="AZ903">
        <f>AR903*AQ903</f>
        <v/>
      </c>
      <c r="BA903">
        <f>AR903</f>
        <v/>
      </c>
      <c r="BB903">
        <f>1</f>
        <v/>
      </c>
      <c r="BC903">
        <f>IF(AV903=1,1,IF(AW903=1,2,IF(AX903=1,3,IF(AY903=1,4,IF(AZ903=1,5,IF(BA903=1,6,7))))))</f>
        <v/>
      </c>
      <c r="BD903">
        <f>IF(AD903=1,CHOOSE('Historical Score'!$C$29,AV903,AW903,AX903,AY903,AZ903,BA903,BB903),0)</f>
        <v/>
      </c>
      <c r="BE903">
        <f>IF(BD903=1,COUNTIF($BD$2:BD903,1),"")</f>
        <v/>
      </c>
    </row>
    <row r="904">
      <c r="A904" t="inlineStr">
        <is>
          <t>5674184273</t>
        </is>
      </c>
      <c r="B904" t="inlineStr">
        <is>
          <t>American services inc</t>
        </is>
      </c>
      <c r="C904" t="inlineStr">
        <is>
          <t>American services inc</t>
        </is>
      </c>
      <c r="D904" t="inlineStr">
        <is>
          <t>Legal</t>
        </is>
      </c>
      <c r="E904" s="297" t="n">
        <v>46169</v>
      </c>
      <c r="F904" s="297" t="n">
        <v>46192</v>
      </c>
      <c r="G904" t="n">
        <v>3</v>
      </c>
      <c r="H904" t="inlineStr">
        <is>
          <t>7699</t>
        </is>
      </c>
      <c r="I904" t="inlineStr">
        <is>
          <t>76</t>
        </is>
      </c>
      <c r="J904" t="inlineStr">
        <is>
          <t>FL</t>
        </is>
      </c>
      <c r="K904" t="inlineStr">
        <is>
          <t>Fundible</t>
        </is>
      </c>
      <c r="L904" t="inlineStr">
        <is>
          <t>New Deal</t>
        </is>
      </c>
      <c r="M904" s="298" t="n">
        <v>1.49</v>
      </c>
      <c r="N904" s="299" t="n">
        <v>7000</v>
      </c>
      <c r="O904" s="299" t="n">
        <v>0</v>
      </c>
      <c r="P904" s="299" t="n">
        <v>10430</v>
      </c>
      <c r="Q904" s="299" t="n">
        <v>1158.94</v>
      </c>
      <c r="R904" s="299" t="n">
        <v>9271.059999999999</v>
      </c>
      <c r="S904" s="300" t="n">
        <v>0.111116011505273</v>
      </c>
      <c r="T904" t="n">
        <v>18</v>
      </c>
      <c r="U904" t="n">
        <v>1</v>
      </c>
      <c r="V904" t="n">
        <v>56671.85</v>
      </c>
      <c r="W904" s="300" t="n">
        <v>0.0409</v>
      </c>
      <c r="X904" s="297" t="n">
        <v>45734</v>
      </c>
      <c r="Y904">
        <f>IF(I904="","No SIC",IFERROR(VLOOKUP(I904,Ref!$A$2:$B$65,2,FALSE),"Unclassified"))</f>
        <v/>
      </c>
      <c r="Z904">
        <f>IF(T904="","",IF(T904&lt;12,"Daily","Weekly"))</f>
        <v/>
      </c>
      <c r="AA904">
        <f>IF(T904="",0,IF(T904&lt;12,T904*Controls!$B$29,T904*5))</f>
        <v/>
      </c>
      <c r="AB904">
        <f>IF(E904="",0,NETWORKDAYS(E904,Controls!$B$36,Ref!$K$2:$K$42))</f>
        <v/>
      </c>
      <c r="AC904">
        <f>IF(AND(AA904&gt;0,AB904&gt;=Controls!$B$39*AA904),1,0)</f>
        <v/>
      </c>
      <c r="AD904">
        <f>IF(AND(E904&lt;&gt;"",E904&gt;=Controls!$B$37,E904&lt;=Controls!$B$38),1,0)</f>
        <v/>
      </c>
      <c r="AE904">
        <f>IF(IFERROR(VLOOKUP(D904,Controls!$A$64:$E$74,2,FALSE),"No")="Yes",1,0)</f>
        <v/>
      </c>
      <c r="AF904">
        <f>IF(IFERROR(VLOOKUP(D904,Controls!$A$64:$E$74,3,FALSE),"No")="Yes",1,0)</f>
        <v/>
      </c>
      <c r="AG904">
        <f>IF(IFERROR(VLOOKUP(D904,Controls!$A$64:$E$74,4,FALSE),"No")="Yes",1,0)</f>
        <v/>
      </c>
      <c r="AH904">
        <f>IF(IFERROR(VLOOKUP(D904,Controls!$A$64:$E$74,5,FALSE),"No")="Yes",1,0)</f>
        <v/>
      </c>
      <c r="AI904">
        <f>IF(ISNUMBER(MATCH(D904,Controls!$A$64:$A$74,0)),1,0)</f>
        <v/>
      </c>
      <c r="AJ904">
        <f>Q904-N904</f>
        <v/>
      </c>
      <c r="AK904">
        <f>IF(AE904=1,MAX(0,N904-Q904),0)</f>
        <v/>
      </c>
      <c r="AL904">
        <f>IF(OR(V904="",V904=0),0,N904/V904)</f>
        <v/>
      </c>
      <c r="AM904">
        <f>IF(OR(V904="",V904=0),0,1)</f>
        <v/>
      </c>
      <c r="AN904">
        <f>IF(OR(E904="",F904=""),0,NETWORKDAYS(E904,F904,Ref!$K$2:$K$42))</f>
        <v/>
      </c>
      <c r="AO904">
        <f>IF(L904="Renewal",1,0)</f>
        <v/>
      </c>
      <c r="AP904">
        <f>AC904*AD904</f>
        <v/>
      </c>
      <c r="AQ904">
        <f>IF(AND(G904&lt;&gt;"",'Historical Score'!$C$6&lt;&gt;""),IF(G904='Historical Score'!$C$6,1,0),0)</f>
        <v/>
      </c>
      <c r="AR904">
        <f>IF(AND(L904&lt;&gt;"",'Historical Score'!$C$5&lt;&gt;""),IF(L904='Historical Score'!$C$5,1,0),0)</f>
        <v/>
      </c>
      <c r="AS904">
        <f>IF(AND(Y904&lt;&gt;"",'Historical Score'!$C$7&lt;&gt;""),IF(Y904='Historical Score'!$C$7,1,0),0)</f>
        <v/>
      </c>
      <c r="AT904">
        <f>IF(AND(K904&lt;&gt;"",'Historical Score'!$C$8&lt;&gt;""),IF(K904='Historical Score'!$C$8,1,0),0)</f>
        <v/>
      </c>
      <c r="AU904">
        <f>IF(AND(J904&lt;&gt;"",'Historical Score'!$C$9&lt;&gt;""),IF(J904='Historical Score'!$C$9,1,0),0)</f>
        <v/>
      </c>
      <c r="AV904">
        <f>AR904*AS904*AQ904</f>
        <v/>
      </c>
      <c r="AW904">
        <f>AR904*AT904*AQ904</f>
        <v/>
      </c>
      <c r="AX904">
        <f>AR904*AS904</f>
        <v/>
      </c>
      <c r="AY904">
        <f>AR904*AT904</f>
        <v/>
      </c>
      <c r="AZ904">
        <f>AR904*AQ904</f>
        <v/>
      </c>
      <c r="BA904">
        <f>AR904</f>
        <v/>
      </c>
      <c r="BB904">
        <f>1</f>
        <v/>
      </c>
      <c r="BC904">
        <f>IF(AV904=1,1,IF(AW904=1,2,IF(AX904=1,3,IF(AY904=1,4,IF(AZ904=1,5,IF(BA904=1,6,7))))))</f>
        <v/>
      </c>
      <c r="BD904">
        <f>IF(AD904=1,CHOOSE('Historical Score'!$C$29,AV904,AW904,AX904,AY904,AZ904,BA904,BB904),0)</f>
        <v/>
      </c>
      <c r="BE904">
        <f>IF(BD904=1,COUNTIF($BD$2:BD904,1),"")</f>
        <v/>
      </c>
    </row>
    <row r="905">
      <c r="A905" t="inlineStr">
        <is>
          <t>5674184284</t>
        </is>
      </c>
      <c r="B905" t="inlineStr">
        <is>
          <t>H30 TRUCKING LLC</t>
        </is>
      </c>
      <c r="C905" t="inlineStr">
        <is>
          <t>H30 TRUCKING LLC</t>
        </is>
      </c>
      <c r="D905" t="inlineStr">
        <is>
          <t>Open</t>
        </is>
      </c>
      <c r="E905" s="297" t="n">
        <v>46169</v>
      </c>
      <c r="F905" s="297" t="n">
        <v>46253</v>
      </c>
      <c r="G905" t="n">
        <v>3</v>
      </c>
      <c r="H905" t="inlineStr">
        <is>
          <t>4212</t>
        </is>
      </c>
      <c r="I905" t="inlineStr">
        <is>
          <t>42</t>
        </is>
      </c>
      <c r="J905" t="inlineStr">
        <is>
          <t>VA</t>
        </is>
      </c>
      <c r="K905" t="inlineStr">
        <is>
          <t>Ballicci</t>
        </is>
      </c>
      <c r="L905" t="inlineStr">
        <is>
          <t>Renewal</t>
        </is>
      </c>
      <c r="M905" s="298" t="n">
        <v>1.49</v>
      </c>
      <c r="N905" s="299" t="n">
        <v>45000</v>
      </c>
      <c r="O905" s="299" t="n">
        <v>6300</v>
      </c>
      <c r="P905" s="299" t="n">
        <v>67050</v>
      </c>
      <c r="Q905" s="299" t="n">
        <v>18866.34</v>
      </c>
      <c r="R905" s="299" t="n">
        <v>48183.66</v>
      </c>
      <c r="S905" s="300" t="n">
        <v>0.281377181208054</v>
      </c>
      <c r="T905" t="n">
        <v>32</v>
      </c>
      <c r="U905" t="n">
        <v>3</v>
      </c>
      <c r="V905" t="n">
        <v>114549.95</v>
      </c>
      <c r="W905" s="300" t="n">
        <v>0.0732</v>
      </c>
      <c r="X905" s="297" t="n">
        <v>43837</v>
      </c>
      <c r="Y905">
        <f>IF(I905="","No SIC",IFERROR(VLOOKUP(I905,Ref!$A$2:$B$65,2,FALSE),"Unclassified"))</f>
        <v/>
      </c>
      <c r="Z905">
        <f>IF(T905="","",IF(T905&lt;12,"Daily","Weekly"))</f>
        <v/>
      </c>
      <c r="AA905">
        <f>IF(T905="",0,IF(T905&lt;12,T905*Controls!$B$29,T905*5))</f>
        <v/>
      </c>
      <c r="AB905">
        <f>IF(E905="",0,NETWORKDAYS(E905,Controls!$B$36,Ref!$K$2:$K$42))</f>
        <v/>
      </c>
      <c r="AC905">
        <f>IF(AND(AA905&gt;0,AB905&gt;=Controls!$B$39*AA905),1,0)</f>
        <v/>
      </c>
      <c r="AD905">
        <f>IF(AND(E905&lt;&gt;"",E905&gt;=Controls!$B$37,E905&lt;=Controls!$B$38),1,0)</f>
        <v/>
      </c>
      <c r="AE905">
        <f>IF(IFERROR(VLOOKUP(D905,Controls!$A$64:$E$74,2,FALSE),"No")="Yes",1,0)</f>
        <v/>
      </c>
      <c r="AF905">
        <f>IF(IFERROR(VLOOKUP(D905,Controls!$A$64:$E$74,3,FALSE),"No")="Yes",1,0)</f>
        <v/>
      </c>
      <c r="AG905">
        <f>IF(IFERROR(VLOOKUP(D905,Controls!$A$64:$E$74,4,FALSE),"No")="Yes",1,0)</f>
        <v/>
      </c>
      <c r="AH905">
        <f>IF(IFERROR(VLOOKUP(D905,Controls!$A$64:$E$74,5,FALSE),"No")="Yes",1,0)</f>
        <v/>
      </c>
      <c r="AI905">
        <f>IF(ISNUMBER(MATCH(D905,Controls!$A$64:$A$74,0)),1,0)</f>
        <v/>
      </c>
      <c r="AJ905">
        <f>Q905-N905</f>
        <v/>
      </c>
      <c r="AK905">
        <f>IF(AE905=1,MAX(0,N905-Q905),0)</f>
        <v/>
      </c>
      <c r="AL905">
        <f>IF(OR(V905="",V905=0),0,N905/V905)</f>
        <v/>
      </c>
      <c r="AM905">
        <f>IF(OR(V905="",V905=0),0,1)</f>
        <v/>
      </c>
      <c r="AN905">
        <f>IF(OR(E905="",F905=""),0,NETWORKDAYS(E905,F905,Ref!$K$2:$K$42))</f>
        <v/>
      </c>
      <c r="AO905">
        <f>IF(L905="Renewal",1,0)</f>
        <v/>
      </c>
      <c r="AP905">
        <f>AC905*AD905</f>
        <v/>
      </c>
      <c r="AQ905">
        <f>IF(AND(G905&lt;&gt;"",'Historical Score'!$C$6&lt;&gt;""),IF(G905='Historical Score'!$C$6,1,0),0)</f>
        <v/>
      </c>
      <c r="AR905">
        <f>IF(AND(L905&lt;&gt;"",'Historical Score'!$C$5&lt;&gt;""),IF(L905='Historical Score'!$C$5,1,0),0)</f>
        <v/>
      </c>
      <c r="AS905">
        <f>IF(AND(Y905&lt;&gt;"",'Historical Score'!$C$7&lt;&gt;""),IF(Y905='Historical Score'!$C$7,1,0),0)</f>
        <v/>
      </c>
      <c r="AT905">
        <f>IF(AND(K905&lt;&gt;"",'Historical Score'!$C$8&lt;&gt;""),IF(K905='Historical Score'!$C$8,1,0),0)</f>
        <v/>
      </c>
      <c r="AU905">
        <f>IF(AND(J905&lt;&gt;"",'Historical Score'!$C$9&lt;&gt;""),IF(J905='Historical Score'!$C$9,1,0),0)</f>
        <v/>
      </c>
      <c r="AV905">
        <f>AR905*AS905*AQ905</f>
        <v/>
      </c>
      <c r="AW905">
        <f>AR905*AT905*AQ905</f>
        <v/>
      </c>
      <c r="AX905">
        <f>AR905*AS905</f>
        <v/>
      </c>
      <c r="AY905">
        <f>AR905*AT905</f>
        <v/>
      </c>
      <c r="AZ905">
        <f>AR905*AQ905</f>
        <v/>
      </c>
      <c r="BA905">
        <f>AR905</f>
        <v/>
      </c>
      <c r="BB905">
        <f>1</f>
        <v/>
      </c>
      <c r="BC905">
        <f>IF(AV905=1,1,IF(AW905=1,2,IF(AX905=1,3,IF(AY905=1,4,IF(AZ905=1,5,IF(BA905=1,6,7))))))</f>
        <v/>
      </c>
      <c r="BD905">
        <f>IF(AD905=1,CHOOSE('Historical Score'!$C$29,AV905,AW905,AX905,AY905,AZ905,BA905,BB905),0)</f>
        <v/>
      </c>
      <c r="BE905">
        <f>IF(BD905=1,COUNTIF($BD$2:BD905,1),"")</f>
        <v/>
      </c>
    </row>
    <row r="906">
      <c r="A906" t="inlineStr">
        <is>
          <t>5674184309</t>
        </is>
      </c>
      <c r="B906" t="inlineStr">
        <is>
          <t>Our House MHSA Inc</t>
        </is>
      </c>
      <c r="C906" t="inlineStr">
        <is>
          <t>Our House MHSA Inc</t>
        </is>
      </c>
      <c r="D906" t="inlineStr">
        <is>
          <t>Settlement Agreement</t>
        </is>
      </c>
      <c r="E906" s="297" t="n">
        <v>46169</v>
      </c>
      <c r="F906" s="297" t="n">
        <v>46252</v>
      </c>
      <c r="G906" t="n">
        <v>2</v>
      </c>
      <c r="H906" t="inlineStr">
        <is>
          <t>8093</t>
        </is>
      </c>
      <c r="I906" t="inlineStr">
        <is>
          <t>80</t>
        </is>
      </c>
      <c r="J906" t="inlineStr">
        <is>
          <t>OK</t>
        </is>
      </c>
      <c r="K906" t="inlineStr">
        <is>
          <t>Splash</t>
        </is>
      </c>
      <c r="L906" t="inlineStr">
        <is>
          <t>New Deal</t>
        </is>
      </c>
      <c r="M906" s="298" t="n">
        <v>1.49</v>
      </c>
      <c r="N906" s="299" t="n">
        <v>60000</v>
      </c>
      <c r="O906" s="299" t="n">
        <v>0</v>
      </c>
      <c r="P906" s="299" t="n">
        <v>89400</v>
      </c>
      <c r="Q906" s="299" t="n">
        <v>11980.1</v>
      </c>
      <c r="R906" s="299" t="n">
        <v>77419.89999999999</v>
      </c>
      <c r="S906" s="300" t="n">
        <v>0.134005592841163</v>
      </c>
      <c r="T906" t="n">
        <v>30</v>
      </c>
      <c r="U906" t="n">
        <v>1</v>
      </c>
      <c r="V906" t="n">
        <v>75112.78</v>
      </c>
      <c r="W906" s="300" t="n">
        <v>0.1587</v>
      </c>
      <c r="X906" s="297" t="n">
        <v>42437</v>
      </c>
      <c r="Y906">
        <f>IF(I906="","No SIC",IFERROR(VLOOKUP(I906,Ref!$A$2:$B$65,2,FALSE),"Unclassified"))</f>
        <v/>
      </c>
      <c r="Z906">
        <f>IF(T906="","",IF(T906&lt;12,"Daily","Weekly"))</f>
        <v/>
      </c>
      <c r="AA906">
        <f>IF(T906="",0,IF(T906&lt;12,T906*Controls!$B$29,T906*5))</f>
        <v/>
      </c>
      <c r="AB906">
        <f>IF(E906="",0,NETWORKDAYS(E906,Controls!$B$36,Ref!$K$2:$K$42))</f>
        <v/>
      </c>
      <c r="AC906">
        <f>IF(AND(AA906&gt;0,AB906&gt;=Controls!$B$39*AA906),1,0)</f>
        <v/>
      </c>
      <c r="AD906">
        <f>IF(AND(E906&lt;&gt;"",E906&gt;=Controls!$B$37,E906&lt;=Controls!$B$38),1,0)</f>
        <v/>
      </c>
      <c r="AE906">
        <f>IF(IFERROR(VLOOKUP(D906,Controls!$A$64:$E$74,2,FALSE),"No")="Yes",1,0)</f>
        <v/>
      </c>
      <c r="AF906">
        <f>IF(IFERROR(VLOOKUP(D906,Controls!$A$64:$E$74,3,FALSE),"No")="Yes",1,0)</f>
        <v/>
      </c>
      <c r="AG906">
        <f>IF(IFERROR(VLOOKUP(D906,Controls!$A$64:$E$74,4,FALSE),"No")="Yes",1,0)</f>
        <v/>
      </c>
      <c r="AH906">
        <f>IF(IFERROR(VLOOKUP(D906,Controls!$A$64:$E$74,5,FALSE),"No")="Yes",1,0)</f>
        <v/>
      </c>
      <c r="AI906">
        <f>IF(ISNUMBER(MATCH(D906,Controls!$A$64:$A$74,0)),1,0)</f>
        <v/>
      </c>
      <c r="AJ906">
        <f>Q906-N906</f>
        <v/>
      </c>
      <c r="AK906">
        <f>IF(AE906=1,MAX(0,N906-Q906),0)</f>
        <v/>
      </c>
      <c r="AL906">
        <f>IF(OR(V906="",V906=0),0,N906/V906)</f>
        <v/>
      </c>
      <c r="AM906">
        <f>IF(OR(V906="",V906=0),0,1)</f>
        <v/>
      </c>
      <c r="AN906">
        <f>IF(OR(E906="",F906=""),0,NETWORKDAYS(E906,F906,Ref!$K$2:$K$42))</f>
        <v/>
      </c>
      <c r="AO906">
        <f>IF(L906="Renewal",1,0)</f>
        <v/>
      </c>
      <c r="AP906">
        <f>AC906*AD906</f>
        <v/>
      </c>
      <c r="AQ906">
        <f>IF(AND(G906&lt;&gt;"",'Historical Score'!$C$6&lt;&gt;""),IF(G906='Historical Score'!$C$6,1,0),0)</f>
        <v/>
      </c>
      <c r="AR906">
        <f>IF(AND(L906&lt;&gt;"",'Historical Score'!$C$5&lt;&gt;""),IF(L906='Historical Score'!$C$5,1,0),0)</f>
        <v/>
      </c>
      <c r="AS906">
        <f>IF(AND(Y906&lt;&gt;"",'Historical Score'!$C$7&lt;&gt;""),IF(Y906='Historical Score'!$C$7,1,0),0)</f>
        <v/>
      </c>
      <c r="AT906">
        <f>IF(AND(K906&lt;&gt;"",'Historical Score'!$C$8&lt;&gt;""),IF(K906='Historical Score'!$C$8,1,0),0)</f>
        <v/>
      </c>
      <c r="AU906">
        <f>IF(AND(J906&lt;&gt;"",'Historical Score'!$C$9&lt;&gt;""),IF(J906='Historical Score'!$C$9,1,0),0)</f>
        <v/>
      </c>
      <c r="AV906">
        <f>AR906*AS906*AQ906</f>
        <v/>
      </c>
      <c r="AW906">
        <f>AR906*AT906*AQ906</f>
        <v/>
      </c>
      <c r="AX906">
        <f>AR906*AS906</f>
        <v/>
      </c>
      <c r="AY906">
        <f>AR906*AT906</f>
        <v/>
      </c>
      <c r="AZ906">
        <f>AR906*AQ906</f>
        <v/>
      </c>
      <c r="BA906">
        <f>AR906</f>
        <v/>
      </c>
      <c r="BB906">
        <f>1</f>
        <v/>
      </c>
      <c r="BC906">
        <f>IF(AV906=1,1,IF(AW906=1,2,IF(AX906=1,3,IF(AY906=1,4,IF(AZ906=1,5,IF(BA906=1,6,7))))))</f>
        <v/>
      </c>
      <c r="BD906">
        <f>IF(AD906=1,CHOOSE('Historical Score'!$C$29,AV906,AW906,AX906,AY906,AZ906,BA906,BB906),0)</f>
        <v/>
      </c>
      <c r="BE906">
        <f>IF(BD906=1,COUNTIF($BD$2:BD906,1),"")</f>
        <v/>
      </c>
    </row>
    <row r="907">
      <c r="A907" t="inlineStr">
        <is>
          <t>5674184350</t>
        </is>
      </c>
      <c r="B907" t="inlineStr">
        <is>
          <t>THE BREAK SPORTS GRILL SARATOGA SPRINGS DBA THE DKBK</t>
        </is>
      </c>
      <c r="C907" t="inlineStr">
        <is>
          <t>The DKBK LLC</t>
        </is>
      </c>
      <c r="D907" t="inlineStr">
        <is>
          <t>Open</t>
        </is>
      </c>
      <c r="E907" s="297" t="n">
        <v>46170</v>
      </c>
      <c r="F907" s="297" t="n">
        <v>46253</v>
      </c>
      <c r="G907" t="n">
        <v>4</v>
      </c>
      <c r="H907" t="inlineStr">
        <is>
          <t>5812</t>
        </is>
      </c>
      <c r="I907" t="inlineStr">
        <is>
          <t>58</t>
        </is>
      </c>
      <c r="J907" t="inlineStr">
        <is>
          <t>UT</t>
        </is>
      </c>
      <c r="K907" t="inlineStr">
        <is>
          <t>PMF</t>
        </is>
      </c>
      <c r="L907" t="inlineStr">
        <is>
          <t>New Deal</t>
        </is>
      </c>
      <c r="M907" s="298" t="n">
        <v>1.45</v>
      </c>
      <c r="N907" s="299" t="n">
        <v>75000</v>
      </c>
      <c r="O907" s="299" t="n">
        <v>9000</v>
      </c>
      <c r="P907" s="299" t="n">
        <v>108750</v>
      </c>
      <c r="Q907" s="299" t="n">
        <v>59307.12</v>
      </c>
      <c r="R907" s="299" t="n">
        <v>49442.88</v>
      </c>
      <c r="S907" s="300" t="n">
        <v>0.545352827586207</v>
      </c>
      <c r="T907" t="n">
        <v>22</v>
      </c>
      <c r="U907" t="n">
        <v>2</v>
      </c>
      <c r="V907" t="n">
        <v>387628.11</v>
      </c>
      <c r="W907" s="300" t="n">
        <v>0.051</v>
      </c>
      <c r="X907" s="297" t="n">
        <v>44460</v>
      </c>
      <c r="Y907">
        <f>IF(I907="","No SIC",IFERROR(VLOOKUP(I907,Ref!$A$2:$B$65,2,FALSE),"Unclassified"))</f>
        <v/>
      </c>
      <c r="Z907">
        <f>IF(T907="","",IF(T907&lt;12,"Daily","Weekly"))</f>
        <v/>
      </c>
      <c r="AA907">
        <f>IF(T907="",0,IF(T907&lt;12,T907*Controls!$B$29,T907*5))</f>
        <v/>
      </c>
      <c r="AB907">
        <f>IF(E907="",0,NETWORKDAYS(E907,Controls!$B$36,Ref!$K$2:$K$42))</f>
        <v/>
      </c>
      <c r="AC907">
        <f>IF(AND(AA907&gt;0,AB907&gt;=Controls!$B$39*AA907),1,0)</f>
        <v/>
      </c>
      <c r="AD907">
        <f>IF(AND(E907&lt;&gt;"",E907&gt;=Controls!$B$37,E907&lt;=Controls!$B$38),1,0)</f>
        <v/>
      </c>
      <c r="AE907">
        <f>IF(IFERROR(VLOOKUP(D907,Controls!$A$64:$E$74,2,FALSE),"No")="Yes",1,0)</f>
        <v/>
      </c>
      <c r="AF907">
        <f>IF(IFERROR(VLOOKUP(D907,Controls!$A$64:$E$74,3,FALSE),"No")="Yes",1,0)</f>
        <v/>
      </c>
      <c r="AG907">
        <f>IF(IFERROR(VLOOKUP(D907,Controls!$A$64:$E$74,4,FALSE),"No")="Yes",1,0)</f>
        <v/>
      </c>
      <c r="AH907">
        <f>IF(IFERROR(VLOOKUP(D907,Controls!$A$64:$E$74,5,FALSE),"No")="Yes",1,0)</f>
        <v/>
      </c>
      <c r="AI907">
        <f>IF(ISNUMBER(MATCH(D907,Controls!$A$64:$A$74,0)),1,0)</f>
        <v/>
      </c>
      <c r="AJ907">
        <f>Q907-N907</f>
        <v/>
      </c>
      <c r="AK907">
        <f>IF(AE907=1,MAX(0,N907-Q907),0)</f>
        <v/>
      </c>
      <c r="AL907">
        <f>IF(OR(V907="",V907=0),0,N907/V907)</f>
        <v/>
      </c>
      <c r="AM907">
        <f>IF(OR(V907="",V907=0),0,1)</f>
        <v/>
      </c>
      <c r="AN907">
        <f>IF(OR(E907="",F907=""),0,NETWORKDAYS(E907,F907,Ref!$K$2:$K$42))</f>
        <v/>
      </c>
      <c r="AO907">
        <f>IF(L907="Renewal",1,0)</f>
        <v/>
      </c>
      <c r="AP907">
        <f>AC907*AD907</f>
        <v/>
      </c>
      <c r="AQ907">
        <f>IF(AND(G907&lt;&gt;"",'Historical Score'!$C$6&lt;&gt;""),IF(G907='Historical Score'!$C$6,1,0),0)</f>
        <v/>
      </c>
      <c r="AR907">
        <f>IF(AND(L907&lt;&gt;"",'Historical Score'!$C$5&lt;&gt;""),IF(L907='Historical Score'!$C$5,1,0),0)</f>
        <v/>
      </c>
      <c r="AS907">
        <f>IF(AND(Y907&lt;&gt;"",'Historical Score'!$C$7&lt;&gt;""),IF(Y907='Historical Score'!$C$7,1,0),0)</f>
        <v/>
      </c>
      <c r="AT907">
        <f>IF(AND(K907&lt;&gt;"",'Historical Score'!$C$8&lt;&gt;""),IF(K907='Historical Score'!$C$8,1,0),0)</f>
        <v/>
      </c>
      <c r="AU907">
        <f>IF(AND(J907&lt;&gt;"",'Historical Score'!$C$9&lt;&gt;""),IF(J907='Historical Score'!$C$9,1,0),0)</f>
        <v/>
      </c>
      <c r="AV907">
        <f>AR907*AS907*AQ907</f>
        <v/>
      </c>
      <c r="AW907">
        <f>AR907*AT907*AQ907</f>
        <v/>
      </c>
      <c r="AX907">
        <f>AR907*AS907</f>
        <v/>
      </c>
      <c r="AY907">
        <f>AR907*AT907</f>
        <v/>
      </c>
      <c r="AZ907">
        <f>AR907*AQ907</f>
        <v/>
      </c>
      <c r="BA907">
        <f>AR907</f>
        <v/>
      </c>
      <c r="BB907">
        <f>1</f>
        <v/>
      </c>
      <c r="BC907">
        <f>IF(AV907=1,1,IF(AW907=1,2,IF(AX907=1,3,IF(AY907=1,4,IF(AZ907=1,5,IF(BA907=1,6,7))))))</f>
        <v/>
      </c>
      <c r="BD907">
        <f>IF(AD907=1,CHOOSE('Historical Score'!$C$29,AV907,AW907,AX907,AY907,AZ907,BA907,BB907),0)</f>
        <v/>
      </c>
      <c r="BE907">
        <f>IF(BD907=1,COUNTIF($BD$2:BD907,1),"")</f>
        <v/>
      </c>
    </row>
    <row r="908">
      <c r="A908" t="inlineStr">
        <is>
          <t>5674184362</t>
        </is>
      </c>
      <c r="B908" t="inlineStr">
        <is>
          <t>READY TO ASSEMBLE</t>
        </is>
      </c>
      <c r="C908" t="inlineStr">
        <is>
          <t>Ready to Assemble inc</t>
        </is>
      </c>
      <c r="D908" t="inlineStr">
        <is>
          <t>Closed</t>
        </is>
      </c>
      <c r="E908" s="297" t="n">
        <v>46170</v>
      </c>
      <c r="F908" s="297" t="n">
        <v>46240</v>
      </c>
      <c r="G908" t="n">
        <v>3</v>
      </c>
      <c r="H908" t="inlineStr">
        <is>
          <t>1521</t>
        </is>
      </c>
      <c r="I908" t="inlineStr">
        <is>
          <t>15</t>
        </is>
      </c>
      <c r="J908" t="inlineStr">
        <is>
          <t>IN</t>
        </is>
      </c>
      <c r="K908" t="inlineStr">
        <is>
          <t>PMF</t>
        </is>
      </c>
      <c r="L908" t="inlineStr">
        <is>
          <t>New Deal</t>
        </is>
      </c>
      <c r="M908" s="298" t="n">
        <v>1.45</v>
      </c>
      <c r="N908" s="299" t="n">
        <v>25000</v>
      </c>
      <c r="O908" s="299" t="n">
        <v>3000</v>
      </c>
      <c r="P908" s="299" t="n">
        <v>36250</v>
      </c>
      <c r="Q908" s="299" t="n">
        <v>36250</v>
      </c>
      <c r="R908" s="299" t="n">
        <v>0</v>
      </c>
      <c r="S908" s="300" t="n">
        <v>1</v>
      </c>
      <c r="T908" t="n">
        <v>19</v>
      </c>
      <c r="U908" t="n">
        <v>0</v>
      </c>
      <c r="V908" t="n">
        <v>92853.05</v>
      </c>
      <c r="W908" s="300" t="n">
        <v>0.0822</v>
      </c>
      <c r="X908" s="297" t="n">
        <v>34335</v>
      </c>
      <c r="Y908">
        <f>IF(I908="","No SIC",IFERROR(VLOOKUP(I908,Ref!$A$2:$B$65,2,FALSE),"Unclassified"))</f>
        <v/>
      </c>
      <c r="Z908">
        <f>IF(T908="","",IF(T908&lt;12,"Daily","Weekly"))</f>
        <v/>
      </c>
      <c r="AA908">
        <f>IF(T908="",0,IF(T908&lt;12,T908*Controls!$B$29,T908*5))</f>
        <v/>
      </c>
      <c r="AB908">
        <f>IF(E908="",0,NETWORKDAYS(E908,Controls!$B$36,Ref!$K$2:$K$42))</f>
        <v/>
      </c>
      <c r="AC908">
        <f>IF(AND(AA908&gt;0,AB908&gt;=Controls!$B$39*AA908),1,0)</f>
        <v/>
      </c>
      <c r="AD908">
        <f>IF(AND(E908&lt;&gt;"",E908&gt;=Controls!$B$37,E908&lt;=Controls!$B$38),1,0)</f>
        <v/>
      </c>
      <c r="AE908">
        <f>IF(IFERROR(VLOOKUP(D908,Controls!$A$64:$E$74,2,FALSE),"No")="Yes",1,0)</f>
        <v/>
      </c>
      <c r="AF908">
        <f>IF(IFERROR(VLOOKUP(D908,Controls!$A$64:$E$74,3,FALSE),"No")="Yes",1,0)</f>
        <v/>
      </c>
      <c r="AG908">
        <f>IF(IFERROR(VLOOKUP(D908,Controls!$A$64:$E$74,4,FALSE),"No")="Yes",1,0)</f>
        <v/>
      </c>
      <c r="AH908">
        <f>IF(IFERROR(VLOOKUP(D908,Controls!$A$64:$E$74,5,FALSE),"No")="Yes",1,0)</f>
        <v/>
      </c>
      <c r="AI908">
        <f>IF(ISNUMBER(MATCH(D908,Controls!$A$64:$A$74,0)),1,0)</f>
        <v/>
      </c>
      <c r="AJ908">
        <f>Q908-N908</f>
        <v/>
      </c>
      <c r="AK908">
        <f>IF(AE908=1,MAX(0,N908-Q908),0)</f>
        <v/>
      </c>
      <c r="AL908">
        <f>IF(OR(V908="",V908=0),0,N908/V908)</f>
        <v/>
      </c>
      <c r="AM908">
        <f>IF(OR(V908="",V908=0),0,1)</f>
        <v/>
      </c>
      <c r="AN908">
        <f>IF(OR(E908="",F908=""),0,NETWORKDAYS(E908,F908,Ref!$K$2:$K$42))</f>
        <v/>
      </c>
      <c r="AO908">
        <f>IF(L908="Renewal",1,0)</f>
        <v/>
      </c>
      <c r="AP908">
        <f>AC908*AD908</f>
        <v/>
      </c>
      <c r="AQ908">
        <f>IF(AND(G908&lt;&gt;"",'Historical Score'!$C$6&lt;&gt;""),IF(G908='Historical Score'!$C$6,1,0),0)</f>
        <v/>
      </c>
      <c r="AR908">
        <f>IF(AND(L908&lt;&gt;"",'Historical Score'!$C$5&lt;&gt;""),IF(L908='Historical Score'!$C$5,1,0),0)</f>
        <v/>
      </c>
      <c r="AS908">
        <f>IF(AND(Y908&lt;&gt;"",'Historical Score'!$C$7&lt;&gt;""),IF(Y908='Historical Score'!$C$7,1,0),0)</f>
        <v/>
      </c>
      <c r="AT908">
        <f>IF(AND(K908&lt;&gt;"",'Historical Score'!$C$8&lt;&gt;""),IF(K908='Historical Score'!$C$8,1,0),0)</f>
        <v/>
      </c>
      <c r="AU908">
        <f>IF(AND(J908&lt;&gt;"",'Historical Score'!$C$9&lt;&gt;""),IF(J908='Historical Score'!$C$9,1,0),0)</f>
        <v/>
      </c>
      <c r="AV908">
        <f>AR908*AS908*AQ908</f>
        <v/>
      </c>
      <c r="AW908">
        <f>AR908*AT908*AQ908</f>
        <v/>
      </c>
      <c r="AX908">
        <f>AR908*AS908</f>
        <v/>
      </c>
      <c r="AY908">
        <f>AR908*AT908</f>
        <v/>
      </c>
      <c r="AZ908">
        <f>AR908*AQ908</f>
        <v/>
      </c>
      <c r="BA908">
        <f>AR908</f>
        <v/>
      </c>
      <c r="BB908">
        <f>1</f>
        <v/>
      </c>
      <c r="BC908">
        <f>IF(AV908=1,1,IF(AW908=1,2,IF(AX908=1,3,IF(AY908=1,4,IF(AZ908=1,5,IF(BA908=1,6,7))))))</f>
        <v/>
      </c>
      <c r="BD908">
        <f>IF(AD908=1,CHOOSE('Historical Score'!$C$29,AV908,AW908,AX908,AY908,AZ908,BA908,BB908),0)</f>
        <v/>
      </c>
      <c r="BE908">
        <f>IF(BD908=1,COUNTIF($BD$2:BD908,1),"")</f>
        <v/>
      </c>
    </row>
    <row r="909">
      <c r="A909" t="inlineStr">
        <is>
          <t>5674184374</t>
        </is>
      </c>
      <c r="B909" t="inlineStr">
        <is>
          <t>The Edge</t>
        </is>
      </c>
      <c r="C909" t="inlineStr">
        <is>
          <t>Open Edge, LLC</t>
        </is>
      </c>
      <c r="D909" t="inlineStr">
        <is>
          <t>Open</t>
        </is>
      </c>
      <c r="E909" s="297" t="n">
        <v>46170</v>
      </c>
      <c r="F909" s="297" t="n">
        <v>46248</v>
      </c>
      <c r="G909" t="n">
        <v>3</v>
      </c>
      <c r="H909" t="inlineStr">
        <is>
          <t>5812</t>
        </is>
      </c>
      <c r="I909" t="inlineStr">
        <is>
          <t>58</t>
        </is>
      </c>
      <c r="J909" t="inlineStr">
        <is>
          <t>TX</t>
        </is>
      </c>
      <c r="K909" t="inlineStr">
        <is>
          <t>Choicecapital Solutions LLC</t>
        </is>
      </c>
      <c r="L909" t="inlineStr">
        <is>
          <t>New Deal</t>
        </is>
      </c>
      <c r="M909" s="298" t="n">
        <v>1.49</v>
      </c>
      <c r="N909" s="299" t="n">
        <v>40000</v>
      </c>
      <c r="O909" s="299" t="n">
        <v>5600</v>
      </c>
      <c r="P909" s="299" t="n">
        <v>59600</v>
      </c>
      <c r="Q909" s="299" t="n">
        <v>22927.3</v>
      </c>
      <c r="R909" s="299" t="n">
        <v>36672.7</v>
      </c>
      <c r="S909" s="300" t="n">
        <v>0.384686241610738</v>
      </c>
      <c r="T909" t="n">
        <v>26</v>
      </c>
      <c r="U909" t="n">
        <v>1</v>
      </c>
      <c r="V909" t="n">
        <v>142405.52</v>
      </c>
      <c r="W909" s="300" t="n">
        <v>0.0644</v>
      </c>
      <c r="X909" s="297" t="n">
        <v>44378</v>
      </c>
      <c r="Y909">
        <f>IF(I909="","No SIC",IFERROR(VLOOKUP(I909,Ref!$A$2:$B$65,2,FALSE),"Unclassified"))</f>
        <v/>
      </c>
      <c r="Z909">
        <f>IF(T909="","",IF(T909&lt;12,"Daily","Weekly"))</f>
        <v/>
      </c>
      <c r="AA909">
        <f>IF(T909="",0,IF(T909&lt;12,T909*Controls!$B$29,T909*5))</f>
        <v/>
      </c>
      <c r="AB909">
        <f>IF(E909="",0,NETWORKDAYS(E909,Controls!$B$36,Ref!$K$2:$K$42))</f>
        <v/>
      </c>
      <c r="AC909">
        <f>IF(AND(AA909&gt;0,AB909&gt;=Controls!$B$39*AA909),1,0)</f>
        <v/>
      </c>
      <c r="AD909">
        <f>IF(AND(E909&lt;&gt;"",E909&gt;=Controls!$B$37,E909&lt;=Controls!$B$38),1,0)</f>
        <v/>
      </c>
      <c r="AE909">
        <f>IF(IFERROR(VLOOKUP(D909,Controls!$A$64:$E$74,2,FALSE),"No")="Yes",1,0)</f>
        <v/>
      </c>
      <c r="AF909">
        <f>IF(IFERROR(VLOOKUP(D909,Controls!$A$64:$E$74,3,FALSE),"No")="Yes",1,0)</f>
        <v/>
      </c>
      <c r="AG909">
        <f>IF(IFERROR(VLOOKUP(D909,Controls!$A$64:$E$74,4,FALSE),"No")="Yes",1,0)</f>
        <v/>
      </c>
      <c r="AH909">
        <f>IF(IFERROR(VLOOKUP(D909,Controls!$A$64:$E$74,5,FALSE),"No")="Yes",1,0)</f>
        <v/>
      </c>
      <c r="AI909">
        <f>IF(ISNUMBER(MATCH(D909,Controls!$A$64:$A$74,0)),1,0)</f>
        <v/>
      </c>
      <c r="AJ909">
        <f>Q909-N909</f>
        <v/>
      </c>
      <c r="AK909">
        <f>IF(AE909=1,MAX(0,N909-Q909),0)</f>
        <v/>
      </c>
      <c r="AL909">
        <f>IF(OR(V909="",V909=0),0,N909/V909)</f>
        <v/>
      </c>
      <c r="AM909">
        <f>IF(OR(V909="",V909=0),0,1)</f>
        <v/>
      </c>
      <c r="AN909">
        <f>IF(OR(E909="",F909=""),0,NETWORKDAYS(E909,F909,Ref!$K$2:$K$42))</f>
        <v/>
      </c>
      <c r="AO909">
        <f>IF(L909="Renewal",1,0)</f>
        <v/>
      </c>
      <c r="AP909">
        <f>AC909*AD909</f>
        <v/>
      </c>
      <c r="AQ909">
        <f>IF(AND(G909&lt;&gt;"",'Historical Score'!$C$6&lt;&gt;""),IF(G909='Historical Score'!$C$6,1,0),0)</f>
        <v/>
      </c>
      <c r="AR909">
        <f>IF(AND(L909&lt;&gt;"",'Historical Score'!$C$5&lt;&gt;""),IF(L909='Historical Score'!$C$5,1,0),0)</f>
        <v/>
      </c>
      <c r="AS909">
        <f>IF(AND(Y909&lt;&gt;"",'Historical Score'!$C$7&lt;&gt;""),IF(Y909='Historical Score'!$C$7,1,0),0)</f>
        <v/>
      </c>
      <c r="AT909">
        <f>IF(AND(K909&lt;&gt;"",'Historical Score'!$C$8&lt;&gt;""),IF(K909='Historical Score'!$C$8,1,0),0)</f>
        <v/>
      </c>
      <c r="AU909">
        <f>IF(AND(J909&lt;&gt;"",'Historical Score'!$C$9&lt;&gt;""),IF(J909='Historical Score'!$C$9,1,0),0)</f>
        <v/>
      </c>
      <c r="AV909">
        <f>AR909*AS909*AQ909</f>
        <v/>
      </c>
      <c r="AW909">
        <f>AR909*AT909*AQ909</f>
        <v/>
      </c>
      <c r="AX909">
        <f>AR909*AS909</f>
        <v/>
      </c>
      <c r="AY909">
        <f>AR909*AT909</f>
        <v/>
      </c>
      <c r="AZ909">
        <f>AR909*AQ909</f>
        <v/>
      </c>
      <c r="BA909">
        <f>AR909</f>
        <v/>
      </c>
      <c r="BB909">
        <f>1</f>
        <v/>
      </c>
      <c r="BC909">
        <f>IF(AV909=1,1,IF(AW909=1,2,IF(AX909=1,3,IF(AY909=1,4,IF(AZ909=1,5,IF(BA909=1,6,7))))))</f>
        <v/>
      </c>
      <c r="BD909">
        <f>IF(AD909=1,CHOOSE('Historical Score'!$C$29,AV909,AW909,AX909,AY909,AZ909,BA909,BB909),0)</f>
        <v/>
      </c>
      <c r="BE909">
        <f>IF(BD909=1,COUNTIF($BD$2:BD909,1),"")</f>
        <v/>
      </c>
    </row>
    <row r="910">
      <c r="A910" t="inlineStr">
        <is>
          <t>5674184447</t>
        </is>
      </c>
      <c r="B910" t="inlineStr">
        <is>
          <t>K &amp; R DEVELOPMENT</t>
        </is>
      </c>
      <c r="C910" t="inlineStr">
        <is>
          <t>K &amp; R DEVELOPMENT LLC</t>
        </is>
      </c>
      <c r="D910" t="inlineStr">
        <is>
          <t>Legal</t>
        </is>
      </c>
      <c r="E910" s="297" t="n">
        <v>46171</v>
      </c>
      <c r="F910" s="297" t="n">
        <v>46245</v>
      </c>
      <c r="G910" t="n">
        <v>3</v>
      </c>
      <c r="H910" t="inlineStr">
        <is>
          <t>6531</t>
        </is>
      </c>
      <c r="I910" t="inlineStr">
        <is>
          <t>65</t>
        </is>
      </c>
      <c r="J910" t="inlineStr">
        <is>
          <t>SC</t>
        </is>
      </c>
      <c r="K910" t="inlineStr">
        <is>
          <t>bridge consolidation</t>
        </is>
      </c>
      <c r="L910" t="inlineStr">
        <is>
          <t>Renewal</t>
        </is>
      </c>
      <c r="M910" s="298" t="n">
        <v>1.50612903</v>
      </c>
      <c r="N910" s="299" t="n">
        <v>155000</v>
      </c>
      <c r="O910" s="299" t="n">
        <v>0</v>
      </c>
      <c r="P910" s="299" t="n">
        <v>233449.99965</v>
      </c>
      <c r="Q910" s="299" t="n">
        <v>35051.8</v>
      </c>
      <c r="R910" s="299" t="n">
        <v>198398.19965</v>
      </c>
      <c r="S910" s="300" t="n">
        <v>0.15014692676184</v>
      </c>
      <c r="T910" t="n">
        <v>29</v>
      </c>
      <c r="U910" t="n">
        <v>9</v>
      </c>
      <c r="V910" t="n">
        <v>1026941.41</v>
      </c>
      <c r="W910" s="300" t="n">
        <v>0.0844</v>
      </c>
      <c r="X910" s="297" t="n">
        <v>43520</v>
      </c>
      <c r="Y910">
        <f>IF(I910="","No SIC",IFERROR(VLOOKUP(I910,Ref!$A$2:$B$65,2,FALSE),"Unclassified"))</f>
        <v/>
      </c>
      <c r="Z910">
        <f>IF(T910="","",IF(T910&lt;12,"Daily","Weekly"))</f>
        <v/>
      </c>
      <c r="AA910">
        <f>IF(T910="",0,IF(T910&lt;12,T910*Controls!$B$29,T910*5))</f>
        <v/>
      </c>
      <c r="AB910">
        <f>IF(E910="",0,NETWORKDAYS(E910,Controls!$B$36,Ref!$K$2:$K$42))</f>
        <v/>
      </c>
      <c r="AC910">
        <f>IF(AND(AA910&gt;0,AB910&gt;=Controls!$B$39*AA910),1,0)</f>
        <v/>
      </c>
      <c r="AD910">
        <f>IF(AND(E910&lt;&gt;"",E910&gt;=Controls!$B$37,E910&lt;=Controls!$B$38),1,0)</f>
        <v/>
      </c>
      <c r="AE910">
        <f>IF(IFERROR(VLOOKUP(D910,Controls!$A$64:$E$74,2,FALSE),"No")="Yes",1,0)</f>
        <v/>
      </c>
      <c r="AF910">
        <f>IF(IFERROR(VLOOKUP(D910,Controls!$A$64:$E$74,3,FALSE),"No")="Yes",1,0)</f>
        <v/>
      </c>
      <c r="AG910">
        <f>IF(IFERROR(VLOOKUP(D910,Controls!$A$64:$E$74,4,FALSE),"No")="Yes",1,0)</f>
        <v/>
      </c>
      <c r="AH910">
        <f>IF(IFERROR(VLOOKUP(D910,Controls!$A$64:$E$74,5,FALSE),"No")="Yes",1,0)</f>
        <v/>
      </c>
      <c r="AI910">
        <f>IF(ISNUMBER(MATCH(D910,Controls!$A$64:$A$74,0)),1,0)</f>
        <v/>
      </c>
      <c r="AJ910">
        <f>Q910-N910</f>
        <v/>
      </c>
      <c r="AK910">
        <f>IF(AE910=1,MAX(0,N910-Q910),0)</f>
        <v/>
      </c>
      <c r="AL910">
        <f>IF(OR(V910="",V910=0),0,N910/V910)</f>
        <v/>
      </c>
      <c r="AM910">
        <f>IF(OR(V910="",V910=0),0,1)</f>
        <v/>
      </c>
      <c r="AN910">
        <f>IF(OR(E910="",F910=""),0,NETWORKDAYS(E910,F910,Ref!$K$2:$K$42))</f>
        <v/>
      </c>
      <c r="AO910">
        <f>IF(L910="Renewal",1,0)</f>
        <v/>
      </c>
      <c r="AP910">
        <f>AC910*AD910</f>
        <v/>
      </c>
      <c r="AQ910">
        <f>IF(AND(G910&lt;&gt;"",'Historical Score'!$C$6&lt;&gt;""),IF(G910='Historical Score'!$C$6,1,0),0)</f>
        <v/>
      </c>
      <c r="AR910">
        <f>IF(AND(L910&lt;&gt;"",'Historical Score'!$C$5&lt;&gt;""),IF(L910='Historical Score'!$C$5,1,0),0)</f>
        <v/>
      </c>
      <c r="AS910">
        <f>IF(AND(Y910&lt;&gt;"",'Historical Score'!$C$7&lt;&gt;""),IF(Y910='Historical Score'!$C$7,1,0),0)</f>
        <v/>
      </c>
      <c r="AT910">
        <f>IF(AND(K910&lt;&gt;"",'Historical Score'!$C$8&lt;&gt;""),IF(K910='Historical Score'!$C$8,1,0),0)</f>
        <v/>
      </c>
      <c r="AU910">
        <f>IF(AND(J910&lt;&gt;"",'Historical Score'!$C$9&lt;&gt;""),IF(J910='Historical Score'!$C$9,1,0),0)</f>
        <v/>
      </c>
      <c r="AV910">
        <f>AR910*AS910*AQ910</f>
        <v/>
      </c>
      <c r="AW910">
        <f>AR910*AT910*AQ910</f>
        <v/>
      </c>
      <c r="AX910">
        <f>AR910*AS910</f>
        <v/>
      </c>
      <c r="AY910">
        <f>AR910*AT910</f>
        <v/>
      </c>
      <c r="AZ910">
        <f>AR910*AQ910</f>
        <v/>
      </c>
      <c r="BA910">
        <f>AR910</f>
        <v/>
      </c>
      <c r="BB910">
        <f>1</f>
        <v/>
      </c>
      <c r="BC910">
        <f>IF(AV910=1,1,IF(AW910=1,2,IF(AX910=1,3,IF(AY910=1,4,IF(AZ910=1,5,IF(BA910=1,6,7))))))</f>
        <v/>
      </c>
      <c r="BD910">
        <f>IF(AD910=1,CHOOSE('Historical Score'!$C$29,AV910,AW910,AX910,AY910,AZ910,BA910,BB910),0)</f>
        <v/>
      </c>
      <c r="BE910">
        <f>IF(BD910=1,COUNTIF($BD$2:BD910,1),"")</f>
        <v/>
      </c>
    </row>
    <row r="911">
      <c r="A911" t="inlineStr">
        <is>
          <t>5674184485</t>
        </is>
      </c>
      <c r="B911" t="inlineStr">
        <is>
          <t>ELSE NUTRITION</t>
        </is>
      </c>
      <c r="C911" t="inlineStr">
        <is>
          <t>ELSE NUTRITION USA INC</t>
        </is>
      </c>
      <c r="D911" t="inlineStr">
        <is>
          <t>Open</t>
        </is>
      </c>
      <c r="E911" s="297" t="n">
        <v>46171</v>
      </c>
      <c r="F911" s="297" t="n">
        <v>46247</v>
      </c>
      <c r="G911" t="n">
        <v>3</v>
      </c>
      <c r="H911" t="inlineStr">
        <is>
          <t>5131</t>
        </is>
      </c>
      <c r="I911" t="inlineStr">
        <is>
          <t>51</t>
        </is>
      </c>
      <c r="J911" t="inlineStr">
        <is>
          <t>OH</t>
        </is>
      </c>
      <c r="K911" t="inlineStr">
        <is>
          <t>PMF</t>
        </is>
      </c>
      <c r="L911" t="inlineStr">
        <is>
          <t>New Deal</t>
        </is>
      </c>
      <c r="M911" s="298" t="n">
        <v>1.35</v>
      </c>
      <c r="N911" s="299" t="n">
        <v>110000</v>
      </c>
      <c r="O911" s="299" t="n">
        <v>7700</v>
      </c>
      <c r="P911" s="299" t="n">
        <v>148500</v>
      </c>
      <c r="Q911" s="299" t="n">
        <v>49531.46</v>
      </c>
      <c r="R911" s="299" t="n">
        <v>98968.53999999999</v>
      </c>
      <c r="S911" s="300" t="n">
        <v>0.333545185185185</v>
      </c>
      <c r="T911" t="n">
        <v>33</v>
      </c>
      <c r="U911" t="n">
        <v>0</v>
      </c>
      <c r="V911" t="n">
        <v>182609.78</v>
      </c>
      <c r="W911" s="300" t="n">
        <v>0.0633</v>
      </c>
      <c r="X911" s="297" t="n">
        <v>43831</v>
      </c>
      <c r="Y911">
        <f>IF(I911="","No SIC",IFERROR(VLOOKUP(I911,Ref!$A$2:$B$65,2,FALSE),"Unclassified"))</f>
        <v/>
      </c>
      <c r="Z911">
        <f>IF(T911="","",IF(T911&lt;12,"Daily","Weekly"))</f>
        <v/>
      </c>
      <c r="AA911">
        <f>IF(T911="",0,IF(T911&lt;12,T911*Controls!$B$29,T911*5))</f>
        <v/>
      </c>
      <c r="AB911">
        <f>IF(E911="",0,NETWORKDAYS(E911,Controls!$B$36,Ref!$K$2:$K$42))</f>
        <v/>
      </c>
      <c r="AC911">
        <f>IF(AND(AA911&gt;0,AB911&gt;=Controls!$B$39*AA911),1,0)</f>
        <v/>
      </c>
      <c r="AD911">
        <f>IF(AND(E911&lt;&gt;"",E911&gt;=Controls!$B$37,E911&lt;=Controls!$B$38),1,0)</f>
        <v/>
      </c>
      <c r="AE911">
        <f>IF(IFERROR(VLOOKUP(D911,Controls!$A$64:$E$74,2,FALSE),"No")="Yes",1,0)</f>
        <v/>
      </c>
      <c r="AF911">
        <f>IF(IFERROR(VLOOKUP(D911,Controls!$A$64:$E$74,3,FALSE),"No")="Yes",1,0)</f>
        <v/>
      </c>
      <c r="AG911">
        <f>IF(IFERROR(VLOOKUP(D911,Controls!$A$64:$E$74,4,FALSE),"No")="Yes",1,0)</f>
        <v/>
      </c>
      <c r="AH911">
        <f>IF(IFERROR(VLOOKUP(D911,Controls!$A$64:$E$74,5,FALSE),"No")="Yes",1,0)</f>
        <v/>
      </c>
      <c r="AI911">
        <f>IF(ISNUMBER(MATCH(D911,Controls!$A$64:$A$74,0)),1,0)</f>
        <v/>
      </c>
      <c r="AJ911">
        <f>Q911-N911</f>
        <v/>
      </c>
      <c r="AK911">
        <f>IF(AE911=1,MAX(0,N911-Q911),0)</f>
        <v/>
      </c>
      <c r="AL911">
        <f>IF(OR(V911="",V911=0),0,N911/V911)</f>
        <v/>
      </c>
      <c r="AM911">
        <f>IF(OR(V911="",V911=0),0,1)</f>
        <v/>
      </c>
      <c r="AN911">
        <f>IF(OR(E911="",F911=""),0,NETWORKDAYS(E911,F911,Ref!$K$2:$K$42))</f>
        <v/>
      </c>
      <c r="AO911">
        <f>IF(L911="Renewal",1,0)</f>
        <v/>
      </c>
      <c r="AP911">
        <f>AC911*AD911</f>
        <v/>
      </c>
      <c r="AQ911">
        <f>IF(AND(G911&lt;&gt;"",'Historical Score'!$C$6&lt;&gt;""),IF(G911='Historical Score'!$C$6,1,0),0)</f>
        <v/>
      </c>
      <c r="AR911">
        <f>IF(AND(L911&lt;&gt;"",'Historical Score'!$C$5&lt;&gt;""),IF(L911='Historical Score'!$C$5,1,0),0)</f>
        <v/>
      </c>
      <c r="AS911">
        <f>IF(AND(Y911&lt;&gt;"",'Historical Score'!$C$7&lt;&gt;""),IF(Y911='Historical Score'!$C$7,1,0),0)</f>
        <v/>
      </c>
      <c r="AT911">
        <f>IF(AND(K911&lt;&gt;"",'Historical Score'!$C$8&lt;&gt;""),IF(K911='Historical Score'!$C$8,1,0),0)</f>
        <v/>
      </c>
      <c r="AU911">
        <f>IF(AND(J911&lt;&gt;"",'Historical Score'!$C$9&lt;&gt;""),IF(J911='Historical Score'!$C$9,1,0),0)</f>
        <v/>
      </c>
      <c r="AV911">
        <f>AR911*AS911*AQ911</f>
        <v/>
      </c>
      <c r="AW911">
        <f>AR911*AT911*AQ911</f>
        <v/>
      </c>
      <c r="AX911">
        <f>AR911*AS911</f>
        <v/>
      </c>
      <c r="AY911">
        <f>AR911*AT911</f>
        <v/>
      </c>
      <c r="AZ911">
        <f>AR911*AQ911</f>
        <v/>
      </c>
      <c r="BA911">
        <f>AR911</f>
        <v/>
      </c>
      <c r="BB911">
        <f>1</f>
        <v/>
      </c>
      <c r="BC911">
        <f>IF(AV911=1,1,IF(AW911=1,2,IF(AX911=1,3,IF(AY911=1,4,IF(AZ911=1,5,IF(BA911=1,6,7))))))</f>
        <v/>
      </c>
      <c r="BD911">
        <f>IF(AD911=1,CHOOSE('Historical Score'!$C$29,AV911,AW911,AX911,AY911,AZ911,BA911,BB911),0)</f>
        <v/>
      </c>
      <c r="BE911">
        <f>IF(BD911=1,COUNTIF($BD$2:BD911,1),"")</f>
        <v/>
      </c>
    </row>
    <row r="912">
      <c r="A912" t="inlineStr">
        <is>
          <t>5674184501</t>
        </is>
      </c>
      <c r="B912" t="inlineStr">
        <is>
          <t>TITAN MECHANICAL LLC</t>
        </is>
      </c>
      <c r="C912" t="inlineStr">
        <is>
          <t>TITAN MECHANICAL LLC</t>
        </is>
      </c>
      <c r="D912" t="inlineStr">
        <is>
          <t>Open</t>
        </is>
      </c>
      <c r="E912" s="297" t="n">
        <v>46171</v>
      </c>
      <c r="F912" s="297" t="n">
        <v>46248</v>
      </c>
      <c r="G912" t="n">
        <v>3</v>
      </c>
      <c r="H912" t="inlineStr">
        <is>
          <t>1799</t>
        </is>
      </c>
      <c r="I912" t="inlineStr">
        <is>
          <t>17</t>
        </is>
      </c>
      <c r="J912" t="inlineStr">
        <is>
          <t>TX</t>
        </is>
      </c>
      <c r="K912" t="inlineStr">
        <is>
          <t>PMF</t>
        </is>
      </c>
      <c r="L912" t="inlineStr">
        <is>
          <t>New Deal</t>
        </is>
      </c>
      <c r="M912" s="298" t="n">
        <v>1.41</v>
      </c>
      <c r="N912" s="299" t="n">
        <v>60000</v>
      </c>
      <c r="O912" s="299" t="n">
        <v>6000</v>
      </c>
      <c r="P912" s="299" t="n">
        <v>84600</v>
      </c>
      <c r="Q912" s="299" t="n">
        <v>25832.62</v>
      </c>
      <c r="R912" s="299" t="n">
        <v>58767.38</v>
      </c>
      <c r="S912" s="300" t="n">
        <v>0.30535011820331</v>
      </c>
      <c r="T912" t="n">
        <v>36</v>
      </c>
      <c r="U912" t="n">
        <v>0</v>
      </c>
      <c r="V912" t="n">
        <v>138345.67</v>
      </c>
      <c r="W912" s="300" t="n">
        <v>0.0679</v>
      </c>
      <c r="X912" s="297" t="n">
        <v>39083</v>
      </c>
      <c r="Y912">
        <f>IF(I912="","No SIC",IFERROR(VLOOKUP(I912,Ref!$A$2:$B$65,2,FALSE),"Unclassified"))</f>
        <v/>
      </c>
      <c r="Z912">
        <f>IF(T912="","",IF(T912&lt;12,"Daily","Weekly"))</f>
        <v/>
      </c>
      <c r="AA912">
        <f>IF(T912="",0,IF(T912&lt;12,T912*Controls!$B$29,T912*5))</f>
        <v/>
      </c>
      <c r="AB912">
        <f>IF(E912="",0,NETWORKDAYS(E912,Controls!$B$36,Ref!$K$2:$K$42))</f>
        <v/>
      </c>
      <c r="AC912">
        <f>IF(AND(AA912&gt;0,AB912&gt;=Controls!$B$39*AA912),1,0)</f>
        <v/>
      </c>
      <c r="AD912">
        <f>IF(AND(E912&lt;&gt;"",E912&gt;=Controls!$B$37,E912&lt;=Controls!$B$38),1,0)</f>
        <v/>
      </c>
      <c r="AE912">
        <f>IF(IFERROR(VLOOKUP(D912,Controls!$A$64:$E$74,2,FALSE),"No")="Yes",1,0)</f>
        <v/>
      </c>
      <c r="AF912">
        <f>IF(IFERROR(VLOOKUP(D912,Controls!$A$64:$E$74,3,FALSE),"No")="Yes",1,0)</f>
        <v/>
      </c>
      <c r="AG912">
        <f>IF(IFERROR(VLOOKUP(D912,Controls!$A$64:$E$74,4,FALSE),"No")="Yes",1,0)</f>
        <v/>
      </c>
      <c r="AH912">
        <f>IF(IFERROR(VLOOKUP(D912,Controls!$A$64:$E$74,5,FALSE),"No")="Yes",1,0)</f>
        <v/>
      </c>
      <c r="AI912">
        <f>IF(ISNUMBER(MATCH(D912,Controls!$A$64:$A$74,0)),1,0)</f>
        <v/>
      </c>
      <c r="AJ912">
        <f>Q912-N912</f>
        <v/>
      </c>
      <c r="AK912">
        <f>IF(AE912=1,MAX(0,N912-Q912),0)</f>
        <v/>
      </c>
      <c r="AL912">
        <f>IF(OR(V912="",V912=0),0,N912/V912)</f>
        <v/>
      </c>
      <c r="AM912">
        <f>IF(OR(V912="",V912=0),0,1)</f>
        <v/>
      </c>
      <c r="AN912">
        <f>IF(OR(E912="",F912=""),0,NETWORKDAYS(E912,F912,Ref!$K$2:$K$42))</f>
        <v/>
      </c>
      <c r="AO912">
        <f>IF(L912="Renewal",1,0)</f>
        <v/>
      </c>
      <c r="AP912">
        <f>AC912*AD912</f>
        <v/>
      </c>
      <c r="AQ912">
        <f>IF(AND(G912&lt;&gt;"",'Historical Score'!$C$6&lt;&gt;""),IF(G912='Historical Score'!$C$6,1,0),0)</f>
        <v/>
      </c>
      <c r="AR912">
        <f>IF(AND(L912&lt;&gt;"",'Historical Score'!$C$5&lt;&gt;""),IF(L912='Historical Score'!$C$5,1,0),0)</f>
        <v/>
      </c>
      <c r="AS912">
        <f>IF(AND(Y912&lt;&gt;"",'Historical Score'!$C$7&lt;&gt;""),IF(Y912='Historical Score'!$C$7,1,0),0)</f>
        <v/>
      </c>
      <c r="AT912">
        <f>IF(AND(K912&lt;&gt;"",'Historical Score'!$C$8&lt;&gt;""),IF(K912='Historical Score'!$C$8,1,0),0)</f>
        <v/>
      </c>
      <c r="AU912">
        <f>IF(AND(J912&lt;&gt;"",'Historical Score'!$C$9&lt;&gt;""),IF(J912='Historical Score'!$C$9,1,0),0)</f>
        <v/>
      </c>
      <c r="AV912">
        <f>AR912*AS912*AQ912</f>
        <v/>
      </c>
      <c r="AW912">
        <f>AR912*AT912*AQ912</f>
        <v/>
      </c>
      <c r="AX912">
        <f>AR912*AS912</f>
        <v/>
      </c>
      <c r="AY912">
        <f>AR912*AT912</f>
        <v/>
      </c>
      <c r="AZ912">
        <f>AR912*AQ912</f>
        <v/>
      </c>
      <c r="BA912">
        <f>AR912</f>
        <v/>
      </c>
      <c r="BB912">
        <f>1</f>
        <v/>
      </c>
      <c r="BC912">
        <f>IF(AV912=1,1,IF(AW912=1,2,IF(AX912=1,3,IF(AY912=1,4,IF(AZ912=1,5,IF(BA912=1,6,7))))))</f>
        <v/>
      </c>
      <c r="BD912">
        <f>IF(AD912=1,CHOOSE('Historical Score'!$C$29,AV912,AW912,AX912,AY912,AZ912,BA912,BB912),0)</f>
        <v/>
      </c>
      <c r="BE912">
        <f>IF(BD912=1,COUNTIF($BD$2:BD912,1),"")</f>
        <v/>
      </c>
    </row>
    <row r="913">
      <c r="A913" t="inlineStr">
        <is>
          <t>5674184525</t>
        </is>
      </c>
      <c r="B913" t="inlineStr">
        <is>
          <t>TG SPORTSMANS CLUB</t>
        </is>
      </c>
      <c r="C913" t="inlineStr">
        <is>
          <t>TG SPORTSMANS CLUB</t>
        </is>
      </c>
      <c r="D913" t="inlineStr">
        <is>
          <t>Open</t>
        </is>
      </c>
      <c r="E913" s="297" t="n">
        <v>46171</v>
      </c>
      <c r="F913" s="297" t="n">
        <v>46253</v>
      </c>
      <c r="G913" t="n">
        <v>2</v>
      </c>
      <c r="H913" t="inlineStr">
        <is>
          <t>5999</t>
        </is>
      </c>
      <c r="I913" t="inlineStr">
        <is>
          <t>59</t>
        </is>
      </c>
      <c r="J913" t="inlineStr">
        <is>
          <t>MO</t>
        </is>
      </c>
      <c r="K913" t="inlineStr">
        <is>
          <t>National Business Capital</t>
        </is>
      </c>
      <c r="L913" t="inlineStr">
        <is>
          <t>New Deal</t>
        </is>
      </c>
      <c r="M913" s="298" t="n">
        <v>1.49</v>
      </c>
      <c r="N913" s="299" t="n">
        <v>20000</v>
      </c>
      <c r="O913" s="299" t="n">
        <v>2800</v>
      </c>
      <c r="P913" s="299" t="n">
        <v>29800</v>
      </c>
      <c r="Q913" s="299" t="n">
        <v>9622.879999999999</v>
      </c>
      <c r="R913" s="299" t="n">
        <v>20177.12</v>
      </c>
      <c r="S913" s="300" t="n">
        <v>0.322915436241611</v>
      </c>
      <c r="T913" t="n">
        <v>26</v>
      </c>
      <c r="U913" t="n">
        <v>8</v>
      </c>
      <c r="V913" t="n">
        <v>26094.92</v>
      </c>
      <c r="W913" s="300" t="n">
        <v>0.1757</v>
      </c>
      <c r="X913" s="297" t="n">
        <v>41430</v>
      </c>
      <c r="Y913">
        <f>IF(I913="","No SIC",IFERROR(VLOOKUP(I913,Ref!$A$2:$B$65,2,FALSE),"Unclassified"))</f>
        <v/>
      </c>
      <c r="Z913">
        <f>IF(T913="","",IF(T913&lt;12,"Daily","Weekly"))</f>
        <v/>
      </c>
      <c r="AA913">
        <f>IF(T913="",0,IF(T913&lt;12,T913*Controls!$B$29,T913*5))</f>
        <v/>
      </c>
      <c r="AB913">
        <f>IF(E913="",0,NETWORKDAYS(E913,Controls!$B$36,Ref!$K$2:$K$42))</f>
        <v/>
      </c>
      <c r="AC913">
        <f>IF(AND(AA913&gt;0,AB913&gt;=Controls!$B$39*AA913),1,0)</f>
        <v/>
      </c>
      <c r="AD913">
        <f>IF(AND(E913&lt;&gt;"",E913&gt;=Controls!$B$37,E913&lt;=Controls!$B$38),1,0)</f>
        <v/>
      </c>
      <c r="AE913">
        <f>IF(IFERROR(VLOOKUP(D913,Controls!$A$64:$E$74,2,FALSE),"No")="Yes",1,0)</f>
        <v/>
      </c>
      <c r="AF913">
        <f>IF(IFERROR(VLOOKUP(D913,Controls!$A$64:$E$74,3,FALSE),"No")="Yes",1,0)</f>
        <v/>
      </c>
      <c r="AG913">
        <f>IF(IFERROR(VLOOKUP(D913,Controls!$A$64:$E$74,4,FALSE),"No")="Yes",1,0)</f>
        <v/>
      </c>
      <c r="AH913">
        <f>IF(IFERROR(VLOOKUP(D913,Controls!$A$64:$E$74,5,FALSE),"No")="Yes",1,0)</f>
        <v/>
      </c>
      <c r="AI913">
        <f>IF(ISNUMBER(MATCH(D913,Controls!$A$64:$A$74,0)),1,0)</f>
        <v/>
      </c>
      <c r="AJ913">
        <f>Q913-N913</f>
        <v/>
      </c>
      <c r="AK913">
        <f>IF(AE913=1,MAX(0,N913-Q913),0)</f>
        <v/>
      </c>
      <c r="AL913">
        <f>IF(OR(V913="",V913=0),0,N913/V913)</f>
        <v/>
      </c>
      <c r="AM913">
        <f>IF(OR(V913="",V913=0),0,1)</f>
        <v/>
      </c>
      <c r="AN913">
        <f>IF(OR(E913="",F913=""),0,NETWORKDAYS(E913,F913,Ref!$K$2:$K$42))</f>
        <v/>
      </c>
      <c r="AO913">
        <f>IF(L913="Renewal",1,0)</f>
        <v/>
      </c>
      <c r="AP913">
        <f>AC913*AD913</f>
        <v/>
      </c>
      <c r="AQ913">
        <f>IF(AND(G913&lt;&gt;"",'Historical Score'!$C$6&lt;&gt;""),IF(G913='Historical Score'!$C$6,1,0),0)</f>
        <v/>
      </c>
      <c r="AR913">
        <f>IF(AND(L913&lt;&gt;"",'Historical Score'!$C$5&lt;&gt;""),IF(L913='Historical Score'!$C$5,1,0),0)</f>
        <v/>
      </c>
      <c r="AS913">
        <f>IF(AND(Y913&lt;&gt;"",'Historical Score'!$C$7&lt;&gt;""),IF(Y913='Historical Score'!$C$7,1,0),0)</f>
        <v/>
      </c>
      <c r="AT913">
        <f>IF(AND(K913&lt;&gt;"",'Historical Score'!$C$8&lt;&gt;""),IF(K913='Historical Score'!$C$8,1,0),0)</f>
        <v/>
      </c>
      <c r="AU913">
        <f>IF(AND(J913&lt;&gt;"",'Historical Score'!$C$9&lt;&gt;""),IF(J913='Historical Score'!$C$9,1,0),0)</f>
        <v/>
      </c>
      <c r="AV913">
        <f>AR913*AS913*AQ913</f>
        <v/>
      </c>
      <c r="AW913">
        <f>AR913*AT913*AQ913</f>
        <v/>
      </c>
      <c r="AX913">
        <f>AR913*AS913</f>
        <v/>
      </c>
      <c r="AY913">
        <f>AR913*AT913</f>
        <v/>
      </c>
      <c r="AZ913">
        <f>AR913*AQ913</f>
        <v/>
      </c>
      <c r="BA913">
        <f>AR913</f>
        <v/>
      </c>
      <c r="BB913">
        <f>1</f>
        <v/>
      </c>
      <c r="BC913">
        <f>IF(AV913=1,1,IF(AW913=1,2,IF(AX913=1,3,IF(AY913=1,4,IF(AZ913=1,5,IF(BA913=1,6,7))))))</f>
        <v/>
      </c>
      <c r="BD913">
        <f>IF(AD913=1,CHOOSE('Historical Score'!$C$29,AV913,AW913,AX913,AY913,AZ913,BA913,BB913),0)</f>
        <v/>
      </c>
      <c r="BE913">
        <f>IF(BD913=1,COUNTIF($BD$2:BD913,1),"")</f>
        <v/>
      </c>
    </row>
    <row r="914">
      <c r="A914" t="inlineStr">
        <is>
          <t>5674184534</t>
        </is>
      </c>
      <c r="B914" t="inlineStr">
        <is>
          <t>A&amp;W Restaurant</t>
        </is>
      </c>
      <c r="C914" t="inlineStr">
        <is>
          <t>All American fast food inc</t>
        </is>
      </c>
      <c r="D914" t="inlineStr">
        <is>
          <t>In House Collection</t>
        </is>
      </c>
      <c r="E914" s="297" t="n">
        <v>46171</v>
      </c>
      <c r="F914" s="297" t="n">
        <v>46227</v>
      </c>
      <c r="G914" t="n">
        <v>3</v>
      </c>
      <c r="H914" t="inlineStr">
        <is>
          <t>5812</t>
        </is>
      </c>
      <c r="I914" t="inlineStr">
        <is>
          <t>58</t>
        </is>
      </c>
      <c r="J914" t="inlineStr">
        <is>
          <t>MI</t>
        </is>
      </c>
      <c r="K914" t="inlineStr">
        <is>
          <t>Fidelity Funding</t>
        </is>
      </c>
      <c r="L914" t="inlineStr">
        <is>
          <t>New Deal</t>
        </is>
      </c>
      <c r="M914" s="298" t="n">
        <v>1.49</v>
      </c>
      <c r="N914" s="299" t="n">
        <v>20000</v>
      </c>
      <c r="O914" s="299" t="n">
        <v>2800</v>
      </c>
      <c r="P914" s="299" t="n">
        <v>29800</v>
      </c>
      <c r="Q914" s="299" t="n">
        <v>4770</v>
      </c>
      <c r="R914" s="299" t="n">
        <v>25030</v>
      </c>
      <c r="S914" s="300" t="n">
        <v>0.16006711409396</v>
      </c>
      <c r="T914" t="n">
        <v>25</v>
      </c>
      <c r="U914" t="n">
        <v>4</v>
      </c>
      <c r="V914" t="n">
        <v>68000</v>
      </c>
      <c r="W914" s="300" t="n">
        <v>0.053</v>
      </c>
      <c r="X914" s="297" t="n">
        <v>44275</v>
      </c>
      <c r="Y914">
        <f>IF(I914="","No SIC",IFERROR(VLOOKUP(I914,Ref!$A$2:$B$65,2,FALSE),"Unclassified"))</f>
        <v/>
      </c>
      <c r="Z914">
        <f>IF(T914="","",IF(T914&lt;12,"Daily","Weekly"))</f>
        <v/>
      </c>
      <c r="AA914">
        <f>IF(T914="",0,IF(T914&lt;12,T914*Controls!$B$29,T914*5))</f>
        <v/>
      </c>
      <c r="AB914">
        <f>IF(E914="",0,NETWORKDAYS(E914,Controls!$B$36,Ref!$K$2:$K$42))</f>
        <v/>
      </c>
      <c r="AC914">
        <f>IF(AND(AA914&gt;0,AB914&gt;=Controls!$B$39*AA914),1,0)</f>
        <v/>
      </c>
      <c r="AD914">
        <f>IF(AND(E914&lt;&gt;"",E914&gt;=Controls!$B$37,E914&lt;=Controls!$B$38),1,0)</f>
        <v/>
      </c>
      <c r="AE914">
        <f>IF(IFERROR(VLOOKUP(D914,Controls!$A$64:$E$74,2,FALSE),"No")="Yes",1,0)</f>
        <v/>
      </c>
      <c r="AF914">
        <f>IF(IFERROR(VLOOKUP(D914,Controls!$A$64:$E$74,3,FALSE),"No")="Yes",1,0)</f>
        <v/>
      </c>
      <c r="AG914">
        <f>IF(IFERROR(VLOOKUP(D914,Controls!$A$64:$E$74,4,FALSE),"No")="Yes",1,0)</f>
        <v/>
      </c>
      <c r="AH914">
        <f>IF(IFERROR(VLOOKUP(D914,Controls!$A$64:$E$74,5,FALSE),"No")="Yes",1,0)</f>
        <v/>
      </c>
      <c r="AI914">
        <f>IF(ISNUMBER(MATCH(D914,Controls!$A$64:$A$74,0)),1,0)</f>
        <v/>
      </c>
      <c r="AJ914">
        <f>Q914-N914</f>
        <v/>
      </c>
      <c r="AK914">
        <f>IF(AE914=1,MAX(0,N914-Q914),0)</f>
        <v/>
      </c>
      <c r="AL914">
        <f>IF(OR(V914="",V914=0),0,N914/V914)</f>
        <v/>
      </c>
      <c r="AM914">
        <f>IF(OR(V914="",V914=0),0,1)</f>
        <v/>
      </c>
      <c r="AN914">
        <f>IF(OR(E914="",F914=""),0,NETWORKDAYS(E914,F914,Ref!$K$2:$K$42))</f>
        <v/>
      </c>
      <c r="AO914">
        <f>IF(L914="Renewal",1,0)</f>
        <v/>
      </c>
      <c r="AP914">
        <f>AC914*AD914</f>
        <v/>
      </c>
      <c r="AQ914">
        <f>IF(AND(G914&lt;&gt;"",'Historical Score'!$C$6&lt;&gt;""),IF(G914='Historical Score'!$C$6,1,0),0)</f>
        <v/>
      </c>
      <c r="AR914">
        <f>IF(AND(L914&lt;&gt;"",'Historical Score'!$C$5&lt;&gt;""),IF(L914='Historical Score'!$C$5,1,0),0)</f>
        <v/>
      </c>
      <c r="AS914">
        <f>IF(AND(Y914&lt;&gt;"",'Historical Score'!$C$7&lt;&gt;""),IF(Y914='Historical Score'!$C$7,1,0),0)</f>
        <v/>
      </c>
      <c r="AT914">
        <f>IF(AND(K914&lt;&gt;"",'Historical Score'!$C$8&lt;&gt;""),IF(K914='Historical Score'!$C$8,1,0),0)</f>
        <v/>
      </c>
      <c r="AU914">
        <f>IF(AND(J914&lt;&gt;"",'Historical Score'!$C$9&lt;&gt;""),IF(J914='Historical Score'!$C$9,1,0),0)</f>
        <v/>
      </c>
      <c r="AV914">
        <f>AR914*AS914*AQ914</f>
        <v/>
      </c>
      <c r="AW914">
        <f>AR914*AT914*AQ914</f>
        <v/>
      </c>
      <c r="AX914">
        <f>AR914*AS914</f>
        <v/>
      </c>
      <c r="AY914">
        <f>AR914*AT914</f>
        <v/>
      </c>
      <c r="AZ914">
        <f>AR914*AQ914</f>
        <v/>
      </c>
      <c r="BA914">
        <f>AR914</f>
        <v/>
      </c>
      <c r="BB914">
        <f>1</f>
        <v/>
      </c>
      <c r="BC914">
        <f>IF(AV914=1,1,IF(AW914=1,2,IF(AX914=1,3,IF(AY914=1,4,IF(AZ914=1,5,IF(BA914=1,6,7))))))</f>
        <v/>
      </c>
      <c r="BD914">
        <f>IF(AD914=1,CHOOSE('Historical Score'!$C$29,AV914,AW914,AX914,AY914,AZ914,BA914,BB914),0)</f>
        <v/>
      </c>
      <c r="BE914">
        <f>IF(BD914=1,COUNTIF($BD$2:BD914,1),"")</f>
        <v/>
      </c>
    </row>
    <row r="915">
      <c r="A915" t="inlineStr">
        <is>
          <t>5674184536</t>
        </is>
      </c>
      <c r="B915" t="inlineStr">
        <is>
          <t>Army Shop</t>
        </is>
      </c>
      <c r="C915" t="inlineStr">
        <is>
          <t>Army Shop</t>
        </is>
      </c>
      <c r="D915" t="inlineStr">
        <is>
          <t>Open</t>
        </is>
      </c>
      <c r="E915" s="297" t="n">
        <v>46171</v>
      </c>
      <c r="F915" s="297" t="n">
        <v>46251</v>
      </c>
      <c r="G915" t="n">
        <v>2</v>
      </c>
      <c r="H915" t="inlineStr">
        <is>
          <t>5999</t>
        </is>
      </c>
      <c r="I915" t="inlineStr">
        <is>
          <t>59</t>
        </is>
      </c>
      <c r="J915" t="inlineStr">
        <is>
          <t>NV</t>
        </is>
      </c>
      <c r="K915" t="inlineStr">
        <is>
          <t>PMF</t>
        </is>
      </c>
      <c r="L915" t="inlineStr">
        <is>
          <t>New Deal</t>
        </is>
      </c>
      <c r="M915" s="298" t="n">
        <v>1.49</v>
      </c>
      <c r="N915" s="299" t="n">
        <v>20000</v>
      </c>
      <c r="O915" s="299" t="n">
        <v>2800</v>
      </c>
      <c r="P915" s="299" t="n">
        <v>29800</v>
      </c>
      <c r="Q915" s="299" t="n">
        <v>14891.28</v>
      </c>
      <c r="R915" s="299" t="n">
        <v>14908.72</v>
      </c>
      <c r="S915" s="300" t="n">
        <v>0.499707382550336</v>
      </c>
      <c r="T915" t="n">
        <v>24</v>
      </c>
      <c r="U915" t="n">
        <v>0</v>
      </c>
      <c r="V915" t="n">
        <v>72042.77</v>
      </c>
      <c r="W915" s="300" t="n">
        <v>0.0689</v>
      </c>
      <c r="X915" s="297" t="n">
        <v>45320</v>
      </c>
      <c r="Y915">
        <f>IF(I915="","No SIC",IFERROR(VLOOKUP(I915,Ref!$A$2:$B$65,2,FALSE),"Unclassified"))</f>
        <v/>
      </c>
      <c r="Z915">
        <f>IF(T915="","",IF(T915&lt;12,"Daily","Weekly"))</f>
        <v/>
      </c>
      <c r="AA915">
        <f>IF(T915="",0,IF(T915&lt;12,T915*Controls!$B$29,T915*5))</f>
        <v/>
      </c>
      <c r="AB915">
        <f>IF(E915="",0,NETWORKDAYS(E915,Controls!$B$36,Ref!$K$2:$K$42))</f>
        <v/>
      </c>
      <c r="AC915">
        <f>IF(AND(AA915&gt;0,AB915&gt;=Controls!$B$39*AA915),1,0)</f>
        <v/>
      </c>
      <c r="AD915">
        <f>IF(AND(E915&lt;&gt;"",E915&gt;=Controls!$B$37,E915&lt;=Controls!$B$38),1,0)</f>
        <v/>
      </c>
      <c r="AE915">
        <f>IF(IFERROR(VLOOKUP(D915,Controls!$A$64:$E$74,2,FALSE),"No")="Yes",1,0)</f>
        <v/>
      </c>
      <c r="AF915">
        <f>IF(IFERROR(VLOOKUP(D915,Controls!$A$64:$E$74,3,FALSE),"No")="Yes",1,0)</f>
        <v/>
      </c>
      <c r="AG915">
        <f>IF(IFERROR(VLOOKUP(D915,Controls!$A$64:$E$74,4,FALSE),"No")="Yes",1,0)</f>
        <v/>
      </c>
      <c r="AH915">
        <f>IF(IFERROR(VLOOKUP(D915,Controls!$A$64:$E$74,5,FALSE),"No")="Yes",1,0)</f>
        <v/>
      </c>
      <c r="AI915">
        <f>IF(ISNUMBER(MATCH(D915,Controls!$A$64:$A$74,0)),1,0)</f>
        <v/>
      </c>
      <c r="AJ915">
        <f>Q915-N915</f>
        <v/>
      </c>
      <c r="AK915">
        <f>IF(AE915=1,MAX(0,N915-Q915),0)</f>
        <v/>
      </c>
      <c r="AL915">
        <f>IF(OR(V915="",V915=0),0,N915/V915)</f>
        <v/>
      </c>
      <c r="AM915">
        <f>IF(OR(V915="",V915=0),0,1)</f>
        <v/>
      </c>
      <c r="AN915">
        <f>IF(OR(E915="",F915=""),0,NETWORKDAYS(E915,F915,Ref!$K$2:$K$42))</f>
        <v/>
      </c>
      <c r="AO915">
        <f>IF(L915="Renewal",1,0)</f>
        <v/>
      </c>
      <c r="AP915">
        <f>AC915*AD915</f>
        <v/>
      </c>
      <c r="AQ915">
        <f>IF(AND(G915&lt;&gt;"",'Historical Score'!$C$6&lt;&gt;""),IF(G915='Historical Score'!$C$6,1,0),0)</f>
        <v/>
      </c>
      <c r="AR915">
        <f>IF(AND(L915&lt;&gt;"",'Historical Score'!$C$5&lt;&gt;""),IF(L915='Historical Score'!$C$5,1,0),0)</f>
        <v/>
      </c>
      <c r="AS915">
        <f>IF(AND(Y915&lt;&gt;"",'Historical Score'!$C$7&lt;&gt;""),IF(Y915='Historical Score'!$C$7,1,0),0)</f>
        <v/>
      </c>
      <c r="AT915">
        <f>IF(AND(K915&lt;&gt;"",'Historical Score'!$C$8&lt;&gt;""),IF(K915='Historical Score'!$C$8,1,0),0)</f>
        <v/>
      </c>
      <c r="AU915">
        <f>IF(AND(J915&lt;&gt;"",'Historical Score'!$C$9&lt;&gt;""),IF(J915='Historical Score'!$C$9,1,0),0)</f>
        <v/>
      </c>
      <c r="AV915">
        <f>AR915*AS915*AQ915</f>
        <v/>
      </c>
      <c r="AW915">
        <f>AR915*AT915*AQ915</f>
        <v/>
      </c>
      <c r="AX915">
        <f>AR915*AS915</f>
        <v/>
      </c>
      <c r="AY915">
        <f>AR915*AT915</f>
        <v/>
      </c>
      <c r="AZ915">
        <f>AR915*AQ915</f>
        <v/>
      </c>
      <c r="BA915">
        <f>AR915</f>
        <v/>
      </c>
      <c r="BB915">
        <f>1</f>
        <v/>
      </c>
      <c r="BC915">
        <f>IF(AV915=1,1,IF(AW915=1,2,IF(AX915=1,3,IF(AY915=1,4,IF(AZ915=1,5,IF(BA915=1,6,7))))))</f>
        <v/>
      </c>
      <c r="BD915">
        <f>IF(AD915=1,CHOOSE('Historical Score'!$C$29,AV915,AW915,AX915,AY915,AZ915,BA915,BB915),0)</f>
        <v/>
      </c>
      <c r="BE915">
        <f>IF(BD915=1,COUNTIF($BD$2:BD915,1),"")</f>
        <v/>
      </c>
    </row>
    <row r="916">
      <c r="A916" t="inlineStr">
        <is>
          <t>5674184579</t>
        </is>
      </c>
      <c r="B916" t="inlineStr">
        <is>
          <t>GARY EYE ASSOCIATES, BETTINA LOUISE GARY,</t>
        </is>
      </c>
      <c r="C916" t="inlineStr">
        <is>
          <t>JAX&amp;RAE OPTOMETRIC LLC</t>
        </is>
      </c>
      <c r="D916" t="inlineStr">
        <is>
          <t>Legal</t>
        </is>
      </c>
      <c r="E916" s="297" t="n">
        <v>46174</v>
      </c>
      <c r="F916" s="297" t="n">
        <v>46205</v>
      </c>
      <c r="G916" t="n">
        <v>3</v>
      </c>
      <c r="H916" t="inlineStr">
        <is>
          <t>8042</t>
        </is>
      </c>
      <c r="I916" t="inlineStr">
        <is>
          <t>80</t>
        </is>
      </c>
      <c r="J916" t="inlineStr">
        <is>
          <t>SC</t>
        </is>
      </c>
      <c r="K916" t="inlineStr">
        <is>
          <t>Credibly</t>
        </is>
      </c>
      <c r="L916" t="inlineStr">
        <is>
          <t>New Deal</t>
        </is>
      </c>
      <c r="M916" s="298" t="n">
        <v>1.45</v>
      </c>
      <c r="N916" s="299" t="n">
        <v>35000</v>
      </c>
      <c r="O916" s="299" t="n">
        <v>0</v>
      </c>
      <c r="P916" s="299" t="n">
        <v>50750</v>
      </c>
      <c r="Q916" s="299" t="n">
        <v>6344.13</v>
      </c>
      <c r="R916" s="299" t="n">
        <v>44405.87</v>
      </c>
      <c r="S916" s="300" t="n">
        <v>0.125007487684729</v>
      </c>
      <c r="T916" t="n">
        <v>24</v>
      </c>
      <c r="U916" t="n">
        <v>1</v>
      </c>
      <c r="V916" t="n">
        <v>64033.54</v>
      </c>
      <c r="W916" s="300" t="n">
        <v>0.1321</v>
      </c>
      <c r="X916" s="297" t="n">
        <v>43023</v>
      </c>
      <c r="Y916">
        <f>IF(I916="","No SIC",IFERROR(VLOOKUP(I916,Ref!$A$2:$B$65,2,FALSE),"Unclassified"))</f>
        <v/>
      </c>
      <c r="Z916">
        <f>IF(T916="","",IF(T916&lt;12,"Daily","Weekly"))</f>
        <v/>
      </c>
      <c r="AA916">
        <f>IF(T916="",0,IF(T916&lt;12,T916*Controls!$B$29,T916*5))</f>
        <v/>
      </c>
      <c r="AB916">
        <f>IF(E916="",0,NETWORKDAYS(E916,Controls!$B$36,Ref!$K$2:$K$42))</f>
        <v/>
      </c>
      <c r="AC916">
        <f>IF(AND(AA916&gt;0,AB916&gt;=Controls!$B$39*AA916),1,0)</f>
        <v/>
      </c>
      <c r="AD916">
        <f>IF(AND(E916&lt;&gt;"",E916&gt;=Controls!$B$37,E916&lt;=Controls!$B$38),1,0)</f>
        <v/>
      </c>
      <c r="AE916">
        <f>IF(IFERROR(VLOOKUP(D916,Controls!$A$64:$E$74,2,FALSE),"No")="Yes",1,0)</f>
        <v/>
      </c>
      <c r="AF916">
        <f>IF(IFERROR(VLOOKUP(D916,Controls!$A$64:$E$74,3,FALSE),"No")="Yes",1,0)</f>
        <v/>
      </c>
      <c r="AG916">
        <f>IF(IFERROR(VLOOKUP(D916,Controls!$A$64:$E$74,4,FALSE),"No")="Yes",1,0)</f>
        <v/>
      </c>
      <c r="AH916">
        <f>IF(IFERROR(VLOOKUP(D916,Controls!$A$64:$E$74,5,FALSE),"No")="Yes",1,0)</f>
        <v/>
      </c>
      <c r="AI916">
        <f>IF(ISNUMBER(MATCH(D916,Controls!$A$64:$A$74,0)),1,0)</f>
        <v/>
      </c>
      <c r="AJ916">
        <f>Q916-N916</f>
        <v/>
      </c>
      <c r="AK916">
        <f>IF(AE916=1,MAX(0,N916-Q916),0)</f>
        <v/>
      </c>
      <c r="AL916">
        <f>IF(OR(V916="",V916=0),0,N916/V916)</f>
        <v/>
      </c>
      <c r="AM916">
        <f>IF(OR(V916="",V916=0),0,1)</f>
        <v/>
      </c>
      <c r="AN916">
        <f>IF(OR(E916="",F916=""),0,NETWORKDAYS(E916,F916,Ref!$K$2:$K$42))</f>
        <v/>
      </c>
      <c r="AO916">
        <f>IF(L916="Renewal",1,0)</f>
        <v/>
      </c>
      <c r="AP916">
        <f>AC916*AD916</f>
        <v/>
      </c>
      <c r="AQ916">
        <f>IF(AND(G916&lt;&gt;"",'Historical Score'!$C$6&lt;&gt;""),IF(G916='Historical Score'!$C$6,1,0),0)</f>
        <v/>
      </c>
      <c r="AR916">
        <f>IF(AND(L916&lt;&gt;"",'Historical Score'!$C$5&lt;&gt;""),IF(L916='Historical Score'!$C$5,1,0),0)</f>
        <v/>
      </c>
      <c r="AS916">
        <f>IF(AND(Y916&lt;&gt;"",'Historical Score'!$C$7&lt;&gt;""),IF(Y916='Historical Score'!$C$7,1,0),0)</f>
        <v/>
      </c>
      <c r="AT916">
        <f>IF(AND(K916&lt;&gt;"",'Historical Score'!$C$8&lt;&gt;""),IF(K916='Historical Score'!$C$8,1,0),0)</f>
        <v/>
      </c>
      <c r="AU916">
        <f>IF(AND(J916&lt;&gt;"",'Historical Score'!$C$9&lt;&gt;""),IF(J916='Historical Score'!$C$9,1,0),0)</f>
        <v/>
      </c>
      <c r="AV916">
        <f>AR916*AS916*AQ916</f>
        <v/>
      </c>
      <c r="AW916">
        <f>AR916*AT916*AQ916</f>
        <v/>
      </c>
      <c r="AX916">
        <f>AR916*AS916</f>
        <v/>
      </c>
      <c r="AY916">
        <f>AR916*AT916</f>
        <v/>
      </c>
      <c r="AZ916">
        <f>AR916*AQ916</f>
        <v/>
      </c>
      <c r="BA916">
        <f>AR916</f>
        <v/>
      </c>
      <c r="BB916">
        <f>1</f>
        <v/>
      </c>
      <c r="BC916">
        <f>IF(AV916=1,1,IF(AW916=1,2,IF(AX916=1,3,IF(AY916=1,4,IF(AZ916=1,5,IF(BA916=1,6,7))))))</f>
        <v/>
      </c>
      <c r="BD916">
        <f>IF(AD916=1,CHOOSE('Historical Score'!$C$29,AV916,AW916,AX916,AY916,AZ916,BA916,BB916),0)</f>
        <v/>
      </c>
      <c r="BE916">
        <f>IF(BD916=1,COUNTIF($BD$2:BD916,1),"")</f>
        <v/>
      </c>
    </row>
    <row r="917">
      <c r="A917" t="inlineStr">
        <is>
          <t>5674184583</t>
        </is>
      </c>
      <c r="B917" t="inlineStr">
        <is>
          <t>Good vibes only entertainment LLC</t>
        </is>
      </c>
      <c r="C917" t="inlineStr">
        <is>
          <t>Good vibes only entertainment LLC</t>
        </is>
      </c>
      <c r="D917" t="inlineStr">
        <is>
          <t>Open</t>
        </is>
      </c>
      <c r="E917" s="297" t="n">
        <v>46174</v>
      </c>
      <c r="F917" s="297" t="n">
        <v>46248</v>
      </c>
      <c r="G917" t="n">
        <v>3</v>
      </c>
      <c r="H917" t="inlineStr">
        <is>
          <t>5999</t>
        </is>
      </c>
      <c r="I917" t="inlineStr">
        <is>
          <t>59</t>
        </is>
      </c>
      <c r="J917" t="inlineStr">
        <is>
          <t>TX</t>
        </is>
      </c>
      <c r="K917" t="inlineStr">
        <is>
          <t>Triumph Cap Fund</t>
        </is>
      </c>
      <c r="L917" t="inlineStr">
        <is>
          <t>New Deal</t>
        </is>
      </c>
      <c r="M917" s="298" t="n">
        <v>1.49</v>
      </c>
      <c r="N917" s="299" t="n">
        <v>15000</v>
      </c>
      <c r="O917" s="299" t="n">
        <v>2100</v>
      </c>
      <c r="P917" s="299" t="n">
        <v>22350</v>
      </c>
      <c r="Q917" s="299" t="n">
        <v>8606.5</v>
      </c>
      <c r="R917" s="299" t="n">
        <v>13743.5</v>
      </c>
      <c r="S917" s="300" t="n">
        <v>0.385078299776286</v>
      </c>
      <c r="T917" t="n">
        <v>26</v>
      </c>
      <c r="U917" t="n">
        <v>0</v>
      </c>
      <c r="V917" t="n">
        <v>231047.83</v>
      </c>
      <c r="W917" s="300" t="n">
        <v>0.0149</v>
      </c>
      <c r="X917" s="297" t="n">
        <v>43758</v>
      </c>
      <c r="Y917">
        <f>IF(I917="","No SIC",IFERROR(VLOOKUP(I917,Ref!$A$2:$B$65,2,FALSE),"Unclassified"))</f>
        <v/>
      </c>
      <c r="Z917">
        <f>IF(T917="","",IF(T917&lt;12,"Daily","Weekly"))</f>
        <v/>
      </c>
      <c r="AA917">
        <f>IF(T917="",0,IF(T917&lt;12,T917*Controls!$B$29,T917*5))</f>
        <v/>
      </c>
      <c r="AB917">
        <f>IF(E917="",0,NETWORKDAYS(E917,Controls!$B$36,Ref!$K$2:$K$42))</f>
        <v/>
      </c>
      <c r="AC917">
        <f>IF(AND(AA917&gt;0,AB917&gt;=Controls!$B$39*AA917),1,0)</f>
        <v/>
      </c>
      <c r="AD917">
        <f>IF(AND(E917&lt;&gt;"",E917&gt;=Controls!$B$37,E917&lt;=Controls!$B$38),1,0)</f>
        <v/>
      </c>
      <c r="AE917">
        <f>IF(IFERROR(VLOOKUP(D917,Controls!$A$64:$E$74,2,FALSE),"No")="Yes",1,0)</f>
        <v/>
      </c>
      <c r="AF917">
        <f>IF(IFERROR(VLOOKUP(D917,Controls!$A$64:$E$74,3,FALSE),"No")="Yes",1,0)</f>
        <v/>
      </c>
      <c r="AG917">
        <f>IF(IFERROR(VLOOKUP(D917,Controls!$A$64:$E$74,4,FALSE),"No")="Yes",1,0)</f>
        <v/>
      </c>
      <c r="AH917">
        <f>IF(IFERROR(VLOOKUP(D917,Controls!$A$64:$E$74,5,FALSE),"No")="Yes",1,0)</f>
        <v/>
      </c>
      <c r="AI917">
        <f>IF(ISNUMBER(MATCH(D917,Controls!$A$64:$A$74,0)),1,0)</f>
        <v/>
      </c>
      <c r="AJ917">
        <f>Q917-N917</f>
        <v/>
      </c>
      <c r="AK917">
        <f>IF(AE917=1,MAX(0,N917-Q917),0)</f>
        <v/>
      </c>
      <c r="AL917">
        <f>IF(OR(V917="",V917=0),0,N917/V917)</f>
        <v/>
      </c>
      <c r="AM917">
        <f>IF(OR(V917="",V917=0),0,1)</f>
        <v/>
      </c>
      <c r="AN917">
        <f>IF(OR(E917="",F917=""),0,NETWORKDAYS(E917,F917,Ref!$K$2:$K$42))</f>
        <v/>
      </c>
      <c r="AO917">
        <f>IF(L917="Renewal",1,0)</f>
        <v/>
      </c>
      <c r="AP917">
        <f>AC917*AD917</f>
        <v/>
      </c>
      <c r="AQ917">
        <f>IF(AND(G917&lt;&gt;"",'Historical Score'!$C$6&lt;&gt;""),IF(G917='Historical Score'!$C$6,1,0),0)</f>
        <v/>
      </c>
      <c r="AR917">
        <f>IF(AND(L917&lt;&gt;"",'Historical Score'!$C$5&lt;&gt;""),IF(L917='Historical Score'!$C$5,1,0),0)</f>
        <v/>
      </c>
      <c r="AS917">
        <f>IF(AND(Y917&lt;&gt;"",'Historical Score'!$C$7&lt;&gt;""),IF(Y917='Historical Score'!$C$7,1,0),0)</f>
        <v/>
      </c>
      <c r="AT917">
        <f>IF(AND(K917&lt;&gt;"",'Historical Score'!$C$8&lt;&gt;""),IF(K917='Historical Score'!$C$8,1,0),0)</f>
        <v/>
      </c>
      <c r="AU917">
        <f>IF(AND(J917&lt;&gt;"",'Historical Score'!$C$9&lt;&gt;""),IF(J917='Historical Score'!$C$9,1,0),0)</f>
        <v/>
      </c>
      <c r="AV917">
        <f>AR917*AS917*AQ917</f>
        <v/>
      </c>
      <c r="AW917">
        <f>AR917*AT917*AQ917</f>
        <v/>
      </c>
      <c r="AX917">
        <f>AR917*AS917</f>
        <v/>
      </c>
      <c r="AY917">
        <f>AR917*AT917</f>
        <v/>
      </c>
      <c r="AZ917">
        <f>AR917*AQ917</f>
        <v/>
      </c>
      <c r="BA917">
        <f>AR917</f>
        <v/>
      </c>
      <c r="BB917">
        <f>1</f>
        <v/>
      </c>
      <c r="BC917">
        <f>IF(AV917=1,1,IF(AW917=1,2,IF(AX917=1,3,IF(AY917=1,4,IF(AZ917=1,5,IF(BA917=1,6,7))))))</f>
        <v/>
      </c>
      <c r="BD917">
        <f>IF(AD917=1,CHOOSE('Historical Score'!$C$29,AV917,AW917,AX917,AY917,AZ917,BA917,BB917),0)</f>
        <v/>
      </c>
      <c r="BE917">
        <f>IF(BD917=1,COUNTIF($BD$2:BD917,1),"")</f>
        <v/>
      </c>
    </row>
    <row r="918">
      <c r="A918" t="inlineStr">
        <is>
          <t>5674184598</t>
        </is>
      </c>
      <c r="B918" t="inlineStr">
        <is>
          <t>BLUE LABEL CONSTRUCTION CO</t>
        </is>
      </c>
      <c r="C918" t="inlineStr">
        <is>
          <t>BLUE LABEL CONSTRUCTION CO</t>
        </is>
      </c>
      <c r="D918" t="inlineStr">
        <is>
          <t>Open</t>
        </is>
      </c>
      <c r="E918" s="297" t="n">
        <v>46174</v>
      </c>
      <c r="F918" s="297" t="n">
        <v>46253</v>
      </c>
      <c r="G918" t="n">
        <v>3</v>
      </c>
      <c r="H918" t="inlineStr">
        <is>
          <t>1521</t>
        </is>
      </c>
      <c r="I918" t="inlineStr">
        <is>
          <t>15</t>
        </is>
      </c>
      <c r="J918" t="inlineStr">
        <is>
          <t>CO</t>
        </is>
      </c>
      <c r="K918" t="inlineStr">
        <is>
          <t>Siriux internacional corp</t>
        </is>
      </c>
      <c r="L918" t="inlineStr">
        <is>
          <t>New Deal</t>
        </is>
      </c>
      <c r="M918" s="298" t="n">
        <v>1.49</v>
      </c>
      <c r="N918" s="299" t="n">
        <v>25000</v>
      </c>
      <c r="O918" s="299" t="n">
        <v>3500</v>
      </c>
      <c r="P918" s="299" t="n">
        <v>37250</v>
      </c>
      <c r="Q918" s="299" t="n">
        <v>12893.17</v>
      </c>
      <c r="R918" s="299" t="n">
        <v>24356.83</v>
      </c>
      <c r="S918" s="300" t="n">
        <v>0.346125369127517</v>
      </c>
      <c r="T918" t="n">
        <v>26</v>
      </c>
      <c r="U918" t="n">
        <v>3</v>
      </c>
      <c r="V918" t="n">
        <v>140784.34</v>
      </c>
      <c r="W918" s="300" t="n">
        <v>0.0407</v>
      </c>
      <c r="X918" s="297" t="n">
        <v>45342</v>
      </c>
      <c r="Y918">
        <f>IF(I918="","No SIC",IFERROR(VLOOKUP(I918,Ref!$A$2:$B$65,2,FALSE),"Unclassified"))</f>
        <v/>
      </c>
      <c r="Z918">
        <f>IF(T918="","",IF(T918&lt;12,"Daily","Weekly"))</f>
        <v/>
      </c>
      <c r="AA918">
        <f>IF(T918="",0,IF(T918&lt;12,T918*Controls!$B$29,T918*5))</f>
        <v/>
      </c>
      <c r="AB918">
        <f>IF(E918="",0,NETWORKDAYS(E918,Controls!$B$36,Ref!$K$2:$K$42))</f>
        <v/>
      </c>
      <c r="AC918">
        <f>IF(AND(AA918&gt;0,AB918&gt;=Controls!$B$39*AA918),1,0)</f>
        <v/>
      </c>
      <c r="AD918">
        <f>IF(AND(E918&lt;&gt;"",E918&gt;=Controls!$B$37,E918&lt;=Controls!$B$38),1,0)</f>
        <v/>
      </c>
      <c r="AE918">
        <f>IF(IFERROR(VLOOKUP(D918,Controls!$A$64:$E$74,2,FALSE),"No")="Yes",1,0)</f>
        <v/>
      </c>
      <c r="AF918">
        <f>IF(IFERROR(VLOOKUP(D918,Controls!$A$64:$E$74,3,FALSE),"No")="Yes",1,0)</f>
        <v/>
      </c>
      <c r="AG918">
        <f>IF(IFERROR(VLOOKUP(D918,Controls!$A$64:$E$74,4,FALSE),"No")="Yes",1,0)</f>
        <v/>
      </c>
      <c r="AH918">
        <f>IF(IFERROR(VLOOKUP(D918,Controls!$A$64:$E$74,5,FALSE),"No")="Yes",1,0)</f>
        <v/>
      </c>
      <c r="AI918">
        <f>IF(ISNUMBER(MATCH(D918,Controls!$A$64:$A$74,0)),1,0)</f>
        <v/>
      </c>
      <c r="AJ918">
        <f>Q918-N918</f>
        <v/>
      </c>
      <c r="AK918">
        <f>IF(AE918=1,MAX(0,N918-Q918),0)</f>
        <v/>
      </c>
      <c r="AL918">
        <f>IF(OR(V918="",V918=0),0,N918/V918)</f>
        <v/>
      </c>
      <c r="AM918">
        <f>IF(OR(V918="",V918=0),0,1)</f>
        <v/>
      </c>
      <c r="AN918">
        <f>IF(OR(E918="",F918=""),0,NETWORKDAYS(E918,F918,Ref!$K$2:$K$42))</f>
        <v/>
      </c>
      <c r="AO918">
        <f>IF(L918="Renewal",1,0)</f>
        <v/>
      </c>
      <c r="AP918">
        <f>AC918*AD918</f>
        <v/>
      </c>
      <c r="AQ918">
        <f>IF(AND(G918&lt;&gt;"",'Historical Score'!$C$6&lt;&gt;""),IF(G918='Historical Score'!$C$6,1,0),0)</f>
        <v/>
      </c>
      <c r="AR918">
        <f>IF(AND(L918&lt;&gt;"",'Historical Score'!$C$5&lt;&gt;""),IF(L918='Historical Score'!$C$5,1,0),0)</f>
        <v/>
      </c>
      <c r="AS918">
        <f>IF(AND(Y918&lt;&gt;"",'Historical Score'!$C$7&lt;&gt;""),IF(Y918='Historical Score'!$C$7,1,0),0)</f>
        <v/>
      </c>
      <c r="AT918">
        <f>IF(AND(K918&lt;&gt;"",'Historical Score'!$C$8&lt;&gt;""),IF(K918='Historical Score'!$C$8,1,0),0)</f>
        <v/>
      </c>
      <c r="AU918">
        <f>IF(AND(J918&lt;&gt;"",'Historical Score'!$C$9&lt;&gt;""),IF(J918='Historical Score'!$C$9,1,0),0)</f>
        <v/>
      </c>
      <c r="AV918">
        <f>AR918*AS918*AQ918</f>
        <v/>
      </c>
      <c r="AW918">
        <f>AR918*AT918*AQ918</f>
        <v/>
      </c>
      <c r="AX918">
        <f>AR918*AS918</f>
        <v/>
      </c>
      <c r="AY918">
        <f>AR918*AT918</f>
        <v/>
      </c>
      <c r="AZ918">
        <f>AR918*AQ918</f>
        <v/>
      </c>
      <c r="BA918">
        <f>AR918</f>
        <v/>
      </c>
      <c r="BB918">
        <f>1</f>
        <v/>
      </c>
      <c r="BC918">
        <f>IF(AV918=1,1,IF(AW918=1,2,IF(AX918=1,3,IF(AY918=1,4,IF(AZ918=1,5,IF(BA918=1,6,7))))))</f>
        <v/>
      </c>
      <c r="BD918">
        <f>IF(AD918=1,CHOOSE('Historical Score'!$C$29,AV918,AW918,AX918,AY918,AZ918,BA918,BB918),0)</f>
        <v/>
      </c>
      <c r="BE918">
        <f>IF(BD918=1,COUNTIF($BD$2:BD918,1),"")</f>
        <v/>
      </c>
    </row>
    <row r="919">
      <c r="A919" t="inlineStr">
        <is>
          <t>5674184619</t>
        </is>
      </c>
      <c r="B919" t="inlineStr">
        <is>
          <t>ASCG Consulting LLC</t>
        </is>
      </c>
      <c r="C919" t="inlineStr">
        <is>
          <t>ASCG Consulting LLC</t>
        </is>
      </c>
      <c r="D919" t="inlineStr">
        <is>
          <t>Open</t>
        </is>
      </c>
      <c r="E919" s="297" t="n">
        <v>46174</v>
      </c>
      <c r="F919" s="297" t="n">
        <v>46248</v>
      </c>
      <c r="G919" t="n">
        <v>3</v>
      </c>
      <c r="H919" t="inlineStr">
        <is>
          <t>8742</t>
        </is>
      </c>
      <c r="I919" t="inlineStr">
        <is>
          <t>87</t>
        </is>
      </c>
      <c r="J919" t="inlineStr">
        <is>
          <t>FL</t>
        </is>
      </c>
      <c r="K919" t="inlineStr">
        <is>
          <t>Deal Struck</t>
        </is>
      </c>
      <c r="L919" t="inlineStr">
        <is>
          <t>New Deal</t>
        </is>
      </c>
      <c r="M919" s="298" t="n">
        <v>1.45</v>
      </c>
      <c r="N919" s="299" t="n">
        <v>10000</v>
      </c>
      <c r="O919" s="299" t="n">
        <v>1200</v>
      </c>
      <c r="P919" s="299" t="n">
        <v>14500</v>
      </c>
      <c r="Q919" s="299" t="n">
        <v>3021.45</v>
      </c>
      <c r="R919" s="299" t="n">
        <v>11478.55</v>
      </c>
      <c r="S919" s="300" t="n">
        <v>0.208375862068966</v>
      </c>
      <c r="T919" t="n">
        <v>24</v>
      </c>
      <c r="U919" t="n">
        <v>5</v>
      </c>
      <c r="V919" t="n">
        <v>15705.95</v>
      </c>
      <c r="W919" s="300" t="n">
        <v>0.1539</v>
      </c>
      <c r="X919" s="297" t="n">
        <v>44470</v>
      </c>
      <c r="Y919">
        <f>IF(I919="","No SIC",IFERROR(VLOOKUP(I919,Ref!$A$2:$B$65,2,FALSE),"Unclassified"))</f>
        <v/>
      </c>
      <c r="Z919">
        <f>IF(T919="","",IF(T919&lt;12,"Daily","Weekly"))</f>
        <v/>
      </c>
      <c r="AA919">
        <f>IF(T919="",0,IF(T919&lt;12,T919*Controls!$B$29,T919*5))</f>
        <v/>
      </c>
      <c r="AB919">
        <f>IF(E919="",0,NETWORKDAYS(E919,Controls!$B$36,Ref!$K$2:$K$42))</f>
        <v/>
      </c>
      <c r="AC919">
        <f>IF(AND(AA919&gt;0,AB919&gt;=Controls!$B$39*AA919),1,0)</f>
        <v/>
      </c>
      <c r="AD919">
        <f>IF(AND(E919&lt;&gt;"",E919&gt;=Controls!$B$37,E919&lt;=Controls!$B$38),1,0)</f>
        <v/>
      </c>
      <c r="AE919">
        <f>IF(IFERROR(VLOOKUP(D919,Controls!$A$64:$E$74,2,FALSE),"No")="Yes",1,0)</f>
        <v/>
      </c>
      <c r="AF919">
        <f>IF(IFERROR(VLOOKUP(D919,Controls!$A$64:$E$74,3,FALSE),"No")="Yes",1,0)</f>
        <v/>
      </c>
      <c r="AG919">
        <f>IF(IFERROR(VLOOKUP(D919,Controls!$A$64:$E$74,4,FALSE),"No")="Yes",1,0)</f>
        <v/>
      </c>
      <c r="AH919">
        <f>IF(IFERROR(VLOOKUP(D919,Controls!$A$64:$E$74,5,FALSE),"No")="Yes",1,0)</f>
        <v/>
      </c>
      <c r="AI919">
        <f>IF(ISNUMBER(MATCH(D919,Controls!$A$64:$A$74,0)),1,0)</f>
        <v/>
      </c>
      <c r="AJ919">
        <f>Q919-N919</f>
        <v/>
      </c>
      <c r="AK919">
        <f>IF(AE919=1,MAX(0,N919-Q919),0)</f>
        <v/>
      </c>
      <c r="AL919">
        <f>IF(OR(V919="",V919=0),0,N919/V919)</f>
        <v/>
      </c>
      <c r="AM919">
        <f>IF(OR(V919="",V919=0),0,1)</f>
        <v/>
      </c>
      <c r="AN919">
        <f>IF(OR(E919="",F919=""),0,NETWORKDAYS(E919,F919,Ref!$K$2:$K$42))</f>
        <v/>
      </c>
      <c r="AO919">
        <f>IF(L919="Renewal",1,0)</f>
        <v/>
      </c>
      <c r="AP919">
        <f>AC919*AD919</f>
        <v/>
      </c>
      <c r="AQ919">
        <f>IF(AND(G919&lt;&gt;"",'Historical Score'!$C$6&lt;&gt;""),IF(G919='Historical Score'!$C$6,1,0),0)</f>
        <v/>
      </c>
      <c r="AR919">
        <f>IF(AND(L919&lt;&gt;"",'Historical Score'!$C$5&lt;&gt;""),IF(L919='Historical Score'!$C$5,1,0),0)</f>
        <v/>
      </c>
      <c r="AS919">
        <f>IF(AND(Y919&lt;&gt;"",'Historical Score'!$C$7&lt;&gt;""),IF(Y919='Historical Score'!$C$7,1,0),0)</f>
        <v/>
      </c>
      <c r="AT919">
        <f>IF(AND(K919&lt;&gt;"",'Historical Score'!$C$8&lt;&gt;""),IF(K919='Historical Score'!$C$8,1,0),0)</f>
        <v/>
      </c>
      <c r="AU919">
        <f>IF(AND(J919&lt;&gt;"",'Historical Score'!$C$9&lt;&gt;""),IF(J919='Historical Score'!$C$9,1,0),0)</f>
        <v/>
      </c>
      <c r="AV919">
        <f>AR919*AS919*AQ919</f>
        <v/>
      </c>
      <c r="AW919">
        <f>AR919*AT919*AQ919</f>
        <v/>
      </c>
      <c r="AX919">
        <f>AR919*AS919</f>
        <v/>
      </c>
      <c r="AY919">
        <f>AR919*AT919</f>
        <v/>
      </c>
      <c r="AZ919">
        <f>AR919*AQ919</f>
        <v/>
      </c>
      <c r="BA919">
        <f>AR919</f>
        <v/>
      </c>
      <c r="BB919">
        <f>1</f>
        <v/>
      </c>
      <c r="BC919">
        <f>IF(AV919=1,1,IF(AW919=1,2,IF(AX919=1,3,IF(AY919=1,4,IF(AZ919=1,5,IF(BA919=1,6,7))))))</f>
        <v/>
      </c>
      <c r="BD919">
        <f>IF(AD919=1,CHOOSE('Historical Score'!$C$29,AV919,AW919,AX919,AY919,AZ919,BA919,BB919),0)</f>
        <v/>
      </c>
      <c r="BE919">
        <f>IF(BD919=1,COUNTIF($BD$2:BD919,1),"")</f>
        <v/>
      </c>
    </row>
    <row r="920">
      <c r="A920" t="inlineStr">
        <is>
          <t>5674184661</t>
        </is>
      </c>
      <c r="B920" t="inlineStr">
        <is>
          <t>Victory Freight Transport, Inc.</t>
        </is>
      </c>
      <c r="C920" t="inlineStr">
        <is>
          <t>Victory Freight Transport, Inc.</t>
        </is>
      </c>
      <c r="D920" t="inlineStr">
        <is>
          <t>In House Collection</t>
        </is>
      </c>
      <c r="E920" s="297" t="n">
        <v>46175</v>
      </c>
      <c r="F920" s="297" t="n">
        <v>46192</v>
      </c>
      <c r="G920" t="n">
        <v>3</v>
      </c>
      <c r="H920" t="inlineStr">
        <is>
          <t>4212</t>
        </is>
      </c>
      <c r="I920" t="inlineStr">
        <is>
          <t>42</t>
        </is>
      </c>
      <c r="J920" t="inlineStr">
        <is>
          <t>VA</t>
        </is>
      </c>
      <c r="K920" t="inlineStr">
        <is>
          <t>Capfront Funding</t>
        </is>
      </c>
      <c r="L920" t="inlineStr">
        <is>
          <t>New Deal</t>
        </is>
      </c>
      <c r="M920" s="298" t="n">
        <v>1.49</v>
      </c>
      <c r="N920" s="299" t="n">
        <v>30000</v>
      </c>
      <c r="O920" s="299" t="n">
        <v>4200</v>
      </c>
      <c r="P920" s="299" t="n">
        <v>44700</v>
      </c>
      <c r="Q920" s="299" t="n">
        <v>2793.78</v>
      </c>
      <c r="R920" s="299" t="n">
        <v>41906.22</v>
      </c>
      <c r="S920" s="300" t="n">
        <v>0.0625006711409396</v>
      </c>
      <c r="T920" t="n">
        <v>32</v>
      </c>
      <c r="U920" t="n">
        <v>1</v>
      </c>
      <c r="V920" t="n">
        <v>53726.42</v>
      </c>
      <c r="W920" s="300" t="n">
        <v>0.104</v>
      </c>
      <c r="X920" s="297" t="n">
        <v>45717</v>
      </c>
      <c r="Y920">
        <f>IF(I920="","No SIC",IFERROR(VLOOKUP(I920,Ref!$A$2:$B$65,2,FALSE),"Unclassified"))</f>
        <v/>
      </c>
      <c r="Z920">
        <f>IF(T920="","",IF(T920&lt;12,"Daily","Weekly"))</f>
        <v/>
      </c>
      <c r="AA920">
        <f>IF(T920="",0,IF(T920&lt;12,T920*Controls!$B$29,T920*5))</f>
        <v/>
      </c>
      <c r="AB920">
        <f>IF(E920="",0,NETWORKDAYS(E920,Controls!$B$36,Ref!$K$2:$K$42))</f>
        <v/>
      </c>
      <c r="AC920">
        <f>IF(AND(AA920&gt;0,AB920&gt;=Controls!$B$39*AA920),1,0)</f>
        <v/>
      </c>
      <c r="AD920">
        <f>IF(AND(E920&lt;&gt;"",E920&gt;=Controls!$B$37,E920&lt;=Controls!$B$38),1,0)</f>
        <v/>
      </c>
      <c r="AE920">
        <f>IF(IFERROR(VLOOKUP(D920,Controls!$A$64:$E$74,2,FALSE),"No")="Yes",1,0)</f>
        <v/>
      </c>
      <c r="AF920">
        <f>IF(IFERROR(VLOOKUP(D920,Controls!$A$64:$E$74,3,FALSE),"No")="Yes",1,0)</f>
        <v/>
      </c>
      <c r="AG920">
        <f>IF(IFERROR(VLOOKUP(D920,Controls!$A$64:$E$74,4,FALSE),"No")="Yes",1,0)</f>
        <v/>
      </c>
      <c r="AH920">
        <f>IF(IFERROR(VLOOKUP(D920,Controls!$A$64:$E$74,5,FALSE),"No")="Yes",1,0)</f>
        <v/>
      </c>
      <c r="AI920">
        <f>IF(ISNUMBER(MATCH(D920,Controls!$A$64:$A$74,0)),1,0)</f>
        <v/>
      </c>
      <c r="AJ920">
        <f>Q920-N920</f>
        <v/>
      </c>
      <c r="AK920">
        <f>IF(AE920=1,MAX(0,N920-Q920),0)</f>
        <v/>
      </c>
      <c r="AL920">
        <f>IF(OR(V920="",V920=0),0,N920/V920)</f>
        <v/>
      </c>
      <c r="AM920">
        <f>IF(OR(V920="",V920=0),0,1)</f>
        <v/>
      </c>
      <c r="AN920">
        <f>IF(OR(E920="",F920=""),0,NETWORKDAYS(E920,F920,Ref!$K$2:$K$42))</f>
        <v/>
      </c>
      <c r="AO920">
        <f>IF(L920="Renewal",1,0)</f>
        <v/>
      </c>
      <c r="AP920">
        <f>AC920*AD920</f>
        <v/>
      </c>
      <c r="AQ920">
        <f>IF(AND(G920&lt;&gt;"",'Historical Score'!$C$6&lt;&gt;""),IF(G920='Historical Score'!$C$6,1,0),0)</f>
        <v/>
      </c>
      <c r="AR920">
        <f>IF(AND(L920&lt;&gt;"",'Historical Score'!$C$5&lt;&gt;""),IF(L920='Historical Score'!$C$5,1,0),0)</f>
        <v/>
      </c>
      <c r="AS920">
        <f>IF(AND(Y920&lt;&gt;"",'Historical Score'!$C$7&lt;&gt;""),IF(Y920='Historical Score'!$C$7,1,0),0)</f>
        <v/>
      </c>
      <c r="AT920">
        <f>IF(AND(K920&lt;&gt;"",'Historical Score'!$C$8&lt;&gt;""),IF(K920='Historical Score'!$C$8,1,0),0)</f>
        <v/>
      </c>
      <c r="AU920">
        <f>IF(AND(J920&lt;&gt;"",'Historical Score'!$C$9&lt;&gt;""),IF(J920='Historical Score'!$C$9,1,0),0)</f>
        <v/>
      </c>
      <c r="AV920">
        <f>AR920*AS920*AQ920</f>
        <v/>
      </c>
      <c r="AW920">
        <f>AR920*AT920*AQ920</f>
        <v/>
      </c>
      <c r="AX920">
        <f>AR920*AS920</f>
        <v/>
      </c>
      <c r="AY920">
        <f>AR920*AT920</f>
        <v/>
      </c>
      <c r="AZ920">
        <f>AR920*AQ920</f>
        <v/>
      </c>
      <c r="BA920">
        <f>AR920</f>
        <v/>
      </c>
      <c r="BB920">
        <f>1</f>
        <v/>
      </c>
      <c r="BC920">
        <f>IF(AV920=1,1,IF(AW920=1,2,IF(AX920=1,3,IF(AY920=1,4,IF(AZ920=1,5,IF(BA920=1,6,7))))))</f>
        <v/>
      </c>
      <c r="BD920">
        <f>IF(AD920=1,CHOOSE('Historical Score'!$C$29,AV920,AW920,AX920,AY920,AZ920,BA920,BB920),0)</f>
        <v/>
      </c>
      <c r="BE920">
        <f>IF(BD920=1,COUNTIF($BD$2:BD920,1),"")</f>
        <v/>
      </c>
    </row>
    <row r="921">
      <c r="A921" t="inlineStr">
        <is>
          <t>5674184671</t>
        </is>
      </c>
      <c r="B921" t="inlineStr">
        <is>
          <t>ARROW TRANSPORT LLC</t>
        </is>
      </c>
      <c r="C921" t="inlineStr">
        <is>
          <t>ARROW TRANSPORT LLC</t>
        </is>
      </c>
      <c r="D921" t="inlineStr">
        <is>
          <t>Open</t>
        </is>
      </c>
      <c r="E921" s="297" t="n">
        <v>46175</v>
      </c>
      <c r="F921" s="297" t="n">
        <v>46248</v>
      </c>
      <c r="G921" t="n">
        <v>3</v>
      </c>
      <c r="H921" t="inlineStr">
        <is>
          <t>4212</t>
        </is>
      </c>
      <c r="I921" t="inlineStr">
        <is>
          <t>42</t>
        </is>
      </c>
      <c r="J921" t="inlineStr">
        <is>
          <t>KY</t>
        </is>
      </c>
      <c r="K921" t="inlineStr">
        <is>
          <t>PMF</t>
        </is>
      </c>
      <c r="L921" t="inlineStr">
        <is>
          <t>New Deal</t>
        </is>
      </c>
      <c r="M921" s="298" t="n">
        <v>1.49</v>
      </c>
      <c r="N921" s="299" t="n">
        <v>30000</v>
      </c>
      <c r="O921" s="299" t="n">
        <v>4200</v>
      </c>
      <c r="P921" s="299" t="n">
        <v>44700</v>
      </c>
      <c r="Q921" s="299" t="n">
        <v>13967.9</v>
      </c>
      <c r="R921" s="299" t="n">
        <v>30732.1</v>
      </c>
      <c r="S921" s="300" t="n">
        <v>0.312480984340045</v>
      </c>
      <c r="T921" t="n">
        <v>32</v>
      </c>
      <c r="U921" t="n">
        <v>0</v>
      </c>
      <c r="V921" t="n">
        <v>302710.88</v>
      </c>
      <c r="W921" s="300" t="n">
        <v>0.0969</v>
      </c>
      <c r="X921" s="297" t="n">
        <v>44320</v>
      </c>
      <c r="Y921">
        <f>IF(I921="","No SIC",IFERROR(VLOOKUP(I921,Ref!$A$2:$B$65,2,FALSE),"Unclassified"))</f>
        <v/>
      </c>
      <c r="Z921">
        <f>IF(T921="","",IF(T921&lt;12,"Daily","Weekly"))</f>
        <v/>
      </c>
      <c r="AA921">
        <f>IF(T921="",0,IF(T921&lt;12,T921*Controls!$B$29,T921*5))</f>
        <v/>
      </c>
      <c r="AB921">
        <f>IF(E921="",0,NETWORKDAYS(E921,Controls!$B$36,Ref!$K$2:$K$42))</f>
        <v/>
      </c>
      <c r="AC921">
        <f>IF(AND(AA921&gt;0,AB921&gt;=Controls!$B$39*AA921),1,0)</f>
        <v/>
      </c>
      <c r="AD921">
        <f>IF(AND(E921&lt;&gt;"",E921&gt;=Controls!$B$37,E921&lt;=Controls!$B$38),1,0)</f>
        <v/>
      </c>
      <c r="AE921">
        <f>IF(IFERROR(VLOOKUP(D921,Controls!$A$64:$E$74,2,FALSE),"No")="Yes",1,0)</f>
        <v/>
      </c>
      <c r="AF921">
        <f>IF(IFERROR(VLOOKUP(D921,Controls!$A$64:$E$74,3,FALSE),"No")="Yes",1,0)</f>
        <v/>
      </c>
      <c r="AG921">
        <f>IF(IFERROR(VLOOKUP(D921,Controls!$A$64:$E$74,4,FALSE),"No")="Yes",1,0)</f>
        <v/>
      </c>
      <c r="AH921">
        <f>IF(IFERROR(VLOOKUP(D921,Controls!$A$64:$E$74,5,FALSE),"No")="Yes",1,0)</f>
        <v/>
      </c>
      <c r="AI921">
        <f>IF(ISNUMBER(MATCH(D921,Controls!$A$64:$A$74,0)),1,0)</f>
        <v/>
      </c>
      <c r="AJ921">
        <f>Q921-N921</f>
        <v/>
      </c>
      <c r="AK921">
        <f>IF(AE921=1,MAX(0,N921-Q921),0)</f>
        <v/>
      </c>
      <c r="AL921">
        <f>IF(OR(V921="",V921=0),0,N921/V921)</f>
        <v/>
      </c>
      <c r="AM921">
        <f>IF(OR(V921="",V921=0),0,1)</f>
        <v/>
      </c>
      <c r="AN921">
        <f>IF(OR(E921="",F921=""),0,NETWORKDAYS(E921,F921,Ref!$K$2:$K$42))</f>
        <v/>
      </c>
      <c r="AO921">
        <f>IF(L921="Renewal",1,0)</f>
        <v/>
      </c>
      <c r="AP921">
        <f>AC921*AD921</f>
        <v/>
      </c>
      <c r="AQ921">
        <f>IF(AND(G921&lt;&gt;"",'Historical Score'!$C$6&lt;&gt;""),IF(G921='Historical Score'!$C$6,1,0),0)</f>
        <v/>
      </c>
      <c r="AR921">
        <f>IF(AND(L921&lt;&gt;"",'Historical Score'!$C$5&lt;&gt;""),IF(L921='Historical Score'!$C$5,1,0),0)</f>
        <v/>
      </c>
      <c r="AS921">
        <f>IF(AND(Y921&lt;&gt;"",'Historical Score'!$C$7&lt;&gt;""),IF(Y921='Historical Score'!$C$7,1,0),0)</f>
        <v/>
      </c>
      <c r="AT921">
        <f>IF(AND(K921&lt;&gt;"",'Historical Score'!$C$8&lt;&gt;""),IF(K921='Historical Score'!$C$8,1,0),0)</f>
        <v/>
      </c>
      <c r="AU921">
        <f>IF(AND(J921&lt;&gt;"",'Historical Score'!$C$9&lt;&gt;""),IF(J921='Historical Score'!$C$9,1,0),0)</f>
        <v/>
      </c>
      <c r="AV921">
        <f>AR921*AS921*AQ921</f>
        <v/>
      </c>
      <c r="AW921">
        <f>AR921*AT921*AQ921</f>
        <v/>
      </c>
      <c r="AX921">
        <f>AR921*AS921</f>
        <v/>
      </c>
      <c r="AY921">
        <f>AR921*AT921</f>
        <v/>
      </c>
      <c r="AZ921">
        <f>AR921*AQ921</f>
        <v/>
      </c>
      <c r="BA921">
        <f>AR921</f>
        <v/>
      </c>
      <c r="BB921">
        <f>1</f>
        <v/>
      </c>
      <c r="BC921">
        <f>IF(AV921=1,1,IF(AW921=1,2,IF(AX921=1,3,IF(AY921=1,4,IF(AZ921=1,5,IF(BA921=1,6,7))))))</f>
        <v/>
      </c>
      <c r="BD921">
        <f>IF(AD921=1,CHOOSE('Historical Score'!$C$29,AV921,AW921,AX921,AY921,AZ921,BA921,BB921),0)</f>
        <v/>
      </c>
      <c r="BE921">
        <f>IF(BD921=1,COUNTIF($BD$2:BD921,1),"")</f>
        <v/>
      </c>
    </row>
    <row r="922">
      <c r="A922" t="inlineStr">
        <is>
          <t>5674184685</t>
        </is>
      </c>
      <c r="B922" t="inlineStr">
        <is>
          <t>Wood's Landscape Services Inc</t>
        </is>
      </c>
      <c r="C922" t="inlineStr">
        <is>
          <t>Barlwood Enterprises, LLC</t>
        </is>
      </c>
      <c r="D922" t="inlineStr">
        <is>
          <t>In House Collection</t>
        </is>
      </c>
      <c r="E922" s="297" t="n">
        <v>46175</v>
      </c>
      <c r="F922" s="297" t="n">
        <v>46253</v>
      </c>
      <c r="G922" t="n">
        <v>3</v>
      </c>
      <c r="H922" t="inlineStr">
        <is>
          <t>0781</t>
        </is>
      </c>
      <c r="I922" t="inlineStr">
        <is>
          <t>07</t>
        </is>
      </c>
      <c r="J922" t="inlineStr">
        <is>
          <t>TX</t>
        </is>
      </c>
      <c r="K922" t="inlineStr">
        <is>
          <t>True Eagle Capital</t>
        </is>
      </c>
      <c r="L922" t="inlineStr">
        <is>
          <t>Renewal</t>
        </is>
      </c>
      <c r="M922" s="298" t="n">
        <v>1.49</v>
      </c>
      <c r="N922" s="299" t="n">
        <v>40000</v>
      </c>
      <c r="O922" s="299" t="n">
        <v>5600</v>
      </c>
      <c r="P922" s="299" t="n">
        <v>59600</v>
      </c>
      <c r="Q922" s="299" t="n">
        <v>13099.02</v>
      </c>
      <c r="R922" s="299" t="n">
        <v>46500.98</v>
      </c>
      <c r="S922" s="300" t="n">
        <v>0.219782214765101</v>
      </c>
      <c r="T922" t="n">
        <v>3.934</v>
      </c>
      <c r="U922" t="n">
        <v>15</v>
      </c>
      <c r="V922" t="n">
        <v>57633.25</v>
      </c>
      <c r="W922" s="300" t="n">
        <v>0.181</v>
      </c>
      <c r="X922" s="297" t="n">
        <v>30376</v>
      </c>
      <c r="Y922">
        <f>IF(I922="","No SIC",IFERROR(VLOOKUP(I922,Ref!$A$2:$B$65,2,FALSE),"Unclassified"))</f>
        <v/>
      </c>
      <c r="Z922">
        <f>IF(T922="","",IF(T922&lt;12,"Daily","Weekly"))</f>
        <v/>
      </c>
      <c r="AA922">
        <f>IF(T922="",0,IF(T922&lt;12,T922*Controls!$B$29,T922*5))</f>
        <v/>
      </c>
      <c r="AB922">
        <f>IF(E922="",0,NETWORKDAYS(E922,Controls!$B$36,Ref!$K$2:$K$42))</f>
        <v/>
      </c>
      <c r="AC922">
        <f>IF(AND(AA922&gt;0,AB922&gt;=Controls!$B$39*AA922),1,0)</f>
        <v/>
      </c>
      <c r="AD922">
        <f>IF(AND(E922&lt;&gt;"",E922&gt;=Controls!$B$37,E922&lt;=Controls!$B$38),1,0)</f>
        <v/>
      </c>
      <c r="AE922">
        <f>IF(IFERROR(VLOOKUP(D922,Controls!$A$64:$E$74,2,FALSE),"No")="Yes",1,0)</f>
        <v/>
      </c>
      <c r="AF922">
        <f>IF(IFERROR(VLOOKUP(D922,Controls!$A$64:$E$74,3,FALSE),"No")="Yes",1,0)</f>
        <v/>
      </c>
      <c r="AG922">
        <f>IF(IFERROR(VLOOKUP(D922,Controls!$A$64:$E$74,4,FALSE),"No")="Yes",1,0)</f>
        <v/>
      </c>
      <c r="AH922">
        <f>IF(IFERROR(VLOOKUP(D922,Controls!$A$64:$E$74,5,FALSE),"No")="Yes",1,0)</f>
        <v/>
      </c>
      <c r="AI922">
        <f>IF(ISNUMBER(MATCH(D922,Controls!$A$64:$A$74,0)),1,0)</f>
        <v/>
      </c>
      <c r="AJ922">
        <f>Q922-N922</f>
        <v/>
      </c>
      <c r="AK922">
        <f>IF(AE922=1,MAX(0,N922-Q922),0)</f>
        <v/>
      </c>
      <c r="AL922">
        <f>IF(OR(V922="",V922=0),0,N922/V922)</f>
        <v/>
      </c>
      <c r="AM922">
        <f>IF(OR(V922="",V922=0),0,1)</f>
        <v/>
      </c>
      <c r="AN922">
        <f>IF(OR(E922="",F922=""),0,NETWORKDAYS(E922,F922,Ref!$K$2:$K$42))</f>
        <v/>
      </c>
      <c r="AO922">
        <f>IF(L922="Renewal",1,0)</f>
        <v/>
      </c>
      <c r="AP922">
        <f>AC922*AD922</f>
        <v/>
      </c>
      <c r="AQ922">
        <f>IF(AND(G922&lt;&gt;"",'Historical Score'!$C$6&lt;&gt;""),IF(G922='Historical Score'!$C$6,1,0),0)</f>
        <v/>
      </c>
      <c r="AR922">
        <f>IF(AND(L922&lt;&gt;"",'Historical Score'!$C$5&lt;&gt;""),IF(L922='Historical Score'!$C$5,1,0),0)</f>
        <v/>
      </c>
      <c r="AS922">
        <f>IF(AND(Y922&lt;&gt;"",'Historical Score'!$C$7&lt;&gt;""),IF(Y922='Historical Score'!$C$7,1,0),0)</f>
        <v/>
      </c>
      <c r="AT922">
        <f>IF(AND(K922&lt;&gt;"",'Historical Score'!$C$8&lt;&gt;""),IF(K922='Historical Score'!$C$8,1,0),0)</f>
        <v/>
      </c>
      <c r="AU922">
        <f>IF(AND(J922&lt;&gt;"",'Historical Score'!$C$9&lt;&gt;""),IF(J922='Historical Score'!$C$9,1,0),0)</f>
        <v/>
      </c>
      <c r="AV922">
        <f>AR922*AS922*AQ922</f>
        <v/>
      </c>
      <c r="AW922">
        <f>AR922*AT922*AQ922</f>
        <v/>
      </c>
      <c r="AX922">
        <f>AR922*AS922</f>
        <v/>
      </c>
      <c r="AY922">
        <f>AR922*AT922</f>
        <v/>
      </c>
      <c r="AZ922">
        <f>AR922*AQ922</f>
        <v/>
      </c>
      <c r="BA922">
        <f>AR922</f>
        <v/>
      </c>
      <c r="BB922">
        <f>1</f>
        <v/>
      </c>
      <c r="BC922">
        <f>IF(AV922=1,1,IF(AW922=1,2,IF(AX922=1,3,IF(AY922=1,4,IF(AZ922=1,5,IF(BA922=1,6,7))))))</f>
        <v/>
      </c>
      <c r="BD922">
        <f>IF(AD922=1,CHOOSE('Historical Score'!$C$29,AV922,AW922,AX922,AY922,AZ922,BA922,BB922),0)</f>
        <v/>
      </c>
      <c r="BE922">
        <f>IF(BD922=1,COUNTIF($BD$2:BD922,1),"")</f>
        <v/>
      </c>
    </row>
    <row r="923">
      <c r="A923" t="inlineStr">
        <is>
          <t>5674184723</t>
        </is>
      </c>
      <c r="B923" t="inlineStr">
        <is>
          <t>CIMEX SERVICES LLC</t>
        </is>
      </c>
      <c r="C923" t="inlineStr">
        <is>
          <t>CIMEX SERVICES LLC</t>
        </is>
      </c>
      <c r="D923" t="inlineStr">
        <is>
          <t>Open</t>
        </is>
      </c>
      <c r="E923" s="297" t="n">
        <v>46176</v>
      </c>
      <c r="F923" s="297" t="n">
        <v>46253</v>
      </c>
      <c r="G923" t="n">
        <v>3</v>
      </c>
      <c r="H923" t="inlineStr">
        <is>
          <t>7342</t>
        </is>
      </c>
      <c r="I923" t="inlineStr">
        <is>
          <t>73</t>
        </is>
      </c>
      <c r="J923" t="inlineStr">
        <is>
          <t>FL</t>
        </is>
      </c>
      <c r="K923" t="inlineStr">
        <is>
          <t>Fundwell</t>
        </is>
      </c>
      <c r="L923" t="inlineStr">
        <is>
          <t>New Deal</t>
        </is>
      </c>
      <c r="M923" s="298" t="n">
        <v>1.37</v>
      </c>
      <c r="N923" s="299" t="n">
        <v>5000</v>
      </c>
      <c r="O923" s="299" t="n">
        <v>400</v>
      </c>
      <c r="P923" s="299" t="n">
        <v>6850</v>
      </c>
      <c r="Q923" s="299" t="n">
        <v>2464.2</v>
      </c>
      <c r="R923" s="299" t="n">
        <v>4385.8</v>
      </c>
      <c r="S923" s="300" t="n">
        <v>0.359737226277372</v>
      </c>
      <c r="T923" t="n">
        <v>3.279</v>
      </c>
      <c r="U923" t="n">
        <v>18</v>
      </c>
      <c r="V923" t="n">
        <v>25854.77</v>
      </c>
      <c r="W923" s="300" t="n"/>
      <c r="X923" s="297" t="n">
        <v>42979</v>
      </c>
      <c r="Y923">
        <f>IF(I923="","No SIC",IFERROR(VLOOKUP(I923,Ref!$A$2:$B$65,2,FALSE),"Unclassified"))</f>
        <v/>
      </c>
      <c r="Z923">
        <f>IF(T923="","",IF(T923&lt;12,"Daily","Weekly"))</f>
        <v/>
      </c>
      <c r="AA923">
        <f>IF(T923="",0,IF(T923&lt;12,T923*Controls!$B$29,T923*5))</f>
        <v/>
      </c>
      <c r="AB923">
        <f>IF(E923="",0,NETWORKDAYS(E923,Controls!$B$36,Ref!$K$2:$K$42))</f>
        <v/>
      </c>
      <c r="AC923">
        <f>IF(AND(AA923&gt;0,AB923&gt;=Controls!$B$39*AA923),1,0)</f>
        <v/>
      </c>
      <c r="AD923">
        <f>IF(AND(E923&lt;&gt;"",E923&gt;=Controls!$B$37,E923&lt;=Controls!$B$38),1,0)</f>
        <v/>
      </c>
      <c r="AE923">
        <f>IF(IFERROR(VLOOKUP(D923,Controls!$A$64:$E$74,2,FALSE),"No")="Yes",1,0)</f>
        <v/>
      </c>
      <c r="AF923">
        <f>IF(IFERROR(VLOOKUP(D923,Controls!$A$64:$E$74,3,FALSE),"No")="Yes",1,0)</f>
        <v/>
      </c>
      <c r="AG923">
        <f>IF(IFERROR(VLOOKUP(D923,Controls!$A$64:$E$74,4,FALSE),"No")="Yes",1,0)</f>
        <v/>
      </c>
      <c r="AH923">
        <f>IF(IFERROR(VLOOKUP(D923,Controls!$A$64:$E$74,5,FALSE),"No")="Yes",1,0)</f>
        <v/>
      </c>
      <c r="AI923">
        <f>IF(ISNUMBER(MATCH(D923,Controls!$A$64:$A$74,0)),1,0)</f>
        <v/>
      </c>
      <c r="AJ923">
        <f>Q923-N923</f>
        <v/>
      </c>
      <c r="AK923">
        <f>IF(AE923=1,MAX(0,N923-Q923),0)</f>
        <v/>
      </c>
      <c r="AL923">
        <f>IF(OR(V923="",V923=0),0,N923/V923)</f>
        <v/>
      </c>
      <c r="AM923">
        <f>IF(OR(V923="",V923=0),0,1)</f>
        <v/>
      </c>
      <c r="AN923">
        <f>IF(OR(E923="",F923=""),0,NETWORKDAYS(E923,F923,Ref!$K$2:$K$42))</f>
        <v/>
      </c>
      <c r="AO923">
        <f>IF(L923="Renewal",1,0)</f>
        <v/>
      </c>
      <c r="AP923">
        <f>AC923*AD923</f>
        <v/>
      </c>
      <c r="AQ923">
        <f>IF(AND(G923&lt;&gt;"",'Historical Score'!$C$6&lt;&gt;""),IF(G923='Historical Score'!$C$6,1,0),0)</f>
        <v/>
      </c>
      <c r="AR923">
        <f>IF(AND(L923&lt;&gt;"",'Historical Score'!$C$5&lt;&gt;""),IF(L923='Historical Score'!$C$5,1,0),0)</f>
        <v/>
      </c>
      <c r="AS923">
        <f>IF(AND(Y923&lt;&gt;"",'Historical Score'!$C$7&lt;&gt;""),IF(Y923='Historical Score'!$C$7,1,0),0)</f>
        <v/>
      </c>
      <c r="AT923">
        <f>IF(AND(K923&lt;&gt;"",'Historical Score'!$C$8&lt;&gt;""),IF(K923='Historical Score'!$C$8,1,0),0)</f>
        <v/>
      </c>
      <c r="AU923">
        <f>IF(AND(J923&lt;&gt;"",'Historical Score'!$C$9&lt;&gt;""),IF(J923='Historical Score'!$C$9,1,0),0)</f>
        <v/>
      </c>
      <c r="AV923">
        <f>AR923*AS923*AQ923</f>
        <v/>
      </c>
      <c r="AW923">
        <f>AR923*AT923*AQ923</f>
        <v/>
      </c>
      <c r="AX923">
        <f>AR923*AS923</f>
        <v/>
      </c>
      <c r="AY923">
        <f>AR923*AT923</f>
        <v/>
      </c>
      <c r="AZ923">
        <f>AR923*AQ923</f>
        <v/>
      </c>
      <c r="BA923">
        <f>AR923</f>
        <v/>
      </c>
      <c r="BB923">
        <f>1</f>
        <v/>
      </c>
      <c r="BC923">
        <f>IF(AV923=1,1,IF(AW923=1,2,IF(AX923=1,3,IF(AY923=1,4,IF(AZ923=1,5,IF(BA923=1,6,7))))))</f>
        <v/>
      </c>
      <c r="BD923">
        <f>IF(AD923=1,CHOOSE('Historical Score'!$C$29,AV923,AW923,AX923,AY923,AZ923,BA923,BB923),0)</f>
        <v/>
      </c>
      <c r="BE923">
        <f>IF(BD923=1,COUNTIF($BD$2:BD923,1),"")</f>
        <v/>
      </c>
    </row>
    <row r="924">
      <c r="A924" t="inlineStr">
        <is>
          <t>5674184724</t>
        </is>
      </c>
      <c r="B924" t="inlineStr">
        <is>
          <t>OLIVARES GARAGE</t>
        </is>
      </c>
      <c r="C924" t="inlineStr">
        <is>
          <t>OLIVARES GARAGE LLC</t>
        </is>
      </c>
      <c r="D924" t="inlineStr">
        <is>
          <t>Open</t>
        </is>
      </c>
      <c r="E924" s="297" t="n">
        <v>46176</v>
      </c>
      <c r="F924" s="297" t="n">
        <v>46248</v>
      </c>
      <c r="G924" t="n">
        <v>3</v>
      </c>
      <c r="H924" t="inlineStr">
        <is>
          <t>7538</t>
        </is>
      </c>
      <c r="I924" t="inlineStr">
        <is>
          <t>75</t>
        </is>
      </c>
      <c r="J924" t="inlineStr">
        <is>
          <t>TX</t>
        </is>
      </c>
      <c r="K924" t="inlineStr">
        <is>
          <t>Fundwell</t>
        </is>
      </c>
      <c r="L924" t="inlineStr">
        <is>
          <t>Renewal</t>
        </is>
      </c>
      <c r="M924" s="298" t="n">
        <v>1.35</v>
      </c>
      <c r="N924" s="299" t="n">
        <v>10000</v>
      </c>
      <c r="O924" s="299" t="n">
        <v>700</v>
      </c>
      <c r="P924" s="299" t="n">
        <v>13500</v>
      </c>
      <c r="Q924" s="299" t="n">
        <v>4094.8</v>
      </c>
      <c r="R924" s="299" t="n">
        <v>9405.200000000001</v>
      </c>
      <c r="S924" s="300" t="n">
        <v>0.303318518518519</v>
      </c>
      <c r="T924" t="n">
        <v>33</v>
      </c>
      <c r="U924" t="n">
        <v>0</v>
      </c>
      <c r="V924" t="n">
        <v>47981.44</v>
      </c>
      <c r="W924" s="300" t="n">
        <v>0.037</v>
      </c>
      <c r="X924" s="297" t="n">
        <v>43245</v>
      </c>
      <c r="Y924">
        <f>IF(I924="","No SIC",IFERROR(VLOOKUP(I924,Ref!$A$2:$B$65,2,FALSE),"Unclassified"))</f>
        <v/>
      </c>
      <c r="Z924">
        <f>IF(T924="","",IF(T924&lt;12,"Daily","Weekly"))</f>
        <v/>
      </c>
      <c r="AA924">
        <f>IF(T924="",0,IF(T924&lt;12,T924*Controls!$B$29,T924*5))</f>
        <v/>
      </c>
      <c r="AB924">
        <f>IF(E924="",0,NETWORKDAYS(E924,Controls!$B$36,Ref!$K$2:$K$42))</f>
        <v/>
      </c>
      <c r="AC924">
        <f>IF(AND(AA924&gt;0,AB924&gt;=Controls!$B$39*AA924),1,0)</f>
        <v/>
      </c>
      <c r="AD924">
        <f>IF(AND(E924&lt;&gt;"",E924&gt;=Controls!$B$37,E924&lt;=Controls!$B$38),1,0)</f>
        <v/>
      </c>
      <c r="AE924">
        <f>IF(IFERROR(VLOOKUP(D924,Controls!$A$64:$E$74,2,FALSE),"No")="Yes",1,0)</f>
        <v/>
      </c>
      <c r="AF924">
        <f>IF(IFERROR(VLOOKUP(D924,Controls!$A$64:$E$74,3,FALSE),"No")="Yes",1,0)</f>
        <v/>
      </c>
      <c r="AG924">
        <f>IF(IFERROR(VLOOKUP(D924,Controls!$A$64:$E$74,4,FALSE),"No")="Yes",1,0)</f>
        <v/>
      </c>
      <c r="AH924">
        <f>IF(IFERROR(VLOOKUP(D924,Controls!$A$64:$E$74,5,FALSE),"No")="Yes",1,0)</f>
        <v/>
      </c>
      <c r="AI924">
        <f>IF(ISNUMBER(MATCH(D924,Controls!$A$64:$A$74,0)),1,0)</f>
        <v/>
      </c>
      <c r="AJ924">
        <f>Q924-N924</f>
        <v/>
      </c>
      <c r="AK924">
        <f>IF(AE924=1,MAX(0,N924-Q924),0)</f>
        <v/>
      </c>
      <c r="AL924">
        <f>IF(OR(V924="",V924=0),0,N924/V924)</f>
        <v/>
      </c>
      <c r="AM924">
        <f>IF(OR(V924="",V924=0),0,1)</f>
        <v/>
      </c>
      <c r="AN924">
        <f>IF(OR(E924="",F924=""),0,NETWORKDAYS(E924,F924,Ref!$K$2:$K$42))</f>
        <v/>
      </c>
      <c r="AO924">
        <f>IF(L924="Renewal",1,0)</f>
        <v/>
      </c>
      <c r="AP924">
        <f>AC924*AD924</f>
        <v/>
      </c>
      <c r="AQ924">
        <f>IF(AND(G924&lt;&gt;"",'Historical Score'!$C$6&lt;&gt;""),IF(G924='Historical Score'!$C$6,1,0),0)</f>
        <v/>
      </c>
      <c r="AR924">
        <f>IF(AND(L924&lt;&gt;"",'Historical Score'!$C$5&lt;&gt;""),IF(L924='Historical Score'!$C$5,1,0),0)</f>
        <v/>
      </c>
      <c r="AS924">
        <f>IF(AND(Y924&lt;&gt;"",'Historical Score'!$C$7&lt;&gt;""),IF(Y924='Historical Score'!$C$7,1,0),0)</f>
        <v/>
      </c>
      <c r="AT924">
        <f>IF(AND(K924&lt;&gt;"",'Historical Score'!$C$8&lt;&gt;""),IF(K924='Historical Score'!$C$8,1,0),0)</f>
        <v/>
      </c>
      <c r="AU924">
        <f>IF(AND(J924&lt;&gt;"",'Historical Score'!$C$9&lt;&gt;""),IF(J924='Historical Score'!$C$9,1,0),0)</f>
        <v/>
      </c>
      <c r="AV924">
        <f>AR924*AS924*AQ924</f>
        <v/>
      </c>
      <c r="AW924">
        <f>AR924*AT924*AQ924</f>
        <v/>
      </c>
      <c r="AX924">
        <f>AR924*AS924</f>
        <v/>
      </c>
      <c r="AY924">
        <f>AR924*AT924</f>
        <v/>
      </c>
      <c r="AZ924">
        <f>AR924*AQ924</f>
        <v/>
      </c>
      <c r="BA924">
        <f>AR924</f>
        <v/>
      </c>
      <c r="BB924">
        <f>1</f>
        <v/>
      </c>
      <c r="BC924">
        <f>IF(AV924=1,1,IF(AW924=1,2,IF(AX924=1,3,IF(AY924=1,4,IF(AZ924=1,5,IF(BA924=1,6,7))))))</f>
        <v/>
      </c>
      <c r="BD924">
        <f>IF(AD924=1,CHOOSE('Historical Score'!$C$29,AV924,AW924,AX924,AY924,AZ924,BA924,BB924),0)</f>
        <v/>
      </c>
      <c r="BE924">
        <f>IF(BD924=1,COUNTIF($BD$2:BD924,1),"")</f>
        <v/>
      </c>
    </row>
    <row r="925">
      <c r="A925" t="inlineStr">
        <is>
          <t>5674184755</t>
        </is>
      </c>
      <c r="B925" t="inlineStr">
        <is>
          <t>WILLIE'S REPAIR SERVICE</t>
        </is>
      </c>
      <c r="C925" t="inlineStr">
        <is>
          <t>Willie's Repair Service LLC</t>
        </is>
      </c>
      <c r="D925" t="inlineStr">
        <is>
          <t>In House Collection</t>
        </is>
      </c>
      <c r="E925" s="297" t="n">
        <v>46176</v>
      </c>
      <c r="F925" s="297" t="n">
        <v>46185</v>
      </c>
      <c r="G925" t="n">
        <v>3</v>
      </c>
      <c r="H925" t="inlineStr">
        <is>
          <t>7538</t>
        </is>
      </c>
      <c r="I925" t="inlineStr">
        <is>
          <t>75</t>
        </is>
      </c>
      <c r="J925" t="inlineStr">
        <is>
          <t>VA</t>
        </is>
      </c>
      <c r="K925" t="inlineStr">
        <is>
          <t>ROYAL FUNDING GROUP</t>
        </is>
      </c>
      <c r="L925" t="inlineStr">
        <is>
          <t>Renewal</t>
        </is>
      </c>
      <c r="M925" s="298" t="n">
        <v>1.49</v>
      </c>
      <c r="N925" s="299" t="n">
        <v>25000</v>
      </c>
      <c r="O925" s="299" t="n">
        <v>3500</v>
      </c>
      <c r="P925" s="299" t="n">
        <v>37250</v>
      </c>
      <c r="Q925" s="299" t="n">
        <v>931.23</v>
      </c>
      <c r="R925" s="299" t="n">
        <v>36318.77</v>
      </c>
      <c r="S925" s="300" t="n">
        <v>0.0249994630872483</v>
      </c>
      <c r="T925" t="n">
        <v>3.934</v>
      </c>
      <c r="U925" t="n">
        <v>3</v>
      </c>
      <c r="V925" t="n">
        <v>47264.79</v>
      </c>
      <c r="W925" s="300" t="n">
        <v>0.1784</v>
      </c>
      <c r="X925" s="297" t="n">
        <v>30767</v>
      </c>
      <c r="Y925">
        <f>IF(I925="","No SIC",IFERROR(VLOOKUP(I925,Ref!$A$2:$B$65,2,FALSE),"Unclassified"))</f>
        <v/>
      </c>
      <c r="Z925">
        <f>IF(T925="","",IF(T925&lt;12,"Daily","Weekly"))</f>
        <v/>
      </c>
      <c r="AA925">
        <f>IF(T925="",0,IF(T925&lt;12,T925*Controls!$B$29,T925*5))</f>
        <v/>
      </c>
      <c r="AB925">
        <f>IF(E925="",0,NETWORKDAYS(E925,Controls!$B$36,Ref!$K$2:$K$42))</f>
        <v/>
      </c>
      <c r="AC925">
        <f>IF(AND(AA925&gt;0,AB925&gt;=Controls!$B$39*AA925),1,0)</f>
        <v/>
      </c>
      <c r="AD925">
        <f>IF(AND(E925&lt;&gt;"",E925&gt;=Controls!$B$37,E925&lt;=Controls!$B$38),1,0)</f>
        <v/>
      </c>
      <c r="AE925">
        <f>IF(IFERROR(VLOOKUP(D925,Controls!$A$64:$E$74,2,FALSE),"No")="Yes",1,0)</f>
        <v/>
      </c>
      <c r="AF925">
        <f>IF(IFERROR(VLOOKUP(D925,Controls!$A$64:$E$74,3,FALSE),"No")="Yes",1,0)</f>
        <v/>
      </c>
      <c r="AG925">
        <f>IF(IFERROR(VLOOKUP(D925,Controls!$A$64:$E$74,4,FALSE),"No")="Yes",1,0)</f>
        <v/>
      </c>
      <c r="AH925">
        <f>IF(IFERROR(VLOOKUP(D925,Controls!$A$64:$E$74,5,FALSE),"No")="Yes",1,0)</f>
        <v/>
      </c>
      <c r="AI925">
        <f>IF(ISNUMBER(MATCH(D925,Controls!$A$64:$A$74,0)),1,0)</f>
        <v/>
      </c>
      <c r="AJ925">
        <f>Q925-N925</f>
        <v/>
      </c>
      <c r="AK925">
        <f>IF(AE925=1,MAX(0,N925-Q925),0)</f>
        <v/>
      </c>
      <c r="AL925">
        <f>IF(OR(V925="",V925=0),0,N925/V925)</f>
        <v/>
      </c>
      <c r="AM925">
        <f>IF(OR(V925="",V925=0),0,1)</f>
        <v/>
      </c>
      <c r="AN925">
        <f>IF(OR(E925="",F925=""),0,NETWORKDAYS(E925,F925,Ref!$K$2:$K$42))</f>
        <v/>
      </c>
      <c r="AO925">
        <f>IF(L925="Renewal",1,0)</f>
        <v/>
      </c>
      <c r="AP925">
        <f>AC925*AD925</f>
        <v/>
      </c>
      <c r="AQ925">
        <f>IF(AND(G925&lt;&gt;"",'Historical Score'!$C$6&lt;&gt;""),IF(G925='Historical Score'!$C$6,1,0),0)</f>
        <v/>
      </c>
      <c r="AR925">
        <f>IF(AND(L925&lt;&gt;"",'Historical Score'!$C$5&lt;&gt;""),IF(L925='Historical Score'!$C$5,1,0),0)</f>
        <v/>
      </c>
      <c r="AS925">
        <f>IF(AND(Y925&lt;&gt;"",'Historical Score'!$C$7&lt;&gt;""),IF(Y925='Historical Score'!$C$7,1,0),0)</f>
        <v/>
      </c>
      <c r="AT925">
        <f>IF(AND(K925&lt;&gt;"",'Historical Score'!$C$8&lt;&gt;""),IF(K925='Historical Score'!$C$8,1,0),0)</f>
        <v/>
      </c>
      <c r="AU925">
        <f>IF(AND(J925&lt;&gt;"",'Historical Score'!$C$9&lt;&gt;""),IF(J925='Historical Score'!$C$9,1,0),0)</f>
        <v/>
      </c>
      <c r="AV925">
        <f>AR925*AS925*AQ925</f>
        <v/>
      </c>
      <c r="AW925">
        <f>AR925*AT925*AQ925</f>
        <v/>
      </c>
      <c r="AX925">
        <f>AR925*AS925</f>
        <v/>
      </c>
      <c r="AY925">
        <f>AR925*AT925</f>
        <v/>
      </c>
      <c r="AZ925">
        <f>AR925*AQ925</f>
        <v/>
      </c>
      <c r="BA925">
        <f>AR925</f>
        <v/>
      </c>
      <c r="BB925">
        <f>1</f>
        <v/>
      </c>
      <c r="BC925">
        <f>IF(AV925=1,1,IF(AW925=1,2,IF(AX925=1,3,IF(AY925=1,4,IF(AZ925=1,5,IF(BA925=1,6,7))))))</f>
        <v/>
      </c>
      <c r="BD925">
        <f>IF(AD925=1,CHOOSE('Historical Score'!$C$29,AV925,AW925,AX925,AY925,AZ925,BA925,BB925),0)</f>
        <v/>
      </c>
      <c r="BE925">
        <f>IF(BD925=1,COUNTIF($BD$2:BD925,1),"")</f>
        <v/>
      </c>
    </row>
    <row r="926">
      <c r="A926" t="inlineStr">
        <is>
          <t>5674184770</t>
        </is>
      </c>
      <c r="B926" t="inlineStr">
        <is>
          <t>CHALO FAST FOOD</t>
        </is>
      </c>
      <c r="C926" t="inlineStr">
        <is>
          <t>JUDCRIS LLC</t>
        </is>
      </c>
      <c r="D926" t="inlineStr">
        <is>
          <t>Open</t>
        </is>
      </c>
      <c r="E926" s="297" t="n">
        <v>46176</v>
      </c>
      <c r="F926" s="297" t="n">
        <v>46253</v>
      </c>
      <c r="G926" t="n">
        <v>3</v>
      </c>
      <c r="H926" t="inlineStr">
        <is>
          <t>5812</t>
        </is>
      </c>
      <c r="I926" t="inlineStr">
        <is>
          <t>58</t>
        </is>
      </c>
      <c r="J926" t="inlineStr">
        <is>
          <t>GA</t>
        </is>
      </c>
      <c r="K926" t="inlineStr">
        <is>
          <t>Ballicci</t>
        </is>
      </c>
      <c r="L926" t="inlineStr">
        <is>
          <t>New Deal</t>
        </is>
      </c>
      <c r="M926" s="298" t="n">
        <v>1.49</v>
      </c>
      <c r="N926" s="299" t="n">
        <v>15000</v>
      </c>
      <c r="O926" s="299" t="n">
        <v>2100</v>
      </c>
      <c r="P926" s="299" t="n">
        <v>22350</v>
      </c>
      <c r="Q926" s="299" t="n">
        <v>9869.129999999999</v>
      </c>
      <c r="R926" s="299" t="n">
        <v>12480.87</v>
      </c>
      <c r="S926" s="300" t="n">
        <v>0.441571812080537</v>
      </c>
      <c r="T926" t="n">
        <v>3.934</v>
      </c>
      <c r="U926" t="n">
        <v>1</v>
      </c>
      <c r="V926" t="n">
        <v>9327.219999999999</v>
      </c>
      <c r="W926" s="300" t="n">
        <v>0.0711</v>
      </c>
      <c r="X926" s="297" t="n">
        <v>43727</v>
      </c>
      <c r="Y926">
        <f>IF(I926="","No SIC",IFERROR(VLOOKUP(I926,Ref!$A$2:$B$65,2,FALSE),"Unclassified"))</f>
        <v/>
      </c>
      <c r="Z926">
        <f>IF(T926="","",IF(T926&lt;12,"Daily","Weekly"))</f>
        <v/>
      </c>
      <c r="AA926">
        <f>IF(T926="",0,IF(T926&lt;12,T926*Controls!$B$29,T926*5))</f>
        <v/>
      </c>
      <c r="AB926">
        <f>IF(E926="",0,NETWORKDAYS(E926,Controls!$B$36,Ref!$K$2:$K$42))</f>
        <v/>
      </c>
      <c r="AC926">
        <f>IF(AND(AA926&gt;0,AB926&gt;=Controls!$B$39*AA926),1,0)</f>
        <v/>
      </c>
      <c r="AD926">
        <f>IF(AND(E926&lt;&gt;"",E926&gt;=Controls!$B$37,E926&lt;=Controls!$B$38),1,0)</f>
        <v/>
      </c>
      <c r="AE926">
        <f>IF(IFERROR(VLOOKUP(D926,Controls!$A$64:$E$74,2,FALSE),"No")="Yes",1,0)</f>
        <v/>
      </c>
      <c r="AF926">
        <f>IF(IFERROR(VLOOKUP(D926,Controls!$A$64:$E$74,3,FALSE),"No")="Yes",1,0)</f>
        <v/>
      </c>
      <c r="AG926">
        <f>IF(IFERROR(VLOOKUP(D926,Controls!$A$64:$E$74,4,FALSE),"No")="Yes",1,0)</f>
        <v/>
      </c>
      <c r="AH926">
        <f>IF(IFERROR(VLOOKUP(D926,Controls!$A$64:$E$74,5,FALSE),"No")="Yes",1,0)</f>
        <v/>
      </c>
      <c r="AI926">
        <f>IF(ISNUMBER(MATCH(D926,Controls!$A$64:$A$74,0)),1,0)</f>
        <v/>
      </c>
      <c r="AJ926">
        <f>Q926-N926</f>
        <v/>
      </c>
      <c r="AK926">
        <f>IF(AE926=1,MAX(0,N926-Q926),0)</f>
        <v/>
      </c>
      <c r="AL926">
        <f>IF(OR(V926="",V926=0),0,N926/V926)</f>
        <v/>
      </c>
      <c r="AM926">
        <f>IF(OR(V926="",V926=0),0,1)</f>
        <v/>
      </c>
      <c r="AN926">
        <f>IF(OR(E926="",F926=""),0,NETWORKDAYS(E926,F926,Ref!$K$2:$K$42))</f>
        <v/>
      </c>
      <c r="AO926">
        <f>IF(L926="Renewal",1,0)</f>
        <v/>
      </c>
      <c r="AP926">
        <f>AC926*AD926</f>
        <v/>
      </c>
      <c r="AQ926">
        <f>IF(AND(G926&lt;&gt;"",'Historical Score'!$C$6&lt;&gt;""),IF(G926='Historical Score'!$C$6,1,0),0)</f>
        <v/>
      </c>
      <c r="AR926">
        <f>IF(AND(L926&lt;&gt;"",'Historical Score'!$C$5&lt;&gt;""),IF(L926='Historical Score'!$C$5,1,0),0)</f>
        <v/>
      </c>
      <c r="AS926">
        <f>IF(AND(Y926&lt;&gt;"",'Historical Score'!$C$7&lt;&gt;""),IF(Y926='Historical Score'!$C$7,1,0),0)</f>
        <v/>
      </c>
      <c r="AT926">
        <f>IF(AND(K926&lt;&gt;"",'Historical Score'!$C$8&lt;&gt;""),IF(K926='Historical Score'!$C$8,1,0),0)</f>
        <v/>
      </c>
      <c r="AU926">
        <f>IF(AND(J926&lt;&gt;"",'Historical Score'!$C$9&lt;&gt;""),IF(J926='Historical Score'!$C$9,1,0),0)</f>
        <v/>
      </c>
      <c r="AV926">
        <f>AR926*AS926*AQ926</f>
        <v/>
      </c>
      <c r="AW926">
        <f>AR926*AT926*AQ926</f>
        <v/>
      </c>
      <c r="AX926">
        <f>AR926*AS926</f>
        <v/>
      </c>
      <c r="AY926">
        <f>AR926*AT926</f>
        <v/>
      </c>
      <c r="AZ926">
        <f>AR926*AQ926</f>
        <v/>
      </c>
      <c r="BA926">
        <f>AR926</f>
        <v/>
      </c>
      <c r="BB926">
        <f>1</f>
        <v/>
      </c>
      <c r="BC926">
        <f>IF(AV926=1,1,IF(AW926=1,2,IF(AX926=1,3,IF(AY926=1,4,IF(AZ926=1,5,IF(BA926=1,6,7))))))</f>
        <v/>
      </c>
      <c r="BD926">
        <f>IF(AD926=1,CHOOSE('Historical Score'!$C$29,AV926,AW926,AX926,AY926,AZ926,BA926,BB926),0)</f>
        <v/>
      </c>
      <c r="BE926">
        <f>IF(BD926=1,COUNTIF($BD$2:BD926,1),"")</f>
        <v/>
      </c>
    </row>
    <row r="927">
      <c r="A927" t="inlineStr">
        <is>
          <t>5674184772</t>
        </is>
      </c>
      <c r="B927" t="inlineStr">
        <is>
          <t>1-800-Radiators</t>
        </is>
      </c>
      <c r="C927" t="inlineStr">
        <is>
          <t>C &amp; K Sorgenfrie Corp</t>
        </is>
      </c>
      <c r="D927" t="inlineStr">
        <is>
          <t>Open</t>
        </is>
      </c>
      <c r="E927" s="297" t="n">
        <v>46176</v>
      </c>
      <c r="F927" s="297" t="n">
        <v>46253</v>
      </c>
      <c r="G927" t="n">
        <v>3</v>
      </c>
      <c r="H927" t="inlineStr">
        <is>
          <t>1711</t>
        </is>
      </c>
      <c r="I927" t="inlineStr">
        <is>
          <t>17</t>
        </is>
      </c>
      <c r="J927" t="inlineStr">
        <is>
          <t>OR</t>
        </is>
      </c>
      <c r="K927" t="inlineStr">
        <is>
          <t>Westwood</t>
        </is>
      </c>
      <c r="L927" t="inlineStr">
        <is>
          <t>New Deal</t>
        </is>
      </c>
      <c r="M927" s="298" t="n">
        <v>1.43</v>
      </c>
      <c r="N927" s="299" t="n">
        <v>22000</v>
      </c>
      <c r="O927" s="299" t="n">
        <v>2420</v>
      </c>
      <c r="P927" s="299" t="n">
        <v>31460</v>
      </c>
      <c r="Q927" s="299" t="n">
        <v>18874.08</v>
      </c>
      <c r="R927" s="299" t="n">
        <v>12585.92</v>
      </c>
      <c r="S927" s="300" t="n">
        <v>0.599938970120788</v>
      </c>
      <c r="T927" t="n">
        <v>2.951</v>
      </c>
      <c r="U927" t="n">
        <v>0</v>
      </c>
      <c r="V927" t="n">
        <v>48000</v>
      </c>
      <c r="W927" s="300" t="n">
        <v>0.0367</v>
      </c>
      <c r="X927" s="297" t="n">
        <v>42352</v>
      </c>
      <c r="Y927">
        <f>IF(I927="","No SIC",IFERROR(VLOOKUP(I927,Ref!$A$2:$B$65,2,FALSE),"Unclassified"))</f>
        <v/>
      </c>
      <c r="Z927">
        <f>IF(T927="","",IF(T927&lt;12,"Daily","Weekly"))</f>
        <v/>
      </c>
      <c r="AA927">
        <f>IF(T927="",0,IF(T927&lt;12,T927*Controls!$B$29,T927*5))</f>
        <v/>
      </c>
      <c r="AB927">
        <f>IF(E927="",0,NETWORKDAYS(E927,Controls!$B$36,Ref!$K$2:$K$42))</f>
        <v/>
      </c>
      <c r="AC927">
        <f>IF(AND(AA927&gt;0,AB927&gt;=Controls!$B$39*AA927),1,0)</f>
        <v/>
      </c>
      <c r="AD927">
        <f>IF(AND(E927&lt;&gt;"",E927&gt;=Controls!$B$37,E927&lt;=Controls!$B$38),1,0)</f>
        <v/>
      </c>
      <c r="AE927">
        <f>IF(IFERROR(VLOOKUP(D927,Controls!$A$64:$E$74,2,FALSE),"No")="Yes",1,0)</f>
        <v/>
      </c>
      <c r="AF927">
        <f>IF(IFERROR(VLOOKUP(D927,Controls!$A$64:$E$74,3,FALSE),"No")="Yes",1,0)</f>
        <v/>
      </c>
      <c r="AG927">
        <f>IF(IFERROR(VLOOKUP(D927,Controls!$A$64:$E$74,4,FALSE),"No")="Yes",1,0)</f>
        <v/>
      </c>
      <c r="AH927">
        <f>IF(IFERROR(VLOOKUP(D927,Controls!$A$64:$E$74,5,FALSE),"No")="Yes",1,0)</f>
        <v/>
      </c>
      <c r="AI927">
        <f>IF(ISNUMBER(MATCH(D927,Controls!$A$64:$A$74,0)),1,0)</f>
        <v/>
      </c>
      <c r="AJ927">
        <f>Q927-N927</f>
        <v/>
      </c>
      <c r="AK927">
        <f>IF(AE927=1,MAX(0,N927-Q927),0)</f>
        <v/>
      </c>
      <c r="AL927">
        <f>IF(OR(V927="",V927=0),0,N927/V927)</f>
        <v/>
      </c>
      <c r="AM927">
        <f>IF(OR(V927="",V927=0),0,1)</f>
        <v/>
      </c>
      <c r="AN927">
        <f>IF(OR(E927="",F927=""),0,NETWORKDAYS(E927,F927,Ref!$K$2:$K$42))</f>
        <v/>
      </c>
      <c r="AO927">
        <f>IF(L927="Renewal",1,0)</f>
        <v/>
      </c>
      <c r="AP927">
        <f>AC927*AD927</f>
        <v/>
      </c>
      <c r="AQ927">
        <f>IF(AND(G927&lt;&gt;"",'Historical Score'!$C$6&lt;&gt;""),IF(G927='Historical Score'!$C$6,1,0),0)</f>
        <v/>
      </c>
      <c r="AR927">
        <f>IF(AND(L927&lt;&gt;"",'Historical Score'!$C$5&lt;&gt;""),IF(L927='Historical Score'!$C$5,1,0),0)</f>
        <v/>
      </c>
      <c r="AS927">
        <f>IF(AND(Y927&lt;&gt;"",'Historical Score'!$C$7&lt;&gt;""),IF(Y927='Historical Score'!$C$7,1,0),0)</f>
        <v/>
      </c>
      <c r="AT927">
        <f>IF(AND(K927&lt;&gt;"",'Historical Score'!$C$8&lt;&gt;""),IF(K927='Historical Score'!$C$8,1,0),0)</f>
        <v/>
      </c>
      <c r="AU927">
        <f>IF(AND(J927&lt;&gt;"",'Historical Score'!$C$9&lt;&gt;""),IF(J927='Historical Score'!$C$9,1,0),0)</f>
        <v/>
      </c>
      <c r="AV927">
        <f>AR927*AS927*AQ927</f>
        <v/>
      </c>
      <c r="AW927">
        <f>AR927*AT927*AQ927</f>
        <v/>
      </c>
      <c r="AX927">
        <f>AR927*AS927</f>
        <v/>
      </c>
      <c r="AY927">
        <f>AR927*AT927</f>
        <v/>
      </c>
      <c r="AZ927">
        <f>AR927*AQ927</f>
        <v/>
      </c>
      <c r="BA927">
        <f>AR927</f>
        <v/>
      </c>
      <c r="BB927">
        <f>1</f>
        <v/>
      </c>
      <c r="BC927">
        <f>IF(AV927=1,1,IF(AW927=1,2,IF(AX927=1,3,IF(AY927=1,4,IF(AZ927=1,5,IF(BA927=1,6,7))))))</f>
        <v/>
      </c>
      <c r="BD927">
        <f>IF(AD927=1,CHOOSE('Historical Score'!$C$29,AV927,AW927,AX927,AY927,AZ927,BA927,BB927),0)</f>
        <v/>
      </c>
      <c r="BE927">
        <f>IF(BD927=1,COUNTIF($BD$2:BD927,1),"")</f>
        <v/>
      </c>
    </row>
    <row r="928">
      <c r="A928" t="inlineStr">
        <is>
          <t>5674184816</t>
        </is>
      </c>
      <c r="B928" t="inlineStr">
        <is>
          <t>LINDEY'S PRIME STEAKHOUSE</t>
        </is>
      </c>
      <c r="C928" t="inlineStr">
        <is>
          <t>Lindey's Inc.</t>
        </is>
      </c>
      <c r="D928" t="inlineStr">
        <is>
          <t>Open</t>
        </is>
      </c>
      <c r="E928" s="297" t="n">
        <v>46177</v>
      </c>
      <c r="F928" s="297" t="n">
        <v>46248</v>
      </c>
      <c r="G928" t="n">
        <v>3</v>
      </c>
      <c r="H928" t="inlineStr">
        <is>
          <t>5812</t>
        </is>
      </c>
      <c r="I928" t="inlineStr">
        <is>
          <t>58</t>
        </is>
      </c>
      <c r="J928" t="inlineStr">
        <is>
          <t>MN</t>
        </is>
      </c>
      <c r="K928" t="inlineStr">
        <is>
          <t>PMF</t>
        </is>
      </c>
      <c r="L928" t="inlineStr">
        <is>
          <t>New Deal</t>
        </is>
      </c>
      <c r="M928" s="298" t="n">
        <v>1.45</v>
      </c>
      <c r="N928" s="299" t="n">
        <v>60000</v>
      </c>
      <c r="O928" s="299" t="n">
        <v>7200</v>
      </c>
      <c r="P928" s="299" t="n">
        <v>87000</v>
      </c>
      <c r="Q928" s="299" t="n">
        <v>28965</v>
      </c>
      <c r="R928" s="299" t="n">
        <v>58035</v>
      </c>
      <c r="S928" s="300" t="n">
        <v>0.332931034482759</v>
      </c>
      <c r="T928" t="n">
        <v>30</v>
      </c>
      <c r="U928" t="n">
        <v>0</v>
      </c>
      <c r="V928" t="n">
        <v>297076.82</v>
      </c>
      <c r="W928" s="300" t="n">
        <v>0.039</v>
      </c>
      <c r="X928" s="297" t="n"/>
      <c r="Y928">
        <f>IF(I928="","No SIC",IFERROR(VLOOKUP(I928,Ref!$A$2:$B$65,2,FALSE),"Unclassified"))</f>
        <v/>
      </c>
      <c r="Z928">
        <f>IF(T928="","",IF(T928&lt;12,"Daily","Weekly"))</f>
        <v/>
      </c>
      <c r="AA928">
        <f>IF(T928="",0,IF(T928&lt;12,T928*Controls!$B$29,T928*5))</f>
        <v/>
      </c>
      <c r="AB928">
        <f>IF(E928="",0,NETWORKDAYS(E928,Controls!$B$36,Ref!$K$2:$K$42))</f>
        <v/>
      </c>
      <c r="AC928">
        <f>IF(AND(AA928&gt;0,AB928&gt;=Controls!$B$39*AA928),1,0)</f>
        <v/>
      </c>
      <c r="AD928">
        <f>IF(AND(E928&lt;&gt;"",E928&gt;=Controls!$B$37,E928&lt;=Controls!$B$38),1,0)</f>
        <v/>
      </c>
      <c r="AE928">
        <f>IF(IFERROR(VLOOKUP(D928,Controls!$A$64:$E$74,2,FALSE),"No")="Yes",1,0)</f>
        <v/>
      </c>
      <c r="AF928">
        <f>IF(IFERROR(VLOOKUP(D928,Controls!$A$64:$E$74,3,FALSE),"No")="Yes",1,0)</f>
        <v/>
      </c>
      <c r="AG928">
        <f>IF(IFERROR(VLOOKUP(D928,Controls!$A$64:$E$74,4,FALSE),"No")="Yes",1,0)</f>
        <v/>
      </c>
      <c r="AH928">
        <f>IF(IFERROR(VLOOKUP(D928,Controls!$A$64:$E$74,5,FALSE),"No")="Yes",1,0)</f>
        <v/>
      </c>
      <c r="AI928">
        <f>IF(ISNUMBER(MATCH(D928,Controls!$A$64:$A$74,0)),1,0)</f>
        <v/>
      </c>
      <c r="AJ928">
        <f>Q928-N928</f>
        <v/>
      </c>
      <c r="AK928">
        <f>IF(AE928=1,MAX(0,N928-Q928),0)</f>
        <v/>
      </c>
      <c r="AL928">
        <f>IF(OR(V928="",V928=0),0,N928/V928)</f>
        <v/>
      </c>
      <c r="AM928">
        <f>IF(OR(V928="",V928=0),0,1)</f>
        <v/>
      </c>
      <c r="AN928">
        <f>IF(OR(E928="",F928=""),0,NETWORKDAYS(E928,F928,Ref!$K$2:$K$42))</f>
        <v/>
      </c>
      <c r="AO928">
        <f>IF(L928="Renewal",1,0)</f>
        <v/>
      </c>
      <c r="AP928">
        <f>AC928*AD928</f>
        <v/>
      </c>
      <c r="AQ928">
        <f>IF(AND(G928&lt;&gt;"",'Historical Score'!$C$6&lt;&gt;""),IF(G928='Historical Score'!$C$6,1,0),0)</f>
        <v/>
      </c>
      <c r="AR928">
        <f>IF(AND(L928&lt;&gt;"",'Historical Score'!$C$5&lt;&gt;""),IF(L928='Historical Score'!$C$5,1,0),0)</f>
        <v/>
      </c>
      <c r="AS928">
        <f>IF(AND(Y928&lt;&gt;"",'Historical Score'!$C$7&lt;&gt;""),IF(Y928='Historical Score'!$C$7,1,0),0)</f>
        <v/>
      </c>
      <c r="AT928">
        <f>IF(AND(K928&lt;&gt;"",'Historical Score'!$C$8&lt;&gt;""),IF(K928='Historical Score'!$C$8,1,0),0)</f>
        <v/>
      </c>
      <c r="AU928">
        <f>IF(AND(J928&lt;&gt;"",'Historical Score'!$C$9&lt;&gt;""),IF(J928='Historical Score'!$C$9,1,0),0)</f>
        <v/>
      </c>
      <c r="AV928">
        <f>AR928*AS928*AQ928</f>
        <v/>
      </c>
      <c r="AW928">
        <f>AR928*AT928*AQ928</f>
        <v/>
      </c>
      <c r="AX928">
        <f>AR928*AS928</f>
        <v/>
      </c>
      <c r="AY928">
        <f>AR928*AT928</f>
        <v/>
      </c>
      <c r="AZ928">
        <f>AR928*AQ928</f>
        <v/>
      </c>
      <c r="BA928">
        <f>AR928</f>
        <v/>
      </c>
      <c r="BB928">
        <f>1</f>
        <v/>
      </c>
      <c r="BC928">
        <f>IF(AV928=1,1,IF(AW928=1,2,IF(AX928=1,3,IF(AY928=1,4,IF(AZ928=1,5,IF(BA928=1,6,7))))))</f>
        <v/>
      </c>
      <c r="BD928">
        <f>IF(AD928=1,CHOOSE('Historical Score'!$C$29,AV928,AW928,AX928,AY928,AZ928,BA928,BB928),0)</f>
        <v/>
      </c>
      <c r="BE928">
        <f>IF(BD928=1,COUNTIF($BD$2:BD928,1),"")</f>
        <v/>
      </c>
    </row>
    <row r="929">
      <c r="A929" t="inlineStr">
        <is>
          <t>5674184818</t>
        </is>
      </c>
      <c r="B929" t="inlineStr">
        <is>
          <t>Exhibit Boss LLC</t>
        </is>
      </c>
      <c r="C929" t="inlineStr">
        <is>
          <t>Exhibit Boss LLC</t>
        </is>
      </c>
      <c r="D929" t="inlineStr">
        <is>
          <t>Closed</t>
        </is>
      </c>
      <c r="E929" s="297" t="n">
        <v>46177</v>
      </c>
      <c r="F929" s="297" t="n">
        <v>46251</v>
      </c>
      <c r="G929" t="n">
        <v>3</v>
      </c>
      <c r="H929" t="inlineStr">
        <is>
          <t>3993</t>
        </is>
      </c>
      <c r="I929" t="inlineStr">
        <is>
          <t>39</t>
        </is>
      </c>
      <c r="J929" t="inlineStr">
        <is>
          <t>TX</t>
        </is>
      </c>
      <c r="K929" t="inlineStr">
        <is>
          <t>PMF</t>
        </is>
      </c>
      <c r="L929" t="inlineStr">
        <is>
          <t>New Deal</t>
        </is>
      </c>
      <c r="M929" s="298" t="n">
        <v>1.49</v>
      </c>
      <c r="N929" s="299" t="n">
        <v>45000</v>
      </c>
      <c r="O929" s="299" t="n">
        <v>6300</v>
      </c>
      <c r="P929" s="299" t="n">
        <v>67050</v>
      </c>
      <c r="Q929" s="299" t="n">
        <v>67050</v>
      </c>
      <c r="R929" s="299" t="n">
        <v>0</v>
      </c>
      <c r="S929" s="300" t="n">
        <v>1</v>
      </c>
      <c r="T929" t="n">
        <v>22</v>
      </c>
      <c r="U929" t="n">
        <v>0</v>
      </c>
      <c r="V929" t="n">
        <v>335897.48</v>
      </c>
      <c r="W929" s="300" t="n">
        <v>0.0363</v>
      </c>
      <c r="X929" s="297" t="n">
        <v>42736</v>
      </c>
      <c r="Y929">
        <f>IF(I929="","No SIC",IFERROR(VLOOKUP(I929,Ref!$A$2:$B$65,2,FALSE),"Unclassified"))</f>
        <v/>
      </c>
      <c r="Z929">
        <f>IF(T929="","",IF(T929&lt;12,"Daily","Weekly"))</f>
        <v/>
      </c>
      <c r="AA929">
        <f>IF(T929="",0,IF(T929&lt;12,T929*Controls!$B$29,T929*5))</f>
        <v/>
      </c>
      <c r="AB929">
        <f>IF(E929="",0,NETWORKDAYS(E929,Controls!$B$36,Ref!$K$2:$K$42))</f>
        <v/>
      </c>
      <c r="AC929">
        <f>IF(AND(AA929&gt;0,AB929&gt;=Controls!$B$39*AA929),1,0)</f>
        <v/>
      </c>
      <c r="AD929">
        <f>IF(AND(E929&lt;&gt;"",E929&gt;=Controls!$B$37,E929&lt;=Controls!$B$38),1,0)</f>
        <v/>
      </c>
      <c r="AE929">
        <f>IF(IFERROR(VLOOKUP(D929,Controls!$A$64:$E$74,2,FALSE),"No")="Yes",1,0)</f>
        <v/>
      </c>
      <c r="AF929">
        <f>IF(IFERROR(VLOOKUP(D929,Controls!$A$64:$E$74,3,FALSE),"No")="Yes",1,0)</f>
        <v/>
      </c>
      <c r="AG929">
        <f>IF(IFERROR(VLOOKUP(D929,Controls!$A$64:$E$74,4,FALSE),"No")="Yes",1,0)</f>
        <v/>
      </c>
      <c r="AH929">
        <f>IF(IFERROR(VLOOKUP(D929,Controls!$A$64:$E$74,5,FALSE),"No")="Yes",1,0)</f>
        <v/>
      </c>
      <c r="AI929">
        <f>IF(ISNUMBER(MATCH(D929,Controls!$A$64:$A$74,0)),1,0)</f>
        <v/>
      </c>
      <c r="AJ929">
        <f>Q929-N929</f>
        <v/>
      </c>
      <c r="AK929">
        <f>IF(AE929=1,MAX(0,N929-Q929),0)</f>
        <v/>
      </c>
      <c r="AL929">
        <f>IF(OR(V929="",V929=0),0,N929/V929)</f>
        <v/>
      </c>
      <c r="AM929">
        <f>IF(OR(V929="",V929=0),0,1)</f>
        <v/>
      </c>
      <c r="AN929">
        <f>IF(OR(E929="",F929=""),0,NETWORKDAYS(E929,F929,Ref!$K$2:$K$42))</f>
        <v/>
      </c>
      <c r="AO929">
        <f>IF(L929="Renewal",1,0)</f>
        <v/>
      </c>
      <c r="AP929">
        <f>AC929*AD929</f>
        <v/>
      </c>
      <c r="AQ929">
        <f>IF(AND(G929&lt;&gt;"",'Historical Score'!$C$6&lt;&gt;""),IF(G929='Historical Score'!$C$6,1,0),0)</f>
        <v/>
      </c>
      <c r="AR929">
        <f>IF(AND(L929&lt;&gt;"",'Historical Score'!$C$5&lt;&gt;""),IF(L929='Historical Score'!$C$5,1,0),0)</f>
        <v/>
      </c>
      <c r="AS929">
        <f>IF(AND(Y929&lt;&gt;"",'Historical Score'!$C$7&lt;&gt;""),IF(Y929='Historical Score'!$C$7,1,0),0)</f>
        <v/>
      </c>
      <c r="AT929">
        <f>IF(AND(K929&lt;&gt;"",'Historical Score'!$C$8&lt;&gt;""),IF(K929='Historical Score'!$C$8,1,0),0)</f>
        <v/>
      </c>
      <c r="AU929">
        <f>IF(AND(J929&lt;&gt;"",'Historical Score'!$C$9&lt;&gt;""),IF(J929='Historical Score'!$C$9,1,0),0)</f>
        <v/>
      </c>
      <c r="AV929">
        <f>AR929*AS929*AQ929</f>
        <v/>
      </c>
      <c r="AW929">
        <f>AR929*AT929*AQ929</f>
        <v/>
      </c>
      <c r="AX929">
        <f>AR929*AS929</f>
        <v/>
      </c>
      <c r="AY929">
        <f>AR929*AT929</f>
        <v/>
      </c>
      <c r="AZ929">
        <f>AR929*AQ929</f>
        <v/>
      </c>
      <c r="BA929">
        <f>AR929</f>
        <v/>
      </c>
      <c r="BB929">
        <f>1</f>
        <v/>
      </c>
      <c r="BC929">
        <f>IF(AV929=1,1,IF(AW929=1,2,IF(AX929=1,3,IF(AY929=1,4,IF(AZ929=1,5,IF(BA929=1,6,7))))))</f>
        <v/>
      </c>
      <c r="BD929">
        <f>IF(AD929=1,CHOOSE('Historical Score'!$C$29,AV929,AW929,AX929,AY929,AZ929,BA929,BB929),0)</f>
        <v/>
      </c>
      <c r="BE929">
        <f>IF(BD929=1,COUNTIF($BD$2:BD929,1),"")</f>
        <v/>
      </c>
    </row>
    <row r="930">
      <c r="A930" t="inlineStr">
        <is>
          <t>5674184839</t>
        </is>
      </c>
      <c r="B930" t="inlineStr">
        <is>
          <t>First Development</t>
        </is>
      </c>
      <c r="C930" t="inlineStr">
        <is>
          <t>First Development</t>
        </is>
      </c>
      <c r="D930" t="inlineStr">
        <is>
          <t>Open</t>
        </is>
      </c>
      <c r="E930" s="297" t="n">
        <v>46177</v>
      </c>
      <c r="F930" s="297" t="n">
        <v>46227</v>
      </c>
      <c r="G930" t="n">
        <v>3</v>
      </c>
      <c r="H930" t="inlineStr">
        <is>
          <t>1521</t>
        </is>
      </c>
      <c r="I930" t="inlineStr">
        <is>
          <t>15</t>
        </is>
      </c>
      <c r="J930" t="inlineStr">
        <is>
          <t>CA</t>
        </is>
      </c>
      <c r="K930" t="inlineStr">
        <is>
          <t>Redline Capital</t>
        </is>
      </c>
      <c r="L930" t="inlineStr">
        <is>
          <t>New Deal</t>
        </is>
      </c>
      <c r="M930" s="298" t="n">
        <v>1.49</v>
      </c>
      <c r="N930" s="299" t="n">
        <v>9000</v>
      </c>
      <c r="O930" s="299" t="n">
        <v>1260</v>
      </c>
      <c r="P930" s="299" t="n">
        <v>13410</v>
      </c>
      <c r="Q930" s="299" t="n">
        <v>4467.9</v>
      </c>
      <c r="R930" s="299" t="n">
        <v>8942.1</v>
      </c>
      <c r="S930" s="300" t="n">
        <v>0.333176733780761</v>
      </c>
      <c r="T930" t="n">
        <v>2.951</v>
      </c>
      <c r="U930" t="n">
        <v>3</v>
      </c>
      <c r="V930" t="n">
        <v>50039.4</v>
      </c>
      <c r="W930" s="300" t="n">
        <v>0.0625</v>
      </c>
      <c r="X930" s="297" t="n">
        <v>42370</v>
      </c>
      <c r="Y930">
        <f>IF(I930="","No SIC",IFERROR(VLOOKUP(I930,Ref!$A$2:$B$65,2,FALSE),"Unclassified"))</f>
        <v/>
      </c>
      <c r="Z930">
        <f>IF(T930="","",IF(T930&lt;12,"Daily","Weekly"))</f>
        <v/>
      </c>
      <c r="AA930">
        <f>IF(T930="",0,IF(T930&lt;12,T930*Controls!$B$29,T930*5))</f>
        <v/>
      </c>
      <c r="AB930">
        <f>IF(E930="",0,NETWORKDAYS(E930,Controls!$B$36,Ref!$K$2:$K$42))</f>
        <v/>
      </c>
      <c r="AC930">
        <f>IF(AND(AA930&gt;0,AB930&gt;=Controls!$B$39*AA930),1,0)</f>
        <v/>
      </c>
      <c r="AD930">
        <f>IF(AND(E930&lt;&gt;"",E930&gt;=Controls!$B$37,E930&lt;=Controls!$B$38),1,0)</f>
        <v/>
      </c>
      <c r="AE930">
        <f>IF(IFERROR(VLOOKUP(D930,Controls!$A$64:$E$74,2,FALSE),"No")="Yes",1,0)</f>
        <v/>
      </c>
      <c r="AF930">
        <f>IF(IFERROR(VLOOKUP(D930,Controls!$A$64:$E$74,3,FALSE),"No")="Yes",1,0)</f>
        <v/>
      </c>
      <c r="AG930">
        <f>IF(IFERROR(VLOOKUP(D930,Controls!$A$64:$E$74,4,FALSE),"No")="Yes",1,0)</f>
        <v/>
      </c>
      <c r="AH930">
        <f>IF(IFERROR(VLOOKUP(D930,Controls!$A$64:$E$74,5,FALSE),"No")="Yes",1,0)</f>
        <v/>
      </c>
      <c r="AI930">
        <f>IF(ISNUMBER(MATCH(D930,Controls!$A$64:$A$74,0)),1,0)</f>
        <v/>
      </c>
      <c r="AJ930">
        <f>Q930-N930</f>
        <v/>
      </c>
      <c r="AK930">
        <f>IF(AE930=1,MAX(0,N930-Q930),0)</f>
        <v/>
      </c>
      <c r="AL930">
        <f>IF(OR(V930="",V930=0),0,N930/V930)</f>
        <v/>
      </c>
      <c r="AM930">
        <f>IF(OR(V930="",V930=0),0,1)</f>
        <v/>
      </c>
      <c r="AN930">
        <f>IF(OR(E930="",F930=""),0,NETWORKDAYS(E930,F930,Ref!$K$2:$K$42))</f>
        <v/>
      </c>
      <c r="AO930">
        <f>IF(L930="Renewal",1,0)</f>
        <v/>
      </c>
      <c r="AP930">
        <f>AC930*AD930</f>
        <v/>
      </c>
      <c r="AQ930">
        <f>IF(AND(G930&lt;&gt;"",'Historical Score'!$C$6&lt;&gt;""),IF(G930='Historical Score'!$C$6,1,0),0)</f>
        <v/>
      </c>
      <c r="AR930">
        <f>IF(AND(L930&lt;&gt;"",'Historical Score'!$C$5&lt;&gt;""),IF(L930='Historical Score'!$C$5,1,0),0)</f>
        <v/>
      </c>
      <c r="AS930">
        <f>IF(AND(Y930&lt;&gt;"",'Historical Score'!$C$7&lt;&gt;""),IF(Y930='Historical Score'!$C$7,1,0),0)</f>
        <v/>
      </c>
      <c r="AT930">
        <f>IF(AND(K930&lt;&gt;"",'Historical Score'!$C$8&lt;&gt;""),IF(K930='Historical Score'!$C$8,1,0),0)</f>
        <v/>
      </c>
      <c r="AU930">
        <f>IF(AND(J930&lt;&gt;"",'Historical Score'!$C$9&lt;&gt;""),IF(J930='Historical Score'!$C$9,1,0),0)</f>
        <v/>
      </c>
      <c r="AV930">
        <f>AR930*AS930*AQ930</f>
        <v/>
      </c>
      <c r="AW930">
        <f>AR930*AT930*AQ930</f>
        <v/>
      </c>
      <c r="AX930">
        <f>AR930*AS930</f>
        <v/>
      </c>
      <c r="AY930">
        <f>AR930*AT930</f>
        <v/>
      </c>
      <c r="AZ930">
        <f>AR930*AQ930</f>
        <v/>
      </c>
      <c r="BA930">
        <f>AR930</f>
        <v/>
      </c>
      <c r="BB930">
        <f>1</f>
        <v/>
      </c>
      <c r="BC930">
        <f>IF(AV930=1,1,IF(AW930=1,2,IF(AX930=1,3,IF(AY930=1,4,IF(AZ930=1,5,IF(BA930=1,6,7))))))</f>
        <v/>
      </c>
      <c r="BD930">
        <f>IF(AD930=1,CHOOSE('Historical Score'!$C$29,AV930,AW930,AX930,AY930,AZ930,BA930,BB930),0)</f>
        <v/>
      </c>
      <c r="BE930">
        <f>IF(BD930=1,COUNTIF($BD$2:BD930,1),"")</f>
        <v/>
      </c>
    </row>
    <row r="931">
      <c r="A931" t="inlineStr">
        <is>
          <t>5674184843</t>
        </is>
      </c>
      <c r="B931" t="inlineStr">
        <is>
          <t>REVUP ENTERPRISES LLC</t>
        </is>
      </c>
      <c r="C931" t="inlineStr">
        <is>
          <t>REVUP ENTERPRISES LLC</t>
        </is>
      </c>
      <c r="D931" t="inlineStr">
        <is>
          <t>Closed</t>
        </is>
      </c>
      <c r="E931" s="297" t="n">
        <v>46177</v>
      </c>
      <c r="F931" s="297" t="n">
        <v>46225</v>
      </c>
      <c r="G931" t="n">
        <v>3</v>
      </c>
      <c r="H931" t="inlineStr">
        <is>
          <t>7538</t>
        </is>
      </c>
      <c r="I931" t="inlineStr">
        <is>
          <t>75</t>
        </is>
      </c>
      <c r="J931" t="inlineStr">
        <is>
          <t>TX</t>
        </is>
      </c>
      <c r="K931" t="inlineStr">
        <is>
          <t>PMF</t>
        </is>
      </c>
      <c r="L931" t="inlineStr">
        <is>
          <t>Renewal</t>
        </is>
      </c>
      <c r="M931" s="298" t="n">
        <v>1.49</v>
      </c>
      <c r="N931" s="299" t="n">
        <v>15000</v>
      </c>
      <c r="O931" s="299" t="n">
        <v>2100</v>
      </c>
      <c r="P931" s="299" t="n">
        <v>22350</v>
      </c>
      <c r="Q931" s="299" t="n">
        <v>22350</v>
      </c>
      <c r="R931" s="299" t="n">
        <v>0</v>
      </c>
      <c r="S931" s="300" t="n">
        <v>1</v>
      </c>
      <c r="T931" t="n">
        <v>2.131</v>
      </c>
      <c r="U931" t="n">
        <v>0</v>
      </c>
      <c r="V931" t="n">
        <v>94553.25</v>
      </c>
      <c r="W931" s="300" t="n">
        <v>0.0764</v>
      </c>
      <c r="X931" s="297" t="n">
        <v>45465</v>
      </c>
      <c r="Y931">
        <f>IF(I931="","No SIC",IFERROR(VLOOKUP(I931,Ref!$A$2:$B$65,2,FALSE),"Unclassified"))</f>
        <v/>
      </c>
      <c r="Z931">
        <f>IF(T931="","",IF(T931&lt;12,"Daily","Weekly"))</f>
        <v/>
      </c>
      <c r="AA931">
        <f>IF(T931="",0,IF(T931&lt;12,T931*Controls!$B$29,T931*5))</f>
        <v/>
      </c>
      <c r="AB931">
        <f>IF(E931="",0,NETWORKDAYS(E931,Controls!$B$36,Ref!$K$2:$K$42))</f>
        <v/>
      </c>
      <c r="AC931">
        <f>IF(AND(AA931&gt;0,AB931&gt;=Controls!$B$39*AA931),1,0)</f>
        <v/>
      </c>
      <c r="AD931">
        <f>IF(AND(E931&lt;&gt;"",E931&gt;=Controls!$B$37,E931&lt;=Controls!$B$38),1,0)</f>
        <v/>
      </c>
      <c r="AE931">
        <f>IF(IFERROR(VLOOKUP(D931,Controls!$A$64:$E$74,2,FALSE),"No")="Yes",1,0)</f>
        <v/>
      </c>
      <c r="AF931">
        <f>IF(IFERROR(VLOOKUP(D931,Controls!$A$64:$E$74,3,FALSE),"No")="Yes",1,0)</f>
        <v/>
      </c>
      <c r="AG931">
        <f>IF(IFERROR(VLOOKUP(D931,Controls!$A$64:$E$74,4,FALSE),"No")="Yes",1,0)</f>
        <v/>
      </c>
      <c r="AH931">
        <f>IF(IFERROR(VLOOKUP(D931,Controls!$A$64:$E$74,5,FALSE),"No")="Yes",1,0)</f>
        <v/>
      </c>
      <c r="AI931">
        <f>IF(ISNUMBER(MATCH(D931,Controls!$A$64:$A$74,0)),1,0)</f>
        <v/>
      </c>
      <c r="AJ931">
        <f>Q931-N931</f>
        <v/>
      </c>
      <c r="AK931">
        <f>IF(AE931=1,MAX(0,N931-Q931),0)</f>
        <v/>
      </c>
      <c r="AL931">
        <f>IF(OR(V931="",V931=0),0,N931/V931)</f>
        <v/>
      </c>
      <c r="AM931">
        <f>IF(OR(V931="",V931=0),0,1)</f>
        <v/>
      </c>
      <c r="AN931">
        <f>IF(OR(E931="",F931=""),0,NETWORKDAYS(E931,F931,Ref!$K$2:$K$42))</f>
        <v/>
      </c>
      <c r="AO931">
        <f>IF(L931="Renewal",1,0)</f>
        <v/>
      </c>
      <c r="AP931">
        <f>AC931*AD931</f>
        <v/>
      </c>
      <c r="AQ931">
        <f>IF(AND(G931&lt;&gt;"",'Historical Score'!$C$6&lt;&gt;""),IF(G931='Historical Score'!$C$6,1,0),0)</f>
        <v/>
      </c>
      <c r="AR931">
        <f>IF(AND(L931&lt;&gt;"",'Historical Score'!$C$5&lt;&gt;""),IF(L931='Historical Score'!$C$5,1,0),0)</f>
        <v/>
      </c>
      <c r="AS931">
        <f>IF(AND(Y931&lt;&gt;"",'Historical Score'!$C$7&lt;&gt;""),IF(Y931='Historical Score'!$C$7,1,0),0)</f>
        <v/>
      </c>
      <c r="AT931">
        <f>IF(AND(K931&lt;&gt;"",'Historical Score'!$C$8&lt;&gt;""),IF(K931='Historical Score'!$C$8,1,0),0)</f>
        <v/>
      </c>
      <c r="AU931">
        <f>IF(AND(J931&lt;&gt;"",'Historical Score'!$C$9&lt;&gt;""),IF(J931='Historical Score'!$C$9,1,0),0)</f>
        <v/>
      </c>
      <c r="AV931">
        <f>AR931*AS931*AQ931</f>
        <v/>
      </c>
      <c r="AW931">
        <f>AR931*AT931*AQ931</f>
        <v/>
      </c>
      <c r="AX931">
        <f>AR931*AS931</f>
        <v/>
      </c>
      <c r="AY931">
        <f>AR931*AT931</f>
        <v/>
      </c>
      <c r="AZ931">
        <f>AR931*AQ931</f>
        <v/>
      </c>
      <c r="BA931">
        <f>AR931</f>
        <v/>
      </c>
      <c r="BB931">
        <f>1</f>
        <v/>
      </c>
      <c r="BC931">
        <f>IF(AV931=1,1,IF(AW931=1,2,IF(AX931=1,3,IF(AY931=1,4,IF(AZ931=1,5,IF(BA931=1,6,7))))))</f>
        <v/>
      </c>
      <c r="BD931">
        <f>IF(AD931=1,CHOOSE('Historical Score'!$C$29,AV931,AW931,AX931,AY931,AZ931,BA931,BB931),0)</f>
        <v/>
      </c>
      <c r="BE931">
        <f>IF(BD931=1,COUNTIF($BD$2:BD931,1),"")</f>
        <v/>
      </c>
    </row>
    <row r="932">
      <c r="A932" t="inlineStr">
        <is>
          <t>5674184856</t>
        </is>
      </c>
      <c r="B932" t="inlineStr">
        <is>
          <t>Resurge Insurance Marketing, Inc.</t>
        </is>
      </c>
      <c r="C932" t="inlineStr">
        <is>
          <t>Resurge Insurance Marketing, Inc.</t>
        </is>
      </c>
      <c r="D932" t="inlineStr">
        <is>
          <t>Open</t>
        </is>
      </c>
      <c r="E932" s="297" t="n">
        <v>46177</v>
      </c>
      <c r="F932" s="297" t="n">
        <v>46248</v>
      </c>
      <c r="G932" t="n">
        <v>3</v>
      </c>
      <c r="H932" t="inlineStr">
        <is>
          <t>7311</t>
        </is>
      </c>
      <c r="I932" t="inlineStr">
        <is>
          <t>73</t>
        </is>
      </c>
      <c r="J932" t="inlineStr">
        <is>
          <t>CT</t>
        </is>
      </c>
      <c r="K932" t="inlineStr">
        <is>
          <t>Vanguard Equities</t>
        </is>
      </c>
      <c r="L932" t="inlineStr">
        <is>
          <t>Renewal</t>
        </is>
      </c>
      <c r="M932" s="298" t="n">
        <v>1.42</v>
      </c>
      <c r="N932" s="299" t="n">
        <v>50000</v>
      </c>
      <c r="O932" s="299" t="n">
        <v>5250</v>
      </c>
      <c r="P932" s="299" t="n">
        <v>71000</v>
      </c>
      <c r="Q932" s="299" t="n">
        <v>17751.84</v>
      </c>
      <c r="R932" s="299" t="n">
        <v>53248.16</v>
      </c>
      <c r="S932" s="300" t="n">
        <v>0.250025915492958</v>
      </c>
      <c r="T932" t="n">
        <v>32</v>
      </c>
      <c r="U932" t="n">
        <v>2</v>
      </c>
      <c r="V932" t="n">
        <v>48422.85</v>
      </c>
      <c r="W932" s="300" t="n">
        <v>0.1833</v>
      </c>
      <c r="X932" s="297" t="n">
        <v>45405</v>
      </c>
      <c r="Y932">
        <f>IF(I932="","No SIC",IFERROR(VLOOKUP(I932,Ref!$A$2:$B$65,2,FALSE),"Unclassified"))</f>
        <v/>
      </c>
      <c r="Z932">
        <f>IF(T932="","",IF(T932&lt;12,"Daily","Weekly"))</f>
        <v/>
      </c>
      <c r="AA932">
        <f>IF(T932="",0,IF(T932&lt;12,T932*Controls!$B$29,T932*5))</f>
        <v/>
      </c>
      <c r="AB932">
        <f>IF(E932="",0,NETWORKDAYS(E932,Controls!$B$36,Ref!$K$2:$K$42))</f>
        <v/>
      </c>
      <c r="AC932">
        <f>IF(AND(AA932&gt;0,AB932&gt;=Controls!$B$39*AA932),1,0)</f>
        <v/>
      </c>
      <c r="AD932">
        <f>IF(AND(E932&lt;&gt;"",E932&gt;=Controls!$B$37,E932&lt;=Controls!$B$38),1,0)</f>
        <v/>
      </c>
      <c r="AE932">
        <f>IF(IFERROR(VLOOKUP(D932,Controls!$A$64:$E$74,2,FALSE),"No")="Yes",1,0)</f>
        <v/>
      </c>
      <c r="AF932">
        <f>IF(IFERROR(VLOOKUP(D932,Controls!$A$64:$E$74,3,FALSE),"No")="Yes",1,0)</f>
        <v/>
      </c>
      <c r="AG932">
        <f>IF(IFERROR(VLOOKUP(D932,Controls!$A$64:$E$74,4,FALSE),"No")="Yes",1,0)</f>
        <v/>
      </c>
      <c r="AH932">
        <f>IF(IFERROR(VLOOKUP(D932,Controls!$A$64:$E$74,5,FALSE),"No")="Yes",1,0)</f>
        <v/>
      </c>
      <c r="AI932">
        <f>IF(ISNUMBER(MATCH(D932,Controls!$A$64:$A$74,0)),1,0)</f>
        <v/>
      </c>
      <c r="AJ932">
        <f>Q932-N932</f>
        <v/>
      </c>
      <c r="AK932">
        <f>IF(AE932=1,MAX(0,N932-Q932),0)</f>
        <v/>
      </c>
      <c r="AL932">
        <f>IF(OR(V932="",V932=0),0,N932/V932)</f>
        <v/>
      </c>
      <c r="AM932">
        <f>IF(OR(V932="",V932=0),0,1)</f>
        <v/>
      </c>
      <c r="AN932">
        <f>IF(OR(E932="",F932=""),0,NETWORKDAYS(E932,F932,Ref!$K$2:$K$42))</f>
        <v/>
      </c>
      <c r="AO932">
        <f>IF(L932="Renewal",1,0)</f>
        <v/>
      </c>
      <c r="AP932">
        <f>AC932*AD932</f>
        <v/>
      </c>
      <c r="AQ932">
        <f>IF(AND(G932&lt;&gt;"",'Historical Score'!$C$6&lt;&gt;""),IF(G932='Historical Score'!$C$6,1,0),0)</f>
        <v/>
      </c>
      <c r="AR932">
        <f>IF(AND(L932&lt;&gt;"",'Historical Score'!$C$5&lt;&gt;""),IF(L932='Historical Score'!$C$5,1,0),0)</f>
        <v/>
      </c>
      <c r="AS932">
        <f>IF(AND(Y932&lt;&gt;"",'Historical Score'!$C$7&lt;&gt;""),IF(Y932='Historical Score'!$C$7,1,0),0)</f>
        <v/>
      </c>
      <c r="AT932">
        <f>IF(AND(K932&lt;&gt;"",'Historical Score'!$C$8&lt;&gt;""),IF(K932='Historical Score'!$C$8,1,0),0)</f>
        <v/>
      </c>
      <c r="AU932">
        <f>IF(AND(J932&lt;&gt;"",'Historical Score'!$C$9&lt;&gt;""),IF(J932='Historical Score'!$C$9,1,0),0)</f>
        <v/>
      </c>
      <c r="AV932">
        <f>AR932*AS932*AQ932</f>
        <v/>
      </c>
      <c r="AW932">
        <f>AR932*AT932*AQ932</f>
        <v/>
      </c>
      <c r="AX932">
        <f>AR932*AS932</f>
        <v/>
      </c>
      <c r="AY932">
        <f>AR932*AT932</f>
        <v/>
      </c>
      <c r="AZ932">
        <f>AR932*AQ932</f>
        <v/>
      </c>
      <c r="BA932">
        <f>AR932</f>
        <v/>
      </c>
      <c r="BB932">
        <f>1</f>
        <v/>
      </c>
      <c r="BC932">
        <f>IF(AV932=1,1,IF(AW932=1,2,IF(AX932=1,3,IF(AY932=1,4,IF(AZ932=1,5,IF(BA932=1,6,7))))))</f>
        <v/>
      </c>
      <c r="BD932">
        <f>IF(AD932=1,CHOOSE('Historical Score'!$C$29,AV932,AW932,AX932,AY932,AZ932,BA932,BB932),0)</f>
        <v/>
      </c>
      <c r="BE932">
        <f>IF(BD932=1,COUNTIF($BD$2:BD932,1),"")</f>
        <v/>
      </c>
    </row>
    <row r="933">
      <c r="A933" t="inlineStr">
        <is>
          <t>5674184857</t>
        </is>
      </c>
      <c r="B933" t="inlineStr">
        <is>
          <t>Line-x Of Santa Maria</t>
        </is>
      </c>
      <c r="C933" t="inlineStr">
        <is>
          <t>LINE-X OF SANTA MARIA</t>
        </is>
      </c>
      <c r="D933" t="inlineStr">
        <is>
          <t>Open</t>
        </is>
      </c>
      <c r="E933" s="297" t="n">
        <v>46177</v>
      </c>
      <c r="F933" s="297" t="n">
        <v>46253</v>
      </c>
      <c r="G933" t="n">
        <v>3</v>
      </c>
      <c r="H933" t="inlineStr">
        <is>
          <t>5399</t>
        </is>
      </c>
      <c r="I933" t="inlineStr">
        <is>
          <t>53</t>
        </is>
      </c>
      <c r="J933" t="inlineStr">
        <is>
          <t>CA</t>
        </is>
      </c>
      <c r="K933" t="inlineStr">
        <is>
          <t>Ballicci</t>
        </is>
      </c>
      <c r="L933" t="inlineStr">
        <is>
          <t>Renewal</t>
        </is>
      </c>
      <c r="M933" s="298" t="n">
        <v>1.49</v>
      </c>
      <c r="N933" s="299" t="n">
        <v>18000</v>
      </c>
      <c r="O933" s="299" t="n">
        <v>2520</v>
      </c>
      <c r="P933" s="299" t="n">
        <v>26820</v>
      </c>
      <c r="Q933" s="299" t="n">
        <v>10447.45</v>
      </c>
      <c r="R933" s="299" t="n">
        <v>16372.55</v>
      </c>
      <c r="S933" s="300" t="n">
        <v>0.389539522744221</v>
      </c>
      <c r="T933" t="n">
        <v>3.279</v>
      </c>
      <c r="U933" t="n">
        <v>13</v>
      </c>
      <c r="V933" t="n">
        <v>33197.73</v>
      </c>
      <c r="W933" s="300" t="n">
        <v>0.1697</v>
      </c>
      <c r="X933" s="297" t="n">
        <v>36911</v>
      </c>
      <c r="Y933">
        <f>IF(I933="","No SIC",IFERROR(VLOOKUP(I933,Ref!$A$2:$B$65,2,FALSE),"Unclassified"))</f>
        <v/>
      </c>
      <c r="Z933">
        <f>IF(T933="","",IF(T933&lt;12,"Daily","Weekly"))</f>
        <v/>
      </c>
      <c r="AA933">
        <f>IF(T933="",0,IF(T933&lt;12,T933*Controls!$B$29,T933*5))</f>
        <v/>
      </c>
      <c r="AB933">
        <f>IF(E933="",0,NETWORKDAYS(E933,Controls!$B$36,Ref!$K$2:$K$42))</f>
        <v/>
      </c>
      <c r="AC933">
        <f>IF(AND(AA933&gt;0,AB933&gt;=Controls!$B$39*AA933),1,0)</f>
        <v/>
      </c>
      <c r="AD933">
        <f>IF(AND(E933&lt;&gt;"",E933&gt;=Controls!$B$37,E933&lt;=Controls!$B$38),1,0)</f>
        <v/>
      </c>
      <c r="AE933">
        <f>IF(IFERROR(VLOOKUP(D933,Controls!$A$64:$E$74,2,FALSE),"No")="Yes",1,0)</f>
        <v/>
      </c>
      <c r="AF933">
        <f>IF(IFERROR(VLOOKUP(D933,Controls!$A$64:$E$74,3,FALSE),"No")="Yes",1,0)</f>
        <v/>
      </c>
      <c r="AG933">
        <f>IF(IFERROR(VLOOKUP(D933,Controls!$A$64:$E$74,4,FALSE),"No")="Yes",1,0)</f>
        <v/>
      </c>
      <c r="AH933">
        <f>IF(IFERROR(VLOOKUP(D933,Controls!$A$64:$E$74,5,FALSE),"No")="Yes",1,0)</f>
        <v/>
      </c>
      <c r="AI933">
        <f>IF(ISNUMBER(MATCH(D933,Controls!$A$64:$A$74,0)),1,0)</f>
        <v/>
      </c>
      <c r="AJ933">
        <f>Q933-N933</f>
        <v/>
      </c>
      <c r="AK933">
        <f>IF(AE933=1,MAX(0,N933-Q933),0)</f>
        <v/>
      </c>
      <c r="AL933">
        <f>IF(OR(V933="",V933=0),0,N933/V933)</f>
        <v/>
      </c>
      <c r="AM933">
        <f>IF(OR(V933="",V933=0),0,1)</f>
        <v/>
      </c>
      <c r="AN933">
        <f>IF(OR(E933="",F933=""),0,NETWORKDAYS(E933,F933,Ref!$K$2:$K$42))</f>
        <v/>
      </c>
      <c r="AO933">
        <f>IF(L933="Renewal",1,0)</f>
        <v/>
      </c>
      <c r="AP933">
        <f>AC933*AD933</f>
        <v/>
      </c>
      <c r="AQ933">
        <f>IF(AND(G933&lt;&gt;"",'Historical Score'!$C$6&lt;&gt;""),IF(G933='Historical Score'!$C$6,1,0),0)</f>
        <v/>
      </c>
      <c r="AR933">
        <f>IF(AND(L933&lt;&gt;"",'Historical Score'!$C$5&lt;&gt;""),IF(L933='Historical Score'!$C$5,1,0),0)</f>
        <v/>
      </c>
      <c r="AS933">
        <f>IF(AND(Y933&lt;&gt;"",'Historical Score'!$C$7&lt;&gt;""),IF(Y933='Historical Score'!$C$7,1,0),0)</f>
        <v/>
      </c>
      <c r="AT933">
        <f>IF(AND(K933&lt;&gt;"",'Historical Score'!$C$8&lt;&gt;""),IF(K933='Historical Score'!$C$8,1,0),0)</f>
        <v/>
      </c>
      <c r="AU933">
        <f>IF(AND(J933&lt;&gt;"",'Historical Score'!$C$9&lt;&gt;""),IF(J933='Historical Score'!$C$9,1,0),0)</f>
        <v/>
      </c>
      <c r="AV933">
        <f>AR933*AS933*AQ933</f>
        <v/>
      </c>
      <c r="AW933">
        <f>AR933*AT933*AQ933</f>
        <v/>
      </c>
      <c r="AX933">
        <f>AR933*AS933</f>
        <v/>
      </c>
      <c r="AY933">
        <f>AR933*AT933</f>
        <v/>
      </c>
      <c r="AZ933">
        <f>AR933*AQ933</f>
        <v/>
      </c>
      <c r="BA933">
        <f>AR933</f>
        <v/>
      </c>
      <c r="BB933">
        <f>1</f>
        <v/>
      </c>
      <c r="BC933">
        <f>IF(AV933=1,1,IF(AW933=1,2,IF(AX933=1,3,IF(AY933=1,4,IF(AZ933=1,5,IF(BA933=1,6,7))))))</f>
        <v/>
      </c>
      <c r="BD933">
        <f>IF(AD933=1,CHOOSE('Historical Score'!$C$29,AV933,AW933,AX933,AY933,AZ933,BA933,BB933),0)</f>
        <v/>
      </c>
      <c r="BE933">
        <f>IF(BD933=1,COUNTIF($BD$2:BD933,1),"")</f>
        <v/>
      </c>
    </row>
    <row r="934">
      <c r="A934" t="inlineStr">
        <is>
          <t>5674184859</t>
        </is>
      </c>
      <c r="B934" t="inlineStr">
        <is>
          <t>CAFE KHALIFA INC</t>
        </is>
      </c>
      <c r="C934" t="inlineStr">
        <is>
          <t>CAFE KHALIFA INC</t>
        </is>
      </c>
      <c r="D934" t="inlineStr">
        <is>
          <t>Open</t>
        </is>
      </c>
      <c r="E934" s="297" t="n">
        <v>46177</v>
      </c>
      <c r="F934" s="297" t="n">
        <v>46251</v>
      </c>
      <c r="G934" t="n">
        <v>3</v>
      </c>
      <c r="H934" t="inlineStr">
        <is>
          <t>5812</t>
        </is>
      </c>
      <c r="I934" t="inlineStr">
        <is>
          <t>58</t>
        </is>
      </c>
      <c r="J934" t="inlineStr">
        <is>
          <t>TX</t>
        </is>
      </c>
      <c r="K934" t="inlineStr">
        <is>
          <t>Linked In Funding</t>
        </is>
      </c>
      <c r="L934" t="inlineStr">
        <is>
          <t>New Deal</t>
        </is>
      </c>
      <c r="M934" s="298" t="n">
        <v>1.45</v>
      </c>
      <c r="N934" s="299" t="n">
        <v>20000</v>
      </c>
      <c r="O934" s="299" t="n">
        <v>2400</v>
      </c>
      <c r="P934" s="299" t="n">
        <v>29000</v>
      </c>
      <c r="Q934" s="299" t="n">
        <v>7278.9</v>
      </c>
      <c r="R934" s="299" t="n">
        <v>21721.1</v>
      </c>
      <c r="S934" s="300" t="n">
        <v>0.250996551724138</v>
      </c>
      <c r="T934" t="n">
        <v>28</v>
      </c>
      <c r="U934" t="n">
        <v>0</v>
      </c>
      <c r="V934" t="n">
        <v>41594.35</v>
      </c>
      <c r="W934" s="300" t="n">
        <v>0.09959999999999999</v>
      </c>
      <c r="X934" s="297" t="n">
        <v>44447</v>
      </c>
      <c r="Y934">
        <f>IF(I934="","No SIC",IFERROR(VLOOKUP(I934,Ref!$A$2:$B$65,2,FALSE),"Unclassified"))</f>
        <v/>
      </c>
      <c r="Z934">
        <f>IF(T934="","",IF(T934&lt;12,"Daily","Weekly"))</f>
        <v/>
      </c>
      <c r="AA934">
        <f>IF(T934="",0,IF(T934&lt;12,T934*Controls!$B$29,T934*5))</f>
        <v/>
      </c>
      <c r="AB934">
        <f>IF(E934="",0,NETWORKDAYS(E934,Controls!$B$36,Ref!$K$2:$K$42))</f>
        <v/>
      </c>
      <c r="AC934">
        <f>IF(AND(AA934&gt;0,AB934&gt;=Controls!$B$39*AA934),1,0)</f>
        <v/>
      </c>
      <c r="AD934">
        <f>IF(AND(E934&lt;&gt;"",E934&gt;=Controls!$B$37,E934&lt;=Controls!$B$38),1,0)</f>
        <v/>
      </c>
      <c r="AE934">
        <f>IF(IFERROR(VLOOKUP(D934,Controls!$A$64:$E$74,2,FALSE),"No")="Yes",1,0)</f>
        <v/>
      </c>
      <c r="AF934">
        <f>IF(IFERROR(VLOOKUP(D934,Controls!$A$64:$E$74,3,FALSE),"No")="Yes",1,0)</f>
        <v/>
      </c>
      <c r="AG934">
        <f>IF(IFERROR(VLOOKUP(D934,Controls!$A$64:$E$74,4,FALSE),"No")="Yes",1,0)</f>
        <v/>
      </c>
      <c r="AH934">
        <f>IF(IFERROR(VLOOKUP(D934,Controls!$A$64:$E$74,5,FALSE),"No")="Yes",1,0)</f>
        <v/>
      </c>
      <c r="AI934">
        <f>IF(ISNUMBER(MATCH(D934,Controls!$A$64:$A$74,0)),1,0)</f>
        <v/>
      </c>
      <c r="AJ934">
        <f>Q934-N934</f>
        <v/>
      </c>
      <c r="AK934">
        <f>IF(AE934=1,MAX(0,N934-Q934),0)</f>
        <v/>
      </c>
      <c r="AL934">
        <f>IF(OR(V934="",V934=0),0,N934/V934)</f>
        <v/>
      </c>
      <c r="AM934">
        <f>IF(OR(V934="",V934=0),0,1)</f>
        <v/>
      </c>
      <c r="AN934">
        <f>IF(OR(E934="",F934=""),0,NETWORKDAYS(E934,F934,Ref!$K$2:$K$42))</f>
        <v/>
      </c>
      <c r="AO934">
        <f>IF(L934="Renewal",1,0)</f>
        <v/>
      </c>
      <c r="AP934">
        <f>AC934*AD934</f>
        <v/>
      </c>
      <c r="AQ934">
        <f>IF(AND(G934&lt;&gt;"",'Historical Score'!$C$6&lt;&gt;""),IF(G934='Historical Score'!$C$6,1,0),0)</f>
        <v/>
      </c>
      <c r="AR934">
        <f>IF(AND(L934&lt;&gt;"",'Historical Score'!$C$5&lt;&gt;""),IF(L934='Historical Score'!$C$5,1,0),0)</f>
        <v/>
      </c>
      <c r="AS934">
        <f>IF(AND(Y934&lt;&gt;"",'Historical Score'!$C$7&lt;&gt;""),IF(Y934='Historical Score'!$C$7,1,0),0)</f>
        <v/>
      </c>
      <c r="AT934">
        <f>IF(AND(K934&lt;&gt;"",'Historical Score'!$C$8&lt;&gt;""),IF(K934='Historical Score'!$C$8,1,0),0)</f>
        <v/>
      </c>
      <c r="AU934">
        <f>IF(AND(J934&lt;&gt;"",'Historical Score'!$C$9&lt;&gt;""),IF(J934='Historical Score'!$C$9,1,0),0)</f>
        <v/>
      </c>
      <c r="AV934">
        <f>AR934*AS934*AQ934</f>
        <v/>
      </c>
      <c r="AW934">
        <f>AR934*AT934*AQ934</f>
        <v/>
      </c>
      <c r="AX934">
        <f>AR934*AS934</f>
        <v/>
      </c>
      <c r="AY934">
        <f>AR934*AT934</f>
        <v/>
      </c>
      <c r="AZ934">
        <f>AR934*AQ934</f>
        <v/>
      </c>
      <c r="BA934">
        <f>AR934</f>
        <v/>
      </c>
      <c r="BB934">
        <f>1</f>
        <v/>
      </c>
      <c r="BC934">
        <f>IF(AV934=1,1,IF(AW934=1,2,IF(AX934=1,3,IF(AY934=1,4,IF(AZ934=1,5,IF(BA934=1,6,7))))))</f>
        <v/>
      </c>
      <c r="BD934">
        <f>IF(AD934=1,CHOOSE('Historical Score'!$C$29,AV934,AW934,AX934,AY934,AZ934,BA934,BB934),0)</f>
        <v/>
      </c>
      <c r="BE934">
        <f>IF(BD934=1,COUNTIF($BD$2:BD934,1),"")</f>
        <v/>
      </c>
    </row>
    <row r="935">
      <c r="A935" t="inlineStr">
        <is>
          <t>5674184860</t>
        </is>
      </c>
      <c r="B935" t="inlineStr">
        <is>
          <t>SOUTH CITY SHOP LLC</t>
        </is>
      </c>
      <c r="C935" t="inlineStr">
        <is>
          <t>SOUTH CITY SHOP LLC</t>
        </is>
      </c>
      <c r="D935" t="inlineStr">
        <is>
          <t>Open</t>
        </is>
      </c>
      <c r="E935" s="297" t="n">
        <v>46177</v>
      </c>
      <c r="F935" s="297" t="n">
        <v>46253</v>
      </c>
      <c r="G935" t="n">
        <v>3</v>
      </c>
      <c r="H935" t="inlineStr">
        <is>
          <t>5999</t>
        </is>
      </c>
      <c r="I935" t="inlineStr">
        <is>
          <t>59</t>
        </is>
      </c>
      <c r="J935" t="inlineStr">
        <is>
          <t>GA</t>
        </is>
      </c>
      <c r="K935" t="inlineStr">
        <is>
          <t>Llama Loan</t>
        </is>
      </c>
      <c r="L935" t="inlineStr">
        <is>
          <t>New Deal</t>
        </is>
      </c>
      <c r="M935" s="298" t="n">
        <v>1.35</v>
      </c>
      <c r="N935" s="299" t="n">
        <v>12000</v>
      </c>
      <c r="O935" s="299" t="n">
        <v>840</v>
      </c>
      <c r="P935" s="299" t="n">
        <v>16200</v>
      </c>
      <c r="Q935" s="299" t="n">
        <v>7157.65</v>
      </c>
      <c r="R935" s="299" t="n">
        <v>9042.35</v>
      </c>
      <c r="S935" s="300" t="n">
        <v>0.44183024691358</v>
      </c>
      <c r="T935" t="n">
        <v>3.934</v>
      </c>
      <c r="U935" t="n">
        <v>0</v>
      </c>
      <c r="V935" t="n">
        <v>23892.05</v>
      </c>
      <c r="W935" s="300" t="n">
        <v>0.1187</v>
      </c>
      <c r="X935" s="297" t="n">
        <v>44520</v>
      </c>
      <c r="Y935">
        <f>IF(I935="","No SIC",IFERROR(VLOOKUP(I935,Ref!$A$2:$B$65,2,FALSE),"Unclassified"))</f>
        <v/>
      </c>
      <c r="Z935">
        <f>IF(T935="","",IF(T935&lt;12,"Daily","Weekly"))</f>
        <v/>
      </c>
      <c r="AA935">
        <f>IF(T935="",0,IF(T935&lt;12,T935*Controls!$B$29,T935*5))</f>
        <v/>
      </c>
      <c r="AB935">
        <f>IF(E935="",0,NETWORKDAYS(E935,Controls!$B$36,Ref!$K$2:$K$42))</f>
        <v/>
      </c>
      <c r="AC935">
        <f>IF(AND(AA935&gt;0,AB935&gt;=Controls!$B$39*AA935),1,0)</f>
        <v/>
      </c>
      <c r="AD935">
        <f>IF(AND(E935&lt;&gt;"",E935&gt;=Controls!$B$37,E935&lt;=Controls!$B$38),1,0)</f>
        <v/>
      </c>
      <c r="AE935">
        <f>IF(IFERROR(VLOOKUP(D935,Controls!$A$64:$E$74,2,FALSE),"No")="Yes",1,0)</f>
        <v/>
      </c>
      <c r="AF935">
        <f>IF(IFERROR(VLOOKUP(D935,Controls!$A$64:$E$74,3,FALSE),"No")="Yes",1,0)</f>
        <v/>
      </c>
      <c r="AG935">
        <f>IF(IFERROR(VLOOKUP(D935,Controls!$A$64:$E$74,4,FALSE),"No")="Yes",1,0)</f>
        <v/>
      </c>
      <c r="AH935">
        <f>IF(IFERROR(VLOOKUP(D935,Controls!$A$64:$E$74,5,FALSE),"No")="Yes",1,0)</f>
        <v/>
      </c>
      <c r="AI935">
        <f>IF(ISNUMBER(MATCH(D935,Controls!$A$64:$A$74,0)),1,0)</f>
        <v/>
      </c>
      <c r="AJ935">
        <f>Q935-N935</f>
        <v/>
      </c>
      <c r="AK935">
        <f>IF(AE935=1,MAX(0,N935-Q935),0)</f>
        <v/>
      </c>
      <c r="AL935">
        <f>IF(OR(V935="",V935=0),0,N935/V935)</f>
        <v/>
      </c>
      <c r="AM935">
        <f>IF(OR(V935="",V935=0),0,1)</f>
        <v/>
      </c>
      <c r="AN935">
        <f>IF(OR(E935="",F935=""),0,NETWORKDAYS(E935,F935,Ref!$K$2:$K$42))</f>
        <v/>
      </c>
      <c r="AO935">
        <f>IF(L935="Renewal",1,0)</f>
        <v/>
      </c>
      <c r="AP935">
        <f>AC935*AD935</f>
        <v/>
      </c>
      <c r="AQ935">
        <f>IF(AND(G935&lt;&gt;"",'Historical Score'!$C$6&lt;&gt;""),IF(G935='Historical Score'!$C$6,1,0),0)</f>
        <v/>
      </c>
      <c r="AR935">
        <f>IF(AND(L935&lt;&gt;"",'Historical Score'!$C$5&lt;&gt;""),IF(L935='Historical Score'!$C$5,1,0),0)</f>
        <v/>
      </c>
      <c r="AS935">
        <f>IF(AND(Y935&lt;&gt;"",'Historical Score'!$C$7&lt;&gt;""),IF(Y935='Historical Score'!$C$7,1,0),0)</f>
        <v/>
      </c>
      <c r="AT935">
        <f>IF(AND(K935&lt;&gt;"",'Historical Score'!$C$8&lt;&gt;""),IF(K935='Historical Score'!$C$8,1,0),0)</f>
        <v/>
      </c>
      <c r="AU935">
        <f>IF(AND(J935&lt;&gt;"",'Historical Score'!$C$9&lt;&gt;""),IF(J935='Historical Score'!$C$9,1,0),0)</f>
        <v/>
      </c>
      <c r="AV935">
        <f>AR935*AS935*AQ935</f>
        <v/>
      </c>
      <c r="AW935">
        <f>AR935*AT935*AQ935</f>
        <v/>
      </c>
      <c r="AX935">
        <f>AR935*AS935</f>
        <v/>
      </c>
      <c r="AY935">
        <f>AR935*AT935</f>
        <v/>
      </c>
      <c r="AZ935">
        <f>AR935*AQ935</f>
        <v/>
      </c>
      <c r="BA935">
        <f>AR935</f>
        <v/>
      </c>
      <c r="BB935">
        <f>1</f>
        <v/>
      </c>
      <c r="BC935">
        <f>IF(AV935=1,1,IF(AW935=1,2,IF(AX935=1,3,IF(AY935=1,4,IF(AZ935=1,5,IF(BA935=1,6,7))))))</f>
        <v/>
      </c>
      <c r="BD935">
        <f>IF(AD935=1,CHOOSE('Historical Score'!$C$29,AV935,AW935,AX935,AY935,AZ935,BA935,BB935),0)</f>
        <v/>
      </c>
      <c r="BE935">
        <f>IF(BD935=1,COUNTIF($BD$2:BD935,1),"")</f>
        <v/>
      </c>
    </row>
    <row r="936">
      <c r="A936" t="inlineStr">
        <is>
          <t>5674184866</t>
        </is>
      </c>
      <c r="B936" t="inlineStr">
        <is>
          <t>Cokd Regent LLC</t>
        </is>
      </c>
      <c r="C936" t="inlineStr">
        <is>
          <t>Cokd Regent LLC</t>
        </is>
      </c>
      <c r="D936" t="inlineStr">
        <is>
          <t>Open</t>
        </is>
      </c>
      <c r="E936" s="297" t="n">
        <v>46177</v>
      </c>
      <c r="F936" s="297" t="n">
        <v>46248</v>
      </c>
      <c r="G936" t="n">
        <v>3</v>
      </c>
      <c r="H936" t="inlineStr">
        <is>
          <t>5812</t>
        </is>
      </c>
      <c r="I936" t="inlineStr">
        <is>
          <t>58</t>
        </is>
      </c>
      <c r="J936" t="inlineStr">
        <is>
          <t>TX</t>
        </is>
      </c>
      <c r="K936" t="inlineStr">
        <is>
          <t>Credibly</t>
        </is>
      </c>
      <c r="L936" t="inlineStr">
        <is>
          <t>New Deal</t>
        </is>
      </c>
      <c r="M936" s="298" t="n">
        <v>1.35</v>
      </c>
      <c r="N936" s="299" t="n">
        <v>25000</v>
      </c>
      <c r="O936" s="299" t="n">
        <v>1750</v>
      </c>
      <c r="P936" s="299" t="n">
        <v>33750</v>
      </c>
      <c r="Q936" s="299" t="n">
        <v>12982.9</v>
      </c>
      <c r="R936" s="299" t="n">
        <v>20767.1</v>
      </c>
      <c r="S936" s="300" t="n">
        <v>0.384678518518519</v>
      </c>
      <c r="T936" t="n">
        <v>26</v>
      </c>
      <c r="U936" t="n">
        <v>0</v>
      </c>
      <c r="V936" t="n">
        <v>124536.26</v>
      </c>
      <c r="W936" s="300" t="n">
        <v>0.0417</v>
      </c>
      <c r="X936" s="297" t="n">
        <v>45643</v>
      </c>
      <c r="Y936">
        <f>IF(I936="","No SIC",IFERROR(VLOOKUP(I936,Ref!$A$2:$B$65,2,FALSE),"Unclassified"))</f>
        <v/>
      </c>
      <c r="Z936">
        <f>IF(T936="","",IF(T936&lt;12,"Daily","Weekly"))</f>
        <v/>
      </c>
      <c r="AA936">
        <f>IF(T936="",0,IF(T936&lt;12,T936*Controls!$B$29,T936*5))</f>
        <v/>
      </c>
      <c r="AB936">
        <f>IF(E936="",0,NETWORKDAYS(E936,Controls!$B$36,Ref!$K$2:$K$42))</f>
        <v/>
      </c>
      <c r="AC936">
        <f>IF(AND(AA936&gt;0,AB936&gt;=Controls!$B$39*AA936),1,0)</f>
        <v/>
      </c>
      <c r="AD936">
        <f>IF(AND(E936&lt;&gt;"",E936&gt;=Controls!$B$37,E936&lt;=Controls!$B$38),1,0)</f>
        <v/>
      </c>
      <c r="AE936">
        <f>IF(IFERROR(VLOOKUP(D936,Controls!$A$64:$E$74,2,FALSE),"No")="Yes",1,0)</f>
        <v/>
      </c>
      <c r="AF936">
        <f>IF(IFERROR(VLOOKUP(D936,Controls!$A$64:$E$74,3,FALSE),"No")="Yes",1,0)</f>
        <v/>
      </c>
      <c r="AG936">
        <f>IF(IFERROR(VLOOKUP(D936,Controls!$A$64:$E$74,4,FALSE),"No")="Yes",1,0)</f>
        <v/>
      </c>
      <c r="AH936">
        <f>IF(IFERROR(VLOOKUP(D936,Controls!$A$64:$E$74,5,FALSE),"No")="Yes",1,0)</f>
        <v/>
      </c>
      <c r="AI936">
        <f>IF(ISNUMBER(MATCH(D936,Controls!$A$64:$A$74,0)),1,0)</f>
        <v/>
      </c>
      <c r="AJ936">
        <f>Q936-N936</f>
        <v/>
      </c>
      <c r="AK936">
        <f>IF(AE936=1,MAX(0,N936-Q936),0)</f>
        <v/>
      </c>
      <c r="AL936">
        <f>IF(OR(V936="",V936=0),0,N936/V936)</f>
        <v/>
      </c>
      <c r="AM936">
        <f>IF(OR(V936="",V936=0),0,1)</f>
        <v/>
      </c>
      <c r="AN936">
        <f>IF(OR(E936="",F936=""),0,NETWORKDAYS(E936,F936,Ref!$K$2:$K$42))</f>
        <v/>
      </c>
      <c r="AO936">
        <f>IF(L936="Renewal",1,0)</f>
        <v/>
      </c>
      <c r="AP936">
        <f>AC936*AD936</f>
        <v/>
      </c>
      <c r="AQ936">
        <f>IF(AND(G936&lt;&gt;"",'Historical Score'!$C$6&lt;&gt;""),IF(G936='Historical Score'!$C$6,1,0),0)</f>
        <v/>
      </c>
      <c r="AR936">
        <f>IF(AND(L936&lt;&gt;"",'Historical Score'!$C$5&lt;&gt;""),IF(L936='Historical Score'!$C$5,1,0),0)</f>
        <v/>
      </c>
      <c r="AS936">
        <f>IF(AND(Y936&lt;&gt;"",'Historical Score'!$C$7&lt;&gt;""),IF(Y936='Historical Score'!$C$7,1,0),0)</f>
        <v/>
      </c>
      <c r="AT936">
        <f>IF(AND(K936&lt;&gt;"",'Historical Score'!$C$8&lt;&gt;""),IF(K936='Historical Score'!$C$8,1,0),0)</f>
        <v/>
      </c>
      <c r="AU936">
        <f>IF(AND(J936&lt;&gt;"",'Historical Score'!$C$9&lt;&gt;""),IF(J936='Historical Score'!$C$9,1,0),0)</f>
        <v/>
      </c>
      <c r="AV936">
        <f>AR936*AS936*AQ936</f>
        <v/>
      </c>
      <c r="AW936">
        <f>AR936*AT936*AQ936</f>
        <v/>
      </c>
      <c r="AX936">
        <f>AR936*AS936</f>
        <v/>
      </c>
      <c r="AY936">
        <f>AR936*AT936</f>
        <v/>
      </c>
      <c r="AZ936">
        <f>AR936*AQ936</f>
        <v/>
      </c>
      <c r="BA936">
        <f>AR936</f>
        <v/>
      </c>
      <c r="BB936">
        <f>1</f>
        <v/>
      </c>
      <c r="BC936">
        <f>IF(AV936=1,1,IF(AW936=1,2,IF(AX936=1,3,IF(AY936=1,4,IF(AZ936=1,5,IF(BA936=1,6,7))))))</f>
        <v/>
      </c>
      <c r="BD936">
        <f>IF(AD936=1,CHOOSE('Historical Score'!$C$29,AV936,AW936,AX936,AY936,AZ936,BA936,BB936),0)</f>
        <v/>
      </c>
      <c r="BE936">
        <f>IF(BD936=1,COUNTIF($BD$2:BD936,1),"")</f>
        <v/>
      </c>
    </row>
    <row r="937">
      <c r="A937" t="inlineStr">
        <is>
          <t>5674184898</t>
        </is>
      </c>
      <c r="B937" t="inlineStr">
        <is>
          <t>4Rocks Arena</t>
        </is>
      </c>
      <c r="C937" t="inlineStr">
        <is>
          <t>4Rocks Arena</t>
        </is>
      </c>
      <c r="D937" t="inlineStr">
        <is>
          <t>Open</t>
        </is>
      </c>
      <c r="E937" s="297" t="n">
        <v>46177</v>
      </c>
      <c r="F937" s="297" t="n">
        <v>46241</v>
      </c>
      <c r="G937" t="n">
        <v>3</v>
      </c>
      <c r="H937" t="inlineStr">
        <is>
          <t>5999</t>
        </is>
      </c>
      <c r="I937" t="inlineStr">
        <is>
          <t>59</t>
        </is>
      </c>
      <c r="J937" t="inlineStr">
        <is>
          <t>IL</t>
        </is>
      </c>
      <c r="K937" t="inlineStr">
        <is>
          <t>Fundwell</t>
        </is>
      </c>
      <c r="L937" t="inlineStr">
        <is>
          <t>New Deal</t>
        </is>
      </c>
      <c r="M937" s="298" t="n">
        <v>1.35</v>
      </c>
      <c r="N937" s="299" t="n">
        <v>3000</v>
      </c>
      <c r="O937" s="299" t="n">
        <v>210</v>
      </c>
      <c r="P937" s="299" t="n">
        <v>4050</v>
      </c>
      <c r="Q937" s="299" t="n">
        <v>1999.62</v>
      </c>
      <c r="R937" s="299" t="n">
        <v>2050.38</v>
      </c>
      <c r="S937" s="300" t="n">
        <v>0.493733333333333</v>
      </c>
      <c r="T937" t="n">
        <v>2.787</v>
      </c>
      <c r="U937" t="n">
        <v>2</v>
      </c>
      <c r="V937" t="n">
        <v>26520.15</v>
      </c>
      <c r="W937" s="300" t="n">
        <v>0.0377</v>
      </c>
      <c r="X937" s="297" t="n">
        <v>42917</v>
      </c>
      <c r="Y937">
        <f>IF(I937="","No SIC",IFERROR(VLOOKUP(I937,Ref!$A$2:$B$65,2,FALSE),"Unclassified"))</f>
        <v/>
      </c>
      <c r="Z937">
        <f>IF(T937="","",IF(T937&lt;12,"Daily","Weekly"))</f>
        <v/>
      </c>
      <c r="AA937">
        <f>IF(T937="",0,IF(T937&lt;12,T937*Controls!$B$29,T937*5))</f>
        <v/>
      </c>
      <c r="AB937">
        <f>IF(E937="",0,NETWORKDAYS(E937,Controls!$B$36,Ref!$K$2:$K$42))</f>
        <v/>
      </c>
      <c r="AC937">
        <f>IF(AND(AA937&gt;0,AB937&gt;=Controls!$B$39*AA937),1,0)</f>
        <v/>
      </c>
      <c r="AD937">
        <f>IF(AND(E937&lt;&gt;"",E937&gt;=Controls!$B$37,E937&lt;=Controls!$B$38),1,0)</f>
        <v/>
      </c>
      <c r="AE937">
        <f>IF(IFERROR(VLOOKUP(D937,Controls!$A$64:$E$74,2,FALSE),"No")="Yes",1,0)</f>
        <v/>
      </c>
      <c r="AF937">
        <f>IF(IFERROR(VLOOKUP(D937,Controls!$A$64:$E$74,3,FALSE),"No")="Yes",1,0)</f>
        <v/>
      </c>
      <c r="AG937">
        <f>IF(IFERROR(VLOOKUP(D937,Controls!$A$64:$E$74,4,FALSE),"No")="Yes",1,0)</f>
        <v/>
      </c>
      <c r="AH937">
        <f>IF(IFERROR(VLOOKUP(D937,Controls!$A$64:$E$74,5,FALSE),"No")="Yes",1,0)</f>
        <v/>
      </c>
      <c r="AI937">
        <f>IF(ISNUMBER(MATCH(D937,Controls!$A$64:$A$74,0)),1,0)</f>
        <v/>
      </c>
      <c r="AJ937">
        <f>Q937-N937</f>
        <v/>
      </c>
      <c r="AK937">
        <f>IF(AE937=1,MAX(0,N937-Q937),0)</f>
        <v/>
      </c>
      <c r="AL937">
        <f>IF(OR(V937="",V937=0),0,N937/V937)</f>
        <v/>
      </c>
      <c r="AM937">
        <f>IF(OR(V937="",V937=0),0,1)</f>
        <v/>
      </c>
      <c r="AN937">
        <f>IF(OR(E937="",F937=""),0,NETWORKDAYS(E937,F937,Ref!$K$2:$K$42))</f>
        <v/>
      </c>
      <c r="AO937">
        <f>IF(L937="Renewal",1,0)</f>
        <v/>
      </c>
      <c r="AP937">
        <f>AC937*AD937</f>
        <v/>
      </c>
      <c r="AQ937">
        <f>IF(AND(G937&lt;&gt;"",'Historical Score'!$C$6&lt;&gt;""),IF(G937='Historical Score'!$C$6,1,0),0)</f>
        <v/>
      </c>
      <c r="AR937">
        <f>IF(AND(L937&lt;&gt;"",'Historical Score'!$C$5&lt;&gt;""),IF(L937='Historical Score'!$C$5,1,0),0)</f>
        <v/>
      </c>
      <c r="AS937">
        <f>IF(AND(Y937&lt;&gt;"",'Historical Score'!$C$7&lt;&gt;""),IF(Y937='Historical Score'!$C$7,1,0),0)</f>
        <v/>
      </c>
      <c r="AT937">
        <f>IF(AND(K937&lt;&gt;"",'Historical Score'!$C$8&lt;&gt;""),IF(K937='Historical Score'!$C$8,1,0),0)</f>
        <v/>
      </c>
      <c r="AU937">
        <f>IF(AND(J937&lt;&gt;"",'Historical Score'!$C$9&lt;&gt;""),IF(J937='Historical Score'!$C$9,1,0),0)</f>
        <v/>
      </c>
      <c r="AV937">
        <f>AR937*AS937*AQ937</f>
        <v/>
      </c>
      <c r="AW937">
        <f>AR937*AT937*AQ937</f>
        <v/>
      </c>
      <c r="AX937">
        <f>AR937*AS937</f>
        <v/>
      </c>
      <c r="AY937">
        <f>AR937*AT937</f>
        <v/>
      </c>
      <c r="AZ937">
        <f>AR937*AQ937</f>
        <v/>
      </c>
      <c r="BA937">
        <f>AR937</f>
        <v/>
      </c>
      <c r="BB937">
        <f>1</f>
        <v/>
      </c>
      <c r="BC937">
        <f>IF(AV937=1,1,IF(AW937=1,2,IF(AX937=1,3,IF(AY937=1,4,IF(AZ937=1,5,IF(BA937=1,6,7))))))</f>
        <v/>
      </c>
      <c r="BD937">
        <f>IF(AD937=1,CHOOSE('Historical Score'!$C$29,AV937,AW937,AX937,AY937,AZ937,BA937,BB937),0)</f>
        <v/>
      </c>
      <c r="BE937">
        <f>IF(BD937=1,COUNTIF($BD$2:BD937,1),"")</f>
        <v/>
      </c>
    </row>
    <row r="938">
      <c r="A938" t="inlineStr">
        <is>
          <t>5674184975</t>
        </is>
      </c>
      <c r="B938" t="inlineStr">
        <is>
          <t>Eod</t>
        </is>
      </c>
      <c r="C938" t="inlineStr">
        <is>
          <t>Eod</t>
        </is>
      </c>
      <c r="D938" t="inlineStr">
        <is>
          <t>In House Collection</t>
        </is>
      </c>
      <c r="E938" s="297" t="n">
        <v>46178</v>
      </c>
      <c r="F938" s="297" t="n">
        <v>46232</v>
      </c>
      <c r="G938" t="n">
        <v>3</v>
      </c>
      <c r="H938" t="inlineStr">
        <is>
          <t>5999</t>
        </is>
      </c>
      <c r="I938" t="inlineStr">
        <is>
          <t>59</t>
        </is>
      </c>
      <c r="J938" t="inlineStr">
        <is>
          <t>FL</t>
        </is>
      </c>
      <c r="K938" t="inlineStr">
        <is>
          <t>PMF</t>
        </is>
      </c>
      <c r="L938" t="inlineStr">
        <is>
          <t>New Deal</t>
        </is>
      </c>
      <c r="M938" s="298" t="n">
        <v>1.49</v>
      </c>
      <c r="N938" s="299" t="n">
        <v>12000</v>
      </c>
      <c r="O938" s="299" t="n">
        <v>0</v>
      </c>
      <c r="P938" s="299" t="n">
        <v>17880</v>
      </c>
      <c r="Q938" s="299" t="n">
        <v>1563.52</v>
      </c>
      <c r="R938" s="299" t="n">
        <v>16316.48</v>
      </c>
      <c r="S938" s="300" t="n">
        <v>0.0874451901565995</v>
      </c>
      <c r="T938" t="n">
        <v>2.623</v>
      </c>
      <c r="U938" t="n">
        <v>29</v>
      </c>
      <c r="V938" t="n">
        <v>137960.35</v>
      </c>
      <c r="W938" s="300" t="n">
        <v>0.034</v>
      </c>
      <c r="X938" s="297" t="n">
        <v>45778</v>
      </c>
      <c r="Y938">
        <f>IF(I938="","No SIC",IFERROR(VLOOKUP(I938,Ref!$A$2:$B$65,2,FALSE),"Unclassified"))</f>
        <v/>
      </c>
      <c r="Z938">
        <f>IF(T938="","",IF(T938&lt;12,"Daily","Weekly"))</f>
        <v/>
      </c>
      <c r="AA938">
        <f>IF(T938="",0,IF(T938&lt;12,T938*Controls!$B$29,T938*5))</f>
        <v/>
      </c>
      <c r="AB938">
        <f>IF(E938="",0,NETWORKDAYS(E938,Controls!$B$36,Ref!$K$2:$K$42))</f>
        <v/>
      </c>
      <c r="AC938">
        <f>IF(AND(AA938&gt;0,AB938&gt;=Controls!$B$39*AA938),1,0)</f>
        <v/>
      </c>
      <c r="AD938">
        <f>IF(AND(E938&lt;&gt;"",E938&gt;=Controls!$B$37,E938&lt;=Controls!$B$38),1,0)</f>
        <v/>
      </c>
      <c r="AE938">
        <f>IF(IFERROR(VLOOKUP(D938,Controls!$A$64:$E$74,2,FALSE),"No")="Yes",1,0)</f>
        <v/>
      </c>
      <c r="AF938">
        <f>IF(IFERROR(VLOOKUP(D938,Controls!$A$64:$E$74,3,FALSE),"No")="Yes",1,0)</f>
        <v/>
      </c>
      <c r="AG938">
        <f>IF(IFERROR(VLOOKUP(D938,Controls!$A$64:$E$74,4,FALSE),"No")="Yes",1,0)</f>
        <v/>
      </c>
      <c r="AH938">
        <f>IF(IFERROR(VLOOKUP(D938,Controls!$A$64:$E$74,5,FALSE),"No")="Yes",1,0)</f>
        <v/>
      </c>
      <c r="AI938">
        <f>IF(ISNUMBER(MATCH(D938,Controls!$A$64:$A$74,0)),1,0)</f>
        <v/>
      </c>
      <c r="AJ938">
        <f>Q938-N938</f>
        <v/>
      </c>
      <c r="AK938">
        <f>IF(AE938=1,MAX(0,N938-Q938),0)</f>
        <v/>
      </c>
      <c r="AL938">
        <f>IF(OR(V938="",V938=0),0,N938/V938)</f>
        <v/>
      </c>
      <c r="AM938">
        <f>IF(OR(V938="",V938=0),0,1)</f>
        <v/>
      </c>
      <c r="AN938">
        <f>IF(OR(E938="",F938=""),0,NETWORKDAYS(E938,F938,Ref!$K$2:$K$42))</f>
        <v/>
      </c>
      <c r="AO938">
        <f>IF(L938="Renewal",1,0)</f>
        <v/>
      </c>
      <c r="AP938">
        <f>AC938*AD938</f>
        <v/>
      </c>
      <c r="AQ938">
        <f>IF(AND(G938&lt;&gt;"",'Historical Score'!$C$6&lt;&gt;""),IF(G938='Historical Score'!$C$6,1,0),0)</f>
        <v/>
      </c>
      <c r="AR938">
        <f>IF(AND(L938&lt;&gt;"",'Historical Score'!$C$5&lt;&gt;""),IF(L938='Historical Score'!$C$5,1,0),0)</f>
        <v/>
      </c>
      <c r="AS938">
        <f>IF(AND(Y938&lt;&gt;"",'Historical Score'!$C$7&lt;&gt;""),IF(Y938='Historical Score'!$C$7,1,0),0)</f>
        <v/>
      </c>
      <c r="AT938">
        <f>IF(AND(K938&lt;&gt;"",'Historical Score'!$C$8&lt;&gt;""),IF(K938='Historical Score'!$C$8,1,0),0)</f>
        <v/>
      </c>
      <c r="AU938">
        <f>IF(AND(J938&lt;&gt;"",'Historical Score'!$C$9&lt;&gt;""),IF(J938='Historical Score'!$C$9,1,0),0)</f>
        <v/>
      </c>
      <c r="AV938">
        <f>AR938*AS938*AQ938</f>
        <v/>
      </c>
      <c r="AW938">
        <f>AR938*AT938*AQ938</f>
        <v/>
      </c>
      <c r="AX938">
        <f>AR938*AS938</f>
        <v/>
      </c>
      <c r="AY938">
        <f>AR938*AT938</f>
        <v/>
      </c>
      <c r="AZ938">
        <f>AR938*AQ938</f>
        <v/>
      </c>
      <c r="BA938">
        <f>AR938</f>
        <v/>
      </c>
      <c r="BB938">
        <f>1</f>
        <v/>
      </c>
      <c r="BC938">
        <f>IF(AV938=1,1,IF(AW938=1,2,IF(AX938=1,3,IF(AY938=1,4,IF(AZ938=1,5,IF(BA938=1,6,7))))))</f>
        <v/>
      </c>
      <c r="BD938">
        <f>IF(AD938=1,CHOOSE('Historical Score'!$C$29,AV938,AW938,AX938,AY938,AZ938,BA938,BB938),0)</f>
        <v/>
      </c>
      <c r="BE938">
        <f>IF(BD938=1,COUNTIF($BD$2:BD938,1),"")</f>
        <v/>
      </c>
    </row>
    <row r="939">
      <c r="A939" t="inlineStr">
        <is>
          <t>5674184987</t>
        </is>
      </c>
      <c r="B939" t="inlineStr">
        <is>
          <t>SPOTLESS RESTORATION DBA JEFFREY BENSON MBR</t>
        </is>
      </c>
      <c r="C939" t="inlineStr">
        <is>
          <t>SPOTLESS RESTORATION LLC</t>
        </is>
      </c>
      <c r="D939" t="inlineStr">
        <is>
          <t>Open</t>
        </is>
      </c>
      <c r="E939" s="297" t="n">
        <v>46178</v>
      </c>
      <c r="F939" s="297" t="n">
        <v>46253</v>
      </c>
      <c r="G939" t="n">
        <v>3</v>
      </c>
      <c r="H939" t="inlineStr">
        <is>
          <t>1799</t>
        </is>
      </c>
      <c r="I939" t="inlineStr">
        <is>
          <t>17</t>
        </is>
      </c>
      <c r="J939" t="inlineStr">
        <is>
          <t>TX</t>
        </is>
      </c>
      <c r="K939" t="inlineStr">
        <is>
          <t>Capfront Funding</t>
        </is>
      </c>
      <c r="L939" t="inlineStr">
        <is>
          <t>New Deal</t>
        </is>
      </c>
      <c r="M939" s="298" t="n">
        <v>1.45</v>
      </c>
      <c r="N939" s="299" t="n">
        <v>35000</v>
      </c>
      <c r="O939" s="299" t="n">
        <v>4200</v>
      </c>
      <c r="P939" s="299" t="n">
        <v>50750</v>
      </c>
      <c r="Q939" s="299" t="n">
        <v>25362</v>
      </c>
      <c r="R939" s="299" t="n">
        <v>25388</v>
      </c>
      <c r="S939" s="300" t="n">
        <v>0.499743842364532</v>
      </c>
      <c r="T939" t="n">
        <v>3.279</v>
      </c>
      <c r="U939" t="n">
        <v>2</v>
      </c>
      <c r="V939" t="n">
        <v>332213.84</v>
      </c>
      <c r="W939" s="300" t="n">
        <v>0.0588</v>
      </c>
      <c r="X939" s="297" t="n">
        <v>42901</v>
      </c>
      <c r="Y939">
        <f>IF(I939="","No SIC",IFERROR(VLOOKUP(I939,Ref!$A$2:$B$65,2,FALSE),"Unclassified"))</f>
        <v/>
      </c>
      <c r="Z939">
        <f>IF(T939="","",IF(T939&lt;12,"Daily","Weekly"))</f>
        <v/>
      </c>
      <c r="AA939">
        <f>IF(T939="",0,IF(T939&lt;12,T939*Controls!$B$29,T939*5))</f>
        <v/>
      </c>
      <c r="AB939">
        <f>IF(E939="",0,NETWORKDAYS(E939,Controls!$B$36,Ref!$K$2:$K$42))</f>
        <v/>
      </c>
      <c r="AC939">
        <f>IF(AND(AA939&gt;0,AB939&gt;=Controls!$B$39*AA939),1,0)</f>
        <v/>
      </c>
      <c r="AD939">
        <f>IF(AND(E939&lt;&gt;"",E939&gt;=Controls!$B$37,E939&lt;=Controls!$B$38),1,0)</f>
        <v/>
      </c>
      <c r="AE939">
        <f>IF(IFERROR(VLOOKUP(D939,Controls!$A$64:$E$74,2,FALSE),"No")="Yes",1,0)</f>
        <v/>
      </c>
      <c r="AF939">
        <f>IF(IFERROR(VLOOKUP(D939,Controls!$A$64:$E$74,3,FALSE),"No")="Yes",1,0)</f>
        <v/>
      </c>
      <c r="AG939">
        <f>IF(IFERROR(VLOOKUP(D939,Controls!$A$64:$E$74,4,FALSE),"No")="Yes",1,0)</f>
        <v/>
      </c>
      <c r="AH939">
        <f>IF(IFERROR(VLOOKUP(D939,Controls!$A$64:$E$74,5,FALSE),"No")="Yes",1,0)</f>
        <v/>
      </c>
      <c r="AI939">
        <f>IF(ISNUMBER(MATCH(D939,Controls!$A$64:$A$74,0)),1,0)</f>
        <v/>
      </c>
      <c r="AJ939">
        <f>Q939-N939</f>
        <v/>
      </c>
      <c r="AK939">
        <f>IF(AE939=1,MAX(0,N939-Q939),0)</f>
        <v/>
      </c>
      <c r="AL939">
        <f>IF(OR(V939="",V939=0),0,N939/V939)</f>
        <v/>
      </c>
      <c r="AM939">
        <f>IF(OR(V939="",V939=0),0,1)</f>
        <v/>
      </c>
      <c r="AN939">
        <f>IF(OR(E939="",F939=""),0,NETWORKDAYS(E939,F939,Ref!$K$2:$K$42))</f>
        <v/>
      </c>
      <c r="AO939">
        <f>IF(L939="Renewal",1,0)</f>
        <v/>
      </c>
      <c r="AP939">
        <f>AC939*AD939</f>
        <v/>
      </c>
      <c r="AQ939">
        <f>IF(AND(G939&lt;&gt;"",'Historical Score'!$C$6&lt;&gt;""),IF(G939='Historical Score'!$C$6,1,0),0)</f>
        <v/>
      </c>
      <c r="AR939">
        <f>IF(AND(L939&lt;&gt;"",'Historical Score'!$C$5&lt;&gt;""),IF(L939='Historical Score'!$C$5,1,0),0)</f>
        <v/>
      </c>
      <c r="AS939">
        <f>IF(AND(Y939&lt;&gt;"",'Historical Score'!$C$7&lt;&gt;""),IF(Y939='Historical Score'!$C$7,1,0),0)</f>
        <v/>
      </c>
      <c r="AT939">
        <f>IF(AND(K939&lt;&gt;"",'Historical Score'!$C$8&lt;&gt;""),IF(K939='Historical Score'!$C$8,1,0),0)</f>
        <v/>
      </c>
      <c r="AU939">
        <f>IF(AND(J939&lt;&gt;"",'Historical Score'!$C$9&lt;&gt;""),IF(J939='Historical Score'!$C$9,1,0),0)</f>
        <v/>
      </c>
      <c r="AV939">
        <f>AR939*AS939*AQ939</f>
        <v/>
      </c>
      <c r="AW939">
        <f>AR939*AT939*AQ939</f>
        <v/>
      </c>
      <c r="AX939">
        <f>AR939*AS939</f>
        <v/>
      </c>
      <c r="AY939">
        <f>AR939*AT939</f>
        <v/>
      </c>
      <c r="AZ939">
        <f>AR939*AQ939</f>
        <v/>
      </c>
      <c r="BA939">
        <f>AR939</f>
        <v/>
      </c>
      <c r="BB939">
        <f>1</f>
        <v/>
      </c>
      <c r="BC939">
        <f>IF(AV939=1,1,IF(AW939=1,2,IF(AX939=1,3,IF(AY939=1,4,IF(AZ939=1,5,IF(BA939=1,6,7))))))</f>
        <v/>
      </c>
      <c r="BD939">
        <f>IF(AD939=1,CHOOSE('Historical Score'!$C$29,AV939,AW939,AX939,AY939,AZ939,BA939,BB939),0)</f>
        <v/>
      </c>
      <c r="BE939">
        <f>IF(BD939=1,COUNTIF($BD$2:BD939,1),"")</f>
        <v/>
      </c>
    </row>
    <row r="940">
      <c r="A940" t="inlineStr">
        <is>
          <t>5674185011</t>
        </is>
      </c>
      <c r="B940" t="inlineStr">
        <is>
          <t>All inclusive service station Corp</t>
        </is>
      </c>
      <c r="C940" t="inlineStr">
        <is>
          <t>All inclusive service station Corp</t>
        </is>
      </c>
      <c r="D940" t="inlineStr">
        <is>
          <t>Open</t>
        </is>
      </c>
      <c r="E940" s="297" t="n">
        <v>46181</v>
      </c>
      <c r="F940" s="297" t="n">
        <v>46247</v>
      </c>
      <c r="G940" t="n">
        <v>6</v>
      </c>
      <c r="H940" t="inlineStr">
        <is>
          <t>5541</t>
        </is>
      </c>
      <c r="I940" t="inlineStr">
        <is>
          <t>55</t>
        </is>
      </c>
      <c r="J940" t="inlineStr">
        <is>
          <t>PR</t>
        </is>
      </c>
      <c r="K940" t="inlineStr">
        <is>
          <t>ontime cap</t>
        </is>
      </c>
      <c r="L940" t="inlineStr">
        <is>
          <t>Renewal</t>
        </is>
      </c>
      <c r="M940" s="298" t="n">
        <v>1.49</v>
      </c>
      <c r="N940" s="299" t="n">
        <v>50000</v>
      </c>
      <c r="O940" s="299" t="n">
        <v>7000</v>
      </c>
      <c r="P940" s="299" t="n">
        <v>74500</v>
      </c>
      <c r="Q940" s="299" t="n">
        <v>74500</v>
      </c>
      <c r="R940" s="299" t="n">
        <v>0</v>
      </c>
      <c r="S940" s="300" t="n">
        <v>1</v>
      </c>
      <c r="T940" t="n">
        <v>2.459</v>
      </c>
      <c r="U940" t="n">
        <v>0</v>
      </c>
      <c r="V940" t="n">
        <v>541580.4</v>
      </c>
      <c r="W940" s="300" t="n">
        <v>0.0553</v>
      </c>
      <c r="X940" s="297" t="n">
        <v>42535</v>
      </c>
      <c r="Y940">
        <f>IF(I940="","No SIC",IFERROR(VLOOKUP(I940,Ref!$A$2:$B$65,2,FALSE),"Unclassified"))</f>
        <v/>
      </c>
      <c r="Z940">
        <f>IF(T940="","",IF(T940&lt;12,"Daily","Weekly"))</f>
        <v/>
      </c>
      <c r="AA940">
        <f>IF(T940="",0,IF(T940&lt;12,T940*Controls!$B$29,T940*5))</f>
        <v/>
      </c>
      <c r="AB940">
        <f>IF(E940="",0,NETWORKDAYS(E940,Controls!$B$36,Ref!$K$2:$K$42))</f>
        <v/>
      </c>
      <c r="AC940">
        <f>IF(AND(AA940&gt;0,AB940&gt;=Controls!$B$39*AA940),1,0)</f>
        <v/>
      </c>
      <c r="AD940">
        <f>IF(AND(E940&lt;&gt;"",E940&gt;=Controls!$B$37,E940&lt;=Controls!$B$38),1,0)</f>
        <v/>
      </c>
      <c r="AE940">
        <f>IF(IFERROR(VLOOKUP(D940,Controls!$A$64:$E$74,2,FALSE),"No")="Yes",1,0)</f>
        <v/>
      </c>
      <c r="AF940">
        <f>IF(IFERROR(VLOOKUP(D940,Controls!$A$64:$E$74,3,FALSE),"No")="Yes",1,0)</f>
        <v/>
      </c>
      <c r="AG940">
        <f>IF(IFERROR(VLOOKUP(D940,Controls!$A$64:$E$74,4,FALSE),"No")="Yes",1,0)</f>
        <v/>
      </c>
      <c r="AH940">
        <f>IF(IFERROR(VLOOKUP(D940,Controls!$A$64:$E$74,5,FALSE),"No")="Yes",1,0)</f>
        <v/>
      </c>
      <c r="AI940">
        <f>IF(ISNUMBER(MATCH(D940,Controls!$A$64:$A$74,0)),1,0)</f>
        <v/>
      </c>
      <c r="AJ940">
        <f>Q940-N940</f>
        <v/>
      </c>
      <c r="AK940">
        <f>IF(AE940=1,MAX(0,N940-Q940),0)</f>
        <v/>
      </c>
      <c r="AL940">
        <f>IF(OR(V940="",V940=0),0,N940/V940)</f>
        <v/>
      </c>
      <c r="AM940">
        <f>IF(OR(V940="",V940=0),0,1)</f>
        <v/>
      </c>
      <c r="AN940">
        <f>IF(OR(E940="",F940=""),0,NETWORKDAYS(E940,F940,Ref!$K$2:$K$42))</f>
        <v/>
      </c>
      <c r="AO940">
        <f>IF(L940="Renewal",1,0)</f>
        <v/>
      </c>
      <c r="AP940">
        <f>AC940*AD940</f>
        <v/>
      </c>
      <c r="AQ940">
        <f>IF(AND(G940&lt;&gt;"",'Historical Score'!$C$6&lt;&gt;""),IF(G940='Historical Score'!$C$6,1,0),0)</f>
        <v/>
      </c>
      <c r="AR940">
        <f>IF(AND(L940&lt;&gt;"",'Historical Score'!$C$5&lt;&gt;""),IF(L940='Historical Score'!$C$5,1,0),0)</f>
        <v/>
      </c>
      <c r="AS940">
        <f>IF(AND(Y940&lt;&gt;"",'Historical Score'!$C$7&lt;&gt;""),IF(Y940='Historical Score'!$C$7,1,0),0)</f>
        <v/>
      </c>
      <c r="AT940">
        <f>IF(AND(K940&lt;&gt;"",'Historical Score'!$C$8&lt;&gt;""),IF(K940='Historical Score'!$C$8,1,0),0)</f>
        <v/>
      </c>
      <c r="AU940">
        <f>IF(AND(J940&lt;&gt;"",'Historical Score'!$C$9&lt;&gt;""),IF(J940='Historical Score'!$C$9,1,0),0)</f>
        <v/>
      </c>
      <c r="AV940">
        <f>AR940*AS940*AQ940</f>
        <v/>
      </c>
      <c r="AW940">
        <f>AR940*AT940*AQ940</f>
        <v/>
      </c>
      <c r="AX940">
        <f>AR940*AS940</f>
        <v/>
      </c>
      <c r="AY940">
        <f>AR940*AT940</f>
        <v/>
      </c>
      <c r="AZ940">
        <f>AR940*AQ940</f>
        <v/>
      </c>
      <c r="BA940">
        <f>AR940</f>
        <v/>
      </c>
      <c r="BB940">
        <f>1</f>
        <v/>
      </c>
      <c r="BC940">
        <f>IF(AV940=1,1,IF(AW940=1,2,IF(AX940=1,3,IF(AY940=1,4,IF(AZ940=1,5,IF(BA940=1,6,7))))))</f>
        <v/>
      </c>
      <c r="BD940">
        <f>IF(AD940=1,CHOOSE('Historical Score'!$C$29,AV940,AW940,AX940,AY940,AZ940,BA940,BB940),0)</f>
        <v/>
      </c>
      <c r="BE940">
        <f>IF(BD940=1,COUNTIF($BD$2:BD940,1),"")</f>
        <v/>
      </c>
    </row>
    <row r="941">
      <c r="A941" t="inlineStr">
        <is>
          <t>5674185112</t>
        </is>
      </c>
      <c r="B941" t="inlineStr">
        <is>
          <t>A Better Child Care 3</t>
        </is>
      </c>
      <c r="C941" t="inlineStr">
        <is>
          <t>A Better Child Care 3</t>
        </is>
      </c>
      <c r="D941" t="inlineStr">
        <is>
          <t>Open</t>
        </is>
      </c>
      <c r="E941" s="297" t="n">
        <v>46182</v>
      </c>
      <c r="F941" s="297" t="n">
        <v>46248</v>
      </c>
      <c r="G941" t="n">
        <v>3</v>
      </c>
      <c r="H941" t="inlineStr">
        <is>
          <t>8351</t>
        </is>
      </c>
      <c r="I941" t="inlineStr">
        <is>
          <t>83</t>
        </is>
      </c>
      <c r="J941" t="inlineStr">
        <is>
          <t>WA</t>
        </is>
      </c>
      <c r="K941" t="inlineStr">
        <is>
          <t>United Secured Capital 8</t>
        </is>
      </c>
      <c r="L941" t="inlineStr">
        <is>
          <t>Renewal</t>
        </is>
      </c>
      <c r="M941" s="298" t="n">
        <v>1.49</v>
      </c>
      <c r="N941" s="299" t="n">
        <v>35000</v>
      </c>
      <c r="O941" s="299" t="n">
        <v>4900</v>
      </c>
      <c r="P941" s="299" t="n">
        <v>52150</v>
      </c>
      <c r="Q941" s="299" t="n">
        <v>14665.86</v>
      </c>
      <c r="R941" s="299" t="n">
        <v>37484.14</v>
      </c>
      <c r="S941" s="300" t="n">
        <v>0.281224544582934</v>
      </c>
      <c r="T941" t="n">
        <v>32</v>
      </c>
      <c r="U941" t="n">
        <v>1</v>
      </c>
      <c r="V941" t="n">
        <v>24532.07</v>
      </c>
      <c r="W941" s="300" t="n">
        <v>0.2657</v>
      </c>
      <c r="X941" s="297" t="n">
        <v>43186</v>
      </c>
      <c r="Y941">
        <f>IF(I941="","No SIC",IFERROR(VLOOKUP(I941,Ref!$A$2:$B$65,2,FALSE),"Unclassified"))</f>
        <v/>
      </c>
      <c r="Z941">
        <f>IF(T941="","",IF(T941&lt;12,"Daily","Weekly"))</f>
        <v/>
      </c>
      <c r="AA941">
        <f>IF(T941="",0,IF(T941&lt;12,T941*Controls!$B$29,T941*5))</f>
        <v/>
      </c>
      <c r="AB941">
        <f>IF(E941="",0,NETWORKDAYS(E941,Controls!$B$36,Ref!$K$2:$K$42))</f>
        <v/>
      </c>
      <c r="AC941">
        <f>IF(AND(AA941&gt;0,AB941&gt;=Controls!$B$39*AA941),1,0)</f>
        <v/>
      </c>
      <c r="AD941">
        <f>IF(AND(E941&lt;&gt;"",E941&gt;=Controls!$B$37,E941&lt;=Controls!$B$38),1,0)</f>
        <v/>
      </c>
      <c r="AE941">
        <f>IF(IFERROR(VLOOKUP(D941,Controls!$A$64:$E$74,2,FALSE),"No")="Yes",1,0)</f>
        <v/>
      </c>
      <c r="AF941">
        <f>IF(IFERROR(VLOOKUP(D941,Controls!$A$64:$E$74,3,FALSE),"No")="Yes",1,0)</f>
        <v/>
      </c>
      <c r="AG941">
        <f>IF(IFERROR(VLOOKUP(D941,Controls!$A$64:$E$74,4,FALSE),"No")="Yes",1,0)</f>
        <v/>
      </c>
      <c r="AH941">
        <f>IF(IFERROR(VLOOKUP(D941,Controls!$A$64:$E$74,5,FALSE),"No")="Yes",1,0)</f>
        <v/>
      </c>
      <c r="AI941">
        <f>IF(ISNUMBER(MATCH(D941,Controls!$A$64:$A$74,0)),1,0)</f>
        <v/>
      </c>
      <c r="AJ941">
        <f>Q941-N941</f>
        <v/>
      </c>
      <c r="AK941">
        <f>IF(AE941=1,MAX(0,N941-Q941),0)</f>
        <v/>
      </c>
      <c r="AL941">
        <f>IF(OR(V941="",V941=0),0,N941/V941)</f>
        <v/>
      </c>
      <c r="AM941">
        <f>IF(OR(V941="",V941=0),0,1)</f>
        <v/>
      </c>
      <c r="AN941">
        <f>IF(OR(E941="",F941=""),0,NETWORKDAYS(E941,F941,Ref!$K$2:$K$42))</f>
        <v/>
      </c>
      <c r="AO941">
        <f>IF(L941="Renewal",1,0)</f>
        <v/>
      </c>
      <c r="AP941">
        <f>AC941*AD941</f>
        <v/>
      </c>
      <c r="AQ941">
        <f>IF(AND(G941&lt;&gt;"",'Historical Score'!$C$6&lt;&gt;""),IF(G941='Historical Score'!$C$6,1,0),0)</f>
        <v/>
      </c>
      <c r="AR941">
        <f>IF(AND(L941&lt;&gt;"",'Historical Score'!$C$5&lt;&gt;""),IF(L941='Historical Score'!$C$5,1,0),0)</f>
        <v/>
      </c>
      <c r="AS941">
        <f>IF(AND(Y941&lt;&gt;"",'Historical Score'!$C$7&lt;&gt;""),IF(Y941='Historical Score'!$C$7,1,0),0)</f>
        <v/>
      </c>
      <c r="AT941">
        <f>IF(AND(K941&lt;&gt;"",'Historical Score'!$C$8&lt;&gt;""),IF(K941='Historical Score'!$C$8,1,0),0)</f>
        <v/>
      </c>
      <c r="AU941">
        <f>IF(AND(J941&lt;&gt;"",'Historical Score'!$C$9&lt;&gt;""),IF(J941='Historical Score'!$C$9,1,0),0)</f>
        <v/>
      </c>
      <c r="AV941">
        <f>AR941*AS941*AQ941</f>
        <v/>
      </c>
      <c r="AW941">
        <f>AR941*AT941*AQ941</f>
        <v/>
      </c>
      <c r="AX941">
        <f>AR941*AS941</f>
        <v/>
      </c>
      <c r="AY941">
        <f>AR941*AT941</f>
        <v/>
      </c>
      <c r="AZ941">
        <f>AR941*AQ941</f>
        <v/>
      </c>
      <c r="BA941">
        <f>AR941</f>
        <v/>
      </c>
      <c r="BB941">
        <f>1</f>
        <v/>
      </c>
      <c r="BC941">
        <f>IF(AV941=1,1,IF(AW941=1,2,IF(AX941=1,3,IF(AY941=1,4,IF(AZ941=1,5,IF(BA941=1,6,7))))))</f>
        <v/>
      </c>
      <c r="BD941">
        <f>IF(AD941=1,CHOOSE('Historical Score'!$C$29,AV941,AW941,AX941,AY941,AZ941,BA941,BB941),0)</f>
        <v/>
      </c>
      <c r="BE941">
        <f>IF(BD941=1,COUNTIF($BD$2:BD941,1),"")</f>
        <v/>
      </c>
    </row>
    <row r="942">
      <c r="A942" t="inlineStr">
        <is>
          <t>5674185138</t>
        </is>
      </c>
      <c r="B942" t="inlineStr">
        <is>
          <t>CREDIBLE AUTO SALES LLC</t>
        </is>
      </c>
      <c r="C942" t="inlineStr">
        <is>
          <t>CREDIBLE AUTO SALES LLC</t>
        </is>
      </c>
      <c r="D942" t="inlineStr">
        <is>
          <t>In House Collection</t>
        </is>
      </c>
      <c r="E942" s="297" t="n">
        <v>46182</v>
      </c>
      <c r="F942" s="297" t="n">
        <v>46205</v>
      </c>
      <c r="G942" t="n">
        <v>3</v>
      </c>
      <c r="H942" t="inlineStr">
        <is>
          <t>5599</t>
        </is>
      </c>
      <c r="I942" t="inlineStr">
        <is>
          <t>55</t>
        </is>
      </c>
      <c r="J942" t="inlineStr">
        <is>
          <t>FL</t>
        </is>
      </c>
      <c r="K942" t="inlineStr">
        <is>
          <t>United Secured Capital 8</t>
        </is>
      </c>
      <c r="L942" t="inlineStr">
        <is>
          <t>New Deal</t>
        </is>
      </c>
      <c r="M942" s="298" t="n">
        <v>1.49</v>
      </c>
      <c r="N942" s="299" t="n">
        <v>10000</v>
      </c>
      <c r="O942" s="299" t="n">
        <v>1400</v>
      </c>
      <c r="P942" s="299" t="n">
        <v>14900</v>
      </c>
      <c r="Q942" s="299" t="n">
        <v>0</v>
      </c>
      <c r="R942" s="299" t="n">
        <v>14900</v>
      </c>
      <c r="S942" s="300" t="n">
        <v>0</v>
      </c>
      <c r="T942" t="n">
        <v>2.623</v>
      </c>
      <c r="U942" t="n">
        <v>11</v>
      </c>
      <c r="V942" t="n">
        <v>74131.67</v>
      </c>
      <c r="W942" s="300" t="n">
        <v>0.0528</v>
      </c>
      <c r="X942" s="297" t="n">
        <v>45033</v>
      </c>
      <c r="Y942">
        <f>IF(I942="","No SIC",IFERROR(VLOOKUP(I942,Ref!$A$2:$B$65,2,FALSE),"Unclassified"))</f>
        <v/>
      </c>
      <c r="Z942">
        <f>IF(T942="","",IF(T942&lt;12,"Daily","Weekly"))</f>
        <v/>
      </c>
      <c r="AA942">
        <f>IF(T942="",0,IF(T942&lt;12,T942*Controls!$B$29,T942*5))</f>
        <v/>
      </c>
      <c r="AB942">
        <f>IF(E942="",0,NETWORKDAYS(E942,Controls!$B$36,Ref!$K$2:$K$42))</f>
        <v/>
      </c>
      <c r="AC942">
        <f>IF(AND(AA942&gt;0,AB942&gt;=Controls!$B$39*AA942),1,0)</f>
        <v/>
      </c>
      <c r="AD942">
        <f>IF(AND(E942&lt;&gt;"",E942&gt;=Controls!$B$37,E942&lt;=Controls!$B$38),1,0)</f>
        <v/>
      </c>
      <c r="AE942">
        <f>IF(IFERROR(VLOOKUP(D942,Controls!$A$64:$E$74,2,FALSE),"No")="Yes",1,0)</f>
        <v/>
      </c>
      <c r="AF942">
        <f>IF(IFERROR(VLOOKUP(D942,Controls!$A$64:$E$74,3,FALSE),"No")="Yes",1,0)</f>
        <v/>
      </c>
      <c r="AG942">
        <f>IF(IFERROR(VLOOKUP(D942,Controls!$A$64:$E$74,4,FALSE),"No")="Yes",1,0)</f>
        <v/>
      </c>
      <c r="AH942">
        <f>IF(IFERROR(VLOOKUP(D942,Controls!$A$64:$E$74,5,FALSE),"No")="Yes",1,0)</f>
        <v/>
      </c>
      <c r="AI942">
        <f>IF(ISNUMBER(MATCH(D942,Controls!$A$64:$A$74,0)),1,0)</f>
        <v/>
      </c>
      <c r="AJ942">
        <f>Q942-N942</f>
        <v/>
      </c>
      <c r="AK942">
        <f>IF(AE942=1,MAX(0,N942-Q942),0)</f>
        <v/>
      </c>
      <c r="AL942">
        <f>IF(OR(V942="",V942=0),0,N942/V942)</f>
        <v/>
      </c>
      <c r="AM942">
        <f>IF(OR(V942="",V942=0),0,1)</f>
        <v/>
      </c>
      <c r="AN942">
        <f>IF(OR(E942="",F942=""),0,NETWORKDAYS(E942,F942,Ref!$K$2:$K$42))</f>
        <v/>
      </c>
      <c r="AO942">
        <f>IF(L942="Renewal",1,0)</f>
        <v/>
      </c>
      <c r="AP942">
        <f>AC942*AD942</f>
        <v/>
      </c>
      <c r="AQ942">
        <f>IF(AND(G942&lt;&gt;"",'Historical Score'!$C$6&lt;&gt;""),IF(G942='Historical Score'!$C$6,1,0),0)</f>
        <v/>
      </c>
      <c r="AR942">
        <f>IF(AND(L942&lt;&gt;"",'Historical Score'!$C$5&lt;&gt;""),IF(L942='Historical Score'!$C$5,1,0),0)</f>
        <v/>
      </c>
      <c r="AS942">
        <f>IF(AND(Y942&lt;&gt;"",'Historical Score'!$C$7&lt;&gt;""),IF(Y942='Historical Score'!$C$7,1,0),0)</f>
        <v/>
      </c>
      <c r="AT942">
        <f>IF(AND(K942&lt;&gt;"",'Historical Score'!$C$8&lt;&gt;""),IF(K942='Historical Score'!$C$8,1,0),0)</f>
        <v/>
      </c>
      <c r="AU942">
        <f>IF(AND(J942&lt;&gt;"",'Historical Score'!$C$9&lt;&gt;""),IF(J942='Historical Score'!$C$9,1,0),0)</f>
        <v/>
      </c>
      <c r="AV942">
        <f>AR942*AS942*AQ942</f>
        <v/>
      </c>
      <c r="AW942">
        <f>AR942*AT942*AQ942</f>
        <v/>
      </c>
      <c r="AX942">
        <f>AR942*AS942</f>
        <v/>
      </c>
      <c r="AY942">
        <f>AR942*AT942</f>
        <v/>
      </c>
      <c r="AZ942">
        <f>AR942*AQ942</f>
        <v/>
      </c>
      <c r="BA942">
        <f>AR942</f>
        <v/>
      </c>
      <c r="BB942">
        <f>1</f>
        <v/>
      </c>
      <c r="BC942">
        <f>IF(AV942=1,1,IF(AW942=1,2,IF(AX942=1,3,IF(AY942=1,4,IF(AZ942=1,5,IF(BA942=1,6,7))))))</f>
        <v/>
      </c>
      <c r="BD942">
        <f>IF(AD942=1,CHOOSE('Historical Score'!$C$29,AV942,AW942,AX942,AY942,AZ942,BA942,BB942),0)</f>
        <v/>
      </c>
      <c r="BE942">
        <f>IF(BD942=1,COUNTIF($BD$2:BD942,1),"")</f>
        <v/>
      </c>
    </row>
    <row r="943">
      <c r="A943" t="inlineStr">
        <is>
          <t>5674185185</t>
        </is>
      </c>
      <c r="B943" t="inlineStr">
        <is>
          <t>Four brothers general merchandise inc</t>
        </is>
      </c>
      <c r="C943" t="inlineStr">
        <is>
          <t>Four brothers general merchandise inc</t>
        </is>
      </c>
      <c r="D943" t="inlineStr">
        <is>
          <t>In House Collection</t>
        </is>
      </c>
      <c r="E943" s="297" t="n">
        <v>46183</v>
      </c>
      <c r="F943" s="297" t="n">
        <v>46223</v>
      </c>
      <c r="G943" t="n">
        <v>3</v>
      </c>
      <c r="H943" t="inlineStr">
        <is>
          <t>5999</t>
        </is>
      </c>
      <c r="I943" t="inlineStr">
        <is>
          <t>59</t>
        </is>
      </c>
      <c r="J943" t="inlineStr">
        <is>
          <t>IL</t>
        </is>
      </c>
      <c r="K943" t="inlineStr">
        <is>
          <t>United Secured Capital 8</t>
        </is>
      </c>
      <c r="L943" t="inlineStr">
        <is>
          <t>New Deal</t>
        </is>
      </c>
      <c r="M943" s="298" t="n">
        <v>1.49</v>
      </c>
      <c r="N943" s="299" t="n">
        <v>10000</v>
      </c>
      <c r="O943" s="299" t="n">
        <v>0</v>
      </c>
      <c r="P943" s="299" t="n">
        <v>14900</v>
      </c>
      <c r="Q943" s="299" t="n">
        <v>372.42</v>
      </c>
      <c r="R943" s="299" t="n">
        <v>14527.58</v>
      </c>
      <c r="S943" s="300" t="n">
        <v>0.0249946308724832</v>
      </c>
      <c r="T943" t="n">
        <v>2.623</v>
      </c>
      <c r="U943" t="n">
        <v>23</v>
      </c>
      <c r="V943" t="n">
        <v>69830.47</v>
      </c>
      <c r="W943" s="300" t="n">
        <v>0.056</v>
      </c>
      <c r="X943" s="297" t="n"/>
      <c r="Y943">
        <f>IF(I943="","No SIC",IFERROR(VLOOKUP(I943,Ref!$A$2:$B$65,2,FALSE),"Unclassified"))</f>
        <v/>
      </c>
      <c r="Z943">
        <f>IF(T943="","",IF(T943&lt;12,"Daily","Weekly"))</f>
        <v/>
      </c>
      <c r="AA943">
        <f>IF(T943="",0,IF(T943&lt;12,T943*Controls!$B$29,T943*5))</f>
        <v/>
      </c>
      <c r="AB943">
        <f>IF(E943="",0,NETWORKDAYS(E943,Controls!$B$36,Ref!$K$2:$K$42))</f>
        <v/>
      </c>
      <c r="AC943">
        <f>IF(AND(AA943&gt;0,AB943&gt;=Controls!$B$39*AA943),1,0)</f>
        <v/>
      </c>
      <c r="AD943">
        <f>IF(AND(E943&lt;&gt;"",E943&gt;=Controls!$B$37,E943&lt;=Controls!$B$38),1,0)</f>
        <v/>
      </c>
      <c r="AE943">
        <f>IF(IFERROR(VLOOKUP(D943,Controls!$A$64:$E$74,2,FALSE),"No")="Yes",1,0)</f>
        <v/>
      </c>
      <c r="AF943">
        <f>IF(IFERROR(VLOOKUP(D943,Controls!$A$64:$E$74,3,FALSE),"No")="Yes",1,0)</f>
        <v/>
      </c>
      <c r="AG943">
        <f>IF(IFERROR(VLOOKUP(D943,Controls!$A$64:$E$74,4,FALSE),"No")="Yes",1,0)</f>
        <v/>
      </c>
      <c r="AH943">
        <f>IF(IFERROR(VLOOKUP(D943,Controls!$A$64:$E$74,5,FALSE),"No")="Yes",1,0)</f>
        <v/>
      </c>
      <c r="AI943">
        <f>IF(ISNUMBER(MATCH(D943,Controls!$A$64:$A$74,0)),1,0)</f>
        <v/>
      </c>
      <c r="AJ943">
        <f>Q943-N943</f>
        <v/>
      </c>
      <c r="AK943">
        <f>IF(AE943=1,MAX(0,N943-Q943),0)</f>
        <v/>
      </c>
      <c r="AL943">
        <f>IF(OR(V943="",V943=0),0,N943/V943)</f>
        <v/>
      </c>
      <c r="AM943">
        <f>IF(OR(V943="",V943=0),0,1)</f>
        <v/>
      </c>
      <c r="AN943">
        <f>IF(OR(E943="",F943=""),0,NETWORKDAYS(E943,F943,Ref!$K$2:$K$42))</f>
        <v/>
      </c>
      <c r="AO943">
        <f>IF(L943="Renewal",1,0)</f>
        <v/>
      </c>
      <c r="AP943">
        <f>AC943*AD943</f>
        <v/>
      </c>
      <c r="AQ943">
        <f>IF(AND(G943&lt;&gt;"",'Historical Score'!$C$6&lt;&gt;""),IF(G943='Historical Score'!$C$6,1,0),0)</f>
        <v/>
      </c>
      <c r="AR943">
        <f>IF(AND(L943&lt;&gt;"",'Historical Score'!$C$5&lt;&gt;""),IF(L943='Historical Score'!$C$5,1,0),0)</f>
        <v/>
      </c>
      <c r="AS943">
        <f>IF(AND(Y943&lt;&gt;"",'Historical Score'!$C$7&lt;&gt;""),IF(Y943='Historical Score'!$C$7,1,0),0)</f>
        <v/>
      </c>
      <c r="AT943">
        <f>IF(AND(K943&lt;&gt;"",'Historical Score'!$C$8&lt;&gt;""),IF(K943='Historical Score'!$C$8,1,0),0)</f>
        <v/>
      </c>
      <c r="AU943">
        <f>IF(AND(J943&lt;&gt;"",'Historical Score'!$C$9&lt;&gt;""),IF(J943='Historical Score'!$C$9,1,0),0)</f>
        <v/>
      </c>
      <c r="AV943">
        <f>AR943*AS943*AQ943</f>
        <v/>
      </c>
      <c r="AW943">
        <f>AR943*AT943*AQ943</f>
        <v/>
      </c>
      <c r="AX943">
        <f>AR943*AS943</f>
        <v/>
      </c>
      <c r="AY943">
        <f>AR943*AT943</f>
        <v/>
      </c>
      <c r="AZ943">
        <f>AR943*AQ943</f>
        <v/>
      </c>
      <c r="BA943">
        <f>AR943</f>
        <v/>
      </c>
      <c r="BB943">
        <f>1</f>
        <v/>
      </c>
      <c r="BC943">
        <f>IF(AV943=1,1,IF(AW943=1,2,IF(AX943=1,3,IF(AY943=1,4,IF(AZ943=1,5,IF(BA943=1,6,7))))))</f>
        <v/>
      </c>
      <c r="BD943">
        <f>IF(AD943=1,CHOOSE('Historical Score'!$C$29,AV943,AW943,AX943,AY943,AZ943,BA943,BB943),0)</f>
        <v/>
      </c>
      <c r="BE943">
        <f>IF(BD943=1,COUNTIF($BD$2:BD943,1),"")</f>
        <v/>
      </c>
    </row>
    <row r="944">
      <c r="A944" t="inlineStr">
        <is>
          <t>5674185208</t>
        </is>
      </c>
      <c r="B944" t="inlineStr">
        <is>
          <t>Wise Water Solutions</t>
        </is>
      </c>
      <c r="C944" t="inlineStr">
        <is>
          <t>Wise Landscaping LLC</t>
        </is>
      </c>
      <c r="D944" t="inlineStr">
        <is>
          <t>Closed</t>
        </is>
      </c>
      <c r="E944" s="297" t="n">
        <v>46183</v>
      </c>
      <c r="F944" s="297" t="n">
        <v>46212</v>
      </c>
      <c r="G944" t="n">
        <v>3</v>
      </c>
      <c r="H944" t="inlineStr">
        <is>
          <t>0781</t>
        </is>
      </c>
      <c r="I944" t="inlineStr">
        <is>
          <t>07</t>
        </is>
      </c>
      <c r="J944" t="inlineStr">
        <is>
          <t>TX</t>
        </is>
      </c>
      <c r="K944" t="inlineStr">
        <is>
          <t>Llama Loan</t>
        </is>
      </c>
      <c r="L944" t="inlineStr">
        <is>
          <t>New Deal</t>
        </is>
      </c>
      <c r="M944" s="298" t="n">
        <v>1.384135</v>
      </c>
      <c r="N944" s="299" t="n">
        <v>12000</v>
      </c>
      <c r="O944" s="299" t="n">
        <v>1440</v>
      </c>
      <c r="P944" s="299" t="n">
        <v>16609.62</v>
      </c>
      <c r="Q944" s="299" t="n">
        <v>16609.62</v>
      </c>
      <c r="R944" s="299" t="n">
        <v>0</v>
      </c>
      <c r="S944" s="300" t="n">
        <v>1</v>
      </c>
      <c r="T944" t="n">
        <v>22</v>
      </c>
      <c r="U944" t="n">
        <v>0</v>
      </c>
      <c r="V944" t="n">
        <v>42149.02</v>
      </c>
      <c r="W944" s="300" t="n">
        <v>0.0751</v>
      </c>
      <c r="X944" s="297" t="n">
        <v>44265</v>
      </c>
      <c r="Y944">
        <f>IF(I944="","No SIC",IFERROR(VLOOKUP(I944,Ref!$A$2:$B$65,2,FALSE),"Unclassified"))</f>
        <v/>
      </c>
      <c r="Z944">
        <f>IF(T944="","",IF(T944&lt;12,"Daily","Weekly"))</f>
        <v/>
      </c>
      <c r="AA944">
        <f>IF(T944="",0,IF(T944&lt;12,T944*Controls!$B$29,T944*5))</f>
        <v/>
      </c>
      <c r="AB944">
        <f>IF(E944="",0,NETWORKDAYS(E944,Controls!$B$36,Ref!$K$2:$K$42))</f>
        <v/>
      </c>
      <c r="AC944">
        <f>IF(AND(AA944&gt;0,AB944&gt;=Controls!$B$39*AA944),1,0)</f>
        <v/>
      </c>
      <c r="AD944">
        <f>IF(AND(E944&lt;&gt;"",E944&gt;=Controls!$B$37,E944&lt;=Controls!$B$38),1,0)</f>
        <v/>
      </c>
      <c r="AE944">
        <f>IF(IFERROR(VLOOKUP(D944,Controls!$A$64:$E$74,2,FALSE),"No")="Yes",1,0)</f>
        <v/>
      </c>
      <c r="AF944">
        <f>IF(IFERROR(VLOOKUP(D944,Controls!$A$64:$E$74,3,FALSE),"No")="Yes",1,0)</f>
        <v/>
      </c>
      <c r="AG944">
        <f>IF(IFERROR(VLOOKUP(D944,Controls!$A$64:$E$74,4,FALSE),"No")="Yes",1,0)</f>
        <v/>
      </c>
      <c r="AH944">
        <f>IF(IFERROR(VLOOKUP(D944,Controls!$A$64:$E$74,5,FALSE),"No")="Yes",1,0)</f>
        <v/>
      </c>
      <c r="AI944">
        <f>IF(ISNUMBER(MATCH(D944,Controls!$A$64:$A$74,0)),1,0)</f>
        <v/>
      </c>
      <c r="AJ944">
        <f>Q944-N944</f>
        <v/>
      </c>
      <c r="AK944">
        <f>IF(AE944=1,MAX(0,N944-Q944),0)</f>
        <v/>
      </c>
      <c r="AL944">
        <f>IF(OR(V944="",V944=0),0,N944/V944)</f>
        <v/>
      </c>
      <c r="AM944">
        <f>IF(OR(V944="",V944=0),0,1)</f>
        <v/>
      </c>
      <c r="AN944">
        <f>IF(OR(E944="",F944=""),0,NETWORKDAYS(E944,F944,Ref!$K$2:$K$42))</f>
        <v/>
      </c>
      <c r="AO944">
        <f>IF(L944="Renewal",1,0)</f>
        <v/>
      </c>
      <c r="AP944">
        <f>AC944*AD944</f>
        <v/>
      </c>
      <c r="AQ944">
        <f>IF(AND(G944&lt;&gt;"",'Historical Score'!$C$6&lt;&gt;""),IF(G944='Historical Score'!$C$6,1,0),0)</f>
        <v/>
      </c>
      <c r="AR944">
        <f>IF(AND(L944&lt;&gt;"",'Historical Score'!$C$5&lt;&gt;""),IF(L944='Historical Score'!$C$5,1,0),0)</f>
        <v/>
      </c>
      <c r="AS944">
        <f>IF(AND(Y944&lt;&gt;"",'Historical Score'!$C$7&lt;&gt;""),IF(Y944='Historical Score'!$C$7,1,0),0)</f>
        <v/>
      </c>
      <c r="AT944">
        <f>IF(AND(K944&lt;&gt;"",'Historical Score'!$C$8&lt;&gt;""),IF(K944='Historical Score'!$C$8,1,0),0)</f>
        <v/>
      </c>
      <c r="AU944">
        <f>IF(AND(J944&lt;&gt;"",'Historical Score'!$C$9&lt;&gt;""),IF(J944='Historical Score'!$C$9,1,0),0)</f>
        <v/>
      </c>
      <c r="AV944">
        <f>AR944*AS944*AQ944</f>
        <v/>
      </c>
      <c r="AW944">
        <f>AR944*AT944*AQ944</f>
        <v/>
      </c>
      <c r="AX944">
        <f>AR944*AS944</f>
        <v/>
      </c>
      <c r="AY944">
        <f>AR944*AT944</f>
        <v/>
      </c>
      <c r="AZ944">
        <f>AR944*AQ944</f>
        <v/>
      </c>
      <c r="BA944">
        <f>AR944</f>
        <v/>
      </c>
      <c r="BB944">
        <f>1</f>
        <v/>
      </c>
      <c r="BC944">
        <f>IF(AV944=1,1,IF(AW944=1,2,IF(AX944=1,3,IF(AY944=1,4,IF(AZ944=1,5,IF(BA944=1,6,7))))))</f>
        <v/>
      </c>
      <c r="BD944">
        <f>IF(AD944=1,CHOOSE('Historical Score'!$C$29,AV944,AW944,AX944,AY944,AZ944,BA944,BB944),0)</f>
        <v/>
      </c>
      <c r="BE944">
        <f>IF(BD944=1,COUNTIF($BD$2:BD944,1),"")</f>
        <v/>
      </c>
    </row>
    <row r="945">
      <c r="A945" t="inlineStr">
        <is>
          <t>5674185224</t>
        </is>
      </c>
      <c r="B945" t="inlineStr">
        <is>
          <t>GREATFLORIDA INSURANCE</t>
        </is>
      </c>
      <c r="C945" t="inlineStr">
        <is>
          <t>AJRANC Insurance Agency, Inc</t>
        </is>
      </c>
      <c r="D945" t="inlineStr">
        <is>
          <t>Open</t>
        </is>
      </c>
      <c r="E945" s="297" t="n">
        <v>46183</v>
      </c>
      <c r="F945" s="297" t="n">
        <v>46248</v>
      </c>
      <c r="G945" t="n">
        <v>2</v>
      </c>
      <c r="H945" t="inlineStr">
        <is>
          <t>6411</t>
        </is>
      </c>
      <c r="I945" t="inlineStr">
        <is>
          <t>64</t>
        </is>
      </c>
      <c r="J945" t="inlineStr">
        <is>
          <t>FL</t>
        </is>
      </c>
      <c r="K945" t="inlineStr">
        <is>
          <t>Fund Simple</t>
        </is>
      </c>
      <c r="L945" t="inlineStr">
        <is>
          <t>New Deal</t>
        </is>
      </c>
      <c r="M945" s="298" t="n">
        <v>1.49</v>
      </c>
      <c r="N945" s="299" t="n">
        <v>12000</v>
      </c>
      <c r="O945" s="299" t="n">
        <v>1680</v>
      </c>
      <c r="P945" s="299" t="n">
        <v>17880</v>
      </c>
      <c r="Q945" s="299" t="n">
        <v>6703.38</v>
      </c>
      <c r="R945" s="299" t="n">
        <v>11176.62</v>
      </c>
      <c r="S945" s="300" t="n">
        <v>0.374909395973154</v>
      </c>
      <c r="T945" t="n">
        <v>24</v>
      </c>
      <c r="U945" t="n">
        <v>0</v>
      </c>
      <c r="V945" t="n">
        <v>17599.95</v>
      </c>
      <c r="W945" s="300" t="n">
        <v>0.2014</v>
      </c>
      <c r="X945" s="297" t="n">
        <v>42217</v>
      </c>
      <c r="Y945">
        <f>IF(I945="","No SIC",IFERROR(VLOOKUP(I945,Ref!$A$2:$B$65,2,FALSE),"Unclassified"))</f>
        <v/>
      </c>
      <c r="Z945">
        <f>IF(T945="","",IF(T945&lt;12,"Daily","Weekly"))</f>
        <v/>
      </c>
      <c r="AA945">
        <f>IF(T945="",0,IF(T945&lt;12,T945*Controls!$B$29,T945*5))</f>
        <v/>
      </c>
      <c r="AB945">
        <f>IF(E945="",0,NETWORKDAYS(E945,Controls!$B$36,Ref!$K$2:$K$42))</f>
        <v/>
      </c>
      <c r="AC945">
        <f>IF(AND(AA945&gt;0,AB945&gt;=Controls!$B$39*AA945),1,0)</f>
        <v/>
      </c>
      <c r="AD945">
        <f>IF(AND(E945&lt;&gt;"",E945&gt;=Controls!$B$37,E945&lt;=Controls!$B$38),1,0)</f>
        <v/>
      </c>
      <c r="AE945">
        <f>IF(IFERROR(VLOOKUP(D945,Controls!$A$64:$E$74,2,FALSE),"No")="Yes",1,0)</f>
        <v/>
      </c>
      <c r="AF945">
        <f>IF(IFERROR(VLOOKUP(D945,Controls!$A$64:$E$74,3,FALSE),"No")="Yes",1,0)</f>
        <v/>
      </c>
      <c r="AG945">
        <f>IF(IFERROR(VLOOKUP(D945,Controls!$A$64:$E$74,4,FALSE),"No")="Yes",1,0)</f>
        <v/>
      </c>
      <c r="AH945">
        <f>IF(IFERROR(VLOOKUP(D945,Controls!$A$64:$E$74,5,FALSE),"No")="Yes",1,0)</f>
        <v/>
      </c>
      <c r="AI945">
        <f>IF(ISNUMBER(MATCH(D945,Controls!$A$64:$A$74,0)),1,0)</f>
        <v/>
      </c>
      <c r="AJ945">
        <f>Q945-N945</f>
        <v/>
      </c>
      <c r="AK945">
        <f>IF(AE945=1,MAX(0,N945-Q945),0)</f>
        <v/>
      </c>
      <c r="AL945">
        <f>IF(OR(V945="",V945=0),0,N945/V945)</f>
        <v/>
      </c>
      <c r="AM945">
        <f>IF(OR(V945="",V945=0),0,1)</f>
        <v/>
      </c>
      <c r="AN945">
        <f>IF(OR(E945="",F945=""),0,NETWORKDAYS(E945,F945,Ref!$K$2:$K$42))</f>
        <v/>
      </c>
      <c r="AO945">
        <f>IF(L945="Renewal",1,0)</f>
        <v/>
      </c>
      <c r="AP945">
        <f>AC945*AD945</f>
        <v/>
      </c>
      <c r="AQ945">
        <f>IF(AND(G945&lt;&gt;"",'Historical Score'!$C$6&lt;&gt;""),IF(G945='Historical Score'!$C$6,1,0),0)</f>
        <v/>
      </c>
      <c r="AR945">
        <f>IF(AND(L945&lt;&gt;"",'Historical Score'!$C$5&lt;&gt;""),IF(L945='Historical Score'!$C$5,1,0),0)</f>
        <v/>
      </c>
      <c r="AS945">
        <f>IF(AND(Y945&lt;&gt;"",'Historical Score'!$C$7&lt;&gt;""),IF(Y945='Historical Score'!$C$7,1,0),0)</f>
        <v/>
      </c>
      <c r="AT945">
        <f>IF(AND(K945&lt;&gt;"",'Historical Score'!$C$8&lt;&gt;""),IF(K945='Historical Score'!$C$8,1,0),0)</f>
        <v/>
      </c>
      <c r="AU945">
        <f>IF(AND(J945&lt;&gt;"",'Historical Score'!$C$9&lt;&gt;""),IF(J945='Historical Score'!$C$9,1,0),0)</f>
        <v/>
      </c>
      <c r="AV945">
        <f>AR945*AS945*AQ945</f>
        <v/>
      </c>
      <c r="AW945">
        <f>AR945*AT945*AQ945</f>
        <v/>
      </c>
      <c r="AX945">
        <f>AR945*AS945</f>
        <v/>
      </c>
      <c r="AY945">
        <f>AR945*AT945</f>
        <v/>
      </c>
      <c r="AZ945">
        <f>AR945*AQ945</f>
        <v/>
      </c>
      <c r="BA945">
        <f>AR945</f>
        <v/>
      </c>
      <c r="BB945">
        <f>1</f>
        <v/>
      </c>
      <c r="BC945">
        <f>IF(AV945=1,1,IF(AW945=1,2,IF(AX945=1,3,IF(AY945=1,4,IF(AZ945=1,5,IF(BA945=1,6,7))))))</f>
        <v/>
      </c>
      <c r="BD945">
        <f>IF(AD945=1,CHOOSE('Historical Score'!$C$29,AV945,AW945,AX945,AY945,AZ945,BA945,BB945),0)</f>
        <v/>
      </c>
      <c r="BE945">
        <f>IF(BD945=1,COUNTIF($BD$2:BD945,1),"")</f>
        <v/>
      </c>
    </row>
    <row r="946">
      <c r="A946" t="inlineStr">
        <is>
          <t>5674185229</t>
        </is>
      </c>
      <c r="B946" t="inlineStr">
        <is>
          <t>Santiban Services Group LLC</t>
        </is>
      </c>
      <c r="C946" t="inlineStr">
        <is>
          <t>Santiban Services Group LLC</t>
        </is>
      </c>
      <c r="D946" t="inlineStr">
        <is>
          <t>In House Collection</t>
        </is>
      </c>
      <c r="E946" s="297" t="n">
        <v>46183</v>
      </c>
      <c r="F946" s="297" t="n">
        <v>46251</v>
      </c>
      <c r="G946" t="n">
        <v>3</v>
      </c>
      <c r="H946" t="inlineStr">
        <is>
          <t>5999</t>
        </is>
      </c>
      <c r="I946" t="inlineStr">
        <is>
          <t>59</t>
        </is>
      </c>
      <c r="J946" t="inlineStr">
        <is>
          <t>TX</t>
        </is>
      </c>
      <c r="K946" t="inlineStr">
        <is>
          <t>PMF</t>
        </is>
      </c>
      <c r="L946" t="inlineStr">
        <is>
          <t>New Deal</t>
        </is>
      </c>
      <c r="M946" s="298" t="n">
        <v>1.49</v>
      </c>
      <c r="N946" s="299" t="n">
        <v>11000</v>
      </c>
      <c r="O946" s="299" t="n">
        <v>0</v>
      </c>
      <c r="P946" s="299" t="n">
        <v>16390</v>
      </c>
      <c r="Q946" s="299" t="n">
        <v>2106.48</v>
      </c>
      <c r="R946" s="299" t="n">
        <v>14283.52</v>
      </c>
      <c r="S946" s="300" t="n">
        <v>0.128522269676632</v>
      </c>
      <c r="T946" t="n">
        <v>2.951</v>
      </c>
      <c r="U946" t="n">
        <v>19</v>
      </c>
      <c r="V946" t="n">
        <v>28065.56</v>
      </c>
      <c r="W946" s="300" t="n">
        <v>0.1363</v>
      </c>
      <c r="X946" s="297" t="n">
        <v>45158</v>
      </c>
      <c r="Y946">
        <f>IF(I946="","No SIC",IFERROR(VLOOKUP(I946,Ref!$A$2:$B$65,2,FALSE),"Unclassified"))</f>
        <v/>
      </c>
      <c r="Z946">
        <f>IF(T946="","",IF(T946&lt;12,"Daily","Weekly"))</f>
        <v/>
      </c>
      <c r="AA946">
        <f>IF(T946="",0,IF(T946&lt;12,T946*Controls!$B$29,T946*5))</f>
        <v/>
      </c>
      <c r="AB946">
        <f>IF(E946="",0,NETWORKDAYS(E946,Controls!$B$36,Ref!$K$2:$K$42))</f>
        <v/>
      </c>
      <c r="AC946">
        <f>IF(AND(AA946&gt;0,AB946&gt;=Controls!$B$39*AA946),1,0)</f>
        <v/>
      </c>
      <c r="AD946">
        <f>IF(AND(E946&lt;&gt;"",E946&gt;=Controls!$B$37,E946&lt;=Controls!$B$38),1,0)</f>
        <v/>
      </c>
      <c r="AE946">
        <f>IF(IFERROR(VLOOKUP(D946,Controls!$A$64:$E$74,2,FALSE),"No")="Yes",1,0)</f>
        <v/>
      </c>
      <c r="AF946">
        <f>IF(IFERROR(VLOOKUP(D946,Controls!$A$64:$E$74,3,FALSE),"No")="Yes",1,0)</f>
        <v/>
      </c>
      <c r="AG946">
        <f>IF(IFERROR(VLOOKUP(D946,Controls!$A$64:$E$74,4,FALSE),"No")="Yes",1,0)</f>
        <v/>
      </c>
      <c r="AH946">
        <f>IF(IFERROR(VLOOKUP(D946,Controls!$A$64:$E$74,5,FALSE),"No")="Yes",1,0)</f>
        <v/>
      </c>
      <c r="AI946">
        <f>IF(ISNUMBER(MATCH(D946,Controls!$A$64:$A$74,0)),1,0)</f>
        <v/>
      </c>
      <c r="AJ946">
        <f>Q946-N946</f>
        <v/>
      </c>
      <c r="AK946">
        <f>IF(AE946=1,MAX(0,N946-Q946),0)</f>
        <v/>
      </c>
      <c r="AL946">
        <f>IF(OR(V946="",V946=0),0,N946/V946)</f>
        <v/>
      </c>
      <c r="AM946">
        <f>IF(OR(V946="",V946=0),0,1)</f>
        <v/>
      </c>
      <c r="AN946">
        <f>IF(OR(E946="",F946=""),0,NETWORKDAYS(E946,F946,Ref!$K$2:$K$42))</f>
        <v/>
      </c>
      <c r="AO946">
        <f>IF(L946="Renewal",1,0)</f>
        <v/>
      </c>
      <c r="AP946">
        <f>AC946*AD946</f>
        <v/>
      </c>
      <c r="AQ946">
        <f>IF(AND(G946&lt;&gt;"",'Historical Score'!$C$6&lt;&gt;""),IF(G946='Historical Score'!$C$6,1,0),0)</f>
        <v/>
      </c>
      <c r="AR946">
        <f>IF(AND(L946&lt;&gt;"",'Historical Score'!$C$5&lt;&gt;""),IF(L946='Historical Score'!$C$5,1,0),0)</f>
        <v/>
      </c>
      <c r="AS946">
        <f>IF(AND(Y946&lt;&gt;"",'Historical Score'!$C$7&lt;&gt;""),IF(Y946='Historical Score'!$C$7,1,0),0)</f>
        <v/>
      </c>
      <c r="AT946">
        <f>IF(AND(K946&lt;&gt;"",'Historical Score'!$C$8&lt;&gt;""),IF(K946='Historical Score'!$C$8,1,0),0)</f>
        <v/>
      </c>
      <c r="AU946">
        <f>IF(AND(J946&lt;&gt;"",'Historical Score'!$C$9&lt;&gt;""),IF(J946='Historical Score'!$C$9,1,0),0)</f>
        <v/>
      </c>
      <c r="AV946">
        <f>AR946*AS946*AQ946</f>
        <v/>
      </c>
      <c r="AW946">
        <f>AR946*AT946*AQ946</f>
        <v/>
      </c>
      <c r="AX946">
        <f>AR946*AS946</f>
        <v/>
      </c>
      <c r="AY946">
        <f>AR946*AT946</f>
        <v/>
      </c>
      <c r="AZ946">
        <f>AR946*AQ946</f>
        <v/>
      </c>
      <c r="BA946">
        <f>AR946</f>
        <v/>
      </c>
      <c r="BB946">
        <f>1</f>
        <v/>
      </c>
      <c r="BC946">
        <f>IF(AV946=1,1,IF(AW946=1,2,IF(AX946=1,3,IF(AY946=1,4,IF(AZ946=1,5,IF(BA946=1,6,7))))))</f>
        <v/>
      </c>
      <c r="BD946">
        <f>IF(AD946=1,CHOOSE('Historical Score'!$C$29,AV946,AW946,AX946,AY946,AZ946,BA946,BB946),0)</f>
        <v/>
      </c>
      <c r="BE946">
        <f>IF(BD946=1,COUNTIF($BD$2:BD946,1),"")</f>
        <v/>
      </c>
    </row>
    <row r="947">
      <c r="A947" t="inlineStr">
        <is>
          <t>5674185236</t>
        </is>
      </c>
      <c r="B947" t="inlineStr">
        <is>
          <t>3-B'S CONSTRUCTION, LLC</t>
        </is>
      </c>
      <c r="C947" t="inlineStr">
        <is>
          <t>3-B'S CONSTRUCTION, LLC</t>
        </is>
      </c>
      <c r="D947" t="inlineStr">
        <is>
          <t>Closed</t>
        </is>
      </c>
      <c r="E947" s="297" t="n">
        <v>46183</v>
      </c>
      <c r="F947" s="297" t="n">
        <v>46216</v>
      </c>
      <c r="G947" t="n">
        <v>3</v>
      </c>
      <c r="H947" t="inlineStr">
        <is>
          <t>1521</t>
        </is>
      </c>
      <c r="I947" t="inlineStr">
        <is>
          <t>15</t>
        </is>
      </c>
      <c r="J947" t="inlineStr">
        <is>
          <t>MI</t>
        </is>
      </c>
      <c r="K947" t="inlineStr">
        <is>
          <t>Fundwell</t>
        </is>
      </c>
      <c r="L947" t="inlineStr">
        <is>
          <t>New Deal</t>
        </is>
      </c>
      <c r="M947" s="298" t="n">
        <v>1.17008</v>
      </c>
      <c r="N947" s="299" t="n">
        <v>10000</v>
      </c>
      <c r="O947" s="299" t="n">
        <v>1250</v>
      </c>
      <c r="P947" s="299" t="n">
        <v>11700.8</v>
      </c>
      <c r="Q947" s="299" t="n">
        <v>11700.8</v>
      </c>
      <c r="R947" s="299" t="n">
        <v>0</v>
      </c>
      <c r="S947" s="300" t="n">
        <v>1</v>
      </c>
      <c r="T947" t="n">
        <v>20</v>
      </c>
      <c r="U947" t="n">
        <v>0</v>
      </c>
      <c r="V947" t="n">
        <v>78063.8</v>
      </c>
      <c r="W947" s="300" t="n">
        <v>0.0374</v>
      </c>
      <c r="X947" s="297" t="n">
        <v>42842</v>
      </c>
      <c r="Y947">
        <f>IF(I947="","No SIC",IFERROR(VLOOKUP(I947,Ref!$A$2:$B$65,2,FALSE),"Unclassified"))</f>
        <v/>
      </c>
      <c r="Z947">
        <f>IF(T947="","",IF(T947&lt;12,"Daily","Weekly"))</f>
        <v/>
      </c>
      <c r="AA947">
        <f>IF(T947="",0,IF(T947&lt;12,T947*Controls!$B$29,T947*5))</f>
        <v/>
      </c>
      <c r="AB947">
        <f>IF(E947="",0,NETWORKDAYS(E947,Controls!$B$36,Ref!$K$2:$K$42))</f>
        <v/>
      </c>
      <c r="AC947">
        <f>IF(AND(AA947&gt;0,AB947&gt;=Controls!$B$39*AA947),1,0)</f>
        <v/>
      </c>
      <c r="AD947">
        <f>IF(AND(E947&lt;&gt;"",E947&gt;=Controls!$B$37,E947&lt;=Controls!$B$38),1,0)</f>
        <v/>
      </c>
      <c r="AE947">
        <f>IF(IFERROR(VLOOKUP(D947,Controls!$A$64:$E$74,2,FALSE),"No")="Yes",1,0)</f>
        <v/>
      </c>
      <c r="AF947">
        <f>IF(IFERROR(VLOOKUP(D947,Controls!$A$64:$E$74,3,FALSE),"No")="Yes",1,0)</f>
        <v/>
      </c>
      <c r="AG947">
        <f>IF(IFERROR(VLOOKUP(D947,Controls!$A$64:$E$74,4,FALSE),"No")="Yes",1,0)</f>
        <v/>
      </c>
      <c r="AH947">
        <f>IF(IFERROR(VLOOKUP(D947,Controls!$A$64:$E$74,5,FALSE),"No")="Yes",1,0)</f>
        <v/>
      </c>
      <c r="AI947">
        <f>IF(ISNUMBER(MATCH(D947,Controls!$A$64:$A$74,0)),1,0)</f>
        <v/>
      </c>
      <c r="AJ947">
        <f>Q947-N947</f>
        <v/>
      </c>
      <c r="AK947">
        <f>IF(AE947=1,MAX(0,N947-Q947),0)</f>
        <v/>
      </c>
      <c r="AL947">
        <f>IF(OR(V947="",V947=0),0,N947/V947)</f>
        <v/>
      </c>
      <c r="AM947">
        <f>IF(OR(V947="",V947=0),0,1)</f>
        <v/>
      </c>
      <c r="AN947">
        <f>IF(OR(E947="",F947=""),0,NETWORKDAYS(E947,F947,Ref!$K$2:$K$42))</f>
        <v/>
      </c>
      <c r="AO947">
        <f>IF(L947="Renewal",1,0)</f>
        <v/>
      </c>
      <c r="AP947">
        <f>AC947*AD947</f>
        <v/>
      </c>
      <c r="AQ947">
        <f>IF(AND(G947&lt;&gt;"",'Historical Score'!$C$6&lt;&gt;""),IF(G947='Historical Score'!$C$6,1,0),0)</f>
        <v/>
      </c>
      <c r="AR947">
        <f>IF(AND(L947&lt;&gt;"",'Historical Score'!$C$5&lt;&gt;""),IF(L947='Historical Score'!$C$5,1,0),0)</f>
        <v/>
      </c>
      <c r="AS947">
        <f>IF(AND(Y947&lt;&gt;"",'Historical Score'!$C$7&lt;&gt;""),IF(Y947='Historical Score'!$C$7,1,0),0)</f>
        <v/>
      </c>
      <c r="AT947">
        <f>IF(AND(K947&lt;&gt;"",'Historical Score'!$C$8&lt;&gt;""),IF(K947='Historical Score'!$C$8,1,0),0)</f>
        <v/>
      </c>
      <c r="AU947">
        <f>IF(AND(J947&lt;&gt;"",'Historical Score'!$C$9&lt;&gt;""),IF(J947='Historical Score'!$C$9,1,0),0)</f>
        <v/>
      </c>
      <c r="AV947">
        <f>AR947*AS947*AQ947</f>
        <v/>
      </c>
      <c r="AW947">
        <f>AR947*AT947*AQ947</f>
        <v/>
      </c>
      <c r="AX947">
        <f>AR947*AS947</f>
        <v/>
      </c>
      <c r="AY947">
        <f>AR947*AT947</f>
        <v/>
      </c>
      <c r="AZ947">
        <f>AR947*AQ947</f>
        <v/>
      </c>
      <c r="BA947">
        <f>AR947</f>
        <v/>
      </c>
      <c r="BB947">
        <f>1</f>
        <v/>
      </c>
      <c r="BC947">
        <f>IF(AV947=1,1,IF(AW947=1,2,IF(AX947=1,3,IF(AY947=1,4,IF(AZ947=1,5,IF(BA947=1,6,7))))))</f>
        <v/>
      </c>
      <c r="BD947">
        <f>IF(AD947=1,CHOOSE('Historical Score'!$C$29,AV947,AW947,AX947,AY947,AZ947,BA947,BB947),0)</f>
        <v/>
      </c>
      <c r="BE947">
        <f>IF(BD947=1,COUNTIF($BD$2:BD947,1),"")</f>
        <v/>
      </c>
    </row>
    <row r="948">
      <c r="A948" t="inlineStr">
        <is>
          <t>5674185313</t>
        </is>
      </c>
      <c r="B948" t="inlineStr">
        <is>
          <t>BOWL OF FUN LANES LLC</t>
        </is>
      </c>
      <c r="C948" t="inlineStr">
        <is>
          <t>BOWL OF FUN LANES LLC</t>
        </is>
      </c>
      <c r="D948" t="inlineStr">
        <is>
          <t>Open</t>
        </is>
      </c>
      <c r="E948" s="297" t="n">
        <v>46184</v>
      </c>
      <c r="F948" s="297" t="n">
        <v>46248</v>
      </c>
      <c r="G948" t="n">
        <v>3</v>
      </c>
      <c r="H948" t="inlineStr">
        <is>
          <t>7933</t>
        </is>
      </c>
      <c r="I948" t="inlineStr">
        <is>
          <t>79</t>
        </is>
      </c>
      <c r="J948" t="inlineStr">
        <is>
          <t>FL</t>
        </is>
      </c>
      <c r="K948" t="inlineStr">
        <is>
          <t>United Secured Capital 8</t>
        </is>
      </c>
      <c r="L948" t="inlineStr">
        <is>
          <t>Renewal</t>
        </is>
      </c>
      <c r="M948" s="298" t="n">
        <v>1.47</v>
      </c>
      <c r="N948" s="299" t="n">
        <v>35000</v>
      </c>
      <c r="O948" s="299" t="n">
        <v>4550</v>
      </c>
      <c r="P948" s="299" t="n">
        <v>51450</v>
      </c>
      <c r="Q948" s="299" t="n">
        <v>15896.6</v>
      </c>
      <c r="R948" s="299" t="n">
        <v>35553.4</v>
      </c>
      <c r="S948" s="300" t="n">
        <v>0.308971817298348</v>
      </c>
      <c r="T948" t="n">
        <v>28</v>
      </c>
      <c r="U948" t="n">
        <v>1</v>
      </c>
      <c r="V948" t="n">
        <v>76345.67</v>
      </c>
      <c r="W948" s="300" t="n">
        <v>0.0963</v>
      </c>
      <c r="X948" s="297" t="n">
        <v>40880</v>
      </c>
      <c r="Y948">
        <f>IF(I948="","No SIC",IFERROR(VLOOKUP(I948,Ref!$A$2:$B$65,2,FALSE),"Unclassified"))</f>
        <v/>
      </c>
      <c r="Z948">
        <f>IF(T948="","",IF(T948&lt;12,"Daily","Weekly"))</f>
        <v/>
      </c>
      <c r="AA948">
        <f>IF(T948="",0,IF(T948&lt;12,T948*Controls!$B$29,T948*5))</f>
        <v/>
      </c>
      <c r="AB948">
        <f>IF(E948="",0,NETWORKDAYS(E948,Controls!$B$36,Ref!$K$2:$K$42))</f>
        <v/>
      </c>
      <c r="AC948">
        <f>IF(AND(AA948&gt;0,AB948&gt;=Controls!$B$39*AA948),1,0)</f>
        <v/>
      </c>
      <c r="AD948">
        <f>IF(AND(E948&lt;&gt;"",E948&gt;=Controls!$B$37,E948&lt;=Controls!$B$38),1,0)</f>
        <v/>
      </c>
      <c r="AE948">
        <f>IF(IFERROR(VLOOKUP(D948,Controls!$A$64:$E$74,2,FALSE),"No")="Yes",1,0)</f>
        <v/>
      </c>
      <c r="AF948">
        <f>IF(IFERROR(VLOOKUP(D948,Controls!$A$64:$E$74,3,FALSE),"No")="Yes",1,0)</f>
        <v/>
      </c>
      <c r="AG948">
        <f>IF(IFERROR(VLOOKUP(D948,Controls!$A$64:$E$74,4,FALSE),"No")="Yes",1,0)</f>
        <v/>
      </c>
      <c r="AH948">
        <f>IF(IFERROR(VLOOKUP(D948,Controls!$A$64:$E$74,5,FALSE),"No")="Yes",1,0)</f>
        <v/>
      </c>
      <c r="AI948">
        <f>IF(ISNUMBER(MATCH(D948,Controls!$A$64:$A$74,0)),1,0)</f>
        <v/>
      </c>
      <c r="AJ948">
        <f>Q948-N948</f>
        <v/>
      </c>
      <c r="AK948">
        <f>IF(AE948=1,MAX(0,N948-Q948),0)</f>
        <v/>
      </c>
      <c r="AL948">
        <f>IF(OR(V948="",V948=0),0,N948/V948)</f>
        <v/>
      </c>
      <c r="AM948">
        <f>IF(OR(V948="",V948=0),0,1)</f>
        <v/>
      </c>
      <c r="AN948">
        <f>IF(OR(E948="",F948=""),0,NETWORKDAYS(E948,F948,Ref!$K$2:$K$42))</f>
        <v/>
      </c>
      <c r="AO948">
        <f>IF(L948="Renewal",1,0)</f>
        <v/>
      </c>
      <c r="AP948">
        <f>AC948*AD948</f>
        <v/>
      </c>
      <c r="AQ948">
        <f>IF(AND(G948&lt;&gt;"",'Historical Score'!$C$6&lt;&gt;""),IF(G948='Historical Score'!$C$6,1,0),0)</f>
        <v/>
      </c>
      <c r="AR948">
        <f>IF(AND(L948&lt;&gt;"",'Historical Score'!$C$5&lt;&gt;""),IF(L948='Historical Score'!$C$5,1,0),0)</f>
        <v/>
      </c>
      <c r="AS948">
        <f>IF(AND(Y948&lt;&gt;"",'Historical Score'!$C$7&lt;&gt;""),IF(Y948='Historical Score'!$C$7,1,0),0)</f>
        <v/>
      </c>
      <c r="AT948">
        <f>IF(AND(K948&lt;&gt;"",'Historical Score'!$C$8&lt;&gt;""),IF(K948='Historical Score'!$C$8,1,0),0)</f>
        <v/>
      </c>
      <c r="AU948">
        <f>IF(AND(J948&lt;&gt;"",'Historical Score'!$C$9&lt;&gt;""),IF(J948='Historical Score'!$C$9,1,0),0)</f>
        <v/>
      </c>
      <c r="AV948">
        <f>AR948*AS948*AQ948</f>
        <v/>
      </c>
      <c r="AW948">
        <f>AR948*AT948*AQ948</f>
        <v/>
      </c>
      <c r="AX948">
        <f>AR948*AS948</f>
        <v/>
      </c>
      <c r="AY948">
        <f>AR948*AT948</f>
        <v/>
      </c>
      <c r="AZ948">
        <f>AR948*AQ948</f>
        <v/>
      </c>
      <c r="BA948">
        <f>AR948</f>
        <v/>
      </c>
      <c r="BB948">
        <f>1</f>
        <v/>
      </c>
      <c r="BC948">
        <f>IF(AV948=1,1,IF(AW948=1,2,IF(AX948=1,3,IF(AY948=1,4,IF(AZ948=1,5,IF(BA948=1,6,7))))))</f>
        <v/>
      </c>
      <c r="BD948">
        <f>IF(AD948=1,CHOOSE('Historical Score'!$C$29,AV948,AW948,AX948,AY948,AZ948,BA948,BB948),0)</f>
        <v/>
      </c>
      <c r="BE948">
        <f>IF(BD948=1,COUNTIF($BD$2:BD948,1),"")</f>
        <v/>
      </c>
    </row>
    <row r="949">
      <c r="A949" t="inlineStr">
        <is>
          <t>5674185314</t>
        </is>
      </c>
      <c r="B949" t="inlineStr">
        <is>
          <t>Southern Panc Eat Good LLC DBA Southern Pancake House</t>
        </is>
      </c>
      <c r="C949" t="inlineStr">
        <is>
          <t>Let'em Eat Good LLC</t>
        </is>
      </c>
      <c r="D949" t="inlineStr">
        <is>
          <t>Open</t>
        </is>
      </c>
      <c r="E949" s="297" t="n">
        <v>46184</v>
      </c>
      <c r="F949" s="297" t="n">
        <v>46253</v>
      </c>
      <c r="G949" t="n">
        <v>3</v>
      </c>
      <c r="H949" t="inlineStr">
        <is>
          <t>5812</t>
        </is>
      </c>
      <c r="I949" t="inlineStr">
        <is>
          <t>58</t>
        </is>
      </c>
      <c r="J949" t="inlineStr">
        <is>
          <t>VA</t>
        </is>
      </c>
      <c r="K949" t="inlineStr">
        <is>
          <t>Premium Capital (AMRK)</t>
        </is>
      </c>
      <c r="L949" t="inlineStr">
        <is>
          <t>Renewal</t>
        </is>
      </c>
      <c r="M949" s="298" t="n">
        <v>1.45</v>
      </c>
      <c r="N949" s="299" t="n">
        <v>65000</v>
      </c>
      <c r="O949" s="299" t="n">
        <v>7800</v>
      </c>
      <c r="P949" s="299" t="n">
        <v>94250</v>
      </c>
      <c r="Q949" s="299" t="n">
        <v>26055.39</v>
      </c>
      <c r="R949" s="299" t="n">
        <v>68194.61</v>
      </c>
      <c r="S949" s="300" t="n">
        <v>0.27644976127321</v>
      </c>
      <c r="T949" t="n">
        <v>5.574</v>
      </c>
      <c r="U949" t="n">
        <v>0</v>
      </c>
      <c r="V949" t="n">
        <v>73218.44</v>
      </c>
      <c r="W949" s="300" t="n">
        <v>0.159</v>
      </c>
      <c r="X949" s="297" t="n"/>
      <c r="Y949">
        <f>IF(I949="","No SIC",IFERROR(VLOOKUP(I949,Ref!$A$2:$B$65,2,FALSE),"Unclassified"))</f>
        <v/>
      </c>
      <c r="Z949">
        <f>IF(T949="","",IF(T949&lt;12,"Daily","Weekly"))</f>
        <v/>
      </c>
      <c r="AA949">
        <f>IF(T949="",0,IF(T949&lt;12,T949*Controls!$B$29,T949*5))</f>
        <v/>
      </c>
      <c r="AB949">
        <f>IF(E949="",0,NETWORKDAYS(E949,Controls!$B$36,Ref!$K$2:$K$42))</f>
        <v/>
      </c>
      <c r="AC949">
        <f>IF(AND(AA949&gt;0,AB949&gt;=Controls!$B$39*AA949),1,0)</f>
        <v/>
      </c>
      <c r="AD949">
        <f>IF(AND(E949&lt;&gt;"",E949&gt;=Controls!$B$37,E949&lt;=Controls!$B$38),1,0)</f>
        <v/>
      </c>
      <c r="AE949">
        <f>IF(IFERROR(VLOOKUP(D949,Controls!$A$64:$E$74,2,FALSE),"No")="Yes",1,0)</f>
        <v/>
      </c>
      <c r="AF949">
        <f>IF(IFERROR(VLOOKUP(D949,Controls!$A$64:$E$74,3,FALSE),"No")="Yes",1,0)</f>
        <v/>
      </c>
      <c r="AG949">
        <f>IF(IFERROR(VLOOKUP(D949,Controls!$A$64:$E$74,4,FALSE),"No")="Yes",1,0)</f>
        <v/>
      </c>
      <c r="AH949">
        <f>IF(IFERROR(VLOOKUP(D949,Controls!$A$64:$E$74,5,FALSE),"No")="Yes",1,0)</f>
        <v/>
      </c>
      <c r="AI949">
        <f>IF(ISNUMBER(MATCH(D949,Controls!$A$64:$A$74,0)),1,0)</f>
        <v/>
      </c>
      <c r="AJ949">
        <f>Q949-N949</f>
        <v/>
      </c>
      <c r="AK949">
        <f>IF(AE949=1,MAX(0,N949-Q949),0)</f>
        <v/>
      </c>
      <c r="AL949">
        <f>IF(OR(V949="",V949=0),0,N949/V949)</f>
        <v/>
      </c>
      <c r="AM949">
        <f>IF(OR(V949="",V949=0),0,1)</f>
        <v/>
      </c>
      <c r="AN949">
        <f>IF(OR(E949="",F949=""),0,NETWORKDAYS(E949,F949,Ref!$K$2:$K$42))</f>
        <v/>
      </c>
      <c r="AO949">
        <f>IF(L949="Renewal",1,0)</f>
        <v/>
      </c>
      <c r="AP949">
        <f>AC949*AD949</f>
        <v/>
      </c>
      <c r="AQ949">
        <f>IF(AND(G949&lt;&gt;"",'Historical Score'!$C$6&lt;&gt;""),IF(G949='Historical Score'!$C$6,1,0),0)</f>
        <v/>
      </c>
      <c r="AR949">
        <f>IF(AND(L949&lt;&gt;"",'Historical Score'!$C$5&lt;&gt;""),IF(L949='Historical Score'!$C$5,1,0),0)</f>
        <v/>
      </c>
      <c r="AS949">
        <f>IF(AND(Y949&lt;&gt;"",'Historical Score'!$C$7&lt;&gt;""),IF(Y949='Historical Score'!$C$7,1,0),0)</f>
        <v/>
      </c>
      <c r="AT949">
        <f>IF(AND(K949&lt;&gt;"",'Historical Score'!$C$8&lt;&gt;""),IF(K949='Historical Score'!$C$8,1,0),0)</f>
        <v/>
      </c>
      <c r="AU949">
        <f>IF(AND(J949&lt;&gt;"",'Historical Score'!$C$9&lt;&gt;""),IF(J949='Historical Score'!$C$9,1,0),0)</f>
        <v/>
      </c>
      <c r="AV949">
        <f>AR949*AS949*AQ949</f>
        <v/>
      </c>
      <c r="AW949">
        <f>AR949*AT949*AQ949</f>
        <v/>
      </c>
      <c r="AX949">
        <f>AR949*AS949</f>
        <v/>
      </c>
      <c r="AY949">
        <f>AR949*AT949</f>
        <v/>
      </c>
      <c r="AZ949">
        <f>AR949*AQ949</f>
        <v/>
      </c>
      <c r="BA949">
        <f>AR949</f>
        <v/>
      </c>
      <c r="BB949">
        <f>1</f>
        <v/>
      </c>
      <c r="BC949">
        <f>IF(AV949=1,1,IF(AW949=1,2,IF(AX949=1,3,IF(AY949=1,4,IF(AZ949=1,5,IF(BA949=1,6,7))))))</f>
        <v/>
      </c>
      <c r="BD949">
        <f>IF(AD949=1,CHOOSE('Historical Score'!$C$29,AV949,AW949,AX949,AY949,AZ949,BA949,BB949),0)</f>
        <v/>
      </c>
      <c r="BE949">
        <f>IF(BD949=1,COUNTIF($BD$2:BD949,1),"")</f>
        <v/>
      </c>
    </row>
    <row r="950">
      <c r="A950" t="inlineStr">
        <is>
          <t>5674185320</t>
        </is>
      </c>
      <c r="B950" t="inlineStr">
        <is>
          <t>CHEF ERICS BEST INC</t>
        </is>
      </c>
      <c r="C950" t="inlineStr">
        <is>
          <t>CHEF ERICS BEST INC</t>
        </is>
      </c>
      <c r="D950" t="inlineStr">
        <is>
          <t>Open</t>
        </is>
      </c>
      <c r="E950" s="297" t="n">
        <v>46184</v>
      </c>
      <c r="F950" s="297" t="n">
        <v>46248</v>
      </c>
      <c r="G950" t="n">
        <v>3</v>
      </c>
      <c r="H950" t="inlineStr">
        <is>
          <t>5812</t>
        </is>
      </c>
      <c r="I950" t="inlineStr">
        <is>
          <t>58</t>
        </is>
      </c>
      <c r="J950" t="inlineStr">
        <is>
          <t>FL</t>
        </is>
      </c>
      <c r="K950" t="inlineStr">
        <is>
          <t>United Secured Capital 8</t>
        </is>
      </c>
      <c r="L950" t="inlineStr">
        <is>
          <t>New Deal</t>
        </is>
      </c>
      <c r="M950" s="298" t="n">
        <v>1.49</v>
      </c>
      <c r="N950" s="299" t="n">
        <v>15000</v>
      </c>
      <c r="O950" s="299" t="n">
        <v>2100</v>
      </c>
      <c r="P950" s="299" t="n">
        <v>22350</v>
      </c>
      <c r="Q950" s="299" t="n">
        <v>5587.45</v>
      </c>
      <c r="R950" s="299" t="n">
        <v>16762.55</v>
      </c>
      <c r="S950" s="300" t="n">
        <v>0.249997762863535</v>
      </c>
      <c r="T950" t="n">
        <v>20</v>
      </c>
      <c r="U950" t="n">
        <v>4</v>
      </c>
      <c r="V950" t="n">
        <v>33992.18</v>
      </c>
      <c r="W950" s="300" t="n">
        <v>0.1315</v>
      </c>
      <c r="X950" s="297" t="n">
        <v>37841</v>
      </c>
      <c r="Y950">
        <f>IF(I950="","No SIC",IFERROR(VLOOKUP(I950,Ref!$A$2:$B$65,2,FALSE),"Unclassified"))</f>
        <v/>
      </c>
      <c r="Z950">
        <f>IF(T950="","",IF(T950&lt;12,"Daily","Weekly"))</f>
        <v/>
      </c>
      <c r="AA950">
        <f>IF(T950="",0,IF(T950&lt;12,T950*Controls!$B$29,T950*5))</f>
        <v/>
      </c>
      <c r="AB950">
        <f>IF(E950="",0,NETWORKDAYS(E950,Controls!$B$36,Ref!$K$2:$K$42))</f>
        <v/>
      </c>
      <c r="AC950">
        <f>IF(AND(AA950&gt;0,AB950&gt;=Controls!$B$39*AA950),1,0)</f>
        <v/>
      </c>
      <c r="AD950">
        <f>IF(AND(E950&lt;&gt;"",E950&gt;=Controls!$B$37,E950&lt;=Controls!$B$38),1,0)</f>
        <v/>
      </c>
      <c r="AE950">
        <f>IF(IFERROR(VLOOKUP(D950,Controls!$A$64:$E$74,2,FALSE),"No")="Yes",1,0)</f>
        <v/>
      </c>
      <c r="AF950">
        <f>IF(IFERROR(VLOOKUP(D950,Controls!$A$64:$E$74,3,FALSE),"No")="Yes",1,0)</f>
        <v/>
      </c>
      <c r="AG950">
        <f>IF(IFERROR(VLOOKUP(D950,Controls!$A$64:$E$74,4,FALSE),"No")="Yes",1,0)</f>
        <v/>
      </c>
      <c r="AH950">
        <f>IF(IFERROR(VLOOKUP(D950,Controls!$A$64:$E$74,5,FALSE),"No")="Yes",1,0)</f>
        <v/>
      </c>
      <c r="AI950">
        <f>IF(ISNUMBER(MATCH(D950,Controls!$A$64:$A$74,0)),1,0)</f>
        <v/>
      </c>
      <c r="AJ950">
        <f>Q950-N950</f>
        <v/>
      </c>
      <c r="AK950">
        <f>IF(AE950=1,MAX(0,N950-Q950),0)</f>
        <v/>
      </c>
      <c r="AL950">
        <f>IF(OR(V950="",V950=0),0,N950/V950)</f>
        <v/>
      </c>
      <c r="AM950">
        <f>IF(OR(V950="",V950=0),0,1)</f>
        <v/>
      </c>
      <c r="AN950">
        <f>IF(OR(E950="",F950=""),0,NETWORKDAYS(E950,F950,Ref!$K$2:$K$42))</f>
        <v/>
      </c>
      <c r="AO950">
        <f>IF(L950="Renewal",1,0)</f>
        <v/>
      </c>
      <c r="AP950">
        <f>AC950*AD950</f>
        <v/>
      </c>
      <c r="AQ950">
        <f>IF(AND(G950&lt;&gt;"",'Historical Score'!$C$6&lt;&gt;""),IF(G950='Historical Score'!$C$6,1,0),0)</f>
        <v/>
      </c>
      <c r="AR950">
        <f>IF(AND(L950&lt;&gt;"",'Historical Score'!$C$5&lt;&gt;""),IF(L950='Historical Score'!$C$5,1,0),0)</f>
        <v/>
      </c>
      <c r="AS950">
        <f>IF(AND(Y950&lt;&gt;"",'Historical Score'!$C$7&lt;&gt;""),IF(Y950='Historical Score'!$C$7,1,0),0)</f>
        <v/>
      </c>
      <c r="AT950">
        <f>IF(AND(K950&lt;&gt;"",'Historical Score'!$C$8&lt;&gt;""),IF(K950='Historical Score'!$C$8,1,0),0)</f>
        <v/>
      </c>
      <c r="AU950">
        <f>IF(AND(J950&lt;&gt;"",'Historical Score'!$C$9&lt;&gt;""),IF(J950='Historical Score'!$C$9,1,0),0)</f>
        <v/>
      </c>
      <c r="AV950">
        <f>AR950*AS950*AQ950</f>
        <v/>
      </c>
      <c r="AW950">
        <f>AR950*AT950*AQ950</f>
        <v/>
      </c>
      <c r="AX950">
        <f>AR950*AS950</f>
        <v/>
      </c>
      <c r="AY950">
        <f>AR950*AT950</f>
        <v/>
      </c>
      <c r="AZ950">
        <f>AR950*AQ950</f>
        <v/>
      </c>
      <c r="BA950">
        <f>AR950</f>
        <v/>
      </c>
      <c r="BB950">
        <f>1</f>
        <v/>
      </c>
      <c r="BC950">
        <f>IF(AV950=1,1,IF(AW950=1,2,IF(AX950=1,3,IF(AY950=1,4,IF(AZ950=1,5,IF(BA950=1,6,7))))))</f>
        <v/>
      </c>
      <c r="BD950">
        <f>IF(AD950=1,CHOOSE('Historical Score'!$C$29,AV950,AW950,AX950,AY950,AZ950,BA950,BB950),0)</f>
        <v/>
      </c>
      <c r="BE950">
        <f>IF(BD950=1,COUNTIF($BD$2:BD950,1),"")</f>
        <v/>
      </c>
    </row>
    <row r="951">
      <c r="A951" t="inlineStr">
        <is>
          <t>5674185325</t>
        </is>
      </c>
      <c r="B951" t="inlineStr">
        <is>
          <t>Rudy LLC</t>
        </is>
      </c>
      <c r="C951" t="inlineStr">
        <is>
          <t>Rudy LLC</t>
        </is>
      </c>
      <c r="D951" t="inlineStr">
        <is>
          <t>Open</t>
        </is>
      </c>
      <c r="E951" s="297" t="n">
        <v>46184</v>
      </c>
      <c r="F951" s="297" t="n">
        <v>46251</v>
      </c>
      <c r="G951" t="n">
        <v>3</v>
      </c>
      <c r="H951" t="inlineStr">
        <is>
          <t>5999</t>
        </is>
      </c>
      <c r="I951" t="inlineStr">
        <is>
          <t>59</t>
        </is>
      </c>
      <c r="J951" t="inlineStr">
        <is>
          <t>IN</t>
        </is>
      </c>
      <c r="K951" t="inlineStr">
        <is>
          <t>Clover Capital</t>
        </is>
      </c>
      <c r="L951" t="inlineStr">
        <is>
          <t>New Deal</t>
        </is>
      </c>
      <c r="M951" s="298" t="n">
        <v>1.49</v>
      </c>
      <c r="N951" s="299" t="n">
        <v>25000</v>
      </c>
      <c r="O951" s="299" t="n">
        <v>3500</v>
      </c>
      <c r="P951" s="299" t="n">
        <v>37250</v>
      </c>
      <c r="Q951" s="299" t="n">
        <v>10864.91</v>
      </c>
      <c r="R951" s="299" t="n">
        <v>26385.09</v>
      </c>
      <c r="S951" s="300" t="n">
        <v>0.291675436241611</v>
      </c>
      <c r="T951" t="n">
        <v>24</v>
      </c>
      <c r="U951" t="n">
        <v>4</v>
      </c>
      <c r="V951" t="n">
        <v>53246.41</v>
      </c>
      <c r="W951" s="300" t="n">
        <v>0.1166</v>
      </c>
      <c r="X951" s="297" t="n">
        <v>41134</v>
      </c>
      <c r="Y951">
        <f>IF(I951="","No SIC",IFERROR(VLOOKUP(I951,Ref!$A$2:$B$65,2,FALSE),"Unclassified"))</f>
        <v/>
      </c>
      <c r="Z951">
        <f>IF(T951="","",IF(T951&lt;12,"Daily","Weekly"))</f>
        <v/>
      </c>
      <c r="AA951">
        <f>IF(T951="",0,IF(T951&lt;12,T951*Controls!$B$29,T951*5))</f>
        <v/>
      </c>
      <c r="AB951">
        <f>IF(E951="",0,NETWORKDAYS(E951,Controls!$B$36,Ref!$K$2:$K$42))</f>
        <v/>
      </c>
      <c r="AC951">
        <f>IF(AND(AA951&gt;0,AB951&gt;=Controls!$B$39*AA951),1,0)</f>
        <v/>
      </c>
      <c r="AD951">
        <f>IF(AND(E951&lt;&gt;"",E951&gt;=Controls!$B$37,E951&lt;=Controls!$B$38),1,0)</f>
        <v/>
      </c>
      <c r="AE951">
        <f>IF(IFERROR(VLOOKUP(D951,Controls!$A$64:$E$74,2,FALSE),"No")="Yes",1,0)</f>
        <v/>
      </c>
      <c r="AF951">
        <f>IF(IFERROR(VLOOKUP(D951,Controls!$A$64:$E$74,3,FALSE),"No")="Yes",1,0)</f>
        <v/>
      </c>
      <c r="AG951">
        <f>IF(IFERROR(VLOOKUP(D951,Controls!$A$64:$E$74,4,FALSE),"No")="Yes",1,0)</f>
        <v/>
      </c>
      <c r="AH951">
        <f>IF(IFERROR(VLOOKUP(D951,Controls!$A$64:$E$74,5,FALSE),"No")="Yes",1,0)</f>
        <v/>
      </c>
      <c r="AI951">
        <f>IF(ISNUMBER(MATCH(D951,Controls!$A$64:$A$74,0)),1,0)</f>
        <v/>
      </c>
      <c r="AJ951">
        <f>Q951-N951</f>
        <v/>
      </c>
      <c r="AK951">
        <f>IF(AE951=1,MAX(0,N951-Q951),0)</f>
        <v/>
      </c>
      <c r="AL951">
        <f>IF(OR(V951="",V951=0),0,N951/V951)</f>
        <v/>
      </c>
      <c r="AM951">
        <f>IF(OR(V951="",V951=0),0,1)</f>
        <v/>
      </c>
      <c r="AN951">
        <f>IF(OR(E951="",F951=""),0,NETWORKDAYS(E951,F951,Ref!$K$2:$K$42))</f>
        <v/>
      </c>
      <c r="AO951">
        <f>IF(L951="Renewal",1,0)</f>
        <v/>
      </c>
      <c r="AP951">
        <f>AC951*AD951</f>
        <v/>
      </c>
      <c r="AQ951">
        <f>IF(AND(G951&lt;&gt;"",'Historical Score'!$C$6&lt;&gt;""),IF(G951='Historical Score'!$C$6,1,0),0)</f>
        <v/>
      </c>
      <c r="AR951">
        <f>IF(AND(L951&lt;&gt;"",'Historical Score'!$C$5&lt;&gt;""),IF(L951='Historical Score'!$C$5,1,0),0)</f>
        <v/>
      </c>
      <c r="AS951">
        <f>IF(AND(Y951&lt;&gt;"",'Historical Score'!$C$7&lt;&gt;""),IF(Y951='Historical Score'!$C$7,1,0),0)</f>
        <v/>
      </c>
      <c r="AT951">
        <f>IF(AND(K951&lt;&gt;"",'Historical Score'!$C$8&lt;&gt;""),IF(K951='Historical Score'!$C$8,1,0),0)</f>
        <v/>
      </c>
      <c r="AU951">
        <f>IF(AND(J951&lt;&gt;"",'Historical Score'!$C$9&lt;&gt;""),IF(J951='Historical Score'!$C$9,1,0),0)</f>
        <v/>
      </c>
      <c r="AV951">
        <f>AR951*AS951*AQ951</f>
        <v/>
      </c>
      <c r="AW951">
        <f>AR951*AT951*AQ951</f>
        <v/>
      </c>
      <c r="AX951">
        <f>AR951*AS951</f>
        <v/>
      </c>
      <c r="AY951">
        <f>AR951*AT951</f>
        <v/>
      </c>
      <c r="AZ951">
        <f>AR951*AQ951</f>
        <v/>
      </c>
      <c r="BA951">
        <f>AR951</f>
        <v/>
      </c>
      <c r="BB951">
        <f>1</f>
        <v/>
      </c>
      <c r="BC951">
        <f>IF(AV951=1,1,IF(AW951=1,2,IF(AX951=1,3,IF(AY951=1,4,IF(AZ951=1,5,IF(BA951=1,6,7))))))</f>
        <v/>
      </c>
      <c r="BD951">
        <f>IF(AD951=1,CHOOSE('Historical Score'!$C$29,AV951,AW951,AX951,AY951,AZ951,BA951,BB951),0)</f>
        <v/>
      </c>
      <c r="BE951">
        <f>IF(BD951=1,COUNTIF($BD$2:BD951,1),"")</f>
        <v/>
      </c>
    </row>
    <row r="952">
      <c r="A952" t="inlineStr">
        <is>
          <t>5674185368</t>
        </is>
      </c>
      <c r="B952" t="inlineStr">
        <is>
          <t>GATEWAY COMICS AND TOYS</t>
        </is>
      </c>
      <c r="C952" t="inlineStr">
        <is>
          <t>NOVA GATEWAY GROUP LLC , EDWARD P SANDERSON</t>
        </is>
      </c>
      <c r="D952" t="inlineStr">
        <is>
          <t>Open</t>
        </is>
      </c>
      <c r="E952" s="297" t="n">
        <v>46185</v>
      </c>
      <c r="F952" s="297" t="n">
        <v>46248</v>
      </c>
      <c r="G952" t="n">
        <v>1</v>
      </c>
      <c r="H952" t="inlineStr">
        <is>
          <t>5942</t>
        </is>
      </c>
      <c r="I952" t="inlineStr">
        <is>
          <t>59</t>
        </is>
      </c>
      <c r="J952" t="inlineStr">
        <is>
          <t>VA</t>
        </is>
      </c>
      <c r="K952" t="inlineStr">
        <is>
          <t>Financity</t>
        </is>
      </c>
      <c r="L952" t="inlineStr">
        <is>
          <t>New Deal</t>
        </is>
      </c>
      <c r="M952" s="298" t="n">
        <v>1.49</v>
      </c>
      <c r="N952" s="299" t="n">
        <v>75000</v>
      </c>
      <c r="O952" s="299" t="n">
        <v>10500</v>
      </c>
      <c r="P952" s="299" t="n">
        <v>111750</v>
      </c>
      <c r="Q952" s="299" t="n">
        <v>35910</v>
      </c>
      <c r="R952" s="299" t="n">
        <v>75840</v>
      </c>
      <c r="S952" s="300" t="n">
        <v>0.321342281879195</v>
      </c>
      <c r="T952" t="n">
        <v>28</v>
      </c>
      <c r="U952" t="n">
        <v>0</v>
      </c>
      <c r="V952" t="n">
        <v>91829.59</v>
      </c>
      <c r="W952" s="300" t="n">
        <v>0.1738</v>
      </c>
      <c r="X952" s="297" t="n">
        <v>35496</v>
      </c>
      <c r="Y952">
        <f>IF(I952="","No SIC",IFERROR(VLOOKUP(I952,Ref!$A$2:$B$65,2,FALSE),"Unclassified"))</f>
        <v/>
      </c>
      <c r="Z952">
        <f>IF(T952="","",IF(T952&lt;12,"Daily","Weekly"))</f>
        <v/>
      </c>
      <c r="AA952">
        <f>IF(T952="",0,IF(T952&lt;12,T952*Controls!$B$29,T952*5))</f>
        <v/>
      </c>
      <c r="AB952">
        <f>IF(E952="",0,NETWORKDAYS(E952,Controls!$B$36,Ref!$K$2:$K$42))</f>
        <v/>
      </c>
      <c r="AC952">
        <f>IF(AND(AA952&gt;0,AB952&gt;=Controls!$B$39*AA952),1,0)</f>
        <v/>
      </c>
      <c r="AD952">
        <f>IF(AND(E952&lt;&gt;"",E952&gt;=Controls!$B$37,E952&lt;=Controls!$B$38),1,0)</f>
        <v/>
      </c>
      <c r="AE952">
        <f>IF(IFERROR(VLOOKUP(D952,Controls!$A$64:$E$74,2,FALSE),"No")="Yes",1,0)</f>
        <v/>
      </c>
      <c r="AF952">
        <f>IF(IFERROR(VLOOKUP(D952,Controls!$A$64:$E$74,3,FALSE),"No")="Yes",1,0)</f>
        <v/>
      </c>
      <c r="AG952">
        <f>IF(IFERROR(VLOOKUP(D952,Controls!$A$64:$E$74,4,FALSE),"No")="Yes",1,0)</f>
        <v/>
      </c>
      <c r="AH952">
        <f>IF(IFERROR(VLOOKUP(D952,Controls!$A$64:$E$74,5,FALSE),"No")="Yes",1,0)</f>
        <v/>
      </c>
      <c r="AI952">
        <f>IF(ISNUMBER(MATCH(D952,Controls!$A$64:$A$74,0)),1,0)</f>
        <v/>
      </c>
      <c r="AJ952">
        <f>Q952-N952</f>
        <v/>
      </c>
      <c r="AK952">
        <f>IF(AE952=1,MAX(0,N952-Q952),0)</f>
        <v/>
      </c>
      <c r="AL952">
        <f>IF(OR(V952="",V952=0),0,N952/V952)</f>
        <v/>
      </c>
      <c r="AM952">
        <f>IF(OR(V952="",V952=0),0,1)</f>
        <v/>
      </c>
      <c r="AN952">
        <f>IF(OR(E952="",F952=""),0,NETWORKDAYS(E952,F952,Ref!$K$2:$K$42))</f>
        <v/>
      </c>
      <c r="AO952">
        <f>IF(L952="Renewal",1,0)</f>
        <v/>
      </c>
      <c r="AP952">
        <f>AC952*AD952</f>
        <v/>
      </c>
      <c r="AQ952">
        <f>IF(AND(G952&lt;&gt;"",'Historical Score'!$C$6&lt;&gt;""),IF(G952='Historical Score'!$C$6,1,0),0)</f>
        <v/>
      </c>
      <c r="AR952">
        <f>IF(AND(L952&lt;&gt;"",'Historical Score'!$C$5&lt;&gt;""),IF(L952='Historical Score'!$C$5,1,0),0)</f>
        <v/>
      </c>
      <c r="AS952">
        <f>IF(AND(Y952&lt;&gt;"",'Historical Score'!$C$7&lt;&gt;""),IF(Y952='Historical Score'!$C$7,1,0),0)</f>
        <v/>
      </c>
      <c r="AT952">
        <f>IF(AND(K952&lt;&gt;"",'Historical Score'!$C$8&lt;&gt;""),IF(K952='Historical Score'!$C$8,1,0),0)</f>
        <v/>
      </c>
      <c r="AU952">
        <f>IF(AND(J952&lt;&gt;"",'Historical Score'!$C$9&lt;&gt;""),IF(J952='Historical Score'!$C$9,1,0),0)</f>
        <v/>
      </c>
      <c r="AV952">
        <f>AR952*AS952*AQ952</f>
        <v/>
      </c>
      <c r="AW952">
        <f>AR952*AT952*AQ952</f>
        <v/>
      </c>
      <c r="AX952">
        <f>AR952*AS952</f>
        <v/>
      </c>
      <c r="AY952">
        <f>AR952*AT952</f>
        <v/>
      </c>
      <c r="AZ952">
        <f>AR952*AQ952</f>
        <v/>
      </c>
      <c r="BA952">
        <f>AR952</f>
        <v/>
      </c>
      <c r="BB952">
        <f>1</f>
        <v/>
      </c>
      <c r="BC952">
        <f>IF(AV952=1,1,IF(AW952=1,2,IF(AX952=1,3,IF(AY952=1,4,IF(AZ952=1,5,IF(BA952=1,6,7))))))</f>
        <v/>
      </c>
      <c r="BD952">
        <f>IF(AD952=1,CHOOSE('Historical Score'!$C$29,AV952,AW952,AX952,AY952,AZ952,BA952,BB952),0)</f>
        <v/>
      </c>
      <c r="BE952">
        <f>IF(BD952=1,COUNTIF($BD$2:BD952,1),"")</f>
        <v/>
      </c>
    </row>
    <row r="953">
      <c r="A953" t="inlineStr">
        <is>
          <t>5674185371</t>
        </is>
      </c>
      <c r="B953" t="inlineStr">
        <is>
          <t>Bamboo House Restaurant LLC</t>
        </is>
      </c>
      <c r="C953" t="inlineStr">
        <is>
          <t>Bamboo House Restaurant LLC</t>
        </is>
      </c>
      <c r="D953" t="inlineStr">
        <is>
          <t>Open</t>
        </is>
      </c>
      <c r="E953" s="297" t="n">
        <v>46185</v>
      </c>
      <c r="F953" s="297" t="n">
        <v>46248</v>
      </c>
      <c r="G953" t="n">
        <v>3</v>
      </c>
      <c r="H953" t="inlineStr">
        <is>
          <t>5812</t>
        </is>
      </c>
      <c r="I953" t="inlineStr">
        <is>
          <t>58</t>
        </is>
      </c>
      <c r="J953" t="inlineStr">
        <is>
          <t>MA</t>
        </is>
      </c>
      <c r="K953" t="inlineStr">
        <is>
          <t>alvara capital</t>
        </is>
      </c>
      <c r="L953" t="inlineStr">
        <is>
          <t>New Deal</t>
        </is>
      </c>
      <c r="M953" s="298" t="n">
        <v>1.49</v>
      </c>
      <c r="N953" s="299" t="n">
        <v>40000</v>
      </c>
      <c r="O953" s="299" t="n">
        <v>5600</v>
      </c>
      <c r="P953" s="299" t="n">
        <v>59600</v>
      </c>
      <c r="Q953" s="299" t="n">
        <v>22342.5</v>
      </c>
      <c r="R953" s="299" t="n">
        <v>37257.5</v>
      </c>
      <c r="S953" s="300" t="n">
        <v>0.374874161073826</v>
      </c>
      <c r="T953" t="n">
        <v>24</v>
      </c>
      <c r="U953" t="n">
        <v>0</v>
      </c>
      <c r="V953" t="n">
        <v>89138.08</v>
      </c>
      <c r="W953" s="300" t="n">
        <v>0.1114</v>
      </c>
      <c r="X953" s="297" t="n">
        <v>45292</v>
      </c>
      <c r="Y953">
        <f>IF(I953="","No SIC",IFERROR(VLOOKUP(I953,Ref!$A$2:$B$65,2,FALSE),"Unclassified"))</f>
        <v/>
      </c>
      <c r="Z953">
        <f>IF(T953="","",IF(T953&lt;12,"Daily","Weekly"))</f>
        <v/>
      </c>
      <c r="AA953">
        <f>IF(T953="",0,IF(T953&lt;12,T953*Controls!$B$29,T953*5))</f>
        <v/>
      </c>
      <c r="AB953">
        <f>IF(E953="",0,NETWORKDAYS(E953,Controls!$B$36,Ref!$K$2:$K$42))</f>
        <v/>
      </c>
      <c r="AC953">
        <f>IF(AND(AA953&gt;0,AB953&gt;=Controls!$B$39*AA953),1,0)</f>
        <v/>
      </c>
      <c r="AD953">
        <f>IF(AND(E953&lt;&gt;"",E953&gt;=Controls!$B$37,E953&lt;=Controls!$B$38),1,0)</f>
        <v/>
      </c>
      <c r="AE953">
        <f>IF(IFERROR(VLOOKUP(D953,Controls!$A$64:$E$74,2,FALSE),"No")="Yes",1,0)</f>
        <v/>
      </c>
      <c r="AF953">
        <f>IF(IFERROR(VLOOKUP(D953,Controls!$A$64:$E$74,3,FALSE),"No")="Yes",1,0)</f>
        <v/>
      </c>
      <c r="AG953">
        <f>IF(IFERROR(VLOOKUP(D953,Controls!$A$64:$E$74,4,FALSE),"No")="Yes",1,0)</f>
        <v/>
      </c>
      <c r="AH953">
        <f>IF(IFERROR(VLOOKUP(D953,Controls!$A$64:$E$74,5,FALSE),"No")="Yes",1,0)</f>
        <v/>
      </c>
      <c r="AI953">
        <f>IF(ISNUMBER(MATCH(D953,Controls!$A$64:$A$74,0)),1,0)</f>
        <v/>
      </c>
      <c r="AJ953">
        <f>Q953-N953</f>
        <v/>
      </c>
      <c r="AK953">
        <f>IF(AE953=1,MAX(0,N953-Q953),0)</f>
        <v/>
      </c>
      <c r="AL953">
        <f>IF(OR(V953="",V953=0),0,N953/V953)</f>
        <v/>
      </c>
      <c r="AM953">
        <f>IF(OR(V953="",V953=0),0,1)</f>
        <v/>
      </c>
      <c r="AN953">
        <f>IF(OR(E953="",F953=""),0,NETWORKDAYS(E953,F953,Ref!$K$2:$K$42))</f>
        <v/>
      </c>
      <c r="AO953">
        <f>IF(L953="Renewal",1,0)</f>
        <v/>
      </c>
      <c r="AP953">
        <f>AC953*AD953</f>
        <v/>
      </c>
      <c r="AQ953">
        <f>IF(AND(G953&lt;&gt;"",'Historical Score'!$C$6&lt;&gt;""),IF(G953='Historical Score'!$C$6,1,0),0)</f>
        <v/>
      </c>
      <c r="AR953">
        <f>IF(AND(L953&lt;&gt;"",'Historical Score'!$C$5&lt;&gt;""),IF(L953='Historical Score'!$C$5,1,0),0)</f>
        <v/>
      </c>
      <c r="AS953">
        <f>IF(AND(Y953&lt;&gt;"",'Historical Score'!$C$7&lt;&gt;""),IF(Y953='Historical Score'!$C$7,1,0),0)</f>
        <v/>
      </c>
      <c r="AT953">
        <f>IF(AND(K953&lt;&gt;"",'Historical Score'!$C$8&lt;&gt;""),IF(K953='Historical Score'!$C$8,1,0),0)</f>
        <v/>
      </c>
      <c r="AU953">
        <f>IF(AND(J953&lt;&gt;"",'Historical Score'!$C$9&lt;&gt;""),IF(J953='Historical Score'!$C$9,1,0),0)</f>
        <v/>
      </c>
      <c r="AV953">
        <f>AR953*AS953*AQ953</f>
        <v/>
      </c>
      <c r="AW953">
        <f>AR953*AT953*AQ953</f>
        <v/>
      </c>
      <c r="AX953">
        <f>AR953*AS953</f>
        <v/>
      </c>
      <c r="AY953">
        <f>AR953*AT953</f>
        <v/>
      </c>
      <c r="AZ953">
        <f>AR953*AQ953</f>
        <v/>
      </c>
      <c r="BA953">
        <f>AR953</f>
        <v/>
      </c>
      <c r="BB953">
        <f>1</f>
        <v/>
      </c>
      <c r="BC953">
        <f>IF(AV953=1,1,IF(AW953=1,2,IF(AX953=1,3,IF(AY953=1,4,IF(AZ953=1,5,IF(BA953=1,6,7))))))</f>
        <v/>
      </c>
      <c r="BD953">
        <f>IF(AD953=1,CHOOSE('Historical Score'!$C$29,AV953,AW953,AX953,AY953,AZ953,BA953,BB953),0)</f>
        <v/>
      </c>
      <c r="BE953">
        <f>IF(BD953=1,COUNTIF($BD$2:BD953,1),"")</f>
        <v/>
      </c>
    </row>
    <row r="954">
      <c r="A954" t="inlineStr">
        <is>
          <t>5674185378</t>
        </is>
      </c>
      <c r="B954" t="inlineStr">
        <is>
          <t>AMIN TRADING LLC</t>
        </is>
      </c>
      <c r="C954" t="inlineStr">
        <is>
          <t>AMIN TRADING LLC</t>
        </is>
      </c>
      <c r="D954" t="inlineStr">
        <is>
          <t>Open</t>
        </is>
      </c>
      <c r="E954" s="297" t="n">
        <v>46185</v>
      </c>
      <c r="F954" s="297" t="n">
        <v>46241</v>
      </c>
      <c r="G954" t="n">
        <v>3</v>
      </c>
      <c r="H954" t="inlineStr">
        <is>
          <t>5999</t>
        </is>
      </c>
      <c r="I954" t="inlineStr">
        <is>
          <t>59</t>
        </is>
      </c>
      <c r="J954" t="inlineStr">
        <is>
          <t>TX</t>
        </is>
      </c>
      <c r="K954" t="inlineStr">
        <is>
          <t>Fundwell</t>
        </is>
      </c>
      <c r="L954" t="inlineStr">
        <is>
          <t>New Deal</t>
        </is>
      </c>
      <c r="M954" s="298" t="n">
        <v>1.35</v>
      </c>
      <c r="N954" s="299" t="n">
        <v>7000</v>
      </c>
      <c r="O954" s="299" t="n">
        <v>490</v>
      </c>
      <c r="P954" s="299" t="n">
        <v>9450</v>
      </c>
      <c r="Q954" s="299" t="n">
        <v>2756.25</v>
      </c>
      <c r="R954" s="299" t="n">
        <v>6693.75</v>
      </c>
      <c r="S954" s="300" t="n">
        <v>0.291666666666667</v>
      </c>
      <c r="T954" t="n">
        <v>24</v>
      </c>
      <c r="U954" t="n">
        <v>1</v>
      </c>
      <c r="V954" t="n">
        <v>420000</v>
      </c>
      <c r="W954" s="300" t="n">
        <v>0.1125</v>
      </c>
      <c r="X954" s="297" t="n">
        <v>44287</v>
      </c>
      <c r="Y954">
        <f>IF(I954="","No SIC",IFERROR(VLOOKUP(I954,Ref!$A$2:$B$65,2,FALSE),"Unclassified"))</f>
        <v/>
      </c>
      <c r="Z954">
        <f>IF(T954="","",IF(T954&lt;12,"Daily","Weekly"))</f>
        <v/>
      </c>
      <c r="AA954">
        <f>IF(T954="",0,IF(T954&lt;12,T954*Controls!$B$29,T954*5))</f>
        <v/>
      </c>
      <c r="AB954">
        <f>IF(E954="",0,NETWORKDAYS(E954,Controls!$B$36,Ref!$K$2:$K$42))</f>
        <v/>
      </c>
      <c r="AC954">
        <f>IF(AND(AA954&gt;0,AB954&gt;=Controls!$B$39*AA954),1,0)</f>
        <v/>
      </c>
      <c r="AD954">
        <f>IF(AND(E954&lt;&gt;"",E954&gt;=Controls!$B$37,E954&lt;=Controls!$B$38),1,0)</f>
        <v/>
      </c>
      <c r="AE954">
        <f>IF(IFERROR(VLOOKUP(D954,Controls!$A$64:$E$74,2,FALSE),"No")="Yes",1,0)</f>
        <v/>
      </c>
      <c r="AF954">
        <f>IF(IFERROR(VLOOKUP(D954,Controls!$A$64:$E$74,3,FALSE),"No")="Yes",1,0)</f>
        <v/>
      </c>
      <c r="AG954">
        <f>IF(IFERROR(VLOOKUP(D954,Controls!$A$64:$E$74,4,FALSE),"No")="Yes",1,0)</f>
        <v/>
      </c>
      <c r="AH954">
        <f>IF(IFERROR(VLOOKUP(D954,Controls!$A$64:$E$74,5,FALSE),"No")="Yes",1,0)</f>
        <v/>
      </c>
      <c r="AI954">
        <f>IF(ISNUMBER(MATCH(D954,Controls!$A$64:$A$74,0)),1,0)</f>
        <v/>
      </c>
      <c r="AJ954">
        <f>Q954-N954</f>
        <v/>
      </c>
      <c r="AK954">
        <f>IF(AE954=1,MAX(0,N954-Q954),0)</f>
        <v/>
      </c>
      <c r="AL954">
        <f>IF(OR(V954="",V954=0),0,N954/V954)</f>
        <v/>
      </c>
      <c r="AM954">
        <f>IF(OR(V954="",V954=0),0,1)</f>
        <v/>
      </c>
      <c r="AN954">
        <f>IF(OR(E954="",F954=""),0,NETWORKDAYS(E954,F954,Ref!$K$2:$K$42))</f>
        <v/>
      </c>
      <c r="AO954">
        <f>IF(L954="Renewal",1,0)</f>
        <v/>
      </c>
      <c r="AP954">
        <f>AC954*AD954</f>
        <v/>
      </c>
      <c r="AQ954">
        <f>IF(AND(G954&lt;&gt;"",'Historical Score'!$C$6&lt;&gt;""),IF(G954='Historical Score'!$C$6,1,0),0)</f>
        <v/>
      </c>
      <c r="AR954">
        <f>IF(AND(L954&lt;&gt;"",'Historical Score'!$C$5&lt;&gt;""),IF(L954='Historical Score'!$C$5,1,0),0)</f>
        <v/>
      </c>
      <c r="AS954">
        <f>IF(AND(Y954&lt;&gt;"",'Historical Score'!$C$7&lt;&gt;""),IF(Y954='Historical Score'!$C$7,1,0),0)</f>
        <v/>
      </c>
      <c r="AT954">
        <f>IF(AND(K954&lt;&gt;"",'Historical Score'!$C$8&lt;&gt;""),IF(K954='Historical Score'!$C$8,1,0),0)</f>
        <v/>
      </c>
      <c r="AU954">
        <f>IF(AND(J954&lt;&gt;"",'Historical Score'!$C$9&lt;&gt;""),IF(J954='Historical Score'!$C$9,1,0),0)</f>
        <v/>
      </c>
      <c r="AV954">
        <f>AR954*AS954*AQ954</f>
        <v/>
      </c>
      <c r="AW954">
        <f>AR954*AT954*AQ954</f>
        <v/>
      </c>
      <c r="AX954">
        <f>AR954*AS954</f>
        <v/>
      </c>
      <c r="AY954">
        <f>AR954*AT954</f>
        <v/>
      </c>
      <c r="AZ954">
        <f>AR954*AQ954</f>
        <v/>
      </c>
      <c r="BA954">
        <f>AR954</f>
        <v/>
      </c>
      <c r="BB954">
        <f>1</f>
        <v/>
      </c>
      <c r="BC954">
        <f>IF(AV954=1,1,IF(AW954=1,2,IF(AX954=1,3,IF(AY954=1,4,IF(AZ954=1,5,IF(BA954=1,6,7))))))</f>
        <v/>
      </c>
      <c r="BD954">
        <f>IF(AD954=1,CHOOSE('Historical Score'!$C$29,AV954,AW954,AX954,AY954,AZ954,BA954,BB954),0)</f>
        <v/>
      </c>
      <c r="BE954">
        <f>IF(BD954=1,COUNTIF($BD$2:BD954,1),"")</f>
        <v/>
      </c>
    </row>
    <row r="955">
      <c r="A955" t="inlineStr">
        <is>
          <t>5674185386</t>
        </is>
      </c>
      <c r="B955" t="inlineStr">
        <is>
          <t>QUALITY COMMUNITY HEALTH CARE</t>
        </is>
      </c>
      <c r="C955" t="inlineStr">
        <is>
          <t>QUALITY COMMUNITY HEALTH CARE, INC.</t>
        </is>
      </c>
      <c r="D955" t="inlineStr">
        <is>
          <t>Legal</t>
        </is>
      </c>
      <c r="E955" s="297" t="n">
        <v>46185</v>
      </c>
      <c r="F955" s="297" t="n">
        <v>46198</v>
      </c>
      <c r="G955" t="n">
        <v>4</v>
      </c>
      <c r="H955" t="inlineStr">
        <is>
          <t>8072</t>
        </is>
      </c>
      <c r="I955" t="inlineStr">
        <is>
          <t>80</t>
        </is>
      </c>
      <c r="J955" t="inlineStr">
        <is>
          <t>PA</t>
        </is>
      </c>
      <c r="K955" t="inlineStr">
        <is>
          <t>PMF</t>
        </is>
      </c>
      <c r="L955" t="inlineStr">
        <is>
          <t>New Deal</t>
        </is>
      </c>
      <c r="M955" s="298" t="n">
        <v>1.49</v>
      </c>
      <c r="N955" s="299" t="n">
        <v>50000</v>
      </c>
      <c r="O955" s="299" t="n">
        <v>0</v>
      </c>
      <c r="P955" s="299" t="n">
        <v>74500</v>
      </c>
      <c r="Q955" s="299" t="n">
        <v>0</v>
      </c>
      <c r="R955" s="299" t="n">
        <v>74500</v>
      </c>
      <c r="S955" s="300" t="n">
        <v>0</v>
      </c>
      <c r="T955" t="n">
        <v>24</v>
      </c>
      <c r="U955" t="n">
        <v>2</v>
      </c>
      <c r="V955" t="n">
        <v>455270.02</v>
      </c>
      <c r="W955" s="300" t="n">
        <v>0.0276</v>
      </c>
      <c r="X955" s="297" t="n">
        <v>38513</v>
      </c>
      <c r="Y955">
        <f>IF(I955="","No SIC",IFERROR(VLOOKUP(I955,Ref!$A$2:$B$65,2,FALSE),"Unclassified"))</f>
        <v/>
      </c>
      <c r="Z955">
        <f>IF(T955="","",IF(T955&lt;12,"Daily","Weekly"))</f>
        <v/>
      </c>
      <c r="AA955">
        <f>IF(T955="",0,IF(T955&lt;12,T955*Controls!$B$29,T955*5))</f>
        <v/>
      </c>
      <c r="AB955">
        <f>IF(E955="",0,NETWORKDAYS(E955,Controls!$B$36,Ref!$K$2:$K$42))</f>
        <v/>
      </c>
      <c r="AC955">
        <f>IF(AND(AA955&gt;0,AB955&gt;=Controls!$B$39*AA955),1,0)</f>
        <v/>
      </c>
      <c r="AD955">
        <f>IF(AND(E955&lt;&gt;"",E955&gt;=Controls!$B$37,E955&lt;=Controls!$B$38),1,0)</f>
        <v/>
      </c>
      <c r="AE955">
        <f>IF(IFERROR(VLOOKUP(D955,Controls!$A$64:$E$74,2,FALSE),"No")="Yes",1,0)</f>
        <v/>
      </c>
      <c r="AF955">
        <f>IF(IFERROR(VLOOKUP(D955,Controls!$A$64:$E$74,3,FALSE),"No")="Yes",1,0)</f>
        <v/>
      </c>
      <c r="AG955">
        <f>IF(IFERROR(VLOOKUP(D955,Controls!$A$64:$E$74,4,FALSE),"No")="Yes",1,0)</f>
        <v/>
      </c>
      <c r="AH955">
        <f>IF(IFERROR(VLOOKUP(D955,Controls!$A$64:$E$74,5,FALSE),"No")="Yes",1,0)</f>
        <v/>
      </c>
      <c r="AI955">
        <f>IF(ISNUMBER(MATCH(D955,Controls!$A$64:$A$74,0)),1,0)</f>
        <v/>
      </c>
      <c r="AJ955">
        <f>Q955-N955</f>
        <v/>
      </c>
      <c r="AK955">
        <f>IF(AE955=1,MAX(0,N955-Q955),0)</f>
        <v/>
      </c>
      <c r="AL955">
        <f>IF(OR(V955="",V955=0),0,N955/V955)</f>
        <v/>
      </c>
      <c r="AM955">
        <f>IF(OR(V955="",V955=0),0,1)</f>
        <v/>
      </c>
      <c r="AN955">
        <f>IF(OR(E955="",F955=""),0,NETWORKDAYS(E955,F955,Ref!$K$2:$K$42))</f>
        <v/>
      </c>
      <c r="AO955">
        <f>IF(L955="Renewal",1,0)</f>
        <v/>
      </c>
      <c r="AP955">
        <f>AC955*AD955</f>
        <v/>
      </c>
      <c r="AQ955">
        <f>IF(AND(G955&lt;&gt;"",'Historical Score'!$C$6&lt;&gt;""),IF(G955='Historical Score'!$C$6,1,0),0)</f>
        <v/>
      </c>
      <c r="AR955">
        <f>IF(AND(L955&lt;&gt;"",'Historical Score'!$C$5&lt;&gt;""),IF(L955='Historical Score'!$C$5,1,0),0)</f>
        <v/>
      </c>
      <c r="AS955">
        <f>IF(AND(Y955&lt;&gt;"",'Historical Score'!$C$7&lt;&gt;""),IF(Y955='Historical Score'!$C$7,1,0),0)</f>
        <v/>
      </c>
      <c r="AT955">
        <f>IF(AND(K955&lt;&gt;"",'Historical Score'!$C$8&lt;&gt;""),IF(K955='Historical Score'!$C$8,1,0),0)</f>
        <v/>
      </c>
      <c r="AU955">
        <f>IF(AND(J955&lt;&gt;"",'Historical Score'!$C$9&lt;&gt;""),IF(J955='Historical Score'!$C$9,1,0),0)</f>
        <v/>
      </c>
      <c r="AV955">
        <f>AR955*AS955*AQ955</f>
        <v/>
      </c>
      <c r="AW955">
        <f>AR955*AT955*AQ955</f>
        <v/>
      </c>
      <c r="AX955">
        <f>AR955*AS955</f>
        <v/>
      </c>
      <c r="AY955">
        <f>AR955*AT955</f>
        <v/>
      </c>
      <c r="AZ955">
        <f>AR955*AQ955</f>
        <v/>
      </c>
      <c r="BA955">
        <f>AR955</f>
        <v/>
      </c>
      <c r="BB955">
        <f>1</f>
        <v/>
      </c>
      <c r="BC955">
        <f>IF(AV955=1,1,IF(AW955=1,2,IF(AX955=1,3,IF(AY955=1,4,IF(AZ955=1,5,IF(BA955=1,6,7))))))</f>
        <v/>
      </c>
      <c r="BD955">
        <f>IF(AD955=1,CHOOSE('Historical Score'!$C$29,AV955,AW955,AX955,AY955,AZ955,BA955,BB955),0)</f>
        <v/>
      </c>
      <c r="BE955">
        <f>IF(BD955=1,COUNTIF($BD$2:BD955,1),"")</f>
        <v/>
      </c>
    </row>
    <row r="956">
      <c r="A956" t="inlineStr">
        <is>
          <t>5674185390</t>
        </is>
      </c>
      <c r="B956" t="inlineStr">
        <is>
          <t>CATAMOUNT BUILDERS</t>
        </is>
      </c>
      <c r="C956" t="inlineStr">
        <is>
          <t>Catamount Builders, Inc</t>
        </is>
      </c>
      <c r="D956" t="inlineStr">
        <is>
          <t>Legal</t>
        </is>
      </c>
      <c r="E956" s="297" t="n">
        <v>46185</v>
      </c>
      <c r="F956" s="297" t="n">
        <v>46205</v>
      </c>
      <c r="G956" t="n">
        <v>3</v>
      </c>
      <c r="H956" t="inlineStr">
        <is>
          <t>1799</t>
        </is>
      </c>
      <c r="I956" t="inlineStr">
        <is>
          <t>17</t>
        </is>
      </c>
      <c r="J956" t="inlineStr">
        <is>
          <t>MA</t>
        </is>
      </c>
      <c r="K956" t="inlineStr">
        <is>
          <t>PMF</t>
        </is>
      </c>
      <c r="L956" t="inlineStr">
        <is>
          <t>Renewal</t>
        </is>
      </c>
      <c r="M956" s="298" t="n">
        <v>1.39</v>
      </c>
      <c r="N956" s="299" t="n">
        <v>120000</v>
      </c>
      <c r="O956" s="299" t="n">
        <v>0</v>
      </c>
      <c r="P956" s="299" t="n">
        <v>166800</v>
      </c>
      <c r="Q956" s="299" t="n">
        <v>11916.66</v>
      </c>
      <c r="R956" s="299" t="n">
        <v>154883.34</v>
      </c>
      <c r="S956" s="300" t="n">
        <v>0.0714428057553957</v>
      </c>
      <c r="T956" t="n">
        <v>28</v>
      </c>
      <c r="U956" t="n">
        <v>1</v>
      </c>
      <c r="V956" t="n">
        <v>600490.8100000001</v>
      </c>
      <c r="W956" s="300" t="n">
        <v>0.0511</v>
      </c>
      <c r="X956" s="297" t="n">
        <v>39722</v>
      </c>
      <c r="Y956">
        <f>IF(I956="","No SIC",IFERROR(VLOOKUP(I956,Ref!$A$2:$B$65,2,FALSE),"Unclassified"))</f>
        <v/>
      </c>
      <c r="Z956">
        <f>IF(T956="","",IF(T956&lt;12,"Daily","Weekly"))</f>
        <v/>
      </c>
      <c r="AA956">
        <f>IF(T956="",0,IF(T956&lt;12,T956*Controls!$B$29,T956*5))</f>
        <v/>
      </c>
      <c r="AB956">
        <f>IF(E956="",0,NETWORKDAYS(E956,Controls!$B$36,Ref!$K$2:$K$42))</f>
        <v/>
      </c>
      <c r="AC956">
        <f>IF(AND(AA956&gt;0,AB956&gt;=Controls!$B$39*AA956),1,0)</f>
        <v/>
      </c>
      <c r="AD956">
        <f>IF(AND(E956&lt;&gt;"",E956&gt;=Controls!$B$37,E956&lt;=Controls!$B$38),1,0)</f>
        <v/>
      </c>
      <c r="AE956">
        <f>IF(IFERROR(VLOOKUP(D956,Controls!$A$64:$E$74,2,FALSE),"No")="Yes",1,0)</f>
        <v/>
      </c>
      <c r="AF956">
        <f>IF(IFERROR(VLOOKUP(D956,Controls!$A$64:$E$74,3,FALSE),"No")="Yes",1,0)</f>
        <v/>
      </c>
      <c r="AG956">
        <f>IF(IFERROR(VLOOKUP(D956,Controls!$A$64:$E$74,4,FALSE),"No")="Yes",1,0)</f>
        <v/>
      </c>
      <c r="AH956">
        <f>IF(IFERROR(VLOOKUP(D956,Controls!$A$64:$E$74,5,FALSE),"No")="Yes",1,0)</f>
        <v/>
      </c>
      <c r="AI956">
        <f>IF(ISNUMBER(MATCH(D956,Controls!$A$64:$A$74,0)),1,0)</f>
        <v/>
      </c>
      <c r="AJ956">
        <f>Q956-N956</f>
        <v/>
      </c>
      <c r="AK956">
        <f>IF(AE956=1,MAX(0,N956-Q956),0)</f>
        <v/>
      </c>
      <c r="AL956">
        <f>IF(OR(V956="",V956=0),0,N956/V956)</f>
        <v/>
      </c>
      <c r="AM956">
        <f>IF(OR(V956="",V956=0),0,1)</f>
        <v/>
      </c>
      <c r="AN956">
        <f>IF(OR(E956="",F956=""),0,NETWORKDAYS(E956,F956,Ref!$K$2:$K$42))</f>
        <v/>
      </c>
      <c r="AO956">
        <f>IF(L956="Renewal",1,0)</f>
        <v/>
      </c>
      <c r="AP956">
        <f>AC956*AD956</f>
        <v/>
      </c>
      <c r="AQ956">
        <f>IF(AND(G956&lt;&gt;"",'Historical Score'!$C$6&lt;&gt;""),IF(G956='Historical Score'!$C$6,1,0),0)</f>
        <v/>
      </c>
      <c r="AR956">
        <f>IF(AND(L956&lt;&gt;"",'Historical Score'!$C$5&lt;&gt;""),IF(L956='Historical Score'!$C$5,1,0),0)</f>
        <v/>
      </c>
      <c r="AS956">
        <f>IF(AND(Y956&lt;&gt;"",'Historical Score'!$C$7&lt;&gt;""),IF(Y956='Historical Score'!$C$7,1,0),0)</f>
        <v/>
      </c>
      <c r="AT956">
        <f>IF(AND(K956&lt;&gt;"",'Historical Score'!$C$8&lt;&gt;""),IF(K956='Historical Score'!$C$8,1,0),0)</f>
        <v/>
      </c>
      <c r="AU956">
        <f>IF(AND(J956&lt;&gt;"",'Historical Score'!$C$9&lt;&gt;""),IF(J956='Historical Score'!$C$9,1,0),0)</f>
        <v/>
      </c>
      <c r="AV956">
        <f>AR956*AS956*AQ956</f>
        <v/>
      </c>
      <c r="AW956">
        <f>AR956*AT956*AQ956</f>
        <v/>
      </c>
      <c r="AX956">
        <f>AR956*AS956</f>
        <v/>
      </c>
      <c r="AY956">
        <f>AR956*AT956</f>
        <v/>
      </c>
      <c r="AZ956">
        <f>AR956*AQ956</f>
        <v/>
      </c>
      <c r="BA956">
        <f>AR956</f>
        <v/>
      </c>
      <c r="BB956">
        <f>1</f>
        <v/>
      </c>
      <c r="BC956">
        <f>IF(AV956=1,1,IF(AW956=1,2,IF(AX956=1,3,IF(AY956=1,4,IF(AZ956=1,5,IF(BA956=1,6,7))))))</f>
        <v/>
      </c>
      <c r="BD956">
        <f>IF(AD956=1,CHOOSE('Historical Score'!$C$29,AV956,AW956,AX956,AY956,AZ956,BA956,BB956),0)</f>
        <v/>
      </c>
      <c r="BE956">
        <f>IF(BD956=1,COUNTIF($BD$2:BD956,1),"")</f>
        <v/>
      </c>
    </row>
    <row r="957">
      <c r="A957" t="inlineStr">
        <is>
          <t>5674185416</t>
        </is>
      </c>
      <c r="B957" t="inlineStr">
        <is>
          <t>All dogs hair haven</t>
        </is>
      </c>
      <c r="C957" t="inlineStr">
        <is>
          <t>CRAWFIS CREATURES INC</t>
        </is>
      </c>
      <c r="D957" t="inlineStr">
        <is>
          <t>Open</t>
        </is>
      </c>
      <c r="E957" s="297" t="n">
        <v>46185</v>
      </c>
      <c r="F957" s="297" t="n">
        <v>46253</v>
      </c>
      <c r="G957" t="n">
        <v>3</v>
      </c>
      <c r="H957" t="inlineStr">
        <is>
          <t>0742</t>
        </is>
      </c>
      <c r="I957" t="inlineStr">
        <is>
          <t>07</t>
        </is>
      </c>
      <c r="J957" t="inlineStr">
        <is>
          <t>FL</t>
        </is>
      </c>
      <c r="K957" t="inlineStr">
        <is>
          <t>AVON ADVANCE</t>
        </is>
      </c>
      <c r="L957" t="inlineStr">
        <is>
          <t>New Deal</t>
        </is>
      </c>
      <c r="M957" s="298" t="n">
        <v>1.49</v>
      </c>
      <c r="N957" s="299" t="n">
        <v>12500</v>
      </c>
      <c r="O957" s="299" t="n">
        <v>1750</v>
      </c>
      <c r="P957" s="299" t="n">
        <v>18625</v>
      </c>
      <c r="Q957" s="299" t="n">
        <v>7448.32</v>
      </c>
      <c r="R957" s="299" t="n">
        <v>11176.68</v>
      </c>
      <c r="S957" s="300" t="n">
        <v>0.399909798657718</v>
      </c>
      <c r="T957" t="n">
        <v>2.623</v>
      </c>
      <c r="U957" t="n">
        <v>15</v>
      </c>
      <c r="V957" t="n">
        <v>32761.34</v>
      </c>
      <c r="W957" s="300" t="n">
        <v>0.1492</v>
      </c>
      <c r="X957" s="297" t="n">
        <v>34700</v>
      </c>
      <c r="Y957">
        <f>IF(I957="","No SIC",IFERROR(VLOOKUP(I957,Ref!$A$2:$B$65,2,FALSE),"Unclassified"))</f>
        <v/>
      </c>
      <c r="Z957">
        <f>IF(T957="","",IF(T957&lt;12,"Daily","Weekly"))</f>
        <v/>
      </c>
      <c r="AA957">
        <f>IF(T957="",0,IF(T957&lt;12,T957*Controls!$B$29,T957*5))</f>
        <v/>
      </c>
      <c r="AB957">
        <f>IF(E957="",0,NETWORKDAYS(E957,Controls!$B$36,Ref!$K$2:$K$42))</f>
        <v/>
      </c>
      <c r="AC957">
        <f>IF(AND(AA957&gt;0,AB957&gt;=Controls!$B$39*AA957),1,0)</f>
        <v/>
      </c>
      <c r="AD957">
        <f>IF(AND(E957&lt;&gt;"",E957&gt;=Controls!$B$37,E957&lt;=Controls!$B$38),1,0)</f>
        <v/>
      </c>
      <c r="AE957">
        <f>IF(IFERROR(VLOOKUP(D957,Controls!$A$64:$E$74,2,FALSE),"No")="Yes",1,0)</f>
        <v/>
      </c>
      <c r="AF957">
        <f>IF(IFERROR(VLOOKUP(D957,Controls!$A$64:$E$74,3,FALSE),"No")="Yes",1,0)</f>
        <v/>
      </c>
      <c r="AG957">
        <f>IF(IFERROR(VLOOKUP(D957,Controls!$A$64:$E$74,4,FALSE),"No")="Yes",1,0)</f>
        <v/>
      </c>
      <c r="AH957">
        <f>IF(IFERROR(VLOOKUP(D957,Controls!$A$64:$E$74,5,FALSE),"No")="Yes",1,0)</f>
        <v/>
      </c>
      <c r="AI957">
        <f>IF(ISNUMBER(MATCH(D957,Controls!$A$64:$A$74,0)),1,0)</f>
        <v/>
      </c>
      <c r="AJ957">
        <f>Q957-N957</f>
        <v/>
      </c>
      <c r="AK957">
        <f>IF(AE957=1,MAX(0,N957-Q957),0)</f>
        <v/>
      </c>
      <c r="AL957">
        <f>IF(OR(V957="",V957=0),0,N957/V957)</f>
        <v/>
      </c>
      <c r="AM957">
        <f>IF(OR(V957="",V957=0),0,1)</f>
        <v/>
      </c>
      <c r="AN957">
        <f>IF(OR(E957="",F957=""),0,NETWORKDAYS(E957,F957,Ref!$K$2:$K$42))</f>
        <v/>
      </c>
      <c r="AO957">
        <f>IF(L957="Renewal",1,0)</f>
        <v/>
      </c>
      <c r="AP957">
        <f>AC957*AD957</f>
        <v/>
      </c>
      <c r="AQ957">
        <f>IF(AND(G957&lt;&gt;"",'Historical Score'!$C$6&lt;&gt;""),IF(G957='Historical Score'!$C$6,1,0),0)</f>
        <v/>
      </c>
      <c r="AR957">
        <f>IF(AND(L957&lt;&gt;"",'Historical Score'!$C$5&lt;&gt;""),IF(L957='Historical Score'!$C$5,1,0),0)</f>
        <v/>
      </c>
      <c r="AS957">
        <f>IF(AND(Y957&lt;&gt;"",'Historical Score'!$C$7&lt;&gt;""),IF(Y957='Historical Score'!$C$7,1,0),0)</f>
        <v/>
      </c>
      <c r="AT957">
        <f>IF(AND(K957&lt;&gt;"",'Historical Score'!$C$8&lt;&gt;""),IF(K957='Historical Score'!$C$8,1,0),0)</f>
        <v/>
      </c>
      <c r="AU957">
        <f>IF(AND(J957&lt;&gt;"",'Historical Score'!$C$9&lt;&gt;""),IF(J957='Historical Score'!$C$9,1,0),0)</f>
        <v/>
      </c>
      <c r="AV957">
        <f>AR957*AS957*AQ957</f>
        <v/>
      </c>
      <c r="AW957">
        <f>AR957*AT957*AQ957</f>
        <v/>
      </c>
      <c r="AX957">
        <f>AR957*AS957</f>
        <v/>
      </c>
      <c r="AY957">
        <f>AR957*AT957</f>
        <v/>
      </c>
      <c r="AZ957">
        <f>AR957*AQ957</f>
        <v/>
      </c>
      <c r="BA957">
        <f>AR957</f>
        <v/>
      </c>
      <c r="BB957">
        <f>1</f>
        <v/>
      </c>
      <c r="BC957">
        <f>IF(AV957=1,1,IF(AW957=1,2,IF(AX957=1,3,IF(AY957=1,4,IF(AZ957=1,5,IF(BA957=1,6,7))))))</f>
        <v/>
      </c>
      <c r="BD957">
        <f>IF(AD957=1,CHOOSE('Historical Score'!$C$29,AV957,AW957,AX957,AY957,AZ957,BA957,BB957),0)</f>
        <v/>
      </c>
      <c r="BE957">
        <f>IF(BD957=1,COUNTIF($BD$2:BD957,1),"")</f>
        <v/>
      </c>
    </row>
    <row r="958">
      <c r="A958" t="inlineStr">
        <is>
          <t>5674185436</t>
        </is>
      </c>
      <c r="B958" t="inlineStr">
        <is>
          <t>4Play Kitchen &amp; Cocktails</t>
        </is>
      </c>
      <c r="C958" t="inlineStr">
        <is>
          <t>4Play LLC</t>
        </is>
      </c>
      <c r="D958" t="inlineStr">
        <is>
          <t>Legal</t>
        </is>
      </c>
      <c r="E958" s="297" t="n">
        <v>46188</v>
      </c>
      <c r="F958" s="297" t="n">
        <v>46238</v>
      </c>
      <c r="G958" t="n">
        <v>2</v>
      </c>
      <c r="H958" t="inlineStr">
        <is>
          <t>5812</t>
        </is>
      </c>
      <c r="I958" t="inlineStr">
        <is>
          <t>58</t>
        </is>
      </c>
      <c r="J958" t="inlineStr">
        <is>
          <t>CO</t>
        </is>
      </c>
      <c r="K958" t="inlineStr">
        <is>
          <t>Choicecapital Solutions LLC</t>
        </is>
      </c>
      <c r="L958" t="inlineStr">
        <is>
          <t>New Deal</t>
        </is>
      </c>
      <c r="M958" s="298" t="n">
        <v>1.49</v>
      </c>
      <c r="N958" s="299" t="n">
        <v>90000</v>
      </c>
      <c r="O958" s="299" t="n">
        <v>0</v>
      </c>
      <c r="P958" s="299" t="n">
        <v>134100</v>
      </c>
      <c r="Q958" s="299" t="n">
        <v>7886.1</v>
      </c>
      <c r="R958" s="299" t="n">
        <v>126213.9</v>
      </c>
      <c r="S958" s="300" t="n">
        <v>0.0588076062639821</v>
      </c>
      <c r="T958" t="n">
        <v>34</v>
      </c>
      <c r="U958" t="n">
        <v>5</v>
      </c>
      <c r="V958" t="n">
        <v>159799.24</v>
      </c>
      <c r="W958" s="300" t="n">
        <v>0.0987</v>
      </c>
      <c r="X958" s="297" t="n">
        <v>45166</v>
      </c>
      <c r="Y958">
        <f>IF(I958="","No SIC",IFERROR(VLOOKUP(I958,Ref!$A$2:$B$65,2,FALSE),"Unclassified"))</f>
        <v/>
      </c>
      <c r="Z958">
        <f>IF(T958="","",IF(T958&lt;12,"Daily","Weekly"))</f>
        <v/>
      </c>
      <c r="AA958">
        <f>IF(T958="",0,IF(T958&lt;12,T958*Controls!$B$29,T958*5))</f>
        <v/>
      </c>
      <c r="AB958">
        <f>IF(E958="",0,NETWORKDAYS(E958,Controls!$B$36,Ref!$K$2:$K$42))</f>
        <v/>
      </c>
      <c r="AC958">
        <f>IF(AND(AA958&gt;0,AB958&gt;=Controls!$B$39*AA958),1,0)</f>
        <v/>
      </c>
      <c r="AD958">
        <f>IF(AND(E958&lt;&gt;"",E958&gt;=Controls!$B$37,E958&lt;=Controls!$B$38),1,0)</f>
        <v/>
      </c>
      <c r="AE958">
        <f>IF(IFERROR(VLOOKUP(D958,Controls!$A$64:$E$74,2,FALSE),"No")="Yes",1,0)</f>
        <v/>
      </c>
      <c r="AF958">
        <f>IF(IFERROR(VLOOKUP(D958,Controls!$A$64:$E$74,3,FALSE),"No")="Yes",1,0)</f>
        <v/>
      </c>
      <c r="AG958">
        <f>IF(IFERROR(VLOOKUP(D958,Controls!$A$64:$E$74,4,FALSE),"No")="Yes",1,0)</f>
        <v/>
      </c>
      <c r="AH958">
        <f>IF(IFERROR(VLOOKUP(D958,Controls!$A$64:$E$74,5,FALSE),"No")="Yes",1,0)</f>
        <v/>
      </c>
      <c r="AI958">
        <f>IF(ISNUMBER(MATCH(D958,Controls!$A$64:$A$74,0)),1,0)</f>
        <v/>
      </c>
      <c r="AJ958">
        <f>Q958-N958</f>
        <v/>
      </c>
      <c r="AK958">
        <f>IF(AE958=1,MAX(0,N958-Q958),0)</f>
        <v/>
      </c>
      <c r="AL958">
        <f>IF(OR(V958="",V958=0),0,N958/V958)</f>
        <v/>
      </c>
      <c r="AM958">
        <f>IF(OR(V958="",V958=0),0,1)</f>
        <v/>
      </c>
      <c r="AN958">
        <f>IF(OR(E958="",F958=""),0,NETWORKDAYS(E958,F958,Ref!$K$2:$K$42))</f>
        <v/>
      </c>
      <c r="AO958">
        <f>IF(L958="Renewal",1,0)</f>
        <v/>
      </c>
      <c r="AP958">
        <f>AC958*AD958</f>
        <v/>
      </c>
      <c r="AQ958">
        <f>IF(AND(G958&lt;&gt;"",'Historical Score'!$C$6&lt;&gt;""),IF(G958='Historical Score'!$C$6,1,0),0)</f>
        <v/>
      </c>
      <c r="AR958">
        <f>IF(AND(L958&lt;&gt;"",'Historical Score'!$C$5&lt;&gt;""),IF(L958='Historical Score'!$C$5,1,0),0)</f>
        <v/>
      </c>
      <c r="AS958">
        <f>IF(AND(Y958&lt;&gt;"",'Historical Score'!$C$7&lt;&gt;""),IF(Y958='Historical Score'!$C$7,1,0),0)</f>
        <v/>
      </c>
      <c r="AT958">
        <f>IF(AND(K958&lt;&gt;"",'Historical Score'!$C$8&lt;&gt;""),IF(K958='Historical Score'!$C$8,1,0),0)</f>
        <v/>
      </c>
      <c r="AU958">
        <f>IF(AND(J958&lt;&gt;"",'Historical Score'!$C$9&lt;&gt;""),IF(J958='Historical Score'!$C$9,1,0),0)</f>
        <v/>
      </c>
      <c r="AV958">
        <f>AR958*AS958*AQ958</f>
        <v/>
      </c>
      <c r="AW958">
        <f>AR958*AT958*AQ958</f>
        <v/>
      </c>
      <c r="AX958">
        <f>AR958*AS958</f>
        <v/>
      </c>
      <c r="AY958">
        <f>AR958*AT958</f>
        <v/>
      </c>
      <c r="AZ958">
        <f>AR958*AQ958</f>
        <v/>
      </c>
      <c r="BA958">
        <f>AR958</f>
        <v/>
      </c>
      <c r="BB958">
        <f>1</f>
        <v/>
      </c>
      <c r="BC958">
        <f>IF(AV958=1,1,IF(AW958=1,2,IF(AX958=1,3,IF(AY958=1,4,IF(AZ958=1,5,IF(BA958=1,6,7))))))</f>
        <v/>
      </c>
      <c r="BD958">
        <f>IF(AD958=1,CHOOSE('Historical Score'!$C$29,AV958,AW958,AX958,AY958,AZ958,BA958,BB958),0)</f>
        <v/>
      </c>
      <c r="BE958">
        <f>IF(BD958=1,COUNTIF($BD$2:BD958,1),"")</f>
        <v/>
      </c>
    </row>
    <row r="959">
      <c r="A959" t="inlineStr">
        <is>
          <t>5674185449</t>
        </is>
      </c>
      <c r="B959" t="inlineStr">
        <is>
          <t>ORGANIZACION DE EVENTOS ZEUS</t>
        </is>
      </c>
      <c r="C959" t="inlineStr">
        <is>
          <t>ORGANIZACION DE EVENTOS ZEUS LLC</t>
        </is>
      </c>
      <c r="D959" t="inlineStr">
        <is>
          <t>Open</t>
        </is>
      </c>
      <c r="E959" s="297" t="n">
        <v>46188</v>
      </c>
      <c r="F959" s="297" t="n">
        <v>46253</v>
      </c>
      <c r="G959" t="n">
        <v>3</v>
      </c>
      <c r="H959" t="inlineStr">
        <is>
          <t>7941</t>
        </is>
      </c>
      <c r="I959" t="inlineStr">
        <is>
          <t>79</t>
        </is>
      </c>
      <c r="J959" t="inlineStr">
        <is>
          <t>TX</t>
        </is>
      </c>
      <c r="K959" t="inlineStr">
        <is>
          <t>Westwood</t>
        </is>
      </c>
      <c r="L959" t="inlineStr">
        <is>
          <t>New Deal</t>
        </is>
      </c>
      <c r="M959" s="298" t="n">
        <v>1.49</v>
      </c>
      <c r="N959" s="299" t="n">
        <v>25000</v>
      </c>
      <c r="O959" s="299" t="n">
        <v>3500</v>
      </c>
      <c r="P959" s="299" t="n">
        <v>37250</v>
      </c>
      <c r="Q959" s="299" t="n">
        <v>20030.26</v>
      </c>
      <c r="R959" s="299" t="n">
        <v>17219.74</v>
      </c>
      <c r="S959" s="300" t="n">
        <v>0.537725100671141</v>
      </c>
      <c r="T959" t="n">
        <v>2.623</v>
      </c>
      <c r="U959" t="n">
        <v>1</v>
      </c>
      <c r="V959" t="n">
        <v>85137.67999999999</v>
      </c>
      <c r="W959" s="300" t="n">
        <v>0.1149</v>
      </c>
      <c r="X959" s="297" t="n">
        <v>45805</v>
      </c>
      <c r="Y959">
        <f>IF(I959="","No SIC",IFERROR(VLOOKUP(I959,Ref!$A$2:$B$65,2,FALSE),"Unclassified"))</f>
        <v/>
      </c>
      <c r="Z959">
        <f>IF(T959="","",IF(T959&lt;12,"Daily","Weekly"))</f>
        <v/>
      </c>
      <c r="AA959">
        <f>IF(T959="",0,IF(T959&lt;12,T959*Controls!$B$29,T959*5))</f>
        <v/>
      </c>
      <c r="AB959">
        <f>IF(E959="",0,NETWORKDAYS(E959,Controls!$B$36,Ref!$K$2:$K$42))</f>
        <v/>
      </c>
      <c r="AC959">
        <f>IF(AND(AA959&gt;0,AB959&gt;=Controls!$B$39*AA959),1,0)</f>
        <v/>
      </c>
      <c r="AD959">
        <f>IF(AND(E959&lt;&gt;"",E959&gt;=Controls!$B$37,E959&lt;=Controls!$B$38),1,0)</f>
        <v/>
      </c>
      <c r="AE959">
        <f>IF(IFERROR(VLOOKUP(D959,Controls!$A$64:$E$74,2,FALSE),"No")="Yes",1,0)</f>
        <v/>
      </c>
      <c r="AF959">
        <f>IF(IFERROR(VLOOKUP(D959,Controls!$A$64:$E$74,3,FALSE),"No")="Yes",1,0)</f>
        <v/>
      </c>
      <c r="AG959">
        <f>IF(IFERROR(VLOOKUP(D959,Controls!$A$64:$E$74,4,FALSE),"No")="Yes",1,0)</f>
        <v/>
      </c>
      <c r="AH959">
        <f>IF(IFERROR(VLOOKUP(D959,Controls!$A$64:$E$74,5,FALSE),"No")="Yes",1,0)</f>
        <v/>
      </c>
      <c r="AI959">
        <f>IF(ISNUMBER(MATCH(D959,Controls!$A$64:$A$74,0)),1,0)</f>
        <v/>
      </c>
      <c r="AJ959">
        <f>Q959-N959</f>
        <v/>
      </c>
      <c r="AK959">
        <f>IF(AE959=1,MAX(0,N959-Q959),0)</f>
        <v/>
      </c>
      <c r="AL959">
        <f>IF(OR(V959="",V959=0),0,N959/V959)</f>
        <v/>
      </c>
      <c r="AM959">
        <f>IF(OR(V959="",V959=0),0,1)</f>
        <v/>
      </c>
      <c r="AN959">
        <f>IF(OR(E959="",F959=""),0,NETWORKDAYS(E959,F959,Ref!$K$2:$K$42))</f>
        <v/>
      </c>
      <c r="AO959">
        <f>IF(L959="Renewal",1,0)</f>
        <v/>
      </c>
      <c r="AP959">
        <f>AC959*AD959</f>
        <v/>
      </c>
      <c r="AQ959">
        <f>IF(AND(G959&lt;&gt;"",'Historical Score'!$C$6&lt;&gt;""),IF(G959='Historical Score'!$C$6,1,0),0)</f>
        <v/>
      </c>
      <c r="AR959">
        <f>IF(AND(L959&lt;&gt;"",'Historical Score'!$C$5&lt;&gt;""),IF(L959='Historical Score'!$C$5,1,0),0)</f>
        <v/>
      </c>
      <c r="AS959">
        <f>IF(AND(Y959&lt;&gt;"",'Historical Score'!$C$7&lt;&gt;""),IF(Y959='Historical Score'!$C$7,1,0),0)</f>
        <v/>
      </c>
      <c r="AT959">
        <f>IF(AND(K959&lt;&gt;"",'Historical Score'!$C$8&lt;&gt;""),IF(K959='Historical Score'!$C$8,1,0),0)</f>
        <v/>
      </c>
      <c r="AU959">
        <f>IF(AND(J959&lt;&gt;"",'Historical Score'!$C$9&lt;&gt;""),IF(J959='Historical Score'!$C$9,1,0),0)</f>
        <v/>
      </c>
      <c r="AV959">
        <f>AR959*AS959*AQ959</f>
        <v/>
      </c>
      <c r="AW959">
        <f>AR959*AT959*AQ959</f>
        <v/>
      </c>
      <c r="AX959">
        <f>AR959*AS959</f>
        <v/>
      </c>
      <c r="AY959">
        <f>AR959*AT959</f>
        <v/>
      </c>
      <c r="AZ959">
        <f>AR959*AQ959</f>
        <v/>
      </c>
      <c r="BA959">
        <f>AR959</f>
        <v/>
      </c>
      <c r="BB959">
        <f>1</f>
        <v/>
      </c>
      <c r="BC959">
        <f>IF(AV959=1,1,IF(AW959=1,2,IF(AX959=1,3,IF(AY959=1,4,IF(AZ959=1,5,IF(BA959=1,6,7))))))</f>
        <v/>
      </c>
      <c r="BD959">
        <f>IF(AD959=1,CHOOSE('Historical Score'!$C$29,AV959,AW959,AX959,AY959,AZ959,BA959,BB959),0)</f>
        <v/>
      </c>
      <c r="BE959">
        <f>IF(BD959=1,COUNTIF($BD$2:BD959,1),"")</f>
        <v/>
      </c>
    </row>
    <row r="960">
      <c r="A960" t="inlineStr">
        <is>
          <t>5674185504</t>
        </is>
      </c>
      <c r="B960" t="inlineStr">
        <is>
          <t>CAPITOL INVESTMENT CONSULTANTS, LTD  DBA  WENDY BALICANTA SOLE MBR</t>
        </is>
      </c>
      <c r="C960" t="inlineStr">
        <is>
          <t>CAPITOL INVESTMENT CONSULTANTS LLC</t>
        </is>
      </c>
      <c r="D960" t="inlineStr">
        <is>
          <t>Open</t>
        </is>
      </c>
      <c r="E960" s="297" t="n">
        <v>46188</v>
      </c>
      <c r="F960" s="297" t="n">
        <v>46253</v>
      </c>
      <c r="G960" t="n">
        <v>3</v>
      </c>
      <c r="H960" t="inlineStr">
        <is>
          <t>6282</t>
        </is>
      </c>
      <c r="I960" t="inlineStr">
        <is>
          <t>62</t>
        </is>
      </c>
      <c r="J960" t="inlineStr">
        <is>
          <t>VA</t>
        </is>
      </c>
      <c r="K960" t="inlineStr">
        <is>
          <t>Samson Funding</t>
        </is>
      </c>
      <c r="L960" t="inlineStr">
        <is>
          <t>Renewal</t>
        </is>
      </c>
      <c r="M960" s="298" t="n">
        <v>1.49</v>
      </c>
      <c r="N960" s="299" t="n">
        <v>80000</v>
      </c>
      <c r="O960" s="299" t="n">
        <v>11200</v>
      </c>
      <c r="P960" s="299" t="n">
        <v>119200</v>
      </c>
      <c r="Q960" s="299" t="n">
        <v>41847.75</v>
      </c>
      <c r="R960" s="299" t="n">
        <v>77352.25</v>
      </c>
      <c r="S960" s="300" t="n">
        <v>0.35107172818792</v>
      </c>
      <c r="T960" t="n">
        <v>2.787</v>
      </c>
      <c r="U960" t="n">
        <v>21</v>
      </c>
      <c r="V960" t="n">
        <v>390784.09</v>
      </c>
      <c r="W960" s="300" t="n">
        <v>0.0511</v>
      </c>
      <c r="X960" s="297" t="n">
        <v>44762</v>
      </c>
      <c r="Y960">
        <f>IF(I960="","No SIC",IFERROR(VLOOKUP(I960,Ref!$A$2:$B$65,2,FALSE),"Unclassified"))</f>
        <v/>
      </c>
      <c r="Z960">
        <f>IF(T960="","",IF(T960&lt;12,"Daily","Weekly"))</f>
        <v/>
      </c>
      <c r="AA960">
        <f>IF(T960="",0,IF(T960&lt;12,T960*Controls!$B$29,T960*5))</f>
        <v/>
      </c>
      <c r="AB960">
        <f>IF(E960="",0,NETWORKDAYS(E960,Controls!$B$36,Ref!$K$2:$K$42))</f>
        <v/>
      </c>
      <c r="AC960">
        <f>IF(AND(AA960&gt;0,AB960&gt;=Controls!$B$39*AA960),1,0)</f>
        <v/>
      </c>
      <c r="AD960">
        <f>IF(AND(E960&lt;&gt;"",E960&gt;=Controls!$B$37,E960&lt;=Controls!$B$38),1,0)</f>
        <v/>
      </c>
      <c r="AE960">
        <f>IF(IFERROR(VLOOKUP(D960,Controls!$A$64:$E$74,2,FALSE),"No")="Yes",1,0)</f>
        <v/>
      </c>
      <c r="AF960">
        <f>IF(IFERROR(VLOOKUP(D960,Controls!$A$64:$E$74,3,FALSE),"No")="Yes",1,0)</f>
        <v/>
      </c>
      <c r="AG960">
        <f>IF(IFERROR(VLOOKUP(D960,Controls!$A$64:$E$74,4,FALSE),"No")="Yes",1,0)</f>
        <v/>
      </c>
      <c r="AH960">
        <f>IF(IFERROR(VLOOKUP(D960,Controls!$A$64:$E$74,5,FALSE),"No")="Yes",1,0)</f>
        <v/>
      </c>
      <c r="AI960">
        <f>IF(ISNUMBER(MATCH(D960,Controls!$A$64:$A$74,0)),1,0)</f>
        <v/>
      </c>
      <c r="AJ960">
        <f>Q960-N960</f>
        <v/>
      </c>
      <c r="AK960">
        <f>IF(AE960=1,MAX(0,N960-Q960),0)</f>
        <v/>
      </c>
      <c r="AL960">
        <f>IF(OR(V960="",V960=0),0,N960/V960)</f>
        <v/>
      </c>
      <c r="AM960">
        <f>IF(OR(V960="",V960=0),0,1)</f>
        <v/>
      </c>
      <c r="AN960">
        <f>IF(OR(E960="",F960=""),0,NETWORKDAYS(E960,F960,Ref!$K$2:$K$42))</f>
        <v/>
      </c>
      <c r="AO960">
        <f>IF(L960="Renewal",1,0)</f>
        <v/>
      </c>
      <c r="AP960">
        <f>AC960*AD960</f>
        <v/>
      </c>
      <c r="AQ960">
        <f>IF(AND(G960&lt;&gt;"",'Historical Score'!$C$6&lt;&gt;""),IF(G960='Historical Score'!$C$6,1,0),0)</f>
        <v/>
      </c>
      <c r="AR960">
        <f>IF(AND(L960&lt;&gt;"",'Historical Score'!$C$5&lt;&gt;""),IF(L960='Historical Score'!$C$5,1,0),0)</f>
        <v/>
      </c>
      <c r="AS960">
        <f>IF(AND(Y960&lt;&gt;"",'Historical Score'!$C$7&lt;&gt;""),IF(Y960='Historical Score'!$C$7,1,0),0)</f>
        <v/>
      </c>
      <c r="AT960">
        <f>IF(AND(K960&lt;&gt;"",'Historical Score'!$C$8&lt;&gt;""),IF(K960='Historical Score'!$C$8,1,0),0)</f>
        <v/>
      </c>
      <c r="AU960">
        <f>IF(AND(J960&lt;&gt;"",'Historical Score'!$C$9&lt;&gt;""),IF(J960='Historical Score'!$C$9,1,0),0)</f>
        <v/>
      </c>
      <c r="AV960">
        <f>AR960*AS960*AQ960</f>
        <v/>
      </c>
      <c r="AW960">
        <f>AR960*AT960*AQ960</f>
        <v/>
      </c>
      <c r="AX960">
        <f>AR960*AS960</f>
        <v/>
      </c>
      <c r="AY960">
        <f>AR960*AT960</f>
        <v/>
      </c>
      <c r="AZ960">
        <f>AR960*AQ960</f>
        <v/>
      </c>
      <c r="BA960">
        <f>AR960</f>
        <v/>
      </c>
      <c r="BB960">
        <f>1</f>
        <v/>
      </c>
      <c r="BC960">
        <f>IF(AV960=1,1,IF(AW960=1,2,IF(AX960=1,3,IF(AY960=1,4,IF(AZ960=1,5,IF(BA960=1,6,7))))))</f>
        <v/>
      </c>
      <c r="BD960">
        <f>IF(AD960=1,CHOOSE('Historical Score'!$C$29,AV960,AW960,AX960,AY960,AZ960,BA960,BB960),0)</f>
        <v/>
      </c>
      <c r="BE960">
        <f>IF(BD960=1,COUNTIF($BD$2:BD960,1),"")</f>
        <v/>
      </c>
    </row>
    <row r="961">
      <c r="A961" t="inlineStr">
        <is>
          <t>5674185547</t>
        </is>
      </c>
      <c r="B961" t="inlineStr">
        <is>
          <t>HEALTH WELLNESS CLINICCO LLC</t>
        </is>
      </c>
      <c r="C961" t="inlineStr">
        <is>
          <t>HEALTH WELLNESS CLINICCO LLC</t>
        </is>
      </c>
      <c r="D961" t="inlineStr">
        <is>
          <t>Open</t>
        </is>
      </c>
      <c r="E961" s="297" t="n">
        <v>46189</v>
      </c>
      <c r="F961" s="297" t="n">
        <v>46253</v>
      </c>
      <c r="G961" t="n">
        <v>3</v>
      </c>
      <c r="H961" t="inlineStr">
        <is>
          <t>8011</t>
        </is>
      </c>
      <c r="I961" t="inlineStr">
        <is>
          <t>80</t>
        </is>
      </c>
      <c r="J961" t="inlineStr">
        <is>
          <t>KS</t>
        </is>
      </c>
      <c r="K961" t="inlineStr">
        <is>
          <t>PMF</t>
        </is>
      </c>
      <c r="L961" t="inlineStr">
        <is>
          <t>New Deal</t>
        </is>
      </c>
      <c r="M961" s="298" t="n">
        <v>1.49</v>
      </c>
      <c r="N961" s="299" t="n">
        <v>20000</v>
      </c>
      <c r="O961" s="299" t="n">
        <v>2800</v>
      </c>
      <c r="P961" s="299" t="n">
        <v>29800</v>
      </c>
      <c r="Q961" s="299" t="n">
        <v>13513.68</v>
      </c>
      <c r="R961" s="299" t="n">
        <v>16286.32</v>
      </c>
      <c r="S961" s="300" t="n">
        <v>0.453479194630873</v>
      </c>
      <c r="T961" t="n">
        <v>2.951</v>
      </c>
      <c r="U961" t="n">
        <v>1</v>
      </c>
      <c r="V961" t="n">
        <v>37546.4</v>
      </c>
      <c r="W961" s="300" t="n">
        <v>0.1852</v>
      </c>
      <c r="X961" s="297" t="n">
        <v>45762</v>
      </c>
      <c r="Y961">
        <f>IF(I961="","No SIC",IFERROR(VLOOKUP(I961,Ref!$A$2:$B$65,2,FALSE),"Unclassified"))</f>
        <v/>
      </c>
      <c r="Z961">
        <f>IF(T961="","",IF(T961&lt;12,"Daily","Weekly"))</f>
        <v/>
      </c>
      <c r="AA961">
        <f>IF(T961="",0,IF(T961&lt;12,T961*Controls!$B$29,T961*5))</f>
        <v/>
      </c>
      <c r="AB961">
        <f>IF(E961="",0,NETWORKDAYS(E961,Controls!$B$36,Ref!$K$2:$K$42))</f>
        <v/>
      </c>
      <c r="AC961">
        <f>IF(AND(AA961&gt;0,AB961&gt;=Controls!$B$39*AA961),1,0)</f>
        <v/>
      </c>
      <c r="AD961">
        <f>IF(AND(E961&lt;&gt;"",E961&gt;=Controls!$B$37,E961&lt;=Controls!$B$38),1,0)</f>
        <v/>
      </c>
      <c r="AE961">
        <f>IF(IFERROR(VLOOKUP(D961,Controls!$A$64:$E$74,2,FALSE),"No")="Yes",1,0)</f>
        <v/>
      </c>
      <c r="AF961">
        <f>IF(IFERROR(VLOOKUP(D961,Controls!$A$64:$E$74,3,FALSE),"No")="Yes",1,0)</f>
        <v/>
      </c>
      <c r="AG961">
        <f>IF(IFERROR(VLOOKUP(D961,Controls!$A$64:$E$74,4,FALSE),"No")="Yes",1,0)</f>
        <v/>
      </c>
      <c r="AH961">
        <f>IF(IFERROR(VLOOKUP(D961,Controls!$A$64:$E$74,5,FALSE),"No")="Yes",1,0)</f>
        <v/>
      </c>
      <c r="AI961">
        <f>IF(ISNUMBER(MATCH(D961,Controls!$A$64:$A$74,0)),1,0)</f>
        <v/>
      </c>
      <c r="AJ961">
        <f>Q961-N961</f>
        <v/>
      </c>
      <c r="AK961">
        <f>IF(AE961=1,MAX(0,N961-Q961),0)</f>
        <v/>
      </c>
      <c r="AL961">
        <f>IF(OR(V961="",V961=0),0,N961/V961)</f>
        <v/>
      </c>
      <c r="AM961">
        <f>IF(OR(V961="",V961=0),0,1)</f>
        <v/>
      </c>
      <c r="AN961">
        <f>IF(OR(E961="",F961=""),0,NETWORKDAYS(E961,F961,Ref!$K$2:$K$42))</f>
        <v/>
      </c>
      <c r="AO961">
        <f>IF(L961="Renewal",1,0)</f>
        <v/>
      </c>
      <c r="AP961">
        <f>AC961*AD961</f>
        <v/>
      </c>
      <c r="AQ961">
        <f>IF(AND(G961&lt;&gt;"",'Historical Score'!$C$6&lt;&gt;""),IF(G961='Historical Score'!$C$6,1,0),0)</f>
        <v/>
      </c>
      <c r="AR961">
        <f>IF(AND(L961&lt;&gt;"",'Historical Score'!$C$5&lt;&gt;""),IF(L961='Historical Score'!$C$5,1,0),0)</f>
        <v/>
      </c>
      <c r="AS961">
        <f>IF(AND(Y961&lt;&gt;"",'Historical Score'!$C$7&lt;&gt;""),IF(Y961='Historical Score'!$C$7,1,0),0)</f>
        <v/>
      </c>
      <c r="AT961">
        <f>IF(AND(K961&lt;&gt;"",'Historical Score'!$C$8&lt;&gt;""),IF(K961='Historical Score'!$C$8,1,0),0)</f>
        <v/>
      </c>
      <c r="AU961">
        <f>IF(AND(J961&lt;&gt;"",'Historical Score'!$C$9&lt;&gt;""),IF(J961='Historical Score'!$C$9,1,0),0)</f>
        <v/>
      </c>
      <c r="AV961">
        <f>AR961*AS961*AQ961</f>
        <v/>
      </c>
      <c r="AW961">
        <f>AR961*AT961*AQ961</f>
        <v/>
      </c>
      <c r="AX961">
        <f>AR961*AS961</f>
        <v/>
      </c>
      <c r="AY961">
        <f>AR961*AT961</f>
        <v/>
      </c>
      <c r="AZ961">
        <f>AR961*AQ961</f>
        <v/>
      </c>
      <c r="BA961">
        <f>AR961</f>
        <v/>
      </c>
      <c r="BB961">
        <f>1</f>
        <v/>
      </c>
      <c r="BC961">
        <f>IF(AV961=1,1,IF(AW961=1,2,IF(AX961=1,3,IF(AY961=1,4,IF(AZ961=1,5,IF(BA961=1,6,7))))))</f>
        <v/>
      </c>
      <c r="BD961">
        <f>IF(AD961=1,CHOOSE('Historical Score'!$C$29,AV961,AW961,AX961,AY961,AZ961,BA961,BB961),0)</f>
        <v/>
      </c>
      <c r="BE961">
        <f>IF(BD961=1,COUNTIF($BD$2:BD961,1),"")</f>
        <v/>
      </c>
    </row>
    <row r="962">
      <c r="A962" t="inlineStr">
        <is>
          <t>5674185552</t>
        </is>
      </c>
      <c r="B962" t="inlineStr">
        <is>
          <t>y3ms wireless plus</t>
        </is>
      </c>
      <c r="C962" t="inlineStr">
        <is>
          <t>Y3MS WIRELESS PLUS LLC</t>
        </is>
      </c>
      <c r="D962" t="inlineStr">
        <is>
          <t>Open</t>
        </is>
      </c>
      <c r="E962" s="297" t="n">
        <v>46189</v>
      </c>
      <c r="F962" s="297" t="n">
        <v>46248</v>
      </c>
      <c r="G962" t="n">
        <v>4</v>
      </c>
      <c r="H962" t="inlineStr">
        <is>
          <t>5999</t>
        </is>
      </c>
      <c r="I962" t="inlineStr">
        <is>
          <t>59</t>
        </is>
      </c>
      <c r="J962" t="inlineStr">
        <is>
          <t>MI</t>
        </is>
      </c>
      <c r="K962" t="inlineStr">
        <is>
          <t>PMF</t>
        </is>
      </c>
      <c r="L962" t="inlineStr">
        <is>
          <t>New Deal</t>
        </is>
      </c>
      <c r="M962" s="298" t="n">
        <v>1.49</v>
      </c>
      <c r="N962" s="299" t="n">
        <v>10000</v>
      </c>
      <c r="O962" s="299" t="n">
        <v>1400</v>
      </c>
      <c r="P962" s="299" t="n">
        <v>14900</v>
      </c>
      <c r="Q962" s="299" t="n">
        <v>7945.36</v>
      </c>
      <c r="R962" s="299" t="n">
        <v>6954.64</v>
      </c>
      <c r="S962" s="300" t="n">
        <v>0.533245637583893</v>
      </c>
      <c r="T962" t="n">
        <v>15</v>
      </c>
      <c r="U962" t="n">
        <v>0</v>
      </c>
      <c r="V962" t="n">
        <v>25796.55</v>
      </c>
      <c r="W962" s="300" t="n">
        <v>0.154</v>
      </c>
      <c r="X962" s="297" t="n">
        <v>37401</v>
      </c>
      <c r="Y962">
        <f>IF(I962="","No SIC",IFERROR(VLOOKUP(I962,Ref!$A$2:$B$65,2,FALSE),"Unclassified"))</f>
        <v/>
      </c>
      <c r="Z962">
        <f>IF(T962="","",IF(T962&lt;12,"Daily","Weekly"))</f>
        <v/>
      </c>
      <c r="AA962">
        <f>IF(T962="",0,IF(T962&lt;12,T962*Controls!$B$29,T962*5))</f>
        <v/>
      </c>
      <c r="AB962">
        <f>IF(E962="",0,NETWORKDAYS(E962,Controls!$B$36,Ref!$K$2:$K$42))</f>
        <v/>
      </c>
      <c r="AC962">
        <f>IF(AND(AA962&gt;0,AB962&gt;=Controls!$B$39*AA962),1,0)</f>
        <v/>
      </c>
      <c r="AD962">
        <f>IF(AND(E962&lt;&gt;"",E962&gt;=Controls!$B$37,E962&lt;=Controls!$B$38),1,0)</f>
        <v/>
      </c>
      <c r="AE962">
        <f>IF(IFERROR(VLOOKUP(D962,Controls!$A$64:$E$74,2,FALSE),"No")="Yes",1,0)</f>
        <v/>
      </c>
      <c r="AF962">
        <f>IF(IFERROR(VLOOKUP(D962,Controls!$A$64:$E$74,3,FALSE),"No")="Yes",1,0)</f>
        <v/>
      </c>
      <c r="AG962">
        <f>IF(IFERROR(VLOOKUP(D962,Controls!$A$64:$E$74,4,FALSE),"No")="Yes",1,0)</f>
        <v/>
      </c>
      <c r="AH962">
        <f>IF(IFERROR(VLOOKUP(D962,Controls!$A$64:$E$74,5,FALSE),"No")="Yes",1,0)</f>
        <v/>
      </c>
      <c r="AI962">
        <f>IF(ISNUMBER(MATCH(D962,Controls!$A$64:$A$74,0)),1,0)</f>
        <v/>
      </c>
      <c r="AJ962">
        <f>Q962-N962</f>
        <v/>
      </c>
      <c r="AK962">
        <f>IF(AE962=1,MAX(0,N962-Q962),0)</f>
        <v/>
      </c>
      <c r="AL962">
        <f>IF(OR(V962="",V962=0),0,N962/V962)</f>
        <v/>
      </c>
      <c r="AM962">
        <f>IF(OR(V962="",V962=0),0,1)</f>
        <v/>
      </c>
      <c r="AN962">
        <f>IF(OR(E962="",F962=""),0,NETWORKDAYS(E962,F962,Ref!$K$2:$K$42))</f>
        <v/>
      </c>
      <c r="AO962">
        <f>IF(L962="Renewal",1,0)</f>
        <v/>
      </c>
      <c r="AP962">
        <f>AC962*AD962</f>
        <v/>
      </c>
      <c r="AQ962">
        <f>IF(AND(G962&lt;&gt;"",'Historical Score'!$C$6&lt;&gt;""),IF(G962='Historical Score'!$C$6,1,0),0)</f>
        <v/>
      </c>
      <c r="AR962">
        <f>IF(AND(L962&lt;&gt;"",'Historical Score'!$C$5&lt;&gt;""),IF(L962='Historical Score'!$C$5,1,0),0)</f>
        <v/>
      </c>
      <c r="AS962">
        <f>IF(AND(Y962&lt;&gt;"",'Historical Score'!$C$7&lt;&gt;""),IF(Y962='Historical Score'!$C$7,1,0),0)</f>
        <v/>
      </c>
      <c r="AT962">
        <f>IF(AND(K962&lt;&gt;"",'Historical Score'!$C$8&lt;&gt;""),IF(K962='Historical Score'!$C$8,1,0),0)</f>
        <v/>
      </c>
      <c r="AU962">
        <f>IF(AND(J962&lt;&gt;"",'Historical Score'!$C$9&lt;&gt;""),IF(J962='Historical Score'!$C$9,1,0),0)</f>
        <v/>
      </c>
      <c r="AV962">
        <f>AR962*AS962*AQ962</f>
        <v/>
      </c>
      <c r="AW962">
        <f>AR962*AT962*AQ962</f>
        <v/>
      </c>
      <c r="AX962">
        <f>AR962*AS962</f>
        <v/>
      </c>
      <c r="AY962">
        <f>AR962*AT962</f>
        <v/>
      </c>
      <c r="AZ962">
        <f>AR962*AQ962</f>
        <v/>
      </c>
      <c r="BA962">
        <f>AR962</f>
        <v/>
      </c>
      <c r="BB962">
        <f>1</f>
        <v/>
      </c>
      <c r="BC962">
        <f>IF(AV962=1,1,IF(AW962=1,2,IF(AX962=1,3,IF(AY962=1,4,IF(AZ962=1,5,IF(BA962=1,6,7))))))</f>
        <v/>
      </c>
      <c r="BD962">
        <f>IF(AD962=1,CHOOSE('Historical Score'!$C$29,AV962,AW962,AX962,AY962,AZ962,BA962,BB962),0)</f>
        <v/>
      </c>
      <c r="BE962">
        <f>IF(BD962=1,COUNTIF($BD$2:BD962,1),"")</f>
        <v/>
      </c>
    </row>
    <row r="963">
      <c r="A963" t="inlineStr">
        <is>
          <t>5674185556</t>
        </is>
      </c>
      <c r="B963" t="inlineStr">
        <is>
          <t>FIRST CLASS HOME HEALTHCARE SERVICES LLC</t>
        </is>
      </c>
      <c r="C963" t="inlineStr">
        <is>
          <t>MAGDALENA MARIE DOLBRUS-GREENE</t>
        </is>
      </c>
      <c r="D963" t="inlineStr">
        <is>
          <t>In House Collection</t>
        </is>
      </c>
      <c r="E963" s="297" t="n">
        <v>46189</v>
      </c>
      <c r="F963" s="297" t="n">
        <v>46253</v>
      </c>
      <c r="G963" t="n">
        <v>3</v>
      </c>
      <c r="H963" t="inlineStr">
        <is>
          <t>8011</t>
        </is>
      </c>
      <c r="I963" t="inlineStr">
        <is>
          <t>80</t>
        </is>
      </c>
      <c r="J963" t="inlineStr">
        <is>
          <t>FL</t>
        </is>
      </c>
      <c r="K963" t="inlineStr">
        <is>
          <t>United Secured Capital 8</t>
        </is>
      </c>
      <c r="L963" t="inlineStr">
        <is>
          <t>New Deal</t>
        </is>
      </c>
      <c r="M963" s="298" t="n">
        <v>1.49</v>
      </c>
      <c r="N963" s="299" t="n">
        <v>30000</v>
      </c>
      <c r="O963" s="299" t="n">
        <v>4200</v>
      </c>
      <c r="P963" s="299" t="n">
        <v>44700</v>
      </c>
      <c r="Q963" s="299" t="n">
        <v>3576.68</v>
      </c>
      <c r="R963" s="299" t="n">
        <v>41123.32</v>
      </c>
      <c r="S963" s="300" t="n">
        <v>0.0800152125279642</v>
      </c>
      <c r="T963" t="n">
        <v>30</v>
      </c>
      <c r="U963" t="n">
        <v>9</v>
      </c>
      <c r="V963" t="n">
        <v>72081.56</v>
      </c>
      <c r="W963" s="300" t="n">
        <v>0.0827</v>
      </c>
      <c r="X963" s="297" t="n">
        <v>43780</v>
      </c>
      <c r="Y963">
        <f>IF(I963="","No SIC",IFERROR(VLOOKUP(I963,Ref!$A$2:$B$65,2,FALSE),"Unclassified"))</f>
        <v/>
      </c>
      <c r="Z963">
        <f>IF(T963="","",IF(T963&lt;12,"Daily","Weekly"))</f>
        <v/>
      </c>
      <c r="AA963">
        <f>IF(T963="",0,IF(T963&lt;12,T963*Controls!$B$29,T963*5))</f>
        <v/>
      </c>
      <c r="AB963">
        <f>IF(E963="",0,NETWORKDAYS(E963,Controls!$B$36,Ref!$K$2:$K$42))</f>
        <v/>
      </c>
      <c r="AC963">
        <f>IF(AND(AA963&gt;0,AB963&gt;=Controls!$B$39*AA963),1,0)</f>
        <v/>
      </c>
      <c r="AD963">
        <f>IF(AND(E963&lt;&gt;"",E963&gt;=Controls!$B$37,E963&lt;=Controls!$B$38),1,0)</f>
        <v/>
      </c>
      <c r="AE963">
        <f>IF(IFERROR(VLOOKUP(D963,Controls!$A$64:$E$74,2,FALSE),"No")="Yes",1,0)</f>
        <v/>
      </c>
      <c r="AF963">
        <f>IF(IFERROR(VLOOKUP(D963,Controls!$A$64:$E$74,3,FALSE),"No")="Yes",1,0)</f>
        <v/>
      </c>
      <c r="AG963">
        <f>IF(IFERROR(VLOOKUP(D963,Controls!$A$64:$E$74,4,FALSE),"No")="Yes",1,0)</f>
        <v/>
      </c>
      <c r="AH963">
        <f>IF(IFERROR(VLOOKUP(D963,Controls!$A$64:$E$74,5,FALSE),"No")="Yes",1,0)</f>
        <v/>
      </c>
      <c r="AI963">
        <f>IF(ISNUMBER(MATCH(D963,Controls!$A$64:$A$74,0)),1,0)</f>
        <v/>
      </c>
      <c r="AJ963">
        <f>Q963-N963</f>
        <v/>
      </c>
      <c r="AK963">
        <f>IF(AE963=1,MAX(0,N963-Q963),0)</f>
        <v/>
      </c>
      <c r="AL963">
        <f>IF(OR(V963="",V963=0),0,N963/V963)</f>
        <v/>
      </c>
      <c r="AM963">
        <f>IF(OR(V963="",V963=0),0,1)</f>
        <v/>
      </c>
      <c r="AN963">
        <f>IF(OR(E963="",F963=""),0,NETWORKDAYS(E963,F963,Ref!$K$2:$K$42))</f>
        <v/>
      </c>
      <c r="AO963">
        <f>IF(L963="Renewal",1,0)</f>
        <v/>
      </c>
      <c r="AP963">
        <f>AC963*AD963</f>
        <v/>
      </c>
      <c r="AQ963">
        <f>IF(AND(G963&lt;&gt;"",'Historical Score'!$C$6&lt;&gt;""),IF(G963='Historical Score'!$C$6,1,0),0)</f>
        <v/>
      </c>
      <c r="AR963">
        <f>IF(AND(L963&lt;&gt;"",'Historical Score'!$C$5&lt;&gt;""),IF(L963='Historical Score'!$C$5,1,0),0)</f>
        <v/>
      </c>
      <c r="AS963">
        <f>IF(AND(Y963&lt;&gt;"",'Historical Score'!$C$7&lt;&gt;""),IF(Y963='Historical Score'!$C$7,1,0),0)</f>
        <v/>
      </c>
      <c r="AT963">
        <f>IF(AND(K963&lt;&gt;"",'Historical Score'!$C$8&lt;&gt;""),IF(K963='Historical Score'!$C$8,1,0),0)</f>
        <v/>
      </c>
      <c r="AU963">
        <f>IF(AND(J963&lt;&gt;"",'Historical Score'!$C$9&lt;&gt;""),IF(J963='Historical Score'!$C$9,1,0),0)</f>
        <v/>
      </c>
      <c r="AV963">
        <f>AR963*AS963*AQ963</f>
        <v/>
      </c>
      <c r="AW963">
        <f>AR963*AT963*AQ963</f>
        <v/>
      </c>
      <c r="AX963">
        <f>AR963*AS963</f>
        <v/>
      </c>
      <c r="AY963">
        <f>AR963*AT963</f>
        <v/>
      </c>
      <c r="AZ963">
        <f>AR963*AQ963</f>
        <v/>
      </c>
      <c r="BA963">
        <f>AR963</f>
        <v/>
      </c>
      <c r="BB963">
        <f>1</f>
        <v/>
      </c>
      <c r="BC963">
        <f>IF(AV963=1,1,IF(AW963=1,2,IF(AX963=1,3,IF(AY963=1,4,IF(AZ963=1,5,IF(BA963=1,6,7))))))</f>
        <v/>
      </c>
      <c r="BD963">
        <f>IF(AD963=1,CHOOSE('Historical Score'!$C$29,AV963,AW963,AX963,AY963,AZ963,BA963,BB963),0)</f>
        <v/>
      </c>
      <c r="BE963">
        <f>IF(BD963=1,COUNTIF($BD$2:BD963,1),"")</f>
        <v/>
      </c>
    </row>
    <row r="964">
      <c r="A964" t="inlineStr">
        <is>
          <t>5674185577</t>
        </is>
      </c>
      <c r="B964" t="inlineStr">
        <is>
          <t>Borezzo</t>
        </is>
      </c>
      <c r="C964" t="inlineStr">
        <is>
          <t>Borezzo LLC</t>
        </is>
      </c>
      <c r="D964" t="inlineStr">
        <is>
          <t>In House Collection</t>
        </is>
      </c>
      <c r="E964" s="297" t="n">
        <v>46189</v>
      </c>
      <c r="F964" s="297" t="n">
        <v>46209</v>
      </c>
      <c r="G964" t="n">
        <v>3</v>
      </c>
      <c r="H964" t="inlineStr">
        <is>
          <t>5999</t>
        </is>
      </c>
      <c r="I964" t="inlineStr">
        <is>
          <t>59</t>
        </is>
      </c>
      <c r="J964" t="inlineStr">
        <is>
          <t>SC</t>
        </is>
      </c>
      <c r="K964" t="inlineStr">
        <is>
          <t>Shore Funding USA</t>
        </is>
      </c>
      <c r="L964" t="inlineStr">
        <is>
          <t>New Deal</t>
        </is>
      </c>
      <c r="M964" s="298" t="n">
        <v>1.49</v>
      </c>
      <c r="N964" s="299" t="n">
        <v>12000</v>
      </c>
      <c r="O964" s="299" t="n">
        <v>1680</v>
      </c>
      <c r="P964" s="299" t="n">
        <v>17880</v>
      </c>
      <c r="Q964" s="299" t="n">
        <v>1564.62</v>
      </c>
      <c r="R964" s="299" t="n">
        <v>16315.38</v>
      </c>
      <c r="S964" s="300" t="n">
        <v>0.087506711409396</v>
      </c>
      <c r="T964" t="n">
        <v>2.951</v>
      </c>
      <c r="U964" t="n">
        <v>3</v>
      </c>
      <c r="V964" t="n">
        <v>101914.65</v>
      </c>
      <c r="W964" s="300" t="n">
        <v>0.0409</v>
      </c>
      <c r="X964" s="297" t="n">
        <v>45324</v>
      </c>
      <c r="Y964">
        <f>IF(I964="","No SIC",IFERROR(VLOOKUP(I964,Ref!$A$2:$B$65,2,FALSE),"Unclassified"))</f>
        <v/>
      </c>
      <c r="Z964">
        <f>IF(T964="","",IF(T964&lt;12,"Daily","Weekly"))</f>
        <v/>
      </c>
      <c r="AA964">
        <f>IF(T964="",0,IF(T964&lt;12,T964*Controls!$B$29,T964*5))</f>
        <v/>
      </c>
      <c r="AB964">
        <f>IF(E964="",0,NETWORKDAYS(E964,Controls!$B$36,Ref!$K$2:$K$42))</f>
        <v/>
      </c>
      <c r="AC964">
        <f>IF(AND(AA964&gt;0,AB964&gt;=Controls!$B$39*AA964),1,0)</f>
        <v/>
      </c>
      <c r="AD964">
        <f>IF(AND(E964&lt;&gt;"",E964&gt;=Controls!$B$37,E964&lt;=Controls!$B$38),1,0)</f>
        <v/>
      </c>
      <c r="AE964">
        <f>IF(IFERROR(VLOOKUP(D964,Controls!$A$64:$E$74,2,FALSE),"No")="Yes",1,0)</f>
        <v/>
      </c>
      <c r="AF964">
        <f>IF(IFERROR(VLOOKUP(D964,Controls!$A$64:$E$74,3,FALSE),"No")="Yes",1,0)</f>
        <v/>
      </c>
      <c r="AG964">
        <f>IF(IFERROR(VLOOKUP(D964,Controls!$A$64:$E$74,4,FALSE),"No")="Yes",1,0)</f>
        <v/>
      </c>
      <c r="AH964">
        <f>IF(IFERROR(VLOOKUP(D964,Controls!$A$64:$E$74,5,FALSE),"No")="Yes",1,0)</f>
        <v/>
      </c>
      <c r="AI964">
        <f>IF(ISNUMBER(MATCH(D964,Controls!$A$64:$A$74,0)),1,0)</f>
        <v/>
      </c>
      <c r="AJ964">
        <f>Q964-N964</f>
        <v/>
      </c>
      <c r="AK964">
        <f>IF(AE964=1,MAX(0,N964-Q964),0)</f>
        <v/>
      </c>
      <c r="AL964">
        <f>IF(OR(V964="",V964=0),0,N964/V964)</f>
        <v/>
      </c>
      <c r="AM964">
        <f>IF(OR(V964="",V964=0),0,1)</f>
        <v/>
      </c>
      <c r="AN964">
        <f>IF(OR(E964="",F964=""),0,NETWORKDAYS(E964,F964,Ref!$K$2:$K$42))</f>
        <v/>
      </c>
      <c r="AO964">
        <f>IF(L964="Renewal",1,0)</f>
        <v/>
      </c>
      <c r="AP964">
        <f>AC964*AD964</f>
        <v/>
      </c>
      <c r="AQ964">
        <f>IF(AND(G964&lt;&gt;"",'Historical Score'!$C$6&lt;&gt;""),IF(G964='Historical Score'!$C$6,1,0),0)</f>
        <v/>
      </c>
      <c r="AR964">
        <f>IF(AND(L964&lt;&gt;"",'Historical Score'!$C$5&lt;&gt;""),IF(L964='Historical Score'!$C$5,1,0),0)</f>
        <v/>
      </c>
      <c r="AS964">
        <f>IF(AND(Y964&lt;&gt;"",'Historical Score'!$C$7&lt;&gt;""),IF(Y964='Historical Score'!$C$7,1,0),0)</f>
        <v/>
      </c>
      <c r="AT964">
        <f>IF(AND(K964&lt;&gt;"",'Historical Score'!$C$8&lt;&gt;""),IF(K964='Historical Score'!$C$8,1,0),0)</f>
        <v/>
      </c>
      <c r="AU964">
        <f>IF(AND(J964&lt;&gt;"",'Historical Score'!$C$9&lt;&gt;""),IF(J964='Historical Score'!$C$9,1,0),0)</f>
        <v/>
      </c>
      <c r="AV964">
        <f>AR964*AS964*AQ964</f>
        <v/>
      </c>
      <c r="AW964">
        <f>AR964*AT964*AQ964</f>
        <v/>
      </c>
      <c r="AX964">
        <f>AR964*AS964</f>
        <v/>
      </c>
      <c r="AY964">
        <f>AR964*AT964</f>
        <v/>
      </c>
      <c r="AZ964">
        <f>AR964*AQ964</f>
        <v/>
      </c>
      <c r="BA964">
        <f>AR964</f>
        <v/>
      </c>
      <c r="BB964">
        <f>1</f>
        <v/>
      </c>
      <c r="BC964">
        <f>IF(AV964=1,1,IF(AW964=1,2,IF(AX964=1,3,IF(AY964=1,4,IF(AZ964=1,5,IF(BA964=1,6,7))))))</f>
        <v/>
      </c>
      <c r="BD964">
        <f>IF(AD964=1,CHOOSE('Historical Score'!$C$29,AV964,AW964,AX964,AY964,AZ964,BA964,BB964),0)</f>
        <v/>
      </c>
      <c r="BE964">
        <f>IF(BD964=1,COUNTIF($BD$2:BD964,1),"")</f>
        <v/>
      </c>
    </row>
    <row r="965">
      <c r="A965" t="inlineStr">
        <is>
          <t>5674185628</t>
        </is>
      </c>
      <c r="B965" t="inlineStr">
        <is>
          <t>UNITED TARPS</t>
        </is>
      </c>
      <c r="C965" t="inlineStr">
        <is>
          <t>United Tarps LLC</t>
        </is>
      </c>
      <c r="D965" t="inlineStr">
        <is>
          <t>Open</t>
        </is>
      </c>
      <c r="E965" s="297" t="n">
        <v>46190</v>
      </c>
      <c r="F965" s="297" t="n">
        <v>46253</v>
      </c>
      <c r="G965" t="n">
        <v>1</v>
      </c>
      <c r="H965" t="inlineStr">
        <is>
          <t>2394</t>
        </is>
      </c>
      <c r="I965" t="inlineStr">
        <is>
          <t>23</t>
        </is>
      </c>
      <c r="J965" t="inlineStr">
        <is>
          <t>No state</t>
        </is>
      </c>
      <c r="K965" t="inlineStr">
        <is>
          <t>Financity</t>
        </is>
      </c>
      <c r="L965" t="inlineStr">
        <is>
          <t>New Deal</t>
        </is>
      </c>
      <c r="M965" s="298" t="n">
        <v>1.35</v>
      </c>
      <c r="N965" s="299" t="n">
        <v>175000</v>
      </c>
      <c r="O965" s="299" t="n">
        <v>12250</v>
      </c>
      <c r="P965" s="299" t="n">
        <v>236250</v>
      </c>
      <c r="Q965" s="299" t="n">
        <v>48933.54</v>
      </c>
      <c r="R965" s="299" t="n">
        <v>187316.46</v>
      </c>
      <c r="S965" s="300" t="n">
        <v>0.207126095238095</v>
      </c>
      <c r="T965" t="n">
        <v>40</v>
      </c>
      <c r="U965" t="n">
        <v>0</v>
      </c>
      <c r="V965" t="n">
        <v>267221.26</v>
      </c>
      <c r="W965" s="300" t="n">
        <v>0.08840000000000001</v>
      </c>
      <c r="X965" s="297" t="n">
        <v>43466</v>
      </c>
      <c r="Y965">
        <f>IF(I965="","No SIC",IFERROR(VLOOKUP(I965,Ref!$A$2:$B$65,2,FALSE),"Unclassified"))</f>
        <v/>
      </c>
      <c r="Z965">
        <f>IF(T965="","",IF(T965&lt;12,"Daily","Weekly"))</f>
        <v/>
      </c>
      <c r="AA965">
        <f>IF(T965="",0,IF(T965&lt;12,T965*Controls!$B$29,T965*5))</f>
        <v/>
      </c>
      <c r="AB965">
        <f>IF(E965="",0,NETWORKDAYS(E965,Controls!$B$36,Ref!$K$2:$K$42))</f>
        <v/>
      </c>
      <c r="AC965">
        <f>IF(AND(AA965&gt;0,AB965&gt;=Controls!$B$39*AA965),1,0)</f>
        <v/>
      </c>
      <c r="AD965">
        <f>IF(AND(E965&lt;&gt;"",E965&gt;=Controls!$B$37,E965&lt;=Controls!$B$38),1,0)</f>
        <v/>
      </c>
      <c r="AE965">
        <f>IF(IFERROR(VLOOKUP(D965,Controls!$A$64:$E$74,2,FALSE),"No")="Yes",1,0)</f>
        <v/>
      </c>
      <c r="AF965">
        <f>IF(IFERROR(VLOOKUP(D965,Controls!$A$64:$E$74,3,FALSE),"No")="Yes",1,0)</f>
        <v/>
      </c>
      <c r="AG965">
        <f>IF(IFERROR(VLOOKUP(D965,Controls!$A$64:$E$74,4,FALSE),"No")="Yes",1,0)</f>
        <v/>
      </c>
      <c r="AH965">
        <f>IF(IFERROR(VLOOKUP(D965,Controls!$A$64:$E$74,5,FALSE),"No")="Yes",1,0)</f>
        <v/>
      </c>
      <c r="AI965">
        <f>IF(ISNUMBER(MATCH(D965,Controls!$A$64:$A$74,0)),1,0)</f>
        <v/>
      </c>
      <c r="AJ965">
        <f>Q965-N965</f>
        <v/>
      </c>
      <c r="AK965">
        <f>IF(AE965=1,MAX(0,N965-Q965),0)</f>
        <v/>
      </c>
      <c r="AL965">
        <f>IF(OR(V965="",V965=0),0,N965/V965)</f>
        <v/>
      </c>
      <c r="AM965">
        <f>IF(OR(V965="",V965=0),0,1)</f>
        <v/>
      </c>
      <c r="AN965">
        <f>IF(OR(E965="",F965=""),0,NETWORKDAYS(E965,F965,Ref!$K$2:$K$42))</f>
        <v/>
      </c>
      <c r="AO965">
        <f>IF(L965="Renewal",1,0)</f>
        <v/>
      </c>
      <c r="AP965">
        <f>AC965*AD965</f>
        <v/>
      </c>
      <c r="AQ965">
        <f>IF(AND(G965&lt;&gt;"",'Historical Score'!$C$6&lt;&gt;""),IF(G965='Historical Score'!$C$6,1,0),0)</f>
        <v/>
      </c>
      <c r="AR965">
        <f>IF(AND(L965&lt;&gt;"",'Historical Score'!$C$5&lt;&gt;""),IF(L965='Historical Score'!$C$5,1,0),0)</f>
        <v/>
      </c>
      <c r="AS965">
        <f>IF(AND(Y965&lt;&gt;"",'Historical Score'!$C$7&lt;&gt;""),IF(Y965='Historical Score'!$C$7,1,0),0)</f>
        <v/>
      </c>
      <c r="AT965">
        <f>IF(AND(K965&lt;&gt;"",'Historical Score'!$C$8&lt;&gt;""),IF(K965='Historical Score'!$C$8,1,0),0)</f>
        <v/>
      </c>
      <c r="AU965">
        <f>IF(AND(J965&lt;&gt;"",'Historical Score'!$C$9&lt;&gt;""),IF(J965='Historical Score'!$C$9,1,0),0)</f>
        <v/>
      </c>
      <c r="AV965">
        <f>AR965*AS965*AQ965</f>
        <v/>
      </c>
      <c r="AW965">
        <f>AR965*AT965*AQ965</f>
        <v/>
      </c>
      <c r="AX965">
        <f>AR965*AS965</f>
        <v/>
      </c>
      <c r="AY965">
        <f>AR965*AT965</f>
        <v/>
      </c>
      <c r="AZ965">
        <f>AR965*AQ965</f>
        <v/>
      </c>
      <c r="BA965">
        <f>AR965</f>
        <v/>
      </c>
      <c r="BB965">
        <f>1</f>
        <v/>
      </c>
      <c r="BC965">
        <f>IF(AV965=1,1,IF(AW965=1,2,IF(AX965=1,3,IF(AY965=1,4,IF(AZ965=1,5,IF(BA965=1,6,7))))))</f>
        <v/>
      </c>
      <c r="BD965">
        <f>IF(AD965=1,CHOOSE('Historical Score'!$C$29,AV965,AW965,AX965,AY965,AZ965,BA965,BB965),0)</f>
        <v/>
      </c>
      <c r="BE965">
        <f>IF(BD965=1,COUNTIF($BD$2:BD965,1),"")</f>
        <v/>
      </c>
    </row>
    <row r="966">
      <c r="A966" t="inlineStr">
        <is>
          <t>5674185652</t>
        </is>
      </c>
      <c r="B966" t="inlineStr">
        <is>
          <t>Robinson Law Firm LLC</t>
        </is>
      </c>
      <c r="C966" t="inlineStr">
        <is>
          <t>Robinson Law Firm LLC</t>
        </is>
      </c>
      <c r="D966" t="inlineStr">
        <is>
          <t>Open</t>
        </is>
      </c>
      <c r="E966" s="297" t="n">
        <v>46190</v>
      </c>
      <c r="F966" s="297" t="n">
        <v>46253</v>
      </c>
      <c r="G966" t="n">
        <v>4</v>
      </c>
      <c r="H966" t="inlineStr">
        <is>
          <t>8111</t>
        </is>
      </c>
      <c r="I966" t="inlineStr">
        <is>
          <t>81</t>
        </is>
      </c>
      <c r="J966" t="inlineStr">
        <is>
          <t>KY</t>
        </is>
      </c>
      <c r="K966" t="inlineStr">
        <is>
          <t>Linked In Funding</t>
        </is>
      </c>
      <c r="L966" t="inlineStr">
        <is>
          <t>New Deal</t>
        </is>
      </c>
      <c r="M966" s="298" t="n">
        <v>1.49</v>
      </c>
      <c r="N966" s="299" t="n">
        <v>5000</v>
      </c>
      <c r="O966" s="299" t="n">
        <v>700</v>
      </c>
      <c r="P966" s="299" t="n">
        <v>7450</v>
      </c>
      <c r="Q966" s="299" t="n">
        <v>2683.08</v>
      </c>
      <c r="R966" s="299" t="n">
        <v>4766.92</v>
      </c>
      <c r="S966" s="300" t="n">
        <v>0.360144966442953</v>
      </c>
      <c r="T966" t="n">
        <v>3.279</v>
      </c>
      <c r="U966" t="n">
        <v>3</v>
      </c>
      <c r="V966" t="n">
        <v>14600.1</v>
      </c>
      <c r="W966" s="300" t="n">
        <v>0.1072</v>
      </c>
      <c r="X966" s="297" t="n">
        <v>40349</v>
      </c>
      <c r="Y966">
        <f>IF(I966="","No SIC",IFERROR(VLOOKUP(I966,Ref!$A$2:$B$65,2,FALSE),"Unclassified"))</f>
        <v/>
      </c>
      <c r="Z966">
        <f>IF(T966="","",IF(T966&lt;12,"Daily","Weekly"))</f>
        <v/>
      </c>
      <c r="AA966">
        <f>IF(T966="",0,IF(T966&lt;12,T966*Controls!$B$29,T966*5))</f>
        <v/>
      </c>
      <c r="AB966">
        <f>IF(E966="",0,NETWORKDAYS(E966,Controls!$B$36,Ref!$K$2:$K$42))</f>
        <v/>
      </c>
      <c r="AC966">
        <f>IF(AND(AA966&gt;0,AB966&gt;=Controls!$B$39*AA966),1,0)</f>
        <v/>
      </c>
      <c r="AD966">
        <f>IF(AND(E966&lt;&gt;"",E966&gt;=Controls!$B$37,E966&lt;=Controls!$B$38),1,0)</f>
        <v/>
      </c>
      <c r="AE966">
        <f>IF(IFERROR(VLOOKUP(D966,Controls!$A$64:$E$74,2,FALSE),"No")="Yes",1,0)</f>
        <v/>
      </c>
      <c r="AF966">
        <f>IF(IFERROR(VLOOKUP(D966,Controls!$A$64:$E$74,3,FALSE),"No")="Yes",1,0)</f>
        <v/>
      </c>
      <c r="AG966">
        <f>IF(IFERROR(VLOOKUP(D966,Controls!$A$64:$E$74,4,FALSE),"No")="Yes",1,0)</f>
        <v/>
      </c>
      <c r="AH966">
        <f>IF(IFERROR(VLOOKUP(D966,Controls!$A$64:$E$74,5,FALSE),"No")="Yes",1,0)</f>
        <v/>
      </c>
      <c r="AI966">
        <f>IF(ISNUMBER(MATCH(D966,Controls!$A$64:$A$74,0)),1,0)</f>
        <v/>
      </c>
      <c r="AJ966">
        <f>Q966-N966</f>
        <v/>
      </c>
      <c r="AK966">
        <f>IF(AE966=1,MAX(0,N966-Q966),0)</f>
        <v/>
      </c>
      <c r="AL966">
        <f>IF(OR(V966="",V966=0),0,N966/V966)</f>
        <v/>
      </c>
      <c r="AM966">
        <f>IF(OR(V966="",V966=0),0,1)</f>
        <v/>
      </c>
      <c r="AN966">
        <f>IF(OR(E966="",F966=""),0,NETWORKDAYS(E966,F966,Ref!$K$2:$K$42))</f>
        <v/>
      </c>
      <c r="AO966">
        <f>IF(L966="Renewal",1,0)</f>
        <v/>
      </c>
      <c r="AP966">
        <f>AC966*AD966</f>
        <v/>
      </c>
      <c r="AQ966">
        <f>IF(AND(G966&lt;&gt;"",'Historical Score'!$C$6&lt;&gt;""),IF(G966='Historical Score'!$C$6,1,0),0)</f>
        <v/>
      </c>
      <c r="AR966">
        <f>IF(AND(L966&lt;&gt;"",'Historical Score'!$C$5&lt;&gt;""),IF(L966='Historical Score'!$C$5,1,0),0)</f>
        <v/>
      </c>
      <c r="AS966">
        <f>IF(AND(Y966&lt;&gt;"",'Historical Score'!$C$7&lt;&gt;""),IF(Y966='Historical Score'!$C$7,1,0),0)</f>
        <v/>
      </c>
      <c r="AT966">
        <f>IF(AND(K966&lt;&gt;"",'Historical Score'!$C$8&lt;&gt;""),IF(K966='Historical Score'!$C$8,1,0),0)</f>
        <v/>
      </c>
      <c r="AU966">
        <f>IF(AND(J966&lt;&gt;"",'Historical Score'!$C$9&lt;&gt;""),IF(J966='Historical Score'!$C$9,1,0),0)</f>
        <v/>
      </c>
      <c r="AV966">
        <f>AR966*AS966*AQ966</f>
        <v/>
      </c>
      <c r="AW966">
        <f>AR966*AT966*AQ966</f>
        <v/>
      </c>
      <c r="AX966">
        <f>AR966*AS966</f>
        <v/>
      </c>
      <c r="AY966">
        <f>AR966*AT966</f>
        <v/>
      </c>
      <c r="AZ966">
        <f>AR966*AQ966</f>
        <v/>
      </c>
      <c r="BA966">
        <f>AR966</f>
        <v/>
      </c>
      <c r="BB966">
        <f>1</f>
        <v/>
      </c>
      <c r="BC966">
        <f>IF(AV966=1,1,IF(AW966=1,2,IF(AX966=1,3,IF(AY966=1,4,IF(AZ966=1,5,IF(BA966=1,6,7))))))</f>
        <v/>
      </c>
      <c r="BD966">
        <f>IF(AD966=1,CHOOSE('Historical Score'!$C$29,AV966,AW966,AX966,AY966,AZ966,BA966,BB966),0)</f>
        <v/>
      </c>
      <c r="BE966">
        <f>IF(BD966=1,COUNTIF($BD$2:BD966,1),"")</f>
        <v/>
      </c>
    </row>
    <row r="967">
      <c r="A967" t="inlineStr">
        <is>
          <t>5674185654</t>
        </is>
      </c>
      <c r="B967" t="inlineStr">
        <is>
          <t>TRANSGLOBAL CONCESSIONS</t>
        </is>
      </c>
      <c r="C967" t="inlineStr">
        <is>
          <t>Transglobal Concessions LLC</t>
        </is>
      </c>
      <c r="D967" t="inlineStr">
        <is>
          <t>Closed</t>
        </is>
      </c>
      <c r="E967" s="297" t="n">
        <v>46190</v>
      </c>
      <c r="F967" s="297" t="n">
        <v>46253</v>
      </c>
      <c r="G967" t="n">
        <v>4</v>
      </c>
      <c r="H967" t="inlineStr">
        <is>
          <t>5812</t>
        </is>
      </c>
      <c r="I967" t="inlineStr">
        <is>
          <t>58</t>
        </is>
      </c>
      <c r="J967" t="inlineStr">
        <is>
          <t>FL</t>
        </is>
      </c>
      <c r="K967" t="inlineStr">
        <is>
          <t>PMF</t>
        </is>
      </c>
      <c r="L967" t="inlineStr">
        <is>
          <t>New Deal</t>
        </is>
      </c>
      <c r="M967" s="298" t="n">
        <v>1.15000254</v>
      </c>
      <c r="N967" s="299" t="n">
        <v>315000</v>
      </c>
      <c r="O967" s="299" t="n">
        <v>35437.5</v>
      </c>
      <c r="P967" s="299" t="n">
        <v>362250.8001</v>
      </c>
      <c r="Q967" s="299" t="n">
        <v>362250.8</v>
      </c>
      <c r="R967" s="299" t="n">
        <v>0.000100000004749745</v>
      </c>
      <c r="S967" s="300" t="n">
        <v>0.999999999723948</v>
      </c>
      <c r="T967" t="n">
        <v>40</v>
      </c>
      <c r="U967" t="n">
        <v>0</v>
      </c>
      <c r="V967" t="n">
        <v>949336.14</v>
      </c>
      <c r="W967" s="300" t="n">
        <v>0.0461</v>
      </c>
      <c r="X967" s="297" t="n">
        <v>38959</v>
      </c>
      <c r="Y967">
        <f>IF(I967="","No SIC",IFERROR(VLOOKUP(I967,Ref!$A$2:$B$65,2,FALSE),"Unclassified"))</f>
        <v/>
      </c>
      <c r="Z967">
        <f>IF(T967="","",IF(T967&lt;12,"Daily","Weekly"))</f>
        <v/>
      </c>
      <c r="AA967">
        <f>IF(T967="",0,IF(T967&lt;12,T967*Controls!$B$29,T967*5))</f>
        <v/>
      </c>
      <c r="AB967">
        <f>IF(E967="",0,NETWORKDAYS(E967,Controls!$B$36,Ref!$K$2:$K$42))</f>
        <v/>
      </c>
      <c r="AC967">
        <f>IF(AND(AA967&gt;0,AB967&gt;=Controls!$B$39*AA967),1,0)</f>
        <v/>
      </c>
      <c r="AD967">
        <f>IF(AND(E967&lt;&gt;"",E967&gt;=Controls!$B$37,E967&lt;=Controls!$B$38),1,0)</f>
        <v/>
      </c>
      <c r="AE967">
        <f>IF(IFERROR(VLOOKUP(D967,Controls!$A$64:$E$74,2,FALSE),"No")="Yes",1,0)</f>
        <v/>
      </c>
      <c r="AF967">
        <f>IF(IFERROR(VLOOKUP(D967,Controls!$A$64:$E$74,3,FALSE),"No")="Yes",1,0)</f>
        <v/>
      </c>
      <c r="AG967">
        <f>IF(IFERROR(VLOOKUP(D967,Controls!$A$64:$E$74,4,FALSE),"No")="Yes",1,0)</f>
        <v/>
      </c>
      <c r="AH967">
        <f>IF(IFERROR(VLOOKUP(D967,Controls!$A$64:$E$74,5,FALSE),"No")="Yes",1,0)</f>
        <v/>
      </c>
      <c r="AI967">
        <f>IF(ISNUMBER(MATCH(D967,Controls!$A$64:$A$74,0)),1,0)</f>
        <v/>
      </c>
      <c r="AJ967">
        <f>Q967-N967</f>
        <v/>
      </c>
      <c r="AK967">
        <f>IF(AE967=1,MAX(0,N967-Q967),0)</f>
        <v/>
      </c>
      <c r="AL967">
        <f>IF(OR(V967="",V967=0),0,N967/V967)</f>
        <v/>
      </c>
      <c r="AM967">
        <f>IF(OR(V967="",V967=0),0,1)</f>
        <v/>
      </c>
      <c r="AN967">
        <f>IF(OR(E967="",F967=""),0,NETWORKDAYS(E967,F967,Ref!$K$2:$K$42))</f>
        <v/>
      </c>
      <c r="AO967">
        <f>IF(L967="Renewal",1,0)</f>
        <v/>
      </c>
      <c r="AP967">
        <f>AC967*AD967</f>
        <v/>
      </c>
      <c r="AQ967">
        <f>IF(AND(G967&lt;&gt;"",'Historical Score'!$C$6&lt;&gt;""),IF(G967='Historical Score'!$C$6,1,0),0)</f>
        <v/>
      </c>
      <c r="AR967">
        <f>IF(AND(L967&lt;&gt;"",'Historical Score'!$C$5&lt;&gt;""),IF(L967='Historical Score'!$C$5,1,0),0)</f>
        <v/>
      </c>
      <c r="AS967">
        <f>IF(AND(Y967&lt;&gt;"",'Historical Score'!$C$7&lt;&gt;""),IF(Y967='Historical Score'!$C$7,1,0),0)</f>
        <v/>
      </c>
      <c r="AT967">
        <f>IF(AND(K967&lt;&gt;"",'Historical Score'!$C$8&lt;&gt;""),IF(K967='Historical Score'!$C$8,1,0),0)</f>
        <v/>
      </c>
      <c r="AU967">
        <f>IF(AND(J967&lt;&gt;"",'Historical Score'!$C$9&lt;&gt;""),IF(J967='Historical Score'!$C$9,1,0),0)</f>
        <v/>
      </c>
      <c r="AV967">
        <f>AR967*AS967*AQ967</f>
        <v/>
      </c>
      <c r="AW967">
        <f>AR967*AT967*AQ967</f>
        <v/>
      </c>
      <c r="AX967">
        <f>AR967*AS967</f>
        <v/>
      </c>
      <c r="AY967">
        <f>AR967*AT967</f>
        <v/>
      </c>
      <c r="AZ967">
        <f>AR967*AQ967</f>
        <v/>
      </c>
      <c r="BA967">
        <f>AR967</f>
        <v/>
      </c>
      <c r="BB967">
        <f>1</f>
        <v/>
      </c>
      <c r="BC967">
        <f>IF(AV967=1,1,IF(AW967=1,2,IF(AX967=1,3,IF(AY967=1,4,IF(AZ967=1,5,IF(BA967=1,6,7))))))</f>
        <v/>
      </c>
      <c r="BD967">
        <f>IF(AD967=1,CHOOSE('Historical Score'!$C$29,AV967,AW967,AX967,AY967,AZ967,BA967,BB967),0)</f>
        <v/>
      </c>
      <c r="BE967">
        <f>IF(BD967=1,COUNTIF($BD$2:BD967,1),"")</f>
        <v/>
      </c>
    </row>
    <row r="968">
      <c r="A968" t="inlineStr">
        <is>
          <t>5674185729</t>
        </is>
      </c>
      <c r="B968" t="inlineStr">
        <is>
          <t>KOZLENKO&amp;CO LLC</t>
        </is>
      </c>
      <c r="C968" t="inlineStr">
        <is>
          <t>KOZLENKO&amp;CO LLC</t>
        </is>
      </c>
      <c r="D968" t="inlineStr">
        <is>
          <t>Closed</t>
        </is>
      </c>
      <c r="E968" s="297" t="n">
        <v>46191</v>
      </c>
      <c r="F968" s="297" t="n">
        <v>46238</v>
      </c>
      <c r="G968" t="n">
        <v>3</v>
      </c>
      <c r="H968" t="inlineStr">
        <is>
          <t>6531</t>
        </is>
      </c>
      <c r="I968" t="inlineStr">
        <is>
          <t>65</t>
        </is>
      </c>
      <c r="J968" t="inlineStr">
        <is>
          <t>FL</t>
        </is>
      </c>
      <c r="K968" t="inlineStr">
        <is>
          <t>United Secured Capital 8</t>
        </is>
      </c>
      <c r="L968" t="inlineStr">
        <is>
          <t>New Deal</t>
        </is>
      </c>
      <c r="M968" s="298" t="n">
        <v>1.49</v>
      </c>
      <c r="N968" s="299" t="n">
        <v>10000</v>
      </c>
      <c r="O968" s="299" t="n">
        <v>1400</v>
      </c>
      <c r="P968" s="299" t="n">
        <v>14900</v>
      </c>
      <c r="Q968" s="299" t="n">
        <v>14900</v>
      </c>
      <c r="R968" s="299" t="n">
        <v>0</v>
      </c>
      <c r="S968" s="300" t="n">
        <v>1</v>
      </c>
      <c r="T968" t="n">
        <v>2.623</v>
      </c>
      <c r="U968" t="n">
        <v>0</v>
      </c>
      <c r="V968" t="n">
        <v>31031.13</v>
      </c>
      <c r="W968" s="300" t="n">
        <v>0.126</v>
      </c>
      <c r="X968" s="297" t="n">
        <v>45620</v>
      </c>
      <c r="Y968">
        <f>IF(I968="","No SIC",IFERROR(VLOOKUP(I968,Ref!$A$2:$B$65,2,FALSE),"Unclassified"))</f>
        <v/>
      </c>
      <c r="Z968">
        <f>IF(T968="","",IF(T968&lt;12,"Daily","Weekly"))</f>
        <v/>
      </c>
      <c r="AA968">
        <f>IF(T968="",0,IF(T968&lt;12,T968*Controls!$B$29,T968*5))</f>
        <v/>
      </c>
      <c r="AB968">
        <f>IF(E968="",0,NETWORKDAYS(E968,Controls!$B$36,Ref!$K$2:$K$42))</f>
        <v/>
      </c>
      <c r="AC968">
        <f>IF(AND(AA968&gt;0,AB968&gt;=Controls!$B$39*AA968),1,0)</f>
        <v/>
      </c>
      <c r="AD968">
        <f>IF(AND(E968&lt;&gt;"",E968&gt;=Controls!$B$37,E968&lt;=Controls!$B$38),1,0)</f>
        <v/>
      </c>
      <c r="AE968">
        <f>IF(IFERROR(VLOOKUP(D968,Controls!$A$64:$E$74,2,FALSE),"No")="Yes",1,0)</f>
        <v/>
      </c>
      <c r="AF968">
        <f>IF(IFERROR(VLOOKUP(D968,Controls!$A$64:$E$74,3,FALSE),"No")="Yes",1,0)</f>
        <v/>
      </c>
      <c r="AG968">
        <f>IF(IFERROR(VLOOKUP(D968,Controls!$A$64:$E$74,4,FALSE),"No")="Yes",1,0)</f>
        <v/>
      </c>
      <c r="AH968">
        <f>IF(IFERROR(VLOOKUP(D968,Controls!$A$64:$E$74,5,FALSE),"No")="Yes",1,0)</f>
        <v/>
      </c>
      <c r="AI968">
        <f>IF(ISNUMBER(MATCH(D968,Controls!$A$64:$A$74,0)),1,0)</f>
        <v/>
      </c>
      <c r="AJ968">
        <f>Q968-N968</f>
        <v/>
      </c>
      <c r="AK968">
        <f>IF(AE968=1,MAX(0,N968-Q968),0)</f>
        <v/>
      </c>
      <c r="AL968">
        <f>IF(OR(V968="",V968=0),0,N968/V968)</f>
        <v/>
      </c>
      <c r="AM968">
        <f>IF(OR(V968="",V968=0),0,1)</f>
        <v/>
      </c>
      <c r="AN968">
        <f>IF(OR(E968="",F968=""),0,NETWORKDAYS(E968,F968,Ref!$K$2:$K$42))</f>
        <v/>
      </c>
      <c r="AO968">
        <f>IF(L968="Renewal",1,0)</f>
        <v/>
      </c>
      <c r="AP968">
        <f>AC968*AD968</f>
        <v/>
      </c>
      <c r="AQ968">
        <f>IF(AND(G968&lt;&gt;"",'Historical Score'!$C$6&lt;&gt;""),IF(G968='Historical Score'!$C$6,1,0),0)</f>
        <v/>
      </c>
      <c r="AR968">
        <f>IF(AND(L968&lt;&gt;"",'Historical Score'!$C$5&lt;&gt;""),IF(L968='Historical Score'!$C$5,1,0),0)</f>
        <v/>
      </c>
      <c r="AS968">
        <f>IF(AND(Y968&lt;&gt;"",'Historical Score'!$C$7&lt;&gt;""),IF(Y968='Historical Score'!$C$7,1,0),0)</f>
        <v/>
      </c>
      <c r="AT968">
        <f>IF(AND(K968&lt;&gt;"",'Historical Score'!$C$8&lt;&gt;""),IF(K968='Historical Score'!$C$8,1,0),0)</f>
        <v/>
      </c>
      <c r="AU968">
        <f>IF(AND(J968&lt;&gt;"",'Historical Score'!$C$9&lt;&gt;""),IF(J968='Historical Score'!$C$9,1,0),0)</f>
        <v/>
      </c>
      <c r="AV968">
        <f>AR968*AS968*AQ968</f>
        <v/>
      </c>
      <c r="AW968">
        <f>AR968*AT968*AQ968</f>
        <v/>
      </c>
      <c r="AX968">
        <f>AR968*AS968</f>
        <v/>
      </c>
      <c r="AY968">
        <f>AR968*AT968</f>
        <v/>
      </c>
      <c r="AZ968">
        <f>AR968*AQ968</f>
        <v/>
      </c>
      <c r="BA968">
        <f>AR968</f>
        <v/>
      </c>
      <c r="BB968">
        <f>1</f>
        <v/>
      </c>
      <c r="BC968">
        <f>IF(AV968=1,1,IF(AW968=1,2,IF(AX968=1,3,IF(AY968=1,4,IF(AZ968=1,5,IF(BA968=1,6,7))))))</f>
        <v/>
      </c>
      <c r="BD968">
        <f>IF(AD968=1,CHOOSE('Historical Score'!$C$29,AV968,AW968,AX968,AY968,AZ968,BA968,BB968),0)</f>
        <v/>
      </c>
      <c r="BE968">
        <f>IF(BD968=1,COUNTIF($BD$2:BD968,1),"")</f>
        <v/>
      </c>
    </row>
    <row r="969">
      <c r="A969" t="inlineStr">
        <is>
          <t>5674185734</t>
        </is>
      </c>
      <c r="B969" t="inlineStr">
        <is>
          <t>OLD SAYBROOK GARDEN CENTER</t>
        </is>
      </c>
      <c r="C969" t="inlineStr">
        <is>
          <t>He did he did LLC</t>
        </is>
      </c>
      <c r="D969" t="inlineStr">
        <is>
          <t>Open</t>
        </is>
      </c>
      <c r="E969" s="297" t="n">
        <v>46191</v>
      </c>
      <c r="F969" s="297" t="n">
        <v>46248</v>
      </c>
      <c r="G969" t="n">
        <v>4</v>
      </c>
      <c r="H969" t="inlineStr">
        <is>
          <t>5261</t>
        </is>
      </c>
      <c r="I969" t="inlineStr">
        <is>
          <t>52</t>
        </is>
      </c>
      <c r="J969" t="inlineStr">
        <is>
          <t>CT</t>
        </is>
      </c>
      <c r="K969" t="inlineStr">
        <is>
          <t>United Secured Capital 8</t>
        </is>
      </c>
      <c r="L969" t="inlineStr">
        <is>
          <t>New Deal</t>
        </is>
      </c>
      <c r="M969" s="298" t="n">
        <v>1.49</v>
      </c>
      <c r="N969" s="299" t="n">
        <v>15000</v>
      </c>
      <c r="O969" s="299" t="n">
        <v>2100</v>
      </c>
      <c r="P969" s="299" t="n">
        <v>22350</v>
      </c>
      <c r="Q969" s="299" t="n">
        <v>7817.46</v>
      </c>
      <c r="R969" s="299" t="n">
        <v>14532.54</v>
      </c>
      <c r="S969" s="300" t="n">
        <v>0.349774496644295</v>
      </c>
      <c r="T969" t="n">
        <v>20</v>
      </c>
      <c r="U969" t="n">
        <v>0</v>
      </c>
      <c r="V969" t="n">
        <v>123742.46</v>
      </c>
      <c r="W969" s="300" t="n">
        <v>0.0361</v>
      </c>
      <c r="X969" s="297" t="n">
        <v>45919</v>
      </c>
      <c r="Y969">
        <f>IF(I969="","No SIC",IFERROR(VLOOKUP(I969,Ref!$A$2:$B$65,2,FALSE),"Unclassified"))</f>
        <v/>
      </c>
      <c r="Z969">
        <f>IF(T969="","",IF(T969&lt;12,"Daily","Weekly"))</f>
        <v/>
      </c>
      <c r="AA969">
        <f>IF(T969="",0,IF(T969&lt;12,T969*Controls!$B$29,T969*5))</f>
        <v/>
      </c>
      <c r="AB969">
        <f>IF(E969="",0,NETWORKDAYS(E969,Controls!$B$36,Ref!$K$2:$K$42))</f>
        <v/>
      </c>
      <c r="AC969">
        <f>IF(AND(AA969&gt;0,AB969&gt;=Controls!$B$39*AA969),1,0)</f>
        <v/>
      </c>
      <c r="AD969">
        <f>IF(AND(E969&lt;&gt;"",E969&gt;=Controls!$B$37,E969&lt;=Controls!$B$38),1,0)</f>
        <v/>
      </c>
      <c r="AE969">
        <f>IF(IFERROR(VLOOKUP(D969,Controls!$A$64:$E$74,2,FALSE),"No")="Yes",1,0)</f>
        <v/>
      </c>
      <c r="AF969">
        <f>IF(IFERROR(VLOOKUP(D969,Controls!$A$64:$E$74,3,FALSE),"No")="Yes",1,0)</f>
        <v/>
      </c>
      <c r="AG969">
        <f>IF(IFERROR(VLOOKUP(D969,Controls!$A$64:$E$74,4,FALSE),"No")="Yes",1,0)</f>
        <v/>
      </c>
      <c r="AH969">
        <f>IF(IFERROR(VLOOKUP(D969,Controls!$A$64:$E$74,5,FALSE),"No")="Yes",1,0)</f>
        <v/>
      </c>
      <c r="AI969">
        <f>IF(ISNUMBER(MATCH(D969,Controls!$A$64:$A$74,0)),1,0)</f>
        <v/>
      </c>
      <c r="AJ969">
        <f>Q969-N969</f>
        <v/>
      </c>
      <c r="AK969">
        <f>IF(AE969=1,MAX(0,N969-Q969),0)</f>
        <v/>
      </c>
      <c r="AL969">
        <f>IF(OR(V969="",V969=0),0,N969/V969)</f>
        <v/>
      </c>
      <c r="AM969">
        <f>IF(OR(V969="",V969=0),0,1)</f>
        <v/>
      </c>
      <c r="AN969">
        <f>IF(OR(E969="",F969=""),0,NETWORKDAYS(E969,F969,Ref!$K$2:$K$42))</f>
        <v/>
      </c>
      <c r="AO969">
        <f>IF(L969="Renewal",1,0)</f>
        <v/>
      </c>
      <c r="AP969">
        <f>AC969*AD969</f>
        <v/>
      </c>
      <c r="AQ969">
        <f>IF(AND(G969&lt;&gt;"",'Historical Score'!$C$6&lt;&gt;""),IF(G969='Historical Score'!$C$6,1,0),0)</f>
        <v/>
      </c>
      <c r="AR969">
        <f>IF(AND(L969&lt;&gt;"",'Historical Score'!$C$5&lt;&gt;""),IF(L969='Historical Score'!$C$5,1,0),0)</f>
        <v/>
      </c>
      <c r="AS969">
        <f>IF(AND(Y969&lt;&gt;"",'Historical Score'!$C$7&lt;&gt;""),IF(Y969='Historical Score'!$C$7,1,0),0)</f>
        <v/>
      </c>
      <c r="AT969">
        <f>IF(AND(K969&lt;&gt;"",'Historical Score'!$C$8&lt;&gt;""),IF(K969='Historical Score'!$C$8,1,0),0)</f>
        <v/>
      </c>
      <c r="AU969">
        <f>IF(AND(J969&lt;&gt;"",'Historical Score'!$C$9&lt;&gt;""),IF(J969='Historical Score'!$C$9,1,0),0)</f>
        <v/>
      </c>
      <c r="AV969">
        <f>AR969*AS969*AQ969</f>
        <v/>
      </c>
      <c r="AW969">
        <f>AR969*AT969*AQ969</f>
        <v/>
      </c>
      <c r="AX969">
        <f>AR969*AS969</f>
        <v/>
      </c>
      <c r="AY969">
        <f>AR969*AT969</f>
        <v/>
      </c>
      <c r="AZ969">
        <f>AR969*AQ969</f>
        <v/>
      </c>
      <c r="BA969">
        <f>AR969</f>
        <v/>
      </c>
      <c r="BB969">
        <f>1</f>
        <v/>
      </c>
      <c r="BC969">
        <f>IF(AV969=1,1,IF(AW969=1,2,IF(AX969=1,3,IF(AY969=1,4,IF(AZ969=1,5,IF(BA969=1,6,7))))))</f>
        <v/>
      </c>
      <c r="BD969">
        <f>IF(AD969=1,CHOOSE('Historical Score'!$C$29,AV969,AW969,AX969,AY969,AZ969,BA969,BB969),0)</f>
        <v/>
      </c>
      <c r="BE969">
        <f>IF(BD969=1,COUNTIF($BD$2:BD969,1),"")</f>
        <v/>
      </c>
    </row>
    <row r="970">
      <c r="A970" t="inlineStr">
        <is>
          <t>5674185746</t>
        </is>
      </c>
      <c r="B970" t="inlineStr">
        <is>
          <t>AGAVE BUILDERS</t>
        </is>
      </c>
      <c r="C970" t="inlineStr">
        <is>
          <t>AGAVE BUILDERS LLC</t>
        </is>
      </c>
      <c r="D970" t="inlineStr">
        <is>
          <t>Legal</t>
        </is>
      </c>
      <c r="E970" s="297" t="n">
        <v>46191</v>
      </c>
      <c r="F970" s="297" t="n">
        <v>46238</v>
      </c>
      <c r="G970" t="n">
        <v>2</v>
      </c>
      <c r="H970" t="inlineStr">
        <is>
          <t>1522</t>
        </is>
      </c>
      <c r="I970" t="inlineStr">
        <is>
          <t>15</t>
        </is>
      </c>
      <c r="J970" t="inlineStr">
        <is>
          <t>AZ</t>
        </is>
      </c>
      <c r="K970" t="inlineStr">
        <is>
          <t>J Capital Solutions</t>
        </is>
      </c>
      <c r="L970" t="inlineStr">
        <is>
          <t>New Deal</t>
        </is>
      </c>
      <c r="M970" s="298" t="n">
        <v>1.49</v>
      </c>
      <c r="N970" s="299" t="n">
        <v>70000</v>
      </c>
      <c r="O970" s="299" t="n">
        <v>0</v>
      </c>
      <c r="P970" s="299" t="n">
        <v>104300</v>
      </c>
      <c r="Q970" s="299" t="n">
        <v>3069.58</v>
      </c>
      <c r="R970" s="299" t="n">
        <v>101230.42</v>
      </c>
      <c r="S970" s="300" t="n">
        <v>0.029430297219559</v>
      </c>
      <c r="T970" t="n">
        <v>34</v>
      </c>
      <c r="U970" t="n">
        <v>17</v>
      </c>
      <c r="V970" t="n">
        <v>210967.52</v>
      </c>
      <c r="W970" s="300" t="n">
        <v>0.0582</v>
      </c>
      <c r="X970" s="297" t="n">
        <v>36526</v>
      </c>
      <c r="Y970">
        <f>IF(I970="","No SIC",IFERROR(VLOOKUP(I970,Ref!$A$2:$B$65,2,FALSE),"Unclassified"))</f>
        <v/>
      </c>
      <c r="Z970">
        <f>IF(T970="","",IF(T970&lt;12,"Daily","Weekly"))</f>
        <v/>
      </c>
      <c r="AA970">
        <f>IF(T970="",0,IF(T970&lt;12,T970*Controls!$B$29,T970*5))</f>
        <v/>
      </c>
      <c r="AB970">
        <f>IF(E970="",0,NETWORKDAYS(E970,Controls!$B$36,Ref!$K$2:$K$42))</f>
        <v/>
      </c>
      <c r="AC970">
        <f>IF(AND(AA970&gt;0,AB970&gt;=Controls!$B$39*AA970),1,0)</f>
        <v/>
      </c>
      <c r="AD970">
        <f>IF(AND(E970&lt;&gt;"",E970&gt;=Controls!$B$37,E970&lt;=Controls!$B$38),1,0)</f>
        <v/>
      </c>
      <c r="AE970">
        <f>IF(IFERROR(VLOOKUP(D970,Controls!$A$64:$E$74,2,FALSE),"No")="Yes",1,0)</f>
        <v/>
      </c>
      <c r="AF970">
        <f>IF(IFERROR(VLOOKUP(D970,Controls!$A$64:$E$74,3,FALSE),"No")="Yes",1,0)</f>
        <v/>
      </c>
      <c r="AG970">
        <f>IF(IFERROR(VLOOKUP(D970,Controls!$A$64:$E$74,4,FALSE),"No")="Yes",1,0)</f>
        <v/>
      </c>
      <c r="AH970">
        <f>IF(IFERROR(VLOOKUP(D970,Controls!$A$64:$E$74,5,FALSE),"No")="Yes",1,0)</f>
        <v/>
      </c>
      <c r="AI970">
        <f>IF(ISNUMBER(MATCH(D970,Controls!$A$64:$A$74,0)),1,0)</f>
        <v/>
      </c>
      <c r="AJ970">
        <f>Q970-N970</f>
        <v/>
      </c>
      <c r="AK970">
        <f>IF(AE970=1,MAX(0,N970-Q970),0)</f>
        <v/>
      </c>
      <c r="AL970">
        <f>IF(OR(V970="",V970=0),0,N970/V970)</f>
        <v/>
      </c>
      <c r="AM970">
        <f>IF(OR(V970="",V970=0),0,1)</f>
        <v/>
      </c>
      <c r="AN970">
        <f>IF(OR(E970="",F970=""),0,NETWORKDAYS(E970,F970,Ref!$K$2:$K$42))</f>
        <v/>
      </c>
      <c r="AO970">
        <f>IF(L970="Renewal",1,0)</f>
        <v/>
      </c>
      <c r="AP970">
        <f>AC970*AD970</f>
        <v/>
      </c>
      <c r="AQ970">
        <f>IF(AND(G970&lt;&gt;"",'Historical Score'!$C$6&lt;&gt;""),IF(G970='Historical Score'!$C$6,1,0),0)</f>
        <v/>
      </c>
      <c r="AR970">
        <f>IF(AND(L970&lt;&gt;"",'Historical Score'!$C$5&lt;&gt;""),IF(L970='Historical Score'!$C$5,1,0),0)</f>
        <v/>
      </c>
      <c r="AS970">
        <f>IF(AND(Y970&lt;&gt;"",'Historical Score'!$C$7&lt;&gt;""),IF(Y970='Historical Score'!$C$7,1,0),0)</f>
        <v/>
      </c>
      <c r="AT970">
        <f>IF(AND(K970&lt;&gt;"",'Historical Score'!$C$8&lt;&gt;""),IF(K970='Historical Score'!$C$8,1,0),0)</f>
        <v/>
      </c>
      <c r="AU970">
        <f>IF(AND(J970&lt;&gt;"",'Historical Score'!$C$9&lt;&gt;""),IF(J970='Historical Score'!$C$9,1,0),0)</f>
        <v/>
      </c>
      <c r="AV970">
        <f>AR970*AS970*AQ970</f>
        <v/>
      </c>
      <c r="AW970">
        <f>AR970*AT970*AQ970</f>
        <v/>
      </c>
      <c r="AX970">
        <f>AR970*AS970</f>
        <v/>
      </c>
      <c r="AY970">
        <f>AR970*AT970</f>
        <v/>
      </c>
      <c r="AZ970">
        <f>AR970*AQ970</f>
        <v/>
      </c>
      <c r="BA970">
        <f>AR970</f>
        <v/>
      </c>
      <c r="BB970">
        <f>1</f>
        <v/>
      </c>
      <c r="BC970">
        <f>IF(AV970=1,1,IF(AW970=1,2,IF(AX970=1,3,IF(AY970=1,4,IF(AZ970=1,5,IF(BA970=1,6,7))))))</f>
        <v/>
      </c>
      <c r="BD970">
        <f>IF(AD970=1,CHOOSE('Historical Score'!$C$29,AV970,AW970,AX970,AY970,AZ970,BA970,BB970),0)</f>
        <v/>
      </c>
      <c r="BE970">
        <f>IF(BD970=1,COUNTIF($BD$2:BD970,1),"")</f>
        <v/>
      </c>
    </row>
    <row r="971">
      <c r="A971" t="inlineStr">
        <is>
          <t>5674185758</t>
        </is>
      </c>
      <c r="B971" t="inlineStr">
        <is>
          <t>YUMA LANDING COMPANY</t>
        </is>
      </c>
      <c r="C971" t="inlineStr">
        <is>
          <t>YUMA LANDING COMPANY</t>
        </is>
      </c>
      <c r="D971" t="inlineStr">
        <is>
          <t>Open</t>
        </is>
      </c>
      <c r="E971" s="297" t="n">
        <v>46191</v>
      </c>
      <c r="F971" s="297" t="n">
        <v>46233</v>
      </c>
      <c r="G971" t="n">
        <v>3</v>
      </c>
      <c r="H971" t="inlineStr">
        <is>
          <t>6531</t>
        </is>
      </c>
      <c r="I971" t="inlineStr">
        <is>
          <t>65</t>
        </is>
      </c>
      <c r="J971" t="inlineStr">
        <is>
          <t>AZ</t>
        </is>
      </c>
      <c r="K971" t="inlineStr">
        <is>
          <t>PMF</t>
        </is>
      </c>
      <c r="L971" t="inlineStr">
        <is>
          <t>New Deal</t>
        </is>
      </c>
      <c r="M971" s="298" t="n">
        <v>1.49</v>
      </c>
      <c r="N971" s="299" t="n">
        <v>20000</v>
      </c>
      <c r="O971" s="299" t="n">
        <v>2800</v>
      </c>
      <c r="P971" s="299" t="n">
        <v>29800</v>
      </c>
      <c r="Q971" s="299" t="n">
        <v>7835.25</v>
      </c>
      <c r="R971" s="299" t="n">
        <v>21964.75</v>
      </c>
      <c r="S971" s="300" t="n">
        <v>0.262927852348993</v>
      </c>
      <c r="T971" t="n">
        <v>3.115</v>
      </c>
      <c r="U971" t="n">
        <v>4</v>
      </c>
      <c r="V971" t="n">
        <v>135144.45</v>
      </c>
      <c r="W971" s="300" t="n">
        <v>0.0487</v>
      </c>
      <c r="X971" s="297" t="n">
        <v>33522</v>
      </c>
      <c r="Y971">
        <f>IF(I971="","No SIC",IFERROR(VLOOKUP(I971,Ref!$A$2:$B$65,2,FALSE),"Unclassified"))</f>
        <v/>
      </c>
      <c r="Z971">
        <f>IF(T971="","",IF(T971&lt;12,"Daily","Weekly"))</f>
        <v/>
      </c>
      <c r="AA971">
        <f>IF(T971="",0,IF(T971&lt;12,T971*Controls!$B$29,T971*5))</f>
        <v/>
      </c>
      <c r="AB971">
        <f>IF(E971="",0,NETWORKDAYS(E971,Controls!$B$36,Ref!$K$2:$K$42))</f>
        <v/>
      </c>
      <c r="AC971">
        <f>IF(AND(AA971&gt;0,AB971&gt;=Controls!$B$39*AA971),1,0)</f>
        <v/>
      </c>
      <c r="AD971">
        <f>IF(AND(E971&lt;&gt;"",E971&gt;=Controls!$B$37,E971&lt;=Controls!$B$38),1,0)</f>
        <v/>
      </c>
      <c r="AE971">
        <f>IF(IFERROR(VLOOKUP(D971,Controls!$A$64:$E$74,2,FALSE),"No")="Yes",1,0)</f>
        <v/>
      </c>
      <c r="AF971">
        <f>IF(IFERROR(VLOOKUP(D971,Controls!$A$64:$E$74,3,FALSE),"No")="Yes",1,0)</f>
        <v/>
      </c>
      <c r="AG971">
        <f>IF(IFERROR(VLOOKUP(D971,Controls!$A$64:$E$74,4,FALSE),"No")="Yes",1,0)</f>
        <v/>
      </c>
      <c r="AH971">
        <f>IF(IFERROR(VLOOKUP(D971,Controls!$A$64:$E$74,5,FALSE),"No")="Yes",1,0)</f>
        <v/>
      </c>
      <c r="AI971">
        <f>IF(ISNUMBER(MATCH(D971,Controls!$A$64:$A$74,0)),1,0)</f>
        <v/>
      </c>
      <c r="AJ971">
        <f>Q971-N971</f>
        <v/>
      </c>
      <c r="AK971">
        <f>IF(AE971=1,MAX(0,N971-Q971),0)</f>
        <v/>
      </c>
      <c r="AL971">
        <f>IF(OR(V971="",V971=0),0,N971/V971)</f>
        <v/>
      </c>
      <c r="AM971">
        <f>IF(OR(V971="",V971=0),0,1)</f>
        <v/>
      </c>
      <c r="AN971">
        <f>IF(OR(E971="",F971=""),0,NETWORKDAYS(E971,F971,Ref!$K$2:$K$42))</f>
        <v/>
      </c>
      <c r="AO971">
        <f>IF(L971="Renewal",1,0)</f>
        <v/>
      </c>
      <c r="AP971">
        <f>AC971*AD971</f>
        <v/>
      </c>
      <c r="AQ971">
        <f>IF(AND(G971&lt;&gt;"",'Historical Score'!$C$6&lt;&gt;""),IF(G971='Historical Score'!$C$6,1,0),0)</f>
        <v/>
      </c>
      <c r="AR971">
        <f>IF(AND(L971&lt;&gt;"",'Historical Score'!$C$5&lt;&gt;""),IF(L971='Historical Score'!$C$5,1,0),0)</f>
        <v/>
      </c>
      <c r="AS971">
        <f>IF(AND(Y971&lt;&gt;"",'Historical Score'!$C$7&lt;&gt;""),IF(Y971='Historical Score'!$C$7,1,0),0)</f>
        <v/>
      </c>
      <c r="AT971">
        <f>IF(AND(K971&lt;&gt;"",'Historical Score'!$C$8&lt;&gt;""),IF(K971='Historical Score'!$C$8,1,0),0)</f>
        <v/>
      </c>
      <c r="AU971">
        <f>IF(AND(J971&lt;&gt;"",'Historical Score'!$C$9&lt;&gt;""),IF(J971='Historical Score'!$C$9,1,0),0)</f>
        <v/>
      </c>
      <c r="AV971">
        <f>AR971*AS971*AQ971</f>
        <v/>
      </c>
      <c r="AW971">
        <f>AR971*AT971*AQ971</f>
        <v/>
      </c>
      <c r="AX971">
        <f>AR971*AS971</f>
        <v/>
      </c>
      <c r="AY971">
        <f>AR971*AT971</f>
        <v/>
      </c>
      <c r="AZ971">
        <f>AR971*AQ971</f>
        <v/>
      </c>
      <c r="BA971">
        <f>AR971</f>
        <v/>
      </c>
      <c r="BB971">
        <f>1</f>
        <v/>
      </c>
      <c r="BC971">
        <f>IF(AV971=1,1,IF(AW971=1,2,IF(AX971=1,3,IF(AY971=1,4,IF(AZ971=1,5,IF(BA971=1,6,7))))))</f>
        <v/>
      </c>
      <c r="BD971">
        <f>IF(AD971=1,CHOOSE('Historical Score'!$C$29,AV971,AW971,AX971,AY971,AZ971,BA971,BB971),0)</f>
        <v/>
      </c>
      <c r="BE971">
        <f>IF(BD971=1,COUNTIF($BD$2:BD971,1),"")</f>
        <v/>
      </c>
    </row>
    <row r="972">
      <c r="A972" t="inlineStr">
        <is>
          <t>5674185768</t>
        </is>
      </c>
      <c r="B972" t="inlineStr">
        <is>
          <t>VENTURA PRODUCE</t>
        </is>
      </c>
      <c r="C972" t="inlineStr">
        <is>
          <t>Ventura Produce INC.</t>
        </is>
      </c>
      <c r="D972" t="inlineStr">
        <is>
          <t>Open</t>
        </is>
      </c>
      <c r="E972" s="297" t="n">
        <v>46191</v>
      </c>
      <c r="F972" s="297" t="n">
        <v>46253</v>
      </c>
      <c r="G972" t="n">
        <v>2</v>
      </c>
      <c r="H972" t="inlineStr">
        <is>
          <t>5148</t>
        </is>
      </c>
      <c r="I972" t="inlineStr">
        <is>
          <t>51</t>
        </is>
      </c>
      <c r="J972" t="inlineStr">
        <is>
          <t>CA</t>
        </is>
      </c>
      <c r="K972" t="inlineStr">
        <is>
          <t>Shore Funding USA</t>
        </is>
      </c>
      <c r="L972" t="inlineStr">
        <is>
          <t>New Deal</t>
        </is>
      </c>
      <c r="M972" s="298" t="n">
        <v>1.49</v>
      </c>
      <c r="N972" s="299" t="n">
        <v>30000</v>
      </c>
      <c r="O972" s="299" t="n">
        <v>4200</v>
      </c>
      <c r="P972" s="299" t="n">
        <v>44700</v>
      </c>
      <c r="Q972" s="299" t="n">
        <v>12820.02</v>
      </c>
      <c r="R972" s="299" t="n">
        <v>31879.98</v>
      </c>
      <c r="S972" s="300" t="n">
        <v>0.286801342281879</v>
      </c>
      <c r="T972" t="n">
        <v>4.918</v>
      </c>
      <c r="U972" t="n">
        <v>0</v>
      </c>
      <c r="V972" t="n">
        <v>135520.03</v>
      </c>
      <c r="W972" s="300" t="n">
        <v>0.0462</v>
      </c>
      <c r="X972" s="297" t="n">
        <v>40888</v>
      </c>
      <c r="Y972">
        <f>IF(I972="","No SIC",IFERROR(VLOOKUP(I972,Ref!$A$2:$B$65,2,FALSE),"Unclassified"))</f>
        <v/>
      </c>
      <c r="Z972">
        <f>IF(T972="","",IF(T972&lt;12,"Daily","Weekly"))</f>
        <v/>
      </c>
      <c r="AA972">
        <f>IF(T972="",0,IF(T972&lt;12,T972*Controls!$B$29,T972*5))</f>
        <v/>
      </c>
      <c r="AB972">
        <f>IF(E972="",0,NETWORKDAYS(E972,Controls!$B$36,Ref!$K$2:$K$42))</f>
        <v/>
      </c>
      <c r="AC972">
        <f>IF(AND(AA972&gt;0,AB972&gt;=Controls!$B$39*AA972),1,0)</f>
        <v/>
      </c>
      <c r="AD972">
        <f>IF(AND(E972&lt;&gt;"",E972&gt;=Controls!$B$37,E972&lt;=Controls!$B$38),1,0)</f>
        <v/>
      </c>
      <c r="AE972">
        <f>IF(IFERROR(VLOOKUP(D972,Controls!$A$64:$E$74,2,FALSE),"No")="Yes",1,0)</f>
        <v/>
      </c>
      <c r="AF972">
        <f>IF(IFERROR(VLOOKUP(D972,Controls!$A$64:$E$74,3,FALSE),"No")="Yes",1,0)</f>
        <v/>
      </c>
      <c r="AG972">
        <f>IF(IFERROR(VLOOKUP(D972,Controls!$A$64:$E$74,4,FALSE),"No")="Yes",1,0)</f>
        <v/>
      </c>
      <c r="AH972">
        <f>IF(IFERROR(VLOOKUP(D972,Controls!$A$64:$E$74,5,FALSE),"No")="Yes",1,0)</f>
        <v/>
      </c>
      <c r="AI972">
        <f>IF(ISNUMBER(MATCH(D972,Controls!$A$64:$A$74,0)),1,0)</f>
        <v/>
      </c>
      <c r="AJ972">
        <f>Q972-N972</f>
        <v/>
      </c>
      <c r="AK972">
        <f>IF(AE972=1,MAX(0,N972-Q972),0)</f>
        <v/>
      </c>
      <c r="AL972">
        <f>IF(OR(V972="",V972=0),0,N972/V972)</f>
        <v/>
      </c>
      <c r="AM972">
        <f>IF(OR(V972="",V972=0),0,1)</f>
        <v/>
      </c>
      <c r="AN972">
        <f>IF(OR(E972="",F972=""),0,NETWORKDAYS(E972,F972,Ref!$K$2:$K$42))</f>
        <v/>
      </c>
      <c r="AO972">
        <f>IF(L972="Renewal",1,0)</f>
        <v/>
      </c>
      <c r="AP972">
        <f>AC972*AD972</f>
        <v/>
      </c>
      <c r="AQ972">
        <f>IF(AND(G972&lt;&gt;"",'Historical Score'!$C$6&lt;&gt;""),IF(G972='Historical Score'!$C$6,1,0),0)</f>
        <v/>
      </c>
      <c r="AR972">
        <f>IF(AND(L972&lt;&gt;"",'Historical Score'!$C$5&lt;&gt;""),IF(L972='Historical Score'!$C$5,1,0),0)</f>
        <v/>
      </c>
      <c r="AS972">
        <f>IF(AND(Y972&lt;&gt;"",'Historical Score'!$C$7&lt;&gt;""),IF(Y972='Historical Score'!$C$7,1,0),0)</f>
        <v/>
      </c>
      <c r="AT972">
        <f>IF(AND(K972&lt;&gt;"",'Historical Score'!$C$8&lt;&gt;""),IF(K972='Historical Score'!$C$8,1,0),0)</f>
        <v/>
      </c>
      <c r="AU972">
        <f>IF(AND(J972&lt;&gt;"",'Historical Score'!$C$9&lt;&gt;""),IF(J972='Historical Score'!$C$9,1,0),0)</f>
        <v/>
      </c>
      <c r="AV972">
        <f>AR972*AS972*AQ972</f>
        <v/>
      </c>
      <c r="AW972">
        <f>AR972*AT972*AQ972</f>
        <v/>
      </c>
      <c r="AX972">
        <f>AR972*AS972</f>
        <v/>
      </c>
      <c r="AY972">
        <f>AR972*AT972</f>
        <v/>
      </c>
      <c r="AZ972">
        <f>AR972*AQ972</f>
        <v/>
      </c>
      <c r="BA972">
        <f>AR972</f>
        <v/>
      </c>
      <c r="BB972">
        <f>1</f>
        <v/>
      </c>
      <c r="BC972">
        <f>IF(AV972=1,1,IF(AW972=1,2,IF(AX972=1,3,IF(AY972=1,4,IF(AZ972=1,5,IF(BA972=1,6,7))))))</f>
        <v/>
      </c>
      <c r="BD972">
        <f>IF(AD972=1,CHOOSE('Historical Score'!$C$29,AV972,AW972,AX972,AY972,AZ972,BA972,BB972),0)</f>
        <v/>
      </c>
      <c r="BE972">
        <f>IF(BD972=1,COUNTIF($BD$2:BD972,1),"")</f>
        <v/>
      </c>
    </row>
    <row r="973">
      <c r="A973" t="inlineStr">
        <is>
          <t>5674185771</t>
        </is>
      </c>
      <c r="B973" t="inlineStr">
        <is>
          <t>DIXON MECHANICAL LLC</t>
        </is>
      </c>
      <c r="C973" t="inlineStr">
        <is>
          <t>DIXON MECHANICAL LLC</t>
        </is>
      </c>
      <c r="D973" t="inlineStr">
        <is>
          <t>Open</t>
        </is>
      </c>
      <c r="E973" s="297" t="n">
        <v>46191</v>
      </c>
      <c r="F973" s="297" t="n">
        <v>46253</v>
      </c>
      <c r="G973" t="n">
        <v>2</v>
      </c>
      <c r="H973" t="inlineStr">
        <is>
          <t>7538</t>
        </is>
      </c>
      <c r="I973" t="inlineStr">
        <is>
          <t>75</t>
        </is>
      </c>
      <c r="J973" t="inlineStr">
        <is>
          <t>TN</t>
        </is>
      </c>
      <c r="K973" t="inlineStr">
        <is>
          <t>biz advance now</t>
        </is>
      </c>
      <c r="L973" t="inlineStr">
        <is>
          <t>New Deal</t>
        </is>
      </c>
      <c r="M973" s="298" t="n">
        <v>1.49</v>
      </c>
      <c r="N973" s="299" t="n">
        <v>25000</v>
      </c>
      <c r="O973" s="299" t="n">
        <v>3500</v>
      </c>
      <c r="P973" s="299" t="n">
        <v>37250</v>
      </c>
      <c r="Q973" s="299" t="n">
        <v>6826.6</v>
      </c>
      <c r="R973" s="299" t="n">
        <v>30423.4</v>
      </c>
      <c r="S973" s="300" t="n">
        <v>0.183264429530201</v>
      </c>
      <c r="T973" t="n">
        <v>3.934</v>
      </c>
      <c r="U973" t="n">
        <v>21</v>
      </c>
      <c r="V973" t="n">
        <v>104932.85</v>
      </c>
      <c r="W973" s="300" t="n">
        <v>0.0621</v>
      </c>
      <c r="X973" s="297" t="n">
        <v>42777</v>
      </c>
      <c r="Y973">
        <f>IF(I973="","No SIC",IFERROR(VLOOKUP(I973,Ref!$A$2:$B$65,2,FALSE),"Unclassified"))</f>
        <v/>
      </c>
      <c r="Z973">
        <f>IF(T973="","",IF(T973&lt;12,"Daily","Weekly"))</f>
        <v/>
      </c>
      <c r="AA973">
        <f>IF(T973="",0,IF(T973&lt;12,T973*Controls!$B$29,T973*5))</f>
        <v/>
      </c>
      <c r="AB973">
        <f>IF(E973="",0,NETWORKDAYS(E973,Controls!$B$36,Ref!$K$2:$K$42))</f>
        <v/>
      </c>
      <c r="AC973">
        <f>IF(AND(AA973&gt;0,AB973&gt;=Controls!$B$39*AA973),1,0)</f>
        <v/>
      </c>
      <c r="AD973">
        <f>IF(AND(E973&lt;&gt;"",E973&gt;=Controls!$B$37,E973&lt;=Controls!$B$38),1,0)</f>
        <v/>
      </c>
      <c r="AE973">
        <f>IF(IFERROR(VLOOKUP(D973,Controls!$A$64:$E$74,2,FALSE),"No")="Yes",1,0)</f>
        <v/>
      </c>
      <c r="AF973">
        <f>IF(IFERROR(VLOOKUP(D973,Controls!$A$64:$E$74,3,FALSE),"No")="Yes",1,0)</f>
        <v/>
      </c>
      <c r="AG973">
        <f>IF(IFERROR(VLOOKUP(D973,Controls!$A$64:$E$74,4,FALSE),"No")="Yes",1,0)</f>
        <v/>
      </c>
      <c r="AH973">
        <f>IF(IFERROR(VLOOKUP(D973,Controls!$A$64:$E$74,5,FALSE),"No")="Yes",1,0)</f>
        <v/>
      </c>
      <c r="AI973">
        <f>IF(ISNUMBER(MATCH(D973,Controls!$A$64:$A$74,0)),1,0)</f>
        <v/>
      </c>
      <c r="AJ973">
        <f>Q973-N973</f>
        <v/>
      </c>
      <c r="AK973">
        <f>IF(AE973=1,MAX(0,N973-Q973),0)</f>
        <v/>
      </c>
      <c r="AL973">
        <f>IF(OR(V973="",V973=0),0,N973/V973)</f>
        <v/>
      </c>
      <c r="AM973">
        <f>IF(OR(V973="",V973=0),0,1)</f>
        <v/>
      </c>
      <c r="AN973">
        <f>IF(OR(E973="",F973=""),0,NETWORKDAYS(E973,F973,Ref!$K$2:$K$42))</f>
        <v/>
      </c>
      <c r="AO973">
        <f>IF(L973="Renewal",1,0)</f>
        <v/>
      </c>
      <c r="AP973">
        <f>AC973*AD973</f>
        <v/>
      </c>
      <c r="AQ973">
        <f>IF(AND(G973&lt;&gt;"",'Historical Score'!$C$6&lt;&gt;""),IF(G973='Historical Score'!$C$6,1,0),0)</f>
        <v/>
      </c>
      <c r="AR973">
        <f>IF(AND(L973&lt;&gt;"",'Historical Score'!$C$5&lt;&gt;""),IF(L973='Historical Score'!$C$5,1,0),0)</f>
        <v/>
      </c>
      <c r="AS973">
        <f>IF(AND(Y973&lt;&gt;"",'Historical Score'!$C$7&lt;&gt;""),IF(Y973='Historical Score'!$C$7,1,0),0)</f>
        <v/>
      </c>
      <c r="AT973">
        <f>IF(AND(K973&lt;&gt;"",'Historical Score'!$C$8&lt;&gt;""),IF(K973='Historical Score'!$C$8,1,0),0)</f>
        <v/>
      </c>
      <c r="AU973">
        <f>IF(AND(J973&lt;&gt;"",'Historical Score'!$C$9&lt;&gt;""),IF(J973='Historical Score'!$C$9,1,0),0)</f>
        <v/>
      </c>
      <c r="AV973">
        <f>AR973*AS973*AQ973</f>
        <v/>
      </c>
      <c r="AW973">
        <f>AR973*AT973*AQ973</f>
        <v/>
      </c>
      <c r="AX973">
        <f>AR973*AS973</f>
        <v/>
      </c>
      <c r="AY973">
        <f>AR973*AT973</f>
        <v/>
      </c>
      <c r="AZ973">
        <f>AR973*AQ973</f>
        <v/>
      </c>
      <c r="BA973">
        <f>AR973</f>
        <v/>
      </c>
      <c r="BB973">
        <f>1</f>
        <v/>
      </c>
      <c r="BC973">
        <f>IF(AV973=1,1,IF(AW973=1,2,IF(AX973=1,3,IF(AY973=1,4,IF(AZ973=1,5,IF(BA973=1,6,7))))))</f>
        <v/>
      </c>
      <c r="BD973">
        <f>IF(AD973=1,CHOOSE('Historical Score'!$C$29,AV973,AW973,AX973,AY973,AZ973,BA973,BB973),0)</f>
        <v/>
      </c>
      <c r="BE973">
        <f>IF(BD973=1,COUNTIF($BD$2:BD973,1),"")</f>
        <v/>
      </c>
    </row>
    <row r="974">
      <c r="A974" t="inlineStr">
        <is>
          <t>5674185785</t>
        </is>
      </c>
      <c r="B974" t="inlineStr">
        <is>
          <t>TAQUERIA EGRAN CHAPIN</t>
        </is>
      </c>
      <c r="C974" t="inlineStr">
        <is>
          <t>TAQUERIA EGRAN CHAPIN</t>
        </is>
      </c>
      <c r="D974" t="inlineStr">
        <is>
          <t>Open</t>
        </is>
      </c>
      <c r="E974" s="297" t="n">
        <v>46191</v>
      </c>
      <c r="F974" s="297" t="n">
        <v>46253</v>
      </c>
      <c r="G974" t="n">
        <v>3</v>
      </c>
      <c r="H974" t="inlineStr">
        <is>
          <t>5812</t>
        </is>
      </c>
      <c r="I974" t="inlineStr">
        <is>
          <t>58</t>
        </is>
      </c>
      <c r="J974" t="inlineStr">
        <is>
          <t>VA</t>
        </is>
      </c>
      <c r="K974" t="inlineStr">
        <is>
          <t>Westwood</t>
        </is>
      </c>
      <c r="L974" t="inlineStr">
        <is>
          <t>New Deal</t>
        </is>
      </c>
      <c r="M974" s="298" t="n">
        <v>1.46</v>
      </c>
      <c r="N974" s="299" t="n">
        <v>5000</v>
      </c>
      <c r="O974" s="299" t="n">
        <v>625</v>
      </c>
      <c r="P974" s="299" t="n">
        <v>7300</v>
      </c>
      <c r="Q974" s="299" t="n">
        <v>3924.61</v>
      </c>
      <c r="R974" s="299" t="n">
        <v>3375.39</v>
      </c>
      <c r="S974" s="300" t="n">
        <v>0.537617808219178</v>
      </c>
      <c r="T974" t="n">
        <v>2.623</v>
      </c>
      <c r="U974" t="n">
        <v>0</v>
      </c>
      <c r="V974" t="n">
        <v>14962.29</v>
      </c>
      <c r="W974" s="300" t="n">
        <v>0.1281</v>
      </c>
      <c r="X974" s="297" t="n">
        <v>43212</v>
      </c>
      <c r="Y974">
        <f>IF(I974="","No SIC",IFERROR(VLOOKUP(I974,Ref!$A$2:$B$65,2,FALSE),"Unclassified"))</f>
        <v/>
      </c>
      <c r="Z974">
        <f>IF(T974="","",IF(T974&lt;12,"Daily","Weekly"))</f>
        <v/>
      </c>
      <c r="AA974">
        <f>IF(T974="",0,IF(T974&lt;12,T974*Controls!$B$29,T974*5))</f>
        <v/>
      </c>
      <c r="AB974">
        <f>IF(E974="",0,NETWORKDAYS(E974,Controls!$B$36,Ref!$K$2:$K$42))</f>
        <v/>
      </c>
      <c r="AC974">
        <f>IF(AND(AA974&gt;0,AB974&gt;=Controls!$B$39*AA974),1,0)</f>
        <v/>
      </c>
      <c r="AD974">
        <f>IF(AND(E974&lt;&gt;"",E974&gt;=Controls!$B$37,E974&lt;=Controls!$B$38),1,0)</f>
        <v/>
      </c>
      <c r="AE974">
        <f>IF(IFERROR(VLOOKUP(D974,Controls!$A$64:$E$74,2,FALSE),"No")="Yes",1,0)</f>
        <v/>
      </c>
      <c r="AF974">
        <f>IF(IFERROR(VLOOKUP(D974,Controls!$A$64:$E$74,3,FALSE),"No")="Yes",1,0)</f>
        <v/>
      </c>
      <c r="AG974">
        <f>IF(IFERROR(VLOOKUP(D974,Controls!$A$64:$E$74,4,FALSE),"No")="Yes",1,0)</f>
        <v/>
      </c>
      <c r="AH974">
        <f>IF(IFERROR(VLOOKUP(D974,Controls!$A$64:$E$74,5,FALSE),"No")="Yes",1,0)</f>
        <v/>
      </c>
      <c r="AI974">
        <f>IF(ISNUMBER(MATCH(D974,Controls!$A$64:$A$74,0)),1,0)</f>
        <v/>
      </c>
      <c r="AJ974">
        <f>Q974-N974</f>
        <v/>
      </c>
      <c r="AK974">
        <f>IF(AE974=1,MAX(0,N974-Q974),0)</f>
        <v/>
      </c>
      <c r="AL974">
        <f>IF(OR(V974="",V974=0),0,N974/V974)</f>
        <v/>
      </c>
      <c r="AM974">
        <f>IF(OR(V974="",V974=0),0,1)</f>
        <v/>
      </c>
      <c r="AN974">
        <f>IF(OR(E974="",F974=""),0,NETWORKDAYS(E974,F974,Ref!$K$2:$K$42))</f>
        <v/>
      </c>
      <c r="AO974">
        <f>IF(L974="Renewal",1,0)</f>
        <v/>
      </c>
      <c r="AP974">
        <f>AC974*AD974</f>
        <v/>
      </c>
      <c r="AQ974">
        <f>IF(AND(G974&lt;&gt;"",'Historical Score'!$C$6&lt;&gt;""),IF(G974='Historical Score'!$C$6,1,0),0)</f>
        <v/>
      </c>
      <c r="AR974">
        <f>IF(AND(L974&lt;&gt;"",'Historical Score'!$C$5&lt;&gt;""),IF(L974='Historical Score'!$C$5,1,0),0)</f>
        <v/>
      </c>
      <c r="AS974">
        <f>IF(AND(Y974&lt;&gt;"",'Historical Score'!$C$7&lt;&gt;""),IF(Y974='Historical Score'!$C$7,1,0),0)</f>
        <v/>
      </c>
      <c r="AT974">
        <f>IF(AND(K974&lt;&gt;"",'Historical Score'!$C$8&lt;&gt;""),IF(K974='Historical Score'!$C$8,1,0),0)</f>
        <v/>
      </c>
      <c r="AU974">
        <f>IF(AND(J974&lt;&gt;"",'Historical Score'!$C$9&lt;&gt;""),IF(J974='Historical Score'!$C$9,1,0),0)</f>
        <v/>
      </c>
      <c r="AV974">
        <f>AR974*AS974*AQ974</f>
        <v/>
      </c>
      <c r="AW974">
        <f>AR974*AT974*AQ974</f>
        <v/>
      </c>
      <c r="AX974">
        <f>AR974*AS974</f>
        <v/>
      </c>
      <c r="AY974">
        <f>AR974*AT974</f>
        <v/>
      </c>
      <c r="AZ974">
        <f>AR974*AQ974</f>
        <v/>
      </c>
      <c r="BA974">
        <f>AR974</f>
        <v/>
      </c>
      <c r="BB974">
        <f>1</f>
        <v/>
      </c>
      <c r="BC974">
        <f>IF(AV974=1,1,IF(AW974=1,2,IF(AX974=1,3,IF(AY974=1,4,IF(AZ974=1,5,IF(BA974=1,6,7))))))</f>
        <v/>
      </c>
      <c r="BD974">
        <f>IF(AD974=1,CHOOSE('Historical Score'!$C$29,AV974,AW974,AX974,AY974,AZ974,BA974,BB974),0)</f>
        <v/>
      </c>
      <c r="BE974">
        <f>IF(BD974=1,COUNTIF($BD$2:BD974,1),"")</f>
        <v/>
      </c>
    </row>
    <row r="975">
      <c r="A975" t="inlineStr">
        <is>
          <t>5674185786</t>
        </is>
      </c>
      <c r="B975" t="inlineStr">
        <is>
          <t>GREAT LAKES URGENT CARE</t>
        </is>
      </c>
      <c r="C975" t="inlineStr">
        <is>
          <t>GREAT LAKES MEDICAL SERVICES LLC</t>
        </is>
      </c>
      <c r="D975" t="inlineStr">
        <is>
          <t>Open</t>
        </is>
      </c>
      <c r="E975" s="297" t="n">
        <v>46191</v>
      </c>
      <c r="F975" s="297" t="n">
        <v>46253</v>
      </c>
      <c r="G975" t="n">
        <v>3</v>
      </c>
      <c r="H975" t="inlineStr">
        <is>
          <t>8011</t>
        </is>
      </c>
      <c r="I975" t="inlineStr">
        <is>
          <t>80</t>
        </is>
      </c>
      <c r="J975" t="inlineStr">
        <is>
          <t>OH</t>
        </is>
      </c>
      <c r="K975" t="inlineStr">
        <is>
          <t>Platform Funding</t>
        </is>
      </c>
      <c r="L975" t="inlineStr">
        <is>
          <t>New Deal</t>
        </is>
      </c>
      <c r="M975" s="298" t="n">
        <v>1.49</v>
      </c>
      <c r="N975" s="299" t="n">
        <v>5000</v>
      </c>
      <c r="O975" s="299" t="n">
        <v>700</v>
      </c>
      <c r="P975" s="299" t="n">
        <v>7450</v>
      </c>
      <c r="Q975" s="299" t="n">
        <v>4005.45</v>
      </c>
      <c r="R975" s="299" t="n">
        <v>3444.55</v>
      </c>
      <c r="S975" s="300" t="n">
        <v>0.537644295302013</v>
      </c>
      <c r="T975" t="n">
        <v>2.623</v>
      </c>
      <c r="U975" t="n">
        <v>0</v>
      </c>
      <c r="V975" t="n">
        <v>18436.73</v>
      </c>
      <c r="W975" s="300" t="n">
        <v>0.1061</v>
      </c>
      <c r="X975" s="297" t="n">
        <v>38718</v>
      </c>
      <c r="Y975">
        <f>IF(I975="","No SIC",IFERROR(VLOOKUP(I975,Ref!$A$2:$B$65,2,FALSE),"Unclassified"))</f>
        <v/>
      </c>
      <c r="Z975">
        <f>IF(T975="","",IF(T975&lt;12,"Daily","Weekly"))</f>
        <v/>
      </c>
      <c r="AA975">
        <f>IF(T975="",0,IF(T975&lt;12,T975*Controls!$B$29,T975*5))</f>
        <v/>
      </c>
      <c r="AB975">
        <f>IF(E975="",0,NETWORKDAYS(E975,Controls!$B$36,Ref!$K$2:$K$42))</f>
        <v/>
      </c>
      <c r="AC975">
        <f>IF(AND(AA975&gt;0,AB975&gt;=Controls!$B$39*AA975),1,0)</f>
        <v/>
      </c>
      <c r="AD975">
        <f>IF(AND(E975&lt;&gt;"",E975&gt;=Controls!$B$37,E975&lt;=Controls!$B$38),1,0)</f>
        <v/>
      </c>
      <c r="AE975">
        <f>IF(IFERROR(VLOOKUP(D975,Controls!$A$64:$E$74,2,FALSE),"No")="Yes",1,0)</f>
        <v/>
      </c>
      <c r="AF975">
        <f>IF(IFERROR(VLOOKUP(D975,Controls!$A$64:$E$74,3,FALSE),"No")="Yes",1,0)</f>
        <v/>
      </c>
      <c r="AG975">
        <f>IF(IFERROR(VLOOKUP(D975,Controls!$A$64:$E$74,4,FALSE),"No")="Yes",1,0)</f>
        <v/>
      </c>
      <c r="AH975">
        <f>IF(IFERROR(VLOOKUP(D975,Controls!$A$64:$E$74,5,FALSE),"No")="Yes",1,0)</f>
        <v/>
      </c>
      <c r="AI975">
        <f>IF(ISNUMBER(MATCH(D975,Controls!$A$64:$A$74,0)),1,0)</f>
        <v/>
      </c>
      <c r="AJ975">
        <f>Q975-N975</f>
        <v/>
      </c>
      <c r="AK975">
        <f>IF(AE975=1,MAX(0,N975-Q975),0)</f>
        <v/>
      </c>
      <c r="AL975">
        <f>IF(OR(V975="",V975=0),0,N975/V975)</f>
        <v/>
      </c>
      <c r="AM975">
        <f>IF(OR(V975="",V975=0),0,1)</f>
        <v/>
      </c>
      <c r="AN975">
        <f>IF(OR(E975="",F975=""),0,NETWORKDAYS(E975,F975,Ref!$K$2:$K$42))</f>
        <v/>
      </c>
      <c r="AO975">
        <f>IF(L975="Renewal",1,0)</f>
        <v/>
      </c>
      <c r="AP975">
        <f>AC975*AD975</f>
        <v/>
      </c>
      <c r="AQ975">
        <f>IF(AND(G975&lt;&gt;"",'Historical Score'!$C$6&lt;&gt;""),IF(G975='Historical Score'!$C$6,1,0),0)</f>
        <v/>
      </c>
      <c r="AR975">
        <f>IF(AND(L975&lt;&gt;"",'Historical Score'!$C$5&lt;&gt;""),IF(L975='Historical Score'!$C$5,1,0),0)</f>
        <v/>
      </c>
      <c r="AS975">
        <f>IF(AND(Y975&lt;&gt;"",'Historical Score'!$C$7&lt;&gt;""),IF(Y975='Historical Score'!$C$7,1,0),0)</f>
        <v/>
      </c>
      <c r="AT975">
        <f>IF(AND(K975&lt;&gt;"",'Historical Score'!$C$8&lt;&gt;""),IF(K975='Historical Score'!$C$8,1,0),0)</f>
        <v/>
      </c>
      <c r="AU975">
        <f>IF(AND(J975&lt;&gt;"",'Historical Score'!$C$9&lt;&gt;""),IF(J975='Historical Score'!$C$9,1,0),0)</f>
        <v/>
      </c>
      <c r="AV975">
        <f>AR975*AS975*AQ975</f>
        <v/>
      </c>
      <c r="AW975">
        <f>AR975*AT975*AQ975</f>
        <v/>
      </c>
      <c r="AX975">
        <f>AR975*AS975</f>
        <v/>
      </c>
      <c r="AY975">
        <f>AR975*AT975</f>
        <v/>
      </c>
      <c r="AZ975">
        <f>AR975*AQ975</f>
        <v/>
      </c>
      <c r="BA975">
        <f>AR975</f>
        <v/>
      </c>
      <c r="BB975">
        <f>1</f>
        <v/>
      </c>
      <c r="BC975">
        <f>IF(AV975=1,1,IF(AW975=1,2,IF(AX975=1,3,IF(AY975=1,4,IF(AZ975=1,5,IF(BA975=1,6,7))))))</f>
        <v/>
      </c>
      <c r="BD975">
        <f>IF(AD975=1,CHOOSE('Historical Score'!$C$29,AV975,AW975,AX975,AY975,AZ975,BA975,BB975),0)</f>
        <v/>
      </c>
      <c r="BE975">
        <f>IF(BD975=1,COUNTIF($BD$2:BD975,1),"")</f>
        <v/>
      </c>
    </row>
    <row r="976">
      <c r="A976" t="inlineStr">
        <is>
          <t>5674185857</t>
        </is>
      </c>
      <c r="B976" t="inlineStr">
        <is>
          <t>Silver &amp; Riley</t>
        </is>
      </c>
      <c r="C976" t="inlineStr">
        <is>
          <t>Silver &amp; Riley</t>
        </is>
      </c>
      <c r="D976" t="inlineStr">
        <is>
          <t>Open</t>
        </is>
      </c>
      <c r="E976" s="297" t="n">
        <v>46195</v>
      </c>
      <c r="F976" s="297" t="n">
        <v>46248</v>
      </c>
      <c r="G976" t="n">
        <v>2</v>
      </c>
      <c r="H976" t="inlineStr">
        <is>
          <t>5399</t>
        </is>
      </c>
      <c r="I976" t="inlineStr">
        <is>
          <t>53</t>
        </is>
      </c>
      <c r="J976" t="inlineStr">
        <is>
          <t>NJ</t>
        </is>
      </c>
      <c r="K976" t="inlineStr">
        <is>
          <t>Vanguard Equities</t>
        </is>
      </c>
      <c r="L976" t="inlineStr">
        <is>
          <t>Renewal</t>
        </is>
      </c>
      <c r="M976" s="298" t="n">
        <v>1.4</v>
      </c>
      <c r="N976" s="299" t="n">
        <v>40000</v>
      </c>
      <c r="O976" s="299" t="n">
        <v>3800</v>
      </c>
      <c r="P976" s="299" t="n">
        <v>56000</v>
      </c>
      <c r="Q976" s="299" t="n">
        <v>14317.08</v>
      </c>
      <c r="R976" s="299" t="n">
        <v>41682.92</v>
      </c>
      <c r="S976" s="300" t="n">
        <v>0.255662142857143</v>
      </c>
      <c r="T976" t="n">
        <v>32</v>
      </c>
      <c r="U976" t="n">
        <v>0</v>
      </c>
      <c r="V976" t="n">
        <v>37557.06</v>
      </c>
      <c r="W976" s="300" t="n">
        <v>0.1864</v>
      </c>
      <c r="X976" s="297" t="n">
        <v>43617</v>
      </c>
      <c r="Y976">
        <f>IF(I976="","No SIC",IFERROR(VLOOKUP(I976,Ref!$A$2:$B$65,2,FALSE),"Unclassified"))</f>
        <v/>
      </c>
      <c r="Z976">
        <f>IF(T976="","",IF(T976&lt;12,"Daily","Weekly"))</f>
        <v/>
      </c>
      <c r="AA976">
        <f>IF(T976="",0,IF(T976&lt;12,T976*Controls!$B$29,T976*5))</f>
        <v/>
      </c>
      <c r="AB976">
        <f>IF(E976="",0,NETWORKDAYS(E976,Controls!$B$36,Ref!$K$2:$K$42))</f>
        <v/>
      </c>
      <c r="AC976">
        <f>IF(AND(AA976&gt;0,AB976&gt;=Controls!$B$39*AA976),1,0)</f>
        <v/>
      </c>
      <c r="AD976">
        <f>IF(AND(E976&lt;&gt;"",E976&gt;=Controls!$B$37,E976&lt;=Controls!$B$38),1,0)</f>
        <v/>
      </c>
      <c r="AE976">
        <f>IF(IFERROR(VLOOKUP(D976,Controls!$A$64:$E$74,2,FALSE),"No")="Yes",1,0)</f>
        <v/>
      </c>
      <c r="AF976">
        <f>IF(IFERROR(VLOOKUP(D976,Controls!$A$64:$E$74,3,FALSE),"No")="Yes",1,0)</f>
        <v/>
      </c>
      <c r="AG976">
        <f>IF(IFERROR(VLOOKUP(D976,Controls!$A$64:$E$74,4,FALSE),"No")="Yes",1,0)</f>
        <v/>
      </c>
      <c r="AH976">
        <f>IF(IFERROR(VLOOKUP(D976,Controls!$A$64:$E$74,5,FALSE),"No")="Yes",1,0)</f>
        <v/>
      </c>
      <c r="AI976">
        <f>IF(ISNUMBER(MATCH(D976,Controls!$A$64:$A$74,0)),1,0)</f>
        <v/>
      </c>
      <c r="AJ976">
        <f>Q976-N976</f>
        <v/>
      </c>
      <c r="AK976">
        <f>IF(AE976=1,MAX(0,N976-Q976),0)</f>
        <v/>
      </c>
      <c r="AL976">
        <f>IF(OR(V976="",V976=0),0,N976/V976)</f>
        <v/>
      </c>
      <c r="AM976">
        <f>IF(OR(V976="",V976=0),0,1)</f>
        <v/>
      </c>
      <c r="AN976">
        <f>IF(OR(E976="",F976=""),0,NETWORKDAYS(E976,F976,Ref!$K$2:$K$42))</f>
        <v/>
      </c>
      <c r="AO976">
        <f>IF(L976="Renewal",1,0)</f>
        <v/>
      </c>
      <c r="AP976">
        <f>AC976*AD976</f>
        <v/>
      </c>
      <c r="AQ976">
        <f>IF(AND(G976&lt;&gt;"",'Historical Score'!$C$6&lt;&gt;""),IF(G976='Historical Score'!$C$6,1,0),0)</f>
        <v/>
      </c>
      <c r="AR976">
        <f>IF(AND(L976&lt;&gt;"",'Historical Score'!$C$5&lt;&gt;""),IF(L976='Historical Score'!$C$5,1,0),0)</f>
        <v/>
      </c>
      <c r="AS976">
        <f>IF(AND(Y976&lt;&gt;"",'Historical Score'!$C$7&lt;&gt;""),IF(Y976='Historical Score'!$C$7,1,0),0)</f>
        <v/>
      </c>
      <c r="AT976">
        <f>IF(AND(K976&lt;&gt;"",'Historical Score'!$C$8&lt;&gt;""),IF(K976='Historical Score'!$C$8,1,0),0)</f>
        <v/>
      </c>
      <c r="AU976">
        <f>IF(AND(J976&lt;&gt;"",'Historical Score'!$C$9&lt;&gt;""),IF(J976='Historical Score'!$C$9,1,0),0)</f>
        <v/>
      </c>
      <c r="AV976">
        <f>AR976*AS976*AQ976</f>
        <v/>
      </c>
      <c r="AW976">
        <f>AR976*AT976*AQ976</f>
        <v/>
      </c>
      <c r="AX976">
        <f>AR976*AS976</f>
        <v/>
      </c>
      <c r="AY976">
        <f>AR976*AT976</f>
        <v/>
      </c>
      <c r="AZ976">
        <f>AR976*AQ976</f>
        <v/>
      </c>
      <c r="BA976">
        <f>AR976</f>
        <v/>
      </c>
      <c r="BB976">
        <f>1</f>
        <v/>
      </c>
      <c r="BC976">
        <f>IF(AV976=1,1,IF(AW976=1,2,IF(AX976=1,3,IF(AY976=1,4,IF(AZ976=1,5,IF(BA976=1,6,7))))))</f>
        <v/>
      </c>
      <c r="BD976">
        <f>IF(AD976=1,CHOOSE('Historical Score'!$C$29,AV976,AW976,AX976,AY976,AZ976,BA976,BB976),0)</f>
        <v/>
      </c>
      <c r="BE976">
        <f>IF(BD976=1,COUNTIF($BD$2:BD976,1),"")</f>
        <v/>
      </c>
    </row>
    <row r="977">
      <c r="A977" t="inlineStr">
        <is>
          <t>5674185859</t>
        </is>
      </c>
      <c r="B977" t="inlineStr">
        <is>
          <t>Controlled Outcomes</t>
        </is>
      </c>
      <c r="C977" t="inlineStr">
        <is>
          <t>CONTROLLED OUTCOMES LLC</t>
        </is>
      </c>
      <c r="D977" t="inlineStr">
        <is>
          <t>In House Collection</t>
        </is>
      </c>
      <c r="E977" s="297" t="n">
        <v>46195</v>
      </c>
      <c r="F977" s="297" t="n">
        <v>46237</v>
      </c>
      <c r="G977" t="n">
        <v>3</v>
      </c>
      <c r="H977" t="inlineStr">
        <is>
          <t>5999</t>
        </is>
      </c>
      <c r="I977" t="inlineStr">
        <is>
          <t>59</t>
        </is>
      </c>
      <c r="J977" t="inlineStr">
        <is>
          <t>FL</t>
        </is>
      </c>
      <c r="K977" t="inlineStr">
        <is>
          <t>PMF</t>
        </is>
      </c>
      <c r="L977" t="inlineStr">
        <is>
          <t>New Deal</t>
        </is>
      </c>
      <c r="M977" s="298" t="n">
        <v>1.49</v>
      </c>
      <c r="N977" s="299" t="n">
        <v>15000</v>
      </c>
      <c r="O977" s="299" t="n">
        <v>0</v>
      </c>
      <c r="P977" s="299" t="n">
        <v>22350</v>
      </c>
      <c r="Q977" s="299" t="n">
        <v>2873.16</v>
      </c>
      <c r="R977" s="299" t="n">
        <v>19476.84</v>
      </c>
      <c r="S977" s="300" t="n">
        <v>0.128553020134228</v>
      </c>
      <c r="T977" t="n">
        <v>2.295</v>
      </c>
      <c r="U977" t="n">
        <v>21</v>
      </c>
      <c r="V977" t="n">
        <v>48000</v>
      </c>
      <c r="W977" s="300" t="n">
        <v>0.1922</v>
      </c>
      <c r="X977" s="297" t="n">
        <v>44124</v>
      </c>
      <c r="Y977">
        <f>IF(I977="","No SIC",IFERROR(VLOOKUP(I977,Ref!$A$2:$B$65,2,FALSE),"Unclassified"))</f>
        <v/>
      </c>
      <c r="Z977">
        <f>IF(T977="","",IF(T977&lt;12,"Daily","Weekly"))</f>
        <v/>
      </c>
      <c r="AA977">
        <f>IF(T977="",0,IF(T977&lt;12,T977*Controls!$B$29,T977*5))</f>
        <v/>
      </c>
      <c r="AB977">
        <f>IF(E977="",0,NETWORKDAYS(E977,Controls!$B$36,Ref!$K$2:$K$42))</f>
        <v/>
      </c>
      <c r="AC977">
        <f>IF(AND(AA977&gt;0,AB977&gt;=Controls!$B$39*AA977),1,0)</f>
        <v/>
      </c>
      <c r="AD977">
        <f>IF(AND(E977&lt;&gt;"",E977&gt;=Controls!$B$37,E977&lt;=Controls!$B$38),1,0)</f>
        <v/>
      </c>
      <c r="AE977">
        <f>IF(IFERROR(VLOOKUP(D977,Controls!$A$64:$E$74,2,FALSE),"No")="Yes",1,0)</f>
        <v/>
      </c>
      <c r="AF977">
        <f>IF(IFERROR(VLOOKUP(D977,Controls!$A$64:$E$74,3,FALSE),"No")="Yes",1,0)</f>
        <v/>
      </c>
      <c r="AG977">
        <f>IF(IFERROR(VLOOKUP(D977,Controls!$A$64:$E$74,4,FALSE),"No")="Yes",1,0)</f>
        <v/>
      </c>
      <c r="AH977">
        <f>IF(IFERROR(VLOOKUP(D977,Controls!$A$64:$E$74,5,FALSE),"No")="Yes",1,0)</f>
        <v/>
      </c>
      <c r="AI977">
        <f>IF(ISNUMBER(MATCH(D977,Controls!$A$64:$A$74,0)),1,0)</f>
        <v/>
      </c>
      <c r="AJ977">
        <f>Q977-N977</f>
        <v/>
      </c>
      <c r="AK977">
        <f>IF(AE977=1,MAX(0,N977-Q977),0)</f>
        <v/>
      </c>
      <c r="AL977">
        <f>IF(OR(V977="",V977=0),0,N977/V977)</f>
        <v/>
      </c>
      <c r="AM977">
        <f>IF(OR(V977="",V977=0),0,1)</f>
        <v/>
      </c>
      <c r="AN977">
        <f>IF(OR(E977="",F977=""),0,NETWORKDAYS(E977,F977,Ref!$K$2:$K$42))</f>
        <v/>
      </c>
      <c r="AO977">
        <f>IF(L977="Renewal",1,0)</f>
        <v/>
      </c>
      <c r="AP977">
        <f>AC977*AD977</f>
        <v/>
      </c>
      <c r="AQ977">
        <f>IF(AND(G977&lt;&gt;"",'Historical Score'!$C$6&lt;&gt;""),IF(G977='Historical Score'!$C$6,1,0),0)</f>
        <v/>
      </c>
      <c r="AR977">
        <f>IF(AND(L977&lt;&gt;"",'Historical Score'!$C$5&lt;&gt;""),IF(L977='Historical Score'!$C$5,1,0),0)</f>
        <v/>
      </c>
      <c r="AS977">
        <f>IF(AND(Y977&lt;&gt;"",'Historical Score'!$C$7&lt;&gt;""),IF(Y977='Historical Score'!$C$7,1,0),0)</f>
        <v/>
      </c>
      <c r="AT977">
        <f>IF(AND(K977&lt;&gt;"",'Historical Score'!$C$8&lt;&gt;""),IF(K977='Historical Score'!$C$8,1,0),0)</f>
        <v/>
      </c>
      <c r="AU977">
        <f>IF(AND(J977&lt;&gt;"",'Historical Score'!$C$9&lt;&gt;""),IF(J977='Historical Score'!$C$9,1,0),0)</f>
        <v/>
      </c>
      <c r="AV977">
        <f>AR977*AS977*AQ977</f>
        <v/>
      </c>
      <c r="AW977">
        <f>AR977*AT977*AQ977</f>
        <v/>
      </c>
      <c r="AX977">
        <f>AR977*AS977</f>
        <v/>
      </c>
      <c r="AY977">
        <f>AR977*AT977</f>
        <v/>
      </c>
      <c r="AZ977">
        <f>AR977*AQ977</f>
        <v/>
      </c>
      <c r="BA977">
        <f>AR977</f>
        <v/>
      </c>
      <c r="BB977">
        <f>1</f>
        <v/>
      </c>
      <c r="BC977">
        <f>IF(AV977=1,1,IF(AW977=1,2,IF(AX977=1,3,IF(AY977=1,4,IF(AZ977=1,5,IF(BA977=1,6,7))))))</f>
        <v/>
      </c>
      <c r="BD977">
        <f>IF(AD977=1,CHOOSE('Historical Score'!$C$29,AV977,AW977,AX977,AY977,AZ977,BA977,BB977),0)</f>
        <v/>
      </c>
      <c r="BE977">
        <f>IF(BD977=1,COUNTIF($BD$2:BD977,1),"")</f>
        <v/>
      </c>
    </row>
    <row r="978">
      <c r="A978" t="inlineStr">
        <is>
          <t>5674185876</t>
        </is>
      </c>
      <c r="B978" t="inlineStr">
        <is>
          <t>Miramar Mermaids Synchro Team</t>
        </is>
      </c>
      <c r="C978" t="inlineStr">
        <is>
          <t>MIRAMAR MERMAIDS SYNCHRO TEAM LLC</t>
        </is>
      </c>
      <c r="D978" t="inlineStr">
        <is>
          <t>In House Collection</t>
        </is>
      </c>
      <c r="E978" s="297" t="n">
        <v>46195</v>
      </c>
      <c r="F978" s="297" t="n">
        <v>46220</v>
      </c>
      <c r="G978" t="n">
        <v>3</v>
      </c>
      <c r="H978" t="inlineStr">
        <is>
          <t>5999</t>
        </is>
      </c>
      <c r="I978" t="inlineStr">
        <is>
          <t>59</t>
        </is>
      </c>
      <c r="J978" t="inlineStr">
        <is>
          <t>FL</t>
        </is>
      </c>
      <c r="K978" t="inlineStr">
        <is>
          <t>Secure Capital Solutions 7</t>
        </is>
      </c>
      <c r="L978" t="inlineStr">
        <is>
          <t>New Deal</t>
        </is>
      </c>
      <c r="M978" s="298" t="n">
        <v>1.49</v>
      </c>
      <c r="N978" s="299" t="n">
        <v>4000</v>
      </c>
      <c r="O978" s="299" t="n">
        <v>0</v>
      </c>
      <c r="P978" s="299" t="n">
        <v>5960</v>
      </c>
      <c r="Q978" s="299" t="n">
        <v>813.21</v>
      </c>
      <c r="R978" s="299" t="n">
        <v>5146.79</v>
      </c>
      <c r="S978" s="300" t="n">
        <v>0.136444630872483</v>
      </c>
      <c r="T978" t="n">
        <v>22</v>
      </c>
      <c r="U978" t="n">
        <v>1</v>
      </c>
      <c r="V978" t="n">
        <v>13954.68</v>
      </c>
      <c r="W978" s="300" t="n">
        <v>0.07770000000000001</v>
      </c>
      <c r="X978" s="297" t="n">
        <v>41446</v>
      </c>
      <c r="Y978">
        <f>IF(I978="","No SIC",IFERROR(VLOOKUP(I978,Ref!$A$2:$B$65,2,FALSE),"Unclassified"))</f>
        <v/>
      </c>
      <c r="Z978">
        <f>IF(T978="","",IF(T978&lt;12,"Daily","Weekly"))</f>
        <v/>
      </c>
      <c r="AA978">
        <f>IF(T978="",0,IF(T978&lt;12,T978*Controls!$B$29,T978*5))</f>
        <v/>
      </c>
      <c r="AB978">
        <f>IF(E978="",0,NETWORKDAYS(E978,Controls!$B$36,Ref!$K$2:$K$42))</f>
        <v/>
      </c>
      <c r="AC978">
        <f>IF(AND(AA978&gt;0,AB978&gt;=Controls!$B$39*AA978),1,0)</f>
        <v/>
      </c>
      <c r="AD978">
        <f>IF(AND(E978&lt;&gt;"",E978&gt;=Controls!$B$37,E978&lt;=Controls!$B$38),1,0)</f>
        <v/>
      </c>
      <c r="AE978">
        <f>IF(IFERROR(VLOOKUP(D978,Controls!$A$64:$E$74,2,FALSE),"No")="Yes",1,0)</f>
        <v/>
      </c>
      <c r="AF978">
        <f>IF(IFERROR(VLOOKUP(D978,Controls!$A$64:$E$74,3,FALSE),"No")="Yes",1,0)</f>
        <v/>
      </c>
      <c r="AG978">
        <f>IF(IFERROR(VLOOKUP(D978,Controls!$A$64:$E$74,4,FALSE),"No")="Yes",1,0)</f>
        <v/>
      </c>
      <c r="AH978">
        <f>IF(IFERROR(VLOOKUP(D978,Controls!$A$64:$E$74,5,FALSE),"No")="Yes",1,0)</f>
        <v/>
      </c>
      <c r="AI978">
        <f>IF(ISNUMBER(MATCH(D978,Controls!$A$64:$A$74,0)),1,0)</f>
        <v/>
      </c>
      <c r="AJ978">
        <f>Q978-N978</f>
        <v/>
      </c>
      <c r="AK978">
        <f>IF(AE978=1,MAX(0,N978-Q978),0)</f>
        <v/>
      </c>
      <c r="AL978">
        <f>IF(OR(V978="",V978=0),0,N978/V978)</f>
        <v/>
      </c>
      <c r="AM978">
        <f>IF(OR(V978="",V978=0),0,1)</f>
        <v/>
      </c>
      <c r="AN978">
        <f>IF(OR(E978="",F978=""),0,NETWORKDAYS(E978,F978,Ref!$K$2:$K$42))</f>
        <v/>
      </c>
      <c r="AO978">
        <f>IF(L978="Renewal",1,0)</f>
        <v/>
      </c>
      <c r="AP978">
        <f>AC978*AD978</f>
        <v/>
      </c>
      <c r="AQ978">
        <f>IF(AND(G978&lt;&gt;"",'Historical Score'!$C$6&lt;&gt;""),IF(G978='Historical Score'!$C$6,1,0),0)</f>
        <v/>
      </c>
      <c r="AR978">
        <f>IF(AND(L978&lt;&gt;"",'Historical Score'!$C$5&lt;&gt;""),IF(L978='Historical Score'!$C$5,1,0),0)</f>
        <v/>
      </c>
      <c r="AS978">
        <f>IF(AND(Y978&lt;&gt;"",'Historical Score'!$C$7&lt;&gt;""),IF(Y978='Historical Score'!$C$7,1,0),0)</f>
        <v/>
      </c>
      <c r="AT978">
        <f>IF(AND(K978&lt;&gt;"",'Historical Score'!$C$8&lt;&gt;""),IF(K978='Historical Score'!$C$8,1,0),0)</f>
        <v/>
      </c>
      <c r="AU978">
        <f>IF(AND(J978&lt;&gt;"",'Historical Score'!$C$9&lt;&gt;""),IF(J978='Historical Score'!$C$9,1,0),0)</f>
        <v/>
      </c>
      <c r="AV978">
        <f>AR978*AS978*AQ978</f>
        <v/>
      </c>
      <c r="AW978">
        <f>AR978*AT978*AQ978</f>
        <v/>
      </c>
      <c r="AX978">
        <f>AR978*AS978</f>
        <v/>
      </c>
      <c r="AY978">
        <f>AR978*AT978</f>
        <v/>
      </c>
      <c r="AZ978">
        <f>AR978*AQ978</f>
        <v/>
      </c>
      <c r="BA978">
        <f>AR978</f>
        <v/>
      </c>
      <c r="BB978">
        <f>1</f>
        <v/>
      </c>
      <c r="BC978">
        <f>IF(AV978=1,1,IF(AW978=1,2,IF(AX978=1,3,IF(AY978=1,4,IF(AZ978=1,5,IF(BA978=1,6,7))))))</f>
        <v/>
      </c>
      <c r="BD978">
        <f>IF(AD978=1,CHOOSE('Historical Score'!$C$29,AV978,AW978,AX978,AY978,AZ978,BA978,BB978),0)</f>
        <v/>
      </c>
      <c r="BE978">
        <f>IF(BD978=1,COUNTIF($BD$2:BD978,1),"")</f>
        <v/>
      </c>
    </row>
    <row r="979">
      <c r="A979" t="inlineStr">
        <is>
          <t>5674185894</t>
        </is>
      </c>
      <c r="B979" t="inlineStr">
        <is>
          <t>RML DBA FETTES MOVING &amp; STORAGE DBA ROBERT LEHR SOLE MBR</t>
        </is>
      </c>
      <c r="C979" t="inlineStr">
        <is>
          <t>RML LLC</t>
        </is>
      </c>
      <c r="D979" t="inlineStr">
        <is>
          <t>Open</t>
        </is>
      </c>
      <c r="E979" s="297" t="n">
        <v>46195</v>
      </c>
      <c r="F979" s="297" t="n">
        <v>46247</v>
      </c>
      <c r="G979" t="n">
        <v>3</v>
      </c>
      <c r="H979" t="inlineStr">
        <is>
          <t>4226</t>
        </is>
      </c>
      <c r="I979" t="inlineStr">
        <is>
          <t>42</t>
        </is>
      </c>
      <c r="J979" t="inlineStr">
        <is>
          <t>NC</t>
        </is>
      </c>
      <c r="K979" t="inlineStr">
        <is>
          <t>Capfront Funding</t>
        </is>
      </c>
      <c r="L979" t="inlineStr">
        <is>
          <t>New Deal</t>
        </is>
      </c>
      <c r="M979" s="298" t="n">
        <v>1.49</v>
      </c>
      <c r="N979" s="299" t="n">
        <v>60000</v>
      </c>
      <c r="O979" s="299" t="n">
        <v>8400</v>
      </c>
      <c r="P979" s="299" t="n">
        <v>89400</v>
      </c>
      <c r="Q979" s="299" t="n">
        <v>26064.57</v>
      </c>
      <c r="R979" s="299" t="n">
        <v>63335.43</v>
      </c>
      <c r="S979" s="300" t="n">
        <v>0.29155</v>
      </c>
      <c r="T979" t="n">
        <v>24</v>
      </c>
      <c r="U979" t="n">
        <v>0</v>
      </c>
      <c r="V979" t="n">
        <v>898992.04</v>
      </c>
      <c r="W979" s="300" t="n">
        <v>0.0573</v>
      </c>
      <c r="X979" s="297" t="n">
        <v>42050</v>
      </c>
      <c r="Y979">
        <f>IF(I979="","No SIC",IFERROR(VLOOKUP(I979,Ref!$A$2:$B$65,2,FALSE),"Unclassified"))</f>
        <v/>
      </c>
      <c r="Z979">
        <f>IF(T979="","",IF(T979&lt;12,"Daily","Weekly"))</f>
        <v/>
      </c>
      <c r="AA979">
        <f>IF(T979="",0,IF(T979&lt;12,T979*Controls!$B$29,T979*5))</f>
        <v/>
      </c>
      <c r="AB979">
        <f>IF(E979="",0,NETWORKDAYS(E979,Controls!$B$36,Ref!$K$2:$K$42))</f>
        <v/>
      </c>
      <c r="AC979">
        <f>IF(AND(AA979&gt;0,AB979&gt;=Controls!$B$39*AA979),1,0)</f>
        <v/>
      </c>
      <c r="AD979">
        <f>IF(AND(E979&lt;&gt;"",E979&gt;=Controls!$B$37,E979&lt;=Controls!$B$38),1,0)</f>
        <v/>
      </c>
      <c r="AE979">
        <f>IF(IFERROR(VLOOKUP(D979,Controls!$A$64:$E$74,2,FALSE),"No")="Yes",1,0)</f>
        <v/>
      </c>
      <c r="AF979">
        <f>IF(IFERROR(VLOOKUP(D979,Controls!$A$64:$E$74,3,FALSE),"No")="Yes",1,0)</f>
        <v/>
      </c>
      <c r="AG979">
        <f>IF(IFERROR(VLOOKUP(D979,Controls!$A$64:$E$74,4,FALSE),"No")="Yes",1,0)</f>
        <v/>
      </c>
      <c r="AH979">
        <f>IF(IFERROR(VLOOKUP(D979,Controls!$A$64:$E$74,5,FALSE),"No")="Yes",1,0)</f>
        <v/>
      </c>
      <c r="AI979">
        <f>IF(ISNUMBER(MATCH(D979,Controls!$A$64:$A$74,0)),1,0)</f>
        <v/>
      </c>
      <c r="AJ979">
        <f>Q979-N979</f>
        <v/>
      </c>
      <c r="AK979">
        <f>IF(AE979=1,MAX(0,N979-Q979),0)</f>
        <v/>
      </c>
      <c r="AL979">
        <f>IF(OR(V979="",V979=0),0,N979/V979)</f>
        <v/>
      </c>
      <c r="AM979">
        <f>IF(OR(V979="",V979=0),0,1)</f>
        <v/>
      </c>
      <c r="AN979">
        <f>IF(OR(E979="",F979=""),0,NETWORKDAYS(E979,F979,Ref!$K$2:$K$42))</f>
        <v/>
      </c>
      <c r="AO979">
        <f>IF(L979="Renewal",1,0)</f>
        <v/>
      </c>
      <c r="AP979">
        <f>AC979*AD979</f>
        <v/>
      </c>
      <c r="AQ979">
        <f>IF(AND(G979&lt;&gt;"",'Historical Score'!$C$6&lt;&gt;""),IF(G979='Historical Score'!$C$6,1,0),0)</f>
        <v/>
      </c>
      <c r="AR979">
        <f>IF(AND(L979&lt;&gt;"",'Historical Score'!$C$5&lt;&gt;""),IF(L979='Historical Score'!$C$5,1,0),0)</f>
        <v/>
      </c>
      <c r="AS979">
        <f>IF(AND(Y979&lt;&gt;"",'Historical Score'!$C$7&lt;&gt;""),IF(Y979='Historical Score'!$C$7,1,0),0)</f>
        <v/>
      </c>
      <c r="AT979">
        <f>IF(AND(K979&lt;&gt;"",'Historical Score'!$C$8&lt;&gt;""),IF(K979='Historical Score'!$C$8,1,0),0)</f>
        <v/>
      </c>
      <c r="AU979">
        <f>IF(AND(J979&lt;&gt;"",'Historical Score'!$C$9&lt;&gt;""),IF(J979='Historical Score'!$C$9,1,0),0)</f>
        <v/>
      </c>
      <c r="AV979">
        <f>AR979*AS979*AQ979</f>
        <v/>
      </c>
      <c r="AW979">
        <f>AR979*AT979*AQ979</f>
        <v/>
      </c>
      <c r="AX979">
        <f>AR979*AS979</f>
        <v/>
      </c>
      <c r="AY979">
        <f>AR979*AT979</f>
        <v/>
      </c>
      <c r="AZ979">
        <f>AR979*AQ979</f>
        <v/>
      </c>
      <c r="BA979">
        <f>AR979</f>
        <v/>
      </c>
      <c r="BB979">
        <f>1</f>
        <v/>
      </c>
      <c r="BC979">
        <f>IF(AV979=1,1,IF(AW979=1,2,IF(AX979=1,3,IF(AY979=1,4,IF(AZ979=1,5,IF(BA979=1,6,7))))))</f>
        <v/>
      </c>
      <c r="BD979">
        <f>IF(AD979=1,CHOOSE('Historical Score'!$C$29,AV979,AW979,AX979,AY979,AZ979,BA979,BB979),0)</f>
        <v/>
      </c>
      <c r="BE979">
        <f>IF(BD979=1,COUNTIF($BD$2:BD979,1),"")</f>
        <v/>
      </c>
    </row>
    <row r="980">
      <c r="A980" t="inlineStr">
        <is>
          <t>5674185913</t>
        </is>
      </c>
      <c r="B980" t="inlineStr">
        <is>
          <t>HD SADLER ELECTRICAL REPAIR SERVICE LLC</t>
        </is>
      </c>
      <c r="C980" t="inlineStr">
        <is>
          <t>HD SADLER ELECTRICAL REPAIR SERVICE LLC</t>
        </is>
      </c>
      <c r="D980" t="inlineStr">
        <is>
          <t>Open</t>
        </is>
      </c>
      <c r="E980" s="297" t="n">
        <v>46195</v>
      </c>
      <c r="F980" s="297" t="n">
        <v>46241</v>
      </c>
      <c r="G980" t="n">
        <v>3</v>
      </c>
      <c r="H980" t="inlineStr">
        <is>
          <t>1731</t>
        </is>
      </c>
      <c r="I980" t="inlineStr">
        <is>
          <t>17</t>
        </is>
      </c>
      <c r="J980" t="inlineStr">
        <is>
          <t>GA</t>
        </is>
      </c>
      <c r="K980" t="inlineStr">
        <is>
          <t>TRUSTFI</t>
        </is>
      </c>
      <c r="L980" t="inlineStr">
        <is>
          <t>New Deal</t>
        </is>
      </c>
      <c r="M980" s="298" t="n">
        <v>1.4</v>
      </c>
      <c r="N980" s="299" t="n">
        <v>7500</v>
      </c>
      <c r="O980" s="299" t="n">
        <v>712.5</v>
      </c>
      <c r="P980" s="299" t="n">
        <v>10500</v>
      </c>
      <c r="Q980" s="299" t="n">
        <v>2862.9</v>
      </c>
      <c r="R980" s="299" t="n">
        <v>7637.1</v>
      </c>
      <c r="S980" s="300" t="n">
        <v>0.272657142857143</v>
      </c>
      <c r="T980" t="n">
        <v>22</v>
      </c>
      <c r="U980" t="n">
        <v>1</v>
      </c>
      <c r="V980" t="n">
        <v>27781.44</v>
      </c>
      <c r="W980" s="300" t="n">
        <v>0.0687</v>
      </c>
      <c r="X980" s="297" t="n">
        <v>45961</v>
      </c>
      <c r="Y980">
        <f>IF(I980="","No SIC",IFERROR(VLOOKUP(I980,Ref!$A$2:$B$65,2,FALSE),"Unclassified"))</f>
        <v/>
      </c>
      <c r="Z980">
        <f>IF(T980="","",IF(T980&lt;12,"Daily","Weekly"))</f>
        <v/>
      </c>
      <c r="AA980">
        <f>IF(T980="",0,IF(T980&lt;12,T980*Controls!$B$29,T980*5))</f>
        <v/>
      </c>
      <c r="AB980">
        <f>IF(E980="",0,NETWORKDAYS(E980,Controls!$B$36,Ref!$K$2:$K$42))</f>
        <v/>
      </c>
      <c r="AC980">
        <f>IF(AND(AA980&gt;0,AB980&gt;=Controls!$B$39*AA980),1,0)</f>
        <v/>
      </c>
      <c r="AD980">
        <f>IF(AND(E980&lt;&gt;"",E980&gt;=Controls!$B$37,E980&lt;=Controls!$B$38),1,0)</f>
        <v/>
      </c>
      <c r="AE980">
        <f>IF(IFERROR(VLOOKUP(D980,Controls!$A$64:$E$74,2,FALSE),"No")="Yes",1,0)</f>
        <v/>
      </c>
      <c r="AF980">
        <f>IF(IFERROR(VLOOKUP(D980,Controls!$A$64:$E$74,3,FALSE),"No")="Yes",1,0)</f>
        <v/>
      </c>
      <c r="AG980">
        <f>IF(IFERROR(VLOOKUP(D980,Controls!$A$64:$E$74,4,FALSE),"No")="Yes",1,0)</f>
        <v/>
      </c>
      <c r="AH980">
        <f>IF(IFERROR(VLOOKUP(D980,Controls!$A$64:$E$74,5,FALSE),"No")="Yes",1,0)</f>
        <v/>
      </c>
      <c r="AI980">
        <f>IF(ISNUMBER(MATCH(D980,Controls!$A$64:$A$74,0)),1,0)</f>
        <v/>
      </c>
      <c r="AJ980">
        <f>Q980-N980</f>
        <v/>
      </c>
      <c r="AK980">
        <f>IF(AE980=1,MAX(0,N980-Q980),0)</f>
        <v/>
      </c>
      <c r="AL980">
        <f>IF(OR(V980="",V980=0),0,N980/V980)</f>
        <v/>
      </c>
      <c r="AM980">
        <f>IF(OR(V980="",V980=0),0,1)</f>
        <v/>
      </c>
      <c r="AN980">
        <f>IF(OR(E980="",F980=""),0,NETWORKDAYS(E980,F980,Ref!$K$2:$K$42))</f>
        <v/>
      </c>
      <c r="AO980">
        <f>IF(L980="Renewal",1,0)</f>
        <v/>
      </c>
      <c r="AP980">
        <f>AC980*AD980</f>
        <v/>
      </c>
      <c r="AQ980">
        <f>IF(AND(G980&lt;&gt;"",'Historical Score'!$C$6&lt;&gt;""),IF(G980='Historical Score'!$C$6,1,0),0)</f>
        <v/>
      </c>
      <c r="AR980">
        <f>IF(AND(L980&lt;&gt;"",'Historical Score'!$C$5&lt;&gt;""),IF(L980='Historical Score'!$C$5,1,0),0)</f>
        <v/>
      </c>
      <c r="AS980">
        <f>IF(AND(Y980&lt;&gt;"",'Historical Score'!$C$7&lt;&gt;""),IF(Y980='Historical Score'!$C$7,1,0),0)</f>
        <v/>
      </c>
      <c r="AT980">
        <f>IF(AND(K980&lt;&gt;"",'Historical Score'!$C$8&lt;&gt;""),IF(K980='Historical Score'!$C$8,1,0),0)</f>
        <v/>
      </c>
      <c r="AU980">
        <f>IF(AND(J980&lt;&gt;"",'Historical Score'!$C$9&lt;&gt;""),IF(J980='Historical Score'!$C$9,1,0),0)</f>
        <v/>
      </c>
      <c r="AV980">
        <f>AR980*AS980*AQ980</f>
        <v/>
      </c>
      <c r="AW980">
        <f>AR980*AT980*AQ980</f>
        <v/>
      </c>
      <c r="AX980">
        <f>AR980*AS980</f>
        <v/>
      </c>
      <c r="AY980">
        <f>AR980*AT980</f>
        <v/>
      </c>
      <c r="AZ980">
        <f>AR980*AQ980</f>
        <v/>
      </c>
      <c r="BA980">
        <f>AR980</f>
        <v/>
      </c>
      <c r="BB980">
        <f>1</f>
        <v/>
      </c>
      <c r="BC980">
        <f>IF(AV980=1,1,IF(AW980=1,2,IF(AX980=1,3,IF(AY980=1,4,IF(AZ980=1,5,IF(BA980=1,6,7))))))</f>
        <v/>
      </c>
      <c r="BD980">
        <f>IF(AD980=1,CHOOSE('Historical Score'!$C$29,AV980,AW980,AX980,AY980,AZ980,BA980,BB980),0)</f>
        <v/>
      </c>
      <c r="BE980">
        <f>IF(BD980=1,COUNTIF($BD$2:BD980,1),"")</f>
        <v/>
      </c>
    </row>
    <row r="981">
      <c r="A981" t="inlineStr">
        <is>
          <t>5674185941</t>
        </is>
      </c>
      <c r="B981" t="inlineStr">
        <is>
          <t>MJD EXCAVATING</t>
        </is>
      </c>
      <c r="C981" t="inlineStr">
        <is>
          <t>MJD EXCAVATING INC</t>
        </is>
      </c>
      <c r="D981" t="inlineStr">
        <is>
          <t>Open</t>
        </is>
      </c>
      <c r="E981" s="297" t="n">
        <v>46196</v>
      </c>
      <c r="F981" s="297" t="n">
        <v>46253</v>
      </c>
      <c r="G981" t="n">
        <v>3</v>
      </c>
      <c r="H981" t="inlineStr">
        <is>
          <t>1629</t>
        </is>
      </c>
      <c r="I981" t="inlineStr">
        <is>
          <t>16</t>
        </is>
      </c>
      <c r="J981" t="inlineStr">
        <is>
          <t>MA</t>
        </is>
      </c>
      <c r="K981" t="inlineStr">
        <is>
          <t>Premium Capital (AMRK)</t>
        </is>
      </c>
      <c r="L981" t="inlineStr">
        <is>
          <t>Renewal</t>
        </is>
      </c>
      <c r="M981" s="298" t="n">
        <v>1.49</v>
      </c>
      <c r="N981" s="299" t="n">
        <v>325000</v>
      </c>
      <c r="O981" s="299" t="n">
        <v>45500</v>
      </c>
      <c r="P981" s="299" t="n">
        <v>484250</v>
      </c>
      <c r="Q981" s="299" t="n">
        <v>88809.09</v>
      </c>
      <c r="R981" s="299" t="n">
        <v>395440.91</v>
      </c>
      <c r="S981" s="300" t="n">
        <v>0.183395126484254</v>
      </c>
      <c r="T981" t="n">
        <v>36</v>
      </c>
      <c r="U981" t="n">
        <v>2</v>
      </c>
      <c r="V981" t="n">
        <v>836006.55</v>
      </c>
      <c r="W981" s="300" t="n">
        <v>0.0762</v>
      </c>
      <c r="X981" s="297" t="n">
        <v>40909</v>
      </c>
      <c r="Y981">
        <f>IF(I981="","No SIC",IFERROR(VLOOKUP(I981,Ref!$A$2:$B$65,2,FALSE),"Unclassified"))</f>
        <v/>
      </c>
      <c r="Z981">
        <f>IF(T981="","",IF(T981&lt;12,"Daily","Weekly"))</f>
        <v/>
      </c>
      <c r="AA981">
        <f>IF(T981="",0,IF(T981&lt;12,T981*Controls!$B$29,T981*5))</f>
        <v/>
      </c>
      <c r="AB981">
        <f>IF(E981="",0,NETWORKDAYS(E981,Controls!$B$36,Ref!$K$2:$K$42))</f>
        <v/>
      </c>
      <c r="AC981">
        <f>IF(AND(AA981&gt;0,AB981&gt;=Controls!$B$39*AA981),1,0)</f>
        <v/>
      </c>
      <c r="AD981">
        <f>IF(AND(E981&lt;&gt;"",E981&gt;=Controls!$B$37,E981&lt;=Controls!$B$38),1,0)</f>
        <v/>
      </c>
      <c r="AE981">
        <f>IF(IFERROR(VLOOKUP(D981,Controls!$A$64:$E$74,2,FALSE),"No")="Yes",1,0)</f>
        <v/>
      </c>
      <c r="AF981">
        <f>IF(IFERROR(VLOOKUP(D981,Controls!$A$64:$E$74,3,FALSE),"No")="Yes",1,0)</f>
        <v/>
      </c>
      <c r="AG981">
        <f>IF(IFERROR(VLOOKUP(D981,Controls!$A$64:$E$74,4,FALSE),"No")="Yes",1,0)</f>
        <v/>
      </c>
      <c r="AH981">
        <f>IF(IFERROR(VLOOKUP(D981,Controls!$A$64:$E$74,5,FALSE),"No")="Yes",1,0)</f>
        <v/>
      </c>
      <c r="AI981">
        <f>IF(ISNUMBER(MATCH(D981,Controls!$A$64:$A$74,0)),1,0)</f>
        <v/>
      </c>
      <c r="AJ981">
        <f>Q981-N981</f>
        <v/>
      </c>
      <c r="AK981">
        <f>IF(AE981=1,MAX(0,N981-Q981),0)</f>
        <v/>
      </c>
      <c r="AL981">
        <f>IF(OR(V981="",V981=0),0,N981/V981)</f>
        <v/>
      </c>
      <c r="AM981">
        <f>IF(OR(V981="",V981=0),0,1)</f>
        <v/>
      </c>
      <c r="AN981">
        <f>IF(OR(E981="",F981=""),0,NETWORKDAYS(E981,F981,Ref!$K$2:$K$42))</f>
        <v/>
      </c>
      <c r="AO981">
        <f>IF(L981="Renewal",1,0)</f>
        <v/>
      </c>
      <c r="AP981">
        <f>AC981*AD981</f>
        <v/>
      </c>
      <c r="AQ981">
        <f>IF(AND(G981&lt;&gt;"",'Historical Score'!$C$6&lt;&gt;""),IF(G981='Historical Score'!$C$6,1,0),0)</f>
        <v/>
      </c>
      <c r="AR981">
        <f>IF(AND(L981&lt;&gt;"",'Historical Score'!$C$5&lt;&gt;""),IF(L981='Historical Score'!$C$5,1,0),0)</f>
        <v/>
      </c>
      <c r="AS981">
        <f>IF(AND(Y981&lt;&gt;"",'Historical Score'!$C$7&lt;&gt;""),IF(Y981='Historical Score'!$C$7,1,0),0)</f>
        <v/>
      </c>
      <c r="AT981">
        <f>IF(AND(K981&lt;&gt;"",'Historical Score'!$C$8&lt;&gt;""),IF(K981='Historical Score'!$C$8,1,0),0)</f>
        <v/>
      </c>
      <c r="AU981">
        <f>IF(AND(J981&lt;&gt;"",'Historical Score'!$C$9&lt;&gt;""),IF(J981='Historical Score'!$C$9,1,0),0)</f>
        <v/>
      </c>
      <c r="AV981">
        <f>AR981*AS981*AQ981</f>
        <v/>
      </c>
      <c r="AW981">
        <f>AR981*AT981*AQ981</f>
        <v/>
      </c>
      <c r="AX981">
        <f>AR981*AS981</f>
        <v/>
      </c>
      <c r="AY981">
        <f>AR981*AT981</f>
        <v/>
      </c>
      <c r="AZ981">
        <f>AR981*AQ981</f>
        <v/>
      </c>
      <c r="BA981">
        <f>AR981</f>
        <v/>
      </c>
      <c r="BB981">
        <f>1</f>
        <v/>
      </c>
      <c r="BC981">
        <f>IF(AV981=1,1,IF(AW981=1,2,IF(AX981=1,3,IF(AY981=1,4,IF(AZ981=1,5,IF(BA981=1,6,7))))))</f>
        <v/>
      </c>
      <c r="BD981">
        <f>IF(AD981=1,CHOOSE('Historical Score'!$C$29,AV981,AW981,AX981,AY981,AZ981,BA981,BB981),0)</f>
        <v/>
      </c>
      <c r="BE981">
        <f>IF(BD981=1,COUNTIF($BD$2:BD981,1),"")</f>
        <v/>
      </c>
    </row>
    <row r="982">
      <c r="A982" t="inlineStr">
        <is>
          <t>5674185972</t>
        </is>
      </c>
      <c r="B982" t="inlineStr">
        <is>
          <t>Eyecare Express</t>
        </is>
      </c>
      <c r="C982" t="inlineStr">
        <is>
          <t>THIRTEENTH  STREET OPTICAL CO INC</t>
        </is>
      </c>
      <c r="D982" t="inlineStr">
        <is>
          <t>Open</t>
        </is>
      </c>
      <c r="E982" s="297" t="n">
        <v>46196</v>
      </c>
      <c r="F982" s="297" t="n">
        <v>46248</v>
      </c>
      <c r="G982" t="n">
        <v>3</v>
      </c>
      <c r="H982" t="inlineStr">
        <is>
          <t>8042</t>
        </is>
      </c>
      <c r="I982" t="inlineStr">
        <is>
          <t>80</t>
        </is>
      </c>
      <c r="J982" t="inlineStr">
        <is>
          <t>FL</t>
        </is>
      </c>
      <c r="K982" t="inlineStr">
        <is>
          <t>Credibly</t>
        </is>
      </c>
      <c r="L982" t="inlineStr">
        <is>
          <t>New Deal</t>
        </is>
      </c>
      <c r="M982" s="298" t="n">
        <v>1.49</v>
      </c>
      <c r="N982" s="299" t="n">
        <v>30000</v>
      </c>
      <c r="O982" s="299" t="n">
        <v>4200</v>
      </c>
      <c r="P982" s="299" t="n">
        <v>44700</v>
      </c>
      <c r="Q982" s="299" t="n">
        <v>9930</v>
      </c>
      <c r="R982" s="299" t="n">
        <v>34770</v>
      </c>
      <c r="S982" s="300" t="n">
        <v>0.222147651006711</v>
      </c>
      <c r="T982" t="n">
        <v>36</v>
      </c>
      <c r="U982" t="n">
        <v>0</v>
      </c>
      <c r="V982" t="n">
        <v>42000</v>
      </c>
      <c r="W982" s="300" t="n">
        <v>0.0993</v>
      </c>
      <c r="X982" s="297" t="n">
        <v>35085</v>
      </c>
      <c r="Y982">
        <f>IF(I982="","No SIC",IFERROR(VLOOKUP(I982,Ref!$A$2:$B$65,2,FALSE),"Unclassified"))</f>
        <v/>
      </c>
      <c r="Z982">
        <f>IF(T982="","",IF(T982&lt;12,"Daily","Weekly"))</f>
        <v/>
      </c>
      <c r="AA982">
        <f>IF(T982="",0,IF(T982&lt;12,T982*Controls!$B$29,T982*5))</f>
        <v/>
      </c>
      <c r="AB982">
        <f>IF(E982="",0,NETWORKDAYS(E982,Controls!$B$36,Ref!$K$2:$K$42))</f>
        <v/>
      </c>
      <c r="AC982">
        <f>IF(AND(AA982&gt;0,AB982&gt;=Controls!$B$39*AA982),1,0)</f>
        <v/>
      </c>
      <c r="AD982">
        <f>IF(AND(E982&lt;&gt;"",E982&gt;=Controls!$B$37,E982&lt;=Controls!$B$38),1,0)</f>
        <v/>
      </c>
      <c r="AE982">
        <f>IF(IFERROR(VLOOKUP(D982,Controls!$A$64:$E$74,2,FALSE),"No")="Yes",1,0)</f>
        <v/>
      </c>
      <c r="AF982">
        <f>IF(IFERROR(VLOOKUP(D982,Controls!$A$64:$E$74,3,FALSE),"No")="Yes",1,0)</f>
        <v/>
      </c>
      <c r="AG982">
        <f>IF(IFERROR(VLOOKUP(D982,Controls!$A$64:$E$74,4,FALSE),"No")="Yes",1,0)</f>
        <v/>
      </c>
      <c r="AH982">
        <f>IF(IFERROR(VLOOKUP(D982,Controls!$A$64:$E$74,5,FALSE),"No")="Yes",1,0)</f>
        <v/>
      </c>
      <c r="AI982">
        <f>IF(ISNUMBER(MATCH(D982,Controls!$A$64:$A$74,0)),1,0)</f>
        <v/>
      </c>
      <c r="AJ982">
        <f>Q982-N982</f>
        <v/>
      </c>
      <c r="AK982">
        <f>IF(AE982=1,MAX(0,N982-Q982),0)</f>
        <v/>
      </c>
      <c r="AL982">
        <f>IF(OR(V982="",V982=0),0,N982/V982)</f>
        <v/>
      </c>
      <c r="AM982">
        <f>IF(OR(V982="",V982=0),0,1)</f>
        <v/>
      </c>
      <c r="AN982">
        <f>IF(OR(E982="",F982=""),0,NETWORKDAYS(E982,F982,Ref!$K$2:$K$42))</f>
        <v/>
      </c>
      <c r="AO982">
        <f>IF(L982="Renewal",1,0)</f>
        <v/>
      </c>
      <c r="AP982">
        <f>AC982*AD982</f>
        <v/>
      </c>
      <c r="AQ982">
        <f>IF(AND(G982&lt;&gt;"",'Historical Score'!$C$6&lt;&gt;""),IF(G982='Historical Score'!$C$6,1,0),0)</f>
        <v/>
      </c>
      <c r="AR982">
        <f>IF(AND(L982&lt;&gt;"",'Historical Score'!$C$5&lt;&gt;""),IF(L982='Historical Score'!$C$5,1,0),0)</f>
        <v/>
      </c>
      <c r="AS982">
        <f>IF(AND(Y982&lt;&gt;"",'Historical Score'!$C$7&lt;&gt;""),IF(Y982='Historical Score'!$C$7,1,0),0)</f>
        <v/>
      </c>
      <c r="AT982">
        <f>IF(AND(K982&lt;&gt;"",'Historical Score'!$C$8&lt;&gt;""),IF(K982='Historical Score'!$C$8,1,0),0)</f>
        <v/>
      </c>
      <c r="AU982">
        <f>IF(AND(J982&lt;&gt;"",'Historical Score'!$C$9&lt;&gt;""),IF(J982='Historical Score'!$C$9,1,0),0)</f>
        <v/>
      </c>
      <c r="AV982">
        <f>AR982*AS982*AQ982</f>
        <v/>
      </c>
      <c r="AW982">
        <f>AR982*AT982*AQ982</f>
        <v/>
      </c>
      <c r="AX982">
        <f>AR982*AS982</f>
        <v/>
      </c>
      <c r="AY982">
        <f>AR982*AT982</f>
        <v/>
      </c>
      <c r="AZ982">
        <f>AR982*AQ982</f>
        <v/>
      </c>
      <c r="BA982">
        <f>AR982</f>
        <v/>
      </c>
      <c r="BB982">
        <f>1</f>
        <v/>
      </c>
      <c r="BC982">
        <f>IF(AV982=1,1,IF(AW982=1,2,IF(AX982=1,3,IF(AY982=1,4,IF(AZ982=1,5,IF(BA982=1,6,7))))))</f>
        <v/>
      </c>
      <c r="BD982">
        <f>IF(AD982=1,CHOOSE('Historical Score'!$C$29,AV982,AW982,AX982,AY982,AZ982,BA982,BB982),0)</f>
        <v/>
      </c>
      <c r="BE982">
        <f>IF(BD982=1,COUNTIF($BD$2:BD982,1),"")</f>
        <v/>
      </c>
    </row>
    <row r="983">
      <c r="A983" t="inlineStr">
        <is>
          <t>5674185992</t>
        </is>
      </c>
      <c r="B983" t="inlineStr">
        <is>
          <t>ELEVATE IT</t>
        </is>
      </c>
      <c r="C983" t="inlineStr">
        <is>
          <t>ELEVATE EVENTS LLC</t>
        </is>
      </c>
      <c r="D983" t="inlineStr">
        <is>
          <t>Open</t>
        </is>
      </c>
      <c r="E983" s="297" t="n">
        <v>46196</v>
      </c>
      <c r="F983" s="297" t="n">
        <v>46251</v>
      </c>
      <c r="G983" t="n">
        <v>1</v>
      </c>
      <c r="H983" t="inlineStr">
        <is>
          <t>7371</t>
        </is>
      </c>
      <c r="I983" t="inlineStr">
        <is>
          <t>73</t>
        </is>
      </c>
      <c r="J983" t="inlineStr">
        <is>
          <t>OR</t>
        </is>
      </c>
      <c r="K983" t="inlineStr">
        <is>
          <t>United Secured Capital 8</t>
        </is>
      </c>
      <c r="L983" t="inlineStr">
        <is>
          <t>New Deal</t>
        </is>
      </c>
      <c r="M983" s="298" t="n">
        <v>1.32</v>
      </c>
      <c r="N983" s="299" t="n">
        <v>100000</v>
      </c>
      <c r="O983" s="299" t="n">
        <v>4000</v>
      </c>
      <c r="P983" s="299" t="n">
        <v>132000</v>
      </c>
      <c r="Q983" s="299" t="n">
        <v>33003.12</v>
      </c>
      <c r="R983" s="299" t="n">
        <v>98996.88</v>
      </c>
      <c r="S983" s="300" t="n">
        <v>0.250023636363636</v>
      </c>
      <c r="T983" t="n">
        <v>32</v>
      </c>
      <c r="U983" t="n">
        <v>0</v>
      </c>
      <c r="V983" t="n">
        <v>164142.69</v>
      </c>
      <c r="W983" s="300" t="n">
        <v>0.1114</v>
      </c>
      <c r="X983" s="297" t="n">
        <v>44419</v>
      </c>
      <c r="Y983">
        <f>IF(I983="","No SIC",IFERROR(VLOOKUP(I983,Ref!$A$2:$B$65,2,FALSE),"Unclassified"))</f>
        <v/>
      </c>
      <c r="Z983">
        <f>IF(T983="","",IF(T983&lt;12,"Daily","Weekly"))</f>
        <v/>
      </c>
      <c r="AA983">
        <f>IF(T983="",0,IF(T983&lt;12,T983*Controls!$B$29,T983*5))</f>
        <v/>
      </c>
      <c r="AB983">
        <f>IF(E983="",0,NETWORKDAYS(E983,Controls!$B$36,Ref!$K$2:$K$42))</f>
        <v/>
      </c>
      <c r="AC983">
        <f>IF(AND(AA983&gt;0,AB983&gt;=Controls!$B$39*AA983),1,0)</f>
        <v/>
      </c>
      <c r="AD983">
        <f>IF(AND(E983&lt;&gt;"",E983&gt;=Controls!$B$37,E983&lt;=Controls!$B$38),1,0)</f>
        <v/>
      </c>
      <c r="AE983">
        <f>IF(IFERROR(VLOOKUP(D983,Controls!$A$64:$E$74,2,FALSE),"No")="Yes",1,0)</f>
        <v/>
      </c>
      <c r="AF983">
        <f>IF(IFERROR(VLOOKUP(D983,Controls!$A$64:$E$74,3,FALSE),"No")="Yes",1,0)</f>
        <v/>
      </c>
      <c r="AG983">
        <f>IF(IFERROR(VLOOKUP(D983,Controls!$A$64:$E$74,4,FALSE),"No")="Yes",1,0)</f>
        <v/>
      </c>
      <c r="AH983">
        <f>IF(IFERROR(VLOOKUP(D983,Controls!$A$64:$E$74,5,FALSE),"No")="Yes",1,0)</f>
        <v/>
      </c>
      <c r="AI983">
        <f>IF(ISNUMBER(MATCH(D983,Controls!$A$64:$A$74,0)),1,0)</f>
        <v/>
      </c>
      <c r="AJ983">
        <f>Q983-N983</f>
        <v/>
      </c>
      <c r="AK983">
        <f>IF(AE983=1,MAX(0,N983-Q983),0)</f>
        <v/>
      </c>
      <c r="AL983">
        <f>IF(OR(V983="",V983=0),0,N983/V983)</f>
        <v/>
      </c>
      <c r="AM983">
        <f>IF(OR(V983="",V983=0),0,1)</f>
        <v/>
      </c>
      <c r="AN983">
        <f>IF(OR(E983="",F983=""),0,NETWORKDAYS(E983,F983,Ref!$K$2:$K$42))</f>
        <v/>
      </c>
      <c r="AO983">
        <f>IF(L983="Renewal",1,0)</f>
        <v/>
      </c>
      <c r="AP983">
        <f>AC983*AD983</f>
        <v/>
      </c>
      <c r="AQ983">
        <f>IF(AND(G983&lt;&gt;"",'Historical Score'!$C$6&lt;&gt;""),IF(G983='Historical Score'!$C$6,1,0),0)</f>
        <v/>
      </c>
      <c r="AR983">
        <f>IF(AND(L983&lt;&gt;"",'Historical Score'!$C$5&lt;&gt;""),IF(L983='Historical Score'!$C$5,1,0),0)</f>
        <v/>
      </c>
      <c r="AS983">
        <f>IF(AND(Y983&lt;&gt;"",'Historical Score'!$C$7&lt;&gt;""),IF(Y983='Historical Score'!$C$7,1,0),0)</f>
        <v/>
      </c>
      <c r="AT983">
        <f>IF(AND(K983&lt;&gt;"",'Historical Score'!$C$8&lt;&gt;""),IF(K983='Historical Score'!$C$8,1,0),0)</f>
        <v/>
      </c>
      <c r="AU983">
        <f>IF(AND(J983&lt;&gt;"",'Historical Score'!$C$9&lt;&gt;""),IF(J983='Historical Score'!$C$9,1,0),0)</f>
        <v/>
      </c>
      <c r="AV983">
        <f>AR983*AS983*AQ983</f>
        <v/>
      </c>
      <c r="AW983">
        <f>AR983*AT983*AQ983</f>
        <v/>
      </c>
      <c r="AX983">
        <f>AR983*AS983</f>
        <v/>
      </c>
      <c r="AY983">
        <f>AR983*AT983</f>
        <v/>
      </c>
      <c r="AZ983">
        <f>AR983*AQ983</f>
        <v/>
      </c>
      <c r="BA983">
        <f>AR983</f>
        <v/>
      </c>
      <c r="BB983">
        <f>1</f>
        <v/>
      </c>
      <c r="BC983">
        <f>IF(AV983=1,1,IF(AW983=1,2,IF(AX983=1,3,IF(AY983=1,4,IF(AZ983=1,5,IF(BA983=1,6,7))))))</f>
        <v/>
      </c>
      <c r="BD983">
        <f>IF(AD983=1,CHOOSE('Historical Score'!$C$29,AV983,AW983,AX983,AY983,AZ983,BA983,BB983),0)</f>
        <v/>
      </c>
      <c r="BE983">
        <f>IF(BD983=1,COUNTIF($BD$2:BD983,1),"")</f>
        <v/>
      </c>
    </row>
    <row r="984">
      <c r="A984" t="inlineStr">
        <is>
          <t>5674186087</t>
        </is>
      </c>
      <c r="B984" t="inlineStr">
        <is>
          <t>CARGO, CARGO TX, CARGO LLC</t>
        </is>
      </c>
      <c r="C984" t="inlineStr">
        <is>
          <t>CARGO OPERATIONS LLC</t>
        </is>
      </c>
      <c r="D984" t="inlineStr">
        <is>
          <t>Open</t>
        </is>
      </c>
      <c r="E984" s="297" t="n">
        <v>46197</v>
      </c>
      <c r="F984" s="297" t="n">
        <v>46253</v>
      </c>
      <c r="G984" t="n">
        <v>1</v>
      </c>
      <c r="H984" t="inlineStr">
        <is>
          <t>5812</t>
        </is>
      </c>
      <c r="I984" t="inlineStr">
        <is>
          <t>58</t>
        </is>
      </c>
      <c r="J984" t="inlineStr">
        <is>
          <t>TX</t>
        </is>
      </c>
      <c r="K984" t="inlineStr">
        <is>
          <t>Credibly</t>
        </is>
      </c>
      <c r="L984" t="inlineStr">
        <is>
          <t>New Deal</t>
        </is>
      </c>
      <c r="M984" s="298" t="n">
        <v>1.39</v>
      </c>
      <c r="N984" s="299" t="n">
        <v>75000</v>
      </c>
      <c r="O984" s="299" t="n">
        <v>6750</v>
      </c>
      <c r="P984" s="299" t="n">
        <v>104250</v>
      </c>
      <c r="Q984" s="299" t="n">
        <v>29817.6</v>
      </c>
      <c r="R984" s="299" t="n">
        <v>74432.39999999999</v>
      </c>
      <c r="S984" s="300" t="n">
        <v>0.286020143884892</v>
      </c>
      <c r="T984" t="n">
        <v>4.59</v>
      </c>
      <c r="U984" t="n">
        <v>1</v>
      </c>
      <c r="V984" t="n">
        <v>343296.1</v>
      </c>
      <c r="W984" s="300" t="n">
        <v>0.0456</v>
      </c>
      <c r="X984" s="297" t="n">
        <v>45870</v>
      </c>
      <c r="Y984">
        <f>IF(I984="","No SIC",IFERROR(VLOOKUP(I984,Ref!$A$2:$B$65,2,FALSE),"Unclassified"))</f>
        <v/>
      </c>
      <c r="Z984">
        <f>IF(T984="","",IF(T984&lt;12,"Daily","Weekly"))</f>
        <v/>
      </c>
      <c r="AA984">
        <f>IF(T984="",0,IF(T984&lt;12,T984*Controls!$B$29,T984*5))</f>
        <v/>
      </c>
      <c r="AB984">
        <f>IF(E984="",0,NETWORKDAYS(E984,Controls!$B$36,Ref!$K$2:$K$42))</f>
        <v/>
      </c>
      <c r="AC984">
        <f>IF(AND(AA984&gt;0,AB984&gt;=Controls!$B$39*AA984),1,0)</f>
        <v/>
      </c>
      <c r="AD984">
        <f>IF(AND(E984&lt;&gt;"",E984&gt;=Controls!$B$37,E984&lt;=Controls!$B$38),1,0)</f>
        <v/>
      </c>
      <c r="AE984">
        <f>IF(IFERROR(VLOOKUP(D984,Controls!$A$64:$E$74,2,FALSE),"No")="Yes",1,0)</f>
        <v/>
      </c>
      <c r="AF984">
        <f>IF(IFERROR(VLOOKUP(D984,Controls!$A$64:$E$74,3,FALSE),"No")="Yes",1,0)</f>
        <v/>
      </c>
      <c r="AG984">
        <f>IF(IFERROR(VLOOKUP(D984,Controls!$A$64:$E$74,4,FALSE),"No")="Yes",1,0)</f>
        <v/>
      </c>
      <c r="AH984">
        <f>IF(IFERROR(VLOOKUP(D984,Controls!$A$64:$E$74,5,FALSE),"No")="Yes",1,0)</f>
        <v/>
      </c>
      <c r="AI984">
        <f>IF(ISNUMBER(MATCH(D984,Controls!$A$64:$A$74,0)),1,0)</f>
        <v/>
      </c>
      <c r="AJ984">
        <f>Q984-N984</f>
        <v/>
      </c>
      <c r="AK984">
        <f>IF(AE984=1,MAX(0,N984-Q984),0)</f>
        <v/>
      </c>
      <c r="AL984">
        <f>IF(OR(V984="",V984=0),0,N984/V984)</f>
        <v/>
      </c>
      <c r="AM984">
        <f>IF(OR(V984="",V984=0),0,1)</f>
        <v/>
      </c>
      <c r="AN984">
        <f>IF(OR(E984="",F984=""),0,NETWORKDAYS(E984,F984,Ref!$K$2:$K$42))</f>
        <v/>
      </c>
      <c r="AO984">
        <f>IF(L984="Renewal",1,0)</f>
        <v/>
      </c>
      <c r="AP984">
        <f>AC984*AD984</f>
        <v/>
      </c>
      <c r="AQ984">
        <f>IF(AND(G984&lt;&gt;"",'Historical Score'!$C$6&lt;&gt;""),IF(G984='Historical Score'!$C$6,1,0),0)</f>
        <v/>
      </c>
      <c r="AR984">
        <f>IF(AND(L984&lt;&gt;"",'Historical Score'!$C$5&lt;&gt;""),IF(L984='Historical Score'!$C$5,1,0),0)</f>
        <v/>
      </c>
      <c r="AS984">
        <f>IF(AND(Y984&lt;&gt;"",'Historical Score'!$C$7&lt;&gt;""),IF(Y984='Historical Score'!$C$7,1,0),0)</f>
        <v/>
      </c>
      <c r="AT984">
        <f>IF(AND(K984&lt;&gt;"",'Historical Score'!$C$8&lt;&gt;""),IF(K984='Historical Score'!$C$8,1,0),0)</f>
        <v/>
      </c>
      <c r="AU984">
        <f>IF(AND(J984&lt;&gt;"",'Historical Score'!$C$9&lt;&gt;""),IF(J984='Historical Score'!$C$9,1,0),0)</f>
        <v/>
      </c>
      <c r="AV984">
        <f>AR984*AS984*AQ984</f>
        <v/>
      </c>
      <c r="AW984">
        <f>AR984*AT984*AQ984</f>
        <v/>
      </c>
      <c r="AX984">
        <f>AR984*AS984</f>
        <v/>
      </c>
      <c r="AY984">
        <f>AR984*AT984</f>
        <v/>
      </c>
      <c r="AZ984">
        <f>AR984*AQ984</f>
        <v/>
      </c>
      <c r="BA984">
        <f>AR984</f>
        <v/>
      </c>
      <c r="BB984">
        <f>1</f>
        <v/>
      </c>
      <c r="BC984">
        <f>IF(AV984=1,1,IF(AW984=1,2,IF(AX984=1,3,IF(AY984=1,4,IF(AZ984=1,5,IF(BA984=1,6,7))))))</f>
        <v/>
      </c>
      <c r="BD984">
        <f>IF(AD984=1,CHOOSE('Historical Score'!$C$29,AV984,AW984,AX984,AY984,AZ984,BA984,BB984),0)</f>
        <v/>
      </c>
      <c r="BE984">
        <f>IF(BD984=1,COUNTIF($BD$2:BD984,1),"")</f>
        <v/>
      </c>
    </row>
    <row r="985">
      <c r="A985" t="inlineStr">
        <is>
          <t>5674186171</t>
        </is>
      </c>
      <c r="B985" t="inlineStr">
        <is>
          <t>LIG LOGISTICS LLC</t>
        </is>
      </c>
      <c r="C985" t="inlineStr">
        <is>
          <t>LIG LOGISTICS LLC</t>
        </is>
      </c>
      <c r="D985" t="inlineStr">
        <is>
          <t>Open</t>
        </is>
      </c>
      <c r="E985" s="297" t="n">
        <v>46198</v>
      </c>
      <c r="F985" s="297" t="n">
        <v>46248</v>
      </c>
      <c r="G985" t="n">
        <v>3</v>
      </c>
      <c r="H985" t="inlineStr">
        <is>
          <t>4212</t>
        </is>
      </c>
      <c r="I985" t="inlineStr">
        <is>
          <t>42</t>
        </is>
      </c>
      <c r="J985" t="inlineStr">
        <is>
          <t>NJ</t>
        </is>
      </c>
      <c r="K985" t="inlineStr">
        <is>
          <t>Westwood</t>
        </is>
      </c>
      <c r="L985" t="inlineStr">
        <is>
          <t>New Deal</t>
        </is>
      </c>
      <c r="M985" s="298" t="n">
        <v>1.39</v>
      </c>
      <c r="N985" s="299" t="n">
        <v>15000</v>
      </c>
      <c r="O985" s="299" t="n">
        <v>1350</v>
      </c>
      <c r="P985" s="299" t="n">
        <v>20850</v>
      </c>
      <c r="Q985" s="299" t="n">
        <v>4903.74</v>
      </c>
      <c r="R985" s="299" t="n">
        <v>15946.26</v>
      </c>
      <c r="S985" s="300" t="n">
        <v>0.235191366906475</v>
      </c>
      <c r="T985" t="n">
        <v>17</v>
      </c>
      <c r="U985" t="n">
        <v>7</v>
      </c>
      <c r="V985" t="n">
        <v>96896.8</v>
      </c>
      <c r="W985" s="300" t="n">
        <v>0.0506</v>
      </c>
      <c r="X985" s="297" t="n">
        <v>44958</v>
      </c>
      <c r="Y985">
        <f>IF(I985="","No SIC",IFERROR(VLOOKUP(I985,Ref!$A$2:$B$65,2,FALSE),"Unclassified"))</f>
        <v/>
      </c>
      <c r="Z985">
        <f>IF(T985="","",IF(T985&lt;12,"Daily","Weekly"))</f>
        <v/>
      </c>
      <c r="AA985">
        <f>IF(T985="",0,IF(T985&lt;12,T985*Controls!$B$29,T985*5))</f>
        <v/>
      </c>
      <c r="AB985">
        <f>IF(E985="",0,NETWORKDAYS(E985,Controls!$B$36,Ref!$K$2:$K$42))</f>
        <v/>
      </c>
      <c r="AC985">
        <f>IF(AND(AA985&gt;0,AB985&gt;=Controls!$B$39*AA985),1,0)</f>
        <v/>
      </c>
      <c r="AD985">
        <f>IF(AND(E985&lt;&gt;"",E985&gt;=Controls!$B$37,E985&lt;=Controls!$B$38),1,0)</f>
        <v/>
      </c>
      <c r="AE985">
        <f>IF(IFERROR(VLOOKUP(D985,Controls!$A$64:$E$74,2,FALSE),"No")="Yes",1,0)</f>
        <v/>
      </c>
      <c r="AF985">
        <f>IF(IFERROR(VLOOKUP(D985,Controls!$A$64:$E$74,3,FALSE),"No")="Yes",1,0)</f>
        <v/>
      </c>
      <c r="AG985">
        <f>IF(IFERROR(VLOOKUP(D985,Controls!$A$64:$E$74,4,FALSE),"No")="Yes",1,0)</f>
        <v/>
      </c>
      <c r="AH985">
        <f>IF(IFERROR(VLOOKUP(D985,Controls!$A$64:$E$74,5,FALSE),"No")="Yes",1,0)</f>
        <v/>
      </c>
      <c r="AI985">
        <f>IF(ISNUMBER(MATCH(D985,Controls!$A$64:$A$74,0)),1,0)</f>
        <v/>
      </c>
      <c r="AJ985">
        <f>Q985-N985</f>
        <v/>
      </c>
      <c r="AK985">
        <f>IF(AE985=1,MAX(0,N985-Q985),0)</f>
        <v/>
      </c>
      <c r="AL985">
        <f>IF(OR(V985="",V985=0),0,N985/V985)</f>
        <v/>
      </c>
      <c r="AM985">
        <f>IF(OR(V985="",V985=0),0,1)</f>
        <v/>
      </c>
      <c r="AN985">
        <f>IF(OR(E985="",F985=""),0,NETWORKDAYS(E985,F985,Ref!$K$2:$K$42))</f>
        <v/>
      </c>
      <c r="AO985">
        <f>IF(L985="Renewal",1,0)</f>
        <v/>
      </c>
      <c r="AP985">
        <f>AC985*AD985</f>
        <v/>
      </c>
      <c r="AQ985">
        <f>IF(AND(G985&lt;&gt;"",'Historical Score'!$C$6&lt;&gt;""),IF(G985='Historical Score'!$C$6,1,0),0)</f>
        <v/>
      </c>
      <c r="AR985">
        <f>IF(AND(L985&lt;&gt;"",'Historical Score'!$C$5&lt;&gt;""),IF(L985='Historical Score'!$C$5,1,0),0)</f>
        <v/>
      </c>
      <c r="AS985">
        <f>IF(AND(Y985&lt;&gt;"",'Historical Score'!$C$7&lt;&gt;""),IF(Y985='Historical Score'!$C$7,1,0),0)</f>
        <v/>
      </c>
      <c r="AT985">
        <f>IF(AND(K985&lt;&gt;"",'Historical Score'!$C$8&lt;&gt;""),IF(K985='Historical Score'!$C$8,1,0),0)</f>
        <v/>
      </c>
      <c r="AU985">
        <f>IF(AND(J985&lt;&gt;"",'Historical Score'!$C$9&lt;&gt;""),IF(J985='Historical Score'!$C$9,1,0),0)</f>
        <v/>
      </c>
      <c r="AV985">
        <f>AR985*AS985*AQ985</f>
        <v/>
      </c>
      <c r="AW985">
        <f>AR985*AT985*AQ985</f>
        <v/>
      </c>
      <c r="AX985">
        <f>AR985*AS985</f>
        <v/>
      </c>
      <c r="AY985">
        <f>AR985*AT985</f>
        <v/>
      </c>
      <c r="AZ985">
        <f>AR985*AQ985</f>
        <v/>
      </c>
      <c r="BA985">
        <f>AR985</f>
        <v/>
      </c>
      <c r="BB985">
        <f>1</f>
        <v/>
      </c>
      <c r="BC985">
        <f>IF(AV985=1,1,IF(AW985=1,2,IF(AX985=1,3,IF(AY985=1,4,IF(AZ985=1,5,IF(BA985=1,6,7))))))</f>
        <v/>
      </c>
      <c r="BD985">
        <f>IF(AD985=1,CHOOSE('Historical Score'!$C$29,AV985,AW985,AX985,AY985,AZ985,BA985,BB985),0)</f>
        <v/>
      </c>
      <c r="BE985">
        <f>IF(BD985=1,COUNTIF($BD$2:BD985,1),"")</f>
        <v/>
      </c>
    </row>
    <row r="986">
      <c r="A986" t="inlineStr">
        <is>
          <t>5674186188</t>
        </is>
      </c>
      <c r="B986" t="inlineStr">
        <is>
          <t>The Med Spa by BA</t>
        </is>
      </c>
      <c r="C986" t="inlineStr">
        <is>
          <t>THE MED SPA BY BA LLC</t>
        </is>
      </c>
      <c r="D986" t="inlineStr">
        <is>
          <t>Open</t>
        </is>
      </c>
      <c r="E986" s="297" t="n">
        <v>46198</v>
      </c>
      <c r="F986" s="297" t="n">
        <v>46247</v>
      </c>
      <c r="G986" t="n">
        <v>3</v>
      </c>
      <c r="H986" t="inlineStr">
        <is>
          <t>8011</t>
        </is>
      </c>
      <c r="I986" t="inlineStr">
        <is>
          <t>80</t>
        </is>
      </c>
      <c r="J986" t="inlineStr">
        <is>
          <t>PA</t>
        </is>
      </c>
      <c r="K986" t="inlineStr">
        <is>
          <t>MONETCAP</t>
        </is>
      </c>
      <c r="L986" t="inlineStr">
        <is>
          <t>New Deal</t>
        </is>
      </c>
      <c r="M986" s="298" t="n">
        <v>1.49</v>
      </c>
      <c r="N986" s="299" t="n">
        <v>30000</v>
      </c>
      <c r="O986" s="299" t="n">
        <v>4200</v>
      </c>
      <c r="P986" s="299" t="n">
        <v>44700</v>
      </c>
      <c r="Q986" s="299" t="n">
        <v>11180.75</v>
      </c>
      <c r="R986" s="299" t="n">
        <v>33519.25</v>
      </c>
      <c r="S986" s="300" t="n">
        <v>0.250128635346756</v>
      </c>
      <c r="T986" t="n">
        <v>28</v>
      </c>
      <c r="U986" t="n">
        <v>0</v>
      </c>
      <c r="V986" t="n">
        <v>92459.92</v>
      </c>
      <c r="W986" s="300" t="n">
        <v>0.06909999999999999</v>
      </c>
      <c r="X986" s="297" t="n">
        <v>45736</v>
      </c>
      <c r="Y986">
        <f>IF(I986="","No SIC",IFERROR(VLOOKUP(I986,Ref!$A$2:$B$65,2,FALSE),"Unclassified"))</f>
        <v/>
      </c>
      <c r="Z986">
        <f>IF(T986="","",IF(T986&lt;12,"Daily","Weekly"))</f>
        <v/>
      </c>
      <c r="AA986">
        <f>IF(T986="",0,IF(T986&lt;12,T986*Controls!$B$29,T986*5))</f>
        <v/>
      </c>
      <c r="AB986">
        <f>IF(E986="",0,NETWORKDAYS(E986,Controls!$B$36,Ref!$K$2:$K$42))</f>
        <v/>
      </c>
      <c r="AC986">
        <f>IF(AND(AA986&gt;0,AB986&gt;=Controls!$B$39*AA986),1,0)</f>
        <v/>
      </c>
      <c r="AD986">
        <f>IF(AND(E986&lt;&gt;"",E986&gt;=Controls!$B$37,E986&lt;=Controls!$B$38),1,0)</f>
        <v/>
      </c>
      <c r="AE986">
        <f>IF(IFERROR(VLOOKUP(D986,Controls!$A$64:$E$74,2,FALSE),"No")="Yes",1,0)</f>
        <v/>
      </c>
      <c r="AF986">
        <f>IF(IFERROR(VLOOKUP(D986,Controls!$A$64:$E$74,3,FALSE),"No")="Yes",1,0)</f>
        <v/>
      </c>
      <c r="AG986">
        <f>IF(IFERROR(VLOOKUP(D986,Controls!$A$64:$E$74,4,FALSE),"No")="Yes",1,0)</f>
        <v/>
      </c>
      <c r="AH986">
        <f>IF(IFERROR(VLOOKUP(D986,Controls!$A$64:$E$74,5,FALSE),"No")="Yes",1,0)</f>
        <v/>
      </c>
      <c r="AI986">
        <f>IF(ISNUMBER(MATCH(D986,Controls!$A$64:$A$74,0)),1,0)</f>
        <v/>
      </c>
      <c r="AJ986">
        <f>Q986-N986</f>
        <v/>
      </c>
      <c r="AK986">
        <f>IF(AE986=1,MAX(0,N986-Q986),0)</f>
        <v/>
      </c>
      <c r="AL986">
        <f>IF(OR(V986="",V986=0),0,N986/V986)</f>
        <v/>
      </c>
      <c r="AM986">
        <f>IF(OR(V986="",V986=0),0,1)</f>
        <v/>
      </c>
      <c r="AN986">
        <f>IF(OR(E986="",F986=""),0,NETWORKDAYS(E986,F986,Ref!$K$2:$K$42))</f>
        <v/>
      </c>
      <c r="AO986">
        <f>IF(L986="Renewal",1,0)</f>
        <v/>
      </c>
      <c r="AP986">
        <f>AC986*AD986</f>
        <v/>
      </c>
      <c r="AQ986">
        <f>IF(AND(G986&lt;&gt;"",'Historical Score'!$C$6&lt;&gt;""),IF(G986='Historical Score'!$C$6,1,0),0)</f>
        <v/>
      </c>
      <c r="AR986">
        <f>IF(AND(L986&lt;&gt;"",'Historical Score'!$C$5&lt;&gt;""),IF(L986='Historical Score'!$C$5,1,0),0)</f>
        <v/>
      </c>
      <c r="AS986">
        <f>IF(AND(Y986&lt;&gt;"",'Historical Score'!$C$7&lt;&gt;""),IF(Y986='Historical Score'!$C$7,1,0),0)</f>
        <v/>
      </c>
      <c r="AT986">
        <f>IF(AND(K986&lt;&gt;"",'Historical Score'!$C$8&lt;&gt;""),IF(K986='Historical Score'!$C$8,1,0),0)</f>
        <v/>
      </c>
      <c r="AU986">
        <f>IF(AND(J986&lt;&gt;"",'Historical Score'!$C$9&lt;&gt;""),IF(J986='Historical Score'!$C$9,1,0),0)</f>
        <v/>
      </c>
      <c r="AV986">
        <f>AR986*AS986*AQ986</f>
        <v/>
      </c>
      <c r="AW986">
        <f>AR986*AT986*AQ986</f>
        <v/>
      </c>
      <c r="AX986">
        <f>AR986*AS986</f>
        <v/>
      </c>
      <c r="AY986">
        <f>AR986*AT986</f>
        <v/>
      </c>
      <c r="AZ986">
        <f>AR986*AQ986</f>
        <v/>
      </c>
      <c r="BA986">
        <f>AR986</f>
        <v/>
      </c>
      <c r="BB986">
        <f>1</f>
        <v/>
      </c>
      <c r="BC986">
        <f>IF(AV986=1,1,IF(AW986=1,2,IF(AX986=1,3,IF(AY986=1,4,IF(AZ986=1,5,IF(BA986=1,6,7))))))</f>
        <v/>
      </c>
      <c r="BD986">
        <f>IF(AD986=1,CHOOSE('Historical Score'!$C$29,AV986,AW986,AX986,AY986,AZ986,BA986,BB986),0)</f>
        <v/>
      </c>
      <c r="BE986">
        <f>IF(BD986=1,COUNTIF($BD$2:BD986,1),"")</f>
        <v/>
      </c>
    </row>
    <row r="987">
      <c r="A987" t="inlineStr">
        <is>
          <t>5674186239</t>
        </is>
      </c>
      <c r="B987" t="inlineStr">
        <is>
          <t>T1 RESTORATION &amp; CONSTRUCTION, T1 RESTORATION</t>
        </is>
      </c>
      <c r="C987" t="inlineStr">
        <is>
          <t>T1 RESTORATION &amp; CONSTRUCTION LLC</t>
        </is>
      </c>
      <c r="D987" t="inlineStr">
        <is>
          <t>Open</t>
        </is>
      </c>
      <c r="E987" s="297" t="n">
        <v>46199</v>
      </c>
      <c r="F987" s="297" t="n">
        <v>46253</v>
      </c>
      <c r="G987" t="n">
        <v>5</v>
      </c>
      <c r="H987" t="inlineStr">
        <is>
          <t>1629</t>
        </is>
      </c>
      <c r="I987" t="inlineStr">
        <is>
          <t>16</t>
        </is>
      </c>
      <c r="J987" t="inlineStr">
        <is>
          <t>PA</t>
        </is>
      </c>
      <c r="K987" t="inlineStr">
        <is>
          <t>PMF</t>
        </is>
      </c>
      <c r="L987" t="inlineStr">
        <is>
          <t>New Deal</t>
        </is>
      </c>
      <c r="M987" s="298" t="n">
        <v>1.49</v>
      </c>
      <c r="N987" s="299" t="n">
        <v>100000</v>
      </c>
      <c r="O987" s="299" t="n">
        <v>14000</v>
      </c>
      <c r="P987" s="299" t="n">
        <v>149000</v>
      </c>
      <c r="Q987" s="299" t="n">
        <v>30826.38</v>
      </c>
      <c r="R987" s="299" t="n">
        <v>118173.62</v>
      </c>
      <c r="S987" s="300" t="n">
        <v>0.206888456375839</v>
      </c>
      <c r="T987" t="n">
        <v>12</v>
      </c>
      <c r="U987" t="n">
        <v>2</v>
      </c>
      <c r="V987" t="n">
        <v>500000</v>
      </c>
      <c r="W987" s="300" t="n">
        <v>0.1105</v>
      </c>
      <c r="X987" s="297" t="n">
        <v>44239</v>
      </c>
      <c r="Y987">
        <f>IF(I987="","No SIC",IFERROR(VLOOKUP(I987,Ref!$A$2:$B$65,2,FALSE),"Unclassified"))</f>
        <v/>
      </c>
      <c r="Z987">
        <f>IF(T987="","",IF(T987&lt;12,"Daily","Weekly"))</f>
        <v/>
      </c>
      <c r="AA987">
        <f>IF(T987="",0,IF(T987&lt;12,T987*Controls!$B$29,T987*5))</f>
        <v/>
      </c>
      <c r="AB987">
        <f>IF(E987="",0,NETWORKDAYS(E987,Controls!$B$36,Ref!$K$2:$K$42))</f>
        <v/>
      </c>
      <c r="AC987">
        <f>IF(AND(AA987&gt;0,AB987&gt;=Controls!$B$39*AA987),1,0)</f>
        <v/>
      </c>
      <c r="AD987">
        <f>IF(AND(E987&lt;&gt;"",E987&gt;=Controls!$B$37,E987&lt;=Controls!$B$38),1,0)</f>
        <v/>
      </c>
      <c r="AE987">
        <f>IF(IFERROR(VLOOKUP(D987,Controls!$A$64:$E$74,2,FALSE),"No")="Yes",1,0)</f>
        <v/>
      </c>
      <c r="AF987">
        <f>IF(IFERROR(VLOOKUP(D987,Controls!$A$64:$E$74,3,FALSE),"No")="Yes",1,0)</f>
        <v/>
      </c>
      <c r="AG987">
        <f>IF(IFERROR(VLOOKUP(D987,Controls!$A$64:$E$74,4,FALSE),"No")="Yes",1,0)</f>
        <v/>
      </c>
      <c r="AH987">
        <f>IF(IFERROR(VLOOKUP(D987,Controls!$A$64:$E$74,5,FALSE),"No")="Yes",1,0)</f>
        <v/>
      </c>
      <c r="AI987">
        <f>IF(ISNUMBER(MATCH(D987,Controls!$A$64:$A$74,0)),1,0)</f>
        <v/>
      </c>
      <c r="AJ987">
        <f>Q987-N987</f>
        <v/>
      </c>
      <c r="AK987">
        <f>IF(AE987=1,MAX(0,N987-Q987),0)</f>
        <v/>
      </c>
      <c r="AL987">
        <f>IF(OR(V987="",V987=0),0,N987/V987)</f>
        <v/>
      </c>
      <c r="AM987">
        <f>IF(OR(V987="",V987=0),0,1)</f>
        <v/>
      </c>
      <c r="AN987">
        <f>IF(OR(E987="",F987=""),0,NETWORKDAYS(E987,F987,Ref!$K$2:$K$42))</f>
        <v/>
      </c>
      <c r="AO987">
        <f>IF(L987="Renewal",1,0)</f>
        <v/>
      </c>
      <c r="AP987">
        <f>AC987*AD987</f>
        <v/>
      </c>
      <c r="AQ987">
        <f>IF(AND(G987&lt;&gt;"",'Historical Score'!$C$6&lt;&gt;""),IF(G987='Historical Score'!$C$6,1,0),0)</f>
        <v/>
      </c>
      <c r="AR987">
        <f>IF(AND(L987&lt;&gt;"",'Historical Score'!$C$5&lt;&gt;""),IF(L987='Historical Score'!$C$5,1,0),0)</f>
        <v/>
      </c>
      <c r="AS987">
        <f>IF(AND(Y987&lt;&gt;"",'Historical Score'!$C$7&lt;&gt;""),IF(Y987='Historical Score'!$C$7,1,0),0)</f>
        <v/>
      </c>
      <c r="AT987">
        <f>IF(AND(K987&lt;&gt;"",'Historical Score'!$C$8&lt;&gt;""),IF(K987='Historical Score'!$C$8,1,0),0)</f>
        <v/>
      </c>
      <c r="AU987">
        <f>IF(AND(J987&lt;&gt;"",'Historical Score'!$C$9&lt;&gt;""),IF(J987='Historical Score'!$C$9,1,0),0)</f>
        <v/>
      </c>
      <c r="AV987">
        <f>AR987*AS987*AQ987</f>
        <v/>
      </c>
      <c r="AW987">
        <f>AR987*AT987*AQ987</f>
        <v/>
      </c>
      <c r="AX987">
        <f>AR987*AS987</f>
        <v/>
      </c>
      <c r="AY987">
        <f>AR987*AT987</f>
        <v/>
      </c>
      <c r="AZ987">
        <f>AR987*AQ987</f>
        <v/>
      </c>
      <c r="BA987">
        <f>AR987</f>
        <v/>
      </c>
      <c r="BB987">
        <f>1</f>
        <v/>
      </c>
      <c r="BC987">
        <f>IF(AV987=1,1,IF(AW987=1,2,IF(AX987=1,3,IF(AY987=1,4,IF(AZ987=1,5,IF(BA987=1,6,7))))))</f>
        <v/>
      </c>
      <c r="BD987">
        <f>IF(AD987=1,CHOOSE('Historical Score'!$C$29,AV987,AW987,AX987,AY987,AZ987,BA987,BB987),0)</f>
        <v/>
      </c>
      <c r="BE987">
        <f>IF(BD987=1,COUNTIF($BD$2:BD987,1),"")</f>
        <v/>
      </c>
    </row>
    <row r="988">
      <c r="A988" t="inlineStr">
        <is>
          <t>5674186277</t>
        </is>
      </c>
      <c r="B988" t="inlineStr">
        <is>
          <t>TEAMWORK TOWN INC</t>
        </is>
      </c>
      <c r="C988" t="inlineStr">
        <is>
          <t>TEAMWORK TOWN INC</t>
        </is>
      </c>
      <c r="D988" t="inlineStr">
        <is>
          <t>Open</t>
        </is>
      </c>
      <c r="E988" s="297" t="n">
        <v>46202</v>
      </c>
      <c r="F988" s="297" t="n">
        <v>46248</v>
      </c>
      <c r="G988" t="n">
        <v>2</v>
      </c>
      <c r="H988" t="inlineStr">
        <is>
          <t>1521</t>
        </is>
      </c>
      <c r="I988" t="inlineStr">
        <is>
          <t>15</t>
        </is>
      </c>
      <c r="J988" t="inlineStr">
        <is>
          <t>TX</t>
        </is>
      </c>
      <c r="K988" t="inlineStr">
        <is>
          <t>Westwood</t>
        </is>
      </c>
      <c r="L988" t="inlineStr">
        <is>
          <t>New Deal</t>
        </is>
      </c>
      <c r="M988" s="298" t="n">
        <v>1.4</v>
      </c>
      <c r="N988" s="299" t="n">
        <v>42000</v>
      </c>
      <c r="O988" s="299" t="n">
        <v>3990</v>
      </c>
      <c r="P988" s="299" t="n">
        <v>58800</v>
      </c>
      <c r="Q988" s="299" t="n">
        <v>13840.04</v>
      </c>
      <c r="R988" s="299" t="n">
        <v>44959.96</v>
      </c>
      <c r="S988" s="300" t="n">
        <v>0.235374829931973</v>
      </c>
      <c r="T988" t="n">
        <v>28</v>
      </c>
      <c r="U988" t="n">
        <v>0</v>
      </c>
      <c r="V988" t="n">
        <v>159888.75</v>
      </c>
      <c r="W988" s="300" t="n">
        <v>0.0525</v>
      </c>
      <c r="X988" s="297" t="n">
        <v>44094</v>
      </c>
      <c r="Y988">
        <f>IF(I988="","No SIC",IFERROR(VLOOKUP(I988,Ref!$A$2:$B$65,2,FALSE),"Unclassified"))</f>
        <v/>
      </c>
      <c r="Z988">
        <f>IF(T988="","",IF(T988&lt;12,"Daily","Weekly"))</f>
        <v/>
      </c>
      <c r="AA988">
        <f>IF(T988="",0,IF(T988&lt;12,T988*Controls!$B$29,T988*5))</f>
        <v/>
      </c>
      <c r="AB988">
        <f>IF(E988="",0,NETWORKDAYS(E988,Controls!$B$36,Ref!$K$2:$K$42))</f>
        <v/>
      </c>
      <c r="AC988">
        <f>IF(AND(AA988&gt;0,AB988&gt;=Controls!$B$39*AA988),1,0)</f>
        <v/>
      </c>
      <c r="AD988">
        <f>IF(AND(E988&lt;&gt;"",E988&gt;=Controls!$B$37,E988&lt;=Controls!$B$38),1,0)</f>
        <v/>
      </c>
      <c r="AE988">
        <f>IF(IFERROR(VLOOKUP(D988,Controls!$A$64:$E$74,2,FALSE),"No")="Yes",1,0)</f>
        <v/>
      </c>
      <c r="AF988">
        <f>IF(IFERROR(VLOOKUP(D988,Controls!$A$64:$E$74,3,FALSE),"No")="Yes",1,0)</f>
        <v/>
      </c>
      <c r="AG988">
        <f>IF(IFERROR(VLOOKUP(D988,Controls!$A$64:$E$74,4,FALSE),"No")="Yes",1,0)</f>
        <v/>
      </c>
      <c r="AH988">
        <f>IF(IFERROR(VLOOKUP(D988,Controls!$A$64:$E$74,5,FALSE),"No")="Yes",1,0)</f>
        <v/>
      </c>
      <c r="AI988">
        <f>IF(ISNUMBER(MATCH(D988,Controls!$A$64:$A$74,0)),1,0)</f>
        <v/>
      </c>
      <c r="AJ988">
        <f>Q988-N988</f>
        <v/>
      </c>
      <c r="AK988">
        <f>IF(AE988=1,MAX(0,N988-Q988),0)</f>
        <v/>
      </c>
      <c r="AL988">
        <f>IF(OR(V988="",V988=0),0,N988/V988)</f>
        <v/>
      </c>
      <c r="AM988">
        <f>IF(OR(V988="",V988=0),0,1)</f>
        <v/>
      </c>
      <c r="AN988">
        <f>IF(OR(E988="",F988=""),0,NETWORKDAYS(E988,F988,Ref!$K$2:$K$42))</f>
        <v/>
      </c>
      <c r="AO988">
        <f>IF(L988="Renewal",1,0)</f>
        <v/>
      </c>
      <c r="AP988">
        <f>AC988*AD988</f>
        <v/>
      </c>
      <c r="AQ988">
        <f>IF(AND(G988&lt;&gt;"",'Historical Score'!$C$6&lt;&gt;""),IF(G988='Historical Score'!$C$6,1,0),0)</f>
        <v/>
      </c>
      <c r="AR988">
        <f>IF(AND(L988&lt;&gt;"",'Historical Score'!$C$5&lt;&gt;""),IF(L988='Historical Score'!$C$5,1,0),0)</f>
        <v/>
      </c>
      <c r="AS988">
        <f>IF(AND(Y988&lt;&gt;"",'Historical Score'!$C$7&lt;&gt;""),IF(Y988='Historical Score'!$C$7,1,0),0)</f>
        <v/>
      </c>
      <c r="AT988">
        <f>IF(AND(K988&lt;&gt;"",'Historical Score'!$C$8&lt;&gt;""),IF(K988='Historical Score'!$C$8,1,0),0)</f>
        <v/>
      </c>
      <c r="AU988">
        <f>IF(AND(J988&lt;&gt;"",'Historical Score'!$C$9&lt;&gt;""),IF(J988='Historical Score'!$C$9,1,0),0)</f>
        <v/>
      </c>
      <c r="AV988">
        <f>AR988*AS988*AQ988</f>
        <v/>
      </c>
      <c r="AW988">
        <f>AR988*AT988*AQ988</f>
        <v/>
      </c>
      <c r="AX988">
        <f>AR988*AS988</f>
        <v/>
      </c>
      <c r="AY988">
        <f>AR988*AT988</f>
        <v/>
      </c>
      <c r="AZ988">
        <f>AR988*AQ988</f>
        <v/>
      </c>
      <c r="BA988">
        <f>AR988</f>
        <v/>
      </c>
      <c r="BB988">
        <f>1</f>
        <v/>
      </c>
      <c r="BC988">
        <f>IF(AV988=1,1,IF(AW988=1,2,IF(AX988=1,3,IF(AY988=1,4,IF(AZ988=1,5,IF(BA988=1,6,7))))))</f>
        <v/>
      </c>
      <c r="BD988">
        <f>IF(AD988=1,CHOOSE('Historical Score'!$C$29,AV988,AW988,AX988,AY988,AZ988,BA988,BB988),0)</f>
        <v/>
      </c>
      <c r="BE988">
        <f>IF(BD988=1,COUNTIF($BD$2:BD988,1),"")</f>
        <v/>
      </c>
    </row>
    <row r="989">
      <c r="A989" t="inlineStr">
        <is>
          <t>5674186308</t>
        </is>
      </c>
      <c r="B989" t="inlineStr">
        <is>
          <t>Tayler Playgrounds</t>
        </is>
      </c>
      <c r="C989" t="inlineStr">
        <is>
          <t>TAYLER PLAYGROUNDS LLC</t>
        </is>
      </c>
      <c r="D989" t="inlineStr">
        <is>
          <t>Open</t>
        </is>
      </c>
      <c r="E989" s="297" t="n">
        <v>46202</v>
      </c>
      <c r="F989" s="297" t="n">
        <v>46248</v>
      </c>
      <c r="G989" t="n">
        <v>3</v>
      </c>
      <c r="H989" t="inlineStr">
        <is>
          <t>3949</t>
        </is>
      </c>
      <c r="I989" t="inlineStr">
        <is>
          <t>39</t>
        </is>
      </c>
      <c r="J989" t="inlineStr">
        <is>
          <t>MO</t>
        </is>
      </c>
      <c r="K989" t="inlineStr">
        <is>
          <t>PMF</t>
        </is>
      </c>
      <c r="L989" t="inlineStr">
        <is>
          <t>New Deal</t>
        </is>
      </c>
      <c r="M989" s="298" t="n">
        <v>1.43</v>
      </c>
      <c r="N989" s="299" t="n">
        <v>15000</v>
      </c>
      <c r="O989" s="299" t="n">
        <v>1650</v>
      </c>
      <c r="P989" s="299" t="n">
        <v>21450</v>
      </c>
      <c r="Q989" s="299" t="n">
        <v>3300.96</v>
      </c>
      <c r="R989" s="299" t="n">
        <v>18149.04</v>
      </c>
      <c r="S989" s="300" t="n">
        <v>0.153890909090909</v>
      </c>
      <c r="T989" t="n">
        <v>26</v>
      </c>
      <c r="U989" t="n">
        <v>3</v>
      </c>
      <c r="V989" t="n">
        <v>33242.32</v>
      </c>
      <c r="W989" s="300" t="n">
        <v>0.0993</v>
      </c>
      <c r="X989" s="297" t="n">
        <v>40380</v>
      </c>
      <c r="Y989">
        <f>IF(I989="","No SIC",IFERROR(VLOOKUP(I989,Ref!$A$2:$B$65,2,FALSE),"Unclassified"))</f>
        <v/>
      </c>
      <c r="Z989">
        <f>IF(T989="","",IF(T989&lt;12,"Daily","Weekly"))</f>
        <v/>
      </c>
      <c r="AA989">
        <f>IF(T989="",0,IF(T989&lt;12,T989*Controls!$B$29,T989*5))</f>
        <v/>
      </c>
      <c r="AB989">
        <f>IF(E989="",0,NETWORKDAYS(E989,Controls!$B$36,Ref!$K$2:$K$42))</f>
        <v/>
      </c>
      <c r="AC989">
        <f>IF(AND(AA989&gt;0,AB989&gt;=Controls!$B$39*AA989),1,0)</f>
        <v/>
      </c>
      <c r="AD989">
        <f>IF(AND(E989&lt;&gt;"",E989&gt;=Controls!$B$37,E989&lt;=Controls!$B$38),1,0)</f>
        <v/>
      </c>
      <c r="AE989">
        <f>IF(IFERROR(VLOOKUP(D989,Controls!$A$64:$E$74,2,FALSE),"No")="Yes",1,0)</f>
        <v/>
      </c>
      <c r="AF989">
        <f>IF(IFERROR(VLOOKUP(D989,Controls!$A$64:$E$74,3,FALSE),"No")="Yes",1,0)</f>
        <v/>
      </c>
      <c r="AG989">
        <f>IF(IFERROR(VLOOKUP(D989,Controls!$A$64:$E$74,4,FALSE),"No")="Yes",1,0)</f>
        <v/>
      </c>
      <c r="AH989">
        <f>IF(IFERROR(VLOOKUP(D989,Controls!$A$64:$E$74,5,FALSE),"No")="Yes",1,0)</f>
        <v/>
      </c>
      <c r="AI989">
        <f>IF(ISNUMBER(MATCH(D989,Controls!$A$64:$A$74,0)),1,0)</f>
        <v/>
      </c>
      <c r="AJ989">
        <f>Q989-N989</f>
        <v/>
      </c>
      <c r="AK989">
        <f>IF(AE989=1,MAX(0,N989-Q989),0)</f>
        <v/>
      </c>
      <c r="AL989">
        <f>IF(OR(V989="",V989=0),0,N989/V989)</f>
        <v/>
      </c>
      <c r="AM989">
        <f>IF(OR(V989="",V989=0),0,1)</f>
        <v/>
      </c>
      <c r="AN989">
        <f>IF(OR(E989="",F989=""),0,NETWORKDAYS(E989,F989,Ref!$K$2:$K$42))</f>
        <v/>
      </c>
      <c r="AO989">
        <f>IF(L989="Renewal",1,0)</f>
        <v/>
      </c>
      <c r="AP989">
        <f>AC989*AD989</f>
        <v/>
      </c>
      <c r="AQ989">
        <f>IF(AND(G989&lt;&gt;"",'Historical Score'!$C$6&lt;&gt;""),IF(G989='Historical Score'!$C$6,1,0),0)</f>
        <v/>
      </c>
      <c r="AR989">
        <f>IF(AND(L989&lt;&gt;"",'Historical Score'!$C$5&lt;&gt;""),IF(L989='Historical Score'!$C$5,1,0),0)</f>
        <v/>
      </c>
      <c r="AS989">
        <f>IF(AND(Y989&lt;&gt;"",'Historical Score'!$C$7&lt;&gt;""),IF(Y989='Historical Score'!$C$7,1,0),0)</f>
        <v/>
      </c>
      <c r="AT989">
        <f>IF(AND(K989&lt;&gt;"",'Historical Score'!$C$8&lt;&gt;""),IF(K989='Historical Score'!$C$8,1,0),0)</f>
        <v/>
      </c>
      <c r="AU989">
        <f>IF(AND(J989&lt;&gt;"",'Historical Score'!$C$9&lt;&gt;""),IF(J989='Historical Score'!$C$9,1,0),0)</f>
        <v/>
      </c>
      <c r="AV989">
        <f>AR989*AS989*AQ989</f>
        <v/>
      </c>
      <c r="AW989">
        <f>AR989*AT989*AQ989</f>
        <v/>
      </c>
      <c r="AX989">
        <f>AR989*AS989</f>
        <v/>
      </c>
      <c r="AY989">
        <f>AR989*AT989</f>
        <v/>
      </c>
      <c r="AZ989">
        <f>AR989*AQ989</f>
        <v/>
      </c>
      <c r="BA989">
        <f>AR989</f>
        <v/>
      </c>
      <c r="BB989">
        <f>1</f>
        <v/>
      </c>
      <c r="BC989">
        <f>IF(AV989=1,1,IF(AW989=1,2,IF(AX989=1,3,IF(AY989=1,4,IF(AZ989=1,5,IF(BA989=1,6,7))))))</f>
        <v/>
      </c>
      <c r="BD989">
        <f>IF(AD989=1,CHOOSE('Historical Score'!$C$29,AV989,AW989,AX989,AY989,AZ989,BA989,BB989),0)</f>
        <v/>
      </c>
      <c r="BE989">
        <f>IF(BD989=1,COUNTIF($BD$2:BD989,1),"")</f>
        <v/>
      </c>
    </row>
    <row r="990">
      <c r="A990" t="inlineStr">
        <is>
          <t>5674186312</t>
        </is>
      </c>
      <c r="B990" t="inlineStr">
        <is>
          <t>PAR-10 Companies</t>
        </is>
      </c>
      <c r="C990" t="inlineStr">
        <is>
          <t>PAR-10 Companies</t>
        </is>
      </c>
      <c r="D990" t="inlineStr">
        <is>
          <t>Open</t>
        </is>
      </c>
      <c r="E990" s="297" t="n">
        <v>46202</v>
      </c>
      <c r="F990" s="297" t="n">
        <v>46248</v>
      </c>
      <c r="G990" t="n">
        <v>3</v>
      </c>
      <c r="H990" t="inlineStr">
        <is>
          <t>5712</t>
        </is>
      </c>
      <c r="I990" t="inlineStr">
        <is>
          <t>57</t>
        </is>
      </c>
      <c r="J990" t="inlineStr">
        <is>
          <t>MN</t>
        </is>
      </c>
      <c r="K990" t="inlineStr">
        <is>
          <t>The Funding Channel</t>
        </is>
      </c>
      <c r="L990" t="inlineStr">
        <is>
          <t>New Deal</t>
        </is>
      </c>
      <c r="M990" s="298" t="n">
        <v>1.45</v>
      </c>
      <c r="N990" s="299" t="n">
        <v>10000</v>
      </c>
      <c r="O990" s="299" t="n">
        <v>1200</v>
      </c>
      <c r="P990" s="299" t="n">
        <v>14500</v>
      </c>
      <c r="Q990" s="299" t="n">
        <v>2174.79</v>
      </c>
      <c r="R990" s="299" t="n">
        <v>12325.21</v>
      </c>
      <c r="S990" s="300" t="n">
        <v>0.149985517241379</v>
      </c>
      <c r="T990" t="n">
        <v>20</v>
      </c>
      <c r="U990" t="n">
        <v>4</v>
      </c>
      <c r="V990" t="n">
        <v>86558.33</v>
      </c>
      <c r="W990" s="300" t="n">
        <v>0.0335</v>
      </c>
      <c r="X990" s="297" t="n">
        <v>41072</v>
      </c>
      <c r="Y990">
        <f>IF(I990="","No SIC",IFERROR(VLOOKUP(I990,Ref!$A$2:$B$65,2,FALSE),"Unclassified"))</f>
        <v/>
      </c>
      <c r="Z990">
        <f>IF(T990="","",IF(T990&lt;12,"Daily","Weekly"))</f>
        <v/>
      </c>
      <c r="AA990">
        <f>IF(T990="",0,IF(T990&lt;12,T990*Controls!$B$29,T990*5))</f>
        <v/>
      </c>
      <c r="AB990">
        <f>IF(E990="",0,NETWORKDAYS(E990,Controls!$B$36,Ref!$K$2:$K$42))</f>
        <v/>
      </c>
      <c r="AC990">
        <f>IF(AND(AA990&gt;0,AB990&gt;=Controls!$B$39*AA990),1,0)</f>
        <v/>
      </c>
      <c r="AD990">
        <f>IF(AND(E990&lt;&gt;"",E990&gt;=Controls!$B$37,E990&lt;=Controls!$B$38),1,0)</f>
        <v/>
      </c>
      <c r="AE990">
        <f>IF(IFERROR(VLOOKUP(D990,Controls!$A$64:$E$74,2,FALSE),"No")="Yes",1,0)</f>
        <v/>
      </c>
      <c r="AF990">
        <f>IF(IFERROR(VLOOKUP(D990,Controls!$A$64:$E$74,3,FALSE),"No")="Yes",1,0)</f>
        <v/>
      </c>
      <c r="AG990">
        <f>IF(IFERROR(VLOOKUP(D990,Controls!$A$64:$E$74,4,FALSE),"No")="Yes",1,0)</f>
        <v/>
      </c>
      <c r="AH990">
        <f>IF(IFERROR(VLOOKUP(D990,Controls!$A$64:$E$74,5,FALSE),"No")="Yes",1,0)</f>
        <v/>
      </c>
      <c r="AI990">
        <f>IF(ISNUMBER(MATCH(D990,Controls!$A$64:$A$74,0)),1,0)</f>
        <v/>
      </c>
      <c r="AJ990">
        <f>Q990-N990</f>
        <v/>
      </c>
      <c r="AK990">
        <f>IF(AE990=1,MAX(0,N990-Q990),0)</f>
        <v/>
      </c>
      <c r="AL990">
        <f>IF(OR(V990="",V990=0),0,N990/V990)</f>
        <v/>
      </c>
      <c r="AM990">
        <f>IF(OR(V990="",V990=0),0,1)</f>
        <v/>
      </c>
      <c r="AN990">
        <f>IF(OR(E990="",F990=""),0,NETWORKDAYS(E990,F990,Ref!$K$2:$K$42))</f>
        <v/>
      </c>
      <c r="AO990">
        <f>IF(L990="Renewal",1,0)</f>
        <v/>
      </c>
      <c r="AP990">
        <f>AC990*AD990</f>
        <v/>
      </c>
      <c r="AQ990">
        <f>IF(AND(G990&lt;&gt;"",'Historical Score'!$C$6&lt;&gt;""),IF(G990='Historical Score'!$C$6,1,0),0)</f>
        <v/>
      </c>
      <c r="AR990">
        <f>IF(AND(L990&lt;&gt;"",'Historical Score'!$C$5&lt;&gt;""),IF(L990='Historical Score'!$C$5,1,0),0)</f>
        <v/>
      </c>
      <c r="AS990">
        <f>IF(AND(Y990&lt;&gt;"",'Historical Score'!$C$7&lt;&gt;""),IF(Y990='Historical Score'!$C$7,1,0),0)</f>
        <v/>
      </c>
      <c r="AT990">
        <f>IF(AND(K990&lt;&gt;"",'Historical Score'!$C$8&lt;&gt;""),IF(K990='Historical Score'!$C$8,1,0),0)</f>
        <v/>
      </c>
      <c r="AU990">
        <f>IF(AND(J990&lt;&gt;"",'Historical Score'!$C$9&lt;&gt;""),IF(J990='Historical Score'!$C$9,1,0),0)</f>
        <v/>
      </c>
      <c r="AV990">
        <f>AR990*AS990*AQ990</f>
        <v/>
      </c>
      <c r="AW990">
        <f>AR990*AT990*AQ990</f>
        <v/>
      </c>
      <c r="AX990">
        <f>AR990*AS990</f>
        <v/>
      </c>
      <c r="AY990">
        <f>AR990*AT990</f>
        <v/>
      </c>
      <c r="AZ990">
        <f>AR990*AQ990</f>
        <v/>
      </c>
      <c r="BA990">
        <f>AR990</f>
        <v/>
      </c>
      <c r="BB990">
        <f>1</f>
        <v/>
      </c>
      <c r="BC990">
        <f>IF(AV990=1,1,IF(AW990=1,2,IF(AX990=1,3,IF(AY990=1,4,IF(AZ990=1,5,IF(BA990=1,6,7))))))</f>
        <v/>
      </c>
      <c r="BD990">
        <f>IF(AD990=1,CHOOSE('Historical Score'!$C$29,AV990,AW990,AX990,AY990,AZ990,BA990,BB990),0)</f>
        <v/>
      </c>
      <c r="BE990">
        <f>IF(BD990=1,COUNTIF($BD$2:BD990,1),"")</f>
        <v/>
      </c>
    </row>
    <row r="991">
      <c r="A991" t="inlineStr">
        <is>
          <t>5674186372</t>
        </is>
      </c>
      <c r="B991" t="inlineStr">
        <is>
          <t>SST Brands</t>
        </is>
      </c>
      <c r="C991" t="inlineStr">
        <is>
          <t>Heads Up Headcare LLC</t>
        </is>
      </c>
      <c r="D991" t="inlineStr">
        <is>
          <t>Open</t>
        </is>
      </c>
      <c r="E991" s="297" t="n">
        <v>46203</v>
      </c>
      <c r="F991" s="297" t="n">
        <v>46251</v>
      </c>
      <c r="G991" t="n">
        <v>3</v>
      </c>
      <c r="H991" t="inlineStr">
        <is>
          <t>5999</t>
        </is>
      </c>
      <c r="I991" t="inlineStr">
        <is>
          <t>59</t>
        </is>
      </c>
      <c r="J991" t="inlineStr">
        <is>
          <t>NJ</t>
        </is>
      </c>
      <c r="K991" t="inlineStr">
        <is>
          <t>YM ventures</t>
        </is>
      </c>
      <c r="L991" t="inlineStr">
        <is>
          <t>Renewal</t>
        </is>
      </c>
      <c r="M991" s="298" t="n">
        <v>1.49</v>
      </c>
      <c r="N991" s="299" t="n">
        <v>235000</v>
      </c>
      <c r="O991" s="299" t="n">
        <v>30550</v>
      </c>
      <c r="P991" s="299" t="n">
        <v>350150</v>
      </c>
      <c r="Q991" s="299" t="n">
        <v>36168.32</v>
      </c>
      <c r="R991" s="299" t="n">
        <v>313981.68</v>
      </c>
      <c r="S991" s="300" t="n">
        <v>0.10329378837641</v>
      </c>
      <c r="T991" t="n">
        <v>46</v>
      </c>
      <c r="U991" t="n">
        <v>0</v>
      </c>
      <c r="V991" t="n">
        <v>640003.17</v>
      </c>
      <c r="W991" s="300" t="n">
        <v>0.1016</v>
      </c>
      <c r="X991" s="297" t="n">
        <v>40087</v>
      </c>
      <c r="Y991">
        <f>IF(I991="","No SIC",IFERROR(VLOOKUP(I991,Ref!$A$2:$B$65,2,FALSE),"Unclassified"))</f>
        <v/>
      </c>
      <c r="Z991">
        <f>IF(T991="","",IF(T991&lt;12,"Daily","Weekly"))</f>
        <v/>
      </c>
      <c r="AA991">
        <f>IF(T991="",0,IF(T991&lt;12,T991*Controls!$B$29,T991*5))</f>
        <v/>
      </c>
      <c r="AB991">
        <f>IF(E991="",0,NETWORKDAYS(E991,Controls!$B$36,Ref!$K$2:$K$42))</f>
        <v/>
      </c>
      <c r="AC991">
        <f>IF(AND(AA991&gt;0,AB991&gt;=Controls!$B$39*AA991),1,0)</f>
        <v/>
      </c>
      <c r="AD991">
        <f>IF(AND(E991&lt;&gt;"",E991&gt;=Controls!$B$37,E991&lt;=Controls!$B$38),1,0)</f>
        <v/>
      </c>
      <c r="AE991">
        <f>IF(IFERROR(VLOOKUP(D991,Controls!$A$64:$E$74,2,FALSE),"No")="Yes",1,0)</f>
        <v/>
      </c>
      <c r="AF991">
        <f>IF(IFERROR(VLOOKUP(D991,Controls!$A$64:$E$74,3,FALSE),"No")="Yes",1,0)</f>
        <v/>
      </c>
      <c r="AG991">
        <f>IF(IFERROR(VLOOKUP(D991,Controls!$A$64:$E$74,4,FALSE),"No")="Yes",1,0)</f>
        <v/>
      </c>
      <c r="AH991">
        <f>IF(IFERROR(VLOOKUP(D991,Controls!$A$64:$E$74,5,FALSE),"No")="Yes",1,0)</f>
        <v/>
      </c>
      <c r="AI991">
        <f>IF(ISNUMBER(MATCH(D991,Controls!$A$64:$A$74,0)),1,0)</f>
        <v/>
      </c>
      <c r="AJ991">
        <f>Q991-N991</f>
        <v/>
      </c>
      <c r="AK991">
        <f>IF(AE991=1,MAX(0,N991-Q991),0)</f>
        <v/>
      </c>
      <c r="AL991">
        <f>IF(OR(V991="",V991=0),0,N991/V991)</f>
        <v/>
      </c>
      <c r="AM991">
        <f>IF(OR(V991="",V991=0),0,1)</f>
        <v/>
      </c>
      <c r="AN991">
        <f>IF(OR(E991="",F991=""),0,NETWORKDAYS(E991,F991,Ref!$K$2:$K$42))</f>
        <v/>
      </c>
      <c r="AO991">
        <f>IF(L991="Renewal",1,0)</f>
        <v/>
      </c>
      <c r="AP991">
        <f>AC991*AD991</f>
        <v/>
      </c>
      <c r="AQ991">
        <f>IF(AND(G991&lt;&gt;"",'Historical Score'!$C$6&lt;&gt;""),IF(G991='Historical Score'!$C$6,1,0),0)</f>
        <v/>
      </c>
      <c r="AR991">
        <f>IF(AND(L991&lt;&gt;"",'Historical Score'!$C$5&lt;&gt;""),IF(L991='Historical Score'!$C$5,1,0),0)</f>
        <v/>
      </c>
      <c r="AS991">
        <f>IF(AND(Y991&lt;&gt;"",'Historical Score'!$C$7&lt;&gt;""),IF(Y991='Historical Score'!$C$7,1,0),0)</f>
        <v/>
      </c>
      <c r="AT991">
        <f>IF(AND(K991&lt;&gt;"",'Historical Score'!$C$8&lt;&gt;""),IF(K991='Historical Score'!$C$8,1,0),0)</f>
        <v/>
      </c>
      <c r="AU991">
        <f>IF(AND(J991&lt;&gt;"",'Historical Score'!$C$9&lt;&gt;""),IF(J991='Historical Score'!$C$9,1,0),0)</f>
        <v/>
      </c>
      <c r="AV991">
        <f>AR991*AS991*AQ991</f>
        <v/>
      </c>
      <c r="AW991">
        <f>AR991*AT991*AQ991</f>
        <v/>
      </c>
      <c r="AX991">
        <f>AR991*AS991</f>
        <v/>
      </c>
      <c r="AY991">
        <f>AR991*AT991</f>
        <v/>
      </c>
      <c r="AZ991">
        <f>AR991*AQ991</f>
        <v/>
      </c>
      <c r="BA991">
        <f>AR991</f>
        <v/>
      </c>
      <c r="BB991">
        <f>1</f>
        <v/>
      </c>
      <c r="BC991">
        <f>IF(AV991=1,1,IF(AW991=1,2,IF(AX991=1,3,IF(AY991=1,4,IF(AZ991=1,5,IF(BA991=1,6,7))))))</f>
        <v/>
      </c>
      <c r="BD991">
        <f>IF(AD991=1,CHOOSE('Historical Score'!$C$29,AV991,AW991,AX991,AY991,AZ991,BA991,BB991),0)</f>
        <v/>
      </c>
      <c r="BE991">
        <f>IF(BD991=1,COUNTIF($BD$2:BD991,1),"")</f>
        <v/>
      </c>
    </row>
    <row r="992">
      <c r="A992" t="inlineStr">
        <is>
          <t>5674186382</t>
        </is>
      </c>
      <c r="B992" t="inlineStr">
        <is>
          <t>Golden Stream Media LLC</t>
        </is>
      </c>
      <c r="C992" t="inlineStr">
        <is>
          <t>Golden Stream Media LLC</t>
        </is>
      </c>
      <c r="D992" t="inlineStr">
        <is>
          <t>Open</t>
        </is>
      </c>
      <c r="E992" s="297" t="n">
        <v>46203</v>
      </c>
      <c r="F992" s="297" t="n">
        <v>46248</v>
      </c>
      <c r="G992" t="n">
        <v>3</v>
      </c>
      <c r="H992" t="inlineStr">
        <is>
          <t>7311</t>
        </is>
      </c>
      <c r="I992" t="inlineStr">
        <is>
          <t>73</t>
        </is>
      </c>
      <c r="J992" t="inlineStr">
        <is>
          <t>FL</t>
        </is>
      </c>
      <c r="K992" t="inlineStr">
        <is>
          <t>Capfront Funding</t>
        </is>
      </c>
      <c r="L992" t="inlineStr">
        <is>
          <t>New Deal</t>
        </is>
      </c>
      <c r="M992" s="298" t="n">
        <v>1.39</v>
      </c>
      <c r="N992" s="299" t="n">
        <v>10000</v>
      </c>
      <c r="O992" s="299" t="n">
        <v>900</v>
      </c>
      <c r="P992" s="299" t="n">
        <v>13900</v>
      </c>
      <c r="Q992" s="299" t="n">
        <v>4863.95</v>
      </c>
      <c r="R992" s="299" t="n">
        <v>9036.049999999999</v>
      </c>
      <c r="S992" s="300" t="n">
        <v>0.349924460431655</v>
      </c>
      <c r="T992" t="n">
        <v>20</v>
      </c>
      <c r="U992" t="n">
        <v>0</v>
      </c>
      <c r="V992" t="n">
        <v>36002.37</v>
      </c>
      <c r="W992" s="300" t="n">
        <v>0.0772</v>
      </c>
      <c r="X992" s="297" t="n">
        <v>44096</v>
      </c>
      <c r="Y992">
        <f>IF(I992="","No SIC",IFERROR(VLOOKUP(I992,Ref!$A$2:$B$65,2,FALSE),"Unclassified"))</f>
        <v/>
      </c>
      <c r="Z992">
        <f>IF(T992="","",IF(T992&lt;12,"Daily","Weekly"))</f>
        <v/>
      </c>
      <c r="AA992">
        <f>IF(T992="",0,IF(T992&lt;12,T992*Controls!$B$29,T992*5))</f>
        <v/>
      </c>
      <c r="AB992">
        <f>IF(E992="",0,NETWORKDAYS(E992,Controls!$B$36,Ref!$K$2:$K$42))</f>
        <v/>
      </c>
      <c r="AC992">
        <f>IF(AND(AA992&gt;0,AB992&gt;=Controls!$B$39*AA992),1,0)</f>
        <v/>
      </c>
      <c r="AD992">
        <f>IF(AND(E992&lt;&gt;"",E992&gt;=Controls!$B$37,E992&lt;=Controls!$B$38),1,0)</f>
        <v/>
      </c>
      <c r="AE992">
        <f>IF(IFERROR(VLOOKUP(D992,Controls!$A$64:$E$74,2,FALSE),"No")="Yes",1,0)</f>
        <v/>
      </c>
      <c r="AF992">
        <f>IF(IFERROR(VLOOKUP(D992,Controls!$A$64:$E$74,3,FALSE),"No")="Yes",1,0)</f>
        <v/>
      </c>
      <c r="AG992">
        <f>IF(IFERROR(VLOOKUP(D992,Controls!$A$64:$E$74,4,FALSE),"No")="Yes",1,0)</f>
        <v/>
      </c>
      <c r="AH992">
        <f>IF(IFERROR(VLOOKUP(D992,Controls!$A$64:$E$74,5,FALSE),"No")="Yes",1,0)</f>
        <v/>
      </c>
      <c r="AI992">
        <f>IF(ISNUMBER(MATCH(D992,Controls!$A$64:$A$74,0)),1,0)</f>
        <v/>
      </c>
      <c r="AJ992">
        <f>Q992-N992</f>
        <v/>
      </c>
      <c r="AK992">
        <f>IF(AE992=1,MAX(0,N992-Q992),0)</f>
        <v/>
      </c>
      <c r="AL992">
        <f>IF(OR(V992="",V992=0),0,N992/V992)</f>
        <v/>
      </c>
      <c r="AM992">
        <f>IF(OR(V992="",V992=0),0,1)</f>
        <v/>
      </c>
      <c r="AN992">
        <f>IF(OR(E992="",F992=""),0,NETWORKDAYS(E992,F992,Ref!$K$2:$K$42))</f>
        <v/>
      </c>
      <c r="AO992">
        <f>IF(L992="Renewal",1,0)</f>
        <v/>
      </c>
      <c r="AP992">
        <f>AC992*AD992</f>
        <v/>
      </c>
      <c r="AQ992">
        <f>IF(AND(G992&lt;&gt;"",'Historical Score'!$C$6&lt;&gt;""),IF(G992='Historical Score'!$C$6,1,0),0)</f>
        <v/>
      </c>
      <c r="AR992">
        <f>IF(AND(L992&lt;&gt;"",'Historical Score'!$C$5&lt;&gt;""),IF(L992='Historical Score'!$C$5,1,0),0)</f>
        <v/>
      </c>
      <c r="AS992">
        <f>IF(AND(Y992&lt;&gt;"",'Historical Score'!$C$7&lt;&gt;""),IF(Y992='Historical Score'!$C$7,1,0),0)</f>
        <v/>
      </c>
      <c r="AT992">
        <f>IF(AND(K992&lt;&gt;"",'Historical Score'!$C$8&lt;&gt;""),IF(K992='Historical Score'!$C$8,1,0),0)</f>
        <v/>
      </c>
      <c r="AU992">
        <f>IF(AND(J992&lt;&gt;"",'Historical Score'!$C$9&lt;&gt;""),IF(J992='Historical Score'!$C$9,1,0),0)</f>
        <v/>
      </c>
      <c r="AV992">
        <f>AR992*AS992*AQ992</f>
        <v/>
      </c>
      <c r="AW992">
        <f>AR992*AT992*AQ992</f>
        <v/>
      </c>
      <c r="AX992">
        <f>AR992*AS992</f>
        <v/>
      </c>
      <c r="AY992">
        <f>AR992*AT992</f>
        <v/>
      </c>
      <c r="AZ992">
        <f>AR992*AQ992</f>
        <v/>
      </c>
      <c r="BA992">
        <f>AR992</f>
        <v/>
      </c>
      <c r="BB992">
        <f>1</f>
        <v/>
      </c>
      <c r="BC992">
        <f>IF(AV992=1,1,IF(AW992=1,2,IF(AX992=1,3,IF(AY992=1,4,IF(AZ992=1,5,IF(BA992=1,6,7))))))</f>
        <v/>
      </c>
      <c r="BD992">
        <f>IF(AD992=1,CHOOSE('Historical Score'!$C$29,AV992,AW992,AX992,AY992,AZ992,BA992,BB992),0)</f>
        <v/>
      </c>
      <c r="BE992">
        <f>IF(BD992=1,COUNTIF($BD$2:BD992,1),"")</f>
        <v/>
      </c>
    </row>
    <row r="993">
      <c r="A993" t="inlineStr">
        <is>
          <t>5674186416</t>
        </is>
      </c>
      <c r="B993" t="inlineStr">
        <is>
          <t>BE WELLNESS DBA DUBOIS DRUG AND WELLNESS DBA WILLIAM DRAHUSHAK SOLE MBR</t>
        </is>
      </c>
      <c r="C993" t="inlineStr">
        <is>
          <t>BE Wellness Inc</t>
        </is>
      </c>
      <c r="D993" t="inlineStr">
        <is>
          <t>Open</t>
        </is>
      </c>
      <c r="E993" s="297" t="n">
        <v>46203</v>
      </c>
      <c r="F993" s="297" t="n">
        <v>46253</v>
      </c>
      <c r="G993" t="n">
        <v>3</v>
      </c>
      <c r="H993" t="inlineStr">
        <is>
          <t>2834</t>
        </is>
      </c>
      <c r="I993" t="inlineStr">
        <is>
          <t>28</t>
        </is>
      </c>
      <c r="J993" t="inlineStr">
        <is>
          <t>PA</t>
        </is>
      </c>
      <c r="K993" t="inlineStr">
        <is>
          <t>TRUSTFI</t>
        </is>
      </c>
      <c r="L993" t="inlineStr">
        <is>
          <t>New Deal</t>
        </is>
      </c>
      <c r="M993" s="298" t="n">
        <v>1.43</v>
      </c>
      <c r="N993" s="299" t="n">
        <v>110000</v>
      </c>
      <c r="O993" s="299" t="n">
        <v>12100</v>
      </c>
      <c r="P993" s="299" t="n">
        <v>157300</v>
      </c>
      <c r="Q993" s="299" t="n">
        <v>19305.89</v>
      </c>
      <c r="R993" s="299" t="n">
        <v>137994.11</v>
      </c>
      <c r="S993" s="300" t="n">
        <v>0.122732930705658</v>
      </c>
      <c r="T993" t="n">
        <v>44</v>
      </c>
      <c r="U993" t="n">
        <v>1</v>
      </c>
      <c r="V993" t="n">
        <v>276075.27</v>
      </c>
      <c r="W993" s="300" t="n">
        <v>0.0518</v>
      </c>
      <c r="X993" s="297" t="n">
        <v>39056</v>
      </c>
      <c r="Y993">
        <f>IF(I993="","No SIC",IFERROR(VLOOKUP(I993,Ref!$A$2:$B$65,2,FALSE),"Unclassified"))</f>
        <v/>
      </c>
      <c r="Z993">
        <f>IF(T993="","",IF(T993&lt;12,"Daily","Weekly"))</f>
        <v/>
      </c>
      <c r="AA993">
        <f>IF(T993="",0,IF(T993&lt;12,T993*Controls!$B$29,T993*5))</f>
        <v/>
      </c>
      <c r="AB993">
        <f>IF(E993="",0,NETWORKDAYS(E993,Controls!$B$36,Ref!$K$2:$K$42))</f>
        <v/>
      </c>
      <c r="AC993">
        <f>IF(AND(AA993&gt;0,AB993&gt;=Controls!$B$39*AA993),1,0)</f>
        <v/>
      </c>
      <c r="AD993">
        <f>IF(AND(E993&lt;&gt;"",E993&gt;=Controls!$B$37,E993&lt;=Controls!$B$38),1,0)</f>
        <v/>
      </c>
      <c r="AE993">
        <f>IF(IFERROR(VLOOKUP(D993,Controls!$A$64:$E$74,2,FALSE),"No")="Yes",1,0)</f>
        <v/>
      </c>
      <c r="AF993">
        <f>IF(IFERROR(VLOOKUP(D993,Controls!$A$64:$E$74,3,FALSE),"No")="Yes",1,0)</f>
        <v/>
      </c>
      <c r="AG993">
        <f>IF(IFERROR(VLOOKUP(D993,Controls!$A$64:$E$74,4,FALSE),"No")="Yes",1,0)</f>
        <v/>
      </c>
      <c r="AH993">
        <f>IF(IFERROR(VLOOKUP(D993,Controls!$A$64:$E$74,5,FALSE),"No")="Yes",1,0)</f>
        <v/>
      </c>
      <c r="AI993">
        <f>IF(ISNUMBER(MATCH(D993,Controls!$A$64:$A$74,0)),1,0)</f>
        <v/>
      </c>
      <c r="AJ993">
        <f>Q993-N993</f>
        <v/>
      </c>
      <c r="AK993">
        <f>IF(AE993=1,MAX(0,N993-Q993),0)</f>
        <v/>
      </c>
      <c r="AL993">
        <f>IF(OR(V993="",V993=0),0,N993/V993)</f>
        <v/>
      </c>
      <c r="AM993">
        <f>IF(OR(V993="",V993=0),0,1)</f>
        <v/>
      </c>
      <c r="AN993">
        <f>IF(OR(E993="",F993=""),0,NETWORKDAYS(E993,F993,Ref!$K$2:$K$42))</f>
        <v/>
      </c>
      <c r="AO993">
        <f>IF(L993="Renewal",1,0)</f>
        <v/>
      </c>
      <c r="AP993">
        <f>AC993*AD993</f>
        <v/>
      </c>
      <c r="AQ993">
        <f>IF(AND(G993&lt;&gt;"",'Historical Score'!$C$6&lt;&gt;""),IF(G993='Historical Score'!$C$6,1,0),0)</f>
        <v/>
      </c>
      <c r="AR993">
        <f>IF(AND(L993&lt;&gt;"",'Historical Score'!$C$5&lt;&gt;""),IF(L993='Historical Score'!$C$5,1,0),0)</f>
        <v/>
      </c>
      <c r="AS993">
        <f>IF(AND(Y993&lt;&gt;"",'Historical Score'!$C$7&lt;&gt;""),IF(Y993='Historical Score'!$C$7,1,0),0)</f>
        <v/>
      </c>
      <c r="AT993">
        <f>IF(AND(K993&lt;&gt;"",'Historical Score'!$C$8&lt;&gt;""),IF(K993='Historical Score'!$C$8,1,0),0)</f>
        <v/>
      </c>
      <c r="AU993">
        <f>IF(AND(J993&lt;&gt;"",'Historical Score'!$C$9&lt;&gt;""),IF(J993='Historical Score'!$C$9,1,0),0)</f>
        <v/>
      </c>
      <c r="AV993">
        <f>AR993*AS993*AQ993</f>
        <v/>
      </c>
      <c r="AW993">
        <f>AR993*AT993*AQ993</f>
        <v/>
      </c>
      <c r="AX993">
        <f>AR993*AS993</f>
        <v/>
      </c>
      <c r="AY993">
        <f>AR993*AT993</f>
        <v/>
      </c>
      <c r="AZ993">
        <f>AR993*AQ993</f>
        <v/>
      </c>
      <c r="BA993">
        <f>AR993</f>
        <v/>
      </c>
      <c r="BB993">
        <f>1</f>
        <v/>
      </c>
      <c r="BC993">
        <f>IF(AV993=1,1,IF(AW993=1,2,IF(AX993=1,3,IF(AY993=1,4,IF(AZ993=1,5,IF(BA993=1,6,7))))))</f>
        <v/>
      </c>
      <c r="BD993">
        <f>IF(AD993=1,CHOOSE('Historical Score'!$C$29,AV993,AW993,AX993,AY993,AZ993,BA993,BB993),0)</f>
        <v/>
      </c>
      <c r="BE993">
        <f>IF(BD993=1,COUNTIF($BD$2:BD993,1),"")</f>
        <v/>
      </c>
    </row>
    <row r="994">
      <c r="A994" t="inlineStr">
        <is>
          <t>5674186419</t>
        </is>
      </c>
      <c r="B994" t="inlineStr">
        <is>
          <t>FRANCHISE MEALS</t>
        </is>
      </c>
      <c r="C994" t="inlineStr">
        <is>
          <t>FRANCHISE MEALS LLC</t>
        </is>
      </c>
      <c r="D994" t="inlineStr">
        <is>
          <t>Open</t>
        </is>
      </c>
      <c r="E994" s="297" t="n">
        <v>46203</v>
      </c>
      <c r="F994" s="297" t="n">
        <v>46253</v>
      </c>
      <c r="G994" t="n">
        <v>3</v>
      </c>
      <c r="H994" t="inlineStr">
        <is>
          <t>5812</t>
        </is>
      </c>
      <c r="I994" t="inlineStr">
        <is>
          <t>58</t>
        </is>
      </c>
      <c r="J994" t="inlineStr">
        <is>
          <t>MO</t>
        </is>
      </c>
      <c r="K994" t="inlineStr">
        <is>
          <t>Westwood</t>
        </is>
      </c>
      <c r="L994" t="inlineStr">
        <is>
          <t>New Deal</t>
        </is>
      </c>
      <c r="M994" s="298" t="n">
        <v>1.49</v>
      </c>
      <c r="N994" s="299" t="n">
        <v>20000</v>
      </c>
      <c r="O994" s="299" t="n">
        <v>2800</v>
      </c>
      <c r="P994" s="299" t="n">
        <v>29800</v>
      </c>
      <c r="Q994" s="299" t="n">
        <v>3228.07</v>
      </c>
      <c r="R994" s="299" t="n">
        <v>26571.93</v>
      </c>
      <c r="S994" s="300" t="n">
        <v>0.108324496644295</v>
      </c>
      <c r="T994" t="n">
        <v>24</v>
      </c>
      <c r="U994" t="n">
        <v>5</v>
      </c>
      <c r="V994" t="n">
        <v>29008.61</v>
      </c>
      <c r="W994" s="300" t="n">
        <v>0.1712</v>
      </c>
      <c r="X994" s="297" t="n">
        <v>44187</v>
      </c>
      <c r="Y994">
        <f>IF(I994="","No SIC",IFERROR(VLOOKUP(I994,Ref!$A$2:$B$65,2,FALSE),"Unclassified"))</f>
        <v/>
      </c>
      <c r="Z994">
        <f>IF(T994="","",IF(T994&lt;12,"Daily","Weekly"))</f>
        <v/>
      </c>
      <c r="AA994">
        <f>IF(T994="",0,IF(T994&lt;12,T994*Controls!$B$29,T994*5))</f>
        <v/>
      </c>
      <c r="AB994">
        <f>IF(E994="",0,NETWORKDAYS(E994,Controls!$B$36,Ref!$K$2:$K$42))</f>
        <v/>
      </c>
      <c r="AC994">
        <f>IF(AND(AA994&gt;0,AB994&gt;=Controls!$B$39*AA994),1,0)</f>
        <v/>
      </c>
      <c r="AD994">
        <f>IF(AND(E994&lt;&gt;"",E994&gt;=Controls!$B$37,E994&lt;=Controls!$B$38),1,0)</f>
        <v/>
      </c>
      <c r="AE994">
        <f>IF(IFERROR(VLOOKUP(D994,Controls!$A$64:$E$74,2,FALSE),"No")="Yes",1,0)</f>
        <v/>
      </c>
      <c r="AF994">
        <f>IF(IFERROR(VLOOKUP(D994,Controls!$A$64:$E$74,3,FALSE),"No")="Yes",1,0)</f>
        <v/>
      </c>
      <c r="AG994">
        <f>IF(IFERROR(VLOOKUP(D994,Controls!$A$64:$E$74,4,FALSE),"No")="Yes",1,0)</f>
        <v/>
      </c>
      <c r="AH994">
        <f>IF(IFERROR(VLOOKUP(D994,Controls!$A$64:$E$74,5,FALSE),"No")="Yes",1,0)</f>
        <v/>
      </c>
      <c r="AI994">
        <f>IF(ISNUMBER(MATCH(D994,Controls!$A$64:$A$74,0)),1,0)</f>
        <v/>
      </c>
      <c r="AJ994">
        <f>Q994-N994</f>
        <v/>
      </c>
      <c r="AK994">
        <f>IF(AE994=1,MAX(0,N994-Q994),0)</f>
        <v/>
      </c>
      <c r="AL994">
        <f>IF(OR(V994="",V994=0),0,N994/V994)</f>
        <v/>
      </c>
      <c r="AM994">
        <f>IF(OR(V994="",V994=0),0,1)</f>
        <v/>
      </c>
      <c r="AN994">
        <f>IF(OR(E994="",F994=""),0,NETWORKDAYS(E994,F994,Ref!$K$2:$K$42))</f>
        <v/>
      </c>
      <c r="AO994">
        <f>IF(L994="Renewal",1,0)</f>
        <v/>
      </c>
      <c r="AP994">
        <f>AC994*AD994</f>
        <v/>
      </c>
      <c r="AQ994">
        <f>IF(AND(G994&lt;&gt;"",'Historical Score'!$C$6&lt;&gt;""),IF(G994='Historical Score'!$C$6,1,0),0)</f>
        <v/>
      </c>
      <c r="AR994">
        <f>IF(AND(L994&lt;&gt;"",'Historical Score'!$C$5&lt;&gt;""),IF(L994='Historical Score'!$C$5,1,0),0)</f>
        <v/>
      </c>
      <c r="AS994">
        <f>IF(AND(Y994&lt;&gt;"",'Historical Score'!$C$7&lt;&gt;""),IF(Y994='Historical Score'!$C$7,1,0),0)</f>
        <v/>
      </c>
      <c r="AT994">
        <f>IF(AND(K994&lt;&gt;"",'Historical Score'!$C$8&lt;&gt;""),IF(K994='Historical Score'!$C$8,1,0),0)</f>
        <v/>
      </c>
      <c r="AU994">
        <f>IF(AND(J994&lt;&gt;"",'Historical Score'!$C$9&lt;&gt;""),IF(J994='Historical Score'!$C$9,1,0),0)</f>
        <v/>
      </c>
      <c r="AV994">
        <f>AR994*AS994*AQ994</f>
        <v/>
      </c>
      <c r="AW994">
        <f>AR994*AT994*AQ994</f>
        <v/>
      </c>
      <c r="AX994">
        <f>AR994*AS994</f>
        <v/>
      </c>
      <c r="AY994">
        <f>AR994*AT994</f>
        <v/>
      </c>
      <c r="AZ994">
        <f>AR994*AQ994</f>
        <v/>
      </c>
      <c r="BA994">
        <f>AR994</f>
        <v/>
      </c>
      <c r="BB994">
        <f>1</f>
        <v/>
      </c>
      <c r="BC994">
        <f>IF(AV994=1,1,IF(AW994=1,2,IF(AX994=1,3,IF(AY994=1,4,IF(AZ994=1,5,IF(BA994=1,6,7))))))</f>
        <v/>
      </c>
      <c r="BD994">
        <f>IF(AD994=1,CHOOSE('Historical Score'!$C$29,AV994,AW994,AX994,AY994,AZ994,BA994,BB994),0)</f>
        <v/>
      </c>
      <c r="BE994">
        <f>IF(BD994=1,COUNTIF($BD$2:BD994,1),"")</f>
        <v/>
      </c>
    </row>
    <row r="995">
      <c r="A995" t="inlineStr">
        <is>
          <t>5674186483</t>
        </is>
      </c>
      <c r="B995" t="inlineStr">
        <is>
          <t>TACOS MADRE KITCHEN &amp; CANTINA</t>
        </is>
      </c>
      <c r="C995" t="inlineStr">
        <is>
          <t>Tacos Madre Kitchen &amp; Cantina LLC</t>
        </is>
      </c>
      <c r="D995" t="inlineStr">
        <is>
          <t>Open</t>
        </is>
      </c>
      <c r="E995" s="297" t="n">
        <v>46204</v>
      </c>
      <c r="F995" s="297" t="n">
        <v>46248</v>
      </c>
      <c r="G995" t="n">
        <v>3</v>
      </c>
      <c r="H995" t="inlineStr">
        <is>
          <t>5812</t>
        </is>
      </c>
      <c r="I995" t="inlineStr">
        <is>
          <t>58</t>
        </is>
      </c>
      <c r="J995" t="inlineStr">
        <is>
          <t>CA</t>
        </is>
      </c>
      <c r="K995" t="inlineStr">
        <is>
          <t>National Business Capital</t>
        </is>
      </c>
      <c r="L995" t="inlineStr">
        <is>
          <t>New Deal</t>
        </is>
      </c>
      <c r="M995" s="298" t="n">
        <v>1.45</v>
      </c>
      <c r="N995" s="299" t="n">
        <v>20000</v>
      </c>
      <c r="O995" s="299" t="n">
        <v>2400</v>
      </c>
      <c r="P995" s="299" t="n">
        <v>29000</v>
      </c>
      <c r="Q995" s="299" t="n">
        <v>6960</v>
      </c>
      <c r="R995" s="299" t="n">
        <v>22040</v>
      </c>
      <c r="S995" s="300" t="n">
        <v>0.24</v>
      </c>
      <c r="T995" t="n">
        <v>25</v>
      </c>
      <c r="U995" t="n">
        <v>0</v>
      </c>
      <c r="V995" t="n">
        <v>184402.29</v>
      </c>
      <c r="W995" s="300" t="n">
        <v>0.03</v>
      </c>
      <c r="X995" s="297" t="n">
        <v>45190</v>
      </c>
      <c r="Y995">
        <f>IF(I995="","No SIC",IFERROR(VLOOKUP(I995,Ref!$A$2:$B$65,2,FALSE),"Unclassified"))</f>
        <v/>
      </c>
      <c r="Z995">
        <f>IF(T995="","",IF(T995&lt;12,"Daily","Weekly"))</f>
        <v/>
      </c>
      <c r="AA995">
        <f>IF(T995="",0,IF(T995&lt;12,T995*Controls!$B$29,T995*5))</f>
        <v/>
      </c>
      <c r="AB995">
        <f>IF(E995="",0,NETWORKDAYS(E995,Controls!$B$36,Ref!$K$2:$K$42))</f>
        <v/>
      </c>
      <c r="AC995">
        <f>IF(AND(AA995&gt;0,AB995&gt;=Controls!$B$39*AA995),1,0)</f>
        <v/>
      </c>
      <c r="AD995">
        <f>IF(AND(E995&lt;&gt;"",E995&gt;=Controls!$B$37,E995&lt;=Controls!$B$38),1,0)</f>
        <v/>
      </c>
      <c r="AE995">
        <f>IF(IFERROR(VLOOKUP(D995,Controls!$A$64:$E$74,2,FALSE),"No")="Yes",1,0)</f>
        <v/>
      </c>
      <c r="AF995">
        <f>IF(IFERROR(VLOOKUP(D995,Controls!$A$64:$E$74,3,FALSE),"No")="Yes",1,0)</f>
        <v/>
      </c>
      <c r="AG995">
        <f>IF(IFERROR(VLOOKUP(D995,Controls!$A$64:$E$74,4,FALSE),"No")="Yes",1,0)</f>
        <v/>
      </c>
      <c r="AH995">
        <f>IF(IFERROR(VLOOKUP(D995,Controls!$A$64:$E$74,5,FALSE),"No")="Yes",1,0)</f>
        <v/>
      </c>
      <c r="AI995">
        <f>IF(ISNUMBER(MATCH(D995,Controls!$A$64:$A$74,0)),1,0)</f>
        <v/>
      </c>
      <c r="AJ995">
        <f>Q995-N995</f>
        <v/>
      </c>
      <c r="AK995">
        <f>IF(AE995=1,MAX(0,N995-Q995),0)</f>
        <v/>
      </c>
      <c r="AL995">
        <f>IF(OR(V995="",V995=0),0,N995/V995)</f>
        <v/>
      </c>
      <c r="AM995">
        <f>IF(OR(V995="",V995=0),0,1)</f>
        <v/>
      </c>
      <c r="AN995">
        <f>IF(OR(E995="",F995=""),0,NETWORKDAYS(E995,F995,Ref!$K$2:$K$42))</f>
        <v/>
      </c>
      <c r="AO995">
        <f>IF(L995="Renewal",1,0)</f>
        <v/>
      </c>
      <c r="AP995">
        <f>AC995*AD995</f>
        <v/>
      </c>
      <c r="AQ995">
        <f>IF(AND(G995&lt;&gt;"",'Historical Score'!$C$6&lt;&gt;""),IF(G995='Historical Score'!$C$6,1,0),0)</f>
        <v/>
      </c>
      <c r="AR995">
        <f>IF(AND(L995&lt;&gt;"",'Historical Score'!$C$5&lt;&gt;""),IF(L995='Historical Score'!$C$5,1,0),0)</f>
        <v/>
      </c>
      <c r="AS995">
        <f>IF(AND(Y995&lt;&gt;"",'Historical Score'!$C$7&lt;&gt;""),IF(Y995='Historical Score'!$C$7,1,0),0)</f>
        <v/>
      </c>
      <c r="AT995">
        <f>IF(AND(K995&lt;&gt;"",'Historical Score'!$C$8&lt;&gt;""),IF(K995='Historical Score'!$C$8,1,0),0)</f>
        <v/>
      </c>
      <c r="AU995">
        <f>IF(AND(J995&lt;&gt;"",'Historical Score'!$C$9&lt;&gt;""),IF(J995='Historical Score'!$C$9,1,0),0)</f>
        <v/>
      </c>
      <c r="AV995">
        <f>AR995*AS995*AQ995</f>
        <v/>
      </c>
      <c r="AW995">
        <f>AR995*AT995*AQ995</f>
        <v/>
      </c>
      <c r="AX995">
        <f>AR995*AS995</f>
        <v/>
      </c>
      <c r="AY995">
        <f>AR995*AT995</f>
        <v/>
      </c>
      <c r="AZ995">
        <f>AR995*AQ995</f>
        <v/>
      </c>
      <c r="BA995">
        <f>AR995</f>
        <v/>
      </c>
      <c r="BB995">
        <f>1</f>
        <v/>
      </c>
      <c r="BC995">
        <f>IF(AV995=1,1,IF(AW995=1,2,IF(AX995=1,3,IF(AY995=1,4,IF(AZ995=1,5,IF(BA995=1,6,7))))))</f>
        <v/>
      </c>
      <c r="BD995">
        <f>IF(AD995=1,CHOOSE('Historical Score'!$C$29,AV995,AW995,AX995,AY995,AZ995,BA995,BB995),0)</f>
        <v/>
      </c>
      <c r="BE995">
        <f>IF(BD995=1,COUNTIF($BD$2:BD995,1),"")</f>
        <v/>
      </c>
    </row>
    <row r="996">
      <c r="A996" t="inlineStr">
        <is>
          <t>5674186487</t>
        </is>
      </c>
      <c r="B996" t="inlineStr">
        <is>
          <t>Doreesha Flavad Puurckles</t>
        </is>
      </c>
      <c r="C996" t="inlineStr">
        <is>
          <t>Doreesha Flavad Puurckles</t>
        </is>
      </c>
      <c r="D996" t="inlineStr">
        <is>
          <t>Open</t>
        </is>
      </c>
      <c r="E996" s="297" t="n">
        <v>46204</v>
      </c>
      <c r="F996" s="297" t="n">
        <v>46253</v>
      </c>
      <c r="G996" t="n">
        <v>3</v>
      </c>
      <c r="H996" t="inlineStr">
        <is>
          <t>5499</t>
        </is>
      </c>
      <c r="I996" t="inlineStr">
        <is>
          <t>54</t>
        </is>
      </c>
      <c r="J996" t="inlineStr">
        <is>
          <t>GA</t>
        </is>
      </c>
      <c r="K996" t="inlineStr">
        <is>
          <t>United Secured Capital 8</t>
        </is>
      </c>
      <c r="L996" t="inlineStr">
        <is>
          <t>New Deal</t>
        </is>
      </c>
      <c r="M996" s="298" t="n">
        <v>1.49</v>
      </c>
      <c r="N996" s="299" t="n">
        <v>25000</v>
      </c>
      <c r="O996" s="299" t="n">
        <v>3500</v>
      </c>
      <c r="P996" s="299" t="n">
        <v>37250</v>
      </c>
      <c r="Q996" s="299" t="n">
        <v>3725.23</v>
      </c>
      <c r="R996" s="299" t="n">
        <v>33524.77</v>
      </c>
      <c r="S996" s="300" t="n">
        <v>0.100006174496644</v>
      </c>
      <c r="T996" t="n">
        <v>20</v>
      </c>
      <c r="U996" t="n">
        <v>8</v>
      </c>
      <c r="V996" t="n">
        <v>30373.05</v>
      </c>
      <c r="W996" s="300" t="n">
        <v>0.2453</v>
      </c>
      <c r="X996" s="297" t="n">
        <v>44287</v>
      </c>
      <c r="Y996">
        <f>IF(I996="","No SIC",IFERROR(VLOOKUP(I996,Ref!$A$2:$B$65,2,FALSE),"Unclassified"))</f>
        <v/>
      </c>
      <c r="Z996">
        <f>IF(T996="","",IF(T996&lt;12,"Daily","Weekly"))</f>
        <v/>
      </c>
      <c r="AA996">
        <f>IF(T996="",0,IF(T996&lt;12,T996*Controls!$B$29,T996*5))</f>
        <v/>
      </c>
      <c r="AB996">
        <f>IF(E996="",0,NETWORKDAYS(E996,Controls!$B$36,Ref!$K$2:$K$42))</f>
        <v/>
      </c>
      <c r="AC996">
        <f>IF(AND(AA996&gt;0,AB996&gt;=Controls!$B$39*AA996),1,0)</f>
        <v/>
      </c>
      <c r="AD996">
        <f>IF(AND(E996&lt;&gt;"",E996&gt;=Controls!$B$37,E996&lt;=Controls!$B$38),1,0)</f>
        <v/>
      </c>
      <c r="AE996">
        <f>IF(IFERROR(VLOOKUP(D996,Controls!$A$64:$E$74,2,FALSE),"No")="Yes",1,0)</f>
        <v/>
      </c>
      <c r="AF996">
        <f>IF(IFERROR(VLOOKUP(D996,Controls!$A$64:$E$74,3,FALSE),"No")="Yes",1,0)</f>
        <v/>
      </c>
      <c r="AG996">
        <f>IF(IFERROR(VLOOKUP(D996,Controls!$A$64:$E$74,4,FALSE),"No")="Yes",1,0)</f>
        <v/>
      </c>
      <c r="AH996">
        <f>IF(IFERROR(VLOOKUP(D996,Controls!$A$64:$E$74,5,FALSE),"No")="Yes",1,0)</f>
        <v/>
      </c>
      <c r="AI996">
        <f>IF(ISNUMBER(MATCH(D996,Controls!$A$64:$A$74,0)),1,0)</f>
        <v/>
      </c>
      <c r="AJ996">
        <f>Q996-N996</f>
        <v/>
      </c>
      <c r="AK996">
        <f>IF(AE996=1,MAX(0,N996-Q996),0)</f>
        <v/>
      </c>
      <c r="AL996">
        <f>IF(OR(V996="",V996=0),0,N996/V996)</f>
        <v/>
      </c>
      <c r="AM996">
        <f>IF(OR(V996="",V996=0),0,1)</f>
        <v/>
      </c>
      <c r="AN996">
        <f>IF(OR(E996="",F996=""),0,NETWORKDAYS(E996,F996,Ref!$K$2:$K$42))</f>
        <v/>
      </c>
      <c r="AO996">
        <f>IF(L996="Renewal",1,0)</f>
        <v/>
      </c>
      <c r="AP996">
        <f>AC996*AD996</f>
        <v/>
      </c>
      <c r="AQ996">
        <f>IF(AND(G996&lt;&gt;"",'Historical Score'!$C$6&lt;&gt;""),IF(G996='Historical Score'!$C$6,1,0),0)</f>
        <v/>
      </c>
      <c r="AR996">
        <f>IF(AND(L996&lt;&gt;"",'Historical Score'!$C$5&lt;&gt;""),IF(L996='Historical Score'!$C$5,1,0),0)</f>
        <v/>
      </c>
      <c r="AS996">
        <f>IF(AND(Y996&lt;&gt;"",'Historical Score'!$C$7&lt;&gt;""),IF(Y996='Historical Score'!$C$7,1,0),0)</f>
        <v/>
      </c>
      <c r="AT996">
        <f>IF(AND(K996&lt;&gt;"",'Historical Score'!$C$8&lt;&gt;""),IF(K996='Historical Score'!$C$8,1,0),0)</f>
        <v/>
      </c>
      <c r="AU996">
        <f>IF(AND(J996&lt;&gt;"",'Historical Score'!$C$9&lt;&gt;""),IF(J996='Historical Score'!$C$9,1,0),0)</f>
        <v/>
      </c>
      <c r="AV996">
        <f>AR996*AS996*AQ996</f>
        <v/>
      </c>
      <c r="AW996">
        <f>AR996*AT996*AQ996</f>
        <v/>
      </c>
      <c r="AX996">
        <f>AR996*AS996</f>
        <v/>
      </c>
      <c r="AY996">
        <f>AR996*AT996</f>
        <v/>
      </c>
      <c r="AZ996">
        <f>AR996*AQ996</f>
        <v/>
      </c>
      <c r="BA996">
        <f>AR996</f>
        <v/>
      </c>
      <c r="BB996">
        <f>1</f>
        <v/>
      </c>
      <c r="BC996">
        <f>IF(AV996=1,1,IF(AW996=1,2,IF(AX996=1,3,IF(AY996=1,4,IF(AZ996=1,5,IF(BA996=1,6,7))))))</f>
        <v/>
      </c>
      <c r="BD996">
        <f>IF(AD996=1,CHOOSE('Historical Score'!$C$29,AV996,AW996,AX996,AY996,AZ996,BA996,BB996),0)</f>
        <v/>
      </c>
      <c r="BE996">
        <f>IF(BD996=1,COUNTIF($BD$2:BD996,1),"")</f>
        <v/>
      </c>
    </row>
    <row r="997">
      <c r="A997" t="inlineStr">
        <is>
          <t>5674186490</t>
        </is>
      </c>
      <c r="B997" t="inlineStr">
        <is>
          <t>TRANSGLOBAL CONCESSIONS</t>
        </is>
      </c>
      <c r="C997" t="inlineStr">
        <is>
          <t>Transglobal Concessions LLC</t>
        </is>
      </c>
      <c r="D997" t="inlineStr">
        <is>
          <t>Open</t>
        </is>
      </c>
      <c r="E997" s="297" t="n">
        <v>46204</v>
      </c>
      <c r="F997" s="297" t="n">
        <v>46251</v>
      </c>
      <c r="G997" t="n">
        <v>4</v>
      </c>
      <c r="H997" t="inlineStr">
        <is>
          <t>1522</t>
        </is>
      </c>
      <c r="I997" t="inlineStr">
        <is>
          <t>15</t>
        </is>
      </c>
      <c r="J997" t="inlineStr">
        <is>
          <t>FL</t>
        </is>
      </c>
      <c r="K997" t="inlineStr">
        <is>
          <t>PMF</t>
        </is>
      </c>
      <c r="L997" t="inlineStr">
        <is>
          <t>New Deal</t>
        </is>
      </c>
      <c r="M997" s="298" t="n">
        <v>1.39</v>
      </c>
      <c r="N997" s="299" t="n">
        <v>300000</v>
      </c>
      <c r="O997" s="299" t="n">
        <v>27000</v>
      </c>
      <c r="P997" s="299" t="n">
        <v>417000</v>
      </c>
      <c r="Q997" s="299" t="n">
        <v>72932.72</v>
      </c>
      <c r="R997" s="299" t="n">
        <v>344067.28</v>
      </c>
      <c r="S997" s="300" t="n">
        <v>0.17489860911271</v>
      </c>
      <c r="T997" t="n">
        <v>40</v>
      </c>
      <c r="U997" t="n">
        <v>0</v>
      </c>
      <c r="V997" t="n">
        <v>949336.14</v>
      </c>
      <c r="W997" s="300" t="n">
        <v>0.0439</v>
      </c>
      <c r="X997" s="297" t="n">
        <v>38959</v>
      </c>
      <c r="Y997">
        <f>IF(I997="","No SIC",IFERROR(VLOOKUP(I997,Ref!$A$2:$B$65,2,FALSE),"Unclassified"))</f>
        <v/>
      </c>
      <c r="Z997">
        <f>IF(T997="","",IF(T997&lt;12,"Daily","Weekly"))</f>
        <v/>
      </c>
      <c r="AA997">
        <f>IF(T997="",0,IF(T997&lt;12,T997*Controls!$B$29,T997*5))</f>
        <v/>
      </c>
      <c r="AB997">
        <f>IF(E997="",0,NETWORKDAYS(E997,Controls!$B$36,Ref!$K$2:$K$42))</f>
        <v/>
      </c>
      <c r="AC997">
        <f>IF(AND(AA997&gt;0,AB997&gt;=Controls!$B$39*AA997),1,0)</f>
        <v/>
      </c>
      <c r="AD997">
        <f>IF(AND(E997&lt;&gt;"",E997&gt;=Controls!$B$37,E997&lt;=Controls!$B$38),1,0)</f>
        <v/>
      </c>
      <c r="AE997">
        <f>IF(IFERROR(VLOOKUP(D997,Controls!$A$64:$E$74,2,FALSE),"No")="Yes",1,0)</f>
        <v/>
      </c>
      <c r="AF997">
        <f>IF(IFERROR(VLOOKUP(D997,Controls!$A$64:$E$74,3,FALSE),"No")="Yes",1,0)</f>
        <v/>
      </c>
      <c r="AG997">
        <f>IF(IFERROR(VLOOKUP(D997,Controls!$A$64:$E$74,4,FALSE),"No")="Yes",1,0)</f>
        <v/>
      </c>
      <c r="AH997">
        <f>IF(IFERROR(VLOOKUP(D997,Controls!$A$64:$E$74,5,FALSE),"No")="Yes",1,0)</f>
        <v/>
      </c>
      <c r="AI997">
        <f>IF(ISNUMBER(MATCH(D997,Controls!$A$64:$A$74,0)),1,0)</f>
        <v/>
      </c>
      <c r="AJ997">
        <f>Q997-N997</f>
        <v/>
      </c>
      <c r="AK997">
        <f>IF(AE997=1,MAX(0,N997-Q997),0)</f>
        <v/>
      </c>
      <c r="AL997">
        <f>IF(OR(V997="",V997=0),0,N997/V997)</f>
        <v/>
      </c>
      <c r="AM997">
        <f>IF(OR(V997="",V997=0),0,1)</f>
        <v/>
      </c>
      <c r="AN997">
        <f>IF(OR(E997="",F997=""),0,NETWORKDAYS(E997,F997,Ref!$K$2:$K$42))</f>
        <v/>
      </c>
      <c r="AO997">
        <f>IF(L997="Renewal",1,0)</f>
        <v/>
      </c>
      <c r="AP997">
        <f>AC997*AD997</f>
        <v/>
      </c>
      <c r="AQ997">
        <f>IF(AND(G997&lt;&gt;"",'Historical Score'!$C$6&lt;&gt;""),IF(G997='Historical Score'!$C$6,1,0),0)</f>
        <v/>
      </c>
      <c r="AR997">
        <f>IF(AND(L997&lt;&gt;"",'Historical Score'!$C$5&lt;&gt;""),IF(L997='Historical Score'!$C$5,1,0),0)</f>
        <v/>
      </c>
      <c r="AS997">
        <f>IF(AND(Y997&lt;&gt;"",'Historical Score'!$C$7&lt;&gt;""),IF(Y997='Historical Score'!$C$7,1,0),0)</f>
        <v/>
      </c>
      <c r="AT997">
        <f>IF(AND(K997&lt;&gt;"",'Historical Score'!$C$8&lt;&gt;""),IF(K997='Historical Score'!$C$8,1,0),0)</f>
        <v/>
      </c>
      <c r="AU997">
        <f>IF(AND(J997&lt;&gt;"",'Historical Score'!$C$9&lt;&gt;""),IF(J997='Historical Score'!$C$9,1,0),0)</f>
        <v/>
      </c>
      <c r="AV997">
        <f>AR997*AS997*AQ997</f>
        <v/>
      </c>
      <c r="AW997">
        <f>AR997*AT997*AQ997</f>
        <v/>
      </c>
      <c r="AX997">
        <f>AR997*AS997</f>
        <v/>
      </c>
      <c r="AY997">
        <f>AR997*AT997</f>
        <v/>
      </c>
      <c r="AZ997">
        <f>AR997*AQ997</f>
        <v/>
      </c>
      <c r="BA997">
        <f>AR997</f>
        <v/>
      </c>
      <c r="BB997">
        <f>1</f>
        <v/>
      </c>
      <c r="BC997">
        <f>IF(AV997=1,1,IF(AW997=1,2,IF(AX997=1,3,IF(AY997=1,4,IF(AZ997=1,5,IF(BA997=1,6,7))))))</f>
        <v/>
      </c>
      <c r="BD997">
        <f>IF(AD997=1,CHOOSE('Historical Score'!$C$29,AV997,AW997,AX997,AY997,AZ997,BA997,BB997),0)</f>
        <v/>
      </c>
      <c r="BE997">
        <f>IF(BD997=1,COUNTIF($BD$2:BD997,1),"")</f>
        <v/>
      </c>
    </row>
    <row r="998">
      <c r="A998" t="inlineStr">
        <is>
          <t>5674186503</t>
        </is>
      </c>
      <c r="B998" t="inlineStr">
        <is>
          <t>Nexus Contracting</t>
        </is>
      </c>
      <c r="C998" t="inlineStr">
        <is>
          <t>NEXUS CONTRACTING LLC</t>
        </is>
      </c>
      <c r="D998" t="inlineStr">
        <is>
          <t>Open</t>
        </is>
      </c>
      <c r="E998" s="297" t="n">
        <v>46204</v>
      </c>
      <c r="F998" s="297" t="n">
        <v>46248</v>
      </c>
      <c r="G998" t="n">
        <v>3</v>
      </c>
      <c r="H998" t="inlineStr">
        <is>
          <t>1521</t>
        </is>
      </c>
      <c r="I998" t="inlineStr">
        <is>
          <t>15</t>
        </is>
      </c>
      <c r="J998" t="inlineStr">
        <is>
          <t>TX</t>
        </is>
      </c>
      <c r="K998" t="inlineStr">
        <is>
          <t>United Secured Capital 8</t>
        </is>
      </c>
      <c r="L998" t="inlineStr">
        <is>
          <t>New Deal</t>
        </is>
      </c>
      <c r="M998" s="298" t="n">
        <v>1.49</v>
      </c>
      <c r="N998" s="299" t="n">
        <v>15000</v>
      </c>
      <c r="O998" s="299" t="n">
        <v>2100</v>
      </c>
      <c r="P998" s="299" t="n">
        <v>22350</v>
      </c>
      <c r="Q998" s="299" t="n">
        <v>3653.61</v>
      </c>
      <c r="R998" s="299" t="n">
        <v>18696.39</v>
      </c>
      <c r="S998" s="300" t="n">
        <v>0.163472483221477</v>
      </c>
      <c r="T998" t="n">
        <v>20</v>
      </c>
      <c r="U998" t="n">
        <v>0</v>
      </c>
      <c r="V998" t="n">
        <v>73423.09</v>
      </c>
      <c r="W998" s="300" t="n">
        <v>0.0609</v>
      </c>
      <c r="X998" s="297" t="n">
        <v>45826</v>
      </c>
      <c r="Y998">
        <f>IF(I998="","No SIC",IFERROR(VLOOKUP(I998,Ref!$A$2:$B$65,2,FALSE),"Unclassified"))</f>
        <v/>
      </c>
      <c r="Z998">
        <f>IF(T998="","",IF(T998&lt;12,"Daily","Weekly"))</f>
        <v/>
      </c>
      <c r="AA998">
        <f>IF(T998="",0,IF(T998&lt;12,T998*Controls!$B$29,T998*5))</f>
        <v/>
      </c>
      <c r="AB998">
        <f>IF(E998="",0,NETWORKDAYS(E998,Controls!$B$36,Ref!$K$2:$K$42))</f>
        <v/>
      </c>
      <c r="AC998">
        <f>IF(AND(AA998&gt;0,AB998&gt;=Controls!$B$39*AA998),1,0)</f>
        <v/>
      </c>
      <c r="AD998">
        <f>IF(AND(E998&lt;&gt;"",E998&gt;=Controls!$B$37,E998&lt;=Controls!$B$38),1,0)</f>
        <v/>
      </c>
      <c r="AE998">
        <f>IF(IFERROR(VLOOKUP(D998,Controls!$A$64:$E$74,2,FALSE),"No")="Yes",1,0)</f>
        <v/>
      </c>
      <c r="AF998">
        <f>IF(IFERROR(VLOOKUP(D998,Controls!$A$64:$E$74,3,FALSE),"No")="Yes",1,0)</f>
        <v/>
      </c>
      <c r="AG998">
        <f>IF(IFERROR(VLOOKUP(D998,Controls!$A$64:$E$74,4,FALSE),"No")="Yes",1,0)</f>
        <v/>
      </c>
      <c r="AH998">
        <f>IF(IFERROR(VLOOKUP(D998,Controls!$A$64:$E$74,5,FALSE),"No")="Yes",1,0)</f>
        <v/>
      </c>
      <c r="AI998">
        <f>IF(ISNUMBER(MATCH(D998,Controls!$A$64:$A$74,0)),1,0)</f>
        <v/>
      </c>
      <c r="AJ998">
        <f>Q998-N998</f>
        <v/>
      </c>
      <c r="AK998">
        <f>IF(AE998=1,MAX(0,N998-Q998),0)</f>
        <v/>
      </c>
      <c r="AL998">
        <f>IF(OR(V998="",V998=0),0,N998/V998)</f>
        <v/>
      </c>
      <c r="AM998">
        <f>IF(OR(V998="",V998=0),0,1)</f>
        <v/>
      </c>
      <c r="AN998">
        <f>IF(OR(E998="",F998=""),0,NETWORKDAYS(E998,F998,Ref!$K$2:$K$42))</f>
        <v/>
      </c>
      <c r="AO998">
        <f>IF(L998="Renewal",1,0)</f>
        <v/>
      </c>
      <c r="AP998">
        <f>AC998*AD998</f>
        <v/>
      </c>
      <c r="AQ998">
        <f>IF(AND(G998&lt;&gt;"",'Historical Score'!$C$6&lt;&gt;""),IF(G998='Historical Score'!$C$6,1,0),0)</f>
        <v/>
      </c>
      <c r="AR998">
        <f>IF(AND(L998&lt;&gt;"",'Historical Score'!$C$5&lt;&gt;""),IF(L998='Historical Score'!$C$5,1,0),0)</f>
        <v/>
      </c>
      <c r="AS998">
        <f>IF(AND(Y998&lt;&gt;"",'Historical Score'!$C$7&lt;&gt;""),IF(Y998='Historical Score'!$C$7,1,0),0)</f>
        <v/>
      </c>
      <c r="AT998">
        <f>IF(AND(K998&lt;&gt;"",'Historical Score'!$C$8&lt;&gt;""),IF(K998='Historical Score'!$C$8,1,0),0)</f>
        <v/>
      </c>
      <c r="AU998">
        <f>IF(AND(J998&lt;&gt;"",'Historical Score'!$C$9&lt;&gt;""),IF(J998='Historical Score'!$C$9,1,0),0)</f>
        <v/>
      </c>
      <c r="AV998">
        <f>AR998*AS998*AQ998</f>
        <v/>
      </c>
      <c r="AW998">
        <f>AR998*AT998*AQ998</f>
        <v/>
      </c>
      <c r="AX998">
        <f>AR998*AS998</f>
        <v/>
      </c>
      <c r="AY998">
        <f>AR998*AT998</f>
        <v/>
      </c>
      <c r="AZ998">
        <f>AR998*AQ998</f>
        <v/>
      </c>
      <c r="BA998">
        <f>AR998</f>
        <v/>
      </c>
      <c r="BB998">
        <f>1</f>
        <v/>
      </c>
      <c r="BC998">
        <f>IF(AV998=1,1,IF(AW998=1,2,IF(AX998=1,3,IF(AY998=1,4,IF(AZ998=1,5,IF(BA998=1,6,7))))))</f>
        <v/>
      </c>
      <c r="BD998">
        <f>IF(AD998=1,CHOOSE('Historical Score'!$C$29,AV998,AW998,AX998,AY998,AZ998,BA998,BB998),0)</f>
        <v/>
      </c>
      <c r="BE998">
        <f>IF(BD998=1,COUNTIF($BD$2:BD998,1),"")</f>
        <v/>
      </c>
    </row>
    <row r="999">
      <c r="A999" t="inlineStr">
        <is>
          <t>5674186521</t>
        </is>
      </c>
      <c r="B999" t="inlineStr">
        <is>
          <t>ROUSNY LLC</t>
        </is>
      </c>
      <c r="C999" t="inlineStr">
        <is>
          <t>ROUSNY LLC</t>
        </is>
      </c>
      <c r="D999" t="inlineStr">
        <is>
          <t>Open</t>
        </is>
      </c>
      <c r="E999" s="297" t="n">
        <v>46204</v>
      </c>
      <c r="F999" s="297" t="n">
        <v>46253</v>
      </c>
      <c r="G999" t="n">
        <v>3</v>
      </c>
      <c r="H999" t="inlineStr">
        <is>
          <t>5999</t>
        </is>
      </c>
      <c r="I999" t="inlineStr">
        <is>
          <t>59</t>
        </is>
      </c>
      <c r="J999" t="inlineStr">
        <is>
          <t>FL</t>
        </is>
      </c>
      <c r="K999" t="inlineStr">
        <is>
          <t>Fundwell</t>
        </is>
      </c>
      <c r="L999" t="inlineStr">
        <is>
          <t>New Deal</t>
        </is>
      </c>
      <c r="M999" s="298" t="n">
        <v>1.42</v>
      </c>
      <c r="N999" s="299" t="n">
        <v>5000</v>
      </c>
      <c r="O999" s="299" t="n">
        <v>525</v>
      </c>
      <c r="P999" s="299" t="n">
        <v>7100</v>
      </c>
      <c r="Q999" s="299" t="n">
        <v>2344.32</v>
      </c>
      <c r="R999" s="299" t="n">
        <v>4755.68</v>
      </c>
      <c r="S999" s="300" t="n">
        <v>0.330185915492958</v>
      </c>
      <c r="T999" t="n">
        <v>3.279</v>
      </c>
      <c r="U999" t="n">
        <v>3</v>
      </c>
      <c r="V999" t="n">
        <v>19078.51</v>
      </c>
      <c r="W999" s="300" t="n">
        <v>0.07820000000000001</v>
      </c>
      <c r="X999" s="297" t="n">
        <v>45733</v>
      </c>
      <c r="Y999">
        <f>IF(I999="","No SIC",IFERROR(VLOOKUP(I999,Ref!$A$2:$B$65,2,FALSE),"Unclassified"))</f>
        <v/>
      </c>
      <c r="Z999">
        <f>IF(T999="","",IF(T999&lt;12,"Daily","Weekly"))</f>
        <v/>
      </c>
      <c r="AA999">
        <f>IF(T999="",0,IF(T999&lt;12,T999*Controls!$B$29,T999*5))</f>
        <v/>
      </c>
      <c r="AB999">
        <f>IF(E999="",0,NETWORKDAYS(E999,Controls!$B$36,Ref!$K$2:$K$42))</f>
        <v/>
      </c>
      <c r="AC999">
        <f>IF(AND(AA999&gt;0,AB999&gt;=Controls!$B$39*AA999),1,0)</f>
        <v/>
      </c>
      <c r="AD999">
        <f>IF(AND(E999&lt;&gt;"",E999&gt;=Controls!$B$37,E999&lt;=Controls!$B$38),1,0)</f>
        <v/>
      </c>
      <c r="AE999">
        <f>IF(IFERROR(VLOOKUP(D999,Controls!$A$64:$E$74,2,FALSE),"No")="Yes",1,0)</f>
        <v/>
      </c>
      <c r="AF999">
        <f>IF(IFERROR(VLOOKUP(D999,Controls!$A$64:$E$74,3,FALSE),"No")="Yes",1,0)</f>
        <v/>
      </c>
      <c r="AG999">
        <f>IF(IFERROR(VLOOKUP(D999,Controls!$A$64:$E$74,4,FALSE),"No")="Yes",1,0)</f>
        <v/>
      </c>
      <c r="AH999">
        <f>IF(IFERROR(VLOOKUP(D999,Controls!$A$64:$E$74,5,FALSE),"No")="Yes",1,0)</f>
        <v/>
      </c>
      <c r="AI999">
        <f>IF(ISNUMBER(MATCH(D999,Controls!$A$64:$A$74,0)),1,0)</f>
        <v/>
      </c>
      <c r="AJ999">
        <f>Q999-N999</f>
        <v/>
      </c>
      <c r="AK999">
        <f>IF(AE999=1,MAX(0,N999-Q999),0)</f>
        <v/>
      </c>
      <c r="AL999">
        <f>IF(OR(V999="",V999=0),0,N999/V999)</f>
        <v/>
      </c>
      <c r="AM999">
        <f>IF(OR(V999="",V999=0),0,1)</f>
        <v/>
      </c>
      <c r="AN999">
        <f>IF(OR(E999="",F999=""),0,NETWORKDAYS(E999,F999,Ref!$K$2:$K$42))</f>
        <v/>
      </c>
      <c r="AO999">
        <f>IF(L999="Renewal",1,0)</f>
        <v/>
      </c>
      <c r="AP999">
        <f>AC999*AD999</f>
        <v/>
      </c>
      <c r="AQ999">
        <f>IF(AND(G999&lt;&gt;"",'Historical Score'!$C$6&lt;&gt;""),IF(G999='Historical Score'!$C$6,1,0),0)</f>
        <v/>
      </c>
      <c r="AR999">
        <f>IF(AND(L999&lt;&gt;"",'Historical Score'!$C$5&lt;&gt;""),IF(L999='Historical Score'!$C$5,1,0),0)</f>
        <v/>
      </c>
      <c r="AS999">
        <f>IF(AND(Y999&lt;&gt;"",'Historical Score'!$C$7&lt;&gt;""),IF(Y999='Historical Score'!$C$7,1,0),0)</f>
        <v/>
      </c>
      <c r="AT999">
        <f>IF(AND(K999&lt;&gt;"",'Historical Score'!$C$8&lt;&gt;""),IF(K999='Historical Score'!$C$8,1,0),0)</f>
        <v/>
      </c>
      <c r="AU999">
        <f>IF(AND(J999&lt;&gt;"",'Historical Score'!$C$9&lt;&gt;""),IF(J999='Historical Score'!$C$9,1,0),0)</f>
        <v/>
      </c>
      <c r="AV999">
        <f>AR999*AS999*AQ999</f>
        <v/>
      </c>
      <c r="AW999">
        <f>AR999*AT999*AQ999</f>
        <v/>
      </c>
      <c r="AX999">
        <f>AR999*AS999</f>
        <v/>
      </c>
      <c r="AY999">
        <f>AR999*AT999</f>
        <v/>
      </c>
      <c r="AZ999">
        <f>AR999*AQ999</f>
        <v/>
      </c>
      <c r="BA999">
        <f>AR999</f>
        <v/>
      </c>
      <c r="BB999">
        <f>1</f>
        <v/>
      </c>
      <c r="BC999">
        <f>IF(AV999=1,1,IF(AW999=1,2,IF(AX999=1,3,IF(AY999=1,4,IF(AZ999=1,5,IF(BA999=1,6,7))))))</f>
        <v/>
      </c>
      <c r="BD999">
        <f>IF(AD999=1,CHOOSE('Historical Score'!$C$29,AV999,AW999,AX999,AY999,AZ999,BA999,BB999),0)</f>
        <v/>
      </c>
      <c r="BE999">
        <f>IF(BD999=1,COUNTIF($BD$2:BD999,1),"")</f>
        <v/>
      </c>
    </row>
    <row r="1000">
      <c r="A1000" t="inlineStr">
        <is>
          <t>5674186593</t>
        </is>
      </c>
      <c r="B1000" t="inlineStr">
        <is>
          <t>vecs group llc</t>
        </is>
      </c>
      <c r="C1000" t="inlineStr">
        <is>
          <t>vecs group llc</t>
        </is>
      </c>
      <c r="D1000" t="inlineStr">
        <is>
          <t>Open</t>
        </is>
      </c>
      <c r="E1000" s="297" t="n">
        <v>46205</v>
      </c>
      <c r="F1000" s="297" t="n">
        <v>46247</v>
      </c>
      <c r="G1000" t="n">
        <v>3</v>
      </c>
      <c r="H1000" t="inlineStr">
        <is>
          <t>5999</t>
        </is>
      </c>
      <c r="I1000" t="inlineStr">
        <is>
          <t>59</t>
        </is>
      </c>
      <c r="J1000" t="inlineStr">
        <is>
          <t>FL</t>
        </is>
      </c>
      <c r="K1000" t="inlineStr">
        <is>
          <t>The Funding Channel</t>
        </is>
      </c>
      <c r="L1000" t="inlineStr">
        <is>
          <t>Renewal</t>
        </is>
      </c>
      <c r="M1000" s="298" t="n">
        <v>1.49</v>
      </c>
      <c r="N1000" s="299" t="n">
        <v>25000</v>
      </c>
      <c r="O1000" s="299" t="n">
        <v>3500</v>
      </c>
      <c r="P1000" s="299" t="n">
        <v>37250</v>
      </c>
      <c r="Q1000" s="299" t="n">
        <v>7449.96</v>
      </c>
      <c r="R1000" s="299" t="n">
        <v>29800.04</v>
      </c>
      <c r="S1000" s="300" t="n">
        <v>0.199998926174497</v>
      </c>
      <c r="T1000" t="n">
        <v>30</v>
      </c>
      <c r="U1000" t="n">
        <v>0</v>
      </c>
      <c r="V1000" t="n">
        <v>47032.66</v>
      </c>
      <c r="W1000" s="300" t="n">
        <v>0.1056</v>
      </c>
      <c r="X1000" s="297" t="n">
        <v>44336</v>
      </c>
      <c r="Y1000">
        <f>IF(I1000="","No SIC",IFERROR(VLOOKUP(I1000,Ref!$A$2:$B$65,2,FALSE),"Unclassified"))</f>
        <v/>
      </c>
      <c r="Z1000">
        <f>IF(T1000="","",IF(T1000&lt;12,"Daily","Weekly"))</f>
        <v/>
      </c>
      <c r="AA1000">
        <f>IF(T1000="",0,IF(T1000&lt;12,T1000*Controls!$B$29,T1000*5))</f>
        <v/>
      </c>
      <c r="AB1000">
        <f>IF(E1000="",0,NETWORKDAYS(E1000,Controls!$B$36,Ref!$K$2:$K$42))</f>
        <v/>
      </c>
      <c r="AC1000">
        <f>IF(AND(AA1000&gt;0,AB1000&gt;=Controls!$B$39*AA1000),1,0)</f>
        <v/>
      </c>
      <c r="AD1000">
        <f>IF(AND(E1000&lt;&gt;"",E1000&gt;=Controls!$B$37,E1000&lt;=Controls!$B$38),1,0)</f>
        <v/>
      </c>
      <c r="AE1000">
        <f>IF(IFERROR(VLOOKUP(D1000,Controls!$A$64:$E$74,2,FALSE),"No")="Yes",1,0)</f>
        <v/>
      </c>
      <c r="AF1000">
        <f>IF(IFERROR(VLOOKUP(D1000,Controls!$A$64:$E$74,3,FALSE),"No")="Yes",1,0)</f>
        <v/>
      </c>
      <c r="AG1000">
        <f>IF(IFERROR(VLOOKUP(D1000,Controls!$A$64:$E$74,4,FALSE),"No")="Yes",1,0)</f>
        <v/>
      </c>
      <c r="AH1000">
        <f>IF(IFERROR(VLOOKUP(D1000,Controls!$A$64:$E$74,5,FALSE),"No")="Yes",1,0)</f>
        <v/>
      </c>
      <c r="AI1000">
        <f>IF(ISNUMBER(MATCH(D1000,Controls!$A$64:$A$74,0)),1,0)</f>
        <v/>
      </c>
      <c r="AJ1000">
        <f>Q1000-N1000</f>
        <v/>
      </c>
      <c r="AK1000">
        <f>IF(AE1000=1,MAX(0,N1000-Q1000),0)</f>
        <v/>
      </c>
      <c r="AL1000">
        <f>IF(OR(V1000="",V1000=0),0,N1000/V1000)</f>
        <v/>
      </c>
      <c r="AM1000">
        <f>IF(OR(V1000="",V1000=0),0,1)</f>
        <v/>
      </c>
      <c r="AN1000">
        <f>IF(OR(E1000="",F1000=""),0,NETWORKDAYS(E1000,F1000,Ref!$K$2:$K$42))</f>
        <v/>
      </c>
      <c r="AO1000">
        <f>IF(L1000="Renewal",1,0)</f>
        <v/>
      </c>
      <c r="AP1000">
        <f>AC1000*AD1000</f>
        <v/>
      </c>
      <c r="AQ1000">
        <f>IF(AND(G1000&lt;&gt;"",'Historical Score'!$C$6&lt;&gt;""),IF(G1000='Historical Score'!$C$6,1,0),0)</f>
        <v/>
      </c>
      <c r="AR1000">
        <f>IF(AND(L1000&lt;&gt;"",'Historical Score'!$C$5&lt;&gt;""),IF(L1000='Historical Score'!$C$5,1,0),0)</f>
        <v/>
      </c>
      <c r="AS1000">
        <f>IF(AND(Y1000&lt;&gt;"",'Historical Score'!$C$7&lt;&gt;""),IF(Y1000='Historical Score'!$C$7,1,0),0)</f>
        <v/>
      </c>
      <c r="AT1000">
        <f>IF(AND(K1000&lt;&gt;"",'Historical Score'!$C$8&lt;&gt;""),IF(K1000='Historical Score'!$C$8,1,0),0)</f>
        <v/>
      </c>
      <c r="AU1000">
        <f>IF(AND(J1000&lt;&gt;"",'Historical Score'!$C$9&lt;&gt;""),IF(J1000='Historical Score'!$C$9,1,0),0)</f>
        <v/>
      </c>
      <c r="AV1000">
        <f>AR1000*AS1000*AQ1000</f>
        <v/>
      </c>
      <c r="AW1000">
        <f>AR1000*AT1000*AQ1000</f>
        <v/>
      </c>
      <c r="AX1000">
        <f>AR1000*AS1000</f>
        <v/>
      </c>
      <c r="AY1000">
        <f>AR1000*AT1000</f>
        <v/>
      </c>
      <c r="AZ1000">
        <f>AR1000*AQ1000</f>
        <v/>
      </c>
      <c r="BA1000">
        <f>AR1000</f>
        <v/>
      </c>
      <c r="BB1000">
        <f>1</f>
        <v/>
      </c>
      <c r="BC1000">
        <f>IF(AV1000=1,1,IF(AW1000=1,2,IF(AX1000=1,3,IF(AY1000=1,4,IF(AZ1000=1,5,IF(BA1000=1,6,7))))))</f>
        <v/>
      </c>
      <c r="BD1000">
        <f>IF(AD1000=1,CHOOSE('Historical Score'!$C$29,AV1000,AW1000,AX1000,AY1000,AZ1000,BA1000,BB1000),0)</f>
        <v/>
      </c>
      <c r="BE1000">
        <f>IF(BD1000=1,COUNTIF($BD$2:BD1000,1),"")</f>
        <v/>
      </c>
    </row>
    <row r="1001">
      <c r="A1001" t="inlineStr">
        <is>
          <t>5674186624</t>
        </is>
      </c>
      <c r="B1001" t="inlineStr">
        <is>
          <t>Senter Consulting Inc</t>
        </is>
      </c>
      <c r="C1001" t="inlineStr">
        <is>
          <t>Senter Consulting Inc</t>
        </is>
      </c>
      <c r="D1001" t="inlineStr">
        <is>
          <t>Open</t>
        </is>
      </c>
      <c r="E1001" s="297" t="n">
        <v>46205</v>
      </c>
      <c r="F1001" s="297" t="n">
        <v>46248</v>
      </c>
      <c r="G1001" t="n">
        <v>3</v>
      </c>
      <c r="H1001" t="inlineStr">
        <is>
          <t>8742</t>
        </is>
      </c>
      <c r="I1001" t="inlineStr">
        <is>
          <t>87</t>
        </is>
      </c>
      <c r="J1001" t="inlineStr">
        <is>
          <t>MD</t>
        </is>
      </c>
      <c r="K1001" t="inlineStr">
        <is>
          <t>PMF</t>
        </is>
      </c>
      <c r="L1001" t="inlineStr">
        <is>
          <t>New Deal</t>
        </is>
      </c>
      <c r="M1001" s="298" t="n">
        <v>1.43</v>
      </c>
      <c r="N1001" s="299" t="n">
        <v>20000</v>
      </c>
      <c r="O1001" s="299" t="n">
        <v>2200</v>
      </c>
      <c r="P1001" s="299" t="n">
        <v>28600</v>
      </c>
      <c r="Q1001" s="299" t="n">
        <v>5721.06</v>
      </c>
      <c r="R1001" s="299" t="n">
        <v>22878.94</v>
      </c>
      <c r="S1001" s="300" t="n">
        <v>0.200037062937063</v>
      </c>
      <c r="T1001" t="n">
        <v>30</v>
      </c>
      <c r="U1001" t="n">
        <v>0</v>
      </c>
      <c r="V1001" t="n">
        <v>28734.87</v>
      </c>
      <c r="W1001" s="300" t="n">
        <v>0.1037</v>
      </c>
      <c r="X1001" s="297" t="n">
        <v>34394</v>
      </c>
      <c r="Y1001">
        <f>IF(I1001="","No SIC",IFERROR(VLOOKUP(I1001,Ref!$A$2:$B$65,2,FALSE),"Unclassified"))</f>
        <v/>
      </c>
      <c r="Z1001">
        <f>IF(T1001="","",IF(T1001&lt;12,"Daily","Weekly"))</f>
        <v/>
      </c>
      <c r="AA1001">
        <f>IF(T1001="",0,IF(T1001&lt;12,T1001*Controls!$B$29,T1001*5))</f>
        <v/>
      </c>
      <c r="AB1001">
        <f>IF(E1001="",0,NETWORKDAYS(E1001,Controls!$B$36,Ref!$K$2:$K$42))</f>
        <v/>
      </c>
      <c r="AC1001">
        <f>IF(AND(AA1001&gt;0,AB1001&gt;=Controls!$B$39*AA1001),1,0)</f>
        <v/>
      </c>
      <c r="AD1001">
        <f>IF(AND(E1001&lt;&gt;"",E1001&gt;=Controls!$B$37,E1001&lt;=Controls!$B$38),1,0)</f>
        <v/>
      </c>
      <c r="AE1001">
        <f>IF(IFERROR(VLOOKUP(D1001,Controls!$A$64:$E$74,2,FALSE),"No")="Yes",1,0)</f>
        <v/>
      </c>
      <c r="AF1001">
        <f>IF(IFERROR(VLOOKUP(D1001,Controls!$A$64:$E$74,3,FALSE),"No")="Yes",1,0)</f>
        <v/>
      </c>
      <c r="AG1001">
        <f>IF(IFERROR(VLOOKUP(D1001,Controls!$A$64:$E$74,4,FALSE),"No")="Yes",1,0)</f>
        <v/>
      </c>
      <c r="AH1001">
        <f>IF(IFERROR(VLOOKUP(D1001,Controls!$A$64:$E$74,5,FALSE),"No")="Yes",1,0)</f>
        <v/>
      </c>
      <c r="AI1001">
        <f>IF(ISNUMBER(MATCH(D1001,Controls!$A$64:$A$74,0)),1,0)</f>
        <v/>
      </c>
      <c r="AJ1001">
        <f>Q1001-N1001</f>
        <v/>
      </c>
      <c r="AK1001">
        <f>IF(AE1001=1,MAX(0,N1001-Q1001),0)</f>
        <v/>
      </c>
      <c r="AL1001">
        <f>IF(OR(V1001="",V1001=0),0,N1001/V1001)</f>
        <v/>
      </c>
      <c r="AM1001">
        <f>IF(OR(V1001="",V1001=0),0,1)</f>
        <v/>
      </c>
      <c r="AN1001">
        <f>IF(OR(E1001="",F1001=""),0,NETWORKDAYS(E1001,F1001,Ref!$K$2:$K$42))</f>
        <v/>
      </c>
      <c r="AO1001">
        <f>IF(L1001="Renewal",1,0)</f>
        <v/>
      </c>
      <c r="AP1001">
        <f>AC1001*AD1001</f>
        <v/>
      </c>
      <c r="AQ1001">
        <f>IF(AND(G1001&lt;&gt;"",'Historical Score'!$C$6&lt;&gt;""),IF(G1001='Historical Score'!$C$6,1,0),0)</f>
        <v/>
      </c>
      <c r="AR1001">
        <f>IF(AND(L1001&lt;&gt;"",'Historical Score'!$C$5&lt;&gt;""),IF(L1001='Historical Score'!$C$5,1,0),0)</f>
        <v/>
      </c>
      <c r="AS1001">
        <f>IF(AND(Y1001&lt;&gt;"",'Historical Score'!$C$7&lt;&gt;""),IF(Y1001='Historical Score'!$C$7,1,0),0)</f>
        <v/>
      </c>
      <c r="AT1001">
        <f>IF(AND(K1001&lt;&gt;"",'Historical Score'!$C$8&lt;&gt;""),IF(K1001='Historical Score'!$C$8,1,0),0)</f>
        <v/>
      </c>
      <c r="AU1001">
        <f>IF(AND(J1001&lt;&gt;"",'Historical Score'!$C$9&lt;&gt;""),IF(J1001='Historical Score'!$C$9,1,0),0)</f>
        <v/>
      </c>
      <c r="AV1001">
        <f>AR1001*AS1001*AQ1001</f>
        <v/>
      </c>
      <c r="AW1001">
        <f>AR1001*AT1001*AQ1001</f>
        <v/>
      </c>
      <c r="AX1001">
        <f>AR1001*AS1001</f>
        <v/>
      </c>
      <c r="AY1001">
        <f>AR1001*AT1001</f>
        <v/>
      </c>
      <c r="AZ1001">
        <f>AR1001*AQ1001</f>
        <v/>
      </c>
      <c r="BA1001">
        <f>AR1001</f>
        <v/>
      </c>
      <c r="BB1001">
        <f>1</f>
        <v/>
      </c>
      <c r="BC1001">
        <f>IF(AV1001=1,1,IF(AW1001=1,2,IF(AX1001=1,3,IF(AY1001=1,4,IF(AZ1001=1,5,IF(BA1001=1,6,7))))))</f>
        <v/>
      </c>
      <c r="BD1001">
        <f>IF(AD1001=1,CHOOSE('Historical Score'!$C$29,AV1001,AW1001,AX1001,AY1001,AZ1001,BA1001,BB1001),0)</f>
        <v/>
      </c>
      <c r="BE1001">
        <f>IF(BD1001=1,COUNTIF($BD$2:BD1001,1),"")</f>
        <v/>
      </c>
    </row>
    <row r="1002">
      <c r="A1002" t="inlineStr">
        <is>
          <t>5674186679</t>
        </is>
      </c>
      <c r="B1002" t="inlineStr">
        <is>
          <t>AMDF SOLUTIONS CORP</t>
        </is>
      </c>
      <c r="C1002" t="inlineStr">
        <is>
          <t>AMDF SOLUTIONS CORP</t>
        </is>
      </c>
      <c r="D1002" t="inlineStr">
        <is>
          <t>Legal</t>
        </is>
      </c>
      <c r="E1002" s="297" t="n">
        <v>46209</v>
      </c>
      <c r="F1002" s="297" t="n">
        <v>46252</v>
      </c>
      <c r="G1002" t="n">
        <v>3</v>
      </c>
      <c r="H1002" t="inlineStr">
        <is>
          <t>5399</t>
        </is>
      </c>
      <c r="I1002" t="inlineStr">
        <is>
          <t>53</t>
        </is>
      </c>
      <c r="J1002" t="inlineStr">
        <is>
          <t>FL</t>
        </is>
      </c>
      <c r="K1002" t="inlineStr">
        <is>
          <t>Fundible</t>
        </is>
      </c>
      <c r="L1002" t="inlineStr">
        <is>
          <t>New Deal</t>
        </is>
      </c>
      <c r="M1002" s="298" t="n">
        <v>1.49</v>
      </c>
      <c r="N1002" s="299" t="n">
        <v>20000</v>
      </c>
      <c r="O1002" s="299" t="n">
        <v>2800</v>
      </c>
      <c r="P1002" s="299" t="n">
        <v>29800</v>
      </c>
      <c r="Q1002" s="299" t="n">
        <v>1191.48</v>
      </c>
      <c r="R1002" s="299" t="n">
        <v>28608.52</v>
      </c>
      <c r="S1002" s="300" t="n">
        <v>0.0399825503355705</v>
      </c>
      <c r="T1002" t="n">
        <v>30</v>
      </c>
      <c r="U1002" t="n">
        <v>7</v>
      </c>
      <c r="V1002" t="n">
        <v>38373.13</v>
      </c>
      <c r="W1002" s="300" t="n">
        <v>0.1035</v>
      </c>
      <c r="X1002" s="297" t="n">
        <v>44838</v>
      </c>
      <c r="Y1002">
        <f>IF(I1002="","No SIC",IFERROR(VLOOKUP(I1002,Ref!$A$2:$B$65,2,FALSE),"Unclassified"))</f>
        <v/>
      </c>
      <c r="Z1002">
        <f>IF(T1002="","",IF(T1002&lt;12,"Daily","Weekly"))</f>
        <v/>
      </c>
      <c r="AA1002">
        <f>IF(T1002="",0,IF(T1002&lt;12,T1002*Controls!$B$29,T1002*5))</f>
        <v/>
      </c>
      <c r="AB1002">
        <f>IF(E1002="",0,NETWORKDAYS(E1002,Controls!$B$36,Ref!$K$2:$K$42))</f>
        <v/>
      </c>
      <c r="AC1002">
        <f>IF(AND(AA1002&gt;0,AB1002&gt;=Controls!$B$39*AA1002),1,0)</f>
        <v/>
      </c>
      <c r="AD1002">
        <f>IF(AND(E1002&lt;&gt;"",E1002&gt;=Controls!$B$37,E1002&lt;=Controls!$B$38),1,0)</f>
        <v/>
      </c>
      <c r="AE1002">
        <f>IF(IFERROR(VLOOKUP(D1002,Controls!$A$64:$E$74,2,FALSE),"No")="Yes",1,0)</f>
        <v/>
      </c>
      <c r="AF1002">
        <f>IF(IFERROR(VLOOKUP(D1002,Controls!$A$64:$E$74,3,FALSE),"No")="Yes",1,0)</f>
        <v/>
      </c>
      <c r="AG1002">
        <f>IF(IFERROR(VLOOKUP(D1002,Controls!$A$64:$E$74,4,FALSE),"No")="Yes",1,0)</f>
        <v/>
      </c>
      <c r="AH1002">
        <f>IF(IFERROR(VLOOKUP(D1002,Controls!$A$64:$E$74,5,FALSE),"No")="Yes",1,0)</f>
        <v/>
      </c>
      <c r="AI1002">
        <f>IF(ISNUMBER(MATCH(D1002,Controls!$A$64:$A$74,0)),1,0)</f>
        <v/>
      </c>
      <c r="AJ1002">
        <f>Q1002-N1002</f>
        <v/>
      </c>
      <c r="AK1002">
        <f>IF(AE1002=1,MAX(0,N1002-Q1002),0)</f>
        <v/>
      </c>
      <c r="AL1002">
        <f>IF(OR(V1002="",V1002=0),0,N1002/V1002)</f>
        <v/>
      </c>
      <c r="AM1002">
        <f>IF(OR(V1002="",V1002=0),0,1)</f>
        <v/>
      </c>
      <c r="AN1002">
        <f>IF(OR(E1002="",F1002=""),0,NETWORKDAYS(E1002,F1002,Ref!$K$2:$K$42))</f>
        <v/>
      </c>
      <c r="AO1002">
        <f>IF(L1002="Renewal",1,0)</f>
        <v/>
      </c>
      <c r="AP1002">
        <f>AC1002*AD1002</f>
        <v/>
      </c>
      <c r="AQ1002">
        <f>IF(AND(G1002&lt;&gt;"",'Historical Score'!$C$6&lt;&gt;""),IF(G1002='Historical Score'!$C$6,1,0),0)</f>
        <v/>
      </c>
      <c r="AR1002">
        <f>IF(AND(L1002&lt;&gt;"",'Historical Score'!$C$5&lt;&gt;""),IF(L1002='Historical Score'!$C$5,1,0),0)</f>
        <v/>
      </c>
      <c r="AS1002">
        <f>IF(AND(Y1002&lt;&gt;"",'Historical Score'!$C$7&lt;&gt;""),IF(Y1002='Historical Score'!$C$7,1,0),0)</f>
        <v/>
      </c>
      <c r="AT1002">
        <f>IF(AND(K1002&lt;&gt;"",'Historical Score'!$C$8&lt;&gt;""),IF(K1002='Historical Score'!$C$8,1,0),0)</f>
        <v/>
      </c>
      <c r="AU1002">
        <f>IF(AND(J1002&lt;&gt;"",'Historical Score'!$C$9&lt;&gt;""),IF(J1002='Historical Score'!$C$9,1,0),0)</f>
        <v/>
      </c>
      <c r="AV1002">
        <f>AR1002*AS1002*AQ1002</f>
        <v/>
      </c>
      <c r="AW1002">
        <f>AR1002*AT1002*AQ1002</f>
        <v/>
      </c>
      <c r="AX1002">
        <f>AR1002*AS1002</f>
        <v/>
      </c>
      <c r="AY1002">
        <f>AR1002*AT1002</f>
        <v/>
      </c>
      <c r="AZ1002">
        <f>AR1002*AQ1002</f>
        <v/>
      </c>
      <c r="BA1002">
        <f>AR1002</f>
        <v/>
      </c>
      <c r="BB1002">
        <f>1</f>
        <v/>
      </c>
      <c r="BC1002">
        <f>IF(AV1002=1,1,IF(AW1002=1,2,IF(AX1002=1,3,IF(AY1002=1,4,IF(AZ1002=1,5,IF(BA1002=1,6,7))))))</f>
        <v/>
      </c>
      <c r="BD1002">
        <f>IF(AD1002=1,CHOOSE('Historical Score'!$C$29,AV1002,AW1002,AX1002,AY1002,AZ1002,BA1002,BB1002),0)</f>
        <v/>
      </c>
      <c r="BE1002">
        <f>IF(BD1002=1,COUNTIF($BD$2:BD1002,1),"")</f>
        <v/>
      </c>
    </row>
    <row r="1003">
      <c r="A1003" t="inlineStr">
        <is>
          <t>5674186685</t>
        </is>
      </c>
      <c r="B1003" t="inlineStr">
        <is>
          <t>Sweet Racks &amp; Smokin' Butts BBQ</t>
        </is>
      </c>
      <c r="C1003" t="inlineStr">
        <is>
          <t>Sweet Racks &amp; Smokin' Butts BBQ LLC</t>
        </is>
      </c>
      <c r="D1003" t="inlineStr">
        <is>
          <t>In House Collection</t>
        </is>
      </c>
      <c r="E1003" s="297" t="n">
        <v>46209</v>
      </c>
      <c r="F1003" s="297" t="n">
        <v>46241</v>
      </c>
      <c r="G1003" t="n">
        <v>3</v>
      </c>
      <c r="H1003" t="inlineStr">
        <is>
          <t>5812</t>
        </is>
      </c>
      <c r="I1003" t="inlineStr">
        <is>
          <t>58</t>
        </is>
      </c>
      <c r="J1003" t="inlineStr">
        <is>
          <t>MI</t>
        </is>
      </c>
      <c r="K1003" t="inlineStr">
        <is>
          <t>Seacap</t>
        </is>
      </c>
      <c r="L1003" t="inlineStr">
        <is>
          <t>New Deal</t>
        </is>
      </c>
      <c r="M1003" s="298" t="n">
        <v>1.49</v>
      </c>
      <c r="N1003" s="299" t="n">
        <v>30000</v>
      </c>
      <c r="O1003" s="299" t="n">
        <v>0</v>
      </c>
      <c r="P1003" s="299" t="n">
        <v>44700</v>
      </c>
      <c r="Q1003" s="299" t="n">
        <v>6706.23</v>
      </c>
      <c r="R1003" s="299" t="n">
        <v>37993.77</v>
      </c>
      <c r="S1003" s="300" t="n">
        <v>0.150027516778524</v>
      </c>
      <c r="T1003" t="n">
        <v>20</v>
      </c>
      <c r="U1003" t="n">
        <v>2</v>
      </c>
      <c r="V1003" t="n">
        <v>100542.37</v>
      </c>
      <c r="W1003" s="300" t="n">
        <v>0.0982</v>
      </c>
      <c r="X1003" s="297" t="n">
        <v>43516</v>
      </c>
      <c r="Y1003">
        <f>IF(I1003="","No SIC",IFERROR(VLOOKUP(I1003,Ref!$A$2:$B$65,2,FALSE),"Unclassified"))</f>
        <v/>
      </c>
      <c r="Z1003">
        <f>IF(T1003="","",IF(T1003&lt;12,"Daily","Weekly"))</f>
        <v/>
      </c>
      <c r="AA1003">
        <f>IF(T1003="",0,IF(T1003&lt;12,T1003*Controls!$B$29,T1003*5))</f>
        <v/>
      </c>
      <c r="AB1003">
        <f>IF(E1003="",0,NETWORKDAYS(E1003,Controls!$B$36,Ref!$K$2:$K$42))</f>
        <v/>
      </c>
      <c r="AC1003">
        <f>IF(AND(AA1003&gt;0,AB1003&gt;=Controls!$B$39*AA1003),1,0)</f>
        <v/>
      </c>
      <c r="AD1003">
        <f>IF(AND(E1003&lt;&gt;"",E1003&gt;=Controls!$B$37,E1003&lt;=Controls!$B$38),1,0)</f>
        <v/>
      </c>
      <c r="AE1003">
        <f>IF(IFERROR(VLOOKUP(D1003,Controls!$A$64:$E$74,2,FALSE),"No")="Yes",1,0)</f>
        <v/>
      </c>
      <c r="AF1003">
        <f>IF(IFERROR(VLOOKUP(D1003,Controls!$A$64:$E$74,3,FALSE),"No")="Yes",1,0)</f>
        <v/>
      </c>
      <c r="AG1003">
        <f>IF(IFERROR(VLOOKUP(D1003,Controls!$A$64:$E$74,4,FALSE),"No")="Yes",1,0)</f>
        <v/>
      </c>
      <c r="AH1003">
        <f>IF(IFERROR(VLOOKUP(D1003,Controls!$A$64:$E$74,5,FALSE),"No")="Yes",1,0)</f>
        <v/>
      </c>
      <c r="AI1003">
        <f>IF(ISNUMBER(MATCH(D1003,Controls!$A$64:$A$74,0)),1,0)</f>
        <v/>
      </c>
      <c r="AJ1003">
        <f>Q1003-N1003</f>
        <v/>
      </c>
      <c r="AK1003">
        <f>IF(AE1003=1,MAX(0,N1003-Q1003),0)</f>
        <v/>
      </c>
      <c r="AL1003">
        <f>IF(OR(V1003="",V1003=0),0,N1003/V1003)</f>
        <v/>
      </c>
      <c r="AM1003">
        <f>IF(OR(V1003="",V1003=0),0,1)</f>
        <v/>
      </c>
      <c r="AN1003">
        <f>IF(OR(E1003="",F1003=""),0,NETWORKDAYS(E1003,F1003,Ref!$K$2:$K$42))</f>
        <v/>
      </c>
      <c r="AO1003">
        <f>IF(L1003="Renewal",1,0)</f>
        <v/>
      </c>
      <c r="AP1003">
        <f>AC1003*AD1003</f>
        <v/>
      </c>
      <c r="AQ1003">
        <f>IF(AND(G1003&lt;&gt;"",'Historical Score'!$C$6&lt;&gt;""),IF(G1003='Historical Score'!$C$6,1,0),0)</f>
        <v/>
      </c>
      <c r="AR1003">
        <f>IF(AND(L1003&lt;&gt;"",'Historical Score'!$C$5&lt;&gt;""),IF(L1003='Historical Score'!$C$5,1,0),0)</f>
        <v/>
      </c>
      <c r="AS1003">
        <f>IF(AND(Y1003&lt;&gt;"",'Historical Score'!$C$7&lt;&gt;""),IF(Y1003='Historical Score'!$C$7,1,0),0)</f>
        <v/>
      </c>
      <c r="AT1003">
        <f>IF(AND(K1003&lt;&gt;"",'Historical Score'!$C$8&lt;&gt;""),IF(K1003='Historical Score'!$C$8,1,0),0)</f>
        <v/>
      </c>
      <c r="AU1003">
        <f>IF(AND(J1003&lt;&gt;"",'Historical Score'!$C$9&lt;&gt;""),IF(J1003='Historical Score'!$C$9,1,0),0)</f>
        <v/>
      </c>
      <c r="AV1003">
        <f>AR1003*AS1003*AQ1003</f>
        <v/>
      </c>
      <c r="AW1003">
        <f>AR1003*AT1003*AQ1003</f>
        <v/>
      </c>
      <c r="AX1003">
        <f>AR1003*AS1003</f>
        <v/>
      </c>
      <c r="AY1003">
        <f>AR1003*AT1003</f>
        <v/>
      </c>
      <c r="AZ1003">
        <f>AR1003*AQ1003</f>
        <v/>
      </c>
      <c r="BA1003">
        <f>AR1003</f>
        <v/>
      </c>
      <c r="BB1003">
        <f>1</f>
        <v/>
      </c>
      <c r="BC1003">
        <f>IF(AV1003=1,1,IF(AW1003=1,2,IF(AX1003=1,3,IF(AY1003=1,4,IF(AZ1003=1,5,IF(BA1003=1,6,7))))))</f>
        <v/>
      </c>
      <c r="BD1003">
        <f>IF(AD1003=1,CHOOSE('Historical Score'!$C$29,AV1003,AW1003,AX1003,AY1003,AZ1003,BA1003,BB1003),0)</f>
        <v/>
      </c>
      <c r="BE1003">
        <f>IF(BD1003=1,COUNTIF($BD$2:BD1003,1),"")</f>
        <v/>
      </c>
    </row>
    <row r="1004">
      <c r="A1004" t="inlineStr">
        <is>
          <t>5674186738</t>
        </is>
      </c>
      <c r="B1004" t="inlineStr">
        <is>
          <t>Finish line diner</t>
        </is>
      </c>
      <c r="C1004" t="inlineStr">
        <is>
          <t>SUMER D BOOHER</t>
        </is>
      </c>
      <c r="D1004" t="inlineStr">
        <is>
          <t>Open</t>
        </is>
      </c>
      <c r="E1004" s="297" t="n">
        <v>46209</v>
      </c>
      <c r="F1004" s="297" t="n">
        <v>46253</v>
      </c>
      <c r="G1004" t="n">
        <v>3</v>
      </c>
      <c r="H1004" t="inlineStr">
        <is>
          <t>5812</t>
        </is>
      </c>
      <c r="I1004" t="inlineStr">
        <is>
          <t>58</t>
        </is>
      </c>
      <c r="J1004" t="inlineStr">
        <is>
          <t>TN</t>
        </is>
      </c>
      <c r="K1004" t="inlineStr">
        <is>
          <t>peach tree capital</t>
        </is>
      </c>
      <c r="L1004" t="inlineStr">
        <is>
          <t>New Deal</t>
        </is>
      </c>
      <c r="M1004" s="298" t="n">
        <v>1.49</v>
      </c>
      <c r="N1004" s="299" t="n">
        <v>8000</v>
      </c>
      <c r="O1004" s="299" t="n">
        <v>1120</v>
      </c>
      <c r="P1004" s="299" t="n">
        <v>11920</v>
      </c>
      <c r="Q1004" s="299" t="n">
        <v>4925.59</v>
      </c>
      <c r="R1004" s="299" t="n">
        <v>6994.41</v>
      </c>
      <c r="S1004" s="300" t="n">
        <v>0.413220637583893</v>
      </c>
      <c r="T1004" t="n">
        <v>2.459</v>
      </c>
      <c r="U1004" t="n">
        <v>1</v>
      </c>
      <c r="V1004" t="n">
        <v>31597.8</v>
      </c>
      <c r="W1004" s="300" t="n">
        <v>0.1056</v>
      </c>
      <c r="X1004" s="297" t="n">
        <v>42962</v>
      </c>
      <c r="Y1004">
        <f>IF(I1004="","No SIC",IFERROR(VLOOKUP(I1004,Ref!$A$2:$B$65,2,FALSE),"Unclassified"))</f>
        <v/>
      </c>
      <c r="Z1004">
        <f>IF(T1004="","",IF(T1004&lt;12,"Daily","Weekly"))</f>
        <v/>
      </c>
      <c r="AA1004">
        <f>IF(T1004="",0,IF(T1004&lt;12,T1004*Controls!$B$29,T1004*5))</f>
        <v/>
      </c>
      <c r="AB1004">
        <f>IF(E1004="",0,NETWORKDAYS(E1004,Controls!$B$36,Ref!$K$2:$K$42))</f>
        <v/>
      </c>
      <c r="AC1004">
        <f>IF(AND(AA1004&gt;0,AB1004&gt;=Controls!$B$39*AA1004),1,0)</f>
        <v/>
      </c>
      <c r="AD1004">
        <f>IF(AND(E1004&lt;&gt;"",E1004&gt;=Controls!$B$37,E1004&lt;=Controls!$B$38),1,0)</f>
        <v/>
      </c>
      <c r="AE1004">
        <f>IF(IFERROR(VLOOKUP(D1004,Controls!$A$64:$E$74,2,FALSE),"No")="Yes",1,0)</f>
        <v/>
      </c>
      <c r="AF1004">
        <f>IF(IFERROR(VLOOKUP(D1004,Controls!$A$64:$E$74,3,FALSE),"No")="Yes",1,0)</f>
        <v/>
      </c>
      <c r="AG1004">
        <f>IF(IFERROR(VLOOKUP(D1004,Controls!$A$64:$E$74,4,FALSE),"No")="Yes",1,0)</f>
        <v/>
      </c>
      <c r="AH1004">
        <f>IF(IFERROR(VLOOKUP(D1004,Controls!$A$64:$E$74,5,FALSE),"No")="Yes",1,0)</f>
        <v/>
      </c>
      <c r="AI1004">
        <f>IF(ISNUMBER(MATCH(D1004,Controls!$A$64:$A$74,0)),1,0)</f>
        <v/>
      </c>
      <c r="AJ1004">
        <f>Q1004-N1004</f>
        <v/>
      </c>
      <c r="AK1004">
        <f>IF(AE1004=1,MAX(0,N1004-Q1004),0)</f>
        <v/>
      </c>
      <c r="AL1004">
        <f>IF(OR(V1004="",V1004=0),0,N1004/V1004)</f>
        <v/>
      </c>
      <c r="AM1004">
        <f>IF(OR(V1004="",V1004=0),0,1)</f>
        <v/>
      </c>
      <c r="AN1004">
        <f>IF(OR(E1004="",F1004=""),0,NETWORKDAYS(E1004,F1004,Ref!$K$2:$K$42))</f>
        <v/>
      </c>
      <c r="AO1004">
        <f>IF(L1004="Renewal",1,0)</f>
        <v/>
      </c>
      <c r="AP1004">
        <f>AC1004*AD1004</f>
        <v/>
      </c>
      <c r="AQ1004">
        <f>IF(AND(G1004&lt;&gt;"",'Historical Score'!$C$6&lt;&gt;""),IF(G1004='Historical Score'!$C$6,1,0),0)</f>
        <v/>
      </c>
      <c r="AR1004">
        <f>IF(AND(L1004&lt;&gt;"",'Historical Score'!$C$5&lt;&gt;""),IF(L1004='Historical Score'!$C$5,1,0),0)</f>
        <v/>
      </c>
      <c r="AS1004">
        <f>IF(AND(Y1004&lt;&gt;"",'Historical Score'!$C$7&lt;&gt;""),IF(Y1004='Historical Score'!$C$7,1,0),0)</f>
        <v/>
      </c>
      <c r="AT1004">
        <f>IF(AND(K1004&lt;&gt;"",'Historical Score'!$C$8&lt;&gt;""),IF(K1004='Historical Score'!$C$8,1,0),0)</f>
        <v/>
      </c>
      <c r="AU1004">
        <f>IF(AND(J1004&lt;&gt;"",'Historical Score'!$C$9&lt;&gt;""),IF(J1004='Historical Score'!$C$9,1,0),0)</f>
        <v/>
      </c>
      <c r="AV1004">
        <f>AR1004*AS1004*AQ1004</f>
        <v/>
      </c>
      <c r="AW1004">
        <f>AR1004*AT1004*AQ1004</f>
        <v/>
      </c>
      <c r="AX1004">
        <f>AR1004*AS1004</f>
        <v/>
      </c>
      <c r="AY1004">
        <f>AR1004*AT1004</f>
        <v/>
      </c>
      <c r="AZ1004">
        <f>AR1004*AQ1004</f>
        <v/>
      </c>
      <c r="BA1004">
        <f>AR1004</f>
        <v/>
      </c>
      <c r="BB1004">
        <f>1</f>
        <v/>
      </c>
      <c r="BC1004">
        <f>IF(AV1004=1,1,IF(AW1004=1,2,IF(AX1004=1,3,IF(AY1004=1,4,IF(AZ1004=1,5,IF(BA1004=1,6,7))))))</f>
        <v/>
      </c>
      <c r="BD1004">
        <f>IF(AD1004=1,CHOOSE('Historical Score'!$C$29,AV1004,AW1004,AX1004,AY1004,AZ1004,BA1004,BB1004),0)</f>
        <v/>
      </c>
      <c r="BE1004">
        <f>IF(BD1004=1,COUNTIF($BD$2:BD1004,1),"")</f>
        <v/>
      </c>
    </row>
    <row r="1005">
      <c r="A1005" t="inlineStr">
        <is>
          <t>5674186773</t>
        </is>
      </c>
      <c r="B1005" t="inlineStr">
        <is>
          <t>Transporte Jose Baez Corp</t>
        </is>
      </c>
      <c r="C1005" t="inlineStr">
        <is>
          <t>Transporte Jose Baez Corp</t>
        </is>
      </c>
      <c r="D1005" t="inlineStr">
        <is>
          <t>Open</t>
        </is>
      </c>
      <c r="E1005" s="297" t="n">
        <v>46210</v>
      </c>
      <c r="F1005" s="297" t="n">
        <v>46253</v>
      </c>
      <c r="G1005" t="n">
        <v>3</v>
      </c>
      <c r="H1005" t="inlineStr">
        <is>
          <t>4212</t>
        </is>
      </c>
      <c r="I1005" t="inlineStr">
        <is>
          <t>42</t>
        </is>
      </c>
      <c r="J1005" t="inlineStr">
        <is>
          <t>PR</t>
        </is>
      </c>
      <c r="K1005" t="inlineStr">
        <is>
          <t>Westwood</t>
        </is>
      </c>
      <c r="L1005" t="inlineStr">
        <is>
          <t>New Deal</t>
        </is>
      </c>
      <c r="M1005" s="298" t="n">
        <v>1.49</v>
      </c>
      <c r="N1005" s="299" t="n">
        <v>5000</v>
      </c>
      <c r="O1005" s="299" t="n">
        <v>700</v>
      </c>
      <c r="P1005" s="299" t="n">
        <v>7450</v>
      </c>
      <c r="Q1005" s="299" t="n">
        <v>1989.12</v>
      </c>
      <c r="R1005" s="299" t="n">
        <v>5460.88</v>
      </c>
      <c r="S1005" s="300" t="n">
        <v>0.266995973154362</v>
      </c>
      <c r="T1005" t="n">
        <v>3.934</v>
      </c>
      <c r="U1005" t="n">
        <v>0</v>
      </c>
      <c r="V1005" t="n">
        <v>64622.8</v>
      </c>
      <c r="W1005" s="300" t="n">
        <v>0.0202</v>
      </c>
      <c r="X1005" s="297" t="n">
        <v>39262</v>
      </c>
      <c r="Y1005">
        <f>IF(I1005="","No SIC",IFERROR(VLOOKUP(I1005,Ref!$A$2:$B$65,2,FALSE),"Unclassified"))</f>
        <v/>
      </c>
      <c r="Z1005">
        <f>IF(T1005="","",IF(T1005&lt;12,"Daily","Weekly"))</f>
        <v/>
      </c>
      <c r="AA1005">
        <f>IF(T1005="",0,IF(T1005&lt;12,T1005*Controls!$B$29,T1005*5))</f>
        <v/>
      </c>
      <c r="AB1005">
        <f>IF(E1005="",0,NETWORKDAYS(E1005,Controls!$B$36,Ref!$K$2:$K$42))</f>
        <v/>
      </c>
      <c r="AC1005">
        <f>IF(AND(AA1005&gt;0,AB1005&gt;=Controls!$B$39*AA1005),1,0)</f>
        <v/>
      </c>
      <c r="AD1005">
        <f>IF(AND(E1005&lt;&gt;"",E1005&gt;=Controls!$B$37,E1005&lt;=Controls!$B$38),1,0)</f>
        <v/>
      </c>
      <c r="AE1005">
        <f>IF(IFERROR(VLOOKUP(D1005,Controls!$A$64:$E$74,2,FALSE),"No")="Yes",1,0)</f>
        <v/>
      </c>
      <c r="AF1005">
        <f>IF(IFERROR(VLOOKUP(D1005,Controls!$A$64:$E$74,3,FALSE),"No")="Yes",1,0)</f>
        <v/>
      </c>
      <c r="AG1005">
        <f>IF(IFERROR(VLOOKUP(D1005,Controls!$A$64:$E$74,4,FALSE),"No")="Yes",1,0)</f>
        <v/>
      </c>
      <c r="AH1005">
        <f>IF(IFERROR(VLOOKUP(D1005,Controls!$A$64:$E$74,5,FALSE),"No")="Yes",1,0)</f>
        <v/>
      </c>
      <c r="AI1005">
        <f>IF(ISNUMBER(MATCH(D1005,Controls!$A$64:$A$74,0)),1,0)</f>
        <v/>
      </c>
      <c r="AJ1005">
        <f>Q1005-N1005</f>
        <v/>
      </c>
      <c r="AK1005">
        <f>IF(AE1005=1,MAX(0,N1005-Q1005),0)</f>
        <v/>
      </c>
      <c r="AL1005">
        <f>IF(OR(V1005="",V1005=0),0,N1005/V1005)</f>
        <v/>
      </c>
      <c r="AM1005">
        <f>IF(OR(V1005="",V1005=0),0,1)</f>
        <v/>
      </c>
      <c r="AN1005">
        <f>IF(OR(E1005="",F1005=""),0,NETWORKDAYS(E1005,F1005,Ref!$K$2:$K$42))</f>
        <v/>
      </c>
      <c r="AO1005">
        <f>IF(L1005="Renewal",1,0)</f>
        <v/>
      </c>
      <c r="AP1005">
        <f>AC1005*AD1005</f>
        <v/>
      </c>
      <c r="AQ1005">
        <f>IF(AND(G1005&lt;&gt;"",'Historical Score'!$C$6&lt;&gt;""),IF(G1005='Historical Score'!$C$6,1,0),0)</f>
        <v/>
      </c>
      <c r="AR1005">
        <f>IF(AND(L1005&lt;&gt;"",'Historical Score'!$C$5&lt;&gt;""),IF(L1005='Historical Score'!$C$5,1,0),0)</f>
        <v/>
      </c>
      <c r="AS1005">
        <f>IF(AND(Y1005&lt;&gt;"",'Historical Score'!$C$7&lt;&gt;""),IF(Y1005='Historical Score'!$C$7,1,0),0)</f>
        <v/>
      </c>
      <c r="AT1005">
        <f>IF(AND(K1005&lt;&gt;"",'Historical Score'!$C$8&lt;&gt;""),IF(K1005='Historical Score'!$C$8,1,0),0)</f>
        <v/>
      </c>
      <c r="AU1005">
        <f>IF(AND(J1005&lt;&gt;"",'Historical Score'!$C$9&lt;&gt;""),IF(J1005='Historical Score'!$C$9,1,0),0)</f>
        <v/>
      </c>
      <c r="AV1005">
        <f>AR1005*AS1005*AQ1005</f>
        <v/>
      </c>
      <c r="AW1005">
        <f>AR1005*AT1005*AQ1005</f>
        <v/>
      </c>
      <c r="AX1005">
        <f>AR1005*AS1005</f>
        <v/>
      </c>
      <c r="AY1005">
        <f>AR1005*AT1005</f>
        <v/>
      </c>
      <c r="AZ1005">
        <f>AR1005*AQ1005</f>
        <v/>
      </c>
      <c r="BA1005">
        <f>AR1005</f>
        <v/>
      </c>
      <c r="BB1005">
        <f>1</f>
        <v/>
      </c>
      <c r="BC1005">
        <f>IF(AV1005=1,1,IF(AW1005=1,2,IF(AX1005=1,3,IF(AY1005=1,4,IF(AZ1005=1,5,IF(BA1005=1,6,7))))))</f>
        <v/>
      </c>
      <c r="BD1005">
        <f>IF(AD1005=1,CHOOSE('Historical Score'!$C$29,AV1005,AW1005,AX1005,AY1005,AZ1005,BA1005,BB1005),0)</f>
        <v/>
      </c>
      <c r="BE1005">
        <f>IF(BD1005=1,COUNTIF($BD$2:BD1005,1),"")</f>
        <v/>
      </c>
    </row>
    <row r="1006">
      <c r="A1006" t="inlineStr">
        <is>
          <t>5674186776</t>
        </is>
      </c>
      <c r="B1006" t="inlineStr">
        <is>
          <t>AERODESIGN SERVICES DBA ADS</t>
        </is>
      </c>
      <c r="C1006" t="inlineStr">
        <is>
          <t>AeroDesign Services LLC</t>
        </is>
      </c>
      <c r="D1006" t="inlineStr">
        <is>
          <t>Open</t>
        </is>
      </c>
      <c r="E1006" s="297" t="n">
        <v>46210</v>
      </c>
      <c r="F1006" s="297" t="n">
        <v>46253</v>
      </c>
      <c r="G1006" t="n">
        <v>3</v>
      </c>
      <c r="H1006" t="inlineStr">
        <is>
          <t>3728</t>
        </is>
      </c>
      <c r="I1006" t="inlineStr">
        <is>
          <t>37</t>
        </is>
      </c>
      <c r="J1006" t="inlineStr">
        <is>
          <t>MI</t>
        </is>
      </c>
      <c r="K1006" t="inlineStr">
        <is>
          <t>FireLine Funding</t>
        </is>
      </c>
      <c r="L1006" t="inlineStr">
        <is>
          <t>New Deal</t>
        </is>
      </c>
      <c r="M1006" s="298" t="n">
        <v>1.49</v>
      </c>
      <c r="N1006" s="299" t="n">
        <v>100000</v>
      </c>
      <c r="O1006" s="299" t="n">
        <v>14000</v>
      </c>
      <c r="P1006" s="299" t="n">
        <v>149000</v>
      </c>
      <c r="Q1006" s="299" t="n">
        <v>25545.42</v>
      </c>
      <c r="R1006" s="299" t="n">
        <v>123454.58</v>
      </c>
      <c r="S1006" s="300" t="n">
        <v>0.171445771812081</v>
      </c>
      <c r="T1006" t="n">
        <v>35</v>
      </c>
      <c r="U1006" t="n">
        <v>0</v>
      </c>
      <c r="V1006" t="n">
        <v>290619.15</v>
      </c>
      <c r="W1006" s="300" t="n">
        <v>0.0586</v>
      </c>
      <c r="X1006" s="297" t="n">
        <v>37347</v>
      </c>
      <c r="Y1006">
        <f>IF(I1006="","No SIC",IFERROR(VLOOKUP(I1006,Ref!$A$2:$B$65,2,FALSE),"Unclassified"))</f>
        <v/>
      </c>
      <c r="Z1006">
        <f>IF(T1006="","",IF(T1006&lt;12,"Daily","Weekly"))</f>
        <v/>
      </c>
      <c r="AA1006">
        <f>IF(T1006="",0,IF(T1006&lt;12,T1006*Controls!$B$29,T1006*5))</f>
        <v/>
      </c>
      <c r="AB1006">
        <f>IF(E1006="",0,NETWORKDAYS(E1006,Controls!$B$36,Ref!$K$2:$K$42))</f>
        <v/>
      </c>
      <c r="AC1006">
        <f>IF(AND(AA1006&gt;0,AB1006&gt;=Controls!$B$39*AA1006),1,0)</f>
        <v/>
      </c>
      <c r="AD1006">
        <f>IF(AND(E1006&lt;&gt;"",E1006&gt;=Controls!$B$37,E1006&lt;=Controls!$B$38),1,0)</f>
        <v/>
      </c>
      <c r="AE1006">
        <f>IF(IFERROR(VLOOKUP(D1006,Controls!$A$64:$E$74,2,FALSE),"No")="Yes",1,0)</f>
        <v/>
      </c>
      <c r="AF1006">
        <f>IF(IFERROR(VLOOKUP(D1006,Controls!$A$64:$E$74,3,FALSE),"No")="Yes",1,0)</f>
        <v/>
      </c>
      <c r="AG1006">
        <f>IF(IFERROR(VLOOKUP(D1006,Controls!$A$64:$E$74,4,FALSE),"No")="Yes",1,0)</f>
        <v/>
      </c>
      <c r="AH1006">
        <f>IF(IFERROR(VLOOKUP(D1006,Controls!$A$64:$E$74,5,FALSE),"No")="Yes",1,0)</f>
        <v/>
      </c>
      <c r="AI1006">
        <f>IF(ISNUMBER(MATCH(D1006,Controls!$A$64:$A$74,0)),1,0)</f>
        <v/>
      </c>
      <c r="AJ1006">
        <f>Q1006-N1006</f>
        <v/>
      </c>
      <c r="AK1006">
        <f>IF(AE1006=1,MAX(0,N1006-Q1006),0)</f>
        <v/>
      </c>
      <c r="AL1006">
        <f>IF(OR(V1006="",V1006=0),0,N1006/V1006)</f>
        <v/>
      </c>
      <c r="AM1006">
        <f>IF(OR(V1006="",V1006=0),0,1)</f>
        <v/>
      </c>
      <c r="AN1006">
        <f>IF(OR(E1006="",F1006=""),0,NETWORKDAYS(E1006,F1006,Ref!$K$2:$K$42))</f>
        <v/>
      </c>
      <c r="AO1006">
        <f>IF(L1006="Renewal",1,0)</f>
        <v/>
      </c>
      <c r="AP1006">
        <f>AC1006*AD1006</f>
        <v/>
      </c>
      <c r="AQ1006">
        <f>IF(AND(G1006&lt;&gt;"",'Historical Score'!$C$6&lt;&gt;""),IF(G1006='Historical Score'!$C$6,1,0),0)</f>
        <v/>
      </c>
      <c r="AR1006">
        <f>IF(AND(L1006&lt;&gt;"",'Historical Score'!$C$5&lt;&gt;""),IF(L1006='Historical Score'!$C$5,1,0),0)</f>
        <v/>
      </c>
      <c r="AS1006">
        <f>IF(AND(Y1006&lt;&gt;"",'Historical Score'!$C$7&lt;&gt;""),IF(Y1006='Historical Score'!$C$7,1,0),0)</f>
        <v/>
      </c>
      <c r="AT1006">
        <f>IF(AND(K1006&lt;&gt;"",'Historical Score'!$C$8&lt;&gt;""),IF(K1006='Historical Score'!$C$8,1,0),0)</f>
        <v/>
      </c>
      <c r="AU1006">
        <f>IF(AND(J1006&lt;&gt;"",'Historical Score'!$C$9&lt;&gt;""),IF(J1006='Historical Score'!$C$9,1,0),0)</f>
        <v/>
      </c>
      <c r="AV1006">
        <f>AR1006*AS1006*AQ1006</f>
        <v/>
      </c>
      <c r="AW1006">
        <f>AR1006*AT1006*AQ1006</f>
        <v/>
      </c>
      <c r="AX1006">
        <f>AR1006*AS1006</f>
        <v/>
      </c>
      <c r="AY1006">
        <f>AR1006*AT1006</f>
        <v/>
      </c>
      <c r="AZ1006">
        <f>AR1006*AQ1006</f>
        <v/>
      </c>
      <c r="BA1006">
        <f>AR1006</f>
        <v/>
      </c>
      <c r="BB1006">
        <f>1</f>
        <v/>
      </c>
      <c r="BC1006">
        <f>IF(AV1006=1,1,IF(AW1006=1,2,IF(AX1006=1,3,IF(AY1006=1,4,IF(AZ1006=1,5,IF(BA1006=1,6,7))))))</f>
        <v/>
      </c>
      <c r="BD1006">
        <f>IF(AD1006=1,CHOOSE('Historical Score'!$C$29,AV1006,AW1006,AX1006,AY1006,AZ1006,BA1006,BB1006),0)</f>
        <v/>
      </c>
      <c r="BE1006">
        <f>IF(BD1006=1,COUNTIF($BD$2:BD1006,1),"")</f>
        <v/>
      </c>
    </row>
    <row r="1007">
      <c r="A1007" t="inlineStr">
        <is>
          <t>5674186785</t>
        </is>
      </c>
      <c r="B1007" t="inlineStr">
        <is>
          <t>Browns logging LLC</t>
        </is>
      </c>
      <c r="C1007" t="inlineStr">
        <is>
          <t>Browns logging LLC</t>
        </is>
      </c>
      <c r="D1007" t="inlineStr">
        <is>
          <t>Open</t>
        </is>
      </c>
      <c r="E1007" s="297" t="n">
        <v>46210</v>
      </c>
      <c r="F1007" s="297" t="n">
        <v>46253</v>
      </c>
      <c r="G1007" t="n">
        <v>3</v>
      </c>
      <c r="H1007" t="inlineStr">
        <is>
          <t>2411</t>
        </is>
      </c>
      <c r="I1007" t="inlineStr">
        <is>
          <t>24</t>
        </is>
      </c>
      <c r="J1007" t="inlineStr">
        <is>
          <t>TX</t>
        </is>
      </c>
      <c r="K1007" t="inlineStr">
        <is>
          <t>Fundwell</t>
        </is>
      </c>
      <c r="L1007" t="inlineStr">
        <is>
          <t>New Deal</t>
        </is>
      </c>
      <c r="M1007" s="298" t="n">
        <v>1.49</v>
      </c>
      <c r="N1007" s="299" t="n">
        <v>8000</v>
      </c>
      <c r="O1007" s="299" t="n">
        <v>1120</v>
      </c>
      <c r="P1007" s="299" t="n">
        <v>11920</v>
      </c>
      <c r="Q1007" s="299" t="n">
        <v>3632</v>
      </c>
      <c r="R1007" s="299" t="n">
        <v>8288</v>
      </c>
      <c r="S1007" s="300" t="n">
        <v>0.304697986577181</v>
      </c>
      <c r="T1007" t="n">
        <v>3.443</v>
      </c>
      <c r="U1007" t="n">
        <v>0</v>
      </c>
      <c r="V1007" t="n">
        <v>20000</v>
      </c>
      <c r="W1007" s="300" t="n">
        <v>0.1135</v>
      </c>
      <c r="X1007" s="297" t="n">
        <v>45323</v>
      </c>
      <c r="Y1007">
        <f>IF(I1007="","No SIC",IFERROR(VLOOKUP(I1007,Ref!$A$2:$B$65,2,FALSE),"Unclassified"))</f>
        <v/>
      </c>
      <c r="Z1007">
        <f>IF(T1007="","",IF(T1007&lt;12,"Daily","Weekly"))</f>
        <v/>
      </c>
      <c r="AA1007">
        <f>IF(T1007="",0,IF(T1007&lt;12,T1007*Controls!$B$29,T1007*5))</f>
        <v/>
      </c>
      <c r="AB1007">
        <f>IF(E1007="",0,NETWORKDAYS(E1007,Controls!$B$36,Ref!$K$2:$K$42))</f>
        <v/>
      </c>
      <c r="AC1007">
        <f>IF(AND(AA1007&gt;0,AB1007&gt;=Controls!$B$39*AA1007),1,0)</f>
        <v/>
      </c>
      <c r="AD1007">
        <f>IF(AND(E1007&lt;&gt;"",E1007&gt;=Controls!$B$37,E1007&lt;=Controls!$B$38),1,0)</f>
        <v/>
      </c>
      <c r="AE1007">
        <f>IF(IFERROR(VLOOKUP(D1007,Controls!$A$64:$E$74,2,FALSE),"No")="Yes",1,0)</f>
        <v/>
      </c>
      <c r="AF1007">
        <f>IF(IFERROR(VLOOKUP(D1007,Controls!$A$64:$E$74,3,FALSE),"No")="Yes",1,0)</f>
        <v/>
      </c>
      <c r="AG1007">
        <f>IF(IFERROR(VLOOKUP(D1007,Controls!$A$64:$E$74,4,FALSE),"No")="Yes",1,0)</f>
        <v/>
      </c>
      <c r="AH1007">
        <f>IF(IFERROR(VLOOKUP(D1007,Controls!$A$64:$E$74,5,FALSE),"No")="Yes",1,0)</f>
        <v/>
      </c>
      <c r="AI1007">
        <f>IF(ISNUMBER(MATCH(D1007,Controls!$A$64:$A$74,0)),1,0)</f>
        <v/>
      </c>
      <c r="AJ1007">
        <f>Q1007-N1007</f>
        <v/>
      </c>
      <c r="AK1007">
        <f>IF(AE1007=1,MAX(0,N1007-Q1007),0)</f>
        <v/>
      </c>
      <c r="AL1007">
        <f>IF(OR(V1007="",V1007=0),0,N1007/V1007)</f>
        <v/>
      </c>
      <c r="AM1007">
        <f>IF(OR(V1007="",V1007=0),0,1)</f>
        <v/>
      </c>
      <c r="AN1007">
        <f>IF(OR(E1007="",F1007=""),0,NETWORKDAYS(E1007,F1007,Ref!$K$2:$K$42))</f>
        <v/>
      </c>
      <c r="AO1007">
        <f>IF(L1007="Renewal",1,0)</f>
        <v/>
      </c>
      <c r="AP1007">
        <f>AC1007*AD1007</f>
        <v/>
      </c>
      <c r="AQ1007">
        <f>IF(AND(G1007&lt;&gt;"",'Historical Score'!$C$6&lt;&gt;""),IF(G1007='Historical Score'!$C$6,1,0),0)</f>
        <v/>
      </c>
      <c r="AR1007">
        <f>IF(AND(L1007&lt;&gt;"",'Historical Score'!$C$5&lt;&gt;""),IF(L1007='Historical Score'!$C$5,1,0),0)</f>
        <v/>
      </c>
      <c r="AS1007">
        <f>IF(AND(Y1007&lt;&gt;"",'Historical Score'!$C$7&lt;&gt;""),IF(Y1007='Historical Score'!$C$7,1,0),0)</f>
        <v/>
      </c>
      <c r="AT1007">
        <f>IF(AND(K1007&lt;&gt;"",'Historical Score'!$C$8&lt;&gt;""),IF(K1007='Historical Score'!$C$8,1,0),0)</f>
        <v/>
      </c>
      <c r="AU1007">
        <f>IF(AND(J1007&lt;&gt;"",'Historical Score'!$C$9&lt;&gt;""),IF(J1007='Historical Score'!$C$9,1,0),0)</f>
        <v/>
      </c>
      <c r="AV1007">
        <f>AR1007*AS1007*AQ1007</f>
        <v/>
      </c>
      <c r="AW1007">
        <f>AR1007*AT1007*AQ1007</f>
        <v/>
      </c>
      <c r="AX1007">
        <f>AR1007*AS1007</f>
        <v/>
      </c>
      <c r="AY1007">
        <f>AR1007*AT1007</f>
        <v/>
      </c>
      <c r="AZ1007">
        <f>AR1007*AQ1007</f>
        <v/>
      </c>
      <c r="BA1007">
        <f>AR1007</f>
        <v/>
      </c>
      <c r="BB1007">
        <f>1</f>
        <v/>
      </c>
      <c r="BC1007">
        <f>IF(AV1007=1,1,IF(AW1007=1,2,IF(AX1007=1,3,IF(AY1007=1,4,IF(AZ1007=1,5,IF(BA1007=1,6,7))))))</f>
        <v/>
      </c>
      <c r="BD1007">
        <f>IF(AD1007=1,CHOOSE('Historical Score'!$C$29,AV1007,AW1007,AX1007,AY1007,AZ1007,BA1007,BB1007),0)</f>
        <v/>
      </c>
      <c r="BE1007">
        <f>IF(BD1007=1,COUNTIF($BD$2:BD1007,1),"")</f>
        <v/>
      </c>
    </row>
    <row r="1008">
      <c r="A1008" t="inlineStr">
        <is>
          <t>5674186794</t>
        </is>
      </c>
      <c r="B1008" t="inlineStr">
        <is>
          <t>GREASE MONKEY, GREASE MONKEY OF PENDLETON</t>
        </is>
      </c>
      <c r="C1008" t="inlineStr">
        <is>
          <t>Grease Monkey</t>
        </is>
      </c>
      <c r="D1008" t="inlineStr">
        <is>
          <t>Open</t>
        </is>
      </c>
      <c r="E1008" s="297" t="n">
        <v>46210</v>
      </c>
      <c r="F1008" s="297" t="n">
        <v>46241</v>
      </c>
      <c r="G1008" t="n">
        <v>3</v>
      </c>
      <c r="H1008" t="inlineStr">
        <is>
          <t>7533</t>
        </is>
      </c>
      <c r="I1008" t="inlineStr">
        <is>
          <t>75</t>
        </is>
      </c>
      <c r="J1008" t="inlineStr">
        <is>
          <t>SC</t>
        </is>
      </c>
      <c r="K1008" t="inlineStr">
        <is>
          <t>elite finance team</t>
        </is>
      </c>
      <c r="L1008" t="inlineStr">
        <is>
          <t>New Deal</t>
        </is>
      </c>
      <c r="M1008" s="298" t="n">
        <v>1.35</v>
      </c>
      <c r="N1008" s="299" t="n">
        <v>20000</v>
      </c>
      <c r="O1008" s="299" t="n">
        <v>0</v>
      </c>
      <c r="P1008" s="299" t="n">
        <v>27000</v>
      </c>
      <c r="Q1008" s="299" t="n">
        <v>2250.36</v>
      </c>
      <c r="R1008" s="299" t="n">
        <v>24749.64</v>
      </c>
      <c r="S1008" s="300" t="n">
        <v>0.08334666666666669</v>
      </c>
      <c r="T1008" t="n">
        <v>24</v>
      </c>
      <c r="U1008" t="n">
        <v>8</v>
      </c>
      <c r="V1008" t="n">
        <v>64851.96</v>
      </c>
      <c r="W1008" s="300" t="n">
        <v>0.0694</v>
      </c>
      <c r="X1008" s="297" t="n">
        <v>45505</v>
      </c>
      <c r="Y1008">
        <f>IF(I1008="","No SIC",IFERROR(VLOOKUP(I1008,Ref!$A$2:$B$65,2,FALSE),"Unclassified"))</f>
        <v/>
      </c>
      <c r="Z1008">
        <f>IF(T1008="","",IF(T1008&lt;12,"Daily","Weekly"))</f>
        <v/>
      </c>
      <c r="AA1008">
        <f>IF(T1008="",0,IF(T1008&lt;12,T1008*Controls!$B$29,T1008*5))</f>
        <v/>
      </c>
      <c r="AB1008">
        <f>IF(E1008="",0,NETWORKDAYS(E1008,Controls!$B$36,Ref!$K$2:$K$42))</f>
        <v/>
      </c>
      <c r="AC1008">
        <f>IF(AND(AA1008&gt;0,AB1008&gt;=Controls!$B$39*AA1008),1,0)</f>
        <v/>
      </c>
      <c r="AD1008">
        <f>IF(AND(E1008&lt;&gt;"",E1008&gt;=Controls!$B$37,E1008&lt;=Controls!$B$38),1,0)</f>
        <v/>
      </c>
      <c r="AE1008">
        <f>IF(IFERROR(VLOOKUP(D1008,Controls!$A$64:$E$74,2,FALSE),"No")="Yes",1,0)</f>
        <v/>
      </c>
      <c r="AF1008">
        <f>IF(IFERROR(VLOOKUP(D1008,Controls!$A$64:$E$74,3,FALSE),"No")="Yes",1,0)</f>
        <v/>
      </c>
      <c r="AG1008">
        <f>IF(IFERROR(VLOOKUP(D1008,Controls!$A$64:$E$74,4,FALSE),"No")="Yes",1,0)</f>
        <v/>
      </c>
      <c r="AH1008">
        <f>IF(IFERROR(VLOOKUP(D1008,Controls!$A$64:$E$74,5,FALSE),"No")="Yes",1,0)</f>
        <v/>
      </c>
      <c r="AI1008">
        <f>IF(ISNUMBER(MATCH(D1008,Controls!$A$64:$A$74,0)),1,0)</f>
        <v/>
      </c>
      <c r="AJ1008">
        <f>Q1008-N1008</f>
        <v/>
      </c>
      <c r="AK1008">
        <f>IF(AE1008=1,MAX(0,N1008-Q1008),0)</f>
        <v/>
      </c>
      <c r="AL1008">
        <f>IF(OR(V1008="",V1008=0),0,N1008/V1008)</f>
        <v/>
      </c>
      <c r="AM1008">
        <f>IF(OR(V1008="",V1008=0),0,1)</f>
        <v/>
      </c>
      <c r="AN1008">
        <f>IF(OR(E1008="",F1008=""),0,NETWORKDAYS(E1008,F1008,Ref!$K$2:$K$42))</f>
        <v/>
      </c>
      <c r="AO1008">
        <f>IF(L1008="Renewal",1,0)</f>
        <v/>
      </c>
      <c r="AP1008">
        <f>AC1008*AD1008</f>
        <v/>
      </c>
      <c r="AQ1008">
        <f>IF(AND(G1008&lt;&gt;"",'Historical Score'!$C$6&lt;&gt;""),IF(G1008='Historical Score'!$C$6,1,0),0)</f>
        <v/>
      </c>
      <c r="AR1008">
        <f>IF(AND(L1008&lt;&gt;"",'Historical Score'!$C$5&lt;&gt;""),IF(L1008='Historical Score'!$C$5,1,0),0)</f>
        <v/>
      </c>
      <c r="AS1008">
        <f>IF(AND(Y1008&lt;&gt;"",'Historical Score'!$C$7&lt;&gt;""),IF(Y1008='Historical Score'!$C$7,1,0),0)</f>
        <v/>
      </c>
      <c r="AT1008">
        <f>IF(AND(K1008&lt;&gt;"",'Historical Score'!$C$8&lt;&gt;""),IF(K1008='Historical Score'!$C$8,1,0),0)</f>
        <v/>
      </c>
      <c r="AU1008">
        <f>IF(AND(J1008&lt;&gt;"",'Historical Score'!$C$9&lt;&gt;""),IF(J1008='Historical Score'!$C$9,1,0),0)</f>
        <v/>
      </c>
      <c r="AV1008">
        <f>AR1008*AS1008*AQ1008</f>
        <v/>
      </c>
      <c r="AW1008">
        <f>AR1008*AT1008*AQ1008</f>
        <v/>
      </c>
      <c r="AX1008">
        <f>AR1008*AS1008</f>
        <v/>
      </c>
      <c r="AY1008">
        <f>AR1008*AT1008</f>
        <v/>
      </c>
      <c r="AZ1008">
        <f>AR1008*AQ1008</f>
        <v/>
      </c>
      <c r="BA1008">
        <f>AR1008</f>
        <v/>
      </c>
      <c r="BB1008">
        <f>1</f>
        <v/>
      </c>
      <c r="BC1008">
        <f>IF(AV1008=1,1,IF(AW1008=1,2,IF(AX1008=1,3,IF(AY1008=1,4,IF(AZ1008=1,5,IF(BA1008=1,6,7))))))</f>
        <v/>
      </c>
      <c r="BD1008">
        <f>IF(AD1008=1,CHOOSE('Historical Score'!$C$29,AV1008,AW1008,AX1008,AY1008,AZ1008,BA1008,BB1008),0)</f>
        <v/>
      </c>
      <c r="BE1008">
        <f>IF(BD1008=1,COUNTIF($BD$2:BD1008,1),"")</f>
        <v/>
      </c>
    </row>
    <row r="1009">
      <c r="A1009" t="inlineStr">
        <is>
          <t>5674186838</t>
        </is>
      </c>
      <c r="B1009" t="inlineStr">
        <is>
          <t>ROLLS AND BOWLS SUSHI</t>
        </is>
      </c>
      <c r="C1009" t="inlineStr">
        <is>
          <t>Rolls and bowls Llc</t>
        </is>
      </c>
      <c r="D1009" t="inlineStr">
        <is>
          <t>Open</t>
        </is>
      </c>
      <c r="E1009" s="297" t="n">
        <v>46210</v>
      </c>
      <c r="F1009" s="297" t="n">
        <v>46248</v>
      </c>
      <c r="G1009" t="n">
        <v>2</v>
      </c>
      <c r="H1009" t="inlineStr">
        <is>
          <t>5812</t>
        </is>
      </c>
      <c r="I1009" t="inlineStr">
        <is>
          <t>58</t>
        </is>
      </c>
      <c r="J1009" t="inlineStr">
        <is>
          <t>AZ</t>
        </is>
      </c>
      <c r="K1009" t="inlineStr">
        <is>
          <t>PMF</t>
        </is>
      </c>
      <c r="L1009" t="inlineStr">
        <is>
          <t>New Deal</t>
        </is>
      </c>
      <c r="M1009" s="298" t="n">
        <v>1.4</v>
      </c>
      <c r="N1009" s="299" t="n">
        <v>70000</v>
      </c>
      <c r="O1009" s="299" t="n">
        <v>6650</v>
      </c>
      <c r="P1009" s="299" t="n">
        <v>98000</v>
      </c>
      <c r="Q1009" s="299" t="n">
        <v>16799.04</v>
      </c>
      <c r="R1009" s="299" t="n">
        <v>81200.96000000001</v>
      </c>
      <c r="S1009" s="300" t="n">
        <v>0.171418775510204</v>
      </c>
      <c r="T1009" t="n">
        <v>35</v>
      </c>
      <c r="U1009" t="n">
        <v>0</v>
      </c>
      <c r="V1009" t="n">
        <v>65531.76</v>
      </c>
      <c r="W1009" s="300" t="n">
        <v>0.1709</v>
      </c>
      <c r="X1009" s="297" t="n">
        <v>41814</v>
      </c>
      <c r="Y1009">
        <f>IF(I1009="","No SIC",IFERROR(VLOOKUP(I1009,Ref!$A$2:$B$65,2,FALSE),"Unclassified"))</f>
        <v/>
      </c>
      <c r="Z1009">
        <f>IF(T1009="","",IF(T1009&lt;12,"Daily","Weekly"))</f>
        <v/>
      </c>
      <c r="AA1009">
        <f>IF(T1009="",0,IF(T1009&lt;12,T1009*Controls!$B$29,T1009*5))</f>
        <v/>
      </c>
      <c r="AB1009">
        <f>IF(E1009="",0,NETWORKDAYS(E1009,Controls!$B$36,Ref!$K$2:$K$42))</f>
        <v/>
      </c>
      <c r="AC1009">
        <f>IF(AND(AA1009&gt;0,AB1009&gt;=Controls!$B$39*AA1009),1,0)</f>
        <v/>
      </c>
      <c r="AD1009">
        <f>IF(AND(E1009&lt;&gt;"",E1009&gt;=Controls!$B$37,E1009&lt;=Controls!$B$38),1,0)</f>
        <v/>
      </c>
      <c r="AE1009">
        <f>IF(IFERROR(VLOOKUP(D1009,Controls!$A$64:$E$74,2,FALSE),"No")="Yes",1,0)</f>
        <v/>
      </c>
      <c r="AF1009">
        <f>IF(IFERROR(VLOOKUP(D1009,Controls!$A$64:$E$74,3,FALSE),"No")="Yes",1,0)</f>
        <v/>
      </c>
      <c r="AG1009">
        <f>IF(IFERROR(VLOOKUP(D1009,Controls!$A$64:$E$74,4,FALSE),"No")="Yes",1,0)</f>
        <v/>
      </c>
      <c r="AH1009">
        <f>IF(IFERROR(VLOOKUP(D1009,Controls!$A$64:$E$74,5,FALSE),"No")="Yes",1,0)</f>
        <v/>
      </c>
      <c r="AI1009">
        <f>IF(ISNUMBER(MATCH(D1009,Controls!$A$64:$A$74,0)),1,0)</f>
        <v/>
      </c>
      <c r="AJ1009">
        <f>Q1009-N1009</f>
        <v/>
      </c>
      <c r="AK1009">
        <f>IF(AE1009=1,MAX(0,N1009-Q1009),0)</f>
        <v/>
      </c>
      <c r="AL1009">
        <f>IF(OR(V1009="",V1009=0),0,N1009/V1009)</f>
        <v/>
      </c>
      <c r="AM1009">
        <f>IF(OR(V1009="",V1009=0),0,1)</f>
        <v/>
      </c>
      <c r="AN1009">
        <f>IF(OR(E1009="",F1009=""),0,NETWORKDAYS(E1009,F1009,Ref!$K$2:$K$42))</f>
        <v/>
      </c>
      <c r="AO1009">
        <f>IF(L1009="Renewal",1,0)</f>
        <v/>
      </c>
      <c r="AP1009">
        <f>AC1009*AD1009</f>
        <v/>
      </c>
      <c r="AQ1009">
        <f>IF(AND(G1009&lt;&gt;"",'Historical Score'!$C$6&lt;&gt;""),IF(G1009='Historical Score'!$C$6,1,0),0)</f>
        <v/>
      </c>
      <c r="AR1009">
        <f>IF(AND(L1009&lt;&gt;"",'Historical Score'!$C$5&lt;&gt;""),IF(L1009='Historical Score'!$C$5,1,0),0)</f>
        <v/>
      </c>
      <c r="AS1009">
        <f>IF(AND(Y1009&lt;&gt;"",'Historical Score'!$C$7&lt;&gt;""),IF(Y1009='Historical Score'!$C$7,1,0),0)</f>
        <v/>
      </c>
      <c r="AT1009">
        <f>IF(AND(K1009&lt;&gt;"",'Historical Score'!$C$8&lt;&gt;""),IF(K1009='Historical Score'!$C$8,1,0),0)</f>
        <v/>
      </c>
      <c r="AU1009">
        <f>IF(AND(J1009&lt;&gt;"",'Historical Score'!$C$9&lt;&gt;""),IF(J1009='Historical Score'!$C$9,1,0),0)</f>
        <v/>
      </c>
      <c r="AV1009">
        <f>AR1009*AS1009*AQ1009</f>
        <v/>
      </c>
      <c r="AW1009">
        <f>AR1009*AT1009*AQ1009</f>
        <v/>
      </c>
      <c r="AX1009">
        <f>AR1009*AS1009</f>
        <v/>
      </c>
      <c r="AY1009">
        <f>AR1009*AT1009</f>
        <v/>
      </c>
      <c r="AZ1009">
        <f>AR1009*AQ1009</f>
        <v/>
      </c>
      <c r="BA1009">
        <f>AR1009</f>
        <v/>
      </c>
      <c r="BB1009">
        <f>1</f>
        <v/>
      </c>
      <c r="BC1009">
        <f>IF(AV1009=1,1,IF(AW1009=1,2,IF(AX1009=1,3,IF(AY1009=1,4,IF(AZ1009=1,5,IF(BA1009=1,6,7))))))</f>
        <v/>
      </c>
      <c r="BD1009">
        <f>IF(AD1009=1,CHOOSE('Historical Score'!$C$29,AV1009,AW1009,AX1009,AY1009,AZ1009,BA1009,BB1009),0)</f>
        <v/>
      </c>
      <c r="BE1009">
        <f>IF(BD1009=1,COUNTIF($BD$2:BD1009,1),"")</f>
        <v/>
      </c>
    </row>
    <row r="1010">
      <c r="A1010" t="inlineStr">
        <is>
          <t>5674186914</t>
        </is>
      </c>
      <c r="B1010" t="inlineStr">
        <is>
          <t>Holliday Empowerment LLC</t>
        </is>
      </c>
      <c r="C1010" t="inlineStr">
        <is>
          <t>Holliday Empowerment LLC</t>
        </is>
      </c>
      <c r="D1010" t="inlineStr">
        <is>
          <t>Open</t>
        </is>
      </c>
      <c r="E1010" s="297" t="n">
        <v>46211</v>
      </c>
      <c r="F1010" s="297" t="n">
        <v>46248</v>
      </c>
      <c r="G1010" t="n">
        <v>3</v>
      </c>
      <c r="H1010" t="inlineStr">
        <is>
          <t>8748</t>
        </is>
      </c>
      <c r="I1010" t="inlineStr">
        <is>
          <t>87</t>
        </is>
      </c>
      <c r="J1010" t="inlineStr">
        <is>
          <t>GA</t>
        </is>
      </c>
      <c r="K1010" t="inlineStr">
        <is>
          <t>PMF</t>
        </is>
      </c>
      <c r="L1010" t="inlineStr">
        <is>
          <t>New Deal</t>
        </is>
      </c>
      <c r="M1010" s="298" t="n">
        <v>1.41</v>
      </c>
      <c r="N1010" s="299" t="n">
        <v>14000</v>
      </c>
      <c r="O1010" s="299" t="n">
        <v>1400</v>
      </c>
      <c r="P1010" s="299" t="n">
        <v>19740</v>
      </c>
      <c r="Q1010" s="299" t="n">
        <v>4486.4</v>
      </c>
      <c r="R1010" s="299" t="n">
        <v>15253.6</v>
      </c>
      <c r="S1010" s="300" t="n">
        <v>0.227274569402229</v>
      </c>
      <c r="T1010" t="n">
        <v>22</v>
      </c>
      <c r="U1010" t="n">
        <v>0</v>
      </c>
      <c r="V1010" t="n">
        <v>22320.52</v>
      </c>
      <c r="W1010" s="300" t="n">
        <v>0.1608</v>
      </c>
      <c r="X1010" s="297" t="n">
        <v>43646</v>
      </c>
      <c r="Y1010">
        <f>IF(I1010="","No SIC",IFERROR(VLOOKUP(I1010,Ref!$A$2:$B$65,2,FALSE),"Unclassified"))</f>
        <v/>
      </c>
      <c r="Z1010">
        <f>IF(T1010="","",IF(T1010&lt;12,"Daily","Weekly"))</f>
        <v/>
      </c>
      <c r="AA1010">
        <f>IF(T1010="",0,IF(T1010&lt;12,T1010*Controls!$B$29,T1010*5))</f>
        <v/>
      </c>
      <c r="AB1010">
        <f>IF(E1010="",0,NETWORKDAYS(E1010,Controls!$B$36,Ref!$K$2:$K$42))</f>
        <v/>
      </c>
      <c r="AC1010">
        <f>IF(AND(AA1010&gt;0,AB1010&gt;=Controls!$B$39*AA1010),1,0)</f>
        <v/>
      </c>
      <c r="AD1010">
        <f>IF(AND(E1010&lt;&gt;"",E1010&gt;=Controls!$B$37,E1010&lt;=Controls!$B$38),1,0)</f>
        <v/>
      </c>
      <c r="AE1010">
        <f>IF(IFERROR(VLOOKUP(D1010,Controls!$A$64:$E$74,2,FALSE),"No")="Yes",1,0)</f>
        <v/>
      </c>
      <c r="AF1010">
        <f>IF(IFERROR(VLOOKUP(D1010,Controls!$A$64:$E$74,3,FALSE),"No")="Yes",1,0)</f>
        <v/>
      </c>
      <c r="AG1010">
        <f>IF(IFERROR(VLOOKUP(D1010,Controls!$A$64:$E$74,4,FALSE),"No")="Yes",1,0)</f>
        <v/>
      </c>
      <c r="AH1010">
        <f>IF(IFERROR(VLOOKUP(D1010,Controls!$A$64:$E$74,5,FALSE),"No")="Yes",1,0)</f>
        <v/>
      </c>
      <c r="AI1010">
        <f>IF(ISNUMBER(MATCH(D1010,Controls!$A$64:$A$74,0)),1,0)</f>
        <v/>
      </c>
      <c r="AJ1010">
        <f>Q1010-N1010</f>
        <v/>
      </c>
      <c r="AK1010">
        <f>IF(AE1010=1,MAX(0,N1010-Q1010),0)</f>
        <v/>
      </c>
      <c r="AL1010">
        <f>IF(OR(V1010="",V1010=0),0,N1010/V1010)</f>
        <v/>
      </c>
      <c r="AM1010">
        <f>IF(OR(V1010="",V1010=0),0,1)</f>
        <v/>
      </c>
      <c r="AN1010">
        <f>IF(OR(E1010="",F1010=""),0,NETWORKDAYS(E1010,F1010,Ref!$K$2:$K$42))</f>
        <v/>
      </c>
      <c r="AO1010">
        <f>IF(L1010="Renewal",1,0)</f>
        <v/>
      </c>
      <c r="AP1010">
        <f>AC1010*AD1010</f>
        <v/>
      </c>
      <c r="AQ1010">
        <f>IF(AND(G1010&lt;&gt;"",'Historical Score'!$C$6&lt;&gt;""),IF(G1010='Historical Score'!$C$6,1,0),0)</f>
        <v/>
      </c>
      <c r="AR1010">
        <f>IF(AND(L1010&lt;&gt;"",'Historical Score'!$C$5&lt;&gt;""),IF(L1010='Historical Score'!$C$5,1,0),0)</f>
        <v/>
      </c>
      <c r="AS1010">
        <f>IF(AND(Y1010&lt;&gt;"",'Historical Score'!$C$7&lt;&gt;""),IF(Y1010='Historical Score'!$C$7,1,0),0)</f>
        <v/>
      </c>
      <c r="AT1010">
        <f>IF(AND(K1010&lt;&gt;"",'Historical Score'!$C$8&lt;&gt;""),IF(K1010='Historical Score'!$C$8,1,0),0)</f>
        <v/>
      </c>
      <c r="AU1010">
        <f>IF(AND(J1010&lt;&gt;"",'Historical Score'!$C$9&lt;&gt;""),IF(J1010='Historical Score'!$C$9,1,0),0)</f>
        <v/>
      </c>
      <c r="AV1010">
        <f>AR1010*AS1010*AQ1010</f>
        <v/>
      </c>
      <c r="AW1010">
        <f>AR1010*AT1010*AQ1010</f>
        <v/>
      </c>
      <c r="AX1010">
        <f>AR1010*AS1010</f>
        <v/>
      </c>
      <c r="AY1010">
        <f>AR1010*AT1010</f>
        <v/>
      </c>
      <c r="AZ1010">
        <f>AR1010*AQ1010</f>
        <v/>
      </c>
      <c r="BA1010">
        <f>AR1010</f>
        <v/>
      </c>
      <c r="BB1010">
        <f>1</f>
        <v/>
      </c>
      <c r="BC1010">
        <f>IF(AV1010=1,1,IF(AW1010=1,2,IF(AX1010=1,3,IF(AY1010=1,4,IF(AZ1010=1,5,IF(BA1010=1,6,7))))))</f>
        <v/>
      </c>
      <c r="BD1010">
        <f>IF(AD1010=1,CHOOSE('Historical Score'!$C$29,AV1010,AW1010,AX1010,AY1010,AZ1010,BA1010,BB1010),0)</f>
        <v/>
      </c>
      <c r="BE1010">
        <f>IF(BD1010=1,COUNTIF($BD$2:BD1010,1),"")</f>
        <v/>
      </c>
    </row>
    <row r="1011">
      <c r="A1011" t="inlineStr">
        <is>
          <t>5674186935</t>
        </is>
      </c>
      <c r="B1011" t="inlineStr">
        <is>
          <t>Shift N2 Gear Auto LLC</t>
        </is>
      </c>
      <c r="C1011" t="inlineStr">
        <is>
          <t>Shift N2 Gear Auto LLC</t>
        </is>
      </c>
      <c r="D1011" t="inlineStr">
        <is>
          <t>Open</t>
        </is>
      </c>
      <c r="E1011" s="297" t="n">
        <v>46211</v>
      </c>
      <c r="F1011" s="297" t="n">
        <v>46253</v>
      </c>
      <c r="G1011" t="n">
        <v>3</v>
      </c>
      <c r="H1011" t="inlineStr">
        <is>
          <t>5511</t>
        </is>
      </c>
      <c r="I1011" t="inlineStr">
        <is>
          <t>55</t>
        </is>
      </c>
      <c r="J1011" t="inlineStr">
        <is>
          <t>AR</t>
        </is>
      </c>
      <c r="K1011" t="inlineStr">
        <is>
          <t>ROK</t>
        </is>
      </c>
      <c r="L1011" t="inlineStr">
        <is>
          <t>New Deal</t>
        </is>
      </c>
      <c r="M1011" s="298" t="n">
        <v>1.42</v>
      </c>
      <c r="N1011" s="299" t="n">
        <v>30000</v>
      </c>
      <c r="O1011" s="299" t="n">
        <v>3150</v>
      </c>
      <c r="P1011" s="299" t="n">
        <v>42600</v>
      </c>
      <c r="Q1011" s="299" t="n">
        <v>16509.67</v>
      </c>
      <c r="R1011" s="299" t="n">
        <v>26090.33</v>
      </c>
      <c r="S1011" s="300" t="n">
        <v>0.387550938967136</v>
      </c>
      <c r="T1011" t="n">
        <v>2.623</v>
      </c>
      <c r="U1011" t="n">
        <v>0</v>
      </c>
      <c r="V1011" t="n">
        <v>318631.45</v>
      </c>
      <c r="W1011" s="300" t="n">
        <v>0.0351</v>
      </c>
      <c r="X1011" s="297" t="n">
        <v>44368</v>
      </c>
      <c r="Y1011">
        <f>IF(I1011="","No SIC",IFERROR(VLOOKUP(I1011,Ref!$A$2:$B$65,2,FALSE),"Unclassified"))</f>
        <v/>
      </c>
      <c r="Z1011">
        <f>IF(T1011="","",IF(T1011&lt;12,"Daily","Weekly"))</f>
        <v/>
      </c>
      <c r="AA1011">
        <f>IF(T1011="",0,IF(T1011&lt;12,T1011*Controls!$B$29,T1011*5))</f>
        <v/>
      </c>
      <c r="AB1011">
        <f>IF(E1011="",0,NETWORKDAYS(E1011,Controls!$B$36,Ref!$K$2:$K$42))</f>
        <v/>
      </c>
      <c r="AC1011">
        <f>IF(AND(AA1011&gt;0,AB1011&gt;=Controls!$B$39*AA1011),1,0)</f>
        <v/>
      </c>
      <c r="AD1011">
        <f>IF(AND(E1011&lt;&gt;"",E1011&gt;=Controls!$B$37,E1011&lt;=Controls!$B$38),1,0)</f>
        <v/>
      </c>
      <c r="AE1011">
        <f>IF(IFERROR(VLOOKUP(D1011,Controls!$A$64:$E$74,2,FALSE),"No")="Yes",1,0)</f>
        <v/>
      </c>
      <c r="AF1011">
        <f>IF(IFERROR(VLOOKUP(D1011,Controls!$A$64:$E$74,3,FALSE),"No")="Yes",1,0)</f>
        <v/>
      </c>
      <c r="AG1011">
        <f>IF(IFERROR(VLOOKUP(D1011,Controls!$A$64:$E$74,4,FALSE),"No")="Yes",1,0)</f>
        <v/>
      </c>
      <c r="AH1011">
        <f>IF(IFERROR(VLOOKUP(D1011,Controls!$A$64:$E$74,5,FALSE),"No")="Yes",1,0)</f>
        <v/>
      </c>
      <c r="AI1011">
        <f>IF(ISNUMBER(MATCH(D1011,Controls!$A$64:$A$74,0)),1,0)</f>
        <v/>
      </c>
      <c r="AJ1011">
        <f>Q1011-N1011</f>
        <v/>
      </c>
      <c r="AK1011">
        <f>IF(AE1011=1,MAX(0,N1011-Q1011),0)</f>
        <v/>
      </c>
      <c r="AL1011">
        <f>IF(OR(V1011="",V1011=0),0,N1011/V1011)</f>
        <v/>
      </c>
      <c r="AM1011">
        <f>IF(OR(V1011="",V1011=0),0,1)</f>
        <v/>
      </c>
      <c r="AN1011">
        <f>IF(OR(E1011="",F1011=""),0,NETWORKDAYS(E1011,F1011,Ref!$K$2:$K$42))</f>
        <v/>
      </c>
      <c r="AO1011">
        <f>IF(L1011="Renewal",1,0)</f>
        <v/>
      </c>
      <c r="AP1011">
        <f>AC1011*AD1011</f>
        <v/>
      </c>
      <c r="AQ1011">
        <f>IF(AND(G1011&lt;&gt;"",'Historical Score'!$C$6&lt;&gt;""),IF(G1011='Historical Score'!$C$6,1,0),0)</f>
        <v/>
      </c>
      <c r="AR1011">
        <f>IF(AND(L1011&lt;&gt;"",'Historical Score'!$C$5&lt;&gt;""),IF(L1011='Historical Score'!$C$5,1,0),0)</f>
        <v/>
      </c>
      <c r="AS1011">
        <f>IF(AND(Y1011&lt;&gt;"",'Historical Score'!$C$7&lt;&gt;""),IF(Y1011='Historical Score'!$C$7,1,0),0)</f>
        <v/>
      </c>
      <c r="AT1011">
        <f>IF(AND(K1011&lt;&gt;"",'Historical Score'!$C$8&lt;&gt;""),IF(K1011='Historical Score'!$C$8,1,0),0)</f>
        <v/>
      </c>
      <c r="AU1011">
        <f>IF(AND(J1011&lt;&gt;"",'Historical Score'!$C$9&lt;&gt;""),IF(J1011='Historical Score'!$C$9,1,0),0)</f>
        <v/>
      </c>
      <c r="AV1011">
        <f>AR1011*AS1011*AQ1011</f>
        <v/>
      </c>
      <c r="AW1011">
        <f>AR1011*AT1011*AQ1011</f>
        <v/>
      </c>
      <c r="AX1011">
        <f>AR1011*AS1011</f>
        <v/>
      </c>
      <c r="AY1011">
        <f>AR1011*AT1011</f>
        <v/>
      </c>
      <c r="AZ1011">
        <f>AR1011*AQ1011</f>
        <v/>
      </c>
      <c r="BA1011">
        <f>AR1011</f>
        <v/>
      </c>
      <c r="BB1011">
        <f>1</f>
        <v/>
      </c>
      <c r="BC1011">
        <f>IF(AV1011=1,1,IF(AW1011=1,2,IF(AX1011=1,3,IF(AY1011=1,4,IF(AZ1011=1,5,IF(BA1011=1,6,7))))))</f>
        <v/>
      </c>
      <c r="BD1011">
        <f>IF(AD1011=1,CHOOSE('Historical Score'!$C$29,AV1011,AW1011,AX1011,AY1011,AZ1011,BA1011,BB1011),0)</f>
        <v/>
      </c>
      <c r="BE1011">
        <f>IF(BD1011=1,COUNTIF($BD$2:BD1011,1),"")</f>
        <v/>
      </c>
    </row>
    <row r="1012">
      <c r="A1012" t="inlineStr">
        <is>
          <t>5674186941</t>
        </is>
      </c>
      <c r="B1012" t="inlineStr">
        <is>
          <t>QuitYerPitchin LLC</t>
        </is>
      </c>
      <c r="C1012" t="inlineStr">
        <is>
          <t>QuitYerPitchin LLC</t>
        </is>
      </c>
      <c r="D1012" t="inlineStr">
        <is>
          <t>Open</t>
        </is>
      </c>
      <c r="E1012" s="297" t="n">
        <v>46211</v>
      </c>
      <c r="F1012" s="297" t="n">
        <v>46253</v>
      </c>
      <c r="G1012" t="n">
        <v>3</v>
      </c>
      <c r="H1012" t="inlineStr">
        <is>
          <t>7033</t>
        </is>
      </c>
      <c r="I1012" t="inlineStr">
        <is>
          <t>70</t>
        </is>
      </c>
      <c r="J1012" t="inlineStr">
        <is>
          <t>TX</t>
        </is>
      </c>
      <c r="K1012" t="inlineStr">
        <is>
          <t>Fundwell</t>
        </is>
      </c>
      <c r="L1012" t="inlineStr">
        <is>
          <t>New Deal</t>
        </is>
      </c>
      <c r="M1012" s="298" t="n">
        <v>1.35</v>
      </c>
      <c r="N1012" s="299" t="n">
        <v>5000</v>
      </c>
      <c r="O1012" s="299" t="n">
        <v>350</v>
      </c>
      <c r="P1012" s="299" t="n">
        <v>6750</v>
      </c>
      <c r="Q1012" s="299" t="n">
        <v>1932.3</v>
      </c>
      <c r="R1012" s="299" t="n">
        <v>4817.7</v>
      </c>
      <c r="S1012" s="300" t="n">
        <v>0.286266666666667</v>
      </c>
      <c r="T1012" t="n">
        <v>3.443</v>
      </c>
      <c r="U1012" t="n">
        <v>0</v>
      </c>
      <c r="V1012" t="n">
        <v>53671.43</v>
      </c>
      <c r="W1012" s="300" t="n">
        <v>0.0252</v>
      </c>
      <c r="X1012" s="297" t="n">
        <v>45976</v>
      </c>
      <c r="Y1012">
        <f>IF(I1012="","No SIC",IFERROR(VLOOKUP(I1012,Ref!$A$2:$B$65,2,FALSE),"Unclassified"))</f>
        <v/>
      </c>
      <c r="Z1012">
        <f>IF(T1012="","",IF(T1012&lt;12,"Daily","Weekly"))</f>
        <v/>
      </c>
      <c r="AA1012">
        <f>IF(T1012="",0,IF(T1012&lt;12,T1012*Controls!$B$29,T1012*5))</f>
        <v/>
      </c>
      <c r="AB1012">
        <f>IF(E1012="",0,NETWORKDAYS(E1012,Controls!$B$36,Ref!$K$2:$K$42))</f>
        <v/>
      </c>
      <c r="AC1012">
        <f>IF(AND(AA1012&gt;0,AB1012&gt;=Controls!$B$39*AA1012),1,0)</f>
        <v/>
      </c>
      <c r="AD1012">
        <f>IF(AND(E1012&lt;&gt;"",E1012&gt;=Controls!$B$37,E1012&lt;=Controls!$B$38),1,0)</f>
        <v/>
      </c>
      <c r="AE1012">
        <f>IF(IFERROR(VLOOKUP(D1012,Controls!$A$64:$E$74,2,FALSE),"No")="Yes",1,0)</f>
        <v/>
      </c>
      <c r="AF1012">
        <f>IF(IFERROR(VLOOKUP(D1012,Controls!$A$64:$E$74,3,FALSE),"No")="Yes",1,0)</f>
        <v/>
      </c>
      <c r="AG1012">
        <f>IF(IFERROR(VLOOKUP(D1012,Controls!$A$64:$E$74,4,FALSE),"No")="Yes",1,0)</f>
        <v/>
      </c>
      <c r="AH1012">
        <f>IF(IFERROR(VLOOKUP(D1012,Controls!$A$64:$E$74,5,FALSE),"No")="Yes",1,0)</f>
        <v/>
      </c>
      <c r="AI1012">
        <f>IF(ISNUMBER(MATCH(D1012,Controls!$A$64:$A$74,0)),1,0)</f>
        <v/>
      </c>
      <c r="AJ1012">
        <f>Q1012-N1012</f>
        <v/>
      </c>
      <c r="AK1012">
        <f>IF(AE1012=1,MAX(0,N1012-Q1012),0)</f>
        <v/>
      </c>
      <c r="AL1012">
        <f>IF(OR(V1012="",V1012=0),0,N1012/V1012)</f>
        <v/>
      </c>
      <c r="AM1012">
        <f>IF(OR(V1012="",V1012=0),0,1)</f>
        <v/>
      </c>
      <c r="AN1012">
        <f>IF(OR(E1012="",F1012=""),0,NETWORKDAYS(E1012,F1012,Ref!$K$2:$K$42))</f>
        <v/>
      </c>
      <c r="AO1012">
        <f>IF(L1012="Renewal",1,0)</f>
        <v/>
      </c>
      <c r="AP1012">
        <f>AC1012*AD1012</f>
        <v/>
      </c>
      <c r="AQ1012">
        <f>IF(AND(G1012&lt;&gt;"",'Historical Score'!$C$6&lt;&gt;""),IF(G1012='Historical Score'!$C$6,1,0),0)</f>
        <v/>
      </c>
      <c r="AR1012">
        <f>IF(AND(L1012&lt;&gt;"",'Historical Score'!$C$5&lt;&gt;""),IF(L1012='Historical Score'!$C$5,1,0),0)</f>
        <v/>
      </c>
      <c r="AS1012">
        <f>IF(AND(Y1012&lt;&gt;"",'Historical Score'!$C$7&lt;&gt;""),IF(Y1012='Historical Score'!$C$7,1,0),0)</f>
        <v/>
      </c>
      <c r="AT1012">
        <f>IF(AND(K1012&lt;&gt;"",'Historical Score'!$C$8&lt;&gt;""),IF(K1012='Historical Score'!$C$8,1,0),0)</f>
        <v/>
      </c>
      <c r="AU1012">
        <f>IF(AND(J1012&lt;&gt;"",'Historical Score'!$C$9&lt;&gt;""),IF(J1012='Historical Score'!$C$9,1,0),0)</f>
        <v/>
      </c>
      <c r="AV1012">
        <f>AR1012*AS1012*AQ1012</f>
        <v/>
      </c>
      <c r="AW1012">
        <f>AR1012*AT1012*AQ1012</f>
        <v/>
      </c>
      <c r="AX1012">
        <f>AR1012*AS1012</f>
        <v/>
      </c>
      <c r="AY1012">
        <f>AR1012*AT1012</f>
        <v/>
      </c>
      <c r="AZ1012">
        <f>AR1012*AQ1012</f>
        <v/>
      </c>
      <c r="BA1012">
        <f>AR1012</f>
        <v/>
      </c>
      <c r="BB1012">
        <f>1</f>
        <v/>
      </c>
      <c r="BC1012">
        <f>IF(AV1012=1,1,IF(AW1012=1,2,IF(AX1012=1,3,IF(AY1012=1,4,IF(AZ1012=1,5,IF(BA1012=1,6,7))))))</f>
        <v/>
      </c>
      <c r="BD1012">
        <f>IF(AD1012=1,CHOOSE('Historical Score'!$C$29,AV1012,AW1012,AX1012,AY1012,AZ1012,BA1012,BB1012),0)</f>
        <v/>
      </c>
      <c r="BE1012">
        <f>IF(BD1012=1,COUNTIF($BD$2:BD1012,1),"")</f>
        <v/>
      </c>
    </row>
    <row r="1013">
      <c r="A1013" t="inlineStr">
        <is>
          <t>5674186955</t>
        </is>
      </c>
      <c r="B1013" t="inlineStr">
        <is>
          <t>Highlander Transport Ak Llc</t>
        </is>
      </c>
      <c r="C1013" t="inlineStr">
        <is>
          <t>Highlander Transport Ak Llc</t>
        </is>
      </c>
      <c r="D1013" t="inlineStr">
        <is>
          <t>Open</t>
        </is>
      </c>
      <c r="E1013" s="297" t="n">
        <v>46211</v>
      </c>
      <c r="F1013" s="297" t="n">
        <v>46248</v>
      </c>
      <c r="G1013" t="n">
        <v>3</v>
      </c>
      <c r="H1013" t="inlineStr">
        <is>
          <t>1521</t>
        </is>
      </c>
      <c r="I1013" t="inlineStr">
        <is>
          <t>15</t>
        </is>
      </c>
      <c r="J1013" t="inlineStr">
        <is>
          <t>OR</t>
        </is>
      </c>
      <c r="K1013" t="inlineStr">
        <is>
          <t>PMF</t>
        </is>
      </c>
      <c r="L1013" t="inlineStr">
        <is>
          <t>New Deal</t>
        </is>
      </c>
      <c r="M1013" s="298" t="n">
        <v>1.34</v>
      </c>
      <c r="N1013" s="299" t="n">
        <v>35000</v>
      </c>
      <c r="O1013" s="299" t="n">
        <v>2100</v>
      </c>
      <c r="P1013" s="299" t="n">
        <v>46900</v>
      </c>
      <c r="Q1013" s="299" t="n">
        <v>8681</v>
      </c>
      <c r="R1013" s="299" t="n">
        <v>38219</v>
      </c>
      <c r="S1013" s="300" t="n">
        <v>0.185095948827292</v>
      </c>
      <c r="T1013" t="n">
        <v>27</v>
      </c>
      <c r="U1013" t="n">
        <v>0</v>
      </c>
      <c r="V1013" t="n">
        <v>219079.1</v>
      </c>
      <c r="W1013" s="300" t="n">
        <v>0.0317</v>
      </c>
      <c r="X1013" s="297" t="n">
        <v>45292</v>
      </c>
      <c r="Y1013">
        <f>IF(I1013="","No SIC",IFERROR(VLOOKUP(I1013,Ref!$A$2:$B$65,2,FALSE),"Unclassified"))</f>
        <v/>
      </c>
      <c r="Z1013">
        <f>IF(T1013="","",IF(T1013&lt;12,"Daily","Weekly"))</f>
        <v/>
      </c>
      <c r="AA1013">
        <f>IF(T1013="",0,IF(T1013&lt;12,T1013*Controls!$B$29,T1013*5))</f>
        <v/>
      </c>
      <c r="AB1013">
        <f>IF(E1013="",0,NETWORKDAYS(E1013,Controls!$B$36,Ref!$K$2:$K$42))</f>
        <v/>
      </c>
      <c r="AC1013">
        <f>IF(AND(AA1013&gt;0,AB1013&gt;=Controls!$B$39*AA1013),1,0)</f>
        <v/>
      </c>
      <c r="AD1013">
        <f>IF(AND(E1013&lt;&gt;"",E1013&gt;=Controls!$B$37,E1013&lt;=Controls!$B$38),1,0)</f>
        <v/>
      </c>
      <c r="AE1013">
        <f>IF(IFERROR(VLOOKUP(D1013,Controls!$A$64:$E$74,2,FALSE),"No")="Yes",1,0)</f>
        <v/>
      </c>
      <c r="AF1013">
        <f>IF(IFERROR(VLOOKUP(D1013,Controls!$A$64:$E$74,3,FALSE),"No")="Yes",1,0)</f>
        <v/>
      </c>
      <c r="AG1013">
        <f>IF(IFERROR(VLOOKUP(D1013,Controls!$A$64:$E$74,4,FALSE),"No")="Yes",1,0)</f>
        <v/>
      </c>
      <c r="AH1013">
        <f>IF(IFERROR(VLOOKUP(D1013,Controls!$A$64:$E$74,5,FALSE),"No")="Yes",1,0)</f>
        <v/>
      </c>
      <c r="AI1013">
        <f>IF(ISNUMBER(MATCH(D1013,Controls!$A$64:$A$74,0)),1,0)</f>
        <v/>
      </c>
      <c r="AJ1013">
        <f>Q1013-N1013</f>
        <v/>
      </c>
      <c r="AK1013">
        <f>IF(AE1013=1,MAX(0,N1013-Q1013),0)</f>
        <v/>
      </c>
      <c r="AL1013">
        <f>IF(OR(V1013="",V1013=0),0,N1013/V1013)</f>
        <v/>
      </c>
      <c r="AM1013">
        <f>IF(OR(V1013="",V1013=0),0,1)</f>
        <v/>
      </c>
      <c r="AN1013">
        <f>IF(OR(E1013="",F1013=""),0,NETWORKDAYS(E1013,F1013,Ref!$K$2:$K$42))</f>
        <v/>
      </c>
      <c r="AO1013">
        <f>IF(L1013="Renewal",1,0)</f>
        <v/>
      </c>
      <c r="AP1013">
        <f>AC1013*AD1013</f>
        <v/>
      </c>
      <c r="AQ1013">
        <f>IF(AND(G1013&lt;&gt;"",'Historical Score'!$C$6&lt;&gt;""),IF(G1013='Historical Score'!$C$6,1,0),0)</f>
        <v/>
      </c>
      <c r="AR1013">
        <f>IF(AND(L1013&lt;&gt;"",'Historical Score'!$C$5&lt;&gt;""),IF(L1013='Historical Score'!$C$5,1,0),0)</f>
        <v/>
      </c>
      <c r="AS1013">
        <f>IF(AND(Y1013&lt;&gt;"",'Historical Score'!$C$7&lt;&gt;""),IF(Y1013='Historical Score'!$C$7,1,0),0)</f>
        <v/>
      </c>
      <c r="AT1013">
        <f>IF(AND(K1013&lt;&gt;"",'Historical Score'!$C$8&lt;&gt;""),IF(K1013='Historical Score'!$C$8,1,0),0)</f>
        <v/>
      </c>
      <c r="AU1013">
        <f>IF(AND(J1013&lt;&gt;"",'Historical Score'!$C$9&lt;&gt;""),IF(J1013='Historical Score'!$C$9,1,0),0)</f>
        <v/>
      </c>
      <c r="AV1013">
        <f>AR1013*AS1013*AQ1013</f>
        <v/>
      </c>
      <c r="AW1013">
        <f>AR1013*AT1013*AQ1013</f>
        <v/>
      </c>
      <c r="AX1013">
        <f>AR1013*AS1013</f>
        <v/>
      </c>
      <c r="AY1013">
        <f>AR1013*AT1013</f>
        <v/>
      </c>
      <c r="AZ1013">
        <f>AR1013*AQ1013</f>
        <v/>
      </c>
      <c r="BA1013">
        <f>AR1013</f>
        <v/>
      </c>
      <c r="BB1013">
        <f>1</f>
        <v/>
      </c>
      <c r="BC1013">
        <f>IF(AV1013=1,1,IF(AW1013=1,2,IF(AX1013=1,3,IF(AY1013=1,4,IF(AZ1013=1,5,IF(BA1013=1,6,7))))))</f>
        <v/>
      </c>
      <c r="BD1013">
        <f>IF(AD1013=1,CHOOSE('Historical Score'!$C$29,AV1013,AW1013,AX1013,AY1013,AZ1013,BA1013,BB1013),0)</f>
        <v/>
      </c>
      <c r="BE1013">
        <f>IF(BD1013=1,COUNTIF($BD$2:BD1013,1),"")</f>
        <v/>
      </c>
    </row>
    <row r="1014">
      <c r="A1014" t="inlineStr">
        <is>
          <t>5674186983</t>
        </is>
      </c>
      <c r="B1014" t="inlineStr">
        <is>
          <t>Cavalier Auto Transport</t>
        </is>
      </c>
      <c r="C1014" t="inlineStr">
        <is>
          <t>Cavalier Auto Transport</t>
        </is>
      </c>
      <c r="D1014" t="inlineStr">
        <is>
          <t>Open</t>
        </is>
      </c>
      <c r="E1014" s="297" t="n">
        <v>46212</v>
      </c>
      <c r="F1014" s="297" t="n">
        <v>46253</v>
      </c>
      <c r="G1014" t="n">
        <v>2</v>
      </c>
      <c r="H1014" t="inlineStr">
        <is>
          <t>3799</t>
        </is>
      </c>
      <c r="I1014" t="inlineStr">
        <is>
          <t>37</t>
        </is>
      </c>
      <c r="J1014" t="inlineStr">
        <is>
          <t>FL</t>
        </is>
      </c>
      <c r="K1014" t="inlineStr">
        <is>
          <t>Ballicci</t>
        </is>
      </c>
      <c r="L1014" t="inlineStr">
        <is>
          <t>New Deal</t>
        </is>
      </c>
      <c r="M1014" s="298" t="n">
        <v>1.4</v>
      </c>
      <c r="N1014" s="299" t="n">
        <v>35000</v>
      </c>
      <c r="O1014" s="299" t="n">
        <v>3325</v>
      </c>
      <c r="P1014" s="299" t="n">
        <v>49000</v>
      </c>
      <c r="Q1014" s="299" t="n">
        <v>10502.4</v>
      </c>
      <c r="R1014" s="299" t="n">
        <v>38497.6</v>
      </c>
      <c r="S1014" s="300" t="n">
        <v>0.214334693877551</v>
      </c>
      <c r="T1014" t="n">
        <v>4.59</v>
      </c>
      <c r="U1014" t="n">
        <v>0</v>
      </c>
      <c r="V1014" t="n">
        <v>70757.37</v>
      </c>
      <c r="W1014" s="300" t="n">
        <v>0.1039</v>
      </c>
      <c r="X1014" s="297" t="n">
        <v>40918</v>
      </c>
      <c r="Y1014">
        <f>IF(I1014="","No SIC",IFERROR(VLOOKUP(I1014,Ref!$A$2:$B$65,2,FALSE),"Unclassified"))</f>
        <v/>
      </c>
      <c r="Z1014">
        <f>IF(T1014="","",IF(T1014&lt;12,"Daily","Weekly"))</f>
        <v/>
      </c>
      <c r="AA1014">
        <f>IF(T1014="",0,IF(T1014&lt;12,T1014*Controls!$B$29,T1014*5))</f>
        <v/>
      </c>
      <c r="AB1014">
        <f>IF(E1014="",0,NETWORKDAYS(E1014,Controls!$B$36,Ref!$K$2:$K$42))</f>
        <v/>
      </c>
      <c r="AC1014">
        <f>IF(AND(AA1014&gt;0,AB1014&gt;=Controls!$B$39*AA1014),1,0)</f>
        <v/>
      </c>
      <c r="AD1014">
        <f>IF(AND(E1014&lt;&gt;"",E1014&gt;=Controls!$B$37,E1014&lt;=Controls!$B$38),1,0)</f>
        <v/>
      </c>
      <c r="AE1014">
        <f>IF(IFERROR(VLOOKUP(D1014,Controls!$A$64:$E$74,2,FALSE),"No")="Yes",1,0)</f>
        <v/>
      </c>
      <c r="AF1014">
        <f>IF(IFERROR(VLOOKUP(D1014,Controls!$A$64:$E$74,3,FALSE),"No")="Yes",1,0)</f>
        <v/>
      </c>
      <c r="AG1014">
        <f>IF(IFERROR(VLOOKUP(D1014,Controls!$A$64:$E$74,4,FALSE),"No")="Yes",1,0)</f>
        <v/>
      </c>
      <c r="AH1014">
        <f>IF(IFERROR(VLOOKUP(D1014,Controls!$A$64:$E$74,5,FALSE),"No")="Yes",1,0)</f>
        <v/>
      </c>
      <c r="AI1014">
        <f>IF(ISNUMBER(MATCH(D1014,Controls!$A$64:$A$74,0)),1,0)</f>
        <v/>
      </c>
      <c r="AJ1014">
        <f>Q1014-N1014</f>
        <v/>
      </c>
      <c r="AK1014">
        <f>IF(AE1014=1,MAX(0,N1014-Q1014),0)</f>
        <v/>
      </c>
      <c r="AL1014">
        <f>IF(OR(V1014="",V1014=0),0,N1014/V1014)</f>
        <v/>
      </c>
      <c r="AM1014">
        <f>IF(OR(V1014="",V1014=0),0,1)</f>
        <v/>
      </c>
      <c r="AN1014">
        <f>IF(OR(E1014="",F1014=""),0,NETWORKDAYS(E1014,F1014,Ref!$K$2:$K$42))</f>
        <v/>
      </c>
      <c r="AO1014">
        <f>IF(L1014="Renewal",1,0)</f>
        <v/>
      </c>
      <c r="AP1014">
        <f>AC1014*AD1014</f>
        <v/>
      </c>
      <c r="AQ1014">
        <f>IF(AND(G1014&lt;&gt;"",'Historical Score'!$C$6&lt;&gt;""),IF(G1014='Historical Score'!$C$6,1,0),0)</f>
        <v/>
      </c>
      <c r="AR1014">
        <f>IF(AND(L1014&lt;&gt;"",'Historical Score'!$C$5&lt;&gt;""),IF(L1014='Historical Score'!$C$5,1,0),0)</f>
        <v/>
      </c>
      <c r="AS1014">
        <f>IF(AND(Y1014&lt;&gt;"",'Historical Score'!$C$7&lt;&gt;""),IF(Y1014='Historical Score'!$C$7,1,0),0)</f>
        <v/>
      </c>
      <c r="AT1014">
        <f>IF(AND(K1014&lt;&gt;"",'Historical Score'!$C$8&lt;&gt;""),IF(K1014='Historical Score'!$C$8,1,0),0)</f>
        <v/>
      </c>
      <c r="AU1014">
        <f>IF(AND(J1014&lt;&gt;"",'Historical Score'!$C$9&lt;&gt;""),IF(J1014='Historical Score'!$C$9,1,0),0)</f>
        <v/>
      </c>
      <c r="AV1014">
        <f>AR1014*AS1014*AQ1014</f>
        <v/>
      </c>
      <c r="AW1014">
        <f>AR1014*AT1014*AQ1014</f>
        <v/>
      </c>
      <c r="AX1014">
        <f>AR1014*AS1014</f>
        <v/>
      </c>
      <c r="AY1014">
        <f>AR1014*AT1014</f>
        <v/>
      </c>
      <c r="AZ1014">
        <f>AR1014*AQ1014</f>
        <v/>
      </c>
      <c r="BA1014">
        <f>AR1014</f>
        <v/>
      </c>
      <c r="BB1014">
        <f>1</f>
        <v/>
      </c>
      <c r="BC1014">
        <f>IF(AV1014=1,1,IF(AW1014=1,2,IF(AX1014=1,3,IF(AY1014=1,4,IF(AZ1014=1,5,IF(BA1014=1,6,7))))))</f>
        <v/>
      </c>
      <c r="BD1014">
        <f>IF(AD1014=1,CHOOSE('Historical Score'!$C$29,AV1014,AW1014,AX1014,AY1014,AZ1014,BA1014,BB1014),0)</f>
        <v/>
      </c>
      <c r="BE1014">
        <f>IF(BD1014=1,COUNTIF($BD$2:BD1014,1),"")</f>
        <v/>
      </c>
    </row>
    <row r="1015">
      <c r="A1015" t="inlineStr">
        <is>
          <t>5674186987</t>
        </is>
      </c>
      <c r="B1015" t="inlineStr">
        <is>
          <t>Bailey's Auto Crushing &amp; Recycling</t>
        </is>
      </c>
      <c r="C1015" t="inlineStr">
        <is>
          <t>ROBERT M BAILEY</t>
        </is>
      </c>
      <c r="D1015" t="inlineStr">
        <is>
          <t>Open</t>
        </is>
      </c>
      <c r="E1015" s="297" t="n">
        <v>46212</v>
      </c>
      <c r="F1015" s="297" t="n">
        <v>46253</v>
      </c>
      <c r="G1015" t="n">
        <v>2</v>
      </c>
      <c r="H1015" t="inlineStr">
        <is>
          <t>5093</t>
        </is>
      </c>
      <c r="I1015" t="inlineStr">
        <is>
          <t>50</t>
        </is>
      </c>
      <c r="J1015" t="inlineStr">
        <is>
          <t>TX</t>
        </is>
      </c>
      <c r="K1015" t="inlineStr">
        <is>
          <t>Kelly Kapital</t>
        </is>
      </c>
      <c r="L1015" t="inlineStr">
        <is>
          <t>New Deal</t>
        </is>
      </c>
      <c r="M1015" s="298" t="n">
        <v>1.38</v>
      </c>
      <c r="N1015" s="299" t="n">
        <v>165000</v>
      </c>
      <c r="O1015" s="299" t="n">
        <v>16500</v>
      </c>
      <c r="P1015" s="299" t="n">
        <v>227700</v>
      </c>
      <c r="Q1015" s="299" t="n">
        <v>34105.56</v>
      </c>
      <c r="R1015" s="299" t="n">
        <v>193594.44</v>
      </c>
      <c r="S1015" s="300" t="n">
        <v>0.149782872200264</v>
      </c>
      <c r="T1015" t="n">
        <v>40</v>
      </c>
      <c r="U1015" t="n">
        <v>0</v>
      </c>
      <c r="V1015" t="n">
        <v>1306773.74</v>
      </c>
      <c r="W1015" s="300" t="n">
        <v>0.0174</v>
      </c>
      <c r="X1015" s="297" t="n">
        <v>43619</v>
      </c>
      <c r="Y1015">
        <f>IF(I1015="","No SIC",IFERROR(VLOOKUP(I1015,Ref!$A$2:$B$65,2,FALSE),"Unclassified"))</f>
        <v/>
      </c>
      <c r="Z1015">
        <f>IF(T1015="","",IF(T1015&lt;12,"Daily","Weekly"))</f>
        <v/>
      </c>
      <c r="AA1015">
        <f>IF(T1015="",0,IF(T1015&lt;12,T1015*Controls!$B$29,T1015*5))</f>
        <v/>
      </c>
      <c r="AB1015">
        <f>IF(E1015="",0,NETWORKDAYS(E1015,Controls!$B$36,Ref!$K$2:$K$42))</f>
        <v/>
      </c>
      <c r="AC1015">
        <f>IF(AND(AA1015&gt;0,AB1015&gt;=Controls!$B$39*AA1015),1,0)</f>
        <v/>
      </c>
      <c r="AD1015">
        <f>IF(AND(E1015&lt;&gt;"",E1015&gt;=Controls!$B$37,E1015&lt;=Controls!$B$38),1,0)</f>
        <v/>
      </c>
      <c r="AE1015">
        <f>IF(IFERROR(VLOOKUP(D1015,Controls!$A$64:$E$74,2,FALSE),"No")="Yes",1,0)</f>
        <v/>
      </c>
      <c r="AF1015">
        <f>IF(IFERROR(VLOOKUP(D1015,Controls!$A$64:$E$74,3,FALSE),"No")="Yes",1,0)</f>
        <v/>
      </c>
      <c r="AG1015">
        <f>IF(IFERROR(VLOOKUP(D1015,Controls!$A$64:$E$74,4,FALSE),"No")="Yes",1,0)</f>
        <v/>
      </c>
      <c r="AH1015">
        <f>IF(IFERROR(VLOOKUP(D1015,Controls!$A$64:$E$74,5,FALSE),"No")="Yes",1,0)</f>
        <v/>
      </c>
      <c r="AI1015">
        <f>IF(ISNUMBER(MATCH(D1015,Controls!$A$64:$A$74,0)),1,0)</f>
        <v/>
      </c>
      <c r="AJ1015">
        <f>Q1015-N1015</f>
        <v/>
      </c>
      <c r="AK1015">
        <f>IF(AE1015=1,MAX(0,N1015-Q1015),0)</f>
        <v/>
      </c>
      <c r="AL1015">
        <f>IF(OR(V1015="",V1015=0),0,N1015/V1015)</f>
        <v/>
      </c>
      <c r="AM1015">
        <f>IF(OR(V1015="",V1015=0),0,1)</f>
        <v/>
      </c>
      <c r="AN1015">
        <f>IF(OR(E1015="",F1015=""),0,NETWORKDAYS(E1015,F1015,Ref!$K$2:$K$42))</f>
        <v/>
      </c>
      <c r="AO1015">
        <f>IF(L1015="Renewal",1,0)</f>
        <v/>
      </c>
      <c r="AP1015">
        <f>AC1015*AD1015</f>
        <v/>
      </c>
      <c r="AQ1015">
        <f>IF(AND(G1015&lt;&gt;"",'Historical Score'!$C$6&lt;&gt;""),IF(G1015='Historical Score'!$C$6,1,0),0)</f>
        <v/>
      </c>
      <c r="AR1015">
        <f>IF(AND(L1015&lt;&gt;"",'Historical Score'!$C$5&lt;&gt;""),IF(L1015='Historical Score'!$C$5,1,0),0)</f>
        <v/>
      </c>
      <c r="AS1015">
        <f>IF(AND(Y1015&lt;&gt;"",'Historical Score'!$C$7&lt;&gt;""),IF(Y1015='Historical Score'!$C$7,1,0),0)</f>
        <v/>
      </c>
      <c r="AT1015">
        <f>IF(AND(K1015&lt;&gt;"",'Historical Score'!$C$8&lt;&gt;""),IF(K1015='Historical Score'!$C$8,1,0),0)</f>
        <v/>
      </c>
      <c r="AU1015">
        <f>IF(AND(J1015&lt;&gt;"",'Historical Score'!$C$9&lt;&gt;""),IF(J1015='Historical Score'!$C$9,1,0),0)</f>
        <v/>
      </c>
      <c r="AV1015">
        <f>AR1015*AS1015*AQ1015</f>
        <v/>
      </c>
      <c r="AW1015">
        <f>AR1015*AT1015*AQ1015</f>
        <v/>
      </c>
      <c r="AX1015">
        <f>AR1015*AS1015</f>
        <v/>
      </c>
      <c r="AY1015">
        <f>AR1015*AT1015</f>
        <v/>
      </c>
      <c r="AZ1015">
        <f>AR1015*AQ1015</f>
        <v/>
      </c>
      <c r="BA1015">
        <f>AR1015</f>
        <v/>
      </c>
      <c r="BB1015">
        <f>1</f>
        <v/>
      </c>
      <c r="BC1015">
        <f>IF(AV1015=1,1,IF(AW1015=1,2,IF(AX1015=1,3,IF(AY1015=1,4,IF(AZ1015=1,5,IF(BA1015=1,6,7))))))</f>
        <v/>
      </c>
      <c r="BD1015">
        <f>IF(AD1015=1,CHOOSE('Historical Score'!$C$29,AV1015,AW1015,AX1015,AY1015,AZ1015,BA1015,BB1015),0)</f>
        <v/>
      </c>
      <c r="BE1015">
        <f>IF(BD1015=1,COUNTIF($BD$2:BD1015,1),"")</f>
        <v/>
      </c>
    </row>
    <row r="1016">
      <c r="A1016" t="inlineStr">
        <is>
          <t>5674187021</t>
        </is>
      </c>
      <c r="B1016" t="inlineStr">
        <is>
          <t>Hd Builders And Construction LLC</t>
        </is>
      </c>
      <c r="C1016" t="inlineStr">
        <is>
          <t>Hd Builders And Construction LLC</t>
        </is>
      </c>
      <c r="D1016" t="inlineStr">
        <is>
          <t>Open</t>
        </is>
      </c>
      <c r="E1016" s="297" t="n">
        <v>46212</v>
      </c>
      <c r="F1016" s="297" t="n">
        <v>46253</v>
      </c>
      <c r="G1016" t="n">
        <v>3</v>
      </c>
      <c r="H1016" t="inlineStr">
        <is>
          <t>1521</t>
        </is>
      </c>
      <c r="I1016" t="inlineStr">
        <is>
          <t>15</t>
        </is>
      </c>
      <c r="J1016" t="inlineStr">
        <is>
          <t>NM</t>
        </is>
      </c>
      <c r="K1016" t="inlineStr">
        <is>
          <t>AVON ADVANCE</t>
        </is>
      </c>
      <c r="L1016" t="inlineStr">
        <is>
          <t>Renewal</t>
        </is>
      </c>
      <c r="M1016" s="298" t="n">
        <v>1.49</v>
      </c>
      <c r="N1016" s="299" t="n">
        <v>30000</v>
      </c>
      <c r="O1016" s="299" t="n">
        <v>4200</v>
      </c>
      <c r="P1016" s="299" t="n">
        <v>44700</v>
      </c>
      <c r="Q1016" s="299" t="n">
        <v>10799.31</v>
      </c>
      <c r="R1016" s="299" t="n">
        <v>33900.69</v>
      </c>
      <c r="S1016" s="300" t="n">
        <v>0.241595302013423</v>
      </c>
      <c r="T1016" t="n">
        <v>3.934</v>
      </c>
      <c r="U1016" t="n">
        <v>0</v>
      </c>
      <c r="V1016" t="n">
        <v>50226.03</v>
      </c>
      <c r="W1016" s="300" t="n">
        <v>0.1557</v>
      </c>
      <c r="X1016" s="297" t="n">
        <v>44627</v>
      </c>
      <c r="Y1016">
        <f>IF(I1016="","No SIC",IFERROR(VLOOKUP(I1016,Ref!$A$2:$B$65,2,FALSE),"Unclassified"))</f>
        <v/>
      </c>
      <c r="Z1016">
        <f>IF(T1016="","",IF(T1016&lt;12,"Daily","Weekly"))</f>
        <v/>
      </c>
      <c r="AA1016">
        <f>IF(T1016="",0,IF(T1016&lt;12,T1016*Controls!$B$29,T1016*5))</f>
        <v/>
      </c>
      <c r="AB1016">
        <f>IF(E1016="",0,NETWORKDAYS(E1016,Controls!$B$36,Ref!$K$2:$K$42))</f>
        <v/>
      </c>
      <c r="AC1016">
        <f>IF(AND(AA1016&gt;0,AB1016&gt;=Controls!$B$39*AA1016),1,0)</f>
        <v/>
      </c>
      <c r="AD1016">
        <f>IF(AND(E1016&lt;&gt;"",E1016&gt;=Controls!$B$37,E1016&lt;=Controls!$B$38),1,0)</f>
        <v/>
      </c>
      <c r="AE1016">
        <f>IF(IFERROR(VLOOKUP(D1016,Controls!$A$64:$E$74,2,FALSE),"No")="Yes",1,0)</f>
        <v/>
      </c>
      <c r="AF1016">
        <f>IF(IFERROR(VLOOKUP(D1016,Controls!$A$64:$E$74,3,FALSE),"No")="Yes",1,0)</f>
        <v/>
      </c>
      <c r="AG1016">
        <f>IF(IFERROR(VLOOKUP(D1016,Controls!$A$64:$E$74,4,FALSE),"No")="Yes",1,0)</f>
        <v/>
      </c>
      <c r="AH1016">
        <f>IF(IFERROR(VLOOKUP(D1016,Controls!$A$64:$E$74,5,FALSE),"No")="Yes",1,0)</f>
        <v/>
      </c>
      <c r="AI1016">
        <f>IF(ISNUMBER(MATCH(D1016,Controls!$A$64:$A$74,0)),1,0)</f>
        <v/>
      </c>
      <c r="AJ1016">
        <f>Q1016-N1016</f>
        <v/>
      </c>
      <c r="AK1016">
        <f>IF(AE1016=1,MAX(0,N1016-Q1016),0)</f>
        <v/>
      </c>
      <c r="AL1016">
        <f>IF(OR(V1016="",V1016=0),0,N1016/V1016)</f>
        <v/>
      </c>
      <c r="AM1016">
        <f>IF(OR(V1016="",V1016=0),0,1)</f>
        <v/>
      </c>
      <c r="AN1016">
        <f>IF(OR(E1016="",F1016=""),0,NETWORKDAYS(E1016,F1016,Ref!$K$2:$K$42))</f>
        <v/>
      </c>
      <c r="AO1016">
        <f>IF(L1016="Renewal",1,0)</f>
        <v/>
      </c>
      <c r="AP1016">
        <f>AC1016*AD1016</f>
        <v/>
      </c>
      <c r="AQ1016">
        <f>IF(AND(G1016&lt;&gt;"",'Historical Score'!$C$6&lt;&gt;""),IF(G1016='Historical Score'!$C$6,1,0),0)</f>
        <v/>
      </c>
      <c r="AR1016">
        <f>IF(AND(L1016&lt;&gt;"",'Historical Score'!$C$5&lt;&gt;""),IF(L1016='Historical Score'!$C$5,1,0),0)</f>
        <v/>
      </c>
      <c r="AS1016">
        <f>IF(AND(Y1016&lt;&gt;"",'Historical Score'!$C$7&lt;&gt;""),IF(Y1016='Historical Score'!$C$7,1,0),0)</f>
        <v/>
      </c>
      <c r="AT1016">
        <f>IF(AND(K1016&lt;&gt;"",'Historical Score'!$C$8&lt;&gt;""),IF(K1016='Historical Score'!$C$8,1,0),0)</f>
        <v/>
      </c>
      <c r="AU1016">
        <f>IF(AND(J1016&lt;&gt;"",'Historical Score'!$C$9&lt;&gt;""),IF(J1016='Historical Score'!$C$9,1,0),0)</f>
        <v/>
      </c>
      <c r="AV1016">
        <f>AR1016*AS1016*AQ1016</f>
        <v/>
      </c>
      <c r="AW1016">
        <f>AR1016*AT1016*AQ1016</f>
        <v/>
      </c>
      <c r="AX1016">
        <f>AR1016*AS1016</f>
        <v/>
      </c>
      <c r="AY1016">
        <f>AR1016*AT1016</f>
        <v/>
      </c>
      <c r="AZ1016">
        <f>AR1016*AQ1016</f>
        <v/>
      </c>
      <c r="BA1016">
        <f>AR1016</f>
        <v/>
      </c>
      <c r="BB1016">
        <f>1</f>
        <v/>
      </c>
      <c r="BC1016">
        <f>IF(AV1016=1,1,IF(AW1016=1,2,IF(AX1016=1,3,IF(AY1016=1,4,IF(AZ1016=1,5,IF(BA1016=1,6,7))))))</f>
        <v/>
      </c>
      <c r="BD1016">
        <f>IF(AD1016=1,CHOOSE('Historical Score'!$C$29,AV1016,AW1016,AX1016,AY1016,AZ1016,BA1016,BB1016),0)</f>
        <v/>
      </c>
      <c r="BE1016">
        <f>IF(BD1016=1,COUNTIF($BD$2:BD1016,1),"")</f>
        <v/>
      </c>
    </row>
    <row r="1017">
      <c r="A1017" t="inlineStr">
        <is>
          <t>5674187028</t>
        </is>
      </c>
      <c r="B1017" t="inlineStr">
        <is>
          <t>Sofi foods and meat</t>
        </is>
      </c>
      <c r="C1017" t="inlineStr">
        <is>
          <t>Sofi foods and meat inc</t>
        </is>
      </c>
      <c r="D1017" t="inlineStr">
        <is>
          <t>Legal</t>
        </is>
      </c>
      <c r="E1017" s="297" t="n">
        <v>46212</v>
      </c>
      <c r="F1017" s="297" t="n">
        <v>46225</v>
      </c>
      <c r="G1017" t="n">
        <v>2</v>
      </c>
      <c r="H1017" t="inlineStr">
        <is>
          <t>5147</t>
        </is>
      </c>
      <c r="I1017" t="inlineStr">
        <is>
          <t>51</t>
        </is>
      </c>
      <c r="J1017" t="inlineStr">
        <is>
          <t>IL</t>
        </is>
      </c>
      <c r="K1017" t="inlineStr">
        <is>
          <t>Fundible</t>
        </is>
      </c>
      <c r="L1017" t="inlineStr">
        <is>
          <t>New Deal</t>
        </is>
      </c>
      <c r="M1017" s="298" t="n">
        <v>1.49</v>
      </c>
      <c r="N1017" s="299" t="n">
        <v>25000</v>
      </c>
      <c r="O1017" s="299" t="n">
        <v>0</v>
      </c>
      <c r="P1017" s="299" t="n">
        <v>37250</v>
      </c>
      <c r="Q1017" s="299" t="n">
        <v>1862.16</v>
      </c>
      <c r="R1017" s="299" t="n">
        <v>35387.84</v>
      </c>
      <c r="S1017" s="300" t="n">
        <v>0.0499908724832215</v>
      </c>
      <c r="T1017" t="n">
        <v>20</v>
      </c>
      <c r="U1017" t="n">
        <v>1</v>
      </c>
      <c r="V1017" t="n">
        <v>235066.65</v>
      </c>
      <c r="W1017" s="300" t="n">
        <v>0.0177</v>
      </c>
      <c r="X1017" s="297" t="n">
        <v>45748</v>
      </c>
      <c r="Y1017">
        <f>IF(I1017="","No SIC",IFERROR(VLOOKUP(I1017,Ref!$A$2:$B$65,2,FALSE),"Unclassified"))</f>
        <v/>
      </c>
      <c r="Z1017">
        <f>IF(T1017="","",IF(T1017&lt;12,"Daily","Weekly"))</f>
        <v/>
      </c>
      <c r="AA1017">
        <f>IF(T1017="",0,IF(T1017&lt;12,T1017*Controls!$B$29,T1017*5))</f>
        <v/>
      </c>
      <c r="AB1017">
        <f>IF(E1017="",0,NETWORKDAYS(E1017,Controls!$B$36,Ref!$K$2:$K$42))</f>
        <v/>
      </c>
      <c r="AC1017">
        <f>IF(AND(AA1017&gt;0,AB1017&gt;=Controls!$B$39*AA1017),1,0)</f>
        <v/>
      </c>
      <c r="AD1017">
        <f>IF(AND(E1017&lt;&gt;"",E1017&gt;=Controls!$B$37,E1017&lt;=Controls!$B$38),1,0)</f>
        <v/>
      </c>
      <c r="AE1017">
        <f>IF(IFERROR(VLOOKUP(D1017,Controls!$A$64:$E$74,2,FALSE),"No")="Yes",1,0)</f>
        <v/>
      </c>
      <c r="AF1017">
        <f>IF(IFERROR(VLOOKUP(D1017,Controls!$A$64:$E$74,3,FALSE),"No")="Yes",1,0)</f>
        <v/>
      </c>
      <c r="AG1017">
        <f>IF(IFERROR(VLOOKUP(D1017,Controls!$A$64:$E$74,4,FALSE),"No")="Yes",1,0)</f>
        <v/>
      </c>
      <c r="AH1017">
        <f>IF(IFERROR(VLOOKUP(D1017,Controls!$A$64:$E$74,5,FALSE),"No")="Yes",1,0)</f>
        <v/>
      </c>
      <c r="AI1017">
        <f>IF(ISNUMBER(MATCH(D1017,Controls!$A$64:$A$74,0)),1,0)</f>
        <v/>
      </c>
      <c r="AJ1017">
        <f>Q1017-N1017</f>
        <v/>
      </c>
      <c r="AK1017">
        <f>IF(AE1017=1,MAX(0,N1017-Q1017),0)</f>
        <v/>
      </c>
      <c r="AL1017">
        <f>IF(OR(V1017="",V1017=0),0,N1017/V1017)</f>
        <v/>
      </c>
      <c r="AM1017">
        <f>IF(OR(V1017="",V1017=0),0,1)</f>
        <v/>
      </c>
      <c r="AN1017">
        <f>IF(OR(E1017="",F1017=""),0,NETWORKDAYS(E1017,F1017,Ref!$K$2:$K$42))</f>
        <v/>
      </c>
      <c r="AO1017">
        <f>IF(L1017="Renewal",1,0)</f>
        <v/>
      </c>
      <c r="AP1017">
        <f>AC1017*AD1017</f>
        <v/>
      </c>
      <c r="AQ1017">
        <f>IF(AND(G1017&lt;&gt;"",'Historical Score'!$C$6&lt;&gt;""),IF(G1017='Historical Score'!$C$6,1,0),0)</f>
        <v/>
      </c>
      <c r="AR1017">
        <f>IF(AND(L1017&lt;&gt;"",'Historical Score'!$C$5&lt;&gt;""),IF(L1017='Historical Score'!$C$5,1,0),0)</f>
        <v/>
      </c>
      <c r="AS1017">
        <f>IF(AND(Y1017&lt;&gt;"",'Historical Score'!$C$7&lt;&gt;""),IF(Y1017='Historical Score'!$C$7,1,0),0)</f>
        <v/>
      </c>
      <c r="AT1017">
        <f>IF(AND(K1017&lt;&gt;"",'Historical Score'!$C$8&lt;&gt;""),IF(K1017='Historical Score'!$C$8,1,0),0)</f>
        <v/>
      </c>
      <c r="AU1017">
        <f>IF(AND(J1017&lt;&gt;"",'Historical Score'!$C$9&lt;&gt;""),IF(J1017='Historical Score'!$C$9,1,0),0)</f>
        <v/>
      </c>
      <c r="AV1017">
        <f>AR1017*AS1017*AQ1017</f>
        <v/>
      </c>
      <c r="AW1017">
        <f>AR1017*AT1017*AQ1017</f>
        <v/>
      </c>
      <c r="AX1017">
        <f>AR1017*AS1017</f>
        <v/>
      </c>
      <c r="AY1017">
        <f>AR1017*AT1017</f>
        <v/>
      </c>
      <c r="AZ1017">
        <f>AR1017*AQ1017</f>
        <v/>
      </c>
      <c r="BA1017">
        <f>AR1017</f>
        <v/>
      </c>
      <c r="BB1017">
        <f>1</f>
        <v/>
      </c>
      <c r="BC1017">
        <f>IF(AV1017=1,1,IF(AW1017=1,2,IF(AX1017=1,3,IF(AY1017=1,4,IF(AZ1017=1,5,IF(BA1017=1,6,7))))))</f>
        <v/>
      </c>
      <c r="BD1017">
        <f>IF(AD1017=1,CHOOSE('Historical Score'!$C$29,AV1017,AW1017,AX1017,AY1017,AZ1017,BA1017,BB1017),0)</f>
        <v/>
      </c>
      <c r="BE1017">
        <f>IF(BD1017=1,COUNTIF($BD$2:BD1017,1),"")</f>
        <v/>
      </c>
    </row>
    <row r="1018">
      <c r="A1018" t="inlineStr">
        <is>
          <t>5674187072</t>
        </is>
      </c>
      <c r="B1018" t="inlineStr">
        <is>
          <t>EASTERN VIRGINIA CAREER COLLEGE, EVCC</t>
        </is>
      </c>
      <c r="C1018" t="inlineStr">
        <is>
          <t>TEMACC LLC</t>
        </is>
      </c>
      <c r="D1018" t="inlineStr">
        <is>
          <t>Open</t>
        </is>
      </c>
      <c r="E1018" s="297" t="n">
        <v>46213</v>
      </c>
      <c r="F1018" s="297" t="n">
        <v>46247</v>
      </c>
      <c r="G1018" t="n">
        <v>3</v>
      </c>
      <c r="H1018" t="inlineStr">
        <is>
          <t>8299</t>
        </is>
      </c>
      <c r="I1018" t="inlineStr">
        <is>
          <t>82</t>
        </is>
      </c>
      <c r="J1018" t="inlineStr">
        <is>
          <t>NY</t>
        </is>
      </c>
      <c r="K1018" t="inlineStr">
        <is>
          <t>PMF</t>
        </is>
      </c>
      <c r="L1018" t="inlineStr">
        <is>
          <t>New Deal</t>
        </is>
      </c>
      <c r="M1018" s="298" t="n">
        <v>1.45</v>
      </c>
      <c r="N1018" s="299" t="n">
        <v>225000</v>
      </c>
      <c r="O1018" s="299" t="n">
        <v>27000</v>
      </c>
      <c r="P1018" s="299" t="n">
        <v>326250</v>
      </c>
      <c r="Q1018" s="299" t="n">
        <v>47891.95</v>
      </c>
      <c r="R1018" s="299" t="n">
        <v>278358.05</v>
      </c>
      <c r="S1018" s="300" t="n">
        <v>0.146795249042146</v>
      </c>
      <c r="T1018" t="n">
        <v>34</v>
      </c>
      <c r="U1018" t="n">
        <v>0</v>
      </c>
      <c r="V1018" t="n">
        <v>1658595.82</v>
      </c>
      <c r="W1018" s="300" t="n">
        <v>0.0231</v>
      </c>
      <c r="X1018" s="297" t="n">
        <v>35492</v>
      </c>
      <c r="Y1018">
        <f>IF(I1018="","No SIC",IFERROR(VLOOKUP(I1018,Ref!$A$2:$B$65,2,FALSE),"Unclassified"))</f>
        <v/>
      </c>
      <c r="Z1018">
        <f>IF(T1018="","",IF(T1018&lt;12,"Daily","Weekly"))</f>
        <v/>
      </c>
      <c r="AA1018">
        <f>IF(T1018="",0,IF(T1018&lt;12,T1018*Controls!$B$29,T1018*5))</f>
        <v/>
      </c>
      <c r="AB1018">
        <f>IF(E1018="",0,NETWORKDAYS(E1018,Controls!$B$36,Ref!$K$2:$K$42))</f>
        <v/>
      </c>
      <c r="AC1018">
        <f>IF(AND(AA1018&gt;0,AB1018&gt;=Controls!$B$39*AA1018),1,0)</f>
        <v/>
      </c>
      <c r="AD1018">
        <f>IF(AND(E1018&lt;&gt;"",E1018&gt;=Controls!$B$37,E1018&lt;=Controls!$B$38),1,0)</f>
        <v/>
      </c>
      <c r="AE1018">
        <f>IF(IFERROR(VLOOKUP(D1018,Controls!$A$64:$E$74,2,FALSE),"No")="Yes",1,0)</f>
        <v/>
      </c>
      <c r="AF1018">
        <f>IF(IFERROR(VLOOKUP(D1018,Controls!$A$64:$E$74,3,FALSE),"No")="Yes",1,0)</f>
        <v/>
      </c>
      <c r="AG1018">
        <f>IF(IFERROR(VLOOKUP(D1018,Controls!$A$64:$E$74,4,FALSE),"No")="Yes",1,0)</f>
        <v/>
      </c>
      <c r="AH1018">
        <f>IF(IFERROR(VLOOKUP(D1018,Controls!$A$64:$E$74,5,FALSE),"No")="Yes",1,0)</f>
        <v/>
      </c>
      <c r="AI1018">
        <f>IF(ISNUMBER(MATCH(D1018,Controls!$A$64:$A$74,0)),1,0)</f>
        <v/>
      </c>
      <c r="AJ1018">
        <f>Q1018-N1018</f>
        <v/>
      </c>
      <c r="AK1018">
        <f>IF(AE1018=1,MAX(0,N1018-Q1018),0)</f>
        <v/>
      </c>
      <c r="AL1018">
        <f>IF(OR(V1018="",V1018=0),0,N1018/V1018)</f>
        <v/>
      </c>
      <c r="AM1018">
        <f>IF(OR(V1018="",V1018=0),0,1)</f>
        <v/>
      </c>
      <c r="AN1018">
        <f>IF(OR(E1018="",F1018=""),0,NETWORKDAYS(E1018,F1018,Ref!$K$2:$K$42))</f>
        <v/>
      </c>
      <c r="AO1018">
        <f>IF(L1018="Renewal",1,0)</f>
        <v/>
      </c>
      <c r="AP1018">
        <f>AC1018*AD1018</f>
        <v/>
      </c>
      <c r="AQ1018">
        <f>IF(AND(G1018&lt;&gt;"",'Historical Score'!$C$6&lt;&gt;""),IF(G1018='Historical Score'!$C$6,1,0),0)</f>
        <v/>
      </c>
      <c r="AR1018">
        <f>IF(AND(L1018&lt;&gt;"",'Historical Score'!$C$5&lt;&gt;""),IF(L1018='Historical Score'!$C$5,1,0),0)</f>
        <v/>
      </c>
      <c r="AS1018">
        <f>IF(AND(Y1018&lt;&gt;"",'Historical Score'!$C$7&lt;&gt;""),IF(Y1018='Historical Score'!$C$7,1,0),0)</f>
        <v/>
      </c>
      <c r="AT1018">
        <f>IF(AND(K1018&lt;&gt;"",'Historical Score'!$C$8&lt;&gt;""),IF(K1018='Historical Score'!$C$8,1,0),0)</f>
        <v/>
      </c>
      <c r="AU1018">
        <f>IF(AND(J1018&lt;&gt;"",'Historical Score'!$C$9&lt;&gt;""),IF(J1018='Historical Score'!$C$9,1,0),0)</f>
        <v/>
      </c>
      <c r="AV1018">
        <f>AR1018*AS1018*AQ1018</f>
        <v/>
      </c>
      <c r="AW1018">
        <f>AR1018*AT1018*AQ1018</f>
        <v/>
      </c>
      <c r="AX1018">
        <f>AR1018*AS1018</f>
        <v/>
      </c>
      <c r="AY1018">
        <f>AR1018*AT1018</f>
        <v/>
      </c>
      <c r="AZ1018">
        <f>AR1018*AQ1018</f>
        <v/>
      </c>
      <c r="BA1018">
        <f>AR1018</f>
        <v/>
      </c>
      <c r="BB1018">
        <f>1</f>
        <v/>
      </c>
      <c r="BC1018">
        <f>IF(AV1018=1,1,IF(AW1018=1,2,IF(AX1018=1,3,IF(AY1018=1,4,IF(AZ1018=1,5,IF(BA1018=1,6,7))))))</f>
        <v/>
      </c>
      <c r="BD1018">
        <f>IF(AD1018=1,CHOOSE('Historical Score'!$C$29,AV1018,AW1018,AX1018,AY1018,AZ1018,BA1018,BB1018),0)</f>
        <v/>
      </c>
      <c r="BE1018">
        <f>IF(BD1018=1,COUNTIF($BD$2:BD1018,1),"")</f>
        <v/>
      </c>
    </row>
    <row r="1019">
      <c r="A1019" t="inlineStr">
        <is>
          <t>5674187085</t>
        </is>
      </c>
      <c r="B1019" t="inlineStr">
        <is>
          <t>WEBBER INTERNATIONAL UNIVERSITY</t>
        </is>
      </c>
      <c r="C1019" t="inlineStr">
        <is>
          <t>WEBBER INTERNATIONAL UNIVERSITY INC</t>
        </is>
      </c>
      <c r="D1019" t="inlineStr">
        <is>
          <t>Closed</t>
        </is>
      </c>
      <c r="E1019" s="297" t="n">
        <v>46213</v>
      </c>
      <c r="F1019" s="297" t="n">
        <v>46246</v>
      </c>
      <c r="G1019" t="n">
        <v>3</v>
      </c>
      <c r="H1019" t="inlineStr">
        <is>
          <t>8299</t>
        </is>
      </c>
      <c r="I1019" t="inlineStr">
        <is>
          <t>82</t>
        </is>
      </c>
      <c r="J1019" t="inlineStr">
        <is>
          <t>FL</t>
        </is>
      </c>
      <c r="K1019" t="inlineStr">
        <is>
          <t>United Secured Capital 8</t>
        </is>
      </c>
      <c r="L1019" t="inlineStr">
        <is>
          <t>New Deal</t>
        </is>
      </c>
      <c r="M1019" s="298" t="n">
        <v>1.2460608</v>
      </c>
      <c r="N1019" s="299" t="n">
        <v>150000</v>
      </c>
      <c r="O1019" s="299" t="n">
        <v>21000</v>
      </c>
      <c r="P1019" s="299" t="n">
        <v>186909.12</v>
      </c>
      <c r="Q1019" s="299" t="n">
        <v>186909.12</v>
      </c>
      <c r="R1019" s="299" t="n">
        <v>0</v>
      </c>
      <c r="S1019" s="300" t="n">
        <v>1</v>
      </c>
      <c r="T1019" t="n">
        <v>32</v>
      </c>
      <c r="U1019" t="n">
        <v>0</v>
      </c>
      <c r="V1019" t="n">
        <v>760957.2</v>
      </c>
      <c r="W1019" s="300" t="n">
        <v>0.0167</v>
      </c>
      <c r="X1019" s="297" t="n">
        <v>43101</v>
      </c>
      <c r="Y1019">
        <f>IF(I1019="","No SIC",IFERROR(VLOOKUP(I1019,Ref!$A$2:$B$65,2,FALSE),"Unclassified"))</f>
        <v/>
      </c>
      <c r="Z1019">
        <f>IF(T1019="","",IF(T1019&lt;12,"Daily","Weekly"))</f>
        <v/>
      </c>
      <c r="AA1019">
        <f>IF(T1019="",0,IF(T1019&lt;12,T1019*Controls!$B$29,T1019*5))</f>
        <v/>
      </c>
      <c r="AB1019">
        <f>IF(E1019="",0,NETWORKDAYS(E1019,Controls!$B$36,Ref!$K$2:$K$42))</f>
        <v/>
      </c>
      <c r="AC1019">
        <f>IF(AND(AA1019&gt;0,AB1019&gt;=Controls!$B$39*AA1019),1,0)</f>
        <v/>
      </c>
      <c r="AD1019">
        <f>IF(AND(E1019&lt;&gt;"",E1019&gt;=Controls!$B$37,E1019&lt;=Controls!$B$38),1,0)</f>
        <v/>
      </c>
      <c r="AE1019">
        <f>IF(IFERROR(VLOOKUP(D1019,Controls!$A$64:$E$74,2,FALSE),"No")="Yes",1,0)</f>
        <v/>
      </c>
      <c r="AF1019">
        <f>IF(IFERROR(VLOOKUP(D1019,Controls!$A$64:$E$74,3,FALSE),"No")="Yes",1,0)</f>
        <v/>
      </c>
      <c r="AG1019">
        <f>IF(IFERROR(VLOOKUP(D1019,Controls!$A$64:$E$74,4,FALSE),"No")="Yes",1,0)</f>
        <v/>
      </c>
      <c r="AH1019">
        <f>IF(IFERROR(VLOOKUP(D1019,Controls!$A$64:$E$74,5,FALSE),"No")="Yes",1,0)</f>
        <v/>
      </c>
      <c r="AI1019">
        <f>IF(ISNUMBER(MATCH(D1019,Controls!$A$64:$A$74,0)),1,0)</f>
        <v/>
      </c>
      <c r="AJ1019">
        <f>Q1019-N1019</f>
        <v/>
      </c>
      <c r="AK1019">
        <f>IF(AE1019=1,MAX(0,N1019-Q1019),0)</f>
        <v/>
      </c>
      <c r="AL1019">
        <f>IF(OR(V1019="",V1019=0),0,N1019/V1019)</f>
        <v/>
      </c>
      <c r="AM1019">
        <f>IF(OR(V1019="",V1019=0),0,1)</f>
        <v/>
      </c>
      <c r="AN1019">
        <f>IF(OR(E1019="",F1019=""),0,NETWORKDAYS(E1019,F1019,Ref!$K$2:$K$42))</f>
        <v/>
      </c>
      <c r="AO1019">
        <f>IF(L1019="Renewal",1,0)</f>
        <v/>
      </c>
      <c r="AP1019">
        <f>AC1019*AD1019</f>
        <v/>
      </c>
      <c r="AQ1019">
        <f>IF(AND(G1019&lt;&gt;"",'Historical Score'!$C$6&lt;&gt;""),IF(G1019='Historical Score'!$C$6,1,0),0)</f>
        <v/>
      </c>
      <c r="AR1019">
        <f>IF(AND(L1019&lt;&gt;"",'Historical Score'!$C$5&lt;&gt;""),IF(L1019='Historical Score'!$C$5,1,0),0)</f>
        <v/>
      </c>
      <c r="AS1019">
        <f>IF(AND(Y1019&lt;&gt;"",'Historical Score'!$C$7&lt;&gt;""),IF(Y1019='Historical Score'!$C$7,1,0),0)</f>
        <v/>
      </c>
      <c r="AT1019">
        <f>IF(AND(K1019&lt;&gt;"",'Historical Score'!$C$8&lt;&gt;""),IF(K1019='Historical Score'!$C$8,1,0),0)</f>
        <v/>
      </c>
      <c r="AU1019">
        <f>IF(AND(J1019&lt;&gt;"",'Historical Score'!$C$9&lt;&gt;""),IF(J1019='Historical Score'!$C$9,1,0),0)</f>
        <v/>
      </c>
      <c r="AV1019">
        <f>AR1019*AS1019*AQ1019</f>
        <v/>
      </c>
      <c r="AW1019">
        <f>AR1019*AT1019*AQ1019</f>
        <v/>
      </c>
      <c r="AX1019">
        <f>AR1019*AS1019</f>
        <v/>
      </c>
      <c r="AY1019">
        <f>AR1019*AT1019</f>
        <v/>
      </c>
      <c r="AZ1019">
        <f>AR1019*AQ1019</f>
        <v/>
      </c>
      <c r="BA1019">
        <f>AR1019</f>
        <v/>
      </c>
      <c r="BB1019">
        <f>1</f>
        <v/>
      </c>
      <c r="BC1019">
        <f>IF(AV1019=1,1,IF(AW1019=1,2,IF(AX1019=1,3,IF(AY1019=1,4,IF(AZ1019=1,5,IF(BA1019=1,6,7))))))</f>
        <v/>
      </c>
      <c r="BD1019">
        <f>IF(AD1019=1,CHOOSE('Historical Score'!$C$29,AV1019,AW1019,AX1019,AY1019,AZ1019,BA1019,BB1019),0)</f>
        <v/>
      </c>
      <c r="BE1019">
        <f>IF(BD1019=1,COUNTIF($BD$2:BD1019,1),"")</f>
        <v/>
      </c>
    </row>
    <row r="1020">
      <c r="A1020" t="inlineStr">
        <is>
          <t>5674187100</t>
        </is>
      </c>
      <c r="B1020" t="inlineStr">
        <is>
          <t>Obys Auto Restoration LLC</t>
        </is>
      </c>
      <c r="C1020" t="inlineStr">
        <is>
          <t>Obys Auto Restoration LLC</t>
        </is>
      </c>
      <c r="D1020" t="inlineStr">
        <is>
          <t>Open</t>
        </is>
      </c>
      <c r="E1020" s="297" t="n">
        <v>46213</v>
      </c>
      <c r="F1020" s="297" t="n">
        <v>46248</v>
      </c>
      <c r="G1020" t="n">
        <v>3</v>
      </c>
      <c r="H1020" t="inlineStr">
        <is>
          <t>7538</t>
        </is>
      </c>
      <c r="I1020" t="inlineStr">
        <is>
          <t>75</t>
        </is>
      </c>
      <c r="J1020" t="inlineStr">
        <is>
          <t>WI</t>
        </is>
      </c>
      <c r="K1020" t="inlineStr">
        <is>
          <t>United Secured Capital 8</t>
        </is>
      </c>
      <c r="L1020" t="inlineStr">
        <is>
          <t>Renewal</t>
        </is>
      </c>
      <c r="M1020" s="298" t="n">
        <v>1.49</v>
      </c>
      <c r="N1020" s="299" t="n">
        <v>40000</v>
      </c>
      <c r="O1020" s="299" t="n">
        <v>5600</v>
      </c>
      <c r="P1020" s="299" t="n">
        <v>59600</v>
      </c>
      <c r="Q1020" s="299" t="n">
        <v>8278.1</v>
      </c>
      <c r="R1020" s="299" t="n">
        <v>51321.9</v>
      </c>
      <c r="S1020" s="300" t="n">
        <v>0.138894295302013</v>
      </c>
      <c r="T1020" t="n">
        <v>36</v>
      </c>
      <c r="U1020" t="n">
        <v>0</v>
      </c>
      <c r="V1020" t="n">
        <v>44329</v>
      </c>
      <c r="W1020" s="300" t="n">
        <v>0.1835</v>
      </c>
      <c r="X1020" s="297" t="n">
        <v>45812</v>
      </c>
      <c r="Y1020">
        <f>IF(I1020="","No SIC",IFERROR(VLOOKUP(I1020,Ref!$A$2:$B$65,2,FALSE),"Unclassified"))</f>
        <v/>
      </c>
      <c r="Z1020">
        <f>IF(T1020="","",IF(T1020&lt;12,"Daily","Weekly"))</f>
        <v/>
      </c>
      <c r="AA1020">
        <f>IF(T1020="",0,IF(T1020&lt;12,T1020*Controls!$B$29,T1020*5))</f>
        <v/>
      </c>
      <c r="AB1020">
        <f>IF(E1020="",0,NETWORKDAYS(E1020,Controls!$B$36,Ref!$K$2:$K$42))</f>
        <v/>
      </c>
      <c r="AC1020">
        <f>IF(AND(AA1020&gt;0,AB1020&gt;=Controls!$B$39*AA1020),1,0)</f>
        <v/>
      </c>
      <c r="AD1020">
        <f>IF(AND(E1020&lt;&gt;"",E1020&gt;=Controls!$B$37,E1020&lt;=Controls!$B$38),1,0)</f>
        <v/>
      </c>
      <c r="AE1020">
        <f>IF(IFERROR(VLOOKUP(D1020,Controls!$A$64:$E$74,2,FALSE),"No")="Yes",1,0)</f>
        <v/>
      </c>
      <c r="AF1020">
        <f>IF(IFERROR(VLOOKUP(D1020,Controls!$A$64:$E$74,3,FALSE),"No")="Yes",1,0)</f>
        <v/>
      </c>
      <c r="AG1020">
        <f>IF(IFERROR(VLOOKUP(D1020,Controls!$A$64:$E$74,4,FALSE),"No")="Yes",1,0)</f>
        <v/>
      </c>
      <c r="AH1020">
        <f>IF(IFERROR(VLOOKUP(D1020,Controls!$A$64:$E$74,5,FALSE),"No")="Yes",1,0)</f>
        <v/>
      </c>
      <c r="AI1020">
        <f>IF(ISNUMBER(MATCH(D1020,Controls!$A$64:$A$74,0)),1,0)</f>
        <v/>
      </c>
      <c r="AJ1020">
        <f>Q1020-N1020</f>
        <v/>
      </c>
      <c r="AK1020">
        <f>IF(AE1020=1,MAX(0,N1020-Q1020),0)</f>
        <v/>
      </c>
      <c r="AL1020">
        <f>IF(OR(V1020="",V1020=0),0,N1020/V1020)</f>
        <v/>
      </c>
      <c r="AM1020">
        <f>IF(OR(V1020="",V1020=0),0,1)</f>
        <v/>
      </c>
      <c r="AN1020">
        <f>IF(OR(E1020="",F1020=""),0,NETWORKDAYS(E1020,F1020,Ref!$K$2:$K$42))</f>
        <v/>
      </c>
      <c r="AO1020">
        <f>IF(L1020="Renewal",1,0)</f>
        <v/>
      </c>
      <c r="AP1020">
        <f>AC1020*AD1020</f>
        <v/>
      </c>
      <c r="AQ1020">
        <f>IF(AND(G1020&lt;&gt;"",'Historical Score'!$C$6&lt;&gt;""),IF(G1020='Historical Score'!$C$6,1,0),0)</f>
        <v/>
      </c>
      <c r="AR1020">
        <f>IF(AND(L1020&lt;&gt;"",'Historical Score'!$C$5&lt;&gt;""),IF(L1020='Historical Score'!$C$5,1,0),0)</f>
        <v/>
      </c>
      <c r="AS1020">
        <f>IF(AND(Y1020&lt;&gt;"",'Historical Score'!$C$7&lt;&gt;""),IF(Y1020='Historical Score'!$C$7,1,0),0)</f>
        <v/>
      </c>
      <c r="AT1020">
        <f>IF(AND(K1020&lt;&gt;"",'Historical Score'!$C$8&lt;&gt;""),IF(K1020='Historical Score'!$C$8,1,0),0)</f>
        <v/>
      </c>
      <c r="AU1020">
        <f>IF(AND(J1020&lt;&gt;"",'Historical Score'!$C$9&lt;&gt;""),IF(J1020='Historical Score'!$C$9,1,0),0)</f>
        <v/>
      </c>
      <c r="AV1020">
        <f>AR1020*AS1020*AQ1020</f>
        <v/>
      </c>
      <c r="AW1020">
        <f>AR1020*AT1020*AQ1020</f>
        <v/>
      </c>
      <c r="AX1020">
        <f>AR1020*AS1020</f>
        <v/>
      </c>
      <c r="AY1020">
        <f>AR1020*AT1020</f>
        <v/>
      </c>
      <c r="AZ1020">
        <f>AR1020*AQ1020</f>
        <v/>
      </c>
      <c r="BA1020">
        <f>AR1020</f>
        <v/>
      </c>
      <c r="BB1020">
        <f>1</f>
        <v/>
      </c>
      <c r="BC1020">
        <f>IF(AV1020=1,1,IF(AW1020=1,2,IF(AX1020=1,3,IF(AY1020=1,4,IF(AZ1020=1,5,IF(BA1020=1,6,7))))))</f>
        <v/>
      </c>
      <c r="BD1020">
        <f>IF(AD1020=1,CHOOSE('Historical Score'!$C$29,AV1020,AW1020,AX1020,AY1020,AZ1020,BA1020,BB1020),0)</f>
        <v/>
      </c>
      <c r="BE1020">
        <f>IF(BD1020=1,COUNTIF($BD$2:BD1020,1),"")</f>
        <v/>
      </c>
    </row>
    <row r="1021">
      <c r="A1021" t="inlineStr">
        <is>
          <t>5674187103</t>
        </is>
      </c>
      <c r="B1021" t="inlineStr">
        <is>
          <t>Ark Solutions</t>
        </is>
      </c>
      <c r="C1021" t="inlineStr">
        <is>
          <t>Ark Solutions LLC</t>
        </is>
      </c>
      <c r="D1021" t="inlineStr">
        <is>
          <t>Lowered Payments</t>
        </is>
      </c>
      <c r="E1021" s="297" t="n">
        <v>46213</v>
      </c>
      <c r="F1021" s="297" t="n">
        <v>46253</v>
      </c>
      <c r="G1021" t="n">
        <v>3</v>
      </c>
      <c r="H1021" t="inlineStr">
        <is>
          <t>5734</t>
        </is>
      </c>
      <c r="I1021" t="inlineStr">
        <is>
          <t>57</t>
        </is>
      </c>
      <c r="J1021" t="inlineStr">
        <is>
          <t>MS</t>
        </is>
      </c>
      <c r="K1021" t="inlineStr">
        <is>
          <t>Wisco Capital</t>
        </is>
      </c>
      <c r="L1021" t="inlineStr">
        <is>
          <t>New Deal</t>
        </is>
      </c>
      <c r="M1021" s="298" t="n">
        <v>1.49</v>
      </c>
      <c r="N1021" s="299" t="n">
        <v>10000</v>
      </c>
      <c r="O1021" s="299" t="n">
        <v>0</v>
      </c>
      <c r="P1021" s="299" t="n">
        <v>14900</v>
      </c>
      <c r="Q1021" s="299" t="n">
        <v>965.55</v>
      </c>
      <c r="R1021" s="299" t="n">
        <v>13934.45</v>
      </c>
      <c r="S1021" s="300" t="n">
        <v>0.0648020134228188</v>
      </c>
      <c r="T1021" t="n">
        <v>2.951</v>
      </c>
      <c r="U1021" t="n">
        <v>19</v>
      </c>
      <c r="V1021" t="n">
        <v>23002.23</v>
      </c>
      <c r="W1021" s="300" t="n">
        <v>0.1511</v>
      </c>
      <c r="X1021" s="297" t="n">
        <v>45858</v>
      </c>
      <c r="Y1021">
        <f>IF(I1021="","No SIC",IFERROR(VLOOKUP(I1021,Ref!$A$2:$B$65,2,FALSE),"Unclassified"))</f>
        <v/>
      </c>
      <c r="Z1021">
        <f>IF(T1021="","",IF(T1021&lt;12,"Daily","Weekly"))</f>
        <v/>
      </c>
      <c r="AA1021">
        <f>IF(T1021="",0,IF(T1021&lt;12,T1021*Controls!$B$29,T1021*5))</f>
        <v/>
      </c>
      <c r="AB1021">
        <f>IF(E1021="",0,NETWORKDAYS(E1021,Controls!$B$36,Ref!$K$2:$K$42))</f>
        <v/>
      </c>
      <c r="AC1021">
        <f>IF(AND(AA1021&gt;0,AB1021&gt;=Controls!$B$39*AA1021),1,0)</f>
        <v/>
      </c>
      <c r="AD1021">
        <f>IF(AND(E1021&lt;&gt;"",E1021&gt;=Controls!$B$37,E1021&lt;=Controls!$B$38),1,0)</f>
        <v/>
      </c>
      <c r="AE1021">
        <f>IF(IFERROR(VLOOKUP(D1021,Controls!$A$64:$E$74,2,FALSE),"No")="Yes",1,0)</f>
        <v/>
      </c>
      <c r="AF1021">
        <f>IF(IFERROR(VLOOKUP(D1021,Controls!$A$64:$E$74,3,FALSE),"No")="Yes",1,0)</f>
        <v/>
      </c>
      <c r="AG1021">
        <f>IF(IFERROR(VLOOKUP(D1021,Controls!$A$64:$E$74,4,FALSE),"No")="Yes",1,0)</f>
        <v/>
      </c>
      <c r="AH1021">
        <f>IF(IFERROR(VLOOKUP(D1021,Controls!$A$64:$E$74,5,FALSE),"No")="Yes",1,0)</f>
        <v/>
      </c>
      <c r="AI1021">
        <f>IF(ISNUMBER(MATCH(D1021,Controls!$A$64:$A$74,0)),1,0)</f>
        <v/>
      </c>
      <c r="AJ1021">
        <f>Q1021-N1021</f>
        <v/>
      </c>
      <c r="AK1021">
        <f>IF(AE1021=1,MAX(0,N1021-Q1021),0)</f>
        <v/>
      </c>
      <c r="AL1021">
        <f>IF(OR(V1021="",V1021=0),0,N1021/V1021)</f>
        <v/>
      </c>
      <c r="AM1021">
        <f>IF(OR(V1021="",V1021=0),0,1)</f>
        <v/>
      </c>
      <c r="AN1021">
        <f>IF(OR(E1021="",F1021=""),0,NETWORKDAYS(E1021,F1021,Ref!$K$2:$K$42))</f>
        <v/>
      </c>
      <c r="AO1021">
        <f>IF(L1021="Renewal",1,0)</f>
        <v/>
      </c>
      <c r="AP1021">
        <f>AC1021*AD1021</f>
        <v/>
      </c>
      <c r="AQ1021">
        <f>IF(AND(G1021&lt;&gt;"",'Historical Score'!$C$6&lt;&gt;""),IF(G1021='Historical Score'!$C$6,1,0),0)</f>
        <v/>
      </c>
      <c r="AR1021">
        <f>IF(AND(L1021&lt;&gt;"",'Historical Score'!$C$5&lt;&gt;""),IF(L1021='Historical Score'!$C$5,1,0),0)</f>
        <v/>
      </c>
      <c r="AS1021">
        <f>IF(AND(Y1021&lt;&gt;"",'Historical Score'!$C$7&lt;&gt;""),IF(Y1021='Historical Score'!$C$7,1,0),0)</f>
        <v/>
      </c>
      <c r="AT1021">
        <f>IF(AND(K1021&lt;&gt;"",'Historical Score'!$C$8&lt;&gt;""),IF(K1021='Historical Score'!$C$8,1,0),0)</f>
        <v/>
      </c>
      <c r="AU1021">
        <f>IF(AND(J1021&lt;&gt;"",'Historical Score'!$C$9&lt;&gt;""),IF(J1021='Historical Score'!$C$9,1,0),0)</f>
        <v/>
      </c>
      <c r="AV1021">
        <f>AR1021*AS1021*AQ1021</f>
        <v/>
      </c>
      <c r="AW1021">
        <f>AR1021*AT1021*AQ1021</f>
        <v/>
      </c>
      <c r="AX1021">
        <f>AR1021*AS1021</f>
        <v/>
      </c>
      <c r="AY1021">
        <f>AR1021*AT1021</f>
        <v/>
      </c>
      <c r="AZ1021">
        <f>AR1021*AQ1021</f>
        <v/>
      </c>
      <c r="BA1021">
        <f>AR1021</f>
        <v/>
      </c>
      <c r="BB1021">
        <f>1</f>
        <v/>
      </c>
      <c r="BC1021">
        <f>IF(AV1021=1,1,IF(AW1021=1,2,IF(AX1021=1,3,IF(AY1021=1,4,IF(AZ1021=1,5,IF(BA1021=1,6,7))))))</f>
        <v/>
      </c>
      <c r="BD1021">
        <f>IF(AD1021=1,CHOOSE('Historical Score'!$C$29,AV1021,AW1021,AX1021,AY1021,AZ1021,BA1021,BB1021),0)</f>
        <v/>
      </c>
      <c r="BE1021">
        <f>IF(BD1021=1,COUNTIF($BD$2:BD1021,1),"")</f>
        <v/>
      </c>
    </row>
    <row r="1022">
      <c r="A1022" t="inlineStr">
        <is>
          <t>5674187104</t>
        </is>
      </c>
      <c r="B1022" t="inlineStr">
        <is>
          <t>SASQUATCH PROVISIONS LLC</t>
        </is>
      </c>
      <c r="C1022" t="inlineStr">
        <is>
          <t>SASQUATCH PROVISIONS LLC</t>
        </is>
      </c>
      <c r="D1022" t="inlineStr">
        <is>
          <t>Open</t>
        </is>
      </c>
      <c r="E1022" s="297" t="n">
        <v>46213</v>
      </c>
      <c r="F1022" s="297" t="n">
        <v>46253</v>
      </c>
      <c r="G1022" t="n">
        <v>3</v>
      </c>
      <c r="H1022" t="inlineStr">
        <is>
          <t>5999</t>
        </is>
      </c>
      <c r="I1022" t="inlineStr">
        <is>
          <t>59</t>
        </is>
      </c>
      <c r="J1022" t="inlineStr">
        <is>
          <t>WA</t>
        </is>
      </c>
      <c r="K1022" t="inlineStr">
        <is>
          <t>Fundwell</t>
        </is>
      </c>
      <c r="L1022" t="inlineStr">
        <is>
          <t>New Deal</t>
        </is>
      </c>
      <c r="M1022" s="298" t="n">
        <v>1.36</v>
      </c>
      <c r="N1022" s="299" t="n">
        <v>15000</v>
      </c>
      <c r="O1022" s="299" t="n">
        <v>1125</v>
      </c>
      <c r="P1022" s="299" t="n">
        <v>20400</v>
      </c>
      <c r="Q1022" s="299" t="n">
        <v>4845</v>
      </c>
      <c r="R1022" s="299" t="n">
        <v>15555</v>
      </c>
      <c r="S1022" s="300" t="n">
        <v>0.2375</v>
      </c>
      <c r="T1022" t="n">
        <v>2.623</v>
      </c>
      <c r="U1022" t="n">
        <v>9</v>
      </c>
      <c r="V1022" t="n">
        <v>5734.32</v>
      </c>
      <c r="W1022" s="300" t="n">
        <v>0.282</v>
      </c>
      <c r="X1022" s="297" t="n">
        <v>44165</v>
      </c>
      <c r="Y1022">
        <f>IF(I1022="","No SIC",IFERROR(VLOOKUP(I1022,Ref!$A$2:$B$65,2,FALSE),"Unclassified"))</f>
        <v/>
      </c>
      <c r="Z1022">
        <f>IF(T1022="","",IF(T1022&lt;12,"Daily","Weekly"))</f>
        <v/>
      </c>
      <c r="AA1022">
        <f>IF(T1022="",0,IF(T1022&lt;12,T1022*Controls!$B$29,T1022*5))</f>
        <v/>
      </c>
      <c r="AB1022">
        <f>IF(E1022="",0,NETWORKDAYS(E1022,Controls!$B$36,Ref!$K$2:$K$42))</f>
        <v/>
      </c>
      <c r="AC1022">
        <f>IF(AND(AA1022&gt;0,AB1022&gt;=Controls!$B$39*AA1022),1,0)</f>
        <v/>
      </c>
      <c r="AD1022">
        <f>IF(AND(E1022&lt;&gt;"",E1022&gt;=Controls!$B$37,E1022&lt;=Controls!$B$38),1,0)</f>
        <v/>
      </c>
      <c r="AE1022">
        <f>IF(IFERROR(VLOOKUP(D1022,Controls!$A$64:$E$74,2,FALSE),"No")="Yes",1,0)</f>
        <v/>
      </c>
      <c r="AF1022">
        <f>IF(IFERROR(VLOOKUP(D1022,Controls!$A$64:$E$74,3,FALSE),"No")="Yes",1,0)</f>
        <v/>
      </c>
      <c r="AG1022">
        <f>IF(IFERROR(VLOOKUP(D1022,Controls!$A$64:$E$74,4,FALSE),"No")="Yes",1,0)</f>
        <v/>
      </c>
      <c r="AH1022">
        <f>IF(IFERROR(VLOOKUP(D1022,Controls!$A$64:$E$74,5,FALSE),"No")="Yes",1,0)</f>
        <v/>
      </c>
      <c r="AI1022">
        <f>IF(ISNUMBER(MATCH(D1022,Controls!$A$64:$A$74,0)),1,0)</f>
        <v/>
      </c>
      <c r="AJ1022">
        <f>Q1022-N1022</f>
        <v/>
      </c>
      <c r="AK1022">
        <f>IF(AE1022=1,MAX(0,N1022-Q1022),0)</f>
        <v/>
      </c>
      <c r="AL1022">
        <f>IF(OR(V1022="",V1022=0),0,N1022/V1022)</f>
        <v/>
      </c>
      <c r="AM1022">
        <f>IF(OR(V1022="",V1022=0),0,1)</f>
        <v/>
      </c>
      <c r="AN1022">
        <f>IF(OR(E1022="",F1022=""),0,NETWORKDAYS(E1022,F1022,Ref!$K$2:$K$42))</f>
        <v/>
      </c>
      <c r="AO1022">
        <f>IF(L1022="Renewal",1,0)</f>
        <v/>
      </c>
      <c r="AP1022">
        <f>AC1022*AD1022</f>
        <v/>
      </c>
      <c r="AQ1022">
        <f>IF(AND(G1022&lt;&gt;"",'Historical Score'!$C$6&lt;&gt;""),IF(G1022='Historical Score'!$C$6,1,0),0)</f>
        <v/>
      </c>
      <c r="AR1022">
        <f>IF(AND(L1022&lt;&gt;"",'Historical Score'!$C$5&lt;&gt;""),IF(L1022='Historical Score'!$C$5,1,0),0)</f>
        <v/>
      </c>
      <c r="AS1022">
        <f>IF(AND(Y1022&lt;&gt;"",'Historical Score'!$C$7&lt;&gt;""),IF(Y1022='Historical Score'!$C$7,1,0),0)</f>
        <v/>
      </c>
      <c r="AT1022">
        <f>IF(AND(K1022&lt;&gt;"",'Historical Score'!$C$8&lt;&gt;""),IF(K1022='Historical Score'!$C$8,1,0),0)</f>
        <v/>
      </c>
      <c r="AU1022">
        <f>IF(AND(J1022&lt;&gt;"",'Historical Score'!$C$9&lt;&gt;""),IF(J1022='Historical Score'!$C$9,1,0),0)</f>
        <v/>
      </c>
      <c r="AV1022">
        <f>AR1022*AS1022*AQ1022</f>
        <v/>
      </c>
      <c r="AW1022">
        <f>AR1022*AT1022*AQ1022</f>
        <v/>
      </c>
      <c r="AX1022">
        <f>AR1022*AS1022</f>
        <v/>
      </c>
      <c r="AY1022">
        <f>AR1022*AT1022</f>
        <v/>
      </c>
      <c r="AZ1022">
        <f>AR1022*AQ1022</f>
        <v/>
      </c>
      <c r="BA1022">
        <f>AR1022</f>
        <v/>
      </c>
      <c r="BB1022">
        <f>1</f>
        <v/>
      </c>
      <c r="BC1022">
        <f>IF(AV1022=1,1,IF(AW1022=1,2,IF(AX1022=1,3,IF(AY1022=1,4,IF(AZ1022=1,5,IF(BA1022=1,6,7))))))</f>
        <v/>
      </c>
      <c r="BD1022">
        <f>IF(AD1022=1,CHOOSE('Historical Score'!$C$29,AV1022,AW1022,AX1022,AY1022,AZ1022,BA1022,BB1022),0)</f>
        <v/>
      </c>
      <c r="BE1022">
        <f>IF(BD1022=1,COUNTIF($BD$2:BD1022,1),"")</f>
        <v/>
      </c>
    </row>
    <row r="1023">
      <c r="A1023" t="inlineStr">
        <is>
          <t>5674187105</t>
        </is>
      </c>
      <c r="B1023" t="inlineStr">
        <is>
          <t>SUMMIT EXERCISES AND TRAINING, SUMMITET</t>
        </is>
      </c>
      <c r="C1023" t="inlineStr">
        <is>
          <t>Summit Exercises and Training LLC</t>
        </is>
      </c>
      <c r="D1023" t="inlineStr">
        <is>
          <t>Closed</t>
        </is>
      </c>
      <c r="E1023" s="297" t="n">
        <v>46213</v>
      </c>
      <c r="F1023" s="297" t="n">
        <v>46252</v>
      </c>
      <c r="G1023" t="n">
        <v>4</v>
      </c>
      <c r="H1023" t="inlineStr">
        <is>
          <t>9711</t>
        </is>
      </c>
      <c r="I1023" t="inlineStr">
        <is>
          <t>97</t>
        </is>
      </c>
      <c r="J1023" t="inlineStr">
        <is>
          <t>FL</t>
        </is>
      </c>
      <c r="K1023" t="inlineStr">
        <is>
          <t>PMF</t>
        </is>
      </c>
      <c r="L1023" t="inlineStr">
        <is>
          <t>New Deal</t>
        </is>
      </c>
      <c r="M1023" s="298" t="n">
        <v>1.41145813</v>
      </c>
      <c r="N1023" s="299" t="n">
        <v>160000</v>
      </c>
      <c r="O1023" s="299" t="n">
        <v>22400</v>
      </c>
      <c r="P1023" s="299" t="n">
        <v>225833.3008</v>
      </c>
      <c r="Q1023" s="299" t="n">
        <v>225833.3</v>
      </c>
      <c r="R1023" s="299" t="n">
        <v>0.000800000008894131</v>
      </c>
      <c r="S1023" s="300" t="n">
        <v>0.999999996457564</v>
      </c>
      <c r="T1023" t="n">
        <v>26</v>
      </c>
      <c r="U1023" t="n">
        <v>0</v>
      </c>
      <c r="V1023" t="n">
        <v>850734.34</v>
      </c>
      <c r="W1023" s="300" t="n">
        <v>0.0431</v>
      </c>
      <c r="X1023" s="297" t="n">
        <v>41609</v>
      </c>
      <c r="Y1023">
        <f>IF(I1023="","No SIC",IFERROR(VLOOKUP(I1023,Ref!$A$2:$B$65,2,FALSE),"Unclassified"))</f>
        <v/>
      </c>
      <c r="Z1023">
        <f>IF(T1023="","",IF(T1023&lt;12,"Daily","Weekly"))</f>
        <v/>
      </c>
      <c r="AA1023">
        <f>IF(T1023="",0,IF(T1023&lt;12,T1023*Controls!$B$29,T1023*5))</f>
        <v/>
      </c>
      <c r="AB1023">
        <f>IF(E1023="",0,NETWORKDAYS(E1023,Controls!$B$36,Ref!$K$2:$K$42))</f>
        <v/>
      </c>
      <c r="AC1023">
        <f>IF(AND(AA1023&gt;0,AB1023&gt;=Controls!$B$39*AA1023),1,0)</f>
        <v/>
      </c>
      <c r="AD1023">
        <f>IF(AND(E1023&lt;&gt;"",E1023&gt;=Controls!$B$37,E1023&lt;=Controls!$B$38),1,0)</f>
        <v/>
      </c>
      <c r="AE1023">
        <f>IF(IFERROR(VLOOKUP(D1023,Controls!$A$64:$E$74,2,FALSE),"No")="Yes",1,0)</f>
        <v/>
      </c>
      <c r="AF1023">
        <f>IF(IFERROR(VLOOKUP(D1023,Controls!$A$64:$E$74,3,FALSE),"No")="Yes",1,0)</f>
        <v/>
      </c>
      <c r="AG1023">
        <f>IF(IFERROR(VLOOKUP(D1023,Controls!$A$64:$E$74,4,FALSE),"No")="Yes",1,0)</f>
        <v/>
      </c>
      <c r="AH1023">
        <f>IF(IFERROR(VLOOKUP(D1023,Controls!$A$64:$E$74,5,FALSE),"No")="Yes",1,0)</f>
        <v/>
      </c>
      <c r="AI1023">
        <f>IF(ISNUMBER(MATCH(D1023,Controls!$A$64:$A$74,0)),1,0)</f>
        <v/>
      </c>
      <c r="AJ1023">
        <f>Q1023-N1023</f>
        <v/>
      </c>
      <c r="AK1023">
        <f>IF(AE1023=1,MAX(0,N1023-Q1023),0)</f>
        <v/>
      </c>
      <c r="AL1023">
        <f>IF(OR(V1023="",V1023=0),0,N1023/V1023)</f>
        <v/>
      </c>
      <c r="AM1023">
        <f>IF(OR(V1023="",V1023=0),0,1)</f>
        <v/>
      </c>
      <c r="AN1023">
        <f>IF(OR(E1023="",F1023=""),0,NETWORKDAYS(E1023,F1023,Ref!$K$2:$K$42))</f>
        <v/>
      </c>
      <c r="AO1023">
        <f>IF(L1023="Renewal",1,0)</f>
        <v/>
      </c>
      <c r="AP1023">
        <f>AC1023*AD1023</f>
        <v/>
      </c>
      <c r="AQ1023">
        <f>IF(AND(G1023&lt;&gt;"",'Historical Score'!$C$6&lt;&gt;""),IF(G1023='Historical Score'!$C$6,1,0),0)</f>
        <v/>
      </c>
      <c r="AR1023">
        <f>IF(AND(L1023&lt;&gt;"",'Historical Score'!$C$5&lt;&gt;""),IF(L1023='Historical Score'!$C$5,1,0),0)</f>
        <v/>
      </c>
      <c r="AS1023">
        <f>IF(AND(Y1023&lt;&gt;"",'Historical Score'!$C$7&lt;&gt;""),IF(Y1023='Historical Score'!$C$7,1,0),0)</f>
        <v/>
      </c>
      <c r="AT1023">
        <f>IF(AND(K1023&lt;&gt;"",'Historical Score'!$C$8&lt;&gt;""),IF(K1023='Historical Score'!$C$8,1,0),0)</f>
        <v/>
      </c>
      <c r="AU1023">
        <f>IF(AND(J1023&lt;&gt;"",'Historical Score'!$C$9&lt;&gt;""),IF(J1023='Historical Score'!$C$9,1,0),0)</f>
        <v/>
      </c>
      <c r="AV1023">
        <f>AR1023*AS1023*AQ1023</f>
        <v/>
      </c>
      <c r="AW1023">
        <f>AR1023*AT1023*AQ1023</f>
        <v/>
      </c>
      <c r="AX1023">
        <f>AR1023*AS1023</f>
        <v/>
      </c>
      <c r="AY1023">
        <f>AR1023*AT1023</f>
        <v/>
      </c>
      <c r="AZ1023">
        <f>AR1023*AQ1023</f>
        <v/>
      </c>
      <c r="BA1023">
        <f>AR1023</f>
        <v/>
      </c>
      <c r="BB1023">
        <f>1</f>
        <v/>
      </c>
      <c r="BC1023">
        <f>IF(AV1023=1,1,IF(AW1023=1,2,IF(AX1023=1,3,IF(AY1023=1,4,IF(AZ1023=1,5,IF(BA1023=1,6,7))))))</f>
        <v/>
      </c>
      <c r="BD1023">
        <f>IF(AD1023=1,CHOOSE('Historical Score'!$C$29,AV1023,AW1023,AX1023,AY1023,AZ1023,BA1023,BB1023),0)</f>
        <v/>
      </c>
      <c r="BE1023">
        <f>IF(BD1023=1,COUNTIF($BD$2:BD1023,1),"")</f>
        <v/>
      </c>
    </row>
    <row r="1024">
      <c r="A1024" t="inlineStr">
        <is>
          <t>5674187132</t>
        </is>
      </c>
      <c r="B1024" t="inlineStr">
        <is>
          <t>A Plus Commercial Tire Service</t>
        </is>
      </c>
      <c r="C1024" t="inlineStr">
        <is>
          <t>A Plus Commercial Tire Service</t>
        </is>
      </c>
      <c r="D1024" t="inlineStr">
        <is>
          <t>Open</t>
        </is>
      </c>
      <c r="E1024" s="297" t="n">
        <v>46213</v>
      </c>
      <c r="F1024" s="297" t="n">
        <v>46247</v>
      </c>
      <c r="G1024" t="n">
        <v>4</v>
      </c>
      <c r="H1024" t="inlineStr">
        <is>
          <t>7538</t>
        </is>
      </c>
      <c r="I1024" t="inlineStr">
        <is>
          <t>75</t>
        </is>
      </c>
      <c r="J1024" t="inlineStr">
        <is>
          <t>GA</t>
        </is>
      </c>
      <c r="K1024" t="inlineStr">
        <is>
          <t>United Secured Capital 8</t>
        </is>
      </c>
      <c r="L1024" t="inlineStr">
        <is>
          <t>New Deal</t>
        </is>
      </c>
      <c r="M1024" s="298" t="n">
        <v>1.49</v>
      </c>
      <c r="N1024" s="299" t="n">
        <v>40000</v>
      </c>
      <c r="O1024" s="299" t="n">
        <v>6000</v>
      </c>
      <c r="P1024" s="299" t="n">
        <v>59600</v>
      </c>
      <c r="Q1024" s="299" t="n">
        <v>12416.75</v>
      </c>
      <c r="R1024" s="299" t="n">
        <v>47183.25</v>
      </c>
      <c r="S1024" s="300" t="n">
        <v>0.208334731543624</v>
      </c>
      <c r="T1024" t="n">
        <v>24</v>
      </c>
      <c r="U1024" t="n">
        <v>0</v>
      </c>
      <c r="V1024" t="n">
        <v>110294.91</v>
      </c>
      <c r="W1024" s="300" t="n">
        <v>0.0897</v>
      </c>
      <c r="X1024" s="297" t="n">
        <v>42583</v>
      </c>
      <c r="Y1024">
        <f>IF(I1024="","No SIC",IFERROR(VLOOKUP(I1024,Ref!$A$2:$B$65,2,FALSE),"Unclassified"))</f>
        <v/>
      </c>
      <c r="Z1024">
        <f>IF(T1024="","",IF(T1024&lt;12,"Daily","Weekly"))</f>
        <v/>
      </c>
      <c r="AA1024">
        <f>IF(T1024="",0,IF(T1024&lt;12,T1024*Controls!$B$29,T1024*5))</f>
        <v/>
      </c>
      <c r="AB1024">
        <f>IF(E1024="",0,NETWORKDAYS(E1024,Controls!$B$36,Ref!$K$2:$K$42))</f>
        <v/>
      </c>
      <c r="AC1024">
        <f>IF(AND(AA1024&gt;0,AB1024&gt;=Controls!$B$39*AA1024),1,0)</f>
        <v/>
      </c>
      <c r="AD1024">
        <f>IF(AND(E1024&lt;&gt;"",E1024&gt;=Controls!$B$37,E1024&lt;=Controls!$B$38),1,0)</f>
        <v/>
      </c>
      <c r="AE1024">
        <f>IF(IFERROR(VLOOKUP(D1024,Controls!$A$64:$E$74,2,FALSE),"No")="Yes",1,0)</f>
        <v/>
      </c>
      <c r="AF1024">
        <f>IF(IFERROR(VLOOKUP(D1024,Controls!$A$64:$E$74,3,FALSE),"No")="Yes",1,0)</f>
        <v/>
      </c>
      <c r="AG1024">
        <f>IF(IFERROR(VLOOKUP(D1024,Controls!$A$64:$E$74,4,FALSE),"No")="Yes",1,0)</f>
        <v/>
      </c>
      <c r="AH1024">
        <f>IF(IFERROR(VLOOKUP(D1024,Controls!$A$64:$E$74,5,FALSE),"No")="Yes",1,0)</f>
        <v/>
      </c>
      <c r="AI1024">
        <f>IF(ISNUMBER(MATCH(D1024,Controls!$A$64:$A$74,0)),1,0)</f>
        <v/>
      </c>
      <c r="AJ1024">
        <f>Q1024-N1024</f>
        <v/>
      </c>
      <c r="AK1024">
        <f>IF(AE1024=1,MAX(0,N1024-Q1024),0)</f>
        <v/>
      </c>
      <c r="AL1024">
        <f>IF(OR(V1024="",V1024=0),0,N1024/V1024)</f>
        <v/>
      </c>
      <c r="AM1024">
        <f>IF(OR(V1024="",V1024=0),0,1)</f>
        <v/>
      </c>
      <c r="AN1024">
        <f>IF(OR(E1024="",F1024=""),0,NETWORKDAYS(E1024,F1024,Ref!$K$2:$K$42))</f>
        <v/>
      </c>
      <c r="AO1024">
        <f>IF(L1024="Renewal",1,0)</f>
        <v/>
      </c>
      <c r="AP1024">
        <f>AC1024*AD1024</f>
        <v/>
      </c>
      <c r="AQ1024">
        <f>IF(AND(G1024&lt;&gt;"",'Historical Score'!$C$6&lt;&gt;""),IF(G1024='Historical Score'!$C$6,1,0),0)</f>
        <v/>
      </c>
      <c r="AR1024">
        <f>IF(AND(L1024&lt;&gt;"",'Historical Score'!$C$5&lt;&gt;""),IF(L1024='Historical Score'!$C$5,1,0),0)</f>
        <v/>
      </c>
      <c r="AS1024">
        <f>IF(AND(Y1024&lt;&gt;"",'Historical Score'!$C$7&lt;&gt;""),IF(Y1024='Historical Score'!$C$7,1,0),0)</f>
        <v/>
      </c>
      <c r="AT1024">
        <f>IF(AND(K1024&lt;&gt;"",'Historical Score'!$C$8&lt;&gt;""),IF(K1024='Historical Score'!$C$8,1,0),0)</f>
        <v/>
      </c>
      <c r="AU1024">
        <f>IF(AND(J1024&lt;&gt;"",'Historical Score'!$C$9&lt;&gt;""),IF(J1024='Historical Score'!$C$9,1,0),0)</f>
        <v/>
      </c>
      <c r="AV1024">
        <f>AR1024*AS1024*AQ1024</f>
        <v/>
      </c>
      <c r="AW1024">
        <f>AR1024*AT1024*AQ1024</f>
        <v/>
      </c>
      <c r="AX1024">
        <f>AR1024*AS1024</f>
        <v/>
      </c>
      <c r="AY1024">
        <f>AR1024*AT1024</f>
        <v/>
      </c>
      <c r="AZ1024">
        <f>AR1024*AQ1024</f>
        <v/>
      </c>
      <c r="BA1024">
        <f>AR1024</f>
        <v/>
      </c>
      <c r="BB1024">
        <f>1</f>
        <v/>
      </c>
      <c r="BC1024">
        <f>IF(AV1024=1,1,IF(AW1024=1,2,IF(AX1024=1,3,IF(AY1024=1,4,IF(AZ1024=1,5,IF(BA1024=1,6,7))))))</f>
        <v/>
      </c>
      <c r="BD1024">
        <f>IF(AD1024=1,CHOOSE('Historical Score'!$C$29,AV1024,AW1024,AX1024,AY1024,AZ1024,BA1024,BB1024),0)</f>
        <v/>
      </c>
      <c r="BE1024">
        <f>IF(BD1024=1,COUNTIF($BD$2:BD1024,1),"")</f>
        <v/>
      </c>
    </row>
    <row r="1025">
      <c r="A1025" t="inlineStr">
        <is>
          <t>5674187138</t>
        </is>
      </c>
      <c r="B1025" t="inlineStr">
        <is>
          <t>National Food Equipment LLC</t>
        </is>
      </c>
      <c r="C1025" t="inlineStr">
        <is>
          <t>National Food Equipment LLC</t>
        </is>
      </c>
      <c r="D1025" t="inlineStr">
        <is>
          <t>Open</t>
        </is>
      </c>
      <c r="E1025" s="297" t="n">
        <v>46213</v>
      </c>
      <c r="F1025" s="297" t="n">
        <v>46253</v>
      </c>
      <c r="G1025" t="n">
        <v>5</v>
      </c>
      <c r="H1025" t="inlineStr">
        <is>
          <t>3556</t>
        </is>
      </c>
      <c r="I1025" t="inlineStr">
        <is>
          <t>35</t>
        </is>
      </c>
      <c r="J1025" t="inlineStr">
        <is>
          <t>CA</t>
        </is>
      </c>
      <c r="K1025" t="inlineStr">
        <is>
          <t>AVON ADVANCE</t>
        </is>
      </c>
      <c r="L1025" t="inlineStr">
        <is>
          <t>Renewal</t>
        </is>
      </c>
      <c r="M1025" s="298" t="n">
        <v>1.49</v>
      </c>
      <c r="N1025" s="299" t="n">
        <v>30000</v>
      </c>
      <c r="O1025" s="299" t="n">
        <v>4200</v>
      </c>
      <c r="P1025" s="299" t="n">
        <v>44700</v>
      </c>
      <c r="Q1025" s="299" t="n">
        <v>9628.459999999999</v>
      </c>
      <c r="R1025" s="299" t="n">
        <v>35071.54</v>
      </c>
      <c r="S1025" s="300" t="n">
        <v>0.215401789709172</v>
      </c>
      <c r="T1025" t="n">
        <v>4.262</v>
      </c>
      <c r="U1025" t="n">
        <v>0</v>
      </c>
      <c r="V1025" t="n">
        <v>39426.6</v>
      </c>
      <c r="W1025" s="300" t="n">
        <v>0.282</v>
      </c>
      <c r="X1025" s="297" t="n">
        <v>42370</v>
      </c>
      <c r="Y1025">
        <f>IF(I1025="","No SIC",IFERROR(VLOOKUP(I1025,Ref!$A$2:$B$65,2,FALSE),"Unclassified"))</f>
        <v/>
      </c>
      <c r="Z1025">
        <f>IF(T1025="","",IF(T1025&lt;12,"Daily","Weekly"))</f>
        <v/>
      </c>
      <c r="AA1025">
        <f>IF(T1025="",0,IF(T1025&lt;12,T1025*Controls!$B$29,T1025*5))</f>
        <v/>
      </c>
      <c r="AB1025">
        <f>IF(E1025="",0,NETWORKDAYS(E1025,Controls!$B$36,Ref!$K$2:$K$42))</f>
        <v/>
      </c>
      <c r="AC1025">
        <f>IF(AND(AA1025&gt;0,AB1025&gt;=Controls!$B$39*AA1025),1,0)</f>
        <v/>
      </c>
      <c r="AD1025">
        <f>IF(AND(E1025&lt;&gt;"",E1025&gt;=Controls!$B$37,E1025&lt;=Controls!$B$38),1,0)</f>
        <v/>
      </c>
      <c r="AE1025">
        <f>IF(IFERROR(VLOOKUP(D1025,Controls!$A$64:$E$74,2,FALSE),"No")="Yes",1,0)</f>
        <v/>
      </c>
      <c r="AF1025">
        <f>IF(IFERROR(VLOOKUP(D1025,Controls!$A$64:$E$74,3,FALSE),"No")="Yes",1,0)</f>
        <v/>
      </c>
      <c r="AG1025">
        <f>IF(IFERROR(VLOOKUP(D1025,Controls!$A$64:$E$74,4,FALSE),"No")="Yes",1,0)</f>
        <v/>
      </c>
      <c r="AH1025">
        <f>IF(IFERROR(VLOOKUP(D1025,Controls!$A$64:$E$74,5,FALSE),"No")="Yes",1,0)</f>
        <v/>
      </c>
      <c r="AI1025">
        <f>IF(ISNUMBER(MATCH(D1025,Controls!$A$64:$A$74,0)),1,0)</f>
        <v/>
      </c>
      <c r="AJ1025">
        <f>Q1025-N1025</f>
        <v/>
      </c>
      <c r="AK1025">
        <f>IF(AE1025=1,MAX(0,N1025-Q1025),0)</f>
        <v/>
      </c>
      <c r="AL1025">
        <f>IF(OR(V1025="",V1025=0),0,N1025/V1025)</f>
        <v/>
      </c>
      <c r="AM1025">
        <f>IF(OR(V1025="",V1025=0),0,1)</f>
        <v/>
      </c>
      <c r="AN1025">
        <f>IF(OR(E1025="",F1025=""),0,NETWORKDAYS(E1025,F1025,Ref!$K$2:$K$42))</f>
        <v/>
      </c>
      <c r="AO1025">
        <f>IF(L1025="Renewal",1,0)</f>
        <v/>
      </c>
      <c r="AP1025">
        <f>AC1025*AD1025</f>
        <v/>
      </c>
      <c r="AQ1025">
        <f>IF(AND(G1025&lt;&gt;"",'Historical Score'!$C$6&lt;&gt;""),IF(G1025='Historical Score'!$C$6,1,0),0)</f>
        <v/>
      </c>
      <c r="AR1025">
        <f>IF(AND(L1025&lt;&gt;"",'Historical Score'!$C$5&lt;&gt;""),IF(L1025='Historical Score'!$C$5,1,0),0)</f>
        <v/>
      </c>
      <c r="AS1025">
        <f>IF(AND(Y1025&lt;&gt;"",'Historical Score'!$C$7&lt;&gt;""),IF(Y1025='Historical Score'!$C$7,1,0),0)</f>
        <v/>
      </c>
      <c r="AT1025">
        <f>IF(AND(K1025&lt;&gt;"",'Historical Score'!$C$8&lt;&gt;""),IF(K1025='Historical Score'!$C$8,1,0),0)</f>
        <v/>
      </c>
      <c r="AU1025">
        <f>IF(AND(J1025&lt;&gt;"",'Historical Score'!$C$9&lt;&gt;""),IF(J1025='Historical Score'!$C$9,1,0),0)</f>
        <v/>
      </c>
      <c r="AV1025">
        <f>AR1025*AS1025*AQ1025</f>
        <v/>
      </c>
      <c r="AW1025">
        <f>AR1025*AT1025*AQ1025</f>
        <v/>
      </c>
      <c r="AX1025">
        <f>AR1025*AS1025</f>
        <v/>
      </c>
      <c r="AY1025">
        <f>AR1025*AT1025</f>
        <v/>
      </c>
      <c r="AZ1025">
        <f>AR1025*AQ1025</f>
        <v/>
      </c>
      <c r="BA1025">
        <f>AR1025</f>
        <v/>
      </c>
      <c r="BB1025">
        <f>1</f>
        <v/>
      </c>
      <c r="BC1025">
        <f>IF(AV1025=1,1,IF(AW1025=1,2,IF(AX1025=1,3,IF(AY1025=1,4,IF(AZ1025=1,5,IF(BA1025=1,6,7))))))</f>
        <v/>
      </c>
      <c r="BD1025">
        <f>IF(AD1025=1,CHOOSE('Historical Score'!$C$29,AV1025,AW1025,AX1025,AY1025,AZ1025,BA1025,BB1025),0)</f>
        <v/>
      </c>
      <c r="BE1025">
        <f>IF(BD1025=1,COUNTIF($BD$2:BD1025,1),"")</f>
        <v/>
      </c>
    </row>
    <row r="1026">
      <c r="A1026" t="inlineStr">
        <is>
          <t>5674187198</t>
        </is>
      </c>
      <c r="B1026" t="inlineStr">
        <is>
          <t>LOS JIMADORES TEX MEX &amp; TEQUILA FACTORY</t>
        </is>
      </c>
      <c r="C1026" t="inlineStr">
        <is>
          <t>LOS JIMADORES TEX MEX &amp; TEQUILA FACTORY</t>
        </is>
      </c>
      <c r="D1026" t="inlineStr">
        <is>
          <t>Open</t>
        </is>
      </c>
      <c r="E1026" s="297" t="n">
        <v>46216</v>
      </c>
      <c r="F1026" s="297" t="n">
        <v>46253</v>
      </c>
      <c r="G1026" t="n">
        <v>3</v>
      </c>
      <c r="H1026" t="inlineStr">
        <is>
          <t>5812</t>
        </is>
      </c>
      <c r="I1026" t="inlineStr">
        <is>
          <t>58</t>
        </is>
      </c>
      <c r="J1026" t="inlineStr">
        <is>
          <t>TX</t>
        </is>
      </c>
      <c r="K1026" t="inlineStr">
        <is>
          <t>Westwood</t>
        </is>
      </c>
      <c r="L1026" t="inlineStr">
        <is>
          <t>Renewal</t>
        </is>
      </c>
      <c r="M1026" s="298" t="n">
        <v>1.36</v>
      </c>
      <c r="N1026" s="299" t="n">
        <v>35000</v>
      </c>
      <c r="O1026" s="299" t="n">
        <v>2975</v>
      </c>
      <c r="P1026" s="299" t="n">
        <v>47600</v>
      </c>
      <c r="Q1026" s="299" t="n">
        <v>9123.41</v>
      </c>
      <c r="R1026" s="299" t="n">
        <v>38476.59</v>
      </c>
      <c r="S1026" s="300" t="n">
        <v>0.191668277310924</v>
      </c>
      <c r="T1026" t="n">
        <v>3.934</v>
      </c>
      <c r="U1026" t="n">
        <v>2</v>
      </c>
      <c r="V1026" t="n">
        <v>99573.09</v>
      </c>
      <c r="W1026" s="300" t="n">
        <v>0.0883</v>
      </c>
      <c r="X1026" s="297" t="n">
        <v>40625</v>
      </c>
      <c r="Y1026">
        <f>IF(I1026="","No SIC",IFERROR(VLOOKUP(I1026,Ref!$A$2:$B$65,2,FALSE),"Unclassified"))</f>
        <v/>
      </c>
      <c r="Z1026">
        <f>IF(T1026="","",IF(T1026&lt;12,"Daily","Weekly"))</f>
        <v/>
      </c>
      <c r="AA1026">
        <f>IF(T1026="",0,IF(T1026&lt;12,T1026*Controls!$B$29,T1026*5))</f>
        <v/>
      </c>
      <c r="AB1026">
        <f>IF(E1026="",0,NETWORKDAYS(E1026,Controls!$B$36,Ref!$K$2:$K$42))</f>
        <v/>
      </c>
      <c r="AC1026">
        <f>IF(AND(AA1026&gt;0,AB1026&gt;=Controls!$B$39*AA1026),1,0)</f>
        <v/>
      </c>
      <c r="AD1026">
        <f>IF(AND(E1026&lt;&gt;"",E1026&gt;=Controls!$B$37,E1026&lt;=Controls!$B$38),1,0)</f>
        <v/>
      </c>
      <c r="AE1026">
        <f>IF(IFERROR(VLOOKUP(D1026,Controls!$A$64:$E$74,2,FALSE),"No")="Yes",1,0)</f>
        <v/>
      </c>
      <c r="AF1026">
        <f>IF(IFERROR(VLOOKUP(D1026,Controls!$A$64:$E$74,3,FALSE),"No")="Yes",1,0)</f>
        <v/>
      </c>
      <c r="AG1026">
        <f>IF(IFERROR(VLOOKUP(D1026,Controls!$A$64:$E$74,4,FALSE),"No")="Yes",1,0)</f>
        <v/>
      </c>
      <c r="AH1026">
        <f>IF(IFERROR(VLOOKUP(D1026,Controls!$A$64:$E$74,5,FALSE),"No")="Yes",1,0)</f>
        <v/>
      </c>
      <c r="AI1026">
        <f>IF(ISNUMBER(MATCH(D1026,Controls!$A$64:$A$74,0)),1,0)</f>
        <v/>
      </c>
      <c r="AJ1026">
        <f>Q1026-N1026</f>
        <v/>
      </c>
      <c r="AK1026">
        <f>IF(AE1026=1,MAX(0,N1026-Q1026),0)</f>
        <v/>
      </c>
      <c r="AL1026">
        <f>IF(OR(V1026="",V1026=0),0,N1026/V1026)</f>
        <v/>
      </c>
      <c r="AM1026">
        <f>IF(OR(V1026="",V1026=0),0,1)</f>
        <v/>
      </c>
      <c r="AN1026">
        <f>IF(OR(E1026="",F1026=""),0,NETWORKDAYS(E1026,F1026,Ref!$K$2:$K$42))</f>
        <v/>
      </c>
      <c r="AO1026">
        <f>IF(L1026="Renewal",1,0)</f>
        <v/>
      </c>
      <c r="AP1026">
        <f>AC1026*AD1026</f>
        <v/>
      </c>
      <c r="AQ1026">
        <f>IF(AND(G1026&lt;&gt;"",'Historical Score'!$C$6&lt;&gt;""),IF(G1026='Historical Score'!$C$6,1,0),0)</f>
        <v/>
      </c>
      <c r="AR1026">
        <f>IF(AND(L1026&lt;&gt;"",'Historical Score'!$C$5&lt;&gt;""),IF(L1026='Historical Score'!$C$5,1,0),0)</f>
        <v/>
      </c>
      <c r="AS1026">
        <f>IF(AND(Y1026&lt;&gt;"",'Historical Score'!$C$7&lt;&gt;""),IF(Y1026='Historical Score'!$C$7,1,0),0)</f>
        <v/>
      </c>
      <c r="AT1026">
        <f>IF(AND(K1026&lt;&gt;"",'Historical Score'!$C$8&lt;&gt;""),IF(K1026='Historical Score'!$C$8,1,0),0)</f>
        <v/>
      </c>
      <c r="AU1026">
        <f>IF(AND(J1026&lt;&gt;"",'Historical Score'!$C$9&lt;&gt;""),IF(J1026='Historical Score'!$C$9,1,0),0)</f>
        <v/>
      </c>
      <c r="AV1026">
        <f>AR1026*AS1026*AQ1026</f>
        <v/>
      </c>
      <c r="AW1026">
        <f>AR1026*AT1026*AQ1026</f>
        <v/>
      </c>
      <c r="AX1026">
        <f>AR1026*AS1026</f>
        <v/>
      </c>
      <c r="AY1026">
        <f>AR1026*AT1026</f>
        <v/>
      </c>
      <c r="AZ1026">
        <f>AR1026*AQ1026</f>
        <v/>
      </c>
      <c r="BA1026">
        <f>AR1026</f>
        <v/>
      </c>
      <c r="BB1026">
        <f>1</f>
        <v/>
      </c>
      <c r="BC1026">
        <f>IF(AV1026=1,1,IF(AW1026=1,2,IF(AX1026=1,3,IF(AY1026=1,4,IF(AZ1026=1,5,IF(BA1026=1,6,7))))))</f>
        <v/>
      </c>
      <c r="BD1026">
        <f>IF(AD1026=1,CHOOSE('Historical Score'!$C$29,AV1026,AW1026,AX1026,AY1026,AZ1026,BA1026,BB1026),0)</f>
        <v/>
      </c>
      <c r="BE1026">
        <f>IF(BD1026=1,COUNTIF($BD$2:BD1026,1),"")</f>
        <v/>
      </c>
    </row>
    <row r="1027">
      <c r="A1027" t="inlineStr">
        <is>
          <t>5674187202</t>
        </is>
      </c>
      <c r="B1027" t="inlineStr">
        <is>
          <t>1Numerica Solutions JCSN Accounting Services</t>
        </is>
      </c>
      <c r="C1027" t="inlineStr">
        <is>
          <t>JCSN Corp</t>
        </is>
      </c>
      <c r="D1027" t="inlineStr">
        <is>
          <t>Open</t>
        </is>
      </c>
      <c r="E1027" s="297" t="n">
        <v>46216</v>
      </c>
      <c r="F1027" s="297" t="n">
        <v>46248</v>
      </c>
      <c r="G1027" t="n">
        <v>4</v>
      </c>
      <c r="H1027" t="inlineStr">
        <is>
          <t>8721</t>
        </is>
      </c>
      <c r="I1027" t="inlineStr">
        <is>
          <t>87</t>
        </is>
      </c>
      <c r="J1027" t="inlineStr">
        <is>
          <t>CA</t>
        </is>
      </c>
      <c r="K1027" t="inlineStr">
        <is>
          <t>The Funding Family</t>
        </is>
      </c>
      <c r="L1027" t="inlineStr">
        <is>
          <t>Renewal</t>
        </is>
      </c>
      <c r="M1027" s="298" t="n">
        <v>1.49</v>
      </c>
      <c r="N1027" s="299" t="n">
        <v>45000</v>
      </c>
      <c r="O1027" s="299" t="n">
        <v>6300</v>
      </c>
      <c r="P1027" s="299" t="n">
        <v>67050</v>
      </c>
      <c r="Q1027" s="299" t="n">
        <v>10481.9</v>
      </c>
      <c r="R1027" s="299" t="n">
        <v>56568.1</v>
      </c>
      <c r="S1027" s="300" t="n">
        <v>0.156329604772558</v>
      </c>
      <c r="T1027" t="n">
        <v>32</v>
      </c>
      <c r="U1027" t="n">
        <v>0</v>
      </c>
      <c r="V1027" t="n">
        <v>227249.49</v>
      </c>
      <c r="W1027" s="300" t="n">
        <v>0.0369</v>
      </c>
      <c r="X1027" s="297" t="n">
        <v>44410</v>
      </c>
      <c r="Y1027">
        <f>IF(I1027="","No SIC",IFERROR(VLOOKUP(I1027,Ref!$A$2:$B$65,2,FALSE),"Unclassified"))</f>
        <v/>
      </c>
      <c r="Z1027">
        <f>IF(T1027="","",IF(T1027&lt;12,"Daily","Weekly"))</f>
        <v/>
      </c>
      <c r="AA1027">
        <f>IF(T1027="",0,IF(T1027&lt;12,T1027*Controls!$B$29,T1027*5))</f>
        <v/>
      </c>
      <c r="AB1027">
        <f>IF(E1027="",0,NETWORKDAYS(E1027,Controls!$B$36,Ref!$K$2:$K$42))</f>
        <v/>
      </c>
      <c r="AC1027">
        <f>IF(AND(AA1027&gt;0,AB1027&gt;=Controls!$B$39*AA1027),1,0)</f>
        <v/>
      </c>
      <c r="AD1027">
        <f>IF(AND(E1027&lt;&gt;"",E1027&gt;=Controls!$B$37,E1027&lt;=Controls!$B$38),1,0)</f>
        <v/>
      </c>
      <c r="AE1027">
        <f>IF(IFERROR(VLOOKUP(D1027,Controls!$A$64:$E$74,2,FALSE),"No")="Yes",1,0)</f>
        <v/>
      </c>
      <c r="AF1027">
        <f>IF(IFERROR(VLOOKUP(D1027,Controls!$A$64:$E$74,3,FALSE),"No")="Yes",1,0)</f>
        <v/>
      </c>
      <c r="AG1027">
        <f>IF(IFERROR(VLOOKUP(D1027,Controls!$A$64:$E$74,4,FALSE),"No")="Yes",1,0)</f>
        <v/>
      </c>
      <c r="AH1027">
        <f>IF(IFERROR(VLOOKUP(D1027,Controls!$A$64:$E$74,5,FALSE),"No")="Yes",1,0)</f>
        <v/>
      </c>
      <c r="AI1027">
        <f>IF(ISNUMBER(MATCH(D1027,Controls!$A$64:$A$74,0)),1,0)</f>
        <v/>
      </c>
      <c r="AJ1027">
        <f>Q1027-N1027</f>
        <v/>
      </c>
      <c r="AK1027">
        <f>IF(AE1027=1,MAX(0,N1027-Q1027),0)</f>
        <v/>
      </c>
      <c r="AL1027">
        <f>IF(OR(V1027="",V1027=0),0,N1027/V1027)</f>
        <v/>
      </c>
      <c r="AM1027">
        <f>IF(OR(V1027="",V1027=0),0,1)</f>
        <v/>
      </c>
      <c r="AN1027">
        <f>IF(OR(E1027="",F1027=""),0,NETWORKDAYS(E1027,F1027,Ref!$K$2:$K$42))</f>
        <v/>
      </c>
      <c r="AO1027">
        <f>IF(L1027="Renewal",1,0)</f>
        <v/>
      </c>
      <c r="AP1027">
        <f>AC1027*AD1027</f>
        <v/>
      </c>
      <c r="AQ1027">
        <f>IF(AND(G1027&lt;&gt;"",'Historical Score'!$C$6&lt;&gt;""),IF(G1027='Historical Score'!$C$6,1,0),0)</f>
        <v/>
      </c>
      <c r="AR1027">
        <f>IF(AND(L1027&lt;&gt;"",'Historical Score'!$C$5&lt;&gt;""),IF(L1027='Historical Score'!$C$5,1,0),0)</f>
        <v/>
      </c>
      <c r="AS1027">
        <f>IF(AND(Y1027&lt;&gt;"",'Historical Score'!$C$7&lt;&gt;""),IF(Y1027='Historical Score'!$C$7,1,0),0)</f>
        <v/>
      </c>
      <c r="AT1027">
        <f>IF(AND(K1027&lt;&gt;"",'Historical Score'!$C$8&lt;&gt;""),IF(K1027='Historical Score'!$C$8,1,0),0)</f>
        <v/>
      </c>
      <c r="AU1027">
        <f>IF(AND(J1027&lt;&gt;"",'Historical Score'!$C$9&lt;&gt;""),IF(J1027='Historical Score'!$C$9,1,0),0)</f>
        <v/>
      </c>
      <c r="AV1027">
        <f>AR1027*AS1027*AQ1027</f>
        <v/>
      </c>
      <c r="AW1027">
        <f>AR1027*AT1027*AQ1027</f>
        <v/>
      </c>
      <c r="AX1027">
        <f>AR1027*AS1027</f>
        <v/>
      </c>
      <c r="AY1027">
        <f>AR1027*AT1027</f>
        <v/>
      </c>
      <c r="AZ1027">
        <f>AR1027*AQ1027</f>
        <v/>
      </c>
      <c r="BA1027">
        <f>AR1027</f>
        <v/>
      </c>
      <c r="BB1027">
        <f>1</f>
        <v/>
      </c>
      <c r="BC1027">
        <f>IF(AV1027=1,1,IF(AW1027=1,2,IF(AX1027=1,3,IF(AY1027=1,4,IF(AZ1027=1,5,IF(BA1027=1,6,7))))))</f>
        <v/>
      </c>
      <c r="BD1027">
        <f>IF(AD1027=1,CHOOSE('Historical Score'!$C$29,AV1027,AW1027,AX1027,AY1027,AZ1027,BA1027,BB1027),0)</f>
        <v/>
      </c>
      <c r="BE1027">
        <f>IF(BD1027=1,COUNTIF($BD$2:BD1027,1),"")</f>
        <v/>
      </c>
    </row>
    <row r="1028">
      <c r="A1028" t="inlineStr">
        <is>
          <t>5674187210</t>
        </is>
      </c>
      <c r="B1028" t="inlineStr">
        <is>
          <t>SERENE SPACES LLC</t>
        </is>
      </c>
      <c r="C1028" t="inlineStr">
        <is>
          <t>SERENE SPACES LLC</t>
        </is>
      </c>
      <c r="D1028" t="inlineStr">
        <is>
          <t>In House Collection</t>
        </is>
      </c>
      <c r="E1028" s="297" t="n">
        <v>46216</v>
      </c>
      <c r="F1028" s="297" t="n">
        <v>46234</v>
      </c>
      <c r="G1028" t="n">
        <v>3</v>
      </c>
      <c r="H1028" t="inlineStr">
        <is>
          <t>6512</t>
        </is>
      </c>
      <c r="I1028" t="inlineStr">
        <is>
          <t>65</t>
        </is>
      </c>
      <c r="J1028" t="inlineStr">
        <is>
          <t>IA</t>
        </is>
      </c>
      <c r="K1028" t="inlineStr">
        <is>
          <t>United Secured Capital 8</t>
        </is>
      </c>
      <c r="L1028" t="inlineStr">
        <is>
          <t>New Deal</t>
        </is>
      </c>
      <c r="M1028" s="298" t="n">
        <v>1.49</v>
      </c>
      <c r="N1028" s="299" t="n">
        <v>20000</v>
      </c>
      <c r="O1028" s="299" t="n">
        <v>0</v>
      </c>
      <c r="P1028" s="299" t="n">
        <v>29800</v>
      </c>
      <c r="Q1028" s="299" t="n">
        <v>0</v>
      </c>
      <c r="R1028" s="299" t="n">
        <v>29800</v>
      </c>
      <c r="S1028" s="300" t="n">
        <v>0</v>
      </c>
      <c r="T1028" t="n">
        <v>20</v>
      </c>
      <c r="U1028" t="n">
        <v>3</v>
      </c>
      <c r="V1028" t="n">
        <v>48000</v>
      </c>
      <c r="W1028" s="300" t="n">
        <v>0.0596</v>
      </c>
      <c r="X1028" s="297" t="n">
        <v>43324</v>
      </c>
      <c r="Y1028">
        <f>IF(I1028="","No SIC",IFERROR(VLOOKUP(I1028,Ref!$A$2:$B$65,2,FALSE),"Unclassified"))</f>
        <v/>
      </c>
      <c r="Z1028">
        <f>IF(T1028="","",IF(T1028&lt;12,"Daily","Weekly"))</f>
        <v/>
      </c>
      <c r="AA1028">
        <f>IF(T1028="",0,IF(T1028&lt;12,T1028*Controls!$B$29,T1028*5))</f>
        <v/>
      </c>
      <c r="AB1028">
        <f>IF(E1028="",0,NETWORKDAYS(E1028,Controls!$B$36,Ref!$K$2:$K$42))</f>
        <v/>
      </c>
      <c r="AC1028">
        <f>IF(AND(AA1028&gt;0,AB1028&gt;=Controls!$B$39*AA1028),1,0)</f>
        <v/>
      </c>
      <c r="AD1028">
        <f>IF(AND(E1028&lt;&gt;"",E1028&gt;=Controls!$B$37,E1028&lt;=Controls!$B$38),1,0)</f>
        <v/>
      </c>
      <c r="AE1028">
        <f>IF(IFERROR(VLOOKUP(D1028,Controls!$A$64:$E$74,2,FALSE),"No")="Yes",1,0)</f>
        <v/>
      </c>
      <c r="AF1028">
        <f>IF(IFERROR(VLOOKUP(D1028,Controls!$A$64:$E$74,3,FALSE),"No")="Yes",1,0)</f>
        <v/>
      </c>
      <c r="AG1028">
        <f>IF(IFERROR(VLOOKUP(D1028,Controls!$A$64:$E$74,4,FALSE),"No")="Yes",1,0)</f>
        <v/>
      </c>
      <c r="AH1028">
        <f>IF(IFERROR(VLOOKUP(D1028,Controls!$A$64:$E$74,5,FALSE),"No")="Yes",1,0)</f>
        <v/>
      </c>
      <c r="AI1028">
        <f>IF(ISNUMBER(MATCH(D1028,Controls!$A$64:$A$74,0)),1,0)</f>
        <v/>
      </c>
      <c r="AJ1028">
        <f>Q1028-N1028</f>
        <v/>
      </c>
      <c r="AK1028">
        <f>IF(AE1028=1,MAX(0,N1028-Q1028),0)</f>
        <v/>
      </c>
      <c r="AL1028">
        <f>IF(OR(V1028="",V1028=0),0,N1028/V1028)</f>
        <v/>
      </c>
      <c r="AM1028">
        <f>IF(OR(V1028="",V1028=0),0,1)</f>
        <v/>
      </c>
      <c r="AN1028">
        <f>IF(OR(E1028="",F1028=""),0,NETWORKDAYS(E1028,F1028,Ref!$K$2:$K$42))</f>
        <v/>
      </c>
      <c r="AO1028">
        <f>IF(L1028="Renewal",1,0)</f>
        <v/>
      </c>
      <c r="AP1028">
        <f>AC1028*AD1028</f>
        <v/>
      </c>
      <c r="AQ1028">
        <f>IF(AND(G1028&lt;&gt;"",'Historical Score'!$C$6&lt;&gt;""),IF(G1028='Historical Score'!$C$6,1,0),0)</f>
        <v/>
      </c>
      <c r="AR1028">
        <f>IF(AND(L1028&lt;&gt;"",'Historical Score'!$C$5&lt;&gt;""),IF(L1028='Historical Score'!$C$5,1,0),0)</f>
        <v/>
      </c>
      <c r="AS1028">
        <f>IF(AND(Y1028&lt;&gt;"",'Historical Score'!$C$7&lt;&gt;""),IF(Y1028='Historical Score'!$C$7,1,0),0)</f>
        <v/>
      </c>
      <c r="AT1028">
        <f>IF(AND(K1028&lt;&gt;"",'Historical Score'!$C$8&lt;&gt;""),IF(K1028='Historical Score'!$C$8,1,0),0)</f>
        <v/>
      </c>
      <c r="AU1028">
        <f>IF(AND(J1028&lt;&gt;"",'Historical Score'!$C$9&lt;&gt;""),IF(J1028='Historical Score'!$C$9,1,0),0)</f>
        <v/>
      </c>
      <c r="AV1028">
        <f>AR1028*AS1028*AQ1028</f>
        <v/>
      </c>
      <c r="AW1028">
        <f>AR1028*AT1028*AQ1028</f>
        <v/>
      </c>
      <c r="AX1028">
        <f>AR1028*AS1028</f>
        <v/>
      </c>
      <c r="AY1028">
        <f>AR1028*AT1028</f>
        <v/>
      </c>
      <c r="AZ1028">
        <f>AR1028*AQ1028</f>
        <v/>
      </c>
      <c r="BA1028">
        <f>AR1028</f>
        <v/>
      </c>
      <c r="BB1028">
        <f>1</f>
        <v/>
      </c>
      <c r="BC1028">
        <f>IF(AV1028=1,1,IF(AW1028=1,2,IF(AX1028=1,3,IF(AY1028=1,4,IF(AZ1028=1,5,IF(BA1028=1,6,7))))))</f>
        <v/>
      </c>
      <c r="BD1028">
        <f>IF(AD1028=1,CHOOSE('Historical Score'!$C$29,AV1028,AW1028,AX1028,AY1028,AZ1028,BA1028,BB1028),0)</f>
        <v/>
      </c>
      <c r="BE1028">
        <f>IF(BD1028=1,COUNTIF($BD$2:BD1028,1),"")</f>
        <v/>
      </c>
    </row>
    <row r="1029">
      <c r="A1029" t="inlineStr">
        <is>
          <t>5674187211</t>
        </is>
      </c>
      <c r="B1029" t="inlineStr">
        <is>
          <t>BLULEO TRANSPORT LLC</t>
        </is>
      </c>
      <c r="C1029" t="inlineStr">
        <is>
          <t>BLULEO TRANSPORT LLC</t>
        </is>
      </c>
      <c r="D1029" t="inlineStr">
        <is>
          <t>Open</t>
        </is>
      </c>
      <c r="E1029" s="297" t="n">
        <v>46216</v>
      </c>
      <c r="F1029" s="297" t="n">
        <v>46248</v>
      </c>
      <c r="G1029" t="n">
        <v>4</v>
      </c>
      <c r="H1029" t="inlineStr">
        <is>
          <t>4212</t>
        </is>
      </c>
      <c r="I1029" t="inlineStr">
        <is>
          <t>42</t>
        </is>
      </c>
      <c r="J1029" t="inlineStr">
        <is>
          <t>TX</t>
        </is>
      </c>
      <c r="K1029" t="inlineStr">
        <is>
          <t>United Secured Capital 8</t>
        </is>
      </c>
      <c r="L1029" t="inlineStr">
        <is>
          <t>Renewal</t>
        </is>
      </c>
      <c r="M1029" s="298" t="n">
        <v>1.49</v>
      </c>
      <c r="N1029" s="299" t="n">
        <v>35000</v>
      </c>
      <c r="O1029" s="299" t="n">
        <v>4900</v>
      </c>
      <c r="P1029" s="299" t="n">
        <v>52150</v>
      </c>
      <c r="Q1029" s="299" t="n">
        <v>8149.8</v>
      </c>
      <c r="R1029" s="299" t="n">
        <v>44000.2</v>
      </c>
      <c r="S1029" s="300" t="n">
        <v>0.156276126558006</v>
      </c>
      <c r="T1029" t="n">
        <v>32</v>
      </c>
      <c r="U1029" t="n">
        <v>0</v>
      </c>
      <c r="V1029" t="n">
        <v>56970.35</v>
      </c>
      <c r="W1029" s="300" t="n">
        <v>0.1419</v>
      </c>
      <c r="X1029" s="297" t="n">
        <v>45185</v>
      </c>
      <c r="Y1029">
        <f>IF(I1029="","No SIC",IFERROR(VLOOKUP(I1029,Ref!$A$2:$B$65,2,FALSE),"Unclassified"))</f>
        <v/>
      </c>
      <c r="Z1029">
        <f>IF(T1029="","",IF(T1029&lt;12,"Daily","Weekly"))</f>
        <v/>
      </c>
      <c r="AA1029">
        <f>IF(T1029="",0,IF(T1029&lt;12,T1029*Controls!$B$29,T1029*5))</f>
        <v/>
      </c>
      <c r="AB1029">
        <f>IF(E1029="",0,NETWORKDAYS(E1029,Controls!$B$36,Ref!$K$2:$K$42))</f>
        <v/>
      </c>
      <c r="AC1029">
        <f>IF(AND(AA1029&gt;0,AB1029&gt;=Controls!$B$39*AA1029),1,0)</f>
        <v/>
      </c>
      <c r="AD1029">
        <f>IF(AND(E1029&lt;&gt;"",E1029&gt;=Controls!$B$37,E1029&lt;=Controls!$B$38),1,0)</f>
        <v/>
      </c>
      <c r="AE1029">
        <f>IF(IFERROR(VLOOKUP(D1029,Controls!$A$64:$E$74,2,FALSE),"No")="Yes",1,0)</f>
        <v/>
      </c>
      <c r="AF1029">
        <f>IF(IFERROR(VLOOKUP(D1029,Controls!$A$64:$E$74,3,FALSE),"No")="Yes",1,0)</f>
        <v/>
      </c>
      <c r="AG1029">
        <f>IF(IFERROR(VLOOKUP(D1029,Controls!$A$64:$E$74,4,FALSE),"No")="Yes",1,0)</f>
        <v/>
      </c>
      <c r="AH1029">
        <f>IF(IFERROR(VLOOKUP(D1029,Controls!$A$64:$E$74,5,FALSE),"No")="Yes",1,0)</f>
        <v/>
      </c>
      <c r="AI1029">
        <f>IF(ISNUMBER(MATCH(D1029,Controls!$A$64:$A$74,0)),1,0)</f>
        <v/>
      </c>
      <c r="AJ1029">
        <f>Q1029-N1029</f>
        <v/>
      </c>
      <c r="AK1029">
        <f>IF(AE1029=1,MAX(0,N1029-Q1029),0)</f>
        <v/>
      </c>
      <c r="AL1029">
        <f>IF(OR(V1029="",V1029=0),0,N1029/V1029)</f>
        <v/>
      </c>
      <c r="AM1029">
        <f>IF(OR(V1029="",V1029=0),0,1)</f>
        <v/>
      </c>
      <c r="AN1029">
        <f>IF(OR(E1029="",F1029=""),0,NETWORKDAYS(E1029,F1029,Ref!$K$2:$K$42))</f>
        <v/>
      </c>
      <c r="AO1029">
        <f>IF(L1029="Renewal",1,0)</f>
        <v/>
      </c>
      <c r="AP1029">
        <f>AC1029*AD1029</f>
        <v/>
      </c>
      <c r="AQ1029">
        <f>IF(AND(G1029&lt;&gt;"",'Historical Score'!$C$6&lt;&gt;""),IF(G1029='Historical Score'!$C$6,1,0),0)</f>
        <v/>
      </c>
      <c r="AR1029">
        <f>IF(AND(L1029&lt;&gt;"",'Historical Score'!$C$5&lt;&gt;""),IF(L1029='Historical Score'!$C$5,1,0),0)</f>
        <v/>
      </c>
      <c r="AS1029">
        <f>IF(AND(Y1029&lt;&gt;"",'Historical Score'!$C$7&lt;&gt;""),IF(Y1029='Historical Score'!$C$7,1,0),0)</f>
        <v/>
      </c>
      <c r="AT1029">
        <f>IF(AND(K1029&lt;&gt;"",'Historical Score'!$C$8&lt;&gt;""),IF(K1029='Historical Score'!$C$8,1,0),0)</f>
        <v/>
      </c>
      <c r="AU1029">
        <f>IF(AND(J1029&lt;&gt;"",'Historical Score'!$C$9&lt;&gt;""),IF(J1029='Historical Score'!$C$9,1,0),0)</f>
        <v/>
      </c>
      <c r="AV1029">
        <f>AR1029*AS1029*AQ1029</f>
        <v/>
      </c>
      <c r="AW1029">
        <f>AR1029*AT1029*AQ1029</f>
        <v/>
      </c>
      <c r="AX1029">
        <f>AR1029*AS1029</f>
        <v/>
      </c>
      <c r="AY1029">
        <f>AR1029*AT1029</f>
        <v/>
      </c>
      <c r="AZ1029">
        <f>AR1029*AQ1029</f>
        <v/>
      </c>
      <c r="BA1029">
        <f>AR1029</f>
        <v/>
      </c>
      <c r="BB1029">
        <f>1</f>
        <v/>
      </c>
      <c r="BC1029">
        <f>IF(AV1029=1,1,IF(AW1029=1,2,IF(AX1029=1,3,IF(AY1029=1,4,IF(AZ1029=1,5,IF(BA1029=1,6,7))))))</f>
        <v/>
      </c>
      <c r="BD1029">
        <f>IF(AD1029=1,CHOOSE('Historical Score'!$C$29,AV1029,AW1029,AX1029,AY1029,AZ1029,BA1029,BB1029),0)</f>
        <v/>
      </c>
      <c r="BE1029">
        <f>IF(BD1029=1,COUNTIF($BD$2:BD1029,1),"")</f>
        <v/>
      </c>
    </row>
    <row r="1030">
      <c r="A1030" t="inlineStr">
        <is>
          <t>5674187240</t>
        </is>
      </c>
      <c r="B1030" t="inlineStr">
        <is>
          <t>DV S GARAGE INC</t>
        </is>
      </c>
      <c r="C1030" t="inlineStr">
        <is>
          <t>DV S GARAGE INC</t>
        </is>
      </c>
      <c r="D1030" t="inlineStr">
        <is>
          <t>Open</t>
        </is>
      </c>
      <c r="E1030" s="297" t="n">
        <v>46217</v>
      </c>
      <c r="F1030" s="297" t="n">
        <v>46248</v>
      </c>
      <c r="G1030" t="n">
        <v>3</v>
      </c>
      <c r="H1030" t="inlineStr">
        <is>
          <t>7538</t>
        </is>
      </c>
      <c r="I1030" t="inlineStr">
        <is>
          <t>75</t>
        </is>
      </c>
      <c r="J1030" t="inlineStr">
        <is>
          <t>IL</t>
        </is>
      </c>
      <c r="K1030" t="inlineStr">
        <is>
          <t>level 3 funding</t>
        </is>
      </c>
      <c r="L1030" t="inlineStr">
        <is>
          <t>New Deal</t>
        </is>
      </c>
      <c r="M1030" s="298" t="n">
        <v>1.49</v>
      </c>
      <c r="N1030" s="299" t="n">
        <v>12000</v>
      </c>
      <c r="O1030" s="299" t="n">
        <v>1680</v>
      </c>
      <c r="P1030" s="299" t="n">
        <v>17880</v>
      </c>
      <c r="Q1030" s="299" t="n">
        <v>1986.68</v>
      </c>
      <c r="R1030" s="299" t="n">
        <v>15893.32</v>
      </c>
      <c r="S1030" s="300" t="n">
        <v>0.111111856823266</v>
      </c>
      <c r="T1030" t="n">
        <v>18</v>
      </c>
      <c r="U1030" t="n">
        <v>4</v>
      </c>
      <c r="W1030" s="300" t="n">
        <v>0.1525</v>
      </c>
      <c r="X1030" s="297" t="n">
        <v>43424</v>
      </c>
      <c r="Y1030">
        <f>IF(I1030="","No SIC",IFERROR(VLOOKUP(I1030,Ref!$A$2:$B$65,2,FALSE),"Unclassified"))</f>
        <v/>
      </c>
      <c r="Z1030">
        <f>IF(T1030="","",IF(T1030&lt;12,"Daily","Weekly"))</f>
        <v/>
      </c>
      <c r="AA1030">
        <f>IF(T1030="",0,IF(T1030&lt;12,T1030*Controls!$B$29,T1030*5))</f>
        <v/>
      </c>
      <c r="AB1030">
        <f>IF(E1030="",0,NETWORKDAYS(E1030,Controls!$B$36,Ref!$K$2:$K$42))</f>
        <v/>
      </c>
      <c r="AC1030">
        <f>IF(AND(AA1030&gt;0,AB1030&gt;=Controls!$B$39*AA1030),1,0)</f>
        <v/>
      </c>
      <c r="AD1030">
        <f>IF(AND(E1030&lt;&gt;"",E1030&gt;=Controls!$B$37,E1030&lt;=Controls!$B$38),1,0)</f>
        <v/>
      </c>
      <c r="AE1030">
        <f>IF(IFERROR(VLOOKUP(D1030,Controls!$A$64:$E$74,2,FALSE),"No")="Yes",1,0)</f>
        <v/>
      </c>
      <c r="AF1030">
        <f>IF(IFERROR(VLOOKUP(D1030,Controls!$A$64:$E$74,3,FALSE),"No")="Yes",1,0)</f>
        <v/>
      </c>
      <c r="AG1030">
        <f>IF(IFERROR(VLOOKUP(D1030,Controls!$A$64:$E$74,4,FALSE),"No")="Yes",1,0)</f>
        <v/>
      </c>
      <c r="AH1030">
        <f>IF(IFERROR(VLOOKUP(D1030,Controls!$A$64:$E$74,5,FALSE),"No")="Yes",1,0)</f>
        <v/>
      </c>
      <c r="AI1030">
        <f>IF(ISNUMBER(MATCH(D1030,Controls!$A$64:$A$74,0)),1,0)</f>
        <v/>
      </c>
      <c r="AJ1030">
        <f>Q1030-N1030</f>
        <v/>
      </c>
      <c r="AK1030">
        <f>IF(AE1030=1,MAX(0,N1030-Q1030),0)</f>
        <v/>
      </c>
      <c r="AL1030">
        <f>IF(OR(V1030="",V1030=0),0,N1030/V1030)</f>
        <v/>
      </c>
      <c r="AM1030">
        <f>IF(OR(V1030="",V1030=0),0,1)</f>
        <v/>
      </c>
      <c r="AN1030">
        <f>IF(OR(E1030="",F1030=""),0,NETWORKDAYS(E1030,F1030,Ref!$K$2:$K$42))</f>
        <v/>
      </c>
      <c r="AO1030">
        <f>IF(L1030="Renewal",1,0)</f>
        <v/>
      </c>
      <c r="AP1030">
        <f>AC1030*AD1030</f>
        <v/>
      </c>
      <c r="AQ1030">
        <f>IF(AND(G1030&lt;&gt;"",'Historical Score'!$C$6&lt;&gt;""),IF(G1030='Historical Score'!$C$6,1,0),0)</f>
        <v/>
      </c>
      <c r="AR1030">
        <f>IF(AND(L1030&lt;&gt;"",'Historical Score'!$C$5&lt;&gt;""),IF(L1030='Historical Score'!$C$5,1,0),0)</f>
        <v/>
      </c>
      <c r="AS1030">
        <f>IF(AND(Y1030&lt;&gt;"",'Historical Score'!$C$7&lt;&gt;""),IF(Y1030='Historical Score'!$C$7,1,0),0)</f>
        <v/>
      </c>
      <c r="AT1030">
        <f>IF(AND(K1030&lt;&gt;"",'Historical Score'!$C$8&lt;&gt;""),IF(K1030='Historical Score'!$C$8,1,0),0)</f>
        <v/>
      </c>
      <c r="AU1030">
        <f>IF(AND(J1030&lt;&gt;"",'Historical Score'!$C$9&lt;&gt;""),IF(J1030='Historical Score'!$C$9,1,0),0)</f>
        <v/>
      </c>
      <c r="AV1030">
        <f>AR1030*AS1030*AQ1030</f>
        <v/>
      </c>
      <c r="AW1030">
        <f>AR1030*AT1030*AQ1030</f>
        <v/>
      </c>
      <c r="AX1030">
        <f>AR1030*AS1030</f>
        <v/>
      </c>
      <c r="AY1030">
        <f>AR1030*AT1030</f>
        <v/>
      </c>
      <c r="AZ1030">
        <f>AR1030*AQ1030</f>
        <v/>
      </c>
      <c r="BA1030">
        <f>AR1030</f>
        <v/>
      </c>
      <c r="BB1030">
        <f>1</f>
        <v/>
      </c>
      <c r="BC1030">
        <f>IF(AV1030=1,1,IF(AW1030=1,2,IF(AX1030=1,3,IF(AY1030=1,4,IF(AZ1030=1,5,IF(BA1030=1,6,7))))))</f>
        <v/>
      </c>
      <c r="BD1030">
        <f>IF(AD1030=1,CHOOSE('Historical Score'!$C$29,AV1030,AW1030,AX1030,AY1030,AZ1030,BA1030,BB1030),0)</f>
        <v/>
      </c>
      <c r="BE1030">
        <f>IF(BD1030=1,COUNTIF($BD$2:BD1030,1),"")</f>
        <v/>
      </c>
    </row>
    <row r="1031">
      <c r="A1031" t="inlineStr">
        <is>
          <t>5674187312</t>
        </is>
      </c>
      <c r="B1031" t="inlineStr">
        <is>
          <t>Hecto Group, LLC</t>
        </is>
      </c>
      <c r="C1031" t="inlineStr">
        <is>
          <t>Hecto Group, LLC</t>
        </is>
      </c>
      <c r="D1031" t="inlineStr">
        <is>
          <t>Open</t>
        </is>
      </c>
      <c r="E1031" s="297" t="n">
        <v>46218</v>
      </c>
      <c r="F1031" s="297" t="n">
        <v>46248</v>
      </c>
      <c r="G1031" t="n">
        <v>3</v>
      </c>
      <c r="H1031" t="inlineStr">
        <is>
          <t>8732</t>
        </is>
      </c>
      <c r="I1031" t="inlineStr">
        <is>
          <t>87</t>
        </is>
      </c>
      <c r="J1031" t="inlineStr">
        <is>
          <t>KS</t>
        </is>
      </c>
      <c r="K1031" t="inlineStr">
        <is>
          <t>Westwood</t>
        </is>
      </c>
      <c r="L1031" t="inlineStr">
        <is>
          <t>Renewal</t>
        </is>
      </c>
      <c r="M1031" s="298" t="n">
        <v>1.45</v>
      </c>
      <c r="N1031" s="299" t="n">
        <v>50000</v>
      </c>
      <c r="O1031" s="299" t="n">
        <v>0</v>
      </c>
      <c r="P1031" s="299" t="n">
        <v>72500</v>
      </c>
      <c r="Q1031" s="299" t="n">
        <v>0</v>
      </c>
      <c r="R1031" s="299" t="n">
        <v>72500</v>
      </c>
      <c r="S1031" s="300" t="n">
        <v>0</v>
      </c>
      <c r="T1031" t="n">
        <v>24</v>
      </c>
      <c r="U1031" t="n">
        <v>4</v>
      </c>
      <c r="V1031" t="n">
        <v>123148.95</v>
      </c>
      <c r="W1031" s="300" t="n">
        <v>0.1162</v>
      </c>
      <c r="X1031" s="297" t="n">
        <v>40380</v>
      </c>
      <c r="Y1031">
        <f>IF(I1031="","No SIC",IFERROR(VLOOKUP(I1031,Ref!$A$2:$B$65,2,FALSE),"Unclassified"))</f>
        <v/>
      </c>
      <c r="Z1031">
        <f>IF(T1031="","",IF(T1031&lt;12,"Daily","Weekly"))</f>
        <v/>
      </c>
      <c r="AA1031">
        <f>IF(T1031="",0,IF(T1031&lt;12,T1031*Controls!$B$29,T1031*5))</f>
        <v/>
      </c>
      <c r="AB1031">
        <f>IF(E1031="",0,NETWORKDAYS(E1031,Controls!$B$36,Ref!$K$2:$K$42))</f>
        <v/>
      </c>
      <c r="AC1031">
        <f>IF(AND(AA1031&gt;0,AB1031&gt;=Controls!$B$39*AA1031),1,0)</f>
        <v/>
      </c>
      <c r="AD1031">
        <f>IF(AND(E1031&lt;&gt;"",E1031&gt;=Controls!$B$37,E1031&lt;=Controls!$B$38),1,0)</f>
        <v/>
      </c>
      <c r="AE1031">
        <f>IF(IFERROR(VLOOKUP(D1031,Controls!$A$64:$E$74,2,FALSE),"No")="Yes",1,0)</f>
        <v/>
      </c>
      <c r="AF1031">
        <f>IF(IFERROR(VLOOKUP(D1031,Controls!$A$64:$E$74,3,FALSE),"No")="Yes",1,0)</f>
        <v/>
      </c>
      <c r="AG1031">
        <f>IF(IFERROR(VLOOKUP(D1031,Controls!$A$64:$E$74,4,FALSE),"No")="Yes",1,0)</f>
        <v/>
      </c>
      <c r="AH1031">
        <f>IF(IFERROR(VLOOKUP(D1031,Controls!$A$64:$E$74,5,FALSE),"No")="Yes",1,0)</f>
        <v/>
      </c>
      <c r="AI1031">
        <f>IF(ISNUMBER(MATCH(D1031,Controls!$A$64:$A$74,0)),1,0)</f>
        <v/>
      </c>
      <c r="AJ1031">
        <f>Q1031-N1031</f>
        <v/>
      </c>
      <c r="AK1031">
        <f>IF(AE1031=1,MAX(0,N1031-Q1031),0)</f>
        <v/>
      </c>
      <c r="AL1031">
        <f>IF(OR(V1031="",V1031=0),0,N1031/V1031)</f>
        <v/>
      </c>
      <c r="AM1031">
        <f>IF(OR(V1031="",V1031=0),0,1)</f>
        <v/>
      </c>
      <c r="AN1031">
        <f>IF(OR(E1031="",F1031=""),0,NETWORKDAYS(E1031,F1031,Ref!$K$2:$K$42))</f>
        <v/>
      </c>
      <c r="AO1031">
        <f>IF(L1031="Renewal",1,0)</f>
        <v/>
      </c>
      <c r="AP1031">
        <f>AC1031*AD1031</f>
        <v/>
      </c>
      <c r="AQ1031">
        <f>IF(AND(G1031&lt;&gt;"",'Historical Score'!$C$6&lt;&gt;""),IF(G1031='Historical Score'!$C$6,1,0),0)</f>
        <v/>
      </c>
      <c r="AR1031">
        <f>IF(AND(L1031&lt;&gt;"",'Historical Score'!$C$5&lt;&gt;""),IF(L1031='Historical Score'!$C$5,1,0),0)</f>
        <v/>
      </c>
      <c r="AS1031">
        <f>IF(AND(Y1031&lt;&gt;"",'Historical Score'!$C$7&lt;&gt;""),IF(Y1031='Historical Score'!$C$7,1,0),0)</f>
        <v/>
      </c>
      <c r="AT1031">
        <f>IF(AND(K1031&lt;&gt;"",'Historical Score'!$C$8&lt;&gt;""),IF(K1031='Historical Score'!$C$8,1,0),0)</f>
        <v/>
      </c>
      <c r="AU1031">
        <f>IF(AND(J1031&lt;&gt;"",'Historical Score'!$C$9&lt;&gt;""),IF(J1031='Historical Score'!$C$9,1,0),0)</f>
        <v/>
      </c>
      <c r="AV1031">
        <f>AR1031*AS1031*AQ1031</f>
        <v/>
      </c>
      <c r="AW1031">
        <f>AR1031*AT1031*AQ1031</f>
        <v/>
      </c>
      <c r="AX1031">
        <f>AR1031*AS1031</f>
        <v/>
      </c>
      <c r="AY1031">
        <f>AR1031*AT1031</f>
        <v/>
      </c>
      <c r="AZ1031">
        <f>AR1031*AQ1031</f>
        <v/>
      </c>
      <c r="BA1031">
        <f>AR1031</f>
        <v/>
      </c>
      <c r="BB1031">
        <f>1</f>
        <v/>
      </c>
      <c r="BC1031">
        <f>IF(AV1031=1,1,IF(AW1031=1,2,IF(AX1031=1,3,IF(AY1031=1,4,IF(AZ1031=1,5,IF(BA1031=1,6,7))))))</f>
        <v/>
      </c>
      <c r="BD1031">
        <f>IF(AD1031=1,CHOOSE('Historical Score'!$C$29,AV1031,AW1031,AX1031,AY1031,AZ1031,BA1031,BB1031),0)</f>
        <v/>
      </c>
      <c r="BE1031">
        <f>IF(BD1031=1,COUNTIF($BD$2:BD1031,1),"")</f>
        <v/>
      </c>
    </row>
    <row r="1032">
      <c r="A1032" t="inlineStr">
        <is>
          <t>5674187332</t>
        </is>
      </c>
      <c r="B1032" t="inlineStr">
        <is>
          <t>1st Choice Realty, LLC</t>
        </is>
      </c>
      <c r="C1032" t="inlineStr">
        <is>
          <t>1st Choice Realty, LLC</t>
        </is>
      </c>
      <c r="D1032" t="inlineStr">
        <is>
          <t>Open</t>
        </is>
      </c>
      <c r="E1032" s="297" t="n">
        <v>46218</v>
      </c>
      <c r="F1032" s="297" t="n">
        <v>46248</v>
      </c>
      <c r="G1032" t="n">
        <v>3</v>
      </c>
      <c r="H1032" t="inlineStr">
        <is>
          <t>6531</t>
        </is>
      </c>
      <c r="I1032" t="inlineStr">
        <is>
          <t>65</t>
        </is>
      </c>
      <c r="J1032" t="inlineStr">
        <is>
          <t>TX</t>
        </is>
      </c>
      <c r="K1032" t="inlineStr">
        <is>
          <t>Monarch funding Group</t>
        </is>
      </c>
      <c r="L1032" t="inlineStr">
        <is>
          <t>Renewal</t>
        </is>
      </c>
      <c r="M1032" s="298" t="n">
        <v>1.49</v>
      </c>
      <c r="N1032" s="299" t="n">
        <v>15000</v>
      </c>
      <c r="O1032" s="299" t="n">
        <v>2100</v>
      </c>
      <c r="P1032" s="299" t="n">
        <v>22350</v>
      </c>
      <c r="Q1032" s="299" t="n">
        <v>5591.56</v>
      </c>
      <c r="R1032" s="299" t="n">
        <v>16758.44</v>
      </c>
      <c r="S1032" s="300" t="n">
        <v>0.250181655480984</v>
      </c>
      <c r="T1032" t="n">
        <v>16</v>
      </c>
      <c r="U1032" t="n">
        <v>0</v>
      </c>
      <c r="V1032" t="n">
        <v>96907.37</v>
      </c>
      <c r="W1032" s="300" t="n">
        <v>0.0577</v>
      </c>
      <c r="X1032" s="297" t="n">
        <v>44232</v>
      </c>
      <c r="Y1032">
        <f>IF(I1032="","No SIC",IFERROR(VLOOKUP(I1032,Ref!$A$2:$B$65,2,FALSE),"Unclassified"))</f>
        <v/>
      </c>
      <c r="Z1032">
        <f>IF(T1032="","",IF(T1032&lt;12,"Daily","Weekly"))</f>
        <v/>
      </c>
      <c r="AA1032">
        <f>IF(T1032="",0,IF(T1032&lt;12,T1032*Controls!$B$29,T1032*5))</f>
        <v/>
      </c>
      <c r="AB1032">
        <f>IF(E1032="",0,NETWORKDAYS(E1032,Controls!$B$36,Ref!$K$2:$K$42))</f>
        <v/>
      </c>
      <c r="AC1032">
        <f>IF(AND(AA1032&gt;0,AB1032&gt;=Controls!$B$39*AA1032),1,0)</f>
        <v/>
      </c>
      <c r="AD1032">
        <f>IF(AND(E1032&lt;&gt;"",E1032&gt;=Controls!$B$37,E1032&lt;=Controls!$B$38),1,0)</f>
        <v/>
      </c>
      <c r="AE1032">
        <f>IF(IFERROR(VLOOKUP(D1032,Controls!$A$64:$E$74,2,FALSE),"No")="Yes",1,0)</f>
        <v/>
      </c>
      <c r="AF1032">
        <f>IF(IFERROR(VLOOKUP(D1032,Controls!$A$64:$E$74,3,FALSE),"No")="Yes",1,0)</f>
        <v/>
      </c>
      <c r="AG1032">
        <f>IF(IFERROR(VLOOKUP(D1032,Controls!$A$64:$E$74,4,FALSE),"No")="Yes",1,0)</f>
        <v/>
      </c>
      <c r="AH1032">
        <f>IF(IFERROR(VLOOKUP(D1032,Controls!$A$64:$E$74,5,FALSE),"No")="Yes",1,0)</f>
        <v/>
      </c>
      <c r="AI1032">
        <f>IF(ISNUMBER(MATCH(D1032,Controls!$A$64:$A$74,0)),1,0)</f>
        <v/>
      </c>
      <c r="AJ1032">
        <f>Q1032-N1032</f>
        <v/>
      </c>
      <c r="AK1032">
        <f>IF(AE1032=1,MAX(0,N1032-Q1032),0)</f>
        <v/>
      </c>
      <c r="AL1032">
        <f>IF(OR(V1032="",V1032=0),0,N1032/V1032)</f>
        <v/>
      </c>
      <c r="AM1032">
        <f>IF(OR(V1032="",V1032=0),0,1)</f>
        <v/>
      </c>
      <c r="AN1032">
        <f>IF(OR(E1032="",F1032=""),0,NETWORKDAYS(E1032,F1032,Ref!$K$2:$K$42))</f>
        <v/>
      </c>
      <c r="AO1032">
        <f>IF(L1032="Renewal",1,0)</f>
        <v/>
      </c>
      <c r="AP1032">
        <f>AC1032*AD1032</f>
        <v/>
      </c>
      <c r="AQ1032">
        <f>IF(AND(G1032&lt;&gt;"",'Historical Score'!$C$6&lt;&gt;""),IF(G1032='Historical Score'!$C$6,1,0),0)</f>
        <v/>
      </c>
      <c r="AR1032">
        <f>IF(AND(L1032&lt;&gt;"",'Historical Score'!$C$5&lt;&gt;""),IF(L1032='Historical Score'!$C$5,1,0),0)</f>
        <v/>
      </c>
      <c r="AS1032">
        <f>IF(AND(Y1032&lt;&gt;"",'Historical Score'!$C$7&lt;&gt;""),IF(Y1032='Historical Score'!$C$7,1,0),0)</f>
        <v/>
      </c>
      <c r="AT1032">
        <f>IF(AND(K1032&lt;&gt;"",'Historical Score'!$C$8&lt;&gt;""),IF(K1032='Historical Score'!$C$8,1,0),0)</f>
        <v/>
      </c>
      <c r="AU1032">
        <f>IF(AND(J1032&lt;&gt;"",'Historical Score'!$C$9&lt;&gt;""),IF(J1032='Historical Score'!$C$9,1,0),0)</f>
        <v/>
      </c>
      <c r="AV1032">
        <f>AR1032*AS1032*AQ1032</f>
        <v/>
      </c>
      <c r="AW1032">
        <f>AR1032*AT1032*AQ1032</f>
        <v/>
      </c>
      <c r="AX1032">
        <f>AR1032*AS1032</f>
        <v/>
      </c>
      <c r="AY1032">
        <f>AR1032*AT1032</f>
        <v/>
      </c>
      <c r="AZ1032">
        <f>AR1032*AQ1032</f>
        <v/>
      </c>
      <c r="BA1032">
        <f>AR1032</f>
        <v/>
      </c>
      <c r="BB1032">
        <f>1</f>
        <v/>
      </c>
      <c r="BC1032">
        <f>IF(AV1032=1,1,IF(AW1032=1,2,IF(AX1032=1,3,IF(AY1032=1,4,IF(AZ1032=1,5,IF(BA1032=1,6,7))))))</f>
        <v/>
      </c>
      <c r="BD1032">
        <f>IF(AD1032=1,CHOOSE('Historical Score'!$C$29,AV1032,AW1032,AX1032,AY1032,AZ1032,BA1032,BB1032),0)</f>
        <v/>
      </c>
      <c r="BE1032">
        <f>IF(BD1032=1,COUNTIF($BD$2:BD1032,1),"")</f>
        <v/>
      </c>
    </row>
    <row r="1033">
      <c r="A1033" t="inlineStr">
        <is>
          <t>5674187367</t>
        </is>
      </c>
      <c r="B1033" t="inlineStr">
        <is>
          <t>CAPTAIN DYNAMIC SOLUTIONS</t>
        </is>
      </c>
      <c r="C1033" t="inlineStr">
        <is>
          <t>CAPTAIN DYNAMIC SOLUTIONS LLC</t>
        </is>
      </c>
      <c r="D1033" t="inlineStr">
        <is>
          <t>Open</t>
        </is>
      </c>
      <c r="E1033" s="297" t="n">
        <v>46218</v>
      </c>
      <c r="F1033" s="297" t="n">
        <v>46248</v>
      </c>
      <c r="G1033" t="n">
        <v>3</v>
      </c>
      <c r="H1033" t="inlineStr">
        <is>
          <t>1522</t>
        </is>
      </c>
      <c r="I1033" t="inlineStr">
        <is>
          <t>15</t>
        </is>
      </c>
      <c r="J1033" t="inlineStr">
        <is>
          <t>AL</t>
        </is>
      </c>
      <c r="K1033" t="inlineStr">
        <is>
          <t>PMF</t>
        </is>
      </c>
      <c r="L1033" t="inlineStr">
        <is>
          <t>New Deal</t>
        </is>
      </c>
      <c r="M1033" s="298" t="n">
        <v>1.49</v>
      </c>
      <c r="N1033" s="299" t="n">
        <v>50000</v>
      </c>
      <c r="O1033" s="299" t="n">
        <v>7000</v>
      </c>
      <c r="P1033" s="299" t="n">
        <v>74500</v>
      </c>
      <c r="Q1033" s="299" t="n">
        <v>7451.95</v>
      </c>
      <c r="R1033" s="299" t="n">
        <v>67048.05</v>
      </c>
      <c r="S1033" s="300" t="n">
        <v>0.100026174496644</v>
      </c>
      <c r="T1033" t="n">
        <v>22</v>
      </c>
      <c r="U1033" t="n">
        <v>1</v>
      </c>
      <c r="V1033" t="n">
        <v>106266.58</v>
      </c>
      <c r="W1033" s="300" t="n">
        <v>0.1275</v>
      </c>
      <c r="X1033" s="297" t="n">
        <v>41275</v>
      </c>
      <c r="Y1033">
        <f>IF(I1033="","No SIC",IFERROR(VLOOKUP(I1033,Ref!$A$2:$B$65,2,FALSE),"Unclassified"))</f>
        <v/>
      </c>
      <c r="Z1033">
        <f>IF(T1033="","",IF(T1033&lt;12,"Daily","Weekly"))</f>
        <v/>
      </c>
      <c r="AA1033">
        <f>IF(T1033="",0,IF(T1033&lt;12,T1033*Controls!$B$29,T1033*5))</f>
        <v/>
      </c>
      <c r="AB1033">
        <f>IF(E1033="",0,NETWORKDAYS(E1033,Controls!$B$36,Ref!$K$2:$K$42))</f>
        <v/>
      </c>
      <c r="AC1033">
        <f>IF(AND(AA1033&gt;0,AB1033&gt;=Controls!$B$39*AA1033),1,0)</f>
        <v/>
      </c>
      <c r="AD1033">
        <f>IF(AND(E1033&lt;&gt;"",E1033&gt;=Controls!$B$37,E1033&lt;=Controls!$B$38),1,0)</f>
        <v/>
      </c>
      <c r="AE1033">
        <f>IF(IFERROR(VLOOKUP(D1033,Controls!$A$64:$E$74,2,FALSE),"No")="Yes",1,0)</f>
        <v/>
      </c>
      <c r="AF1033">
        <f>IF(IFERROR(VLOOKUP(D1033,Controls!$A$64:$E$74,3,FALSE),"No")="Yes",1,0)</f>
        <v/>
      </c>
      <c r="AG1033">
        <f>IF(IFERROR(VLOOKUP(D1033,Controls!$A$64:$E$74,4,FALSE),"No")="Yes",1,0)</f>
        <v/>
      </c>
      <c r="AH1033">
        <f>IF(IFERROR(VLOOKUP(D1033,Controls!$A$64:$E$74,5,FALSE),"No")="Yes",1,0)</f>
        <v/>
      </c>
      <c r="AI1033">
        <f>IF(ISNUMBER(MATCH(D1033,Controls!$A$64:$A$74,0)),1,0)</f>
        <v/>
      </c>
      <c r="AJ1033">
        <f>Q1033-N1033</f>
        <v/>
      </c>
      <c r="AK1033">
        <f>IF(AE1033=1,MAX(0,N1033-Q1033),0)</f>
        <v/>
      </c>
      <c r="AL1033">
        <f>IF(OR(V1033="",V1033=0),0,N1033/V1033)</f>
        <v/>
      </c>
      <c r="AM1033">
        <f>IF(OR(V1033="",V1033=0),0,1)</f>
        <v/>
      </c>
      <c r="AN1033">
        <f>IF(OR(E1033="",F1033=""),0,NETWORKDAYS(E1033,F1033,Ref!$K$2:$K$42))</f>
        <v/>
      </c>
      <c r="AO1033">
        <f>IF(L1033="Renewal",1,0)</f>
        <v/>
      </c>
      <c r="AP1033">
        <f>AC1033*AD1033</f>
        <v/>
      </c>
      <c r="AQ1033">
        <f>IF(AND(G1033&lt;&gt;"",'Historical Score'!$C$6&lt;&gt;""),IF(G1033='Historical Score'!$C$6,1,0),0)</f>
        <v/>
      </c>
      <c r="AR1033">
        <f>IF(AND(L1033&lt;&gt;"",'Historical Score'!$C$5&lt;&gt;""),IF(L1033='Historical Score'!$C$5,1,0),0)</f>
        <v/>
      </c>
      <c r="AS1033">
        <f>IF(AND(Y1033&lt;&gt;"",'Historical Score'!$C$7&lt;&gt;""),IF(Y1033='Historical Score'!$C$7,1,0),0)</f>
        <v/>
      </c>
      <c r="AT1033">
        <f>IF(AND(K1033&lt;&gt;"",'Historical Score'!$C$8&lt;&gt;""),IF(K1033='Historical Score'!$C$8,1,0),0)</f>
        <v/>
      </c>
      <c r="AU1033">
        <f>IF(AND(J1033&lt;&gt;"",'Historical Score'!$C$9&lt;&gt;""),IF(J1033='Historical Score'!$C$9,1,0),0)</f>
        <v/>
      </c>
      <c r="AV1033">
        <f>AR1033*AS1033*AQ1033</f>
        <v/>
      </c>
      <c r="AW1033">
        <f>AR1033*AT1033*AQ1033</f>
        <v/>
      </c>
      <c r="AX1033">
        <f>AR1033*AS1033</f>
        <v/>
      </c>
      <c r="AY1033">
        <f>AR1033*AT1033</f>
        <v/>
      </c>
      <c r="AZ1033">
        <f>AR1033*AQ1033</f>
        <v/>
      </c>
      <c r="BA1033">
        <f>AR1033</f>
        <v/>
      </c>
      <c r="BB1033">
        <f>1</f>
        <v/>
      </c>
      <c r="BC1033">
        <f>IF(AV1033=1,1,IF(AW1033=1,2,IF(AX1033=1,3,IF(AY1033=1,4,IF(AZ1033=1,5,IF(BA1033=1,6,7))))))</f>
        <v/>
      </c>
      <c r="BD1033">
        <f>IF(AD1033=1,CHOOSE('Historical Score'!$C$29,AV1033,AW1033,AX1033,AY1033,AZ1033,BA1033,BB1033),0)</f>
        <v/>
      </c>
      <c r="BE1033">
        <f>IF(BD1033=1,COUNTIF($BD$2:BD1033,1),"")</f>
        <v/>
      </c>
    </row>
    <row r="1034">
      <c r="A1034" t="inlineStr">
        <is>
          <t>5674187421</t>
        </is>
      </c>
      <c r="B1034" t="inlineStr">
        <is>
          <t>Nest Protection Plan</t>
        </is>
      </c>
      <c r="C1034" t="inlineStr">
        <is>
          <t>Miami Valley Environmental Services LLC</t>
        </is>
      </c>
      <c r="D1034" t="inlineStr">
        <is>
          <t>Open</t>
        </is>
      </c>
      <c r="E1034" s="297" t="n">
        <v>46219</v>
      </c>
      <c r="F1034" s="297" t="n">
        <v>46253</v>
      </c>
      <c r="G1034" t="n">
        <v>3</v>
      </c>
      <c r="H1034" t="inlineStr">
        <is>
          <t>8999</t>
        </is>
      </c>
      <c r="I1034" t="inlineStr">
        <is>
          <t>89</t>
        </is>
      </c>
      <c r="J1034" t="inlineStr">
        <is>
          <t>OH</t>
        </is>
      </c>
      <c r="K1034" t="inlineStr">
        <is>
          <t>Fundwell</t>
        </is>
      </c>
      <c r="L1034" t="inlineStr">
        <is>
          <t>Renewal</t>
        </is>
      </c>
      <c r="M1034" s="298" t="n">
        <v>1.43</v>
      </c>
      <c r="N1034" s="299" t="n">
        <v>30000</v>
      </c>
      <c r="O1034" s="299" t="n">
        <v>3300</v>
      </c>
      <c r="P1034" s="299" t="n">
        <v>42900</v>
      </c>
      <c r="Q1034" s="299" t="n">
        <v>7661.25</v>
      </c>
      <c r="R1034" s="299" t="n">
        <v>35238.75</v>
      </c>
      <c r="S1034" s="300" t="n">
        <v>0.178583916083916</v>
      </c>
      <c r="T1034" t="n">
        <v>4.59</v>
      </c>
      <c r="U1034" t="n">
        <v>0</v>
      </c>
      <c r="V1034" t="n">
        <v>14934.99</v>
      </c>
      <c r="W1034" s="300" t="n">
        <v>0.4309</v>
      </c>
      <c r="X1034" s="297" t="n">
        <v>45524</v>
      </c>
      <c r="Y1034">
        <f>IF(I1034="","No SIC",IFERROR(VLOOKUP(I1034,Ref!$A$2:$B$65,2,FALSE),"Unclassified"))</f>
        <v/>
      </c>
      <c r="Z1034">
        <f>IF(T1034="","",IF(T1034&lt;12,"Daily","Weekly"))</f>
        <v/>
      </c>
      <c r="AA1034">
        <f>IF(T1034="",0,IF(T1034&lt;12,T1034*Controls!$B$29,T1034*5))</f>
        <v/>
      </c>
      <c r="AB1034">
        <f>IF(E1034="",0,NETWORKDAYS(E1034,Controls!$B$36,Ref!$K$2:$K$42))</f>
        <v/>
      </c>
      <c r="AC1034">
        <f>IF(AND(AA1034&gt;0,AB1034&gt;=Controls!$B$39*AA1034),1,0)</f>
        <v/>
      </c>
      <c r="AD1034">
        <f>IF(AND(E1034&lt;&gt;"",E1034&gt;=Controls!$B$37,E1034&lt;=Controls!$B$38),1,0)</f>
        <v/>
      </c>
      <c r="AE1034">
        <f>IF(IFERROR(VLOOKUP(D1034,Controls!$A$64:$E$74,2,FALSE),"No")="Yes",1,0)</f>
        <v/>
      </c>
      <c r="AF1034">
        <f>IF(IFERROR(VLOOKUP(D1034,Controls!$A$64:$E$74,3,FALSE),"No")="Yes",1,0)</f>
        <v/>
      </c>
      <c r="AG1034">
        <f>IF(IFERROR(VLOOKUP(D1034,Controls!$A$64:$E$74,4,FALSE),"No")="Yes",1,0)</f>
        <v/>
      </c>
      <c r="AH1034">
        <f>IF(IFERROR(VLOOKUP(D1034,Controls!$A$64:$E$74,5,FALSE),"No")="Yes",1,0)</f>
        <v/>
      </c>
      <c r="AI1034">
        <f>IF(ISNUMBER(MATCH(D1034,Controls!$A$64:$A$74,0)),1,0)</f>
        <v/>
      </c>
      <c r="AJ1034">
        <f>Q1034-N1034</f>
        <v/>
      </c>
      <c r="AK1034">
        <f>IF(AE1034=1,MAX(0,N1034-Q1034),0)</f>
        <v/>
      </c>
      <c r="AL1034">
        <f>IF(OR(V1034="",V1034=0),0,N1034/V1034)</f>
        <v/>
      </c>
      <c r="AM1034">
        <f>IF(OR(V1034="",V1034=0),0,1)</f>
        <v/>
      </c>
      <c r="AN1034">
        <f>IF(OR(E1034="",F1034=""),0,NETWORKDAYS(E1034,F1034,Ref!$K$2:$K$42))</f>
        <v/>
      </c>
      <c r="AO1034">
        <f>IF(L1034="Renewal",1,0)</f>
        <v/>
      </c>
      <c r="AP1034">
        <f>AC1034*AD1034</f>
        <v/>
      </c>
      <c r="AQ1034">
        <f>IF(AND(G1034&lt;&gt;"",'Historical Score'!$C$6&lt;&gt;""),IF(G1034='Historical Score'!$C$6,1,0),0)</f>
        <v/>
      </c>
      <c r="AR1034">
        <f>IF(AND(L1034&lt;&gt;"",'Historical Score'!$C$5&lt;&gt;""),IF(L1034='Historical Score'!$C$5,1,0),0)</f>
        <v/>
      </c>
      <c r="AS1034">
        <f>IF(AND(Y1034&lt;&gt;"",'Historical Score'!$C$7&lt;&gt;""),IF(Y1034='Historical Score'!$C$7,1,0),0)</f>
        <v/>
      </c>
      <c r="AT1034">
        <f>IF(AND(K1034&lt;&gt;"",'Historical Score'!$C$8&lt;&gt;""),IF(K1034='Historical Score'!$C$8,1,0),0)</f>
        <v/>
      </c>
      <c r="AU1034">
        <f>IF(AND(J1034&lt;&gt;"",'Historical Score'!$C$9&lt;&gt;""),IF(J1034='Historical Score'!$C$9,1,0),0)</f>
        <v/>
      </c>
      <c r="AV1034">
        <f>AR1034*AS1034*AQ1034</f>
        <v/>
      </c>
      <c r="AW1034">
        <f>AR1034*AT1034*AQ1034</f>
        <v/>
      </c>
      <c r="AX1034">
        <f>AR1034*AS1034</f>
        <v/>
      </c>
      <c r="AY1034">
        <f>AR1034*AT1034</f>
        <v/>
      </c>
      <c r="AZ1034">
        <f>AR1034*AQ1034</f>
        <v/>
      </c>
      <c r="BA1034">
        <f>AR1034</f>
        <v/>
      </c>
      <c r="BB1034">
        <f>1</f>
        <v/>
      </c>
      <c r="BC1034">
        <f>IF(AV1034=1,1,IF(AW1034=1,2,IF(AX1034=1,3,IF(AY1034=1,4,IF(AZ1034=1,5,IF(BA1034=1,6,7))))))</f>
        <v/>
      </c>
      <c r="BD1034">
        <f>IF(AD1034=1,CHOOSE('Historical Score'!$C$29,AV1034,AW1034,AX1034,AY1034,AZ1034,BA1034,BB1034),0)</f>
        <v/>
      </c>
      <c r="BE1034">
        <f>IF(BD1034=1,COUNTIF($BD$2:BD1034,1),"")</f>
        <v/>
      </c>
    </row>
    <row r="1035">
      <c r="A1035" t="inlineStr">
        <is>
          <t>5674187506</t>
        </is>
      </c>
      <c r="B1035" t="inlineStr">
        <is>
          <t>THE VINEYARD CAMP AND RETREAT CENTER</t>
        </is>
      </c>
      <c r="C1035" t="inlineStr">
        <is>
          <t>The Vineyard Camp and Retreat Ce nter Inc</t>
        </is>
      </c>
      <c r="D1035" t="inlineStr">
        <is>
          <t>Open</t>
        </is>
      </c>
      <c r="E1035" s="297" t="n">
        <v>46220</v>
      </c>
      <c r="F1035" s="297" t="n">
        <v>46253</v>
      </c>
      <c r="G1035" t="n">
        <v>4</v>
      </c>
      <c r="H1035" t="inlineStr">
        <is>
          <t>7032</t>
        </is>
      </c>
      <c r="I1035" t="inlineStr">
        <is>
          <t>70</t>
        </is>
      </c>
      <c r="J1035" t="inlineStr">
        <is>
          <t>NC</t>
        </is>
      </c>
      <c r="K1035" t="inlineStr">
        <is>
          <t>PMF</t>
        </is>
      </c>
      <c r="L1035" t="inlineStr">
        <is>
          <t>New Deal</t>
        </is>
      </c>
      <c r="M1035" s="298" t="n">
        <v>1.49</v>
      </c>
      <c r="N1035" s="299" t="n">
        <v>15000</v>
      </c>
      <c r="O1035" s="299" t="n">
        <v>2100</v>
      </c>
      <c r="P1035" s="299" t="n">
        <v>22350</v>
      </c>
      <c r="Q1035" s="299" t="n">
        <v>7708.3</v>
      </c>
      <c r="R1035" s="299" t="n">
        <v>14641.7</v>
      </c>
      <c r="S1035" s="300" t="n">
        <v>0.344890380313199</v>
      </c>
      <c r="T1035" t="n">
        <v>15</v>
      </c>
      <c r="U1035" t="n">
        <v>0</v>
      </c>
      <c r="V1035" t="n">
        <v>101183.29</v>
      </c>
      <c r="W1035" s="300" t="n">
        <v>0.2035</v>
      </c>
      <c r="X1035" s="297" t="n">
        <v>30841</v>
      </c>
      <c r="Y1035">
        <f>IF(I1035="","No SIC",IFERROR(VLOOKUP(I1035,Ref!$A$2:$B$65,2,FALSE),"Unclassified"))</f>
        <v/>
      </c>
      <c r="Z1035">
        <f>IF(T1035="","",IF(T1035&lt;12,"Daily","Weekly"))</f>
        <v/>
      </c>
      <c r="AA1035">
        <f>IF(T1035="",0,IF(T1035&lt;12,T1035*Controls!$B$29,T1035*5))</f>
        <v/>
      </c>
      <c r="AB1035">
        <f>IF(E1035="",0,NETWORKDAYS(E1035,Controls!$B$36,Ref!$K$2:$K$42))</f>
        <v/>
      </c>
      <c r="AC1035">
        <f>IF(AND(AA1035&gt;0,AB1035&gt;=Controls!$B$39*AA1035),1,0)</f>
        <v/>
      </c>
      <c r="AD1035">
        <f>IF(AND(E1035&lt;&gt;"",E1035&gt;=Controls!$B$37,E1035&lt;=Controls!$B$38),1,0)</f>
        <v/>
      </c>
      <c r="AE1035">
        <f>IF(IFERROR(VLOOKUP(D1035,Controls!$A$64:$E$74,2,FALSE),"No")="Yes",1,0)</f>
        <v/>
      </c>
      <c r="AF1035">
        <f>IF(IFERROR(VLOOKUP(D1035,Controls!$A$64:$E$74,3,FALSE),"No")="Yes",1,0)</f>
        <v/>
      </c>
      <c r="AG1035">
        <f>IF(IFERROR(VLOOKUP(D1035,Controls!$A$64:$E$74,4,FALSE),"No")="Yes",1,0)</f>
        <v/>
      </c>
      <c r="AH1035">
        <f>IF(IFERROR(VLOOKUP(D1035,Controls!$A$64:$E$74,5,FALSE),"No")="Yes",1,0)</f>
        <v/>
      </c>
      <c r="AI1035">
        <f>IF(ISNUMBER(MATCH(D1035,Controls!$A$64:$A$74,0)),1,0)</f>
        <v/>
      </c>
      <c r="AJ1035">
        <f>Q1035-N1035</f>
        <v/>
      </c>
      <c r="AK1035">
        <f>IF(AE1035=1,MAX(0,N1035-Q1035),0)</f>
        <v/>
      </c>
      <c r="AL1035">
        <f>IF(OR(V1035="",V1035=0),0,N1035/V1035)</f>
        <v/>
      </c>
      <c r="AM1035">
        <f>IF(OR(V1035="",V1035=0),0,1)</f>
        <v/>
      </c>
      <c r="AN1035">
        <f>IF(OR(E1035="",F1035=""),0,NETWORKDAYS(E1035,F1035,Ref!$K$2:$K$42))</f>
        <v/>
      </c>
      <c r="AO1035">
        <f>IF(L1035="Renewal",1,0)</f>
        <v/>
      </c>
      <c r="AP1035">
        <f>AC1035*AD1035</f>
        <v/>
      </c>
      <c r="AQ1035">
        <f>IF(AND(G1035&lt;&gt;"",'Historical Score'!$C$6&lt;&gt;""),IF(G1035='Historical Score'!$C$6,1,0),0)</f>
        <v/>
      </c>
      <c r="AR1035">
        <f>IF(AND(L1035&lt;&gt;"",'Historical Score'!$C$5&lt;&gt;""),IF(L1035='Historical Score'!$C$5,1,0),0)</f>
        <v/>
      </c>
      <c r="AS1035">
        <f>IF(AND(Y1035&lt;&gt;"",'Historical Score'!$C$7&lt;&gt;""),IF(Y1035='Historical Score'!$C$7,1,0),0)</f>
        <v/>
      </c>
      <c r="AT1035">
        <f>IF(AND(K1035&lt;&gt;"",'Historical Score'!$C$8&lt;&gt;""),IF(K1035='Historical Score'!$C$8,1,0),0)</f>
        <v/>
      </c>
      <c r="AU1035">
        <f>IF(AND(J1035&lt;&gt;"",'Historical Score'!$C$9&lt;&gt;""),IF(J1035='Historical Score'!$C$9,1,0),0)</f>
        <v/>
      </c>
      <c r="AV1035">
        <f>AR1035*AS1035*AQ1035</f>
        <v/>
      </c>
      <c r="AW1035">
        <f>AR1035*AT1035*AQ1035</f>
        <v/>
      </c>
      <c r="AX1035">
        <f>AR1035*AS1035</f>
        <v/>
      </c>
      <c r="AY1035">
        <f>AR1035*AT1035</f>
        <v/>
      </c>
      <c r="AZ1035">
        <f>AR1035*AQ1035</f>
        <v/>
      </c>
      <c r="BA1035">
        <f>AR1035</f>
        <v/>
      </c>
      <c r="BB1035">
        <f>1</f>
        <v/>
      </c>
      <c r="BC1035">
        <f>IF(AV1035=1,1,IF(AW1035=1,2,IF(AX1035=1,3,IF(AY1035=1,4,IF(AZ1035=1,5,IF(BA1035=1,6,7))))))</f>
        <v/>
      </c>
      <c r="BD1035">
        <f>IF(AD1035=1,CHOOSE('Historical Score'!$C$29,AV1035,AW1035,AX1035,AY1035,AZ1035,BA1035,BB1035),0)</f>
        <v/>
      </c>
      <c r="BE1035">
        <f>IF(BD1035=1,COUNTIF($BD$2:BD1035,1),"")</f>
        <v/>
      </c>
    </row>
    <row r="1036">
      <c r="A1036" t="inlineStr">
        <is>
          <t>5674187540</t>
        </is>
      </c>
      <c r="B1036" t="inlineStr">
        <is>
          <t>DRTX Facility Maintenance, LLC</t>
        </is>
      </c>
      <c r="C1036" t="inlineStr">
        <is>
          <t>DRTX Facility Maintenance, LLC</t>
        </is>
      </c>
      <c r="D1036" t="inlineStr">
        <is>
          <t>Open</t>
        </is>
      </c>
      <c r="E1036" s="297" t="n">
        <v>46220</v>
      </c>
      <c r="F1036" s="297" t="n">
        <v>46253</v>
      </c>
      <c r="G1036" t="n">
        <v>3</v>
      </c>
      <c r="H1036" t="inlineStr">
        <is>
          <t>1521</t>
        </is>
      </c>
      <c r="I1036" t="inlineStr">
        <is>
          <t>15</t>
        </is>
      </c>
      <c r="J1036" t="inlineStr">
        <is>
          <t>TX</t>
        </is>
      </c>
      <c r="K1036" t="inlineStr">
        <is>
          <t>SNB CAPITAL 18 LLC</t>
        </is>
      </c>
      <c r="L1036" t="inlineStr">
        <is>
          <t>Renewal</t>
        </is>
      </c>
      <c r="M1036" s="298" t="n">
        <v>1.49</v>
      </c>
      <c r="N1036" s="299" t="n">
        <v>16000</v>
      </c>
      <c r="O1036" s="299" t="n">
        <v>2240</v>
      </c>
      <c r="P1036" s="299" t="n">
        <v>23840</v>
      </c>
      <c r="Q1036" s="299" t="n">
        <v>5406.88</v>
      </c>
      <c r="R1036" s="299" t="n">
        <v>18433.12</v>
      </c>
      <c r="S1036" s="300" t="n">
        <v>0.226798657718121</v>
      </c>
      <c r="T1036" t="n">
        <v>3.934</v>
      </c>
      <c r="U1036" t="n">
        <v>0</v>
      </c>
      <c r="V1036" t="n">
        <v>51341.83</v>
      </c>
      <c r="W1036" s="300" t="n">
        <v>0.0813</v>
      </c>
      <c r="X1036" s="297" t="n">
        <v>39965</v>
      </c>
      <c r="Y1036">
        <f>IF(I1036="","No SIC",IFERROR(VLOOKUP(I1036,Ref!$A$2:$B$65,2,FALSE),"Unclassified"))</f>
        <v/>
      </c>
      <c r="Z1036">
        <f>IF(T1036="","",IF(T1036&lt;12,"Daily","Weekly"))</f>
        <v/>
      </c>
      <c r="AA1036">
        <f>IF(T1036="",0,IF(T1036&lt;12,T1036*Controls!$B$29,T1036*5))</f>
        <v/>
      </c>
      <c r="AB1036">
        <f>IF(E1036="",0,NETWORKDAYS(E1036,Controls!$B$36,Ref!$K$2:$K$42))</f>
        <v/>
      </c>
      <c r="AC1036">
        <f>IF(AND(AA1036&gt;0,AB1036&gt;=Controls!$B$39*AA1036),1,0)</f>
        <v/>
      </c>
      <c r="AD1036">
        <f>IF(AND(E1036&lt;&gt;"",E1036&gt;=Controls!$B$37,E1036&lt;=Controls!$B$38),1,0)</f>
        <v/>
      </c>
      <c r="AE1036">
        <f>IF(IFERROR(VLOOKUP(D1036,Controls!$A$64:$E$74,2,FALSE),"No")="Yes",1,0)</f>
        <v/>
      </c>
      <c r="AF1036">
        <f>IF(IFERROR(VLOOKUP(D1036,Controls!$A$64:$E$74,3,FALSE),"No")="Yes",1,0)</f>
        <v/>
      </c>
      <c r="AG1036">
        <f>IF(IFERROR(VLOOKUP(D1036,Controls!$A$64:$E$74,4,FALSE),"No")="Yes",1,0)</f>
        <v/>
      </c>
      <c r="AH1036">
        <f>IF(IFERROR(VLOOKUP(D1036,Controls!$A$64:$E$74,5,FALSE),"No")="Yes",1,0)</f>
        <v/>
      </c>
      <c r="AI1036">
        <f>IF(ISNUMBER(MATCH(D1036,Controls!$A$64:$A$74,0)),1,0)</f>
        <v/>
      </c>
      <c r="AJ1036">
        <f>Q1036-N1036</f>
        <v/>
      </c>
      <c r="AK1036">
        <f>IF(AE1036=1,MAX(0,N1036-Q1036),0)</f>
        <v/>
      </c>
      <c r="AL1036">
        <f>IF(OR(V1036="",V1036=0),0,N1036/V1036)</f>
        <v/>
      </c>
      <c r="AM1036">
        <f>IF(OR(V1036="",V1036=0),0,1)</f>
        <v/>
      </c>
      <c r="AN1036">
        <f>IF(OR(E1036="",F1036=""),0,NETWORKDAYS(E1036,F1036,Ref!$K$2:$K$42))</f>
        <v/>
      </c>
      <c r="AO1036">
        <f>IF(L1036="Renewal",1,0)</f>
        <v/>
      </c>
      <c r="AP1036">
        <f>AC1036*AD1036</f>
        <v/>
      </c>
      <c r="AQ1036">
        <f>IF(AND(G1036&lt;&gt;"",'Historical Score'!$C$6&lt;&gt;""),IF(G1036='Historical Score'!$C$6,1,0),0)</f>
        <v/>
      </c>
      <c r="AR1036">
        <f>IF(AND(L1036&lt;&gt;"",'Historical Score'!$C$5&lt;&gt;""),IF(L1036='Historical Score'!$C$5,1,0),0)</f>
        <v/>
      </c>
      <c r="AS1036">
        <f>IF(AND(Y1036&lt;&gt;"",'Historical Score'!$C$7&lt;&gt;""),IF(Y1036='Historical Score'!$C$7,1,0),0)</f>
        <v/>
      </c>
      <c r="AT1036">
        <f>IF(AND(K1036&lt;&gt;"",'Historical Score'!$C$8&lt;&gt;""),IF(K1036='Historical Score'!$C$8,1,0),0)</f>
        <v/>
      </c>
      <c r="AU1036">
        <f>IF(AND(J1036&lt;&gt;"",'Historical Score'!$C$9&lt;&gt;""),IF(J1036='Historical Score'!$C$9,1,0),0)</f>
        <v/>
      </c>
      <c r="AV1036">
        <f>AR1036*AS1036*AQ1036</f>
        <v/>
      </c>
      <c r="AW1036">
        <f>AR1036*AT1036*AQ1036</f>
        <v/>
      </c>
      <c r="AX1036">
        <f>AR1036*AS1036</f>
        <v/>
      </c>
      <c r="AY1036">
        <f>AR1036*AT1036</f>
        <v/>
      </c>
      <c r="AZ1036">
        <f>AR1036*AQ1036</f>
        <v/>
      </c>
      <c r="BA1036">
        <f>AR1036</f>
        <v/>
      </c>
      <c r="BB1036">
        <f>1</f>
        <v/>
      </c>
      <c r="BC1036">
        <f>IF(AV1036=1,1,IF(AW1036=1,2,IF(AX1036=1,3,IF(AY1036=1,4,IF(AZ1036=1,5,IF(BA1036=1,6,7))))))</f>
        <v/>
      </c>
      <c r="BD1036">
        <f>IF(AD1036=1,CHOOSE('Historical Score'!$C$29,AV1036,AW1036,AX1036,AY1036,AZ1036,BA1036,BB1036),0)</f>
        <v/>
      </c>
      <c r="BE1036">
        <f>IF(BD1036=1,COUNTIF($BD$2:BD1036,1),"")</f>
        <v/>
      </c>
    </row>
    <row r="1037">
      <c r="A1037" t="inlineStr">
        <is>
          <t>5674187579</t>
        </is>
      </c>
      <c r="B1037" t="inlineStr">
        <is>
          <t>John Hebert MD</t>
        </is>
      </c>
      <c r="C1037" t="inlineStr">
        <is>
          <t>John Hebert MD</t>
        </is>
      </c>
      <c r="D1037" t="inlineStr">
        <is>
          <t>Open</t>
        </is>
      </c>
      <c r="E1037" s="297" t="n">
        <v>46223</v>
      </c>
      <c r="F1037" s="297" t="n">
        <v>46253</v>
      </c>
      <c r="G1037" t="n">
        <v>3</v>
      </c>
      <c r="H1037" t="inlineStr">
        <is>
          <t>8011</t>
        </is>
      </c>
      <c r="I1037" t="inlineStr">
        <is>
          <t>80</t>
        </is>
      </c>
      <c r="J1037" t="inlineStr">
        <is>
          <t>LA</t>
        </is>
      </c>
      <c r="K1037" t="inlineStr">
        <is>
          <t>United Secured Capital 8</t>
        </is>
      </c>
      <c r="L1037" t="inlineStr">
        <is>
          <t>Renewal</t>
        </is>
      </c>
      <c r="M1037" s="298" t="n">
        <v>1.49</v>
      </c>
      <c r="N1037" s="299" t="n">
        <v>25000</v>
      </c>
      <c r="O1037" s="299" t="n">
        <v>3500</v>
      </c>
      <c r="P1037" s="299" t="n">
        <v>37250</v>
      </c>
      <c r="Q1037" s="299" t="n">
        <v>6827.92</v>
      </c>
      <c r="R1037" s="299" t="n">
        <v>30422.08</v>
      </c>
      <c r="S1037" s="300" t="n">
        <v>0.183299865771812</v>
      </c>
      <c r="T1037" t="n">
        <v>3.934</v>
      </c>
      <c r="U1037" t="n">
        <v>0</v>
      </c>
      <c r="V1037" t="n">
        <v>28362.13</v>
      </c>
      <c r="W1037" s="300" t="n">
        <v>0.2298</v>
      </c>
      <c r="X1037" s="297" t="n"/>
      <c r="Y1037">
        <f>IF(I1037="","No SIC",IFERROR(VLOOKUP(I1037,Ref!$A$2:$B$65,2,FALSE),"Unclassified"))</f>
        <v/>
      </c>
      <c r="Z1037">
        <f>IF(T1037="","",IF(T1037&lt;12,"Daily","Weekly"))</f>
        <v/>
      </c>
      <c r="AA1037">
        <f>IF(T1037="",0,IF(T1037&lt;12,T1037*Controls!$B$29,T1037*5))</f>
        <v/>
      </c>
      <c r="AB1037">
        <f>IF(E1037="",0,NETWORKDAYS(E1037,Controls!$B$36,Ref!$K$2:$K$42))</f>
        <v/>
      </c>
      <c r="AC1037">
        <f>IF(AND(AA1037&gt;0,AB1037&gt;=Controls!$B$39*AA1037),1,0)</f>
        <v/>
      </c>
      <c r="AD1037">
        <f>IF(AND(E1037&lt;&gt;"",E1037&gt;=Controls!$B$37,E1037&lt;=Controls!$B$38),1,0)</f>
        <v/>
      </c>
      <c r="AE1037">
        <f>IF(IFERROR(VLOOKUP(D1037,Controls!$A$64:$E$74,2,FALSE),"No")="Yes",1,0)</f>
        <v/>
      </c>
      <c r="AF1037">
        <f>IF(IFERROR(VLOOKUP(D1037,Controls!$A$64:$E$74,3,FALSE),"No")="Yes",1,0)</f>
        <v/>
      </c>
      <c r="AG1037">
        <f>IF(IFERROR(VLOOKUP(D1037,Controls!$A$64:$E$74,4,FALSE),"No")="Yes",1,0)</f>
        <v/>
      </c>
      <c r="AH1037">
        <f>IF(IFERROR(VLOOKUP(D1037,Controls!$A$64:$E$74,5,FALSE),"No")="Yes",1,0)</f>
        <v/>
      </c>
      <c r="AI1037">
        <f>IF(ISNUMBER(MATCH(D1037,Controls!$A$64:$A$74,0)),1,0)</f>
        <v/>
      </c>
      <c r="AJ1037">
        <f>Q1037-N1037</f>
        <v/>
      </c>
      <c r="AK1037">
        <f>IF(AE1037=1,MAX(0,N1037-Q1037),0)</f>
        <v/>
      </c>
      <c r="AL1037">
        <f>IF(OR(V1037="",V1037=0),0,N1037/V1037)</f>
        <v/>
      </c>
      <c r="AM1037">
        <f>IF(OR(V1037="",V1037=0),0,1)</f>
        <v/>
      </c>
      <c r="AN1037">
        <f>IF(OR(E1037="",F1037=""),0,NETWORKDAYS(E1037,F1037,Ref!$K$2:$K$42))</f>
        <v/>
      </c>
      <c r="AO1037">
        <f>IF(L1037="Renewal",1,0)</f>
        <v/>
      </c>
      <c r="AP1037">
        <f>AC1037*AD1037</f>
        <v/>
      </c>
      <c r="AQ1037">
        <f>IF(AND(G1037&lt;&gt;"",'Historical Score'!$C$6&lt;&gt;""),IF(G1037='Historical Score'!$C$6,1,0),0)</f>
        <v/>
      </c>
      <c r="AR1037">
        <f>IF(AND(L1037&lt;&gt;"",'Historical Score'!$C$5&lt;&gt;""),IF(L1037='Historical Score'!$C$5,1,0),0)</f>
        <v/>
      </c>
      <c r="AS1037">
        <f>IF(AND(Y1037&lt;&gt;"",'Historical Score'!$C$7&lt;&gt;""),IF(Y1037='Historical Score'!$C$7,1,0),0)</f>
        <v/>
      </c>
      <c r="AT1037">
        <f>IF(AND(K1037&lt;&gt;"",'Historical Score'!$C$8&lt;&gt;""),IF(K1037='Historical Score'!$C$8,1,0),0)</f>
        <v/>
      </c>
      <c r="AU1037">
        <f>IF(AND(J1037&lt;&gt;"",'Historical Score'!$C$9&lt;&gt;""),IF(J1037='Historical Score'!$C$9,1,0),0)</f>
        <v/>
      </c>
      <c r="AV1037">
        <f>AR1037*AS1037*AQ1037</f>
        <v/>
      </c>
      <c r="AW1037">
        <f>AR1037*AT1037*AQ1037</f>
        <v/>
      </c>
      <c r="AX1037">
        <f>AR1037*AS1037</f>
        <v/>
      </c>
      <c r="AY1037">
        <f>AR1037*AT1037</f>
        <v/>
      </c>
      <c r="AZ1037">
        <f>AR1037*AQ1037</f>
        <v/>
      </c>
      <c r="BA1037">
        <f>AR1037</f>
        <v/>
      </c>
      <c r="BB1037">
        <f>1</f>
        <v/>
      </c>
      <c r="BC1037">
        <f>IF(AV1037=1,1,IF(AW1037=1,2,IF(AX1037=1,3,IF(AY1037=1,4,IF(AZ1037=1,5,IF(BA1037=1,6,7))))))</f>
        <v/>
      </c>
      <c r="BD1037">
        <f>IF(AD1037=1,CHOOSE('Historical Score'!$C$29,AV1037,AW1037,AX1037,AY1037,AZ1037,BA1037,BB1037),0)</f>
        <v/>
      </c>
      <c r="BE1037">
        <f>IF(BD1037=1,COUNTIF($BD$2:BD1037,1),"")</f>
        <v/>
      </c>
    </row>
    <row r="1038">
      <c r="A1038" t="inlineStr">
        <is>
          <t>5674187704</t>
        </is>
      </c>
      <c r="B1038" t="inlineStr">
        <is>
          <t>YUGO TRANS</t>
        </is>
      </c>
      <c r="C1038" t="inlineStr">
        <is>
          <t>yugo trans ltd</t>
        </is>
      </c>
      <c r="D1038" t="inlineStr">
        <is>
          <t>Open</t>
        </is>
      </c>
      <c r="E1038" s="297" t="n">
        <v>46224</v>
      </c>
      <c r="F1038" s="297" t="n">
        <v>46253</v>
      </c>
      <c r="G1038" t="n">
        <v>3</v>
      </c>
      <c r="H1038" t="inlineStr">
        <is>
          <t>4212</t>
        </is>
      </c>
      <c r="I1038" t="inlineStr">
        <is>
          <t>42</t>
        </is>
      </c>
      <c r="J1038" t="inlineStr">
        <is>
          <t>IL</t>
        </is>
      </c>
      <c r="K1038" t="inlineStr">
        <is>
          <t>Hero Advance Group</t>
        </is>
      </c>
      <c r="L1038" t="inlineStr">
        <is>
          <t>Renewal</t>
        </is>
      </c>
      <c r="M1038" s="298" t="n">
        <v>1.4</v>
      </c>
      <c r="N1038" s="299" t="n">
        <v>95000</v>
      </c>
      <c r="O1038" s="299" t="n">
        <v>8075</v>
      </c>
      <c r="P1038" s="299" t="n">
        <v>133000</v>
      </c>
      <c r="Q1038" s="299" t="n">
        <v>15277.5</v>
      </c>
      <c r="R1038" s="299" t="n">
        <v>117722.5</v>
      </c>
      <c r="S1038" s="300" t="n">
        <v>0.114868421052632</v>
      </c>
      <c r="T1038" t="n">
        <v>6</v>
      </c>
      <c r="U1038" t="n">
        <v>0</v>
      </c>
      <c r="V1038" t="n">
        <v>367587.56</v>
      </c>
      <c r="W1038" s="300" t="n">
        <v>0.0476</v>
      </c>
      <c r="X1038" s="297" t="n"/>
      <c r="Y1038">
        <f>IF(I1038="","No SIC",IFERROR(VLOOKUP(I1038,Ref!$A$2:$B$65,2,FALSE),"Unclassified"))</f>
        <v/>
      </c>
      <c r="Z1038">
        <f>IF(T1038="","",IF(T1038&lt;12,"Daily","Weekly"))</f>
        <v/>
      </c>
      <c r="AA1038">
        <f>IF(T1038="",0,IF(T1038&lt;12,T1038*Controls!$B$29,T1038*5))</f>
        <v/>
      </c>
      <c r="AB1038">
        <f>IF(E1038="",0,NETWORKDAYS(E1038,Controls!$B$36,Ref!$K$2:$K$42))</f>
        <v/>
      </c>
      <c r="AC1038">
        <f>IF(AND(AA1038&gt;0,AB1038&gt;=Controls!$B$39*AA1038),1,0)</f>
        <v/>
      </c>
      <c r="AD1038">
        <f>IF(AND(E1038&lt;&gt;"",E1038&gt;=Controls!$B$37,E1038&lt;=Controls!$B$38),1,0)</f>
        <v/>
      </c>
      <c r="AE1038">
        <f>IF(IFERROR(VLOOKUP(D1038,Controls!$A$64:$E$74,2,FALSE),"No")="Yes",1,0)</f>
        <v/>
      </c>
      <c r="AF1038">
        <f>IF(IFERROR(VLOOKUP(D1038,Controls!$A$64:$E$74,3,FALSE),"No")="Yes",1,0)</f>
        <v/>
      </c>
      <c r="AG1038">
        <f>IF(IFERROR(VLOOKUP(D1038,Controls!$A$64:$E$74,4,FALSE),"No")="Yes",1,0)</f>
        <v/>
      </c>
      <c r="AH1038">
        <f>IF(IFERROR(VLOOKUP(D1038,Controls!$A$64:$E$74,5,FALSE),"No")="Yes",1,0)</f>
        <v/>
      </c>
      <c r="AI1038">
        <f>IF(ISNUMBER(MATCH(D1038,Controls!$A$64:$A$74,0)),1,0)</f>
        <v/>
      </c>
      <c r="AJ1038">
        <f>Q1038-N1038</f>
        <v/>
      </c>
      <c r="AK1038">
        <f>IF(AE1038=1,MAX(0,N1038-Q1038),0)</f>
        <v/>
      </c>
      <c r="AL1038">
        <f>IF(OR(V1038="",V1038=0),0,N1038/V1038)</f>
        <v/>
      </c>
      <c r="AM1038">
        <f>IF(OR(V1038="",V1038=0),0,1)</f>
        <v/>
      </c>
      <c r="AN1038">
        <f>IF(OR(E1038="",F1038=""),0,NETWORKDAYS(E1038,F1038,Ref!$K$2:$K$42))</f>
        <v/>
      </c>
      <c r="AO1038">
        <f>IF(L1038="Renewal",1,0)</f>
        <v/>
      </c>
      <c r="AP1038">
        <f>AC1038*AD1038</f>
        <v/>
      </c>
      <c r="AQ1038">
        <f>IF(AND(G1038&lt;&gt;"",'Historical Score'!$C$6&lt;&gt;""),IF(G1038='Historical Score'!$C$6,1,0),0)</f>
        <v/>
      </c>
      <c r="AR1038">
        <f>IF(AND(L1038&lt;&gt;"",'Historical Score'!$C$5&lt;&gt;""),IF(L1038='Historical Score'!$C$5,1,0),0)</f>
        <v/>
      </c>
      <c r="AS1038">
        <f>IF(AND(Y1038&lt;&gt;"",'Historical Score'!$C$7&lt;&gt;""),IF(Y1038='Historical Score'!$C$7,1,0),0)</f>
        <v/>
      </c>
      <c r="AT1038">
        <f>IF(AND(K1038&lt;&gt;"",'Historical Score'!$C$8&lt;&gt;""),IF(K1038='Historical Score'!$C$8,1,0),0)</f>
        <v/>
      </c>
      <c r="AU1038">
        <f>IF(AND(J1038&lt;&gt;"",'Historical Score'!$C$9&lt;&gt;""),IF(J1038='Historical Score'!$C$9,1,0),0)</f>
        <v/>
      </c>
      <c r="AV1038">
        <f>AR1038*AS1038*AQ1038</f>
        <v/>
      </c>
      <c r="AW1038">
        <f>AR1038*AT1038*AQ1038</f>
        <v/>
      </c>
      <c r="AX1038">
        <f>AR1038*AS1038</f>
        <v/>
      </c>
      <c r="AY1038">
        <f>AR1038*AT1038</f>
        <v/>
      </c>
      <c r="AZ1038">
        <f>AR1038*AQ1038</f>
        <v/>
      </c>
      <c r="BA1038">
        <f>AR1038</f>
        <v/>
      </c>
      <c r="BB1038">
        <f>1</f>
        <v/>
      </c>
      <c r="BC1038">
        <f>IF(AV1038=1,1,IF(AW1038=1,2,IF(AX1038=1,3,IF(AY1038=1,4,IF(AZ1038=1,5,IF(BA1038=1,6,7))))))</f>
        <v/>
      </c>
      <c r="BD1038">
        <f>IF(AD1038=1,CHOOSE('Historical Score'!$C$29,AV1038,AW1038,AX1038,AY1038,AZ1038,BA1038,BB1038),0)</f>
        <v/>
      </c>
      <c r="BE1038">
        <f>IF(BD1038=1,COUNTIF($BD$2:BD1038,1),"")</f>
        <v/>
      </c>
    </row>
    <row r="1039">
      <c r="A1039" t="inlineStr">
        <is>
          <t>5674187744</t>
        </is>
      </c>
      <c r="B1039" t="inlineStr">
        <is>
          <t>DBA EL TACO LOCO AL VAPOR</t>
        </is>
      </c>
      <c r="C1039" t="inlineStr">
        <is>
          <t>DBA EL TACO LOCO AL VAPOR</t>
        </is>
      </c>
      <c r="D1039" t="inlineStr">
        <is>
          <t>Open</t>
        </is>
      </c>
      <c r="E1039" s="297" t="n">
        <v>46225</v>
      </c>
      <c r="F1039" s="297" t="n">
        <v>46248</v>
      </c>
      <c r="G1039" t="n">
        <v>3</v>
      </c>
      <c r="H1039" t="inlineStr">
        <is>
          <t>5812</t>
        </is>
      </c>
      <c r="I1039" t="inlineStr">
        <is>
          <t>58</t>
        </is>
      </c>
      <c r="J1039" t="inlineStr">
        <is>
          <t>TX</t>
        </is>
      </c>
      <c r="K1039" t="inlineStr">
        <is>
          <t>Westwood</t>
        </is>
      </c>
      <c r="L1039" t="inlineStr">
        <is>
          <t>Renewal</t>
        </is>
      </c>
      <c r="M1039" s="298" t="n">
        <v>1.49</v>
      </c>
      <c r="N1039" s="299" t="n">
        <v>35000</v>
      </c>
      <c r="O1039" s="299" t="n">
        <v>4900</v>
      </c>
      <c r="P1039" s="299" t="n">
        <v>52150</v>
      </c>
      <c r="Q1039" s="299" t="n">
        <v>5216.25</v>
      </c>
      <c r="R1039" s="299" t="n">
        <v>46933.75</v>
      </c>
      <c r="S1039" s="300" t="n">
        <v>0.100023969319271</v>
      </c>
      <c r="T1039" t="n">
        <v>30</v>
      </c>
      <c r="U1039" t="n">
        <v>0</v>
      </c>
      <c r="V1039" t="n">
        <v>42000</v>
      </c>
      <c r="W1039" s="300" t="n">
        <v>0.1391</v>
      </c>
      <c r="X1039" s="297" t="n">
        <v>44977</v>
      </c>
      <c r="Y1039">
        <f>IF(I1039="","No SIC",IFERROR(VLOOKUP(I1039,Ref!$A$2:$B$65,2,FALSE),"Unclassified"))</f>
        <v/>
      </c>
      <c r="Z1039">
        <f>IF(T1039="","",IF(T1039&lt;12,"Daily","Weekly"))</f>
        <v/>
      </c>
      <c r="AA1039">
        <f>IF(T1039="",0,IF(T1039&lt;12,T1039*Controls!$B$29,T1039*5))</f>
        <v/>
      </c>
      <c r="AB1039">
        <f>IF(E1039="",0,NETWORKDAYS(E1039,Controls!$B$36,Ref!$K$2:$K$42))</f>
        <v/>
      </c>
      <c r="AC1039">
        <f>IF(AND(AA1039&gt;0,AB1039&gt;=Controls!$B$39*AA1039),1,0)</f>
        <v/>
      </c>
      <c r="AD1039">
        <f>IF(AND(E1039&lt;&gt;"",E1039&gt;=Controls!$B$37,E1039&lt;=Controls!$B$38),1,0)</f>
        <v/>
      </c>
      <c r="AE1039">
        <f>IF(IFERROR(VLOOKUP(D1039,Controls!$A$64:$E$74,2,FALSE),"No")="Yes",1,0)</f>
        <v/>
      </c>
      <c r="AF1039">
        <f>IF(IFERROR(VLOOKUP(D1039,Controls!$A$64:$E$74,3,FALSE),"No")="Yes",1,0)</f>
        <v/>
      </c>
      <c r="AG1039">
        <f>IF(IFERROR(VLOOKUP(D1039,Controls!$A$64:$E$74,4,FALSE),"No")="Yes",1,0)</f>
        <v/>
      </c>
      <c r="AH1039">
        <f>IF(IFERROR(VLOOKUP(D1039,Controls!$A$64:$E$74,5,FALSE),"No")="Yes",1,0)</f>
        <v/>
      </c>
      <c r="AI1039">
        <f>IF(ISNUMBER(MATCH(D1039,Controls!$A$64:$A$74,0)),1,0)</f>
        <v/>
      </c>
      <c r="AJ1039">
        <f>Q1039-N1039</f>
        <v/>
      </c>
      <c r="AK1039">
        <f>IF(AE1039=1,MAX(0,N1039-Q1039),0)</f>
        <v/>
      </c>
      <c r="AL1039">
        <f>IF(OR(V1039="",V1039=0),0,N1039/V1039)</f>
        <v/>
      </c>
      <c r="AM1039">
        <f>IF(OR(V1039="",V1039=0),0,1)</f>
        <v/>
      </c>
      <c r="AN1039">
        <f>IF(OR(E1039="",F1039=""),0,NETWORKDAYS(E1039,F1039,Ref!$K$2:$K$42))</f>
        <v/>
      </c>
      <c r="AO1039">
        <f>IF(L1039="Renewal",1,0)</f>
        <v/>
      </c>
      <c r="AP1039">
        <f>AC1039*AD1039</f>
        <v/>
      </c>
      <c r="AQ1039">
        <f>IF(AND(G1039&lt;&gt;"",'Historical Score'!$C$6&lt;&gt;""),IF(G1039='Historical Score'!$C$6,1,0),0)</f>
        <v/>
      </c>
      <c r="AR1039">
        <f>IF(AND(L1039&lt;&gt;"",'Historical Score'!$C$5&lt;&gt;""),IF(L1039='Historical Score'!$C$5,1,0),0)</f>
        <v/>
      </c>
      <c r="AS1039">
        <f>IF(AND(Y1039&lt;&gt;"",'Historical Score'!$C$7&lt;&gt;""),IF(Y1039='Historical Score'!$C$7,1,0),0)</f>
        <v/>
      </c>
      <c r="AT1039">
        <f>IF(AND(K1039&lt;&gt;"",'Historical Score'!$C$8&lt;&gt;""),IF(K1039='Historical Score'!$C$8,1,0),0)</f>
        <v/>
      </c>
      <c r="AU1039">
        <f>IF(AND(J1039&lt;&gt;"",'Historical Score'!$C$9&lt;&gt;""),IF(J1039='Historical Score'!$C$9,1,0),0)</f>
        <v/>
      </c>
      <c r="AV1039">
        <f>AR1039*AS1039*AQ1039</f>
        <v/>
      </c>
      <c r="AW1039">
        <f>AR1039*AT1039*AQ1039</f>
        <v/>
      </c>
      <c r="AX1039">
        <f>AR1039*AS1039</f>
        <v/>
      </c>
      <c r="AY1039">
        <f>AR1039*AT1039</f>
        <v/>
      </c>
      <c r="AZ1039">
        <f>AR1039*AQ1039</f>
        <v/>
      </c>
      <c r="BA1039">
        <f>AR1039</f>
        <v/>
      </c>
      <c r="BB1039">
        <f>1</f>
        <v/>
      </c>
      <c r="BC1039">
        <f>IF(AV1039=1,1,IF(AW1039=1,2,IF(AX1039=1,3,IF(AY1039=1,4,IF(AZ1039=1,5,IF(BA1039=1,6,7))))))</f>
        <v/>
      </c>
      <c r="BD1039">
        <f>IF(AD1039=1,CHOOSE('Historical Score'!$C$29,AV1039,AW1039,AX1039,AY1039,AZ1039,BA1039,BB1039),0)</f>
        <v/>
      </c>
      <c r="BE1039">
        <f>IF(BD1039=1,COUNTIF($BD$2:BD1039,1),"")</f>
        <v/>
      </c>
    </row>
    <row r="1040">
      <c r="A1040" t="inlineStr">
        <is>
          <t>5674187748</t>
        </is>
      </c>
      <c r="B1040" t="inlineStr">
        <is>
          <t>HELPING HEARTS RES FACILITIES 1 DBA HELPING HEARTS RESIDENTIAL</t>
        </is>
      </c>
      <c r="C1040" t="inlineStr">
        <is>
          <t>Helping Hearts Residential Facilities I, LLC</t>
        </is>
      </c>
      <c r="D1040" t="inlineStr">
        <is>
          <t>Open</t>
        </is>
      </c>
      <c r="E1040" s="297" t="n">
        <v>46225</v>
      </c>
      <c r="F1040" s="297" t="n">
        <v>46253</v>
      </c>
      <c r="G1040" t="n">
        <v>4</v>
      </c>
      <c r="H1040" t="inlineStr">
        <is>
          <t>9511</t>
        </is>
      </c>
      <c r="I1040" t="inlineStr">
        <is>
          <t>95</t>
        </is>
      </c>
      <c r="J1040" t="inlineStr">
        <is>
          <t>AZ</t>
        </is>
      </c>
      <c r="K1040" t="inlineStr">
        <is>
          <t>FundFlex</t>
        </is>
      </c>
      <c r="L1040" t="inlineStr">
        <is>
          <t>New Deal</t>
        </is>
      </c>
      <c r="M1040" s="298" t="n">
        <v>1.49</v>
      </c>
      <c r="N1040" s="299" t="n">
        <v>150000</v>
      </c>
      <c r="O1040" s="299" t="n">
        <v>21000</v>
      </c>
      <c r="P1040" s="299" t="n">
        <v>223500</v>
      </c>
      <c r="Q1040" s="299" t="n">
        <v>26316.8</v>
      </c>
      <c r="R1040" s="299" t="n">
        <v>197183.2</v>
      </c>
      <c r="S1040" s="300" t="n">
        <v>0.117748545861298</v>
      </c>
      <c r="T1040" t="n">
        <v>34</v>
      </c>
      <c r="U1040" t="n">
        <v>0</v>
      </c>
      <c r="V1040" t="n">
        <v>631372.54</v>
      </c>
      <c r="W1040" s="300" t="n">
        <v>0.0346</v>
      </c>
      <c r="X1040" s="297" t="n">
        <v>39338</v>
      </c>
      <c r="Y1040">
        <f>IF(I1040="","No SIC",IFERROR(VLOOKUP(I1040,Ref!$A$2:$B$65,2,FALSE),"Unclassified"))</f>
        <v/>
      </c>
      <c r="Z1040">
        <f>IF(T1040="","",IF(T1040&lt;12,"Daily","Weekly"))</f>
        <v/>
      </c>
      <c r="AA1040">
        <f>IF(T1040="",0,IF(T1040&lt;12,T1040*Controls!$B$29,T1040*5))</f>
        <v/>
      </c>
      <c r="AB1040">
        <f>IF(E1040="",0,NETWORKDAYS(E1040,Controls!$B$36,Ref!$K$2:$K$42))</f>
        <v/>
      </c>
      <c r="AC1040">
        <f>IF(AND(AA1040&gt;0,AB1040&gt;=Controls!$B$39*AA1040),1,0)</f>
        <v/>
      </c>
      <c r="AD1040">
        <f>IF(AND(E1040&lt;&gt;"",E1040&gt;=Controls!$B$37,E1040&lt;=Controls!$B$38),1,0)</f>
        <v/>
      </c>
      <c r="AE1040">
        <f>IF(IFERROR(VLOOKUP(D1040,Controls!$A$64:$E$74,2,FALSE),"No")="Yes",1,0)</f>
        <v/>
      </c>
      <c r="AF1040">
        <f>IF(IFERROR(VLOOKUP(D1040,Controls!$A$64:$E$74,3,FALSE),"No")="Yes",1,0)</f>
        <v/>
      </c>
      <c r="AG1040">
        <f>IF(IFERROR(VLOOKUP(D1040,Controls!$A$64:$E$74,4,FALSE),"No")="Yes",1,0)</f>
        <v/>
      </c>
      <c r="AH1040">
        <f>IF(IFERROR(VLOOKUP(D1040,Controls!$A$64:$E$74,5,FALSE),"No")="Yes",1,0)</f>
        <v/>
      </c>
      <c r="AI1040">
        <f>IF(ISNUMBER(MATCH(D1040,Controls!$A$64:$A$74,0)),1,0)</f>
        <v/>
      </c>
      <c r="AJ1040">
        <f>Q1040-N1040</f>
        <v/>
      </c>
      <c r="AK1040">
        <f>IF(AE1040=1,MAX(0,N1040-Q1040),0)</f>
        <v/>
      </c>
      <c r="AL1040">
        <f>IF(OR(V1040="",V1040=0),0,N1040/V1040)</f>
        <v/>
      </c>
      <c r="AM1040">
        <f>IF(OR(V1040="",V1040=0),0,1)</f>
        <v/>
      </c>
      <c r="AN1040">
        <f>IF(OR(E1040="",F1040=""),0,NETWORKDAYS(E1040,F1040,Ref!$K$2:$K$42))</f>
        <v/>
      </c>
      <c r="AO1040">
        <f>IF(L1040="Renewal",1,0)</f>
        <v/>
      </c>
      <c r="AP1040">
        <f>AC1040*AD1040</f>
        <v/>
      </c>
      <c r="AQ1040">
        <f>IF(AND(G1040&lt;&gt;"",'Historical Score'!$C$6&lt;&gt;""),IF(G1040='Historical Score'!$C$6,1,0),0)</f>
        <v/>
      </c>
      <c r="AR1040">
        <f>IF(AND(L1040&lt;&gt;"",'Historical Score'!$C$5&lt;&gt;""),IF(L1040='Historical Score'!$C$5,1,0),0)</f>
        <v/>
      </c>
      <c r="AS1040">
        <f>IF(AND(Y1040&lt;&gt;"",'Historical Score'!$C$7&lt;&gt;""),IF(Y1040='Historical Score'!$C$7,1,0),0)</f>
        <v/>
      </c>
      <c r="AT1040">
        <f>IF(AND(K1040&lt;&gt;"",'Historical Score'!$C$8&lt;&gt;""),IF(K1040='Historical Score'!$C$8,1,0),0)</f>
        <v/>
      </c>
      <c r="AU1040">
        <f>IF(AND(J1040&lt;&gt;"",'Historical Score'!$C$9&lt;&gt;""),IF(J1040='Historical Score'!$C$9,1,0),0)</f>
        <v/>
      </c>
      <c r="AV1040">
        <f>AR1040*AS1040*AQ1040</f>
        <v/>
      </c>
      <c r="AW1040">
        <f>AR1040*AT1040*AQ1040</f>
        <v/>
      </c>
      <c r="AX1040">
        <f>AR1040*AS1040</f>
        <v/>
      </c>
      <c r="AY1040">
        <f>AR1040*AT1040</f>
        <v/>
      </c>
      <c r="AZ1040">
        <f>AR1040*AQ1040</f>
        <v/>
      </c>
      <c r="BA1040">
        <f>AR1040</f>
        <v/>
      </c>
      <c r="BB1040">
        <f>1</f>
        <v/>
      </c>
      <c r="BC1040">
        <f>IF(AV1040=1,1,IF(AW1040=1,2,IF(AX1040=1,3,IF(AY1040=1,4,IF(AZ1040=1,5,IF(BA1040=1,6,7))))))</f>
        <v/>
      </c>
      <c r="BD1040">
        <f>IF(AD1040=1,CHOOSE('Historical Score'!$C$29,AV1040,AW1040,AX1040,AY1040,AZ1040,BA1040,BB1040),0)</f>
        <v/>
      </c>
      <c r="BE1040">
        <f>IF(BD1040=1,COUNTIF($BD$2:BD1040,1),"")</f>
        <v/>
      </c>
    </row>
    <row r="1041">
      <c r="A1041" t="inlineStr">
        <is>
          <t>5674187753</t>
        </is>
      </c>
      <c r="B1041" t="inlineStr">
        <is>
          <t>Jojos italian diner llc</t>
        </is>
      </c>
      <c r="C1041" t="inlineStr">
        <is>
          <t>Jojos italian diner llc</t>
        </is>
      </c>
      <c r="D1041" t="inlineStr">
        <is>
          <t>Legal</t>
        </is>
      </c>
      <c r="E1041" s="297" t="n">
        <v>46020</v>
      </c>
      <c r="F1041" s="297" t="n">
        <v>46020</v>
      </c>
      <c r="H1041" t="inlineStr">
        <is>
          <t>2091</t>
        </is>
      </c>
      <c r="I1041" t="inlineStr">
        <is>
          <t>20</t>
        </is>
      </c>
      <c r="J1041" t="inlineStr">
        <is>
          <t>FL</t>
        </is>
      </c>
      <c r="K1041" t="inlineStr">
        <is>
          <t>Platform Funding</t>
        </is>
      </c>
      <c r="L1041" t="inlineStr">
        <is>
          <t>New Deal</t>
        </is>
      </c>
      <c r="M1041" s="298" t="n">
        <v>1.46</v>
      </c>
      <c r="N1041" s="299" t="n">
        <v>11000</v>
      </c>
      <c r="O1041" s="299" t="n">
        <v>1375</v>
      </c>
      <c r="P1041" s="299" t="n">
        <v>16060</v>
      </c>
      <c r="Q1041" s="299" t="n">
        <v>0</v>
      </c>
      <c r="R1041" s="299" t="n">
        <v>16060</v>
      </c>
      <c r="S1041" s="300" t="n">
        <v>0</v>
      </c>
      <c r="T1041" t="n">
        <v>3.279</v>
      </c>
      <c r="U1041" t="n">
        <v>0</v>
      </c>
      <c r="W1041" s="300" t="n">
        <v>0.055</v>
      </c>
      <c r="X1041" s="297" t="n">
        <v>43844</v>
      </c>
      <c r="Y1041">
        <f>IF(I1041="","No SIC",IFERROR(VLOOKUP(I1041,Ref!$A$2:$B$65,2,FALSE),"Unclassified"))</f>
        <v/>
      </c>
      <c r="Z1041">
        <f>IF(T1041="","",IF(T1041&lt;12,"Daily","Weekly"))</f>
        <v/>
      </c>
      <c r="AA1041">
        <f>IF(T1041="",0,IF(T1041&lt;12,T1041*Controls!$B$29,T1041*5))</f>
        <v/>
      </c>
      <c r="AB1041">
        <f>IF(E1041="",0,NETWORKDAYS(E1041,Controls!$B$36,Ref!$K$2:$K$42))</f>
        <v/>
      </c>
      <c r="AC1041">
        <f>IF(AND(AA1041&gt;0,AB1041&gt;=Controls!$B$39*AA1041),1,0)</f>
        <v/>
      </c>
      <c r="AD1041">
        <f>IF(AND(E1041&lt;&gt;"",E1041&gt;=Controls!$B$37,E1041&lt;=Controls!$B$38),1,0)</f>
        <v/>
      </c>
      <c r="AE1041">
        <f>IF(IFERROR(VLOOKUP(D1041,Controls!$A$64:$E$74,2,FALSE),"No")="Yes",1,0)</f>
        <v/>
      </c>
      <c r="AF1041">
        <f>IF(IFERROR(VLOOKUP(D1041,Controls!$A$64:$E$74,3,FALSE),"No")="Yes",1,0)</f>
        <v/>
      </c>
      <c r="AG1041">
        <f>IF(IFERROR(VLOOKUP(D1041,Controls!$A$64:$E$74,4,FALSE),"No")="Yes",1,0)</f>
        <v/>
      </c>
      <c r="AH1041">
        <f>IF(IFERROR(VLOOKUP(D1041,Controls!$A$64:$E$74,5,FALSE),"No")="Yes",1,0)</f>
        <v/>
      </c>
      <c r="AI1041">
        <f>IF(ISNUMBER(MATCH(D1041,Controls!$A$64:$A$74,0)),1,0)</f>
        <v/>
      </c>
      <c r="AJ1041">
        <f>Q1041-N1041</f>
        <v/>
      </c>
      <c r="AK1041">
        <f>IF(AE1041=1,MAX(0,N1041-Q1041),0)</f>
        <v/>
      </c>
      <c r="AL1041">
        <f>IF(OR(V1041="",V1041=0),0,N1041/V1041)</f>
        <v/>
      </c>
      <c r="AM1041">
        <f>IF(OR(V1041="",V1041=0),0,1)</f>
        <v/>
      </c>
      <c r="AN1041">
        <f>IF(OR(E1041="",F1041=""),0,NETWORKDAYS(E1041,F1041,Ref!$K$2:$K$42))</f>
        <v/>
      </c>
      <c r="AO1041">
        <f>IF(L1041="Renewal",1,0)</f>
        <v/>
      </c>
      <c r="AP1041">
        <f>AC1041*AD1041</f>
        <v/>
      </c>
      <c r="AQ1041">
        <f>IF(AND(G1041&lt;&gt;"",'Historical Score'!$C$6&lt;&gt;""),IF(G1041='Historical Score'!$C$6,1,0),0)</f>
        <v/>
      </c>
      <c r="AR1041">
        <f>IF(AND(L1041&lt;&gt;"",'Historical Score'!$C$5&lt;&gt;""),IF(L1041='Historical Score'!$C$5,1,0),0)</f>
        <v/>
      </c>
      <c r="AS1041">
        <f>IF(AND(Y1041&lt;&gt;"",'Historical Score'!$C$7&lt;&gt;""),IF(Y1041='Historical Score'!$C$7,1,0),0)</f>
        <v/>
      </c>
      <c r="AT1041">
        <f>IF(AND(K1041&lt;&gt;"",'Historical Score'!$C$8&lt;&gt;""),IF(K1041='Historical Score'!$C$8,1,0),0)</f>
        <v/>
      </c>
      <c r="AU1041">
        <f>IF(AND(J1041&lt;&gt;"",'Historical Score'!$C$9&lt;&gt;""),IF(J1041='Historical Score'!$C$9,1,0),0)</f>
        <v/>
      </c>
      <c r="AV1041">
        <f>AR1041*AS1041*AQ1041</f>
        <v/>
      </c>
      <c r="AW1041">
        <f>AR1041*AT1041*AQ1041</f>
        <v/>
      </c>
      <c r="AX1041">
        <f>AR1041*AS1041</f>
        <v/>
      </c>
      <c r="AY1041">
        <f>AR1041*AT1041</f>
        <v/>
      </c>
      <c r="AZ1041">
        <f>AR1041*AQ1041</f>
        <v/>
      </c>
      <c r="BA1041">
        <f>AR1041</f>
        <v/>
      </c>
      <c r="BB1041">
        <f>1</f>
        <v/>
      </c>
      <c r="BC1041">
        <f>IF(AV1041=1,1,IF(AW1041=1,2,IF(AX1041=1,3,IF(AY1041=1,4,IF(AZ1041=1,5,IF(BA1041=1,6,7))))))</f>
        <v/>
      </c>
      <c r="BD1041">
        <f>IF(AD1041=1,CHOOSE('Historical Score'!$C$29,AV1041,AW1041,AX1041,AY1041,AZ1041,BA1041,BB1041),0)</f>
        <v/>
      </c>
      <c r="BE1041">
        <f>IF(BD1041=1,COUNTIF($BD$2:BD1041,1),"")</f>
        <v/>
      </c>
    </row>
    <row r="1042">
      <c r="A1042" t="inlineStr">
        <is>
          <t>5674187783</t>
        </is>
      </c>
      <c r="B1042" t="inlineStr">
        <is>
          <t>4 EVER TRUCKING 2 LLC</t>
        </is>
      </c>
      <c r="C1042" t="inlineStr">
        <is>
          <t>4 EVER TRUCKING 2 LLC</t>
        </is>
      </c>
      <c r="D1042" t="inlineStr">
        <is>
          <t>Open</t>
        </is>
      </c>
      <c r="E1042" s="297" t="n">
        <v>46225</v>
      </c>
      <c r="F1042" s="297" t="n">
        <v>46253</v>
      </c>
      <c r="G1042" t="n">
        <v>3</v>
      </c>
      <c r="H1042" t="inlineStr">
        <is>
          <t>4212</t>
        </is>
      </c>
      <c r="I1042" t="inlineStr">
        <is>
          <t>42</t>
        </is>
      </c>
      <c r="J1042" t="inlineStr">
        <is>
          <t>MS</t>
        </is>
      </c>
      <c r="K1042" t="inlineStr">
        <is>
          <t>DIRECT CAPITAL SOURCE, INC.</t>
        </is>
      </c>
      <c r="L1042" t="inlineStr">
        <is>
          <t>Renewal</t>
        </is>
      </c>
      <c r="M1042" s="298" t="n">
        <v>1.49</v>
      </c>
      <c r="N1042" s="299" t="n">
        <v>15000</v>
      </c>
      <c r="O1042" s="299" t="n">
        <v>2100</v>
      </c>
      <c r="P1042" s="299" t="n">
        <v>22350</v>
      </c>
      <c r="Q1042" s="299" t="n">
        <v>5028.48</v>
      </c>
      <c r="R1042" s="299" t="n">
        <v>17321.52</v>
      </c>
      <c r="S1042" s="300" t="n">
        <v>0.224987919463087</v>
      </c>
      <c r="T1042" t="n">
        <v>2.623</v>
      </c>
      <c r="U1042" t="n">
        <v>1</v>
      </c>
      <c r="V1042" t="n">
        <v>37897</v>
      </c>
      <c r="W1042" s="300" t="n">
        <v>0.1548</v>
      </c>
      <c r="X1042" s="297" t="n">
        <v>44256</v>
      </c>
      <c r="Y1042">
        <f>IF(I1042="","No SIC",IFERROR(VLOOKUP(I1042,Ref!$A$2:$B$65,2,FALSE),"Unclassified"))</f>
        <v/>
      </c>
      <c r="Z1042">
        <f>IF(T1042="","",IF(T1042&lt;12,"Daily","Weekly"))</f>
        <v/>
      </c>
      <c r="AA1042">
        <f>IF(T1042="",0,IF(T1042&lt;12,T1042*Controls!$B$29,T1042*5))</f>
        <v/>
      </c>
      <c r="AB1042">
        <f>IF(E1042="",0,NETWORKDAYS(E1042,Controls!$B$36,Ref!$K$2:$K$42))</f>
        <v/>
      </c>
      <c r="AC1042">
        <f>IF(AND(AA1042&gt;0,AB1042&gt;=Controls!$B$39*AA1042),1,0)</f>
        <v/>
      </c>
      <c r="AD1042">
        <f>IF(AND(E1042&lt;&gt;"",E1042&gt;=Controls!$B$37,E1042&lt;=Controls!$B$38),1,0)</f>
        <v/>
      </c>
      <c r="AE1042">
        <f>IF(IFERROR(VLOOKUP(D1042,Controls!$A$64:$E$74,2,FALSE),"No")="Yes",1,0)</f>
        <v/>
      </c>
      <c r="AF1042">
        <f>IF(IFERROR(VLOOKUP(D1042,Controls!$A$64:$E$74,3,FALSE),"No")="Yes",1,0)</f>
        <v/>
      </c>
      <c r="AG1042">
        <f>IF(IFERROR(VLOOKUP(D1042,Controls!$A$64:$E$74,4,FALSE),"No")="Yes",1,0)</f>
        <v/>
      </c>
      <c r="AH1042">
        <f>IF(IFERROR(VLOOKUP(D1042,Controls!$A$64:$E$74,5,FALSE),"No")="Yes",1,0)</f>
        <v/>
      </c>
      <c r="AI1042">
        <f>IF(ISNUMBER(MATCH(D1042,Controls!$A$64:$A$74,0)),1,0)</f>
        <v/>
      </c>
      <c r="AJ1042">
        <f>Q1042-N1042</f>
        <v/>
      </c>
      <c r="AK1042">
        <f>IF(AE1042=1,MAX(0,N1042-Q1042),0)</f>
        <v/>
      </c>
      <c r="AL1042">
        <f>IF(OR(V1042="",V1042=0),0,N1042/V1042)</f>
        <v/>
      </c>
      <c r="AM1042">
        <f>IF(OR(V1042="",V1042=0),0,1)</f>
        <v/>
      </c>
      <c r="AN1042">
        <f>IF(OR(E1042="",F1042=""),0,NETWORKDAYS(E1042,F1042,Ref!$K$2:$K$42))</f>
        <v/>
      </c>
      <c r="AO1042">
        <f>IF(L1042="Renewal",1,0)</f>
        <v/>
      </c>
      <c r="AP1042">
        <f>AC1042*AD1042</f>
        <v/>
      </c>
      <c r="AQ1042">
        <f>IF(AND(G1042&lt;&gt;"",'Historical Score'!$C$6&lt;&gt;""),IF(G1042='Historical Score'!$C$6,1,0),0)</f>
        <v/>
      </c>
      <c r="AR1042">
        <f>IF(AND(L1042&lt;&gt;"",'Historical Score'!$C$5&lt;&gt;""),IF(L1042='Historical Score'!$C$5,1,0),0)</f>
        <v/>
      </c>
      <c r="AS1042">
        <f>IF(AND(Y1042&lt;&gt;"",'Historical Score'!$C$7&lt;&gt;""),IF(Y1042='Historical Score'!$C$7,1,0),0)</f>
        <v/>
      </c>
      <c r="AT1042">
        <f>IF(AND(K1042&lt;&gt;"",'Historical Score'!$C$8&lt;&gt;""),IF(K1042='Historical Score'!$C$8,1,0),0)</f>
        <v/>
      </c>
      <c r="AU1042">
        <f>IF(AND(J1042&lt;&gt;"",'Historical Score'!$C$9&lt;&gt;""),IF(J1042='Historical Score'!$C$9,1,0),0)</f>
        <v/>
      </c>
      <c r="AV1042">
        <f>AR1042*AS1042*AQ1042</f>
        <v/>
      </c>
      <c r="AW1042">
        <f>AR1042*AT1042*AQ1042</f>
        <v/>
      </c>
      <c r="AX1042">
        <f>AR1042*AS1042</f>
        <v/>
      </c>
      <c r="AY1042">
        <f>AR1042*AT1042</f>
        <v/>
      </c>
      <c r="AZ1042">
        <f>AR1042*AQ1042</f>
        <v/>
      </c>
      <c r="BA1042">
        <f>AR1042</f>
        <v/>
      </c>
      <c r="BB1042">
        <f>1</f>
        <v/>
      </c>
      <c r="BC1042">
        <f>IF(AV1042=1,1,IF(AW1042=1,2,IF(AX1042=1,3,IF(AY1042=1,4,IF(AZ1042=1,5,IF(BA1042=1,6,7))))))</f>
        <v/>
      </c>
      <c r="BD1042">
        <f>IF(AD1042=1,CHOOSE('Historical Score'!$C$29,AV1042,AW1042,AX1042,AY1042,AZ1042,BA1042,BB1042),0)</f>
        <v/>
      </c>
      <c r="BE1042">
        <f>IF(BD1042=1,COUNTIF($BD$2:BD1042,1),"")</f>
        <v/>
      </c>
    </row>
    <row r="1043">
      <c r="A1043" t="inlineStr">
        <is>
          <t>5674187792</t>
        </is>
      </c>
      <c r="B1043" t="inlineStr">
        <is>
          <t>REVUP COLLISION &amp; AUTO REPAIR</t>
        </is>
      </c>
      <c r="C1043" t="inlineStr">
        <is>
          <t>REVUP ENTERPRISES LLC</t>
        </is>
      </c>
      <c r="D1043" t="inlineStr">
        <is>
          <t>Open</t>
        </is>
      </c>
      <c r="E1043" s="297" t="n">
        <v>46225</v>
      </c>
      <c r="F1043" s="297" t="n">
        <v>46253</v>
      </c>
      <c r="G1043" t="n">
        <v>3</v>
      </c>
      <c r="H1043" t="inlineStr">
        <is>
          <t>7538</t>
        </is>
      </c>
      <c r="I1043" t="inlineStr">
        <is>
          <t>75</t>
        </is>
      </c>
      <c r="J1043" t="inlineStr">
        <is>
          <t>TX</t>
        </is>
      </c>
      <c r="K1043" t="inlineStr">
        <is>
          <t>PMF</t>
        </is>
      </c>
      <c r="L1043" t="inlineStr">
        <is>
          <t>Renewal</t>
        </is>
      </c>
      <c r="M1043" s="298" t="n">
        <v>1.49</v>
      </c>
      <c r="N1043" s="299" t="n">
        <v>35000</v>
      </c>
      <c r="O1043" s="299" t="n">
        <v>4900</v>
      </c>
      <c r="P1043" s="299" t="n">
        <v>52150</v>
      </c>
      <c r="Q1043" s="299" t="n">
        <v>11584.6</v>
      </c>
      <c r="R1043" s="299" t="n">
        <v>40565.4</v>
      </c>
      <c r="S1043" s="300" t="n">
        <v>0.222139980824545</v>
      </c>
      <c r="T1043" t="n">
        <v>2.951</v>
      </c>
      <c r="U1043" t="n">
        <v>0</v>
      </c>
      <c r="V1043" t="n">
        <v>117980.29</v>
      </c>
      <c r="W1043" s="300" t="n">
        <v>0.1031</v>
      </c>
      <c r="X1043" s="297" t="n">
        <v>45465</v>
      </c>
      <c r="Y1043">
        <f>IF(I1043="","No SIC",IFERROR(VLOOKUP(I1043,Ref!$A$2:$B$65,2,FALSE),"Unclassified"))</f>
        <v/>
      </c>
      <c r="Z1043">
        <f>IF(T1043="","",IF(T1043&lt;12,"Daily","Weekly"))</f>
        <v/>
      </c>
      <c r="AA1043">
        <f>IF(T1043="",0,IF(T1043&lt;12,T1043*Controls!$B$29,T1043*5))</f>
        <v/>
      </c>
      <c r="AB1043">
        <f>IF(E1043="",0,NETWORKDAYS(E1043,Controls!$B$36,Ref!$K$2:$K$42))</f>
        <v/>
      </c>
      <c r="AC1043">
        <f>IF(AND(AA1043&gt;0,AB1043&gt;=Controls!$B$39*AA1043),1,0)</f>
        <v/>
      </c>
      <c r="AD1043">
        <f>IF(AND(E1043&lt;&gt;"",E1043&gt;=Controls!$B$37,E1043&lt;=Controls!$B$38),1,0)</f>
        <v/>
      </c>
      <c r="AE1043">
        <f>IF(IFERROR(VLOOKUP(D1043,Controls!$A$64:$E$74,2,FALSE),"No")="Yes",1,0)</f>
        <v/>
      </c>
      <c r="AF1043">
        <f>IF(IFERROR(VLOOKUP(D1043,Controls!$A$64:$E$74,3,FALSE),"No")="Yes",1,0)</f>
        <v/>
      </c>
      <c r="AG1043">
        <f>IF(IFERROR(VLOOKUP(D1043,Controls!$A$64:$E$74,4,FALSE),"No")="Yes",1,0)</f>
        <v/>
      </c>
      <c r="AH1043">
        <f>IF(IFERROR(VLOOKUP(D1043,Controls!$A$64:$E$74,5,FALSE),"No")="Yes",1,0)</f>
        <v/>
      </c>
      <c r="AI1043">
        <f>IF(ISNUMBER(MATCH(D1043,Controls!$A$64:$A$74,0)),1,0)</f>
        <v/>
      </c>
      <c r="AJ1043">
        <f>Q1043-N1043</f>
        <v/>
      </c>
      <c r="AK1043">
        <f>IF(AE1043=1,MAX(0,N1043-Q1043),0)</f>
        <v/>
      </c>
      <c r="AL1043">
        <f>IF(OR(V1043="",V1043=0),0,N1043/V1043)</f>
        <v/>
      </c>
      <c r="AM1043">
        <f>IF(OR(V1043="",V1043=0),0,1)</f>
        <v/>
      </c>
      <c r="AN1043">
        <f>IF(OR(E1043="",F1043=""),0,NETWORKDAYS(E1043,F1043,Ref!$K$2:$K$42))</f>
        <v/>
      </c>
      <c r="AO1043">
        <f>IF(L1043="Renewal",1,0)</f>
        <v/>
      </c>
      <c r="AP1043">
        <f>AC1043*AD1043</f>
        <v/>
      </c>
      <c r="AQ1043">
        <f>IF(AND(G1043&lt;&gt;"",'Historical Score'!$C$6&lt;&gt;""),IF(G1043='Historical Score'!$C$6,1,0),0)</f>
        <v/>
      </c>
      <c r="AR1043">
        <f>IF(AND(L1043&lt;&gt;"",'Historical Score'!$C$5&lt;&gt;""),IF(L1043='Historical Score'!$C$5,1,0),0)</f>
        <v/>
      </c>
      <c r="AS1043">
        <f>IF(AND(Y1043&lt;&gt;"",'Historical Score'!$C$7&lt;&gt;""),IF(Y1043='Historical Score'!$C$7,1,0),0)</f>
        <v/>
      </c>
      <c r="AT1043">
        <f>IF(AND(K1043&lt;&gt;"",'Historical Score'!$C$8&lt;&gt;""),IF(K1043='Historical Score'!$C$8,1,0),0)</f>
        <v/>
      </c>
      <c r="AU1043">
        <f>IF(AND(J1043&lt;&gt;"",'Historical Score'!$C$9&lt;&gt;""),IF(J1043='Historical Score'!$C$9,1,0),0)</f>
        <v/>
      </c>
      <c r="AV1043">
        <f>AR1043*AS1043*AQ1043</f>
        <v/>
      </c>
      <c r="AW1043">
        <f>AR1043*AT1043*AQ1043</f>
        <v/>
      </c>
      <c r="AX1043">
        <f>AR1043*AS1043</f>
        <v/>
      </c>
      <c r="AY1043">
        <f>AR1043*AT1043</f>
        <v/>
      </c>
      <c r="AZ1043">
        <f>AR1043*AQ1043</f>
        <v/>
      </c>
      <c r="BA1043">
        <f>AR1043</f>
        <v/>
      </c>
      <c r="BB1043">
        <f>1</f>
        <v/>
      </c>
      <c r="BC1043">
        <f>IF(AV1043=1,1,IF(AW1043=1,2,IF(AX1043=1,3,IF(AY1043=1,4,IF(AZ1043=1,5,IF(BA1043=1,6,7))))))</f>
        <v/>
      </c>
      <c r="BD1043">
        <f>IF(AD1043=1,CHOOSE('Historical Score'!$C$29,AV1043,AW1043,AX1043,AY1043,AZ1043,BA1043,BB1043),0)</f>
        <v/>
      </c>
      <c r="BE1043">
        <f>IF(BD1043=1,COUNTIF($BD$2:BD1043,1),"")</f>
        <v/>
      </c>
    </row>
    <row r="1044">
      <c r="A1044" t="inlineStr">
        <is>
          <t>5674187859</t>
        </is>
      </c>
      <c r="B1044" t="inlineStr">
        <is>
          <t>ARES COMFORT SYSTEMS, LLC MARIA APARICIO SOLE MBR</t>
        </is>
      </c>
      <c r="C1044" t="inlineStr">
        <is>
          <t>Ares Comfort Systems, LLC</t>
        </is>
      </c>
      <c r="D1044" t="inlineStr">
        <is>
          <t>Open</t>
        </is>
      </c>
      <c r="E1044" s="297" t="n">
        <v>46226</v>
      </c>
      <c r="F1044" s="297" t="n">
        <v>46253</v>
      </c>
      <c r="G1044" t="n">
        <v>3</v>
      </c>
      <c r="H1044" t="inlineStr">
        <is>
          <t>5075</t>
        </is>
      </c>
      <c r="I1044" t="inlineStr">
        <is>
          <t>50</t>
        </is>
      </c>
      <c r="J1044" t="inlineStr">
        <is>
          <t>WA</t>
        </is>
      </c>
      <c r="K1044" t="inlineStr">
        <is>
          <t>Vanguard Equities</t>
        </is>
      </c>
      <c r="L1044" t="inlineStr">
        <is>
          <t>New Deal</t>
        </is>
      </c>
      <c r="M1044" s="298" t="n">
        <v>1.45</v>
      </c>
      <c r="N1044" s="299" t="n">
        <v>30000</v>
      </c>
      <c r="O1044" s="299" t="n">
        <v>3600</v>
      </c>
      <c r="P1044" s="299" t="n">
        <v>43500</v>
      </c>
      <c r="Q1044" s="299" t="n">
        <v>7833.42</v>
      </c>
      <c r="R1044" s="299" t="n">
        <v>35666.58</v>
      </c>
      <c r="S1044" s="300" t="n">
        <v>0.180078620689655</v>
      </c>
      <c r="T1044" t="n">
        <v>3.279</v>
      </c>
      <c r="U1044" t="n">
        <v>0</v>
      </c>
      <c r="V1044" t="n">
        <v>242412.73</v>
      </c>
      <c r="W1044" s="300" t="n">
        <v>0.0377</v>
      </c>
      <c r="X1044" s="297" t="n">
        <v>45323</v>
      </c>
      <c r="Y1044">
        <f>IF(I1044="","No SIC",IFERROR(VLOOKUP(I1044,Ref!$A$2:$B$65,2,FALSE),"Unclassified"))</f>
        <v/>
      </c>
      <c r="Z1044">
        <f>IF(T1044="","",IF(T1044&lt;12,"Daily","Weekly"))</f>
        <v/>
      </c>
      <c r="AA1044">
        <f>IF(T1044="",0,IF(T1044&lt;12,T1044*Controls!$B$29,T1044*5))</f>
        <v/>
      </c>
      <c r="AB1044">
        <f>IF(E1044="",0,NETWORKDAYS(E1044,Controls!$B$36,Ref!$K$2:$K$42))</f>
        <v/>
      </c>
      <c r="AC1044">
        <f>IF(AND(AA1044&gt;0,AB1044&gt;=Controls!$B$39*AA1044),1,0)</f>
        <v/>
      </c>
      <c r="AD1044">
        <f>IF(AND(E1044&lt;&gt;"",E1044&gt;=Controls!$B$37,E1044&lt;=Controls!$B$38),1,0)</f>
        <v/>
      </c>
      <c r="AE1044">
        <f>IF(IFERROR(VLOOKUP(D1044,Controls!$A$64:$E$74,2,FALSE),"No")="Yes",1,0)</f>
        <v/>
      </c>
      <c r="AF1044">
        <f>IF(IFERROR(VLOOKUP(D1044,Controls!$A$64:$E$74,3,FALSE),"No")="Yes",1,0)</f>
        <v/>
      </c>
      <c r="AG1044">
        <f>IF(IFERROR(VLOOKUP(D1044,Controls!$A$64:$E$74,4,FALSE),"No")="Yes",1,0)</f>
        <v/>
      </c>
      <c r="AH1044">
        <f>IF(IFERROR(VLOOKUP(D1044,Controls!$A$64:$E$74,5,FALSE),"No")="Yes",1,0)</f>
        <v/>
      </c>
      <c r="AI1044">
        <f>IF(ISNUMBER(MATCH(D1044,Controls!$A$64:$A$74,0)),1,0)</f>
        <v/>
      </c>
      <c r="AJ1044">
        <f>Q1044-N1044</f>
        <v/>
      </c>
      <c r="AK1044">
        <f>IF(AE1044=1,MAX(0,N1044-Q1044),0)</f>
        <v/>
      </c>
      <c r="AL1044">
        <f>IF(OR(V1044="",V1044=0),0,N1044/V1044)</f>
        <v/>
      </c>
      <c r="AM1044">
        <f>IF(OR(V1044="",V1044=0),0,1)</f>
        <v/>
      </c>
      <c r="AN1044">
        <f>IF(OR(E1044="",F1044=""),0,NETWORKDAYS(E1044,F1044,Ref!$K$2:$K$42))</f>
        <v/>
      </c>
      <c r="AO1044">
        <f>IF(L1044="Renewal",1,0)</f>
        <v/>
      </c>
      <c r="AP1044">
        <f>AC1044*AD1044</f>
        <v/>
      </c>
      <c r="AQ1044">
        <f>IF(AND(G1044&lt;&gt;"",'Historical Score'!$C$6&lt;&gt;""),IF(G1044='Historical Score'!$C$6,1,0),0)</f>
        <v/>
      </c>
      <c r="AR1044">
        <f>IF(AND(L1044&lt;&gt;"",'Historical Score'!$C$5&lt;&gt;""),IF(L1044='Historical Score'!$C$5,1,0),0)</f>
        <v/>
      </c>
      <c r="AS1044">
        <f>IF(AND(Y1044&lt;&gt;"",'Historical Score'!$C$7&lt;&gt;""),IF(Y1044='Historical Score'!$C$7,1,0),0)</f>
        <v/>
      </c>
      <c r="AT1044">
        <f>IF(AND(K1044&lt;&gt;"",'Historical Score'!$C$8&lt;&gt;""),IF(K1044='Historical Score'!$C$8,1,0),0)</f>
        <v/>
      </c>
      <c r="AU1044">
        <f>IF(AND(J1044&lt;&gt;"",'Historical Score'!$C$9&lt;&gt;""),IF(J1044='Historical Score'!$C$9,1,0),0)</f>
        <v/>
      </c>
      <c r="AV1044">
        <f>AR1044*AS1044*AQ1044</f>
        <v/>
      </c>
      <c r="AW1044">
        <f>AR1044*AT1044*AQ1044</f>
        <v/>
      </c>
      <c r="AX1044">
        <f>AR1044*AS1044</f>
        <v/>
      </c>
      <c r="AY1044">
        <f>AR1044*AT1044</f>
        <v/>
      </c>
      <c r="AZ1044">
        <f>AR1044*AQ1044</f>
        <v/>
      </c>
      <c r="BA1044">
        <f>AR1044</f>
        <v/>
      </c>
      <c r="BB1044">
        <f>1</f>
        <v/>
      </c>
      <c r="BC1044">
        <f>IF(AV1044=1,1,IF(AW1044=1,2,IF(AX1044=1,3,IF(AY1044=1,4,IF(AZ1044=1,5,IF(BA1044=1,6,7))))))</f>
        <v/>
      </c>
      <c r="BD1044">
        <f>IF(AD1044=1,CHOOSE('Historical Score'!$C$29,AV1044,AW1044,AX1044,AY1044,AZ1044,BA1044,BB1044),0)</f>
        <v/>
      </c>
      <c r="BE1044">
        <f>IF(BD1044=1,COUNTIF($BD$2:BD1044,1),"")</f>
        <v/>
      </c>
    </row>
    <row r="1045">
      <c r="A1045" t="inlineStr">
        <is>
          <t>5674187915</t>
        </is>
      </c>
      <c r="B1045" t="inlineStr">
        <is>
          <t>Paxton Ranches LLC</t>
        </is>
      </c>
      <c r="C1045" t="inlineStr">
        <is>
          <t>Paxton Ranches LLC</t>
        </is>
      </c>
      <c r="D1045" t="inlineStr">
        <is>
          <t>Open</t>
        </is>
      </c>
      <c r="E1045" s="297" t="n">
        <v>46227</v>
      </c>
      <c r="F1045" s="297" t="n">
        <v>46248</v>
      </c>
      <c r="G1045" t="n">
        <v>3</v>
      </c>
      <c r="H1045" t="inlineStr">
        <is>
          <t>0212</t>
        </is>
      </c>
      <c r="I1045" t="inlineStr">
        <is>
          <t>02</t>
        </is>
      </c>
      <c r="J1045" t="inlineStr">
        <is>
          <t>SD</t>
        </is>
      </c>
      <c r="K1045" t="inlineStr">
        <is>
          <t>cavala funding</t>
        </is>
      </c>
      <c r="L1045" t="inlineStr">
        <is>
          <t>New Deal</t>
        </is>
      </c>
      <c r="M1045" s="298" t="n">
        <v>1.49</v>
      </c>
      <c r="N1045" s="299" t="n">
        <v>10000</v>
      </c>
      <c r="O1045" s="299" t="n">
        <v>1400</v>
      </c>
      <c r="P1045" s="299" t="n">
        <v>14900</v>
      </c>
      <c r="Q1045" s="299" t="n">
        <v>2241</v>
      </c>
      <c r="R1045" s="299" t="n">
        <v>12659</v>
      </c>
      <c r="S1045" s="300" t="n">
        <v>0.150402684563758</v>
      </c>
      <c r="T1045" t="n">
        <v>20</v>
      </c>
      <c r="U1045" t="n">
        <v>0</v>
      </c>
      <c r="V1045" t="n">
        <v>28839.01</v>
      </c>
      <c r="W1045" s="300" t="n">
        <v>0.1033</v>
      </c>
      <c r="X1045" s="297" t="n">
        <v>36897</v>
      </c>
      <c r="Y1045">
        <f>IF(I1045="","No SIC",IFERROR(VLOOKUP(I1045,Ref!$A$2:$B$65,2,FALSE),"Unclassified"))</f>
        <v/>
      </c>
      <c r="Z1045">
        <f>IF(T1045="","",IF(T1045&lt;12,"Daily","Weekly"))</f>
        <v/>
      </c>
      <c r="AA1045">
        <f>IF(T1045="",0,IF(T1045&lt;12,T1045*Controls!$B$29,T1045*5))</f>
        <v/>
      </c>
      <c r="AB1045">
        <f>IF(E1045="",0,NETWORKDAYS(E1045,Controls!$B$36,Ref!$K$2:$K$42))</f>
        <v/>
      </c>
      <c r="AC1045">
        <f>IF(AND(AA1045&gt;0,AB1045&gt;=Controls!$B$39*AA1045),1,0)</f>
        <v/>
      </c>
      <c r="AD1045">
        <f>IF(AND(E1045&lt;&gt;"",E1045&gt;=Controls!$B$37,E1045&lt;=Controls!$B$38),1,0)</f>
        <v/>
      </c>
      <c r="AE1045">
        <f>IF(IFERROR(VLOOKUP(D1045,Controls!$A$64:$E$74,2,FALSE),"No")="Yes",1,0)</f>
        <v/>
      </c>
      <c r="AF1045">
        <f>IF(IFERROR(VLOOKUP(D1045,Controls!$A$64:$E$74,3,FALSE),"No")="Yes",1,0)</f>
        <v/>
      </c>
      <c r="AG1045">
        <f>IF(IFERROR(VLOOKUP(D1045,Controls!$A$64:$E$74,4,FALSE),"No")="Yes",1,0)</f>
        <v/>
      </c>
      <c r="AH1045">
        <f>IF(IFERROR(VLOOKUP(D1045,Controls!$A$64:$E$74,5,FALSE),"No")="Yes",1,0)</f>
        <v/>
      </c>
      <c r="AI1045">
        <f>IF(ISNUMBER(MATCH(D1045,Controls!$A$64:$A$74,0)),1,0)</f>
        <v/>
      </c>
      <c r="AJ1045">
        <f>Q1045-N1045</f>
        <v/>
      </c>
      <c r="AK1045">
        <f>IF(AE1045=1,MAX(0,N1045-Q1045),0)</f>
        <v/>
      </c>
      <c r="AL1045">
        <f>IF(OR(V1045="",V1045=0),0,N1045/V1045)</f>
        <v/>
      </c>
      <c r="AM1045">
        <f>IF(OR(V1045="",V1045=0),0,1)</f>
        <v/>
      </c>
      <c r="AN1045">
        <f>IF(OR(E1045="",F1045=""),0,NETWORKDAYS(E1045,F1045,Ref!$K$2:$K$42))</f>
        <v/>
      </c>
      <c r="AO1045">
        <f>IF(L1045="Renewal",1,0)</f>
        <v/>
      </c>
      <c r="AP1045">
        <f>AC1045*AD1045</f>
        <v/>
      </c>
      <c r="AQ1045">
        <f>IF(AND(G1045&lt;&gt;"",'Historical Score'!$C$6&lt;&gt;""),IF(G1045='Historical Score'!$C$6,1,0),0)</f>
        <v/>
      </c>
      <c r="AR1045">
        <f>IF(AND(L1045&lt;&gt;"",'Historical Score'!$C$5&lt;&gt;""),IF(L1045='Historical Score'!$C$5,1,0),0)</f>
        <v/>
      </c>
      <c r="AS1045">
        <f>IF(AND(Y1045&lt;&gt;"",'Historical Score'!$C$7&lt;&gt;""),IF(Y1045='Historical Score'!$C$7,1,0),0)</f>
        <v/>
      </c>
      <c r="AT1045">
        <f>IF(AND(K1045&lt;&gt;"",'Historical Score'!$C$8&lt;&gt;""),IF(K1045='Historical Score'!$C$8,1,0),0)</f>
        <v/>
      </c>
      <c r="AU1045">
        <f>IF(AND(J1045&lt;&gt;"",'Historical Score'!$C$9&lt;&gt;""),IF(J1045='Historical Score'!$C$9,1,0),0)</f>
        <v/>
      </c>
      <c r="AV1045">
        <f>AR1045*AS1045*AQ1045</f>
        <v/>
      </c>
      <c r="AW1045">
        <f>AR1045*AT1045*AQ1045</f>
        <v/>
      </c>
      <c r="AX1045">
        <f>AR1045*AS1045</f>
        <v/>
      </c>
      <c r="AY1045">
        <f>AR1045*AT1045</f>
        <v/>
      </c>
      <c r="AZ1045">
        <f>AR1045*AQ1045</f>
        <v/>
      </c>
      <c r="BA1045">
        <f>AR1045</f>
        <v/>
      </c>
      <c r="BB1045">
        <f>1</f>
        <v/>
      </c>
      <c r="BC1045">
        <f>IF(AV1045=1,1,IF(AW1045=1,2,IF(AX1045=1,3,IF(AY1045=1,4,IF(AZ1045=1,5,IF(BA1045=1,6,7))))))</f>
        <v/>
      </c>
      <c r="BD1045">
        <f>IF(AD1045=1,CHOOSE('Historical Score'!$C$29,AV1045,AW1045,AX1045,AY1045,AZ1045,BA1045,BB1045),0)</f>
        <v/>
      </c>
      <c r="BE1045">
        <f>IF(BD1045=1,COUNTIF($BD$2:BD1045,1),"")</f>
        <v/>
      </c>
    </row>
    <row r="1046">
      <c r="A1046" t="inlineStr">
        <is>
          <t>5674187997</t>
        </is>
      </c>
      <c r="B1046" t="inlineStr">
        <is>
          <t>LEGACY BARN DOORS INC.</t>
        </is>
      </c>
      <c r="C1046" t="inlineStr">
        <is>
          <t>LEGACY BARN DOORS INC.</t>
        </is>
      </c>
      <c r="D1046" t="inlineStr">
        <is>
          <t>Open</t>
        </is>
      </c>
      <c r="E1046" s="297" t="n">
        <v>46230</v>
      </c>
      <c r="F1046" s="297" t="n">
        <v>46248</v>
      </c>
      <c r="G1046" t="n">
        <v>3</v>
      </c>
      <c r="H1046" t="inlineStr">
        <is>
          <t>6221</t>
        </is>
      </c>
      <c r="I1046" t="inlineStr">
        <is>
          <t>62</t>
        </is>
      </c>
      <c r="J1046" t="inlineStr">
        <is>
          <t>TX</t>
        </is>
      </c>
      <c r="K1046" t="inlineStr">
        <is>
          <t>United Secured Capital 8</t>
        </is>
      </c>
      <c r="L1046" t="inlineStr">
        <is>
          <t>Renewal</t>
        </is>
      </c>
      <c r="M1046" s="298" t="n">
        <v>1.49</v>
      </c>
      <c r="N1046" s="299" t="n">
        <v>40000</v>
      </c>
      <c r="O1046" s="299" t="n">
        <v>5600</v>
      </c>
      <c r="P1046" s="299" t="n">
        <v>59600</v>
      </c>
      <c r="Q1046" s="299" t="n">
        <v>3974.34</v>
      </c>
      <c r="R1046" s="299" t="n">
        <v>55625.66</v>
      </c>
      <c r="S1046" s="300" t="n">
        <v>0.0666835570469799</v>
      </c>
      <c r="T1046" t="n">
        <v>30</v>
      </c>
      <c r="U1046" t="n">
        <v>0</v>
      </c>
      <c r="V1046" t="n">
        <v>45291.67</v>
      </c>
      <c r="W1046" s="300" t="n">
        <v>0.1755</v>
      </c>
      <c r="X1046" s="297" t="n">
        <v>44427</v>
      </c>
      <c r="Y1046">
        <f>IF(I1046="","No SIC",IFERROR(VLOOKUP(I1046,Ref!$A$2:$B$65,2,FALSE),"Unclassified"))</f>
        <v/>
      </c>
      <c r="Z1046">
        <f>IF(T1046="","",IF(T1046&lt;12,"Daily","Weekly"))</f>
        <v/>
      </c>
      <c r="AA1046">
        <f>IF(T1046="",0,IF(T1046&lt;12,T1046*Controls!$B$29,T1046*5))</f>
        <v/>
      </c>
      <c r="AB1046">
        <f>IF(E1046="",0,NETWORKDAYS(E1046,Controls!$B$36,Ref!$K$2:$K$42))</f>
        <v/>
      </c>
      <c r="AC1046">
        <f>IF(AND(AA1046&gt;0,AB1046&gt;=Controls!$B$39*AA1046),1,0)</f>
        <v/>
      </c>
      <c r="AD1046">
        <f>IF(AND(E1046&lt;&gt;"",E1046&gt;=Controls!$B$37,E1046&lt;=Controls!$B$38),1,0)</f>
        <v/>
      </c>
      <c r="AE1046">
        <f>IF(IFERROR(VLOOKUP(D1046,Controls!$A$64:$E$74,2,FALSE),"No")="Yes",1,0)</f>
        <v/>
      </c>
      <c r="AF1046">
        <f>IF(IFERROR(VLOOKUP(D1046,Controls!$A$64:$E$74,3,FALSE),"No")="Yes",1,0)</f>
        <v/>
      </c>
      <c r="AG1046">
        <f>IF(IFERROR(VLOOKUP(D1046,Controls!$A$64:$E$74,4,FALSE),"No")="Yes",1,0)</f>
        <v/>
      </c>
      <c r="AH1046">
        <f>IF(IFERROR(VLOOKUP(D1046,Controls!$A$64:$E$74,5,FALSE),"No")="Yes",1,0)</f>
        <v/>
      </c>
      <c r="AI1046">
        <f>IF(ISNUMBER(MATCH(D1046,Controls!$A$64:$A$74,0)),1,0)</f>
        <v/>
      </c>
      <c r="AJ1046">
        <f>Q1046-N1046</f>
        <v/>
      </c>
      <c r="AK1046">
        <f>IF(AE1046=1,MAX(0,N1046-Q1046),0)</f>
        <v/>
      </c>
      <c r="AL1046">
        <f>IF(OR(V1046="",V1046=0),0,N1046/V1046)</f>
        <v/>
      </c>
      <c r="AM1046">
        <f>IF(OR(V1046="",V1046=0),0,1)</f>
        <v/>
      </c>
      <c r="AN1046">
        <f>IF(OR(E1046="",F1046=""),0,NETWORKDAYS(E1046,F1046,Ref!$K$2:$K$42))</f>
        <v/>
      </c>
      <c r="AO1046">
        <f>IF(L1046="Renewal",1,0)</f>
        <v/>
      </c>
      <c r="AP1046">
        <f>AC1046*AD1046</f>
        <v/>
      </c>
      <c r="AQ1046">
        <f>IF(AND(G1046&lt;&gt;"",'Historical Score'!$C$6&lt;&gt;""),IF(G1046='Historical Score'!$C$6,1,0),0)</f>
        <v/>
      </c>
      <c r="AR1046">
        <f>IF(AND(L1046&lt;&gt;"",'Historical Score'!$C$5&lt;&gt;""),IF(L1046='Historical Score'!$C$5,1,0),0)</f>
        <v/>
      </c>
      <c r="AS1046">
        <f>IF(AND(Y1046&lt;&gt;"",'Historical Score'!$C$7&lt;&gt;""),IF(Y1046='Historical Score'!$C$7,1,0),0)</f>
        <v/>
      </c>
      <c r="AT1046">
        <f>IF(AND(K1046&lt;&gt;"",'Historical Score'!$C$8&lt;&gt;""),IF(K1046='Historical Score'!$C$8,1,0),0)</f>
        <v/>
      </c>
      <c r="AU1046">
        <f>IF(AND(J1046&lt;&gt;"",'Historical Score'!$C$9&lt;&gt;""),IF(J1046='Historical Score'!$C$9,1,0),0)</f>
        <v/>
      </c>
      <c r="AV1046">
        <f>AR1046*AS1046*AQ1046</f>
        <v/>
      </c>
      <c r="AW1046">
        <f>AR1046*AT1046*AQ1046</f>
        <v/>
      </c>
      <c r="AX1046">
        <f>AR1046*AS1046</f>
        <v/>
      </c>
      <c r="AY1046">
        <f>AR1046*AT1046</f>
        <v/>
      </c>
      <c r="AZ1046">
        <f>AR1046*AQ1046</f>
        <v/>
      </c>
      <c r="BA1046">
        <f>AR1046</f>
        <v/>
      </c>
      <c r="BB1046">
        <f>1</f>
        <v/>
      </c>
      <c r="BC1046">
        <f>IF(AV1046=1,1,IF(AW1046=1,2,IF(AX1046=1,3,IF(AY1046=1,4,IF(AZ1046=1,5,IF(BA1046=1,6,7))))))</f>
        <v/>
      </c>
      <c r="BD1046">
        <f>IF(AD1046=1,CHOOSE('Historical Score'!$C$29,AV1046,AW1046,AX1046,AY1046,AZ1046,BA1046,BB1046),0)</f>
        <v/>
      </c>
      <c r="BE1046">
        <f>IF(BD1046=1,COUNTIF($BD$2:BD1046,1),"")</f>
        <v/>
      </c>
    </row>
    <row r="1047">
      <c r="A1047" t="inlineStr">
        <is>
          <t>5674188006</t>
        </is>
      </c>
      <c r="B1047" t="inlineStr">
        <is>
          <t>Scottsdale Supplies</t>
        </is>
      </c>
      <c r="C1047" t="inlineStr">
        <is>
          <t>Scottsdale Supplies</t>
        </is>
      </c>
      <c r="D1047" t="inlineStr">
        <is>
          <t>Open</t>
        </is>
      </c>
      <c r="E1047" s="297" t="n">
        <v>46230</v>
      </c>
      <c r="F1047" s="297" t="n">
        <v>46248</v>
      </c>
      <c r="G1047" t="n">
        <v>3</v>
      </c>
      <c r="H1047" t="inlineStr">
        <is>
          <t>5085</t>
        </is>
      </c>
      <c r="I1047" t="inlineStr">
        <is>
          <t>50</t>
        </is>
      </c>
      <c r="J1047" t="inlineStr">
        <is>
          <t>AZ</t>
        </is>
      </c>
      <c r="K1047" t="inlineStr">
        <is>
          <t>Credibly</t>
        </is>
      </c>
      <c r="L1047" t="inlineStr">
        <is>
          <t>New Deal</t>
        </is>
      </c>
      <c r="M1047" s="298" t="n">
        <v>1.447</v>
      </c>
      <c r="N1047" s="299" t="n">
        <v>35000</v>
      </c>
      <c r="O1047" s="299" t="n">
        <v>4025</v>
      </c>
      <c r="P1047" s="299" t="n">
        <v>50645</v>
      </c>
      <c r="Q1047" s="299" t="n">
        <v>5065.17</v>
      </c>
      <c r="R1047" s="299" t="n">
        <v>45579.83</v>
      </c>
      <c r="S1047" s="300" t="n">
        <v>0.100013229341495</v>
      </c>
      <c r="T1047" t="n">
        <v>30</v>
      </c>
      <c r="U1047" t="n">
        <v>1</v>
      </c>
      <c r="V1047" t="n">
        <v>105211.24</v>
      </c>
      <c r="W1047" s="300" t="n">
        <v>0.06419999999999999</v>
      </c>
      <c r="X1047" s="297" t="n">
        <v>45100</v>
      </c>
      <c r="Y1047">
        <f>IF(I1047="","No SIC",IFERROR(VLOOKUP(I1047,Ref!$A$2:$B$65,2,FALSE),"Unclassified"))</f>
        <v/>
      </c>
      <c r="Z1047">
        <f>IF(T1047="","",IF(T1047&lt;12,"Daily","Weekly"))</f>
        <v/>
      </c>
      <c r="AA1047">
        <f>IF(T1047="",0,IF(T1047&lt;12,T1047*Controls!$B$29,T1047*5))</f>
        <v/>
      </c>
      <c r="AB1047">
        <f>IF(E1047="",0,NETWORKDAYS(E1047,Controls!$B$36,Ref!$K$2:$K$42))</f>
        <v/>
      </c>
      <c r="AC1047">
        <f>IF(AND(AA1047&gt;0,AB1047&gt;=Controls!$B$39*AA1047),1,0)</f>
        <v/>
      </c>
      <c r="AD1047">
        <f>IF(AND(E1047&lt;&gt;"",E1047&gt;=Controls!$B$37,E1047&lt;=Controls!$B$38),1,0)</f>
        <v/>
      </c>
      <c r="AE1047">
        <f>IF(IFERROR(VLOOKUP(D1047,Controls!$A$64:$E$74,2,FALSE),"No")="Yes",1,0)</f>
        <v/>
      </c>
      <c r="AF1047">
        <f>IF(IFERROR(VLOOKUP(D1047,Controls!$A$64:$E$74,3,FALSE),"No")="Yes",1,0)</f>
        <v/>
      </c>
      <c r="AG1047">
        <f>IF(IFERROR(VLOOKUP(D1047,Controls!$A$64:$E$74,4,FALSE),"No")="Yes",1,0)</f>
        <v/>
      </c>
      <c r="AH1047">
        <f>IF(IFERROR(VLOOKUP(D1047,Controls!$A$64:$E$74,5,FALSE),"No")="Yes",1,0)</f>
        <v/>
      </c>
      <c r="AI1047">
        <f>IF(ISNUMBER(MATCH(D1047,Controls!$A$64:$A$74,0)),1,0)</f>
        <v/>
      </c>
      <c r="AJ1047">
        <f>Q1047-N1047</f>
        <v/>
      </c>
      <c r="AK1047">
        <f>IF(AE1047=1,MAX(0,N1047-Q1047),0)</f>
        <v/>
      </c>
      <c r="AL1047">
        <f>IF(OR(V1047="",V1047=0),0,N1047/V1047)</f>
        <v/>
      </c>
      <c r="AM1047">
        <f>IF(OR(V1047="",V1047=0),0,1)</f>
        <v/>
      </c>
      <c r="AN1047">
        <f>IF(OR(E1047="",F1047=""),0,NETWORKDAYS(E1047,F1047,Ref!$K$2:$K$42))</f>
        <v/>
      </c>
      <c r="AO1047">
        <f>IF(L1047="Renewal",1,0)</f>
        <v/>
      </c>
      <c r="AP1047">
        <f>AC1047*AD1047</f>
        <v/>
      </c>
      <c r="AQ1047">
        <f>IF(AND(G1047&lt;&gt;"",'Historical Score'!$C$6&lt;&gt;""),IF(G1047='Historical Score'!$C$6,1,0),0)</f>
        <v/>
      </c>
      <c r="AR1047">
        <f>IF(AND(L1047&lt;&gt;"",'Historical Score'!$C$5&lt;&gt;""),IF(L1047='Historical Score'!$C$5,1,0),0)</f>
        <v/>
      </c>
      <c r="AS1047">
        <f>IF(AND(Y1047&lt;&gt;"",'Historical Score'!$C$7&lt;&gt;""),IF(Y1047='Historical Score'!$C$7,1,0),0)</f>
        <v/>
      </c>
      <c r="AT1047">
        <f>IF(AND(K1047&lt;&gt;"",'Historical Score'!$C$8&lt;&gt;""),IF(K1047='Historical Score'!$C$8,1,0),0)</f>
        <v/>
      </c>
      <c r="AU1047">
        <f>IF(AND(J1047&lt;&gt;"",'Historical Score'!$C$9&lt;&gt;""),IF(J1047='Historical Score'!$C$9,1,0),0)</f>
        <v/>
      </c>
      <c r="AV1047">
        <f>AR1047*AS1047*AQ1047</f>
        <v/>
      </c>
      <c r="AW1047">
        <f>AR1047*AT1047*AQ1047</f>
        <v/>
      </c>
      <c r="AX1047">
        <f>AR1047*AS1047</f>
        <v/>
      </c>
      <c r="AY1047">
        <f>AR1047*AT1047</f>
        <v/>
      </c>
      <c r="AZ1047">
        <f>AR1047*AQ1047</f>
        <v/>
      </c>
      <c r="BA1047">
        <f>AR1047</f>
        <v/>
      </c>
      <c r="BB1047">
        <f>1</f>
        <v/>
      </c>
      <c r="BC1047">
        <f>IF(AV1047=1,1,IF(AW1047=1,2,IF(AX1047=1,3,IF(AY1047=1,4,IF(AZ1047=1,5,IF(BA1047=1,6,7))))))</f>
        <v/>
      </c>
      <c r="BD1047">
        <f>IF(AD1047=1,CHOOSE('Historical Score'!$C$29,AV1047,AW1047,AX1047,AY1047,AZ1047,BA1047,BB1047),0)</f>
        <v/>
      </c>
      <c r="BE1047">
        <f>IF(BD1047=1,COUNTIF($BD$2:BD1047,1),"")</f>
        <v/>
      </c>
    </row>
    <row r="1048">
      <c r="A1048" t="inlineStr">
        <is>
          <t>5674188015</t>
        </is>
      </c>
      <c r="B1048" t="inlineStr">
        <is>
          <t>JACK N MARK TRADING</t>
        </is>
      </c>
      <c r="C1048" t="inlineStr">
        <is>
          <t>JACK N MARK TRADING</t>
        </is>
      </c>
      <c r="D1048" t="inlineStr">
        <is>
          <t>Open</t>
        </is>
      </c>
      <c r="E1048" s="297" t="n">
        <v>46230</v>
      </c>
      <c r="F1048" s="297" t="n">
        <v>46248</v>
      </c>
      <c r="G1048" t="n">
        <v>3</v>
      </c>
      <c r="H1048" t="inlineStr">
        <is>
          <t>5399</t>
        </is>
      </c>
      <c r="I1048" t="inlineStr">
        <is>
          <t>53</t>
        </is>
      </c>
      <c r="J1048" t="inlineStr">
        <is>
          <t>CA</t>
        </is>
      </c>
      <c r="K1048" t="inlineStr">
        <is>
          <t>United Secured Capital 8</t>
        </is>
      </c>
      <c r="L1048" t="inlineStr">
        <is>
          <t>Renewal</t>
        </is>
      </c>
      <c r="M1048" s="298" t="n">
        <v>1.49</v>
      </c>
      <c r="N1048" s="299" t="n">
        <v>45000</v>
      </c>
      <c r="O1048" s="299" t="n">
        <v>6300</v>
      </c>
      <c r="P1048" s="299" t="n">
        <v>67050</v>
      </c>
      <c r="Q1048" s="299" t="n">
        <v>7179.87</v>
      </c>
      <c r="R1048" s="299" t="n">
        <v>59870.13</v>
      </c>
      <c r="S1048" s="300" t="n">
        <v>0.107082326621924</v>
      </c>
      <c r="T1048" t="n">
        <v>28</v>
      </c>
      <c r="U1048" t="n">
        <v>0</v>
      </c>
      <c r="V1048" t="n">
        <v>296382.23</v>
      </c>
      <c r="W1048" s="300" t="n">
        <v>0.0323</v>
      </c>
      <c r="X1048" s="297" t="n">
        <v>45547</v>
      </c>
      <c r="Y1048">
        <f>IF(I1048="","No SIC",IFERROR(VLOOKUP(I1048,Ref!$A$2:$B$65,2,FALSE),"Unclassified"))</f>
        <v/>
      </c>
      <c r="Z1048">
        <f>IF(T1048="","",IF(T1048&lt;12,"Daily","Weekly"))</f>
        <v/>
      </c>
      <c r="AA1048">
        <f>IF(T1048="",0,IF(T1048&lt;12,T1048*Controls!$B$29,T1048*5))</f>
        <v/>
      </c>
      <c r="AB1048">
        <f>IF(E1048="",0,NETWORKDAYS(E1048,Controls!$B$36,Ref!$K$2:$K$42))</f>
        <v/>
      </c>
      <c r="AC1048">
        <f>IF(AND(AA1048&gt;0,AB1048&gt;=Controls!$B$39*AA1048),1,0)</f>
        <v/>
      </c>
      <c r="AD1048">
        <f>IF(AND(E1048&lt;&gt;"",E1048&gt;=Controls!$B$37,E1048&lt;=Controls!$B$38),1,0)</f>
        <v/>
      </c>
      <c r="AE1048">
        <f>IF(IFERROR(VLOOKUP(D1048,Controls!$A$64:$E$74,2,FALSE),"No")="Yes",1,0)</f>
        <v/>
      </c>
      <c r="AF1048">
        <f>IF(IFERROR(VLOOKUP(D1048,Controls!$A$64:$E$74,3,FALSE),"No")="Yes",1,0)</f>
        <v/>
      </c>
      <c r="AG1048">
        <f>IF(IFERROR(VLOOKUP(D1048,Controls!$A$64:$E$74,4,FALSE),"No")="Yes",1,0)</f>
        <v/>
      </c>
      <c r="AH1048">
        <f>IF(IFERROR(VLOOKUP(D1048,Controls!$A$64:$E$74,5,FALSE),"No")="Yes",1,0)</f>
        <v/>
      </c>
      <c r="AI1048">
        <f>IF(ISNUMBER(MATCH(D1048,Controls!$A$64:$A$74,0)),1,0)</f>
        <v/>
      </c>
      <c r="AJ1048">
        <f>Q1048-N1048</f>
        <v/>
      </c>
      <c r="AK1048">
        <f>IF(AE1048=1,MAX(0,N1048-Q1048),0)</f>
        <v/>
      </c>
      <c r="AL1048">
        <f>IF(OR(V1048="",V1048=0),0,N1048/V1048)</f>
        <v/>
      </c>
      <c r="AM1048">
        <f>IF(OR(V1048="",V1048=0),0,1)</f>
        <v/>
      </c>
      <c r="AN1048">
        <f>IF(OR(E1048="",F1048=""),0,NETWORKDAYS(E1048,F1048,Ref!$K$2:$K$42))</f>
        <v/>
      </c>
      <c r="AO1048">
        <f>IF(L1048="Renewal",1,0)</f>
        <v/>
      </c>
      <c r="AP1048">
        <f>AC1048*AD1048</f>
        <v/>
      </c>
      <c r="AQ1048">
        <f>IF(AND(G1048&lt;&gt;"",'Historical Score'!$C$6&lt;&gt;""),IF(G1048='Historical Score'!$C$6,1,0),0)</f>
        <v/>
      </c>
      <c r="AR1048">
        <f>IF(AND(L1048&lt;&gt;"",'Historical Score'!$C$5&lt;&gt;""),IF(L1048='Historical Score'!$C$5,1,0),0)</f>
        <v/>
      </c>
      <c r="AS1048">
        <f>IF(AND(Y1048&lt;&gt;"",'Historical Score'!$C$7&lt;&gt;""),IF(Y1048='Historical Score'!$C$7,1,0),0)</f>
        <v/>
      </c>
      <c r="AT1048">
        <f>IF(AND(K1048&lt;&gt;"",'Historical Score'!$C$8&lt;&gt;""),IF(K1048='Historical Score'!$C$8,1,0),0)</f>
        <v/>
      </c>
      <c r="AU1048">
        <f>IF(AND(J1048&lt;&gt;"",'Historical Score'!$C$9&lt;&gt;""),IF(J1048='Historical Score'!$C$9,1,0),0)</f>
        <v/>
      </c>
      <c r="AV1048">
        <f>AR1048*AS1048*AQ1048</f>
        <v/>
      </c>
      <c r="AW1048">
        <f>AR1048*AT1048*AQ1048</f>
        <v/>
      </c>
      <c r="AX1048">
        <f>AR1048*AS1048</f>
        <v/>
      </c>
      <c r="AY1048">
        <f>AR1048*AT1048</f>
        <v/>
      </c>
      <c r="AZ1048">
        <f>AR1048*AQ1048</f>
        <v/>
      </c>
      <c r="BA1048">
        <f>AR1048</f>
        <v/>
      </c>
      <c r="BB1048">
        <f>1</f>
        <v/>
      </c>
      <c r="BC1048">
        <f>IF(AV1048=1,1,IF(AW1048=1,2,IF(AX1048=1,3,IF(AY1048=1,4,IF(AZ1048=1,5,IF(BA1048=1,6,7))))))</f>
        <v/>
      </c>
      <c r="BD1048">
        <f>IF(AD1048=1,CHOOSE('Historical Score'!$C$29,AV1048,AW1048,AX1048,AY1048,AZ1048,BA1048,BB1048),0)</f>
        <v/>
      </c>
      <c r="BE1048">
        <f>IF(BD1048=1,COUNTIF($BD$2:BD1048,1),"")</f>
        <v/>
      </c>
    </row>
    <row r="1049">
      <c r="A1049" t="inlineStr">
        <is>
          <t>5674188027</t>
        </is>
      </c>
      <c r="B1049" t="inlineStr">
        <is>
          <t>MT Repair Quick Solution Inc.</t>
        </is>
      </c>
      <c r="C1049" t="inlineStr">
        <is>
          <t>MT Repair Quick Solution Inc.</t>
        </is>
      </c>
      <c r="D1049" t="inlineStr">
        <is>
          <t>Open</t>
        </is>
      </c>
      <c r="E1049" s="297" t="n">
        <v>46230</v>
      </c>
      <c r="F1049" s="297" t="n">
        <v>46253</v>
      </c>
      <c r="G1049" t="n">
        <v>3</v>
      </c>
      <c r="H1049" t="inlineStr">
        <is>
          <t>7538</t>
        </is>
      </c>
      <c r="I1049" t="inlineStr">
        <is>
          <t>75</t>
        </is>
      </c>
      <c r="J1049" t="inlineStr">
        <is>
          <t>MA</t>
        </is>
      </c>
      <c r="K1049" t="inlineStr">
        <is>
          <t>Triumph Cap Fund</t>
        </is>
      </c>
      <c r="L1049" t="inlineStr">
        <is>
          <t>New Deal</t>
        </is>
      </c>
      <c r="M1049" s="298" t="n">
        <v>1.35</v>
      </c>
      <c r="N1049" s="299" t="n">
        <v>15000</v>
      </c>
      <c r="O1049" s="299" t="n">
        <v>1050</v>
      </c>
      <c r="P1049" s="299" t="n">
        <v>20250</v>
      </c>
      <c r="Q1049" s="299" t="n">
        <v>3332.98</v>
      </c>
      <c r="R1049" s="299" t="n">
        <v>16917.02</v>
      </c>
      <c r="S1049" s="300" t="n">
        <v>0.164591604938272</v>
      </c>
      <c r="T1049" t="n">
        <v>2.787</v>
      </c>
      <c r="U1049" t="n">
        <v>0</v>
      </c>
      <c r="V1049" t="n">
        <v>71218.75</v>
      </c>
      <c r="W1049" s="300" t="n">
        <v>0.0702</v>
      </c>
      <c r="X1049" s="297" t="n">
        <v>45036</v>
      </c>
      <c r="Y1049">
        <f>IF(I1049="","No SIC",IFERROR(VLOOKUP(I1049,Ref!$A$2:$B$65,2,FALSE),"Unclassified"))</f>
        <v/>
      </c>
      <c r="Z1049">
        <f>IF(T1049="","",IF(T1049&lt;12,"Daily","Weekly"))</f>
        <v/>
      </c>
      <c r="AA1049">
        <f>IF(T1049="",0,IF(T1049&lt;12,T1049*Controls!$B$29,T1049*5))</f>
        <v/>
      </c>
      <c r="AB1049">
        <f>IF(E1049="",0,NETWORKDAYS(E1049,Controls!$B$36,Ref!$K$2:$K$42))</f>
        <v/>
      </c>
      <c r="AC1049">
        <f>IF(AND(AA1049&gt;0,AB1049&gt;=Controls!$B$39*AA1049),1,0)</f>
        <v/>
      </c>
      <c r="AD1049">
        <f>IF(AND(E1049&lt;&gt;"",E1049&gt;=Controls!$B$37,E1049&lt;=Controls!$B$38),1,0)</f>
        <v/>
      </c>
      <c r="AE1049">
        <f>IF(IFERROR(VLOOKUP(D1049,Controls!$A$64:$E$74,2,FALSE),"No")="Yes",1,0)</f>
        <v/>
      </c>
      <c r="AF1049">
        <f>IF(IFERROR(VLOOKUP(D1049,Controls!$A$64:$E$74,3,FALSE),"No")="Yes",1,0)</f>
        <v/>
      </c>
      <c r="AG1049">
        <f>IF(IFERROR(VLOOKUP(D1049,Controls!$A$64:$E$74,4,FALSE),"No")="Yes",1,0)</f>
        <v/>
      </c>
      <c r="AH1049">
        <f>IF(IFERROR(VLOOKUP(D1049,Controls!$A$64:$E$74,5,FALSE),"No")="Yes",1,0)</f>
        <v/>
      </c>
      <c r="AI1049">
        <f>IF(ISNUMBER(MATCH(D1049,Controls!$A$64:$A$74,0)),1,0)</f>
        <v/>
      </c>
      <c r="AJ1049">
        <f>Q1049-N1049</f>
        <v/>
      </c>
      <c r="AK1049">
        <f>IF(AE1049=1,MAX(0,N1049-Q1049),0)</f>
        <v/>
      </c>
      <c r="AL1049">
        <f>IF(OR(V1049="",V1049=0),0,N1049/V1049)</f>
        <v/>
      </c>
      <c r="AM1049">
        <f>IF(OR(V1049="",V1049=0),0,1)</f>
        <v/>
      </c>
      <c r="AN1049">
        <f>IF(OR(E1049="",F1049=""),0,NETWORKDAYS(E1049,F1049,Ref!$K$2:$K$42))</f>
        <v/>
      </c>
      <c r="AO1049">
        <f>IF(L1049="Renewal",1,0)</f>
        <v/>
      </c>
      <c r="AP1049">
        <f>AC1049*AD1049</f>
        <v/>
      </c>
      <c r="AQ1049">
        <f>IF(AND(G1049&lt;&gt;"",'Historical Score'!$C$6&lt;&gt;""),IF(G1049='Historical Score'!$C$6,1,0),0)</f>
        <v/>
      </c>
      <c r="AR1049">
        <f>IF(AND(L1049&lt;&gt;"",'Historical Score'!$C$5&lt;&gt;""),IF(L1049='Historical Score'!$C$5,1,0),0)</f>
        <v/>
      </c>
      <c r="AS1049">
        <f>IF(AND(Y1049&lt;&gt;"",'Historical Score'!$C$7&lt;&gt;""),IF(Y1049='Historical Score'!$C$7,1,0),0)</f>
        <v/>
      </c>
      <c r="AT1049">
        <f>IF(AND(K1049&lt;&gt;"",'Historical Score'!$C$8&lt;&gt;""),IF(K1049='Historical Score'!$C$8,1,0),0)</f>
        <v/>
      </c>
      <c r="AU1049">
        <f>IF(AND(J1049&lt;&gt;"",'Historical Score'!$C$9&lt;&gt;""),IF(J1049='Historical Score'!$C$9,1,0),0)</f>
        <v/>
      </c>
      <c r="AV1049">
        <f>AR1049*AS1049*AQ1049</f>
        <v/>
      </c>
      <c r="AW1049">
        <f>AR1049*AT1049*AQ1049</f>
        <v/>
      </c>
      <c r="AX1049">
        <f>AR1049*AS1049</f>
        <v/>
      </c>
      <c r="AY1049">
        <f>AR1049*AT1049</f>
        <v/>
      </c>
      <c r="AZ1049">
        <f>AR1049*AQ1049</f>
        <v/>
      </c>
      <c r="BA1049">
        <f>AR1049</f>
        <v/>
      </c>
      <c r="BB1049">
        <f>1</f>
        <v/>
      </c>
      <c r="BC1049">
        <f>IF(AV1049=1,1,IF(AW1049=1,2,IF(AX1049=1,3,IF(AY1049=1,4,IF(AZ1049=1,5,IF(BA1049=1,6,7))))))</f>
        <v/>
      </c>
      <c r="BD1049">
        <f>IF(AD1049=1,CHOOSE('Historical Score'!$C$29,AV1049,AW1049,AX1049,AY1049,AZ1049,BA1049,BB1049),0)</f>
        <v/>
      </c>
      <c r="BE1049">
        <f>IF(BD1049=1,COUNTIF($BD$2:BD1049,1),"")</f>
        <v/>
      </c>
    </row>
    <row r="1050">
      <c r="A1050" t="inlineStr">
        <is>
          <t>5674188054</t>
        </is>
      </c>
      <c r="B1050" t="inlineStr">
        <is>
          <t>Map and Map</t>
        </is>
      </c>
      <c r="C1050" t="inlineStr">
        <is>
          <t>Map and Map</t>
        </is>
      </c>
      <c r="D1050" t="inlineStr">
        <is>
          <t>Open</t>
        </is>
      </c>
      <c r="E1050" s="297" t="n">
        <v>46231</v>
      </c>
      <c r="F1050" s="297" t="n">
        <v>46248</v>
      </c>
      <c r="G1050" t="n">
        <v>3</v>
      </c>
      <c r="H1050" t="inlineStr">
        <is>
          <t>5399</t>
        </is>
      </c>
      <c r="I1050" t="inlineStr">
        <is>
          <t>53</t>
        </is>
      </c>
      <c r="J1050" t="inlineStr">
        <is>
          <t>TX</t>
        </is>
      </c>
      <c r="K1050" t="inlineStr">
        <is>
          <t>PMF</t>
        </is>
      </c>
      <c r="L1050" t="inlineStr">
        <is>
          <t>Renewal</t>
        </is>
      </c>
      <c r="M1050" s="298" t="n">
        <v>1.46</v>
      </c>
      <c r="N1050" s="299" t="n">
        <v>17000</v>
      </c>
      <c r="O1050" s="299" t="n">
        <v>2125</v>
      </c>
      <c r="P1050" s="299" t="n">
        <v>24820</v>
      </c>
      <c r="Q1050" s="299" t="n">
        <v>3723.63</v>
      </c>
      <c r="R1050" s="299" t="n">
        <v>21096.37</v>
      </c>
      <c r="S1050" s="300" t="n">
        <v>0.150025382755842</v>
      </c>
      <c r="T1050" t="n">
        <v>20</v>
      </c>
      <c r="U1050" t="n">
        <v>0</v>
      </c>
      <c r="V1050" t="n">
        <v>19491.45</v>
      </c>
      <c r="W1050" s="300" t="n">
        <v>0.2574</v>
      </c>
      <c r="X1050" s="297" t="n">
        <v>44356</v>
      </c>
      <c r="Y1050">
        <f>IF(I1050="","No SIC",IFERROR(VLOOKUP(I1050,Ref!$A$2:$B$65,2,FALSE),"Unclassified"))</f>
        <v/>
      </c>
      <c r="Z1050">
        <f>IF(T1050="","",IF(T1050&lt;12,"Daily","Weekly"))</f>
        <v/>
      </c>
      <c r="AA1050">
        <f>IF(T1050="",0,IF(T1050&lt;12,T1050*Controls!$B$29,T1050*5))</f>
        <v/>
      </c>
      <c r="AB1050">
        <f>IF(E1050="",0,NETWORKDAYS(E1050,Controls!$B$36,Ref!$K$2:$K$42))</f>
        <v/>
      </c>
      <c r="AC1050">
        <f>IF(AND(AA1050&gt;0,AB1050&gt;=Controls!$B$39*AA1050),1,0)</f>
        <v/>
      </c>
      <c r="AD1050">
        <f>IF(AND(E1050&lt;&gt;"",E1050&gt;=Controls!$B$37,E1050&lt;=Controls!$B$38),1,0)</f>
        <v/>
      </c>
      <c r="AE1050">
        <f>IF(IFERROR(VLOOKUP(D1050,Controls!$A$64:$E$74,2,FALSE),"No")="Yes",1,0)</f>
        <v/>
      </c>
      <c r="AF1050">
        <f>IF(IFERROR(VLOOKUP(D1050,Controls!$A$64:$E$74,3,FALSE),"No")="Yes",1,0)</f>
        <v/>
      </c>
      <c r="AG1050">
        <f>IF(IFERROR(VLOOKUP(D1050,Controls!$A$64:$E$74,4,FALSE),"No")="Yes",1,0)</f>
        <v/>
      </c>
      <c r="AH1050">
        <f>IF(IFERROR(VLOOKUP(D1050,Controls!$A$64:$E$74,5,FALSE),"No")="Yes",1,0)</f>
        <v/>
      </c>
      <c r="AI1050">
        <f>IF(ISNUMBER(MATCH(D1050,Controls!$A$64:$A$74,0)),1,0)</f>
        <v/>
      </c>
      <c r="AJ1050">
        <f>Q1050-N1050</f>
        <v/>
      </c>
      <c r="AK1050">
        <f>IF(AE1050=1,MAX(0,N1050-Q1050),0)</f>
        <v/>
      </c>
      <c r="AL1050">
        <f>IF(OR(V1050="",V1050=0),0,N1050/V1050)</f>
        <v/>
      </c>
      <c r="AM1050">
        <f>IF(OR(V1050="",V1050=0),0,1)</f>
        <v/>
      </c>
      <c r="AN1050">
        <f>IF(OR(E1050="",F1050=""),0,NETWORKDAYS(E1050,F1050,Ref!$K$2:$K$42))</f>
        <v/>
      </c>
      <c r="AO1050">
        <f>IF(L1050="Renewal",1,0)</f>
        <v/>
      </c>
      <c r="AP1050">
        <f>AC1050*AD1050</f>
        <v/>
      </c>
      <c r="AQ1050">
        <f>IF(AND(G1050&lt;&gt;"",'Historical Score'!$C$6&lt;&gt;""),IF(G1050='Historical Score'!$C$6,1,0),0)</f>
        <v/>
      </c>
      <c r="AR1050">
        <f>IF(AND(L1050&lt;&gt;"",'Historical Score'!$C$5&lt;&gt;""),IF(L1050='Historical Score'!$C$5,1,0),0)</f>
        <v/>
      </c>
      <c r="AS1050">
        <f>IF(AND(Y1050&lt;&gt;"",'Historical Score'!$C$7&lt;&gt;""),IF(Y1050='Historical Score'!$C$7,1,0),0)</f>
        <v/>
      </c>
      <c r="AT1050">
        <f>IF(AND(K1050&lt;&gt;"",'Historical Score'!$C$8&lt;&gt;""),IF(K1050='Historical Score'!$C$8,1,0),0)</f>
        <v/>
      </c>
      <c r="AU1050">
        <f>IF(AND(J1050&lt;&gt;"",'Historical Score'!$C$9&lt;&gt;""),IF(J1050='Historical Score'!$C$9,1,0),0)</f>
        <v/>
      </c>
      <c r="AV1050">
        <f>AR1050*AS1050*AQ1050</f>
        <v/>
      </c>
      <c r="AW1050">
        <f>AR1050*AT1050*AQ1050</f>
        <v/>
      </c>
      <c r="AX1050">
        <f>AR1050*AS1050</f>
        <v/>
      </c>
      <c r="AY1050">
        <f>AR1050*AT1050</f>
        <v/>
      </c>
      <c r="AZ1050">
        <f>AR1050*AQ1050</f>
        <v/>
      </c>
      <c r="BA1050">
        <f>AR1050</f>
        <v/>
      </c>
      <c r="BB1050">
        <f>1</f>
        <v/>
      </c>
      <c r="BC1050">
        <f>IF(AV1050=1,1,IF(AW1050=1,2,IF(AX1050=1,3,IF(AY1050=1,4,IF(AZ1050=1,5,IF(BA1050=1,6,7))))))</f>
        <v/>
      </c>
      <c r="BD1050">
        <f>IF(AD1050=1,CHOOSE('Historical Score'!$C$29,AV1050,AW1050,AX1050,AY1050,AZ1050,BA1050,BB1050),0)</f>
        <v/>
      </c>
      <c r="BE1050">
        <f>IF(BD1050=1,COUNTIF($BD$2:BD1050,1),"")</f>
        <v/>
      </c>
    </row>
    <row r="1051">
      <c r="A1051" t="inlineStr">
        <is>
          <t>5674188066</t>
        </is>
      </c>
      <c r="B1051" t="inlineStr">
        <is>
          <t>KNIGHT MAINTENANCE LLC</t>
        </is>
      </c>
      <c r="C1051" t="inlineStr">
        <is>
          <t>KNIGHT MAINTENANCE LLC</t>
        </is>
      </c>
      <c r="D1051" t="inlineStr">
        <is>
          <t>Open</t>
        </is>
      </c>
      <c r="E1051" s="297" t="n">
        <v>46231</v>
      </c>
      <c r="F1051" s="297" t="n">
        <v>46253</v>
      </c>
      <c r="G1051" t="n">
        <v>3</v>
      </c>
      <c r="H1051" t="inlineStr">
        <is>
          <t>7349</t>
        </is>
      </c>
      <c r="I1051" t="inlineStr">
        <is>
          <t>73</t>
        </is>
      </c>
      <c r="J1051" t="inlineStr">
        <is>
          <t>NJ</t>
        </is>
      </c>
      <c r="K1051" t="inlineStr">
        <is>
          <t>Triumph Cap Fund</t>
        </is>
      </c>
      <c r="L1051" t="inlineStr">
        <is>
          <t>Renewal</t>
        </is>
      </c>
      <c r="M1051" s="298" t="n">
        <v>1.49</v>
      </c>
      <c r="N1051" s="299" t="n">
        <v>35000</v>
      </c>
      <c r="O1051" s="299" t="n">
        <v>4900</v>
      </c>
      <c r="P1051" s="299" t="n">
        <v>52150</v>
      </c>
      <c r="Q1051" s="299" t="n">
        <v>6016.8</v>
      </c>
      <c r="R1051" s="299" t="n">
        <v>46133.2</v>
      </c>
      <c r="S1051" s="300" t="n">
        <v>0.115374880153404</v>
      </c>
      <c r="T1051" t="n">
        <v>4.262</v>
      </c>
      <c r="U1051" t="n">
        <v>1</v>
      </c>
      <c r="V1051" t="n">
        <v>56609.08</v>
      </c>
      <c r="W1051" s="300" t="n">
        <v>0.1488</v>
      </c>
      <c r="X1051" s="297" t="n">
        <v>42223</v>
      </c>
      <c r="Y1051">
        <f>IF(I1051="","No SIC",IFERROR(VLOOKUP(I1051,Ref!$A$2:$B$65,2,FALSE),"Unclassified"))</f>
        <v/>
      </c>
      <c r="Z1051">
        <f>IF(T1051="","",IF(T1051&lt;12,"Daily","Weekly"))</f>
        <v/>
      </c>
      <c r="AA1051">
        <f>IF(T1051="",0,IF(T1051&lt;12,T1051*Controls!$B$29,T1051*5))</f>
        <v/>
      </c>
      <c r="AB1051">
        <f>IF(E1051="",0,NETWORKDAYS(E1051,Controls!$B$36,Ref!$K$2:$K$42))</f>
        <v/>
      </c>
      <c r="AC1051">
        <f>IF(AND(AA1051&gt;0,AB1051&gt;=Controls!$B$39*AA1051),1,0)</f>
        <v/>
      </c>
      <c r="AD1051">
        <f>IF(AND(E1051&lt;&gt;"",E1051&gt;=Controls!$B$37,E1051&lt;=Controls!$B$38),1,0)</f>
        <v/>
      </c>
      <c r="AE1051">
        <f>IF(IFERROR(VLOOKUP(D1051,Controls!$A$64:$E$74,2,FALSE),"No")="Yes",1,0)</f>
        <v/>
      </c>
      <c r="AF1051">
        <f>IF(IFERROR(VLOOKUP(D1051,Controls!$A$64:$E$74,3,FALSE),"No")="Yes",1,0)</f>
        <v/>
      </c>
      <c r="AG1051">
        <f>IF(IFERROR(VLOOKUP(D1051,Controls!$A$64:$E$74,4,FALSE),"No")="Yes",1,0)</f>
        <v/>
      </c>
      <c r="AH1051">
        <f>IF(IFERROR(VLOOKUP(D1051,Controls!$A$64:$E$74,5,FALSE),"No")="Yes",1,0)</f>
        <v/>
      </c>
      <c r="AI1051">
        <f>IF(ISNUMBER(MATCH(D1051,Controls!$A$64:$A$74,0)),1,0)</f>
        <v/>
      </c>
      <c r="AJ1051">
        <f>Q1051-N1051</f>
        <v/>
      </c>
      <c r="AK1051">
        <f>IF(AE1051=1,MAX(0,N1051-Q1051),0)</f>
        <v/>
      </c>
      <c r="AL1051">
        <f>IF(OR(V1051="",V1051=0),0,N1051/V1051)</f>
        <v/>
      </c>
      <c r="AM1051">
        <f>IF(OR(V1051="",V1051=0),0,1)</f>
        <v/>
      </c>
      <c r="AN1051">
        <f>IF(OR(E1051="",F1051=""),0,NETWORKDAYS(E1051,F1051,Ref!$K$2:$K$42))</f>
        <v/>
      </c>
      <c r="AO1051">
        <f>IF(L1051="Renewal",1,0)</f>
        <v/>
      </c>
      <c r="AP1051">
        <f>AC1051*AD1051</f>
        <v/>
      </c>
      <c r="AQ1051">
        <f>IF(AND(G1051&lt;&gt;"",'Historical Score'!$C$6&lt;&gt;""),IF(G1051='Historical Score'!$C$6,1,0),0)</f>
        <v/>
      </c>
      <c r="AR1051">
        <f>IF(AND(L1051&lt;&gt;"",'Historical Score'!$C$5&lt;&gt;""),IF(L1051='Historical Score'!$C$5,1,0),0)</f>
        <v/>
      </c>
      <c r="AS1051">
        <f>IF(AND(Y1051&lt;&gt;"",'Historical Score'!$C$7&lt;&gt;""),IF(Y1051='Historical Score'!$C$7,1,0),0)</f>
        <v/>
      </c>
      <c r="AT1051">
        <f>IF(AND(K1051&lt;&gt;"",'Historical Score'!$C$8&lt;&gt;""),IF(K1051='Historical Score'!$C$8,1,0),0)</f>
        <v/>
      </c>
      <c r="AU1051">
        <f>IF(AND(J1051&lt;&gt;"",'Historical Score'!$C$9&lt;&gt;""),IF(J1051='Historical Score'!$C$9,1,0),0)</f>
        <v/>
      </c>
      <c r="AV1051">
        <f>AR1051*AS1051*AQ1051</f>
        <v/>
      </c>
      <c r="AW1051">
        <f>AR1051*AT1051*AQ1051</f>
        <v/>
      </c>
      <c r="AX1051">
        <f>AR1051*AS1051</f>
        <v/>
      </c>
      <c r="AY1051">
        <f>AR1051*AT1051</f>
        <v/>
      </c>
      <c r="AZ1051">
        <f>AR1051*AQ1051</f>
        <v/>
      </c>
      <c r="BA1051">
        <f>AR1051</f>
        <v/>
      </c>
      <c r="BB1051">
        <f>1</f>
        <v/>
      </c>
      <c r="BC1051">
        <f>IF(AV1051=1,1,IF(AW1051=1,2,IF(AX1051=1,3,IF(AY1051=1,4,IF(AZ1051=1,5,IF(BA1051=1,6,7))))))</f>
        <v/>
      </c>
      <c r="BD1051">
        <f>IF(AD1051=1,CHOOSE('Historical Score'!$C$29,AV1051,AW1051,AX1051,AY1051,AZ1051,BA1051,BB1051),0)</f>
        <v/>
      </c>
      <c r="BE1051">
        <f>IF(BD1051=1,COUNTIF($BD$2:BD1051,1),"")</f>
        <v/>
      </c>
    </row>
    <row r="1052">
      <c r="A1052" t="inlineStr">
        <is>
          <t>5674188067</t>
        </is>
      </c>
      <c r="B1052" t="inlineStr">
        <is>
          <t>RACING STABLES</t>
        </is>
      </c>
      <c r="C1052" t="inlineStr">
        <is>
          <t>JOHN ROACH</t>
        </is>
      </c>
      <c r="D1052" t="inlineStr">
        <is>
          <t>Open</t>
        </is>
      </c>
      <c r="E1052" s="297" t="n">
        <v>46231</v>
      </c>
      <c r="F1052" s="297" t="n">
        <v>46253</v>
      </c>
      <c r="G1052" t="n">
        <v>3</v>
      </c>
      <c r="H1052" t="inlineStr">
        <is>
          <t>7948</t>
        </is>
      </c>
      <c r="I1052" t="inlineStr">
        <is>
          <t>79</t>
        </is>
      </c>
      <c r="J1052" t="inlineStr">
        <is>
          <t>NC</t>
        </is>
      </c>
      <c r="K1052" t="inlineStr">
        <is>
          <t>Westwood</t>
        </is>
      </c>
      <c r="L1052" t="inlineStr">
        <is>
          <t>New Deal</t>
        </is>
      </c>
      <c r="M1052" s="298" t="n">
        <v>1.49</v>
      </c>
      <c r="N1052" s="299" t="n">
        <v>20000</v>
      </c>
      <c r="O1052" s="299" t="n">
        <v>2800</v>
      </c>
      <c r="P1052" s="299" t="n">
        <v>29800</v>
      </c>
      <c r="Q1052" s="299" t="n">
        <v>4635.54</v>
      </c>
      <c r="R1052" s="299" t="n">
        <v>25164.46</v>
      </c>
      <c r="S1052" s="300" t="n">
        <v>0.155555033557047</v>
      </c>
      <c r="T1052" t="n">
        <v>2.951</v>
      </c>
      <c r="U1052" t="n">
        <v>0</v>
      </c>
      <c r="V1052" t="n">
        <v>25516.76</v>
      </c>
      <c r="W1052" s="300" t="n">
        <v>0.2725</v>
      </c>
      <c r="X1052" s="297" t="n">
        <v>37147</v>
      </c>
      <c r="Y1052">
        <f>IF(I1052="","No SIC",IFERROR(VLOOKUP(I1052,Ref!$A$2:$B$65,2,FALSE),"Unclassified"))</f>
        <v/>
      </c>
      <c r="Z1052">
        <f>IF(T1052="","",IF(T1052&lt;12,"Daily","Weekly"))</f>
        <v/>
      </c>
      <c r="AA1052">
        <f>IF(T1052="",0,IF(T1052&lt;12,T1052*Controls!$B$29,T1052*5))</f>
        <v/>
      </c>
      <c r="AB1052">
        <f>IF(E1052="",0,NETWORKDAYS(E1052,Controls!$B$36,Ref!$K$2:$K$42))</f>
        <v/>
      </c>
      <c r="AC1052">
        <f>IF(AND(AA1052&gt;0,AB1052&gt;=Controls!$B$39*AA1052),1,0)</f>
        <v/>
      </c>
      <c r="AD1052">
        <f>IF(AND(E1052&lt;&gt;"",E1052&gt;=Controls!$B$37,E1052&lt;=Controls!$B$38),1,0)</f>
        <v/>
      </c>
      <c r="AE1052">
        <f>IF(IFERROR(VLOOKUP(D1052,Controls!$A$64:$E$74,2,FALSE),"No")="Yes",1,0)</f>
        <v/>
      </c>
      <c r="AF1052">
        <f>IF(IFERROR(VLOOKUP(D1052,Controls!$A$64:$E$74,3,FALSE),"No")="Yes",1,0)</f>
        <v/>
      </c>
      <c r="AG1052">
        <f>IF(IFERROR(VLOOKUP(D1052,Controls!$A$64:$E$74,4,FALSE),"No")="Yes",1,0)</f>
        <v/>
      </c>
      <c r="AH1052">
        <f>IF(IFERROR(VLOOKUP(D1052,Controls!$A$64:$E$74,5,FALSE),"No")="Yes",1,0)</f>
        <v/>
      </c>
      <c r="AI1052">
        <f>IF(ISNUMBER(MATCH(D1052,Controls!$A$64:$A$74,0)),1,0)</f>
        <v/>
      </c>
      <c r="AJ1052">
        <f>Q1052-N1052</f>
        <v/>
      </c>
      <c r="AK1052">
        <f>IF(AE1052=1,MAX(0,N1052-Q1052),0)</f>
        <v/>
      </c>
      <c r="AL1052">
        <f>IF(OR(V1052="",V1052=0),0,N1052/V1052)</f>
        <v/>
      </c>
      <c r="AM1052">
        <f>IF(OR(V1052="",V1052=0),0,1)</f>
        <v/>
      </c>
      <c r="AN1052">
        <f>IF(OR(E1052="",F1052=""),0,NETWORKDAYS(E1052,F1052,Ref!$K$2:$K$42))</f>
        <v/>
      </c>
      <c r="AO1052">
        <f>IF(L1052="Renewal",1,0)</f>
        <v/>
      </c>
      <c r="AP1052">
        <f>AC1052*AD1052</f>
        <v/>
      </c>
      <c r="AQ1052">
        <f>IF(AND(G1052&lt;&gt;"",'Historical Score'!$C$6&lt;&gt;""),IF(G1052='Historical Score'!$C$6,1,0),0)</f>
        <v/>
      </c>
      <c r="AR1052">
        <f>IF(AND(L1052&lt;&gt;"",'Historical Score'!$C$5&lt;&gt;""),IF(L1052='Historical Score'!$C$5,1,0),0)</f>
        <v/>
      </c>
      <c r="AS1052">
        <f>IF(AND(Y1052&lt;&gt;"",'Historical Score'!$C$7&lt;&gt;""),IF(Y1052='Historical Score'!$C$7,1,0),0)</f>
        <v/>
      </c>
      <c r="AT1052">
        <f>IF(AND(K1052&lt;&gt;"",'Historical Score'!$C$8&lt;&gt;""),IF(K1052='Historical Score'!$C$8,1,0),0)</f>
        <v/>
      </c>
      <c r="AU1052">
        <f>IF(AND(J1052&lt;&gt;"",'Historical Score'!$C$9&lt;&gt;""),IF(J1052='Historical Score'!$C$9,1,0),0)</f>
        <v/>
      </c>
      <c r="AV1052">
        <f>AR1052*AS1052*AQ1052</f>
        <v/>
      </c>
      <c r="AW1052">
        <f>AR1052*AT1052*AQ1052</f>
        <v/>
      </c>
      <c r="AX1052">
        <f>AR1052*AS1052</f>
        <v/>
      </c>
      <c r="AY1052">
        <f>AR1052*AT1052</f>
        <v/>
      </c>
      <c r="AZ1052">
        <f>AR1052*AQ1052</f>
        <v/>
      </c>
      <c r="BA1052">
        <f>AR1052</f>
        <v/>
      </c>
      <c r="BB1052">
        <f>1</f>
        <v/>
      </c>
      <c r="BC1052">
        <f>IF(AV1052=1,1,IF(AW1052=1,2,IF(AX1052=1,3,IF(AY1052=1,4,IF(AZ1052=1,5,IF(BA1052=1,6,7))))))</f>
        <v/>
      </c>
      <c r="BD1052">
        <f>IF(AD1052=1,CHOOSE('Historical Score'!$C$29,AV1052,AW1052,AX1052,AY1052,AZ1052,BA1052,BB1052),0)</f>
        <v/>
      </c>
      <c r="BE1052">
        <f>IF(BD1052=1,COUNTIF($BD$2:BD1052,1),"")</f>
        <v/>
      </c>
    </row>
    <row r="1053">
      <c r="A1053" t="inlineStr">
        <is>
          <t>5674188069</t>
        </is>
      </c>
      <c r="B1053" t="inlineStr">
        <is>
          <t>TRES JARDINES LLC</t>
        </is>
      </c>
      <c r="C1053" t="inlineStr">
        <is>
          <t>TRES JARDINES LLC</t>
        </is>
      </c>
      <c r="D1053" t="inlineStr">
        <is>
          <t>Open</t>
        </is>
      </c>
      <c r="E1053" s="297" t="n">
        <v>46231</v>
      </c>
      <c r="F1053" s="297" t="n">
        <v>46253</v>
      </c>
      <c r="G1053" t="n">
        <v>3</v>
      </c>
      <c r="H1053" t="inlineStr">
        <is>
          <t>5812</t>
        </is>
      </c>
      <c r="I1053" t="inlineStr">
        <is>
          <t>58</t>
        </is>
      </c>
      <c r="J1053" t="inlineStr">
        <is>
          <t>GA</t>
        </is>
      </c>
      <c r="K1053" t="inlineStr">
        <is>
          <t>secure way capital</t>
        </is>
      </c>
      <c r="L1053" t="inlineStr">
        <is>
          <t>Renewal</t>
        </is>
      </c>
      <c r="M1053" s="298" t="n">
        <v>1.49</v>
      </c>
      <c r="N1053" s="299" t="n">
        <v>20000</v>
      </c>
      <c r="O1053" s="299" t="n">
        <v>2800</v>
      </c>
      <c r="P1053" s="299" t="n">
        <v>29800</v>
      </c>
      <c r="Q1053" s="299" t="n">
        <v>4171.44</v>
      </c>
      <c r="R1053" s="299" t="n">
        <v>25628.56</v>
      </c>
      <c r="S1053" s="300" t="n">
        <v>0.139981208053691</v>
      </c>
      <c r="T1053" t="n">
        <v>3.279</v>
      </c>
      <c r="U1053" t="n">
        <v>0</v>
      </c>
      <c r="V1053" t="n">
        <v>32880.33</v>
      </c>
      <c r="W1053" s="300" t="n">
        <v>0.1903</v>
      </c>
      <c r="X1053" s="297" t="n">
        <v>44288</v>
      </c>
      <c r="Y1053">
        <f>IF(I1053="","No SIC",IFERROR(VLOOKUP(I1053,Ref!$A$2:$B$65,2,FALSE),"Unclassified"))</f>
        <v/>
      </c>
      <c r="Z1053">
        <f>IF(T1053="","",IF(T1053&lt;12,"Daily","Weekly"))</f>
        <v/>
      </c>
      <c r="AA1053">
        <f>IF(T1053="",0,IF(T1053&lt;12,T1053*Controls!$B$29,T1053*5))</f>
        <v/>
      </c>
      <c r="AB1053">
        <f>IF(E1053="",0,NETWORKDAYS(E1053,Controls!$B$36,Ref!$K$2:$K$42))</f>
        <v/>
      </c>
      <c r="AC1053">
        <f>IF(AND(AA1053&gt;0,AB1053&gt;=Controls!$B$39*AA1053),1,0)</f>
        <v/>
      </c>
      <c r="AD1053">
        <f>IF(AND(E1053&lt;&gt;"",E1053&gt;=Controls!$B$37,E1053&lt;=Controls!$B$38),1,0)</f>
        <v/>
      </c>
      <c r="AE1053">
        <f>IF(IFERROR(VLOOKUP(D1053,Controls!$A$64:$E$74,2,FALSE),"No")="Yes",1,0)</f>
        <v/>
      </c>
      <c r="AF1053">
        <f>IF(IFERROR(VLOOKUP(D1053,Controls!$A$64:$E$74,3,FALSE),"No")="Yes",1,0)</f>
        <v/>
      </c>
      <c r="AG1053">
        <f>IF(IFERROR(VLOOKUP(D1053,Controls!$A$64:$E$74,4,FALSE),"No")="Yes",1,0)</f>
        <v/>
      </c>
      <c r="AH1053">
        <f>IF(IFERROR(VLOOKUP(D1053,Controls!$A$64:$E$74,5,FALSE),"No")="Yes",1,0)</f>
        <v/>
      </c>
      <c r="AI1053">
        <f>IF(ISNUMBER(MATCH(D1053,Controls!$A$64:$A$74,0)),1,0)</f>
        <v/>
      </c>
      <c r="AJ1053">
        <f>Q1053-N1053</f>
        <v/>
      </c>
      <c r="AK1053">
        <f>IF(AE1053=1,MAX(0,N1053-Q1053),0)</f>
        <v/>
      </c>
      <c r="AL1053">
        <f>IF(OR(V1053="",V1053=0),0,N1053/V1053)</f>
        <v/>
      </c>
      <c r="AM1053">
        <f>IF(OR(V1053="",V1053=0),0,1)</f>
        <v/>
      </c>
      <c r="AN1053">
        <f>IF(OR(E1053="",F1053=""),0,NETWORKDAYS(E1053,F1053,Ref!$K$2:$K$42))</f>
        <v/>
      </c>
      <c r="AO1053">
        <f>IF(L1053="Renewal",1,0)</f>
        <v/>
      </c>
      <c r="AP1053">
        <f>AC1053*AD1053</f>
        <v/>
      </c>
      <c r="AQ1053">
        <f>IF(AND(G1053&lt;&gt;"",'Historical Score'!$C$6&lt;&gt;""),IF(G1053='Historical Score'!$C$6,1,0),0)</f>
        <v/>
      </c>
      <c r="AR1053">
        <f>IF(AND(L1053&lt;&gt;"",'Historical Score'!$C$5&lt;&gt;""),IF(L1053='Historical Score'!$C$5,1,0),0)</f>
        <v/>
      </c>
      <c r="AS1053">
        <f>IF(AND(Y1053&lt;&gt;"",'Historical Score'!$C$7&lt;&gt;""),IF(Y1053='Historical Score'!$C$7,1,0),0)</f>
        <v/>
      </c>
      <c r="AT1053">
        <f>IF(AND(K1053&lt;&gt;"",'Historical Score'!$C$8&lt;&gt;""),IF(K1053='Historical Score'!$C$8,1,0),0)</f>
        <v/>
      </c>
      <c r="AU1053">
        <f>IF(AND(J1053&lt;&gt;"",'Historical Score'!$C$9&lt;&gt;""),IF(J1053='Historical Score'!$C$9,1,0),0)</f>
        <v/>
      </c>
      <c r="AV1053">
        <f>AR1053*AS1053*AQ1053</f>
        <v/>
      </c>
      <c r="AW1053">
        <f>AR1053*AT1053*AQ1053</f>
        <v/>
      </c>
      <c r="AX1053">
        <f>AR1053*AS1053</f>
        <v/>
      </c>
      <c r="AY1053">
        <f>AR1053*AT1053</f>
        <v/>
      </c>
      <c r="AZ1053">
        <f>AR1053*AQ1053</f>
        <v/>
      </c>
      <c r="BA1053">
        <f>AR1053</f>
        <v/>
      </c>
      <c r="BB1053">
        <f>1</f>
        <v/>
      </c>
      <c r="BC1053">
        <f>IF(AV1053=1,1,IF(AW1053=1,2,IF(AX1053=1,3,IF(AY1053=1,4,IF(AZ1053=1,5,IF(BA1053=1,6,7))))))</f>
        <v/>
      </c>
      <c r="BD1053">
        <f>IF(AD1053=1,CHOOSE('Historical Score'!$C$29,AV1053,AW1053,AX1053,AY1053,AZ1053,BA1053,BB1053),0)</f>
        <v/>
      </c>
      <c r="BE1053">
        <f>IF(BD1053=1,COUNTIF($BD$2:BD1053,1),"")</f>
        <v/>
      </c>
    </row>
    <row r="1054">
      <c r="A1054" t="inlineStr">
        <is>
          <t>5674188104</t>
        </is>
      </c>
      <c r="B1054" t="inlineStr">
        <is>
          <t>AS ONE TRANSPORTATION</t>
        </is>
      </c>
      <c r="C1054" t="inlineStr">
        <is>
          <t>AS ONE TRANSPORTATION</t>
        </is>
      </c>
      <c r="D1054" t="inlineStr">
        <is>
          <t>Open</t>
        </is>
      </c>
      <c r="E1054" s="297" t="n">
        <v>46231</v>
      </c>
      <c r="F1054" s="297" t="n">
        <v>46248</v>
      </c>
      <c r="G1054" t="n">
        <v>3</v>
      </c>
      <c r="H1054" t="inlineStr">
        <is>
          <t>4212</t>
        </is>
      </c>
      <c r="I1054" t="inlineStr">
        <is>
          <t>42</t>
        </is>
      </c>
      <c r="J1054" t="inlineStr">
        <is>
          <t>MO</t>
        </is>
      </c>
      <c r="K1054" t="inlineStr">
        <is>
          <t>Westwood</t>
        </is>
      </c>
      <c r="L1054" t="inlineStr">
        <is>
          <t>Renewal</t>
        </is>
      </c>
      <c r="M1054" s="298" t="n">
        <v>1.4</v>
      </c>
      <c r="N1054" s="299" t="n">
        <v>35000</v>
      </c>
      <c r="O1054" s="299" t="n">
        <v>3325</v>
      </c>
      <c r="P1054" s="299" t="n">
        <v>49000</v>
      </c>
      <c r="Q1054" s="299" t="n">
        <v>5253.21</v>
      </c>
      <c r="R1054" s="299" t="n">
        <v>43746.79</v>
      </c>
      <c r="S1054" s="300" t="n">
        <v>0.107208367346939</v>
      </c>
      <c r="T1054" t="n">
        <v>28</v>
      </c>
      <c r="U1054" t="n">
        <v>0</v>
      </c>
      <c r="V1054" t="n">
        <v>99070.63</v>
      </c>
      <c r="W1054" s="300" t="n">
        <v>0.0707</v>
      </c>
      <c r="X1054" s="297" t="n">
        <v>44047</v>
      </c>
      <c r="Y1054">
        <f>IF(I1054="","No SIC",IFERROR(VLOOKUP(I1054,Ref!$A$2:$B$65,2,FALSE),"Unclassified"))</f>
        <v/>
      </c>
      <c r="Z1054">
        <f>IF(T1054="","",IF(T1054&lt;12,"Daily","Weekly"))</f>
        <v/>
      </c>
      <c r="AA1054">
        <f>IF(T1054="",0,IF(T1054&lt;12,T1054*Controls!$B$29,T1054*5))</f>
        <v/>
      </c>
      <c r="AB1054">
        <f>IF(E1054="",0,NETWORKDAYS(E1054,Controls!$B$36,Ref!$K$2:$K$42))</f>
        <v/>
      </c>
      <c r="AC1054">
        <f>IF(AND(AA1054&gt;0,AB1054&gt;=Controls!$B$39*AA1054),1,0)</f>
        <v/>
      </c>
      <c r="AD1054">
        <f>IF(AND(E1054&lt;&gt;"",E1054&gt;=Controls!$B$37,E1054&lt;=Controls!$B$38),1,0)</f>
        <v/>
      </c>
      <c r="AE1054">
        <f>IF(IFERROR(VLOOKUP(D1054,Controls!$A$64:$E$74,2,FALSE),"No")="Yes",1,0)</f>
        <v/>
      </c>
      <c r="AF1054">
        <f>IF(IFERROR(VLOOKUP(D1054,Controls!$A$64:$E$74,3,FALSE),"No")="Yes",1,0)</f>
        <v/>
      </c>
      <c r="AG1054">
        <f>IF(IFERROR(VLOOKUP(D1054,Controls!$A$64:$E$74,4,FALSE),"No")="Yes",1,0)</f>
        <v/>
      </c>
      <c r="AH1054">
        <f>IF(IFERROR(VLOOKUP(D1054,Controls!$A$64:$E$74,5,FALSE),"No")="Yes",1,0)</f>
        <v/>
      </c>
      <c r="AI1054">
        <f>IF(ISNUMBER(MATCH(D1054,Controls!$A$64:$A$74,0)),1,0)</f>
        <v/>
      </c>
      <c r="AJ1054">
        <f>Q1054-N1054</f>
        <v/>
      </c>
      <c r="AK1054">
        <f>IF(AE1054=1,MAX(0,N1054-Q1054),0)</f>
        <v/>
      </c>
      <c r="AL1054">
        <f>IF(OR(V1054="",V1054=0),0,N1054/V1054)</f>
        <v/>
      </c>
      <c r="AM1054">
        <f>IF(OR(V1054="",V1054=0),0,1)</f>
        <v/>
      </c>
      <c r="AN1054">
        <f>IF(OR(E1054="",F1054=""),0,NETWORKDAYS(E1054,F1054,Ref!$K$2:$K$42))</f>
        <v/>
      </c>
      <c r="AO1054">
        <f>IF(L1054="Renewal",1,0)</f>
        <v/>
      </c>
      <c r="AP1054">
        <f>AC1054*AD1054</f>
        <v/>
      </c>
      <c r="AQ1054">
        <f>IF(AND(G1054&lt;&gt;"",'Historical Score'!$C$6&lt;&gt;""),IF(G1054='Historical Score'!$C$6,1,0),0)</f>
        <v/>
      </c>
      <c r="AR1054">
        <f>IF(AND(L1054&lt;&gt;"",'Historical Score'!$C$5&lt;&gt;""),IF(L1054='Historical Score'!$C$5,1,0),0)</f>
        <v/>
      </c>
      <c r="AS1054">
        <f>IF(AND(Y1054&lt;&gt;"",'Historical Score'!$C$7&lt;&gt;""),IF(Y1054='Historical Score'!$C$7,1,0),0)</f>
        <v/>
      </c>
      <c r="AT1054">
        <f>IF(AND(K1054&lt;&gt;"",'Historical Score'!$C$8&lt;&gt;""),IF(K1054='Historical Score'!$C$8,1,0),0)</f>
        <v/>
      </c>
      <c r="AU1054">
        <f>IF(AND(J1054&lt;&gt;"",'Historical Score'!$C$9&lt;&gt;""),IF(J1054='Historical Score'!$C$9,1,0),0)</f>
        <v/>
      </c>
      <c r="AV1054">
        <f>AR1054*AS1054*AQ1054</f>
        <v/>
      </c>
      <c r="AW1054">
        <f>AR1054*AT1054*AQ1054</f>
        <v/>
      </c>
      <c r="AX1054">
        <f>AR1054*AS1054</f>
        <v/>
      </c>
      <c r="AY1054">
        <f>AR1054*AT1054</f>
        <v/>
      </c>
      <c r="AZ1054">
        <f>AR1054*AQ1054</f>
        <v/>
      </c>
      <c r="BA1054">
        <f>AR1054</f>
        <v/>
      </c>
      <c r="BB1054">
        <f>1</f>
        <v/>
      </c>
      <c r="BC1054">
        <f>IF(AV1054=1,1,IF(AW1054=1,2,IF(AX1054=1,3,IF(AY1054=1,4,IF(AZ1054=1,5,IF(BA1054=1,6,7))))))</f>
        <v/>
      </c>
      <c r="BD1054">
        <f>IF(AD1054=1,CHOOSE('Historical Score'!$C$29,AV1054,AW1054,AX1054,AY1054,AZ1054,BA1054,BB1054),0)</f>
        <v/>
      </c>
      <c r="BE1054">
        <f>IF(BD1054=1,COUNTIF($BD$2:BD1054,1),"")</f>
        <v/>
      </c>
    </row>
    <row r="1055">
      <c r="A1055" t="inlineStr">
        <is>
          <t>5674188122</t>
        </is>
      </c>
      <c r="B1055" t="inlineStr">
        <is>
          <t>MARTIN PALMER TOOL</t>
        </is>
      </c>
      <c r="C1055" t="inlineStr">
        <is>
          <t>EDFA LLC</t>
        </is>
      </c>
      <c r="D1055" t="inlineStr">
        <is>
          <t>Open</t>
        </is>
      </c>
      <c r="E1055" s="297" t="n">
        <v>46232</v>
      </c>
      <c r="F1055" s="297" t="n">
        <v>46252</v>
      </c>
      <c r="G1055" t="n">
        <v>3</v>
      </c>
      <c r="H1055" t="inlineStr">
        <is>
          <t>3544</t>
        </is>
      </c>
      <c r="I1055" t="inlineStr">
        <is>
          <t>35</t>
        </is>
      </c>
      <c r="J1055" t="inlineStr">
        <is>
          <t>OH</t>
        </is>
      </c>
      <c r="K1055" t="inlineStr">
        <is>
          <t>PMF</t>
        </is>
      </c>
      <c r="L1055" t="inlineStr">
        <is>
          <t>Renewal</t>
        </is>
      </c>
      <c r="M1055" s="298" t="n">
        <v>1.49</v>
      </c>
      <c r="N1055" s="299" t="n">
        <v>300000</v>
      </c>
      <c r="O1055" s="299" t="n">
        <v>42000</v>
      </c>
      <c r="P1055" s="299" t="n">
        <v>447000</v>
      </c>
      <c r="Q1055" s="299" t="n">
        <v>47888.34</v>
      </c>
      <c r="R1055" s="299" t="n">
        <v>399111.66</v>
      </c>
      <c r="S1055" s="300" t="n">
        <v>0.107132751677852</v>
      </c>
      <c r="T1055" t="n">
        <v>28</v>
      </c>
      <c r="U1055" t="n">
        <v>0</v>
      </c>
      <c r="V1055" t="n">
        <v>159987.75</v>
      </c>
      <c r="W1055" s="300" t="n">
        <v>0.3991</v>
      </c>
      <c r="X1055" s="297" t="n">
        <v>43693</v>
      </c>
      <c r="Y1055">
        <f>IF(I1055="","No SIC",IFERROR(VLOOKUP(I1055,Ref!$A$2:$B$65,2,FALSE),"Unclassified"))</f>
        <v/>
      </c>
      <c r="Z1055">
        <f>IF(T1055="","",IF(T1055&lt;12,"Daily","Weekly"))</f>
        <v/>
      </c>
      <c r="AA1055">
        <f>IF(T1055="",0,IF(T1055&lt;12,T1055*Controls!$B$29,T1055*5))</f>
        <v/>
      </c>
      <c r="AB1055">
        <f>IF(E1055="",0,NETWORKDAYS(E1055,Controls!$B$36,Ref!$K$2:$K$42))</f>
        <v/>
      </c>
      <c r="AC1055">
        <f>IF(AND(AA1055&gt;0,AB1055&gt;=Controls!$B$39*AA1055),1,0)</f>
        <v/>
      </c>
      <c r="AD1055">
        <f>IF(AND(E1055&lt;&gt;"",E1055&gt;=Controls!$B$37,E1055&lt;=Controls!$B$38),1,0)</f>
        <v/>
      </c>
      <c r="AE1055">
        <f>IF(IFERROR(VLOOKUP(D1055,Controls!$A$64:$E$74,2,FALSE),"No")="Yes",1,0)</f>
        <v/>
      </c>
      <c r="AF1055">
        <f>IF(IFERROR(VLOOKUP(D1055,Controls!$A$64:$E$74,3,FALSE),"No")="Yes",1,0)</f>
        <v/>
      </c>
      <c r="AG1055">
        <f>IF(IFERROR(VLOOKUP(D1055,Controls!$A$64:$E$74,4,FALSE),"No")="Yes",1,0)</f>
        <v/>
      </c>
      <c r="AH1055">
        <f>IF(IFERROR(VLOOKUP(D1055,Controls!$A$64:$E$74,5,FALSE),"No")="Yes",1,0)</f>
        <v/>
      </c>
      <c r="AI1055">
        <f>IF(ISNUMBER(MATCH(D1055,Controls!$A$64:$A$74,0)),1,0)</f>
        <v/>
      </c>
      <c r="AJ1055">
        <f>Q1055-N1055</f>
        <v/>
      </c>
      <c r="AK1055">
        <f>IF(AE1055=1,MAX(0,N1055-Q1055),0)</f>
        <v/>
      </c>
      <c r="AL1055">
        <f>IF(OR(V1055="",V1055=0),0,N1055/V1055)</f>
        <v/>
      </c>
      <c r="AM1055">
        <f>IF(OR(V1055="",V1055=0),0,1)</f>
        <v/>
      </c>
      <c r="AN1055">
        <f>IF(OR(E1055="",F1055=""),0,NETWORKDAYS(E1055,F1055,Ref!$K$2:$K$42))</f>
        <v/>
      </c>
      <c r="AO1055">
        <f>IF(L1055="Renewal",1,0)</f>
        <v/>
      </c>
      <c r="AP1055">
        <f>AC1055*AD1055</f>
        <v/>
      </c>
      <c r="AQ1055">
        <f>IF(AND(G1055&lt;&gt;"",'Historical Score'!$C$6&lt;&gt;""),IF(G1055='Historical Score'!$C$6,1,0),0)</f>
        <v/>
      </c>
      <c r="AR1055">
        <f>IF(AND(L1055&lt;&gt;"",'Historical Score'!$C$5&lt;&gt;""),IF(L1055='Historical Score'!$C$5,1,0),0)</f>
        <v/>
      </c>
      <c r="AS1055">
        <f>IF(AND(Y1055&lt;&gt;"",'Historical Score'!$C$7&lt;&gt;""),IF(Y1055='Historical Score'!$C$7,1,0),0)</f>
        <v/>
      </c>
      <c r="AT1055">
        <f>IF(AND(K1055&lt;&gt;"",'Historical Score'!$C$8&lt;&gt;""),IF(K1055='Historical Score'!$C$8,1,0),0)</f>
        <v/>
      </c>
      <c r="AU1055">
        <f>IF(AND(J1055&lt;&gt;"",'Historical Score'!$C$9&lt;&gt;""),IF(J1055='Historical Score'!$C$9,1,0),0)</f>
        <v/>
      </c>
      <c r="AV1055">
        <f>AR1055*AS1055*AQ1055</f>
        <v/>
      </c>
      <c r="AW1055">
        <f>AR1055*AT1055*AQ1055</f>
        <v/>
      </c>
      <c r="AX1055">
        <f>AR1055*AS1055</f>
        <v/>
      </c>
      <c r="AY1055">
        <f>AR1055*AT1055</f>
        <v/>
      </c>
      <c r="AZ1055">
        <f>AR1055*AQ1055</f>
        <v/>
      </c>
      <c r="BA1055">
        <f>AR1055</f>
        <v/>
      </c>
      <c r="BB1055">
        <f>1</f>
        <v/>
      </c>
      <c r="BC1055">
        <f>IF(AV1055=1,1,IF(AW1055=1,2,IF(AX1055=1,3,IF(AY1055=1,4,IF(AZ1055=1,5,IF(BA1055=1,6,7))))))</f>
        <v/>
      </c>
      <c r="BD1055">
        <f>IF(AD1055=1,CHOOSE('Historical Score'!$C$29,AV1055,AW1055,AX1055,AY1055,AZ1055,BA1055,BB1055),0)</f>
        <v/>
      </c>
      <c r="BE1055">
        <f>IF(BD1055=1,COUNTIF($BD$2:BD1055,1),"")</f>
        <v/>
      </c>
    </row>
    <row r="1056">
      <c r="A1056" t="inlineStr">
        <is>
          <t>5674188123</t>
        </is>
      </c>
      <c r="B1056" t="inlineStr">
        <is>
          <t>Kelly Logging Nelson W Sayre</t>
        </is>
      </c>
      <c r="C1056" t="inlineStr">
        <is>
          <t>Kelly Logging Nelson W Sayre</t>
        </is>
      </c>
      <c r="D1056" t="inlineStr">
        <is>
          <t>Open</t>
        </is>
      </c>
      <c r="E1056" s="297" t="n">
        <v>46232</v>
      </c>
      <c r="F1056" s="297" t="n">
        <v>46248</v>
      </c>
      <c r="G1056" t="n">
        <v>3</v>
      </c>
      <c r="H1056" t="inlineStr">
        <is>
          <t>5031</t>
        </is>
      </c>
      <c r="I1056" t="inlineStr">
        <is>
          <t>50</t>
        </is>
      </c>
      <c r="J1056" t="inlineStr">
        <is>
          <t>WV</t>
        </is>
      </c>
      <c r="K1056" t="inlineStr">
        <is>
          <t>United Secured Capital 8</t>
        </is>
      </c>
      <c r="L1056" t="inlineStr">
        <is>
          <t>New Deal</t>
        </is>
      </c>
      <c r="M1056" s="298" t="n">
        <v>1.47</v>
      </c>
      <c r="N1056" s="299" t="n">
        <v>25000</v>
      </c>
      <c r="O1056" s="299" t="n">
        <v>2750</v>
      </c>
      <c r="P1056" s="299" t="n">
        <v>36750</v>
      </c>
      <c r="Q1056" s="299" t="n">
        <v>3062.4</v>
      </c>
      <c r="R1056" s="299" t="n">
        <v>33687.6</v>
      </c>
      <c r="S1056" s="300" t="n">
        <v>0.083330612244898</v>
      </c>
      <c r="T1056" t="n">
        <v>24</v>
      </c>
      <c r="U1056" t="n">
        <v>0</v>
      </c>
      <c r="V1056" t="n">
        <v>65000</v>
      </c>
      <c r="W1056" s="300" t="n">
        <v>0.1276</v>
      </c>
      <c r="X1056" s="297" t="n">
        <v>42370</v>
      </c>
      <c r="Y1056">
        <f>IF(I1056="","No SIC",IFERROR(VLOOKUP(I1056,Ref!$A$2:$B$65,2,FALSE),"Unclassified"))</f>
        <v/>
      </c>
      <c r="Z1056">
        <f>IF(T1056="","",IF(T1056&lt;12,"Daily","Weekly"))</f>
        <v/>
      </c>
      <c r="AA1056">
        <f>IF(T1056="",0,IF(T1056&lt;12,T1056*Controls!$B$29,T1056*5))</f>
        <v/>
      </c>
      <c r="AB1056">
        <f>IF(E1056="",0,NETWORKDAYS(E1056,Controls!$B$36,Ref!$K$2:$K$42))</f>
        <v/>
      </c>
      <c r="AC1056">
        <f>IF(AND(AA1056&gt;0,AB1056&gt;=Controls!$B$39*AA1056),1,0)</f>
        <v/>
      </c>
      <c r="AD1056">
        <f>IF(AND(E1056&lt;&gt;"",E1056&gt;=Controls!$B$37,E1056&lt;=Controls!$B$38),1,0)</f>
        <v/>
      </c>
      <c r="AE1056">
        <f>IF(IFERROR(VLOOKUP(D1056,Controls!$A$64:$E$74,2,FALSE),"No")="Yes",1,0)</f>
        <v/>
      </c>
      <c r="AF1056">
        <f>IF(IFERROR(VLOOKUP(D1056,Controls!$A$64:$E$74,3,FALSE),"No")="Yes",1,0)</f>
        <v/>
      </c>
      <c r="AG1056">
        <f>IF(IFERROR(VLOOKUP(D1056,Controls!$A$64:$E$74,4,FALSE),"No")="Yes",1,0)</f>
        <v/>
      </c>
      <c r="AH1056">
        <f>IF(IFERROR(VLOOKUP(D1056,Controls!$A$64:$E$74,5,FALSE),"No")="Yes",1,0)</f>
        <v/>
      </c>
      <c r="AI1056">
        <f>IF(ISNUMBER(MATCH(D1056,Controls!$A$64:$A$74,0)),1,0)</f>
        <v/>
      </c>
      <c r="AJ1056">
        <f>Q1056-N1056</f>
        <v/>
      </c>
      <c r="AK1056">
        <f>IF(AE1056=1,MAX(0,N1056-Q1056),0)</f>
        <v/>
      </c>
      <c r="AL1056">
        <f>IF(OR(V1056="",V1056=0),0,N1056/V1056)</f>
        <v/>
      </c>
      <c r="AM1056">
        <f>IF(OR(V1056="",V1056=0),0,1)</f>
        <v/>
      </c>
      <c r="AN1056">
        <f>IF(OR(E1056="",F1056=""),0,NETWORKDAYS(E1056,F1056,Ref!$K$2:$K$42))</f>
        <v/>
      </c>
      <c r="AO1056">
        <f>IF(L1056="Renewal",1,0)</f>
        <v/>
      </c>
      <c r="AP1056">
        <f>AC1056*AD1056</f>
        <v/>
      </c>
      <c r="AQ1056">
        <f>IF(AND(G1056&lt;&gt;"",'Historical Score'!$C$6&lt;&gt;""),IF(G1056='Historical Score'!$C$6,1,0),0)</f>
        <v/>
      </c>
      <c r="AR1056">
        <f>IF(AND(L1056&lt;&gt;"",'Historical Score'!$C$5&lt;&gt;""),IF(L1056='Historical Score'!$C$5,1,0),0)</f>
        <v/>
      </c>
      <c r="AS1056">
        <f>IF(AND(Y1056&lt;&gt;"",'Historical Score'!$C$7&lt;&gt;""),IF(Y1056='Historical Score'!$C$7,1,0),0)</f>
        <v/>
      </c>
      <c r="AT1056">
        <f>IF(AND(K1056&lt;&gt;"",'Historical Score'!$C$8&lt;&gt;""),IF(K1056='Historical Score'!$C$8,1,0),0)</f>
        <v/>
      </c>
      <c r="AU1056">
        <f>IF(AND(J1056&lt;&gt;"",'Historical Score'!$C$9&lt;&gt;""),IF(J1056='Historical Score'!$C$9,1,0),0)</f>
        <v/>
      </c>
      <c r="AV1056">
        <f>AR1056*AS1056*AQ1056</f>
        <v/>
      </c>
      <c r="AW1056">
        <f>AR1056*AT1056*AQ1056</f>
        <v/>
      </c>
      <c r="AX1056">
        <f>AR1056*AS1056</f>
        <v/>
      </c>
      <c r="AY1056">
        <f>AR1056*AT1056</f>
        <v/>
      </c>
      <c r="AZ1056">
        <f>AR1056*AQ1056</f>
        <v/>
      </c>
      <c r="BA1056">
        <f>AR1056</f>
        <v/>
      </c>
      <c r="BB1056">
        <f>1</f>
        <v/>
      </c>
      <c r="BC1056">
        <f>IF(AV1056=1,1,IF(AW1056=1,2,IF(AX1056=1,3,IF(AY1056=1,4,IF(AZ1056=1,5,IF(BA1056=1,6,7))))))</f>
        <v/>
      </c>
      <c r="BD1056">
        <f>IF(AD1056=1,CHOOSE('Historical Score'!$C$29,AV1056,AW1056,AX1056,AY1056,AZ1056,BA1056,BB1056),0)</f>
        <v/>
      </c>
      <c r="BE1056">
        <f>IF(BD1056=1,COUNTIF($BD$2:BD1056,1),"")</f>
        <v/>
      </c>
    </row>
    <row r="1057">
      <c r="A1057" t="inlineStr">
        <is>
          <t>5674188131</t>
        </is>
      </c>
      <c r="B1057" t="inlineStr">
        <is>
          <t>MYERS AUTO DIESEL SERVICE</t>
        </is>
      </c>
      <c r="C1057" t="inlineStr">
        <is>
          <t>KEVIN G MYERS DBA MYERS AUTO DIESEL SERVICE</t>
        </is>
      </c>
      <c r="D1057" t="inlineStr">
        <is>
          <t>Open</t>
        </is>
      </c>
      <c r="E1057" s="297" t="n">
        <v>46232</v>
      </c>
      <c r="F1057" s="297" t="n">
        <v>46253</v>
      </c>
      <c r="G1057" t="n">
        <v>3</v>
      </c>
      <c r="H1057" t="inlineStr">
        <is>
          <t>7539</t>
        </is>
      </c>
      <c r="I1057" t="inlineStr">
        <is>
          <t>75</t>
        </is>
      </c>
      <c r="J1057" t="inlineStr">
        <is>
          <t>TX</t>
        </is>
      </c>
      <c r="K1057" t="inlineStr">
        <is>
          <t>Tier one</t>
        </is>
      </c>
      <c r="L1057" t="inlineStr">
        <is>
          <t>New Deal</t>
        </is>
      </c>
      <c r="M1057" s="298" t="n">
        <v>1.39</v>
      </c>
      <c r="N1057" s="299" t="n">
        <v>15000</v>
      </c>
      <c r="O1057" s="299" t="n">
        <v>1350</v>
      </c>
      <c r="P1057" s="299" t="n">
        <v>20850</v>
      </c>
      <c r="Q1057" s="299" t="n">
        <v>2221.6</v>
      </c>
      <c r="R1057" s="299" t="n">
        <v>18628.4</v>
      </c>
      <c r="S1057" s="300" t="n">
        <v>0.106551558752998</v>
      </c>
      <c r="T1057" t="n">
        <v>4.918</v>
      </c>
      <c r="U1057" t="n">
        <v>0</v>
      </c>
      <c r="V1057" t="n">
        <v>71993.75999999999</v>
      </c>
      <c r="W1057" s="300" t="n">
        <v>0.0405</v>
      </c>
      <c r="X1057" s="297" t="n">
        <v>44057</v>
      </c>
      <c r="Y1057">
        <f>IF(I1057="","No SIC",IFERROR(VLOOKUP(I1057,Ref!$A$2:$B$65,2,FALSE),"Unclassified"))</f>
        <v/>
      </c>
      <c r="Z1057">
        <f>IF(T1057="","",IF(T1057&lt;12,"Daily","Weekly"))</f>
        <v/>
      </c>
      <c r="AA1057">
        <f>IF(T1057="",0,IF(T1057&lt;12,T1057*Controls!$B$29,T1057*5))</f>
        <v/>
      </c>
      <c r="AB1057">
        <f>IF(E1057="",0,NETWORKDAYS(E1057,Controls!$B$36,Ref!$K$2:$K$42))</f>
        <v/>
      </c>
      <c r="AC1057">
        <f>IF(AND(AA1057&gt;0,AB1057&gt;=Controls!$B$39*AA1057),1,0)</f>
        <v/>
      </c>
      <c r="AD1057">
        <f>IF(AND(E1057&lt;&gt;"",E1057&gt;=Controls!$B$37,E1057&lt;=Controls!$B$38),1,0)</f>
        <v/>
      </c>
      <c r="AE1057">
        <f>IF(IFERROR(VLOOKUP(D1057,Controls!$A$64:$E$74,2,FALSE),"No")="Yes",1,0)</f>
        <v/>
      </c>
      <c r="AF1057">
        <f>IF(IFERROR(VLOOKUP(D1057,Controls!$A$64:$E$74,3,FALSE),"No")="Yes",1,0)</f>
        <v/>
      </c>
      <c r="AG1057">
        <f>IF(IFERROR(VLOOKUP(D1057,Controls!$A$64:$E$74,4,FALSE),"No")="Yes",1,0)</f>
        <v/>
      </c>
      <c r="AH1057">
        <f>IF(IFERROR(VLOOKUP(D1057,Controls!$A$64:$E$74,5,FALSE),"No")="Yes",1,0)</f>
        <v/>
      </c>
      <c r="AI1057">
        <f>IF(ISNUMBER(MATCH(D1057,Controls!$A$64:$A$74,0)),1,0)</f>
        <v/>
      </c>
      <c r="AJ1057">
        <f>Q1057-N1057</f>
        <v/>
      </c>
      <c r="AK1057">
        <f>IF(AE1057=1,MAX(0,N1057-Q1057),0)</f>
        <v/>
      </c>
      <c r="AL1057">
        <f>IF(OR(V1057="",V1057=0),0,N1057/V1057)</f>
        <v/>
      </c>
      <c r="AM1057">
        <f>IF(OR(V1057="",V1057=0),0,1)</f>
        <v/>
      </c>
      <c r="AN1057">
        <f>IF(OR(E1057="",F1057=""),0,NETWORKDAYS(E1057,F1057,Ref!$K$2:$K$42))</f>
        <v/>
      </c>
      <c r="AO1057">
        <f>IF(L1057="Renewal",1,0)</f>
        <v/>
      </c>
      <c r="AP1057">
        <f>AC1057*AD1057</f>
        <v/>
      </c>
      <c r="AQ1057">
        <f>IF(AND(G1057&lt;&gt;"",'Historical Score'!$C$6&lt;&gt;""),IF(G1057='Historical Score'!$C$6,1,0),0)</f>
        <v/>
      </c>
      <c r="AR1057">
        <f>IF(AND(L1057&lt;&gt;"",'Historical Score'!$C$5&lt;&gt;""),IF(L1057='Historical Score'!$C$5,1,0),0)</f>
        <v/>
      </c>
      <c r="AS1057">
        <f>IF(AND(Y1057&lt;&gt;"",'Historical Score'!$C$7&lt;&gt;""),IF(Y1057='Historical Score'!$C$7,1,0),0)</f>
        <v/>
      </c>
      <c r="AT1057">
        <f>IF(AND(K1057&lt;&gt;"",'Historical Score'!$C$8&lt;&gt;""),IF(K1057='Historical Score'!$C$8,1,0),0)</f>
        <v/>
      </c>
      <c r="AU1057">
        <f>IF(AND(J1057&lt;&gt;"",'Historical Score'!$C$9&lt;&gt;""),IF(J1057='Historical Score'!$C$9,1,0),0)</f>
        <v/>
      </c>
      <c r="AV1057">
        <f>AR1057*AS1057*AQ1057</f>
        <v/>
      </c>
      <c r="AW1057">
        <f>AR1057*AT1057*AQ1057</f>
        <v/>
      </c>
      <c r="AX1057">
        <f>AR1057*AS1057</f>
        <v/>
      </c>
      <c r="AY1057">
        <f>AR1057*AT1057</f>
        <v/>
      </c>
      <c r="AZ1057">
        <f>AR1057*AQ1057</f>
        <v/>
      </c>
      <c r="BA1057">
        <f>AR1057</f>
        <v/>
      </c>
      <c r="BB1057">
        <f>1</f>
        <v/>
      </c>
      <c r="BC1057">
        <f>IF(AV1057=1,1,IF(AW1057=1,2,IF(AX1057=1,3,IF(AY1057=1,4,IF(AZ1057=1,5,IF(BA1057=1,6,7))))))</f>
        <v/>
      </c>
      <c r="BD1057">
        <f>IF(AD1057=1,CHOOSE('Historical Score'!$C$29,AV1057,AW1057,AX1057,AY1057,AZ1057,BA1057,BB1057),0)</f>
        <v/>
      </c>
      <c r="BE1057">
        <f>IF(BD1057=1,COUNTIF($BD$2:BD1057,1),"")</f>
        <v/>
      </c>
    </row>
    <row r="1058">
      <c r="A1058" t="inlineStr">
        <is>
          <t>5674188137</t>
        </is>
      </c>
      <c r="B1058" t="inlineStr">
        <is>
          <t>Peridot Medical Group Corp</t>
        </is>
      </c>
      <c r="C1058" t="inlineStr">
        <is>
          <t>Peridot Medical Group Corp</t>
        </is>
      </c>
      <c r="D1058" t="inlineStr">
        <is>
          <t>Open</t>
        </is>
      </c>
      <c r="E1058" s="297" t="n">
        <v>46232</v>
      </c>
      <c r="F1058" s="297" t="n">
        <v>46252</v>
      </c>
      <c r="G1058" t="n">
        <v>2</v>
      </c>
      <c r="H1058" t="inlineStr">
        <is>
          <t>5999</t>
        </is>
      </c>
      <c r="I1058" t="inlineStr">
        <is>
          <t>59</t>
        </is>
      </c>
      <c r="J1058" t="inlineStr">
        <is>
          <t>FL</t>
        </is>
      </c>
      <c r="K1058" t="inlineStr">
        <is>
          <t>PMF</t>
        </is>
      </c>
      <c r="L1058" t="inlineStr">
        <is>
          <t>New Deal</t>
        </is>
      </c>
      <c r="M1058" s="298" t="n">
        <v>1.34</v>
      </c>
      <c r="N1058" s="299" t="n">
        <v>150000</v>
      </c>
      <c r="O1058" s="299" t="n">
        <v>9000</v>
      </c>
      <c r="P1058" s="299" t="n">
        <v>201000</v>
      </c>
      <c r="Q1058" s="299" t="n">
        <v>15074.34</v>
      </c>
      <c r="R1058" s="299" t="n">
        <v>185925.66</v>
      </c>
      <c r="S1058" s="300" t="n">
        <v>0.0749967164179105</v>
      </c>
      <c r="T1058" t="n">
        <v>40</v>
      </c>
      <c r="U1058" t="n">
        <v>0</v>
      </c>
      <c r="V1058" t="n">
        <v>251553.44</v>
      </c>
      <c r="W1058" s="300" t="n">
        <v>0.0799</v>
      </c>
      <c r="X1058" s="297" t="n">
        <v>41045</v>
      </c>
      <c r="Y1058">
        <f>IF(I1058="","No SIC",IFERROR(VLOOKUP(I1058,Ref!$A$2:$B$65,2,FALSE),"Unclassified"))</f>
        <v/>
      </c>
      <c r="Z1058">
        <f>IF(T1058="","",IF(T1058&lt;12,"Daily","Weekly"))</f>
        <v/>
      </c>
      <c r="AA1058">
        <f>IF(T1058="",0,IF(T1058&lt;12,T1058*Controls!$B$29,T1058*5))</f>
        <v/>
      </c>
      <c r="AB1058">
        <f>IF(E1058="",0,NETWORKDAYS(E1058,Controls!$B$36,Ref!$K$2:$K$42))</f>
        <v/>
      </c>
      <c r="AC1058">
        <f>IF(AND(AA1058&gt;0,AB1058&gt;=Controls!$B$39*AA1058),1,0)</f>
        <v/>
      </c>
      <c r="AD1058">
        <f>IF(AND(E1058&lt;&gt;"",E1058&gt;=Controls!$B$37,E1058&lt;=Controls!$B$38),1,0)</f>
        <v/>
      </c>
      <c r="AE1058">
        <f>IF(IFERROR(VLOOKUP(D1058,Controls!$A$64:$E$74,2,FALSE),"No")="Yes",1,0)</f>
        <v/>
      </c>
      <c r="AF1058">
        <f>IF(IFERROR(VLOOKUP(D1058,Controls!$A$64:$E$74,3,FALSE),"No")="Yes",1,0)</f>
        <v/>
      </c>
      <c r="AG1058">
        <f>IF(IFERROR(VLOOKUP(D1058,Controls!$A$64:$E$74,4,FALSE),"No")="Yes",1,0)</f>
        <v/>
      </c>
      <c r="AH1058">
        <f>IF(IFERROR(VLOOKUP(D1058,Controls!$A$64:$E$74,5,FALSE),"No")="Yes",1,0)</f>
        <v/>
      </c>
      <c r="AI1058">
        <f>IF(ISNUMBER(MATCH(D1058,Controls!$A$64:$A$74,0)),1,0)</f>
        <v/>
      </c>
      <c r="AJ1058">
        <f>Q1058-N1058</f>
        <v/>
      </c>
      <c r="AK1058">
        <f>IF(AE1058=1,MAX(0,N1058-Q1058),0)</f>
        <v/>
      </c>
      <c r="AL1058">
        <f>IF(OR(V1058="",V1058=0),0,N1058/V1058)</f>
        <v/>
      </c>
      <c r="AM1058">
        <f>IF(OR(V1058="",V1058=0),0,1)</f>
        <v/>
      </c>
      <c r="AN1058">
        <f>IF(OR(E1058="",F1058=""),0,NETWORKDAYS(E1058,F1058,Ref!$K$2:$K$42))</f>
        <v/>
      </c>
      <c r="AO1058">
        <f>IF(L1058="Renewal",1,0)</f>
        <v/>
      </c>
      <c r="AP1058">
        <f>AC1058*AD1058</f>
        <v/>
      </c>
      <c r="AQ1058">
        <f>IF(AND(G1058&lt;&gt;"",'Historical Score'!$C$6&lt;&gt;""),IF(G1058='Historical Score'!$C$6,1,0),0)</f>
        <v/>
      </c>
      <c r="AR1058">
        <f>IF(AND(L1058&lt;&gt;"",'Historical Score'!$C$5&lt;&gt;""),IF(L1058='Historical Score'!$C$5,1,0),0)</f>
        <v/>
      </c>
      <c r="AS1058">
        <f>IF(AND(Y1058&lt;&gt;"",'Historical Score'!$C$7&lt;&gt;""),IF(Y1058='Historical Score'!$C$7,1,0),0)</f>
        <v/>
      </c>
      <c r="AT1058">
        <f>IF(AND(K1058&lt;&gt;"",'Historical Score'!$C$8&lt;&gt;""),IF(K1058='Historical Score'!$C$8,1,0),0)</f>
        <v/>
      </c>
      <c r="AU1058">
        <f>IF(AND(J1058&lt;&gt;"",'Historical Score'!$C$9&lt;&gt;""),IF(J1058='Historical Score'!$C$9,1,0),0)</f>
        <v/>
      </c>
      <c r="AV1058">
        <f>AR1058*AS1058*AQ1058</f>
        <v/>
      </c>
      <c r="AW1058">
        <f>AR1058*AT1058*AQ1058</f>
        <v/>
      </c>
      <c r="AX1058">
        <f>AR1058*AS1058</f>
        <v/>
      </c>
      <c r="AY1058">
        <f>AR1058*AT1058</f>
        <v/>
      </c>
      <c r="AZ1058">
        <f>AR1058*AQ1058</f>
        <v/>
      </c>
      <c r="BA1058">
        <f>AR1058</f>
        <v/>
      </c>
      <c r="BB1058">
        <f>1</f>
        <v/>
      </c>
      <c r="BC1058">
        <f>IF(AV1058=1,1,IF(AW1058=1,2,IF(AX1058=1,3,IF(AY1058=1,4,IF(AZ1058=1,5,IF(BA1058=1,6,7))))))</f>
        <v/>
      </c>
      <c r="BD1058">
        <f>IF(AD1058=1,CHOOSE('Historical Score'!$C$29,AV1058,AW1058,AX1058,AY1058,AZ1058,BA1058,BB1058),0)</f>
        <v/>
      </c>
      <c r="BE1058">
        <f>IF(BD1058=1,COUNTIF($BD$2:BD1058,1),"")</f>
        <v/>
      </c>
    </row>
    <row r="1059">
      <c r="A1059" t="inlineStr">
        <is>
          <t>5674188177</t>
        </is>
      </c>
      <c r="B1059" t="inlineStr">
        <is>
          <t>GBS WORLDWIDE</t>
        </is>
      </c>
      <c r="C1059" t="inlineStr">
        <is>
          <t>GBS WORLDWIDE INC.</t>
        </is>
      </c>
      <c r="D1059" t="inlineStr">
        <is>
          <t>Open</t>
        </is>
      </c>
      <c r="E1059" s="297" t="n">
        <v>46232</v>
      </c>
      <c r="F1059" s="297" t="n">
        <v>46247</v>
      </c>
      <c r="G1059" t="n">
        <v>2</v>
      </c>
      <c r="H1059" t="inlineStr">
        <is>
          <t>8748</t>
        </is>
      </c>
      <c r="I1059" t="inlineStr">
        <is>
          <t>87</t>
        </is>
      </c>
      <c r="J1059" t="inlineStr">
        <is>
          <t>MO</t>
        </is>
      </c>
      <c r="K1059" t="inlineStr">
        <is>
          <t>PMF</t>
        </is>
      </c>
      <c r="L1059" t="inlineStr">
        <is>
          <t>New Deal</t>
        </is>
      </c>
      <c r="M1059" s="298" t="n">
        <v>1.49</v>
      </c>
      <c r="N1059" s="299" t="n">
        <v>100000</v>
      </c>
      <c r="O1059" s="299" t="n">
        <v>14000</v>
      </c>
      <c r="P1059" s="299" t="n">
        <v>149000</v>
      </c>
      <c r="Q1059" s="299" t="n">
        <v>7640.26</v>
      </c>
      <c r="R1059" s="299" t="n">
        <v>141359.74</v>
      </c>
      <c r="S1059" s="300" t="n">
        <v>0.0512769127516779</v>
      </c>
      <c r="T1059" t="n">
        <v>39</v>
      </c>
      <c r="U1059" t="n">
        <v>0</v>
      </c>
      <c r="V1059" t="n">
        <v>172893.68</v>
      </c>
      <c r="W1059" s="300" t="n">
        <v>0.053</v>
      </c>
      <c r="X1059" s="297" t="n">
        <v>44298</v>
      </c>
      <c r="Y1059">
        <f>IF(I1059="","No SIC",IFERROR(VLOOKUP(I1059,Ref!$A$2:$B$65,2,FALSE),"Unclassified"))</f>
        <v/>
      </c>
      <c r="Z1059">
        <f>IF(T1059="","",IF(T1059&lt;12,"Daily","Weekly"))</f>
        <v/>
      </c>
      <c r="AA1059">
        <f>IF(T1059="",0,IF(T1059&lt;12,T1059*Controls!$B$29,T1059*5))</f>
        <v/>
      </c>
      <c r="AB1059">
        <f>IF(E1059="",0,NETWORKDAYS(E1059,Controls!$B$36,Ref!$K$2:$K$42))</f>
        <v/>
      </c>
      <c r="AC1059">
        <f>IF(AND(AA1059&gt;0,AB1059&gt;=Controls!$B$39*AA1059),1,0)</f>
        <v/>
      </c>
      <c r="AD1059">
        <f>IF(AND(E1059&lt;&gt;"",E1059&gt;=Controls!$B$37,E1059&lt;=Controls!$B$38),1,0)</f>
        <v/>
      </c>
      <c r="AE1059">
        <f>IF(IFERROR(VLOOKUP(D1059,Controls!$A$64:$E$74,2,FALSE),"No")="Yes",1,0)</f>
        <v/>
      </c>
      <c r="AF1059">
        <f>IF(IFERROR(VLOOKUP(D1059,Controls!$A$64:$E$74,3,FALSE),"No")="Yes",1,0)</f>
        <v/>
      </c>
      <c r="AG1059">
        <f>IF(IFERROR(VLOOKUP(D1059,Controls!$A$64:$E$74,4,FALSE),"No")="Yes",1,0)</f>
        <v/>
      </c>
      <c r="AH1059">
        <f>IF(IFERROR(VLOOKUP(D1059,Controls!$A$64:$E$74,5,FALSE),"No")="Yes",1,0)</f>
        <v/>
      </c>
      <c r="AI1059">
        <f>IF(ISNUMBER(MATCH(D1059,Controls!$A$64:$A$74,0)),1,0)</f>
        <v/>
      </c>
      <c r="AJ1059">
        <f>Q1059-N1059</f>
        <v/>
      </c>
      <c r="AK1059">
        <f>IF(AE1059=1,MAX(0,N1059-Q1059),0)</f>
        <v/>
      </c>
      <c r="AL1059">
        <f>IF(OR(V1059="",V1059=0),0,N1059/V1059)</f>
        <v/>
      </c>
      <c r="AM1059">
        <f>IF(OR(V1059="",V1059=0),0,1)</f>
        <v/>
      </c>
      <c r="AN1059">
        <f>IF(OR(E1059="",F1059=""),0,NETWORKDAYS(E1059,F1059,Ref!$K$2:$K$42))</f>
        <v/>
      </c>
      <c r="AO1059">
        <f>IF(L1059="Renewal",1,0)</f>
        <v/>
      </c>
      <c r="AP1059">
        <f>AC1059*AD1059</f>
        <v/>
      </c>
      <c r="AQ1059">
        <f>IF(AND(G1059&lt;&gt;"",'Historical Score'!$C$6&lt;&gt;""),IF(G1059='Historical Score'!$C$6,1,0),0)</f>
        <v/>
      </c>
      <c r="AR1059">
        <f>IF(AND(L1059&lt;&gt;"",'Historical Score'!$C$5&lt;&gt;""),IF(L1059='Historical Score'!$C$5,1,0),0)</f>
        <v/>
      </c>
      <c r="AS1059">
        <f>IF(AND(Y1059&lt;&gt;"",'Historical Score'!$C$7&lt;&gt;""),IF(Y1059='Historical Score'!$C$7,1,0),0)</f>
        <v/>
      </c>
      <c r="AT1059">
        <f>IF(AND(K1059&lt;&gt;"",'Historical Score'!$C$8&lt;&gt;""),IF(K1059='Historical Score'!$C$8,1,0),0)</f>
        <v/>
      </c>
      <c r="AU1059">
        <f>IF(AND(J1059&lt;&gt;"",'Historical Score'!$C$9&lt;&gt;""),IF(J1059='Historical Score'!$C$9,1,0),0)</f>
        <v/>
      </c>
      <c r="AV1059">
        <f>AR1059*AS1059*AQ1059</f>
        <v/>
      </c>
      <c r="AW1059">
        <f>AR1059*AT1059*AQ1059</f>
        <v/>
      </c>
      <c r="AX1059">
        <f>AR1059*AS1059</f>
        <v/>
      </c>
      <c r="AY1059">
        <f>AR1059*AT1059</f>
        <v/>
      </c>
      <c r="AZ1059">
        <f>AR1059*AQ1059</f>
        <v/>
      </c>
      <c r="BA1059">
        <f>AR1059</f>
        <v/>
      </c>
      <c r="BB1059">
        <f>1</f>
        <v/>
      </c>
      <c r="BC1059">
        <f>IF(AV1059=1,1,IF(AW1059=1,2,IF(AX1059=1,3,IF(AY1059=1,4,IF(AZ1059=1,5,IF(BA1059=1,6,7))))))</f>
        <v/>
      </c>
      <c r="BD1059">
        <f>IF(AD1059=1,CHOOSE('Historical Score'!$C$29,AV1059,AW1059,AX1059,AY1059,AZ1059,BA1059,BB1059),0)</f>
        <v/>
      </c>
      <c r="BE1059">
        <f>IF(BD1059=1,COUNTIF($BD$2:BD1059,1),"")</f>
        <v/>
      </c>
    </row>
    <row r="1060">
      <c r="A1060" t="inlineStr">
        <is>
          <t>5674188239</t>
        </is>
      </c>
      <c r="B1060" t="inlineStr">
        <is>
          <t>MCD VETERANS LLC</t>
        </is>
      </c>
      <c r="C1060" t="inlineStr">
        <is>
          <t>MCD VETERANS LLC</t>
        </is>
      </c>
      <c r="D1060" t="inlineStr">
        <is>
          <t>Open</t>
        </is>
      </c>
      <c r="E1060" s="297" t="n">
        <v>46233</v>
      </c>
      <c r="F1060" s="297" t="n">
        <v>46253</v>
      </c>
      <c r="G1060" t="n">
        <v>3</v>
      </c>
      <c r="H1060" t="inlineStr">
        <is>
          <t>6531</t>
        </is>
      </c>
      <c r="I1060" t="inlineStr">
        <is>
          <t>65</t>
        </is>
      </c>
      <c r="J1060" t="inlineStr">
        <is>
          <t>LA</t>
        </is>
      </c>
      <c r="K1060" t="inlineStr">
        <is>
          <t>United Secured Capital 8</t>
        </is>
      </c>
      <c r="L1060" t="inlineStr">
        <is>
          <t>Renewal</t>
        </is>
      </c>
      <c r="M1060" s="298" t="n">
        <v>1.49</v>
      </c>
      <c r="N1060" s="299" t="n">
        <v>35000</v>
      </c>
      <c r="O1060" s="299" t="n">
        <v>4900</v>
      </c>
      <c r="P1060" s="299" t="n">
        <v>52150</v>
      </c>
      <c r="Q1060" s="299" t="n">
        <v>6081.74</v>
      </c>
      <c r="R1060" s="299" t="n">
        <v>46068.26</v>
      </c>
      <c r="S1060" s="300" t="n">
        <v>0.116620134228188</v>
      </c>
      <c r="T1060" t="n">
        <v>3.934</v>
      </c>
      <c r="U1060" t="n">
        <v>0</v>
      </c>
      <c r="V1060" t="n">
        <v>144343.78</v>
      </c>
      <c r="W1060" s="300" t="n">
        <v>0.06320000000000001</v>
      </c>
      <c r="X1060" s="297" t="n">
        <v>44044</v>
      </c>
      <c r="Y1060">
        <f>IF(I1060="","No SIC",IFERROR(VLOOKUP(I1060,Ref!$A$2:$B$65,2,FALSE),"Unclassified"))</f>
        <v/>
      </c>
      <c r="Z1060">
        <f>IF(T1060="","",IF(T1060&lt;12,"Daily","Weekly"))</f>
        <v/>
      </c>
      <c r="AA1060">
        <f>IF(T1060="",0,IF(T1060&lt;12,T1060*Controls!$B$29,T1060*5))</f>
        <v/>
      </c>
      <c r="AB1060">
        <f>IF(E1060="",0,NETWORKDAYS(E1060,Controls!$B$36,Ref!$K$2:$K$42))</f>
        <v/>
      </c>
      <c r="AC1060">
        <f>IF(AND(AA1060&gt;0,AB1060&gt;=Controls!$B$39*AA1060),1,0)</f>
        <v/>
      </c>
      <c r="AD1060">
        <f>IF(AND(E1060&lt;&gt;"",E1060&gt;=Controls!$B$37,E1060&lt;=Controls!$B$38),1,0)</f>
        <v/>
      </c>
      <c r="AE1060">
        <f>IF(IFERROR(VLOOKUP(D1060,Controls!$A$64:$E$74,2,FALSE),"No")="Yes",1,0)</f>
        <v/>
      </c>
      <c r="AF1060">
        <f>IF(IFERROR(VLOOKUP(D1060,Controls!$A$64:$E$74,3,FALSE),"No")="Yes",1,0)</f>
        <v/>
      </c>
      <c r="AG1060">
        <f>IF(IFERROR(VLOOKUP(D1060,Controls!$A$64:$E$74,4,FALSE),"No")="Yes",1,0)</f>
        <v/>
      </c>
      <c r="AH1060">
        <f>IF(IFERROR(VLOOKUP(D1060,Controls!$A$64:$E$74,5,FALSE),"No")="Yes",1,0)</f>
        <v/>
      </c>
      <c r="AI1060">
        <f>IF(ISNUMBER(MATCH(D1060,Controls!$A$64:$A$74,0)),1,0)</f>
        <v/>
      </c>
      <c r="AJ1060">
        <f>Q1060-N1060</f>
        <v/>
      </c>
      <c r="AK1060">
        <f>IF(AE1060=1,MAX(0,N1060-Q1060),0)</f>
        <v/>
      </c>
      <c r="AL1060">
        <f>IF(OR(V1060="",V1060=0),0,N1060/V1060)</f>
        <v/>
      </c>
      <c r="AM1060">
        <f>IF(OR(V1060="",V1060=0),0,1)</f>
        <v/>
      </c>
      <c r="AN1060">
        <f>IF(OR(E1060="",F1060=""),0,NETWORKDAYS(E1060,F1060,Ref!$K$2:$K$42))</f>
        <v/>
      </c>
      <c r="AO1060">
        <f>IF(L1060="Renewal",1,0)</f>
        <v/>
      </c>
      <c r="AP1060">
        <f>AC1060*AD1060</f>
        <v/>
      </c>
      <c r="AQ1060">
        <f>IF(AND(G1060&lt;&gt;"",'Historical Score'!$C$6&lt;&gt;""),IF(G1060='Historical Score'!$C$6,1,0),0)</f>
        <v/>
      </c>
      <c r="AR1060">
        <f>IF(AND(L1060&lt;&gt;"",'Historical Score'!$C$5&lt;&gt;""),IF(L1060='Historical Score'!$C$5,1,0),0)</f>
        <v/>
      </c>
      <c r="AS1060">
        <f>IF(AND(Y1060&lt;&gt;"",'Historical Score'!$C$7&lt;&gt;""),IF(Y1060='Historical Score'!$C$7,1,0),0)</f>
        <v/>
      </c>
      <c r="AT1060">
        <f>IF(AND(K1060&lt;&gt;"",'Historical Score'!$C$8&lt;&gt;""),IF(K1060='Historical Score'!$C$8,1,0),0)</f>
        <v/>
      </c>
      <c r="AU1060">
        <f>IF(AND(J1060&lt;&gt;"",'Historical Score'!$C$9&lt;&gt;""),IF(J1060='Historical Score'!$C$9,1,0),0)</f>
        <v/>
      </c>
      <c r="AV1060">
        <f>AR1060*AS1060*AQ1060</f>
        <v/>
      </c>
      <c r="AW1060">
        <f>AR1060*AT1060*AQ1060</f>
        <v/>
      </c>
      <c r="AX1060">
        <f>AR1060*AS1060</f>
        <v/>
      </c>
      <c r="AY1060">
        <f>AR1060*AT1060</f>
        <v/>
      </c>
      <c r="AZ1060">
        <f>AR1060*AQ1060</f>
        <v/>
      </c>
      <c r="BA1060">
        <f>AR1060</f>
        <v/>
      </c>
      <c r="BB1060">
        <f>1</f>
        <v/>
      </c>
      <c r="BC1060">
        <f>IF(AV1060=1,1,IF(AW1060=1,2,IF(AX1060=1,3,IF(AY1060=1,4,IF(AZ1060=1,5,IF(BA1060=1,6,7))))))</f>
        <v/>
      </c>
      <c r="BD1060">
        <f>IF(AD1060=1,CHOOSE('Historical Score'!$C$29,AV1060,AW1060,AX1060,AY1060,AZ1060,BA1060,BB1060),0)</f>
        <v/>
      </c>
      <c r="BE1060">
        <f>IF(BD1060=1,COUNTIF($BD$2:BD1060,1),"")</f>
        <v/>
      </c>
    </row>
    <row r="1061">
      <c r="A1061" t="inlineStr">
        <is>
          <t>5674188277</t>
        </is>
      </c>
      <c r="B1061" t="inlineStr">
        <is>
          <t>Prima Mente</t>
        </is>
      </c>
      <c r="C1061" t="inlineStr">
        <is>
          <t>PRIMA MENTE INC</t>
        </is>
      </c>
      <c r="D1061" t="inlineStr">
        <is>
          <t>Open</t>
        </is>
      </c>
      <c r="E1061" s="297" t="n">
        <v>46233</v>
      </c>
      <c r="F1061" s="297" t="n">
        <v>46253</v>
      </c>
      <c r="G1061" t="n">
        <v>4</v>
      </c>
      <c r="H1061" t="inlineStr">
        <is>
          <t>8734</t>
        </is>
      </c>
      <c r="I1061" t="inlineStr">
        <is>
          <t>87</t>
        </is>
      </c>
      <c r="J1061" t="inlineStr">
        <is>
          <t>CA</t>
        </is>
      </c>
      <c r="K1061" t="inlineStr">
        <is>
          <t>Platform Funding</t>
        </is>
      </c>
      <c r="L1061" t="inlineStr">
        <is>
          <t>New Deal</t>
        </is>
      </c>
      <c r="M1061" s="298" t="n">
        <v>1.49</v>
      </c>
      <c r="N1061" s="299" t="n">
        <v>150000</v>
      </c>
      <c r="O1061" s="299" t="n">
        <v>21000</v>
      </c>
      <c r="P1061" s="299" t="n">
        <v>223500</v>
      </c>
      <c r="Q1061" s="299" t="n">
        <v>22361.88</v>
      </c>
      <c r="R1061" s="299" t="n">
        <v>201138.12</v>
      </c>
      <c r="S1061" s="300" t="n">
        <v>0.100053154362416</v>
      </c>
      <c r="T1061" t="n">
        <v>30</v>
      </c>
      <c r="U1061" t="n">
        <v>0</v>
      </c>
      <c r="V1061" t="n">
        <v>1130644.29</v>
      </c>
      <c r="W1061" s="300" t="n">
        <v>0.0438</v>
      </c>
      <c r="X1061" s="297" t="n">
        <v>33903</v>
      </c>
      <c r="Y1061">
        <f>IF(I1061="","No SIC",IFERROR(VLOOKUP(I1061,Ref!$A$2:$B$65,2,FALSE),"Unclassified"))</f>
        <v/>
      </c>
      <c r="Z1061">
        <f>IF(T1061="","",IF(T1061&lt;12,"Daily","Weekly"))</f>
        <v/>
      </c>
      <c r="AA1061">
        <f>IF(T1061="",0,IF(T1061&lt;12,T1061*Controls!$B$29,T1061*5))</f>
        <v/>
      </c>
      <c r="AB1061">
        <f>IF(E1061="",0,NETWORKDAYS(E1061,Controls!$B$36,Ref!$K$2:$K$42))</f>
        <v/>
      </c>
      <c r="AC1061">
        <f>IF(AND(AA1061&gt;0,AB1061&gt;=Controls!$B$39*AA1061),1,0)</f>
        <v/>
      </c>
      <c r="AD1061">
        <f>IF(AND(E1061&lt;&gt;"",E1061&gt;=Controls!$B$37,E1061&lt;=Controls!$B$38),1,0)</f>
        <v/>
      </c>
      <c r="AE1061">
        <f>IF(IFERROR(VLOOKUP(D1061,Controls!$A$64:$E$74,2,FALSE),"No")="Yes",1,0)</f>
        <v/>
      </c>
      <c r="AF1061">
        <f>IF(IFERROR(VLOOKUP(D1061,Controls!$A$64:$E$74,3,FALSE),"No")="Yes",1,0)</f>
        <v/>
      </c>
      <c r="AG1061">
        <f>IF(IFERROR(VLOOKUP(D1061,Controls!$A$64:$E$74,4,FALSE),"No")="Yes",1,0)</f>
        <v/>
      </c>
      <c r="AH1061">
        <f>IF(IFERROR(VLOOKUP(D1061,Controls!$A$64:$E$74,5,FALSE),"No")="Yes",1,0)</f>
        <v/>
      </c>
      <c r="AI1061">
        <f>IF(ISNUMBER(MATCH(D1061,Controls!$A$64:$A$74,0)),1,0)</f>
        <v/>
      </c>
      <c r="AJ1061">
        <f>Q1061-N1061</f>
        <v/>
      </c>
      <c r="AK1061">
        <f>IF(AE1061=1,MAX(0,N1061-Q1061),0)</f>
        <v/>
      </c>
      <c r="AL1061">
        <f>IF(OR(V1061="",V1061=0),0,N1061/V1061)</f>
        <v/>
      </c>
      <c r="AM1061">
        <f>IF(OR(V1061="",V1061=0),0,1)</f>
        <v/>
      </c>
      <c r="AN1061">
        <f>IF(OR(E1061="",F1061=""),0,NETWORKDAYS(E1061,F1061,Ref!$K$2:$K$42))</f>
        <v/>
      </c>
      <c r="AO1061">
        <f>IF(L1061="Renewal",1,0)</f>
        <v/>
      </c>
      <c r="AP1061">
        <f>AC1061*AD1061</f>
        <v/>
      </c>
      <c r="AQ1061">
        <f>IF(AND(G1061&lt;&gt;"",'Historical Score'!$C$6&lt;&gt;""),IF(G1061='Historical Score'!$C$6,1,0),0)</f>
        <v/>
      </c>
      <c r="AR1061">
        <f>IF(AND(L1061&lt;&gt;"",'Historical Score'!$C$5&lt;&gt;""),IF(L1061='Historical Score'!$C$5,1,0),0)</f>
        <v/>
      </c>
      <c r="AS1061">
        <f>IF(AND(Y1061&lt;&gt;"",'Historical Score'!$C$7&lt;&gt;""),IF(Y1061='Historical Score'!$C$7,1,0),0)</f>
        <v/>
      </c>
      <c r="AT1061">
        <f>IF(AND(K1061&lt;&gt;"",'Historical Score'!$C$8&lt;&gt;""),IF(K1061='Historical Score'!$C$8,1,0),0)</f>
        <v/>
      </c>
      <c r="AU1061">
        <f>IF(AND(J1061&lt;&gt;"",'Historical Score'!$C$9&lt;&gt;""),IF(J1061='Historical Score'!$C$9,1,0),0)</f>
        <v/>
      </c>
      <c r="AV1061">
        <f>AR1061*AS1061*AQ1061</f>
        <v/>
      </c>
      <c r="AW1061">
        <f>AR1061*AT1061*AQ1061</f>
        <v/>
      </c>
      <c r="AX1061">
        <f>AR1061*AS1061</f>
        <v/>
      </c>
      <c r="AY1061">
        <f>AR1061*AT1061</f>
        <v/>
      </c>
      <c r="AZ1061">
        <f>AR1061*AQ1061</f>
        <v/>
      </c>
      <c r="BA1061">
        <f>AR1061</f>
        <v/>
      </c>
      <c r="BB1061">
        <f>1</f>
        <v/>
      </c>
      <c r="BC1061">
        <f>IF(AV1061=1,1,IF(AW1061=1,2,IF(AX1061=1,3,IF(AY1061=1,4,IF(AZ1061=1,5,IF(BA1061=1,6,7))))))</f>
        <v/>
      </c>
      <c r="BD1061">
        <f>IF(AD1061=1,CHOOSE('Historical Score'!$C$29,AV1061,AW1061,AX1061,AY1061,AZ1061,BA1061,BB1061),0)</f>
        <v/>
      </c>
      <c r="BE1061">
        <f>IF(BD1061=1,COUNTIF($BD$2:BD1061,1),"")</f>
        <v/>
      </c>
    </row>
    <row r="1062">
      <c r="A1062" t="inlineStr">
        <is>
          <t>5674188312</t>
        </is>
      </c>
      <c r="B1062" t="inlineStr">
        <is>
          <t>EAGLE'S LOGISTIC AND DELIVERIES LLC</t>
        </is>
      </c>
      <c r="C1062" t="inlineStr">
        <is>
          <t>EAGLE'S LOGISTIC AND DELIVERIES LLC</t>
        </is>
      </c>
      <c r="D1062" t="inlineStr">
        <is>
          <t>Open</t>
        </is>
      </c>
      <c r="E1062" s="297" t="n">
        <v>46234</v>
      </c>
      <c r="F1062" s="297" t="n">
        <v>46248</v>
      </c>
      <c r="G1062" t="n">
        <v>3</v>
      </c>
      <c r="H1062" t="inlineStr">
        <is>
          <t>4212</t>
        </is>
      </c>
      <c r="I1062" t="inlineStr">
        <is>
          <t>42</t>
        </is>
      </c>
      <c r="J1062" t="inlineStr">
        <is>
          <t>FL</t>
        </is>
      </c>
      <c r="K1062" t="inlineStr">
        <is>
          <t>United Secured Capital 8</t>
        </is>
      </c>
      <c r="L1062" t="inlineStr">
        <is>
          <t>Renewal</t>
        </is>
      </c>
      <c r="M1062" s="298" t="n">
        <v>1.42</v>
      </c>
      <c r="N1062" s="299" t="n">
        <v>43000</v>
      </c>
      <c r="O1062" s="299" t="n">
        <v>4515</v>
      </c>
      <c r="P1062" s="299" t="n">
        <v>61060</v>
      </c>
      <c r="Q1062" s="299" t="n">
        <v>2777.02</v>
      </c>
      <c r="R1062" s="299" t="n">
        <v>58282.98</v>
      </c>
      <c r="S1062" s="300" t="n">
        <v>0.0454801834261382</v>
      </c>
      <c r="T1062" t="n">
        <v>44</v>
      </c>
      <c r="U1062" t="n">
        <v>0</v>
      </c>
      <c r="W1062" s="300" t="n">
        <v>0.0108</v>
      </c>
      <c r="X1062" s="297" t="n">
        <v>45524</v>
      </c>
      <c r="Y1062">
        <f>IF(I1062="","No SIC",IFERROR(VLOOKUP(I1062,Ref!$A$2:$B$65,2,FALSE),"Unclassified"))</f>
        <v/>
      </c>
      <c r="Z1062">
        <f>IF(T1062="","",IF(T1062&lt;12,"Daily","Weekly"))</f>
        <v/>
      </c>
      <c r="AA1062">
        <f>IF(T1062="",0,IF(T1062&lt;12,T1062*Controls!$B$29,T1062*5))</f>
        <v/>
      </c>
      <c r="AB1062">
        <f>IF(E1062="",0,NETWORKDAYS(E1062,Controls!$B$36,Ref!$K$2:$K$42))</f>
        <v/>
      </c>
      <c r="AC1062">
        <f>IF(AND(AA1062&gt;0,AB1062&gt;=Controls!$B$39*AA1062),1,0)</f>
        <v/>
      </c>
      <c r="AD1062">
        <f>IF(AND(E1062&lt;&gt;"",E1062&gt;=Controls!$B$37,E1062&lt;=Controls!$B$38),1,0)</f>
        <v/>
      </c>
      <c r="AE1062">
        <f>IF(IFERROR(VLOOKUP(D1062,Controls!$A$64:$E$74,2,FALSE),"No")="Yes",1,0)</f>
        <v/>
      </c>
      <c r="AF1062">
        <f>IF(IFERROR(VLOOKUP(D1062,Controls!$A$64:$E$74,3,FALSE),"No")="Yes",1,0)</f>
        <v/>
      </c>
      <c r="AG1062">
        <f>IF(IFERROR(VLOOKUP(D1062,Controls!$A$64:$E$74,4,FALSE),"No")="Yes",1,0)</f>
        <v/>
      </c>
      <c r="AH1062">
        <f>IF(IFERROR(VLOOKUP(D1062,Controls!$A$64:$E$74,5,FALSE),"No")="Yes",1,0)</f>
        <v/>
      </c>
      <c r="AI1062">
        <f>IF(ISNUMBER(MATCH(D1062,Controls!$A$64:$A$74,0)),1,0)</f>
        <v/>
      </c>
      <c r="AJ1062">
        <f>Q1062-N1062</f>
        <v/>
      </c>
      <c r="AK1062">
        <f>IF(AE1062=1,MAX(0,N1062-Q1062),0)</f>
        <v/>
      </c>
      <c r="AL1062">
        <f>IF(OR(V1062="",V1062=0),0,N1062/V1062)</f>
        <v/>
      </c>
      <c r="AM1062">
        <f>IF(OR(V1062="",V1062=0),0,1)</f>
        <v/>
      </c>
      <c r="AN1062">
        <f>IF(OR(E1062="",F1062=""),0,NETWORKDAYS(E1062,F1062,Ref!$K$2:$K$42))</f>
        <v/>
      </c>
      <c r="AO1062">
        <f>IF(L1062="Renewal",1,0)</f>
        <v/>
      </c>
      <c r="AP1062">
        <f>AC1062*AD1062</f>
        <v/>
      </c>
      <c r="AQ1062">
        <f>IF(AND(G1062&lt;&gt;"",'Historical Score'!$C$6&lt;&gt;""),IF(G1062='Historical Score'!$C$6,1,0),0)</f>
        <v/>
      </c>
      <c r="AR1062">
        <f>IF(AND(L1062&lt;&gt;"",'Historical Score'!$C$5&lt;&gt;""),IF(L1062='Historical Score'!$C$5,1,0),0)</f>
        <v/>
      </c>
      <c r="AS1062">
        <f>IF(AND(Y1062&lt;&gt;"",'Historical Score'!$C$7&lt;&gt;""),IF(Y1062='Historical Score'!$C$7,1,0),0)</f>
        <v/>
      </c>
      <c r="AT1062">
        <f>IF(AND(K1062&lt;&gt;"",'Historical Score'!$C$8&lt;&gt;""),IF(K1062='Historical Score'!$C$8,1,0),0)</f>
        <v/>
      </c>
      <c r="AU1062">
        <f>IF(AND(J1062&lt;&gt;"",'Historical Score'!$C$9&lt;&gt;""),IF(J1062='Historical Score'!$C$9,1,0),0)</f>
        <v/>
      </c>
      <c r="AV1062">
        <f>AR1062*AS1062*AQ1062</f>
        <v/>
      </c>
      <c r="AW1062">
        <f>AR1062*AT1062*AQ1062</f>
        <v/>
      </c>
      <c r="AX1062">
        <f>AR1062*AS1062</f>
        <v/>
      </c>
      <c r="AY1062">
        <f>AR1062*AT1062</f>
        <v/>
      </c>
      <c r="AZ1062">
        <f>AR1062*AQ1062</f>
        <v/>
      </c>
      <c r="BA1062">
        <f>AR1062</f>
        <v/>
      </c>
      <c r="BB1062">
        <f>1</f>
        <v/>
      </c>
      <c r="BC1062">
        <f>IF(AV1062=1,1,IF(AW1062=1,2,IF(AX1062=1,3,IF(AY1062=1,4,IF(AZ1062=1,5,IF(BA1062=1,6,7))))))</f>
        <v/>
      </c>
      <c r="BD1062">
        <f>IF(AD1062=1,CHOOSE('Historical Score'!$C$29,AV1062,AW1062,AX1062,AY1062,AZ1062,BA1062,BB1062),0)</f>
        <v/>
      </c>
      <c r="BE1062">
        <f>IF(BD1062=1,COUNTIF($BD$2:BD1062,1),"")</f>
        <v/>
      </c>
    </row>
    <row r="1063">
      <c r="A1063" t="inlineStr">
        <is>
          <t>5674188360</t>
        </is>
      </c>
      <c r="B1063" t="inlineStr">
        <is>
          <t>Precisely Pandas LLC</t>
        </is>
      </c>
      <c r="C1063" t="inlineStr">
        <is>
          <t>Precisely Pandas LLC</t>
        </is>
      </c>
      <c r="D1063" t="inlineStr">
        <is>
          <t>Open</t>
        </is>
      </c>
      <c r="E1063" s="297" t="n">
        <v>46234</v>
      </c>
      <c r="F1063" s="297" t="n">
        <v>46248</v>
      </c>
      <c r="G1063" t="n">
        <v>3</v>
      </c>
      <c r="H1063" t="inlineStr">
        <is>
          <t>5812</t>
        </is>
      </c>
      <c r="I1063" t="inlineStr">
        <is>
          <t>58</t>
        </is>
      </c>
      <c r="J1063" t="inlineStr">
        <is>
          <t>CT</t>
        </is>
      </c>
      <c r="K1063" t="inlineStr">
        <is>
          <t>National Business Capital</t>
        </is>
      </c>
      <c r="L1063" t="inlineStr">
        <is>
          <t>New Deal</t>
        </is>
      </c>
      <c r="M1063" s="298" t="n">
        <v>1.34</v>
      </c>
      <c r="N1063" s="299" t="n">
        <v>24000</v>
      </c>
      <c r="O1063" s="299" t="n">
        <v>1440</v>
      </c>
      <c r="P1063" s="299" t="n">
        <v>32160</v>
      </c>
      <c r="Q1063" s="299" t="n">
        <v>2007.86</v>
      </c>
      <c r="R1063" s="299" t="n">
        <v>30152.14</v>
      </c>
      <c r="S1063" s="300" t="n">
        <v>0.0624334577114428</v>
      </c>
      <c r="T1063" t="n">
        <v>32</v>
      </c>
      <c r="U1063" t="n">
        <v>0</v>
      </c>
      <c r="V1063" t="n">
        <v>126990.39</v>
      </c>
      <c r="W1063" s="300" t="n">
        <v>0.0447</v>
      </c>
      <c r="X1063" s="297" t="n">
        <v>46234</v>
      </c>
      <c r="Y1063">
        <f>IF(I1063="","No SIC",IFERROR(VLOOKUP(I1063,Ref!$A$2:$B$65,2,FALSE),"Unclassified"))</f>
        <v/>
      </c>
      <c r="Z1063">
        <f>IF(T1063="","",IF(T1063&lt;12,"Daily","Weekly"))</f>
        <v/>
      </c>
      <c r="AA1063">
        <f>IF(T1063="",0,IF(T1063&lt;12,T1063*Controls!$B$29,T1063*5))</f>
        <v/>
      </c>
      <c r="AB1063">
        <f>IF(E1063="",0,NETWORKDAYS(E1063,Controls!$B$36,Ref!$K$2:$K$42))</f>
        <v/>
      </c>
      <c r="AC1063">
        <f>IF(AND(AA1063&gt;0,AB1063&gt;=Controls!$B$39*AA1063),1,0)</f>
        <v/>
      </c>
      <c r="AD1063">
        <f>IF(AND(E1063&lt;&gt;"",E1063&gt;=Controls!$B$37,E1063&lt;=Controls!$B$38),1,0)</f>
        <v/>
      </c>
      <c r="AE1063">
        <f>IF(IFERROR(VLOOKUP(D1063,Controls!$A$64:$E$74,2,FALSE),"No")="Yes",1,0)</f>
        <v/>
      </c>
      <c r="AF1063">
        <f>IF(IFERROR(VLOOKUP(D1063,Controls!$A$64:$E$74,3,FALSE),"No")="Yes",1,0)</f>
        <v/>
      </c>
      <c r="AG1063">
        <f>IF(IFERROR(VLOOKUP(D1063,Controls!$A$64:$E$74,4,FALSE),"No")="Yes",1,0)</f>
        <v/>
      </c>
      <c r="AH1063">
        <f>IF(IFERROR(VLOOKUP(D1063,Controls!$A$64:$E$74,5,FALSE),"No")="Yes",1,0)</f>
        <v/>
      </c>
      <c r="AI1063">
        <f>IF(ISNUMBER(MATCH(D1063,Controls!$A$64:$A$74,0)),1,0)</f>
        <v/>
      </c>
      <c r="AJ1063">
        <f>Q1063-N1063</f>
        <v/>
      </c>
      <c r="AK1063">
        <f>IF(AE1063=1,MAX(0,N1063-Q1063),0)</f>
        <v/>
      </c>
      <c r="AL1063">
        <f>IF(OR(V1063="",V1063=0),0,N1063/V1063)</f>
        <v/>
      </c>
      <c r="AM1063">
        <f>IF(OR(V1063="",V1063=0),0,1)</f>
        <v/>
      </c>
      <c r="AN1063">
        <f>IF(OR(E1063="",F1063=""),0,NETWORKDAYS(E1063,F1063,Ref!$K$2:$K$42))</f>
        <v/>
      </c>
      <c r="AO1063">
        <f>IF(L1063="Renewal",1,0)</f>
        <v/>
      </c>
      <c r="AP1063">
        <f>AC1063*AD1063</f>
        <v/>
      </c>
      <c r="AQ1063">
        <f>IF(AND(G1063&lt;&gt;"",'Historical Score'!$C$6&lt;&gt;""),IF(G1063='Historical Score'!$C$6,1,0),0)</f>
        <v/>
      </c>
      <c r="AR1063">
        <f>IF(AND(L1063&lt;&gt;"",'Historical Score'!$C$5&lt;&gt;""),IF(L1063='Historical Score'!$C$5,1,0),0)</f>
        <v/>
      </c>
      <c r="AS1063">
        <f>IF(AND(Y1063&lt;&gt;"",'Historical Score'!$C$7&lt;&gt;""),IF(Y1063='Historical Score'!$C$7,1,0),0)</f>
        <v/>
      </c>
      <c r="AT1063">
        <f>IF(AND(K1063&lt;&gt;"",'Historical Score'!$C$8&lt;&gt;""),IF(K1063='Historical Score'!$C$8,1,0),0)</f>
        <v/>
      </c>
      <c r="AU1063">
        <f>IF(AND(J1063&lt;&gt;"",'Historical Score'!$C$9&lt;&gt;""),IF(J1063='Historical Score'!$C$9,1,0),0)</f>
        <v/>
      </c>
      <c r="AV1063">
        <f>AR1063*AS1063*AQ1063</f>
        <v/>
      </c>
      <c r="AW1063">
        <f>AR1063*AT1063*AQ1063</f>
        <v/>
      </c>
      <c r="AX1063">
        <f>AR1063*AS1063</f>
        <v/>
      </c>
      <c r="AY1063">
        <f>AR1063*AT1063</f>
        <v/>
      </c>
      <c r="AZ1063">
        <f>AR1063*AQ1063</f>
        <v/>
      </c>
      <c r="BA1063">
        <f>AR1063</f>
        <v/>
      </c>
      <c r="BB1063">
        <f>1</f>
        <v/>
      </c>
      <c r="BC1063">
        <f>IF(AV1063=1,1,IF(AW1063=1,2,IF(AX1063=1,3,IF(AY1063=1,4,IF(AZ1063=1,5,IF(BA1063=1,6,7))))))</f>
        <v/>
      </c>
      <c r="BD1063">
        <f>IF(AD1063=1,CHOOSE('Historical Score'!$C$29,AV1063,AW1063,AX1063,AY1063,AZ1063,BA1063,BB1063),0)</f>
        <v/>
      </c>
      <c r="BE1063">
        <f>IF(BD1063=1,COUNTIF($BD$2:BD1063,1),"")</f>
        <v/>
      </c>
    </row>
    <row r="1064">
      <c r="A1064" t="inlineStr">
        <is>
          <t>5674188430</t>
        </is>
      </c>
      <c r="B1064" t="inlineStr">
        <is>
          <t>ALONSO MEDICAL CENTER</t>
        </is>
      </c>
      <c r="C1064" t="inlineStr">
        <is>
          <t>ALONSO MEDICAL CENTER LLC, PLLC</t>
        </is>
      </c>
      <c r="D1064" t="inlineStr">
        <is>
          <t>Open</t>
        </is>
      </c>
      <c r="E1064" s="297" t="n">
        <v>46237</v>
      </c>
      <c r="F1064" s="297" t="n">
        <v>46248</v>
      </c>
      <c r="G1064" t="n">
        <v>2</v>
      </c>
      <c r="H1064" t="inlineStr">
        <is>
          <t>8011</t>
        </is>
      </c>
      <c r="I1064" t="inlineStr">
        <is>
          <t>80</t>
        </is>
      </c>
      <c r="J1064" t="inlineStr">
        <is>
          <t>NV</t>
        </is>
      </c>
      <c r="K1064" t="inlineStr">
        <is>
          <t>Premium Capital (AMRK)</t>
        </is>
      </c>
      <c r="L1064" t="inlineStr">
        <is>
          <t>New Deal</t>
        </is>
      </c>
      <c r="M1064" s="298" t="n">
        <v>1.47</v>
      </c>
      <c r="N1064" s="299" t="n">
        <v>175000</v>
      </c>
      <c r="O1064" s="299" t="n">
        <v>22750</v>
      </c>
      <c r="P1064" s="299" t="n">
        <v>257250</v>
      </c>
      <c r="Q1064" s="299" t="n">
        <v>17156.88</v>
      </c>
      <c r="R1064" s="299" t="n">
        <v>240093.12</v>
      </c>
      <c r="S1064" s="300" t="n">
        <v>0.06669341107871719</v>
      </c>
      <c r="T1064" t="n">
        <v>30</v>
      </c>
      <c r="U1064" t="n">
        <v>0</v>
      </c>
      <c r="V1064" t="n">
        <v>341624.9</v>
      </c>
      <c r="W1064" s="300" t="n">
        <v>0.1004</v>
      </c>
      <c r="X1064" s="297" t="n">
        <v>45437</v>
      </c>
      <c r="Y1064">
        <f>IF(I1064="","No SIC",IFERROR(VLOOKUP(I1064,Ref!$A$2:$B$65,2,FALSE),"Unclassified"))</f>
        <v/>
      </c>
      <c r="Z1064">
        <f>IF(T1064="","",IF(T1064&lt;12,"Daily","Weekly"))</f>
        <v/>
      </c>
      <c r="AA1064">
        <f>IF(T1064="",0,IF(T1064&lt;12,T1064*Controls!$B$29,T1064*5))</f>
        <v/>
      </c>
      <c r="AB1064">
        <f>IF(E1064="",0,NETWORKDAYS(E1064,Controls!$B$36,Ref!$K$2:$K$42))</f>
        <v/>
      </c>
      <c r="AC1064">
        <f>IF(AND(AA1064&gt;0,AB1064&gt;=Controls!$B$39*AA1064),1,0)</f>
        <v/>
      </c>
      <c r="AD1064">
        <f>IF(AND(E1064&lt;&gt;"",E1064&gt;=Controls!$B$37,E1064&lt;=Controls!$B$38),1,0)</f>
        <v/>
      </c>
      <c r="AE1064">
        <f>IF(IFERROR(VLOOKUP(D1064,Controls!$A$64:$E$74,2,FALSE),"No")="Yes",1,0)</f>
        <v/>
      </c>
      <c r="AF1064">
        <f>IF(IFERROR(VLOOKUP(D1064,Controls!$A$64:$E$74,3,FALSE),"No")="Yes",1,0)</f>
        <v/>
      </c>
      <c r="AG1064">
        <f>IF(IFERROR(VLOOKUP(D1064,Controls!$A$64:$E$74,4,FALSE),"No")="Yes",1,0)</f>
        <v/>
      </c>
      <c r="AH1064">
        <f>IF(IFERROR(VLOOKUP(D1064,Controls!$A$64:$E$74,5,FALSE),"No")="Yes",1,0)</f>
        <v/>
      </c>
      <c r="AI1064">
        <f>IF(ISNUMBER(MATCH(D1064,Controls!$A$64:$A$74,0)),1,0)</f>
        <v/>
      </c>
      <c r="AJ1064">
        <f>Q1064-N1064</f>
        <v/>
      </c>
      <c r="AK1064">
        <f>IF(AE1064=1,MAX(0,N1064-Q1064),0)</f>
        <v/>
      </c>
      <c r="AL1064">
        <f>IF(OR(V1064="",V1064=0),0,N1064/V1064)</f>
        <v/>
      </c>
      <c r="AM1064">
        <f>IF(OR(V1064="",V1064=0),0,1)</f>
        <v/>
      </c>
      <c r="AN1064">
        <f>IF(OR(E1064="",F1064=""),0,NETWORKDAYS(E1064,F1064,Ref!$K$2:$K$42))</f>
        <v/>
      </c>
      <c r="AO1064">
        <f>IF(L1064="Renewal",1,0)</f>
        <v/>
      </c>
      <c r="AP1064">
        <f>AC1064*AD1064</f>
        <v/>
      </c>
      <c r="AQ1064">
        <f>IF(AND(G1064&lt;&gt;"",'Historical Score'!$C$6&lt;&gt;""),IF(G1064='Historical Score'!$C$6,1,0),0)</f>
        <v/>
      </c>
      <c r="AR1064">
        <f>IF(AND(L1064&lt;&gt;"",'Historical Score'!$C$5&lt;&gt;""),IF(L1064='Historical Score'!$C$5,1,0),0)</f>
        <v/>
      </c>
      <c r="AS1064">
        <f>IF(AND(Y1064&lt;&gt;"",'Historical Score'!$C$7&lt;&gt;""),IF(Y1064='Historical Score'!$C$7,1,0),0)</f>
        <v/>
      </c>
      <c r="AT1064">
        <f>IF(AND(K1064&lt;&gt;"",'Historical Score'!$C$8&lt;&gt;""),IF(K1064='Historical Score'!$C$8,1,0),0)</f>
        <v/>
      </c>
      <c r="AU1064">
        <f>IF(AND(J1064&lt;&gt;"",'Historical Score'!$C$9&lt;&gt;""),IF(J1064='Historical Score'!$C$9,1,0),0)</f>
        <v/>
      </c>
      <c r="AV1064">
        <f>AR1064*AS1064*AQ1064</f>
        <v/>
      </c>
      <c r="AW1064">
        <f>AR1064*AT1064*AQ1064</f>
        <v/>
      </c>
      <c r="AX1064">
        <f>AR1064*AS1064</f>
        <v/>
      </c>
      <c r="AY1064">
        <f>AR1064*AT1064</f>
        <v/>
      </c>
      <c r="AZ1064">
        <f>AR1064*AQ1064</f>
        <v/>
      </c>
      <c r="BA1064">
        <f>AR1064</f>
        <v/>
      </c>
      <c r="BB1064">
        <f>1</f>
        <v/>
      </c>
      <c r="BC1064">
        <f>IF(AV1064=1,1,IF(AW1064=1,2,IF(AX1064=1,3,IF(AY1064=1,4,IF(AZ1064=1,5,IF(BA1064=1,6,7))))))</f>
        <v/>
      </c>
      <c r="BD1064">
        <f>IF(AD1064=1,CHOOSE('Historical Score'!$C$29,AV1064,AW1064,AX1064,AY1064,AZ1064,BA1064,BB1064),0)</f>
        <v/>
      </c>
      <c r="BE1064">
        <f>IF(BD1064=1,COUNTIF($BD$2:BD1064,1),"")</f>
        <v/>
      </c>
    </row>
    <row r="1065">
      <c r="A1065" t="inlineStr">
        <is>
          <t>5674188624</t>
        </is>
      </c>
      <c r="B1065" t="inlineStr">
        <is>
          <t>SOUTHRIDGE PEDIATRIC DENTISTRY</t>
        </is>
      </c>
      <c r="C1065" t="inlineStr">
        <is>
          <t>David c Roth DDS LLC</t>
        </is>
      </c>
      <c r="D1065" t="inlineStr">
        <is>
          <t>Open</t>
        </is>
      </c>
      <c r="E1065" s="297" t="n">
        <v>46239</v>
      </c>
      <c r="F1065" s="297" t="n">
        <v>46252</v>
      </c>
      <c r="G1065" t="n">
        <v>2</v>
      </c>
      <c r="H1065" t="inlineStr">
        <is>
          <t>8021</t>
        </is>
      </c>
      <c r="I1065" t="inlineStr">
        <is>
          <t>80</t>
        </is>
      </c>
      <c r="J1065" t="inlineStr">
        <is>
          <t>UT</t>
        </is>
      </c>
      <c r="K1065" t="inlineStr">
        <is>
          <t>Premium Capital (AMRK)</t>
        </is>
      </c>
      <c r="L1065" t="inlineStr">
        <is>
          <t>New Deal</t>
        </is>
      </c>
      <c r="M1065" s="298" t="n">
        <v>1.36</v>
      </c>
      <c r="N1065" s="299" t="n">
        <v>75000</v>
      </c>
      <c r="O1065" s="299" t="n">
        <v>5625</v>
      </c>
      <c r="P1065" s="299" t="n">
        <v>102000</v>
      </c>
      <c r="Q1065" s="299" t="n">
        <v>6375</v>
      </c>
      <c r="R1065" s="299" t="n">
        <v>95625</v>
      </c>
      <c r="S1065" s="300" t="n">
        <v>0.0625</v>
      </c>
      <c r="T1065" t="n">
        <v>32</v>
      </c>
      <c r="U1065" t="n">
        <v>0</v>
      </c>
      <c r="V1065" t="n">
        <v>29886.36</v>
      </c>
      <c r="W1065" s="300" t="n">
        <v>0.08500000000000001</v>
      </c>
      <c r="X1065" s="297" t="n">
        <v>38893</v>
      </c>
      <c r="Y1065">
        <f>IF(I1065="","No SIC",IFERROR(VLOOKUP(I1065,Ref!$A$2:$B$65,2,FALSE),"Unclassified"))</f>
        <v/>
      </c>
      <c r="Z1065">
        <f>IF(T1065="","",IF(T1065&lt;12,"Daily","Weekly"))</f>
        <v/>
      </c>
      <c r="AA1065">
        <f>IF(T1065="",0,IF(T1065&lt;12,T1065*Controls!$B$29,T1065*5))</f>
        <v/>
      </c>
      <c r="AB1065">
        <f>IF(E1065="",0,NETWORKDAYS(E1065,Controls!$B$36,Ref!$K$2:$K$42))</f>
        <v/>
      </c>
      <c r="AC1065">
        <f>IF(AND(AA1065&gt;0,AB1065&gt;=Controls!$B$39*AA1065),1,0)</f>
        <v/>
      </c>
      <c r="AD1065">
        <f>IF(AND(E1065&lt;&gt;"",E1065&gt;=Controls!$B$37,E1065&lt;=Controls!$B$38),1,0)</f>
        <v/>
      </c>
      <c r="AE1065">
        <f>IF(IFERROR(VLOOKUP(D1065,Controls!$A$64:$E$74,2,FALSE),"No")="Yes",1,0)</f>
        <v/>
      </c>
      <c r="AF1065">
        <f>IF(IFERROR(VLOOKUP(D1065,Controls!$A$64:$E$74,3,FALSE),"No")="Yes",1,0)</f>
        <v/>
      </c>
      <c r="AG1065">
        <f>IF(IFERROR(VLOOKUP(D1065,Controls!$A$64:$E$74,4,FALSE),"No")="Yes",1,0)</f>
        <v/>
      </c>
      <c r="AH1065">
        <f>IF(IFERROR(VLOOKUP(D1065,Controls!$A$64:$E$74,5,FALSE),"No")="Yes",1,0)</f>
        <v/>
      </c>
      <c r="AI1065">
        <f>IF(ISNUMBER(MATCH(D1065,Controls!$A$64:$A$74,0)),1,0)</f>
        <v/>
      </c>
      <c r="AJ1065">
        <f>Q1065-N1065</f>
        <v/>
      </c>
      <c r="AK1065">
        <f>IF(AE1065=1,MAX(0,N1065-Q1065),0)</f>
        <v/>
      </c>
      <c r="AL1065">
        <f>IF(OR(V1065="",V1065=0),0,N1065/V1065)</f>
        <v/>
      </c>
      <c r="AM1065">
        <f>IF(OR(V1065="",V1065=0),0,1)</f>
        <v/>
      </c>
      <c r="AN1065">
        <f>IF(OR(E1065="",F1065=""),0,NETWORKDAYS(E1065,F1065,Ref!$K$2:$K$42))</f>
        <v/>
      </c>
      <c r="AO1065">
        <f>IF(L1065="Renewal",1,0)</f>
        <v/>
      </c>
      <c r="AP1065">
        <f>AC1065*AD1065</f>
        <v/>
      </c>
      <c r="AQ1065">
        <f>IF(AND(G1065&lt;&gt;"",'Historical Score'!$C$6&lt;&gt;""),IF(G1065='Historical Score'!$C$6,1,0),0)</f>
        <v/>
      </c>
      <c r="AR1065">
        <f>IF(AND(L1065&lt;&gt;"",'Historical Score'!$C$5&lt;&gt;""),IF(L1065='Historical Score'!$C$5,1,0),0)</f>
        <v/>
      </c>
      <c r="AS1065">
        <f>IF(AND(Y1065&lt;&gt;"",'Historical Score'!$C$7&lt;&gt;""),IF(Y1065='Historical Score'!$C$7,1,0),0)</f>
        <v/>
      </c>
      <c r="AT1065">
        <f>IF(AND(K1065&lt;&gt;"",'Historical Score'!$C$8&lt;&gt;""),IF(K1065='Historical Score'!$C$8,1,0),0)</f>
        <v/>
      </c>
      <c r="AU1065">
        <f>IF(AND(J1065&lt;&gt;"",'Historical Score'!$C$9&lt;&gt;""),IF(J1065='Historical Score'!$C$9,1,0),0)</f>
        <v/>
      </c>
      <c r="AV1065">
        <f>AR1065*AS1065*AQ1065</f>
        <v/>
      </c>
      <c r="AW1065">
        <f>AR1065*AT1065*AQ1065</f>
        <v/>
      </c>
      <c r="AX1065">
        <f>AR1065*AS1065</f>
        <v/>
      </c>
      <c r="AY1065">
        <f>AR1065*AT1065</f>
        <v/>
      </c>
      <c r="AZ1065">
        <f>AR1065*AQ1065</f>
        <v/>
      </c>
      <c r="BA1065">
        <f>AR1065</f>
        <v/>
      </c>
      <c r="BB1065">
        <f>1</f>
        <v/>
      </c>
      <c r="BC1065">
        <f>IF(AV1065=1,1,IF(AW1065=1,2,IF(AX1065=1,3,IF(AY1065=1,4,IF(AZ1065=1,5,IF(BA1065=1,6,7))))))</f>
        <v/>
      </c>
      <c r="BD1065">
        <f>IF(AD1065=1,CHOOSE('Historical Score'!$C$29,AV1065,AW1065,AX1065,AY1065,AZ1065,BA1065,BB1065),0)</f>
        <v/>
      </c>
      <c r="BE1065">
        <f>IF(BD1065=1,COUNTIF($BD$2:BD1065,1),"")</f>
        <v/>
      </c>
    </row>
    <row r="1066">
      <c r="A1066" t="inlineStr">
        <is>
          <t>5674188733</t>
        </is>
      </c>
      <c r="B1066" t="inlineStr">
        <is>
          <t>Shriyas Kitchen</t>
        </is>
      </c>
      <c r="C1066" t="inlineStr">
        <is>
          <t>SILPA'S INTERNATIONAL FOODS LLC</t>
        </is>
      </c>
      <c r="D1066" t="inlineStr">
        <is>
          <t>Open</t>
        </is>
      </c>
      <c r="E1066" s="297" t="n">
        <v>46240</v>
      </c>
      <c r="F1066" s="297" t="n">
        <v>46248</v>
      </c>
      <c r="G1066" t="n">
        <v>2</v>
      </c>
      <c r="H1066" t="inlineStr">
        <is>
          <t>5812</t>
        </is>
      </c>
      <c r="I1066" t="inlineStr">
        <is>
          <t>58</t>
        </is>
      </c>
      <c r="J1066" t="inlineStr">
        <is>
          <t>FL</t>
        </is>
      </c>
      <c r="K1066" t="inlineStr">
        <is>
          <t>Fund Simple</t>
        </is>
      </c>
      <c r="L1066" t="inlineStr">
        <is>
          <t>Renewal</t>
        </is>
      </c>
      <c r="M1066" s="298" t="n">
        <v>1.49</v>
      </c>
      <c r="N1066" s="299" t="n">
        <v>27000</v>
      </c>
      <c r="O1066" s="299" t="n">
        <v>3780</v>
      </c>
      <c r="P1066" s="299" t="n">
        <v>40230</v>
      </c>
      <c r="Q1066" s="299" t="n">
        <v>1547.25</v>
      </c>
      <c r="R1066" s="299" t="n">
        <v>38682.75</v>
      </c>
      <c r="S1066" s="300" t="n">
        <v>0.0384601043997017</v>
      </c>
      <c r="T1066" t="n">
        <v>26</v>
      </c>
      <c r="U1066" t="n">
        <v>0</v>
      </c>
      <c r="V1066" t="n">
        <v>58969.27</v>
      </c>
      <c r="W1066" s="300" t="n">
        <v>0.0999</v>
      </c>
      <c r="X1066" s="297" t="n">
        <v>45355</v>
      </c>
      <c r="Y1066">
        <f>IF(I1066="","No SIC",IFERROR(VLOOKUP(I1066,Ref!$A$2:$B$65,2,FALSE),"Unclassified"))</f>
        <v/>
      </c>
      <c r="Z1066">
        <f>IF(T1066="","",IF(T1066&lt;12,"Daily","Weekly"))</f>
        <v/>
      </c>
      <c r="AA1066">
        <f>IF(T1066="",0,IF(T1066&lt;12,T1066*Controls!$B$29,T1066*5))</f>
        <v/>
      </c>
      <c r="AB1066">
        <f>IF(E1066="",0,NETWORKDAYS(E1066,Controls!$B$36,Ref!$K$2:$K$42))</f>
        <v/>
      </c>
      <c r="AC1066">
        <f>IF(AND(AA1066&gt;0,AB1066&gt;=Controls!$B$39*AA1066),1,0)</f>
        <v/>
      </c>
      <c r="AD1066">
        <f>IF(AND(E1066&lt;&gt;"",E1066&gt;=Controls!$B$37,E1066&lt;=Controls!$B$38),1,0)</f>
        <v/>
      </c>
      <c r="AE1066">
        <f>IF(IFERROR(VLOOKUP(D1066,Controls!$A$64:$E$74,2,FALSE),"No")="Yes",1,0)</f>
        <v/>
      </c>
      <c r="AF1066">
        <f>IF(IFERROR(VLOOKUP(D1066,Controls!$A$64:$E$74,3,FALSE),"No")="Yes",1,0)</f>
        <v/>
      </c>
      <c r="AG1066">
        <f>IF(IFERROR(VLOOKUP(D1066,Controls!$A$64:$E$74,4,FALSE),"No")="Yes",1,0)</f>
        <v/>
      </c>
      <c r="AH1066">
        <f>IF(IFERROR(VLOOKUP(D1066,Controls!$A$64:$E$74,5,FALSE),"No")="Yes",1,0)</f>
        <v/>
      </c>
      <c r="AI1066">
        <f>IF(ISNUMBER(MATCH(D1066,Controls!$A$64:$A$74,0)),1,0)</f>
        <v/>
      </c>
      <c r="AJ1066">
        <f>Q1066-N1066</f>
        <v/>
      </c>
      <c r="AK1066">
        <f>IF(AE1066=1,MAX(0,N1066-Q1066),0)</f>
        <v/>
      </c>
      <c r="AL1066">
        <f>IF(OR(V1066="",V1066=0),0,N1066/V1066)</f>
        <v/>
      </c>
      <c r="AM1066">
        <f>IF(OR(V1066="",V1066=0),0,1)</f>
        <v/>
      </c>
      <c r="AN1066">
        <f>IF(OR(E1066="",F1066=""),0,NETWORKDAYS(E1066,F1066,Ref!$K$2:$K$42))</f>
        <v/>
      </c>
      <c r="AO1066">
        <f>IF(L1066="Renewal",1,0)</f>
        <v/>
      </c>
      <c r="AP1066">
        <f>AC1066*AD1066</f>
        <v/>
      </c>
      <c r="AQ1066">
        <f>IF(AND(G1066&lt;&gt;"",'Historical Score'!$C$6&lt;&gt;""),IF(G1066='Historical Score'!$C$6,1,0),0)</f>
        <v/>
      </c>
      <c r="AR1066">
        <f>IF(AND(L1066&lt;&gt;"",'Historical Score'!$C$5&lt;&gt;""),IF(L1066='Historical Score'!$C$5,1,0),0)</f>
        <v/>
      </c>
      <c r="AS1066">
        <f>IF(AND(Y1066&lt;&gt;"",'Historical Score'!$C$7&lt;&gt;""),IF(Y1066='Historical Score'!$C$7,1,0),0)</f>
        <v/>
      </c>
      <c r="AT1066">
        <f>IF(AND(K1066&lt;&gt;"",'Historical Score'!$C$8&lt;&gt;""),IF(K1066='Historical Score'!$C$8,1,0),0)</f>
        <v/>
      </c>
      <c r="AU1066">
        <f>IF(AND(J1066&lt;&gt;"",'Historical Score'!$C$9&lt;&gt;""),IF(J1066='Historical Score'!$C$9,1,0),0)</f>
        <v/>
      </c>
      <c r="AV1066">
        <f>AR1066*AS1066*AQ1066</f>
        <v/>
      </c>
      <c r="AW1066">
        <f>AR1066*AT1066*AQ1066</f>
        <v/>
      </c>
      <c r="AX1066">
        <f>AR1066*AS1066</f>
        <v/>
      </c>
      <c r="AY1066">
        <f>AR1066*AT1066</f>
        <v/>
      </c>
      <c r="AZ1066">
        <f>AR1066*AQ1066</f>
        <v/>
      </c>
      <c r="BA1066">
        <f>AR1066</f>
        <v/>
      </c>
      <c r="BB1066">
        <f>1</f>
        <v/>
      </c>
      <c r="BC1066">
        <f>IF(AV1066=1,1,IF(AW1066=1,2,IF(AX1066=1,3,IF(AY1066=1,4,IF(AZ1066=1,5,IF(BA1066=1,6,7))))))</f>
        <v/>
      </c>
      <c r="BD1066">
        <f>IF(AD1066=1,CHOOSE('Historical Score'!$C$29,AV1066,AW1066,AX1066,AY1066,AZ1066,BA1066,BB1066),0)</f>
        <v/>
      </c>
      <c r="BE1066">
        <f>IF(BD1066=1,COUNTIF($BD$2:BD1066,1),"")</f>
        <v/>
      </c>
    </row>
    <row r="1067">
      <c r="A1067" t="inlineStr">
        <is>
          <t>5674188742</t>
        </is>
      </c>
      <c r="B1067" t="inlineStr">
        <is>
          <t>POPS DBM</t>
        </is>
      </c>
      <c r="C1067" t="inlineStr">
        <is>
          <t>POPS DBM LLC</t>
        </is>
      </c>
      <c r="D1067" t="inlineStr">
        <is>
          <t>Open</t>
        </is>
      </c>
      <c r="E1067" s="297" t="n">
        <v>46240</v>
      </c>
      <c r="F1067" s="297" t="n">
        <v>46253</v>
      </c>
      <c r="G1067" t="n">
        <v>8</v>
      </c>
      <c r="H1067" t="inlineStr">
        <is>
          <t>1751</t>
        </is>
      </c>
      <c r="I1067" t="inlineStr">
        <is>
          <t>17</t>
        </is>
      </c>
      <c r="J1067" t="inlineStr">
        <is>
          <t>NC</t>
        </is>
      </c>
      <c r="K1067" t="inlineStr">
        <is>
          <t>Elite Advance 5</t>
        </is>
      </c>
      <c r="L1067" t="inlineStr">
        <is>
          <t>Renewal</t>
        </is>
      </c>
      <c r="M1067" s="298" t="n">
        <v>1.49</v>
      </c>
      <c r="N1067" s="299" t="n">
        <v>120000</v>
      </c>
      <c r="O1067" s="299" t="n">
        <v>16800</v>
      </c>
      <c r="P1067" s="299" t="n">
        <v>178800</v>
      </c>
      <c r="Q1067" s="299" t="n">
        <v>13874.42</v>
      </c>
      <c r="R1067" s="299" t="n">
        <v>164925.58</v>
      </c>
      <c r="S1067" s="300" t="n">
        <v>0.0775974272930649</v>
      </c>
      <c r="T1067" t="n">
        <v>4.557</v>
      </c>
      <c r="U1067" t="n">
        <v>0</v>
      </c>
      <c r="V1067" t="n">
        <v>220171.86</v>
      </c>
      <c r="W1067" s="300" t="n">
        <v>0.08840000000000001</v>
      </c>
      <c r="X1067" s="297" t="n"/>
      <c r="Y1067">
        <f>IF(I1067="","No SIC",IFERROR(VLOOKUP(I1067,Ref!$A$2:$B$65,2,FALSE),"Unclassified"))</f>
        <v/>
      </c>
      <c r="Z1067">
        <f>IF(T1067="","",IF(T1067&lt;12,"Daily","Weekly"))</f>
        <v/>
      </c>
      <c r="AA1067">
        <f>IF(T1067="",0,IF(T1067&lt;12,T1067*Controls!$B$29,T1067*5))</f>
        <v/>
      </c>
      <c r="AB1067">
        <f>IF(E1067="",0,NETWORKDAYS(E1067,Controls!$B$36,Ref!$K$2:$K$42))</f>
        <v/>
      </c>
      <c r="AC1067">
        <f>IF(AND(AA1067&gt;0,AB1067&gt;=Controls!$B$39*AA1067),1,0)</f>
        <v/>
      </c>
      <c r="AD1067">
        <f>IF(AND(E1067&lt;&gt;"",E1067&gt;=Controls!$B$37,E1067&lt;=Controls!$B$38),1,0)</f>
        <v/>
      </c>
      <c r="AE1067">
        <f>IF(IFERROR(VLOOKUP(D1067,Controls!$A$64:$E$74,2,FALSE),"No")="Yes",1,0)</f>
        <v/>
      </c>
      <c r="AF1067">
        <f>IF(IFERROR(VLOOKUP(D1067,Controls!$A$64:$E$74,3,FALSE),"No")="Yes",1,0)</f>
        <v/>
      </c>
      <c r="AG1067">
        <f>IF(IFERROR(VLOOKUP(D1067,Controls!$A$64:$E$74,4,FALSE),"No")="Yes",1,0)</f>
        <v/>
      </c>
      <c r="AH1067">
        <f>IF(IFERROR(VLOOKUP(D1067,Controls!$A$64:$E$74,5,FALSE),"No")="Yes",1,0)</f>
        <v/>
      </c>
      <c r="AI1067">
        <f>IF(ISNUMBER(MATCH(D1067,Controls!$A$64:$A$74,0)),1,0)</f>
        <v/>
      </c>
      <c r="AJ1067">
        <f>Q1067-N1067</f>
        <v/>
      </c>
      <c r="AK1067">
        <f>IF(AE1067=1,MAX(0,N1067-Q1067),0)</f>
        <v/>
      </c>
      <c r="AL1067">
        <f>IF(OR(V1067="",V1067=0),0,N1067/V1067)</f>
        <v/>
      </c>
      <c r="AM1067">
        <f>IF(OR(V1067="",V1067=0),0,1)</f>
        <v/>
      </c>
      <c r="AN1067">
        <f>IF(OR(E1067="",F1067=""),0,NETWORKDAYS(E1067,F1067,Ref!$K$2:$K$42))</f>
        <v/>
      </c>
      <c r="AO1067">
        <f>IF(L1067="Renewal",1,0)</f>
        <v/>
      </c>
      <c r="AP1067">
        <f>AC1067*AD1067</f>
        <v/>
      </c>
      <c r="AQ1067">
        <f>IF(AND(G1067&lt;&gt;"",'Historical Score'!$C$6&lt;&gt;""),IF(G1067='Historical Score'!$C$6,1,0),0)</f>
        <v/>
      </c>
      <c r="AR1067">
        <f>IF(AND(L1067&lt;&gt;"",'Historical Score'!$C$5&lt;&gt;""),IF(L1067='Historical Score'!$C$5,1,0),0)</f>
        <v/>
      </c>
      <c r="AS1067">
        <f>IF(AND(Y1067&lt;&gt;"",'Historical Score'!$C$7&lt;&gt;""),IF(Y1067='Historical Score'!$C$7,1,0),0)</f>
        <v/>
      </c>
      <c r="AT1067">
        <f>IF(AND(K1067&lt;&gt;"",'Historical Score'!$C$8&lt;&gt;""),IF(K1067='Historical Score'!$C$8,1,0),0)</f>
        <v/>
      </c>
      <c r="AU1067">
        <f>IF(AND(J1067&lt;&gt;"",'Historical Score'!$C$9&lt;&gt;""),IF(J1067='Historical Score'!$C$9,1,0),0)</f>
        <v/>
      </c>
      <c r="AV1067">
        <f>AR1067*AS1067*AQ1067</f>
        <v/>
      </c>
      <c r="AW1067">
        <f>AR1067*AT1067*AQ1067</f>
        <v/>
      </c>
      <c r="AX1067">
        <f>AR1067*AS1067</f>
        <v/>
      </c>
      <c r="AY1067">
        <f>AR1067*AT1067</f>
        <v/>
      </c>
      <c r="AZ1067">
        <f>AR1067*AQ1067</f>
        <v/>
      </c>
      <c r="BA1067">
        <f>AR1067</f>
        <v/>
      </c>
      <c r="BB1067">
        <f>1</f>
        <v/>
      </c>
      <c r="BC1067">
        <f>IF(AV1067=1,1,IF(AW1067=1,2,IF(AX1067=1,3,IF(AY1067=1,4,IF(AZ1067=1,5,IF(BA1067=1,6,7))))))</f>
        <v/>
      </c>
      <c r="BD1067">
        <f>IF(AD1067=1,CHOOSE('Historical Score'!$C$29,AV1067,AW1067,AX1067,AY1067,AZ1067,BA1067,BB1067),0)</f>
        <v/>
      </c>
      <c r="BE1067">
        <f>IF(BD1067=1,COUNTIF($BD$2:BD1067,1),"")</f>
        <v/>
      </c>
    </row>
    <row r="1068">
      <c r="A1068" t="inlineStr">
        <is>
          <t>5674188778</t>
        </is>
      </c>
      <c r="B1068" t="inlineStr">
        <is>
          <t>SILER LAW OFFICE, PLLC , DANIEL R SILER SOLE PROP</t>
        </is>
      </c>
      <c r="C1068" t="inlineStr">
        <is>
          <t>SILER LAW OFFICE PLLC</t>
        </is>
      </c>
      <c r="D1068" t="inlineStr">
        <is>
          <t>Open</t>
        </is>
      </c>
      <c r="E1068" s="297" t="n">
        <v>46241</v>
      </c>
      <c r="F1068" s="297" t="n">
        <v>46247</v>
      </c>
      <c r="G1068" t="n">
        <v>2</v>
      </c>
      <c r="H1068" t="inlineStr">
        <is>
          <t>8111</t>
        </is>
      </c>
      <c r="I1068" t="inlineStr">
        <is>
          <t>81</t>
        </is>
      </c>
      <c r="J1068" t="inlineStr">
        <is>
          <t>TX</t>
        </is>
      </c>
      <c r="K1068" t="inlineStr">
        <is>
          <t>Vanguard Equities</t>
        </is>
      </c>
      <c r="L1068" t="inlineStr">
        <is>
          <t>New Deal</t>
        </is>
      </c>
      <c r="M1068" s="298" t="n">
        <v>1.49</v>
      </c>
      <c r="N1068" s="299" t="n">
        <v>42000</v>
      </c>
      <c r="O1068" s="299" t="n">
        <v>5880</v>
      </c>
      <c r="P1068" s="299" t="n">
        <v>62580</v>
      </c>
      <c r="Q1068" s="299" t="n">
        <v>1564.81</v>
      </c>
      <c r="R1068" s="299" t="n">
        <v>61015.19</v>
      </c>
      <c r="S1068" s="300" t="n">
        <v>0.0250049536593161</v>
      </c>
      <c r="T1068" t="n">
        <v>40</v>
      </c>
      <c r="U1068" t="n">
        <v>0</v>
      </c>
      <c r="V1068" t="n">
        <v>36905.9</v>
      </c>
      <c r="W1068" s="300" t="n">
        <v>0.1696</v>
      </c>
      <c r="X1068" s="297" t="n">
        <v>35916</v>
      </c>
      <c r="Y1068">
        <f>IF(I1068="","No SIC",IFERROR(VLOOKUP(I1068,Ref!$A$2:$B$65,2,FALSE),"Unclassified"))</f>
        <v/>
      </c>
      <c r="Z1068">
        <f>IF(T1068="","",IF(T1068&lt;12,"Daily","Weekly"))</f>
        <v/>
      </c>
      <c r="AA1068">
        <f>IF(T1068="",0,IF(T1068&lt;12,T1068*Controls!$B$29,T1068*5))</f>
        <v/>
      </c>
      <c r="AB1068">
        <f>IF(E1068="",0,NETWORKDAYS(E1068,Controls!$B$36,Ref!$K$2:$K$42))</f>
        <v/>
      </c>
      <c r="AC1068">
        <f>IF(AND(AA1068&gt;0,AB1068&gt;=Controls!$B$39*AA1068),1,0)</f>
        <v/>
      </c>
      <c r="AD1068">
        <f>IF(AND(E1068&lt;&gt;"",E1068&gt;=Controls!$B$37,E1068&lt;=Controls!$B$38),1,0)</f>
        <v/>
      </c>
      <c r="AE1068">
        <f>IF(IFERROR(VLOOKUP(D1068,Controls!$A$64:$E$74,2,FALSE),"No")="Yes",1,0)</f>
        <v/>
      </c>
      <c r="AF1068">
        <f>IF(IFERROR(VLOOKUP(D1068,Controls!$A$64:$E$74,3,FALSE),"No")="Yes",1,0)</f>
        <v/>
      </c>
      <c r="AG1068">
        <f>IF(IFERROR(VLOOKUP(D1068,Controls!$A$64:$E$74,4,FALSE),"No")="Yes",1,0)</f>
        <v/>
      </c>
      <c r="AH1068">
        <f>IF(IFERROR(VLOOKUP(D1068,Controls!$A$64:$E$74,5,FALSE),"No")="Yes",1,0)</f>
        <v/>
      </c>
      <c r="AI1068">
        <f>IF(ISNUMBER(MATCH(D1068,Controls!$A$64:$A$74,0)),1,0)</f>
        <v/>
      </c>
      <c r="AJ1068">
        <f>Q1068-N1068</f>
        <v/>
      </c>
      <c r="AK1068">
        <f>IF(AE1068=1,MAX(0,N1068-Q1068),0)</f>
        <v/>
      </c>
      <c r="AL1068">
        <f>IF(OR(V1068="",V1068=0),0,N1068/V1068)</f>
        <v/>
      </c>
      <c r="AM1068">
        <f>IF(OR(V1068="",V1068=0),0,1)</f>
        <v/>
      </c>
      <c r="AN1068">
        <f>IF(OR(E1068="",F1068=""),0,NETWORKDAYS(E1068,F1068,Ref!$K$2:$K$42))</f>
        <v/>
      </c>
      <c r="AO1068">
        <f>IF(L1068="Renewal",1,0)</f>
        <v/>
      </c>
      <c r="AP1068">
        <f>AC1068*AD1068</f>
        <v/>
      </c>
      <c r="AQ1068">
        <f>IF(AND(G1068&lt;&gt;"",'Historical Score'!$C$6&lt;&gt;""),IF(G1068='Historical Score'!$C$6,1,0),0)</f>
        <v/>
      </c>
      <c r="AR1068">
        <f>IF(AND(L1068&lt;&gt;"",'Historical Score'!$C$5&lt;&gt;""),IF(L1068='Historical Score'!$C$5,1,0),0)</f>
        <v/>
      </c>
      <c r="AS1068">
        <f>IF(AND(Y1068&lt;&gt;"",'Historical Score'!$C$7&lt;&gt;""),IF(Y1068='Historical Score'!$C$7,1,0),0)</f>
        <v/>
      </c>
      <c r="AT1068">
        <f>IF(AND(K1068&lt;&gt;"",'Historical Score'!$C$8&lt;&gt;""),IF(K1068='Historical Score'!$C$8,1,0),0)</f>
        <v/>
      </c>
      <c r="AU1068">
        <f>IF(AND(J1068&lt;&gt;"",'Historical Score'!$C$9&lt;&gt;""),IF(J1068='Historical Score'!$C$9,1,0),0)</f>
        <v/>
      </c>
      <c r="AV1068">
        <f>AR1068*AS1068*AQ1068</f>
        <v/>
      </c>
      <c r="AW1068">
        <f>AR1068*AT1068*AQ1068</f>
        <v/>
      </c>
      <c r="AX1068">
        <f>AR1068*AS1068</f>
        <v/>
      </c>
      <c r="AY1068">
        <f>AR1068*AT1068</f>
        <v/>
      </c>
      <c r="AZ1068">
        <f>AR1068*AQ1068</f>
        <v/>
      </c>
      <c r="BA1068">
        <f>AR1068</f>
        <v/>
      </c>
      <c r="BB1068">
        <f>1</f>
        <v/>
      </c>
      <c r="BC1068">
        <f>IF(AV1068=1,1,IF(AW1068=1,2,IF(AX1068=1,3,IF(AY1068=1,4,IF(AZ1068=1,5,IF(BA1068=1,6,7))))))</f>
        <v/>
      </c>
      <c r="BD1068">
        <f>IF(AD1068=1,CHOOSE('Historical Score'!$C$29,AV1068,AW1068,AX1068,AY1068,AZ1068,BA1068,BB1068),0)</f>
        <v/>
      </c>
      <c r="BE1068">
        <f>IF(BD1068=1,COUNTIF($BD$2:BD1068,1),"")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7"/>
  <sheetViews>
    <sheetView showGridLines="0" workbookViewId="0">
      <selection activeCell="A1" sqref="A1"/>
    </sheetView>
  </sheetViews>
  <sheetFormatPr baseColWidth="8" defaultRowHeight="15"/>
  <cols>
    <col width="52" customWidth="1" style="228" min="1" max="1"/>
    <col width="16" customWidth="1" style="228" min="2" max="2"/>
    <col width="16" customWidth="1" style="228" min="3" max="3"/>
    <col width="16" customWidth="1" style="228" min="4" max="4"/>
    <col width="16" customWidth="1" style="228" min="5" max="5"/>
    <col width="14" customWidth="1" style="228" min="6" max="6"/>
    <col width="14" customWidth="1" style="228" min="7" max="7"/>
    <col width="60" customWidth="1" style="228" min="8" max="8"/>
  </cols>
  <sheetData>
    <row r="1">
      <c r="A1" s="267" t="inlineStr">
        <is>
          <t>CONTROLS  -  every editable underwriting threshold, pricing tier, historical weight and rule</t>
        </is>
      </c>
    </row>
    <row r="2">
      <c r="A2" s="244" t="inlineStr">
        <is>
          <t>Blue = editable input. Change values here only; the Deal, Historical Score, Offer Engine and Decision Summary sheets read them. Cell addresses are referenced by formulas - do not insert or delete rows.</t>
        </is>
      </c>
    </row>
    <row r="3">
      <c r="A3" s="253" t="inlineStr">
        <is>
          <t>1. CASH-FLOW THRESHOLDS  (Deal sheet metrics)</t>
        </is>
      </c>
    </row>
    <row r="4">
      <c r="A4" s="254" t="inlineStr">
        <is>
          <t>Metric</t>
        </is>
      </c>
      <c r="B4" s="254" t="inlineStr">
        <is>
          <t>Green (at or better)</t>
        </is>
      </c>
      <c r="C4" s="254" t="inlineStr">
        <is>
          <t>Red (at or worse)</t>
        </is>
      </c>
      <c r="D4" s="254" t="inlineStr">
        <is>
          <t>Knockout</t>
        </is>
      </c>
      <c r="E4" s="254" t="inlineStr">
        <is>
          <t>Direction</t>
        </is>
      </c>
      <c r="F4" s="254" t="inlineStr"/>
      <c r="G4" s="254" t="inlineStr"/>
      <c r="H4" s="254" t="inlineStr">
        <is>
          <t>Note</t>
        </is>
      </c>
    </row>
    <row r="5">
      <c r="A5" s="278" t="inlineStr">
        <is>
          <t>Total LVG (all debt / rev)</t>
        </is>
      </c>
      <c r="B5" s="301" t="n">
        <v>0.3</v>
      </c>
      <c r="C5" s="301" t="n">
        <v>0.45</v>
      </c>
      <c r="D5" s="301" t="n">
        <v>0.55</v>
      </c>
      <c r="E5" s="278" t="inlineStr">
        <is>
          <t>higher is worse</t>
        </is>
      </c>
      <c r="H5" s="244" t="inlineStr">
        <is>
          <t>Monthly debt service incl. new deal / avg true revenue</t>
        </is>
      </c>
    </row>
    <row r="6">
      <c r="A6" s="278" t="inlineStr">
        <is>
          <t>New holdback SP%</t>
        </is>
      </c>
      <c r="B6" s="301" t="n">
        <v>0.18</v>
      </c>
      <c r="C6" s="301" t="n">
        <v>0.25</v>
      </c>
      <c r="D6" s="301" t="n">
        <v>0.35</v>
      </c>
      <c r="E6" s="278" t="inlineStr">
        <is>
          <t>higher is worse</t>
        </is>
      </c>
      <c r="H6" s="244" t="inlineStr">
        <is>
          <t>New deal monthly payment / avg true revenue</t>
        </is>
      </c>
    </row>
    <row r="7">
      <c r="A7" s="278" t="inlineStr">
        <is>
          <t>Daily debt / balance</t>
        </is>
      </c>
      <c r="B7" s="301" t="n">
        <v>0.18</v>
      </c>
      <c r="C7" s="301" t="n">
        <v>0.3</v>
      </c>
      <c r="D7" s="301" t="n">
        <v>0.35</v>
      </c>
      <c r="E7" s="278" t="inlineStr">
        <is>
          <t>higher is worse</t>
        </is>
      </c>
      <c r="H7" s="244" t="inlineStr">
        <is>
          <t>All daily debt incl. new / avg daily balance</t>
        </is>
      </c>
    </row>
    <row r="8">
      <c r="A8" s="278" t="inlineStr">
        <is>
          <t>Fund / revenue</t>
        </is>
      </c>
      <c r="B8" s="302" t="n">
        <v>0.6</v>
      </c>
      <c r="C8" s="302" t="n">
        <v>0.9</v>
      </c>
      <c r="D8" s="302" t="n">
        <v>1.25</v>
      </c>
      <c r="E8" s="278" t="inlineStr">
        <is>
          <t>higher is worse</t>
        </is>
      </c>
      <c r="H8" s="244" t="inlineStr">
        <is>
          <t>Fund $ / avg monthly true revenue</t>
        </is>
      </c>
    </row>
    <row r="9">
      <c r="A9" s="278" t="inlineStr">
        <is>
          <t># positions (incl. new)</t>
        </is>
      </c>
      <c r="B9" s="303" t="n">
        <v>2</v>
      </c>
      <c r="C9" s="303" t="n">
        <v>5</v>
      </c>
      <c r="D9" s="303" t="n">
        <v>6</v>
      </c>
      <c r="E9" s="278" t="inlineStr">
        <is>
          <t>higher is worse</t>
        </is>
      </c>
      <c r="H9" s="244" t="inlineStr">
        <is>
          <t>Existing non-monthly positions + 1</t>
        </is>
      </c>
    </row>
    <row r="10">
      <c r="A10" s="278" t="inlineStr">
        <is>
          <t>Revenue trend (avg MoM)</t>
        </is>
      </c>
      <c r="B10" s="301" t="n">
        <v>-0.05</v>
      </c>
      <c r="C10" s="301" t="n">
        <v>-0.15</v>
      </c>
      <c r="D10" s="301" t="n">
        <v>-0.3</v>
      </c>
      <c r="E10" s="278" t="inlineStr">
        <is>
          <t>lower is worse</t>
        </is>
      </c>
      <c r="H10" s="244" t="inlineStr">
        <is>
          <t>Average month-over-month change of entered months</t>
        </is>
      </c>
    </row>
    <row r="11">
      <c r="A11" s="278" t="inlineStr">
        <is>
          <t>Neg days + NSFs (total)</t>
        </is>
      </c>
      <c r="B11" s="303" t="n">
        <v>1</v>
      </c>
      <c r="C11" s="303" t="n">
        <v>6</v>
      </c>
      <c r="D11" s="303" t="n">
        <v>10</v>
      </c>
      <c r="E11" s="278" t="inlineStr">
        <is>
          <t>higher is worse</t>
        </is>
      </c>
      <c r="H11" s="244" t="inlineStr">
        <is>
          <t>Total across ALL months entered (not per month)</t>
        </is>
      </c>
    </row>
    <row r="12">
      <c r="A12" s="278" t="inlineStr">
        <is>
          <t>Credit score (FICO)</t>
        </is>
      </c>
      <c r="B12" s="303" t="n">
        <v>650</v>
      </c>
      <c r="C12" s="303" t="n">
        <v>630</v>
      </c>
      <c r="D12" s="303" t="n">
        <v>0</v>
      </c>
      <c r="E12" s="278" t="inlineStr">
        <is>
          <t>lower is worse</t>
        </is>
      </c>
      <c r="H12" s="244" t="inlineStr">
        <is>
          <t>Your bands: 650+ green, 630-649 yellow, below 630 red. Knockout: score at or below this = knockout; 0 = off</t>
        </is>
      </c>
    </row>
    <row r="13">
      <c r="A13" s="278" t="inlineStr">
        <is>
          <t>Decline if red flags (RED + KNOCKOUT) &gt;=</t>
        </is>
      </c>
      <c r="B13" s="303" t="n">
        <v>2</v>
      </c>
    </row>
    <row r="14">
      <c r="A14" s="278" t="inlineStr">
        <is>
          <t>Minimum fund $ (below this = decline)</t>
        </is>
      </c>
      <c r="B14" s="304" t="n">
        <v>20000</v>
      </c>
    </row>
    <row r="15">
      <c r="A15" s="278" t="inlineStr">
        <is>
          <t>Underwriting fee % (deducted from disbursement)</t>
        </is>
      </c>
      <c r="B15" s="305" t="n">
        <v>0.05</v>
      </c>
    </row>
    <row r="17">
      <c r="A17" s="253" t="inlineStr">
        <is>
          <t>2. PRICING BANDS  (score on the 7-point scale -&gt; term cap and factor)</t>
        </is>
      </c>
    </row>
    <row r="18">
      <c r="A18" s="254" t="inlineStr">
        <is>
          <t>Score &gt;=</t>
        </is>
      </c>
      <c r="B18" s="254" t="inlineStr">
        <is>
          <t>Term cap (daily pmts)</t>
        </is>
      </c>
      <c r="C18" s="254" t="inlineStr">
        <is>
          <t>Factor</t>
        </is>
      </c>
      <c r="D18" s="254" t="inlineStr"/>
      <c r="E18" s="254" t="inlineStr"/>
      <c r="F18" s="254" t="inlineStr"/>
      <c r="G18" s="254" t="inlineStr"/>
      <c r="H18" s="254" t="inlineStr">
        <is>
          <t>Note</t>
        </is>
      </c>
    </row>
    <row r="19">
      <c r="A19" s="306" t="n">
        <v>0</v>
      </c>
      <c r="B19" s="303" t="n">
        <v>100</v>
      </c>
      <c r="C19" s="302" t="n">
        <v>1.49</v>
      </c>
      <c r="H19" s="244" t="inlineStr">
        <is>
          <t>Bands are unchanged from the original tool. Term step -1 moves one row up this table.</t>
        </is>
      </c>
    </row>
    <row r="20">
      <c r="A20" s="306" t="n">
        <v>5</v>
      </c>
      <c r="B20" s="303" t="n">
        <v>130</v>
      </c>
      <c r="C20" s="302" t="n">
        <v>1.45</v>
      </c>
    </row>
    <row r="21">
      <c r="A21" s="306" t="n">
        <v>6</v>
      </c>
      <c r="B21" s="303" t="n">
        <v>150</v>
      </c>
      <c r="C21" s="302" t="n">
        <v>1.45</v>
      </c>
    </row>
    <row r="22">
      <c r="A22" s="306" t="n">
        <v>7</v>
      </c>
      <c r="B22" s="303" t="n">
        <v>195</v>
      </c>
      <c r="C22" s="302" t="n">
        <v>1.4</v>
      </c>
    </row>
    <row r="23">
      <c r="A23" s="278" t="inlineStr">
        <is>
          <t>Max term (months)</t>
        </is>
      </c>
      <c r="B23" s="303" t="n">
        <v>9</v>
      </c>
      <c r="H23" s="244" t="inlineStr">
        <is>
          <t>195 collection days at 21.655/month</t>
        </is>
      </c>
    </row>
    <row r="24">
      <c r="A24" s="278" t="inlineStr">
        <is>
          <t>Approved factor tiers (low -&gt; high)</t>
        </is>
      </c>
      <c r="B24" s="302" t="n">
        <v>1.4</v>
      </c>
      <c r="C24" s="302" t="n">
        <v>1.45</v>
      </c>
      <c r="D24" s="302" t="n">
        <v>1.49</v>
      </c>
      <c r="H24" s="244" t="inlineStr">
        <is>
          <t>1.35 is the prepay rate, not a tier. 1.50+ is a hard no.</t>
        </is>
      </c>
    </row>
    <row r="25">
      <c r="A25" s="278" t="inlineStr">
        <is>
          <t>Tier cut-offs on 7-point scale: Strong / Solid / Moderate</t>
        </is>
      </c>
      <c r="B25" s="306" t="n">
        <v>6.5</v>
      </c>
      <c r="C25" s="306" t="n">
        <v>5</v>
      </c>
      <c r="D25" s="306" t="n">
        <v>3.5</v>
      </c>
    </row>
    <row r="27">
      <c r="A27" s="253" t="inlineStr">
        <is>
          <t>3. CONVERSION CONSTANTS</t>
        </is>
      </c>
    </row>
    <row r="28">
      <c r="A28" s="278" t="inlineStr">
        <is>
          <t>Weeks per month (ours)</t>
        </is>
      </c>
      <c r="B28" s="307" t="n">
        <v>4.331</v>
      </c>
      <c r="H28" s="244" t="inlineStr">
        <is>
          <t>Time converts with 4.331</t>
        </is>
      </c>
    </row>
    <row r="29">
      <c r="A29" s="278" t="inlineStr">
        <is>
          <t>Business days per month (ours)</t>
        </is>
      </c>
      <c r="B29" s="307" t="n">
        <v>21.655</v>
      </c>
      <c r="H29" s="244" t="inlineStr">
        <is>
          <t>Money converts with 5 and 21.655</t>
        </is>
      </c>
    </row>
    <row r="30">
      <c r="A30" s="278" t="inlineStr">
        <is>
          <t>MoneyBadger weeks per month</t>
        </is>
      </c>
      <c r="B30" s="303" t="n">
        <v>4</v>
      </c>
      <c r="H30" s="244" t="inlineStr">
        <is>
          <t>MB uses 4 on weekly deals</t>
        </is>
      </c>
    </row>
    <row r="31">
      <c r="A31" s="278" t="inlineStr">
        <is>
          <t>MoneyBadger business days per month</t>
        </is>
      </c>
      <c r="B31" s="303" t="n">
        <v>21</v>
      </c>
      <c r="H31" s="244" t="inlineStr">
        <is>
          <t>MB uses 21 on daily deals (one confirmed data point)</t>
        </is>
      </c>
    </row>
    <row r="32">
      <c r="A32" s="278" t="inlineStr">
        <is>
          <t>Calendar days per month (months-remaining calc)</t>
        </is>
      </c>
      <c r="B32" s="308" t="n">
        <v>30.4375</v>
      </c>
      <c r="H32" s="244" t="inlineStr"/>
    </row>
    <row r="33">
      <c r="A33" s="278" t="inlineStr">
        <is>
          <t>Assumed factor on existing positions (est. term)</t>
        </is>
      </c>
      <c r="B33" s="302" t="n">
        <v>1.45</v>
      </c>
      <c r="H33" s="244" t="inlineStr">
        <is>
          <t>Used when only funded $ / payment is known</t>
        </is>
      </c>
    </row>
    <row r="35">
      <c r="A35" s="253" t="inlineStr">
        <is>
          <t>4. HISTORICAL EVIDENCE SETTINGS</t>
        </is>
      </c>
    </row>
    <row r="36">
      <c r="A36" s="278" t="inlineStr">
        <is>
          <t>As-of date for seasoning (date of the CRM export)</t>
        </is>
      </c>
      <c r="B36" s="309" t="n">
        <v>46259</v>
      </c>
      <c r="H36" s="244" t="inlineStr">
        <is>
          <t>Age = business days from funding to this date</t>
        </is>
      </c>
    </row>
    <row r="37">
      <c r="A37" s="278" t="inlineStr">
        <is>
          <t>Window: include deals funded on or after</t>
        </is>
      </c>
      <c r="B37" s="309" t="n">
        <v>45597</v>
      </c>
      <c r="H37" s="244" t="inlineStr"/>
    </row>
    <row r="38">
      <c r="A38" s="278" t="inlineStr">
        <is>
          <t>Window: include deals funded on or before</t>
        </is>
      </c>
      <c r="B38" s="309" t="n">
        <v>46259</v>
      </c>
      <c r="H38" s="244" t="inlineStr">
        <is>
          <t>Full file. Set to 12/31/2025 for the settled book</t>
        </is>
      </c>
    </row>
    <row r="39">
      <c r="A39" s="278" t="inlineStr">
        <is>
          <t>Seasoning multiple (age &gt;= multiple x contracted term)</t>
        </is>
      </c>
      <c r="B39" s="302" t="n">
        <v>1.25</v>
      </c>
      <c r="H39" s="244" t="inlineStr">
        <is>
          <t>v13 rule from the house-book session</t>
        </is>
      </c>
    </row>
    <row r="40">
      <c r="A40" s="278" t="inlineStr">
        <is>
          <t>Minimum seasoned deals for a cohort to be PRIMARY</t>
        </is>
      </c>
      <c r="B40" s="303" t="n">
        <v>10</v>
      </c>
      <c r="H40" s="244" t="inlineStr">
        <is>
          <t>Below this the engine drops to the next tier</t>
        </is>
      </c>
    </row>
    <row r="41">
      <c r="A41" s="278" t="inlineStr">
        <is>
          <t>Minimum seasoned funded $ for a cohort to be PRIMARY</t>
        </is>
      </c>
      <c r="B41" s="304" t="n">
        <v>150000</v>
      </c>
      <c r="H41" s="244" t="inlineStr"/>
    </row>
    <row r="42">
      <c r="A42" s="278" t="inlineStr">
        <is>
          <t>Credibility constant K (seasoned deals for Z = 0.5)</t>
        </is>
      </c>
      <c r="B42" s="303" t="n">
        <v>30</v>
      </c>
      <c r="H42" s="244" t="inlineStr">
        <is>
          <t>Z = n / (n + K). 30 deals -&gt; half weight; 90 -&gt; 75%</t>
        </is>
      </c>
    </row>
    <row r="43">
      <c r="A43" s="278" t="inlineStr">
        <is>
          <t>Max open share for a cohort to count as seasoned-enough</t>
        </is>
      </c>
      <c r="B43" s="305" t="n">
        <v>0.15</v>
      </c>
      <c r="H43" s="244" t="inlineStr">
        <is>
          <t>Above this the cohort is flagged and confidence cannot be High</t>
        </is>
      </c>
    </row>
    <row r="44">
      <c r="A44" s="278" t="inlineStr">
        <is>
          <t>High confidence: minimum Z</t>
        </is>
      </c>
      <c r="B44" s="302" t="n">
        <v>0.6</v>
      </c>
      <c r="H44" s="244" t="inlineStr">
        <is>
          <t>and open share within the line above</t>
        </is>
      </c>
    </row>
    <row r="45">
      <c r="A45" s="278" t="inlineStr">
        <is>
          <t>Medium confidence: minimum Z</t>
        </is>
      </c>
      <c r="B45" s="302" t="n">
        <v>0.3</v>
      </c>
      <c r="H45" s="244" t="inlineStr">
        <is>
          <t>Below = Low</t>
        </is>
      </c>
    </row>
    <row r="46">
      <c r="A46" s="278" t="inlineStr">
        <is>
          <t>Low confidence: max steps from Neutral the modifier may move</t>
        </is>
      </c>
      <c r="B46" s="303" t="n">
        <v>1</v>
      </c>
      <c r="H46" s="244" t="inlineStr">
        <is>
          <t>Weak evidence can never drive a severe adjustment</t>
        </is>
      </c>
    </row>
    <row r="47">
      <c r="A47" s="278" t="inlineStr">
        <is>
          <t>Minimum seasoned deals before a RATE is displayed</t>
        </is>
      </c>
      <c r="B47" s="303" t="n">
        <v>5</v>
      </c>
      <c r="H47" s="244" t="inlineStr">
        <is>
          <t>Counts and dollars always show</t>
        </is>
      </c>
    </row>
    <row r="52">
      <c r="A52" s="253" t="inlineStr">
        <is>
          <t>5. HISTORICAL MODIFIER TABLE  (relative index = blended cohort lost rate / seasoned-book lost rate)</t>
        </is>
      </c>
    </row>
    <row r="53">
      <c r="A53" s="254" t="inlineStr">
        <is>
          <t>Index at or below</t>
        </is>
      </c>
      <c r="B53" s="254" t="inlineStr">
        <is>
          <t>Level</t>
        </is>
      </c>
      <c r="C53" s="254" t="inlineStr">
        <is>
          <t>Fund multiplier (x cash-flow max)</t>
        </is>
      </c>
      <c r="D53" s="254" t="inlineStr">
        <is>
          <t>Term step (bands)</t>
        </is>
      </c>
      <c r="E53" s="254" t="inlineStr">
        <is>
          <t>Factor step (tiers)</t>
        </is>
      </c>
      <c r="F53" s="254" t="inlineStr">
        <is>
          <t>Frequency</t>
        </is>
      </c>
      <c r="G53" s="254" t="inlineStr">
        <is>
          <t>Manual review?</t>
        </is>
      </c>
      <c r="H53" s="254" t="inlineStr">
        <is>
          <t>Note</t>
        </is>
      </c>
    </row>
    <row r="54">
      <c r="A54" s="302" t="n">
        <v>0.6</v>
      </c>
      <c r="B54" s="261" t="inlineStr">
        <is>
          <t>Strong positive</t>
        </is>
      </c>
      <c r="C54" s="302" t="n">
        <v>1</v>
      </c>
      <c r="D54" s="303" t="n">
        <v>0</v>
      </c>
      <c r="E54" s="303" t="n">
        <v>0</v>
      </c>
      <c r="F54" s="310" t="inlineStr">
        <is>
          <t>As proposed</t>
        </is>
      </c>
      <c r="G54" s="310" t="inlineStr">
        <is>
          <t>N</t>
        </is>
      </c>
      <c r="H54" s="244" t="inlineStr">
        <is>
          <t>Full cash-flow maximum only with strong, credible evidence</t>
        </is>
      </c>
    </row>
    <row r="55">
      <c r="A55" s="302" t="n">
        <v>0.85</v>
      </c>
      <c r="B55" s="261" t="inlineStr">
        <is>
          <t>Mild positive</t>
        </is>
      </c>
      <c r="C55" s="302" t="n">
        <v>0.95</v>
      </c>
      <c r="D55" s="303" t="n">
        <v>0</v>
      </c>
      <c r="E55" s="303" t="n">
        <v>0</v>
      </c>
      <c r="F55" s="310" t="inlineStr">
        <is>
          <t>As proposed</t>
        </is>
      </c>
      <c r="G55" s="310" t="inlineStr">
        <is>
          <t>N</t>
        </is>
      </c>
      <c r="H55" s="244" t="inlineStr"/>
    </row>
    <row r="56">
      <c r="A56" s="302" t="n">
        <v>1.15</v>
      </c>
      <c r="B56" s="261" t="inlineStr">
        <is>
          <t>Neutral</t>
        </is>
      </c>
      <c r="C56" s="302" t="n">
        <v>0.9</v>
      </c>
      <c r="D56" s="303" t="n">
        <v>0</v>
      </c>
      <c r="E56" s="303" t="n">
        <v>0</v>
      </c>
      <c r="F56" s="310" t="inlineStr">
        <is>
          <t>As proposed</t>
        </is>
      </c>
      <c r="G56" s="310" t="inlineStr">
        <is>
          <t>N</t>
        </is>
      </c>
      <c r="H56" s="244" t="inlineStr">
        <is>
          <t>Base utilisation. Set 1.00 to reproduce the old tool</t>
        </is>
      </c>
    </row>
    <row r="57">
      <c r="A57" s="302" t="n">
        <v>1.4</v>
      </c>
      <c r="B57" s="261" t="inlineStr">
        <is>
          <t>Mild negative</t>
        </is>
      </c>
      <c r="C57" s="302" t="n">
        <v>0.8</v>
      </c>
      <c r="D57" s="303" t="n">
        <v>-1</v>
      </c>
      <c r="E57" s="303" t="n">
        <v>1</v>
      </c>
      <c r="F57" s="310" t="inlineStr">
        <is>
          <t>As proposed</t>
        </is>
      </c>
      <c r="G57" s="310" t="inlineStr">
        <is>
          <t>N</t>
        </is>
      </c>
      <c r="H57" s="244" t="inlineStr">
        <is>
          <t>Shorter band, next factor tier</t>
        </is>
      </c>
    </row>
    <row r="58">
      <c r="A58" s="302" t="n">
        <v>1.75</v>
      </c>
      <c r="B58" s="261" t="inlineStr">
        <is>
          <t>Negative</t>
        </is>
      </c>
      <c r="C58" s="302" t="n">
        <v>0.7</v>
      </c>
      <c r="D58" s="303" t="n">
        <v>-1</v>
      </c>
      <c r="E58" s="303" t="n">
        <v>1</v>
      </c>
      <c r="F58" s="310" t="inlineStr">
        <is>
          <t>Weekly</t>
        </is>
      </c>
      <c r="G58" s="310" t="inlineStr">
        <is>
          <t>N</t>
        </is>
      </c>
      <c r="H58" s="244" t="inlineStr">
        <is>
          <t>Adds weekly remittance + no-stacking covenant</t>
        </is>
      </c>
    </row>
    <row r="59">
      <c r="A59" s="302" t="n">
        <v>999</v>
      </c>
      <c r="B59" s="261" t="inlineStr">
        <is>
          <t>Severe</t>
        </is>
      </c>
      <c r="C59" s="302" t="n">
        <v>0.55</v>
      </c>
      <c r="D59" s="303" t="n">
        <v>-2</v>
      </c>
      <c r="E59" s="303" t="n">
        <v>1</v>
      </c>
      <c r="F59" s="310" t="inlineStr">
        <is>
          <t>Weekly</t>
        </is>
      </c>
      <c r="G59" s="310" t="inlineStr">
        <is>
          <t>Y</t>
        </is>
      </c>
      <c r="H59" s="244" t="inlineStr">
        <is>
          <t>Sent to manual review</t>
        </is>
      </c>
    </row>
    <row r="62">
      <c r="A62" s="253" t="inlineStr">
        <is>
          <t>6. STATUS MAPPING  (the only place default / resolved / closed / open are defined)</t>
        </is>
      </c>
    </row>
    <row r="63">
      <c r="A63" s="254" t="inlineStr">
        <is>
          <t>Status</t>
        </is>
      </c>
      <c r="B63" s="254" t="inlineStr">
        <is>
          <t>Counts as default?</t>
        </is>
      </c>
      <c r="C63" s="254" t="inlineStr">
        <is>
          <t>Counts as resolved?</t>
        </is>
      </c>
      <c r="D63" s="254" t="inlineStr">
        <is>
          <t>Counts as Closed?</t>
        </is>
      </c>
      <c r="E63" s="254" t="inlineStr">
        <is>
          <t>Counts as Open?</t>
        </is>
      </c>
      <c r="F63" s="254" t="inlineStr">
        <is>
          <t>Deals in file</t>
        </is>
      </c>
      <c r="G63" s="254" t="inlineStr"/>
      <c r="H63" s="254" t="inlineStr"/>
    </row>
    <row r="64">
      <c r="A64" s="278" t="inlineStr">
        <is>
          <t>Closed</t>
        </is>
      </c>
      <c r="B64" s="310" t="inlineStr">
        <is>
          <t>No</t>
        </is>
      </c>
      <c r="C64" s="310" t="inlineStr">
        <is>
          <t>Yes</t>
        </is>
      </c>
      <c r="D64" s="310" t="inlineStr">
        <is>
          <t>Yes</t>
        </is>
      </c>
      <c r="E64" s="310" t="inlineStr">
        <is>
          <t>No</t>
        </is>
      </c>
      <c r="F64" s="273">
        <f>COUNTIF('Historical Data'!$D$2:$D$1068,A64)</f>
        <v/>
      </c>
    </row>
    <row r="65">
      <c r="A65" s="278" t="inlineStr">
        <is>
          <t>Open</t>
        </is>
      </c>
      <c r="B65" s="310" t="inlineStr">
        <is>
          <t>No</t>
        </is>
      </c>
      <c r="C65" s="310" t="inlineStr">
        <is>
          <t>No</t>
        </is>
      </c>
      <c r="D65" s="310" t="inlineStr">
        <is>
          <t>No</t>
        </is>
      </c>
      <c r="E65" s="310" t="inlineStr">
        <is>
          <t>Yes</t>
        </is>
      </c>
      <c r="F65" s="273">
        <f>COUNTIF('Historical Data'!$D$2:$D$1068,A65)</f>
        <v/>
      </c>
    </row>
    <row r="66">
      <c r="A66" s="278" t="inlineStr">
        <is>
          <t>Legal</t>
        </is>
      </c>
      <c r="B66" s="310" t="inlineStr">
        <is>
          <t>Yes</t>
        </is>
      </c>
      <c r="C66" s="310" t="inlineStr">
        <is>
          <t>No</t>
        </is>
      </c>
      <c r="D66" s="310" t="inlineStr">
        <is>
          <t>No</t>
        </is>
      </c>
      <c r="E66" s="310" t="inlineStr">
        <is>
          <t>No</t>
        </is>
      </c>
      <c r="F66" s="273">
        <f>COUNTIF('Historical Data'!$D$2:$D$1068,A66)</f>
        <v/>
      </c>
    </row>
    <row r="67">
      <c r="A67" s="278" t="inlineStr">
        <is>
          <t>In House Collection</t>
        </is>
      </c>
      <c r="B67" s="310" t="inlineStr">
        <is>
          <t>Yes</t>
        </is>
      </c>
      <c r="C67" s="310" t="inlineStr">
        <is>
          <t>No</t>
        </is>
      </c>
      <c r="D67" s="310" t="inlineStr">
        <is>
          <t>No</t>
        </is>
      </c>
      <c r="E67" s="310" t="inlineStr">
        <is>
          <t>No</t>
        </is>
      </c>
      <c r="F67" s="273">
        <f>COUNTIF('Historical Data'!$D$2:$D$1068,A67)</f>
        <v/>
      </c>
    </row>
    <row r="68">
      <c r="A68" s="278" t="inlineStr">
        <is>
          <t>Lowered Payments</t>
        </is>
      </c>
      <c r="B68" s="310" t="inlineStr">
        <is>
          <t>No</t>
        </is>
      </c>
      <c r="C68" s="310" t="inlineStr">
        <is>
          <t>No</t>
        </is>
      </c>
      <c r="D68" s="310" t="inlineStr">
        <is>
          <t>No</t>
        </is>
      </c>
      <c r="E68" s="310" t="inlineStr">
        <is>
          <t>No</t>
        </is>
      </c>
      <c r="F68" s="273">
        <f>COUNTIF('Historical Data'!$D$2:$D$1068,A68)</f>
        <v/>
      </c>
      <c r="H68" s="244" t="inlineStr">
        <is>
          <t>Lowered Payments = restructured, still collecting. House book treats it as performing; switch B68 to Yes to treat as impaired.</t>
        </is>
      </c>
    </row>
    <row r="69">
      <c r="A69" s="278" t="inlineStr">
        <is>
          <t>Written-Off</t>
        </is>
      </c>
      <c r="B69" s="310" t="inlineStr">
        <is>
          <t>Yes</t>
        </is>
      </c>
      <c r="C69" s="310" t="inlineStr">
        <is>
          <t>Yes</t>
        </is>
      </c>
      <c r="D69" s="310" t="inlineStr">
        <is>
          <t>No</t>
        </is>
      </c>
      <c r="E69" s="310" t="inlineStr">
        <is>
          <t>No</t>
        </is>
      </c>
      <c r="F69" s="273">
        <f>COUNTIF('Historical Data'!$D$2:$D$1068,A69)</f>
        <v/>
      </c>
    </row>
    <row r="70">
      <c r="A70" s="278" t="inlineStr">
        <is>
          <t>Bankruptcy</t>
        </is>
      </c>
      <c r="B70" s="310" t="inlineStr">
        <is>
          <t>Yes</t>
        </is>
      </c>
      <c r="C70" s="310" t="inlineStr">
        <is>
          <t>Yes</t>
        </is>
      </c>
      <c r="D70" s="310" t="inlineStr">
        <is>
          <t>No</t>
        </is>
      </c>
      <c r="E70" s="310" t="inlineStr">
        <is>
          <t>No</t>
        </is>
      </c>
      <c r="F70" s="273">
        <f>COUNTIF('Historical Data'!$D$2:$D$1068,A70)</f>
        <v/>
      </c>
    </row>
    <row r="71">
      <c r="A71" s="278" t="inlineStr">
        <is>
          <t>Settlement Agreement</t>
        </is>
      </c>
      <c r="B71" s="310" t="inlineStr">
        <is>
          <t>Yes</t>
        </is>
      </c>
      <c r="C71" s="310" t="inlineStr">
        <is>
          <t>Yes</t>
        </is>
      </c>
      <c r="D71" s="310" t="inlineStr">
        <is>
          <t>No</t>
        </is>
      </c>
      <c r="E71" s="310" t="inlineStr">
        <is>
          <t>No</t>
        </is>
      </c>
      <c r="F71" s="273">
        <f>COUNTIF('Historical Data'!$D$2:$D$1068,A71)</f>
        <v/>
      </c>
    </row>
    <row r="72">
      <c r="A72" s="278" t="inlineStr">
        <is>
          <t>Closed/NSF</t>
        </is>
      </c>
      <c r="B72" s="310" t="inlineStr">
        <is>
          <t>No</t>
        </is>
      </c>
      <c r="C72" s="310" t="inlineStr">
        <is>
          <t>Yes</t>
        </is>
      </c>
      <c r="D72" s="310" t="inlineStr">
        <is>
          <t>Yes</t>
        </is>
      </c>
      <c r="E72" s="310" t="inlineStr">
        <is>
          <t>No</t>
        </is>
      </c>
      <c r="F72" s="273">
        <f>COUNTIF('Historical Data'!$D$2:$D$1068,A72)</f>
        <v/>
      </c>
    </row>
    <row r="73">
      <c r="A73" s="278" t="inlineStr">
        <is>
          <t>Closed/NSF Unpaid</t>
        </is>
      </c>
      <c r="B73" s="310" t="inlineStr">
        <is>
          <t>No</t>
        </is>
      </c>
      <c r="C73" s="310" t="inlineStr">
        <is>
          <t>Yes</t>
        </is>
      </c>
      <c r="D73" s="310" t="inlineStr">
        <is>
          <t>Yes</t>
        </is>
      </c>
      <c r="E73" s="310" t="inlineStr">
        <is>
          <t>No</t>
        </is>
      </c>
      <c r="F73" s="273">
        <f>COUNTIF('Historical Data'!$D$2:$D$1068,A73)</f>
        <v/>
      </c>
    </row>
    <row r="74">
      <c r="A74" s="278" t="inlineStr">
        <is>
          <t>At-Risk</t>
        </is>
      </c>
      <c r="B74" s="310" t="inlineStr">
        <is>
          <t>Yes</t>
        </is>
      </c>
      <c r="C74" s="310" t="inlineStr">
        <is>
          <t>No</t>
        </is>
      </c>
      <c r="D74" s="310" t="inlineStr">
        <is>
          <t>No</t>
        </is>
      </c>
      <c r="E74" s="310" t="inlineStr">
        <is>
          <t>No</t>
        </is>
      </c>
      <c r="F74" s="273">
        <f>COUNTIF('Historical Data'!$D$2:$D$1068,A74)</f>
        <v/>
      </c>
      <c r="H74" s="244" t="inlineStr">
        <is>
          <t>At-Risk: 1 deal, defaulted per house book.</t>
        </is>
      </c>
    </row>
    <row r="77">
      <c r="A77" s="253" t="inlineStr">
        <is>
          <t>7. MANUAL-REVIEW TRIGGERS  (Y = active)</t>
        </is>
      </c>
    </row>
    <row r="78">
      <c r="A78" s="254" t="inlineStr">
        <is>
          <t>Trigger</t>
        </is>
      </c>
      <c r="B78" s="254" t="inlineStr">
        <is>
          <t>Active?</t>
        </is>
      </c>
      <c r="C78" s="254" t="inlineStr">
        <is>
          <t>Parameter</t>
        </is>
      </c>
      <c r="D78" s="254" t="inlineStr"/>
      <c r="E78" s="254" t="inlineStr"/>
      <c r="F78" s="254" t="inlineStr"/>
      <c r="G78" s="254" t="inlineStr"/>
      <c r="H78" s="254" t="inlineStr">
        <is>
          <t>Note</t>
        </is>
      </c>
    </row>
    <row r="79">
      <c r="A79" s="278" t="inlineStr">
        <is>
          <t>Historical modifier is Severe</t>
        </is>
      </c>
      <c r="B79" s="310" t="inlineStr">
        <is>
          <t>Y</t>
        </is>
      </c>
      <c r="H79" s="244" t="inlineStr"/>
    </row>
    <row r="80">
      <c r="A80" s="278" t="inlineStr">
        <is>
          <t>Confidence Low AND any metric RED</t>
        </is>
      </c>
      <c r="B80" s="310" t="inlineStr">
        <is>
          <t>Y</t>
        </is>
      </c>
      <c r="H80" s="244" t="inlineStr"/>
    </row>
    <row r="81">
      <c r="A81" s="278" t="inlineStr">
        <is>
          <t>Credit score RED AND another metric RED</t>
        </is>
      </c>
      <c r="B81" s="310" t="inlineStr">
        <is>
          <t>Y</t>
        </is>
      </c>
      <c r="H81" s="244" t="inlineStr"/>
    </row>
    <row r="82">
      <c r="A82" s="278" t="inlineStr">
        <is>
          <t>Positions incl. new at or above</t>
        </is>
      </c>
      <c r="B82" s="310" t="inlineStr">
        <is>
          <t>Y</t>
        </is>
      </c>
      <c r="C82" s="303" t="n">
        <v>4</v>
      </c>
      <c r="H82" s="244" t="inlineStr">
        <is>
          <t>Log rule: fund up to a 4th; parameter = position count that triggers review</t>
        </is>
      </c>
    </row>
    <row r="83">
      <c r="A83" s="278" t="inlineStr">
        <is>
          <t>New deal, 3rd position or higher, construction industry (SIC 15/16/17)</t>
        </is>
      </c>
      <c r="B83" s="310" t="inlineStr">
        <is>
          <t>Y</t>
        </is>
      </c>
      <c r="C83" s="303" t="n">
        <v>3</v>
      </c>
      <c r="H83" s="244" t="inlineStr">
        <is>
          <t>Parameter = position at or above. The one raw house-book effect that stayed visible after controls</t>
        </is>
      </c>
    </row>
    <row r="84">
      <c r="A84" s="278" t="inlineStr">
        <is>
          <t>ISO or industry has no deals in the house book</t>
        </is>
      </c>
      <c r="B84" s="310" t="inlineStr">
        <is>
          <t>Y</t>
        </is>
      </c>
      <c r="H84" s="244" t="inlineStr">
        <is>
          <t>Unknown relationship</t>
        </is>
      </c>
    </row>
    <row r="85">
      <c r="A85" s="278" t="inlineStr">
        <is>
          <t>Adjusted fund below minimum fund $</t>
        </is>
      </c>
      <c r="B85" s="310" t="inlineStr">
        <is>
          <t>Y</t>
        </is>
      </c>
      <c r="H85" s="244" t="inlineStr"/>
    </row>
    <row r="86">
      <c r="A86" s="278" t="inlineStr">
        <is>
          <t>Primary cohort open share above the max open share</t>
        </is>
      </c>
      <c r="B86" s="310" t="inlineStr">
        <is>
          <t>N</t>
        </is>
      </c>
      <c r="H86" s="244" t="inlineStr">
        <is>
          <t>Off by default; the flag is shown anyway</t>
        </is>
      </c>
    </row>
    <row r="88">
      <c r="A88" s="253" t="inlineStr">
        <is>
          <t>8. STIPULATION RULES  (Y = active)</t>
        </is>
      </c>
    </row>
    <row r="89">
      <c r="A89" s="254" t="inlineStr">
        <is>
          <t>Stipulation</t>
        </is>
      </c>
      <c r="B89" s="254" t="inlineStr">
        <is>
          <t>Active?</t>
        </is>
      </c>
      <c r="C89" s="254" t="inlineStr">
        <is>
          <t>Condition</t>
        </is>
      </c>
      <c r="D89" s="254" t="inlineStr"/>
      <c r="E89" s="254" t="inlineStr"/>
      <c r="F89" s="254" t="inlineStr"/>
      <c r="G89" s="254" t="inlineStr"/>
      <c r="H89" s="254" t="inlineStr">
        <is>
          <t>Note</t>
        </is>
      </c>
    </row>
    <row r="90">
      <c r="A90" s="278" t="inlineStr">
        <is>
          <t>DataMerch, UCC search, positions / payoff letters</t>
        </is>
      </c>
      <c r="B90" s="310" t="inlineStr">
        <is>
          <t>Y</t>
        </is>
      </c>
      <c r="C90" s="278" t="inlineStr">
        <is>
          <t>Always</t>
        </is>
      </c>
      <c r="D90" s="255" t="n"/>
      <c r="E90" s="255" t="n"/>
      <c r="F90" s="255" t="n"/>
      <c r="G90" s="256" t="n"/>
      <c r="H90" s="244" t="inlineStr">
        <is>
          <t>Standing rule from the underwriting session</t>
        </is>
      </c>
    </row>
    <row r="91">
      <c r="A91" s="278" t="inlineStr">
        <is>
          <t>No-stacking covenant with default-to-daily</t>
        </is>
      </c>
      <c r="B91" s="310" t="inlineStr">
        <is>
          <t>Y</t>
        </is>
      </c>
      <c r="C91" s="278" t="inlineStr">
        <is>
          <t>Modifier Mild negative or worse</t>
        </is>
      </c>
      <c r="D91" s="255" t="n"/>
      <c r="E91" s="255" t="n"/>
      <c r="F91" s="255" t="n"/>
      <c r="G91" s="256" t="n"/>
      <c r="H91" s="244" t="inlineStr"/>
    </row>
    <row r="92">
      <c r="A92" s="278" t="inlineStr">
        <is>
          <t>Bank login verification (Plaid / DecisionLogic)</t>
        </is>
      </c>
      <c r="B92" s="310" t="inlineStr">
        <is>
          <t>Y</t>
        </is>
      </c>
      <c r="C92" s="278" t="inlineStr">
        <is>
          <t>Neg days + NSFs not GREEN</t>
        </is>
      </c>
      <c r="D92" s="255" t="n"/>
      <c r="E92" s="255" t="n"/>
      <c r="F92" s="255" t="n"/>
      <c r="G92" s="256" t="n"/>
      <c r="H92" s="244" t="inlineStr"/>
    </row>
    <row r="93">
      <c r="A93" s="278" t="inlineStr">
        <is>
          <t>Payoff / balance letter for every existing position</t>
        </is>
      </c>
      <c r="B93" s="310" t="inlineStr">
        <is>
          <t>Y</t>
        </is>
      </c>
      <c r="C93" s="278" t="inlineStr">
        <is>
          <t>Existing positions &gt;= 2</t>
        </is>
      </c>
      <c r="D93" s="255" t="n"/>
      <c r="E93" s="255" t="n"/>
      <c r="F93" s="255" t="n"/>
      <c r="G93" s="256" t="n"/>
      <c r="H93" s="244" t="inlineStr"/>
    </row>
    <row r="94">
      <c r="A94" s="278" t="inlineStr">
        <is>
          <t>Landlord / lease letter</t>
        </is>
      </c>
      <c r="B94" s="310" t="inlineStr">
        <is>
          <t>Y</t>
        </is>
      </c>
      <c r="C94" s="278" t="inlineStr">
        <is>
          <t>Credit score not GREEN</t>
        </is>
      </c>
      <c r="D94" s="255" t="n"/>
      <c r="E94" s="255" t="n"/>
      <c r="F94" s="255" t="n"/>
      <c r="G94" s="256" t="n"/>
      <c r="H94" s="244" t="inlineStr"/>
    </row>
    <row r="95">
      <c r="A95" s="278" t="inlineStr">
        <is>
          <t>Underwriter review of the historical evidence</t>
        </is>
      </c>
      <c r="B95" s="310" t="inlineStr">
        <is>
          <t>Y</t>
        </is>
      </c>
      <c r="C95" s="278" t="inlineStr">
        <is>
          <t>Confidence Low</t>
        </is>
      </c>
      <c r="D95" s="255" t="n"/>
      <c r="E95" s="255" t="n"/>
      <c r="F95" s="255" t="n"/>
      <c r="G95" s="256" t="n"/>
      <c r="H95" s="244" t="inlineStr"/>
    </row>
    <row r="96">
      <c r="A96" s="278" t="inlineStr">
        <is>
          <t>Weekly remittance (no daily option)</t>
        </is>
      </c>
      <c r="B96" s="310" t="inlineStr">
        <is>
          <t>Y</t>
        </is>
      </c>
      <c r="C96" s="278" t="inlineStr">
        <is>
          <t>Frequency switched to Weekly by the modifier</t>
        </is>
      </c>
      <c r="D96" s="255" t="n"/>
      <c r="E96" s="255" t="n"/>
      <c r="F96" s="255" t="n"/>
      <c r="G96" s="256" t="n"/>
      <c r="H96" s="244" t="inlineStr"/>
    </row>
    <row r="97">
      <c r="A97" s="278" t="inlineStr">
        <is>
          <t>Prior-contract payoff and renewal history</t>
        </is>
      </c>
      <c r="B97" s="310" t="inlineStr">
        <is>
          <t>Y</t>
        </is>
      </c>
      <c r="C97" s="278" t="inlineStr">
        <is>
          <t>Renewal selected</t>
        </is>
      </c>
      <c r="D97" s="255" t="n"/>
      <c r="E97" s="255" t="n"/>
      <c r="F97" s="255" t="n"/>
      <c r="G97" s="256" t="n"/>
      <c r="H97" s="244" t="inlineStr"/>
    </row>
  </sheetData>
  <mergeCells count="16">
    <mergeCell ref="C92:G92"/>
    <mergeCell ref="A62:H62"/>
    <mergeCell ref="A3:H3"/>
    <mergeCell ref="C90:G90"/>
    <mergeCell ref="A77:H77"/>
    <mergeCell ref="C91:G91"/>
    <mergeCell ref="A35:H35"/>
    <mergeCell ref="C95:G95"/>
    <mergeCell ref="A52:H52"/>
    <mergeCell ref="C94:G94"/>
    <mergeCell ref="C93:G93"/>
    <mergeCell ref="C97:G97"/>
    <mergeCell ref="A27:H27"/>
    <mergeCell ref="C96:G96"/>
    <mergeCell ref="A88:H88"/>
    <mergeCell ref="A17:H17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3" customWidth="1" style="228" min="1" max="1"/>
    <col width="64" customWidth="1" style="228" min="2" max="2"/>
    <col width="16" customWidth="1" style="228" min="3" max="3"/>
    <col width="70" customWidth="1" style="228" min="4" max="4"/>
  </cols>
  <sheetData>
    <row r="1">
      <c r="B1" s="267" t="inlineStr">
        <is>
          <t>CHECKS / AUDIT</t>
        </is>
      </c>
    </row>
    <row r="2">
      <c r="B2" s="289">
        <f>COUNTIF(C4:C52,"FAIL")&amp;" FAIL  |  "&amp;COUNTIF(C4:C52,"WARN")&amp;" WARN  |  "&amp;COUNTIF(C4:C52,"OK")&amp;" OK"</f>
        <v/>
      </c>
    </row>
    <row r="3">
      <c r="A3" s="254" t="inlineStr"/>
      <c r="B3" s="254" t="inlineStr">
        <is>
          <t>Check</t>
        </is>
      </c>
      <c r="C3" s="254" t="inlineStr">
        <is>
          <t>Result</t>
        </is>
      </c>
      <c r="D3" s="254" t="inlineStr">
        <is>
          <t>Detail</t>
        </is>
      </c>
    </row>
    <row r="4">
      <c r="B4" s="253" t="inlineStr">
        <is>
          <t>MISSING INPUTS</t>
        </is>
      </c>
    </row>
    <row r="5">
      <c r="B5" s="278" t="inlineStr">
        <is>
          <t>Bank data entered (at least one month of true revenue)</t>
        </is>
      </c>
      <c r="C5" s="261">
        <f>IF(Deal!$C$24=0,"WARN","OK")</f>
        <v/>
      </c>
      <c r="D5" s="284">
        <f>"months entered: "&amp;COUNT(Deal!$C$12:$C$23)</f>
        <v/>
      </c>
    </row>
    <row r="6">
      <c r="B6" s="278" t="inlineStr">
        <is>
          <t>Average daily balance entered</t>
        </is>
      </c>
      <c r="C6" s="261">
        <f>IF(Deal!$D$24=0,"WARN","OK")</f>
        <v/>
      </c>
    </row>
    <row r="7">
      <c r="B7" s="278" t="inlineStr">
        <is>
          <t>New deal or renewal entered (required for any cohort tighter than the book)</t>
        </is>
      </c>
      <c r="C7" s="261">
        <f>IF(Deal!$K$15="","WARN","OK")</f>
        <v/>
      </c>
    </row>
    <row r="8">
      <c r="B8" s="278" t="inlineStr">
        <is>
          <t>ISO entered and found in the house book</t>
        </is>
      </c>
      <c r="C8" s="261">
        <f>IF(Deal!$K$12="","WARN",IF(COUNTIF('Historical Data'!$K$2:$K$1068,Deal!$K$12)=0,"WARN","OK"))</f>
        <v/>
      </c>
      <c r="D8" s="284">
        <f>IF(Deal!$K$12="","",COUNTIF('Historical Data'!$K$2:$K$1068,Deal!$K$12)&amp;" deals")</f>
        <v/>
      </c>
    </row>
    <row r="9">
      <c r="B9" s="278" t="inlineStr">
        <is>
          <t>Industry entered and found in the house book</t>
        </is>
      </c>
      <c r="C9" s="261">
        <f>IF(Deal!$K$13="","WARN",IF(COUNTIF('Historical Data'!$Y$2:$Y$1068,Deal!$K$13)=0,"WARN","OK"))</f>
        <v/>
      </c>
      <c r="D9" s="284">
        <f>IF(Deal!$K$13="","",COUNTIF('Historical Data'!$Y$2:$Y$1068,Deal!$K$13)&amp;" deals")</f>
        <v/>
      </c>
    </row>
    <row r="10">
      <c r="B10" s="278" t="inlineStr">
        <is>
          <t>State entered</t>
        </is>
      </c>
      <c r="C10" s="261">
        <f>IF(Deal!$K$14="","WARN","OK")</f>
        <v/>
      </c>
      <c r="D10" s="284">
        <f>"informational only"</f>
        <v/>
      </c>
    </row>
    <row r="11">
      <c r="B11" s="278" t="inlineStr">
        <is>
          <t>Credit score entered</t>
        </is>
      </c>
      <c r="C11" s="261">
        <f>IF(Deal!$K$16="","WARN","OK")</f>
        <v/>
      </c>
      <c r="D11" s="284">
        <f>"blank = metric not scored (score out of 7)"</f>
        <v/>
      </c>
    </row>
    <row r="12">
      <c r="B12" s="278" t="inlineStr">
        <is>
          <t>Requested offer entered (fund, factor, term, frequency)</t>
        </is>
      </c>
      <c r="C12" s="261">
        <f>IF(OR(Deal!$B$6="",Deal!$C$6="",Deal!$D$6="",Deal!$E$6=""),"WARN","OK")</f>
        <v/>
      </c>
      <c r="D12" s="284">
        <f>"optional - the engine still sizes an offer from bank data"</f>
        <v/>
      </c>
    </row>
    <row r="13">
      <c r="B13" s="278" t="inlineStr">
        <is>
          <t>Requested factor is an approved tier</t>
        </is>
      </c>
      <c r="C13" s="261">
        <f>IF(Deal!$C$6="","OK",IF(ISNUMBER(MATCH(Deal!$C$6,Controls!$B$24:$D$24,0)),"OK","WARN"))</f>
        <v/>
      </c>
      <c r="D13" s="284">
        <f>"1.40 / 1.45 / 1.49 only"</f>
        <v/>
      </c>
    </row>
    <row r="14">
      <c r="B14" s="253" t="inlineStr">
        <is>
          <t>FORMULA ERRORS</t>
        </is>
      </c>
    </row>
    <row r="15">
      <c r="B15" s="278" t="inlineStr">
        <is>
          <t>Deal sheet</t>
        </is>
      </c>
      <c r="C15" s="261">
        <f>IF(SUMPRODUCT(--ISERROR(Deal!$B$1:$M$82))=0,"OK","FAIL")</f>
        <v/>
      </c>
      <c r="D15" s="284">
        <f>SUMPRODUCT(--ISERROR(Deal!$B$1:$M$82))&amp;" error cells"</f>
        <v/>
      </c>
    </row>
    <row r="16">
      <c r="B16" s="278" t="inlineStr">
        <is>
          <t>Historical Data</t>
        </is>
      </c>
      <c r="C16" s="261">
        <f>IF(SUMPRODUCT(--ISERROR('Historical Data'!$A$2:$A$1068))+SUMPRODUCT(--ISERROR('Historical Data'!$AA$2:$AA$1068))+SUMPRODUCT(--ISERROR('Historical Data'!$BC$2:$BC$1068))+SUMPRODUCT(--ISERROR('Historical Data'!$BE$2:$BE$1068))=0,"OK","FAIL")</f>
        <v/>
      </c>
    </row>
    <row r="17">
      <c r="B17" s="278" t="inlineStr">
        <is>
          <t>Historical Score</t>
        </is>
      </c>
      <c r="C17" s="261">
        <f>IF(SUMPRODUCT(--ISERROR('Historical Score'!$A$1:$AA$52))=0,"OK","FAIL")</f>
        <v/>
      </c>
    </row>
    <row r="18">
      <c r="B18" s="278" t="inlineStr">
        <is>
          <t>Offer Engine / Decision Summary</t>
        </is>
      </c>
      <c r="C18" s="261">
        <f>IF(SUMPRODUCT(--ISERROR('Offer Engine'!$B$1:$F$40))+SUMPRODUCT(--ISERROR('Decision Summary'!$B$1:$D$31))=0,"OK","FAIL")</f>
        <v/>
      </c>
    </row>
    <row r="19">
      <c r="B19" s="253" t="inlineStr">
        <is>
          <t>SAFETY (history may never override cash flow)</t>
        </is>
      </c>
    </row>
    <row r="20">
      <c r="B20" s="278" t="inlineStr">
        <is>
          <t>Adjusted fund &lt;= cash-flow max fund</t>
        </is>
      </c>
      <c r="C20" s="261">
        <f>'Offer Engine'!$D$36</f>
        <v/>
      </c>
    </row>
    <row r="21">
      <c r="B21" s="278" t="inlineStr">
        <is>
          <t>Adjusted daily payment &lt;= cash-flow max daily</t>
        </is>
      </c>
      <c r="C21" s="261">
        <f>'Offer Engine'!$D$37</f>
        <v/>
      </c>
    </row>
    <row r="22">
      <c r="B22" s="278" t="inlineStr">
        <is>
          <t>No offer-side metric red/knockout at the adjusted offer</t>
        </is>
      </c>
      <c r="C22" s="261">
        <f>'Offer Engine'!$D$38</f>
        <v/>
      </c>
    </row>
    <row r="23">
      <c r="B23" s="278" t="inlineStr">
        <is>
          <t>Merchant knockouts untouched</t>
        </is>
      </c>
      <c r="C23" s="261">
        <f>'Offer Engine'!$D$39</f>
        <v/>
      </c>
    </row>
    <row r="24">
      <c r="B24" s="253" t="inlineStr">
        <is>
          <t>COHORT QUALITY</t>
        </is>
      </c>
    </row>
    <row r="25">
      <c r="B25" s="278" t="inlineStr">
        <is>
          <t>Primary cohort met the minimum seasoned count and dollars</t>
        </is>
      </c>
      <c r="C25" s="261">
        <f>IF('Historical Score'!$C$29=7,"WARN","OK")</f>
        <v/>
      </c>
      <c r="D25" s="284">
        <f>IF('Historical Score'!$C$29=7,"book baseline in use - no specific evidence",'Historical Score'!$C$30)</f>
        <v/>
      </c>
    </row>
    <row r="26">
      <c r="B26" s="278" t="inlineStr">
        <is>
          <t>Primary cohort seasoned-enough (open share within limit)</t>
        </is>
      </c>
      <c r="C26" s="261">
        <f>IF(INDEX('Historical Score'!$U$14:$U$20,'Historical Score'!$C$29)="Yes","OK","WARN")</f>
        <v/>
      </c>
      <c r="D26" s="284">
        <f>"open share "&amp;IF('Historical Score'!$C$34="","n/a",TEXT('Historical Score'!$C$34,"0%"))</f>
        <v/>
      </c>
    </row>
    <row r="27">
      <c r="B27" s="278" t="inlineStr">
        <is>
          <t>Credibility Z at least the Medium line</t>
        </is>
      </c>
      <c r="C27" s="261">
        <f>IF('Historical Score'!$C$37&gt;=Controls!$B$45,"OK","WARN")</f>
        <v/>
      </c>
      <c r="D27" s="284">
        <f>"Z = "&amp;TEXT('Historical Score'!$C$37,"0.00")</f>
        <v/>
      </c>
    </row>
    <row r="28">
      <c r="B28" s="278" t="inlineStr">
        <is>
          <t>Conflicting ISO vs industry signals</t>
        </is>
      </c>
      <c r="C28" s="261">
        <f>IF('Historical Score'!$C$50="No","OK","WARN")</f>
        <v/>
      </c>
      <c r="D28" s="284">
        <f>'Historical Score'!$C$50</f>
        <v/>
      </c>
    </row>
    <row r="29">
      <c r="B29" s="278" t="inlineStr">
        <is>
          <t>Tighter cohorts skipped for being too small (tiers above the primary)</t>
        </is>
      </c>
      <c r="C29" s="261">
        <f>IF('Historical Score'!$C$29=1,"OK","WARN")</f>
        <v/>
      </c>
      <c r="D29" s="284">
        <f>IF('Historical Score'!$C$29=1,"","tiers 1 to "&amp;('Historical Score'!$C$29-1)&amp;" had fewer than "&amp;Controls!$B$40&amp;" seasoned deals or under "&amp;TEXT(Controls!$B$41,"$#,##0"))</f>
        <v/>
      </c>
    </row>
    <row r="30">
      <c r="B30" s="278" t="inlineStr">
        <is>
          <t>State cohort is informational only</t>
        </is>
      </c>
      <c r="C30" s="261">
        <f>"OK"</f>
        <v/>
      </c>
      <c r="D30" s="284">
        <f>'Historical Score'!$C$48</f>
        <v/>
      </c>
    </row>
    <row r="31">
      <c r="B31" s="253" t="inlineStr">
        <is>
          <t>DATA QUALITY (house book)</t>
        </is>
      </c>
    </row>
    <row r="32">
      <c r="B32" s="278" t="inlineStr">
        <is>
          <t>Deals loaded</t>
        </is>
      </c>
      <c r="C32" s="261">
        <f>IF(COUNTA('Historical Data'!$A$2:$A$1068)=1067,"OK","WARN")</f>
        <v/>
      </c>
      <c r="D32" s="284">
        <f>COUNTA('Historical Data'!$A$2:$A$1068)&amp;" deals (expected 1,067 from the 08/2026 export)"</f>
        <v/>
      </c>
    </row>
    <row r="33">
      <c r="B33" s="278" t="inlineStr">
        <is>
          <t>Statuses not in the Controls mapping</t>
        </is>
      </c>
      <c r="C33" s="261">
        <f>IF(SUMPRODUCT(1-'Historical Data'!$AI$2:$AI$1068)=0,"OK","FAIL")</f>
        <v/>
      </c>
      <c r="D33" s="284">
        <f>SUMPRODUCT(1-'Historical Data'!$AI$2:$AI$1068)&amp;" deals with an unmapped status"</f>
        <v/>
      </c>
    </row>
    <row r="34">
      <c r="B34" s="278" t="inlineStr">
        <is>
          <t>Deals with no revenue figure</t>
        </is>
      </c>
      <c r="C34" s="261">
        <f>IF(SUMPRODUCT(1-'Historical Data'!$AM$2:$AM$1068)&gt;0,"WARN","OK")</f>
        <v/>
      </c>
      <c r="D34" s="284">
        <f>SUMPRODUCT(1-'Historical Data'!$AM$2:$AM$1068)&amp;" deals - excluded from advance/revenue averages"</f>
        <v/>
      </c>
    </row>
    <row r="35">
      <c r="B35" s="278" t="inlineStr">
        <is>
          <t>Deals with no ISO / no state / no SIC</t>
        </is>
      </c>
      <c r="C35" s="261">
        <f>"WARN"</f>
        <v/>
      </c>
      <c r="D35" s="284">
        <f>COUNTBLANK('Historical Data'!$K$2:$K$1068)&amp;" no ISO, "&amp;(COUNTBLANK('Historical Data'!$J$2:$J$1068)+COUNTIF('Historical Data'!$J$2:$J$1068,"No state"))&amp;" no state, "&amp;COUNTIF('Historical Data'!$Y$2:$Y$1068,"No SIC")&amp;" no SIC - never matched"</f>
        <v/>
      </c>
    </row>
    <row r="36">
      <c r="B36" s="278" t="inlineStr">
        <is>
          <t>Never-paid deals (collected &lt;= 0)</t>
        </is>
      </c>
      <c r="C36" s="261">
        <f>"WARN"</f>
        <v/>
      </c>
      <c r="D36" s="284">
        <f>COUNTIF('Historical Data'!$Q$2:$Q$1068,"&lt;=0")&amp;" deals"</f>
        <v/>
      </c>
    </row>
    <row r="37">
      <c r="B37" s="278" t="inlineStr">
        <is>
          <t>Open status but 99.9%+ paid (stale status)</t>
        </is>
      </c>
      <c r="C37" s="261">
        <f>IF(SUMPRODUCT('Historical Data'!$AH$2:$AH$1068*('Historical Data'!$S$2:$S$1068&gt;=0.999))=0,"OK","WARN")</f>
        <v/>
      </c>
      <c r="D37" s="284">
        <f>SUMPRODUCT('Historical Data'!$AH$2:$AH$1068*('Historical Data'!$S$2:$S$1068&gt;=0.999))&amp;" deals"</f>
        <v/>
      </c>
    </row>
    <row r="38">
      <c r="B38" s="278" t="inlineStr">
        <is>
          <t>Open deals older than 1.5x contracted term</t>
        </is>
      </c>
      <c r="C38" s="261">
        <f>"WARN"</f>
        <v/>
      </c>
      <c r="D38" s="284">
        <f>SUMPRODUCT('Historical Data'!$AH$2:$AH$1068*('Historical Data'!$AB$2:$AB$1068&gt;1.5*'Historical Data'!$AA$2:$AA$1068))&amp;" deals"</f>
        <v/>
      </c>
    </row>
    <row r="39">
      <c r="B39" s="278" t="inlineStr">
        <is>
          <t>Implausible durations: weekly term above 39 weeks (9-month box)</t>
        </is>
      </c>
      <c r="C39" s="261">
        <f>"WARN"</f>
        <v/>
      </c>
      <c r="D39" s="284">
        <f>SUMPRODUCT(('Historical Data'!$T$2:$T$1068&gt;=12)*('Historical Data'!$T$2:$T$1068&gt;39))&amp;" deals, incl. 56 / 90 / 100 weeks"</f>
        <v/>
      </c>
    </row>
    <row r="40">
      <c r="B40" s="278" t="inlineStr">
        <is>
          <t>Position field concentration (49% of the book is position 3)</t>
        </is>
      </c>
      <c r="C40" s="261">
        <f>"WARN"</f>
        <v/>
      </c>
      <c r="D40" s="284">
        <f>COUNTIF('Historical Data'!$G$2:$G$1068,3)&amp;" deals at position 3 of "&amp;COUNT('Historical Data'!$G$2:$G$1068)&amp;" - confirm the CRM field is position at funding"</f>
        <v/>
      </c>
    </row>
    <row r="41">
      <c r="B41" s="278" t="inlineStr">
        <is>
          <t>Lowered Payments treated as performing (Controls B68)</t>
        </is>
      </c>
      <c r="C41" s="261">
        <f>IF(Controls!$B$68="No","WARN","OK")</f>
        <v/>
      </c>
      <c r="D41" s="284">
        <f>COUNTIF('Historical Data'!$D$2:$D$1068,"Lowered Payments")&amp;" restructured deals"</f>
        <v/>
      </c>
    </row>
    <row r="42">
      <c r="B42" s="278" t="inlineStr">
        <is>
          <t>Written-Off deals collected most of their payback</t>
        </is>
      </c>
      <c r="C42" s="261">
        <f>"WARN"</f>
        <v/>
      </c>
      <c r="D42" s="284">
        <f>"avg % paid "&amp;TEXT(SUMPRODUCT(('Historical Data'!$D$2:$D$1068="Written-Off")*'Historical Data'!$S$2:$S$1068)/MAX(1,COUNTIF('Historical Data'!$D$2:$D$1068,"Written-Off")),"0%")&amp;" - status means stopped pursuing, not lost"</f>
        <v/>
      </c>
    </row>
    <row r="43">
      <c r="B43" s="253" t="inlineStr">
        <is>
          <t>RECONCILIATION to the original House Book Analytics workbook (full file)</t>
        </is>
      </c>
    </row>
    <row r="44">
      <c r="B44" s="278" t="inlineStr">
        <is>
          <t>Total funded = $34,481,626</t>
        </is>
      </c>
      <c r="C44" s="261">
        <f>IF(ABS(SUM('Historical Data'!$N$2:$N$1068)-34481626)&lt;1,"OK","FAIL")</f>
        <v/>
      </c>
      <c r="D44" s="284">
        <f>TEXT(SUM('Historical Data'!$N$2:$N$1068),"$#,##0")</f>
        <v/>
      </c>
    </row>
    <row r="45">
      <c r="B45" s="278" t="inlineStr">
        <is>
          <t>Total collected = $27,438,510</t>
        </is>
      </c>
      <c r="C45" s="261">
        <f>IF(ABS(SUM('Historical Data'!$Q$2:$Q$1068)-27438510)&lt;1,"OK","FAIL")</f>
        <v/>
      </c>
      <c r="D45" s="284">
        <f>TEXT(SUM('Historical Data'!$Q$2:$Q$1068),"$#,##0")</f>
        <v/>
      </c>
    </row>
    <row r="46">
      <c r="B46" s="278" t="inlineStr">
        <is>
          <t>Principal lost (house-book status mapping) = $5,270,163</t>
        </is>
      </c>
      <c r="C46" s="261">
        <f>IF(ABS(SUMPRODUCT('Historical Data'!$AK$2:$AK$1068)-5270163)&lt;1,"OK","WARN")</f>
        <v/>
      </c>
      <c r="D46" s="284">
        <f>TEXT(SUMPRODUCT('Historical Data'!$AK$2:$AK$1068),"$#,##0")&amp;"  (differs if the status mapping was changed)"</f>
        <v/>
      </c>
    </row>
    <row r="47">
      <c r="B47" s="278" t="inlineStr">
        <is>
          <t>Principal lost rate (full file) = 15.3%</t>
        </is>
      </c>
      <c r="C47" s="261">
        <f>IF(ABS(SUMPRODUCT('Historical Data'!$AK$2:$AK$1068)/SUM('Historical Data'!$N$2:$N$1068)-0.1528)&lt;0.001,"OK","WARN")</f>
        <v/>
      </c>
      <c r="D47" s="284">
        <f>TEXT(SUMPRODUCT('Historical Data'!$AK$2:$AK$1068)/SUM('Historical Data'!$N$2:$N$1068),"0.0%")</f>
        <v/>
      </c>
    </row>
    <row r="48">
      <c r="B48" s="278" t="inlineStr">
        <is>
          <t>Payback = advance x factor on every deal</t>
        </is>
      </c>
      <c r="C48" s="261">
        <f>IF(SUMPRODUCT(--(ABS('Historical Data'!$P$2:$P$1068-'Historical Data'!$N$2:$N$1068*'Historical Data'!$M$2:$M$1068)&gt;1))=0,"OK","WARN")</f>
        <v/>
      </c>
      <c r="D48" s="284">
        <f>SUMPRODUCT(--(ABS('Historical Data'!$P$2:$P$1068-'Historical Data'!$N$2:$N$1068*'Historical Data'!$M$2:$M$1068)&gt;1))&amp;" mismatches"</f>
        <v/>
      </c>
    </row>
    <row r="49">
      <c r="B49" s="278" t="inlineStr">
        <is>
          <t>Seasoned book size (637 deals at as-of 08/25/2026, multiple 1.25, NETWORKDAYS inclusive)</t>
        </is>
      </c>
      <c r="C49" s="261">
        <f>IF('Historical Score'!$E$20=637,"OK","WARN")</f>
        <v/>
      </c>
      <c r="D49" s="284">
        <f>'Historical Score'!$E$20&amp;" seasoned deals; changes with the as-of date, window or multiple"</f>
        <v/>
      </c>
    </row>
    <row r="50">
      <c r="B50" s="278" t="inlineStr">
        <is>
          <t>Sum of tier-7 cohort funded equals in-window seasoned funded</t>
        </is>
      </c>
      <c r="C50" s="261">
        <f>IF(ABS('Historical Score'!$G$20-SUMPRODUCT('Historical Data'!$AP$2:$AP$1068*'Historical Data'!$N$2:$N$1068))&lt;1,"OK","FAIL")</f>
        <v/>
      </c>
    </row>
    <row r="51">
      <c r="B51" s="278" t="inlineStr">
        <is>
          <t>Comparable list count equals primary cohort matches (first 400)</t>
        </is>
      </c>
      <c r="C51" s="261">
        <f>IF(MIN(400,INDEX('Historical Score'!$D$14:$D$20,'Historical Score'!$C$29))=SUMPRODUCT(--('Comparable Deals'!$B$5:$B$404&lt;&gt;"")),"OK","FAIL")</f>
        <v/>
      </c>
      <c r="D51" s="284">
        <f>SUMPRODUCT(--('Comparable Deals'!$B$5:$B$404&lt;&gt;""))&amp;" listed"</f>
        <v/>
      </c>
    </row>
  </sheetData>
  <mergeCells count="6">
    <mergeCell ref="B19:D19"/>
    <mergeCell ref="B14:D14"/>
    <mergeCell ref="B31:D31"/>
    <mergeCell ref="B4:D4"/>
    <mergeCell ref="B43:D43"/>
    <mergeCell ref="B24:D24"/>
  </mergeCells>
  <conditionalFormatting sqref="C4:C52">
    <cfRule type="cellIs" priority="1" operator="equal" dxfId="10">
      <formula>"OK"</formula>
    </cfRule>
    <cfRule type="cellIs" priority="2" operator="equal" dxfId="11">
      <formula>"WARN"</formula>
    </cfRule>
    <cfRule type="cellIs" priority="3" operator="equal" dxfId="12">
      <formula>"FAIL"</formula>
    </cfRule>
  </conditionalFormatting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57"/>
  <sheetViews>
    <sheetView workbookViewId="0">
      <selection activeCell="A1" sqref="A1"/>
    </sheetView>
  </sheetViews>
  <sheetFormatPr baseColWidth="8" defaultRowHeight="15"/>
  <cols>
    <col width="8" customWidth="1" style="228" min="1" max="1"/>
    <col width="40" customWidth="1" style="228" min="2" max="2"/>
    <col width="32" customWidth="1" style="228" min="3" max="3"/>
    <col width="44" customWidth="1" style="228" min="5" max="5"/>
    <col width="40" customWidth="1" style="228" min="7" max="7"/>
    <col width="10" customWidth="1" style="228" min="9" max="9"/>
    <col width="14" customWidth="1" style="228" min="11" max="11"/>
    <col width="22" customWidth="1" style="228" min="13" max="13"/>
    <col width="12" customWidth="1" style="228" min="15" max="15"/>
  </cols>
  <sheetData>
    <row r="1">
      <c r="A1" s="254" t="inlineStr">
        <is>
          <t>SIC2</t>
        </is>
      </c>
      <c r="B1" s="254" t="inlineStr">
        <is>
          <t>Industry (SIC major group)</t>
        </is>
      </c>
      <c r="C1" s="254" t="inlineStr">
        <is>
          <t>Division</t>
        </is>
      </c>
      <c r="E1" s="254" t="inlineStr">
        <is>
          <t>ISO (house-book spelling)</t>
        </is>
      </c>
      <c r="G1" s="254" t="inlineStr">
        <is>
          <t>Industry list (dropdown)</t>
        </is>
      </c>
      <c r="I1" s="254" t="inlineStr">
        <is>
          <t>State</t>
        </is>
      </c>
      <c r="K1" s="254" t="inlineStr">
        <is>
          <t>Fed holiday</t>
        </is>
      </c>
      <c r="M1" s="254" t="inlineStr">
        <is>
          <t>Status list</t>
        </is>
      </c>
      <c r="O1" s="244" t="inlineStr">
        <is>
          <t>Dropdown sources. ISO and state lists come from the house-book data so a Deal entry always matches the history spelling.</t>
        </is>
      </c>
    </row>
    <row r="2">
      <c r="A2" t="inlineStr">
        <is>
          <t>01</t>
        </is>
      </c>
      <c r="B2" t="inlineStr">
        <is>
          <t>Agricultural Production - Crops</t>
        </is>
      </c>
      <c r="C2" t="inlineStr">
        <is>
          <t>Agriculture, Forestry &amp; Fishing</t>
        </is>
      </c>
      <c r="E2" t="inlineStr">
        <is>
          <t>Ace Partners</t>
        </is>
      </c>
      <c r="G2" t="inlineStr">
        <is>
          <t>Administration of Economic Programs</t>
        </is>
      </c>
      <c r="I2" t="inlineStr">
        <is>
          <t>AL</t>
        </is>
      </c>
      <c r="K2" s="297" t="n">
        <v>45292</v>
      </c>
      <c r="M2" t="inlineStr">
        <is>
          <t>Closed</t>
        </is>
      </c>
    </row>
    <row r="3">
      <c r="A3" t="inlineStr">
        <is>
          <t>02</t>
        </is>
      </c>
      <c r="B3" t="inlineStr">
        <is>
          <t>Agricultural Production - Livestock</t>
        </is>
      </c>
      <c r="C3" t="inlineStr">
        <is>
          <t>Agriculture, Forestry &amp; Fishing</t>
        </is>
      </c>
      <c r="E3" t="inlineStr">
        <is>
          <t>Advance Consolidations</t>
        </is>
      </c>
      <c r="G3" t="inlineStr">
        <is>
          <t>Agricultural Production - Crops</t>
        </is>
      </c>
      <c r="I3" t="inlineStr">
        <is>
          <t>AR</t>
        </is>
      </c>
      <c r="K3" s="297" t="n">
        <v>45306</v>
      </c>
      <c r="M3" t="inlineStr">
        <is>
          <t>Open</t>
        </is>
      </c>
    </row>
    <row r="4">
      <c r="A4" t="inlineStr">
        <is>
          <t>07</t>
        </is>
      </c>
      <c r="B4" t="inlineStr">
        <is>
          <t>Agricultural Services</t>
        </is>
      </c>
      <c r="C4" t="inlineStr">
        <is>
          <t>Agriculture, Forestry &amp; Fishing</t>
        </is>
      </c>
      <c r="E4" t="inlineStr">
        <is>
          <t>ALLSTATE FUND PROS LLC</t>
        </is>
      </c>
      <c r="G4" t="inlineStr">
        <is>
          <t>Agricultural Production - Livestock</t>
        </is>
      </c>
      <c r="I4" t="inlineStr">
        <is>
          <t>AZ</t>
        </is>
      </c>
      <c r="K4" s="297" t="n">
        <v>45341</v>
      </c>
      <c r="M4" t="inlineStr">
        <is>
          <t>Legal</t>
        </is>
      </c>
    </row>
    <row r="5">
      <c r="A5" t="inlineStr">
        <is>
          <t>08</t>
        </is>
      </c>
      <c r="B5" t="inlineStr">
        <is>
          <t>Forestry</t>
        </is>
      </c>
      <c r="C5" t="inlineStr">
        <is>
          <t>Agriculture, Forestry &amp; Fishing</t>
        </is>
      </c>
      <c r="E5" t="inlineStr">
        <is>
          <t>Alternative Solutions Funding</t>
        </is>
      </c>
      <c r="G5" t="inlineStr">
        <is>
          <t>Agricultural Services</t>
        </is>
      </c>
      <c r="I5" t="inlineStr">
        <is>
          <t>CA</t>
        </is>
      </c>
      <c r="K5" s="297" t="n">
        <v>45439</v>
      </c>
      <c r="M5" t="inlineStr">
        <is>
          <t>In House Collection</t>
        </is>
      </c>
    </row>
    <row r="6">
      <c r="A6" t="inlineStr">
        <is>
          <t>13</t>
        </is>
      </c>
      <c r="B6" t="inlineStr">
        <is>
          <t>Oil &amp; Gas Extraction</t>
        </is>
      </c>
      <c r="C6" t="inlineStr">
        <is>
          <t>Mining</t>
        </is>
      </c>
      <c r="E6" t="inlineStr">
        <is>
          <t>alvara capital</t>
        </is>
      </c>
      <c r="G6" t="inlineStr">
        <is>
          <t>Air Transportation</t>
        </is>
      </c>
      <c r="I6" t="inlineStr">
        <is>
          <t>CO</t>
        </is>
      </c>
      <c r="K6" s="297" t="n">
        <v>45462</v>
      </c>
      <c r="M6" t="inlineStr">
        <is>
          <t>Lowered Payments</t>
        </is>
      </c>
    </row>
    <row r="7">
      <c r="A7" t="inlineStr">
        <is>
          <t>14</t>
        </is>
      </c>
      <c r="B7" t="inlineStr">
        <is>
          <t>Nonmetallic Minerals Mining</t>
        </is>
      </c>
      <c r="C7" t="inlineStr">
        <is>
          <t>Mining</t>
        </is>
      </c>
      <c r="E7" t="inlineStr">
        <is>
          <t>American Funding Association 1</t>
        </is>
      </c>
      <c r="G7" t="inlineStr">
        <is>
          <t>Amusement &amp; Recreation Services</t>
        </is>
      </c>
      <c r="I7" t="inlineStr">
        <is>
          <t>CT</t>
        </is>
      </c>
      <c r="K7" s="297" t="n">
        <v>45477</v>
      </c>
      <c r="M7" t="inlineStr">
        <is>
          <t>Written-Off</t>
        </is>
      </c>
    </row>
    <row r="8">
      <c r="A8" t="inlineStr">
        <is>
          <t>15</t>
        </is>
      </c>
      <c r="B8" t="inlineStr">
        <is>
          <t>General Building Contractors</t>
        </is>
      </c>
      <c r="C8" t="inlineStr">
        <is>
          <t>Construction</t>
        </is>
      </c>
      <c r="E8" t="inlineStr">
        <is>
          <t>Amerishop Financial services</t>
        </is>
      </c>
      <c r="G8" t="inlineStr">
        <is>
          <t>Apparel &amp; Accessory Stores</t>
        </is>
      </c>
      <c r="I8" t="inlineStr">
        <is>
          <t>DC</t>
        </is>
      </c>
      <c r="K8" s="297" t="n">
        <v>45537</v>
      </c>
      <c r="M8" t="inlineStr">
        <is>
          <t>Bankruptcy</t>
        </is>
      </c>
    </row>
    <row r="9">
      <c r="A9" t="inlineStr">
        <is>
          <t>16</t>
        </is>
      </c>
      <c r="B9" t="inlineStr">
        <is>
          <t>Heavy Construction</t>
        </is>
      </c>
      <c r="C9" t="inlineStr">
        <is>
          <t>Construction</t>
        </is>
      </c>
      <c r="E9" t="inlineStr">
        <is>
          <t>Aspire Funding</t>
        </is>
      </c>
      <c r="G9" t="inlineStr">
        <is>
          <t>Apparel &amp; Textile Products</t>
        </is>
      </c>
      <c r="I9" t="inlineStr">
        <is>
          <t>DE</t>
        </is>
      </c>
      <c r="K9" s="297" t="n">
        <v>45579</v>
      </c>
      <c r="M9" t="inlineStr">
        <is>
          <t>Settlement Agreement</t>
        </is>
      </c>
    </row>
    <row r="10">
      <c r="A10" t="inlineStr">
        <is>
          <t>17</t>
        </is>
      </c>
      <c r="B10" t="inlineStr">
        <is>
          <t>Special Trade Contractors</t>
        </is>
      </c>
      <c r="C10" t="inlineStr">
        <is>
          <t>Construction</t>
        </is>
      </c>
      <c r="E10" t="inlineStr">
        <is>
          <t>Atla Finance</t>
        </is>
      </c>
      <c r="G10" t="inlineStr">
        <is>
          <t>Auto Dealers &amp; Gas Stations</t>
        </is>
      </c>
      <c r="I10" t="inlineStr">
        <is>
          <t>FL</t>
        </is>
      </c>
      <c r="K10" s="297" t="n">
        <v>45607</v>
      </c>
      <c r="M10" t="inlineStr">
        <is>
          <t>Closed/NSF</t>
        </is>
      </c>
    </row>
    <row r="11">
      <c r="A11" t="inlineStr">
        <is>
          <t>20</t>
        </is>
      </c>
      <c r="B11" t="inlineStr">
        <is>
          <t>Food &amp; Kindred Products</t>
        </is>
      </c>
      <c r="C11" t="inlineStr">
        <is>
          <t>Manufacturing</t>
        </is>
      </c>
      <c r="E11" t="inlineStr">
        <is>
          <t>AVON ADVANCE</t>
        </is>
      </c>
      <c r="G11" t="inlineStr">
        <is>
          <t>Auto Repair &amp; Services</t>
        </is>
      </c>
      <c r="I11" t="inlineStr">
        <is>
          <t>GA</t>
        </is>
      </c>
      <c r="K11" s="297" t="n">
        <v>45624</v>
      </c>
      <c r="M11" t="inlineStr">
        <is>
          <t>Closed/NSF Unpaid</t>
        </is>
      </c>
    </row>
    <row r="12">
      <c r="A12" t="inlineStr">
        <is>
          <t>23</t>
        </is>
      </c>
      <c r="B12" t="inlineStr">
        <is>
          <t>Apparel &amp; Textile Products</t>
        </is>
      </c>
      <c r="C12" t="inlineStr">
        <is>
          <t>Manufacturing</t>
        </is>
      </c>
      <c r="E12" t="inlineStr">
        <is>
          <t>Ballicci</t>
        </is>
      </c>
      <c r="G12" t="inlineStr">
        <is>
          <t>Building Materials &amp; Garden Supply</t>
        </is>
      </c>
      <c r="I12" t="inlineStr">
        <is>
          <t>HI</t>
        </is>
      </c>
      <c r="K12" s="297" t="n">
        <v>45651</v>
      </c>
      <c r="M12" t="inlineStr">
        <is>
          <t>At-Risk</t>
        </is>
      </c>
    </row>
    <row r="13">
      <c r="A13" t="inlineStr">
        <is>
          <t>24</t>
        </is>
      </c>
      <c r="B13" t="inlineStr">
        <is>
          <t>Lumber &amp; Wood Products</t>
        </is>
      </c>
      <c r="C13" t="inlineStr">
        <is>
          <t>Manufacturing</t>
        </is>
      </c>
      <c r="E13" t="inlineStr">
        <is>
          <t>BFA 3</t>
        </is>
      </c>
      <c r="G13" t="inlineStr">
        <is>
          <t>Business Services</t>
        </is>
      </c>
      <c r="I13" t="inlineStr">
        <is>
          <t>IA</t>
        </is>
      </c>
      <c r="K13" s="297" t="n">
        <v>45658</v>
      </c>
    </row>
    <row r="14">
      <c r="A14" t="inlineStr">
        <is>
          <t>25</t>
        </is>
      </c>
      <c r="B14" t="inlineStr">
        <is>
          <t>Furniture &amp; Fixtures</t>
        </is>
      </c>
      <c r="C14" t="inlineStr">
        <is>
          <t>Manufacturing</t>
        </is>
      </c>
      <c r="E14" t="inlineStr">
        <is>
          <t>Bingo advance LLC</t>
        </is>
      </c>
      <c r="G14" t="inlineStr">
        <is>
          <t>Chemicals &amp; Allied Products</t>
        </is>
      </c>
      <c r="I14" t="inlineStr">
        <is>
          <t>ID</t>
        </is>
      </c>
      <c r="K14" s="297" t="n">
        <v>45677</v>
      </c>
    </row>
    <row r="15">
      <c r="A15" t="inlineStr">
        <is>
          <t>27</t>
        </is>
      </c>
      <c r="B15" t="inlineStr">
        <is>
          <t>Printing &amp; Publishing</t>
        </is>
      </c>
      <c r="C15" t="inlineStr">
        <is>
          <t>Manufacturing</t>
        </is>
      </c>
      <c r="E15" t="inlineStr">
        <is>
          <t>Birkin Capital Inc</t>
        </is>
      </c>
      <c r="G15" t="inlineStr">
        <is>
          <t>Communications</t>
        </is>
      </c>
      <c r="I15" t="inlineStr">
        <is>
          <t>IL</t>
        </is>
      </c>
      <c r="K15" s="297" t="n">
        <v>45705</v>
      </c>
    </row>
    <row r="16">
      <c r="A16" t="inlineStr">
        <is>
          <t>28</t>
        </is>
      </c>
      <c r="B16" t="inlineStr">
        <is>
          <t>Chemicals &amp; Allied Products</t>
        </is>
      </c>
      <c r="C16" t="inlineStr">
        <is>
          <t>Manufacturing</t>
        </is>
      </c>
      <c r="E16" t="inlineStr">
        <is>
          <t>biz advance now</t>
        </is>
      </c>
      <c r="G16" t="inlineStr">
        <is>
          <t>Eating &amp; Drinking Places</t>
        </is>
      </c>
      <c r="I16" t="inlineStr">
        <is>
          <t>IN</t>
        </is>
      </c>
      <c r="K16" s="297" t="n">
        <v>45803</v>
      </c>
    </row>
    <row r="17">
      <c r="A17" t="inlineStr">
        <is>
          <t>30</t>
        </is>
      </c>
      <c r="B17" t="inlineStr">
        <is>
          <t>Rubber &amp; Plastics</t>
        </is>
      </c>
      <c r="C17" t="inlineStr">
        <is>
          <t>Manufacturing</t>
        </is>
      </c>
      <c r="E17" t="inlineStr">
        <is>
          <t>Biz fuel</t>
        </is>
      </c>
      <c r="G17" t="inlineStr">
        <is>
          <t>Educational Services</t>
        </is>
      </c>
      <c r="I17" t="inlineStr">
        <is>
          <t>KS</t>
        </is>
      </c>
      <c r="K17" s="297" t="n">
        <v>45827</v>
      </c>
    </row>
    <row r="18">
      <c r="A18" t="inlineStr">
        <is>
          <t>32</t>
        </is>
      </c>
      <c r="B18" t="inlineStr">
        <is>
          <t>Stone, Clay, Glass &amp; Concrete</t>
        </is>
      </c>
      <c r="C18" t="inlineStr">
        <is>
          <t>Manufacturing</t>
        </is>
      </c>
      <c r="E18" t="inlineStr">
        <is>
          <t>BizFin LLC</t>
        </is>
      </c>
      <c r="G18" t="inlineStr">
        <is>
          <t>Electric, Gas &amp; Sanitary Services</t>
        </is>
      </c>
      <c r="I18" t="inlineStr">
        <is>
          <t>KY</t>
        </is>
      </c>
      <c r="K18" s="297" t="n">
        <v>45842</v>
      </c>
    </row>
    <row r="19">
      <c r="A19" t="inlineStr">
        <is>
          <t>33</t>
        </is>
      </c>
      <c r="B19" t="inlineStr">
        <is>
          <t>Primary Metal Industries</t>
        </is>
      </c>
      <c r="C19" t="inlineStr">
        <is>
          <t>Manufacturing</t>
        </is>
      </c>
      <c r="E19" t="inlineStr">
        <is>
          <t>black flag funding</t>
        </is>
      </c>
      <c r="G19" t="inlineStr">
        <is>
          <t>Electronic &amp; Electrical Equipment</t>
        </is>
      </c>
      <c r="I19" t="inlineStr">
        <is>
          <t>LA</t>
        </is>
      </c>
      <c r="K19" s="297" t="n">
        <v>45901</v>
      </c>
    </row>
    <row r="20">
      <c r="A20" t="inlineStr">
        <is>
          <t>34</t>
        </is>
      </c>
      <c r="B20" t="inlineStr">
        <is>
          <t>Fabricated Metal Products</t>
        </is>
      </c>
      <c r="C20" t="inlineStr">
        <is>
          <t>Manufacturing</t>
        </is>
      </c>
      <c r="E20" t="inlineStr">
        <is>
          <t>Black Tie Funding</t>
        </is>
      </c>
      <c r="G20" t="inlineStr">
        <is>
          <t>Engineering, Accounting &amp; Management</t>
        </is>
      </c>
      <c r="I20" t="inlineStr">
        <is>
          <t>MA</t>
        </is>
      </c>
      <c r="K20" s="297" t="n">
        <v>45943</v>
      </c>
    </row>
    <row r="21">
      <c r="A21" t="inlineStr">
        <is>
          <t>35</t>
        </is>
      </c>
      <c r="B21" t="inlineStr">
        <is>
          <t>Industrial Machinery &amp; Equipment</t>
        </is>
      </c>
      <c r="C21" t="inlineStr">
        <is>
          <t>Manufacturing</t>
        </is>
      </c>
      <c r="E21" t="inlineStr">
        <is>
          <t>Blue Oak Advance</t>
        </is>
      </c>
      <c r="G21" t="inlineStr">
        <is>
          <t>Environmental Quality &amp; Housing</t>
        </is>
      </c>
      <c r="I21" t="inlineStr">
        <is>
          <t>MD</t>
        </is>
      </c>
      <c r="K21" s="297" t="n">
        <v>45972</v>
      </c>
    </row>
    <row r="22">
      <c r="A22" t="inlineStr">
        <is>
          <t>36</t>
        </is>
      </c>
      <c r="B22" t="inlineStr">
        <is>
          <t>Electronic &amp; Electrical Equipment</t>
        </is>
      </c>
      <c r="C22" t="inlineStr">
        <is>
          <t>Manufacturing</t>
        </is>
      </c>
      <c r="E22" t="inlineStr">
        <is>
          <t>bridge consolidation</t>
        </is>
      </c>
      <c r="G22" t="inlineStr">
        <is>
          <t>Fabricated Metal Products</t>
        </is>
      </c>
      <c r="I22" t="inlineStr">
        <is>
          <t>ME</t>
        </is>
      </c>
      <c r="K22" s="297" t="n">
        <v>45988</v>
      </c>
    </row>
    <row r="23">
      <c r="A23" t="inlineStr">
        <is>
          <t>37</t>
        </is>
      </c>
      <c r="B23" t="inlineStr">
        <is>
          <t>Transportation Equipment</t>
        </is>
      </c>
      <c r="C23" t="inlineStr">
        <is>
          <t>Manufacturing</t>
        </is>
      </c>
      <c r="E23" t="inlineStr">
        <is>
          <t>Broadway Advance LLC</t>
        </is>
      </c>
      <c r="G23" t="inlineStr">
        <is>
          <t>Food &amp; Kindred Products</t>
        </is>
      </c>
      <c r="I23" t="inlineStr">
        <is>
          <t>MI</t>
        </is>
      </c>
      <c r="K23" s="297" t="n">
        <v>46016</v>
      </c>
    </row>
    <row r="24">
      <c r="A24" t="inlineStr">
        <is>
          <t>38</t>
        </is>
      </c>
      <c r="B24" t="inlineStr">
        <is>
          <t>Instruments &amp; Related Products</t>
        </is>
      </c>
      <c r="C24" t="inlineStr">
        <is>
          <t>Manufacturing</t>
        </is>
      </c>
      <c r="E24" t="inlineStr">
        <is>
          <t>Business Fund USA 4</t>
        </is>
      </c>
      <c r="G24" t="inlineStr">
        <is>
          <t>Food Stores</t>
        </is>
      </c>
      <c r="I24" t="inlineStr">
        <is>
          <t>MN</t>
        </is>
      </c>
      <c r="K24" s="297" t="n">
        <v>46023</v>
      </c>
    </row>
    <row r="25">
      <c r="A25" t="inlineStr">
        <is>
          <t>39</t>
        </is>
      </c>
      <c r="B25" t="inlineStr">
        <is>
          <t>Miscellaneous Manufacturing</t>
        </is>
      </c>
      <c r="C25" t="inlineStr">
        <is>
          <t>Manufacturing</t>
        </is>
      </c>
      <c r="E25" t="inlineStr">
        <is>
          <t>Can I Have Money</t>
        </is>
      </c>
      <c r="G25" t="inlineStr">
        <is>
          <t>Forestry</t>
        </is>
      </c>
      <c r="I25" t="inlineStr">
        <is>
          <t>MO</t>
        </is>
      </c>
      <c r="K25" s="297" t="n">
        <v>46041</v>
      </c>
    </row>
    <row r="26">
      <c r="A26" t="inlineStr">
        <is>
          <t>41</t>
        </is>
      </c>
      <c r="B26" t="inlineStr">
        <is>
          <t>Local &amp; Interurban Passenger Transit</t>
        </is>
      </c>
      <c r="C26" t="inlineStr">
        <is>
          <t>Transportation &amp; Utilities</t>
        </is>
      </c>
      <c r="E26" t="inlineStr">
        <is>
          <t>Capfront Funding</t>
        </is>
      </c>
      <c r="G26" t="inlineStr">
        <is>
          <t>Furniture &amp; Fixtures</t>
        </is>
      </c>
      <c r="I26" t="inlineStr">
        <is>
          <t>MS</t>
        </is>
      </c>
      <c r="K26" s="297" t="n">
        <v>46069</v>
      </c>
    </row>
    <row r="27">
      <c r="A27" t="inlineStr">
        <is>
          <t>42</t>
        </is>
      </c>
      <c r="B27" t="inlineStr">
        <is>
          <t>Trucking &amp; Warehousing</t>
        </is>
      </c>
      <c r="C27" t="inlineStr">
        <is>
          <t>Transportation &amp; Utilities</t>
        </is>
      </c>
      <c r="E27" t="inlineStr">
        <is>
          <t>Capital 1 Group LLC DBA Tier One Financing LLC</t>
        </is>
      </c>
      <c r="G27" t="inlineStr">
        <is>
          <t>Furniture &amp; Home Furnishings Stores</t>
        </is>
      </c>
      <c r="I27" t="inlineStr">
        <is>
          <t>MT</t>
        </is>
      </c>
      <c r="K27" s="297" t="n">
        <v>46167</v>
      </c>
    </row>
    <row r="28">
      <c r="A28" t="inlineStr">
        <is>
          <t>44</t>
        </is>
      </c>
      <c r="B28" t="inlineStr">
        <is>
          <t>Water Transportation</t>
        </is>
      </c>
      <c r="C28" t="inlineStr">
        <is>
          <t>Transportation &amp; Utilities</t>
        </is>
      </c>
      <c r="E28" t="inlineStr">
        <is>
          <t>CARE FUNDING GROUP</t>
        </is>
      </c>
      <c r="G28" t="inlineStr">
        <is>
          <t>General Building Contractors</t>
        </is>
      </c>
      <c r="I28" t="inlineStr">
        <is>
          <t>NC</t>
        </is>
      </c>
      <c r="K28" s="297" t="n">
        <v>46192</v>
      </c>
    </row>
    <row r="29">
      <c r="A29" t="inlineStr">
        <is>
          <t>45</t>
        </is>
      </c>
      <c r="B29" t="inlineStr">
        <is>
          <t>Air Transportation</t>
        </is>
      </c>
      <c r="C29" t="inlineStr">
        <is>
          <t>Transportation &amp; Utilities</t>
        </is>
      </c>
      <c r="E29" t="inlineStr">
        <is>
          <t>cavala funding</t>
        </is>
      </c>
      <c r="G29" t="inlineStr">
        <is>
          <t>General Merchandise Stores</t>
        </is>
      </c>
      <c r="I29" t="inlineStr">
        <is>
          <t>ND</t>
        </is>
      </c>
      <c r="K29" s="297" t="n">
        <v>46272</v>
      </c>
    </row>
    <row r="30">
      <c r="A30" t="inlineStr">
        <is>
          <t>47</t>
        </is>
      </c>
      <c r="B30" t="inlineStr">
        <is>
          <t>Transportation Services</t>
        </is>
      </c>
      <c r="C30" t="inlineStr">
        <is>
          <t>Transportation &amp; Utilities</t>
        </is>
      </c>
      <c r="E30" t="inlineStr">
        <is>
          <t>cenitcapital</t>
        </is>
      </c>
      <c r="G30" t="inlineStr">
        <is>
          <t>Health Services</t>
        </is>
      </c>
      <c r="I30" t="inlineStr">
        <is>
          <t>NH</t>
        </is>
      </c>
      <c r="K30" s="297" t="n">
        <v>46307</v>
      </c>
    </row>
    <row r="31">
      <c r="A31" t="inlineStr">
        <is>
          <t>48</t>
        </is>
      </c>
      <c r="B31" t="inlineStr">
        <is>
          <t>Communications</t>
        </is>
      </c>
      <c r="C31" t="inlineStr">
        <is>
          <t>Transportation &amp; Utilities</t>
        </is>
      </c>
      <c r="E31" t="inlineStr">
        <is>
          <t>Choicecapital Solutions LLC</t>
        </is>
      </c>
      <c r="G31" t="inlineStr">
        <is>
          <t>Heavy Construction</t>
        </is>
      </c>
      <c r="I31" t="inlineStr">
        <is>
          <t>NJ</t>
        </is>
      </c>
      <c r="K31" s="297" t="n">
        <v>46337</v>
      </c>
    </row>
    <row r="32">
      <c r="A32" t="inlineStr">
        <is>
          <t>49</t>
        </is>
      </c>
      <c r="B32" t="inlineStr">
        <is>
          <t>Electric, Gas &amp; Sanitary Services</t>
        </is>
      </c>
      <c r="C32" t="inlineStr">
        <is>
          <t>Transportation &amp; Utilities</t>
        </is>
      </c>
      <c r="E32" t="inlineStr">
        <is>
          <t>City Wide Capital</t>
        </is>
      </c>
      <c r="G32" t="inlineStr">
        <is>
          <t>Hotels &amp; Lodging</t>
        </is>
      </c>
      <c r="I32" t="inlineStr">
        <is>
          <t>NM</t>
        </is>
      </c>
      <c r="K32" s="297" t="n">
        <v>46352</v>
      </c>
    </row>
    <row r="33">
      <c r="A33" t="inlineStr">
        <is>
          <t>50</t>
        </is>
      </c>
      <c r="B33" t="inlineStr">
        <is>
          <t>Wholesale Trade - Durable Goods</t>
        </is>
      </c>
      <c r="C33" t="inlineStr">
        <is>
          <t>Wholesale Trade</t>
        </is>
      </c>
      <c r="E33" t="inlineStr">
        <is>
          <t>Clover Capital</t>
        </is>
      </c>
      <c r="G33" t="inlineStr">
        <is>
          <t>Industrial Machinery &amp; Equipment</t>
        </is>
      </c>
      <c r="I33" t="inlineStr">
        <is>
          <t>NV</t>
        </is>
      </c>
      <c r="K33" s="297" t="n">
        <v>46381</v>
      </c>
    </row>
    <row r="34">
      <c r="A34" t="inlineStr">
        <is>
          <t>51</t>
        </is>
      </c>
      <c r="B34" t="inlineStr">
        <is>
          <t>Wholesale Trade - Nondurable Goods</t>
        </is>
      </c>
      <c r="C34" t="inlineStr">
        <is>
          <t>Wholesale Trade</t>
        </is>
      </c>
      <c r="E34" t="inlineStr">
        <is>
          <t>CNL LOANS</t>
        </is>
      </c>
      <c r="G34" t="inlineStr">
        <is>
          <t>Instruments &amp; Related Products</t>
        </is>
      </c>
      <c r="I34" t="inlineStr">
        <is>
          <t>NY</t>
        </is>
      </c>
      <c r="K34" s="297" t="n">
        <v>46388</v>
      </c>
    </row>
    <row r="35">
      <c r="A35" t="inlineStr">
        <is>
          <t>52</t>
        </is>
      </c>
      <c r="B35" t="inlineStr">
        <is>
          <t>Building Materials &amp; Garden Supply</t>
        </is>
      </c>
      <c r="C35" t="inlineStr">
        <is>
          <t>Retail Trade</t>
        </is>
      </c>
      <c r="E35" t="inlineStr">
        <is>
          <t>Credibly</t>
        </is>
      </c>
      <c r="G35" t="inlineStr">
        <is>
          <t>Insurance Agents &amp; Brokers</t>
        </is>
      </c>
      <c r="I35" t="inlineStr">
        <is>
          <t>No state</t>
        </is>
      </c>
      <c r="K35" s="297" t="n">
        <v>46405</v>
      </c>
    </row>
    <row r="36">
      <c r="A36" t="inlineStr">
        <is>
          <t>53</t>
        </is>
      </c>
      <c r="B36" t="inlineStr">
        <is>
          <t>General Merchandise Stores</t>
        </is>
      </c>
      <c r="C36" t="inlineStr">
        <is>
          <t>Retail Trade</t>
        </is>
      </c>
      <c r="E36" t="inlineStr">
        <is>
          <t>DBS FUNDING GROUP</t>
        </is>
      </c>
      <c r="G36" t="inlineStr">
        <is>
          <t>Insurance Carriers</t>
        </is>
      </c>
      <c r="I36" t="inlineStr">
        <is>
          <t>OH</t>
        </is>
      </c>
      <c r="K36" s="297" t="n">
        <v>46433</v>
      </c>
    </row>
    <row r="37">
      <c r="A37" t="inlineStr">
        <is>
          <t>54</t>
        </is>
      </c>
      <c r="B37" t="inlineStr">
        <is>
          <t>Food Stores</t>
        </is>
      </c>
      <c r="C37" t="inlineStr">
        <is>
          <t>Retail Trade</t>
        </is>
      </c>
      <c r="E37" t="inlineStr">
        <is>
          <t>Deal Struck</t>
        </is>
      </c>
      <c r="G37" t="inlineStr">
        <is>
          <t>Justice, Public Order &amp; Safety</t>
        </is>
      </c>
      <c r="I37" t="inlineStr">
        <is>
          <t>OK</t>
        </is>
      </c>
      <c r="K37" s="297" t="n">
        <v>46538</v>
      </c>
    </row>
    <row r="38">
      <c r="A38" t="inlineStr">
        <is>
          <t>55</t>
        </is>
      </c>
      <c r="B38" t="inlineStr">
        <is>
          <t>Auto Dealers &amp; Gas Stations</t>
        </is>
      </c>
      <c r="C38" t="inlineStr">
        <is>
          <t>Retail Trade</t>
        </is>
      </c>
      <c r="E38" t="inlineStr">
        <is>
          <t>Diamond Bar Funding</t>
        </is>
      </c>
      <c r="G38" t="inlineStr">
        <is>
          <t>Legal Services</t>
        </is>
      </c>
      <c r="I38" t="inlineStr">
        <is>
          <t>OR</t>
        </is>
      </c>
      <c r="K38" s="297" t="n">
        <v>46573</v>
      </c>
    </row>
    <row r="39">
      <c r="A39" t="inlineStr">
        <is>
          <t>56</t>
        </is>
      </c>
      <c r="B39" t="inlineStr">
        <is>
          <t>Apparel &amp; Accessory Stores</t>
        </is>
      </c>
      <c r="C39" t="inlineStr">
        <is>
          <t>Retail Trade</t>
        </is>
      </c>
      <c r="E39" t="inlineStr">
        <is>
          <t>DIRECT CAPITAL SOURCE, INC.</t>
        </is>
      </c>
      <c r="G39" t="inlineStr">
        <is>
          <t>Local &amp; Interurban Passenger Transit</t>
        </is>
      </c>
      <c r="I39" t="inlineStr">
        <is>
          <t>PA</t>
        </is>
      </c>
      <c r="K39" s="297" t="n">
        <v>46636</v>
      </c>
    </row>
    <row r="40">
      <c r="A40" t="inlineStr">
        <is>
          <t>57</t>
        </is>
      </c>
      <c r="B40" t="inlineStr">
        <is>
          <t>Furniture &amp; Home Furnishings Stores</t>
        </is>
      </c>
      <c r="C40" t="inlineStr">
        <is>
          <t>Retail Trade</t>
        </is>
      </c>
      <c r="E40" t="inlineStr">
        <is>
          <t>Direct Funding LLC</t>
        </is>
      </c>
      <c r="G40" t="inlineStr">
        <is>
          <t>Lumber &amp; Wood Products</t>
        </is>
      </c>
      <c r="I40" t="inlineStr">
        <is>
          <t>PR</t>
        </is>
      </c>
      <c r="K40" s="297" t="n">
        <v>46671</v>
      </c>
    </row>
    <row r="41">
      <c r="A41" t="inlineStr">
        <is>
          <t>58</t>
        </is>
      </c>
      <c r="B41" t="inlineStr">
        <is>
          <t>Eating &amp; Drinking Places</t>
        </is>
      </c>
      <c r="C41" t="inlineStr">
        <is>
          <t>Retail Trade</t>
        </is>
      </c>
      <c r="E41" t="inlineStr">
        <is>
          <t>Dubbs holding</t>
        </is>
      </c>
      <c r="G41" t="inlineStr">
        <is>
          <t>Membership Organizations</t>
        </is>
      </c>
      <c r="I41" t="inlineStr">
        <is>
          <t>RI</t>
        </is>
      </c>
      <c r="K41" s="297" t="n">
        <v>46702</v>
      </c>
    </row>
    <row r="42">
      <c r="A42" t="inlineStr">
        <is>
          <t>59</t>
        </is>
      </c>
      <c r="B42" t="inlineStr">
        <is>
          <t>Miscellaneous Retail</t>
        </is>
      </c>
      <c r="C42" t="inlineStr">
        <is>
          <t>Retail Trade</t>
        </is>
      </c>
      <c r="E42" t="inlineStr">
        <is>
          <t>ecp business capital</t>
        </is>
      </c>
      <c r="G42" t="inlineStr">
        <is>
          <t>Miscellaneous Manufacturing</t>
        </is>
      </c>
      <c r="I42" t="inlineStr">
        <is>
          <t>SC</t>
        </is>
      </c>
      <c r="K42" s="297" t="n">
        <v>46716</v>
      </c>
    </row>
    <row r="43">
      <c r="A43" t="inlineStr">
        <is>
          <t>62</t>
        </is>
      </c>
      <c r="B43" t="inlineStr">
        <is>
          <t>Security &amp; Commodity Brokers</t>
        </is>
      </c>
      <c r="C43" t="inlineStr">
        <is>
          <t>Finance, Insurance &amp; Real Estate</t>
        </is>
      </c>
      <c r="E43" t="inlineStr">
        <is>
          <t>Elite Advance 5</t>
        </is>
      </c>
      <c r="G43" t="inlineStr">
        <is>
          <t>Miscellaneous Repair Services</t>
        </is>
      </c>
      <c r="I43" t="inlineStr">
        <is>
          <t>SD</t>
        </is>
      </c>
    </row>
    <row r="44">
      <c r="A44" t="inlineStr">
        <is>
          <t>63</t>
        </is>
      </c>
      <c r="B44" t="inlineStr">
        <is>
          <t>Insurance Carriers</t>
        </is>
      </c>
      <c r="C44" t="inlineStr">
        <is>
          <t>Finance, Insurance &amp; Real Estate</t>
        </is>
      </c>
      <c r="E44" t="inlineStr">
        <is>
          <t>elite finance team</t>
        </is>
      </c>
      <c r="G44" t="inlineStr">
        <is>
          <t>Miscellaneous Retail</t>
        </is>
      </c>
      <c r="I44" t="inlineStr">
        <is>
          <t>TN</t>
        </is>
      </c>
    </row>
    <row r="45">
      <c r="A45" t="inlineStr">
        <is>
          <t>64</t>
        </is>
      </c>
      <c r="B45" t="inlineStr">
        <is>
          <t>Insurance Agents &amp; Brokers</t>
        </is>
      </c>
      <c r="C45" t="inlineStr">
        <is>
          <t>Finance, Insurance &amp; Real Estate</t>
        </is>
      </c>
      <c r="E45" t="inlineStr">
        <is>
          <t>ELITE FUNDING PARTNERS LLC 6</t>
        </is>
      </c>
      <c r="G45" t="inlineStr">
        <is>
          <t>Motion Pictures</t>
        </is>
      </c>
      <c r="I45" t="inlineStr">
        <is>
          <t>TX</t>
        </is>
      </c>
    </row>
    <row r="46">
      <c r="A46" t="inlineStr">
        <is>
          <t>65</t>
        </is>
      </c>
      <c r="B46" t="inlineStr">
        <is>
          <t>Real Estate</t>
        </is>
      </c>
      <c r="C46" t="inlineStr">
        <is>
          <t>Finance, Insurance &amp; Real Estate</t>
        </is>
      </c>
      <c r="E46" t="inlineStr">
        <is>
          <t>EVR GREEN LLC</t>
        </is>
      </c>
      <c r="G46" t="inlineStr">
        <is>
          <t>Museums &amp; Botanical Gardens</t>
        </is>
      </c>
      <c r="I46" t="inlineStr">
        <is>
          <t>UT</t>
        </is>
      </c>
    </row>
    <row r="47">
      <c r="A47" t="inlineStr">
        <is>
          <t>70</t>
        </is>
      </c>
      <c r="B47" t="inlineStr">
        <is>
          <t>Hotels &amp; Lodging</t>
        </is>
      </c>
      <c r="C47" t="inlineStr">
        <is>
          <t>Services</t>
        </is>
      </c>
      <c r="E47" t="inlineStr">
        <is>
          <t>EZ ADVANCE LLC</t>
        </is>
      </c>
      <c r="G47" t="inlineStr">
        <is>
          <t>National Security &amp; Intl Affairs</t>
        </is>
      </c>
      <c r="I47" t="inlineStr">
        <is>
          <t>VA</t>
        </is>
      </c>
    </row>
    <row r="48">
      <c r="A48" t="inlineStr">
        <is>
          <t>72</t>
        </is>
      </c>
      <c r="B48" t="inlineStr">
        <is>
          <t>Personal Services</t>
        </is>
      </c>
      <c r="C48" t="inlineStr">
        <is>
          <t>Services</t>
        </is>
      </c>
      <c r="E48" t="inlineStr">
        <is>
          <t>ez alternative solutions</t>
        </is>
      </c>
      <c r="G48" t="inlineStr">
        <is>
          <t>Nonmetallic Minerals Mining</t>
        </is>
      </c>
      <c r="I48" t="inlineStr">
        <is>
          <t>VT</t>
        </is>
      </c>
    </row>
    <row r="49">
      <c r="A49" t="inlineStr">
        <is>
          <t>73</t>
        </is>
      </c>
      <c r="B49" t="inlineStr">
        <is>
          <t>Business Services</t>
        </is>
      </c>
      <c r="C49" t="inlineStr">
        <is>
          <t>Services</t>
        </is>
      </c>
      <c r="E49" t="inlineStr">
        <is>
          <t>FC ADVANCE</t>
        </is>
      </c>
      <c r="G49" t="inlineStr">
        <is>
          <t>Oil &amp; Gas Extraction</t>
        </is>
      </c>
      <c r="I49" t="inlineStr">
        <is>
          <t>WA</t>
        </is>
      </c>
    </row>
    <row r="50">
      <c r="A50" t="inlineStr">
        <is>
          <t>75</t>
        </is>
      </c>
      <c r="B50" t="inlineStr">
        <is>
          <t>Auto Repair &amp; Services</t>
        </is>
      </c>
      <c r="C50" t="inlineStr">
        <is>
          <t>Services</t>
        </is>
      </c>
      <c r="E50" t="inlineStr">
        <is>
          <t>Fidelity Funding</t>
        </is>
      </c>
      <c r="G50" t="inlineStr">
        <is>
          <t>Personal Services</t>
        </is>
      </c>
      <c r="I50" t="inlineStr">
        <is>
          <t>WI</t>
        </is>
      </c>
    </row>
    <row r="51">
      <c r="A51" t="inlineStr">
        <is>
          <t>76</t>
        </is>
      </c>
      <c r="B51" t="inlineStr">
        <is>
          <t>Miscellaneous Repair Services</t>
        </is>
      </c>
      <c r="C51" t="inlineStr">
        <is>
          <t>Services</t>
        </is>
      </c>
      <c r="E51" t="inlineStr">
        <is>
          <t>FIFTH VENTURE</t>
        </is>
      </c>
      <c r="G51" t="inlineStr">
        <is>
          <t>Primary Metal Industries</t>
        </is>
      </c>
      <c r="I51" t="inlineStr">
        <is>
          <t>WV</t>
        </is>
      </c>
    </row>
    <row r="52">
      <c r="A52" t="inlineStr">
        <is>
          <t>78</t>
        </is>
      </c>
      <c r="B52" t="inlineStr">
        <is>
          <t>Motion Pictures</t>
        </is>
      </c>
      <c r="C52" t="inlineStr">
        <is>
          <t>Services</t>
        </is>
      </c>
      <c r="E52" t="inlineStr">
        <is>
          <t>FIMACAP INC</t>
        </is>
      </c>
      <c r="G52" t="inlineStr">
        <is>
          <t>Printing &amp; Publishing</t>
        </is>
      </c>
    </row>
    <row r="53">
      <c r="A53" t="inlineStr">
        <is>
          <t>79</t>
        </is>
      </c>
      <c r="B53" t="inlineStr">
        <is>
          <t>Amusement &amp; Recreation Services</t>
        </is>
      </c>
      <c r="C53" t="inlineStr">
        <is>
          <t>Services</t>
        </is>
      </c>
      <c r="E53" t="inlineStr">
        <is>
          <t>Financial Express LLC</t>
        </is>
      </c>
      <c r="G53" t="inlineStr">
        <is>
          <t>Real Estate</t>
        </is>
      </c>
    </row>
    <row r="54">
      <c r="A54" t="inlineStr">
        <is>
          <t>80</t>
        </is>
      </c>
      <c r="B54" t="inlineStr">
        <is>
          <t>Health Services</t>
        </is>
      </c>
      <c r="C54" t="inlineStr">
        <is>
          <t>Services</t>
        </is>
      </c>
      <c r="E54" t="inlineStr">
        <is>
          <t>Financity</t>
        </is>
      </c>
      <c r="G54" t="inlineStr">
        <is>
          <t>Rubber &amp; Plastics</t>
        </is>
      </c>
    </row>
    <row r="55">
      <c r="A55" t="inlineStr">
        <is>
          <t>81</t>
        </is>
      </c>
      <c r="B55" t="inlineStr">
        <is>
          <t>Legal Services</t>
        </is>
      </c>
      <c r="C55" t="inlineStr">
        <is>
          <t>Services</t>
        </is>
      </c>
      <c r="E55" t="inlineStr">
        <is>
          <t>FireLine Funding</t>
        </is>
      </c>
      <c r="G55" t="inlineStr">
        <is>
          <t>Security &amp; Commodity Brokers</t>
        </is>
      </c>
    </row>
    <row r="56">
      <c r="A56" t="inlineStr">
        <is>
          <t>82</t>
        </is>
      </c>
      <c r="B56" t="inlineStr">
        <is>
          <t>Educational Services</t>
        </is>
      </c>
      <c r="C56" t="inlineStr">
        <is>
          <t>Services</t>
        </is>
      </c>
      <c r="E56" t="inlineStr">
        <is>
          <t>First Path Capital</t>
        </is>
      </c>
      <c r="G56" t="inlineStr">
        <is>
          <t>Services - Miscellaneous</t>
        </is>
      </c>
    </row>
    <row r="57">
      <c r="A57" t="inlineStr">
        <is>
          <t>83</t>
        </is>
      </c>
      <c r="B57" t="inlineStr">
        <is>
          <t>Social Services</t>
        </is>
      </c>
      <c r="C57" t="inlineStr">
        <is>
          <t>Services</t>
        </is>
      </c>
      <c r="E57" t="inlineStr">
        <is>
          <t>Fund Kite</t>
        </is>
      </c>
      <c r="G57" t="inlineStr">
        <is>
          <t>Social Services</t>
        </is>
      </c>
    </row>
    <row r="58">
      <c r="A58" t="inlineStr">
        <is>
          <t>84</t>
        </is>
      </c>
      <c r="B58" t="inlineStr">
        <is>
          <t>Museums &amp; Botanical Gardens</t>
        </is>
      </c>
      <c r="C58" t="inlineStr">
        <is>
          <t>Services</t>
        </is>
      </c>
      <c r="E58" t="inlineStr">
        <is>
          <t>Fund Max</t>
        </is>
      </c>
      <c r="G58" t="inlineStr">
        <is>
          <t>Special Trade Contractors</t>
        </is>
      </c>
    </row>
    <row r="59">
      <c r="A59" t="inlineStr">
        <is>
          <t>86</t>
        </is>
      </c>
      <c r="B59" t="inlineStr">
        <is>
          <t>Membership Organizations</t>
        </is>
      </c>
      <c r="C59" t="inlineStr">
        <is>
          <t>Services</t>
        </is>
      </c>
      <c r="E59" t="inlineStr">
        <is>
          <t>Fund Simple</t>
        </is>
      </c>
      <c r="G59" t="inlineStr">
        <is>
          <t>Stone, Clay, Glass &amp; Concrete</t>
        </is>
      </c>
    </row>
    <row r="60">
      <c r="A60" t="inlineStr">
        <is>
          <t>87</t>
        </is>
      </c>
      <c r="B60" t="inlineStr">
        <is>
          <t>Engineering, Accounting &amp; Management</t>
        </is>
      </c>
      <c r="C60" t="inlineStr">
        <is>
          <t>Services</t>
        </is>
      </c>
      <c r="E60" t="inlineStr">
        <is>
          <t>Fund Your Bizz</t>
        </is>
      </c>
      <c r="G60" t="inlineStr">
        <is>
          <t>Transportation Equipment</t>
        </is>
      </c>
    </row>
    <row r="61">
      <c r="A61" t="inlineStr">
        <is>
          <t>89</t>
        </is>
      </c>
      <c r="B61" t="inlineStr">
        <is>
          <t>Services - Miscellaneous</t>
        </is>
      </c>
      <c r="C61" t="inlineStr">
        <is>
          <t>Services</t>
        </is>
      </c>
      <c r="E61" t="inlineStr">
        <is>
          <t>FundFlex</t>
        </is>
      </c>
      <c r="G61" t="inlineStr">
        <is>
          <t>Transportation Services</t>
        </is>
      </c>
    </row>
    <row r="62">
      <c r="A62" t="inlineStr">
        <is>
          <t>92</t>
        </is>
      </c>
      <c r="B62" t="inlineStr">
        <is>
          <t>Justice, Public Order &amp; Safety</t>
        </is>
      </c>
      <c r="C62" t="inlineStr">
        <is>
          <t>Public Administration</t>
        </is>
      </c>
      <c r="E62" t="inlineStr">
        <is>
          <t>Fundible</t>
        </is>
      </c>
      <c r="G62" t="inlineStr">
        <is>
          <t>Trucking &amp; Warehousing</t>
        </is>
      </c>
    </row>
    <row r="63">
      <c r="A63" t="inlineStr">
        <is>
          <t>95</t>
        </is>
      </c>
      <c r="B63" t="inlineStr">
        <is>
          <t>Environmental Quality &amp; Housing</t>
        </is>
      </c>
      <c r="C63" t="inlineStr">
        <is>
          <t>Public Administration</t>
        </is>
      </c>
      <c r="E63" t="inlineStr">
        <is>
          <t>Fundward</t>
        </is>
      </c>
      <c r="G63" t="inlineStr">
        <is>
          <t>Water Transportation</t>
        </is>
      </c>
    </row>
    <row r="64">
      <c r="A64" t="inlineStr">
        <is>
          <t>96</t>
        </is>
      </c>
      <c r="B64" t="inlineStr">
        <is>
          <t>Administration of Economic Programs</t>
        </is>
      </c>
      <c r="C64" t="inlineStr">
        <is>
          <t>Public Administration</t>
        </is>
      </c>
      <c r="E64" t="inlineStr">
        <is>
          <t>Fundwell</t>
        </is>
      </c>
      <c r="G64" t="inlineStr">
        <is>
          <t>Wholesale Trade - Durable Goods</t>
        </is>
      </c>
    </row>
    <row r="65">
      <c r="A65" t="inlineStr">
        <is>
          <t>97</t>
        </is>
      </c>
      <c r="B65" t="inlineStr">
        <is>
          <t>National Security &amp; Intl Affairs</t>
        </is>
      </c>
      <c r="C65" t="inlineStr">
        <is>
          <t>Public Administration</t>
        </is>
      </c>
      <c r="E65" t="inlineStr">
        <is>
          <t>Go Ai Ez LLC Dba:Gova Funding</t>
        </is>
      </c>
      <c r="G65" t="inlineStr">
        <is>
          <t>Wholesale Trade - Nondurable Goods</t>
        </is>
      </c>
    </row>
    <row r="66">
      <c r="E66" t="inlineStr">
        <is>
          <t>GREYSTONE</t>
        </is>
      </c>
      <c r="G66" t="inlineStr">
        <is>
          <t>No SIC</t>
        </is>
      </c>
    </row>
    <row r="67">
      <c r="E67" t="inlineStr">
        <is>
          <t>GROWTH RATE CAPITAL INC</t>
        </is>
      </c>
      <c r="G67" t="inlineStr">
        <is>
          <t>Unclassified</t>
        </is>
      </c>
    </row>
    <row r="68">
      <c r="E68" t="inlineStr">
        <is>
          <t>Hero Advance Group</t>
        </is>
      </c>
    </row>
    <row r="69">
      <c r="E69" t="inlineStr">
        <is>
          <t>I burst funding</t>
        </is>
      </c>
    </row>
    <row r="70">
      <c r="E70" t="inlineStr">
        <is>
          <t>ICB FUNDING</t>
        </is>
      </c>
    </row>
    <row r="71">
      <c r="E71" t="inlineStr">
        <is>
          <t>ICG Funding</t>
        </is>
      </c>
    </row>
    <row r="72">
      <c r="E72" t="inlineStr">
        <is>
          <t>J Capital Solutions</t>
        </is>
      </c>
    </row>
    <row r="73">
      <c r="E73" t="inlineStr">
        <is>
          <t>JABSCAP</t>
        </is>
      </c>
    </row>
    <row r="74">
      <c r="E74" t="inlineStr">
        <is>
          <t>Kelly Kapital</t>
        </is>
      </c>
    </row>
    <row r="75">
      <c r="E75" t="inlineStr">
        <is>
          <t>Key Capital Funding</t>
        </is>
      </c>
    </row>
    <row r="76">
      <c r="E76" t="inlineStr">
        <is>
          <t>Klendify</t>
        </is>
      </c>
    </row>
    <row r="77">
      <c r="E77" t="inlineStr">
        <is>
          <t>langtech</t>
        </is>
      </c>
    </row>
    <row r="78">
      <c r="E78" t="inlineStr">
        <is>
          <t>legacy funding llc</t>
        </is>
      </c>
    </row>
    <row r="79">
      <c r="E79" t="inlineStr">
        <is>
          <t>Lemonaid</t>
        </is>
      </c>
    </row>
    <row r="80">
      <c r="E80" t="inlineStr">
        <is>
          <t>Lend Bull LLC</t>
        </is>
      </c>
    </row>
    <row r="81">
      <c r="E81" t="inlineStr">
        <is>
          <t>LENDCAP SOLUTIONS</t>
        </is>
      </c>
    </row>
    <row r="82">
      <c r="E82" t="inlineStr">
        <is>
          <t>level 3 funding</t>
        </is>
      </c>
    </row>
    <row r="83">
      <c r="E83" t="inlineStr">
        <is>
          <t>lexington capital holdings</t>
        </is>
      </c>
    </row>
    <row r="84">
      <c r="E84" t="inlineStr">
        <is>
          <t>Liberty Bell Capital</t>
        </is>
      </c>
    </row>
    <row r="85">
      <c r="E85" t="inlineStr">
        <is>
          <t>Lightning SBA Loans</t>
        </is>
      </c>
    </row>
    <row r="86">
      <c r="E86" t="inlineStr">
        <is>
          <t>lightningfundingsolutions</t>
        </is>
      </c>
    </row>
    <row r="87">
      <c r="E87" t="inlineStr">
        <is>
          <t>Linked In Funding</t>
        </is>
      </c>
    </row>
    <row r="88">
      <c r="E88" t="inlineStr">
        <is>
          <t>liquidity lending group</t>
        </is>
      </c>
    </row>
    <row r="89">
      <c r="E89" t="inlineStr">
        <is>
          <t>Llama Loan</t>
        </is>
      </c>
    </row>
    <row r="90">
      <c r="E90" t="inlineStr">
        <is>
          <t>MADVANCEGRP</t>
        </is>
      </c>
    </row>
    <row r="91">
      <c r="E91" t="inlineStr">
        <is>
          <t>Merchant Advance Now</t>
        </is>
      </c>
    </row>
    <row r="92">
      <c r="E92" t="inlineStr">
        <is>
          <t>Merchant ReFi</t>
        </is>
      </c>
    </row>
    <row r="93">
      <c r="E93" t="inlineStr">
        <is>
          <t>Milestone Capital Funding Inc</t>
        </is>
      </c>
    </row>
    <row r="94">
      <c r="E94" t="inlineStr">
        <is>
          <t>Mills  funding group</t>
        </is>
      </c>
    </row>
    <row r="95">
      <c r="E95" t="inlineStr">
        <is>
          <t>Monarch funding Group</t>
        </is>
      </c>
    </row>
    <row r="96">
      <c r="E96" t="inlineStr">
        <is>
          <t>MONETCAP</t>
        </is>
      </c>
    </row>
    <row r="97">
      <c r="E97" t="inlineStr">
        <is>
          <t>MZ ADVANCE</t>
        </is>
      </c>
    </row>
    <row r="98">
      <c r="E98" t="inlineStr">
        <is>
          <t>National Business Capital</t>
        </is>
      </c>
    </row>
    <row r="99">
      <c r="E99" t="inlineStr">
        <is>
          <t>NS PRO INC.</t>
        </is>
      </c>
    </row>
    <row r="100">
      <c r="E100" t="inlineStr">
        <is>
          <t>NY Tribeca Group</t>
        </is>
      </c>
    </row>
    <row r="101">
      <c r="E101" t="inlineStr">
        <is>
          <t>One Box Funding</t>
        </is>
      </c>
    </row>
    <row r="102">
      <c r="E102" t="inlineStr">
        <is>
          <t>ontime cap</t>
        </is>
      </c>
    </row>
    <row r="103">
      <c r="E103" t="inlineStr">
        <is>
          <t>Pathway Catalyst</t>
        </is>
      </c>
    </row>
    <row r="104">
      <c r="E104" t="inlineStr">
        <is>
          <t>PEACH STATE SOLUTIONS</t>
        </is>
      </c>
    </row>
    <row r="105">
      <c r="E105" t="inlineStr">
        <is>
          <t>peach tree capital</t>
        </is>
      </c>
    </row>
    <row r="106">
      <c r="E106" t="inlineStr">
        <is>
          <t>penco holdings</t>
        </is>
      </c>
    </row>
    <row r="107">
      <c r="E107" t="inlineStr">
        <is>
          <t>Pharoah Fund</t>
        </is>
      </c>
    </row>
    <row r="108">
      <c r="E108" t="inlineStr">
        <is>
          <t>Platform Funding</t>
        </is>
      </c>
    </row>
    <row r="109">
      <c r="E109" t="inlineStr">
        <is>
          <t>PMF</t>
        </is>
      </c>
    </row>
    <row r="110">
      <c r="E110" t="inlineStr">
        <is>
          <t>Premium Capital (AMRK)</t>
        </is>
      </c>
    </row>
    <row r="111">
      <c r="E111" t="inlineStr">
        <is>
          <t>Pro Source Lending Group</t>
        </is>
      </c>
    </row>
    <row r="112">
      <c r="E112" t="inlineStr">
        <is>
          <t>Pyn Capital</t>
        </is>
      </c>
    </row>
    <row r="113">
      <c r="E113" t="inlineStr">
        <is>
          <t>Qualifier</t>
        </is>
      </c>
    </row>
    <row r="114">
      <c r="E114" t="inlineStr">
        <is>
          <t>Redline Capital</t>
        </is>
      </c>
    </row>
    <row r="115">
      <c r="E115" t="inlineStr">
        <is>
          <t>ROK</t>
        </is>
      </c>
    </row>
    <row r="116">
      <c r="E116" t="inlineStr">
        <is>
          <t>ROYAL FUNDING GROUP</t>
        </is>
      </c>
    </row>
    <row r="117">
      <c r="E117" t="inlineStr">
        <is>
          <t>SABER ASSETS LLC</t>
        </is>
      </c>
    </row>
    <row r="118">
      <c r="E118" t="inlineStr">
        <is>
          <t>Samson Funding</t>
        </is>
      </c>
    </row>
    <row r="119">
      <c r="E119" t="inlineStr">
        <is>
          <t>Seacap</t>
        </is>
      </c>
    </row>
    <row r="120">
      <c r="E120" t="inlineStr">
        <is>
          <t>Secure Capital Solutions 7</t>
        </is>
      </c>
    </row>
    <row r="121">
      <c r="E121" t="inlineStr">
        <is>
          <t>secure way capital</t>
        </is>
      </c>
    </row>
    <row r="122">
      <c r="E122" t="inlineStr">
        <is>
          <t>Shield Funding</t>
        </is>
      </c>
    </row>
    <row r="123">
      <c r="E123" t="inlineStr">
        <is>
          <t>Shop Funder</t>
        </is>
      </c>
    </row>
    <row r="124">
      <c r="E124" t="inlineStr">
        <is>
          <t>Shore Funding USA</t>
        </is>
      </c>
    </row>
    <row r="125">
      <c r="E125" t="inlineStr">
        <is>
          <t>Simply capital source inc</t>
        </is>
      </c>
    </row>
    <row r="126">
      <c r="E126" t="inlineStr">
        <is>
          <t>Siriux internacional corp</t>
        </is>
      </c>
    </row>
    <row r="127">
      <c r="E127" t="inlineStr">
        <is>
          <t>Sky Advance</t>
        </is>
      </c>
    </row>
    <row r="128">
      <c r="E128" t="inlineStr">
        <is>
          <t>Smarter Credit Inc.</t>
        </is>
      </c>
    </row>
    <row r="129">
      <c r="E129" t="inlineStr">
        <is>
          <t>SNA Capital source</t>
        </is>
      </c>
    </row>
    <row r="130">
      <c r="E130" t="inlineStr">
        <is>
          <t>SNB CAPITAL 18 LLC</t>
        </is>
      </c>
    </row>
    <row r="131">
      <c r="E131" t="inlineStr">
        <is>
          <t>Splash</t>
        </is>
      </c>
    </row>
    <row r="132">
      <c r="E132" t="inlineStr">
        <is>
          <t>Springville Partners</t>
        </is>
      </c>
    </row>
    <row r="133">
      <c r="E133" t="inlineStr">
        <is>
          <t>Streamline Funding LLC</t>
        </is>
      </c>
    </row>
    <row r="134">
      <c r="E134" t="inlineStr">
        <is>
          <t>Supreme Capital Solutions</t>
        </is>
      </c>
    </row>
    <row r="135">
      <c r="E135" t="inlineStr">
        <is>
          <t>Swift Business Funding</t>
        </is>
      </c>
    </row>
    <row r="136">
      <c r="E136" t="inlineStr">
        <is>
          <t>Tech Consulting Pro LLC D/B/A: Nationwide Advance</t>
        </is>
      </c>
    </row>
    <row r="137">
      <c r="E137" t="inlineStr">
        <is>
          <t>The Funding Channel</t>
        </is>
      </c>
    </row>
    <row r="138">
      <c r="E138" t="inlineStr">
        <is>
          <t>The Funding Family</t>
        </is>
      </c>
    </row>
    <row r="139">
      <c r="E139" t="inlineStr">
        <is>
          <t>Tier one</t>
        </is>
      </c>
    </row>
    <row r="140">
      <c r="E140" t="inlineStr">
        <is>
          <t>Tip Top Capital</t>
        </is>
      </c>
    </row>
    <row r="141">
      <c r="E141" t="inlineStr">
        <is>
          <t>Top Floor Advance</t>
        </is>
      </c>
    </row>
    <row r="142">
      <c r="E142" t="inlineStr">
        <is>
          <t>Triumph Cap Fund</t>
        </is>
      </c>
    </row>
    <row r="143">
      <c r="E143" t="inlineStr">
        <is>
          <t>True Eagle Capital</t>
        </is>
      </c>
    </row>
    <row r="144">
      <c r="E144" t="inlineStr">
        <is>
          <t>True Path Funding</t>
        </is>
      </c>
    </row>
    <row r="145">
      <c r="E145" t="inlineStr">
        <is>
          <t>TRUSTFI</t>
        </is>
      </c>
    </row>
    <row r="146">
      <c r="E146" t="inlineStr">
        <is>
          <t>United Secured Capital 8</t>
        </is>
      </c>
    </row>
    <row r="147">
      <c r="E147" t="inlineStr">
        <is>
          <t>upcrunch</t>
        </is>
      </c>
    </row>
    <row r="148">
      <c r="E148" t="inlineStr">
        <is>
          <t>Upright Advance Corp</t>
        </is>
      </c>
    </row>
    <row r="149">
      <c r="E149" t="inlineStr">
        <is>
          <t>Upwise capital</t>
        </is>
      </c>
    </row>
    <row r="150">
      <c r="E150" t="inlineStr">
        <is>
          <t>Vanguard Equities</t>
        </is>
      </c>
    </row>
    <row r="151">
      <c r="E151" t="inlineStr">
        <is>
          <t>Vantage Cap Group</t>
        </is>
      </c>
    </row>
    <row r="152">
      <c r="E152" t="inlineStr">
        <is>
          <t>Viking Funding LLC</t>
        </is>
      </c>
    </row>
    <row r="153">
      <c r="E153" t="inlineStr">
        <is>
          <t>Vital Funding</t>
        </is>
      </c>
    </row>
    <row r="154">
      <c r="E154" t="inlineStr">
        <is>
          <t>Westwood</t>
        </is>
      </c>
    </row>
    <row r="155">
      <c r="E155" t="inlineStr">
        <is>
          <t>Wisco Capital</t>
        </is>
      </c>
    </row>
    <row r="156">
      <c r="E156" t="inlineStr">
        <is>
          <t>WOTR Enterprise LLC</t>
        </is>
      </c>
    </row>
    <row r="157">
      <c r="E157" t="inlineStr">
        <is>
          <t>YM ventures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2026-09-02T21:19:51Z</dcterms:created>
  <dcterms:modified xmlns:dcterms="http://purl.org/dc/terms/" xmlns:xsi="http://www.w3.org/2001/XMLSchema-instance" xsi:type="dcterms:W3CDTF">2026-09-02T21:19:55Z</dcterms:modified>
</cp:coreProperties>
</file>