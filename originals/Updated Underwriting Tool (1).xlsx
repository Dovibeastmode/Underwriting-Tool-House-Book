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Template" sheetId="1" r:id="rId5"/>
    <sheet state="visible" name="Copy of New Template 62" sheetId="2" r:id="rId6"/>
    <sheet state="visible" name="Copy of New Template 61" sheetId="3" r:id="rId7"/>
    <sheet state="visible" name="Copy of New Template 60" sheetId="4" r:id="rId8"/>
    <sheet state="visible" name="440559" sheetId="5" r:id="rId9"/>
    <sheet state="visible" name="Copy of New Template 59" sheetId="6" r:id="rId10"/>
    <sheet state="visible" name="Copy of New Template 58" sheetId="7" r:id="rId11"/>
    <sheet state="visible" name="Copy of New Template 57" sheetId="8" r:id="rId12"/>
    <sheet state="visible" name="Copy of New Template 56" sheetId="9" r:id="rId13"/>
    <sheet state="visible" name="Copy of New Template 55" sheetId="10" r:id="rId14"/>
    <sheet state="visible" name="438249" sheetId="11" r:id="rId15"/>
    <sheet state="visible" name="Copy of New Template 54" sheetId="12" r:id="rId16"/>
    <sheet state="visible" name="Copy of New Template 53" sheetId="13" r:id="rId17"/>
    <sheet state="visible" name="Copy of New Template 52" sheetId="14" r:id="rId18"/>
    <sheet state="visible" name="Copy of New Template 51" sheetId="15" r:id="rId19"/>
    <sheet state="visible" name="Copy of New Template 50" sheetId="16" r:id="rId20"/>
    <sheet state="visible" name="Copy of New Template 49" sheetId="17" r:id="rId21"/>
    <sheet state="visible" name="435983" sheetId="18" r:id="rId22"/>
    <sheet state="visible" name="Copy of New Template 48" sheetId="19" r:id="rId23"/>
    <sheet state="visible" name="Copy of New Template 47" sheetId="20" r:id="rId24"/>
    <sheet state="visible" name="Copy of New Template 46" sheetId="21" r:id="rId25"/>
    <sheet state="visible" name="Copy of New Template 45" sheetId="22" r:id="rId26"/>
    <sheet state="visible" name="Copy of New Template 44" sheetId="23" r:id="rId27"/>
    <sheet state="visible" name="Copy of New Template 43" sheetId="24" r:id="rId28"/>
    <sheet state="visible" name="Copy of New Template 42" sheetId="25" r:id="rId29"/>
    <sheet state="visible" name="Copy of New Template 41" sheetId="26" r:id="rId30"/>
    <sheet state="visible" name="Copy of New Template 40" sheetId="27" r:id="rId31"/>
    <sheet state="visible" name="Copy of New Template 39" sheetId="28" r:id="rId32"/>
    <sheet state="visible" name="431725" sheetId="29" r:id="rId33"/>
    <sheet state="visible" name="Copy of New Template 38" sheetId="30" r:id="rId34"/>
    <sheet state="visible" name="Copy of New Template 37" sheetId="31" r:id="rId35"/>
    <sheet state="visible" name="Copy of New Template 36" sheetId="32" r:id="rId36"/>
    <sheet state="visible" name="Copy of New Template 35" sheetId="33" r:id="rId37"/>
    <sheet state="visible" name="Copy of New Template 34" sheetId="34" r:id="rId38"/>
    <sheet state="visible" name="Copy of New Template 33" sheetId="35" r:id="rId39"/>
    <sheet state="visible" name="Copy of New Template 32" sheetId="36" r:id="rId40"/>
    <sheet state="visible" name="Copy of New Template 31" sheetId="37" r:id="rId41"/>
    <sheet state="visible" name="Copy of New Template 30" sheetId="38" r:id="rId42"/>
    <sheet state="visible" name="Copy of New Template 29" sheetId="39" r:id="rId43"/>
    <sheet state="visible" name="Copy of New Template 28" sheetId="40" r:id="rId44"/>
    <sheet state="visible" name="Copy of New Template 27" sheetId="41" r:id="rId45"/>
    <sheet state="visible" name="Copy of New Template 26" sheetId="42" r:id="rId46"/>
    <sheet state="visible" name="420320" sheetId="43" r:id="rId47"/>
    <sheet state="visible" name="Copy of New Template 25" sheetId="44" r:id="rId48"/>
    <sheet state="visible" name="Copy of New Template 24" sheetId="45" r:id="rId49"/>
    <sheet state="visible" name="Copy of New Template 23" sheetId="46" r:id="rId50"/>
    <sheet state="visible" name="Copy of New Template 22" sheetId="47" r:id="rId51"/>
    <sheet state="visible" name="Copy of New Template 21" sheetId="48" r:id="rId52"/>
    <sheet state="visible" name="Copy of New Template 20" sheetId="49" r:id="rId53"/>
    <sheet state="visible" name="Copy of New Template 19" sheetId="50" r:id="rId54"/>
    <sheet state="visible" name="Copy of New Template 18" sheetId="51" r:id="rId55"/>
    <sheet state="visible" name="Copy of New Template 17" sheetId="52" r:id="rId56"/>
    <sheet state="visible" name="Copy of New Template 16" sheetId="53" r:id="rId57"/>
    <sheet state="visible" name="Copy of New Template 15" sheetId="54" r:id="rId58"/>
    <sheet state="visible" name="Copy of New Template 14" sheetId="55" r:id="rId59"/>
    <sheet state="visible" name="Copy of New Template 13" sheetId="56" r:id="rId60"/>
    <sheet state="visible" name="Copy of New Template 12" sheetId="57" r:id="rId61"/>
    <sheet state="visible" name="Copy of New Template 11" sheetId="58" r:id="rId62"/>
    <sheet state="visible" name="Copy of New Template 10" sheetId="59" r:id="rId63"/>
    <sheet state="visible" name="Copy of New Template 9" sheetId="60" r:id="rId64"/>
    <sheet state="visible" name="Copy of New Template 8" sheetId="61" r:id="rId65"/>
    <sheet state="visible" name="Copy of New Template 7" sheetId="62" r:id="rId66"/>
    <sheet state="visible" name="Copy of New Template 6" sheetId="63" r:id="rId67"/>
    <sheet state="visible" name="Copy of New Template 5" sheetId="64" r:id="rId68"/>
    <sheet state="visible" name="Copy of New Template 4" sheetId="65" r:id="rId69"/>
    <sheet state="visible" name="Copy of New Template 3" sheetId="66" r:id="rId70"/>
    <sheet state="visible" name="Copy of New Template 2" sheetId="67" r:id="rId71"/>
    <sheet state="visible" name="Copy of New Template 1" sheetId="68" r:id="rId72"/>
    <sheet state="visible" name="Copy of New Template" sheetId="69" r:id="rId73"/>
    <sheet state="visible" name="Copy of Template 3" sheetId="70" r:id="rId74"/>
    <sheet state="visible" name="test" sheetId="71" r:id="rId75"/>
    <sheet state="visible" name="Copy of Template 2" sheetId="72" r:id="rId76"/>
    <sheet state="visible" name="Copy of Template 1" sheetId="73" r:id="rId77"/>
    <sheet state="visible" name="Copy of Template" sheetId="74" r:id="rId78"/>
    <sheet state="visible" name="4226498" sheetId="75" r:id="rId79"/>
    <sheet state="visible" name="Hypothetical" sheetId="76" r:id="rId80"/>
    <sheet state="visible" name="426120" sheetId="77" r:id="rId81"/>
    <sheet state="visible" name="425209" sheetId="78" r:id="rId82"/>
  </sheets>
  <definedNames>
    <definedName localSheetId="71" name="D26D33">'Copy of Template 2'!$D$26</definedName>
    <definedName name="D26D33">#REF!</definedName>
    <definedName localSheetId="72" name="D26D33">'Copy of Template 1'!$D$26</definedName>
    <definedName localSheetId="75" name="D26D33">Hypothetical!$D$26</definedName>
    <definedName localSheetId="76" name="D26D33">'426120'!$D$26</definedName>
    <definedName localSheetId="74" name="D26D33">'4226498'!$D$26</definedName>
    <definedName localSheetId="73" name="D26D33">'Copy of Template'!$D$26</definedName>
  </definedNames>
  <calcPr/>
</workbook>
</file>

<file path=xl/sharedStrings.xml><?xml version="1.0" encoding="utf-8"?>
<sst xmlns="http://schemas.openxmlformats.org/spreadsheetml/2006/main" count="7276" uniqueCount="210">
  <si>
    <t xml:space="preserve"> UNDERWRITING TOOL</t>
  </si>
  <si>
    <t>DECISION</t>
  </si>
  <si>
    <t>A.  OFFER</t>
  </si>
  <si>
    <t>MONEYBADGER CROSS-CHECK</t>
  </si>
  <si>
    <t>Fund $</t>
  </si>
  <si>
    <t>Factor</t>
  </si>
  <si>
    <t>Freq</t>
  </si>
  <si>
    <t>Fee %</t>
  </si>
  <si>
    <t>Metric</t>
  </si>
  <si>
    <t>This tool</t>
  </si>
  <si>
    <t>MoneyBadger</t>
  </si>
  <si>
    <t>Diff</t>
  </si>
  <si>
    <t>Weekly</t>
  </si>
  <si>
    <t>Weekly remittance</t>
  </si>
  <si>
    <t>Payback</t>
  </si>
  <si>
    <t>Daily $</t>
  </si>
  <si>
    <t>Weekly $</t>
  </si>
  <si>
    <t>Monthly $</t>
  </si>
  <si>
    <t>Term (mo)</t>
  </si>
  <si>
    <t>Net $</t>
  </si>
  <si>
    <t>Holdback %</t>
  </si>
  <si>
    <t>Weeks / month</t>
  </si>
  <si>
    <t>Days / month</t>
  </si>
  <si>
    <t>B.  BANK DATA  (up to 12 months)</t>
  </si>
  <si>
    <t>Month - NEWEST FIRST</t>
  </si>
  <si>
    <t>True rev $</t>
  </si>
  <si>
    <t>Avg daily bal $</t>
  </si>
  <si>
    <t>Neg days</t>
  </si>
  <si>
    <t>NSFs</t>
  </si>
  <si>
    <t>MoM %</t>
  </si>
  <si>
    <t xml:space="preserve">REC STRUCTURE BANDS  </t>
  </si>
  <si>
    <t>REC STRUCTURE BANDS  (editable)</t>
  </si>
  <si>
    <t>Jul</t>
  </si>
  <si>
    <t>Score &gt;=</t>
  </si>
  <si>
    <t>Term cap</t>
  </si>
  <si>
    <t>Jun</t>
  </si>
  <si>
    <t>May</t>
  </si>
  <si>
    <t>Apr</t>
  </si>
  <si>
    <t>Max term (months)</t>
  </si>
  <si>
    <t>Term = MIN(strength cap, fund/rev green line, month cap)</t>
  </si>
  <si>
    <t>AVG / TOTAL (months entered)</t>
  </si>
  <si>
    <t>EXISTING POSITIONS   (freq Monthly = leverage only, NOT a position)</t>
  </si>
  <si>
    <t>Funder</t>
  </si>
  <si>
    <t>Funded $</t>
  </si>
  <si>
    <t>Payment</t>
  </si>
  <si>
    <t>Daily equiv</t>
  </si>
  <si>
    <t>Start Date</t>
  </si>
  <si>
    <t>Est Term</t>
  </si>
  <si>
    <t>Est term (mo)</t>
  </si>
  <si>
    <t>Mo. remaining</t>
  </si>
  <si>
    <t>Positions (excl. Monthly)</t>
  </si>
  <si>
    <t>Total existing daily</t>
  </si>
  <si>
    <t>/month</t>
  </si>
  <si>
    <t>C.  METRICS</t>
  </si>
  <si>
    <t>Value</t>
  </si>
  <si>
    <t>Green</t>
  </si>
  <si>
    <t>Red</t>
  </si>
  <si>
    <t>Status</t>
  </si>
  <si>
    <t>Knockout</t>
  </si>
  <si>
    <t>Total LVG (all debt / rev)</t>
  </si>
  <si>
    <t>New holdback SP%</t>
  </si>
  <si>
    <t>Daily debt / balance</t>
  </si>
  <si>
    <t>Fund / revenue</t>
  </si>
  <si>
    <t># positions (incl. new)</t>
  </si>
  <si>
    <t>Revenue trend (avg MoM)</t>
  </si>
  <si>
    <t>Neg days + NSFs (total)</t>
  </si>
  <si>
    <t>Existing leverage (before new)</t>
  </si>
  <si>
    <t>-</t>
  </si>
  <si>
    <t>INFO</t>
  </si>
  <si>
    <t>Balance / revenue</t>
  </si>
  <si>
    <t>D.  DECISION</t>
  </si>
  <si>
    <t>Red flags</t>
  </si>
  <si>
    <t>Knockouts</t>
  </si>
  <si>
    <t>Decline if red flags &gt;=  (editable)</t>
  </si>
  <si>
    <t>Minimum fund $</t>
  </si>
  <si>
    <t>E.  DEAL QUALITY  &amp;  RECOMMENDED OFFER  (from bank data alone)</t>
  </si>
  <si>
    <t>Score (G=1, Y=0.5, R=0)</t>
  </si>
  <si>
    <t>of 7</t>
  </si>
  <si>
    <t>Tier</t>
  </si>
  <si>
    <t>Max daily by SP% green</t>
  </si>
  <si>
    <t>Max daily by Total LVG green</t>
  </si>
  <si>
    <t>Max daily by Daily/Balance green</t>
  </si>
  <si>
    <t>RECOMMENDED DAILY  (weakest link)</t>
  </si>
  <si>
    <t>Weekly / monthly equivalent</t>
  </si>
  <si>
    <t>Rec term (daily pmts) / factor  (editable)</t>
  </si>
  <si>
    <t>RECOMMENDED FUND</t>
  </si>
  <si>
    <t>Balance</t>
  </si>
  <si>
    <t>Daily</t>
  </si>
  <si>
    <t>Aug</t>
  </si>
  <si>
    <t>Mar</t>
  </si>
  <si>
    <t>integra</t>
  </si>
  <si>
    <t>* create est. term</t>
  </si>
  <si>
    <t>* only accurate for weekly deals right now</t>
  </si>
  <si>
    <t>intuit</t>
  </si>
  <si>
    <t>fora</t>
  </si>
  <si>
    <t>sbfs</t>
  </si>
  <si>
    <t>Monthly</t>
  </si>
  <si>
    <t>forwad</t>
  </si>
  <si>
    <t>forward</t>
  </si>
  <si>
    <t>Funded Date</t>
  </si>
  <si>
    <t>Est Balance</t>
  </si>
  <si>
    <t>Est Factor rate</t>
  </si>
  <si>
    <t>Fox Funding</t>
  </si>
  <si>
    <t>Fundomate</t>
  </si>
  <si>
    <t>Itria Ventures LLC</t>
  </si>
  <si>
    <t>244501 + 98,500.00</t>
  </si>
  <si>
    <t>Libertas Funding</t>
  </si>
  <si>
    <t>ONDECK</t>
  </si>
  <si>
    <t>Underwriting Tool</t>
  </si>
  <si>
    <t>VERDICT</t>
  </si>
  <si>
    <t>nExist</t>
  </si>
  <si>
    <t xml:space="preserve">DEAL QUALITY  </t>
  </si>
  <si>
    <t>OFFER</t>
  </si>
  <si>
    <t>positionN</t>
  </si>
  <si>
    <t>Term (daily)</t>
  </si>
  <si>
    <t>Payment /day</t>
  </si>
  <si>
    <t>Net</t>
  </si>
  <si>
    <t>exist leverage</t>
  </si>
  <si>
    <t>Difference</t>
  </si>
  <si>
    <t>balance/rev</t>
  </si>
  <si>
    <t>Signal</t>
  </si>
  <si>
    <t>Green if</t>
  </si>
  <si>
    <t>Red if</t>
  </si>
  <si>
    <t>Rating</t>
  </si>
  <si>
    <t>Monthly pmt $</t>
  </si>
  <si>
    <t xml:space="preserve">balance/rev </t>
  </si>
  <si>
    <t>rev trend</t>
  </si>
  <si>
    <t># Positions (incl. new)</t>
  </si>
  <si>
    <t>pos pts</t>
  </si>
  <si>
    <t>MERCHANT</t>
  </si>
  <si>
    <t>leverage pts</t>
  </si>
  <si>
    <t>AVG Monthly REV</t>
  </si>
  <si>
    <t xml:space="preserve">Avg daily balance </t>
  </si>
  <si>
    <t>balance pts</t>
  </si>
  <si>
    <t>trend pts</t>
  </si>
  <si>
    <t>Existing leverage debt/rev</t>
  </si>
  <si>
    <t>EXISTING POSITIONS (MCA / BANK)</t>
  </si>
  <si>
    <t>SCORE</t>
  </si>
  <si>
    <t>Weeks per month used</t>
  </si>
  <si>
    <t>Est. mo left</t>
  </si>
  <si>
    <t>tier</t>
  </si>
  <si>
    <t xml:space="preserve">Balance / rev  </t>
  </si>
  <si>
    <t>term days</t>
  </si>
  <si>
    <t>Monthly revenue $</t>
  </si>
  <si>
    <t>Avg daily balance $</t>
  </si>
  <si>
    <t>term wk</t>
  </si>
  <si>
    <t>SCORE   (green = 1,  yellow = 1/2,  red = 0)</t>
  </si>
  <si>
    <t>factor</t>
  </si>
  <si>
    <t>freq</t>
  </si>
  <si>
    <t>score (of 4)</t>
  </si>
  <si>
    <t>maxDaily</t>
  </si>
  <si>
    <t>fund</t>
  </si>
  <si>
    <t>daily pmt</t>
  </si>
  <si>
    <t>Total daily incl. new</t>
  </si>
  <si>
    <t>weekly pmt</t>
  </si>
  <si>
    <t>Total MONTHLY debt</t>
  </si>
  <si>
    <t>pos ordinal</t>
  </si>
  <si>
    <t xml:space="preserve">RECOMMENDED OFFER  </t>
  </si>
  <si>
    <t>Term</t>
  </si>
  <si>
    <t>Payment /period</t>
  </si>
  <si>
    <t>CHECKS  (green = good)</t>
  </si>
  <si>
    <t>What it is</t>
  </si>
  <si>
    <t>Green thr</t>
  </si>
  <si>
    <t>Red thr</t>
  </si>
  <si>
    <t>Total LVG</t>
  </si>
  <si>
    <t>All debt / rev</t>
  </si>
  <si>
    <t>&lt;= 30%</t>
  </si>
  <si>
    <t>reds</t>
  </si>
  <si>
    <t>Avg daily bal / rev</t>
  </si>
  <si>
    <t>&gt;= 15%</t>
  </si>
  <si>
    <t>greens</t>
  </si>
  <si>
    <t>New monthly pmt / rev</t>
  </si>
  <si>
    <t>&lt;= 18%</t>
  </si>
  <si>
    <t>knockout</t>
  </si>
  <si>
    <t>Daily debt/bal</t>
  </si>
  <si>
    <t>Total daily / daily bal</t>
  </si>
  <si>
    <t>&lt;= 45%</t>
  </si>
  <si>
    <t>yellow</t>
  </si>
  <si>
    <t>Fund / rev</t>
  </si>
  <si>
    <t>Fund / monthly rev</t>
  </si>
  <si>
    <t>&lt;= 1.0x</t>
  </si>
  <si>
    <t>REVENUE HISTORY</t>
  </si>
  <si>
    <t>Month</t>
  </si>
  <si>
    <t>MoM</t>
  </si>
  <si>
    <t>Bal/Rev</t>
  </si>
  <si>
    <t>Fund/Rev</t>
  </si>
  <si>
    <t>Feb</t>
  </si>
  <si>
    <t>Jan</t>
  </si>
  <si>
    <t>Dec</t>
  </si>
  <si>
    <t>Average</t>
  </si>
  <si>
    <t>STRUCTURE  (score -&gt; the offer we write)</t>
  </si>
  <si>
    <t>DECLINE</t>
  </si>
  <si>
    <t>DECLINE?</t>
  </si>
  <si>
    <t>Weak</t>
  </si>
  <si>
    <t>Moderate</t>
  </si>
  <si>
    <t>Solid</t>
  </si>
  <si>
    <t>Strong</t>
  </si>
  <si>
    <t>Force Daily if positions &gt;=</t>
  </si>
  <si>
    <t>DECLINE if red signals &gt;=</t>
  </si>
  <si>
    <t>RESULT</t>
  </si>
  <si>
    <t>Term (wk)</t>
  </si>
  <si>
    <t>RECOMMENDED OFFER / DECLINE  (graded from the deal's numbers)</t>
  </si>
  <si>
    <t>Fund</t>
  </si>
  <si>
    <t>*</t>
  </si>
  <si>
    <t>yellows</t>
  </si>
  <si>
    <t>OnDeck</t>
  </si>
  <si>
    <t>balance/rev (F7)</t>
  </si>
  <si>
    <t>kalamata</t>
  </si>
  <si>
    <t>Balance/rev</t>
  </si>
  <si>
    <t>F7  balance/rev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</si>
</sst>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"/>
    <numFmt numFmtId="165" formatCode="&quot;$&quot;#,##0.00"/>
    <numFmt numFmtId="166" formatCode="0.0%"/>
    <numFmt numFmtId="167" formatCode="0.0"/>
    <numFmt numFmtId="168" formatCode="0.000"/>
    <numFmt numFmtId="169" formatCode="M/d/yyyy"/>
    <numFmt numFmtId="170" formatCode="0.00&quot;x&quot;"/>
    <numFmt numFmtId="171" formatCode="m/d/yyyy"/>
  </numFmts>
  <fonts count="39">
    <font>
      <sz val="11.0"/>
      <color theme="1"/>
      <name val="Calibri"/>
      <scheme val="minor"/>
    </font>
    <font>
      <b/>
      <sz val="15.0"/>
      <color theme="1"/>
      <name val="Calibri"/>
      <scheme val="minor"/>
    </font>
    <font>
      <b/>
      <sz val="11.0"/>
      <color theme="1"/>
      <name val="Calibri"/>
      <scheme val="minor"/>
    </font>
    <font>
      <b/>
      <sz val="13.0"/>
      <color theme="1"/>
      <name val="Calibri"/>
      <scheme val="minor"/>
    </font>
    <font>
      <i/>
      <sz val="9.0"/>
      <color rgb="FF374151"/>
      <name val="Calibri"/>
      <scheme val="minor"/>
    </font>
    <font>
      <b/>
      <sz val="11.0"/>
      <color rgb="FFFFFFFF"/>
      <name val="Calibri"/>
      <scheme val="minor"/>
    </font>
    <font/>
    <font>
      <b/>
      <sz val="9.0"/>
      <color rgb="FFFFFFFF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sz val="9.0"/>
      <color rgb="FF2F7D4F"/>
      <name val="Arial"/>
    </font>
    <font>
      <b/>
      <sz val="11.0"/>
      <color rgb="FFFFFFFF"/>
      <name val="Calibri"/>
    </font>
    <font>
      <sz val="9.0"/>
      <color rgb="FFB03A3A"/>
      <name val="Arial"/>
    </font>
    <font>
      <b/>
      <sz val="9.0"/>
      <color rgb="FFFFFFFF"/>
      <name val="Calibri"/>
    </font>
    <font>
      <b/>
      <sz val="11.0"/>
      <color theme="1"/>
      <name val="Calibri"/>
    </font>
    <font>
      <i/>
      <sz val="9.0"/>
      <color rgb="FF37415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1.0"/>
      <color rgb="FF212529"/>
      <name val="&quot;Open Sans&quot;"/>
    </font>
    <font>
      <b/>
      <sz val="12.0"/>
      <color rgb="FF000000"/>
      <name val="Calibri"/>
      <scheme val="minor"/>
    </font>
    <font>
      <b/>
      <sz val="16.0"/>
      <color rgb="FF111827"/>
      <name val="Calibri"/>
    </font>
    <font>
      <b/>
      <sz val="11.0"/>
      <color rgb="FF111827"/>
      <name val="Calibri"/>
    </font>
    <font>
      <b/>
      <sz val="14.0"/>
      <color theme="1"/>
      <name val="Calibri"/>
    </font>
    <font>
      <i/>
      <sz val="9.0"/>
      <color rgb="FF6B7280"/>
      <name val="Calibri"/>
    </font>
    <font>
      <color theme="1"/>
      <name val="0"/>
    </font>
    <font>
      <b/>
      <sz val="11.0"/>
      <color rgb="FF111827"/>
      <name val="Calibri"/>
      <scheme val="minor"/>
    </font>
    <font>
      <i/>
      <sz val="9.0"/>
      <color rgb="FF6B7280"/>
      <name val="Calibri"/>
      <scheme val="minor"/>
    </font>
    <font>
      <b/>
      <sz val="16.0"/>
      <color rgb="FF111827"/>
      <name val="Calibri"/>
      <scheme val="minor"/>
    </font>
    <font>
      <b/>
      <sz val="14.0"/>
      <color theme="1"/>
      <name val="Calibri"/>
      <scheme val="minor"/>
    </font>
    <font>
      <sz val="9.0"/>
      <color rgb="FF6B7280"/>
      <name val="Calibri"/>
    </font>
    <font>
      <b/>
      <color theme="1"/>
      <name val="Calibri"/>
    </font>
    <font>
      <sz val="9.0"/>
      <color rgb="FF6B7280"/>
      <name val="Calibri"/>
      <scheme val="minor"/>
    </font>
    <font>
      <b/>
      <sz val="9.0"/>
      <color theme="1"/>
      <name val="Calibri"/>
      <scheme val="minor"/>
    </font>
    <font>
      <i/>
      <sz val="12.0"/>
      <color rgb="FF6B7280"/>
      <name val="Calibri"/>
      <scheme val="minor"/>
    </font>
    <font>
      <b/>
      <sz val="9.0"/>
      <color theme="1"/>
      <name val="Calibri"/>
    </font>
    <font>
      <color theme="1"/>
      <name val="Calibri"/>
    </font>
    <font>
      <b/>
      <sz val="10.0"/>
      <color theme="1"/>
      <name val="Calibri"/>
    </font>
    <font>
      <b/>
      <color rgb="FFFFFF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4B5563"/>
        <bgColor rgb="FF4B5563"/>
      </patternFill>
    </fill>
    <fill>
      <patternFill patternType="solid">
        <fgColor rgb="FFE5E7EB"/>
        <bgColor rgb="FFE5E7EB"/>
      </patternFill>
    </fill>
    <fill>
      <patternFill patternType="solid">
        <fgColor rgb="FFFFFFFF"/>
        <bgColor rgb="FFFFFFFF"/>
      </patternFill>
    </fill>
    <fill>
      <patternFill patternType="solid">
        <fgColor rgb="FFDCE7FF"/>
        <bgColor rgb="FFDCE7FF"/>
      </patternFill>
    </fill>
    <fill>
      <patternFill patternType="solid">
        <fgColor rgb="FFFDE9D9"/>
        <bgColor rgb="FFFDE9D9"/>
      </patternFill>
    </fill>
    <fill>
      <patternFill patternType="solid">
        <fgColor rgb="FF374151"/>
        <bgColor rgb="FF374151"/>
      </patternFill>
    </fill>
    <fill>
      <patternFill patternType="solid">
        <fgColor rgb="FFFFF3B0"/>
        <bgColor rgb="FFFFF3B0"/>
      </patternFill>
    </fill>
  </fills>
  <borders count="12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center"/>
    </xf>
    <xf borderId="2" fillId="2" fontId="5" numFmtId="0" xfId="0" applyAlignment="1" applyBorder="1" applyFill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1" fillId="3" fontId="7" numFmtId="0" xfId="0" applyAlignment="1" applyBorder="1" applyFill="1" applyFont="1">
      <alignment horizontal="center" vertical="center"/>
    </xf>
    <xf borderId="5" fillId="0" fontId="8" numFmtId="164" xfId="0" applyAlignment="1" applyBorder="1" applyFont="1" applyNumberFormat="1">
      <alignment horizontal="center" readingOrder="0" vertical="center"/>
    </xf>
    <xf borderId="5" fillId="0" fontId="8" numFmtId="2" xfId="0" applyAlignment="1" applyBorder="1" applyFont="1" applyNumberFormat="1">
      <alignment horizontal="center" readingOrder="0" vertical="center"/>
    </xf>
    <xf borderId="5" fillId="0" fontId="8" numFmtId="1" xfId="0" applyAlignment="1" applyBorder="1" applyFont="1" applyNumberForma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5" fillId="0" fontId="8" numFmtId="9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left" vertical="center"/>
    </xf>
    <xf borderId="1" fillId="0" fontId="9" numFmtId="165" xfId="0" applyAlignment="1" applyBorder="1" applyFont="1" applyNumberFormat="1">
      <alignment horizontal="center" vertical="center"/>
    </xf>
    <xf borderId="1" fillId="0" fontId="10" numFmtId="165" xfId="0" applyAlignment="1" applyBorder="1" applyFont="1" applyNumberFormat="1">
      <alignment horizontal="center" vertical="center"/>
    </xf>
    <xf borderId="1" fillId="0" fontId="9" numFmtId="10" xfId="0" applyAlignment="1" applyBorder="1" applyFont="1" applyNumberFormat="1">
      <alignment horizontal="center" vertical="center"/>
    </xf>
    <xf borderId="1" fillId="0" fontId="10" numFmtId="166" xfId="0" applyAlignment="1" applyBorder="1" applyFont="1" applyNumberFormat="1">
      <alignment horizontal="center" vertical="center"/>
    </xf>
    <xf borderId="1" fillId="0" fontId="8" numFmtId="164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horizontal="right" readingOrder="0"/>
    </xf>
    <xf borderId="1" fillId="0" fontId="8" numFmtId="165" xfId="0" applyAlignment="1" applyBorder="1" applyFont="1" applyNumberFormat="1">
      <alignment horizontal="center" vertical="center"/>
    </xf>
    <xf borderId="1" fillId="0" fontId="8" numFmtId="167" xfId="0" applyAlignment="1" applyBorder="1" applyFont="1" applyNumberFormat="1">
      <alignment horizontal="center" vertical="center"/>
    </xf>
    <xf borderId="1" fillId="0" fontId="9" numFmtId="168" xfId="0" applyAlignment="1" applyBorder="1" applyFont="1" applyNumberFormat="1">
      <alignment horizontal="center" readingOrder="0" vertical="center"/>
    </xf>
    <xf borderId="1" fillId="0" fontId="10" numFmtId="168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left" readingOrder="0" vertical="center"/>
    </xf>
    <xf borderId="2" fillId="2" fontId="12" numFmtId="0" xfId="0" applyAlignment="1" applyBorder="1" applyFill="1" applyFont="1">
      <alignment readingOrder="0"/>
    </xf>
    <xf borderId="2" fillId="2" fontId="12" numFmtId="0" xfId="0" applyBorder="1" applyFill="1" applyFont="1"/>
    <xf borderId="5" fillId="0" fontId="9" numFmtId="0" xfId="0" applyAlignment="1" applyBorder="1" applyFont="1">
      <alignment horizontal="center" readingOrder="0" vertical="center"/>
    </xf>
    <xf borderId="5" fillId="0" fontId="9" numFmtId="164" xfId="0" applyAlignment="1" applyBorder="1" applyFont="1" applyNumberFormat="1">
      <alignment horizontal="center" readingOrder="0" vertical="center"/>
    </xf>
    <xf borderId="5" fillId="0" fontId="9" numFmtId="1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right" readingOrder="0"/>
    </xf>
    <xf borderId="1" fillId="0" fontId="9" numFmtId="166" xfId="0" applyAlignment="1" applyBorder="1" applyFont="1" applyNumberFormat="1">
      <alignment horizontal="center" vertical="center"/>
    </xf>
    <xf borderId="1" fillId="3" fontId="14" numFmtId="0" xfId="0" applyAlignment="1" applyBorder="1" applyFill="1" applyFont="1">
      <alignment horizontal="center"/>
    </xf>
    <xf borderId="0" fillId="0" fontId="9" numFmtId="0" xfId="0" applyAlignment="1" applyFont="1">
      <alignment vertical="bottom"/>
    </xf>
    <xf borderId="5" fillId="0" fontId="9" numFmtId="167" xfId="0" applyAlignment="1" applyBorder="1" applyFont="1" applyNumberFormat="1">
      <alignment horizontal="center"/>
    </xf>
    <xf borderId="5" fillId="0" fontId="9" numFmtId="1" xfId="0" applyAlignment="1" applyBorder="1" applyFont="1" applyNumberFormat="1">
      <alignment horizontal="center"/>
    </xf>
    <xf borderId="5" fillId="0" fontId="9" numFmtId="2" xfId="0" applyAlignment="1" applyBorder="1" applyFont="1" applyNumberFormat="1">
      <alignment horizontal="center"/>
    </xf>
    <xf borderId="5" fillId="0" fontId="9" numFmtId="0" xfId="0" applyAlignment="1" applyBorder="1" applyFont="1">
      <alignment horizontal="center" vertical="center"/>
    </xf>
    <xf borderId="5" fillId="0" fontId="9" numFmtId="1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right"/>
    </xf>
    <xf borderId="5" fillId="0" fontId="15" numFmtId="1" xfId="0" applyAlignment="1" applyBorder="1" applyFont="1" applyNumberFormat="1">
      <alignment horizontal="center"/>
    </xf>
    <xf borderId="5" fillId="0" fontId="9" numFmtId="164" xfId="0" applyAlignment="1" applyBorder="1" applyFont="1" applyNumberFormat="1">
      <alignment horizontal="center" vertical="center"/>
    </xf>
    <xf borderId="0" fillId="0" fontId="16" numFmtId="0" xfId="0" applyFont="1"/>
    <xf borderId="1" fillId="0" fontId="9" numFmtId="0" xfId="0" applyAlignment="1" applyBorder="1" applyFont="1">
      <alignment horizontal="center" vertical="center"/>
    </xf>
    <xf borderId="1" fillId="4" fontId="10" numFmtId="0" xfId="0" applyAlignment="1" applyBorder="1" applyFill="1" applyFont="1">
      <alignment horizontal="center" vertical="center"/>
    </xf>
    <xf borderId="1" fillId="4" fontId="10" numFmtId="164" xfId="0" applyAlignment="1" applyBorder="1" applyFill="1" applyFont="1" applyNumberFormat="1">
      <alignment horizontal="center" vertical="center"/>
    </xf>
    <xf borderId="1" fillId="4" fontId="10" numFmtId="1" xfId="0" applyAlignment="1" applyBorder="1" applyFill="1" applyFont="1" applyNumberFormat="1">
      <alignment horizontal="center" vertical="center"/>
    </xf>
    <xf borderId="1" fillId="4" fontId="10" numFmtId="166" xfId="0" applyAlignment="1" applyBorder="1" applyFill="1" applyFont="1" applyNumberForma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5" fillId="0" fontId="9" numFmtId="0" xfId="0" applyAlignment="1" applyBorder="1" applyFont="1">
      <alignment horizontal="left" vertical="center"/>
    </xf>
    <xf borderId="1" fillId="0" fontId="9" numFmtId="169" xfId="0" applyAlignment="1" applyBorder="1" applyFont="1" applyNumberFormat="1">
      <alignment horizontal="center" vertical="center"/>
    </xf>
    <xf borderId="1" fillId="0" fontId="9" numFmtId="4" xfId="0" applyAlignment="1" applyBorder="1" applyFont="1" applyNumberFormat="1">
      <alignment horizontal="center" vertical="center"/>
    </xf>
    <xf borderId="1" fillId="0" fontId="9" numFmtId="4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4" fontId="10" numFmtId="0" xfId="0" applyAlignment="1" applyBorder="1" applyFill="1" applyFont="1">
      <alignment horizontal="right" vertical="center"/>
    </xf>
    <xf borderId="1" fillId="4" fontId="10" numFmtId="165" xfId="0" applyAlignment="1" applyBorder="1" applyFill="1" applyFont="1" applyNumberFormat="1">
      <alignment horizontal="center" vertical="center"/>
    </xf>
    <xf borderId="0" fillId="0" fontId="17" numFmtId="165" xfId="0" applyFont="1" applyNumberFormat="1"/>
    <xf borderId="1" fillId="0" fontId="10" numFmtId="10" xfId="0" applyAlignment="1" applyBorder="1" applyFont="1" applyNumberFormat="1">
      <alignment horizontal="center" vertical="center"/>
    </xf>
    <xf borderId="5" fillId="0" fontId="9" numFmtId="166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5" fillId="0" fontId="9" numFmtId="166" xfId="0" applyAlignment="1" applyBorder="1" applyFont="1" applyNumberFormat="1">
      <alignment horizontal="center" readingOrder="0" vertical="center"/>
    </xf>
    <xf borderId="1" fillId="0" fontId="10" numFmtId="170" xfId="0" applyAlignment="1" applyBorder="1" applyFont="1" applyNumberFormat="1">
      <alignment horizontal="center" vertical="center"/>
    </xf>
    <xf borderId="5" fillId="0" fontId="9" numFmtId="170" xfId="0" applyAlignment="1" applyBorder="1" applyFont="1" applyNumberFormat="1">
      <alignment horizontal="center" readingOrder="0" vertical="center"/>
    </xf>
    <xf borderId="1" fillId="0" fontId="10" numFmtId="1" xfId="0" applyAlignment="1" applyBorder="1" applyFont="1" applyNumberFormat="1">
      <alignment horizontal="center" vertical="center"/>
    </xf>
    <xf borderId="1" fillId="0" fontId="10" numFmtId="1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right" vertical="center"/>
    </xf>
    <xf borderId="1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right" vertical="center"/>
    </xf>
    <xf borderId="5" fillId="0" fontId="8" numFmtId="1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right" readingOrder="0"/>
    </xf>
    <xf borderId="5" fillId="0" fontId="18" numFmtId="164" xfId="0" applyAlignment="1" applyBorder="1" applyFont="1" applyNumberFormat="1">
      <alignment horizontal="center" readingOrder="0"/>
    </xf>
    <xf borderId="1" fillId="0" fontId="10" numFmtId="167" xfId="0" applyAlignment="1" applyBorder="1" applyFont="1" applyNumberFormat="1">
      <alignment horizontal="center" vertical="center"/>
    </xf>
    <xf borderId="1" fillId="0" fontId="9" numFmtId="164" xfId="0" applyAlignment="1" applyBorder="1" applyFont="1" applyNumberFormat="1">
      <alignment horizontal="center" vertical="center"/>
    </xf>
    <xf borderId="5" fillId="0" fontId="10" numFmtId="1" xfId="0" applyAlignment="1" applyBorder="1" applyFont="1" applyNumberFormat="1">
      <alignment horizontal="center" vertical="center"/>
    </xf>
    <xf borderId="5" fillId="0" fontId="10" numFmtId="2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9" numFmtId="169" xfId="0" applyAlignment="1" applyBorder="1" applyFont="1" applyNumberFormat="1">
      <alignment horizontal="center" readingOrder="0" vertical="center"/>
    </xf>
    <xf borderId="6" fillId="0" fontId="19" numFmtId="165" xfId="0" applyAlignment="1" applyBorder="1" applyFont="1" applyNumberFormat="1">
      <alignment readingOrder="0" vertical="bottom"/>
    </xf>
    <xf borderId="6" fillId="0" fontId="19" numFmtId="171" xfId="0" applyAlignment="1" applyBorder="1" applyFont="1" applyNumberFormat="1">
      <alignment readingOrder="0" vertical="bottom"/>
    </xf>
    <xf borderId="6" fillId="0" fontId="19" numFmtId="0" xfId="0" applyAlignment="1" applyBorder="1" applyFont="1">
      <alignment readingOrder="0" vertical="bottom"/>
    </xf>
    <xf borderId="5" fillId="0" fontId="9" numFmtId="0" xfId="0" applyAlignment="1" applyBorder="1" applyFont="1">
      <alignment horizontal="left" readingOrder="0" vertical="center"/>
    </xf>
    <xf borderId="0" fillId="0" fontId="17" numFmtId="0" xfId="0" applyAlignment="1" applyFont="1">
      <alignment readingOrder="0"/>
    </xf>
    <xf borderId="5" fillId="0" fontId="8" numFmtId="9" xfId="0" applyAlignment="1" applyBorder="1" applyFont="1" applyNumberFormat="1">
      <alignment horizontal="center" readingOrder="0" vertical="center"/>
    </xf>
    <xf borderId="5" fillId="0" fontId="9" numFmtId="170" xfId="0" applyAlignment="1" applyBorder="1" applyFont="1" applyNumberFormat="1">
      <alignment horizontal="center" vertical="center"/>
    </xf>
    <xf borderId="1" fillId="4" fontId="10" numFmtId="164" xfId="0" applyAlignment="1" applyBorder="1" applyFill="1" applyFont="1" applyNumberFormat="1">
      <alignment horizontal="center" readingOrder="0" vertical="center"/>
    </xf>
    <xf borderId="1" fillId="4" fontId="10" numFmtId="1" xfId="0" applyAlignment="1" applyBorder="1" applyFill="1" applyFont="1" applyNumberFormat="1">
      <alignment horizontal="center" readingOrder="0" vertical="center"/>
    </xf>
    <xf borderId="0" fillId="5" fontId="19" numFmtId="0" xfId="0" applyAlignment="1" applyFill="1" applyFont="1">
      <alignment readingOrder="0" shrinkToFit="0" wrapText="0"/>
    </xf>
    <xf borderId="5" fillId="0" fontId="18" numFmtId="164" xfId="0" applyAlignment="1" applyBorder="1" applyFont="1" applyNumberFormat="1">
      <alignment horizontal="center"/>
    </xf>
    <xf borderId="5" fillId="0" fontId="9" numFmtId="165" xfId="0" applyAlignment="1" applyBorder="1" applyFont="1" applyNumberFormat="1">
      <alignment horizontal="center" readingOrder="0" vertical="center"/>
    </xf>
    <xf borderId="0" fillId="0" fontId="17" numFmtId="165" xfId="0" applyAlignment="1" applyFont="1" applyNumberFormat="1">
      <alignment horizontal="center" readingOrder="0"/>
    </xf>
    <xf borderId="5" fillId="0" fontId="9" numFmtId="165" xfId="0" applyAlignment="1" applyBorder="1" applyFont="1" applyNumberFormat="1">
      <alignment horizontal="center" vertical="center"/>
    </xf>
    <xf borderId="5" fillId="0" fontId="9" numFmtId="164" xfId="0" applyAlignment="1" applyBorder="1" applyFont="1" applyNumberFormat="1">
      <alignment horizontal="center"/>
    </xf>
    <xf borderId="5" fillId="0" fontId="20" numFmtId="164" xfId="0" applyAlignment="1" applyBorder="1" applyFont="1" applyNumberFormat="1">
      <alignment horizontal="center" readingOrder="0" vertical="center"/>
    </xf>
    <xf borderId="5" fillId="0" fontId="20" numFmtId="2" xfId="0" applyAlignment="1" applyBorder="1" applyFont="1" applyNumberFormat="1">
      <alignment horizontal="center" readingOrder="0" vertical="center"/>
    </xf>
    <xf borderId="5" fillId="0" fontId="20" numFmtId="1" xfId="0" applyAlignment="1" applyBorder="1" applyFont="1" applyNumberFormat="1">
      <alignment horizontal="center" readingOrder="0" vertical="center"/>
    </xf>
    <xf borderId="5" fillId="0" fontId="20" numFmtId="0" xfId="0" applyAlignment="1" applyBorder="1" applyFont="1">
      <alignment horizontal="center" readingOrder="0" vertical="center"/>
    </xf>
    <xf borderId="5" fillId="0" fontId="20" numFmtId="9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  <xf borderId="0" fillId="0" fontId="9" numFmtId="0" xfId="0" applyFont="1"/>
    <xf borderId="0" fillId="0" fontId="21" numFmtId="0" xfId="0" applyFont="1"/>
    <xf borderId="0" fillId="0" fontId="22" numFmtId="0" xfId="0" applyFont="1"/>
    <xf borderId="7" fillId="0" fontId="23" numFmtId="0" xfId="0" applyAlignment="1" applyBorder="1" applyFont="1">
      <alignment horizontal="center" vertical="center"/>
    </xf>
    <xf borderId="8" fillId="0" fontId="6" numFmtId="0" xfId="0" applyBorder="1" applyFont="1"/>
    <xf borderId="0" fillId="0" fontId="24" numFmtId="0" xfId="0" applyFont="1"/>
    <xf borderId="0" fillId="0" fontId="25" numFmtId="0" xfId="0" applyFont="1"/>
    <xf borderId="2" fillId="6" fontId="22" numFmtId="0" xfId="0" applyBorder="1" applyFill="1" applyFont="1"/>
    <xf borderId="0" fillId="7" fontId="26" numFmtId="0" xfId="0" applyFill="1" applyFont="1"/>
    <xf borderId="2" fillId="4" fontId="22" numFmtId="0" xfId="0" applyBorder="1" applyFill="1" applyFont="1"/>
    <xf borderId="0" fillId="0" fontId="9" numFmtId="1" xfId="0" applyFont="1" applyNumberFormat="1"/>
    <xf borderId="0" fillId="0" fontId="27" numFmtId="0" xfId="0" applyFont="1"/>
    <xf borderId="9" fillId="8" fontId="14" numFmtId="0" xfId="0" applyAlignment="1" applyBorder="1" applyFill="1" applyFont="1">
      <alignment horizontal="center" vertical="center"/>
    </xf>
    <xf borderId="0" fillId="0" fontId="9" numFmtId="9" xfId="0" applyFont="1" applyNumberFormat="1"/>
    <xf borderId="9" fillId="8" fontId="7" numFmtId="0" xfId="0" applyAlignment="1" applyBorder="1" applyFill="1" applyFont="1">
      <alignment horizontal="center"/>
    </xf>
    <xf borderId="9" fillId="9" fontId="18" numFmtId="164" xfId="0" applyAlignment="1" applyBorder="1" applyFill="1" applyFont="1" applyNumberFormat="1">
      <alignment horizontal="center" readingOrder="0" vertical="center"/>
    </xf>
    <xf borderId="9" fillId="9" fontId="18" numFmtId="2" xfId="0" applyAlignment="1" applyBorder="1" applyFill="1" applyFont="1" applyNumberFormat="1">
      <alignment horizontal="center" readingOrder="0" vertical="center"/>
    </xf>
    <xf borderId="9" fillId="9" fontId="18" numFmtId="1" xfId="0" applyAlignment="1" applyBorder="1" applyFill="1" applyFont="1" applyNumberFormat="1">
      <alignment horizontal="center" readingOrder="0" vertical="center"/>
    </xf>
    <xf borderId="9" fillId="9" fontId="18" numFmtId="0" xfId="0" applyAlignment="1" applyBorder="1" applyFill="1" applyFont="1">
      <alignment horizontal="center" readingOrder="0" vertical="center"/>
    </xf>
    <xf borderId="9" fillId="9" fontId="18" numFmtId="9" xfId="0" applyAlignment="1" applyBorder="1" applyFill="1" applyFont="1" applyNumberFormat="1">
      <alignment horizontal="center" vertical="center"/>
    </xf>
    <xf borderId="0" fillId="0" fontId="28" numFmtId="0" xfId="0" applyFont="1"/>
    <xf borderId="9" fillId="0" fontId="18" numFmtId="164" xfId="0" applyAlignment="1" applyBorder="1" applyFont="1" applyNumberFormat="1">
      <alignment horizontal="center" vertical="center"/>
    </xf>
    <xf borderId="0" fillId="0" fontId="26" numFmtId="0" xfId="0" applyFont="1"/>
    <xf borderId="7" fillId="0" fontId="29" numFmtId="0" xfId="0" applyAlignment="1" applyBorder="1" applyFont="1">
      <alignment horizontal="center" vertical="center"/>
    </xf>
    <xf borderId="0" fillId="0" fontId="24" numFmtId="0" xfId="0" applyAlignment="1" applyFont="1">
      <alignment readingOrder="0"/>
    </xf>
    <xf borderId="9" fillId="0" fontId="9" numFmtId="0" xfId="0" applyBorder="1" applyFont="1"/>
    <xf borderId="2" fillId="4" fontId="26" numFmtId="0" xfId="0" applyBorder="1" applyFill="1" applyFont="1"/>
    <xf borderId="9" fillId="8" fontId="7" numFmtId="0" xfId="0" applyAlignment="1" applyBorder="1" applyFill="1" applyFont="1">
      <alignment horizontal="center" vertical="center"/>
    </xf>
    <xf borderId="9" fillId="0" fontId="9" numFmtId="165" xfId="0" applyAlignment="1" applyBorder="1" applyFont="1" applyNumberFormat="1">
      <alignment horizontal="center"/>
    </xf>
    <xf borderId="9" fillId="9" fontId="8" numFmtId="164" xfId="0" applyAlignment="1" applyBorder="1" applyFill="1" applyFont="1" applyNumberFormat="1">
      <alignment horizontal="center" readingOrder="0" vertical="center"/>
    </xf>
    <xf borderId="9" fillId="9" fontId="8" numFmtId="2" xfId="0" applyAlignment="1" applyBorder="1" applyFill="1" applyFont="1" applyNumberFormat="1">
      <alignment horizontal="center" readingOrder="0" vertical="center"/>
    </xf>
    <xf borderId="9" fillId="9" fontId="8" numFmtId="1" xfId="0" applyAlignment="1" applyBorder="1" applyFill="1" applyFont="1" applyNumberFormat="1">
      <alignment horizontal="center" readingOrder="0" vertical="center"/>
    </xf>
    <xf borderId="9" fillId="9" fontId="8" numFmtId="0" xfId="0" applyAlignment="1" applyBorder="1" applyFill="1" applyFont="1">
      <alignment horizontal="center" readingOrder="0" vertical="center"/>
    </xf>
    <xf borderId="9" fillId="9" fontId="8" numFmtId="9" xfId="0" applyAlignment="1" applyBorder="1" applyFill="1" applyFont="1" applyNumberFormat="1">
      <alignment horizontal="center" readingOrder="0" vertical="center"/>
    </xf>
    <xf borderId="9" fillId="0" fontId="10" numFmtId="165" xfId="0" applyAlignment="1" applyBorder="1" applyFont="1" applyNumberFormat="1">
      <alignment horizontal="center"/>
    </xf>
    <xf borderId="0" fillId="0" fontId="30" numFmtId="0" xfId="0" applyAlignment="1" applyFont="1">
      <alignment readingOrder="0"/>
    </xf>
    <xf borderId="9" fillId="0" fontId="8" numFmtId="164" xfId="0" applyAlignment="1" applyBorder="1" applyFont="1" applyNumberFormat="1">
      <alignment horizontal="center" vertical="center"/>
    </xf>
    <xf borderId="0" fillId="0" fontId="17" numFmtId="165" xfId="0" applyFont="1" applyNumberFormat="1"/>
    <xf borderId="0" fillId="0" fontId="30" numFmtId="0" xfId="0" applyFont="1"/>
    <xf borderId="0" fillId="0" fontId="31" numFmtId="165" xfId="0" applyFont="1" applyNumberFormat="1"/>
    <xf borderId="0" fillId="0" fontId="27" numFmtId="0" xfId="0" applyAlignment="1" applyFont="1">
      <alignment readingOrder="0"/>
    </xf>
    <xf borderId="0" fillId="0" fontId="31" numFmtId="164" xfId="0" applyFont="1" applyNumberFormat="1"/>
    <xf borderId="0" fillId="0" fontId="32" numFmtId="0" xfId="0" applyFont="1"/>
    <xf borderId="0" fillId="0" fontId="10" numFmtId="164" xfId="0" applyFont="1" applyNumberFormat="1"/>
    <xf borderId="0" fillId="0" fontId="31" numFmtId="167" xfId="0" applyFont="1" applyNumberFormat="1"/>
    <xf borderId="0" fillId="0" fontId="10" numFmtId="167" xfId="0" applyFont="1" applyNumberFormat="1"/>
    <xf borderId="9" fillId="0" fontId="9" numFmtId="0" xfId="0" applyAlignment="1" applyBorder="1" applyFont="1">
      <alignment horizontal="left" vertical="center"/>
    </xf>
    <xf borderId="9" fillId="0" fontId="31" numFmtId="1" xfId="0" applyAlignment="1" applyBorder="1" applyFont="1" applyNumberFormat="1">
      <alignment horizontal="center" readingOrder="0" vertical="center"/>
    </xf>
    <xf borderId="0" fillId="0" fontId="17" numFmtId="0" xfId="0" applyFont="1"/>
    <xf borderId="9" fillId="9" fontId="9" numFmtId="1" xfId="0" applyAlignment="1" applyBorder="1" applyFill="1" applyFont="1" applyNumberFormat="1">
      <alignment horizontal="center" vertical="center"/>
    </xf>
    <xf borderId="0" fillId="0" fontId="32" numFmtId="0" xfId="0" applyAlignment="1" applyFont="1">
      <alignment readingOrder="0"/>
    </xf>
    <xf borderId="9" fillId="0" fontId="31" numFmtId="0" xfId="0" applyAlignment="1" applyBorder="1" applyFont="1">
      <alignment horizontal="center" vertical="center"/>
    </xf>
    <xf borderId="9" fillId="6" fontId="8" numFmtId="164" xfId="0" applyAlignment="1" applyBorder="1" applyFill="1" applyFont="1" applyNumberFormat="1">
      <alignment horizontal="center" vertical="center"/>
    </xf>
    <xf borderId="9" fillId="0" fontId="9" numFmtId="10" xfId="0" applyAlignment="1" applyBorder="1" applyFont="1" applyNumberFormat="1">
      <alignment horizontal="center"/>
    </xf>
    <xf borderId="9" fillId="0" fontId="10" numFmtId="10" xfId="0" applyAlignment="1" applyBorder="1" applyFont="1" applyNumberFormat="1">
      <alignment horizontal="center"/>
    </xf>
    <xf borderId="0" fillId="0" fontId="9" numFmtId="0" xfId="0" applyAlignment="1" applyFont="1">
      <alignment readingOrder="0"/>
    </xf>
    <xf borderId="9" fillId="0" fontId="31" numFmtId="9" xfId="0" applyAlignment="1" applyBorder="1" applyFont="1" applyNumberFormat="1">
      <alignment horizontal="center" vertical="center"/>
    </xf>
    <xf borderId="9" fillId="9" fontId="9" numFmtId="9" xfId="0" applyAlignment="1" applyBorder="1" applyFill="1" applyFont="1" applyNumberFormat="1">
      <alignment horizontal="center" readingOrder="0" vertical="center"/>
    </xf>
    <xf borderId="0" fillId="0" fontId="33" numFmtId="0" xfId="0" applyFont="1"/>
    <xf borderId="0" fillId="0" fontId="10" numFmtId="0" xfId="0" applyFont="1"/>
    <xf borderId="9" fillId="0" fontId="9" numFmtId="168" xfId="0" applyAlignment="1" applyBorder="1" applyFont="1" applyNumberFormat="1">
      <alignment horizontal="center"/>
    </xf>
    <xf borderId="9" fillId="9" fontId="9" numFmtId="164" xfId="0" applyAlignment="1" applyBorder="1" applyFill="1" applyFont="1" applyNumberFormat="1">
      <alignment horizontal="center" vertical="center"/>
    </xf>
    <xf borderId="9" fillId="9" fontId="9" numFmtId="164" xfId="0" applyAlignment="1" applyBorder="1" applyFill="1" applyFont="1" applyNumberFormat="1">
      <alignment horizontal="center" readingOrder="0" vertical="center"/>
    </xf>
    <xf borderId="9" fillId="0" fontId="10" numFmtId="168" xfId="0" applyAlignment="1" applyBorder="1" applyFont="1" applyNumberFormat="1">
      <alignment horizontal="center"/>
    </xf>
    <xf borderId="9" fillId="9" fontId="9" numFmtId="0" xfId="0" applyAlignment="1" applyBorder="1" applyFill="1" applyFont="1">
      <alignment horizontal="center" readingOrder="0" vertical="center"/>
    </xf>
    <xf borderId="9" fillId="0" fontId="9" numFmtId="164" xfId="0" applyAlignment="1" applyBorder="1" applyFont="1" applyNumberFormat="1">
      <alignment horizontal="center" vertical="center"/>
    </xf>
    <xf borderId="9" fillId="9" fontId="9" numFmtId="9" xfId="0" applyAlignment="1" applyBorder="1" applyFill="1" applyFont="1" applyNumberFormat="1">
      <alignment horizontal="center" vertical="center"/>
    </xf>
    <xf borderId="9" fillId="0" fontId="9" numFmtId="167" xfId="0" applyAlignment="1" applyBorder="1" applyFont="1" applyNumberFormat="1">
      <alignment horizontal="center" vertical="center"/>
    </xf>
    <xf borderId="9" fillId="6" fontId="18" numFmtId="164" xfId="0" applyAlignment="1" applyBorder="1" applyFill="1" applyFont="1" applyNumberFormat="1">
      <alignment horizontal="center" vertical="center"/>
    </xf>
    <xf borderId="7" fillId="4" fontId="31" numFmtId="0" xfId="0" applyAlignment="1" applyBorder="1" applyFill="1" applyFont="1">
      <alignment horizontal="left" vertical="center"/>
    </xf>
    <xf borderId="10" fillId="0" fontId="6" numFmtId="0" xfId="0" applyBorder="1" applyFont="1"/>
    <xf borderId="9" fillId="4" fontId="31" numFmtId="167" xfId="0" applyAlignment="1" applyBorder="1" applyFill="1" applyFont="1" applyNumberFormat="1">
      <alignment horizontal="center" vertical="center"/>
    </xf>
    <xf borderId="0" fillId="0" fontId="34" numFmtId="0" xfId="0" applyFont="1"/>
    <xf borderId="0" fillId="0" fontId="9" numFmtId="2" xfId="0" applyFont="1" applyNumberFormat="1"/>
    <xf borderId="0" fillId="0" fontId="35" numFmtId="0" xfId="0" applyFont="1"/>
    <xf borderId="0" fillId="0" fontId="31" numFmtId="0" xfId="0" applyFont="1"/>
    <xf borderId="9" fillId="9" fontId="9" numFmtId="0" xfId="0" applyAlignment="1" applyBorder="1" applyFill="1" applyFont="1">
      <alignment horizontal="center" vertical="center"/>
    </xf>
    <xf borderId="0" fillId="0" fontId="9" numFmtId="167" xfId="0" applyFont="1" applyNumberFormat="1"/>
    <xf borderId="0" fillId="0" fontId="9" numFmtId="164" xfId="0" applyFont="1" applyNumberFormat="1"/>
    <xf borderId="11" fillId="4" fontId="10" numFmtId="0" xfId="0" applyAlignment="1" applyBorder="1" applyFill="1" applyFont="1">
      <alignment horizontal="right" vertical="center"/>
    </xf>
    <xf borderId="11" fillId="4" fontId="10" numFmtId="164" xfId="0" applyAlignment="1" applyBorder="1" applyFill="1" applyFont="1" applyNumberFormat="1">
      <alignment horizontal="center" vertical="center"/>
    </xf>
    <xf borderId="2" fillId="6" fontId="26" numFmtId="0" xfId="0" applyAlignment="1" applyBorder="1" applyFill="1" applyFont="1">
      <alignment readingOrder="0"/>
    </xf>
    <xf borderId="9" fillId="6" fontId="8" numFmtId="2" xfId="0" applyAlignment="1" applyBorder="1" applyFill="1" applyFont="1" applyNumberFormat="1">
      <alignment horizontal="center" vertical="center"/>
    </xf>
    <xf borderId="9" fillId="6" fontId="8" numFmtId="0" xfId="0" applyAlignment="1" applyBorder="1" applyFill="1" applyFont="1">
      <alignment horizontal="center" vertical="center"/>
    </xf>
    <xf borderId="0" fillId="0" fontId="4" numFmtId="0" xfId="0" applyFont="1"/>
    <xf borderId="9" fillId="8" fontId="7" numFmtId="0" xfId="0" applyBorder="1" applyFill="1" applyFont="1"/>
    <xf borderId="9" fillId="0" fontId="32" numFmtId="0" xfId="0" applyAlignment="1" applyBorder="1" applyFont="1">
      <alignment horizontal="left" vertical="center"/>
    </xf>
    <xf borderId="9" fillId="0" fontId="10" numFmtId="9" xfId="0" applyAlignment="1" applyBorder="1" applyFont="1" applyNumberFormat="1">
      <alignment horizontal="center" vertical="center"/>
    </xf>
    <xf borderId="9" fillId="0" fontId="32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left" readingOrder="0" vertical="center"/>
    </xf>
    <xf borderId="9" fillId="0" fontId="10" numFmtId="2" xfId="0" applyAlignment="1" applyBorder="1" applyFont="1" applyNumberFormat="1">
      <alignment horizontal="center" vertical="center"/>
    </xf>
    <xf borderId="9" fillId="9" fontId="9" numFmtId="2" xfId="0" applyAlignment="1" applyBorder="1" applyFill="1" applyFont="1" applyNumberFormat="1">
      <alignment horizontal="center" readingOrder="0" vertical="center"/>
    </xf>
    <xf borderId="9" fillId="0" fontId="9" numFmtId="9" xfId="0" applyAlignment="1" applyBorder="1" applyFont="1" applyNumberFormat="1">
      <alignment horizontal="center" vertical="center"/>
    </xf>
    <xf borderId="9" fillId="0" fontId="9" numFmtId="170" xfId="0" applyAlignment="1" applyBorder="1" applyFont="1" applyNumberFormat="1">
      <alignment horizontal="center" vertical="center"/>
    </xf>
    <xf borderId="9" fillId="9" fontId="9" numFmtId="0" xfId="0" applyAlignment="1" applyBorder="1" applyFill="1" applyFont="1">
      <alignment horizontal="center" readingOrder="0"/>
    </xf>
    <xf borderId="9" fillId="9" fontId="9" numFmtId="164" xfId="0" applyAlignment="1" applyBorder="1" applyFill="1" applyFont="1" applyNumberFormat="1">
      <alignment horizontal="center"/>
    </xf>
    <xf borderId="11" fillId="4" fontId="10" numFmtId="10" xfId="0" applyAlignment="1" applyBorder="1" applyFill="1" applyFont="1" applyNumberFormat="1">
      <alignment horizontal="center" vertical="center"/>
    </xf>
    <xf borderId="0" fillId="0" fontId="36" numFmtId="0" xfId="0" applyFont="1"/>
    <xf borderId="0" fillId="0" fontId="37" numFmtId="0" xfId="0" applyFont="1"/>
    <xf borderId="0" fillId="0" fontId="36" numFmtId="1" xfId="0" applyFont="1" applyNumberFormat="1"/>
    <xf borderId="9" fillId="9" fontId="9" numFmtId="167" xfId="0" applyAlignment="1" applyBorder="1" applyFill="1" applyFont="1" applyNumberFormat="1">
      <alignment horizontal="center" vertical="center"/>
    </xf>
    <xf borderId="9" fillId="9" fontId="9" numFmtId="2" xfId="0" applyAlignment="1" applyBorder="1" applyFill="1" applyFont="1" applyNumberFormat="1">
      <alignment horizontal="center" vertical="center"/>
    </xf>
    <xf borderId="11" fillId="4" fontId="31" numFmtId="0" xfId="0" applyAlignment="1" applyBorder="1" applyFill="1" applyFont="1">
      <alignment horizontal="right" vertical="center"/>
    </xf>
    <xf borderId="11" fillId="4" fontId="31" numFmtId="164" xfId="0" applyAlignment="1" applyBorder="1" applyFill="1" applyFont="1" applyNumberFormat="1">
      <alignment horizontal="center" vertical="center"/>
    </xf>
    <xf borderId="9" fillId="0" fontId="31" numFmtId="0" xfId="0" applyAlignment="1" applyBorder="1" applyFont="1">
      <alignment horizontal="left" vertical="center"/>
    </xf>
    <xf borderId="9" fillId="0" fontId="30" numFmtId="0" xfId="0" applyAlignment="1" applyBorder="1" applyFont="1">
      <alignment horizontal="center" vertical="center"/>
    </xf>
    <xf borderId="9" fillId="6" fontId="31" numFmtId="0" xfId="0" applyAlignment="1" applyBorder="1" applyFill="1" applyFont="1">
      <alignment horizontal="center" vertical="center"/>
    </xf>
    <xf borderId="9" fillId="6" fontId="31" numFmtId="1" xfId="0" applyAlignment="1" applyBorder="1" applyFill="1" applyFont="1" applyNumberFormat="1">
      <alignment horizontal="center" vertical="center"/>
    </xf>
    <xf borderId="0" fillId="0" fontId="10" numFmtId="165" xfId="0" applyFont="1" applyNumberFormat="1"/>
    <xf borderId="9" fillId="6" fontId="31" numFmtId="2" xfId="0" applyAlignment="1" applyBorder="1" applyFill="1" applyFont="1" applyNumberFormat="1">
      <alignment horizontal="center" vertical="center"/>
    </xf>
    <xf borderId="9" fillId="6" fontId="18" numFmtId="2" xfId="0" applyAlignment="1" applyBorder="1" applyFill="1" applyFont="1" applyNumberFormat="1">
      <alignment horizontal="center" vertical="center"/>
    </xf>
    <xf borderId="9" fillId="6" fontId="18" numFmtId="0" xfId="0" applyAlignment="1" applyBorder="1" applyFill="1" applyFont="1">
      <alignment horizontal="center" vertical="center"/>
    </xf>
    <xf borderId="0" fillId="0" fontId="16" numFmtId="0" xfId="0" applyFont="1"/>
    <xf borderId="9" fillId="8" fontId="14" numFmtId="0" xfId="0" applyBorder="1" applyFill="1" applyFont="1"/>
    <xf borderId="9" fillId="0" fontId="30" numFmtId="0" xfId="0" applyAlignment="1" applyBorder="1" applyFont="1">
      <alignment horizontal="left" vertical="center"/>
    </xf>
    <xf borderId="9" fillId="0" fontId="38" numFmtId="10" xfId="0" applyAlignment="1" applyBorder="1" applyFont="1" applyNumberFormat="1">
      <alignment horizontal="center" vertical="center"/>
    </xf>
    <xf borderId="9" fillId="0" fontId="38" numFmtId="2" xfId="0" applyAlignment="1" applyBorder="1" applyFont="1" applyNumberFormat="1">
      <alignment horizontal="center" vertical="center"/>
    </xf>
    <xf borderId="11" fillId="4" fontId="31" numFmtId="9" xfId="0" applyAlignment="1" applyBorder="1" applyFill="1" applyFont="1" applyNumberFormat="1">
      <alignment horizontal="center" vertical="center"/>
    </xf>
    <xf borderId="11" fillId="4" fontId="31" numFmtId="170" xfId="0" applyAlignment="1" applyBorder="1" applyFill="1" applyFont="1" applyNumberFormat="1">
      <alignment horizontal="center" vertical="center"/>
    </xf>
    <xf borderId="9" fillId="9" fontId="18" numFmtId="164" xfId="0" applyAlignment="1" applyBorder="1" applyFill="1" applyFont="1" applyNumberFormat="1">
      <alignment horizontal="center"/>
    </xf>
    <xf borderId="9" fillId="9" fontId="18" numFmtId="2" xfId="0" applyAlignment="1" applyBorder="1" applyFill="1" applyFont="1" applyNumberFormat="1">
      <alignment horizontal="center"/>
    </xf>
    <xf borderId="9" fillId="9" fontId="18" numFmtId="1" xfId="0" applyAlignment="1" applyBorder="1" applyFill="1" applyFont="1" applyNumberFormat="1">
      <alignment horizontal="center"/>
    </xf>
    <xf borderId="9" fillId="9" fontId="18" numFmtId="0" xfId="0" applyAlignment="1" applyBorder="1" applyFill="1" applyFont="1">
      <alignment horizontal="center" readingOrder="0"/>
    </xf>
    <xf borderId="9" fillId="9" fontId="18" numFmtId="9" xfId="0" applyAlignment="1" applyBorder="1" applyFill="1" applyFont="1" applyNumberFormat="1">
      <alignment horizontal="center"/>
    </xf>
    <xf borderId="9" fillId="9" fontId="9" numFmtId="164" xfId="0" applyAlignment="1" applyBorder="1" applyFill="1" applyFont="1" applyNumberFormat="1">
      <alignment horizontal="center" readingOrder="0"/>
    </xf>
    <xf borderId="11" fillId="4" fontId="10" numFmtId="9" xfId="0" applyAlignment="1" applyBorder="1" applyFill="1" applyFont="1" applyNumberFormat="1">
      <alignment horizontal="center" vertical="center"/>
    </xf>
    <xf borderId="11" fillId="4" fontId="10" numFmtId="170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10">
    <dxf>
      <font>
        <b/>
        <color rgb="FFFFFFFF"/>
      </font>
      <fill>
        <patternFill patternType="solid">
          <fgColor rgb="FF00B050"/>
          <bgColor rgb="FF00B050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0B6B3A"/>
      </font>
      <fill>
        <patternFill patternType="solid">
          <fgColor rgb="FFC6EFCE"/>
          <bgColor rgb="FFC6EFCE"/>
        </patternFill>
      </fill>
      <border/>
    </dxf>
    <dxf>
      <font>
        <b/>
        <color rgb="FF9C6500"/>
      </font>
      <fill>
        <patternFill patternType="solid">
          <fgColor rgb="FFFFEB9C"/>
          <bgColor rgb="FFFFEB9C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0B6B3A"/>
      </font>
      <fill>
        <patternFill patternType="solid">
          <fgColor rgb="FF00B050"/>
          <bgColor rgb="FF00B050"/>
        </patternFill>
      </fill>
      <border/>
    </dxf>
    <dxf>
      <font>
        <b/>
        <color rgb="FF9C6500"/>
      </font>
      <fill>
        <patternFill patternType="solid">
          <fgColor rgb="FFFFFF00"/>
          <bgColor rgb="FFFFFF00"/>
        </patternFill>
      </fill>
      <border/>
    </dxf>
    <dxf>
      <font>
        <b/>
        <color rgb="FF9C0006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847725</xdr:colOff>
      <xdr:row>24</xdr:row>
      <xdr:rowOff>9525</xdr:rowOff>
    </xdr:from>
    <xdr:ext cx="2914650" cy="600075"/>
    <xdr:sp>
      <xdr:nvSpPr>
        <xdr:cNvPr id="3" name="Shape 3"/>
        <xdr:cNvSpPr/>
      </xdr:nvSpPr>
      <xdr:spPr>
        <a:xfrm>
          <a:off x="582375" y="532175"/>
          <a:ext cx="3936000" cy="79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Use recommended offer</a:t>
          </a:r>
          <a:endParaRPr sz="1400"/>
        </a:p>
      </xdr:txBody>
    </xdr:sp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9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IF(OR($E$6="",C8="",C24=0),"",ROUND(IF($E$6="Weekly",D8*$L$8,C8*$L$9)/C24*100,2)/100)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25" t="s">
        <v>22</v>
      </c>
      <c r="K9" s="23">
        <v>21.655</v>
      </c>
      <c r="L9" s="23">
        <v>21.0</v>
      </c>
      <c r="M9" s="24">
        <f t="shared" si="1"/>
        <v>-0.655</v>
      </c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6" t="s">
        <v>30</v>
      </c>
      <c r="K11" s="6"/>
      <c r="L11" s="6"/>
      <c r="M11" s="7"/>
    </row>
    <row r="12">
      <c r="B12" s="28" t="s">
        <v>32</v>
      </c>
      <c r="C12" s="29"/>
      <c r="D12" s="29"/>
      <c r="E12" s="30">
        <v>0.0</v>
      </c>
      <c r="F12" s="30">
        <v>0.0</v>
      </c>
      <c r="G12" s="32" t="str">
        <f t="shared" ref="G12:G22" si="2">IF(OR(C12="",C13=""),"",(C12-C13)/C13)</f>
        <v/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/>
      <c r="D13" s="29"/>
      <c r="E13" s="30">
        <v>0.0</v>
      </c>
      <c r="F13" s="30">
        <v>0.0</v>
      </c>
      <c r="G13" s="32" t="str">
        <f t="shared" si="2"/>
        <v/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/>
      <c r="D14" s="29"/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0</v>
      </c>
      <c r="D24" s="46">
        <f t="shared" si="3"/>
        <v>0</v>
      </c>
      <c r="E24" s="47">
        <f t="shared" ref="E24:F24" si="4">SUM(E12:E23)</f>
        <v>0</v>
      </c>
      <c r="F24" s="47">
        <f t="shared" si="4"/>
        <v>0</v>
      </c>
      <c r="G24" s="48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9" t="s">
        <v>46</v>
      </c>
      <c r="H27" s="49" t="s">
        <v>47</v>
      </c>
      <c r="I27" s="49" t="s">
        <v>48</v>
      </c>
      <c r="J27" s="49" t="s">
        <v>49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IF(D28&lt;&gt;"",IF(E28="Daily",D28,IF(E28="Weekly",D28/5,D28/$K$9)),IF(C28="","",C28*1.45/($K$17*$K$9)))</f>
        <v/>
      </c>
      <c r="G28" s="51"/>
      <c r="H28" s="52" t="str">
        <f t="shared" ref="H28:H33" si="6">IF(OR(C28="",D28=""),"",ROUND(C28*1.45/D28,0))</f>
        <v/>
      </c>
      <c r="I28" s="53" t="str">
        <f t="shared" ref="I28:I33" si="7">IF(H28="","",H28/IF(E28="Daily",$K$9,IF(E28="Weekly",$K$9/5,1)))</f>
        <v/>
      </c>
      <c r="J28" s="52" t="str">
        <f t="shared" ref="J28:J33" si="8">IF(OR(I28="",G28=""),"",MAX(0,I28-(TODAY()-G28)/30.4375))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  <c r="G29" s="51"/>
      <c r="H29" s="51" t="str">
        <f t="shared" si="6"/>
        <v/>
      </c>
      <c r="I29" s="54" t="str">
        <f t="shared" si="7"/>
        <v/>
      </c>
      <c r="J29" s="51" t="str">
        <f t="shared" si="8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  <c r="G30" s="51"/>
      <c r="H30" s="51" t="str">
        <f t="shared" si="6"/>
        <v/>
      </c>
      <c r="I30" s="54" t="str">
        <f t="shared" si="7"/>
        <v/>
      </c>
      <c r="J30" s="51" t="str">
        <f t="shared" si="8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  <c r="G31" s="51"/>
      <c r="H31" s="51" t="str">
        <f t="shared" si="6"/>
        <v/>
      </c>
      <c r="I31" s="54" t="str">
        <f t="shared" si="7"/>
        <v/>
      </c>
      <c r="J31" s="51" t="str">
        <f t="shared" si="8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  <c r="G32" s="51"/>
      <c r="H32" s="51" t="str">
        <f t="shared" si="6"/>
        <v/>
      </c>
      <c r="I32" s="54" t="str">
        <f t="shared" si="7"/>
        <v/>
      </c>
      <c r="J32" s="51" t="str">
        <f t="shared" si="8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  <c r="G33" s="51"/>
      <c r="H33" s="51" t="str">
        <f t="shared" si="6"/>
        <v/>
      </c>
      <c r="I33" s="54" t="str">
        <f t="shared" si="7"/>
        <v/>
      </c>
      <c r="J33" s="51" t="str">
        <f t="shared" si="8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 t="str">
        <f>IF(C24=0,"",(E34+IF(C8="",0,C8))*21.655/C24)</f>
        <v/>
      </c>
      <c r="D38" s="59">
        <v>0.3</v>
      </c>
      <c r="E38" s="59">
        <v>0.45</v>
      </c>
      <c r="F38" s="60" t="str">
        <f t="shared" ref="F38:F42" si="9">IF(C38="","",IF(C38&gt;=G38,"KNOCKOUT",IF(C38&lt;=D38,"GREEN",IF(C38&gt;=E38,"RED","YELLOW"))))</f>
        <v/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9"/>
        <v/>
      </c>
      <c r="G39" s="59">
        <v>0.35</v>
      </c>
    </row>
    <row r="40" ht="15.75" customHeight="1">
      <c r="B40" s="14" t="s">
        <v>61</v>
      </c>
      <c r="C40" s="18" t="str">
        <f>IF(D24=0,"",(E34+IF(C8="",0,C8))/D24)</f>
        <v/>
      </c>
      <c r="D40" s="61">
        <v>0.18</v>
      </c>
      <c r="E40" s="61">
        <v>0.3</v>
      </c>
      <c r="F40" s="60" t="str">
        <f t="shared" si="9"/>
        <v/>
      </c>
      <c r="G40" s="61">
        <v>0.35</v>
      </c>
    </row>
    <row r="41" ht="15.75" customHeight="1">
      <c r="B41" s="14" t="s">
        <v>62</v>
      </c>
      <c r="C41" s="62" t="str">
        <f>IF(OR(C24=0,B6=""),"",B6/C24)</f>
        <v/>
      </c>
      <c r="D41" s="63">
        <v>0.6</v>
      </c>
      <c r="E41" s="63">
        <v>0.9</v>
      </c>
      <c r="F41" s="60" t="str">
        <f t="shared" si="9"/>
        <v/>
      </c>
      <c r="G41" s="63">
        <v>1.25</v>
      </c>
    </row>
    <row r="42" ht="15.75" customHeight="1">
      <c r="B42" s="14" t="s">
        <v>63</v>
      </c>
      <c r="C42" s="64" t="str">
        <f>IF(C24=0,"",C34+1)</f>
        <v/>
      </c>
      <c r="D42" s="39">
        <v>2.0</v>
      </c>
      <c r="E42" s="39">
        <v>5.0</v>
      </c>
      <c r="F42" s="60" t="str">
        <f t="shared" si="9"/>
        <v/>
      </c>
      <c r="G42" s="39">
        <v>6.0</v>
      </c>
    </row>
    <row r="43" ht="15.75" customHeight="1">
      <c r="B43" s="14" t="s">
        <v>64</v>
      </c>
      <c r="C43" s="18" t="str">
        <f>G24</f>
        <v/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/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 t="str">
        <f>IF(C24=0,"",F34/C24)</f>
        <v/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 t="str">
        <f>IF(C24=0,"",D24/C24)</f>
        <v/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/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1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/>
      </c>
    </row>
    <row r="56" ht="15.75" customHeight="1">
      <c r="B56" s="70" t="s">
        <v>79</v>
      </c>
      <c r="C56" s="15" t="str">
        <f>IF(C24=0,"",D39*C24/21.655)</f>
        <v/>
      </c>
    </row>
    <row r="57" ht="15.75" customHeight="1">
      <c r="B57" s="70" t="s">
        <v>80</v>
      </c>
      <c r="C57" s="15" t="str">
        <f>IF(C24=0,"",(D38*C24-F34)/21.655)</f>
        <v/>
      </c>
    </row>
    <row r="58" ht="15.75" customHeight="1">
      <c r="B58" s="70" t="s">
        <v>81</v>
      </c>
      <c r="C58" s="15" t="str">
        <f>IF(OR(C24=0,D24=0),"",D40*D24-E34)</f>
        <v/>
      </c>
    </row>
    <row r="59" ht="15.75" customHeight="1">
      <c r="B59" s="68" t="s">
        <v>82</v>
      </c>
      <c r="C59" s="21" t="str">
        <f>IF(C24=0,"",MAX(0,MIN(C56:C58)))</f>
        <v/>
      </c>
      <c r="D59" s="4" t="str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>
      <c r="B60" s="70" t="s">
        <v>83</v>
      </c>
      <c r="C60" s="15" t="str">
        <f>IF(OR(C59="",C59=0),"",C59*5)</f>
        <v/>
      </c>
      <c r="D60" s="75" t="str">
        <f>IF(OR(C59="",C59=0),"",C59*21.655)</f>
        <v/>
      </c>
    </row>
    <row r="61" ht="15.75" customHeight="1">
      <c r="B61" s="70" t="s">
        <v>84</v>
      </c>
      <c r="C61" s="76" t="str">
        <f t="array" ref="C61">IF(OR(C59="",C59=0,C54=""),"",MAX(20,MIN(INDEX($K$13:$K$16,MATCH(C54,$J$13:$J$16,1)),FLOOR($K$17*21.655,5),FLOOR(D41*C24*D61/C59,5))))</f>
        <v/>
      </c>
      <c r="D61" s="77">
        <f t="array" ref="D61">IF(C54="","",INDEX($L$13:$L$16,MATCH(C54,$J$13:$J$16,1)))</f>
        <v>1.49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2 red flag(s) vs limit 2   |   3G / 2Y / 1R   |   score 4.0/7 = Moderate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120000.0</v>
      </c>
      <c r="C6" s="10">
        <v>1.45</v>
      </c>
      <c r="D6" s="11">
        <v>32.0</v>
      </c>
      <c r="E6" s="12" t="s">
        <v>12</v>
      </c>
      <c r="F6" s="13">
        <v>0.05</v>
      </c>
      <c r="J6" s="14" t="s">
        <v>13</v>
      </c>
      <c r="K6" s="15">
        <f>IF(OR(D8="",C24=0),"",D8)</f>
        <v>5437.5</v>
      </c>
      <c r="L6" s="15">
        <f>IF(OR(D8="",C24=0),"",L7*C24/4)</f>
        <v>5437.733333</v>
      </c>
      <c r="M6" s="16">
        <f t="shared" ref="M6:M9" si="1">IF(OR(K6="",L6=""),"",L6-K6)</f>
        <v>0.2333333333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0.259740579</v>
      </c>
      <c r="L7" s="17">
        <f>IF(OR($E$6="",C8="",C24=0),"",ROUND(IF($E$6="Weekly",D8*$L$8,C8*$L$9)/C24*100,2)/100)</f>
        <v>0.2399</v>
      </c>
      <c r="M7" s="18">
        <f t="shared" si="1"/>
        <v>-0.01984057904</v>
      </c>
      <c r="P7" s="20"/>
    </row>
    <row r="8">
      <c r="B8" s="19">
        <f>IF(OR(B6="",C6=""),"",B6*C6)</f>
        <v>174000</v>
      </c>
      <c r="C8" s="21">
        <f>IF(OR(B8="",D6="",D6=0),"",IF(E6="Weekly",(B8/D6)/5,B8/D6))</f>
        <v>1087.5</v>
      </c>
      <c r="D8" s="21">
        <f>IF(C8="","",C8*5)</f>
        <v>5437.5</v>
      </c>
      <c r="E8" s="19">
        <f>IF(C8="","",C8*21.655)</f>
        <v>23549.8125</v>
      </c>
      <c r="F8" s="22">
        <f>IF(OR(D6="",D6=0),"",IF(E6="Weekly",D6,D6/5)/(21.655/5))</f>
        <v>7.388593858</v>
      </c>
      <c r="G8" s="19">
        <f>IF(B6="","",B6-(B6*F6))</f>
        <v>114000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  <c r="P8" s="31"/>
    </row>
    <row r="9">
      <c r="J9" s="25" t="s">
        <v>22</v>
      </c>
      <c r="K9" s="23">
        <v>21.655</v>
      </c>
      <c r="L9" s="23">
        <v>21.0</v>
      </c>
      <c r="M9" s="24">
        <f t="shared" si="1"/>
        <v>-0.655</v>
      </c>
      <c r="P9" s="31"/>
    </row>
    <row r="10">
      <c r="B10" s="5" t="s">
        <v>23</v>
      </c>
      <c r="C10" s="6"/>
      <c r="D10" s="6"/>
      <c r="E10" s="6"/>
      <c r="F10" s="6"/>
      <c r="G10" s="6"/>
      <c r="H10" s="7"/>
      <c r="P10" s="20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6" t="s">
        <v>30</v>
      </c>
      <c r="K11" s="6"/>
      <c r="L11" s="6"/>
      <c r="M11" s="7"/>
      <c r="P11" s="31"/>
    </row>
    <row r="12">
      <c r="B12" s="28" t="s">
        <v>32</v>
      </c>
      <c r="C12" s="29">
        <v>95000.0</v>
      </c>
      <c r="D12" s="29">
        <v>3200.0</v>
      </c>
      <c r="E12" s="30">
        <v>0.0</v>
      </c>
      <c r="F12" s="30">
        <v>0.0</v>
      </c>
      <c r="G12" s="32">
        <f t="shared" ref="G12:G22" si="2">IF(OR(C12="",C13=""),"",(C12-C13)/C13)</f>
        <v>0.03260869565</v>
      </c>
      <c r="J12" s="33" t="s">
        <v>33</v>
      </c>
      <c r="K12" s="33" t="s">
        <v>34</v>
      </c>
      <c r="L12" s="33" t="s">
        <v>5</v>
      </c>
      <c r="M12" s="34"/>
      <c r="P12" s="20"/>
    </row>
    <row r="13">
      <c r="B13" s="28" t="s">
        <v>35</v>
      </c>
      <c r="C13" s="29">
        <v>92000.0</v>
      </c>
      <c r="D13" s="29">
        <v>5100.0</v>
      </c>
      <c r="E13" s="30">
        <v>0.0</v>
      </c>
      <c r="F13" s="30">
        <v>0.0</v>
      </c>
      <c r="G13" s="32">
        <f t="shared" si="2"/>
        <v>0.08235294118</v>
      </c>
      <c r="J13" s="35">
        <v>0.0</v>
      </c>
      <c r="K13" s="36">
        <v>100.0</v>
      </c>
      <c r="L13" s="37">
        <v>1.49</v>
      </c>
      <c r="M13" s="34"/>
      <c r="P13" s="31"/>
    </row>
    <row r="14">
      <c r="B14" s="28" t="s">
        <v>36</v>
      </c>
      <c r="C14" s="29">
        <v>85000.0</v>
      </c>
      <c r="D14" s="29">
        <v>9700.0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  <c r="P14" s="20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  <c r="P15" s="31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  <c r="P16" s="20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  <c r="P17" s="31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  <c r="P18" s="20"/>
    </row>
    <row r="19">
      <c r="B19" s="38"/>
      <c r="C19" s="42"/>
      <c r="D19" s="42"/>
      <c r="E19" s="39"/>
      <c r="F19" s="39"/>
      <c r="G19" s="32" t="str">
        <f t="shared" si="2"/>
        <v/>
      </c>
      <c r="P19" s="31"/>
    </row>
    <row r="20">
      <c r="B20" s="38"/>
      <c r="C20" s="42"/>
      <c r="D20" s="42"/>
      <c r="E20" s="39"/>
      <c r="F20" s="39"/>
      <c r="G20" s="32" t="str">
        <f t="shared" si="2"/>
        <v/>
      </c>
      <c r="P20" s="20"/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  <c r="P21" s="31"/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90666.66667</v>
      </c>
      <c r="D24" s="46">
        <f t="shared" si="3"/>
        <v>6000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0.05748081841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9" t="s">
        <v>46</v>
      </c>
      <c r="H27" s="49" t="s">
        <v>47</v>
      </c>
      <c r="I27" s="49" t="s">
        <v>48</v>
      </c>
      <c r="J27" s="49" t="s">
        <v>49</v>
      </c>
    </row>
    <row r="28" ht="15.75" customHeight="1">
      <c r="B28" s="50"/>
      <c r="C28" s="29"/>
      <c r="D28" s="29">
        <v>2498.0</v>
      </c>
      <c r="E28" s="28" t="s">
        <v>12</v>
      </c>
      <c r="F28" s="15">
        <f t="shared" ref="F28:F33" si="5">IF(D28&lt;&gt;"",IF(E28="Daily",D28,IF(E28="Weekly",D28/5,D28/$K$9)),IF(C28="","",C28*1.45/($K$17*$K$9)))</f>
        <v>499.6</v>
      </c>
      <c r="G28" s="51"/>
      <c r="H28" s="52" t="str">
        <f t="shared" ref="H28:H33" si="6">IF(OR(C28="",D28=""),"",ROUND(C28*1.45/D28,0))</f>
        <v/>
      </c>
      <c r="I28" s="53" t="str">
        <f t="shared" ref="I28:I33" si="7">IF(H28="","",H28/IF(E28="Daily",$K$9,IF(E28="Weekly",$K$9/5,1)))</f>
        <v/>
      </c>
      <c r="J28" s="52" t="str">
        <f t="shared" ref="J28:J33" si="8">IF(OR(I28="",G28=""),"",MAX(0,I28-(TODAY()-G28)/30.4375))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  <c r="G29" s="51"/>
      <c r="H29" s="51" t="str">
        <f t="shared" si="6"/>
        <v/>
      </c>
      <c r="I29" s="54" t="str">
        <f t="shared" si="7"/>
        <v/>
      </c>
      <c r="J29" s="51" t="str">
        <f t="shared" si="8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  <c r="G30" s="51"/>
      <c r="H30" s="51" t="str">
        <f t="shared" si="6"/>
        <v/>
      </c>
      <c r="I30" s="54" t="str">
        <f t="shared" si="7"/>
        <v/>
      </c>
      <c r="J30" s="51" t="str">
        <f t="shared" si="8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  <c r="G31" s="51"/>
      <c r="H31" s="51" t="str">
        <f t="shared" si="6"/>
        <v/>
      </c>
      <c r="I31" s="54" t="str">
        <f t="shared" si="7"/>
        <v/>
      </c>
      <c r="J31" s="51" t="str">
        <f t="shared" si="8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  <c r="G32" s="51"/>
      <c r="H32" s="51" t="str">
        <f t="shared" si="6"/>
        <v/>
      </c>
      <c r="I32" s="54" t="str">
        <f t="shared" si="7"/>
        <v/>
      </c>
      <c r="J32" s="51" t="str">
        <f t="shared" si="8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  <c r="G33" s="51"/>
      <c r="H33" s="51" t="str">
        <f t="shared" si="6"/>
        <v/>
      </c>
      <c r="I33" s="54" t="str">
        <f t="shared" si="7"/>
        <v/>
      </c>
      <c r="J33" s="51" t="str">
        <f t="shared" si="8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499.6</v>
      </c>
      <c r="F34" s="46">
        <f>E34*21.655</f>
        <v>10818.838</v>
      </c>
      <c r="G34" s="4" t="s">
        <v>52</v>
      </c>
    </row>
    <row r="35" ht="15.75" customHeight="1">
      <c r="E35" s="57">
        <f>E34+C8</f>
        <v>1587.1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0.3790659982</v>
      </c>
      <c r="D38" s="59">
        <v>0.3</v>
      </c>
      <c r="E38" s="59">
        <v>0.45</v>
      </c>
      <c r="F38" s="60" t="str">
        <f t="shared" ref="F38:F42" si="9">IF(C38="","",IF(C38&gt;=G38,"KNOCKOUT",IF(C38&lt;=D38,"GREEN",IF(C38&gt;=E38,"RED","YELLOW"))))</f>
        <v>YELLOW</v>
      </c>
      <c r="G38" s="61">
        <v>0.55</v>
      </c>
    </row>
    <row r="39" ht="15.75" customHeight="1">
      <c r="B39" s="14" t="s">
        <v>60</v>
      </c>
      <c r="C39" s="18">
        <f>IF(OR(C24=0,E8=""),"",E8/C24)</f>
        <v>0.259740579</v>
      </c>
      <c r="D39" s="59">
        <v>0.18</v>
      </c>
      <c r="E39" s="59">
        <v>0.25</v>
      </c>
      <c r="F39" s="60" t="str">
        <f t="shared" si="9"/>
        <v>RED</v>
      </c>
      <c r="G39" s="59">
        <v>0.35</v>
      </c>
    </row>
    <row r="40" ht="15.75" customHeight="1">
      <c r="B40" s="14" t="s">
        <v>61</v>
      </c>
      <c r="C40" s="18">
        <f>IF(D24=0,"",(E34+IF(C8="",0,C8))/D24)</f>
        <v>0.2645166667</v>
      </c>
      <c r="D40" s="61">
        <v>0.18</v>
      </c>
      <c r="E40" s="61">
        <v>0.3</v>
      </c>
      <c r="F40" s="60" t="str">
        <f t="shared" si="9"/>
        <v>YELLOW</v>
      </c>
      <c r="G40" s="61">
        <v>0.35</v>
      </c>
    </row>
    <row r="41" ht="15.75" customHeight="1">
      <c r="B41" s="14" t="s">
        <v>62</v>
      </c>
      <c r="C41" s="62">
        <f>IF(OR(C24=0,B6=""),"",B6/C24)</f>
        <v>1.323529412</v>
      </c>
      <c r="D41" s="63">
        <v>0.6</v>
      </c>
      <c r="E41" s="63">
        <v>0.9</v>
      </c>
      <c r="F41" s="60" t="str">
        <f t="shared" si="9"/>
        <v>KNOCKOUT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9"/>
        <v>GREEN</v>
      </c>
      <c r="G42" s="39">
        <v>6.0</v>
      </c>
    </row>
    <row r="43" ht="15.75" customHeight="1">
      <c r="B43" s="14" t="s">
        <v>64</v>
      </c>
      <c r="C43" s="18">
        <f>G24</f>
        <v>0.05748081841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0.1193254191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0.06617647059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2</v>
      </c>
      <c r="D49" s="68" t="s">
        <v>72</v>
      </c>
      <c r="E49" s="69">
        <f>COUNTIF(F38:F44,"KNOCKOUT")</f>
        <v>1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KNOCKOUT: Fund / revenue is past its knockout line.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4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Moderate</v>
      </c>
    </row>
    <row r="56" ht="15.75" customHeight="1">
      <c r="B56" s="70" t="s">
        <v>79</v>
      </c>
      <c r="C56" s="15">
        <f>IF(C24=0,"",D39*C24/21.655)</f>
        <v>753.6365735</v>
      </c>
    </row>
    <row r="57" ht="15.75" customHeight="1">
      <c r="B57" s="70" t="s">
        <v>80</v>
      </c>
      <c r="C57" s="15">
        <f>IF(C24=0,"",(D38*C24-F34)/21.655)</f>
        <v>756.4609559</v>
      </c>
    </row>
    <row r="58" ht="15.75" customHeight="1">
      <c r="B58" s="70" t="s">
        <v>81</v>
      </c>
      <c r="C58" s="15">
        <f>IF(OR(C24=0,D24=0),"",D40*D24-E34)</f>
        <v>580.4</v>
      </c>
    </row>
    <row r="59" ht="15.75" customHeight="1">
      <c r="B59" s="68" t="s">
        <v>82</v>
      </c>
      <c r="C59" s="21">
        <f>IF(C24=0,"",MAX(0,MIN(C56:C58)))</f>
        <v>580.4</v>
      </c>
      <c r="D59" s="4" t="str">
        <f t="array" ref="D59">IF(C59="","",IF(C59=0,"no clean room - existing debt is over a green line",INDEX({"SP% holdback";"Total LVG";"Daily/Balance"},MATCH(C59,C56:C58,0))&amp;" is the limit"))</f>
        <v>Daily/Balance is the limit</v>
      </c>
    </row>
    <row r="60" ht="15.75" customHeight="1">
      <c r="B60" s="70" t="s">
        <v>83</v>
      </c>
      <c r="C60" s="15">
        <f>IF(OR(C59="",C59=0),"",C59*5)</f>
        <v>2902</v>
      </c>
      <c r="D60" s="75">
        <f>IF(OR(C59="",C59=0),"",C59*21.655)</f>
        <v>12568.562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1.49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38500</v>
      </c>
      <c r="D62" s="4" t="str">
        <f>IF(C62="-","KNOCKOUT on the merchant - do not fund.",IF(C62="","","payback "&amp;TEXT(C62*D61,"$#,##0")&amp;" over "&amp;C61&amp;" daily pmts ("&amp;TEXT(C61/5,"0")&amp;" wks)"))</f>
        <v>payback $57,365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4G / 3Y / 0R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80000.0</v>
      </c>
      <c r="C6" s="10">
        <v>1.49</v>
      </c>
      <c r="D6" s="11">
        <v>30.0</v>
      </c>
      <c r="E6" s="12" t="s">
        <v>12</v>
      </c>
      <c r="F6" s="13">
        <v>0.05</v>
      </c>
      <c r="J6" s="14" t="s">
        <v>13</v>
      </c>
      <c r="K6" s="15">
        <f>IF(OR(D8="",C24=0),"",D8)</f>
        <v>3973.333333</v>
      </c>
      <c r="L6" s="15">
        <f>IF(OR(D8="",C24=0),"",L7*C24/4)</f>
        <v>3975.85</v>
      </c>
      <c r="M6" s="16">
        <f t="shared" ref="M6:M9" si="1">IF(OR(K6="",L6=""),"",L6-K6)</f>
        <v>2.516666667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0.05670018671</v>
      </c>
      <c r="L7" s="17">
        <f>IF(OR($E$6="",C8="",C24=0),"",ROUND(IF($E$6="Weekly",D8*$L$8,C8*$L$9)/C24*100,2)/100)</f>
        <v>0.0524</v>
      </c>
      <c r="M7" s="18">
        <f t="shared" si="1"/>
        <v>-0.004300186711</v>
      </c>
    </row>
    <row r="8">
      <c r="B8" s="19">
        <f>IF(OR(B6="",C6=""),"",B6*C6)</f>
        <v>119200</v>
      </c>
      <c r="C8" s="21">
        <f>IF(OR(B8="",D6="",D6=0),"",IF(E6="Weekly",(B8/D6)/5,B8/D6))</f>
        <v>794.6666667</v>
      </c>
      <c r="D8" s="21">
        <f>IF(C8="","",C8*5)</f>
        <v>3973.333333</v>
      </c>
      <c r="E8" s="19">
        <f>IF(C8="","",C8*21.655)</f>
        <v>17208.50667</v>
      </c>
      <c r="F8" s="22">
        <f>IF(OR(D6="",D6=0),"",IF(E6="Weekly",D6,D6/5)/(21.655/5))</f>
        <v>6.926806742</v>
      </c>
      <c r="G8" s="19">
        <f>IF(B6="","",B6-(B6*F6))</f>
        <v>76000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25" t="s">
        <v>22</v>
      </c>
      <c r="K9" s="23">
        <v>21.655</v>
      </c>
      <c r="L9" s="23">
        <v>21.0</v>
      </c>
      <c r="M9" s="24">
        <f t="shared" si="1"/>
        <v>-0.655</v>
      </c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250000.0</v>
      </c>
      <c r="D12" s="29">
        <v>4000.0</v>
      </c>
      <c r="E12" s="30">
        <v>3.0</v>
      </c>
      <c r="F12" s="30">
        <v>0.0</v>
      </c>
      <c r="G12" s="32">
        <f t="shared" ref="G12:G22" si="2">IF(OR(C12="",C13=""),"",(C12-C13)/C13)</f>
        <v>0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250000.0</v>
      </c>
      <c r="D13" s="29">
        <v>11000.0</v>
      </c>
      <c r="E13" s="30">
        <v>1.0</v>
      </c>
      <c r="F13" s="30">
        <v>0.0</v>
      </c>
      <c r="G13" s="32">
        <f t="shared" si="2"/>
        <v>-0.3315508021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374000.0</v>
      </c>
      <c r="D14" s="29">
        <v>15000.0</v>
      </c>
      <c r="E14" s="30">
        <v>0.0</v>
      </c>
      <c r="F14" s="30">
        <v>0.0</v>
      </c>
      <c r="G14" s="32">
        <f t="shared" si="2"/>
        <v>0.1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340000.0</v>
      </c>
      <c r="D15" s="29">
        <v>14000.0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303500</v>
      </c>
      <c r="D24" s="46">
        <f t="shared" si="3"/>
        <v>11000</v>
      </c>
      <c r="E24" s="47">
        <f t="shared" ref="E24:F24" si="4">SUM(E12:E23)</f>
        <v>4</v>
      </c>
      <c r="F24" s="47">
        <f t="shared" si="4"/>
        <v>0</v>
      </c>
      <c r="G24" s="48">
        <f>IFERROR(AVERAGE(G12:G22),"")</f>
        <v>-0.07718360071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9" t="s">
        <v>46</v>
      </c>
      <c r="H27" s="49" t="s">
        <v>47</v>
      </c>
      <c r="I27" s="49" t="s">
        <v>48</v>
      </c>
      <c r="J27" s="49" t="s">
        <v>49</v>
      </c>
    </row>
    <row r="28" ht="15.75" customHeight="1">
      <c r="B28" s="50"/>
      <c r="C28" s="29"/>
      <c r="D28" s="29">
        <v>2990.0</v>
      </c>
      <c r="E28" s="28" t="s">
        <v>12</v>
      </c>
      <c r="F28" s="15">
        <f t="shared" ref="F28:F33" si="5">IF(D28&lt;&gt;"",IF(E28="Daily",D28,IF(E28="Weekly",D28/5,D28/$K$9)),IF(C28="","",C28*1.45/($K$17*$K$9)))</f>
        <v>598</v>
      </c>
      <c r="G28" s="51"/>
      <c r="H28" s="52" t="str">
        <f t="shared" ref="H28:H33" si="6">IF(OR(C28="",D28=""),"",ROUND(C28*1.45/D28,0))</f>
        <v/>
      </c>
      <c r="I28" s="53" t="str">
        <f t="shared" ref="I28:I33" si="7">IF(H28="","",H28/IF(E28="Daily",$K$9,IF(E28="Weekly",$K$9/5,1)))</f>
        <v/>
      </c>
      <c r="J28" s="52" t="str">
        <f t="shared" ref="J28:J33" si="8">IF(OR(I28="",G28=""),"",MAX(0,I28-(TODAY()-G28)/30.4375))</f>
        <v/>
      </c>
    </row>
    <row r="29" ht="15.75" customHeight="1">
      <c r="B29" s="50"/>
      <c r="C29" s="42"/>
      <c r="D29" s="29">
        <v>2418.0</v>
      </c>
      <c r="E29" s="28" t="s">
        <v>12</v>
      </c>
      <c r="F29" s="15">
        <f t="shared" si="5"/>
        <v>483.6</v>
      </c>
      <c r="G29" s="51"/>
      <c r="H29" s="51" t="str">
        <f t="shared" si="6"/>
        <v/>
      </c>
      <c r="I29" s="54" t="str">
        <f t="shared" si="7"/>
        <v/>
      </c>
      <c r="J29" s="51" t="str">
        <f t="shared" si="8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  <c r="G30" s="51"/>
      <c r="H30" s="51" t="str">
        <f t="shared" si="6"/>
        <v/>
      </c>
      <c r="I30" s="54" t="str">
        <f t="shared" si="7"/>
        <v/>
      </c>
      <c r="J30" s="51" t="str">
        <f t="shared" si="8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  <c r="G31" s="51"/>
      <c r="H31" s="51" t="str">
        <f t="shared" si="6"/>
        <v/>
      </c>
      <c r="I31" s="54" t="str">
        <f t="shared" si="7"/>
        <v/>
      </c>
      <c r="J31" s="51" t="str">
        <f t="shared" si="8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  <c r="G32" s="51"/>
      <c r="H32" s="51" t="str">
        <f t="shared" si="6"/>
        <v/>
      </c>
      <c r="I32" s="54" t="str">
        <f t="shared" si="7"/>
        <v/>
      </c>
      <c r="J32" s="51" t="str">
        <f t="shared" si="8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  <c r="G33" s="51"/>
      <c r="H33" s="51" t="str">
        <f t="shared" si="6"/>
        <v/>
      </c>
      <c r="I33" s="54" t="str">
        <f t="shared" si="7"/>
        <v/>
      </c>
      <c r="J33" s="51" t="str">
        <f t="shared" si="8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1081.6</v>
      </c>
      <c r="F34" s="46">
        <f>E34*21.655</f>
        <v>23422.048</v>
      </c>
      <c r="G34" s="4" t="s">
        <v>52</v>
      </c>
    </row>
    <row r="35" ht="15.75" customHeight="1">
      <c r="E35" s="57">
        <f>E34+C8</f>
        <v>1876.266667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0.1338733267</v>
      </c>
      <c r="D38" s="59">
        <v>0.3</v>
      </c>
      <c r="E38" s="59">
        <v>0.45</v>
      </c>
      <c r="F38" s="60" t="str">
        <f t="shared" ref="F38:F42" si="9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0.05670018671</v>
      </c>
      <c r="D39" s="59">
        <v>0.18</v>
      </c>
      <c r="E39" s="59">
        <v>0.25</v>
      </c>
      <c r="F39" s="60" t="str">
        <f t="shared" si="9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0.170569697</v>
      </c>
      <c r="D40" s="61">
        <v>0.18</v>
      </c>
      <c r="E40" s="61">
        <v>0.3</v>
      </c>
      <c r="F40" s="60" t="str">
        <f t="shared" si="9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0.2635914333</v>
      </c>
      <c r="D41" s="63">
        <v>0.6</v>
      </c>
      <c r="E41" s="63">
        <v>0.9</v>
      </c>
      <c r="F41" s="60" t="str">
        <f t="shared" si="9"/>
        <v>GREEN</v>
      </c>
      <c r="G41" s="63">
        <v>1.25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9"/>
        <v>YELLOW</v>
      </c>
      <c r="G42" s="39">
        <v>6.0</v>
      </c>
    </row>
    <row r="43" ht="15.75" customHeight="1">
      <c r="B43" s="14" t="s">
        <v>64</v>
      </c>
      <c r="C43" s="18">
        <f>G24</f>
        <v>-0.07718360071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YELLOW</v>
      </c>
      <c r="G43" s="59">
        <v>-0.3</v>
      </c>
    </row>
    <row r="44" ht="15.75" customHeight="1">
      <c r="B44" s="14" t="s">
        <v>65</v>
      </c>
      <c r="C44" s="65">
        <f>E24+F24</f>
        <v>4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YELLOW</v>
      </c>
      <c r="G44" s="30">
        <v>10.0</v>
      </c>
    </row>
    <row r="45" ht="15.75" customHeight="1">
      <c r="B45" s="14" t="s">
        <v>66</v>
      </c>
      <c r="C45" s="18">
        <f>IF(C24=0,"",F34/C24)</f>
        <v>0.07717314003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0.03624382208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5.5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2522.743015</v>
      </c>
    </row>
    <row r="57" ht="15.75" customHeight="1">
      <c r="B57" s="70" t="s">
        <v>80</v>
      </c>
      <c r="C57" s="15">
        <f>IF(C24=0,"",(D38*C24-F34)/21.655)</f>
        <v>3122.971692</v>
      </c>
    </row>
    <row r="58" ht="15.75" customHeight="1">
      <c r="B58" s="70" t="s">
        <v>81</v>
      </c>
      <c r="C58" s="15">
        <f>IF(OR(C24=0,D24=0),"",D40*D24-E34)</f>
        <v>898.4</v>
      </c>
    </row>
    <row r="59" ht="15.75" customHeight="1">
      <c r="B59" s="68" t="s">
        <v>82</v>
      </c>
      <c r="C59" s="21">
        <f>IF(C24=0,"",MAX(0,MIN(C56:C58)))</f>
        <v>898.4</v>
      </c>
      <c r="D59" s="4" t="str">
        <f t="array" ref="D59">IF(C59="","",IF(C59=0,"no clean room - existing debt is over a green line",INDEX({"SP% holdback";"Total LVG";"Daily/Balance"},MATCH(C59,C56:C58,0))&amp;" is the limit"))</f>
        <v>Daily/Balance is the limit</v>
      </c>
    </row>
    <row r="60" ht="15.75" customHeight="1">
      <c r="B60" s="70" t="s">
        <v>83</v>
      </c>
      <c r="C60" s="15">
        <f>IF(OR(C59="",C59=0),"",C59*5)</f>
        <v>4492</v>
      </c>
      <c r="D60" s="75">
        <f>IF(OR(C59="",C59=0),"",C59*21.655)</f>
        <v>19454.852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80500</v>
      </c>
      <c r="D62" s="4" t="str">
        <f>IF(C62="-","KNOCKOUT on the merchant - do not fund.",IF(C62="","","payback "&amp;TEXT(C62*D61,"$#,##0")&amp;" over "&amp;C61&amp;" daily pmts ("&amp;TEXT(C61/5,"0")&amp;" wks)"))</f>
        <v>payback $116,725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125000.0</v>
      </c>
      <c r="C6" s="10">
        <v>1.45</v>
      </c>
      <c r="D6" s="11">
        <v>44.0</v>
      </c>
      <c r="E6" s="12" t="s">
        <v>12</v>
      </c>
      <c r="F6" s="13">
        <v>0.05</v>
      </c>
      <c r="J6" s="14" t="s">
        <v>13</v>
      </c>
      <c r="K6" s="15">
        <f>IF(OR(D8="",C24=0),"",D8)</f>
        <v>4119.318182</v>
      </c>
      <c r="L6" s="15">
        <f>IF(OR(D8="",C24=0),"",L7*C24/4)</f>
        <v>4121.25</v>
      </c>
      <c r="M6" s="16">
        <f t="shared" ref="M6:M9" si="1">IF(OR(K6="",L6=""),"",L6-K6)</f>
        <v>1.931818182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0.08495603355</v>
      </c>
      <c r="L7" s="17">
        <f>IF(OR($E$6="",C8="",C24=0),"",ROUND(IF($E$6="Weekly",D8*$L$8,C8*$L$9)/C24*100,2)/100)</f>
        <v>0.0785</v>
      </c>
      <c r="M7" s="18">
        <f t="shared" si="1"/>
        <v>-0.00645603355</v>
      </c>
    </row>
    <row r="8">
      <c r="B8" s="19">
        <f>IF(OR(B6="",C6=""),"",B6*C6)</f>
        <v>181250</v>
      </c>
      <c r="C8" s="21">
        <f>IF(OR(B8="",D6="",D6=0),"",IF(E6="Weekly",(B8/D6)/5,B8/D6))</f>
        <v>823.8636364</v>
      </c>
      <c r="D8" s="21">
        <f>IF(C8="","",C8*5)</f>
        <v>4119.318182</v>
      </c>
      <c r="E8" s="19">
        <f>IF(C8="","",C8*21.655)</f>
        <v>17840.76705</v>
      </c>
      <c r="F8" s="22">
        <f>IF(OR(D6="",D6=0),"",IF(E6="Weekly",D6,D6/5)/(21.655/5))</f>
        <v>10.15931656</v>
      </c>
      <c r="G8" s="19">
        <f>IF(B6="","",B6-(B6*F6))</f>
        <v>118750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25" t="s">
        <v>22</v>
      </c>
      <c r="K9" s="23">
        <v>21.655</v>
      </c>
      <c r="L9" s="23">
        <v>21.0</v>
      </c>
      <c r="M9" s="24">
        <f t="shared" si="1"/>
        <v>-0.655</v>
      </c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210000.0</v>
      </c>
      <c r="D12" s="29">
        <v>30900.0</v>
      </c>
      <c r="E12" s="30">
        <v>0.0</v>
      </c>
      <c r="F12" s="30">
        <v>0.0</v>
      </c>
      <c r="G12" s="32">
        <f t="shared" ref="G12:G22" si="2">IF(OR(C12="",C13=""),"",(C12-C13)/C13)</f>
        <v>-0.03669724771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218000.0</v>
      </c>
      <c r="D13" s="29">
        <v>35343.0</v>
      </c>
      <c r="E13" s="30">
        <v>0.0</v>
      </c>
      <c r="F13" s="30">
        <v>0.0</v>
      </c>
      <c r="G13" s="32">
        <f t="shared" si="2"/>
        <v>0.07920792079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202000.0</v>
      </c>
      <c r="D14" s="29">
        <v>47765.0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210000</v>
      </c>
      <c r="D24" s="46">
        <f t="shared" si="3"/>
        <v>38002.66667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0.02125533654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9" t="s">
        <v>46</v>
      </c>
      <c r="H27" s="49" t="s">
        <v>47</v>
      </c>
      <c r="I27" s="49" t="s">
        <v>48</v>
      </c>
      <c r="J27" s="49" t="s">
        <v>49</v>
      </c>
    </row>
    <row r="28" ht="15.75" customHeight="1">
      <c r="B28" s="50"/>
      <c r="C28" s="29">
        <v>199999.0</v>
      </c>
      <c r="D28" s="29"/>
      <c r="E28" s="28" t="s">
        <v>12</v>
      </c>
      <c r="F28" s="15">
        <f t="shared" ref="F28:F33" si="5">IF(D28&lt;&gt;"",IF(E28="Daily",D28,IF(E28="Weekly",D28/5,D28/$K$9)),IF(C28="","",C28*1.45/($K$17*$K$9)))</f>
        <v>1487.973268</v>
      </c>
      <c r="G28" s="51"/>
      <c r="H28" s="52" t="str">
        <f t="shared" ref="H28:H33" si="6">IF(OR(C28="",D28=""),"",ROUND(C28*1.45/D28,0))</f>
        <v/>
      </c>
      <c r="I28" s="53" t="str">
        <f t="shared" ref="I28:I33" si="7">IF(H28="","",H28/IF(E28="Daily",$K$9,IF(E28="Weekly",$K$9/5,1)))</f>
        <v/>
      </c>
      <c r="J28" s="52" t="str">
        <f t="shared" ref="J28:J33" si="8">IF(OR(I28="",G28=""),"",MAX(0,I28-(TODAY()-G28)/30.4375))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  <c r="G29" s="51"/>
      <c r="H29" s="51" t="str">
        <f t="shared" si="6"/>
        <v/>
      </c>
      <c r="I29" s="54" t="str">
        <f t="shared" si="7"/>
        <v/>
      </c>
      <c r="J29" s="51" t="str">
        <f t="shared" si="8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  <c r="G30" s="51"/>
      <c r="H30" s="51" t="str">
        <f t="shared" si="6"/>
        <v/>
      </c>
      <c r="I30" s="54" t="str">
        <f t="shared" si="7"/>
        <v/>
      </c>
      <c r="J30" s="51" t="str">
        <f t="shared" si="8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  <c r="G31" s="51"/>
      <c r="H31" s="51" t="str">
        <f t="shared" si="6"/>
        <v/>
      </c>
      <c r="I31" s="54" t="str">
        <f t="shared" si="7"/>
        <v/>
      </c>
      <c r="J31" s="51" t="str">
        <f t="shared" si="8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  <c r="G32" s="51"/>
      <c r="H32" s="51" t="str">
        <f t="shared" si="6"/>
        <v/>
      </c>
      <c r="I32" s="54" t="str">
        <f t="shared" si="7"/>
        <v/>
      </c>
      <c r="J32" s="51" t="str">
        <f t="shared" si="8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  <c r="G33" s="51"/>
      <c r="H33" s="51" t="str">
        <f t="shared" si="6"/>
        <v/>
      </c>
      <c r="I33" s="54" t="str">
        <f t="shared" si="7"/>
        <v/>
      </c>
      <c r="J33" s="51" t="str">
        <f t="shared" si="8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1487.973268</v>
      </c>
      <c r="F34" s="46">
        <f>E34*21.655</f>
        <v>32222.06111</v>
      </c>
      <c r="G34" s="4" t="s">
        <v>52</v>
      </c>
    </row>
    <row r="35" ht="15.75" customHeight="1">
      <c r="E35" s="57">
        <f>E34+C8</f>
        <v>2311.836904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0.2383944198</v>
      </c>
      <c r="D38" s="59">
        <v>0.3</v>
      </c>
      <c r="E38" s="59">
        <v>0.45</v>
      </c>
      <c r="F38" s="60" t="str">
        <f t="shared" ref="F38:F42" si="9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0.08495603355</v>
      </c>
      <c r="D39" s="59">
        <v>0.18</v>
      </c>
      <c r="E39" s="59">
        <v>0.25</v>
      </c>
      <c r="F39" s="60" t="str">
        <f t="shared" si="9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0.06083354424</v>
      </c>
      <c r="D40" s="61">
        <v>0.18</v>
      </c>
      <c r="E40" s="61">
        <v>0.3</v>
      </c>
      <c r="F40" s="60" t="str">
        <f t="shared" si="9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0.5952380952</v>
      </c>
      <c r="D41" s="63">
        <v>0.6</v>
      </c>
      <c r="E41" s="63">
        <v>0.9</v>
      </c>
      <c r="F41" s="60" t="str">
        <f t="shared" si="9"/>
        <v>GREEN</v>
      </c>
      <c r="G41" s="63">
        <v>1.25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9"/>
        <v>GREEN</v>
      </c>
      <c r="G42" s="39">
        <v>6.0</v>
      </c>
    </row>
    <row r="43" ht="15.75" customHeight="1">
      <c r="B43" s="14" t="s">
        <v>64</v>
      </c>
      <c r="C43" s="18">
        <f>G24</f>
        <v>0.02125533654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0.1534383862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0.1809650794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1745.555299</v>
      </c>
    </row>
    <row r="57" ht="15.75" customHeight="1">
      <c r="B57" s="70" t="s">
        <v>80</v>
      </c>
      <c r="C57" s="15">
        <f>IF(C24=0,"",(D38*C24-F34)/21.655)</f>
        <v>1421.285564</v>
      </c>
    </row>
    <row r="58" ht="15.75" customHeight="1">
      <c r="B58" s="70" t="s">
        <v>81</v>
      </c>
      <c r="C58" s="15">
        <f>IF(OR(C24=0,D24=0),"",D40*D24-E34)</f>
        <v>5352.506732</v>
      </c>
    </row>
    <row r="59" ht="15.75" customHeight="1">
      <c r="B59" s="68" t="s">
        <v>82</v>
      </c>
      <c r="C59" s="21">
        <f>IF(C24=0,"",MAX(0,MIN(C56:C58)))</f>
        <v>1421.285564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7106.42782</v>
      </c>
      <c r="D60" s="75">
        <f>IF(OR(C59="",C59=0),"",C59*21.655)</f>
        <v>30777.93889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120</v>
      </c>
      <c r="D61" s="77">
        <f t="array" ref="D61">IF(C54="","",INDEX($L$13:$L$16,MATCH(C54,$J$13:$J$16,1)))</f>
        <v>1.4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121500</v>
      </c>
      <c r="D62" s="4" t="str">
        <f>IF(C62="-","KNOCKOUT on the merchant - do not fund.",IF(C62="","","payback "&amp;TEXT(C62*D61,"$#,##0")&amp;" over "&amp;C61&amp;" daily pmts ("&amp;TEXT(C61/5,"0")&amp;" wks)"))</f>
        <v>payback $170,100 over 120 daily pmts (24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4G / 3Y / 0R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180000.0</v>
      </c>
      <c r="C6" s="10">
        <v>1.45</v>
      </c>
      <c r="D6" s="11">
        <v>40.0</v>
      </c>
      <c r="E6" s="12" t="s">
        <v>12</v>
      </c>
      <c r="F6" s="13">
        <v>0.05</v>
      </c>
      <c r="J6" s="14" t="s">
        <v>13</v>
      </c>
      <c r="K6" s="15">
        <f>IF(OR(D8="",C24=0),"",D8)</f>
        <v>6525</v>
      </c>
      <c r="L6" s="15">
        <f>IF(OR(D8="",C24=0),"",L7*C24/4)</f>
        <v>6525.166667</v>
      </c>
      <c r="M6" s="16">
        <f t="shared" ref="M6:M9" si="1">IF(OR(K6="",L6=""),"",L6-K6)</f>
        <v>0.1666666667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0.1061067897</v>
      </c>
      <c r="L7" s="17">
        <f>IF(OR($E$6="",C8="",C24=0),"",ROUND(IF($E$6="Weekly",D8*$L$8,C8*$L$9)/C24*100,2)/100)</f>
        <v>0.098</v>
      </c>
      <c r="M7" s="18">
        <f t="shared" si="1"/>
        <v>-0.008106789737</v>
      </c>
    </row>
    <row r="8">
      <c r="B8" s="19">
        <f>IF(OR(B6="",C6=""),"",B6*C6)</f>
        <v>261000</v>
      </c>
      <c r="C8" s="21">
        <f>IF(OR(B8="",D6="",D6=0),"",IF(E6="Weekly",(B8/D6)/5,B8/D6))</f>
        <v>1305</v>
      </c>
      <c r="D8" s="21">
        <f>IF(C8="","",C8*5)</f>
        <v>6525</v>
      </c>
      <c r="E8" s="19">
        <f>IF(C8="","",C8*21.655)</f>
        <v>28259.775</v>
      </c>
      <c r="F8" s="22">
        <f>IF(OR(D6="",D6=0),"",IF(E6="Weekly",D6,D6/5)/(21.655/5))</f>
        <v>9.235742323</v>
      </c>
      <c r="G8" s="19">
        <f>IF(B6="","",B6-(B6*F6))</f>
        <v>171000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25" t="s">
        <v>22</v>
      </c>
      <c r="K9" s="23">
        <v>21.655</v>
      </c>
      <c r="L9" s="23">
        <v>21.0</v>
      </c>
      <c r="M9" s="24">
        <f t="shared" si="1"/>
        <v>-0.655</v>
      </c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267000.0</v>
      </c>
      <c r="D12" s="29">
        <v>35000.0</v>
      </c>
      <c r="E12" s="30">
        <v>0.0</v>
      </c>
      <c r="F12" s="30">
        <v>0.0</v>
      </c>
      <c r="G12" s="32">
        <f t="shared" ref="G12:G22" si="2">IF(OR(C12="",C13=""),"",(C12-C13)/C13)</f>
        <v>-0.165625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320000.0</v>
      </c>
      <c r="D13" s="29">
        <v>45000.0</v>
      </c>
      <c r="E13" s="30">
        <v>0.0</v>
      </c>
      <c r="F13" s="30">
        <v>0.0</v>
      </c>
      <c r="G13" s="32">
        <f t="shared" si="2"/>
        <v>0.5094339623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212000.0</v>
      </c>
      <c r="D14" s="29">
        <v>60000.0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266333.3333</v>
      </c>
      <c r="D24" s="46">
        <f t="shared" si="3"/>
        <v>46666.66667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0.1719044811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9" t="s">
        <v>46</v>
      </c>
      <c r="H27" s="49" t="s">
        <v>47</v>
      </c>
      <c r="I27" s="49" t="s">
        <v>48</v>
      </c>
      <c r="J27" s="49" t="s">
        <v>49</v>
      </c>
    </row>
    <row r="28" ht="15.75" customHeight="1">
      <c r="B28" s="50"/>
      <c r="C28" s="29"/>
      <c r="D28" s="29">
        <v>4230.0</v>
      </c>
      <c r="E28" s="28" t="s">
        <v>12</v>
      </c>
      <c r="F28" s="15">
        <f t="shared" ref="F28:F33" si="5">IF(D28&lt;&gt;"",IF(E28="Daily",D28,IF(E28="Weekly",D28/5,D28/$K$9)),IF(C28="","",C28*1.45/($K$17*$K$9)))</f>
        <v>846</v>
      </c>
      <c r="G28" s="51"/>
      <c r="H28" s="52" t="str">
        <f t="shared" ref="H28:H33" si="6">IF(OR(C28="",D28=""),"",ROUND(C28*1.45/D28,0))</f>
        <v/>
      </c>
      <c r="I28" s="53" t="str">
        <f t="shared" ref="I28:I33" si="7">IF(H28="","",H28/IF(E28="Daily",$K$9,IF(E28="Weekly",$K$9/5,1)))</f>
        <v/>
      </c>
      <c r="J28" s="52" t="str">
        <f t="shared" ref="J28:J33" si="8">IF(OR(I28="",G28=""),"",MAX(0,I28-(TODAY()-G28)/30.4375))</f>
        <v/>
      </c>
    </row>
    <row r="29" ht="15.75" customHeight="1">
      <c r="B29" s="50"/>
      <c r="C29" s="42"/>
      <c r="D29" s="29">
        <v>5916.0</v>
      </c>
      <c r="E29" s="28" t="s">
        <v>12</v>
      </c>
      <c r="F29" s="15">
        <f t="shared" si="5"/>
        <v>1183.2</v>
      </c>
      <c r="G29" s="51"/>
      <c r="H29" s="51" t="str">
        <f t="shared" si="6"/>
        <v/>
      </c>
      <c r="I29" s="54" t="str">
        <f t="shared" si="7"/>
        <v/>
      </c>
      <c r="J29" s="51" t="str">
        <f t="shared" si="8"/>
        <v/>
      </c>
    </row>
    <row r="30" ht="15.75" customHeight="1">
      <c r="B30" s="50"/>
      <c r="C30" s="42"/>
      <c r="D30" s="29">
        <v>3564.0</v>
      </c>
      <c r="E30" s="28" t="s">
        <v>12</v>
      </c>
      <c r="F30" s="15">
        <f t="shared" si="5"/>
        <v>712.8</v>
      </c>
      <c r="G30" s="51"/>
      <c r="H30" s="51" t="str">
        <f t="shared" si="6"/>
        <v/>
      </c>
      <c r="I30" s="54" t="str">
        <f t="shared" si="7"/>
        <v/>
      </c>
      <c r="J30" s="51" t="str">
        <f t="shared" si="8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  <c r="G31" s="51"/>
      <c r="H31" s="51" t="str">
        <f t="shared" si="6"/>
        <v/>
      </c>
      <c r="I31" s="54" t="str">
        <f t="shared" si="7"/>
        <v/>
      </c>
      <c r="J31" s="51" t="str">
        <f t="shared" si="8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  <c r="G32" s="51"/>
      <c r="H32" s="51" t="str">
        <f t="shared" si="6"/>
        <v/>
      </c>
      <c r="I32" s="54" t="str">
        <f t="shared" si="7"/>
        <v/>
      </c>
      <c r="J32" s="51" t="str">
        <f t="shared" si="8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  <c r="G33" s="51"/>
      <c r="H33" s="51" t="str">
        <f t="shared" si="6"/>
        <v/>
      </c>
      <c r="I33" s="54" t="str">
        <f t="shared" si="7"/>
        <v/>
      </c>
      <c r="J33" s="51" t="str">
        <f t="shared" si="8"/>
        <v/>
      </c>
    </row>
    <row r="34" ht="15.75" customHeight="1">
      <c r="B34" s="55" t="s">
        <v>50</v>
      </c>
      <c r="C34" s="47">
        <f>SUMPRODUCT((D28:D33&lt;&gt;"")*(E28:E33&lt;&gt;"Monthly"))</f>
        <v>3</v>
      </c>
      <c r="D34" s="55" t="s">
        <v>51</v>
      </c>
      <c r="E34" s="56">
        <f>SUM(F28:F33)</f>
        <v>2742</v>
      </c>
      <c r="F34" s="46">
        <f>E34*21.655</f>
        <v>59378.01</v>
      </c>
      <c r="G34" s="4" t="s">
        <v>52</v>
      </c>
    </row>
    <row r="35" ht="15.75" customHeight="1">
      <c r="E35" s="57">
        <f>E34+C8</f>
        <v>4047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0.32905301</v>
      </c>
      <c r="D38" s="59">
        <v>0.3</v>
      </c>
      <c r="E38" s="59">
        <v>0.45</v>
      </c>
      <c r="F38" s="60" t="str">
        <f t="shared" ref="F38:F42" si="9">IF(C38="","",IF(C38&gt;=G38,"KNOCKOUT",IF(C38&lt;=D38,"GREEN",IF(C38&gt;=E38,"RED","YELLOW"))))</f>
        <v>YELLOW</v>
      </c>
      <c r="G38" s="61">
        <v>0.55</v>
      </c>
    </row>
    <row r="39" ht="15.75" customHeight="1">
      <c r="B39" s="14" t="s">
        <v>60</v>
      </c>
      <c r="C39" s="18">
        <f>IF(OR(C24=0,E8=""),"",E8/C24)</f>
        <v>0.1061067897</v>
      </c>
      <c r="D39" s="59">
        <v>0.18</v>
      </c>
      <c r="E39" s="59">
        <v>0.25</v>
      </c>
      <c r="F39" s="60" t="str">
        <f t="shared" si="9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0.08672142857</v>
      </c>
      <c r="D40" s="61">
        <v>0.18</v>
      </c>
      <c r="E40" s="61">
        <v>0.3</v>
      </c>
      <c r="F40" s="60" t="str">
        <f t="shared" si="9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0.675844806</v>
      </c>
      <c r="D41" s="63">
        <v>0.6</v>
      </c>
      <c r="E41" s="63">
        <v>0.9</v>
      </c>
      <c r="F41" s="60" t="str">
        <f t="shared" si="9"/>
        <v>YELLOW</v>
      </c>
      <c r="G41" s="63">
        <v>1.25</v>
      </c>
    </row>
    <row r="42" ht="15.75" customHeight="1">
      <c r="B42" s="14" t="s">
        <v>63</v>
      </c>
      <c r="C42" s="64">
        <f>IF(C24=0,"",C34+1)</f>
        <v>4</v>
      </c>
      <c r="D42" s="39">
        <v>2.0</v>
      </c>
      <c r="E42" s="39">
        <v>5.0</v>
      </c>
      <c r="F42" s="60" t="str">
        <f t="shared" si="9"/>
        <v>YELLOW</v>
      </c>
      <c r="G42" s="39">
        <v>6.0</v>
      </c>
    </row>
    <row r="43" ht="15.75" customHeight="1">
      <c r="B43" s="14" t="s">
        <v>64</v>
      </c>
      <c r="C43" s="18">
        <f>G24</f>
        <v>0.1719044811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0.2229462203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0.1752190238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5.5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2213.807435</v>
      </c>
    </row>
    <row r="57" ht="15.75" customHeight="1">
      <c r="B57" s="70" t="s">
        <v>80</v>
      </c>
      <c r="C57" s="15">
        <f>IF(C24=0,"",(D38*C24-F34)/21.655)</f>
        <v>947.679058</v>
      </c>
    </row>
    <row r="58" ht="15.75" customHeight="1">
      <c r="B58" s="70" t="s">
        <v>81</v>
      </c>
      <c r="C58" s="15">
        <f>IF(OR(C24=0,D24=0),"",D40*D24-E34)</f>
        <v>5658</v>
      </c>
    </row>
    <row r="59" ht="15.75" customHeight="1">
      <c r="B59" s="68" t="s">
        <v>82</v>
      </c>
      <c r="C59" s="21">
        <f>IF(C24=0,"",MAX(0,MIN(C56:C58)))</f>
        <v>947.679058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4738.39529</v>
      </c>
      <c r="D60" s="75">
        <f>IF(OR(C59="",C59=0),"",C59*21.655)</f>
        <v>20521.99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84500</v>
      </c>
      <c r="D62" s="4" t="str">
        <f>IF(C62="-","KNOCKOUT on the merchant - do not fund.",IF(C62="","","payback "&amp;TEXT(C62*D61,"$#,##0")&amp;" over "&amp;C61&amp;" daily pmts ("&amp;TEXT(C61/5,"0")&amp;" wks)"))</f>
        <v>payback $122,525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37000.0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13</v>
      </c>
      <c r="K6" s="15">
        <f>IF(OR(D8="",C24=0),"",D8)</f>
        <v>1788.333333</v>
      </c>
      <c r="L6" s="15">
        <f>IF(OR(D8="",C24=0),"",L7*C24/4)</f>
        <v>1789.125</v>
      </c>
      <c r="M6" s="16">
        <f t="shared" ref="M6:M9" si="1">IF(OR(K6="",L6=""),"",L6-K6)</f>
        <v>0.7916666667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0.1191580256</v>
      </c>
      <c r="L7" s="17">
        <f>IF(OR($E$6="",C8="",C24=0),"",ROUND(IF($E$6="Weekly",D8*$L$8,C8*$L$9)/C24*100,2)/100)</f>
        <v>0.1101</v>
      </c>
      <c r="M7" s="18">
        <f t="shared" si="1"/>
        <v>-0.009058025641</v>
      </c>
    </row>
    <row r="8">
      <c r="B8" s="19">
        <f>IF(OR(B6="",C6=""),"",B6*C6)</f>
        <v>53650</v>
      </c>
      <c r="C8" s="21">
        <f>IF(OR(B8="",D6="",D6=0),"",IF(E6="Weekly",(B8/D6)/5,B8/D6))</f>
        <v>357.6666667</v>
      </c>
      <c r="D8" s="21">
        <f>IF(C8="","",C8*5)</f>
        <v>1788.333333</v>
      </c>
      <c r="E8" s="19">
        <f>IF(C8="","",C8*21.655)</f>
        <v>7745.271667</v>
      </c>
      <c r="F8" s="22">
        <f>IF(OR(D6="",D6=0),"",IF(E6="Weekly",D6,D6/5)/(21.655/5))</f>
        <v>6.926806742</v>
      </c>
      <c r="G8" s="19">
        <f>IF(B6="","",B6-(B6*F6))</f>
        <v>35150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25" t="s">
        <v>22</v>
      </c>
      <c r="K9" s="23">
        <v>21.655</v>
      </c>
      <c r="L9" s="23">
        <v>21.0</v>
      </c>
      <c r="M9" s="24">
        <f t="shared" si="1"/>
        <v>-0.655</v>
      </c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70000.0</v>
      </c>
      <c r="D12" s="29">
        <v>15000.0</v>
      </c>
      <c r="E12" s="30">
        <v>0.0</v>
      </c>
      <c r="F12" s="30">
        <v>0.0</v>
      </c>
      <c r="G12" s="32">
        <f t="shared" ref="G12:G22" si="2">IF(OR(C12="",C13=""),"",(C12-C13)/C13)</f>
        <v>0.07692307692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65000.0</v>
      </c>
      <c r="D13" s="29">
        <v>11000.0</v>
      </c>
      <c r="E13" s="30">
        <v>0.0</v>
      </c>
      <c r="F13" s="30">
        <v>0.0</v>
      </c>
      <c r="G13" s="32">
        <f t="shared" si="2"/>
        <v>0.08333333333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60000.0</v>
      </c>
      <c r="D14" s="29">
        <v>11000.0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65000</v>
      </c>
      <c r="D24" s="46">
        <f t="shared" si="3"/>
        <v>12333.33333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0.08012820513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9" t="s">
        <v>46</v>
      </c>
      <c r="H27" s="49" t="s">
        <v>47</v>
      </c>
      <c r="I27" s="49" t="s">
        <v>48</v>
      </c>
      <c r="J27" s="49" t="s">
        <v>49</v>
      </c>
    </row>
    <row r="28" ht="15.75" customHeight="1">
      <c r="B28" s="50"/>
      <c r="C28" s="29">
        <v>11000.0</v>
      </c>
      <c r="D28" s="29"/>
      <c r="E28" s="28" t="s">
        <v>12</v>
      </c>
      <c r="F28" s="15">
        <f t="shared" ref="F28:F33" si="5">IF(D28&lt;&gt;"",IF(E28="Daily",D28,IF(E28="Weekly",D28/5,D28/$K$9)),IF(C28="","",C28*1.45/($K$17*$K$9)))</f>
        <v>81.83893892</v>
      </c>
      <c r="G28" s="51"/>
      <c r="H28" s="52" t="str">
        <f t="shared" ref="H28:H33" si="6">IF(OR(C28="",D28=""),"",ROUND(C28*1.45/D28,0))</f>
        <v/>
      </c>
      <c r="I28" s="53" t="str">
        <f t="shared" ref="I28:I33" si="7">IF(H28="","",H28/IF(E28="Daily",$K$9,IF(E28="Weekly",$K$9/5,1)))</f>
        <v/>
      </c>
      <c r="J28" s="52" t="str">
        <f t="shared" ref="J28:J33" si="8">IF(OR(I28="",G28=""),"",MAX(0,I28-(TODAY()-G28)/30.4375))</f>
        <v/>
      </c>
    </row>
    <row r="29" ht="15.75" customHeight="1">
      <c r="B29" s="50"/>
      <c r="C29" s="42"/>
      <c r="D29" s="29"/>
      <c r="E29" s="28" t="s">
        <v>12</v>
      </c>
      <c r="F29" s="15" t="str">
        <f t="shared" si="5"/>
        <v/>
      </c>
      <c r="G29" s="51"/>
      <c r="H29" s="51" t="str">
        <f t="shared" si="6"/>
        <v/>
      </c>
      <c r="I29" s="54" t="str">
        <f t="shared" si="7"/>
        <v/>
      </c>
      <c r="J29" s="51" t="str">
        <f t="shared" si="8"/>
        <v/>
      </c>
    </row>
    <row r="30" ht="15.75" customHeight="1">
      <c r="B30" s="50"/>
      <c r="C30" s="42"/>
      <c r="D30" s="29"/>
      <c r="E30" s="28" t="s">
        <v>12</v>
      </c>
      <c r="F30" s="15" t="str">
        <f t="shared" si="5"/>
        <v/>
      </c>
      <c r="G30" s="51"/>
      <c r="H30" s="51" t="str">
        <f t="shared" si="6"/>
        <v/>
      </c>
      <c r="I30" s="54" t="str">
        <f t="shared" si="7"/>
        <v/>
      </c>
      <c r="J30" s="51" t="str">
        <f t="shared" si="8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  <c r="G31" s="51"/>
      <c r="H31" s="51" t="str">
        <f t="shared" si="6"/>
        <v/>
      </c>
      <c r="I31" s="54" t="str">
        <f t="shared" si="7"/>
        <v/>
      </c>
      <c r="J31" s="51" t="str">
        <f t="shared" si="8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  <c r="G32" s="51"/>
      <c r="H32" s="51" t="str">
        <f t="shared" si="6"/>
        <v/>
      </c>
      <c r="I32" s="54" t="str">
        <f t="shared" si="7"/>
        <v/>
      </c>
      <c r="J32" s="51" t="str">
        <f t="shared" si="8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  <c r="G33" s="51"/>
      <c r="H33" s="51" t="str">
        <f t="shared" si="6"/>
        <v/>
      </c>
      <c r="I33" s="54" t="str">
        <f t="shared" si="7"/>
        <v/>
      </c>
      <c r="J33" s="51" t="str">
        <f t="shared" si="8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81.83893892</v>
      </c>
      <c r="F34" s="46">
        <f>E34*21.655</f>
        <v>1772.222222</v>
      </c>
      <c r="G34" s="4" t="s">
        <v>52</v>
      </c>
    </row>
    <row r="35" ht="15.75" customHeight="1">
      <c r="E35" s="57">
        <f>E34+C8</f>
        <v>439.5056056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0.1464229829</v>
      </c>
      <c r="D38" s="59">
        <v>0.3</v>
      </c>
      <c r="E38" s="59">
        <v>0.45</v>
      </c>
      <c r="F38" s="60" t="str">
        <f t="shared" ref="F38:F42" si="9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0.1191580256</v>
      </c>
      <c r="D39" s="59">
        <v>0.18</v>
      </c>
      <c r="E39" s="59">
        <v>0.25</v>
      </c>
      <c r="F39" s="60" t="str">
        <f t="shared" si="9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0.03563558964</v>
      </c>
      <c r="D40" s="61">
        <v>0.18</v>
      </c>
      <c r="E40" s="61">
        <v>0.3</v>
      </c>
      <c r="F40" s="60" t="str">
        <f t="shared" si="9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0.5692307692</v>
      </c>
      <c r="D41" s="63">
        <v>0.6</v>
      </c>
      <c r="E41" s="63">
        <v>0.9</v>
      </c>
      <c r="F41" s="60" t="str">
        <f t="shared" si="9"/>
        <v>GREEN</v>
      </c>
      <c r="G41" s="63">
        <v>1.25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9"/>
        <v>GREEN</v>
      </c>
      <c r="G42" s="39">
        <v>6.0</v>
      </c>
    </row>
    <row r="43" ht="15.75" customHeight="1">
      <c r="B43" s="14" t="s">
        <v>64</v>
      </c>
      <c r="C43" s="18">
        <f>G24</f>
        <v>0.08012820513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0.02726495726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0.1897435897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540.2909259</v>
      </c>
    </row>
    <row r="57" ht="15.75" customHeight="1">
      <c r="B57" s="70" t="s">
        <v>80</v>
      </c>
      <c r="C57" s="15">
        <f>IF(C24=0,"",(D38*C24-F34)/21.655)</f>
        <v>818.6459376</v>
      </c>
    </row>
    <row r="58" ht="15.75" customHeight="1">
      <c r="B58" s="70" t="s">
        <v>81</v>
      </c>
      <c r="C58" s="15">
        <f>IF(OR(C24=0,D24=0),"",D40*D24-E34)</f>
        <v>2138.161061</v>
      </c>
    </row>
    <row r="59" ht="15.75" customHeight="1">
      <c r="B59" s="68" t="s">
        <v>82</v>
      </c>
      <c r="C59" s="21">
        <f>IF(C24=0,"",MAX(0,MIN(C56:C58)))</f>
        <v>540.2909259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2701.454629</v>
      </c>
      <c r="D60" s="75">
        <f>IF(OR(C59="",C59=0),"",C59*21.655)</f>
        <v>11700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38500</v>
      </c>
      <c r="D62" s="4" t="str">
        <f>IF(C62="-","KNOCKOUT on the merchant - do not fund.",IF(C62="","","payback "&amp;TEXT(C62*D61,"$#,##0")&amp;" over "&amp;C61&amp;" daily pmts ("&amp;TEXT(C61/5,"0")&amp;" wks)"))</f>
        <v>payback $53,900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175000.0</v>
      </c>
      <c r="C6" s="10">
        <v>1.45</v>
      </c>
      <c r="D6" s="11">
        <v>40.0</v>
      </c>
      <c r="E6" s="12" t="s">
        <v>12</v>
      </c>
      <c r="F6" s="13">
        <v>0.05</v>
      </c>
      <c r="J6" s="14" t="s">
        <v>13</v>
      </c>
      <c r="K6" s="15">
        <f>IF(OR(D8="",C24=0),"",D8)</f>
        <v>6343.75</v>
      </c>
      <c r="L6" s="15">
        <f>IF(OR(D8="",C24=0),"",L7*C24/4)</f>
        <v>6339.9375</v>
      </c>
      <c r="M6" s="16">
        <f t="shared" ref="M6:M9" si="1">IF(OR(K6="",L6=""),"",L6-K6)</f>
        <v>-3.8125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0.06337896482</v>
      </c>
      <c r="L7" s="17">
        <f>IF(OR($E$6="",C8="",C24=0),"",ROUND(IF($E$6="Weekly",D8*$L$8,C8*$L$9)/C24*100,2)/100)</f>
        <v>0.0585</v>
      </c>
      <c r="M7" s="18">
        <f t="shared" si="1"/>
        <v>-0.004878964821</v>
      </c>
    </row>
    <row r="8">
      <c r="B8" s="19">
        <f>IF(OR(B6="",C6=""),"",B6*C6)</f>
        <v>253750</v>
      </c>
      <c r="C8" s="21">
        <f>IF(OR(B8="",D6="",D6=0),"",IF(E6="Weekly",(B8/D6)/5,B8/D6))</f>
        <v>1268.75</v>
      </c>
      <c r="D8" s="21">
        <f>IF(C8="","",C8*5)</f>
        <v>6343.75</v>
      </c>
      <c r="E8" s="19">
        <f>IF(C8="","",C8*21.655)</f>
        <v>27474.78125</v>
      </c>
      <c r="F8" s="22">
        <f>IF(OR(D6="",D6=0),"",IF(E6="Weekly",D6,D6/5)/(21.655/5))</f>
        <v>9.235742323</v>
      </c>
      <c r="G8" s="19">
        <f>IF(B6="","",B6-(B6*F6))</f>
        <v>166250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25" t="s">
        <v>22</v>
      </c>
      <c r="K9" s="23">
        <v>21.655</v>
      </c>
      <c r="L9" s="23">
        <v>21.0</v>
      </c>
      <c r="M9" s="24">
        <f t="shared" si="1"/>
        <v>-0.655</v>
      </c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536000.0</v>
      </c>
      <c r="D12" s="29">
        <v>91000.0</v>
      </c>
      <c r="E12" s="30">
        <v>0.0</v>
      </c>
      <c r="F12" s="30">
        <v>0.0</v>
      </c>
      <c r="G12" s="32">
        <f t="shared" ref="G12:G22" si="2">IF(OR(C12="",C13=""),"",(C12-C13)/C13)</f>
        <v>0.4408602151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372000.0</v>
      </c>
      <c r="D13" s="29">
        <v>129000.0</v>
      </c>
      <c r="E13" s="30">
        <v>0.0</v>
      </c>
      <c r="F13" s="30">
        <v>0.0</v>
      </c>
      <c r="G13" s="32">
        <f t="shared" si="2"/>
        <v>-0.005347593583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374000.0</v>
      </c>
      <c r="D14" s="29">
        <v>82000.0</v>
      </c>
      <c r="E14" s="30">
        <v>0.0</v>
      </c>
      <c r="F14" s="30">
        <v>0.0</v>
      </c>
      <c r="G14" s="32">
        <f t="shared" si="2"/>
        <v>-0.1725663717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452000.0</v>
      </c>
      <c r="D15" s="29">
        <v>115000.0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433500</v>
      </c>
      <c r="D24" s="46">
        <f t="shared" si="3"/>
        <v>104250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0.08764874993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9" t="s">
        <v>46</v>
      </c>
      <c r="H27" s="49" t="s">
        <v>47</v>
      </c>
      <c r="I27" s="49" t="s">
        <v>48</v>
      </c>
      <c r="J27" s="49" t="s">
        <v>49</v>
      </c>
    </row>
    <row r="28" ht="15.75" customHeight="1">
      <c r="B28" s="50"/>
      <c r="C28" s="29">
        <v>140732.2</v>
      </c>
      <c r="D28" s="29">
        <v>5931.0</v>
      </c>
      <c r="E28" s="28" t="s">
        <v>12</v>
      </c>
      <c r="F28" s="15">
        <f t="shared" ref="F28:F33" si="5">IF(D28&lt;&gt;"",IF(E28="Daily",D28,IF(E28="Weekly",D28/5,D28/$K$9)),IF(C28="","",C28*1.45/($K$17*$K$9)))</f>
        <v>1186.2</v>
      </c>
      <c r="G28" s="79">
        <v>46211.0</v>
      </c>
      <c r="H28" s="52">
        <f t="shared" ref="H28:H33" si="6">IF(OR(C28="",D28=""),"",ROUND(C28*1.45/D28,0))</f>
        <v>34</v>
      </c>
      <c r="I28" s="53">
        <f t="shared" ref="I28:I33" si="7">IF(H28="","",H28/IF(E28="Daily",$K$9,IF(E28="Weekly",$K$9/5,1)))</f>
        <v>7.850380974</v>
      </c>
      <c r="J28" s="52">
        <f t="shared" ref="J28:J33" si="8">IF(OR(I28="",G28=""),"",MAX(0,I28-(TODAY()-G28)/30.4375))</f>
        <v>6.010545245</v>
      </c>
    </row>
    <row r="29" ht="15.75" customHeight="1">
      <c r="B29" s="50"/>
      <c r="C29" s="42"/>
      <c r="D29" s="29">
        <v>4199.0</v>
      </c>
      <c r="E29" s="28" t="s">
        <v>12</v>
      </c>
      <c r="F29" s="15">
        <f t="shared" si="5"/>
        <v>839.8</v>
      </c>
      <c r="G29" s="51"/>
      <c r="H29" s="51" t="str">
        <f t="shared" si="6"/>
        <v/>
      </c>
      <c r="I29" s="54" t="str">
        <f t="shared" si="7"/>
        <v/>
      </c>
      <c r="J29" s="51" t="str">
        <f t="shared" si="8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  <c r="G30" s="51"/>
      <c r="H30" s="51" t="str">
        <f t="shared" si="6"/>
        <v/>
      </c>
      <c r="I30" s="54" t="str">
        <f t="shared" si="7"/>
        <v/>
      </c>
      <c r="J30" s="51" t="str">
        <f t="shared" si="8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  <c r="G31" s="51"/>
      <c r="H31" s="51" t="str">
        <f t="shared" si="6"/>
        <v/>
      </c>
      <c r="I31" s="54" t="str">
        <f t="shared" si="7"/>
        <v/>
      </c>
      <c r="J31" s="51" t="str">
        <f t="shared" si="8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  <c r="G32" s="51"/>
      <c r="H32" s="51" t="str">
        <f t="shared" si="6"/>
        <v/>
      </c>
      <c r="I32" s="54" t="str">
        <f t="shared" si="7"/>
        <v/>
      </c>
      <c r="J32" s="51" t="str">
        <f t="shared" si="8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  <c r="G33" s="51"/>
      <c r="H33" s="51" t="str">
        <f t="shared" si="6"/>
        <v/>
      </c>
      <c r="I33" s="54" t="str">
        <f t="shared" si="7"/>
        <v/>
      </c>
      <c r="J33" s="51" t="str">
        <f t="shared" si="8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2026</v>
      </c>
      <c r="F34" s="46">
        <f>E34*21.655</f>
        <v>43873.03</v>
      </c>
      <c r="G34" s="4" t="s">
        <v>52</v>
      </c>
    </row>
    <row r="35" ht="15.75" customHeight="1">
      <c r="E35" s="57">
        <f>E34+C8</f>
        <v>3294.75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0.1645854931</v>
      </c>
      <c r="D38" s="59">
        <v>0.3</v>
      </c>
      <c r="E38" s="59">
        <v>0.45</v>
      </c>
      <c r="F38" s="60" t="str">
        <f t="shared" ref="F38:F42" si="9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0.06337896482</v>
      </c>
      <c r="D39" s="59">
        <v>0.18</v>
      </c>
      <c r="E39" s="59">
        <v>0.25</v>
      </c>
      <c r="F39" s="60" t="str">
        <f t="shared" si="9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0.03160431655</v>
      </c>
      <c r="D40" s="61">
        <v>0.18</v>
      </c>
      <c r="E40" s="61">
        <v>0.3</v>
      </c>
      <c r="F40" s="60" t="str">
        <f t="shared" si="9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0.4036908881</v>
      </c>
      <c r="D41" s="63">
        <v>0.6</v>
      </c>
      <c r="E41" s="63">
        <v>0.9</v>
      </c>
      <c r="F41" s="60" t="str">
        <f t="shared" si="9"/>
        <v>GREEN</v>
      </c>
      <c r="G41" s="63">
        <v>1.25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9"/>
        <v>YELLOW</v>
      </c>
      <c r="G42" s="39">
        <v>6.0</v>
      </c>
    </row>
    <row r="43" ht="15.75" customHeight="1">
      <c r="B43" s="14" t="s">
        <v>64</v>
      </c>
      <c r="C43" s="18">
        <f>G24</f>
        <v>0.08764874993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0.1012065283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0.2404844291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3603.324867</v>
      </c>
    </row>
    <row r="57" ht="15.75" customHeight="1">
      <c r="B57" s="70" t="s">
        <v>80</v>
      </c>
      <c r="C57" s="15">
        <f>IF(C24=0,"",(D38*C24-F34)/21.655)</f>
        <v>3979.541445</v>
      </c>
    </row>
    <row r="58" ht="15.75" customHeight="1">
      <c r="B58" s="70" t="s">
        <v>81</v>
      </c>
      <c r="C58" s="15">
        <f>IF(OR(C24=0,D24=0),"",D40*D24-E34)</f>
        <v>16739</v>
      </c>
    </row>
    <row r="59" ht="15.75" customHeight="1">
      <c r="B59" s="68" t="s">
        <v>82</v>
      </c>
      <c r="C59" s="21">
        <f>IF(C24=0,"",MAX(0,MIN(C56:C58)))</f>
        <v>3603.324867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18016.62434</v>
      </c>
      <c r="D60" s="75">
        <f>IF(OR(C59="",C59=0),"",C59*21.655)</f>
        <v>78030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248500</v>
      </c>
      <c r="D62" s="4" t="str">
        <f>IF(C62="-","KNOCKOUT on the merchant - do not fund.",IF(C62="","","payback "&amp;TEXT(C62*D61,"$#,##0")&amp;" over "&amp;C61&amp;" daily pmts ("&amp;TEXT(C61/5,"0")&amp;" wks)"))</f>
        <v>payback $360,325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2G / 3Y / 0R   |   score 3.5/7 = Moderate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9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IF(OR($E$6="",C8="",C24=0),"",ROUND(IF($E$6="Weekly",D8*$L$8,C8*$L$9)/C24*100,2)/100)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25" t="s">
        <v>22</v>
      </c>
      <c r="K9" s="23">
        <v>21.655</v>
      </c>
      <c r="L9" s="23">
        <v>21.0</v>
      </c>
      <c r="M9" s="24">
        <f t="shared" si="1"/>
        <v>-0.655</v>
      </c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60000.0</v>
      </c>
      <c r="D12" s="29">
        <v>5000.0</v>
      </c>
      <c r="E12" s="30">
        <v>1.0</v>
      </c>
      <c r="F12" s="30">
        <v>0.0</v>
      </c>
      <c r="G12" s="32">
        <f t="shared" ref="G12:G22" si="2">IF(OR(C12="",C13=""),"",(C12-C13)/C13)</f>
        <v>-0.381443299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97000.0</v>
      </c>
      <c r="D13" s="29">
        <v>40000.0</v>
      </c>
      <c r="E13" s="30">
        <v>0.0</v>
      </c>
      <c r="F13" s="30">
        <v>0.0</v>
      </c>
      <c r="G13" s="32">
        <f t="shared" si="2"/>
        <v>0.3857142857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70000.0</v>
      </c>
      <c r="D14" s="29">
        <v>5000.0</v>
      </c>
      <c r="E14" s="30">
        <v>3.0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75666.66667</v>
      </c>
      <c r="D24" s="46">
        <f t="shared" si="3"/>
        <v>16666.66667</v>
      </c>
      <c r="E24" s="47">
        <f t="shared" ref="E24:F24" si="4">SUM(E12:E23)</f>
        <v>4</v>
      </c>
      <c r="F24" s="47">
        <f t="shared" si="4"/>
        <v>0</v>
      </c>
      <c r="G24" s="48">
        <f>IFERROR(AVERAGE(G12:G22),"")</f>
        <v>0.002135493373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9" t="s">
        <v>46</v>
      </c>
      <c r="H27" s="49" t="s">
        <v>47</v>
      </c>
      <c r="I27" s="49" t="s">
        <v>48</v>
      </c>
      <c r="J27" s="49" t="s">
        <v>49</v>
      </c>
    </row>
    <row r="28" ht="15.75" customHeight="1">
      <c r="B28" s="50"/>
      <c r="C28" s="29">
        <v>192500.0</v>
      </c>
      <c r="D28" s="29">
        <v>2450.0</v>
      </c>
      <c r="E28" s="28" t="s">
        <v>12</v>
      </c>
      <c r="F28" s="15">
        <f t="shared" ref="F28:F33" si="5">IF(D28&lt;&gt;"",IF(E28="Daily",D28,IF(E28="Weekly",D28/5,D28/$K$9)),IF(C28="","",C28*1.45/($K$17*$K$9)))</f>
        <v>490</v>
      </c>
      <c r="G28" s="51"/>
      <c r="H28" s="51">
        <f t="shared" ref="H28:H33" si="6">IF(OR(C28="",D28=""),"",ROUND(C28*1.45/D28,0))</f>
        <v>114</v>
      </c>
      <c r="I28" s="79">
        <f t="shared" ref="I28:I33" si="7">IF(H28="","",H28/IF(E28="Daily",$K$9,IF(E28="Weekly",$K$9/5,1)))</f>
        <v>26.32186562</v>
      </c>
      <c r="J28" s="51" t="str">
        <f t="shared" ref="J28:J33" si="8">IF(OR(I28="",G28=""),"",MAX(0,I28-(TODAY()-G28)/30.4375))</f>
        <v/>
      </c>
    </row>
    <row r="29" ht="15.75" customHeight="1">
      <c r="B29" s="50"/>
      <c r="C29" s="29">
        <v>97000.0</v>
      </c>
      <c r="D29" s="29">
        <v>3861.0</v>
      </c>
      <c r="E29" s="28" t="s">
        <v>12</v>
      </c>
      <c r="F29" s="15">
        <f t="shared" si="5"/>
        <v>772.2</v>
      </c>
      <c r="G29" s="51"/>
      <c r="H29" s="51">
        <f t="shared" si="6"/>
        <v>36</v>
      </c>
      <c r="I29" s="79">
        <f t="shared" si="7"/>
        <v>8.312168091</v>
      </c>
      <c r="J29" s="51" t="str">
        <f t="shared" si="8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  <c r="G30" s="51"/>
      <c r="H30" s="51" t="str">
        <f t="shared" si="6"/>
        <v/>
      </c>
      <c r="I30" s="54" t="str">
        <f t="shared" si="7"/>
        <v/>
      </c>
      <c r="J30" s="51" t="str">
        <f t="shared" si="8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  <c r="G31" s="51"/>
      <c r="H31" s="51" t="str">
        <f t="shared" si="6"/>
        <v/>
      </c>
      <c r="I31" s="54" t="str">
        <f t="shared" si="7"/>
        <v/>
      </c>
      <c r="J31" s="51" t="str">
        <f t="shared" si="8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  <c r="G32" s="51"/>
      <c r="H32" s="51" t="str">
        <f t="shared" si="6"/>
        <v/>
      </c>
      <c r="I32" s="54" t="str">
        <f t="shared" si="7"/>
        <v/>
      </c>
      <c r="J32" s="51" t="str">
        <f t="shared" si="8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  <c r="G33" s="51"/>
      <c r="H33" s="51" t="str">
        <f t="shared" si="6"/>
        <v/>
      </c>
      <c r="I33" s="54" t="str">
        <f t="shared" si="7"/>
        <v/>
      </c>
      <c r="J33" s="51" t="str">
        <f t="shared" si="8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1262.2</v>
      </c>
      <c r="F34" s="46">
        <f>E34*21.655</f>
        <v>27332.941</v>
      </c>
      <c r="G34" s="4" t="s">
        <v>52</v>
      </c>
    </row>
    <row r="35" ht="15.75" customHeight="1">
      <c r="E35" s="57">
        <f>E34+C8</f>
        <v>1262.2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0.3612282952</v>
      </c>
      <c r="D38" s="59">
        <v>0.3</v>
      </c>
      <c r="E38" s="59">
        <v>0.45</v>
      </c>
      <c r="F38" s="60" t="str">
        <f t="shared" ref="F38:F42" si="9">IF(C38="","",IF(C38&gt;=G38,"KNOCKOUT",IF(C38&lt;=D38,"GREEN",IF(C38&gt;=E38,"RED","YELLOW"))))</f>
        <v>YELLOW</v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9"/>
        <v/>
      </c>
      <c r="G39" s="59">
        <v>0.35</v>
      </c>
    </row>
    <row r="40" ht="15.75" customHeight="1">
      <c r="B40" s="14" t="s">
        <v>61</v>
      </c>
      <c r="C40" s="18">
        <f>IF(D24=0,"",(E34+IF(C8="",0,C8))/D24)</f>
        <v>0.075732</v>
      </c>
      <c r="D40" s="61">
        <v>0.18</v>
      </c>
      <c r="E40" s="61">
        <v>0.3</v>
      </c>
      <c r="F40" s="60" t="str">
        <f t="shared" si="9"/>
        <v>GREEN</v>
      </c>
      <c r="G40" s="61">
        <v>0.35</v>
      </c>
    </row>
    <row r="41" ht="15.75" customHeight="1">
      <c r="B41" s="14" t="s">
        <v>62</v>
      </c>
      <c r="C41" s="62" t="str">
        <f>IF(OR(C24=0,B6=""),"",B6/C24)</f>
        <v/>
      </c>
      <c r="D41" s="63">
        <v>0.6</v>
      </c>
      <c r="E41" s="63">
        <v>0.9</v>
      </c>
      <c r="F41" s="60" t="str">
        <f t="shared" si="9"/>
        <v/>
      </c>
      <c r="G41" s="63">
        <v>1.25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9"/>
        <v>YELLOW</v>
      </c>
      <c r="G42" s="39">
        <v>6.0</v>
      </c>
    </row>
    <row r="43" ht="15.75" customHeight="1">
      <c r="B43" s="14" t="s">
        <v>64</v>
      </c>
      <c r="C43" s="18">
        <f>G24</f>
        <v>0.002135493373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4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YELLOW</v>
      </c>
      <c r="G44" s="30">
        <v>10.0</v>
      </c>
    </row>
    <row r="45" ht="15.75" customHeight="1">
      <c r="B45" s="14" t="s">
        <v>66</v>
      </c>
      <c r="C45" s="18">
        <f>IF(C24=0,"",F34/C24)</f>
        <v>0.3612282952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0.2202643172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$0 is below your minimum $20,000.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3.5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Moderate</v>
      </c>
    </row>
    <row r="56" ht="15.75" customHeight="1">
      <c r="B56" s="70" t="s">
        <v>79</v>
      </c>
      <c r="C56" s="15">
        <f>IF(C24=0,"",D39*C24/21.655)</f>
        <v>628.9540522</v>
      </c>
    </row>
    <row r="57" ht="15.75" customHeight="1">
      <c r="B57" s="70" t="s">
        <v>80</v>
      </c>
      <c r="C57" s="15">
        <f>IF(C24=0,"",(D38*C24-F34)/21.655)</f>
        <v>-213.9432464</v>
      </c>
    </row>
    <row r="58" ht="15.75" customHeight="1">
      <c r="B58" s="70" t="s">
        <v>81</v>
      </c>
      <c r="C58" s="15">
        <f>IF(OR(C24=0,D24=0),"",D40*D24-E34)</f>
        <v>1737.8</v>
      </c>
    </row>
    <row r="59" ht="15.75" customHeight="1">
      <c r="B59" s="68" t="s">
        <v>82</v>
      </c>
      <c r="C59" s="21">
        <f>IF(C24=0,"",MAX(0,MIN(C56:C58)))</f>
        <v>0</v>
      </c>
      <c r="D59" s="4" t="str">
        <f t="array" ref="D59">IF(C59="","",IF(C59=0,"no clean room - existing debt is over a green line",INDEX({"SP% holdback";"Total LVG";"Daily/Balance"},MATCH(C59,C56:C58,0))&amp;" is the limit"))</f>
        <v>no clean room - existing debt is over a green line</v>
      </c>
    </row>
    <row r="60" ht="15.75" customHeight="1">
      <c r="B60" s="70" t="s">
        <v>83</v>
      </c>
      <c r="C60" s="15" t="str">
        <f>IF(OR(C59="",C59=0),"",C59*5)</f>
        <v/>
      </c>
      <c r="D60" s="75" t="str">
        <f>IF(OR(C59="",C59=0),"",C59*21.655)</f>
        <v/>
      </c>
    </row>
    <row r="61" ht="15.75" customHeight="1">
      <c r="B61" s="70" t="s">
        <v>84</v>
      </c>
      <c r="C61" s="76" t="str">
        <f t="array" ref="C61">IF(OR(C59="",C59=0,C54=""),"",MAX(20,MIN(INDEX($K$13:$K$16,MATCH(C54,$J$13:$J$16,1)),FLOOR($K$17*21.655,5),FLOOR(D41*C24*D61/C59,5))))</f>
        <v/>
      </c>
      <c r="D61" s="77">
        <f t="array" ref="D61">IF(C54="","",INDEX($L$13:$L$16,MATCH(C54,$J$13:$J$16,1)))</f>
        <v>1.49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16500.0</v>
      </c>
      <c r="C6" s="10">
        <v>1.45</v>
      </c>
      <c r="D6" s="11">
        <v>26.0</v>
      </c>
      <c r="E6" s="12" t="s">
        <v>12</v>
      </c>
      <c r="F6" s="13">
        <v>0.05</v>
      </c>
      <c r="J6" s="14" t="s">
        <v>13</v>
      </c>
      <c r="K6" s="15">
        <f>IF(OR(D8="",C24=0),"",D8)</f>
        <v>920.1923077</v>
      </c>
      <c r="L6" s="15">
        <f>IF(OR(D8="",C24=0),"",L7*C24/4)</f>
        <v>920.025</v>
      </c>
      <c r="M6" s="16">
        <f t="shared" ref="M6:M9" si="1">IF(OR(K6="",L6=""),"",L6-K6)</f>
        <v>-0.1673076923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0.1374259615</v>
      </c>
      <c r="L7" s="17">
        <f>IF(OR($E$6="",C8="",C24=0),"",ROUND(IF($E$6="Weekly",D8*$L$8,C8*$L$9)/C24*100,2)/100)</f>
        <v>0.1269</v>
      </c>
      <c r="M7" s="18">
        <f t="shared" si="1"/>
        <v>-0.01052596154</v>
      </c>
    </row>
    <row r="8">
      <c r="B8" s="19">
        <f>IF(OR(B6="",C6=""),"",B6*C6)</f>
        <v>23925</v>
      </c>
      <c r="C8" s="21">
        <f>IF(OR(B8="",D6="",D6=0),"",IF(E6="Weekly",(B8/D6)/5,B8/D6))</f>
        <v>184.0384615</v>
      </c>
      <c r="D8" s="21">
        <f>IF(C8="","",C8*5)</f>
        <v>920.1923077</v>
      </c>
      <c r="E8" s="19">
        <f>IF(C8="","",C8*21.655)</f>
        <v>3985.352885</v>
      </c>
      <c r="F8" s="22">
        <f>IF(OR(D6="",D6=0),"",IF(E6="Weekly",D6,D6/5)/(21.655/5))</f>
        <v>6.00323251</v>
      </c>
      <c r="G8" s="19">
        <f>IF(B6="","",B6-(B6*F6))</f>
        <v>15675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25" t="s">
        <v>22</v>
      </c>
      <c r="K9" s="23">
        <v>21.655</v>
      </c>
      <c r="L9" s="23">
        <v>21.0</v>
      </c>
      <c r="M9" s="24">
        <f t="shared" si="1"/>
        <v>-0.655</v>
      </c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30000.0</v>
      </c>
      <c r="D12" s="29">
        <v>4000.0</v>
      </c>
      <c r="E12" s="30">
        <v>0.0</v>
      </c>
      <c r="F12" s="30">
        <v>0.0</v>
      </c>
      <c r="G12" s="32">
        <f t="shared" ref="G12:G22" si="2">IF(OR(C12="",C13=""),"",(C12-C13)/C13)</f>
        <v>0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30000.0</v>
      </c>
      <c r="D13" s="29">
        <v>4000.0</v>
      </c>
      <c r="E13" s="30">
        <v>0.0</v>
      </c>
      <c r="F13" s="30">
        <v>0.0</v>
      </c>
      <c r="G13" s="32">
        <f t="shared" si="2"/>
        <v>0.1111111111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27000.0</v>
      </c>
      <c r="D14" s="29">
        <v>2000.0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29000</v>
      </c>
      <c r="D24" s="46">
        <f t="shared" si="3"/>
        <v>3333.333333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0.05555555556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9" t="s">
        <v>46</v>
      </c>
      <c r="H27" s="49" t="s">
        <v>47</v>
      </c>
      <c r="I27" s="49" t="s">
        <v>48</v>
      </c>
      <c r="J27" s="49" t="s">
        <v>49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IF(D28&lt;&gt;"",IF(E28="Daily",D28,IF(E28="Weekly",D28/5,D28/$K$9)),IF(C28="","",C28*1.45/($K$17*$K$9)))</f>
        <v/>
      </c>
      <c r="G28" s="51"/>
      <c r="H28" s="51" t="str">
        <f t="shared" ref="H28:H33" si="6">IF(OR(C28="",D28=""),"",ROUND(C28*1.45/D28,0))</f>
        <v/>
      </c>
      <c r="I28" s="54" t="str">
        <f t="shared" ref="I28:I33" si="7">IF(H28="","",H28/IF(E28="Daily",$K$9,IF(E28="Weekly",$K$9/5,1)))</f>
        <v/>
      </c>
      <c r="J28" s="51" t="str">
        <f t="shared" ref="J28:J33" si="8">IF(OR(I28="",G28=""),"",MAX(0,I28-(TODAY()-G28)/30.4375))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  <c r="G29" s="51"/>
      <c r="H29" s="51" t="str">
        <f t="shared" si="6"/>
        <v/>
      </c>
      <c r="I29" s="54" t="str">
        <f t="shared" si="7"/>
        <v/>
      </c>
      <c r="J29" s="51" t="str">
        <f t="shared" si="8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  <c r="G30" s="51"/>
      <c r="H30" s="51" t="str">
        <f t="shared" si="6"/>
        <v/>
      </c>
      <c r="I30" s="54" t="str">
        <f t="shared" si="7"/>
        <v/>
      </c>
      <c r="J30" s="51" t="str">
        <f t="shared" si="8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  <c r="G31" s="51"/>
      <c r="H31" s="51" t="str">
        <f t="shared" si="6"/>
        <v/>
      </c>
      <c r="I31" s="54" t="str">
        <f t="shared" si="7"/>
        <v/>
      </c>
      <c r="J31" s="51" t="str">
        <f t="shared" si="8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  <c r="G32" s="51"/>
      <c r="H32" s="51" t="str">
        <f t="shared" si="6"/>
        <v/>
      </c>
      <c r="I32" s="54" t="str">
        <f t="shared" si="7"/>
        <v/>
      </c>
      <c r="J32" s="51" t="str">
        <f t="shared" si="8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  <c r="G33" s="51"/>
      <c r="H33" s="51" t="str">
        <f t="shared" si="6"/>
        <v/>
      </c>
      <c r="I33" s="54" t="str">
        <f t="shared" si="7"/>
        <v/>
      </c>
      <c r="J33" s="51" t="str">
        <f t="shared" si="8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184.0384615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0.1374259615</v>
      </c>
      <c r="D38" s="59">
        <v>0.3</v>
      </c>
      <c r="E38" s="59">
        <v>0.45</v>
      </c>
      <c r="F38" s="60" t="str">
        <f t="shared" ref="F38:F42" si="9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0.1374259615</v>
      </c>
      <c r="D39" s="59">
        <v>0.18</v>
      </c>
      <c r="E39" s="59">
        <v>0.25</v>
      </c>
      <c r="F39" s="60" t="str">
        <f t="shared" si="9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0.05521153846</v>
      </c>
      <c r="D40" s="61">
        <v>0.18</v>
      </c>
      <c r="E40" s="61">
        <v>0.3</v>
      </c>
      <c r="F40" s="60" t="str">
        <f t="shared" si="9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0.5689655172</v>
      </c>
      <c r="D41" s="63">
        <v>0.6</v>
      </c>
      <c r="E41" s="63">
        <v>0.9</v>
      </c>
      <c r="F41" s="60" t="str">
        <f t="shared" si="9"/>
        <v>GREEN</v>
      </c>
      <c r="G41" s="63">
        <v>1.25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9"/>
        <v>GREEN</v>
      </c>
      <c r="G42" s="39">
        <v>6.0</v>
      </c>
    </row>
    <row r="43" ht="15.75" customHeight="1">
      <c r="B43" s="14" t="s">
        <v>64</v>
      </c>
      <c r="C43" s="18">
        <f>G24</f>
        <v>0.05555555556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0.1149425287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$17,000 is below your minimum $20,000.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241.0528746</v>
      </c>
    </row>
    <row r="57" ht="15.75" customHeight="1">
      <c r="B57" s="70" t="s">
        <v>80</v>
      </c>
      <c r="C57" s="15">
        <f>IF(C24=0,"",(D38*C24-F34)/21.655)</f>
        <v>401.754791</v>
      </c>
    </row>
    <row r="58" ht="15.75" customHeight="1">
      <c r="B58" s="70" t="s">
        <v>81</v>
      </c>
      <c r="C58" s="15">
        <f>IF(OR(C24=0,D24=0),"",D40*D24-E34)</f>
        <v>600</v>
      </c>
    </row>
    <row r="59" ht="15.75" customHeight="1">
      <c r="B59" s="68" t="s">
        <v>82</v>
      </c>
      <c r="C59" s="21">
        <f>IF(C24=0,"",MAX(0,MIN(C56:C58)))</f>
        <v>241.0528746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1205.264373</v>
      </c>
      <c r="D60" s="75">
        <f>IF(OR(C59="",C59=0),"",C59*21.655)</f>
        <v>5220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17000</v>
      </c>
      <c r="D62" s="4" t="str">
        <f>IF(C62="-","KNOCKOUT on the merchant - do not fund.",IF(C62="","","payback "&amp;TEXT(C62*D61,"$#,##0")&amp;" over "&amp;C61&amp;" daily pmts ("&amp;TEXT(C61/5,"0")&amp;" wks)"))</f>
        <v>payback $23,800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25000.0</v>
      </c>
      <c r="C6" s="10">
        <v>1.45</v>
      </c>
      <c r="D6" s="11">
        <v>26.0</v>
      </c>
      <c r="E6" s="12" t="s">
        <v>12</v>
      </c>
      <c r="F6" s="13">
        <v>0.05</v>
      </c>
      <c r="J6" s="14" t="s">
        <v>13</v>
      </c>
      <c r="K6" s="15">
        <f>IF(OR(D8="",C24=0),"",D8)</f>
        <v>1394.230769</v>
      </c>
      <c r="L6" s="15">
        <f>IF(OR(D8="",C24=0),"",L7*C24/4)</f>
        <v>1394.6</v>
      </c>
      <c r="M6" s="16">
        <f t="shared" ref="M6:M9" si="1">IF(OR(K6="",L6=""),"",L6-K6)</f>
        <v>0.3692307692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0.1589056174</v>
      </c>
      <c r="L7" s="17">
        <f>IF(OR($E$6="",C8="",C24=0),"",ROUND(IF($E$6="Weekly",D8*$L$8,C8*$L$9)/C24*100,2)/100)</f>
        <v>0.1468</v>
      </c>
      <c r="M7" s="18">
        <f t="shared" si="1"/>
        <v>-0.01210561741</v>
      </c>
    </row>
    <row r="8">
      <c r="B8" s="19">
        <f>IF(OR(B6="",C6=""),"",B6*C6)</f>
        <v>36250</v>
      </c>
      <c r="C8" s="21">
        <f>IF(OR(B8="",D6="",D6=0),"",IF(E6="Weekly",(B8/D6)/5,B8/D6))</f>
        <v>278.8461538</v>
      </c>
      <c r="D8" s="21">
        <f>IF(C8="","",C8*5)</f>
        <v>1394.230769</v>
      </c>
      <c r="E8" s="19">
        <f>IF(C8="","",C8*21.655)</f>
        <v>6038.413462</v>
      </c>
      <c r="F8" s="22">
        <f>IF(OR(D6="",D6=0),"",IF(E6="Weekly",D6,D6/5)/(21.655/5))</f>
        <v>6.00323251</v>
      </c>
      <c r="G8" s="19">
        <f>IF(B6="","",B6-(B6*F6))</f>
        <v>23750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25" t="s">
        <v>22</v>
      </c>
      <c r="K9" s="23">
        <v>21.655</v>
      </c>
      <c r="L9" s="23">
        <v>21.0</v>
      </c>
      <c r="M9" s="24">
        <f t="shared" si="1"/>
        <v>-0.655</v>
      </c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28000.0</v>
      </c>
      <c r="D12" s="29">
        <v>10000.0</v>
      </c>
      <c r="E12" s="30">
        <v>0.0</v>
      </c>
      <c r="F12" s="30">
        <v>0.0</v>
      </c>
      <c r="G12" s="32">
        <f t="shared" ref="G12:G22" si="2">IF(OR(C12="",C13=""),"",(C12-C13)/C13)</f>
        <v>-0.4285714286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49000.0</v>
      </c>
      <c r="D13" s="29">
        <v>12000.0</v>
      </c>
      <c r="E13" s="30">
        <v>0.0</v>
      </c>
      <c r="F13" s="30">
        <v>0.0</v>
      </c>
      <c r="G13" s="32">
        <f t="shared" si="2"/>
        <v>0.3243243243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37000.0</v>
      </c>
      <c r="D14" s="29">
        <v>7600.0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38000</v>
      </c>
      <c r="D24" s="46">
        <f t="shared" si="3"/>
        <v>9866.666667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-0.05212355212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9" t="s">
        <v>46</v>
      </c>
      <c r="H27" s="49" t="s">
        <v>47</v>
      </c>
      <c r="I27" s="49" t="s">
        <v>48</v>
      </c>
      <c r="J27" s="49" t="s">
        <v>49</v>
      </c>
    </row>
    <row r="28" ht="15.75" customHeight="1">
      <c r="B28" s="50"/>
      <c r="C28" s="29"/>
      <c r="D28" s="29">
        <v>231.19</v>
      </c>
      <c r="E28" s="28" t="s">
        <v>87</v>
      </c>
      <c r="F28" s="15">
        <f t="shared" ref="F28:F33" si="5">IF(D28&lt;&gt;"",IF(E28="Daily",D28,IF(E28="Weekly",D28/5,D28/$K$9)),IF(C28="","",C28*1.45/($K$17*$K$9)))</f>
        <v>231.19</v>
      </c>
      <c r="G28" s="51"/>
      <c r="H28" s="51" t="str">
        <f t="shared" ref="H28:H33" si="6">IF(OR(C28="",D28=""),"",ROUND(C28*1.45/D28,0))</f>
        <v/>
      </c>
      <c r="I28" s="54" t="str">
        <f t="shared" ref="I28:I33" si="7">IF(H28="","",H28/IF(E28="Daily",$K$9,IF(E28="Weekly",$K$9/5,1)))</f>
        <v/>
      </c>
      <c r="J28" s="51" t="str">
        <f t="shared" ref="J28:J33" si="8">IF(OR(I28="",G28=""),"",MAX(0,I28-(TODAY()-G28)/30.4375))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  <c r="G29" s="51"/>
      <c r="H29" s="51" t="str">
        <f t="shared" si="6"/>
        <v/>
      </c>
      <c r="I29" s="54" t="str">
        <f t="shared" si="7"/>
        <v/>
      </c>
      <c r="J29" s="51" t="str">
        <f t="shared" si="8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  <c r="G30" s="51"/>
      <c r="H30" s="51" t="str">
        <f t="shared" si="6"/>
        <v/>
      </c>
      <c r="I30" s="54" t="str">
        <f t="shared" si="7"/>
        <v/>
      </c>
      <c r="J30" s="51" t="str">
        <f t="shared" si="8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  <c r="G31" s="51"/>
      <c r="H31" s="51" t="str">
        <f t="shared" si="6"/>
        <v/>
      </c>
      <c r="I31" s="54" t="str">
        <f t="shared" si="7"/>
        <v/>
      </c>
      <c r="J31" s="51" t="str">
        <f t="shared" si="8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  <c r="G32" s="51"/>
      <c r="H32" s="51" t="str">
        <f t="shared" si="6"/>
        <v/>
      </c>
      <c r="I32" s="54" t="str">
        <f t="shared" si="7"/>
        <v/>
      </c>
      <c r="J32" s="51" t="str">
        <f t="shared" si="8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  <c r="G33" s="51"/>
      <c r="H33" s="51" t="str">
        <f t="shared" si="6"/>
        <v/>
      </c>
      <c r="I33" s="54" t="str">
        <f t="shared" si="7"/>
        <v/>
      </c>
      <c r="J33" s="51" t="str">
        <f t="shared" si="8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231.19</v>
      </c>
      <c r="F34" s="46">
        <f>E34*21.655</f>
        <v>5006.41945</v>
      </c>
      <c r="G34" s="4" t="s">
        <v>52</v>
      </c>
    </row>
    <row r="35" ht="15.75" customHeight="1">
      <c r="E35" s="57">
        <f>E34+C8</f>
        <v>510.0361538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0.2906534977</v>
      </c>
      <c r="D38" s="59">
        <v>0.3</v>
      </c>
      <c r="E38" s="59">
        <v>0.45</v>
      </c>
      <c r="F38" s="60" t="str">
        <f t="shared" ref="F38:F42" si="9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0.1589056174</v>
      </c>
      <c r="D39" s="59">
        <v>0.18</v>
      </c>
      <c r="E39" s="59">
        <v>0.25</v>
      </c>
      <c r="F39" s="60" t="str">
        <f t="shared" si="9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0.05169285343</v>
      </c>
      <c r="D40" s="61">
        <v>0.18</v>
      </c>
      <c r="E40" s="61">
        <v>0.3</v>
      </c>
      <c r="F40" s="60" t="str">
        <f t="shared" si="9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0.6578947368</v>
      </c>
      <c r="D41" s="63">
        <v>0.6</v>
      </c>
      <c r="E41" s="63">
        <v>0.9</v>
      </c>
      <c r="F41" s="60" t="str">
        <f t="shared" si="9"/>
        <v>YELLOW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9"/>
        <v>GREEN</v>
      </c>
      <c r="G42" s="39">
        <v>6.0</v>
      </c>
    </row>
    <row r="43" ht="15.75" customHeight="1">
      <c r="B43" s="14" t="s">
        <v>64</v>
      </c>
      <c r="C43" s="18">
        <f>G24</f>
        <v>-0.05212355212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YELLOW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0.1317478803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0.2596491228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315.8623874</v>
      </c>
    </row>
    <row r="57" ht="15.75" customHeight="1">
      <c r="B57" s="70" t="s">
        <v>80</v>
      </c>
      <c r="C57" s="15">
        <f>IF(C24=0,"",(D38*C24-F34)/21.655)</f>
        <v>295.2473124</v>
      </c>
    </row>
    <row r="58" ht="15.75" customHeight="1">
      <c r="B58" s="70" t="s">
        <v>81</v>
      </c>
      <c r="C58" s="15">
        <f>IF(OR(C24=0,D24=0),"",D40*D24-E34)</f>
        <v>1544.81</v>
      </c>
    </row>
    <row r="59" ht="15.75" customHeight="1">
      <c r="B59" s="68" t="s">
        <v>82</v>
      </c>
      <c r="C59" s="21">
        <f>IF(C24=0,"",MAX(0,MIN(C56:C58)))</f>
        <v>295.2473124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1476.236562</v>
      </c>
      <c r="D60" s="75">
        <f>IF(OR(C59="",C59=0),"",C59*21.655)</f>
        <v>6393.58055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110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22000</v>
      </c>
      <c r="D62" s="4" t="str">
        <f>IF(C62="-","KNOCKOUT on the merchant - do not fund.",IF(C62="","","payback "&amp;TEXT(C62*D61,"$#,##0")&amp;" over "&amp;C61&amp;" daily pmts ("&amp;TEXT(C61/5,"0")&amp;" wks)"))</f>
        <v>payback $31,900 over 110 daily pmts (22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11.86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150000.0</v>
      </c>
      <c r="C6" s="10">
        <v>1.4</v>
      </c>
      <c r="D6" s="11">
        <v>38.0</v>
      </c>
      <c r="E6" s="12" t="s">
        <v>12</v>
      </c>
      <c r="F6" s="13">
        <v>0.05</v>
      </c>
      <c r="J6" s="14" t="s">
        <v>13</v>
      </c>
      <c r="K6" s="15">
        <f>IF(OR(D8="",C24=0),"",D8)</f>
        <v>5526.315789</v>
      </c>
      <c r="L6" s="15">
        <f>IF(OR(D8="",C24=0),"",L7*C24/4)</f>
        <v>5525</v>
      </c>
      <c r="M6" s="16">
        <f t="shared" ref="M6:M9" si="1">IF(OR(K6="",L6=""),"",L6-K6)</f>
        <v>-1.315789474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0.05415039295</v>
      </c>
      <c r="L7" s="17">
        <f>IF(OR($E$6="",C8="",C24=0),"",ROUND(IF($E$6="Weekly",D8*$L$8,C8*$L$9)/C24*100,2)/100)</f>
        <v>0.05</v>
      </c>
      <c r="M7" s="18">
        <f t="shared" si="1"/>
        <v>-0.004150392951</v>
      </c>
    </row>
    <row r="8">
      <c r="B8" s="19">
        <f>IF(OR(B6="",C6=""),"",B6*C6)</f>
        <v>210000</v>
      </c>
      <c r="C8" s="21">
        <f>IF(OR(B8="",D6="",D6=0),"",IF(E6="Weekly",(B8/D6)/5,B8/D6))</f>
        <v>1105.263158</v>
      </c>
      <c r="D8" s="21">
        <f>IF(C8="","",C8*5)</f>
        <v>5526.315789</v>
      </c>
      <c r="E8" s="19">
        <f>IF(C8="","",C8*21.655)</f>
        <v>23934.47368</v>
      </c>
      <c r="F8" s="22">
        <f>IF(OR(D6="",D6=0),"",IF(E6="Weekly",D6,D6/5)/(21.655/5))</f>
        <v>8.773955207</v>
      </c>
      <c r="G8" s="19">
        <f>IF(B6="","",B6-(B6*F6))</f>
        <v>142500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  <c r="U8" s="80">
        <v>116839.54</v>
      </c>
    </row>
    <row r="9">
      <c r="J9" s="25" t="s">
        <v>22</v>
      </c>
      <c r="K9" s="23">
        <v>21.655</v>
      </c>
      <c r="L9" s="23">
        <v>21.0</v>
      </c>
      <c r="M9" s="24">
        <f t="shared" si="1"/>
        <v>-0.655</v>
      </c>
      <c r="U9" s="81">
        <v>46259.0</v>
      </c>
      <c r="V9" s="80">
        <v>95432.59</v>
      </c>
    </row>
    <row r="10">
      <c r="B10" s="5" t="s">
        <v>23</v>
      </c>
      <c r="C10" s="6"/>
      <c r="D10" s="6"/>
      <c r="E10" s="6"/>
      <c r="F10" s="6"/>
      <c r="G10" s="6"/>
      <c r="H10" s="7"/>
      <c r="U10" s="81">
        <v>46258.0</v>
      </c>
      <c r="V10" s="80">
        <v>73964.51</v>
      </c>
      <c r="X10" s="82" t="s">
        <v>86</v>
      </c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  <c r="U11" s="81">
        <v>46257.0</v>
      </c>
      <c r="V11" s="80">
        <v>67479.51</v>
      </c>
      <c r="X11" s="81">
        <v>46203.0</v>
      </c>
      <c r="Y11" s="80">
        <v>13347.26</v>
      </c>
    </row>
    <row r="12">
      <c r="B12" s="28" t="s">
        <v>88</v>
      </c>
      <c r="C12" s="29">
        <v>330000.0</v>
      </c>
      <c r="D12" s="29">
        <v>44521.0</v>
      </c>
      <c r="E12" s="30">
        <v>0.0</v>
      </c>
      <c r="F12" s="30">
        <v>0.0</v>
      </c>
      <c r="G12" s="32">
        <f t="shared" ref="G12:G22" si="2">IF(OR(C12="",C13=""),"",(C12-C13)/C13)</f>
        <v>-0.175</v>
      </c>
      <c r="J12" s="33" t="s">
        <v>33</v>
      </c>
      <c r="K12" s="33" t="s">
        <v>34</v>
      </c>
      <c r="L12" s="33" t="s">
        <v>5</v>
      </c>
      <c r="M12" s="34"/>
      <c r="U12" s="81">
        <v>46256.0</v>
      </c>
      <c r="V12" s="80">
        <v>67479.51</v>
      </c>
      <c r="X12" s="81">
        <v>46202.0</v>
      </c>
      <c r="Y12" s="80">
        <v>874.3</v>
      </c>
    </row>
    <row r="13">
      <c r="B13" s="28" t="s">
        <v>32</v>
      </c>
      <c r="C13" s="29">
        <v>400000.0</v>
      </c>
      <c r="D13" s="29">
        <v>52000.0</v>
      </c>
      <c r="E13" s="30">
        <v>0.0</v>
      </c>
      <c r="F13" s="30">
        <v>0.0</v>
      </c>
      <c r="G13" s="32">
        <f t="shared" si="2"/>
        <v>-0.08256880734</v>
      </c>
      <c r="J13" s="35">
        <v>0.0</v>
      </c>
      <c r="K13" s="36">
        <v>100.0</v>
      </c>
      <c r="L13" s="37">
        <v>1.49</v>
      </c>
      <c r="M13" s="34"/>
      <c r="U13" s="81">
        <v>46255.0</v>
      </c>
      <c r="V13" s="80">
        <v>67479.51</v>
      </c>
      <c r="X13" s="81">
        <v>46201.0</v>
      </c>
      <c r="Y13" s="80">
        <v>108440.24</v>
      </c>
    </row>
    <row r="14">
      <c r="B14" s="28" t="s">
        <v>35</v>
      </c>
      <c r="C14" s="29">
        <v>436000.0</v>
      </c>
      <c r="D14" s="29">
        <v>52943.0</v>
      </c>
      <c r="E14" s="30">
        <v>0.0</v>
      </c>
      <c r="F14" s="30">
        <v>0.0</v>
      </c>
      <c r="G14" s="32">
        <f t="shared" si="2"/>
        <v>0.0380952381</v>
      </c>
      <c r="J14" s="35">
        <v>5.0</v>
      </c>
      <c r="K14" s="36">
        <v>130.0</v>
      </c>
      <c r="L14" s="37">
        <v>1.45</v>
      </c>
      <c r="M14" s="34"/>
      <c r="U14" s="81">
        <v>46254.0</v>
      </c>
      <c r="V14" s="80">
        <v>48050.58</v>
      </c>
      <c r="X14" s="81">
        <v>46200.0</v>
      </c>
      <c r="Y14" s="80">
        <v>108440.24</v>
      </c>
    </row>
    <row r="15">
      <c r="B15" s="28" t="s">
        <v>36</v>
      </c>
      <c r="C15" s="29">
        <v>420000.0</v>
      </c>
      <c r="D15" s="29">
        <v>172468.0</v>
      </c>
      <c r="E15" s="30">
        <v>0.0</v>
      </c>
      <c r="F15" s="30">
        <v>0.0</v>
      </c>
      <c r="G15" s="32">
        <f t="shared" si="2"/>
        <v>-0.3269230769</v>
      </c>
      <c r="J15" s="35">
        <v>6.0</v>
      </c>
      <c r="K15" s="36">
        <v>150.0</v>
      </c>
      <c r="L15" s="37">
        <v>1.45</v>
      </c>
      <c r="M15" s="34"/>
      <c r="U15" s="81">
        <v>46253.0</v>
      </c>
      <c r="V15" s="80">
        <v>50901.33</v>
      </c>
      <c r="X15" s="81">
        <v>46199.0</v>
      </c>
      <c r="Y15" s="80">
        <v>108440.24</v>
      </c>
    </row>
    <row r="16">
      <c r="B16" s="28" t="s">
        <v>37</v>
      </c>
      <c r="C16" s="29">
        <v>624000.0</v>
      </c>
      <c r="D16" s="29">
        <v>330000.0</v>
      </c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  <c r="U16" s="81">
        <v>46252.0</v>
      </c>
      <c r="V16" s="80">
        <v>26275.26</v>
      </c>
      <c r="X16" s="81">
        <v>46198.0</v>
      </c>
      <c r="Y16" s="80">
        <v>87829.06</v>
      </c>
    </row>
    <row r="17">
      <c r="B17" s="28" t="s">
        <v>89</v>
      </c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  <c r="U17" s="81">
        <v>46251.0</v>
      </c>
      <c r="V17" s="80">
        <v>14496.78</v>
      </c>
      <c r="X17" s="81">
        <v>46197.0</v>
      </c>
      <c r="Y17" s="80">
        <v>70366.15</v>
      </c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  <c r="U18" s="81">
        <v>46250.0</v>
      </c>
      <c r="V18" s="80">
        <v>3459.89</v>
      </c>
      <c r="X18" s="81">
        <v>46196.0</v>
      </c>
      <c r="Y18" s="80">
        <v>75868.1</v>
      </c>
    </row>
    <row r="19">
      <c r="B19" s="38"/>
      <c r="C19" s="42"/>
      <c r="D19" s="42"/>
      <c r="E19" s="39"/>
      <c r="F19" s="39"/>
      <c r="G19" s="32" t="str">
        <f t="shared" si="2"/>
        <v/>
      </c>
      <c r="U19" s="81">
        <v>46249.0</v>
      </c>
      <c r="V19" s="80">
        <v>3459.89</v>
      </c>
      <c r="X19" s="81">
        <v>46195.0</v>
      </c>
      <c r="Y19" s="80">
        <v>40718.46</v>
      </c>
    </row>
    <row r="20">
      <c r="B20" s="38"/>
      <c r="C20" s="42"/>
      <c r="D20" s="42"/>
      <c r="E20" s="39"/>
      <c r="F20" s="39"/>
      <c r="G20" s="32" t="str">
        <f t="shared" si="2"/>
        <v/>
      </c>
      <c r="U20" s="81">
        <v>46248.0</v>
      </c>
      <c r="V20" s="80">
        <v>3459.89</v>
      </c>
      <c r="X20" s="81">
        <v>46194.0</v>
      </c>
      <c r="Y20" s="80">
        <v>48291.79</v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  <c r="U21" s="81">
        <v>46247.0</v>
      </c>
      <c r="V21" s="80">
        <v>110154.03</v>
      </c>
      <c r="X21" s="81">
        <v>46193.0</v>
      </c>
      <c r="Y21" s="80">
        <v>48291.79</v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  <c r="U22" s="81">
        <v>46246.0</v>
      </c>
      <c r="V22" s="80">
        <v>92264.04</v>
      </c>
      <c r="X22" s="81">
        <v>46192.0</v>
      </c>
      <c r="Y22" s="80">
        <v>48291.79</v>
      </c>
    </row>
    <row r="23" ht="15.75" customHeight="1">
      <c r="B23" s="38"/>
      <c r="C23" s="42"/>
      <c r="D23" s="42"/>
      <c r="E23" s="39"/>
      <c r="F23" s="39"/>
      <c r="G23" s="44"/>
      <c r="U23" s="81">
        <v>46245.0</v>
      </c>
      <c r="V23" s="80">
        <v>104791.55</v>
      </c>
      <c r="X23" s="81">
        <v>46191.0</v>
      </c>
      <c r="Y23" s="80">
        <v>48291.79</v>
      </c>
    </row>
    <row r="24" ht="15.75" customHeight="1">
      <c r="B24" s="45" t="s">
        <v>40</v>
      </c>
      <c r="C24" s="46">
        <f t="shared" ref="C24:D24" si="3">IF(COUNT(C12:C23)=0,0,AVERAGE(C12:C23))</f>
        <v>442000</v>
      </c>
      <c r="D24" s="46">
        <f t="shared" si="3"/>
        <v>130386.4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-0.1365991615</v>
      </c>
      <c r="U24" s="81">
        <v>46244.0</v>
      </c>
      <c r="V24" s="80">
        <v>99780.49</v>
      </c>
      <c r="X24" s="81">
        <v>46190.0</v>
      </c>
      <c r="Y24" s="80">
        <v>34174.33</v>
      </c>
    </row>
    <row r="25" ht="15.75" customHeight="1">
      <c r="U25" s="81">
        <v>46243.0</v>
      </c>
      <c r="V25" s="80">
        <v>27150.01</v>
      </c>
      <c r="X25" s="81">
        <v>46189.0</v>
      </c>
      <c r="Y25" s="80">
        <v>7547.46</v>
      </c>
    </row>
    <row r="26" ht="15.75" customHeight="1">
      <c r="B26" s="5" t="s">
        <v>41</v>
      </c>
      <c r="C26" s="6"/>
      <c r="D26" s="6"/>
      <c r="E26" s="6"/>
      <c r="F26" s="6"/>
      <c r="G26" s="6"/>
      <c r="H26" s="6"/>
      <c r="I26" s="6"/>
      <c r="J26" s="7"/>
      <c r="U26" s="81">
        <v>46242.0</v>
      </c>
      <c r="V26" s="80">
        <v>27150.01</v>
      </c>
      <c r="X26" s="81">
        <v>46188.0</v>
      </c>
      <c r="Y26" s="80">
        <v>903.77</v>
      </c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G27" s="49" t="s">
        <v>46</v>
      </c>
      <c r="H27" s="49" t="s">
        <v>47</v>
      </c>
      <c r="I27" s="49" t="s">
        <v>48</v>
      </c>
      <c r="J27" s="49" t="s">
        <v>49</v>
      </c>
      <c r="U27" s="81">
        <v>46241.0</v>
      </c>
      <c r="V27" s="80">
        <v>27150.01</v>
      </c>
      <c r="X27" s="81">
        <v>46187.0</v>
      </c>
      <c r="Y27" s="80">
        <v>1995.18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IF(D28&lt;&gt;"",IF(E28="Daily",D28,IF(E28="Weekly",D28/5,D28/$K$9)),IF(C28="","",C28*1.45/($K$17*$K$9)))</f>
        <v/>
      </c>
      <c r="G28" s="51"/>
      <c r="H28" s="52" t="str">
        <f t="shared" ref="H28:H33" si="6">IF(OR(C28="",D28=""),"",ROUND(C28*1.45/D28,0))</f>
        <v/>
      </c>
      <c r="I28" s="53" t="str">
        <f t="shared" ref="I28:I33" si="7">IF(H28="","",H28/IF(E28="Daily",$K$9,IF(E28="Weekly",$K$9/5,1)))</f>
        <v/>
      </c>
      <c r="J28" s="52" t="str">
        <f t="shared" ref="J28:J33" si="8">IF(OR(I28="",G28=""),"",MAX(0,I28-(TODAY()-G28)/30.4375))</f>
        <v/>
      </c>
      <c r="U28" s="81">
        <v>46240.0</v>
      </c>
      <c r="V28" s="80">
        <v>58126.07</v>
      </c>
      <c r="X28" s="81">
        <v>46186.0</v>
      </c>
      <c r="Y28" s="80">
        <v>1995.18</v>
      </c>
    </row>
    <row r="29" ht="15.75" customHeight="1">
      <c r="B29" s="83"/>
      <c r="C29" s="29"/>
      <c r="D29" s="29"/>
      <c r="E29" s="28" t="s">
        <v>12</v>
      </c>
      <c r="F29" s="15" t="str">
        <f t="shared" si="5"/>
        <v/>
      </c>
      <c r="G29" s="79">
        <v>46093.0</v>
      </c>
      <c r="H29" s="52" t="str">
        <f t="shared" si="6"/>
        <v/>
      </c>
      <c r="I29" s="53" t="str">
        <f t="shared" si="7"/>
        <v/>
      </c>
      <c r="J29" s="52" t="str">
        <f t="shared" si="8"/>
        <v/>
      </c>
      <c r="U29" s="81">
        <v>46239.0</v>
      </c>
      <c r="V29" s="80">
        <v>15692.34</v>
      </c>
      <c r="X29" s="81">
        <v>46185.0</v>
      </c>
      <c r="Y29" s="80">
        <v>1995.18</v>
      </c>
    </row>
    <row r="30" ht="15.75" customHeight="1">
      <c r="B30" s="83" t="s">
        <v>90</v>
      </c>
      <c r="C30" s="29">
        <v>394278.2</v>
      </c>
      <c r="D30" s="29">
        <v>7592.31</v>
      </c>
      <c r="E30" s="28" t="s">
        <v>12</v>
      </c>
      <c r="F30" s="15">
        <f t="shared" si="5"/>
        <v>1518.462</v>
      </c>
      <c r="G30" s="79">
        <v>46238.0</v>
      </c>
      <c r="H30" s="52">
        <f t="shared" si="6"/>
        <v>75</v>
      </c>
      <c r="I30" s="53">
        <f t="shared" si="7"/>
        <v>17.31701686</v>
      </c>
      <c r="J30" s="52">
        <f t="shared" si="8"/>
        <v>16.36424478</v>
      </c>
      <c r="U30" s="81">
        <v>46238.0</v>
      </c>
      <c r="V30" s="80">
        <v>6762.39</v>
      </c>
      <c r="X30" s="81">
        <v>46184.0</v>
      </c>
      <c r="Y30" s="80">
        <v>93749.16</v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  <c r="G31" s="51"/>
      <c r="H31" s="52" t="str">
        <f t="shared" si="6"/>
        <v/>
      </c>
      <c r="I31" s="53" t="str">
        <f t="shared" si="7"/>
        <v/>
      </c>
      <c r="J31" s="52" t="str">
        <f t="shared" si="8"/>
        <v/>
      </c>
      <c r="U31" s="81">
        <v>46237.0</v>
      </c>
      <c r="V31" s="80">
        <v>18129.9</v>
      </c>
      <c r="X31" s="81">
        <v>46183.0</v>
      </c>
      <c r="Y31" s="80">
        <v>87533.25</v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  <c r="G32" s="51"/>
      <c r="H32" s="52" t="str">
        <f t="shared" si="6"/>
        <v/>
      </c>
      <c r="I32" s="53" t="str">
        <f t="shared" si="7"/>
        <v/>
      </c>
      <c r="J32" s="52" t="str">
        <f t="shared" si="8"/>
        <v/>
      </c>
      <c r="U32" s="81">
        <v>46236.0</v>
      </c>
      <c r="V32" s="80">
        <v>1971.62</v>
      </c>
      <c r="X32" s="81">
        <v>46182.0</v>
      </c>
      <c r="Y32" s="80">
        <v>56864.3</v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  <c r="G33" s="51"/>
      <c r="H33" s="52" t="str">
        <f t="shared" si="6"/>
        <v/>
      </c>
      <c r="I33" s="53" t="str">
        <f t="shared" si="7"/>
        <v/>
      </c>
      <c r="J33" s="52" t="str">
        <f t="shared" si="8"/>
        <v/>
      </c>
      <c r="U33" s="81">
        <v>46235.0</v>
      </c>
      <c r="V33" s="80">
        <v>1971.62</v>
      </c>
      <c r="X33" s="81">
        <v>46181.0</v>
      </c>
      <c r="Y33" s="80">
        <v>58663.6</v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1518.462</v>
      </c>
      <c r="F34" s="46">
        <f>E34*21.655</f>
        <v>32882.29461</v>
      </c>
      <c r="G34" s="4" t="s">
        <v>52</v>
      </c>
      <c r="X34" s="81">
        <v>46180.0</v>
      </c>
      <c r="Y34" s="80">
        <v>54690.19</v>
      </c>
    </row>
    <row r="35" ht="15.75" customHeight="1">
      <c r="E35" s="57">
        <f>E34+C8</f>
        <v>2623.725158</v>
      </c>
      <c r="X35" s="81">
        <v>46179.0</v>
      </c>
      <c r="Y35" s="80">
        <v>54690.19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  <c r="X36" s="81">
        <v>46178.0</v>
      </c>
      <c r="Y36" s="80">
        <v>54690.19</v>
      </c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  <c r="X37" s="81">
        <v>46177.0</v>
      </c>
      <c r="Y37" s="80">
        <v>22415.19</v>
      </c>
    </row>
    <row r="38" ht="15.75" customHeight="1">
      <c r="B38" s="14" t="s">
        <v>59</v>
      </c>
      <c r="C38" s="58">
        <f>IF(C24=0,"",(E34+IF(C8="",0,C8))*21.655/C24)</f>
        <v>0.1285447246</v>
      </c>
      <c r="D38" s="59">
        <v>0.3</v>
      </c>
      <c r="E38" s="59">
        <v>0.45</v>
      </c>
      <c r="F38" s="60" t="str">
        <f t="shared" ref="F38:F42" si="9">IF(C38="","",IF(C38&gt;=G38,"KNOCKOUT",IF(C38&lt;=D38,"GREEN",IF(C38&gt;=E38,"RED","YELLOW"))))</f>
        <v>GREEN</v>
      </c>
      <c r="G38" s="61">
        <v>0.55</v>
      </c>
      <c r="X38" s="81">
        <v>46176.0</v>
      </c>
      <c r="Y38" s="80">
        <v>92833.17</v>
      </c>
    </row>
    <row r="39" ht="15.75" customHeight="1">
      <c r="B39" s="14" t="s">
        <v>60</v>
      </c>
      <c r="C39" s="18">
        <f>IF(OR(C24=0,E8=""),"",E8/C24)</f>
        <v>0.05415039295</v>
      </c>
      <c r="D39" s="59">
        <v>0.18</v>
      </c>
      <c r="E39" s="59">
        <v>0.25</v>
      </c>
      <c r="F39" s="60" t="str">
        <f t="shared" si="9"/>
        <v>GREEN</v>
      </c>
      <c r="G39" s="59">
        <v>0.35</v>
      </c>
      <c r="X39" s="81">
        <v>46175.0</v>
      </c>
      <c r="Y39" s="80">
        <v>85621.5</v>
      </c>
    </row>
    <row r="40" ht="15.75" customHeight="1">
      <c r="B40" s="14" t="s">
        <v>61</v>
      </c>
      <c r="C40" s="18">
        <f>IF(D24=0,"",(E34+IF(C8="",0,C8))/D24)</f>
        <v>0.02012269039</v>
      </c>
      <c r="D40" s="61">
        <v>0.18</v>
      </c>
      <c r="E40" s="61">
        <v>0.3</v>
      </c>
      <c r="F40" s="60" t="str">
        <f t="shared" si="9"/>
        <v>GREEN</v>
      </c>
      <c r="G40" s="61">
        <v>0.35</v>
      </c>
      <c r="X40" s="81">
        <v>46174.0</v>
      </c>
      <c r="Y40" s="80">
        <v>70459.39</v>
      </c>
    </row>
    <row r="41" ht="15.75" customHeight="1">
      <c r="B41" s="14" t="s">
        <v>62</v>
      </c>
      <c r="C41" s="62">
        <f>IF(OR(C24=0,B6=""),"",B6/C24)</f>
        <v>0.3393665158</v>
      </c>
      <c r="D41" s="63">
        <v>0.6</v>
      </c>
      <c r="E41" s="63">
        <v>0.9</v>
      </c>
      <c r="F41" s="60" t="str">
        <f t="shared" si="9"/>
        <v>GREEN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9"/>
        <v>GREEN</v>
      </c>
      <c r="G42" s="39">
        <v>6.0</v>
      </c>
    </row>
    <row r="43" ht="15.75" customHeight="1">
      <c r="B43" s="14" t="s">
        <v>64</v>
      </c>
      <c r="C43" s="18">
        <f>G24</f>
        <v>-0.1365991615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YELLOW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0.0743943317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0.2949918552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3673.978296</v>
      </c>
    </row>
    <row r="57" ht="15.75" customHeight="1">
      <c r="B57" s="70" t="s">
        <v>80</v>
      </c>
      <c r="C57" s="15">
        <f>IF(C24=0,"",(D38*C24-F34)/21.655)</f>
        <v>4604.83516</v>
      </c>
    </row>
    <row r="58" ht="15.75" customHeight="1">
      <c r="B58" s="70" t="s">
        <v>81</v>
      </c>
      <c r="C58" s="15">
        <f>IF(OR(C24=0,D24=0),"",D40*D24-E34)</f>
        <v>21951.09</v>
      </c>
    </row>
    <row r="59" ht="15.75" customHeight="1">
      <c r="B59" s="68" t="s">
        <v>82</v>
      </c>
      <c r="C59" s="21">
        <f>IF(C24=0,"",MAX(0,MIN(C56:C58)))</f>
        <v>3673.978296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18369.89148</v>
      </c>
      <c r="D60" s="75">
        <f>IF(OR(C59="",C59=0),"",C59*21.655)</f>
        <v>79560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253000</v>
      </c>
      <c r="D62" s="4" t="str">
        <f>IF(C62="-","KNOCKOUT on the merchant - do not fund.",IF(C62="","","payback "&amp;TEXT(C62*D61,"$#,##0")&amp;" over "&amp;C61&amp;" daily pmts ("&amp;TEXT(C61/5,"0")&amp;" wks)"))</f>
        <v>payback $366,850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J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35000.0</v>
      </c>
      <c r="C6" s="10">
        <v>1.45</v>
      </c>
      <c r="D6" s="11">
        <v>100.0</v>
      </c>
      <c r="E6" s="12" t="s">
        <v>87</v>
      </c>
      <c r="F6" s="13">
        <v>0.05</v>
      </c>
      <c r="J6" s="14" t="s">
        <v>13</v>
      </c>
      <c r="K6" s="15">
        <f>IF(OR(D8="",C24=0),"",D8)</f>
        <v>2537.5</v>
      </c>
      <c r="L6" s="15">
        <f>IF(OR(D8="",C24=0),"",L7*C24/4)</f>
        <v>2665</v>
      </c>
      <c r="M6" s="16">
        <f t="shared" ref="M6:M9" si="1">IF(OR(K6="",L6=""),"",L6-K6)</f>
        <v>127.5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0.2144373171</v>
      </c>
      <c r="L7" s="17">
        <f>IF(OR($E$6="",C8="",C24=0),"",ROUND(IF($E$6="Weekly",D8*$L$8,C8*$L$9)/C24*100,2)/100)</f>
        <v>0.208</v>
      </c>
      <c r="M7" s="18">
        <f t="shared" si="1"/>
        <v>-0.006437317073</v>
      </c>
    </row>
    <row r="8">
      <c r="B8" s="19">
        <f>IF(OR(B6="",C6=""),"",B6*C6)</f>
        <v>50750</v>
      </c>
      <c r="C8" s="21">
        <f>IF(OR(B8="",D6="",D6=0),"",IF(E6="Weekly",(B8/D6)/5,B8/D6))</f>
        <v>507.5</v>
      </c>
      <c r="D8" s="21">
        <f>IF(C8="","",C8*5)</f>
        <v>2537.5</v>
      </c>
      <c r="E8" s="19">
        <f>IF(C8="","",C8*21.655)</f>
        <v>10989.9125</v>
      </c>
      <c r="F8" s="22">
        <f>IF(OR(D6="",D6=0),"",IF(E6="Weekly",D6,D6/5)/(21.655/5))</f>
        <v>4.617871161</v>
      </c>
      <c r="G8" s="19">
        <f>IF(B6="","",B6-(B6*F6))</f>
        <v>33250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25" t="s">
        <v>22</v>
      </c>
      <c r="K9" s="23">
        <v>21.655</v>
      </c>
      <c r="L9" s="23">
        <v>21.0</v>
      </c>
      <c r="M9" s="24">
        <f t="shared" si="1"/>
        <v>-0.655</v>
      </c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50000.0</v>
      </c>
      <c r="D12" s="29">
        <v>19000.0</v>
      </c>
      <c r="E12" s="30">
        <v>0.0</v>
      </c>
      <c r="F12" s="30">
        <v>0.0</v>
      </c>
      <c r="G12" s="32">
        <f t="shared" ref="G12:G22" si="2">IF(OR(C12="",C13=""),"",(C12-C13)/C13)</f>
        <v>-0.09090909091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55000.0</v>
      </c>
      <c r="D13" s="29">
        <v>20000.0</v>
      </c>
      <c r="E13" s="30">
        <v>0.0</v>
      </c>
      <c r="F13" s="30">
        <v>0.0</v>
      </c>
      <c r="G13" s="32">
        <f t="shared" si="2"/>
        <v>0.1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50000.0</v>
      </c>
      <c r="D14" s="29">
        <v>24000.0</v>
      </c>
      <c r="E14" s="30">
        <v>0.0</v>
      </c>
      <c r="F14" s="30">
        <v>0.0</v>
      </c>
      <c r="G14" s="32">
        <f t="shared" si="2"/>
        <v>0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50000.0</v>
      </c>
      <c r="D15" s="29">
        <v>12000.0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/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51250</v>
      </c>
      <c r="D24" s="46">
        <f t="shared" si="3"/>
        <v>18750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0.00303030303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84" t="s">
        <v>91</v>
      </c>
    </row>
    <row r="28" ht="15.75" customHeight="1">
      <c r="B28" s="50"/>
      <c r="C28" s="29">
        <v>40000.0</v>
      </c>
      <c r="D28" s="29">
        <v>1000.0</v>
      </c>
      <c r="E28" s="28" t="s">
        <v>12</v>
      </c>
      <c r="F28" s="15">
        <f t="shared" ref="F28:F33" si="5">IF(D28="","",IF(E28="Daily",D28,IF(E28="Weekly",D28/5,D28/21.655)))</f>
        <v>200</v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200</v>
      </c>
      <c r="F34" s="46">
        <f>E34*21.655</f>
        <v>4331</v>
      </c>
      <c r="G34" s="4" t="s">
        <v>52</v>
      </c>
    </row>
    <row r="35" ht="15.75" customHeight="1">
      <c r="E35" s="57">
        <f>E34+C8</f>
        <v>707.5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0.2989446341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0.2144373171</v>
      </c>
      <c r="D39" s="59">
        <v>0.18</v>
      </c>
      <c r="E39" s="59">
        <v>0.25</v>
      </c>
      <c r="F39" s="60" t="str">
        <f t="shared" si="6"/>
        <v>YELLOW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0.03773333333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0.6829268293</v>
      </c>
      <c r="D41" s="63">
        <v>0.6</v>
      </c>
      <c r="E41" s="63">
        <v>0.9</v>
      </c>
      <c r="F41" s="60" t="str">
        <f t="shared" si="6"/>
        <v>YELLOW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0.00303030303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0.08450731707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0.3658536585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425.9986146</v>
      </c>
    </row>
    <row r="57" ht="15.75" customHeight="1">
      <c r="B57" s="70" t="s">
        <v>80</v>
      </c>
      <c r="C57" s="15">
        <f>IF(C24=0,"",(D38*C24-F34)/21.655)</f>
        <v>509.9976911</v>
      </c>
    </row>
    <row r="58" ht="15.75" customHeight="1">
      <c r="B58" s="70" t="s">
        <v>81</v>
      </c>
      <c r="C58" s="15">
        <f>IF(OR(C24=0,D24=0),"",D40*D24-E34)</f>
        <v>3175</v>
      </c>
    </row>
    <row r="59" ht="15.75" customHeight="1">
      <c r="B59" s="68" t="s">
        <v>82</v>
      </c>
      <c r="C59" s="21">
        <f>IF(C24=0,"",MAX(0,MIN(C56:C58)))</f>
        <v>425.9986146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2129.993073</v>
      </c>
      <c r="D60" s="75">
        <f>IF(OR(C59="",C59=0),"",C59*21.655)</f>
        <v>9225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29000</v>
      </c>
      <c r="D62" s="4" t="str">
        <f>IF(C62="-","KNOCKOUT on the merchant - do not fund.",IF(C62="","","payback "&amp;TEXT(C62*D61,"$#,##0")&amp;" over "&amp;C61&amp;" daily pmts ("&amp;TEXT(C61/5,"0")&amp;" wks)"))</f>
        <v>payback $42,050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B10:H10"/>
    <mergeCell ref="J11:M11"/>
    <mergeCell ref="J18:M18"/>
    <mergeCell ref="B26:H2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5G / 1Y / 1R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84" t="s">
        <v>92</v>
      </c>
    </row>
    <row r="6">
      <c r="B6" s="9">
        <v>40000.0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13</v>
      </c>
      <c r="K6" s="15">
        <f>IF(OR(D8="",C24=0),"",D8)</f>
        <v>1933.333333</v>
      </c>
      <c r="L6" s="15">
        <f>IF(OR(D8="",C24=0),"",L7*C24/4)</f>
        <v>1934.15</v>
      </c>
      <c r="M6" s="16">
        <f t="shared" ref="M6:M8" si="1">IF(OR(K6="",L6=""),"",L6-K6)</f>
        <v>0.8166666667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0.1243554455</v>
      </c>
      <c r="L7" s="17">
        <f>IF(OR(D8="",C24=0),"",ROUND(D8*4/C24*100,2)/100)</f>
        <v>0.1149</v>
      </c>
      <c r="M7" s="18">
        <f t="shared" si="1"/>
        <v>-0.009455445545</v>
      </c>
    </row>
    <row r="8">
      <c r="B8" s="19">
        <f>IF(OR(B6="",C6=""),"",B6*C6)</f>
        <v>58000</v>
      </c>
      <c r="C8" s="21">
        <f>IF(OR(B8="",D6="",D6=0),"",IF(E6="Weekly",(B8/D6)/5,B8/D6))</f>
        <v>386.6666667</v>
      </c>
      <c r="D8" s="21">
        <f>IF(C8="","",C8*5)</f>
        <v>1933.333333</v>
      </c>
      <c r="E8" s="19">
        <f>IF(C8="","",C8*21.655)</f>
        <v>8373.266667</v>
      </c>
      <c r="F8" s="22">
        <f>IF(OR(D6="",D6=0),"",IF(E6="Weekly",D6,D6/5)/(21.655/5))</f>
        <v>6.926806742</v>
      </c>
      <c r="G8" s="19">
        <f>IF(B6="","",B6-(B6*F6))</f>
        <v>38000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47000.0</v>
      </c>
      <c r="D12" s="29">
        <v>20000.0</v>
      </c>
      <c r="E12" s="30">
        <v>0.0</v>
      </c>
      <c r="F12" s="30">
        <v>0.0</v>
      </c>
      <c r="G12" s="32">
        <f t="shared" ref="G12:G22" si="2">IF(OR(C12="",C13=""),"",(C12-C13)/C13)</f>
        <v>-0.3733333333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75000.0</v>
      </c>
      <c r="D13" s="29">
        <v>35000.0</v>
      </c>
      <c r="E13" s="30">
        <v>0.0</v>
      </c>
      <c r="F13" s="30">
        <v>0.0</v>
      </c>
      <c r="G13" s="32">
        <f t="shared" si="2"/>
        <v>-0.0625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80000.0</v>
      </c>
      <c r="D14" s="29">
        <v>35000.0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67333.33333</v>
      </c>
      <c r="D24" s="46">
        <f t="shared" si="3"/>
        <v>30000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-0.2179166667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84" t="s">
        <v>91</v>
      </c>
    </row>
    <row r="28" ht="15.75" customHeight="1">
      <c r="B28" s="83" t="s">
        <v>93</v>
      </c>
      <c r="C28" s="29">
        <v>100000.0</v>
      </c>
      <c r="D28" s="29">
        <v>2838.0</v>
      </c>
      <c r="E28" s="28" t="s">
        <v>12</v>
      </c>
      <c r="F28" s="15">
        <f t="shared" ref="F28:F33" si="5">IF(D28="","",IF(E28="Daily",D28,IF(E28="Weekly",D28/5,D28/21.655)))</f>
        <v>567.6</v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567.6</v>
      </c>
      <c r="F34" s="46">
        <f>E34*21.655</f>
        <v>12291.378</v>
      </c>
      <c r="G34" s="4" t="s">
        <v>52</v>
      </c>
    </row>
    <row r="35" ht="15.75" customHeight="1">
      <c r="E35" s="57">
        <f>E34+C8</f>
        <v>954.2666667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0.3069006634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YELLOW</v>
      </c>
      <c r="G38" s="61">
        <v>0.55</v>
      </c>
    </row>
    <row r="39" ht="15.75" customHeight="1">
      <c r="B39" s="14" t="s">
        <v>60</v>
      </c>
      <c r="C39" s="18">
        <f>IF(OR(C24=0,E8=""),"",E8/C24)</f>
        <v>0.1243554455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0.03180888889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0.5940594059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-0.2179166667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RED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0.1825452178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0.4455445545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1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5.5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559.6859848</v>
      </c>
    </row>
    <row r="57" ht="15.75" customHeight="1">
      <c r="B57" s="70" t="s">
        <v>80</v>
      </c>
      <c r="C57" s="15">
        <f>IF(C24=0,"",(D38*C24-F34)/21.655)</f>
        <v>365.2099746</v>
      </c>
    </row>
    <row r="58" ht="15.75" customHeight="1">
      <c r="B58" s="70" t="s">
        <v>81</v>
      </c>
      <c r="C58" s="15">
        <f>IF(OR(C24=0,D24=0),"",D40*D24-E34)</f>
        <v>4832.4</v>
      </c>
    </row>
    <row r="59" ht="15.75" customHeight="1">
      <c r="B59" s="68" t="s">
        <v>82</v>
      </c>
      <c r="C59" s="21">
        <f>IF(C24=0,"",MAX(0,MIN(C56:C58)))</f>
        <v>365.2099746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1826.049873</v>
      </c>
      <c r="D60" s="75">
        <f>IF(OR(C59="",C59=0),"",C59*21.655)</f>
        <v>7908.622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32500</v>
      </c>
      <c r="D62" s="4" t="str">
        <f>IF(C62="-","KNOCKOUT on the merchant - do not fund.",IF(C62="","","payback "&amp;TEXT(C62*D61,"$#,##0")&amp;" over "&amp;C61&amp;" daily pmts ("&amp;TEXT(C61/5,"0")&amp;" wks)"))</f>
        <v>payback $47,125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4G / 3Y / 0R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84" t="s">
        <v>92</v>
      </c>
    </row>
    <row r="6">
      <c r="B6" s="9">
        <v>20000.0</v>
      </c>
      <c r="C6" s="10">
        <v>1.45</v>
      </c>
      <c r="D6" s="11">
        <v>100.0</v>
      </c>
      <c r="E6" s="12" t="s">
        <v>87</v>
      </c>
      <c r="F6" s="13">
        <v>0.05</v>
      </c>
      <c r="J6" s="14" t="s">
        <v>13</v>
      </c>
      <c r="K6" s="15">
        <f>IF(OR(D8="",C24=0),"",D8)</f>
        <v>1450</v>
      </c>
      <c r="L6" s="15">
        <f>IF(OR(D8="",C24=0),"",L7*C24/4)</f>
        <v>1449.9375</v>
      </c>
      <c r="M6" s="16">
        <f t="shared" ref="M6:M8" si="1">IF(OR(K6="",L6=""),"",L6-K6)</f>
        <v>-0.0625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0.2263045045</v>
      </c>
      <c r="L7" s="17">
        <f>IF(OR(D8="",C24=0),"",ROUND(D8*4/C24*100,2)/100)</f>
        <v>0.209</v>
      </c>
      <c r="M7" s="18">
        <f t="shared" si="1"/>
        <v>-0.0173045045</v>
      </c>
    </row>
    <row r="8">
      <c r="B8" s="19">
        <f>IF(OR(B6="",C6=""),"",B6*C6)</f>
        <v>29000</v>
      </c>
      <c r="C8" s="21">
        <f>IF(OR(B8="",D6="",D6=0),"",IF(E6="Weekly",(B8/D6)/5,B8/D6))</f>
        <v>290</v>
      </c>
      <c r="D8" s="21">
        <f>IF(C8="","",C8*5)</f>
        <v>1450</v>
      </c>
      <c r="E8" s="19">
        <f>IF(C8="","",C8*21.655)</f>
        <v>6279.95</v>
      </c>
      <c r="F8" s="22">
        <f>IF(OR(D6="",D6=0),"",IF(E6="Weekly",D6,D6/5)/(21.655/5))</f>
        <v>4.617871161</v>
      </c>
      <c r="G8" s="19">
        <f>IF(B6="","",B6-(B6*F6))</f>
        <v>19000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29000.0</v>
      </c>
      <c r="D12" s="29">
        <v>2800.0</v>
      </c>
      <c r="E12" s="30">
        <v>1.0</v>
      </c>
      <c r="F12" s="30">
        <v>1.0</v>
      </c>
      <c r="G12" s="32">
        <f t="shared" ref="G12:G22" si="2">IF(OR(C12="",C13=""),"",(C12-C13)/C13)</f>
        <v>0.03571428571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28000.0</v>
      </c>
      <c r="D13" s="29">
        <v>2100.0</v>
      </c>
      <c r="E13" s="30">
        <v>0.0</v>
      </c>
      <c r="F13" s="30">
        <v>0.0</v>
      </c>
      <c r="G13" s="32">
        <f t="shared" si="2"/>
        <v>0.07692307692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26000.0</v>
      </c>
      <c r="D14" s="29">
        <v>2900.0</v>
      </c>
      <c r="E14" s="30">
        <v>0.0</v>
      </c>
      <c r="F14" s="30">
        <v>0.0</v>
      </c>
      <c r="G14" s="32">
        <f t="shared" si="2"/>
        <v>-0.07142857143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28000.0</v>
      </c>
      <c r="D15" s="29">
        <v>2100.0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27750</v>
      </c>
      <c r="D24" s="46">
        <f t="shared" si="3"/>
        <v>2475</v>
      </c>
      <c r="E24" s="47">
        <f t="shared" ref="E24:F24" si="4">SUM(E12:E23)</f>
        <v>1</v>
      </c>
      <c r="F24" s="47">
        <f t="shared" si="4"/>
        <v>1</v>
      </c>
      <c r="G24" s="48">
        <f>IFERROR(AVERAGE(G12:G22),"")</f>
        <v>0.01373626374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84" t="s">
        <v>91</v>
      </c>
    </row>
    <row r="28" ht="15.75" customHeight="1">
      <c r="B28" s="50"/>
      <c r="C28" s="29">
        <v>33000.0</v>
      </c>
      <c r="D28" s="29"/>
      <c r="E28" s="2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290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0.2263045045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0.2263045045</v>
      </c>
      <c r="D39" s="59">
        <v>0.18</v>
      </c>
      <c r="E39" s="59">
        <v>0.25</v>
      </c>
      <c r="F39" s="60" t="str">
        <f t="shared" si="6"/>
        <v>YELLOW</v>
      </c>
      <c r="G39" s="59">
        <v>0.35</v>
      </c>
    </row>
    <row r="40" ht="15.75" customHeight="1">
      <c r="B40" s="14" t="s">
        <v>61</v>
      </c>
      <c r="C40" s="18">
        <f>IF(D24=0,"",(E34+IF(C8="",0,C8))/D24)</f>
        <v>0.1171717172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0.7207207207</v>
      </c>
      <c r="D41" s="63">
        <v>0.6</v>
      </c>
      <c r="E41" s="63">
        <v>0.9</v>
      </c>
      <c r="F41" s="60" t="str">
        <f t="shared" si="6"/>
        <v>YELLOW</v>
      </c>
      <c r="G41" s="63">
        <v>1.25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0.01373626374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2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YELLOW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0.08918918919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15000.0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5.5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230.6626645</v>
      </c>
    </row>
    <row r="57" ht="15.75" customHeight="1">
      <c r="B57" s="70" t="s">
        <v>80</v>
      </c>
      <c r="C57" s="15">
        <f>IF(C24=0,"",(D38*C24-F34)/21.655)</f>
        <v>384.4377742</v>
      </c>
    </row>
    <row r="58" ht="15.75" customHeight="1">
      <c r="B58" s="70" t="s">
        <v>81</v>
      </c>
      <c r="C58" s="15">
        <f>IF(OR(C24=0,D24=0),"",D40*D24-E34)</f>
        <v>445.5</v>
      </c>
    </row>
    <row r="59" ht="15.75" customHeight="1">
      <c r="B59" s="68" t="s">
        <v>82</v>
      </c>
      <c r="C59" s="21">
        <f>IF(C24=0,"",MAX(0,MIN(C56:C58)))</f>
        <v>230.6626645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1153.313323</v>
      </c>
      <c r="D60" s="75">
        <f>IF(OR(C59="",C59=0),"",C59*21.655)</f>
        <v>4995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15500</v>
      </c>
      <c r="D62" s="4" t="str">
        <f>IF(C62="-","KNOCKOUT on the merchant - do not fund.",IF(C62="","","payback "&amp;TEXT(C62*D61,"$#,##0")&amp;" over "&amp;C61&amp;" daily pmts ("&amp;TEXT(C61/5,"0")&amp;" wks)"))</f>
        <v>payback $22,475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5G / 1Y / 1R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84" t="s">
        <v>92</v>
      </c>
    </row>
    <row r="6">
      <c r="B6" s="9">
        <v>50000.0</v>
      </c>
      <c r="C6" s="10">
        <v>1.45</v>
      </c>
      <c r="D6" s="11">
        <v>26.0</v>
      </c>
      <c r="E6" s="12" t="s">
        <v>12</v>
      </c>
      <c r="F6" s="13">
        <v>0.05</v>
      </c>
      <c r="J6" s="14" t="s">
        <v>13</v>
      </c>
      <c r="K6" s="15">
        <f>IF(OR(D8="",C24=0),"",D8)</f>
        <v>2788.461538</v>
      </c>
      <c r="L6" s="15">
        <f>IF(OR(D8="",C24=0),"",L7*C24/4)</f>
        <v>2787.7</v>
      </c>
      <c r="M6" s="16">
        <f t="shared" ref="M6:M8" si="1">IF(OR(K6="",L6=""),"",L6-K6)</f>
        <v>-0.7615384615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0.1484855769</v>
      </c>
      <c r="L7" s="17">
        <f>IF(OR(D8="",C24=0),"",ROUND(D8*4/C24*100,2)/100)</f>
        <v>0.1371</v>
      </c>
      <c r="M7" s="18">
        <f t="shared" si="1"/>
        <v>-0.01138557692</v>
      </c>
    </row>
    <row r="8">
      <c r="B8" s="19">
        <f>IF(OR(B6="",C6=""),"",B6*C6)</f>
        <v>72500</v>
      </c>
      <c r="C8" s="21">
        <f>IF(OR(B8="",D6="",D6=0),"",IF(E6="Weekly",(B8/D6)/5,B8/D6))</f>
        <v>557.6923077</v>
      </c>
      <c r="D8" s="21">
        <f>IF(C8="","",C8*5)</f>
        <v>2788.461538</v>
      </c>
      <c r="E8" s="19">
        <f>IF(C8="","",C8*21.655)</f>
        <v>12076.82692</v>
      </c>
      <c r="F8" s="22">
        <f>IF(OR(D6="",D6=0),"",IF(E6="Weekly",D6,D6/5)/(21.655/5))</f>
        <v>6.00323251</v>
      </c>
      <c r="G8" s="19">
        <f>IF(B6="","",B6-(B6*F6))</f>
        <v>47500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67000.0</v>
      </c>
      <c r="D12" s="29">
        <v>21000.0</v>
      </c>
      <c r="E12" s="30">
        <v>0.0</v>
      </c>
      <c r="F12" s="30">
        <v>0.0</v>
      </c>
      <c r="G12" s="32">
        <f t="shared" ref="G12:G22" si="2">IF(OR(C12="",C13=""),"",(C12-C13)/C13)</f>
        <v>-0.1927710843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83000.0</v>
      </c>
      <c r="D13" s="29">
        <v>26000.0</v>
      </c>
      <c r="E13" s="30">
        <v>0.0</v>
      </c>
      <c r="F13" s="30">
        <v>0.0</v>
      </c>
      <c r="G13" s="32">
        <f t="shared" si="2"/>
        <v>-0.1170212766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94000.0</v>
      </c>
      <c r="D14" s="29">
        <v>21000.0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81333.33333</v>
      </c>
      <c r="D24" s="46">
        <f t="shared" si="3"/>
        <v>22666.66667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-0.1548961805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84" t="s">
        <v>91</v>
      </c>
    </row>
    <row r="28" ht="15.75" customHeight="1">
      <c r="B28" s="50"/>
      <c r="C28" s="29" t="s">
        <v>94</v>
      </c>
      <c r="D28" s="29">
        <v>2456.0</v>
      </c>
      <c r="E28" s="28" t="s">
        <v>12</v>
      </c>
      <c r="F28" s="15">
        <f t="shared" ref="F28:F33" si="5">IF(D28="","",IF(E28="Daily",D28,IF(E28="Weekly",D28/5,D28/21.655)))</f>
        <v>491.2</v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491.2</v>
      </c>
      <c r="F34" s="46">
        <f>E34*21.655</f>
        <v>10636.936</v>
      </c>
      <c r="G34" s="4" t="s">
        <v>52</v>
      </c>
    </row>
    <row r="35" ht="15.75" customHeight="1">
      <c r="E35" s="57">
        <f>E34+C8</f>
        <v>1048.892308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0.2792675769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0.1484855769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0.04627466063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0.6147540984</v>
      </c>
      <c r="D41" s="63">
        <v>0.6</v>
      </c>
      <c r="E41" s="63">
        <v>0.9</v>
      </c>
      <c r="F41" s="60" t="str">
        <f t="shared" si="6"/>
        <v>YELLOW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-0.1548961805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RED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0.130782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0.2786885246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1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5.5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676.056338</v>
      </c>
    </row>
    <row r="57" ht="15.75" customHeight="1">
      <c r="B57" s="70" t="s">
        <v>80</v>
      </c>
      <c r="C57" s="15">
        <f>IF(C24=0,"",(D38*C24-F34)/21.655)</f>
        <v>635.5605634</v>
      </c>
    </row>
    <row r="58" ht="15.75" customHeight="1">
      <c r="B58" s="70" t="s">
        <v>81</v>
      </c>
      <c r="C58" s="15">
        <f>IF(OR(C24=0,D24=0),"",D40*D24-E34)</f>
        <v>3588.8</v>
      </c>
    </row>
    <row r="59" ht="15.75" customHeight="1">
      <c r="B59" s="68" t="s">
        <v>82</v>
      </c>
      <c r="C59" s="21">
        <f>IF(C24=0,"",MAX(0,MIN(C56:C58)))</f>
        <v>635.5605634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3177.802817</v>
      </c>
      <c r="D60" s="75">
        <f>IF(OR(C59="",C59=0),"",C59*21.655)</f>
        <v>13763.064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110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48000</v>
      </c>
      <c r="D62" s="4" t="str">
        <f>IF(C62="-","KNOCKOUT on the merchant - do not fund.",IF(C62="","","payback "&amp;TEXT(C62*D61,"$#,##0")&amp;" over "&amp;C61&amp;" daily pmts ("&amp;TEXT(C61/5,"0")&amp;" wks)"))</f>
        <v>payback $69,600 over 110 daily pmts (22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84" t="s">
        <v>92</v>
      </c>
    </row>
    <row r="6">
      <c r="B6" s="9">
        <v>23000.0</v>
      </c>
      <c r="C6" s="10">
        <v>1.4</v>
      </c>
      <c r="D6" s="11">
        <v>100.0</v>
      </c>
      <c r="E6" s="12" t="s">
        <v>87</v>
      </c>
      <c r="F6" s="13">
        <v>0.05</v>
      </c>
      <c r="J6" s="14" t="s">
        <v>13</v>
      </c>
      <c r="K6" s="15">
        <f>IF(OR(D8="",C24=0),"",D8)</f>
        <v>1610</v>
      </c>
      <c r="L6" s="15">
        <f>IF(OR(D8="",C24=0),"",L7*C24/4)</f>
        <v>1610.0625</v>
      </c>
      <c r="M6" s="16">
        <f t="shared" ref="M6:M8" si="1">IF(OR(K6="",L6=""),"",L6-K6)</f>
        <v>0.0625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0.1799460645</v>
      </c>
      <c r="L7" s="17">
        <f>IF(OR(D8="",C24=0),"",ROUND(D8*4/C24*100,2)/100)</f>
        <v>0.1662</v>
      </c>
      <c r="M7" s="18">
        <f t="shared" si="1"/>
        <v>-0.01374606452</v>
      </c>
    </row>
    <row r="8">
      <c r="B8" s="19">
        <f>IF(OR(B6="",C6=""),"",B6*C6)</f>
        <v>32200</v>
      </c>
      <c r="C8" s="21">
        <f>IF(OR(B8="",D6="",D6=0),"",IF(E6="Weekly",(B8/D6)/5,B8/D6))</f>
        <v>322</v>
      </c>
      <c r="D8" s="21">
        <f>IF(C8="","",C8*5)</f>
        <v>1610</v>
      </c>
      <c r="E8" s="19">
        <f>IF(C8="","",C8*21.655)</f>
        <v>6972.91</v>
      </c>
      <c r="F8" s="22">
        <f>IF(OR(D6="",D6=0),"",IF(E6="Weekly",D6,D6/5)/(21.655/5))</f>
        <v>4.617871161</v>
      </c>
      <c r="G8" s="19">
        <f>IF(B6="","",B6-(B6*F6))</f>
        <v>21850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32000.0</v>
      </c>
      <c r="D12" s="29">
        <v>6800.0</v>
      </c>
      <c r="E12" s="30">
        <v>0.0</v>
      </c>
      <c r="F12" s="30">
        <v>0.0</v>
      </c>
      <c r="G12" s="32">
        <f t="shared" ref="G12:G22" si="2">IF(OR(C12="",C13=""),"",(C12-C13)/C13)</f>
        <v>-0.3725490196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51000.0</v>
      </c>
      <c r="D13" s="29">
        <v>6100.0</v>
      </c>
      <c r="E13" s="30">
        <v>0.0</v>
      </c>
      <c r="F13" s="30">
        <v>0.0</v>
      </c>
      <c r="G13" s="32">
        <f t="shared" si="2"/>
        <v>0.4571428571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35000.0</v>
      </c>
      <c r="D14" s="29">
        <v>9500.0</v>
      </c>
      <c r="E14" s="30">
        <v>0.0</v>
      </c>
      <c r="F14" s="30">
        <v>0.0</v>
      </c>
      <c r="G14" s="32">
        <f t="shared" si="2"/>
        <v>-0.05405405405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37000.0</v>
      </c>
      <c r="D15" s="29">
        <v>3400.0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38750</v>
      </c>
      <c r="D24" s="46">
        <f t="shared" si="3"/>
        <v>6450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0.01017992783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84" t="s">
        <v>91</v>
      </c>
    </row>
    <row r="28" ht="15.75" customHeight="1">
      <c r="B28" s="50"/>
      <c r="C28" s="29" t="s">
        <v>95</v>
      </c>
      <c r="D28" s="29">
        <v>849.23</v>
      </c>
      <c r="E28" s="28" t="s">
        <v>12</v>
      </c>
      <c r="F28" s="15">
        <f t="shared" ref="F28:F33" si="5">IF(D28="","",IF(E28="Daily",D28,IF(E28="Weekly",D28/5,D28/21.655)))</f>
        <v>169.846</v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169.846</v>
      </c>
      <c r="F34" s="46">
        <f>E34*21.655</f>
        <v>3678.01513</v>
      </c>
      <c r="G34" s="4" t="s">
        <v>52</v>
      </c>
    </row>
    <row r="35" ht="15.75" customHeight="1">
      <c r="E35" s="57">
        <f>E34+C8</f>
        <v>491.846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0.274862584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0.1799460645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0.0762551938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0.5935483871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0.01017992783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0.09491651948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0.1664516129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322.0965135</v>
      </c>
    </row>
    <row r="57" ht="15.75" customHeight="1">
      <c r="B57" s="70" t="s">
        <v>80</v>
      </c>
      <c r="C57" s="15">
        <f>IF(C24=0,"",(D38*C24-F34)/21.655)</f>
        <v>366.9815225</v>
      </c>
    </row>
    <row r="58" ht="15.75" customHeight="1">
      <c r="B58" s="70" t="s">
        <v>81</v>
      </c>
      <c r="C58" s="15">
        <f>IF(OR(C24=0,D24=0),"",D40*D24-E34)</f>
        <v>991.154</v>
      </c>
    </row>
    <row r="59" ht="15.75" customHeight="1">
      <c r="B59" s="68" t="s">
        <v>82</v>
      </c>
      <c r="C59" s="21">
        <f>IF(C24=0,"",MAX(0,MIN(C56:C58)))</f>
        <v>322.0965135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1610.482568</v>
      </c>
      <c r="D60" s="75">
        <f>IF(OR(C59="",C59=0),"",C59*21.655)</f>
        <v>6975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23000</v>
      </c>
      <c r="D62" s="4" t="str">
        <f>IF(C62="-","KNOCKOUT on the merchant - do not fund.",IF(C62="","","payback "&amp;TEXT(C62*D61,"$#,##0")&amp;" over "&amp;C61&amp;" daily pmts ("&amp;TEXT(C61/5,"0")&amp;" wks)"))</f>
        <v>payback $32,200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84" t="s">
        <v>92</v>
      </c>
    </row>
    <row r="6">
      <c r="B6" s="9">
        <v>63000.0</v>
      </c>
      <c r="C6" s="10">
        <v>1.45</v>
      </c>
      <c r="D6" s="11">
        <v>36.0</v>
      </c>
      <c r="E6" s="12" t="s">
        <v>12</v>
      </c>
      <c r="F6" s="13">
        <v>0.05</v>
      </c>
      <c r="J6" s="14" t="s">
        <v>13</v>
      </c>
      <c r="K6" s="15">
        <f>IF(OR(D8="",C24=0),"",D8)</f>
        <v>2537.5</v>
      </c>
      <c r="L6" s="15">
        <f>IF(OR(D8="",C24=0),"",L7*C24/4)</f>
        <v>2538.50625</v>
      </c>
      <c r="M6" s="16">
        <f t="shared" ref="M6:M8" si="1">IF(OR(K6="",L6=""),"",L6-K6)</f>
        <v>1.00625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0.09968174603</v>
      </c>
      <c r="L7" s="17">
        <f>IF(OR(D8="",C24=0),"",ROUND(D8*4/C24*100,2)/100)</f>
        <v>0.0921</v>
      </c>
      <c r="M7" s="18">
        <f t="shared" si="1"/>
        <v>-0.007581746032</v>
      </c>
    </row>
    <row r="8">
      <c r="B8" s="19">
        <f>IF(OR(B6="",C6=""),"",B6*C6)</f>
        <v>91350</v>
      </c>
      <c r="C8" s="21">
        <f>IF(OR(B8="",D6="",D6=0),"",IF(E6="Weekly",(B8/D6)/5,B8/D6))</f>
        <v>507.5</v>
      </c>
      <c r="D8" s="21">
        <f>IF(C8="","",C8*5)</f>
        <v>2537.5</v>
      </c>
      <c r="E8" s="19">
        <f>IF(C8="","",C8*21.655)</f>
        <v>10989.9125</v>
      </c>
      <c r="F8" s="22">
        <f>IF(OR(D6="",D6=0),"",IF(E6="Weekly",D6,D6/5)/(21.655/5))</f>
        <v>8.312168091</v>
      </c>
      <c r="G8" s="19">
        <f>IF(B6="","",B6-(B6*F6))</f>
        <v>59850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134000.0</v>
      </c>
      <c r="D12" s="29">
        <v>45000.0</v>
      </c>
      <c r="E12" s="30">
        <v>0.0</v>
      </c>
      <c r="F12" s="30">
        <v>0.0</v>
      </c>
      <c r="G12" s="32">
        <f t="shared" ref="G12:G22" si="2">IF(OR(C12="",C13=""),"",(C12-C13)/C13)</f>
        <v>0.2761904762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105000.0</v>
      </c>
      <c r="D13" s="29">
        <v>13000.0</v>
      </c>
      <c r="E13" s="30">
        <v>0.0</v>
      </c>
      <c r="F13" s="30">
        <v>0.0</v>
      </c>
      <c r="G13" s="32">
        <f t="shared" si="2"/>
        <v>-0.05405405405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111000.0</v>
      </c>
      <c r="D14" s="29">
        <v>4400.0</v>
      </c>
      <c r="E14" s="30">
        <v>0.0</v>
      </c>
      <c r="F14" s="30">
        <v>0.0</v>
      </c>
      <c r="G14" s="32">
        <f t="shared" si="2"/>
        <v>0.2197802198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91000.0</v>
      </c>
      <c r="D15" s="29">
        <v>10000.0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29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110250</v>
      </c>
      <c r="D24" s="46">
        <f t="shared" si="3"/>
        <v>18100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0.1473055473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84" t="s">
        <v>91</v>
      </c>
    </row>
    <row r="28" ht="15.75" customHeight="1">
      <c r="B28" s="50"/>
      <c r="C28" s="29">
        <v>50517.0</v>
      </c>
      <c r="D28" s="29">
        <v>1492.11</v>
      </c>
      <c r="E28" s="28" t="s">
        <v>12</v>
      </c>
      <c r="F28" s="15">
        <f t="shared" ref="F28:F33" si="5">IF(D28="","",IF(E28="Daily",D28,IF(E28="Weekly",D28/5,D28/21.655)))</f>
        <v>298.422</v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298.422</v>
      </c>
      <c r="F34" s="46">
        <f>E34*21.655</f>
        <v>6462.32841</v>
      </c>
      <c r="G34" s="4" t="s">
        <v>52</v>
      </c>
    </row>
    <row r="35" ht="15.75" customHeight="1">
      <c r="E35" s="57">
        <f>E34+C8</f>
        <v>805.922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0.1582969697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0.09968174603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0.04452607735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0.5714285714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0.1473055473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0.05861522367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0.1641723356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916.416532</v>
      </c>
    </row>
    <row r="57" ht="15.75" customHeight="1">
      <c r="B57" s="70" t="s">
        <v>80</v>
      </c>
      <c r="C57" s="15">
        <f>IF(C24=0,"",(D38*C24-F34)/21.655)</f>
        <v>1228.938887</v>
      </c>
    </row>
    <row r="58" ht="15.75" customHeight="1">
      <c r="B58" s="70" t="s">
        <v>81</v>
      </c>
      <c r="C58" s="15">
        <f>IF(OR(C24=0,D24=0),"",D40*D24-E34)</f>
        <v>2959.578</v>
      </c>
    </row>
    <row r="59" ht="15.75" customHeight="1">
      <c r="B59" s="68" t="s">
        <v>82</v>
      </c>
      <c r="C59" s="21">
        <f>IF(C24=0,"",MAX(0,MIN(C56:C58)))</f>
        <v>916.416532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4582.08266</v>
      </c>
      <c r="D60" s="75">
        <f>IF(OR(C59="",C59=0),"",C59*21.655)</f>
        <v>19845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65000</v>
      </c>
      <c r="D62" s="4" t="str">
        <f>IF(C62="-","KNOCKOUT on the merchant - do not fund.",IF(C62="","","payback "&amp;TEXT(C62*D61,"$#,##0")&amp;" over "&amp;C61&amp;" daily pmts ("&amp;TEXT(C61/5,"0")&amp;" wks)"))</f>
        <v>payback $91,000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1Y / 0R   |   score 5.5/7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84" t="s">
        <v>92</v>
      </c>
    </row>
    <row r="6">
      <c r="B6" s="9">
        <v>40000.0</v>
      </c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>
        <f>IF(B6="","",B6-(B6*F6))</f>
        <v>38000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44500.0</v>
      </c>
      <c r="D12" s="29">
        <v>24000.0</v>
      </c>
      <c r="E12" s="30">
        <v>0.0</v>
      </c>
      <c r="F12" s="30">
        <v>0.0</v>
      </c>
      <c r="G12" s="32">
        <f t="shared" ref="G12:G22" si="2">IF(OR(C12="",C13=""),"",(C12-C13)/C13)</f>
        <v>-0.3642857143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70000.0</v>
      </c>
      <c r="D13" s="29">
        <v>40000.0</v>
      </c>
      <c r="E13" s="30">
        <v>0.0</v>
      </c>
      <c r="F13" s="30">
        <v>0.0</v>
      </c>
      <c r="G13" s="32">
        <f t="shared" si="2"/>
        <v>-0.156626506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83000.0</v>
      </c>
      <c r="D14" s="29">
        <v>50000.0</v>
      </c>
      <c r="E14" s="30">
        <v>0.0</v>
      </c>
      <c r="F14" s="30">
        <v>0.0</v>
      </c>
      <c r="G14" s="32">
        <f t="shared" si="2"/>
        <v>-0.09782608696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92000.0</v>
      </c>
      <c r="D15" s="29">
        <v>67000.0</v>
      </c>
      <c r="E15" s="30">
        <v>0.0</v>
      </c>
      <c r="F15" s="30">
        <v>0.0</v>
      </c>
      <c r="G15" s="32">
        <f t="shared" si="2"/>
        <v>0</v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>
        <v>92000.0</v>
      </c>
      <c r="D16" s="29">
        <v>53000.0</v>
      </c>
      <c r="E16" s="39"/>
      <c r="F16" s="39"/>
      <c r="G16" s="32">
        <f t="shared" si="2"/>
        <v>0.4603174603</v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>
        <v>63000.0</v>
      </c>
      <c r="D17" s="29">
        <v>15000.0</v>
      </c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74083.33333</v>
      </c>
      <c r="D24" s="46">
        <f t="shared" si="3"/>
        <v>41500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-0.03168416939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84" t="s">
        <v>91</v>
      </c>
    </row>
    <row r="28" ht="15.75" customHeight="1">
      <c r="B28" s="50"/>
      <c r="C28" s="29"/>
      <c r="D28" s="29">
        <v>570.0</v>
      </c>
      <c r="E28" s="28" t="s">
        <v>12</v>
      </c>
      <c r="F28" s="15">
        <f t="shared" ref="F28:F33" si="5">IF(D28="","",IF(E28="Daily",D28,IF(E28="Weekly",D28/5,D28/21.655)))</f>
        <v>114</v>
      </c>
    </row>
    <row r="29" ht="15.75" customHeight="1">
      <c r="B29" s="50"/>
      <c r="C29" s="42"/>
      <c r="D29" s="29">
        <v>1690.0</v>
      </c>
      <c r="E29" s="28" t="s">
        <v>12</v>
      </c>
      <c r="F29" s="15">
        <f t="shared" si="5"/>
        <v>338</v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452</v>
      </c>
      <c r="F34" s="46">
        <f>E34*21.655</f>
        <v>9788.06</v>
      </c>
      <c r="G34" s="4" t="s">
        <v>52</v>
      </c>
    </row>
    <row r="35" ht="15.75" customHeight="1">
      <c r="E35" s="57">
        <f>E34+C8</f>
        <v>452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0.1321222947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>
        <f>IF(D24=0,"",(E34+IF(C8="",0,C8))/D24)</f>
        <v>0.01089156627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0.5399325084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-0.03168416939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0.1321222947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0.5601799775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5.5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615.7931194</v>
      </c>
    </row>
    <row r="57" ht="15.75" customHeight="1">
      <c r="B57" s="70" t="s">
        <v>80</v>
      </c>
      <c r="C57" s="15">
        <f>IF(C24=0,"",(D38*C24-F34)/21.655)</f>
        <v>574.3218656</v>
      </c>
    </row>
    <row r="58" ht="15.75" customHeight="1">
      <c r="B58" s="70" t="s">
        <v>81</v>
      </c>
      <c r="C58" s="15">
        <f>IF(OR(C24=0,D24=0),"",D40*D24-E34)</f>
        <v>7018</v>
      </c>
    </row>
    <row r="59" ht="15.75" customHeight="1">
      <c r="B59" s="68" t="s">
        <v>82</v>
      </c>
      <c r="C59" s="21">
        <f>IF(C24=0,"",MAX(0,MIN(C56:C58)))</f>
        <v>574.3218656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2871.609328</v>
      </c>
      <c r="D60" s="75">
        <f>IF(OR(C59="",C59=0),"",C59*21.655)</f>
        <v>12436.94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110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43500</v>
      </c>
      <c r="D62" s="4" t="str">
        <f>IF(C62="-","KNOCKOUT on the merchant - do not fund.",IF(C62="","","payback "&amp;TEXT(C62*D61,"$#,##0")&amp;" over "&amp;C61&amp;" daily pmts ("&amp;TEXT(C61/5,"0")&amp;" wks)"))</f>
        <v>payback $63,075 over 110 daily pmts (22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84" t="s">
        <v>92</v>
      </c>
    </row>
    <row r="6">
      <c r="B6" s="9">
        <v>25000.0</v>
      </c>
      <c r="C6" s="10">
        <v>1.45</v>
      </c>
      <c r="D6" s="11">
        <v>32.0</v>
      </c>
      <c r="E6" s="12" t="s">
        <v>12</v>
      </c>
      <c r="F6" s="13">
        <v>0.05</v>
      </c>
      <c r="J6" s="14" t="s">
        <v>13</v>
      </c>
      <c r="K6" s="15">
        <f>IF(OR(D8="",C24=0),"",D8)</f>
        <v>1132.8125</v>
      </c>
      <c r="L6" s="15">
        <f>IF(OR(D8="",C24=0),"",L7*C24/4)</f>
        <v>1132.73625</v>
      </c>
      <c r="M6" s="16">
        <f t="shared" ref="M6:M8" si="1">IF(OR(K6="",L6=""),"",L6-K6)</f>
        <v>-0.07625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0.123116962</v>
      </c>
      <c r="L7" s="17">
        <f>IF(OR(D8="",C24=0),"",ROUND(D8*4/C24*100,2)/100)</f>
        <v>0.1137</v>
      </c>
      <c r="M7" s="18">
        <f t="shared" si="1"/>
        <v>-0.009416962045</v>
      </c>
    </row>
    <row r="8">
      <c r="B8" s="19">
        <f>IF(OR(B6="",C6=""),"",B6*C6)</f>
        <v>36250</v>
      </c>
      <c r="C8" s="21">
        <f>IF(OR(B8="",D6="",D6=0),"",IF(E6="Weekly",(B8/D6)/5,B8/D6))</f>
        <v>226.5625</v>
      </c>
      <c r="D8" s="21">
        <f>IF(C8="","",C8*5)</f>
        <v>1132.8125</v>
      </c>
      <c r="E8" s="19">
        <f>IF(C8="","",C8*21.655)</f>
        <v>4906.210938</v>
      </c>
      <c r="F8" s="22">
        <f>IF(OR(D6="",D6=0),"",IF(E6="Weekly",D6,D6/5)/(21.655/5))</f>
        <v>7.388593858</v>
      </c>
      <c r="G8" s="19">
        <f>IF(B6="","",B6-(B6*F6))</f>
        <v>23750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53400.0</v>
      </c>
      <c r="D12" s="29">
        <v>18000.0</v>
      </c>
      <c r="E12" s="30">
        <v>0.0</v>
      </c>
      <c r="F12" s="30">
        <v>0.0</v>
      </c>
      <c r="G12" s="32">
        <f t="shared" ref="G12:G22" si="2">IF(OR(C12="",C13=""),"",(C12-C13)/C13)</f>
        <v>0.66875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32000.0</v>
      </c>
      <c r="D13" s="29">
        <v>3000.0</v>
      </c>
      <c r="E13" s="30">
        <v>0.0</v>
      </c>
      <c r="F13" s="30">
        <v>0.0</v>
      </c>
      <c r="G13" s="32">
        <f t="shared" si="2"/>
        <v>0.3333333333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24000.0</v>
      </c>
      <c r="D14" s="29">
        <v>14000.0</v>
      </c>
      <c r="E14" s="30">
        <v>0.0</v>
      </c>
      <c r="F14" s="30">
        <v>0.0</v>
      </c>
      <c r="G14" s="32">
        <f t="shared" si="2"/>
        <v>-0.52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50000.0</v>
      </c>
      <c r="D15" s="29">
        <v>11900.0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39850</v>
      </c>
      <c r="D24" s="46">
        <f t="shared" si="3"/>
        <v>11725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0.1606944444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84" t="s">
        <v>91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226.5625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0.123116962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0.123116962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0.01932302772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0.6273525721</v>
      </c>
      <c r="D41" s="63">
        <v>0.6</v>
      </c>
      <c r="E41" s="63">
        <v>0.9</v>
      </c>
      <c r="F41" s="60" t="str">
        <f t="shared" si="6"/>
        <v>YELLOW</v>
      </c>
      <c r="G41" s="63">
        <v>1.25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0.1606944444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0.2942283563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331.2398984</v>
      </c>
    </row>
    <row r="57" ht="15.75" customHeight="1">
      <c r="B57" s="70" t="s">
        <v>80</v>
      </c>
      <c r="C57" s="15">
        <f>IF(C24=0,"",(D38*C24-F34)/21.655)</f>
        <v>552.0664973</v>
      </c>
    </row>
    <row r="58" ht="15.75" customHeight="1">
      <c r="B58" s="70" t="s">
        <v>81</v>
      </c>
      <c r="C58" s="15">
        <f>IF(OR(C24=0,D24=0),"",D40*D24-E34)</f>
        <v>2110.5</v>
      </c>
    </row>
    <row r="59" ht="15.75" customHeight="1">
      <c r="B59" s="68" t="s">
        <v>82</v>
      </c>
      <c r="C59" s="21">
        <f>IF(C24=0,"",MAX(0,MIN(C56:C58)))</f>
        <v>331.2398984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1656.199492</v>
      </c>
      <c r="D60" s="75">
        <f>IF(OR(C59="",C59=0),"",C59*21.655)</f>
        <v>7173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22500</v>
      </c>
      <c r="D62" s="4" t="str">
        <f>IF(C62="-","KNOCKOUT on the merchant - do not fund.",IF(C62="","","payback "&amp;TEXT(C62*D61,"$#,##0")&amp;" over "&amp;C61&amp;" daily pmts ("&amp;TEXT(C61/5,"0")&amp;" wks)"))</f>
        <v>payback $32,625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3G / 4Y / 0R   |   score 5.0/7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O5" s="84" t="s">
        <v>92</v>
      </c>
    </row>
    <row r="6">
      <c r="B6" s="9">
        <v>13000.0</v>
      </c>
      <c r="C6" s="10">
        <v>1.49</v>
      </c>
      <c r="D6" s="11">
        <v>30.0</v>
      </c>
      <c r="E6" s="12" t="s">
        <v>12</v>
      </c>
      <c r="F6" s="85">
        <v>0.05</v>
      </c>
      <c r="J6" s="14" t="s">
        <v>13</v>
      </c>
      <c r="K6" s="15">
        <f>IF(OR(D8="",C24=0),"",D8)</f>
        <v>645.6666667</v>
      </c>
      <c r="L6" s="15">
        <f>IF(OR(D8="",C24=0),"",L7*C24/4)</f>
        <v>645.6515</v>
      </c>
      <c r="M6" s="16">
        <f t="shared" ref="M6:M8" si="1">IF(OR(K6="",L6=""),"",L6-K6)</f>
        <v>-0.01516666667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0.1914346968</v>
      </c>
      <c r="L7" s="17">
        <f>IF(OR(D8="",C24=0),"",ROUND(D8*4/C24*100,2)/100)</f>
        <v>0.1768</v>
      </c>
      <c r="M7" s="18">
        <f t="shared" si="1"/>
        <v>-0.01463469679</v>
      </c>
    </row>
    <row r="8">
      <c r="B8" s="19">
        <f>IF(OR(B6="",C6=""),"",B6*C6)</f>
        <v>19370</v>
      </c>
      <c r="C8" s="21">
        <f>IF(OR(B8="",D6="",D6=0),"",IF(E6="Weekly",(B8/D6)/5,B8/D6))</f>
        <v>129.1333333</v>
      </c>
      <c r="D8" s="21">
        <f>IF(C8="","",C8*5)</f>
        <v>645.6666667</v>
      </c>
      <c r="E8" s="19">
        <f>IF(C8="","",C8*21.655)</f>
        <v>2796.382333</v>
      </c>
      <c r="F8" s="22">
        <f>IF(OR(D6="",D6=0),"",IF(E6="Weekly",D6,D6/5)/(21.655/5))</f>
        <v>6.926806742</v>
      </c>
      <c r="G8" s="19">
        <f>IF(B6="","",B6-(B6*F6))</f>
        <v>12350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15000.0</v>
      </c>
      <c r="D12" s="29">
        <v>2600.0</v>
      </c>
      <c r="E12" s="30">
        <v>0.0</v>
      </c>
      <c r="F12" s="30">
        <v>0.0</v>
      </c>
      <c r="G12" s="32">
        <f t="shared" ref="G12:G22" si="2">IF(OR(C12="",C13=""),"",(C12-C13)/C13)</f>
        <v>0.4285714286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10500.0</v>
      </c>
      <c r="D13" s="29">
        <v>6800.0</v>
      </c>
      <c r="E13" s="30">
        <v>0.0</v>
      </c>
      <c r="F13" s="30">
        <v>0.0</v>
      </c>
      <c r="G13" s="32">
        <f t="shared" si="2"/>
        <v>-0.5518565941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23430.0</v>
      </c>
      <c r="D14" s="29">
        <v>6300.0</v>
      </c>
      <c r="E14" s="30">
        <v>0.0</v>
      </c>
      <c r="F14" s="30">
        <v>0.0</v>
      </c>
      <c r="G14" s="32">
        <f t="shared" si="2"/>
        <v>1.466315789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9500.0</v>
      </c>
      <c r="D15" s="29">
        <v>13000.0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14607.5</v>
      </c>
      <c r="D24" s="46">
        <f t="shared" si="3"/>
        <v>7175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0.4476768746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84" t="s">
        <v>91</v>
      </c>
    </row>
    <row r="28" ht="15.75" customHeight="1">
      <c r="B28" s="50"/>
      <c r="C28" s="29"/>
      <c r="D28" s="29">
        <v>302.1</v>
      </c>
      <c r="E28" s="28" t="s">
        <v>12</v>
      </c>
      <c r="F28" s="15">
        <f t="shared" ref="F28:F33" si="5">IF(D28="","",IF(E28="Daily",D28,IF(E28="Weekly",D28/5,D28/21.655)))</f>
        <v>60.42</v>
      </c>
    </row>
    <row r="29" ht="15.75" customHeight="1">
      <c r="B29" s="50"/>
      <c r="C29" s="42"/>
      <c r="D29" s="29">
        <v>528.95</v>
      </c>
      <c r="E29" s="28" t="s">
        <v>12</v>
      </c>
      <c r="F29" s="15">
        <f t="shared" si="5"/>
        <v>105.79</v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166.21</v>
      </c>
      <c r="F34" s="46">
        <f>E34*21.655</f>
        <v>3599.27755</v>
      </c>
      <c r="G34" s="4" t="s">
        <v>52</v>
      </c>
    </row>
    <row r="35" ht="15.75" customHeight="1">
      <c r="E35" s="57">
        <f>E34+C8</f>
        <v>295.3433333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0.4378339814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YELLOW</v>
      </c>
      <c r="G38" s="61">
        <v>0.55</v>
      </c>
    </row>
    <row r="39" ht="15.75" customHeight="1">
      <c r="B39" s="14" t="s">
        <v>60</v>
      </c>
      <c r="C39" s="18">
        <f>IF(OR(C24=0,E8=""),"",E8/C24)</f>
        <v>0.1914346968</v>
      </c>
      <c r="D39" s="59">
        <v>0.18</v>
      </c>
      <c r="E39" s="59">
        <v>0.25</v>
      </c>
      <c r="F39" s="60" t="str">
        <f t="shared" si="6"/>
        <v>YELLOW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0.04116283391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0.8899537909</v>
      </c>
      <c r="D41" s="63">
        <v>0.6</v>
      </c>
      <c r="E41" s="63">
        <v>0.9</v>
      </c>
      <c r="F41" s="60" t="str">
        <f t="shared" si="6"/>
        <v>YELLOW</v>
      </c>
      <c r="G41" s="63">
        <v>1.25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0.4476768746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0.2463992846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0.4911860346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$3,000 is below your minimum $20,000.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121.4199954</v>
      </c>
    </row>
    <row r="57" ht="15.75" customHeight="1">
      <c r="B57" s="70" t="s">
        <v>80</v>
      </c>
      <c r="C57" s="15">
        <f>IF(C24=0,"",(D38*C24-F34)/21.655)</f>
        <v>36.15665897</v>
      </c>
    </row>
    <row r="58" ht="15.75" customHeight="1">
      <c r="B58" s="70" t="s">
        <v>81</v>
      </c>
      <c r="C58" s="15">
        <f>IF(OR(C24=0,D24=0),"",D40*D24-E34)</f>
        <v>1125.29</v>
      </c>
    </row>
    <row r="59" ht="15.75" customHeight="1">
      <c r="B59" s="68" t="s">
        <v>82</v>
      </c>
      <c r="C59" s="21">
        <f>IF(C24=0,"",MAX(0,MIN(C56:C58)))</f>
        <v>36.15665897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180.7832949</v>
      </c>
      <c r="D60" s="75">
        <f>IF(OR(C59="",C59=0),"",C59*21.655)</f>
        <v>782.97245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3000</v>
      </c>
      <c r="D62" s="4" t="str">
        <f>IF(C62="-","KNOCKOUT on the merchant - do not fund.",IF(C62="","","payback "&amp;TEXT(C62*D61,"$#,##0")&amp;" over "&amp;C61&amp;" daily pmts ("&amp;TEXT(C61/5,"0")&amp;" wks)"))</f>
        <v>payback $4,350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40000.0</v>
      </c>
      <c r="C6" s="10">
        <v>1.45</v>
      </c>
      <c r="D6" s="11">
        <v>100.0</v>
      </c>
      <c r="E6" s="12" t="s">
        <v>87</v>
      </c>
      <c r="F6" s="13">
        <v>0.05</v>
      </c>
      <c r="J6" s="14" t="s">
        <v>13</v>
      </c>
      <c r="K6" s="15">
        <f>IF(OR(D8="",C24=0),"",D8)</f>
        <v>2900</v>
      </c>
      <c r="L6" s="15">
        <f>IF(OR(D8="",C24=0),"",L7*C24/4)</f>
        <v>2900.7</v>
      </c>
      <c r="M6" s="16">
        <f t="shared" ref="M6:M8" si="1">IF(OR(K6="",L6=""),"",L6-K6)</f>
        <v>0.7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0.1903015152</v>
      </c>
      <c r="L7" s="17">
        <f>IF(OR(D8="",C24=0),"",ROUND(D8*4/C24*100,2)/100)</f>
        <v>0.1758</v>
      </c>
      <c r="M7" s="18">
        <f t="shared" si="1"/>
        <v>-0.01450151515</v>
      </c>
    </row>
    <row r="8">
      <c r="B8" s="19">
        <f>IF(OR(B6="",C6=""),"",B6*C6)</f>
        <v>58000</v>
      </c>
      <c r="C8" s="21">
        <f>IF(OR(B8="",D6="",D6=0),"",IF(E6="Weekly",(B8/D6)/5,B8/D6))</f>
        <v>580</v>
      </c>
      <c r="D8" s="21">
        <f>IF(C8="","",C8*5)</f>
        <v>2900</v>
      </c>
      <c r="E8" s="19">
        <f>IF(C8="","",C8*21.655)</f>
        <v>12559.9</v>
      </c>
      <c r="F8" s="22">
        <f>IF(OR(D6="",D6=0),"",IF(E6="Weekly",D6,D6/5)/(21.655/5))</f>
        <v>4.617871161</v>
      </c>
      <c r="G8" s="19">
        <f>IF(B6="","",B6-(B6*F6))</f>
        <v>38000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120000.0</v>
      </c>
      <c r="D12" s="29">
        <v>26000.0</v>
      </c>
      <c r="E12" s="30">
        <v>0.0</v>
      </c>
      <c r="F12" s="30">
        <v>0.0</v>
      </c>
      <c r="G12" s="32">
        <f t="shared" ref="G12:G22" si="2">IF(OR(C12="",C13=""),"",(C12-C13)/C13)</f>
        <v>1.307692308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52000.0</v>
      </c>
      <c r="D13" s="29">
        <v>9200.0</v>
      </c>
      <c r="E13" s="30">
        <v>0.0</v>
      </c>
      <c r="F13" s="30">
        <v>0.0</v>
      </c>
      <c r="G13" s="32">
        <f t="shared" si="2"/>
        <v>0.1818181818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44000.0</v>
      </c>
      <c r="D14" s="29">
        <v>5200.0</v>
      </c>
      <c r="E14" s="30">
        <v>0.0</v>
      </c>
      <c r="F14" s="30">
        <v>0.0</v>
      </c>
      <c r="G14" s="32">
        <f t="shared" si="2"/>
        <v>-0.08333333333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48000.0</v>
      </c>
      <c r="D15" s="29">
        <v>4800.0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66000</v>
      </c>
      <c r="D24" s="46">
        <f t="shared" si="3"/>
        <v>11300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0.4687257187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580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0.1903015152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0.1903015152</v>
      </c>
      <c r="D39" s="59">
        <v>0.18</v>
      </c>
      <c r="E39" s="59">
        <v>0.25</v>
      </c>
      <c r="F39" s="60" t="str">
        <f t="shared" si="6"/>
        <v>YELLOW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0.05132743363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0.6060606061</v>
      </c>
      <c r="D41" s="63">
        <v>0.6</v>
      </c>
      <c r="E41" s="63">
        <v>0.9</v>
      </c>
      <c r="F41" s="60" t="str">
        <f t="shared" si="6"/>
        <v>YELLOW</v>
      </c>
      <c r="G41" s="63">
        <v>1.25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0.4687257187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0.1712121212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548.603094</v>
      </c>
    </row>
    <row r="57" ht="15.75" customHeight="1">
      <c r="B57" s="70" t="s">
        <v>80</v>
      </c>
      <c r="C57" s="15">
        <f>IF(C24=0,"",(D38*C24-F34)/21.655)</f>
        <v>914.33849</v>
      </c>
    </row>
    <row r="58" ht="15.75" customHeight="1">
      <c r="B58" s="70" t="s">
        <v>81</v>
      </c>
      <c r="C58" s="15">
        <f>IF(OR(C24=0,D24=0),"",D40*D24-E34)</f>
        <v>2034</v>
      </c>
    </row>
    <row r="59" ht="15.75" customHeight="1">
      <c r="B59" s="68" t="s">
        <v>82</v>
      </c>
      <c r="C59" s="21">
        <f>IF(C24=0,"",MAX(0,MIN(C56:C58)))</f>
        <v>548.603094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2743.01547</v>
      </c>
      <c r="D60" s="75">
        <f>IF(OR(C59="",C59=0),"",C59*21.655)</f>
        <v>11880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37500</v>
      </c>
      <c r="D62" s="4" t="str">
        <f>IF(C62="-","KNOCKOUT on the merchant - do not fund.",IF(C62="","","payback "&amp;TEXT(C62*D61,"$#,##0")&amp;" over "&amp;C61&amp;" daily pmts ("&amp;TEXT(C61/5,"0")&amp;" wks)"))</f>
        <v>payback $54,375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150000.0</v>
      </c>
      <c r="C6" s="10">
        <v>1.45</v>
      </c>
      <c r="D6" s="11">
        <v>32.0</v>
      </c>
      <c r="E6" s="12" t="s">
        <v>12</v>
      </c>
      <c r="F6" s="13">
        <v>0.05</v>
      </c>
      <c r="J6" s="14" t="s">
        <v>13</v>
      </c>
      <c r="K6" s="15">
        <f>IF(OR(D8="",C24=0),"",D8)</f>
        <v>6796.875</v>
      </c>
      <c r="L6" s="15">
        <f>IF(OR(D8="",C24=0),"",L7*C24/4)</f>
        <v>6800.5</v>
      </c>
      <c r="M6" s="16">
        <f t="shared" ref="M6:M8" si="1">IF(OR(K6="",L6=""),"",L6-K6)</f>
        <v>3.625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0.0878724347</v>
      </c>
      <c r="L7" s="17">
        <f>IF(OR(D8="",C24=0),"",ROUND(D8*4/C24*100,2)/100)</f>
        <v>0.0812</v>
      </c>
      <c r="M7" s="18">
        <f t="shared" si="1"/>
        <v>-0.006672434701</v>
      </c>
    </row>
    <row r="8">
      <c r="B8" s="19">
        <f>IF(OR(B6="",C6=""),"",B6*C6)</f>
        <v>217500</v>
      </c>
      <c r="C8" s="21">
        <f>IF(OR(B8="",D6="",D6=0),"",IF(E6="Weekly",(B8/D6)/5,B8/D6))</f>
        <v>1359.375</v>
      </c>
      <c r="D8" s="21">
        <f>IF(C8="","",C8*5)</f>
        <v>6796.875</v>
      </c>
      <c r="E8" s="19">
        <f>IF(C8="","",C8*21.655)</f>
        <v>29437.26563</v>
      </c>
      <c r="F8" s="22">
        <f>IF(OR(D6="",D6=0),"",IF(E6="Weekly",D6,D6/5)/(21.655/5))</f>
        <v>7.388593858</v>
      </c>
      <c r="G8" s="19">
        <f>IF(B6="","",B6-(B6*F6))</f>
        <v>142500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339000.0</v>
      </c>
      <c r="D12" s="29">
        <v>13000.0</v>
      </c>
      <c r="E12" s="30">
        <v>0.0</v>
      </c>
      <c r="F12" s="30">
        <v>0.0</v>
      </c>
      <c r="G12" s="32">
        <f t="shared" ref="G12:G22" si="2">IF(OR(C12="",C13=""),"",(C12-C13)/C13)</f>
        <v>-0.100795756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377000.0</v>
      </c>
      <c r="D13" s="29">
        <v>22000.0</v>
      </c>
      <c r="E13" s="30">
        <v>0.0</v>
      </c>
      <c r="F13" s="30">
        <v>0.0</v>
      </c>
      <c r="G13" s="32">
        <f t="shared" si="2"/>
        <v>0.2044728435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313000.0</v>
      </c>
      <c r="D14" s="29">
        <v>17000.0</v>
      </c>
      <c r="E14" s="30">
        <v>0.0</v>
      </c>
      <c r="F14" s="30">
        <v>0.0</v>
      </c>
      <c r="G14" s="32">
        <f t="shared" si="2"/>
        <v>0.006430868167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311000.0</v>
      </c>
      <c r="D15" s="29">
        <v>19000.0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335000</v>
      </c>
      <c r="D24" s="46">
        <f t="shared" si="3"/>
        <v>17750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0.03670265188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4535.72</v>
      </c>
      <c r="E28" s="28" t="s">
        <v>12</v>
      </c>
      <c r="F28" s="15">
        <f t="shared" ref="F28:F33" si="5">IF(D28="","",IF(E28="Daily",D28,IF(E28="Weekly",D28/5,D28/21.655)))</f>
        <v>907.144</v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907.144</v>
      </c>
      <c r="F34" s="46">
        <f>E34*21.655</f>
        <v>19644.20332</v>
      </c>
      <c r="G34" s="4" t="s">
        <v>52</v>
      </c>
    </row>
    <row r="35" ht="15.75" customHeight="1">
      <c r="E35" s="57">
        <f>E34+C8</f>
        <v>2266.519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0.1465118476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0.0878724347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0.1276912113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0.447761194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0.03670265188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0.0586394129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0.05298507463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2784.57631</v>
      </c>
    </row>
    <row r="57" ht="15.75" customHeight="1">
      <c r="B57" s="70" t="s">
        <v>80</v>
      </c>
      <c r="C57" s="15">
        <f>IF(C24=0,"",(D38*C24-F34)/21.655)</f>
        <v>3733.816517</v>
      </c>
    </row>
    <row r="58" ht="15.75" customHeight="1">
      <c r="B58" s="70" t="s">
        <v>81</v>
      </c>
      <c r="C58" s="15">
        <f>IF(OR(C24=0,D24=0),"",D40*D24-E34)</f>
        <v>2287.856</v>
      </c>
    </row>
    <row r="59" ht="15.75" customHeight="1">
      <c r="B59" s="68" t="s">
        <v>82</v>
      </c>
      <c r="C59" s="21">
        <f>IF(C24=0,"",MAX(0,MIN(C56:C58)))</f>
        <v>2287.856</v>
      </c>
      <c r="D59" s="4" t="str">
        <f t="array" ref="D59">IF(C59="","",IF(C59=0,"no clean room - existing debt is over a green line",INDEX({"SP% holdback";"Total LVG";"Daily/Balance"},MATCH(C59,C56:C58,0))&amp;" is the limit"))</f>
        <v>Daily/Balance is the limit</v>
      </c>
    </row>
    <row r="60" ht="15.75" customHeight="1">
      <c r="B60" s="70" t="s">
        <v>83</v>
      </c>
      <c r="C60" s="15">
        <f>IF(OR(C59="",C59=0),"",C59*5)</f>
        <v>11439.28</v>
      </c>
      <c r="D60" s="75">
        <f>IF(OR(C59="",C59=0),"",C59*21.655)</f>
        <v>49543.52168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120</v>
      </c>
      <c r="D61" s="77">
        <f t="array" ref="D61">IF(C54="","",INDEX($L$13:$L$16,MATCH(C54,$J$13:$J$16,1)))</f>
        <v>1.4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196000</v>
      </c>
      <c r="D62" s="4" t="str">
        <f>IF(C62="-","KNOCKOUT on the merchant - do not fund.",IF(C62="","","payback "&amp;TEXT(C62*D61,"$#,##0")&amp;" over "&amp;C61&amp;" daily pmts ("&amp;TEXT(C61/5,"0")&amp;" wks)"))</f>
        <v>payback $274,400 over 120 daily pmts (24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3G / 1Y / 0R   |   score 3.5/7 = Moderate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55000.0</v>
      </c>
      <c r="D12" s="29"/>
      <c r="E12" s="30">
        <v>0.0</v>
      </c>
      <c r="F12" s="30">
        <v>0.0</v>
      </c>
      <c r="G12" s="32">
        <f t="shared" ref="G12:G22" si="2">IF(OR(C12="",C13=""),"",(C12-C13)/C13)</f>
        <v>-0.08333333333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60000.0</v>
      </c>
      <c r="D13" s="29"/>
      <c r="E13" s="30">
        <v>0.0</v>
      </c>
      <c r="F13" s="30">
        <v>0.0</v>
      </c>
      <c r="G13" s="32">
        <f t="shared" si="2"/>
        <v>0.7142857143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35000.0</v>
      </c>
      <c r="D14" s="29"/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50000</v>
      </c>
      <c r="D24" s="46">
        <f t="shared" si="3"/>
        <v>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0.3154761905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531.0</v>
      </c>
      <c r="E28" s="28" t="s">
        <v>12</v>
      </c>
      <c r="F28" s="15">
        <f t="shared" ref="F28:F33" si="5">IF(D28="","",IF(E28="Daily",D28,IF(E28="Weekly",D28/5,D28/21.655)))</f>
        <v>106.2</v>
      </c>
    </row>
    <row r="29" ht="15.75" customHeight="1">
      <c r="B29" s="50"/>
      <c r="C29" s="29">
        <v>60000.0</v>
      </c>
      <c r="D29" s="29">
        <v>2649.0</v>
      </c>
      <c r="E29" s="28" t="s">
        <v>12</v>
      </c>
      <c r="F29" s="15">
        <f t="shared" si="5"/>
        <v>529.8</v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636</v>
      </c>
      <c r="F34" s="46">
        <f>E34*21.655</f>
        <v>13772.58</v>
      </c>
      <c r="G34" s="4" t="s">
        <v>52</v>
      </c>
    </row>
    <row r="35" ht="15.75" customHeight="1">
      <c r="E35" s="57">
        <f>E34+C8</f>
        <v>636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0.2754516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 t="str">
        <f>IF(D24=0,"",(E34+IF(C8="",0,C8))/D24)</f>
        <v/>
      </c>
      <c r="D40" s="61">
        <v>0.18</v>
      </c>
      <c r="E40" s="61">
        <v>0.3</v>
      </c>
      <c r="F40" s="60" t="str">
        <f t="shared" si="6"/>
        <v/>
      </c>
      <c r="G40" s="61">
        <v>0.35</v>
      </c>
    </row>
    <row r="41" ht="15.75" customHeight="1">
      <c r="B41" s="14" t="s">
        <v>62</v>
      </c>
      <c r="C41" s="62" t="str">
        <f>IF(OR(C24=0,B6=""),"",B6/C24)</f>
        <v/>
      </c>
      <c r="D41" s="63">
        <v>0.6</v>
      </c>
      <c r="E41" s="63">
        <v>0.9</v>
      </c>
      <c r="F41" s="60" t="str">
        <f t="shared" si="6"/>
        <v/>
      </c>
      <c r="G41" s="63">
        <v>1.25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0.3154761905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0.2754516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$3,500 is below your minimum $20,000.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3.5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Moderate</v>
      </c>
    </row>
    <row r="56" ht="15.75" customHeight="1">
      <c r="B56" s="70" t="s">
        <v>79</v>
      </c>
      <c r="C56" s="15">
        <f>IF(C24=0,"",D39*C24/21.655)</f>
        <v>415.6084045</v>
      </c>
    </row>
    <row r="57" ht="15.75" customHeight="1">
      <c r="B57" s="70" t="s">
        <v>80</v>
      </c>
      <c r="C57" s="15">
        <f>IF(C24=0,"",(D38*C24-F34)/21.655)</f>
        <v>56.68067421</v>
      </c>
    </row>
    <row r="58" ht="15.75" customHeight="1">
      <c r="B58" s="70" t="s">
        <v>81</v>
      </c>
      <c r="C58" s="15" t="str">
        <f>IF(OR(C24=0,D24=0),"",D40*D24-E34)</f>
        <v/>
      </c>
    </row>
    <row r="59" ht="15.75" customHeight="1">
      <c r="B59" s="68" t="s">
        <v>82</v>
      </c>
      <c r="C59" s="21">
        <f>IF(C24=0,"",MAX(0,MIN(C56:C58)))</f>
        <v>56.68067421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283.403371</v>
      </c>
      <c r="D60" s="75">
        <f>IF(OR(C59="",C59=0),"",C59*21.655)</f>
        <v>1227.42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1.49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3500</v>
      </c>
      <c r="D62" s="4" t="str">
        <f>IF(C62="-","KNOCKOUT on the merchant - do not fund.",IF(C62="","","payback "&amp;TEXT(C62*D61,"$#,##0")&amp;" over "&amp;C61&amp;" daily pmts ("&amp;TEXT(C61/5,"0")&amp;" wks)"))</f>
        <v>payback $5,215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31500.0</v>
      </c>
      <c r="C6" s="10">
        <v>1.45</v>
      </c>
      <c r="D6" s="11">
        <v>20.0</v>
      </c>
      <c r="E6" s="12" t="s">
        <v>12</v>
      </c>
      <c r="F6" s="13">
        <v>0.05</v>
      </c>
      <c r="J6" s="14" t="s">
        <v>13</v>
      </c>
      <c r="K6" s="15">
        <f>IF(OR(D8="",C24=0),"",D8)</f>
        <v>2283.75</v>
      </c>
      <c r="L6" s="15">
        <f>IF(OR(D8="",C24=0),"",L7*C24/4)</f>
        <v>2284.275</v>
      </c>
      <c r="M6" s="16">
        <f t="shared" ref="M6:M8" si="1">IF(OR(K6="",L6=""),"",L6-K6)</f>
        <v>0.525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0.1735249342</v>
      </c>
      <c r="L7" s="17">
        <f>IF(OR(D8="",C24=0),"",ROUND(D8*4/C24*100,2)/100)</f>
        <v>0.1603</v>
      </c>
      <c r="M7" s="18">
        <f t="shared" si="1"/>
        <v>-0.01322493421</v>
      </c>
    </row>
    <row r="8">
      <c r="B8" s="19">
        <f>IF(OR(B6="",C6=""),"",B6*C6)</f>
        <v>45675</v>
      </c>
      <c r="C8" s="21">
        <f>IF(OR(B8="",D6="",D6=0),"",IF(E6="Weekly",(B8/D6)/5,B8/D6))</f>
        <v>456.75</v>
      </c>
      <c r="D8" s="21">
        <f>IF(C8="","",C8*5)</f>
        <v>2283.75</v>
      </c>
      <c r="E8" s="19">
        <f>IF(C8="","",C8*21.655)</f>
        <v>9890.92125</v>
      </c>
      <c r="F8" s="22">
        <f>IF(OR(D6="",D6=0),"",IF(E6="Weekly",D6,D6/5)/(21.655/5))</f>
        <v>4.617871161</v>
      </c>
      <c r="G8" s="19">
        <f>IF(B6="","",B6-(B6*F6))</f>
        <v>29925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59000.0</v>
      </c>
      <c r="D12" s="29">
        <v>17000.0</v>
      </c>
      <c r="E12" s="30">
        <v>0.0</v>
      </c>
      <c r="F12" s="30">
        <v>0.0</v>
      </c>
      <c r="G12" s="32">
        <f t="shared" ref="G12:G22" si="2">IF(OR(C12="",C13=""),"",(C12-C13)/C13)</f>
        <v>-0.01666666667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60000.0</v>
      </c>
      <c r="D13" s="29">
        <v>13000.0</v>
      </c>
      <c r="E13" s="30">
        <v>0.0</v>
      </c>
      <c r="F13" s="30">
        <v>0.0</v>
      </c>
      <c r="G13" s="32">
        <f t="shared" si="2"/>
        <v>0.1538461538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52000.0</v>
      </c>
      <c r="D14" s="29">
        <v>18000.0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57000</v>
      </c>
      <c r="D24" s="46">
        <f t="shared" si="3"/>
        <v>16000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0.06858974359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722.0</v>
      </c>
      <c r="E28" s="28" t="s">
        <v>12</v>
      </c>
      <c r="F28" s="15">
        <f t="shared" ref="F28:F33" si="5">IF(D28="","",IF(E28="Daily",D28,IF(E28="Weekly",D28/5,D28/21.655)))</f>
        <v>144.4</v>
      </c>
    </row>
    <row r="29" ht="15.75" customHeight="1">
      <c r="B29" s="50"/>
      <c r="C29" s="42"/>
      <c r="D29" s="29">
        <v>656.0</v>
      </c>
      <c r="E29" s="28" t="s">
        <v>12</v>
      </c>
      <c r="F29" s="15">
        <f t="shared" si="5"/>
        <v>131.2</v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275.6</v>
      </c>
      <c r="F34" s="46">
        <f>E34*21.655</f>
        <v>5968.118</v>
      </c>
      <c r="G34" s="4" t="s">
        <v>52</v>
      </c>
    </row>
    <row r="35" ht="15.75" customHeight="1">
      <c r="E35" s="57">
        <f>E34+C8</f>
        <v>732.35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0.2782287588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0.1735249342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0.045771875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0.5526315789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0.06858974359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0.1047038246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0.2807017544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473.7935812</v>
      </c>
    </row>
    <row r="57" ht="15.75" customHeight="1">
      <c r="B57" s="70" t="s">
        <v>80</v>
      </c>
      <c r="C57" s="15">
        <f>IF(C24=0,"",(D38*C24-F34)/21.655)</f>
        <v>514.0559686</v>
      </c>
    </row>
    <row r="58" ht="15.75" customHeight="1">
      <c r="B58" s="70" t="s">
        <v>81</v>
      </c>
      <c r="C58" s="15">
        <f>IF(OR(C24=0,D24=0),"",D40*D24-E34)</f>
        <v>2604.4</v>
      </c>
    </row>
    <row r="59" ht="15.75" customHeight="1">
      <c r="B59" s="68" t="s">
        <v>82</v>
      </c>
      <c r="C59" s="21">
        <f>IF(C24=0,"",MAX(0,MIN(C56:C58)))</f>
        <v>473.7935812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2368.967906</v>
      </c>
      <c r="D60" s="75">
        <f>IF(OR(C59="",C59=0),"",C59*21.655)</f>
        <v>10260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32500</v>
      </c>
      <c r="D62" s="4" t="str">
        <f>IF(C62="-","KNOCKOUT on the merchant - do not fund.",IF(C62="","","payback "&amp;TEXT(C62*D61,"$#,##0")&amp;" over "&amp;C61&amp;" daily pmts ("&amp;TEXT(C61/5,"0")&amp;" wks)"))</f>
        <v>payback $47,125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115000.0</v>
      </c>
      <c r="C6" s="10">
        <v>1.49</v>
      </c>
      <c r="D6" s="11">
        <v>20.0</v>
      </c>
      <c r="E6" s="12" t="s">
        <v>12</v>
      </c>
      <c r="F6" s="13">
        <v>0.05</v>
      </c>
      <c r="J6" s="14" t="s">
        <v>13</v>
      </c>
      <c r="K6" s="15">
        <f>IF(OR(D8="",C24=0),"",D8)</f>
        <v>8567.5</v>
      </c>
      <c r="L6" s="15">
        <f>IF(OR(D8="",C24=0),"",L7*C24/4)</f>
        <v>8567.991667</v>
      </c>
      <c r="M6" s="16">
        <f t="shared" ref="M6:M8" si="1">IF(OR(K6="",L6=""),"",L6-K6)</f>
        <v>0.4916666667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0.1798344548</v>
      </c>
      <c r="L7" s="17">
        <f>IF(OR(D8="",C24=0),"",ROUND(D8*4/C24*100,2)/100)</f>
        <v>0.1661</v>
      </c>
      <c r="M7" s="18">
        <f t="shared" si="1"/>
        <v>-0.01373445477</v>
      </c>
    </row>
    <row r="8">
      <c r="B8" s="19">
        <f>IF(OR(B6="",C6=""),"",B6*C6)</f>
        <v>171350</v>
      </c>
      <c r="C8" s="21">
        <f>IF(OR(B8="",D6="",D6=0),"",IF(E6="Weekly",(B8/D6)/5,B8/D6))</f>
        <v>1713.5</v>
      </c>
      <c r="D8" s="21">
        <f>IF(C8="","",C8*5)</f>
        <v>8567.5</v>
      </c>
      <c r="E8" s="19">
        <f>IF(C8="","",C8*21.655)</f>
        <v>37105.8425</v>
      </c>
      <c r="F8" s="22">
        <f>IF(OR(D6="",D6=0),"",IF(E6="Weekly",D6,D6/5)/(21.655/5))</f>
        <v>4.617871161</v>
      </c>
      <c r="G8" s="19">
        <f>IF(B6="","",B6-(B6*F6))</f>
        <v>109250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234000.0</v>
      </c>
      <c r="D12" s="29">
        <v>25000.0</v>
      </c>
      <c r="E12" s="30">
        <v>1.0</v>
      </c>
      <c r="F12" s="30">
        <v>0.0</v>
      </c>
      <c r="G12" s="32">
        <f t="shared" ref="G12:G22" si="2">IF(OR(C12="",C13=""),"",(C12-C13)/C13)</f>
        <v>0.1470588235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204000.0</v>
      </c>
      <c r="D13" s="29">
        <v>22000.0</v>
      </c>
      <c r="E13" s="30">
        <v>0.0</v>
      </c>
      <c r="F13" s="30">
        <v>0.0</v>
      </c>
      <c r="G13" s="32">
        <f t="shared" si="2"/>
        <v>0.1270718232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181000.0</v>
      </c>
      <c r="D14" s="29">
        <v>24000.0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206333.3333</v>
      </c>
      <c r="D24" s="46">
        <f t="shared" si="3"/>
        <v>23666.66667</v>
      </c>
      <c r="E24" s="47">
        <f t="shared" ref="E24:F24" si="4">SUM(E12:E23)</f>
        <v>1</v>
      </c>
      <c r="F24" s="47">
        <f t="shared" si="4"/>
        <v>0</v>
      </c>
      <c r="G24" s="48">
        <f>IFERROR(AVERAGE(G12:G22),"")</f>
        <v>0.1370653234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2522.0</v>
      </c>
      <c r="E28" s="28" t="s">
        <v>12</v>
      </c>
      <c r="F28" s="15">
        <f t="shared" ref="F28:F33" si="5">IF(D28="","",IF(E28="Daily",D28,IF(E28="Weekly",D28/5,D28/21.655)))</f>
        <v>504.4</v>
      </c>
    </row>
    <row r="29" ht="15.75" customHeight="1">
      <c r="B29" s="50"/>
      <c r="C29" s="42"/>
      <c r="D29" s="29">
        <v>2683.0</v>
      </c>
      <c r="E29" s="28" t="s">
        <v>12</v>
      </c>
      <c r="F29" s="15">
        <f t="shared" si="5"/>
        <v>536.6</v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1041</v>
      </c>
      <c r="F34" s="46">
        <f>E34*21.655</f>
        <v>22542.855</v>
      </c>
      <c r="G34" s="4" t="s">
        <v>52</v>
      </c>
    </row>
    <row r="35" ht="15.75" customHeight="1">
      <c r="E35" s="57">
        <f>E34+C8</f>
        <v>2754.5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0.2890890024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0.1798344548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0.1163873239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0.5573505654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0.1370653234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1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0.1092545477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0.1147011309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1715.077349</v>
      </c>
    </row>
    <row r="57" ht="15.75" customHeight="1">
      <c r="B57" s="70" t="s">
        <v>80</v>
      </c>
      <c r="C57" s="15">
        <f>IF(C24=0,"",(D38*C24-F34)/21.655)</f>
        <v>1817.462249</v>
      </c>
    </row>
    <row r="58" ht="15.75" customHeight="1">
      <c r="B58" s="70" t="s">
        <v>81</v>
      </c>
      <c r="C58" s="15">
        <f>IF(OR(C24=0,D24=0),"",D40*D24-E34)</f>
        <v>3219</v>
      </c>
    </row>
    <row r="59" ht="15.75" customHeight="1">
      <c r="B59" s="68" t="s">
        <v>82</v>
      </c>
      <c r="C59" s="21">
        <f>IF(C24=0,"",MAX(0,MIN(C56:C58)))</f>
        <v>1715.077349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8575.386747</v>
      </c>
      <c r="D60" s="75">
        <f>IF(OR(C59="",C59=0),"",C59*21.655)</f>
        <v>37140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118000</v>
      </c>
      <c r="D62" s="4" t="str">
        <f>IF(C62="-","KNOCKOUT on the merchant - do not fund.",IF(C62="","","payback "&amp;TEXT(C62*D61,"$#,##0")&amp;" over "&amp;C61&amp;" daily pmts ("&amp;TEXT(C61/5,"0")&amp;" wks)"))</f>
        <v>payback $171,100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40000.0</v>
      </c>
      <c r="C6" s="10">
        <v>1.49</v>
      </c>
      <c r="D6" s="11">
        <v>100.0</v>
      </c>
      <c r="E6" s="12" t="s">
        <v>87</v>
      </c>
      <c r="F6" s="13">
        <v>0.05</v>
      </c>
      <c r="J6" s="14" t="s">
        <v>13</v>
      </c>
      <c r="K6" s="15">
        <f>IF(OR(D8="",C24=0),"",D8)</f>
        <v>2980</v>
      </c>
      <c r="L6" s="15">
        <f>IF(OR(D8="",C24=0),"",L7*C24/4)</f>
        <v>2979.9</v>
      </c>
      <c r="M6" s="16">
        <f t="shared" ref="M6:M8" si="1">IF(OR(K6="",L6=""),"",L6-K6)</f>
        <v>-0.1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0.1955512121</v>
      </c>
      <c r="L7" s="17">
        <f>IF(OR(D8="",C24=0),"",ROUND(D8*4/C24*100,2)/100)</f>
        <v>0.1806</v>
      </c>
      <c r="M7" s="18">
        <f t="shared" si="1"/>
        <v>-0.01495121212</v>
      </c>
    </row>
    <row r="8">
      <c r="B8" s="19">
        <f>IF(OR(B6="",C6=""),"",B6*C6)</f>
        <v>59600</v>
      </c>
      <c r="C8" s="21">
        <f>IF(OR(B8="",D6="",D6=0),"",IF(E6="Weekly",(B8/D6)/5,B8/D6))</f>
        <v>596</v>
      </c>
      <c r="D8" s="21">
        <f>IF(C8="","",C8*5)</f>
        <v>2980</v>
      </c>
      <c r="E8" s="19">
        <f>IF(C8="","",C8*21.655)</f>
        <v>12906.38</v>
      </c>
      <c r="F8" s="22">
        <f>IF(OR(D6="",D6=0),"",IF(E6="Weekly",D6,D6/5)/(21.655/5))</f>
        <v>4.617871161</v>
      </c>
      <c r="G8" s="19">
        <f>IF(B6="","",B6-(B6*F6))</f>
        <v>38000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74000.0</v>
      </c>
      <c r="D12" s="29">
        <v>17000.0</v>
      </c>
      <c r="E12" s="30">
        <v>0.0</v>
      </c>
      <c r="F12" s="30">
        <v>0.0</v>
      </c>
      <c r="G12" s="32">
        <f t="shared" ref="G12:G22" si="2">IF(OR(C12="",C13=""),"",(C12-C13)/C13)</f>
        <v>0.2542372881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59000.0</v>
      </c>
      <c r="D13" s="29">
        <v>5400.0</v>
      </c>
      <c r="E13" s="30">
        <v>0.0</v>
      </c>
      <c r="F13" s="30">
        <v>0.0</v>
      </c>
      <c r="G13" s="32">
        <f t="shared" si="2"/>
        <v>-0.09230769231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65000.0</v>
      </c>
      <c r="D14" s="29">
        <v>6300.0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66000</v>
      </c>
      <c r="D24" s="46">
        <f t="shared" si="3"/>
        <v>9566.666667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0.08096479791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192.0</v>
      </c>
      <c r="E28" s="28" t="s">
        <v>87</v>
      </c>
      <c r="F28" s="15">
        <f t="shared" ref="F28:F33" si="5">IF(D28="","",IF(E28="Daily",D28,IF(E28="Weekly",D28/5,D28/21.655)))</f>
        <v>192</v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192</v>
      </c>
      <c r="F34" s="46">
        <f>E34*21.655</f>
        <v>4157.76</v>
      </c>
      <c r="G34" s="4" t="s">
        <v>52</v>
      </c>
    </row>
    <row r="35" ht="15.75" customHeight="1">
      <c r="E35" s="57">
        <f>E34+C8</f>
        <v>788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0.2585475758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0.1955512121</v>
      </c>
      <c r="D39" s="59">
        <v>0.18</v>
      </c>
      <c r="E39" s="59">
        <v>0.25</v>
      </c>
      <c r="F39" s="60" t="str">
        <f t="shared" si="6"/>
        <v>YELLOW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0.08236933798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0.6060606061</v>
      </c>
      <c r="D41" s="63">
        <v>0.6</v>
      </c>
      <c r="E41" s="63">
        <v>0.9</v>
      </c>
      <c r="F41" s="60" t="str">
        <f t="shared" si="6"/>
        <v>YELLOW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0.08096479791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0.06299636364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0.1449494949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548.603094</v>
      </c>
    </row>
    <row r="57" ht="15.75" customHeight="1">
      <c r="B57" s="70" t="s">
        <v>80</v>
      </c>
      <c r="C57" s="15">
        <f>IF(C24=0,"",(D38*C24-F34)/21.655)</f>
        <v>722.33849</v>
      </c>
    </row>
    <row r="58" ht="15.75" customHeight="1">
      <c r="B58" s="70" t="s">
        <v>81</v>
      </c>
      <c r="C58" s="15">
        <f>IF(OR(C24=0,D24=0),"",D40*D24-E34)</f>
        <v>1530</v>
      </c>
    </row>
    <row r="59" ht="15.75" customHeight="1">
      <c r="B59" s="68" t="s">
        <v>82</v>
      </c>
      <c r="C59" s="21">
        <f>IF(C24=0,"",MAX(0,MIN(C56:C58)))</f>
        <v>548.603094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2743.01547</v>
      </c>
      <c r="D60" s="75">
        <f>IF(OR(C59="",C59=0),"",C59*21.655)</f>
        <v>11880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37500</v>
      </c>
      <c r="D62" s="4" t="str">
        <f>IF(C62="-","KNOCKOUT on the merchant - do not fund.",IF(C62="","","payback "&amp;TEXT(C62*D61,"$#,##0")&amp;" over "&amp;C61&amp;" daily pmts ("&amp;TEXT(C61/5,"0")&amp;" wks)"))</f>
        <v>payback $54,375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50000.0</v>
      </c>
      <c r="C6" s="10">
        <v>1.45</v>
      </c>
      <c r="D6" s="11">
        <v>100.0</v>
      </c>
      <c r="E6" s="12" t="s">
        <v>87</v>
      </c>
      <c r="F6" s="13">
        <v>0.05</v>
      </c>
      <c r="J6" s="14" t="s">
        <v>13</v>
      </c>
      <c r="K6" s="15">
        <f>IF(OR(D8="",C24=0),"",D8)</f>
        <v>3625</v>
      </c>
      <c r="L6" s="15">
        <f>IF(OR(D8="",C24=0),"",L7*C24/4)</f>
        <v>3625</v>
      </c>
      <c r="M6" s="16">
        <f t="shared" ref="M6:M8" si="1">IF(OR(K6="",L6=""),"",L6-K6)</f>
        <v>0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0.1883985</v>
      </c>
      <c r="L7" s="17">
        <f>IF(OR(D8="",C24=0),"",ROUND(D8*4/C24*100,2)/100)</f>
        <v>0.174</v>
      </c>
      <c r="M7" s="18">
        <f t="shared" si="1"/>
        <v>-0.0143985</v>
      </c>
    </row>
    <row r="8">
      <c r="B8" s="19">
        <f>IF(OR(B6="",C6=""),"",B6*C6)</f>
        <v>72500</v>
      </c>
      <c r="C8" s="21">
        <f>IF(OR(B8="",D6="",D6=0),"",IF(E6="Weekly",(B8/D6)/5,B8/D6))</f>
        <v>725</v>
      </c>
      <c r="D8" s="21">
        <f>IF(C8="","",C8*5)</f>
        <v>3625</v>
      </c>
      <c r="E8" s="19">
        <f>IF(C8="","",C8*21.655)</f>
        <v>15699.875</v>
      </c>
      <c r="F8" s="22">
        <f>IF(OR(D6="",D6=0),"",IF(E6="Weekly",D6,D6/5)/(21.655/5))</f>
        <v>4.617871161</v>
      </c>
      <c r="G8" s="19">
        <f>IF(B6="","",B6-(B6*F6))</f>
        <v>47500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75000.0</v>
      </c>
      <c r="D12" s="29">
        <v>18000.0</v>
      </c>
      <c r="E12" s="30">
        <v>0.0</v>
      </c>
      <c r="F12" s="30">
        <v>0.0</v>
      </c>
      <c r="G12" s="32">
        <f t="shared" ref="G12:G22" si="2">IF(OR(C12="",C13=""),"",(C12-C13)/C13)</f>
        <v>-0.25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100000.0</v>
      </c>
      <c r="D13" s="29">
        <v>39000.0</v>
      </c>
      <c r="E13" s="30">
        <v>0.0</v>
      </c>
      <c r="F13" s="30">
        <v>0.0</v>
      </c>
      <c r="G13" s="32">
        <f t="shared" si="2"/>
        <v>0.3333333333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75000.0</v>
      </c>
      <c r="D14" s="29">
        <v>14000.0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83333.33333</v>
      </c>
      <c r="D24" s="46">
        <f t="shared" si="3"/>
        <v>23666.66667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0.04166666667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725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0.1883985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0.1883985</v>
      </c>
      <c r="D39" s="59">
        <v>0.18</v>
      </c>
      <c r="E39" s="59">
        <v>0.25</v>
      </c>
      <c r="F39" s="60" t="str">
        <f t="shared" si="6"/>
        <v>YELLOW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0.03063380282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0.6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0.04166666667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0.284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692.6806742</v>
      </c>
    </row>
    <row r="57" ht="15.75" customHeight="1">
      <c r="B57" s="70" t="s">
        <v>80</v>
      </c>
      <c r="C57" s="15">
        <f>IF(C24=0,"",(D38*C24-F34)/21.655)</f>
        <v>1154.46779</v>
      </c>
    </row>
    <row r="58" ht="15.75" customHeight="1">
      <c r="B58" s="70" t="s">
        <v>81</v>
      </c>
      <c r="C58" s="15">
        <f>IF(OR(C24=0,D24=0),"",D40*D24-E34)</f>
        <v>4260</v>
      </c>
    </row>
    <row r="59" ht="15.75" customHeight="1">
      <c r="B59" s="68" t="s">
        <v>82</v>
      </c>
      <c r="C59" s="21">
        <f>IF(C24=0,"",MAX(0,MIN(C56:C58)))</f>
        <v>692.6806742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3463.403371</v>
      </c>
      <c r="D60" s="75">
        <f>IF(OR(C59="",C59=0),"",C59*21.655)</f>
        <v>15000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47500</v>
      </c>
      <c r="D62" s="4" t="str">
        <f>IF(C62="-","KNOCKOUT on the merchant - do not fund.",IF(C62="","","payback "&amp;TEXT(C62*D61,"$#,##0")&amp;" over "&amp;C61&amp;" daily pmts ("&amp;TEXT(C61/5,"0")&amp;" wks)"))</f>
        <v>payback $68,875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50000.0</v>
      </c>
      <c r="C6" s="10">
        <v>1.45</v>
      </c>
      <c r="D6" s="11">
        <v>140.0</v>
      </c>
      <c r="E6" s="12" t="s">
        <v>87</v>
      </c>
      <c r="F6" s="13">
        <v>0.05</v>
      </c>
      <c r="J6" s="14" t="s">
        <v>13</v>
      </c>
      <c r="K6" s="15">
        <f>IF(OR(D8="",C24=0),"",D8)</f>
        <v>2589.285714</v>
      </c>
      <c r="L6" s="15">
        <f>IF(OR(D8="",C24=0),"",L7*C24/4)</f>
        <v>2588.549175</v>
      </c>
      <c r="M6" s="16">
        <f t="shared" ref="M6:M8" si="1">IF(OR(K6="",L6=""),"",L6-K6)</f>
        <v>-0.7365392857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0.08599481179</v>
      </c>
      <c r="L7" s="17">
        <f>IF(OR(D8="",C24=0),"",ROUND(D8*4/C24*100,2)/100)</f>
        <v>0.0794</v>
      </c>
      <c r="M7" s="18">
        <f t="shared" si="1"/>
        <v>-0.006594811788</v>
      </c>
    </row>
    <row r="8">
      <c r="B8" s="19">
        <f>IF(OR(B6="",C6=""),"",B6*C6)</f>
        <v>72500</v>
      </c>
      <c r="C8" s="21">
        <f>IF(OR(B8="",D6="",D6=0),"",IF(E6="Weekly",(B8/D6)/5,B8/D6))</f>
        <v>517.8571429</v>
      </c>
      <c r="D8" s="21">
        <f>IF(C8="","",C8*5)</f>
        <v>2589.285714</v>
      </c>
      <c r="E8" s="19">
        <f>IF(C8="","",C8*21.655)</f>
        <v>11214.19643</v>
      </c>
      <c r="F8" s="22">
        <f>IF(OR(D6="",D6=0),"",IF(E6="Weekly",D6,D6/5)/(21.655/5))</f>
        <v>6.465019626</v>
      </c>
      <c r="G8" s="19">
        <f>IF(B6="","",B6-(B6*F6))</f>
        <v>47500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111464.0</v>
      </c>
      <c r="D12" s="29">
        <v>18000.0</v>
      </c>
      <c r="E12" s="30">
        <v>0.0</v>
      </c>
      <c r="F12" s="30">
        <v>0.0</v>
      </c>
      <c r="G12" s="32">
        <f t="shared" ref="G12:G22" si="2">IF(OR(C12="",C13=""),"",(C12-C13)/C13)</f>
        <v>-0.1399913586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129608.0</v>
      </c>
      <c r="D13" s="29">
        <v>20000.0</v>
      </c>
      <c r="E13" s="30">
        <v>0.0</v>
      </c>
      <c r="F13" s="30">
        <v>0.0</v>
      </c>
      <c r="G13" s="32">
        <f t="shared" si="2"/>
        <v>-0.09852963679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143774.0</v>
      </c>
      <c r="D14" s="29">
        <v>40000.0</v>
      </c>
      <c r="E14" s="30">
        <v>0.0</v>
      </c>
      <c r="F14" s="30">
        <v>0.0</v>
      </c>
      <c r="G14" s="32">
        <f t="shared" si="2"/>
        <v>0.05116394689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136776.0</v>
      </c>
      <c r="D15" s="29">
        <v>40000.0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130405.5</v>
      </c>
      <c r="D24" s="46">
        <f t="shared" si="3"/>
        <v>29500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-0.06245234949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517.8571429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0.08599481179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0.08599481179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0.01755447942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0.383419411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-0.06245234949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YELLOW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0.2262174525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1083.952436</v>
      </c>
    </row>
    <row r="57" ht="15.75" customHeight="1">
      <c r="B57" s="70" t="s">
        <v>80</v>
      </c>
      <c r="C57" s="15">
        <f>IF(C24=0,"",(D38*C24-F34)/21.655)</f>
        <v>1806.587393</v>
      </c>
    </row>
    <row r="58" ht="15.75" customHeight="1">
      <c r="B58" s="70" t="s">
        <v>81</v>
      </c>
      <c r="C58" s="15">
        <f>IF(OR(C24=0,D24=0),"",D40*D24-E34)</f>
        <v>5310</v>
      </c>
    </row>
    <row r="59" ht="15.75" customHeight="1">
      <c r="B59" s="68" t="s">
        <v>82</v>
      </c>
      <c r="C59" s="21">
        <f>IF(C24=0,"",MAX(0,MIN(C56:C58)))</f>
        <v>1083.952436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5419.76218</v>
      </c>
      <c r="D60" s="75">
        <f>IF(OR(C59="",C59=0),"",C59*21.655)</f>
        <v>23472.99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74500</v>
      </c>
      <c r="D62" s="4" t="str">
        <f>IF(C62="-","KNOCKOUT on the merchant - do not fund.",IF(C62="","","payback "&amp;TEXT(C62*D61,"$#,##0")&amp;" over "&amp;C61&amp;" daily pmts ("&amp;TEXT(C61/5,"0")&amp;" wks)"))</f>
        <v>payback $108,025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60000.0</v>
      </c>
      <c r="C6" s="10">
        <v>1.49</v>
      </c>
      <c r="D6" s="11">
        <v>36.0</v>
      </c>
      <c r="E6" s="12" t="s">
        <v>12</v>
      </c>
      <c r="F6" s="13">
        <v>0.05</v>
      </c>
      <c r="J6" s="14" t="s">
        <v>13</v>
      </c>
      <c r="K6" s="15">
        <f>IF(OR(D8="",C24=0),"",D8)</f>
        <v>2483.333333</v>
      </c>
      <c r="L6" s="15">
        <f>IF(OR(D8="",C24=0),"",L7*C24/4)</f>
        <v>2483.0375</v>
      </c>
      <c r="M6" s="16">
        <f t="shared" ref="M6:M8" si="1">IF(OR(K6="",L6=""),"",L6-K6)</f>
        <v>-0.2958333333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0.07937503075</v>
      </c>
      <c r="L7" s="17">
        <f>IF(OR(D8="",C24=0),"",ROUND(D8*4/C24*100,2)/100)</f>
        <v>0.0733</v>
      </c>
      <c r="M7" s="18">
        <f t="shared" si="1"/>
        <v>-0.00607503075</v>
      </c>
    </row>
    <row r="8">
      <c r="B8" s="19">
        <f>IF(OR(B6="",C6=""),"",B6*C6)</f>
        <v>89400</v>
      </c>
      <c r="C8" s="21">
        <f>IF(OR(B8="",D6="",D6=0),"",IF(E6="Weekly",(B8/D6)/5,B8/D6))</f>
        <v>496.6666667</v>
      </c>
      <c r="D8" s="21">
        <f>IF(C8="","",C8*5)</f>
        <v>2483.333333</v>
      </c>
      <c r="E8" s="19">
        <f>IF(C8="","",C8*21.655)</f>
        <v>10755.31667</v>
      </c>
      <c r="F8" s="22">
        <f>IF(OR(D6="",D6=0),"",IF(E6="Weekly",D6,D6/5)/(21.655/5))</f>
        <v>8.312168091</v>
      </c>
      <c r="G8" s="19">
        <f>IF(B6="","",B6-(B6*F6))</f>
        <v>57000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138000.0</v>
      </c>
      <c r="D12" s="29">
        <v>21000.0</v>
      </c>
      <c r="E12" s="30">
        <v>0.0</v>
      </c>
      <c r="F12" s="30">
        <v>0.0</v>
      </c>
      <c r="G12" s="32">
        <f t="shared" ref="G12:G22" si="2">IF(OR(C12="",C13=""),"",(C12-C13)/C13)</f>
        <v>0.1129032258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124000.0</v>
      </c>
      <c r="D13" s="29">
        <v>31000.0</v>
      </c>
      <c r="E13" s="30">
        <v>0.0</v>
      </c>
      <c r="F13" s="30">
        <v>0.0</v>
      </c>
      <c r="G13" s="32">
        <f t="shared" si="2"/>
        <v>-0.1205673759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141000.0</v>
      </c>
      <c r="D14" s="29">
        <v>63000.0</v>
      </c>
      <c r="E14" s="30">
        <v>0.0</v>
      </c>
      <c r="F14" s="30">
        <v>0.0</v>
      </c>
      <c r="G14" s="32">
        <f t="shared" si="2"/>
        <v>0.01438848921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139000.0</v>
      </c>
      <c r="D15" s="29">
        <v>18000.0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29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135500</v>
      </c>
      <c r="D24" s="46">
        <f t="shared" si="3"/>
        <v>33250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0.002241446376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871.63</v>
      </c>
      <c r="E28" s="28" t="s">
        <v>12</v>
      </c>
      <c r="F28" s="15">
        <f t="shared" ref="F28:F33" si="5">IF(D28="","",IF(E28="Daily",D28,IF(E28="Weekly",D28/5,D28/21.655)))</f>
        <v>174.326</v>
      </c>
    </row>
    <row r="29" ht="15.75" customHeight="1">
      <c r="B29" s="50"/>
      <c r="C29" s="42"/>
      <c r="D29" s="29">
        <v>506.25</v>
      </c>
      <c r="E29" s="28" t="s">
        <v>12</v>
      </c>
      <c r="F29" s="15">
        <f t="shared" si="5"/>
        <v>101.25</v>
      </c>
    </row>
    <row r="30" ht="15.75" customHeight="1">
      <c r="B30" s="50"/>
      <c r="C30" s="42"/>
      <c r="D30" s="29">
        <v>1167.2</v>
      </c>
      <c r="E30" s="28" t="s">
        <v>12</v>
      </c>
      <c r="F30" s="15">
        <f t="shared" si="5"/>
        <v>233.44</v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3</v>
      </c>
      <c r="D34" s="55" t="s">
        <v>51</v>
      </c>
      <c r="E34" s="56">
        <f>SUM(F28:F33)</f>
        <v>509.016</v>
      </c>
      <c r="F34" s="46">
        <f>E34*21.655</f>
        <v>11022.74148</v>
      </c>
      <c r="G34" s="4" t="s">
        <v>52</v>
      </c>
    </row>
    <row r="35" ht="15.75" customHeight="1">
      <c r="E35" s="57">
        <f>E34+C8</f>
        <v>1005.682667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0.1607236764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0.07937503075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0.03024609524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0.442804428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4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0.002241446376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0.08134864561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0.2453874539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1126.298776</v>
      </c>
    </row>
    <row r="57" ht="15.75" customHeight="1">
      <c r="B57" s="70" t="s">
        <v>80</v>
      </c>
      <c r="C57" s="15">
        <f>IF(C24=0,"",(D38*C24-F34)/21.655)</f>
        <v>1368.148627</v>
      </c>
    </row>
    <row r="58" ht="15.75" customHeight="1">
      <c r="B58" s="70" t="s">
        <v>81</v>
      </c>
      <c r="C58" s="15">
        <f>IF(OR(C24=0,D24=0),"",D40*D24-E34)</f>
        <v>5475.984</v>
      </c>
    </row>
    <row r="59" ht="15.75" customHeight="1">
      <c r="B59" s="68" t="s">
        <v>82</v>
      </c>
      <c r="C59" s="21">
        <f>IF(C24=0,"",MAX(0,MIN(C56:C58)))</f>
        <v>1126.298776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5631.493881</v>
      </c>
      <c r="D60" s="75">
        <f>IF(OR(C59="",C59=0),"",C59*21.655)</f>
        <v>24390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77500</v>
      </c>
      <c r="D62" s="4" t="str">
        <f>IF(C62="-","KNOCKOUT on the merchant - do not fund.",IF(C62="","","payback "&amp;TEXT(C62*D61,"$#,##0")&amp;" over "&amp;C61&amp;" daily pmts ("&amp;TEXT(C61/5,"0")&amp;" wks)"))</f>
        <v>payback $112,375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20000.0</v>
      </c>
      <c r="C6" s="10">
        <v>1.45</v>
      </c>
      <c r="D6" s="11">
        <v>100.0</v>
      </c>
      <c r="E6" s="12" t="s">
        <v>87</v>
      </c>
      <c r="F6" s="13">
        <v>0.05</v>
      </c>
      <c r="J6" s="14" t="s">
        <v>13</v>
      </c>
      <c r="K6" s="15">
        <f>IF(OR(D8="",C24=0),"",D8)</f>
        <v>1450</v>
      </c>
      <c r="L6" s="15">
        <f>IF(OR(D8="",C24=0),"",L7*C24/4)</f>
        <v>1450.3125</v>
      </c>
      <c r="M6" s="16">
        <f t="shared" ref="M6:M8" si="1">IF(OR(K6="",L6=""),"",L6-K6)</f>
        <v>0.3125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0.2110907563</v>
      </c>
      <c r="L7" s="17">
        <f>IF(OR(D8="",C24=0),"",ROUND(D8*4/C24*100,2)/100)</f>
        <v>0.195</v>
      </c>
      <c r="M7" s="18">
        <f t="shared" si="1"/>
        <v>-0.0160907563</v>
      </c>
    </row>
    <row r="8">
      <c r="B8" s="19">
        <f>IF(OR(B6="",C6=""),"",B6*C6)</f>
        <v>29000</v>
      </c>
      <c r="C8" s="21">
        <f>IF(OR(B8="",D6="",D6=0),"",IF(E6="Weekly",(B8/D6)/5,B8/D6))</f>
        <v>290</v>
      </c>
      <c r="D8" s="21">
        <f>IF(C8="","",C8*5)</f>
        <v>1450</v>
      </c>
      <c r="E8" s="19">
        <f>IF(C8="","",C8*21.655)</f>
        <v>6279.95</v>
      </c>
      <c r="F8" s="22">
        <f>IF(OR(D6="",D6=0),"",IF(E6="Weekly",D6,D6/5)/(21.655/5))</f>
        <v>4.617871161</v>
      </c>
      <c r="G8" s="19">
        <f>IF(B6="","",B6-(B6*F6))</f>
        <v>19000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31000.0</v>
      </c>
      <c r="D12" s="29">
        <v>7400.0</v>
      </c>
      <c r="E12" s="30">
        <v>0.0</v>
      </c>
      <c r="F12" s="30">
        <v>0.0</v>
      </c>
      <c r="G12" s="32">
        <f t="shared" ref="G12:G22" si="2">IF(OR(C12="",C13=""),"",(C12-C13)/C13)</f>
        <v>0.1071428571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28000.0</v>
      </c>
      <c r="D13" s="29">
        <v>17000.0</v>
      </c>
      <c r="E13" s="30">
        <v>0.0</v>
      </c>
      <c r="F13" s="30">
        <v>0.0</v>
      </c>
      <c r="G13" s="32">
        <f t="shared" si="2"/>
        <v>0.07692307692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26000.0</v>
      </c>
      <c r="D14" s="29">
        <v>9000.0</v>
      </c>
      <c r="E14" s="30">
        <v>0.0</v>
      </c>
      <c r="F14" s="30">
        <v>0.0</v>
      </c>
      <c r="G14" s="32">
        <f t="shared" si="2"/>
        <v>-0.2352941176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34000.0</v>
      </c>
      <c r="D15" s="29">
        <v>4000.0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29750</v>
      </c>
      <c r="D24" s="46">
        <f t="shared" si="3"/>
        <v>9350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-0.01707606119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474.81</v>
      </c>
      <c r="E28" s="28" t="s">
        <v>12</v>
      </c>
      <c r="F28" s="15">
        <f t="shared" ref="F28:F33" si="5">IF(D28="","",IF(E28="Daily",D28,IF(E28="Weekly",D28/5,D28/21.655)))</f>
        <v>94.962</v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94.962</v>
      </c>
      <c r="F34" s="46">
        <f>E34*21.655</f>
        <v>2056.40211</v>
      </c>
      <c r="G34" s="4" t="s">
        <v>52</v>
      </c>
    </row>
    <row r="35" ht="15.75" customHeight="1">
      <c r="E35" s="57">
        <f>E34+C8</f>
        <v>384.962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0.2802135163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0.2110907563</v>
      </c>
      <c r="D39" s="59">
        <v>0.18</v>
      </c>
      <c r="E39" s="59">
        <v>0.25</v>
      </c>
      <c r="F39" s="60" t="str">
        <f t="shared" si="6"/>
        <v>YELLOW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0.04117240642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0.6722689076</v>
      </c>
      <c r="D41" s="63">
        <v>0.6</v>
      </c>
      <c r="E41" s="63">
        <v>0.9</v>
      </c>
      <c r="F41" s="60" t="str">
        <f t="shared" si="6"/>
        <v>YELLOW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-0.01707606119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0.06912276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0.3142857143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$17,000 is below your minimum $20,000.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247.2870007</v>
      </c>
    </row>
    <row r="57" ht="15.75" customHeight="1">
      <c r="B57" s="70" t="s">
        <v>80</v>
      </c>
      <c r="C57" s="15">
        <f>IF(C24=0,"",(D38*C24-F34)/21.655)</f>
        <v>317.1830012</v>
      </c>
    </row>
    <row r="58" ht="15.75" customHeight="1">
      <c r="B58" s="70" t="s">
        <v>81</v>
      </c>
      <c r="C58" s="15">
        <f>IF(OR(C24=0,D24=0),"",D40*D24-E34)</f>
        <v>1588.038</v>
      </c>
    </row>
    <row r="59" ht="15.75" customHeight="1">
      <c r="B59" s="68" t="s">
        <v>82</v>
      </c>
      <c r="C59" s="21">
        <f>IF(C24=0,"",MAX(0,MIN(C56:C58)))</f>
        <v>247.2870007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1236.435003</v>
      </c>
      <c r="D60" s="75">
        <f>IF(OR(C59="",C59=0),"",C59*21.655)</f>
        <v>5355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17000</v>
      </c>
      <c r="D62" s="4" t="str">
        <f>IF(C62="-","KNOCKOUT on the merchant - do not fund.",IF(C62="","","payback "&amp;TEXT(C62*D61,"$#,##0")&amp;" over "&amp;C61&amp;" daily pmts ("&amp;TEXT(C61/5,"0")&amp;" wks)"))</f>
        <v>payback $24,650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70000.0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13</v>
      </c>
      <c r="K6" s="15">
        <f>IF(OR(D8="",C24=0),"",D8)</f>
        <v>3383.333333</v>
      </c>
      <c r="L6" s="15">
        <f>IF(OR(D8="",C24=0),"",L7*C24/4)</f>
        <v>3382.6</v>
      </c>
      <c r="M6" s="16">
        <f t="shared" ref="M6:M8" si="1">IF(OR(K6="",L6=""),"",L6-K6)</f>
        <v>-0.7333333333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0.1408963141</v>
      </c>
      <c r="L7" s="17">
        <f>IF(OR(D8="",C24=0),"",ROUND(D8*4/C24*100,2)/100)</f>
        <v>0.1301</v>
      </c>
      <c r="M7" s="18">
        <f t="shared" si="1"/>
        <v>-0.0107963141</v>
      </c>
    </row>
    <row r="8">
      <c r="B8" s="19">
        <f>IF(OR(B6="",C6=""),"",B6*C6)</f>
        <v>101500</v>
      </c>
      <c r="C8" s="21">
        <f>IF(OR(B8="",D6="",D6=0),"",IF(E6="Weekly",(B8/D6)/5,B8/D6))</f>
        <v>676.6666667</v>
      </c>
      <c r="D8" s="21">
        <f>IF(C8="","",C8*5)</f>
        <v>3383.333333</v>
      </c>
      <c r="E8" s="19">
        <f>IF(C8="","",C8*21.655)</f>
        <v>14653.21667</v>
      </c>
      <c r="F8" s="22">
        <f>IF(OR(D6="",D6=0),"",IF(E6="Weekly",D6,D6/5)/(21.655/5))</f>
        <v>6.926806742</v>
      </c>
      <c r="G8" s="19">
        <f>IF(B6="","",B6-(B6*F6))</f>
        <v>66500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93000.0</v>
      </c>
      <c r="D12" s="29">
        <v>70000.0</v>
      </c>
      <c r="E12" s="30">
        <v>0.0</v>
      </c>
      <c r="F12" s="30">
        <v>0.0</v>
      </c>
      <c r="G12" s="32">
        <f t="shared" ref="G12:G22" si="2">IF(OR(C12="",C13=""),"",(C12-C13)/C13)</f>
        <v>-0.1913043478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115000.0</v>
      </c>
      <c r="D13" s="29">
        <v>60000.0</v>
      </c>
      <c r="E13" s="30">
        <v>0.0</v>
      </c>
      <c r="F13" s="30">
        <v>0.0</v>
      </c>
      <c r="G13" s="32">
        <f t="shared" si="2"/>
        <v>0.1057692308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104000.0</v>
      </c>
      <c r="D14" s="29">
        <v>12500.0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104000</v>
      </c>
      <c r="D24" s="46">
        <f t="shared" si="3"/>
        <v>47500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-0.04276755853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676.6666667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0.1408963141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0.1408963141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0.01424561404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0.6730769231</v>
      </c>
      <c r="D41" s="63">
        <v>0.6</v>
      </c>
      <c r="E41" s="63">
        <v>0.9</v>
      </c>
      <c r="F41" s="60" t="str">
        <f t="shared" si="6"/>
        <v>YELLOW</v>
      </c>
      <c r="G41" s="63">
        <v>1.25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-0.04276755853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0.4567307692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864.4654814</v>
      </c>
    </row>
    <row r="57" ht="15.75" customHeight="1">
      <c r="B57" s="70" t="s">
        <v>80</v>
      </c>
      <c r="C57" s="15">
        <f>IF(C24=0,"",(D38*C24-F34)/21.655)</f>
        <v>1440.775802</v>
      </c>
    </row>
    <row r="58" ht="15.75" customHeight="1">
      <c r="B58" s="70" t="s">
        <v>81</v>
      </c>
      <c r="C58" s="15">
        <f>IF(OR(C24=0,D24=0),"",D40*D24-E34)</f>
        <v>8550</v>
      </c>
    </row>
    <row r="59" ht="15.75" customHeight="1">
      <c r="B59" s="68" t="s">
        <v>82</v>
      </c>
      <c r="C59" s="21">
        <f>IF(C24=0,"",MAX(0,MIN(C56:C58)))</f>
        <v>864.4654814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4322.327407</v>
      </c>
      <c r="D60" s="75">
        <f>IF(OR(C59="",C59=0),"",C59*21.655)</f>
        <v>18720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59500</v>
      </c>
      <c r="D62" s="4" t="str">
        <f>IF(C62="-","KNOCKOUT on the merchant - do not fund.",IF(C62="","","payback "&amp;TEXT(C62*D61,"$#,##0")&amp;" over "&amp;C61&amp;" daily pmts ("&amp;TEXT(C61/5,"0")&amp;" wks)"))</f>
        <v>payback $86,275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30000.0</v>
      </c>
      <c r="C6" s="10">
        <v>1.45</v>
      </c>
      <c r="D6" s="11">
        <v>100.0</v>
      </c>
      <c r="E6" s="12" t="s">
        <v>87</v>
      </c>
      <c r="F6" s="13">
        <v>0.05</v>
      </c>
      <c r="J6" s="14" t="s">
        <v>13</v>
      </c>
      <c r="K6" s="15">
        <f>IF(OR(D8="",C24=0),"",D8)</f>
        <v>2175</v>
      </c>
      <c r="L6" s="15">
        <f>IF(OR(D8="",C24=0),"",L7*C24/4)</f>
        <v>2174.65</v>
      </c>
      <c r="M6" s="16">
        <f t="shared" ref="M6:M8" si="1">IF(OR(K6="",L6=""),"",L6-K6)</f>
        <v>-0.35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0.2047809783</v>
      </c>
      <c r="L7" s="17">
        <f>IF(OR(D8="",C24=0),"",ROUND(D8*4/C24*100,2)/100)</f>
        <v>0.1891</v>
      </c>
      <c r="M7" s="18">
        <f t="shared" si="1"/>
        <v>-0.01568097826</v>
      </c>
    </row>
    <row r="8">
      <c r="B8" s="19">
        <f>IF(OR(B6="",C6=""),"",B6*C6)</f>
        <v>43500</v>
      </c>
      <c r="C8" s="21">
        <f>IF(OR(B8="",D6="",D6=0),"",IF(E6="Weekly",(B8/D6)/5,B8/D6))</f>
        <v>435</v>
      </c>
      <c r="D8" s="21">
        <f>IF(C8="","",C8*5)</f>
        <v>2175</v>
      </c>
      <c r="E8" s="19">
        <f>IF(C8="","",C8*21.655)</f>
        <v>9419.925</v>
      </c>
      <c r="F8" s="22">
        <f>IF(OR(D6="",D6=0),"",IF(E6="Weekly",D6,D6/5)/(21.655/5))</f>
        <v>4.617871161</v>
      </c>
      <c r="G8" s="19">
        <f>IF(B6="","",B6-(B6*F6))</f>
        <v>28500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45000.0</v>
      </c>
      <c r="D12" s="29">
        <v>5900.0</v>
      </c>
      <c r="E12" s="30">
        <v>0.0</v>
      </c>
      <c r="F12" s="30">
        <v>0.0</v>
      </c>
      <c r="G12" s="32">
        <f t="shared" ref="G12:G22" si="2">IF(OR(C12="",C13=""),"",(C12-C13)/C13)</f>
        <v>0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45000.0</v>
      </c>
      <c r="D13" s="29">
        <v>7000.0</v>
      </c>
      <c r="E13" s="30">
        <v>0.0</v>
      </c>
      <c r="F13" s="30">
        <v>0.0</v>
      </c>
      <c r="G13" s="32">
        <f t="shared" si="2"/>
        <v>-0.1818181818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55000.0</v>
      </c>
      <c r="D14" s="29">
        <v>12000.0</v>
      </c>
      <c r="E14" s="30">
        <v>0.0</v>
      </c>
      <c r="F14" s="30">
        <v>0.0</v>
      </c>
      <c r="G14" s="32">
        <f t="shared" si="2"/>
        <v>0.4102564103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39000.0</v>
      </c>
      <c r="D15" s="29">
        <v>13000.0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46000</v>
      </c>
      <c r="D24" s="46">
        <f t="shared" si="3"/>
        <v>9475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0.07614607615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29"/>
      <c r="E29" s="28" t="s">
        <v>96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435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0.2047809783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0.2047809783</v>
      </c>
      <c r="D39" s="59">
        <v>0.18</v>
      </c>
      <c r="E39" s="59">
        <v>0.25</v>
      </c>
      <c r="F39" s="60" t="str">
        <f t="shared" si="6"/>
        <v>YELLOW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0.04591029024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0.652173913</v>
      </c>
      <c r="D41" s="63">
        <v>0.6</v>
      </c>
      <c r="E41" s="63">
        <v>0.9</v>
      </c>
      <c r="F41" s="60" t="str">
        <f t="shared" si="6"/>
        <v>YELLOW</v>
      </c>
      <c r="G41" s="63">
        <v>1.25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0.07614607615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0.2059782609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382.3597322</v>
      </c>
    </row>
    <row r="57" ht="15.75" customHeight="1">
      <c r="B57" s="70" t="s">
        <v>80</v>
      </c>
      <c r="C57" s="15">
        <f>IF(C24=0,"",(D38*C24-F34)/21.655)</f>
        <v>637.2662203</v>
      </c>
    </row>
    <row r="58" ht="15.75" customHeight="1">
      <c r="B58" s="70" t="s">
        <v>81</v>
      </c>
      <c r="C58" s="15">
        <f>IF(OR(C24=0,D24=0),"",D40*D24-E34)</f>
        <v>1705.5</v>
      </c>
    </row>
    <row r="59" ht="15.75" customHeight="1">
      <c r="B59" s="68" t="s">
        <v>82</v>
      </c>
      <c r="C59" s="21">
        <f>IF(C24=0,"",MAX(0,MIN(C56:C58)))</f>
        <v>382.3597322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1911.798661</v>
      </c>
      <c r="D60" s="75">
        <f>IF(OR(C59="",C59=0),"",C59*21.655)</f>
        <v>8280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26000</v>
      </c>
      <c r="D62" s="4" t="str">
        <f>IF(C62="-","KNOCKOUT on the merchant - do not fund.",IF(C62="","","payback "&amp;TEXT(C62*D61,"$#,##0")&amp;" over "&amp;C61&amp;" daily pmts ("&amp;TEXT(C61/5,"0")&amp;" wks)"))</f>
        <v>payback $37,700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110000.0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13</v>
      </c>
      <c r="K6" s="15">
        <f>IF(OR(D8="",C24=0),"",D8)</f>
        <v>5316.666667</v>
      </c>
      <c r="L6" s="15">
        <f>IF(OR(D8="",C24=0),"",L7*C24/4)</f>
        <v>5318.2125</v>
      </c>
      <c r="M6" s="16">
        <f t="shared" ref="M6:M8" si="1">IF(OR(K6="",L6=""),"",L6-K6)</f>
        <v>1.545833333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0.1248047877</v>
      </c>
      <c r="L7" s="17">
        <f>IF(OR(D8="",C24=0),"",ROUND(D8*4/C24*100,2)/100)</f>
        <v>0.1153</v>
      </c>
      <c r="M7" s="18">
        <f t="shared" si="1"/>
        <v>-0.009504787715</v>
      </c>
    </row>
    <row r="8">
      <c r="B8" s="19">
        <f>IF(OR(B6="",C6=""),"",B6*C6)</f>
        <v>159500</v>
      </c>
      <c r="C8" s="21">
        <f>IF(OR(B8="",D6="",D6=0),"",IF(E6="Weekly",(B8/D6)/5,B8/D6))</f>
        <v>1063.333333</v>
      </c>
      <c r="D8" s="21">
        <f>IF(C8="","",C8*5)</f>
        <v>5316.666667</v>
      </c>
      <c r="E8" s="19">
        <f>IF(C8="","",C8*21.655)</f>
        <v>23026.48333</v>
      </c>
      <c r="F8" s="22">
        <f>IF(OR(D6="",D6=0),"",IF(E6="Weekly",D6,D6/5)/(21.655/5))</f>
        <v>6.926806742</v>
      </c>
      <c r="G8" s="19">
        <f>IF(B6="","",B6-(B6*F6))</f>
        <v>104500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222000.0</v>
      </c>
      <c r="D12" s="29">
        <v>257000.0</v>
      </c>
      <c r="E12" s="30">
        <v>0.0</v>
      </c>
      <c r="F12" s="30">
        <v>0.0</v>
      </c>
      <c r="G12" s="32">
        <f t="shared" ref="G12:G22" si="2">IF(OR(C12="",C13=""),"",(C12-C13)/C13)</f>
        <v>0.08292682927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205000.0</v>
      </c>
      <c r="D13" s="29">
        <v>213000.0</v>
      </c>
      <c r="E13" s="30">
        <v>0.0</v>
      </c>
      <c r="F13" s="30">
        <v>0.0</v>
      </c>
      <c r="G13" s="32">
        <f t="shared" si="2"/>
        <v>1.009803922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102000.0</v>
      </c>
      <c r="D14" s="29">
        <v>203000.0</v>
      </c>
      <c r="E14" s="30">
        <v>0.0</v>
      </c>
      <c r="F14" s="30">
        <v>0.0</v>
      </c>
      <c r="G14" s="32">
        <f t="shared" si="2"/>
        <v>-0.5119617225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209000.0</v>
      </c>
      <c r="D15" s="29">
        <v>140000.0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184500</v>
      </c>
      <c r="D24" s="46">
        <f t="shared" si="3"/>
        <v>203250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0.1935896761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4437.0</v>
      </c>
      <c r="E28" s="28" t="s">
        <v>12</v>
      </c>
      <c r="F28" s="15">
        <f t="shared" ref="F28:F33" si="5">IF(D28="","",IF(E28="Daily",D28,IF(E28="Weekly",D28/5,D28/21.655)))</f>
        <v>887.4</v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887.4</v>
      </c>
      <c r="F34" s="46">
        <f>E34*21.655</f>
        <v>19216.647</v>
      </c>
      <c r="G34" s="4" t="s">
        <v>52</v>
      </c>
    </row>
    <row r="35" ht="15.75" customHeight="1">
      <c r="E35" s="57">
        <f>E34+C8</f>
        <v>1950.733333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0.228960056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0.1248047877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0.009597703977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0.5962059621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0.1935896761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0.1041552683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1.101626016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1533.595013</v>
      </c>
    </row>
    <row r="57" ht="15.75" customHeight="1">
      <c r="B57" s="70" t="s">
        <v>80</v>
      </c>
      <c r="C57" s="15">
        <f>IF(C24=0,"",(D38*C24-F34)/21.655)</f>
        <v>1668.591688</v>
      </c>
    </row>
    <row r="58" ht="15.75" customHeight="1">
      <c r="B58" s="70" t="s">
        <v>81</v>
      </c>
      <c r="C58" s="15">
        <f>IF(OR(C24=0,D24=0),"",D40*D24-E34)</f>
        <v>35697.6</v>
      </c>
    </row>
    <row r="59" ht="15.75" customHeight="1">
      <c r="B59" s="68" t="s">
        <v>82</v>
      </c>
      <c r="C59" s="21">
        <f>IF(C24=0,"",MAX(0,MIN(C56:C58)))</f>
        <v>1533.595013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7667.975063</v>
      </c>
      <c r="D60" s="75">
        <f>IF(OR(C59="",C59=0),"",C59*21.655)</f>
        <v>33210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109500</v>
      </c>
      <c r="D62" s="4" t="str">
        <f>IF(C62="-","KNOCKOUT on the merchant - do not fund.",IF(C62="","","payback "&amp;TEXT(C62*D61,"$#,##0")&amp;" over "&amp;C61&amp;" daily pmts ("&amp;TEXT(C61/5,"0")&amp;" wks)"))</f>
        <v>payback $153,300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45000.0</v>
      </c>
      <c r="C6" s="10">
        <v>1.49</v>
      </c>
      <c r="D6" s="11">
        <v>20.0</v>
      </c>
      <c r="E6" s="12" t="s">
        <v>12</v>
      </c>
      <c r="F6" s="13">
        <v>0.05</v>
      </c>
      <c r="J6" s="14" t="s">
        <v>13</v>
      </c>
      <c r="K6" s="15">
        <f>IF(OR(D8="",C24=0),"",D8)</f>
        <v>3352.5</v>
      </c>
      <c r="L6" s="15">
        <f>IF(OR(D8="",C24=0),"",L7*C24/4)</f>
        <v>3352.78125</v>
      </c>
      <c r="M6" s="16">
        <f t="shared" ref="M6:M8" si="1">IF(OR(K6="",L6=""),"",L6-K6)</f>
        <v>0.28125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0.1276455165</v>
      </c>
      <c r="L7" s="17">
        <f>IF(OR(D8="",C24=0),"",ROUND(D8*4/C24*100,2)/100)</f>
        <v>0.1179</v>
      </c>
      <c r="M7" s="18">
        <f t="shared" si="1"/>
        <v>-0.009745516484</v>
      </c>
    </row>
    <row r="8">
      <c r="B8" s="19">
        <f>IF(OR(B6="",C6=""),"",B6*C6)</f>
        <v>67050</v>
      </c>
      <c r="C8" s="21">
        <f>IF(OR(B8="",D6="",D6=0),"",IF(E6="Weekly",(B8/D6)/5,B8/D6))</f>
        <v>670.5</v>
      </c>
      <c r="D8" s="21">
        <f>IF(C8="","",C8*5)</f>
        <v>3352.5</v>
      </c>
      <c r="E8" s="19">
        <f>IF(C8="","",C8*21.655)</f>
        <v>14519.6775</v>
      </c>
      <c r="F8" s="22">
        <f>IF(OR(D6="",D6=0),"",IF(E6="Weekly",D6,D6/5)/(21.655/5))</f>
        <v>4.617871161</v>
      </c>
      <c r="G8" s="19">
        <f>IF(B6="","",B6-(B6*F6))</f>
        <v>42750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120000.0</v>
      </c>
      <c r="D12" s="29">
        <v>2100.0</v>
      </c>
      <c r="E12" s="30">
        <v>1.0</v>
      </c>
      <c r="F12" s="30">
        <v>0.0</v>
      </c>
      <c r="G12" s="32">
        <f t="shared" ref="G12:G22" si="2">IF(OR(C12="",C13=""),"",(C12-C13)/C13)</f>
        <v>-0.0243902439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123000.0</v>
      </c>
      <c r="D13" s="29">
        <v>1551.0</v>
      </c>
      <c r="E13" s="30">
        <v>1.0</v>
      </c>
      <c r="F13" s="30">
        <v>0.0</v>
      </c>
      <c r="G13" s="32">
        <f t="shared" si="2"/>
        <v>0.1714285714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105000.0</v>
      </c>
      <c r="D14" s="29">
        <v>21717.0</v>
      </c>
      <c r="E14" s="30">
        <v>0.0</v>
      </c>
      <c r="F14" s="30">
        <v>0.0</v>
      </c>
      <c r="G14" s="32">
        <f t="shared" si="2"/>
        <v>-0.01869158879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107000.0</v>
      </c>
      <c r="D15" s="29">
        <v>13000.0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113750</v>
      </c>
      <c r="D24" s="46">
        <f t="shared" si="3"/>
        <v>9592</v>
      </c>
      <c r="E24" s="47">
        <f t="shared" ref="E24:F24" si="4">SUM(E12:E23)</f>
        <v>2</v>
      </c>
      <c r="F24" s="47">
        <f t="shared" si="4"/>
        <v>0</v>
      </c>
      <c r="G24" s="48">
        <f>IFERROR(AVERAGE(G12:G22),"")</f>
        <v>0.04278224625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>
        <v>48000.0</v>
      </c>
      <c r="D28" s="29">
        <v>1375.0</v>
      </c>
      <c r="E28" s="28" t="s">
        <v>12</v>
      </c>
      <c r="F28" s="15">
        <f t="shared" ref="F28:F33" si="5">IF(D28="","",IF(E28="Daily",D28,IF(E28="Weekly",D28/5,D28/21.655)))</f>
        <v>275</v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275</v>
      </c>
      <c r="F34" s="46">
        <f>E34*21.655</f>
        <v>5955.125</v>
      </c>
      <c r="G34" s="4" t="s">
        <v>52</v>
      </c>
    </row>
    <row r="35" ht="15.75" customHeight="1">
      <c r="E35" s="57">
        <f>E34+C8</f>
        <v>945.5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0.1799982637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0.1276455165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0.09857172644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0.3956043956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0.04278224625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2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YELLOW</v>
      </c>
      <c r="G44" s="30">
        <v>10.0</v>
      </c>
    </row>
    <row r="45" ht="15.75" customHeight="1">
      <c r="B45" s="14" t="s">
        <v>66</v>
      </c>
      <c r="C45" s="18">
        <f>IF(C24=0,"",F34/C24)</f>
        <v>0.05235274725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0.08432527473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945.5091203</v>
      </c>
    </row>
    <row r="57" ht="15.75" customHeight="1">
      <c r="B57" s="70" t="s">
        <v>80</v>
      </c>
      <c r="C57" s="15">
        <f>IF(C24=0,"",(D38*C24-F34)/21.655)</f>
        <v>1300.848534</v>
      </c>
    </row>
    <row r="58" ht="15.75" customHeight="1">
      <c r="B58" s="70" t="s">
        <v>81</v>
      </c>
      <c r="C58" s="15">
        <f>IF(OR(C24=0,D24=0),"",D40*D24-E34)</f>
        <v>1451.56</v>
      </c>
    </row>
    <row r="59" ht="15.75" customHeight="1">
      <c r="B59" s="68" t="s">
        <v>82</v>
      </c>
      <c r="C59" s="21">
        <f>IF(C24=0,"",MAX(0,MIN(C56:C58)))</f>
        <v>945.5091203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4727.545601</v>
      </c>
      <c r="D60" s="75">
        <f>IF(OR(C59="",C59=0),"",C59*21.655)</f>
        <v>20475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65000</v>
      </c>
      <c r="D62" s="4" t="str">
        <f>IF(C62="-","KNOCKOUT on the merchant - do not fund.",IF(C62="","","payback "&amp;TEXT(C62*D61,"$#,##0")&amp;" over "&amp;C61&amp;" daily pmts ("&amp;TEXT(C61/5,"0")&amp;" wks)"))</f>
        <v>payback $94,250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4G / 1Y / 0R   |   score 4.5/7 = Moderate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40000.0</v>
      </c>
      <c r="D12" s="29">
        <v>1900.0</v>
      </c>
      <c r="E12" s="30">
        <v>1.0</v>
      </c>
      <c r="F12" s="30">
        <v>0.0</v>
      </c>
      <c r="G12" s="32">
        <f t="shared" ref="G12:G22" si="2">IF(OR(C12="",C13=""),"",(C12-C13)/C13)</f>
        <v>-0.1836734694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49000.0</v>
      </c>
      <c r="D13" s="29">
        <v>5000.0</v>
      </c>
      <c r="E13" s="30">
        <v>0.0</v>
      </c>
      <c r="F13" s="30">
        <v>0.0</v>
      </c>
      <c r="G13" s="32">
        <f t="shared" si="2"/>
        <v>0.4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35000.0</v>
      </c>
      <c r="D14" s="29">
        <v>5000.0</v>
      </c>
      <c r="E14" s="30">
        <v>0.0</v>
      </c>
      <c r="F14" s="30">
        <v>0.0</v>
      </c>
      <c r="G14" s="32">
        <f t="shared" si="2"/>
        <v>-0.1860465116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43000.0</v>
      </c>
      <c r="D15" s="29">
        <v>6500.0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41750</v>
      </c>
      <c r="D24" s="46">
        <f t="shared" si="3"/>
        <v>4600</v>
      </c>
      <c r="E24" s="47">
        <f t="shared" ref="E24:F24" si="4">SUM(E12:E23)</f>
        <v>1</v>
      </c>
      <c r="F24" s="47">
        <f t="shared" si="4"/>
        <v>0</v>
      </c>
      <c r="G24" s="48">
        <f>IFERROR(AVERAGE(G12:G22),"")</f>
        <v>0.01009333966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935.0</v>
      </c>
      <c r="E28" s="28" t="s">
        <v>12</v>
      </c>
      <c r="F28" s="15">
        <f t="shared" ref="F28:F33" si="5">IF(D28="","",IF(E28="Daily",D28,IF(E28="Weekly",D28/5,D28/21.655)))</f>
        <v>187</v>
      </c>
    </row>
    <row r="29" ht="15.75" customHeight="1">
      <c r="B29" s="50"/>
      <c r="C29" s="42"/>
      <c r="D29" s="29">
        <v>1278.0</v>
      </c>
      <c r="E29" s="28" t="s">
        <v>12</v>
      </c>
      <c r="F29" s="15">
        <f t="shared" si="5"/>
        <v>255.6</v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442.6</v>
      </c>
      <c r="F34" s="46">
        <f>E34*21.655</f>
        <v>9584.503</v>
      </c>
      <c r="G34" s="4" t="s">
        <v>52</v>
      </c>
    </row>
    <row r="35" ht="15.75" customHeight="1">
      <c r="E35" s="57">
        <f>E34+C8</f>
        <v>442.6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0.2295689341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>
        <f>IF(D24=0,"",(E34+IF(C8="",0,C8))/D24)</f>
        <v>0.0962173913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 t="str">
        <f>IF(OR(C24=0,B6=""),"",B6/C24)</f>
        <v/>
      </c>
      <c r="D41" s="63">
        <v>0.6</v>
      </c>
      <c r="E41" s="63">
        <v>0.9</v>
      </c>
      <c r="F41" s="60" t="str">
        <f t="shared" si="6"/>
        <v/>
      </c>
      <c r="G41" s="63">
        <v>1.25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0.01009333966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1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0.2295689341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0.1101796407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$9,000 is below your minimum $20,000.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4.5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Moderate</v>
      </c>
    </row>
    <row r="56" ht="15.75" customHeight="1">
      <c r="B56" s="70" t="s">
        <v>79</v>
      </c>
      <c r="C56" s="15">
        <f>IF(C24=0,"",D39*C24/21.655)</f>
        <v>347.0330178</v>
      </c>
    </row>
    <row r="57" ht="15.75" customHeight="1">
      <c r="B57" s="70" t="s">
        <v>80</v>
      </c>
      <c r="C57" s="15">
        <f>IF(C24=0,"",(D38*C24-F34)/21.655)</f>
        <v>135.788363</v>
      </c>
    </row>
    <row r="58" ht="15.75" customHeight="1">
      <c r="B58" s="70" t="s">
        <v>81</v>
      </c>
      <c r="C58" s="15">
        <f>IF(OR(C24=0,D24=0),"",D40*D24-E34)</f>
        <v>385.4</v>
      </c>
    </row>
    <row r="59" ht="15.75" customHeight="1">
      <c r="B59" s="68" t="s">
        <v>82</v>
      </c>
      <c r="C59" s="21">
        <f>IF(C24=0,"",MAX(0,MIN(C56:C58)))</f>
        <v>135.788363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678.9418148</v>
      </c>
      <c r="D60" s="75">
        <f>IF(OR(C59="",C59=0),"",C59*21.655)</f>
        <v>2940.497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1.49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9000</v>
      </c>
      <c r="D62" s="4" t="str">
        <f>IF(C62="-","KNOCKOUT on the merchant - do not fund.",IF(C62="","","payback "&amp;TEXT(C62*D61,"$#,##0")&amp;" over "&amp;C61&amp;" daily pmts ("&amp;TEXT(C61/5,"0")&amp;" wks)"))</f>
        <v>payback $13,410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22000.0</v>
      </c>
      <c r="C6" s="10">
        <v>1.45</v>
      </c>
      <c r="D6" s="11">
        <v>100.0</v>
      </c>
      <c r="E6" s="12" t="s">
        <v>87</v>
      </c>
      <c r="F6" s="13">
        <v>0.05</v>
      </c>
      <c r="J6" s="14" t="s">
        <v>13</v>
      </c>
      <c r="K6" s="15">
        <f>IF(OR(D8="",C24=0),"",D8)</f>
        <v>1595</v>
      </c>
      <c r="L6" s="15">
        <f>IF(OR(D8="",C24=0),"",L7*C24/4)</f>
        <v>1594.5625</v>
      </c>
      <c r="M6" s="16">
        <f t="shared" ref="M6:M8" si="1">IF(OR(K6="",L6=""),"",L6-K6)</f>
        <v>-0.4375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0.1782695484</v>
      </c>
      <c r="L7" s="17">
        <f>IF(OR(D8="",C24=0),"",ROUND(D8*4/C24*100,2)/100)</f>
        <v>0.1646</v>
      </c>
      <c r="M7" s="18">
        <f t="shared" si="1"/>
        <v>-0.01366954839</v>
      </c>
    </row>
    <row r="8">
      <c r="B8" s="19">
        <f>IF(OR(B6="",C6=""),"",B6*C6)</f>
        <v>31900</v>
      </c>
      <c r="C8" s="21">
        <f>IF(OR(B8="",D6="",D6=0),"",IF(E6="Weekly",(B8/D6)/5,B8/D6))</f>
        <v>319</v>
      </c>
      <c r="D8" s="21">
        <f>IF(C8="","",C8*5)</f>
        <v>1595</v>
      </c>
      <c r="E8" s="19">
        <f>IF(C8="","",C8*21.655)</f>
        <v>6907.945</v>
      </c>
      <c r="F8" s="22">
        <f>IF(OR(D6="",D6=0),"",IF(E6="Weekly",D6,D6/5)/(21.655/5))</f>
        <v>4.617871161</v>
      </c>
      <c r="G8" s="19">
        <f>IF(B6="","",B6-(B6*F6))</f>
        <v>20900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50000.0</v>
      </c>
      <c r="D12" s="29">
        <v>18000.0</v>
      </c>
      <c r="E12" s="30">
        <v>0.0</v>
      </c>
      <c r="F12" s="30">
        <v>0.0</v>
      </c>
      <c r="G12" s="32">
        <f t="shared" ref="G12:G22" si="2">IF(OR(C12="",C13=""),"",(C12-C13)/C13)</f>
        <v>0.6666666667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30000.0</v>
      </c>
      <c r="D13" s="29">
        <v>3000.0</v>
      </c>
      <c r="E13" s="30">
        <v>0.0</v>
      </c>
      <c r="F13" s="30">
        <v>0.0</v>
      </c>
      <c r="G13" s="32">
        <f t="shared" si="2"/>
        <v>0.2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25000.0</v>
      </c>
      <c r="D14" s="29">
        <v>14000.0</v>
      </c>
      <c r="E14" s="30">
        <v>0.0</v>
      </c>
      <c r="F14" s="30">
        <v>0.0</v>
      </c>
      <c r="G14" s="32">
        <f t="shared" si="2"/>
        <v>-0.5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50000.0</v>
      </c>
      <c r="D15" s="29">
        <v>11000.0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38750</v>
      </c>
      <c r="D24" s="46">
        <f t="shared" si="3"/>
        <v>11500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0.1222222222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319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0.1782695484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0.1782695484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0.02773913043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0.5677419355</v>
      </c>
      <c r="D41" s="63">
        <v>0.6</v>
      </c>
      <c r="E41" s="63">
        <v>0.9</v>
      </c>
      <c r="F41" s="60" t="str">
        <f t="shared" si="6"/>
        <v>GREEN</v>
      </c>
      <c r="G41" s="63">
        <v>1.25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0.1222222222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0.2967741935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322.0965135</v>
      </c>
    </row>
    <row r="57" ht="15.75" customHeight="1">
      <c r="B57" s="70" t="s">
        <v>80</v>
      </c>
      <c r="C57" s="15">
        <f>IF(C24=0,"",(D38*C24-F34)/21.655)</f>
        <v>536.8275225</v>
      </c>
    </row>
    <row r="58" ht="15.75" customHeight="1">
      <c r="B58" s="70" t="s">
        <v>81</v>
      </c>
      <c r="C58" s="15">
        <f>IF(OR(C24=0,D24=0),"",D40*D24-E34)</f>
        <v>2070</v>
      </c>
    </row>
    <row r="59" ht="15.75" customHeight="1">
      <c r="B59" s="68" t="s">
        <v>82</v>
      </c>
      <c r="C59" s="21">
        <f>IF(C24=0,"",MAX(0,MIN(C56:C58)))</f>
        <v>322.0965135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1610.482568</v>
      </c>
      <c r="D60" s="75">
        <f>IF(OR(C59="",C59=0),"",C59*21.655)</f>
        <v>6975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100</v>
      </c>
      <c r="D61" s="77">
        <f t="array" ref="D61">IF(C54="","",INDEX($L$13:$L$16,MATCH(C54,$J$13:$J$16,1)))</f>
        <v>1.4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23000</v>
      </c>
      <c r="D62" s="4" t="str">
        <f>IF(C62="-","KNOCKOUT on the merchant - do not fund.",IF(C62="","","payback "&amp;TEXT(C62*D61,"$#,##0")&amp;" over "&amp;C61&amp;" daily pmts ("&amp;TEXT(C61/5,"0")&amp;" wks)"))</f>
        <v>payback $32,200 over 100 daily pmts (20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4G / 1Y / 0R   |   score 4.5/7 = Moderate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54000.0</v>
      </c>
      <c r="D12" s="29">
        <v>22000.0</v>
      </c>
      <c r="E12" s="30">
        <v>0.0</v>
      </c>
      <c r="F12" s="30">
        <v>0.0</v>
      </c>
      <c r="G12" s="32">
        <f t="shared" ref="G12:G22" si="2">IF(OR(C12="",C13=""),"",(C12-C13)/C13)</f>
        <v>0.35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40000.0</v>
      </c>
      <c r="D13" s="29">
        <v>45000.0</v>
      </c>
      <c r="E13" s="30">
        <v>0.0</v>
      </c>
      <c r="F13" s="30">
        <v>0.0</v>
      </c>
      <c r="G13" s="32">
        <f t="shared" si="2"/>
        <v>-0.2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50000.0</v>
      </c>
      <c r="D14" s="29">
        <v>12500.0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48000</v>
      </c>
      <c r="D24" s="46">
        <f t="shared" si="3"/>
        <v>26500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0.075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3570.0</v>
      </c>
      <c r="E28" s="28" t="s">
        <v>12</v>
      </c>
      <c r="F28" s="15">
        <f t="shared" ref="F28:F33" si="5">IF(D28="","",IF(E28="Daily",D28,IF(E28="Weekly",D28/5,D28/21.655)))</f>
        <v>714</v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714</v>
      </c>
      <c r="F34" s="46">
        <f>E34*21.655</f>
        <v>15461.67</v>
      </c>
      <c r="G34" s="4" t="s">
        <v>52</v>
      </c>
    </row>
    <row r="35" ht="15.75" customHeight="1">
      <c r="E35" s="57">
        <f>E34+C8</f>
        <v>714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0.322118125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YELLOW</v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>
        <f>IF(D24=0,"",(E34+IF(C8="",0,C8))/D24)</f>
        <v>0.02694339623</v>
      </c>
      <c r="D40" s="61">
        <v>0.18</v>
      </c>
      <c r="E40" s="61">
        <v>0.3</v>
      </c>
      <c r="F40" s="60" t="str">
        <f t="shared" si="6"/>
        <v>GREEN</v>
      </c>
      <c r="G40" s="61">
        <v>0.35</v>
      </c>
    </row>
    <row r="41" ht="15.75" customHeight="1">
      <c r="B41" s="14" t="s">
        <v>62</v>
      </c>
      <c r="C41" s="62" t="str">
        <f>IF(OR(C24=0,B6=""),"",B6/C24)</f>
        <v/>
      </c>
      <c r="D41" s="63">
        <v>0.6</v>
      </c>
      <c r="E41" s="63">
        <v>0.9</v>
      </c>
      <c r="F41" s="60" t="str">
        <f t="shared" si="6"/>
        <v/>
      </c>
      <c r="G41" s="63">
        <v>1.25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0.075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0.322118125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0.5520833333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$0 is below your minimum $20,000.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4.5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Moderate</v>
      </c>
    </row>
    <row r="56" ht="15.75" customHeight="1">
      <c r="B56" s="70" t="s">
        <v>79</v>
      </c>
      <c r="C56" s="15">
        <f>IF(C24=0,"",D39*C24/21.655)</f>
        <v>398.9840683</v>
      </c>
    </row>
    <row r="57" ht="15.75" customHeight="1">
      <c r="B57" s="70" t="s">
        <v>80</v>
      </c>
      <c r="C57" s="15">
        <f>IF(C24=0,"",(D38*C24-F34)/21.655)</f>
        <v>-49.02655276</v>
      </c>
    </row>
    <row r="58" ht="15.75" customHeight="1">
      <c r="B58" s="70" t="s">
        <v>81</v>
      </c>
      <c r="C58" s="15">
        <f>IF(OR(C24=0,D24=0),"",D40*D24-E34)</f>
        <v>4056</v>
      </c>
    </row>
    <row r="59" ht="15.75" customHeight="1">
      <c r="B59" s="68" t="s">
        <v>82</v>
      </c>
      <c r="C59" s="21">
        <f>IF(C24=0,"",MAX(0,MIN(C56:C58)))</f>
        <v>0</v>
      </c>
      <c r="D59" s="4" t="str">
        <f t="array" ref="D59">IF(C59="","",IF(C59=0,"no clean room - existing debt is over a green line",INDEX({"SP% holdback";"Total LVG";"Daily/Balance"},MATCH(C59,C56:C58,0))&amp;" is the limit"))</f>
        <v>no clean room - existing debt is over a green line</v>
      </c>
    </row>
    <row r="60" ht="15.75" customHeight="1">
      <c r="B60" s="70" t="s">
        <v>83</v>
      </c>
      <c r="C60" s="15" t="str">
        <f>IF(OR(C59="",C59=0),"",C59*5)</f>
        <v/>
      </c>
      <c r="D60" s="75" t="str">
        <f>IF(OR(C59="",C59=0),"",C59*21.655)</f>
        <v/>
      </c>
    </row>
    <row r="61" ht="15.75" customHeight="1">
      <c r="B61" s="70" t="s">
        <v>84</v>
      </c>
      <c r="C61" s="76" t="str">
        <f t="array" ref="C61">IF(OR(C59="",C59=0,C54=""),"",MAX(20,MIN(INDEX($K$13:$K$16,MATCH(C54,$J$13:$J$16,1)),FLOOR($K$17*21.655,5),FLOOR(D41*C24*D61/C59,5))))</f>
        <v/>
      </c>
      <c r="D61" s="77">
        <f t="array" ref="D61">IF(C54="","",INDEX($L$13:$L$16,MATCH(C54,$J$13:$J$16,1)))</f>
        <v>1.49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60000.0</v>
      </c>
      <c r="C6" s="10">
        <v>1.49</v>
      </c>
      <c r="D6" s="11">
        <v>26.0</v>
      </c>
      <c r="E6" s="12" t="s">
        <v>12</v>
      </c>
      <c r="F6" s="13">
        <v>0.05</v>
      </c>
      <c r="J6" s="14" t="s">
        <v>13</v>
      </c>
      <c r="K6" s="15">
        <f>IF(OR(D8="",C24=0),"",D8)</f>
        <v>3438.461538</v>
      </c>
      <c r="L6" s="15">
        <f>IF(OR(D8="",C24=0),"",L7*C24/4)</f>
        <v>3439.49375</v>
      </c>
      <c r="M6" s="16">
        <f t="shared" ref="M6:M8" si="1">IF(OR(K6="",L6=""),"",L6-K6)</f>
        <v>1.032211538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0.1105155987</v>
      </c>
      <c r="L7" s="17">
        <f>IF(OR(D8="",C24=0),"",ROUND(D8*4/C24*100,2)/100)</f>
        <v>0.1021</v>
      </c>
      <c r="M7" s="18">
        <f t="shared" si="1"/>
        <v>-0.008415598687</v>
      </c>
    </row>
    <row r="8">
      <c r="B8" s="19">
        <f>IF(OR(B6="",C6=""),"",B6*C6)</f>
        <v>89400</v>
      </c>
      <c r="C8" s="21">
        <f>IF(OR(B8="",D6="",D6=0),"",IF(E6="Weekly",(B8/D6)/5,B8/D6))</f>
        <v>687.6923077</v>
      </c>
      <c r="D8" s="21">
        <f>IF(C8="","",C8*5)</f>
        <v>3438.461538</v>
      </c>
      <c r="E8" s="19">
        <f>IF(C8="","",C8*21.655)</f>
        <v>14891.97692</v>
      </c>
      <c r="F8" s="22">
        <f>IF(OR(D6="",D6=0),"",IF(E6="Weekly",D6,D6/5)/(21.655/5))</f>
        <v>6.00323251</v>
      </c>
      <c r="G8" s="19">
        <f>IF(B6="","",B6-(B6*F6))</f>
        <v>57000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135000.0</v>
      </c>
      <c r="D12" s="29">
        <v>21000.0</v>
      </c>
      <c r="E12" s="30">
        <v>0.0</v>
      </c>
      <c r="F12" s="30">
        <v>0.0</v>
      </c>
      <c r="G12" s="32">
        <f t="shared" ref="G12:G22" si="2">IF(OR(C12="",C13=""),"",(C12-C13)/C13)</f>
        <v>0.08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125000.0</v>
      </c>
      <c r="D13" s="29">
        <v>31000.0</v>
      </c>
      <c r="E13" s="30">
        <v>0.0</v>
      </c>
      <c r="F13" s="30">
        <v>0.0</v>
      </c>
      <c r="G13" s="32">
        <f t="shared" si="2"/>
        <v>-0.1071428571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140000.0</v>
      </c>
      <c r="D14" s="29">
        <v>63000.0</v>
      </c>
      <c r="E14" s="30">
        <v>0.0</v>
      </c>
      <c r="F14" s="30">
        <v>0.0</v>
      </c>
      <c r="G14" s="32">
        <f t="shared" si="2"/>
        <v>0.007194244604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139000.0</v>
      </c>
      <c r="D15" s="29">
        <v>18000.0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134750</v>
      </c>
      <c r="D24" s="46">
        <f t="shared" si="3"/>
        <v>33250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-0.006649537513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83" t="s">
        <v>94</v>
      </c>
      <c r="C28" s="29"/>
      <c r="D28" s="29">
        <v>871.63</v>
      </c>
      <c r="E28" s="28" t="s">
        <v>12</v>
      </c>
      <c r="F28" s="15">
        <f t="shared" ref="F28:F33" si="5">IF(D28="","",IF(E28="Daily",D28,IF(E28="Weekly",D28/5,D28/21.655)))</f>
        <v>174.326</v>
      </c>
    </row>
    <row r="29" ht="15.75" customHeight="1">
      <c r="B29" s="83" t="s">
        <v>97</v>
      </c>
      <c r="C29" s="42"/>
      <c r="D29" s="29">
        <v>506.25</v>
      </c>
      <c r="E29" s="28" t="s">
        <v>12</v>
      </c>
      <c r="F29" s="15">
        <f t="shared" si="5"/>
        <v>101.25</v>
      </c>
    </row>
    <row r="30" ht="15.75" customHeight="1">
      <c r="B30" s="83" t="s">
        <v>98</v>
      </c>
      <c r="C30" s="42"/>
      <c r="D30" s="29">
        <v>1167.2</v>
      </c>
      <c r="E30" s="28" t="s">
        <v>12</v>
      </c>
      <c r="F30" s="15">
        <f t="shared" si="5"/>
        <v>233.44</v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3</v>
      </c>
      <c r="D34" s="55" t="s">
        <v>51</v>
      </c>
      <c r="E34" s="56">
        <f>SUM(F28:F33)</f>
        <v>509.016</v>
      </c>
      <c r="F34" s="46">
        <f>E34*21.655</f>
        <v>11022.74148</v>
      </c>
      <c r="G34" s="4" t="s">
        <v>52</v>
      </c>
    </row>
    <row r="35" ht="15.75" customHeight="1">
      <c r="E35" s="57">
        <f>E34+C8</f>
        <v>1196.708308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0.1923170197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0.1105155987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0.0359912273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0.4452690167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4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-0.006649537513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0.081801421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0.2467532468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1120.06465</v>
      </c>
    </row>
    <row r="57" ht="15.75" customHeight="1">
      <c r="B57" s="70" t="s">
        <v>80</v>
      </c>
      <c r="C57" s="15">
        <f>IF(C24=0,"",(D38*C24-F34)/21.655)</f>
        <v>1357.758417</v>
      </c>
    </row>
    <row r="58" ht="15.75" customHeight="1">
      <c r="B58" s="70" t="s">
        <v>81</v>
      </c>
      <c r="C58" s="15">
        <f>IF(OR(C24=0,D24=0),"",D40*D24-E34)</f>
        <v>14453.484</v>
      </c>
    </row>
    <row r="59" ht="15.75" customHeight="1">
      <c r="B59" s="68" t="s">
        <v>82</v>
      </c>
      <c r="C59" s="21">
        <f>IF(C24=0,"",MAX(0,MIN(C56:C58)))</f>
        <v>1120.06465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5600.323251</v>
      </c>
      <c r="D60" s="75">
        <f>IF(OR(C59="",C59=0),"",C59*21.655)</f>
        <v>24255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100000</v>
      </c>
      <c r="D62" s="4" t="str">
        <f>IF(C62="-","KNOCKOUT on the merchant - do not fund.",IF(C62="","","payback "&amp;TEXT(C62*D61,"$#,##0")&amp;" over "&amp;C61&amp;" daily pmts ("&amp;TEXT(C61/5,"0")&amp;" wks)"))</f>
        <v>payback $145,000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3G / 4Y / 0R   |   score 5.0/7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40000.0</v>
      </c>
      <c r="C6" s="10">
        <v>1.45</v>
      </c>
      <c r="D6" s="11">
        <v>130.0</v>
      </c>
      <c r="E6" s="12" t="s">
        <v>87</v>
      </c>
      <c r="F6" s="13">
        <v>0.05</v>
      </c>
      <c r="J6" s="14" t="s">
        <v>13</v>
      </c>
      <c r="K6" s="15">
        <f>IF(OR(D8="",C24=0),"",D8)</f>
        <v>2230.769231</v>
      </c>
      <c r="L6" s="15">
        <f>IF(OR(D8="",C24=0),"",L7*C24/4)</f>
        <v>2231.25</v>
      </c>
      <c r="M6" s="16">
        <f t="shared" ref="M6:M8" si="1">IF(OR(K6="",L6=""),"",L6-K6)</f>
        <v>0.4807692308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0.2300347985</v>
      </c>
      <c r="L7" s="17">
        <f>IF(OR(D8="",C24=0),"",ROUND(D8*4/C24*100,2)/100)</f>
        <v>0.2125</v>
      </c>
      <c r="M7" s="18">
        <f t="shared" si="1"/>
        <v>-0.01753479853</v>
      </c>
    </row>
    <row r="8">
      <c r="B8" s="19">
        <f>IF(OR(B6="",C6=""),"",B6*C6)</f>
        <v>58000</v>
      </c>
      <c r="C8" s="21">
        <f>IF(OR(B8="",D6="",D6=0),"",IF(E6="Weekly",(B8/D6)/5,B8/D6))</f>
        <v>446.1538462</v>
      </c>
      <c r="D8" s="21">
        <f>IF(C8="","",C8*5)</f>
        <v>2230.769231</v>
      </c>
      <c r="E8" s="19">
        <f>IF(C8="","",C8*21.655)</f>
        <v>9661.461538</v>
      </c>
      <c r="F8" s="22">
        <f>IF(OR(D6="",D6=0),"",IF(E6="Weekly",D6,D6/5)/(21.655/5))</f>
        <v>6.00323251</v>
      </c>
      <c r="G8" s="19">
        <f>IF(B6="","",B6-(B6*F6))</f>
        <v>38000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/>
      <c r="D12" s="29"/>
      <c r="E12" s="30">
        <v>0.0</v>
      </c>
      <c r="F12" s="30">
        <v>0.0</v>
      </c>
      <c r="G12" s="32" t="str">
        <f t="shared" ref="G12:G22" si="2">IF(OR(C12="",C13=""),"",(C12-C13)/C13)</f>
        <v/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/>
      <c r="D13" s="29"/>
      <c r="E13" s="30">
        <v>0.0</v>
      </c>
      <c r="F13" s="30">
        <v>0.0</v>
      </c>
      <c r="G13" s="32" t="str">
        <f t="shared" si="2"/>
        <v/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/>
      <c r="D14" s="29"/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87">
        <v>42000.0</v>
      </c>
      <c r="D24" s="87">
        <v>2542.0</v>
      </c>
      <c r="E24" s="88">
        <v>2.0</v>
      </c>
      <c r="F24" s="47">
        <f>SUM(F12:F23)</f>
        <v>0</v>
      </c>
      <c r="G24" s="48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3">IF(D28="","",IF(E28="Daily",D28,IF(E28="Weekly",D28/5,D28/21.655)))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3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3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3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3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3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446.1538462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0.2300347985</v>
      </c>
      <c r="D38" s="59">
        <v>0.3</v>
      </c>
      <c r="E38" s="59">
        <v>0.45</v>
      </c>
      <c r="F38" s="60" t="str">
        <f t="shared" ref="F38:F42" si="4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0.2300347985</v>
      </c>
      <c r="D39" s="59">
        <v>0.18</v>
      </c>
      <c r="E39" s="59">
        <v>0.25</v>
      </c>
      <c r="F39" s="60" t="str">
        <f t="shared" si="4"/>
        <v>YELLOW</v>
      </c>
      <c r="G39" s="59">
        <v>0.35</v>
      </c>
    </row>
    <row r="40" ht="15.75" customHeight="1">
      <c r="B40" s="14" t="s">
        <v>61</v>
      </c>
      <c r="C40" s="18">
        <f>IF(D24=0,"",(E34+IF(C8="",0,C8))/D24)</f>
        <v>0.1755129214</v>
      </c>
      <c r="D40" s="61">
        <v>0.18</v>
      </c>
      <c r="E40" s="61">
        <v>0.3</v>
      </c>
      <c r="F40" s="60" t="str">
        <f t="shared" si="4"/>
        <v>GREEN</v>
      </c>
      <c r="G40" s="61">
        <v>0.35</v>
      </c>
    </row>
    <row r="41" ht="15.75" customHeight="1">
      <c r="B41" s="14" t="s">
        <v>62</v>
      </c>
      <c r="C41" s="62">
        <f>IF(OR(C24=0,B6=""),"",B6/C24)</f>
        <v>0.9523809524</v>
      </c>
      <c r="D41" s="86">
        <v>0.75</v>
      </c>
      <c r="E41" s="86">
        <v>1.25</v>
      </c>
      <c r="F41" s="60" t="str">
        <f t="shared" si="4"/>
        <v>YELLOW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4"/>
        <v>GREEN</v>
      </c>
      <c r="G42" s="39">
        <v>6.0</v>
      </c>
    </row>
    <row r="43" ht="15.75" customHeight="1">
      <c r="B43" s="14" t="s">
        <v>64</v>
      </c>
      <c r="C43" s="18" t="str">
        <f>G24</f>
        <v/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YELLOW</v>
      </c>
      <c r="G43" s="59">
        <v>-0.3</v>
      </c>
    </row>
    <row r="44" ht="15.75" customHeight="1">
      <c r="B44" s="14" t="s">
        <v>65</v>
      </c>
      <c r="C44" s="65">
        <f>E24+F24</f>
        <v>2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YELLOW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0.06052380952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349.1110598</v>
      </c>
    </row>
    <row r="57" ht="15.75" customHeight="1">
      <c r="B57" s="70" t="s">
        <v>80</v>
      </c>
      <c r="C57" s="15">
        <f>IF(C24=0,"",(D38*C24-F34)/21.655)</f>
        <v>581.8517663</v>
      </c>
    </row>
    <row r="58" ht="15.75" customHeight="1">
      <c r="B58" s="70" t="s">
        <v>81</v>
      </c>
      <c r="C58" s="15">
        <f>IF(OR(C24=0,D24=0),"",D40*D24-E34)</f>
        <v>457.56</v>
      </c>
    </row>
    <row r="59" ht="15.75" customHeight="1">
      <c r="B59" s="68" t="s">
        <v>82</v>
      </c>
      <c r="C59" s="21">
        <f>IF(C24=0,"",MAX(0,MIN(C56:C58)))</f>
        <v>349.1110598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1745.555299</v>
      </c>
      <c r="D60" s="75">
        <f>IF(OR(C59="",C59=0),"",C59*21.655)</f>
        <v>7560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31000</v>
      </c>
      <c r="D62" s="4" t="str">
        <f>IF(C62="-","KNOCKOUT on the merchant - do not fund.",IF(C62="","","payback "&amp;TEXT(C62*D61,"$#,##0")&amp;" over "&amp;C61&amp;" daily pmts ("&amp;TEXT(C61/5,"0")&amp;" wks)"))</f>
        <v>payback $44,950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38000.0</v>
      </c>
      <c r="C6" s="10">
        <v>1.45</v>
      </c>
      <c r="D6" s="11">
        <v>150.0</v>
      </c>
      <c r="E6" s="12" t="s">
        <v>87</v>
      </c>
      <c r="F6" s="13">
        <v>0.05</v>
      </c>
      <c r="J6" s="14" t="s">
        <v>13</v>
      </c>
      <c r="K6" s="15">
        <f>IF(OR(D8="",C24=0),"",D8)</f>
        <v>1836.666667</v>
      </c>
      <c r="L6" s="15">
        <f>IF(OR(D8="",C24=0),"",L7*C24/4)</f>
        <v>1837</v>
      </c>
      <c r="M6" s="16">
        <f t="shared" ref="M6:M8" si="1">IF(OR(K6="",L6=""),"",L6-K6)</f>
        <v>0.3333333333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0.0903932197</v>
      </c>
      <c r="L7" s="17">
        <f>IF(OR(D8="",C24=0),"",ROUND(D8*4/C24*100,2)/100)</f>
        <v>0.0835</v>
      </c>
      <c r="M7" s="18">
        <f t="shared" si="1"/>
        <v>-0.006893219697</v>
      </c>
    </row>
    <row r="8">
      <c r="B8" s="19">
        <f>IF(OR(B6="",C6=""),"",B6*C6)</f>
        <v>55100</v>
      </c>
      <c r="C8" s="21">
        <f>IF(OR(B8="",D6="",D6=0),"",IF(E6="Weekly",(B8/D6)/5,B8/D6))</f>
        <v>367.3333333</v>
      </c>
      <c r="D8" s="21">
        <f>IF(C8="","",C8*5)</f>
        <v>1836.666667</v>
      </c>
      <c r="E8" s="19">
        <f>IF(C8="","",C8*21.655)</f>
        <v>7954.603333</v>
      </c>
      <c r="F8" s="22">
        <f>IF(OR(D6="",D6=0),"",IF(E6="Weekly",D6,D6/5)/(21.655/5))</f>
        <v>6.926806742</v>
      </c>
      <c r="G8" s="19">
        <f>IF(B6="","",B6-(B6*F6))</f>
        <v>36100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85000.0</v>
      </c>
      <c r="D12" s="29">
        <v>70000.0</v>
      </c>
      <c r="E12" s="30">
        <v>0.0</v>
      </c>
      <c r="F12" s="30">
        <v>0.0</v>
      </c>
      <c r="G12" s="32">
        <f t="shared" ref="G12:G22" si="2">IF(OR(C12="",C13=""),"",(C12-C13)/C13)</f>
        <v>0.03658536585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82000.0</v>
      </c>
      <c r="D13" s="29">
        <v>80000.0</v>
      </c>
      <c r="E13" s="30">
        <v>0.0</v>
      </c>
      <c r="F13" s="30">
        <v>0.0</v>
      </c>
      <c r="G13" s="32">
        <f t="shared" si="2"/>
        <v>-0.1368421053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95000.0</v>
      </c>
      <c r="D14" s="29">
        <v>53000.0</v>
      </c>
      <c r="E14" s="30">
        <v>0.0</v>
      </c>
      <c r="F14" s="30">
        <v>0.0</v>
      </c>
      <c r="G14" s="32">
        <f t="shared" si="2"/>
        <v>0.05555555556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90000.0</v>
      </c>
      <c r="D15" s="29">
        <v>35000.0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88000</v>
      </c>
      <c r="D24" s="46">
        <f t="shared" si="3"/>
        <v>59500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-0.01490039462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2549.0</v>
      </c>
      <c r="E28" s="28" t="s">
        <v>12</v>
      </c>
      <c r="F28" s="15">
        <f t="shared" ref="F28:F33" si="5">IF(D28="","",IF(E28="Daily",D28,IF(E28="Weekly",D28/5,D28/21.655)))</f>
        <v>509.8</v>
      </c>
    </row>
    <row r="29" ht="15.75" customHeight="1">
      <c r="B29" s="50"/>
      <c r="C29" s="42"/>
      <c r="D29" s="29">
        <v>1687.0</v>
      </c>
      <c r="E29" s="28" t="s">
        <v>12</v>
      </c>
      <c r="F29" s="15">
        <f t="shared" si="5"/>
        <v>337.4</v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847.2</v>
      </c>
      <c r="F34" s="46">
        <f>E34*21.655</f>
        <v>18346.116</v>
      </c>
      <c r="G34" s="4" t="s">
        <v>52</v>
      </c>
    </row>
    <row r="35" ht="15.75" customHeight="1">
      <c r="E35" s="57">
        <f>E34+C8</f>
        <v>1214.533333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0.2988718106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0.0903932197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0.02041232493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0.4318181818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-0.01490039462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0.2084785909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0.6761363636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731.470792</v>
      </c>
    </row>
    <row r="57" ht="15.75" customHeight="1">
      <c r="B57" s="70" t="s">
        <v>80</v>
      </c>
      <c r="C57" s="15">
        <f>IF(C24=0,"",(D38*C24-F34)/21.655)</f>
        <v>371.9179866</v>
      </c>
    </row>
    <row r="58" ht="15.75" customHeight="1">
      <c r="B58" s="70" t="s">
        <v>81</v>
      </c>
      <c r="C58" s="15">
        <f>IF(OR(C24=0,D24=0),"",D40*D24-E34)</f>
        <v>25927.8</v>
      </c>
    </row>
    <row r="59" ht="15.75" customHeight="1">
      <c r="B59" s="68" t="s">
        <v>82</v>
      </c>
      <c r="C59" s="21">
        <f>IF(C24=0,"",MAX(0,MIN(C56:C58)))</f>
        <v>371.9179866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1859.589933</v>
      </c>
      <c r="D60" s="75">
        <f>IF(OR(C59="",C59=0),"",C59*21.655)</f>
        <v>8053.884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150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38000</v>
      </c>
      <c r="D62" s="4" t="str">
        <f>IF(C62="-","KNOCKOUT on the merchant - do not fund.",IF(C62="","","payback "&amp;TEXT(C62*D61,"$#,##0")&amp;" over "&amp;C61&amp;" daily pmts ("&amp;TEXT(C61/5,"0")&amp;" wks)"))</f>
        <v>payback $55,100 over 150 daily pmts (30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80000.0</v>
      </c>
      <c r="D12" s="29">
        <v>10000.0</v>
      </c>
      <c r="E12" s="30">
        <v>0.0</v>
      </c>
      <c r="F12" s="30">
        <v>0.0</v>
      </c>
      <c r="G12" s="32">
        <f t="shared" ref="G12:G22" si="2">IF(OR(C12="",C13=""),"",(C12-C13)/C13)</f>
        <v>-0.1578947368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95000.0</v>
      </c>
      <c r="D13" s="29">
        <v>15000.0</v>
      </c>
      <c r="E13" s="30">
        <v>0.0</v>
      </c>
      <c r="F13" s="30">
        <v>0.0</v>
      </c>
      <c r="G13" s="32">
        <f t="shared" si="2"/>
        <v>0.4393939394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66000.0</v>
      </c>
      <c r="D14" s="29">
        <v>9555.0</v>
      </c>
      <c r="E14" s="30">
        <v>0.0</v>
      </c>
      <c r="F14" s="30">
        <v>0.0</v>
      </c>
      <c r="G14" s="32">
        <f t="shared" si="2"/>
        <v>0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66000.0</v>
      </c>
      <c r="D15" s="29">
        <v>16331.0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76750</v>
      </c>
      <c r="D24" s="46">
        <f t="shared" si="3"/>
        <v>12721.5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0.09383306752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2566.0</v>
      </c>
      <c r="E28" s="28" t="s">
        <v>12</v>
      </c>
      <c r="F28" s="15">
        <f t="shared" ref="F28:F33" si="5">IF(D28="","",IF(E28="Daily",D28,IF(E28="Weekly",D28/5,D28/21.655)))</f>
        <v>513.2</v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513.2</v>
      </c>
      <c r="F34" s="46">
        <f>E34*21.655</f>
        <v>11113.346</v>
      </c>
      <c r="G34" s="4" t="s">
        <v>52</v>
      </c>
    </row>
    <row r="35" ht="15.75" customHeight="1">
      <c r="E35" s="57">
        <f>E34+C8</f>
        <v>513.2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0.1447992964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>
        <f>IF(D24=0,"",(E34+IF(C8="",0,C8))/D24)</f>
        <v>0.04034115474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 t="str">
        <f>IF(OR(C24=0,B6=""),"",B6/C24)</f>
        <v/>
      </c>
      <c r="D41" s="86">
        <v>0.75</v>
      </c>
      <c r="E41" s="86">
        <v>1.25</v>
      </c>
      <c r="F41" s="60" t="str">
        <f t="shared" si="6"/>
        <v/>
      </c>
      <c r="G41" s="63">
        <v>1.5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0.09383306752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0.1447992964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0.165752443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/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637.9589009</v>
      </c>
    </row>
    <row r="57" ht="15.75" customHeight="1">
      <c r="B57" s="70" t="s">
        <v>80</v>
      </c>
      <c r="C57" s="15">
        <f>IF(C24=0,"",(D38*C24-F34)/21.655)</f>
        <v>550.0648349</v>
      </c>
    </row>
    <row r="58" ht="15.75" customHeight="1">
      <c r="B58" s="70" t="s">
        <v>81</v>
      </c>
      <c r="C58" s="15">
        <f>IF(OR(C24=0,D24=0),"",D40*D24-E34)</f>
        <v>5211.475</v>
      </c>
    </row>
    <row r="59" ht="15.75" customHeight="1">
      <c r="B59" s="68" t="s">
        <v>82</v>
      </c>
      <c r="C59" s="21">
        <f>IF(C24=0,"",MAX(0,MIN(C56:C58)))</f>
        <v>550.0648349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2750.324175</v>
      </c>
      <c r="D60" s="75">
        <f>IF(OR(C59="",C59=0),"",C59*21.655)</f>
        <v>11911.654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49000</v>
      </c>
      <c r="D62" s="4" t="str">
        <f>IF(C62="-","KNOCKOUT on the merchant - do not fund.",IF(C62="","","payback "&amp;TEXT(C62*D61,"$#,##0")&amp;" over "&amp;C61&amp;" daily pmts ("&amp;TEXT(C61/5,"0")&amp;" wks)"))</f>
        <v>payback $71,050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/>
      <c r="D12" s="29"/>
      <c r="E12" s="30">
        <v>0.0</v>
      </c>
      <c r="F12" s="30">
        <v>0.0</v>
      </c>
      <c r="G12" s="32" t="str">
        <f t="shared" ref="G12:G22" si="2">IF(OR(C12="",C13=""),"",(C12-C13)/C13)</f>
        <v/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/>
      <c r="D13" s="29"/>
      <c r="E13" s="30">
        <v>0.0</v>
      </c>
      <c r="F13" s="30">
        <v>0.0</v>
      </c>
      <c r="G13" s="32" t="str">
        <f t="shared" si="2"/>
        <v/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/>
      <c r="D14" s="29"/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0</v>
      </c>
      <c r="D24" s="46">
        <f t="shared" si="3"/>
        <v>0</v>
      </c>
      <c r="E24" s="47">
        <f t="shared" ref="E24:F24" si="4">SUM(E12:E23)</f>
        <v>0</v>
      </c>
      <c r="F24" s="47">
        <f t="shared" si="4"/>
        <v>0</v>
      </c>
      <c r="G24" s="48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 t="str">
        <f>IF(C24=0,"",(E34+IF(C8="",0,C8))*21.655/C24)</f>
        <v/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/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 t="str">
        <f>IF(D24=0,"",(E34+IF(C8="",0,C8))/D24)</f>
        <v/>
      </c>
      <c r="D40" s="59">
        <v>0.45</v>
      </c>
      <c r="E40" s="59">
        <v>0.75</v>
      </c>
      <c r="F40" s="60" t="str">
        <f t="shared" si="6"/>
        <v/>
      </c>
      <c r="G40" s="59">
        <v>1.0</v>
      </c>
    </row>
    <row r="41" ht="15.75" customHeight="1">
      <c r="B41" s="14" t="s">
        <v>62</v>
      </c>
      <c r="C41" s="62" t="str">
        <f>IF(OR(C24=0,B6=""),"",B6/C24)</f>
        <v/>
      </c>
      <c r="D41" s="86">
        <v>0.75</v>
      </c>
      <c r="E41" s="86">
        <v>1.25</v>
      </c>
      <c r="F41" s="60" t="str">
        <f t="shared" si="6"/>
        <v/>
      </c>
      <c r="G41" s="63">
        <v>1.5</v>
      </c>
    </row>
    <row r="42" ht="15.75" customHeight="1">
      <c r="B42" s="14" t="s">
        <v>63</v>
      </c>
      <c r="C42" s="64" t="str">
        <f>IF(C24=0,"",C34+1)</f>
        <v/>
      </c>
      <c r="D42" s="39">
        <v>2.0</v>
      </c>
      <c r="E42" s="39">
        <v>5.0</v>
      </c>
      <c r="F42" s="60" t="str">
        <f t="shared" si="6"/>
        <v/>
      </c>
      <c r="G42" s="39">
        <v>6.0</v>
      </c>
    </row>
    <row r="43" ht="15.75" customHeight="1">
      <c r="B43" s="14" t="s">
        <v>64</v>
      </c>
      <c r="C43" s="18" t="str">
        <f>G24</f>
        <v/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/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 t="str">
        <f>IF(C24=0,"",F34/C24)</f>
        <v/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 t="str">
        <f>IF(C24=0,"",D24/C24)</f>
        <v/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/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1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/>
      </c>
    </row>
    <row r="56" ht="15.75" customHeight="1">
      <c r="B56" s="70" t="s">
        <v>79</v>
      </c>
      <c r="C56" s="15" t="str">
        <f>IF(C24=0,"",D39*C24/21.655)</f>
        <v/>
      </c>
    </row>
    <row r="57" ht="15.75" customHeight="1">
      <c r="B57" s="70" t="s">
        <v>80</v>
      </c>
      <c r="C57" s="15" t="str">
        <f>IF(C24=0,"",(D38*C24-F34)/21.655)</f>
        <v/>
      </c>
    </row>
    <row r="58" ht="15.75" customHeight="1">
      <c r="B58" s="70" t="s">
        <v>81</v>
      </c>
      <c r="C58" s="15" t="str">
        <f>IF(OR(C24=0,D24=0),"",D40*D24-E34)</f>
        <v/>
      </c>
    </row>
    <row r="59" ht="15.75" customHeight="1">
      <c r="B59" s="68" t="s">
        <v>82</v>
      </c>
      <c r="C59" s="21" t="str">
        <f>IF(C24=0,"",MAX(0,MIN(C56:C58)))</f>
        <v/>
      </c>
      <c r="D59" s="4" t="str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>
      <c r="B60" s="70" t="s">
        <v>83</v>
      </c>
      <c r="C60" s="15" t="str">
        <f>IF(OR(C59="",C59=0),"",C59*5)</f>
        <v/>
      </c>
      <c r="D60" s="75" t="str">
        <f>IF(OR(C59="",C59=0),"",C59*21.655)</f>
        <v/>
      </c>
    </row>
    <row r="61" ht="15.75" customHeight="1">
      <c r="B61" s="70" t="s">
        <v>84</v>
      </c>
      <c r="C61" s="76" t="str">
        <f t="array" ref="C61">IF(OR(C59="",C59=0,C54=""),"",MAX(20,MIN(INDEX($K$13:$K$16,MATCH(C54,$J$13:$J$16,1)),FLOOR($K$17*21.655,5),FLOOR(D41*C24*D61/C59,5))))</f>
        <v/>
      </c>
      <c r="D61" s="77">
        <f t="array" ref="D61">IF(C54="","",INDEX($L$13:$L$16,MATCH(C54,$J$13:$J$16,1)))</f>
        <v>1.49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29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7.71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6G / 0Y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250000.0</v>
      </c>
      <c r="C6" s="10">
        <v>1.45</v>
      </c>
      <c r="D6" s="11">
        <v>40.0</v>
      </c>
      <c r="E6" s="12" t="s">
        <v>12</v>
      </c>
      <c r="F6" s="13">
        <v>0.05</v>
      </c>
      <c r="J6" s="14" t="s">
        <v>13</v>
      </c>
      <c r="K6" s="15">
        <f>IF(OR(D8="",C24=0),"",D8)</f>
        <v>9062.5</v>
      </c>
      <c r="L6" s="15">
        <f>IF(OR(D8="",C24=0),"",L7*C24/4)</f>
        <v>9060.625</v>
      </c>
      <c r="M6" s="16">
        <f t="shared" ref="M6:M8" si="1">IF(OR(K6="",L6=""),"",L6-K6)</f>
        <v>-1.875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0.05144126802</v>
      </c>
      <c r="L7" s="17">
        <f>IF(OR(D8="",C24=0),"",ROUND(D8*4/C24*100,2)/100)</f>
        <v>0.0475</v>
      </c>
      <c r="M7" s="18">
        <f t="shared" si="1"/>
        <v>-0.003941268021</v>
      </c>
    </row>
    <row r="8">
      <c r="B8" s="19">
        <f>IF(OR(B6="",C6=""),"",B6*C6)</f>
        <v>362500</v>
      </c>
      <c r="C8" s="21">
        <f>IF(OR(B8="",D6="",D6=0),"",IF(E6="Weekly",(B8/D6)/5,B8/D6))</f>
        <v>1812.5</v>
      </c>
      <c r="D8" s="21">
        <f>IF(C8="","",C8*5)</f>
        <v>9062.5</v>
      </c>
      <c r="E8" s="19">
        <f>IF(C8="","",C8*21.655)</f>
        <v>39249.6875</v>
      </c>
      <c r="F8" s="22">
        <f>IF(OR(D6="",D6=0),"",IF(E6="Weekly",D6,D6/5)/(21.655/5))</f>
        <v>9.235742323</v>
      </c>
      <c r="G8" s="19">
        <f>IF(B6="","",B6-(B6*F6))</f>
        <v>237500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790000.0</v>
      </c>
      <c r="D12" s="29">
        <v>161000.0</v>
      </c>
      <c r="E12" s="30">
        <v>0.0</v>
      </c>
      <c r="F12" s="30">
        <v>0.0</v>
      </c>
      <c r="G12" s="32">
        <f t="shared" ref="G12:G22" si="2">IF(OR(C12="",C13=""),"",(C12-C13)/C13)</f>
        <v>-0.0125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800000.0</v>
      </c>
      <c r="D13" s="29">
        <v>132000.0</v>
      </c>
      <c r="E13" s="30">
        <v>0.0</v>
      </c>
      <c r="F13" s="30">
        <v>0.0</v>
      </c>
      <c r="G13" s="32">
        <f t="shared" si="2"/>
        <v>0.09589041096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730000.0</v>
      </c>
      <c r="D14" s="29">
        <v>193000.0</v>
      </c>
      <c r="E14" s="30">
        <v>0.0</v>
      </c>
      <c r="F14" s="30">
        <v>0.0</v>
      </c>
      <c r="G14" s="32">
        <f t="shared" si="2"/>
        <v>-0.002732240437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732000.0</v>
      </c>
      <c r="D15" s="29">
        <v>275000.0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763000</v>
      </c>
      <c r="D24" s="46">
        <f t="shared" si="3"/>
        <v>190250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0.02688605684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A27" s="84" t="s">
        <v>99</v>
      </c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  <c r="H27" s="84" t="s">
        <v>100</v>
      </c>
      <c r="I27" s="84" t="s">
        <v>101</v>
      </c>
    </row>
    <row r="28" ht="15.75" customHeight="1">
      <c r="B28" s="89" t="s">
        <v>102</v>
      </c>
      <c r="C28" s="29"/>
      <c r="D28" s="29">
        <v>5333.0</v>
      </c>
      <c r="E28" s="28" t="s">
        <v>12</v>
      </c>
      <c r="F28" s="15">
        <f t="shared" ref="F28:F33" si="5">IF(D28="","",IF(E28="Daily",D28,IF(E28="Weekly",D28/5,D28/21.655)))</f>
        <v>1066.6</v>
      </c>
      <c r="I28" s="84">
        <v>1.5</v>
      </c>
    </row>
    <row r="29" ht="15.75" customHeight="1">
      <c r="B29" s="83" t="s">
        <v>103</v>
      </c>
      <c r="C29" s="42"/>
      <c r="D29" s="29">
        <v>5853.0</v>
      </c>
      <c r="E29" s="28" t="s">
        <v>12</v>
      </c>
      <c r="F29" s="15">
        <f t="shared" si="5"/>
        <v>1170.6</v>
      </c>
      <c r="I29" s="84">
        <v>1.5</v>
      </c>
    </row>
    <row r="30" ht="15.75" customHeight="1">
      <c r="B30" s="89" t="s">
        <v>104</v>
      </c>
      <c r="C30" s="29" t="s">
        <v>105</v>
      </c>
      <c r="D30" s="29">
        <v>2403.0</v>
      </c>
      <c r="E30" s="28" t="s">
        <v>12</v>
      </c>
      <c r="F30" s="15">
        <f t="shared" si="5"/>
        <v>480.6</v>
      </c>
      <c r="I30" s="84">
        <v>1.5</v>
      </c>
    </row>
    <row r="31" ht="15.75" customHeight="1">
      <c r="B31" s="83" t="s">
        <v>106</v>
      </c>
      <c r="C31" s="42"/>
      <c r="D31" s="29">
        <v>6153.0</v>
      </c>
      <c r="E31" s="28" t="s">
        <v>12</v>
      </c>
      <c r="F31" s="15">
        <f t="shared" si="5"/>
        <v>1230.6</v>
      </c>
      <c r="I31" s="84">
        <v>1.5</v>
      </c>
    </row>
    <row r="32" ht="15.75" customHeight="1">
      <c r="B32" s="83" t="s">
        <v>107</v>
      </c>
      <c r="C32" s="29">
        <v>293910.0</v>
      </c>
      <c r="D32" s="29">
        <v>4399.0</v>
      </c>
      <c r="E32" s="28" t="s">
        <v>12</v>
      </c>
      <c r="F32" s="15">
        <f t="shared" si="5"/>
        <v>879.8</v>
      </c>
      <c r="I32" s="84">
        <v>1.5</v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  <c r="I33" s="84">
        <v>1.5</v>
      </c>
    </row>
    <row r="34" ht="15.75" customHeight="1">
      <c r="B34" s="55" t="s">
        <v>50</v>
      </c>
      <c r="C34" s="47">
        <f>SUMPRODUCT((D28:D33&lt;&gt;"")*(E28:E33&lt;&gt;"Monthly"))</f>
        <v>5</v>
      </c>
      <c r="D34" s="55" t="s">
        <v>51</v>
      </c>
      <c r="E34" s="56">
        <f>SUM(F28:F33)</f>
        <v>4828.2</v>
      </c>
      <c r="F34" s="46">
        <f>E34*21.655</f>
        <v>104554.671</v>
      </c>
      <c r="G34" s="4" t="s">
        <v>52</v>
      </c>
    </row>
    <row r="35" ht="15.75" customHeight="1">
      <c r="E35" s="57">
        <f>E34+C8</f>
        <v>6640.7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0.1884722916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0.05144126802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0.03490512484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0.3276539974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6</v>
      </c>
      <c r="D42" s="39">
        <v>2.0</v>
      </c>
      <c r="E42" s="39">
        <v>5.0</v>
      </c>
      <c r="F42" s="60" t="str">
        <f t="shared" si="6"/>
        <v>KNOCKOUT</v>
      </c>
      <c r="G42" s="39">
        <v>6.0</v>
      </c>
    </row>
    <row r="43" ht="15.75" customHeight="1">
      <c r="B43" s="14" t="s">
        <v>64</v>
      </c>
      <c r="C43" s="18">
        <f>G24</f>
        <v>0.02688605684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0.1370310236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0.249344692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1</v>
      </c>
      <c r="D49" s="68" t="s">
        <v>72</v>
      </c>
      <c r="E49" s="69">
        <f>COUNTIF(F38:F44,"KNOCKOUT")</f>
        <v>1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KNOCKOUT: # positions (incl. new) is past its knockout line.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6342.184253</v>
      </c>
    </row>
    <row r="57" ht="15.75" customHeight="1">
      <c r="B57" s="70" t="s">
        <v>80</v>
      </c>
      <c r="C57" s="15">
        <f>IF(C24=0,"",(D38*C24-F34)/21.655)</f>
        <v>5742.107088</v>
      </c>
    </row>
    <row r="58" ht="15.75" customHeight="1">
      <c r="B58" s="70" t="s">
        <v>81</v>
      </c>
      <c r="C58" s="15">
        <f>IF(OR(C24=0,D24=0),"",D40*D24-E34)</f>
        <v>80784.3</v>
      </c>
    </row>
    <row r="59" ht="15.75" customHeight="1">
      <c r="B59" s="68" t="s">
        <v>82</v>
      </c>
      <c r="C59" s="21">
        <f>IF(C24=0,"",MAX(0,MIN(C56:C58)))</f>
        <v>5742.107088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28710.53544</v>
      </c>
      <c r="D60" s="75">
        <f>IF(OR(C59="",C59=0),"",C59*21.655)</f>
        <v>124345.329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140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>-</v>
      </c>
      <c r="D62" s="4" t="str">
        <f>IF(C62="-","KNOCKOUT on the merchant - do not fund.",IF(C62="","","payback "&amp;TEXT(C62*D61,"$#,##0")&amp;" over "&amp;C61&amp;" daily pmts ("&amp;TEXT(C61/5,"0")&amp;" wks)"))</f>
        <v>KNOCKOUT on the merchant - do not fund.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/>
      <c r="D12" s="29"/>
      <c r="E12" s="30">
        <v>0.0</v>
      </c>
      <c r="F12" s="30">
        <v>0.0</v>
      </c>
      <c r="G12" s="32" t="str">
        <f t="shared" ref="G12:G22" si="2">IF(OR(C12="",C13=""),"",(C12-C13)/C13)</f>
        <v/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/>
      <c r="D13" s="29"/>
      <c r="E13" s="30">
        <v>0.0</v>
      </c>
      <c r="F13" s="30">
        <v>0.0</v>
      </c>
      <c r="G13" s="32" t="str">
        <f t="shared" si="2"/>
        <v/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/>
      <c r="D14" s="29"/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0</v>
      </c>
      <c r="D24" s="46">
        <f t="shared" si="3"/>
        <v>0</v>
      </c>
      <c r="E24" s="47">
        <f t="shared" ref="E24:F24" si="4">SUM(E12:E23)</f>
        <v>0</v>
      </c>
      <c r="F24" s="47">
        <f t="shared" si="4"/>
        <v>0</v>
      </c>
      <c r="G24" s="48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 t="str">
        <f>IF(C24=0,"",(E34+IF(C8="",0,C8))*21.655/C24)</f>
        <v/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/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 t="str">
        <f>IF(D24=0,"",(E34+IF(C8="",0,C8))/D24)</f>
        <v/>
      </c>
      <c r="D40" s="59">
        <v>0.45</v>
      </c>
      <c r="E40" s="59">
        <v>0.75</v>
      </c>
      <c r="F40" s="60" t="str">
        <f t="shared" si="6"/>
        <v/>
      </c>
      <c r="G40" s="59">
        <v>1.0</v>
      </c>
    </row>
    <row r="41" ht="15.75" customHeight="1">
      <c r="B41" s="14" t="s">
        <v>62</v>
      </c>
      <c r="C41" s="62" t="str">
        <f>IF(OR(C24=0,B6=""),"",B6/C24)</f>
        <v/>
      </c>
      <c r="D41" s="86">
        <v>0.75</v>
      </c>
      <c r="E41" s="86">
        <v>1.25</v>
      </c>
      <c r="F41" s="60" t="str">
        <f t="shared" si="6"/>
        <v/>
      </c>
      <c r="G41" s="63">
        <v>1.5</v>
      </c>
    </row>
    <row r="42" ht="15.75" customHeight="1">
      <c r="B42" s="14" t="s">
        <v>63</v>
      </c>
      <c r="C42" s="64" t="str">
        <f>IF(C24=0,"",C34+1)</f>
        <v/>
      </c>
      <c r="D42" s="39">
        <v>2.0</v>
      </c>
      <c r="E42" s="39">
        <v>5.0</v>
      </c>
      <c r="F42" s="60" t="str">
        <f t="shared" si="6"/>
        <v/>
      </c>
      <c r="G42" s="39">
        <v>6.0</v>
      </c>
    </row>
    <row r="43" ht="15.75" customHeight="1">
      <c r="B43" s="14" t="s">
        <v>64</v>
      </c>
      <c r="C43" s="18" t="str">
        <f>G24</f>
        <v/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/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 t="str">
        <f>IF(C24=0,"",F34/C24)</f>
        <v/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 t="str">
        <f>IF(C24=0,"",D24/C24)</f>
        <v/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/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1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/>
      </c>
    </row>
    <row r="56" ht="15.75" customHeight="1">
      <c r="B56" s="70" t="s">
        <v>79</v>
      </c>
      <c r="C56" s="15" t="str">
        <f>IF(C24=0,"",D39*C24/21.655)</f>
        <v/>
      </c>
    </row>
    <row r="57" ht="15.75" customHeight="1">
      <c r="B57" s="70" t="s">
        <v>80</v>
      </c>
      <c r="C57" s="15" t="str">
        <f>IF(C24=0,"",(D38*C24-F34)/21.655)</f>
        <v/>
      </c>
    </row>
    <row r="58" ht="15.75" customHeight="1">
      <c r="B58" s="70" t="s">
        <v>81</v>
      </c>
      <c r="C58" s="15" t="str">
        <f>IF(OR(C24=0,D24=0),"",D40*D24-E34)</f>
        <v/>
      </c>
    </row>
    <row r="59" ht="15.75" customHeight="1">
      <c r="B59" s="68" t="s">
        <v>82</v>
      </c>
      <c r="C59" s="21" t="str">
        <f>IF(C24=0,"",MAX(0,MIN(C56:C58)))</f>
        <v/>
      </c>
      <c r="D59" s="4" t="str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>
      <c r="B60" s="70" t="s">
        <v>83</v>
      </c>
      <c r="C60" s="15" t="str">
        <f>IF(OR(C59="",C59=0),"",C59*5)</f>
        <v/>
      </c>
      <c r="D60" s="75" t="str">
        <f>IF(OR(C59="",C59=0),"",C59*21.655)</f>
        <v/>
      </c>
    </row>
    <row r="61" ht="15.75" customHeight="1">
      <c r="B61" s="70" t="s">
        <v>84</v>
      </c>
      <c r="C61" s="76" t="str">
        <f t="array" ref="C61">IF(OR(C59="",C59=0,C54=""),"",MAX(20,MIN(INDEX($K$13:$K$16,MATCH(C54,$J$13:$J$16,1)),FLOOR($K$17*21.655,5),FLOOR(D41*C24*D61/C59,5))))</f>
        <v/>
      </c>
      <c r="D61" s="77">
        <f t="array" ref="D61">IF(C54="","",INDEX($L$13:$L$16,MATCH(C54,$J$13:$J$16,1)))</f>
        <v>1.49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20000.0</v>
      </c>
      <c r="C6" s="10">
        <v>1.45</v>
      </c>
      <c r="D6" s="11">
        <v>130.0</v>
      </c>
      <c r="E6" s="12" t="s">
        <v>87</v>
      </c>
      <c r="F6" s="13">
        <v>0.05</v>
      </c>
      <c r="J6" s="14" t="s">
        <v>13</v>
      </c>
      <c r="K6" s="15">
        <f>IF(OR(D8="",C24=0),"",D8)</f>
        <v>1115.384615</v>
      </c>
      <c r="L6" s="15">
        <f>IF(OR(D8="",C24=0),"",L7*C24/4)</f>
        <v>1115.2</v>
      </c>
      <c r="M6" s="16">
        <f t="shared" ref="M6:M8" si="1">IF(OR(K6="",L6=""),"",L6-K6)</f>
        <v>-0.1846153846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0.1065602376</v>
      </c>
      <c r="L7" s="17">
        <f>IF(OR(D8="",C24=0),"",ROUND(D8*4/C24*100,2)/100)</f>
        <v>0.0984</v>
      </c>
      <c r="M7" s="18">
        <f t="shared" si="1"/>
        <v>-0.008160237557</v>
      </c>
    </row>
    <row r="8">
      <c r="B8" s="19">
        <f>IF(OR(B6="",C6=""),"",B6*C6)</f>
        <v>29000</v>
      </c>
      <c r="C8" s="21">
        <f>IF(OR(B8="",D6="",D6=0),"",IF(E6="Weekly",(B8/D6)/5,B8/D6))</f>
        <v>223.0769231</v>
      </c>
      <c r="D8" s="21">
        <f>IF(C8="","",C8*5)</f>
        <v>1115.384615</v>
      </c>
      <c r="E8" s="19">
        <f>IF(C8="","",C8*21.655)</f>
        <v>4830.730769</v>
      </c>
      <c r="F8" s="22">
        <f>IF(OR(D6="",D6=0),"",IF(E6="Weekly",D6,D6/5)/(21.655/5))</f>
        <v>6.00323251</v>
      </c>
      <c r="G8" s="19">
        <f>IF(B6="","",B6-(B6*F6))</f>
        <v>19000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44000.0</v>
      </c>
      <c r="D12" s="29">
        <v>2300.0</v>
      </c>
      <c r="E12" s="30">
        <v>0.0</v>
      </c>
      <c r="F12" s="30">
        <v>0.0</v>
      </c>
      <c r="G12" s="32">
        <f t="shared" ref="G12:G22" si="2">IF(OR(C12="",C13=""),"",(C12-C13)/C13)</f>
        <v>-0.08333333333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48000.0</v>
      </c>
      <c r="D13" s="29">
        <v>3100.0</v>
      </c>
      <c r="E13" s="30">
        <v>0.0</v>
      </c>
      <c r="F13" s="30">
        <v>0.0</v>
      </c>
      <c r="G13" s="32">
        <f t="shared" si="2"/>
        <v>0.09090909091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44000.0</v>
      </c>
      <c r="D14" s="29">
        <v>2100.0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87">
        <f t="shared" ref="C24:D24" si="3">AVERAGE(C12:C14)</f>
        <v>45333.33333</v>
      </c>
      <c r="D24" s="87">
        <f t="shared" si="3"/>
        <v>2500</v>
      </c>
      <c r="E24" s="88">
        <v>2.0</v>
      </c>
      <c r="F24" s="47">
        <f>SUM(F12:F23)</f>
        <v>0</v>
      </c>
      <c r="G24" s="48">
        <f>IFERROR(AVERAGE(G12:G22),"")</f>
        <v>0.003787878788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>
        <v>35000.0</v>
      </c>
      <c r="D28" s="29">
        <v>1543.0</v>
      </c>
      <c r="E28" s="28" t="s">
        <v>12</v>
      </c>
      <c r="F28" s="15">
        <f t="shared" ref="F28:F33" si="4">IF(D28="","",IF(E28="Daily",D28,IF(E28="Weekly",D28/5,D28/21.655)))</f>
        <v>308.6</v>
      </c>
    </row>
    <row r="29" ht="15.75" customHeight="1">
      <c r="B29" s="50"/>
      <c r="C29" s="42"/>
      <c r="D29" s="42"/>
      <c r="E29" s="28" t="s">
        <v>12</v>
      </c>
      <c r="F29" s="15" t="str">
        <f t="shared" si="4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4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4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4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4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308.6</v>
      </c>
      <c r="F34" s="46">
        <f>E34*21.655</f>
        <v>6682.733</v>
      </c>
      <c r="G34" s="4" t="s">
        <v>52</v>
      </c>
    </row>
    <row r="35" ht="15.75" customHeight="1">
      <c r="E35" s="57">
        <f>E34+C8</f>
        <v>531.6769231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0.2539734655</v>
      </c>
      <c r="D38" s="59">
        <v>0.3</v>
      </c>
      <c r="E38" s="59">
        <v>0.45</v>
      </c>
      <c r="F38" s="60" t="str">
        <f t="shared" ref="F38:F42" si="5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0.1065602376</v>
      </c>
      <c r="D39" s="59">
        <v>0.18</v>
      </c>
      <c r="E39" s="59">
        <v>0.25</v>
      </c>
      <c r="F39" s="60" t="str">
        <f t="shared" si="5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0.2126707692</v>
      </c>
      <c r="D40" s="59">
        <v>0.45</v>
      </c>
      <c r="E40" s="59">
        <v>0.75</v>
      </c>
      <c r="F40" s="60" t="str">
        <f t="shared" si="5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0.4411764706</v>
      </c>
      <c r="D41" s="86">
        <v>0.75</v>
      </c>
      <c r="E41" s="86">
        <v>1.25</v>
      </c>
      <c r="F41" s="60" t="str">
        <f t="shared" si="5"/>
        <v>GREEN</v>
      </c>
      <c r="G41" s="63">
        <v>1.5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5"/>
        <v>GREEN</v>
      </c>
      <c r="G42" s="39">
        <v>6.0</v>
      </c>
    </row>
    <row r="43" ht="15.75" customHeight="1">
      <c r="B43" s="14" t="s">
        <v>64</v>
      </c>
      <c r="C43" s="18">
        <f>G24</f>
        <v>0.003787878788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2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YELLOW</v>
      </c>
      <c r="G44" s="30">
        <v>10.0</v>
      </c>
    </row>
    <row r="45" ht="15.75" customHeight="1">
      <c r="B45" s="14" t="s">
        <v>66</v>
      </c>
      <c r="C45" s="18">
        <f>IF(C24=0,"",F34/C24)</f>
        <v>0.1474132279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0.05514705882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376.8182868</v>
      </c>
    </row>
    <row r="57" ht="15.75" customHeight="1">
      <c r="B57" s="70" t="s">
        <v>80</v>
      </c>
      <c r="C57" s="15">
        <f>IF(C24=0,"",(D38*C24-F34)/21.655)</f>
        <v>319.4304779</v>
      </c>
    </row>
    <row r="58" ht="15.75" customHeight="1">
      <c r="B58" s="70" t="s">
        <v>81</v>
      </c>
      <c r="C58" s="15">
        <f>IF(OR(C24=0,D24=0),"",D40*D24-E34)</f>
        <v>816.4</v>
      </c>
    </row>
    <row r="59" ht="15.75" customHeight="1">
      <c r="B59" s="68" t="s">
        <v>82</v>
      </c>
      <c r="C59" s="21">
        <f>IF(C24=0,"",MAX(0,MIN(C56:C58)))</f>
        <v>319.4304779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1597.15239</v>
      </c>
      <c r="D60" s="75">
        <f>IF(OR(C59="",C59=0),"",C59*21.655)</f>
        <v>6917.267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150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33000</v>
      </c>
      <c r="D62" s="4" t="str">
        <f>IF(C62="-","KNOCKOUT on the merchant - do not fund.",IF(C62="","","payback "&amp;TEXT(C62*D61,"$#,##0")&amp;" over "&amp;C61&amp;" daily pmts ("&amp;TEXT(C61/5,"0")&amp;" wks)"))</f>
        <v>payback $47,850 over 150 daily pmts (30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1000000.0</v>
      </c>
      <c r="C6" s="10">
        <v>1.45</v>
      </c>
      <c r="D6" s="11">
        <v>50.0</v>
      </c>
      <c r="E6" s="12" t="s">
        <v>12</v>
      </c>
      <c r="F6" s="13">
        <v>0.05</v>
      </c>
      <c r="J6" s="14" t="s">
        <v>13</v>
      </c>
      <c r="K6" s="15">
        <f>IF(OR(D8="",C24=0),"",D8)</f>
        <v>29000</v>
      </c>
      <c r="L6" s="15">
        <f>IF(OR(D8="",C24=0),"",L7*C24/4)</f>
        <v>29051</v>
      </c>
      <c r="M6" s="16">
        <f t="shared" ref="M6:M8" si="1">IF(OR(K6="",L6=""),"",L6-K6)</f>
        <v>51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0.01902294585</v>
      </c>
      <c r="L7" s="17">
        <f>IF(OR(D8="",C24=0),"",ROUND(D8*4/C24*100,2)/100)</f>
        <v>0.0176</v>
      </c>
      <c r="M7" s="18">
        <f t="shared" si="1"/>
        <v>-0.001422945854</v>
      </c>
    </row>
    <row r="8">
      <c r="B8" s="19">
        <f>IF(OR(B6="",C6=""),"",B6*C6)</f>
        <v>1450000</v>
      </c>
      <c r="C8" s="21">
        <f>IF(OR(B8="",D6="",D6=0),"",IF(E6="Weekly",(B8/D6)/5,B8/D6))</f>
        <v>5800</v>
      </c>
      <c r="D8" s="21">
        <f>IF(C8="","",C8*5)</f>
        <v>29000</v>
      </c>
      <c r="E8" s="19">
        <f>IF(C8="","",C8*21.655)</f>
        <v>125599</v>
      </c>
      <c r="F8" s="22">
        <f>IF(OR(D6="",D6=0),"",IF(E6="Weekly",D6,D6/5)/(21.655/5))</f>
        <v>11.5446779</v>
      </c>
      <c r="G8" s="19">
        <f>IF(B6="","",B6-(B6*F6))</f>
        <v>950000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4470000.0</v>
      </c>
      <c r="D12" s="29">
        <v>214000.0</v>
      </c>
      <c r="E12" s="30">
        <v>1.0</v>
      </c>
      <c r="F12" s="30">
        <v>0.0</v>
      </c>
      <c r="G12" s="32">
        <f t="shared" ref="G12:G22" si="2">IF(OR(C12="",C13=""),"",(C12-C13)/C13)</f>
        <v>-0.553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1.0E7</v>
      </c>
      <c r="D13" s="29">
        <v>87000.0</v>
      </c>
      <c r="E13" s="30">
        <v>2.0</v>
      </c>
      <c r="F13" s="30">
        <v>0.0</v>
      </c>
      <c r="G13" s="32">
        <f t="shared" si="2"/>
        <v>0.6025641026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6240000.0</v>
      </c>
      <c r="D14" s="29">
        <v>204000.0</v>
      </c>
      <c r="E14" s="30">
        <v>0.0</v>
      </c>
      <c r="F14" s="30">
        <v>0.0</v>
      </c>
      <c r="G14" s="32">
        <f t="shared" si="2"/>
        <v>0.09473684211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5700000.0</v>
      </c>
      <c r="D15" s="29">
        <v>88000.0</v>
      </c>
      <c r="E15" s="30">
        <v>1.0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6602500</v>
      </c>
      <c r="D24" s="46">
        <f t="shared" si="3"/>
        <v>148250</v>
      </c>
      <c r="E24" s="47">
        <f t="shared" ref="E24:F24" si="4">SUM(E12:E23)</f>
        <v>4</v>
      </c>
      <c r="F24" s="47">
        <f t="shared" si="4"/>
        <v>0</v>
      </c>
      <c r="G24" s="48">
        <f>IFERROR(AVERAGE(G12:G22),"")</f>
        <v>0.04810031489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2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2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2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2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5800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0.01902294585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0.01902294585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0.03912310287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0.1514577811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0.04810031489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4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YELLOW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0.02245361605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54881.08982</v>
      </c>
    </row>
    <row r="57" ht="15.75" customHeight="1">
      <c r="B57" s="70" t="s">
        <v>80</v>
      </c>
      <c r="C57" s="15">
        <f>IF(C24=0,"",(D38*C24-F34)/21.655)</f>
        <v>91468.48303</v>
      </c>
    </row>
    <row r="58" ht="15.75" customHeight="1">
      <c r="B58" s="70" t="s">
        <v>81</v>
      </c>
      <c r="C58" s="15">
        <f>IF(OR(C24=0,D24=0),"",D40*D24-E34)</f>
        <v>66712.5</v>
      </c>
    </row>
    <row r="59" ht="15.75" customHeight="1">
      <c r="B59" s="68" t="s">
        <v>82</v>
      </c>
      <c r="C59" s="21">
        <f>IF(C24=0,"",MAX(0,MIN(C56:C58)))</f>
        <v>54881.08982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274405.4491</v>
      </c>
      <c r="D60" s="75">
        <f>IF(OR(C59="",C59=0),"",C59*21.655)</f>
        <v>1188450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4920000</v>
      </c>
      <c r="D62" s="4" t="str">
        <f>IF(C62="-","KNOCKOUT on the merchant - do not fund.",IF(C62="","","payback "&amp;TEXT(C62*D61,"$#,##0")&amp;" over "&amp;C61&amp;" daily pmts ("&amp;TEXT(C61/5,"0")&amp;" wks)"))</f>
        <v>payback $7,134,000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120000.0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13</v>
      </c>
      <c r="K6" s="15">
        <f>IF(OR(D8="",C24=0),"",D8)</f>
        <v>5800</v>
      </c>
      <c r="L6" s="15">
        <f>IF(OR(D8="",C24=0),"",L7*C24/4)</f>
        <v>5797.96875</v>
      </c>
      <c r="M6" s="16">
        <f t="shared" ref="M6:M8" si="1">IF(OR(K6="",L6=""),"",L6-K6)</f>
        <v>-2.03125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0.1510965414</v>
      </c>
      <c r="L7" s="17">
        <f>IF(OR(D8="",C24=0),"",ROUND(D8*4/C24*100,2)/100)</f>
        <v>0.1395</v>
      </c>
      <c r="M7" s="18">
        <f t="shared" si="1"/>
        <v>-0.01159654135</v>
      </c>
    </row>
    <row r="8">
      <c r="B8" s="19">
        <f>IF(OR(B6="",C6=""),"",B6*C6)</f>
        <v>174000</v>
      </c>
      <c r="C8" s="21">
        <f>IF(OR(B8="",D6="",D6=0),"",IF(E6="Weekly",(B8/D6)/5,B8/D6))</f>
        <v>1160</v>
      </c>
      <c r="D8" s="21">
        <f>IF(C8="","",C8*5)</f>
        <v>5800</v>
      </c>
      <c r="E8" s="19">
        <f>IF(C8="","",C8*21.655)</f>
        <v>25119.8</v>
      </c>
      <c r="F8" s="22">
        <f>IF(OR(D6="",D6=0),"",IF(E6="Weekly",D6,D6/5)/(21.655/5))</f>
        <v>6.926806742</v>
      </c>
      <c r="G8" s="19">
        <f>IF(B6="","",B6-(B6*F6))</f>
        <v>114000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230000.0</v>
      </c>
      <c r="D12" s="29">
        <v>105000.0</v>
      </c>
      <c r="E12" s="30">
        <v>0.0</v>
      </c>
      <c r="F12" s="30">
        <v>0.0</v>
      </c>
      <c r="G12" s="32">
        <f t="shared" ref="G12:G22" si="2">IF(OR(C12="",C13=""),"",(C12-C13)/C13)</f>
        <v>1.421052632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95000.0</v>
      </c>
      <c r="D13" s="29">
        <v>120000.0</v>
      </c>
      <c r="E13" s="30">
        <v>0.0</v>
      </c>
      <c r="F13" s="30">
        <v>0.0</v>
      </c>
      <c r="G13" s="32">
        <f t="shared" si="2"/>
        <v>-0.3214285714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140000.0</v>
      </c>
      <c r="D14" s="29">
        <v>200000.0</v>
      </c>
      <c r="E14" s="30">
        <v>0.0</v>
      </c>
      <c r="F14" s="30">
        <v>0.0</v>
      </c>
      <c r="G14" s="32">
        <f t="shared" si="2"/>
        <v>-0.3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200000.0</v>
      </c>
      <c r="D15" s="29">
        <v>69000.0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29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166250</v>
      </c>
      <c r="D24" s="46">
        <f t="shared" si="3"/>
        <v>123500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0.2665413534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1787.0</v>
      </c>
      <c r="E28" s="28" t="s">
        <v>12</v>
      </c>
      <c r="F28" s="15">
        <f t="shared" ref="F28:F33" si="5">IF(D28="","",IF(E28="Daily",D28,IF(E28="Weekly",D28/5,D28/21.655)))</f>
        <v>357.4</v>
      </c>
    </row>
    <row r="29" ht="15.75" customHeight="1">
      <c r="B29" s="50"/>
      <c r="C29" s="42"/>
      <c r="D29" s="29">
        <v>3881.0</v>
      </c>
      <c r="E29" s="28" t="s">
        <v>96</v>
      </c>
      <c r="F29" s="15">
        <f t="shared" si="5"/>
        <v>179.2195798</v>
      </c>
    </row>
    <row r="30" ht="15.75" customHeight="1">
      <c r="B30" s="50"/>
      <c r="C30" s="42"/>
      <c r="D30" s="29">
        <v>640.0</v>
      </c>
      <c r="E30" s="28" t="s">
        <v>12</v>
      </c>
      <c r="F30" s="15">
        <f t="shared" si="5"/>
        <v>128</v>
      </c>
    </row>
    <row r="31" ht="15.75" customHeight="1">
      <c r="B31" s="50"/>
      <c r="C31" s="42"/>
      <c r="D31" s="42"/>
      <c r="E31" s="2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664.6195798</v>
      </c>
      <c r="F34" s="46">
        <f>E34*21.655</f>
        <v>14392.337</v>
      </c>
      <c r="G34" s="4" t="s">
        <v>52</v>
      </c>
    </row>
    <row r="35" ht="15.75" customHeight="1">
      <c r="E35" s="57">
        <f>E34+C8</f>
        <v>1824.61958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0.2376669895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0.1510965414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0.01477424761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0.7218045113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0.2665413534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0.08657044812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0.7428571429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20000.0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1381.897945</v>
      </c>
    </row>
    <row r="57" ht="15.75" customHeight="1">
      <c r="B57" s="70" t="s">
        <v>80</v>
      </c>
      <c r="C57" s="15">
        <f>IF(C24=0,"",(D38*C24-F34)/21.655)</f>
        <v>1638.543662</v>
      </c>
    </row>
    <row r="58" ht="15.75" customHeight="1">
      <c r="B58" s="70" t="s">
        <v>81</v>
      </c>
      <c r="C58" s="15">
        <f>IF(OR(C24=0,D24=0),"",D40*D24-E34)</f>
        <v>54910.38042</v>
      </c>
    </row>
    <row r="59" ht="15.75" customHeight="1">
      <c r="B59" s="68" t="s">
        <v>82</v>
      </c>
      <c r="C59" s="21">
        <f>IF(C24=0,"",MAX(0,MIN(C56:C58)))</f>
        <v>1381.897945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6909.489725</v>
      </c>
      <c r="D60" s="75">
        <f>IF(OR(C59="",C59=0),"",C59*21.655)</f>
        <v>29925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123500</v>
      </c>
      <c r="D62" s="4" t="str">
        <f>IF(C62="-","KNOCKOUT on the merchant - do not fund.",IF(C62="","","payback "&amp;TEXT(C62*D61,"$#,##0")&amp;" over "&amp;C61&amp;" daily pmts ("&amp;TEXT(C61/5,"0")&amp;" wks)"))</f>
        <v>payback $179,075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10000.0</v>
      </c>
      <c r="C6" s="10">
        <v>1.45</v>
      </c>
      <c r="D6" s="11">
        <v>38.0</v>
      </c>
      <c r="E6" s="12" t="s">
        <v>12</v>
      </c>
      <c r="F6" s="13">
        <v>0.05</v>
      </c>
      <c r="J6" s="14" t="s">
        <v>13</v>
      </c>
      <c r="K6" s="15">
        <f>IF(OR(D8="",C24=0),"",D8)</f>
        <v>381.5789474</v>
      </c>
      <c r="L6" s="15">
        <f>IF(OR(D8="",C24=0),"",L7*C24/4)</f>
        <v>381.5742857</v>
      </c>
      <c r="M6" s="16">
        <f t="shared" ref="M6:M8" si="1">IF(OR(K6="",L6=""),"",L6-K6)</f>
        <v>-0.004661654135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0.08575484765</v>
      </c>
      <c r="L7" s="17">
        <f>IF(OR(D8="",C24=0),"",ROUND(D8*4/C24*100,2)/100)</f>
        <v>0.0792</v>
      </c>
      <c r="M7" s="18">
        <f t="shared" si="1"/>
        <v>-0.006554847645</v>
      </c>
    </row>
    <row r="8">
      <c r="B8" s="19">
        <f>IF(OR(B6="",C6=""),"",B6*C6)</f>
        <v>14500</v>
      </c>
      <c r="C8" s="21">
        <f>IF(OR(B8="",D6="",D6=0),"",IF(E6="Weekly",(B8/D6)/5,B8/D6))</f>
        <v>76.31578947</v>
      </c>
      <c r="D8" s="21">
        <f>IF(C8="","",C8*5)</f>
        <v>381.5789474</v>
      </c>
      <c r="E8" s="19">
        <f>IF(C8="","",C8*21.655)</f>
        <v>1652.618421</v>
      </c>
      <c r="F8" s="22">
        <f>IF(OR(D6="",D6=0),"",IF(E6="Weekly",D6,D6/5)/(21.655/5))</f>
        <v>8.773955207</v>
      </c>
      <c r="G8" s="19">
        <f>IF(B6="","",B6-(B6*F6))</f>
        <v>9500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22000.0</v>
      </c>
      <c r="D12" s="29">
        <v>2800.0</v>
      </c>
      <c r="E12" s="30">
        <v>0.0</v>
      </c>
      <c r="F12" s="30">
        <v>0.0</v>
      </c>
      <c r="G12" s="32">
        <f t="shared" ref="G12:G22" si="2">IF(OR(C12="",C13=""),"",(C12-C13)/C13)</f>
        <v>0.4666666667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15000.0</v>
      </c>
      <c r="D13" s="29">
        <v>1700.0</v>
      </c>
      <c r="E13" s="30">
        <v>0.0</v>
      </c>
      <c r="F13" s="30">
        <v>0.0</v>
      </c>
      <c r="G13" s="32">
        <f t="shared" si="2"/>
        <v>-0.5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30000.0</v>
      </c>
      <c r="D14" s="29">
        <v>2500.0</v>
      </c>
      <c r="E14" s="30">
        <v>0.0</v>
      </c>
      <c r="F14" s="30">
        <v>0.0</v>
      </c>
      <c r="G14" s="32">
        <f t="shared" si="2"/>
        <v>0.1538461538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26000.0</v>
      </c>
      <c r="D15" s="29">
        <v>2600.0</v>
      </c>
      <c r="E15" s="30">
        <v>0.0</v>
      </c>
      <c r="F15" s="30">
        <v>0.0</v>
      </c>
      <c r="G15" s="32">
        <f t="shared" si="2"/>
        <v>19</v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29">
        <v>1300.0</v>
      </c>
      <c r="D16" s="29">
        <v>1161.0</v>
      </c>
      <c r="E16" s="39"/>
      <c r="F16" s="39"/>
      <c r="G16" s="32">
        <f t="shared" si="2"/>
        <v>1.166666667</v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29">
        <v>600.0</v>
      </c>
      <c r="D17" s="29">
        <v>112.0</v>
      </c>
      <c r="E17" s="39"/>
      <c r="F17" s="39"/>
      <c r="G17" s="32">
        <f t="shared" si="2"/>
        <v>-0.985</v>
      </c>
      <c r="J17" s="40" t="s">
        <v>38</v>
      </c>
      <c r="K17" s="41">
        <v>9.0</v>
      </c>
      <c r="L17" s="34"/>
      <c r="M17" s="34"/>
    </row>
    <row r="18">
      <c r="B18" s="38"/>
      <c r="C18" s="29">
        <v>40000.0</v>
      </c>
      <c r="D18" s="29">
        <v>-34.0</v>
      </c>
      <c r="E18" s="39"/>
      <c r="F18" s="30">
        <v>2.0</v>
      </c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19271.42857</v>
      </c>
      <c r="D24" s="46">
        <f t="shared" si="3"/>
        <v>1548.428571</v>
      </c>
      <c r="E24" s="47">
        <f t="shared" ref="E24:F24" si="4">SUM(E12:E23)</f>
        <v>0</v>
      </c>
      <c r="F24" s="47">
        <f t="shared" si="4"/>
        <v>2</v>
      </c>
      <c r="G24" s="48">
        <f>IFERROR(AVERAGE(G12:G22),"")</f>
        <v>3.217029915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/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76.31578947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0.08575484765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0.08575484765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0.04928596054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0.518902891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3.217029915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2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YELLOW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0.08034840623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73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160.1873536</v>
      </c>
    </row>
    <row r="57" ht="15.75" customHeight="1">
      <c r="B57" s="70" t="s">
        <v>80</v>
      </c>
      <c r="C57" s="15">
        <f>IF(C24=0,"",(D38*C24-F34)/21.655)</f>
        <v>266.9789227</v>
      </c>
    </row>
    <row r="58" ht="15.75" customHeight="1">
      <c r="B58" s="70" t="s">
        <v>81</v>
      </c>
      <c r="C58" s="15">
        <f>IF(OR(C24=0,D24=0),"",D40*D24-E34)</f>
        <v>696.7928571</v>
      </c>
    </row>
    <row r="59" ht="15.75" customHeight="1">
      <c r="B59" s="68" t="s">
        <v>82</v>
      </c>
      <c r="C59" s="21">
        <f>IF(C24=0,"",MAX(0,MIN(C56:C58)))</f>
        <v>160.1873536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800.9367681</v>
      </c>
      <c r="D60" s="75">
        <f>IF(OR(C59="",C59=0),"",C59*21.655)</f>
        <v>3468.857143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14000</v>
      </c>
      <c r="D62" s="4" t="str">
        <f>IF(C62="-","KNOCKOUT on the merchant - do not fund.",IF(C62="","","payback "&amp;TEXT(C62*D61,"$#,##0")&amp;" over "&amp;C61&amp;" daily pmts ("&amp;TEXT(C61/5,"0")&amp;" wks)"))</f>
        <v>payback $20,300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30000.0</v>
      </c>
      <c r="C6" s="10">
        <v>1.49</v>
      </c>
      <c r="D6" s="11">
        <v>130.0</v>
      </c>
      <c r="E6" s="12" t="s">
        <v>87</v>
      </c>
      <c r="F6" s="13">
        <v>0.05</v>
      </c>
      <c r="J6" s="14" t="s">
        <v>13</v>
      </c>
      <c r="K6" s="15">
        <f>IF(OR(D8="",C24=0),"",D8)</f>
        <v>1719.230769</v>
      </c>
      <c r="L6" s="15">
        <f>IF(OR(D8="",C24=0),"",L7*C24/4)</f>
        <v>1719.183333</v>
      </c>
      <c r="M6" s="16">
        <f t="shared" ref="M6:M8" si="1">IF(OR(K6="",L6=""),"",L6-K6)</f>
        <v>-0.04743589744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0.1254941876</v>
      </c>
      <c r="L7" s="17">
        <f>IF(OR(D8="",C24=0),"",ROUND(D8*4/C24*100,2)/100)</f>
        <v>0.1159</v>
      </c>
      <c r="M7" s="18">
        <f t="shared" si="1"/>
        <v>-0.009594187554</v>
      </c>
    </row>
    <row r="8">
      <c r="B8" s="19">
        <f>IF(OR(B6="",C6=""),"",B6*C6)</f>
        <v>44700</v>
      </c>
      <c r="C8" s="21">
        <f>IF(OR(B8="",D6="",D6=0),"",IF(E6="Weekly",(B8/D6)/5,B8/D6))</f>
        <v>343.8461538</v>
      </c>
      <c r="D8" s="21">
        <f>IF(C8="","",C8*5)</f>
        <v>1719.230769</v>
      </c>
      <c r="E8" s="19">
        <f>IF(C8="","",C8*21.655)</f>
        <v>7445.988462</v>
      </c>
      <c r="F8" s="22">
        <f>IF(OR(D6="",D6=0),"",IF(E6="Weekly",D6,D6/5)/(21.655/5))</f>
        <v>6.00323251</v>
      </c>
      <c r="G8" s="19">
        <f>IF(B6="","",B6-(B6*F6))</f>
        <v>28500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65000.0</v>
      </c>
      <c r="D12" s="29">
        <v>4100.0</v>
      </c>
      <c r="E12" s="30">
        <v>0.0</v>
      </c>
      <c r="F12" s="30">
        <v>0.0</v>
      </c>
      <c r="G12" s="32">
        <f t="shared" ref="G12:G22" si="2">IF(OR(C12="",C13=""),"",(C12-C13)/C13)</f>
        <v>-0.1095890411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73000.0</v>
      </c>
      <c r="D13" s="29">
        <v>2500.0</v>
      </c>
      <c r="E13" s="30">
        <v>0.0</v>
      </c>
      <c r="F13" s="30">
        <v>2.0</v>
      </c>
      <c r="G13" s="32">
        <f t="shared" si="2"/>
        <v>0.825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40000.0</v>
      </c>
      <c r="D14" s="29">
        <v>2900.0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59333.33333</v>
      </c>
      <c r="D24" s="46">
        <f t="shared" si="3"/>
        <v>3166.666667</v>
      </c>
      <c r="E24" s="47">
        <f t="shared" ref="E24:F24" si="4">SUM(E12:E23)</f>
        <v>0</v>
      </c>
      <c r="F24" s="47">
        <f t="shared" si="4"/>
        <v>2</v>
      </c>
      <c r="G24" s="48">
        <f>IFERROR(AVERAGE(G12:G22),"")</f>
        <v>0.3577054795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1565.0</v>
      </c>
      <c r="E28" s="28" t="s">
        <v>12</v>
      </c>
      <c r="F28" s="15">
        <f t="shared" ref="F28:F33" si="5">IF(D28="","",IF(E28="Daily",D28,IF(E28="Weekly",D28/5,D28/21.655)))</f>
        <v>313</v>
      </c>
    </row>
    <row r="29" ht="15.75" customHeight="1">
      <c r="B29" s="50"/>
      <c r="C29" s="42"/>
      <c r="D29" s="29">
        <v>150.0</v>
      </c>
      <c r="E29" s="28" t="s">
        <v>87</v>
      </c>
      <c r="F29" s="15">
        <f t="shared" si="5"/>
        <v>150</v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463</v>
      </c>
      <c r="F34" s="46">
        <f>E34*21.655</f>
        <v>10026.265</v>
      </c>
      <c r="G34" s="4" t="s">
        <v>52</v>
      </c>
    </row>
    <row r="35" ht="15.75" customHeight="1">
      <c r="E35" s="57">
        <f>E34+C8</f>
        <v>806.8461538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0.2944761819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0.1254941876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0.2547935223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0.5056179775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0.3577054795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2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YELLOW</v>
      </c>
      <c r="G44" s="30">
        <v>10.0</v>
      </c>
    </row>
    <row r="45" ht="15.75" customHeight="1">
      <c r="B45" s="14" t="s">
        <v>66</v>
      </c>
      <c r="C45" s="18">
        <f>IF(C24=0,"",F34/C24)</f>
        <v>0.1689819944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0.05337078652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493.18864</v>
      </c>
    </row>
    <row r="57" ht="15.75" customHeight="1">
      <c r="B57" s="70" t="s">
        <v>80</v>
      </c>
      <c r="C57" s="15">
        <f>IF(C24=0,"",(D38*C24-F34)/21.655)</f>
        <v>358.9810667</v>
      </c>
    </row>
    <row r="58" ht="15.75" customHeight="1">
      <c r="B58" s="70" t="s">
        <v>81</v>
      </c>
      <c r="C58" s="15">
        <f>IF(OR(C24=0,D24=0),"",D40*D24-E34)</f>
        <v>962</v>
      </c>
    </row>
    <row r="59" ht="15.75" customHeight="1">
      <c r="B59" s="68" t="s">
        <v>82</v>
      </c>
      <c r="C59" s="21">
        <f>IF(C24=0,"",MAX(0,MIN(C56:C58)))</f>
        <v>358.9810667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1794.905334</v>
      </c>
      <c r="D60" s="75">
        <f>IF(OR(C59="",C59=0),"",C59*21.655)</f>
        <v>7773.735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150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37000</v>
      </c>
      <c r="D62" s="4" t="str">
        <f>IF(C62="-","KNOCKOUT on the merchant - do not fund.",IF(C62="","","payback "&amp;TEXT(C62*D61,"$#,##0")&amp;" over "&amp;C61&amp;" daily pmts ("&amp;TEXT(C61/5,"0")&amp;" wks)"))</f>
        <v>payback $53,650 over 150 daily pmts (30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6G / 0Y / 1R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45000.0</v>
      </c>
      <c r="C6" s="10">
        <v>1.45</v>
      </c>
      <c r="D6" s="11">
        <v>26.0</v>
      </c>
      <c r="E6" s="12" t="s">
        <v>12</v>
      </c>
      <c r="F6" s="13">
        <v>0.05</v>
      </c>
      <c r="J6" s="14" t="s">
        <v>13</v>
      </c>
      <c r="K6" s="15">
        <f>IF(OR(D8="",C24=0),"",D8)</f>
        <v>2509.615385</v>
      </c>
      <c r="L6" s="15">
        <f>IF(OR(D8="",C24=0),"",L7*C24/4)</f>
        <v>2508.916667</v>
      </c>
      <c r="M6" s="16">
        <f t="shared" ref="M6:M8" si="1">IF(OR(K6="",L6=""),"",L6-K6)</f>
        <v>-0.6987179487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0.1417714465</v>
      </c>
      <c r="L7" s="17">
        <f>IF(OR(D8="",C24=0),"",ROUND(D8*4/C24*100,2)/100)</f>
        <v>0.1309</v>
      </c>
      <c r="M7" s="18">
        <f t="shared" si="1"/>
        <v>-0.01087144649</v>
      </c>
    </row>
    <row r="8">
      <c r="B8" s="19">
        <f>IF(OR(B6="",C6=""),"",B6*C6)</f>
        <v>65250</v>
      </c>
      <c r="C8" s="21">
        <f>IF(OR(B8="",D6="",D6=0),"",IF(E6="Weekly",(B8/D6)/5,B8/D6))</f>
        <v>501.9230769</v>
      </c>
      <c r="D8" s="21">
        <f>IF(C8="","",C8*5)</f>
        <v>2509.615385</v>
      </c>
      <c r="E8" s="19">
        <f>IF(C8="","",C8*21.655)</f>
        <v>10869.14423</v>
      </c>
      <c r="F8" s="22">
        <f>IF(OR(D6="",D6=0),"",IF(E6="Weekly",D6,D6/5)/(21.655/5))</f>
        <v>6.00323251</v>
      </c>
      <c r="G8" s="19">
        <f>IF(B6="","",B6-(B6*F6))</f>
        <v>42750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60000.0</v>
      </c>
      <c r="D12" s="29">
        <v>11000.0</v>
      </c>
      <c r="E12" s="30">
        <v>0.0</v>
      </c>
      <c r="F12" s="30">
        <v>0.0</v>
      </c>
      <c r="G12" s="32">
        <f t="shared" ref="G12:G22" si="2">IF(OR(C12="",C13=""),"",(C12-C13)/C13)</f>
        <v>0.09090909091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55000.0</v>
      </c>
      <c r="D13" s="29">
        <v>30000.0</v>
      </c>
      <c r="E13" s="30">
        <v>0.0</v>
      </c>
      <c r="F13" s="30">
        <v>0.0</v>
      </c>
      <c r="G13" s="32">
        <f t="shared" si="2"/>
        <v>-0.5217391304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115000.0</v>
      </c>
      <c r="D14" s="29">
        <v>19000.0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87">
        <f t="shared" ref="C24:D24" si="3">IF(COUNT(C12:C23)=0,0,AVERAGE(C12:C23))</f>
        <v>76666.66667</v>
      </c>
      <c r="D24" s="87">
        <f t="shared" si="3"/>
        <v>20000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-0.2154150198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/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501.9230769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0.1417714465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0.1417714465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0.02509615385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0.5869565217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-0.2154150198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RED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0.2608695652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1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637.2662203</v>
      </c>
    </row>
    <row r="57" ht="15.75" customHeight="1">
      <c r="B57" s="70" t="s">
        <v>80</v>
      </c>
      <c r="C57" s="15">
        <f>IF(C24=0,"",(D38*C24-F34)/21.655)</f>
        <v>1062.110367</v>
      </c>
    </row>
    <row r="58" ht="15.75" customHeight="1">
      <c r="B58" s="70" t="s">
        <v>81</v>
      </c>
      <c r="C58" s="15">
        <f>IF(OR(C24=0,D24=0),"",D40*D24-E34)</f>
        <v>9000</v>
      </c>
    </row>
    <row r="59" ht="15.75" customHeight="1">
      <c r="B59" s="68" t="s">
        <v>82</v>
      </c>
      <c r="C59" s="21">
        <f>IF(C24=0,"",MAX(0,MIN(C56:C58)))</f>
        <v>637.2662203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3186.331101</v>
      </c>
      <c r="D60" s="75">
        <f>IF(OR(C59="",C59=0),"",C59*21.655)</f>
        <v>13800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57000</v>
      </c>
      <c r="D62" s="4" t="str">
        <f>IF(C62="-","KNOCKOUT on the merchant - do not fund.",IF(C62="","","payback "&amp;TEXT(C62*D61,"$#,##0")&amp;" over "&amp;C61&amp;" daily pmts ("&amp;TEXT(C61/5,"0")&amp;" wks)"))</f>
        <v>payback $82,650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6G / 1Y / 0R   |   score 6.5/7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350000.0</v>
      </c>
      <c r="C6" s="10">
        <v>1.45</v>
      </c>
      <c r="D6" s="11">
        <v>48.0</v>
      </c>
      <c r="E6" s="12" t="s">
        <v>12</v>
      </c>
      <c r="F6" s="13">
        <v>0.05</v>
      </c>
      <c r="J6" s="14" t="s">
        <v>13</v>
      </c>
      <c r="K6" s="15">
        <f>IF(OR(D8="",C24=0),"",D8)</f>
        <v>10572.91667</v>
      </c>
      <c r="L6" s="15">
        <f>IF(OR(D8="",C24=0),"",L7*C24/4)</f>
        <v>10571.75</v>
      </c>
      <c r="M6" s="16">
        <f t="shared" ref="M6:M8" si="1">IF(OR(K6="",L6=""),"",L6-K6)</f>
        <v>-1.166666667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0.0934516369</v>
      </c>
      <c r="L7" s="17">
        <f>IF(OR(D8="",C24=0),"",ROUND(D8*4/C24*100,2)/100)</f>
        <v>0.0863</v>
      </c>
      <c r="M7" s="18">
        <f t="shared" si="1"/>
        <v>-0.007151636905</v>
      </c>
    </row>
    <row r="8">
      <c r="B8" s="19">
        <f>IF(OR(B6="",C6=""),"",B6*C6)</f>
        <v>507500</v>
      </c>
      <c r="C8" s="21">
        <f>IF(OR(B8="",D6="",D6=0),"",IF(E6="Weekly",(B8/D6)/5,B8/D6))</f>
        <v>2114.583333</v>
      </c>
      <c r="D8" s="21">
        <f>IF(C8="","",C8*5)</f>
        <v>10572.91667</v>
      </c>
      <c r="E8" s="19">
        <f>IF(C8="","",C8*21.655)</f>
        <v>45791.30208</v>
      </c>
      <c r="F8" s="22">
        <f>IF(OR(D6="",D6=0),"",IF(E6="Weekly",D6,D6/5)/(21.655/5))</f>
        <v>11.08289079</v>
      </c>
      <c r="G8" s="19">
        <f>IF(B6="","",B6-(B6*F6))</f>
        <v>332500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405000.0</v>
      </c>
      <c r="D12" s="29">
        <v>72000.0</v>
      </c>
      <c r="E12" s="30">
        <v>0.0</v>
      </c>
      <c r="F12" s="30">
        <v>0.0</v>
      </c>
      <c r="G12" s="32">
        <f t="shared" ref="G12:G22" si="2">IF(OR(C12="",C13=""),"",(C12-C13)/C13)</f>
        <v>-0.2931937173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573000.0</v>
      </c>
      <c r="D13" s="29">
        <v>176000.0</v>
      </c>
      <c r="E13" s="30">
        <v>0.0</v>
      </c>
      <c r="F13" s="30">
        <v>0.0</v>
      </c>
      <c r="G13" s="32">
        <f t="shared" si="2"/>
        <v>0.2963800905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442000.0</v>
      </c>
      <c r="D14" s="29">
        <v>174000.0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87">
        <v>490000.0</v>
      </c>
      <c r="D24" s="87">
        <v>141000.0</v>
      </c>
      <c r="E24" s="47">
        <f t="shared" ref="E24:F24" si="3">SUM(E12:E23)</f>
        <v>0</v>
      </c>
      <c r="F24" s="47">
        <f t="shared" si="3"/>
        <v>0</v>
      </c>
      <c r="G24" s="48">
        <f>IFERROR(AVERAGE(G12:G22),"")</f>
        <v>0.00159318661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4712.0</v>
      </c>
      <c r="E28" s="28" t="s">
        <v>12</v>
      </c>
      <c r="F28" s="15">
        <f t="shared" ref="F28:F33" si="4">IF(D28="","",IF(E28="Daily",D28,IF(E28="Weekly",D28/5,D28/21.655)))</f>
        <v>942.4</v>
      </c>
    </row>
    <row r="29" ht="15.75" customHeight="1">
      <c r="B29" s="50"/>
      <c r="C29" s="42"/>
      <c r="D29" s="29">
        <v>3771.0</v>
      </c>
      <c r="E29" s="28" t="s">
        <v>12</v>
      </c>
      <c r="F29" s="15">
        <f t="shared" si="4"/>
        <v>754.2</v>
      </c>
    </row>
    <row r="30" ht="15.75" customHeight="1">
      <c r="B30" s="50"/>
      <c r="C30" s="42"/>
      <c r="D30" s="29">
        <v>2560.0</v>
      </c>
      <c r="E30" s="28" t="s">
        <v>12</v>
      </c>
      <c r="F30" s="15">
        <f t="shared" si="4"/>
        <v>512</v>
      </c>
    </row>
    <row r="31" ht="15.75" customHeight="1">
      <c r="B31" s="50"/>
      <c r="C31" s="42"/>
      <c r="D31" s="42"/>
      <c r="E31" s="28" t="s">
        <v>12</v>
      </c>
      <c r="F31" s="15" t="str">
        <f t="shared" si="4"/>
        <v/>
      </c>
    </row>
    <row r="32" ht="15.75" customHeight="1">
      <c r="B32" s="50"/>
      <c r="C32" s="42"/>
      <c r="D32" s="42"/>
      <c r="E32" s="38"/>
      <c r="F32" s="15" t="str">
        <f t="shared" si="4"/>
        <v/>
      </c>
    </row>
    <row r="33" ht="15.75" customHeight="1">
      <c r="B33" s="50"/>
      <c r="C33" s="42"/>
      <c r="D33" s="42"/>
      <c r="E33" s="38"/>
      <c r="F33" s="15" t="str">
        <f t="shared" si="4"/>
        <v/>
      </c>
    </row>
    <row r="34" ht="15.75" customHeight="1">
      <c r="B34" s="55" t="s">
        <v>50</v>
      </c>
      <c r="C34" s="47">
        <f>SUMPRODUCT((D28:D33&lt;&gt;"")*(E28:E33&lt;&gt;"Monthly"))</f>
        <v>3</v>
      </c>
      <c r="D34" s="55" t="s">
        <v>51</v>
      </c>
      <c r="E34" s="56">
        <f>SUM(F28:F33)</f>
        <v>2208.6</v>
      </c>
      <c r="F34" s="46">
        <f>E34*21.655</f>
        <v>47827.233</v>
      </c>
      <c r="G34" s="4" t="s">
        <v>52</v>
      </c>
    </row>
    <row r="35" ht="15.75" customHeight="1">
      <c r="E35" s="57">
        <f>E34+C8</f>
        <v>4323.183333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0.1910582349</v>
      </c>
      <c r="D38" s="59">
        <v>0.3</v>
      </c>
      <c r="E38" s="59">
        <v>0.45</v>
      </c>
      <c r="F38" s="60" t="str">
        <f t="shared" ref="F38:F42" si="5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0.0934516369</v>
      </c>
      <c r="D39" s="59">
        <v>0.18</v>
      </c>
      <c r="E39" s="59">
        <v>0.25</v>
      </c>
      <c r="F39" s="60" t="str">
        <f t="shared" si="5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0.0306608747</v>
      </c>
      <c r="D40" s="59">
        <v>0.45</v>
      </c>
      <c r="E40" s="59">
        <v>0.75</v>
      </c>
      <c r="F40" s="60" t="str">
        <f t="shared" si="5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0.7142857143</v>
      </c>
      <c r="D41" s="86">
        <v>0.75</v>
      </c>
      <c r="E41" s="86">
        <v>1.25</v>
      </c>
      <c r="F41" s="60" t="str">
        <f t="shared" si="5"/>
        <v>GREEN</v>
      </c>
      <c r="G41" s="63">
        <v>1.5</v>
      </c>
    </row>
    <row r="42" ht="15.75" customHeight="1">
      <c r="B42" s="14" t="s">
        <v>63</v>
      </c>
      <c r="C42" s="64">
        <f>IF(C24=0,"",C34+1)</f>
        <v>4</v>
      </c>
      <c r="D42" s="39">
        <v>2.0</v>
      </c>
      <c r="E42" s="39">
        <v>5.0</v>
      </c>
      <c r="F42" s="60" t="str">
        <f t="shared" si="5"/>
        <v>YELLOW</v>
      </c>
      <c r="G42" s="39">
        <v>6.0</v>
      </c>
    </row>
    <row r="43" ht="15.75" customHeight="1">
      <c r="B43" s="14" t="s">
        <v>64</v>
      </c>
      <c r="C43" s="18">
        <f>G24</f>
        <v>0.00159318661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0.09760659796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0.287755102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6.5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4072.962364</v>
      </c>
    </row>
    <row r="57" ht="15.75" customHeight="1">
      <c r="B57" s="70" t="s">
        <v>80</v>
      </c>
      <c r="C57" s="15">
        <f>IF(C24=0,"",(D38*C24-F34)/21.655)</f>
        <v>4579.670607</v>
      </c>
    </row>
    <row r="58" ht="15.75" customHeight="1">
      <c r="B58" s="70" t="s">
        <v>81</v>
      </c>
      <c r="C58" s="15">
        <f>IF(OR(C24=0,D24=0),"",D40*D24-E34)</f>
        <v>61241.4</v>
      </c>
    </row>
    <row r="59" ht="15.75" customHeight="1">
      <c r="B59" s="68" t="s">
        <v>82</v>
      </c>
      <c r="C59" s="21">
        <f>IF(C24=0,"",MAX(0,MIN(C56:C58)))</f>
        <v>4072.962364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20364.81182</v>
      </c>
      <c r="D60" s="75">
        <f>IF(OR(C59="",C59=0),"",C59*21.655)</f>
        <v>88200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365000</v>
      </c>
      <c r="D62" s="4" t="str">
        <f>IF(C62="-","KNOCKOUT on the merchant - do not fund.",IF(C62="","","payback "&amp;TEXT(C62*D61,"$#,##0")&amp;" over "&amp;C61&amp;" daily pmts ("&amp;TEXT(C61/5,"0")&amp;" wks)"))</f>
        <v>payback $529,250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60000.0</v>
      </c>
      <c r="C6" s="10">
        <v>1.49</v>
      </c>
      <c r="D6" s="11">
        <v>30.0</v>
      </c>
      <c r="E6" s="12" t="s">
        <v>12</v>
      </c>
      <c r="F6" s="13">
        <v>0.05</v>
      </c>
      <c r="J6" s="14" t="s">
        <v>13</v>
      </c>
      <c r="K6" s="15">
        <f>IF(OR(D8="",C24=0),"",D8)</f>
        <v>2980</v>
      </c>
      <c r="L6" s="15">
        <f>IF(OR(D8="",C24=0),"",L7*C24/4)</f>
        <v>2980.817625</v>
      </c>
      <c r="M6" s="16">
        <f t="shared" ref="M6:M8" si="1">IF(OR(K6="",L6=""),"",L6-K6)</f>
        <v>0.817625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0.1033742621</v>
      </c>
      <c r="L7" s="17">
        <f>IF(OR(D8="",C24=0),"",ROUND(D8*4/C24*100,2)/100)</f>
        <v>0.0955</v>
      </c>
      <c r="M7" s="18">
        <f t="shared" si="1"/>
        <v>-0.00787426212</v>
      </c>
    </row>
    <row r="8">
      <c r="B8" s="19">
        <f>IF(OR(B6="",C6=""),"",B6*C6)</f>
        <v>89400</v>
      </c>
      <c r="C8" s="21">
        <f>IF(OR(B8="",D6="",D6=0),"",IF(E6="Weekly",(B8/D6)/5,B8/D6))</f>
        <v>596</v>
      </c>
      <c r="D8" s="21">
        <f>IF(C8="","",C8*5)</f>
        <v>2980</v>
      </c>
      <c r="E8" s="19">
        <f>IF(C8="","",C8*21.655)</f>
        <v>12906.38</v>
      </c>
      <c r="F8" s="22">
        <f>IF(OR(D6="",D6=0),"",IF(E6="Weekly",D6,D6/5)/(21.655/5))</f>
        <v>6.926806742</v>
      </c>
      <c r="G8" s="19">
        <f>IF(B6="","",B6-(B6*F6))</f>
        <v>57000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120042.0</v>
      </c>
      <c r="D12" s="29">
        <v>24464.0</v>
      </c>
      <c r="E12" s="30">
        <v>0.0</v>
      </c>
      <c r="F12" s="30">
        <v>0.0</v>
      </c>
      <c r="G12" s="32">
        <f t="shared" ref="G12:G22" si="2">IF(OR(C12="",C13=""),"",(C12-C13)/C13)</f>
        <v>-0.0005827893966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120112.0</v>
      </c>
      <c r="D13" s="29">
        <v>33052.0</v>
      </c>
      <c r="E13" s="30">
        <v>0.0</v>
      </c>
      <c r="F13" s="30">
        <v>0.0</v>
      </c>
      <c r="G13" s="32">
        <f t="shared" si="2"/>
        <v>-0.1063028743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134399.0</v>
      </c>
      <c r="D14" s="29">
        <v>54775.0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124851</v>
      </c>
      <c r="D24" s="46">
        <f t="shared" si="3"/>
        <v>37430.33333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-0.05344283184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683.0</v>
      </c>
      <c r="E28" s="28" t="s">
        <v>12</v>
      </c>
      <c r="F28" s="15">
        <f t="shared" ref="F28:F33" si="5">IF(D28="","",IF(E28="Daily",D28,IF(E28="Weekly",D28/5,D28/21.655)))</f>
        <v>136.6</v>
      </c>
    </row>
    <row r="29" ht="15.75" customHeight="1">
      <c r="B29" s="50"/>
      <c r="C29" s="42"/>
      <c r="D29" s="29">
        <v>1624.25</v>
      </c>
      <c r="E29" s="28" t="s">
        <v>12</v>
      </c>
      <c r="F29" s="15">
        <f t="shared" si="5"/>
        <v>324.85</v>
      </c>
    </row>
    <row r="30" ht="15.75" customHeight="1">
      <c r="B30" s="50"/>
      <c r="C30" s="42"/>
      <c r="D30" s="29">
        <v>270.0</v>
      </c>
      <c r="E30" s="28" t="s">
        <v>87</v>
      </c>
      <c r="F30" s="15">
        <f t="shared" si="5"/>
        <v>270</v>
      </c>
    </row>
    <row r="31" ht="15.75" customHeight="1">
      <c r="B31" s="50"/>
      <c r="C31" s="42"/>
      <c r="D31" s="29">
        <v>241.0</v>
      </c>
      <c r="E31" s="28" t="s">
        <v>96</v>
      </c>
      <c r="F31" s="15">
        <f t="shared" si="5"/>
        <v>11.1290695</v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3</v>
      </c>
      <c r="D34" s="55" t="s">
        <v>51</v>
      </c>
      <c r="E34" s="56">
        <f>SUM(F28:F33)</f>
        <v>742.5790695</v>
      </c>
      <c r="F34" s="46">
        <f>E34*21.655</f>
        <v>16080.54975</v>
      </c>
      <c r="G34" s="4" t="s">
        <v>52</v>
      </c>
    </row>
    <row r="35" ht="15.75" customHeight="1">
      <c r="E35" s="57">
        <f>E34+C8</f>
        <v>1338.579069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0.2321721872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0.1033742621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0.03576187948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0.4805728428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4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-0.05344283184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YELLOW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0.1287979251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0.2998000283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1037.782498</v>
      </c>
    </row>
    <row r="57" ht="15.75" customHeight="1">
      <c r="B57" s="70" t="s">
        <v>80</v>
      </c>
      <c r="C57" s="15">
        <f>IF(C24=0,"",(D38*C24-F34)/21.655)</f>
        <v>987.0584276</v>
      </c>
    </row>
    <row r="58" ht="15.75" customHeight="1">
      <c r="B58" s="70" t="s">
        <v>81</v>
      </c>
      <c r="C58" s="15">
        <f>IF(OR(C24=0,D24=0),"",D40*D24-E34)</f>
        <v>16101.07093</v>
      </c>
    </row>
    <row r="59" ht="15.75" customHeight="1">
      <c r="B59" s="68" t="s">
        <v>82</v>
      </c>
      <c r="C59" s="21">
        <f>IF(C24=0,"",MAX(0,MIN(C56:C58)))</f>
        <v>987.0584276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4935.292138</v>
      </c>
      <c r="D60" s="75">
        <f>IF(OR(C59="",C59=0),"",C59*21.655)</f>
        <v>21374.75025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135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91500</v>
      </c>
      <c r="D62" s="4" t="str">
        <f>IF(C62="-","KNOCKOUT on the merchant - do not fund.",IF(C62="","","payback "&amp;TEXT(C62*D61,"$#,##0")&amp;" over "&amp;C61&amp;" daily pmts ("&amp;TEXT(C61/5,"0")&amp;" wks)"))</f>
        <v>payback $132,675 over 135 daily pmts (27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6G / 0Y / 1R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35000.0</v>
      </c>
      <c r="C6" s="10">
        <v>1.45</v>
      </c>
      <c r="D6" s="11">
        <v>130.0</v>
      </c>
      <c r="E6" s="12" t="s">
        <v>87</v>
      </c>
      <c r="F6" s="13">
        <v>0.05</v>
      </c>
      <c r="J6" s="14" t="s">
        <v>13</v>
      </c>
      <c r="K6" s="15">
        <f>IF(OR(D8="",C24=0),"",D8)</f>
        <v>1951.923077</v>
      </c>
      <c r="L6" s="15">
        <f>IF(OR(D8="",C24=0),"",L7*C24/4)</f>
        <v>1951.3</v>
      </c>
      <c r="M6" s="16">
        <f t="shared" ref="M6:M8" si="1">IF(OR(K6="",L6=""),"",L6-K6)</f>
        <v>-0.6230769231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0.1605147882</v>
      </c>
      <c r="L7" s="17">
        <f>IF(OR(D8="",C24=0),"",ROUND(D8*4/C24*100,2)/100)</f>
        <v>0.1482</v>
      </c>
      <c r="M7" s="18">
        <f t="shared" si="1"/>
        <v>-0.01231478822</v>
      </c>
    </row>
    <row r="8">
      <c r="B8" s="19">
        <f>IF(OR(B6="",C6=""),"",B6*C6)</f>
        <v>50750</v>
      </c>
      <c r="C8" s="21">
        <f>IF(OR(B8="",D6="",D6=0),"",IF(E6="Weekly",(B8/D6)/5,B8/D6))</f>
        <v>390.3846154</v>
      </c>
      <c r="D8" s="21">
        <f>IF(C8="","",C8*5)</f>
        <v>1951.923077</v>
      </c>
      <c r="E8" s="19">
        <f>IF(C8="","",C8*21.655)</f>
        <v>8453.778846</v>
      </c>
      <c r="F8" s="22">
        <f>IF(OR(D6="",D6=0),"",IF(E6="Weekly",D6,D6/5)/(21.655/5))</f>
        <v>6.00323251</v>
      </c>
      <c r="G8" s="19">
        <f>IF(B6="","",B6-(B6*F6))</f>
        <v>33250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47000.0</v>
      </c>
      <c r="D12" s="29">
        <v>810.0</v>
      </c>
      <c r="E12" s="30">
        <v>3.0</v>
      </c>
      <c r="F12" s="30">
        <v>2.0</v>
      </c>
      <c r="G12" s="32">
        <f t="shared" ref="G12:G22" si="2">IF(OR(C12="",C13=""),"",(C12-C13)/C13)</f>
        <v>-0.1896551724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58000.0</v>
      </c>
      <c r="D13" s="29">
        <v>2503.0</v>
      </c>
      <c r="E13" s="30">
        <v>1.0</v>
      </c>
      <c r="F13" s="30">
        <v>1.0</v>
      </c>
      <c r="G13" s="32">
        <f t="shared" si="2"/>
        <v>0.09433962264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53000.0</v>
      </c>
      <c r="D14" s="29">
        <v>1377.0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52666.66667</v>
      </c>
      <c r="D24" s="46">
        <f t="shared" si="3"/>
        <v>1563.333333</v>
      </c>
      <c r="E24" s="47">
        <f t="shared" ref="E24:F24" si="4">SUM(E12:E23)</f>
        <v>4</v>
      </c>
      <c r="F24" s="47">
        <f t="shared" si="4"/>
        <v>3</v>
      </c>
      <c r="G24" s="48">
        <f>IFERROR(AVERAGE(G12:G22),"")</f>
        <v>-0.04765777489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/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390.3846154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0.1605147882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0.1605147882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0.2497129736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0.664556962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-0.04765777489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7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RED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0.0296835443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1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437.7741861</v>
      </c>
    </row>
    <row r="57" ht="15.75" customHeight="1">
      <c r="B57" s="70" t="s">
        <v>80</v>
      </c>
      <c r="C57" s="15">
        <f>IF(C24=0,"",(D38*C24-F34)/21.655)</f>
        <v>729.6236435</v>
      </c>
    </row>
    <row r="58" ht="15.75" customHeight="1">
      <c r="B58" s="70" t="s">
        <v>81</v>
      </c>
      <c r="C58" s="15">
        <f>IF(OR(C24=0,D24=0),"",D40*D24-E34)</f>
        <v>703.5</v>
      </c>
    </row>
    <row r="59" ht="15.75" customHeight="1">
      <c r="B59" s="68" t="s">
        <v>82</v>
      </c>
      <c r="C59" s="21">
        <f>IF(C24=0,"",MAX(0,MIN(C56:C58)))</f>
        <v>437.7741861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2188.870931</v>
      </c>
      <c r="D60" s="75">
        <f>IF(OR(C59="",C59=0),"",C59*21.655)</f>
        <v>9480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39000</v>
      </c>
      <c r="D62" s="4" t="str">
        <f>IF(C62="-","KNOCKOUT on the merchant - do not fund.",IF(C62="","","payback "&amp;TEXT(C62*D61,"$#,##0")&amp;" over "&amp;C61&amp;" daily pmts ("&amp;TEXT(C61/5,"0")&amp;" wks)"))</f>
        <v>payback $56,550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3G / 2Y / 0R   |   score 4.0/7 = Moderate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500000.0</v>
      </c>
      <c r="D12" s="29">
        <v>300000.0</v>
      </c>
      <c r="E12" s="30">
        <v>0.0</v>
      </c>
      <c r="F12" s="30">
        <v>0.0</v>
      </c>
      <c r="G12" s="32">
        <f t="shared" ref="G12:G22" si="2">IF(OR(C12="",C13=""),"",(C12-C13)/C13)</f>
        <v>-0.1666666667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600000.0</v>
      </c>
      <c r="D13" s="29">
        <v>300000.0</v>
      </c>
      <c r="E13" s="30">
        <v>0.0</v>
      </c>
      <c r="F13" s="30">
        <v>0.0</v>
      </c>
      <c r="G13" s="32">
        <f t="shared" si="2"/>
        <v>1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300000.0</v>
      </c>
      <c r="D14" s="29">
        <v>300000.0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466666.6667</v>
      </c>
      <c r="D24" s="46">
        <f t="shared" si="3"/>
        <v>300000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0.4166666667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23625.0</v>
      </c>
      <c r="E28" s="28" t="s">
        <v>12</v>
      </c>
      <c r="F28" s="15">
        <f t="shared" ref="F28:F33" si="5">IF(D28="","",IF(E28="Daily",D28,IF(E28="Weekly",D28/5,D28/21.655)))</f>
        <v>4725</v>
      </c>
    </row>
    <row r="29" ht="15.75" customHeight="1">
      <c r="B29" s="50"/>
      <c r="C29" s="42"/>
      <c r="D29" s="29">
        <v>10275.0</v>
      </c>
      <c r="E29" s="28" t="s">
        <v>12</v>
      </c>
      <c r="F29" s="15">
        <f t="shared" si="5"/>
        <v>2055</v>
      </c>
    </row>
    <row r="30" ht="15.75" customHeight="1">
      <c r="B30" s="50"/>
      <c r="C30" s="42"/>
      <c r="D30" s="29">
        <v>14300.0</v>
      </c>
      <c r="E30" s="28" t="s">
        <v>12</v>
      </c>
      <c r="F30" s="15">
        <f t="shared" si="5"/>
        <v>2860</v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3</v>
      </c>
      <c r="D34" s="55" t="s">
        <v>51</v>
      </c>
      <c r="E34" s="56">
        <f>SUM(F28:F33)</f>
        <v>9640</v>
      </c>
      <c r="F34" s="46">
        <f>E34*21.655</f>
        <v>208754.2</v>
      </c>
      <c r="G34" s="4" t="s">
        <v>52</v>
      </c>
    </row>
    <row r="35" ht="15.75" customHeight="1">
      <c r="E35" s="57">
        <f>E34+C8</f>
        <v>9640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0.4473304286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YELLOW</v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>
        <f>IF(D24=0,"",(E34+IF(C8="",0,C8))/D24)</f>
        <v>0.03213333333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 t="str">
        <f>IF(OR(C24=0,B6=""),"",B6/C24)</f>
        <v/>
      </c>
      <c r="D41" s="86">
        <v>0.75</v>
      </c>
      <c r="E41" s="86">
        <v>1.25</v>
      </c>
      <c r="F41" s="60" t="str">
        <f t="shared" si="6"/>
        <v/>
      </c>
      <c r="G41" s="63">
        <v>1.5</v>
      </c>
    </row>
    <row r="42" ht="15.75" customHeight="1">
      <c r="B42" s="14" t="s">
        <v>63</v>
      </c>
      <c r="C42" s="64">
        <f>IF(C24=0,"",C34+1)</f>
        <v>4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0.4166666667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0.4473304286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0.6428571429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$0 is below your minimum $10,000.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4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Moderate</v>
      </c>
    </row>
    <row r="56" ht="15.75" customHeight="1">
      <c r="B56" s="70" t="s">
        <v>79</v>
      </c>
      <c r="C56" s="15">
        <f>IF(C24=0,"",D39*C24/21.655)</f>
        <v>3879.011776</v>
      </c>
    </row>
    <row r="57" ht="15.75" customHeight="1">
      <c r="B57" s="70" t="s">
        <v>80</v>
      </c>
      <c r="C57" s="15">
        <f>IF(C24=0,"",(D38*C24-F34)/21.655)</f>
        <v>-3174.980374</v>
      </c>
    </row>
    <row r="58" ht="15.75" customHeight="1">
      <c r="B58" s="70" t="s">
        <v>81</v>
      </c>
      <c r="C58" s="15">
        <f>IF(OR(C24=0,D24=0),"",D40*D24-E34)</f>
        <v>125360</v>
      </c>
    </row>
    <row r="59" ht="15.75" customHeight="1">
      <c r="B59" s="68" t="s">
        <v>82</v>
      </c>
      <c r="C59" s="21">
        <f>IF(C24=0,"",MAX(0,MIN(C56:C58)))</f>
        <v>0</v>
      </c>
      <c r="D59" s="4" t="str">
        <f t="array" ref="D59">IF(C59="","",IF(C59=0,"no clean room - existing debt is over a green line",INDEX({"SP% holdback";"Total LVG";"Daily/Balance"},MATCH(C59,C56:C58,0))&amp;" is the limit"))</f>
        <v>no clean room - existing debt is over a green line</v>
      </c>
    </row>
    <row r="60" ht="15.75" customHeight="1">
      <c r="B60" s="70" t="s">
        <v>83</v>
      </c>
      <c r="C60" s="15" t="str">
        <f>IF(OR(C59="",C59=0),"",C59*5)</f>
        <v/>
      </c>
      <c r="D60" s="75" t="str">
        <f>IF(OR(C59="",C59=0),"",C59*21.655)</f>
        <v/>
      </c>
    </row>
    <row r="61" ht="15.75" customHeight="1">
      <c r="B61" s="70" t="s">
        <v>84</v>
      </c>
      <c r="C61" s="76" t="str">
        <f t="array" ref="C61">IF(OR(C59="",C59=0,C54=""),"",MAX(20,MIN(INDEX($K$13:$K$16,MATCH(C54,$J$13:$J$16,1)),FLOOR($K$17*21.655,5),FLOOR(D41*C24*D61/C59,5))))</f>
        <v/>
      </c>
      <c r="D61" s="77">
        <f t="array" ref="D61">IF(C54="","",INDEX($L$13:$L$16,MATCH(C54,$J$13:$J$16,1)))</f>
        <v>1.49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6G / 0Y / 1R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12000.0</v>
      </c>
      <c r="C6" s="10">
        <v>1.45</v>
      </c>
      <c r="D6" s="11">
        <v>26.0</v>
      </c>
      <c r="E6" s="12" t="s">
        <v>12</v>
      </c>
      <c r="F6" s="13">
        <v>0.05</v>
      </c>
      <c r="J6" s="14" t="s">
        <v>13</v>
      </c>
      <c r="K6" s="15">
        <f>IF(OR(D8="",C24=0),"",D8)</f>
        <v>669.2307692</v>
      </c>
      <c r="L6" s="15">
        <f>IF(OR(D8="",C24=0),"",L7*C24/4)</f>
        <v>669.16875</v>
      </c>
      <c r="M6" s="16">
        <f t="shared" ref="M6:M8" si="1">IF(OR(K6="",L6=""),"",L6-K6)</f>
        <v>-0.06201923077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0.1302668971</v>
      </c>
      <c r="L7" s="17">
        <f>IF(OR(D8="",C24=0),"",ROUND(D8*4/C24*100,2)/100)</f>
        <v>0.1203</v>
      </c>
      <c r="M7" s="18">
        <f t="shared" si="1"/>
        <v>-0.009966897148</v>
      </c>
    </row>
    <row r="8">
      <c r="B8" s="19">
        <f>IF(OR(B6="",C6=""),"",B6*C6)</f>
        <v>17400</v>
      </c>
      <c r="C8" s="21">
        <f>IF(OR(B8="",D6="",D6=0),"",IF(E6="Weekly",(B8/D6)/5,B8/D6))</f>
        <v>133.8461538</v>
      </c>
      <c r="D8" s="21">
        <f>IF(C8="","",C8*5)</f>
        <v>669.2307692</v>
      </c>
      <c r="E8" s="19">
        <f>IF(C8="","",C8*21.655)</f>
        <v>2898.438462</v>
      </c>
      <c r="F8" s="22">
        <f>IF(OR(D6="",D6=0),"",IF(E6="Weekly",D6,D6/5)/(21.655/5))</f>
        <v>6.00323251</v>
      </c>
      <c r="G8" s="19">
        <f>IF(B6="","",B6-(B6*F6))</f>
        <v>11400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21000.0</v>
      </c>
      <c r="D12" s="29">
        <v>1154.0</v>
      </c>
      <c r="E12" s="30">
        <v>1.0</v>
      </c>
      <c r="F12" s="30">
        <v>3.0</v>
      </c>
      <c r="G12" s="32">
        <f t="shared" ref="G12:G22" si="2">IF(OR(C12="",C13=""),"",(C12-C13)/C13)</f>
        <v>0.1052631579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19000.0</v>
      </c>
      <c r="D13" s="29">
        <v>819.0</v>
      </c>
      <c r="E13" s="30">
        <v>4.0</v>
      </c>
      <c r="F13" s="30">
        <v>2.0</v>
      </c>
      <c r="G13" s="32">
        <f t="shared" si="2"/>
        <v>-0.2692307692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26000.0</v>
      </c>
      <c r="D14" s="29">
        <v>1522.0</v>
      </c>
      <c r="E14" s="30">
        <v>1.0</v>
      </c>
      <c r="F14" s="30">
        <v>1.0</v>
      </c>
      <c r="G14" s="32">
        <f t="shared" si="2"/>
        <v>0.1304347826</v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>
        <v>23000.0</v>
      </c>
      <c r="D15" s="29">
        <v>1292.0</v>
      </c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22250</v>
      </c>
      <c r="D24" s="46">
        <f t="shared" si="3"/>
        <v>1196.75</v>
      </c>
      <c r="E24" s="47">
        <f t="shared" ref="E24:F24" si="4">SUM(E12:E23)</f>
        <v>6</v>
      </c>
      <c r="F24" s="47">
        <f t="shared" si="4"/>
        <v>6</v>
      </c>
      <c r="G24" s="48">
        <f>IFERROR(AVERAGE(G12:G22),"")</f>
        <v>-0.01117760958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/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133.8461538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0.1302668971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0.1302668971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IF(D24=0,"",(E34+IF(C8="",0,C8))/D24)</f>
        <v>0.1118413652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0.5393258427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-0.01117760958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12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RED</v>
      </c>
      <c r="G44" s="30">
        <v>15.0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0.05378651685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1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184.94574</v>
      </c>
    </row>
    <row r="57" ht="15.75" customHeight="1">
      <c r="B57" s="70" t="s">
        <v>80</v>
      </c>
      <c r="C57" s="15">
        <f>IF(C24=0,"",(D38*C24-F34)/21.655)</f>
        <v>308.2429</v>
      </c>
    </row>
    <row r="58" ht="15.75" customHeight="1">
      <c r="B58" s="70" t="s">
        <v>81</v>
      </c>
      <c r="C58" s="15">
        <f>IF(OR(C24=0,D24=0),"",D40*D24-E34)</f>
        <v>538.5375</v>
      </c>
    </row>
    <row r="59" ht="15.75" customHeight="1">
      <c r="B59" s="68" t="s">
        <v>82</v>
      </c>
      <c r="C59" s="21">
        <f>IF(C24=0,"",MAX(0,MIN(C56:C58)))</f>
        <v>184.94574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924.7287001</v>
      </c>
      <c r="D60" s="75">
        <f>IF(OR(C59="",C59=0),"",C59*21.655)</f>
        <v>4005</v>
      </c>
    </row>
    <row r="61" ht="15.75" customHeight="1">
      <c r="B61" s="70" t="s">
        <v>84</v>
      </c>
      <c r="C61" s="76">
        <f t="array" ref="C61">IF(OR(C59="",C59=0,C54=""),"",MAX(20,MIN(INDEX($K$13:$K$16,MATCH(C54,$J$13:$J$16,1)),FLOOR($K$17*21.655,5),FLOOR(D41*C24*D61/C59,5))))</f>
        <v>130</v>
      </c>
      <c r="D61" s="77">
        <f t="array" ref="D61">IF(C54="","",INDEX($L$13:$L$16,MATCH(C54,$J$13:$J$16,1)))</f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16500</v>
      </c>
      <c r="D62" s="4" t="str">
        <f>IF(C62="-","KNOCKOUT on the merchant - do not fund.",IF(C62="","","payback "&amp;TEXT(C62*D61,"$#,##0")&amp;" over "&amp;C61&amp;" daily pmts ("&amp;TEXT(C61/5,"0")&amp;" wks)"))</f>
        <v>payback $23,925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3G / 0Y / 1R   |   score 3.0/7 = Weak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25000.0</v>
      </c>
      <c r="D12" s="29">
        <v>45000.0</v>
      </c>
      <c r="E12" s="30">
        <v>0.0</v>
      </c>
      <c r="F12" s="30">
        <v>0.0</v>
      </c>
      <c r="G12" s="32">
        <f t="shared" ref="G12:G22" si="2">IF(OR(C12="",C13=""),"",(C12-C13)/C13)</f>
        <v>-0.2857142857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35000.0</v>
      </c>
      <c r="D13" s="29">
        <v>60000.0</v>
      </c>
      <c r="E13" s="30">
        <v>0.0</v>
      </c>
      <c r="F13" s="30">
        <v>0.0</v>
      </c>
      <c r="G13" s="32">
        <f t="shared" si="2"/>
        <v>0.4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25000.0</v>
      </c>
      <c r="D14" s="29">
        <v>70000.0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28333.33333</v>
      </c>
      <c r="D24" s="46">
        <f t="shared" si="3"/>
        <v>58333.33333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0.05714285714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8275.0</v>
      </c>
      <c r="E28" s="28" t="s">
        <v>96</v>
      </c>
      <c r="F28" s="15">
        <f t="shared" ref="F28:F33" si="5">IF(D28="","",IF(E28="Daily",D28,IF(E28="Weekly",D28/5,D28/21.655)))</f>
        <v>382.1288386</v>
      </c>
    </row>
    <row r="29" ht="15.75" customHeight="1">
      <c r="B29" s="50"/>
      <c r="C29" s="42"/>
      <c r="D29" s="29">
        <v>1416.0</v>
      </c>
      <c r="E29" s="28" t="s">
        <v>12</v>
      </c>
      <c r="F29" s="15">
        <f t="shared" si="5"/>
        <v>283.2</v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665.3288386</v>
      </c>
      <c r="F34" s="46">
        <f>E34*21.655</f>
        <v>14407.696</v>
      </c>
      <c r="G34" s="4" t="s">
        <v>52</v>
      </c>
    </row>
    <row r="35" ht="15.75" customHeight="1">
      <c r="E35" s="57">
        <f>E34+C8</f>
        <v>665.3288386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IF(C24=0,"",(E34+IF(C8="",0,C8))*21.655/C24)</f>
        <v>0.5085069176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RED</v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 t="str">
        <f>IF(OR(D24=0,C8=""),"",(E34+C8)/D24)</f>
        <v/>
      </c>
      <c r="D40" s="59">
        <v>0.45</v>
      </c>
      <c r="E40" s="59">
        <v>0.75</v>
      </c>
      <c r="F40" s="60" t="str">
        <f t="shared" si="6"/>
        <v/>
      </c>
      <c r="G40" s="59">
        <v>1.0</v>
      </c>
    </row>
    <row r="41" ht="15.75" customHeight="1">
      <c r="B41" s="14" t="s">
        <v>62</v>
      </c>
      <c r="C41" s="62" t="str">
        <f>IF(OR(C24=0,B6=""),"",B6/C24)</f>
        <v/>
      </c>
      <c r="D41" s="86">
        <v>0.75</v>
      </c>
      <c r="E41" s="86">
        <v>1.25</v>
      </c>
      <c r="F41" s="60" t="str">
        <f t="shared" si="6"/>
        <v/>
      </c>
      <c r="G41" s="63">
        <v>1.5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0.05714285714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0.5085069176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2.058823529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1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$0 is below your minimum $10,000.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3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Weak</v>
      </c>
    </row>
    <row r="56" ht="15.75" customHeight="1">
      <c r="B56" s="70" t="s">
        <v>79</v>
      </c>
      <c r="C56" s="15">
        <f>IF(C24=0,"",D39*C24/21.655)</f>
        <v>235.5114292</v>
      </c>
    </row>
    <row r="57" ht="15.75" customHeight="1">
      <c r="B57" s="70" t="s">
        <v>80</v>
      </c>
      <c r="C57" s="15">
        <f>IF(C24=0,"",(D38*C24-F34)/21.655)</f>
        <v>-272.8097899</v>
      </c>
    </row>
    <row r="58" ht="15.75" customHeight="1">
      <c r="B58" s="70" t="s">
        <v>81</v>
      </c>
      <c r="C58" s="15">
        <f>IF(OR(C24=0,D24=0),"",D40*D24-E34)</f>
        <v>25584.67116</v>
      </c>
    </row>
    <row r="59" ht="15.75" customHeight="1">
      <c r="B59" s="68" t="s">
        <v>82</v>
      </c>
      <c r="C59" s="21">
        <f>IF(C24=0,"",MAX(0,MIN(C56:C58)))</f>
        <v>0</v>
      </c>
      <c r="D59" s="4" t="str">
        <f t="array" ref="D59">IF(C59="","",IF(C59=0,"no clean room - existing debt is over a green line",INDEX({"SP% holdback";"Total LVG";"Daily/Balance"},MATCH(C59,C56:C58,0))&amp;" is the limit"))</f>
        <v>no clean room - existing debt is over a green line</v>
      </c>
    </row>
    <row r="60" ht="15.75" customHeight="1">
      <c r="B60" s="70" t="s">
        <v>83</v>
      </c>
      <c r="C60" s="15" t="str">
        <f>IF(OR(C59="",C59=0),"",C59*5)</f>
        <v/>
      </c>
      <c r="D60" s="75" t="str">
        <f>IF(OR(C59="",C59=0),"",C59*21.655)</f>
        <v/>
      </c>
    </row>
    <row r="61" ht="15.75" customHeight="1">
      <c r="B61" s="70" t="s">
        <v>84</v>
      </c>
      <c r="C61" s="76" t="str">
        <f t="array" ref="C61">IF(OR(C59="",C59=0,C54=""),"",MAX(20,MIN(INDEX($K$13:$K$16,MATCH(C54,$J$13:$J$16,1)),FLOOR($K$17*21.655,5),FLOOR(D41*C24*D61/C59,5))))</f>
        <v/>
      </c>
      <c r="D61" s="77">
        <f t="array" ref="D61">IF(C54="","",INDEX($L$13:$L$16,MATCH(C54,$J$13:$J$16,1)))</f>
        <v>1.49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28" t="s">
        <v>32</v>
      </c>
      <c r="C12" s="29"/>
      <c r="D12" s="29"/>
      <c r="E12" s="30">
        <v>0.0</v>
      </c>
      <c r="F12" s="30">
        <v>0.0</v>
      </c>
      <c r="G12" s="32" t="str">
        <f t="shared" ref="G12:G22" si="2">IF(OR(C12="",C13=""),"",(C12-C13)/C13)</f>
        <v/>
      </c>
    </row>
    <row r="13">
      <c r="B13" s="28" t="s">
        <v>35</v>
      </c>
      <c r="C13" s="29"/>
      <c r="D13" s="29"/>
      <c r="E13" s="30">
        <v>0.0</v>
      </c>
      <c r="F13" s="30">
        <v>0.0</v>
      </c>
      <c r="G13" s="32" t="str">
        <f t="shared" si="2"/>
        <v/>
      </c>
    </row>
    <row r="14">
      <c r="B14" s="28" t="s">
        <v>36</v>
      </c>
      <c r="C14" s="29"/>
      <c r="D14" s="29"/>
      <c r="E14" s="30">
        <v>0.0</v>
      </c>
      <c r="F14" s="30">
        <v>0.0</v>
      </c>
      <c r="G14" s="32" t="str">
        <f t="shared" si="2"/>
        <v/>
      </c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</row>
    <row r="16">
      <c r="B16" s="38"/>
      <c r="C16" s="42"/>
      <c r="D16" s="42"/>
      <c r="E16" s="39"/>
      <c r="F16" s="39"/>
      <c r="G16" s="32" t="str">
        <f t="shared" si="2"/>
        <v/>
      </c>
    </row>
    <row r="17">
      <c r="B17" s="38"/>
      <c r="C17" s="42"/>
      <c r="D17" s="42"/>
      <c r="E17" s="39"/>
      <c r="F17" s="39"/>
      <c r="G17" s="32" t="str">
        <f t="shared" si="2"/>
        <v/>
      </c>
    </row>
    <row r="18">
      <c r="B18" s="38"/>
      <c r="C18" s="42"/>
      <c r="D18" s="42"/>
      <c r="E18" s="39"/>
      <c r="F18" s="39"/>
      <c r="G18" s="32" t="str">
        <f t="shared" si="2"/>
        <v/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0</v>
      </c>
      <c r="D24" s="46">
        <f t="shared" si="3"/>
        <v>0</v>
      </c>
      <c r="E24" s="47">
        <f t="shared" ref="E24:F24" si="4">SUM(E12:E23)</f>
        <v>0</v>
      </c>
      <c r="F24" s="47">
        <f t="shared" si="4"/>
        <v>0</v>
      </c>
      <c r="G24" s="48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/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 t="str">
        <f>IF(OR(C24=0,C8=""),"",(E34+C8)*21.655/C24)</f>
        <v/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/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 t="str">
        <f>IF(OR(D24=0,C8=""),"",(E34+C8)/D24)</f>
        <v/>
      </c>
      <c r="D40" s="59">
        <v>0.45</v>
      </c>
      <c r="E40" s="59">
        <v>0.75</v>
      </c>
      <c r="F40" s="60" t="str">
        <f t="shared" si="6"/>
        <v/>
      </c>
      <c r="G40" s="59">
        <v>1.0</v>
      </c>
    </row>
    <row r="41" ht="15.75" customHeight="1">
      <c r="B41" s="14" t="s">
        <v>62</v>
      </c>
      <c r="C41" s="62" t="str">
        <f>IF(OR(C24=0,B6=""),"",B6/C24)</f>
        <v/>
      </c>
      <c r="D41" s="86">
        <v>0.75</v>
      </c>
      <c r="E41" s="86">
        <v>1.25</v>
      </c>
      <c r="F41" s="60" t="str">
        <f t="shared" si="6"/>
        <v/>
      </c>
      <c r="G41" s="63">
        <v>1.5</v>
      </c>
    </row>
    <row r="42" ht="15.75" customHeight="1">
      <c r="B42" s="14" t="s">
        <v>63</v>
      </c>
      <c r="C42" s="64" t="str">
        <f>IF(C24=0,"",C34+1)</f>
        <v/>
      </c>
      <c r="D42" s="39">
        <v>2.0</v>
      </c>
      <c r="E42" s="39">
        <v>5.0</v>
      </c>
      <c r="F42" s="60" t="str">
        <f t="shared" si="6"/>
        <v/>
      </c>
      <c r="G42" s="39">
        <v>6.0</v>
      </c>
    </row>
    <row r="43" ht="15.75" customHeight="1">
      <c r="B43" s="14" t="s">
        <v>64</v>
      </c>
      <c r="C43" s="18" t="str">
        <f>G24</f>
        <v/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/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 t="str">
        <f>IF(C24=0,"",F34/C24)</f>
        <v/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 t="str">
        <f>IF(C24=0,"",D24/C24)</f>
        <v/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/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1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/>
      </c>
    </row>
    <row r="56" ht="15.75" customHeight="1">
      <c r="B56" s="70" t="s">
        <v>79</v>
      </c>
      <c r="C56" s="15" t="str">
        <f>IF(C24=0,"",D39*C24/21.655)</f>
        <v/>
      </c>
    </row>
    <row r="57" ht="15.75" customHeight="1">
      <c r="B57" s="70" t="s">
        <v>80</v>
      </c>
      <c r="C57" s="15" t="str">
        <f>IF(C24=0,"",(D38*C24-F34)/21.655)</f>
        <v/>
      </c>
    </row>
    <row r="58" ht="15.75" customHeight="1">
      <c r="B58" s="70" t="s">
        <v>81</v>
      </c>
      <c r="C58" s="15" t="str">
        <f>IF(OR(C24=0,D24=0),"",D40*D24-E34)</f>
        <v/>
      </c>
    </row>
    <row r="59" ht="15.75" customHeight="1">
      <c r="B59" s="68" t="s">
        <v>82</v>
      </c>
      <c r="C59" s="21" t="str">
        <f>IF(C24=0,"",MAX(0,MIN(C56:C58)))</f>
        <v/>
      </c>
      <c r="D59" s="4" t="str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>
      <c r="B60" s="70" t="s">
        <v>83</v>
      </c>
      <c r="C60" s="15" t="str">
        <f>IF(OR(C59="",C59=0),"",C59*5)</f>
        <v/>
      </c>
      <c r="D60" s="75" t="str">
        <f>IF(OR(C59="",C59=0),"",C59*21.655)</f>
        <v/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3G / 0Y / 0R   |   score 3.0/7 = Weak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28" t="s">
        <v>32</v>
      </c>
      <c r="C12" s="29">
        <v>100000.0</v>
      </c>
      <c r="D12" s="29">
        <v>180000.0</v>
      </c>
      <c r="E12" s="30">
        <v>0.0</v>
      </c>
      <c r="F12" s="30">
        <v>0.0</v>
      </c>
      <c r="G12" s="32">
        <f t="shared" ref="G12:G22" si="2">IF(OR(C12="",C13=""),"",(C12-C13)/C13)</f>
        <v>0.2345679012</v>
      </c>
    </row>
    <row r="13">
      <c r="B13" s="28" t="s">
        <v>35</v>
      </c>
      <c r="C13" s="29">
        <v>81000.0</v>
      </c>
      <c r="D13" s="29">
        <v>95000.0</v>
      </c>
      <c r="E13" s="30">
        <v>0.0</v>
      </c>
      <c r="F13" s="30">
        <v>0.0</v>
      </c>
      <c r="G13" s="32">
        <f t="shared" si="2"/>
        <v>-0.325</v>
      </c>
    </row>
    <row r="14">
      <c r="B14" s="28" t="s">
        <v>36</v>
      </c>
      <c r="C14" s="29">
        <v>120000.0</v>
      </c>
      <c r="D14" s="29">
        <v>150000.0</v>
      </c>
      <c r="E14" s="30">
        <v>0.0</v>
      </c>
      <c r="F14" s="30">
        <v>0.0</v>
      </c>
      <c r="G14" s="32" t="str">
        <f t="shared" si="2"/>
        <v/>
      </c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</row>
    <row r="16">
      <c r="B16" s="38"/>
      <c r="C16" s="42"/>
      <c r="D16" s="42"/>
      <c r="E16" s="39"/>
      <c r="F16" s="39"/>
      <c r="G16" s="32" t="str">
        <f t="shared" si="2"/>
        <v/>
      </c>
    </row>
    <row r="17">
      <c r="B17" s="38"/>
      <c r="C17" s="42"/>
      <c r="D17" s="42"/>
      <c r="E17" s="39"/>
      <c r="F17" s="39"/>
      <c r="G17" s="32" t="str">
        <f t="shared" si="2"/>
        <v/>
      </c>
    </row>
    <row r="18">
      <c r="B18" s="38"/>
      <c r="C18" s="42"/>
      <c r="D18" s="42"/>
      <c r="E18" s="39"/>
      <c r="F18" s="39"/>
      <c r="G18" s="32" t="str">
        <f t="shared" si="2"/>
        <v/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100333.3333</v>
      </c>
      <c r="D24" s="46">
        <f t="shared" si="3"/>
        <v>141666.6667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-0.04521604938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>
        <v>230400.0</v>
      </c>
      <c r="D28" s="29">
        <v>8000.0</v>
      </c>
      <c r="E28" s="28" t="s">
        <v>12</v>
      </c>
      <c r="F28" s="15">
        <f t="shared" ref="F28:F33" si="5">IF(D28="","",IF(E28="Daily",D28,IF(E28="Weekly",D28/5,D28/21.655)))</f>
        <v>1600</v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1</v>
      </c>
      <c r="D34" s="55" t="s">
        <v>51</v>
      </c>
      <c r="E34" s="56">
        <f>SUM(F28:F33)</f>
        <v>1600</v>
      </c>
      <c r="F34" s="46">
        <f>E34*21.655</f>
        <v>34648</v>
      </c>
      <c r="G34" s="4" t="s">
        <v>52</v>
      </c>
    </row>
    <row r="35" ht="15.75" customHeight="1">
      <c r="E35" s="57">
        <f>E34+C8</f>
        <v>1600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 t="str">
        <f>IF(OR(C24=0,C8=""),"",(E34+C8)*21.655/C24)</f>
        <v/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/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 t="str">
        <f>IF(OR(D24=0,C8=""),"",(E34+C8)/D24)</f>
        <v/>
      </c>
      <c r="D40" s="59">
        <v>0.45</v>
      </c>
      <c r="E40" s="59">
        <v>0.75</v>
      </c>
      <c r="F40" s="60" t="str">
        <f t="shared" si="6"/>
        <v/>
      </c>
      <c r="G40" s="59">
        <v>1.0</v>
      </c>
    </row>
    <row r="41" ht="15.75" customHeight="1">
      <c r="B41" s="14" t="s">
        <v>62</v>
      </c>
      <c r="C41" s="62" t="str">
        <f>IF(OR(C24=0,B6=""),"",B6/C24)</f>
        <v/>
      </c>
      <c r="D41" s="86">
        <v>0.75</v>
      </c>
      <c r="E41" s="86">
        <v>1.25</v>
      </c>
      <c r="F41" s="60" t="str">
        <f t="shared" si="6"/>
        <v/>
      </c>
      <c r="G41" s="63">
        <v>1.5</v>
      </c>
    </row>
    <row r="42" ht="15.75" customHeight="1">
      <c r="B42" s="14" t="s">
        <v>63</v>
      </c>
      <c r="C42" s="64">
        <f>IF(C24=0,"",C34+1)</f>
        <v>2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-0.04521604938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0.3453289037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1.411960133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Recommended fund $0 is below your minimum $10,000.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3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Weak</v>
      </c>
    </row>
    <row r="56" ht="15.75" customHeight="1">
      <c r="B56" s="70" t="s">
        <v>79</v>
      </c>
      <c r="C56" s="15">
        <f>IF(C24=0,"",D39*C24/21.655)</f>
        <v>833.9875317</v>
      </c>
    </row>
    <row r="57" ht="15.75" customHeight="1">
      <c r="B57" s="70" t="s">
        <v>80</v>
      </c>
      <c r="C57" s="15">
        <f>IF(C24=0,"",(D38*C24-F34)/21.655)</f>
        <v>-210.0207804</v>
      </c>
    </row>
    <row r="58" ht="15.75" customHeight="1">
      <c r="B58" s="70" t="s">
        <v>81</v>
      </c>
      <c r="C58" s="15">
        <f>IF(OR(C24=0,D24=0),"",D40*D24-E34)</f>
        <v>62150</v>
      </c>
    </row>
    <row r="59" ht="15.75" customHeight="1">
      <c r="B59" s="68" t="s">
        <v>82</v>
      </c>
      <c r="C59" s="21">
        <f>IF(C24=0,"",MAX(0,MIN(C56:C58)))</f>
        <v>0</v>
      </c>
      <c r="D59" s="4" t="str">
        <f t="array" ref="D59">IF(C59="","",IF(C59=0,"no clean room - existing debt is over a green line",INDEX({"SP% holdback";"Total LVG";"Daily/Balance"},MATCH(C59,C56:C58,0))&amp;" is the limit"))</f>
        <v>no clean room - existing debt is over a green line</v>
      </c>
    </row>
    <row r="60" ht="15.75" customHeight="1">
      <c r="B60" s="70" t="s">
        <v>83</v>
      </c>
      <c r="C60" s="15" t="str">
        <f>IF(OR(C59="",C59=0),"",C59*5)</f>
        <v/>
      </c>
      <c r="D60" s="75" t="str">
        <f>IF(OR(C59="",C59=0),"",C59*21.655)</f>
        <v/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70000.0</v>
      </c>
      <c r="C6" s="10">
        <v>1.45</v>
      </c>
      <c r="D6" s="11">
        <v>38.0</v>
      </c>
      <c r="E6" s="12" t="s">
        <v>12</v>
      </c>
      <c r="F6" s="13">
        <v>0.05</v>
      </c>
      <c r="J6" s="14" t="s">
        <v>13</v>
      </c>
      <c r="K6" s="15">
        <f>IF(OR(D8="",C24=0),"",D8)</f>
        <v>2671.052632</v>
      </c>
      <c r="L6" s="15">
        <f>IF(OR(D8="",C24=0),"",L7*C24/4)</f>
        <v>2670.816667</v>
      </c>
      <c r="M6" s="16">
        <f t="shared" ref="M6:M8" si="1">IF(OR(K6="",L6=""),"",L6-K6)</f>
        <v>-0.2359649123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0.04136470422</v>
      </c>
      <c r="L7" s="17">
        <f>IF(OR(D8="",C24=0),"",ROUND(D8*4/C24*100,2)/100)</f>
        <v>0.0382</v>
      </c>
      <c r="M7" s="18">
        <f t="shared" si="1"/>
        <v>-0.003164704222</v>
      </c>
    </row>
    <row r="8">
      <c r="B8" s="19">
        <f>IF(OR(B6="",C6=""),"",B6*C6)</f>
        <v>101500</v>
      </c>
      <c r="C8" s="21">
        <f>IF(OR(B8="",D6="",D6=0),"",IF(E6="Weekly",(B8/D6)/5,B8/D6))</f>
        <v>534.2105263</v>
      </c>
      <c r="D8" s="21">
        <f>IF(C8="","",C8*5)</f>
        <v>2671.052632</v>
      </c>
      <c r="E8" s="19">
        <f>IF(C8="","",C8*21.655)</f>
        <v>11568.32895</v>
      </c>
      <c r="F8" s="22">
        <f>IF(OR(D6="",D6=0),"",IF(E6="Weekly",D6,D6/5)/(21.655/5))</f>
        <v>8.773955207</v>
      </c>
      <c r="G8" s="19">
        <f>IF(B6="","",B6-(B6*F6))</f>
        <v>66500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J11" s="27" t="s">
        <v>31</v>
      </c>
      <c r="K11" s="6"/>
      <c r="L11" s="6"/>
      <c r="M11" s="7"/>
    </row>
    <row r="12">
      <c r="B12" s="28" t="s">
        <v>32</v>
      </c>
      <c r="C12" s="29">
        <v>350000.0</v>
      </c>
      <c r="D12" s="29">
        <v>31000.0</v>
      </c>
      <c r="E12" s="30">
        <v>0.0</v>
      </c>
      <c r="F12" s="30">
        <v>0.0</v>
      </c>
      <c r="G12" s="32">
        <f t="shared" ref="G12:G22" si="2">IF(OR(C12="",C13=""),"",(C12-C13)/C13)</f>
        <v>0.2068965517</v>
      </c>
      <c r="J12" s="33" t="s">
        <v>33</v>
      </c>
      <c r="K12" s="33" t="s">
        <v>34</v>
      </c>
      <c r="L12" s="33" t="s">
        <v>5</v>
      </c>
      <c r="M12" s="34"/>
    </row>
    <row r="13">
      <c r="B13" s="28" t="s">
        <v>35</v>
      </c>
      <c r="C13" s="29">
        <v>290000.0</v>
      </c>
      <c r="D13" s="29">
        <v>25000.0</v>
      </c>
      <c r="E13" s="30">
        <v>0.0</v>
      </c>
      <c r="F13" s="30">
        <v>0.0</v>
      </c>
      <c r="G13" s="32">
        <f t="shared" si="2"/>
        <v>0.4572864322</v>
      </c>
      <c r="J13" s="35">
        <v>0.0</v>
      </c>
      <c r="K13" s="36">
        <v>100.0</v>
      </c>
      <c r="L13" s="37">
        <v>1.49</v>
      </c>
      <c r="M13" s="34"/>
    </row>
    <row r="14">
      <c r="B14" s="28" t="s">
        <v>36</v>
      </c>
      <c r="C14" s="29">
        <v>199000.0</v>
      </c>
      <c r="D14" s="29">
        <v>37000.0</v>
      </c>
      <c r="E14" s="30">
        <v>0.0</v>
      </c>
      <c r="F14" s="30">
        <v>0.0</v>
      </c>
      <c r="G14" s="32" t="str">
        <f t="shared" si="2"/>
        <v/>
      </c>
      <c r="J14" s="35">
        <v>5.0</v>
      </c>
      <c r="K14" s="36">
        <v>130.0</v>
      </c>
      <c r="L14" s="37">
        <v>1.45</v>
      </c>
      <c r="M14" s="34"/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  <c r="J15" s="35">
        <v>6.0</v>
      </c>
      <c r="K15" s="36">
        <v>150.0</v>
      </c>
      <c r="L15" s="37">
        <v>1.45</v>
      </c>
      <c r="M15" s="34"/>
    </row>
    <row r="16">
      <c r="B16" s="38"/>
      <c r="C16" s="42"/>
      <c r="D16" s="42"/>
      <c r="E16" s="39"/>
      <c r="F16" s="39"/>
      <c r="G16" s="32" t="str">
        <f t="shared" si="2"/>
        <v/>
      </c>
      <c r="J16" s="35">
        <v>7.0</v>
      </c>
      <c r="K16" s="36">
        <v>195.0</v>
      </c>
      <c r="L16" s="37">
        <v>1.4</v>
      </c>
      <c r="M16" s="34"/>
    </row>
    <row r="17">
      <c r="B17" s="38"/>
      <c r="C17" s="42"/>
      <c r="D17" s="42"/>
      <c r="E17" s="39"/>
      <c r="F17" s="39"/>
      <c r="G17" s="32" t="str">
        <f t="shared" si="2"/>
        <v/>
      </c>
      <c r="J17" s="40" t="s">
        <v>38</v>
      </c>
      <c r="K17" s="41">
        <v>9.0</v>
      </c>
      <c r="L17" s="34"/>
      <c r="M17" s="34"/>
    </row>
    <row r="18">
      <c r="B18" s="38"/>
      <c r="C18" s="42"/>
      <c r="D18" s="42"/>
      <c r="E18" s="39"/>
      <c r="F18" s="39"/>
      <c r="G18" s="32" t="str">
        <f t="shared" si="2"/>
        <v/>
      </c>
      <c r="J18" s="43" t="s">
        <v>39</v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279666.6667</v>
      </c>
      <c r="D24" s="46">
        <f t="shared" si="3"/>
        <v>31000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0.3320914919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 t="s">
        <v>87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534.2105263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IF(OR(C24=0,C8=""),"",(E34+C8)*21.655/C24)</f>
        <v>0.04136470422</v>
      </c>
      <c r="D38" s="61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0.04136470422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IF(OR(D24=0,C8=""),"",(E34+C8)/D24)</f>
        <v>0.01723259762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0.2502979738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0.3320914919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0.1108462455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2324.636343</v>
      </c>
    </row>
    <row r="57" ht="15.75" customHeight="1">
      <c r="B57" s="70" t="s">
        <v>80</v>
      </c>
      <c r="C57" s="15">
        <f>IF(C24=0,"",(D38*C24-F34)/21.655)</f>
        <v>3874.393904</v>
      </c>
    </row>
    <row r="58" ht="15.75" customHeight="1">
      <c r="B58" s="70" t="s">
        <v>81</v>
      </c>
      <c r="C58" s="15">
        <f>IF(OR(C24=0,D24=0),"",D40*D24-E34)</f>
        <v>13950</v>
      </c>
    </row>
    <row r="59" ht="15.75" customHeight="1">
      <c r="B59" s="68" t="s">
        <v>82</v>
      </c>
      <c r="C59" s="21">
        <f>IF(C24=0,"",MAX(0,MIN(C56:C58)))</f>
        <v>2324.636343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11623.18171</v>
      </c>
      <c r="D60" s="75">
        <f>IF(OR(C59="",C59=0),"",C59*21.655)</f>
        <v>50340</v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208000</v>
      </c>
      <c r="D62" s="4" t="str">
        <f>IF(C62="-","KNOCKOUT on the merchant - do not fund.",IF(C62="","","payback "&amp;TEXT(C62*D61,"$#,##0")&amp;" over "&amp;C61&amp;" daily pmts ("&amp;TEXT(C61/5,"0")&amp;" wks)"))</f>
        <v>payback $301,600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6:H26"/>
    <mergeCell ref="B36:H36"/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J11:M11"/>
    <mergeCell ref="J18:M18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90000.0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13</v>
      </c>
      <c r="K6" s="15">
        <f>IF(OR(D8="",C24=0),"",D8)</f>
        <v>4350</v>
      </c>
      <c r="L6" s="15">
        <f>IF(OR(D8="",C24=0),"",L7*C24/4)</f>
        <v>4351</v>
      </c>
      <c r="M6" s="16">
        <f t="shared" ref="M6:M8" si="1">IF(OR(K6="",L6=""),"",L6-K6)</f>
        <v>1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0.1983142105</v>
      </c>
      <c r="L7" s="17">
        <f>IF(OR(D8="",C24=0),"",ROUND(D8*4/C24*100,2)/100)</f>
        <v>0.1832</v>
      </c>
      <c r="M7" s="18">
        <f t="shared" si="1"/>
        <v>-0.01511421053</v>
      </c>
    </row>
    <row r="8">
      <c r="B8" s="19">
        <f>IF(OR(B6="",C6=""),"",B6*C6)</f>
        <v>130500</v>
      </c>
      <c r="C8" s="21">
        <f>IF(OR(B8="",D6="",D6=0),"",IF(E6="Weekly",(B8/D6)/5,B8/D6))</f>
        <v>870</v>
      </c>
      <c r="D8" s="21">
        <f>IF(C8="","",C8*5)</f>
        <v>4350</v>
      </c>
      <c r="E8" s="19">
        <f>IF(C8="","",C8*21.655)</f>
        <v>18839.85</v>
      </c>
      <c r="F8" s="22">
        <f>IF(OR(D6="",D6=0),"",IF(E6="Weekly",D6,D6/5)/(21.655/5))</f>
        <v>6.926806742</v>
      </c>
      <c r="G8" s="19">
        <f>IF(B6="","",B6-(B6*F6))</f>
        <v>85500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28" t="s">
        <v>32</v>
      </c>
      <c r="C12" s="29">
        <v>95000.0</v>
      </c>
      <c r="D12" s="29">
        <v>230000.0</v>
      </c>
      <c r="E12" s="30">
        <v>0.0</v>
      </c>
      <c r="F12" s="30">
        <v>0.0</v>
      </c>
      <c r="G12" s="32">
        <f t="shared" ref="G12:G22" si="2">IF(OR(C12="",C13=""),"",(C12-C13)/C13)</f>
        <v>0.05555555556</v>
      </c>
    </row>
    <row r="13">
      <c r="B13" s="28" t="s">
        <v>35</v>
      </c>
      <c r="C13" s="29">
        <v>90000.0</v>
      </c>
      <c r="D13" s="29">
        <v>55000.0</v>
      </c>
      <c r="E13" s="30">
        <v>0.0</v>
      </c>
      <c r="F13" s="30">
        <v>0.0</v>
      </c>
      <c r="G13" s="32">
        <f t="shared" si="2"/>
        <v>-0.1</v>
      </c>
    </row>
    <row r="14">
      <c r="B14" s="28" t="s">
        <v>36</v>
      </c>
      <c r="C14" s="29">
        <v>100000.0</v>
      </c>
      <c r="D14" s="29">
        <v>40000.0</v>
      </c>
      <c r="E14" s="30">
        <v>0.0</v>
      </c>
      <c r="F14" s="30">
        <v>0.0</v>
      </c>
      <c r="G14" s="32" t="str">
        <f t="shared" si="2"/>
        <v/>
      </c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</row>
    <row r="16">
      <c r="B16" s="38"/>
      <c r="C16" s="42"/>
      <c r="D16" s="42"/>
      <c r="E16" s="39"/>
      <c r="F16" s="39"/>
      <c r="G16" s="32" t="str">
        <f t="shared" si="2"/>
        <v/>
      </c>
    </row>
    <row r="17">
      <c r="B17" s="38"/>
      <c r="C17" s="42"/>
      <c r="D17" s="42"/>
      <c r="E17" s="39"/>
      <c r="F17" s="39"/>
      <c r="G17" s="32" t="str">
        <f t="shared" si="2"/>
        <v/>
      </c>
    </row>
    <row r="18">
      <c r="B18" s="38"/>
      <c r="C18" s="42"/>
      <c r="D18" s="42"/>
      <c r="E18" s="39"/>
      <c r="F18" s="39"/>
      <c r="G18" s="32" t="str">
        <f t="shared" si="2"/>
        <v/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95000</v>
      </c>
      <c r="D24" s="46">
        <f t="shared" si="3"/>
        <v>108333.3333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-0.02222222222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870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IF(OR(C24=0,C8=""),"",(E34+C8)*21.655/C24)</f>
        <v>0.1983142105</v>
      </c>
      <c r="D38" s="61">
        <v>0.3</v>
      </c>
      <c r="E38" s="61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0.1983142105</v>
      </c>
      <c r="D39" s="59">
        <v>0.18</v>
      </c>
      <c r="E39" s="59">
        <v>0.25</v>
      </c>
      <c r="F39" s="60" t="str">
        <f t="shared" si="6"/>
        <v>YELLOW</v>
      </c>
      <c r="G39" s="59">
        <v>0.35</v>
      </c>
    </row>
    <row r="40" ht="15.75" customHeight="1">
      <c r="B40" s="14" t="s">
        <v>61</v>
      </c>
      <c r="C40" s="18">
        <f>IF(OR(D24=0,C8=""),"",(E34+C8)/D24)</f>
        <v>0.008030769231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0.9473684211</v>
      </c>
      <c r="D41" s="86">
        <v>0.75</v>
      </c>
      <c r="E41" s="86">
        <v>1.25</v>
      </c>
      <c r="F41" s="60" t="str">
        <f t="shared" si="6"/>
        <v>YELLOW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-0.02222222222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1.140350877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789.6559686</v>
      </c>
    </row>
    <row r="57" ht="15.75" customHeight="1">
      <c r="B57" s="70" t="s">
        <v>80</v>
      </c>
      <c r="C57" s="15">
        <f>IF(C24=0,"",(D38*C24-F34)/21.655)</f>
        <v>1316.093281</v>
      </c>
    </row>
    <row r="58" ht="15.75" customHeight="1">
      <c r="B58" s="70" t="s">
        <v>81</v>
      </c>
      <c r="C58" s="15">
        <f>IF(OR(C24=0,D24=0),"",D40*D24-E34)</f>
        <v>48750</v>
      </c>
    </row>
    <row r="59" ht="15.75" customHeight="1">
      <c r="B59" s="68" t="s">
        <v>82</v>
      </c>
      <c r="C59" s="21">
        <f>IF(C24=0,"",MAX(0,MIN(C56:C58)))</f>
        <v>789.6559686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3948.279843</v>
      </c>
      <c r="D60" s="75">
        <f>IF(OR(C59="",C59=0),"",C59*21.655)</f>
        <v>17100</v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70500</v>
      </c>
      <c r="D62" s="4" t="str">
        <f>IF(C62="-","KNOCKOUT on the merchant - do not fund.",IF(C62="","","payback "&amp;TEXT(C62*D61,"$#,##0")&amp;" over "&amp;C61&amp;" daily pmts ("&amp;TEXT(C61/5,"0")&amp;" wks)"))</f>
        <v>payback $102,225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70000.0</v>
      </c>
      <c r="C6" s="10">
        <v>1.45</v>
      </c>
      <c r="D6" s="11">
        <v>30.0</v>
      </c>
      <c r="E6" s="12" t="s">
        <v>12</v>
      </c>
      <c r="F6" s="13">
        <v>0.05</v>
      </c>
      <c r="J6" s="14" t="s">
        <v>13</v>
      </c>
      <c r="K6" s="15">
        <f>IF(OR(D8="",C24=0),"",D8)</f>
        <v>3383.333333</v>
      </c>
      <c r="L6" s="15">
        <f>IF(OR(D8="",C24=0),"",L7*C24/4)</f>
        <v>3383.55</v>
      </c>
      <c r="M6" s="16">
        <f t="shared" ref="M6:M8" si="1">IF(OR(K6="",L6=""),"",L6-K6)</f>
        <v>0.2166666667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0.1422642395</v>
      </c>
      <c r="L7" s="17">
        <f>IF(OR(D8="",C24=0),"",ROUND(D8*4/C24*100,2)/100)</f>
        <v>0.1314</v>
      </c>
      <c r="M7" s="18">
        <f t="shared" si="1"/>
        <v>-0.01086423948</v>
      </c>
    </row>
    <row r="8">
      <c r="B8" s="19">
        <f>IF(OR(B6="",C6=""),"",B6*C6)</f>
        <v>101500</v>
      </c>
      <c r="C8" s="21">
        <f>IF(OR(B8="",D6="",D6=0),"",IF(E6="Weekly",(B8/D6)/5,B8/D6))</f>
        <v>676.6666667</v>
      </c>
      <c r="D8" s="21">
        <f>IF(C8="","",C8*5)</f>
        <v>3383.333333</v>
      </c>
      <c r="E8" s="19">
        <f>IF(C8="","",C8*21.655)</f>
        <v>14653.21667</v>
      </c>
      <c r="F8" s="22">
        <f>IF(OR(D6="",D6=0),"",IF(E6="Weekly",D6,D6/5)/(21.655/5))</f>
        <v>6.926806742</v>
      </c>
      <c r="G8" s="19">
        <f>IF(B6="","",B6-(B6*F6))</f>
        <v>66500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28" t="s">
        <v>32</v>
      </c>
      <c r="C12" s="29">
        <v>119000.0</v>
      </c>
      <c r="D12" s="91">
        <v>10000.0</v>
      </c>
      <c r="E12" s="30">
        <v>0.0</v>
      </c>
      <c r="F12" s="30">
        <v>0.0</v>
      </c>
      <c r="G12" s="32">
        <f t="shared" ref="G12:G22" si="2">IF(OR(C12="",C13=""),"",(C12-C13)/C13)</f>
        <v>0.6081081081</v>
      </c>
    </row>
    <row r="13">
      <c r="B13" s="28" t="s">
        <v>35</v>
      </c>
      <c r="C13" s="29">
        <v>74000.0</v>
      </c>
      <c r="D13" s="92">
        <v>9000.0</v>
      </c>
      <c r="E13" s="30">
        <v>0.0</v>
      </c>
      <c r="F13" s="30">
        <v>0.0</v>
      </c>
      <c r="G13" s="32">
        <f t="shared" si="2"/>
        <v>-0.3620689655</v>
      </c>
    </row>
    <row r="14">
      <c r="B14" s="28" t="s">
        <v>36</v>
      </c>
      <c r="C14" s="29">
        <v>116000.0</v>
      </c>
      <c r="D14" s="91">
        <v>8000.0</v>
      </c>
      <c r="E14" s="30">
        <v>0.0</v>
      </c>
      <c r="F14" s="30">
        <v>0.0</v>
      </c>
      <c r="G14" s="32" t="str">
        <f t="shared" si="2"/>
        <v/>
      </c>
    </row>
    <row r="15">
      <c r="B15" s="28" t="s">
        <v>37</v>
      </c>
      <c r="C15" s="29"/>
      <c r="D15" s="91"/>
      <c r="E15" s="30">
        <v>0.0</v>
      </c>
      <c r="F15" s="30">
        <v>0.0</v>
      </c>
      <c r="G15" s="32" t="str">
        <f t="shared" si="2"/>
        <v/>
      </c>
    </row>
    <row r="16">
      <c r="B16" s="38"/>
      <c r="C16" s="42"/>
      <c r="D16" s="93"/>
      <c r="E16" s="39"/>
      <c r="F16" s="39"/>
      <c r="G16" s="32" t="str">
        <f t="shared" si="2"/>
        <v/>
      </c>
    </row>
    <row r="17">
      <c r="B17" s="38"/>
      <c r="C17" s="42"/>
      <c r="D17" s="93"/>
      <c r="E17" s="39"/>
      <c r="F17" s="39"/>
      <c r="G17" s="32" t="str">
        <f t="shared" si="2"/>
        <v/>
      </c>
    </row>
    <row r="18">
      <c r="B18" s="38"/>
      <c r="C18" s="42"/>
      <c r="D18" s="93"/>
      <c r="E18" s="39"/>
      <c r="F18" s="39"/>
      <c r="G18" s="32" t="str">
        <f t="shared" si="2"/>
        <v/>
      </c>
    </row>
    <row r="19">
      <c r="B19" s="38"/>
      <c r="C19" s="42"/>
      <c r="D19" s="93"/>
      <c r="E19" s="39"/>
      <c r="F19" s="39"/>
      <c r="G19" s="32" t="str">
        <f t="shared" si="2"/>
        <v/>
      </c>
    </row>
    <row r="20">
      <c r="B20" s="38"/>
      <c r="C20" s="42"/>
      <c r="D20" s="93"/>
      <c r="E20" s="39"/>
      <c r="F20" s="39"/>
      <c r="G20" s="32" t="str">
        <f t="shared" si="2"/>
        <v/>
      </c>
    </row>
    <row r="21" ht="15.75" customHeight="1">
      <c r="B21" s="38"/>
      <c r="C21" s="42"/>
      <c r="D21" s="93"/>
      <c r="E21" s="39"/>
      <c r="F21" s="39"/>
      <c r="G21" s="32" t="str">
        <f t="shared" si="2"/>
        <v/>
      </c>
    </row>
    <row r="22" ht="15.75" customHeight="1">
      <c r="B22" s="38"/>
      <c r="C22" s="42"/>
      <c r="D22" s="93"/>
      <c r="E22" s="39"/>
      <c r="F22" s="39"/>
      <c r="G22" s="32" t="str">
        <f t="shared" si="2"/>
        <v/>
      </c>
    </row>
    <row r="23" ht="15.75" customHeight="1">
      <c r="B23" s="38"/>
      <c r="C23" s="42"/>
      <c r="D23" s="93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103000</v>
      </c>
      <c r="D24" s="46">
        <f t="shared" si="3"/>
        <v>9000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0.1230195713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/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676.6666667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IF(OR(C24=0,C8=""),"",(E34+C8)*21.655/C24)</f>
        <v>0.1422642395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0.1422642395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IF(OR(D24=0,C8=""),"",(E34+C8)/D24)</f>
        <v>0.07518518519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0.6796116505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0.1230195713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0.08737864078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856.1533133</v>
      </c>
    </row>
    <row r="57" ht="15.75" customHeight="1">
      <c r="B57" s="70" t="s">
        <v>80</v>
      </c>
      <c r="C57" s="15">
        <f>IF(C24=0,"",(D38*C24-F34)/21.655)</f>
        <v>1426.922189</v>
      </c>
    </row>
    <row r="58" ht="15.75" customHeight="1">
      <c r="B58" s="70" t="s">
        <v>81</v>
      </c>
      <c r="C58" s="15">
        <f>IF(OR(C24=0,D24=0),"",D40*D24-E34)</f>
        <v>4050</v>
      </c>
    </row>
    <row r="59" ht="15.75" customHeight="1">
      <c r="B59" s="68" t="s">
        <v>82</v>
      </c>
      <c r="C59" s="21">
        <f>IF(C24=0,"",MAX(0,MIN(C56:C58)))</f>
        <v>856.1533133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4280.766567</v>
      </c>
      <c r="D60" s="75">
        <f>IF(OR(C59="",C59=0),"",C59*21.655)</f>
        <v>18540</v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76500</v>
      </c>
      <c r="D62" s="4" t="str">
        <f>IF(C62="-","KNOCKOUT on the merchant - do not fund.",IF(C62="","","payback "&amp;TEXT(C62*D61,"$#,##0")&amp;" over "&amp;C61&amp;" daily pmts ("&amp;TEXT(C61/5,"0")&amp;" wks)"))</f>
        <v>payback $110,925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10000.0</v>
      </c>
      <c r="C6" s="10">
        <v>1.45</v>
      </c>
      <c r="D6" s="11">
        <v>38.0</v>
      </c>
      <c r="E6" s="12" t="s">
        <v>12</v>
      </c>
      <c r="F6" s="13">
        <v>0.05</v>
      </c>
      <c r="J6" s="14" t="s">
        <v>13</v>
      </c>
      <c r="K6" s="15">
        <f>IF(OR(D8="",C24=0),"",D8)</f>
        <v>381.5789474</v>
      </c>
      <c r="L6" s="15">
        <f>IF(OR(D8="",C24=0),"",L7*C24/4)</f>
        <v>381.35</v>
      </c>
      <c r="M6" s="16">
        <f t="shared" ref="M6:M8" si="1">IF(OR(K6="",L6=""),"",L6-K6)</f>
        <v>-0.2289473684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0.08548026316</v>
      </c>
      <c r="L7" s="17">
        <f>IF(OR(D8="",C24=0),"",ROUND(D8*4/C24*100,2)/100)</f>
        <v>0.0789</v>
      </c>
      <c r="M7" s="18">
        <f t="shared" si="1"/>
        <v>-0.006580263158</v>
      </c>
    </row>
    <row r="8">
      <c r="B8" s="19">
        <f>IF(OR(B6="",C6=""),"",B6*C6)</f>
        <v>14500</v>
      </c>
      <c r="C8" s="21">
        <f>IF(OR(B8="",D6="",D6=0),"",IF(E6="Weekly",(B8/D6)/5,B8/D6))</f>
        <v>76.31578947</v>
      </c>
      <c r="D8" s="21">
        <f>IF(C8="","",C8*5)</f>
        <v>381.5789474</v>
      </c>
      <c r="E8" s="19">
        <f>IF(C8="","",C8*21.655)</f>
        <v>1652.618421</v>
      </c>
      <c r="F8" s="22">
        <f>IF(OR(D6="",D6=0),"",IF(E6="Weekly",D6,D6/5)/(21.655/5))</f>
        <v>8.773955207</v>
      </c>
      <c r="G8" s="19">
        <f>IF(B6="","",B6-(B6*F6))</f>
        <v>9500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28" t="s">
        <v>32</v>
      </c>
      <c r="C12" s="29">
        <v>25000.0</v>
      </c>
      <c r="D12" s="29">
        <v>3856.0</v>
      </c>
      <c r="E12" s="30">
        <v>0.0</v>
      </c>
      <c r="F12" s="30">
        <v>0.0</v>
      </c>
      <c r="G12" s="32">
        <f t="shared" ref="G12:G22" si="2">IF(OR(C12="",C13=""),"",(C12-C13)/C13)</f>
        <v>1.272727273</v>
      </c>
    </row>
    <row r="13">
      <c r="B13" s="28" t="s">
        <v>35</v>
      </c>
      <c r="C13" s="29">
        <v>11000.0</v>
      </c>
      <c r="D13" s="29">
        <v>2371.0</v>
      </c>
      <c r="E13" s="30">
        <v>0.0</v>
      </c>
      <c r="F13" s="30">
        <v>0.0</v>
      </c>
      <c r="G13" s="32">
        <f t="shared" si="2"/>
        <v>-0.5</v>
      </c>
    </row>
    <row r="14">
      <c r="B14" s="28" t="s">
        <v>36</v>
      </c>
      <c r="C14" s="29">
        <v>22000.0</v>
      </c>
      <c r="D14" s="29">
        <v>3811.0</v>
      </c>
      <c r="E14" s="30">
        <v>0.0</v>
      </c>
      <c r="F14" s="30">
        <v>0.0</v>
      </c>
      <c r="G14" s="32" t="str">
        <f t="shared" si="2"/>
        <v/>
      </c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</row>
    <row r="16">
      <c r="B16" s="38"/>
      <c r="C16" s="42"/>
      <c r="D16" s="42"/>
      <c r="E16" s="39"/>
      <c r="F16" s="39"/>
      <c r="G16" s="32" t="str">
        <f t="shared" si="2"/>
        <v/>
      </c>
    </row>
    <row r="17">
      <c r="B17" s="38"/>
      <c r="C17" s="42"/>
      <c r="D17" s="42"/>
      <c r="E17" s="39"/>
      <c r="F17" s="39"/>
      <c r="G17" s="32" t="str">
        <f t="shared" si="2"/>
        <v/>
      </c>
    </row>
    <row r="18">
      <c r="B18" s="38"/>
      <c r="C18" s="42"/>
      <c r="D18" s="42"/>
      <c r="E18" s="39"/>
      <c r="F18" s="39"/>
      <c r="G18" s="32" t="str">
        <f t="shared" si="2"/>
        <v/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19333.33333</v>
      </c>
      <c r="D24" s="46">
        <f t="shared" si="3"/>
        <v>3346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0.3863636364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/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76.31578947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IF(OR(C24=0,C8=""),"",(E34+C8)*21.655/C24)</f>
        <v>0.08548026316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0.08548026316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IF(OR(D24=0,C8=""),"",(E34+C8)/D24)</f>
        <v>0.02280806619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0.5172413793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0.3863636364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0.1730689655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160.7019164</v>
      </c>
    </row>
    <row r="57" ht="15.75" customHeight="1">
      <c r="B57" s="70" t="s">
        <v>80</v>
      </c>
      <c r="C57" s="15">
        <f>IF(C24=0,"",(D38*C24-F34)/21.655)</f>
        <v>267.8365274</v>
      </c>
    </row>
    <row r="58" ht="15.75" customHeight="1">
      <c r="B58" s="70" t="s">
        <v>81</v>
      </c>
      <c r="C58" s="15">
        <f>IF(OR(C24=0,D24=0),"",D40*D24-E34)</f>
        <v>1505.7</v>
      </c>
    </row>
    <row r="59" ht="15.75" customHeight="1">
      <c r="B59" s="68" t="s">
        <v>82</v>
      </c>
      <c r="C59" s="21">
        <f>IF(C24=0,"",MAX(0,MIN(C56:C58)))</f>
        <v>160.7019164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803.5095821</v>
      </c>
      <c r="D60" s="75">
        <f>IF(OR(C59="",C59=0),"",C59*21.655)</f>
        <v>3480</v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14000</v>
      </c>
      <c r="D62" s="4" t="str">
        <f>IF(C62="-","KNOCKOUT on the merchant - do not fund.",IF(C62="","","payback "&amp;TEXT(C62*D61,"$#,##0")&amp;" over "&amp;C61&amp;" daily pmts ("&amp;TEXT(C61/5,"0")&amp;" wks)"))</f>
        <v>payback $20,300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5G / 2Y / 0R   |   score 6.0/7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45000.0</v>
      </c>
      <c r="C6" s="10">
        <v>1.49</v>
      </c>
      <c r="D6" s="11">
        <v>26.0</v>
      </c>
      <c r="E6" s="12" t="s">
        <v>12</v>
      </c>
      <c r="F6" s="13">
        <v>0.05</v>
      </c>
      <c r="J6" s="14" t="s">
        <v>13</v>
      </c>
      <c r="K6" s="15">
        <f>IF(OR(D8="",C24=0),"",D8)</f>
        <v>2578.846154</v>
      </c>
      <c r="L6" s="15">
        <f>IF(OR(D8="",C24=0),"",L7*C24/4)</f>
        <v>2579.366667</v>
      </c>
      <c r="M6" s="16">
        <f t="shared" ref="M6:M8" si="1">IF(OR(K6="",L6=""),"",L6-K6)</f>
        <v>0.5205128205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0.09656181002</v>
      </c>
      <c r="L7" s="17">
        <f>IF(OR(D8="",C24=0),"",ROUND(D8*4/C24*100,2)/100)</f>
        <v>0.0892</v>
      </c>
      <c r="M7" s="18">
        <f t="shared" si="1"/>
        <v>-0.00736181002</v>
      </c>
    </row>
    <row r="8">
      <c r="B8" s="19">
        <f>IF(OR(B6="",C6=""),"",B6*C6)</f>
        <v>67050</v>
      </c>
      <c r="C8" s="21">
        <f>IF(OR(B8="",D6="",D6=0),"",IF(E6="Weekly",(B8/D6)/5,B8/D6))</f>
        <v>515.7692308</v>
      </c>
      <c r="D8" s="21">
        <f>IF(C8="","",C8*5)</f>
        <v>2578.846154</v>
      </c>
      <c r="E8" s="19">
        <f>IF(C8="","",C8*21.655)</f>
        <v>11168.98269</v>
      </c>
      <c r="F8" s="22">
        <f>IF(OR(D6="",D6=0),"",IF(E6="Weekly",D6,D6/5)/(21.655/5))</f>
        <v>6.00323251</v>
      </c>
      <c r="G8" s="19">
        <f>IF(B6="","",B6-(B6*F6))</f>
        <v>42750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28" t="s">
        <v>32</v>
      </c>
      <c r="C12" s="29">
        <v>150000.0</v>
      </c>
      <c r="D12" s="29">
        <v>47000.0</v>
      </c>
      <c r="E12" s="30">
        <v>0.0</v>
      </c>
      <c r="F12" s="30">
        <v>0.0</v>
      </c>
      <c r="G12" s="32">
        <f t="shared" ref="G12:G22" si="2">IF(OR(C12="",C13=""),"",(C12-C13)/C13)</f>
        <v>0.4423076923</v>
      </c>
    </row>
    <row r="13">
      <c r="B13" s="28" t="s">
        <v>35</v>
      </c>
      <c r="C13" s="29">
        <v>104000.0</v>
      </c>
      <c r="D13" s="29">
        <v>64000.0</v>
      </c>
      <c r="E13" s="30">
        <v>0.0</v>
      </c>
      <c r="F13" s="30">
        <v>0.0</v>
      </c>
      <c r="G13" s="32">
        <f t="shared" si="2"/>
        <v>0.1182795699</v>
      </c>
    </row>
    <row r="14">
      <c r="B14" s="28" t="s">
        <v>36</v>
      </c>
      <c r="C14" s="29">
        <v>93000.0</v>
      </c>
      <c r="D14" s="29">
        <v>29000.0</v>
      </c>
      <c r="E14" s="30">
        <v>0.0</v>
      </c>
      <c r="F14" s="30">
        <v>0.0</v>
      </c>
      <c r="G14" s="32" t="str">
        <f t="shared" si="2"/>
        <v/>
      </c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</row>
    <row r="16">
      <c r="B16" s="38"/>
      <c r="C16" s="42"/>
      <c r="D16" s="42"/>
      <c r="E16" s="39"/>
      <c r="F16" s="39"/>
      <c r="G16" s="32" t="str">
        <f t="shared" si="2"/>
        <v/>
      </c>
    </row>
    <row r="17">
      <c r="B17" s="38"/>
      <c r="C17" s="42"/>
      <c r="D17" s="42"/>
      <c r="E17" s="39"/>
      <c r="F17" s="39"/>
      <c r="G17" s="32" t="str">
        <f t="shared" si="2"/>
        <v/>
      </c>
    </row>
    <row r="18">
      <c r="B18" s="38"/>
      <c r="C18" s="42"/>
      <c r="D18" s="42"/>
      <c r="E18" s="39"/>
      <c r="F18" s="39"/>
      <c r="G18" s="32" t="str">
        <f t="shared" si="2"/>
        <v/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115666.6667</v>
      </c>
      <c r="D24" s="46">
        <f t="shared" si="3"/>
        <v>46666.66667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0.2802936311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3041.67</v>
      </c>
      <c r="E28" s="28" t="s">
        <v>12</v>
      </c>
      <c r="F28" s="15">
        <f t="shared" ref="F28:F33" si="5">IF(D28="","",IF(E28="Daily",D28,IF(E28="Weekly",D28/5,D28/21.655)))</f>
        <v>608.334</v>
      </c>
    </row>
    <row r="29" ht="15.75" customHeight="1">
      <c r="B29" s="50"/>
      <c r="C29" s="42"/>
      <c r="D29" s="29">
        <v>2608.35</v>
      </c>
      <c r="E29" s="28" t="s">
        <v>12</v>
      </c>
      <c r="F29" s="15">
        <f t="shared" si="5"/>
        <v>521.67</v>
      </c>
    </row>
    <row r="30" ht="15.75" customHeight="1">
      <c r="B30" s="50"/>
      <c r="C30" s="29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2</v>
      </c>
      <c r="D34" s="55" t="s">
        <v>51</v>
      </c>
      <c r="E34" s="56">
        <f>SUM(F28:F33)</f>
        <v>1130.004</v>
      </c>
      <c r="F34" s="46">
        <f>E34*21.655</f>
        <v>24470.23662</v>
      </c>
      <c r="G34" s="4" t="s">
        <v>52</v>
      </c>
    </row>
    <row r="35" ht="15.75" customHeight="1">
      <c r="E35" s="57">
        <f>E34+C8</f>
        <v>1645.773231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IF(OR(C24=0,C8=""),"",(E34+C8)*21.655/C24)</f>
        <v>0.3081200517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YELLOW</v>
      </c>
      <c r="G38" s="61">
        <v>0.55</v>
      </c>
    </row>
    <row r="39" ht="15.75" customHeight="1">
      <c r="B39" s="14" t="s">
        <v>60</v>
      </c>
      <c r="C39" s="18">
        <f>IF(OR(C24=0,E8=""),"",E8/C24)</f>
        <v>0.09656181002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IF(OR(D24=0,C8=""),"",(E34+C8)/D24)</f>
        <v>0.03526656923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0.3890489914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3</v>
      </c>
      <c r="D42" s="39">
        <v>2.0</v>
      </c>
      <c r="E42" s="39">
        <v>5.0</v>
      </c>
      <c r="F42" s="60" t="str">
        <f t="shared" si="6"/>
        <v>YELLOW</v>
      </c>
      <c r="G42" s="39">
        <v>6.0</v>
      </c>
    </row>
    <row r="43" ht="15.75" customHeight="1">
      <c r="B43" s="14" t="s">
        <v>64</v>
      </c>
      <c r="C43" s="18">
        <f>G24</f>
        <v>0.2802936311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0.2115582417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0.4034582133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6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961.4407758</v>
      </c>
    </row>
    <row r="57" ht="15.75" customHeight="1">
      <c r="B57" s="70" t="s">
        <v>80</v>
      </c>
      <c r="C57" s="15">
        <f>IF(C24=0,"",(D38*C24-F34)/21.655)</f>
        <v>472.397293</v>
      </c>
    </row>
    <row r="58" ht="15.75" customHeight="1">
      <c r="B58" s="70" t="s">
        <v>81</v>
      </c>
      <c r="C58" s="15">
        <f>IF(OR(C24=0,D24=0),"",D40*D24-E34)</f>
        <v>19869.996</v>
      </c>
    </row>
    <row r="59" ht="15.75" customHeight="1">
      <c r="B59" s="68" t="s">
        <v>82</v>
      </c>
      <c r="C59" s="21">
        <f>IF(C24=0,"",MAX(0,MIN(C56:C58)))</f>
        <v>472.397293</v>
      </c>
      <c r="D59" s="4" t="str">
        <f t="array" ref="D59">IF(C59="","",IF(C59=0,"no clean room - existing debt is over a green line",INDEX({"SP% holdback";"Total LVG";"Daily/Balance"},MATCH(C59,C56:C58,0))&amp;" is the limit"))</f>
        <v>Total LVG is the limit</v>
      </c>
    </row>
    <row r="60" ht="15.75" customHeight="1">
      <c r="B60" s="70" t="s">
        <v>83</v>
      </c>
      <c r="C60" s="15">
        <f>IF(OR(C59="",C59=0),"",C59*5)</f>
        <v>2361.986465</v>
      </c>
      <c r="D60" s="75">
        <f>IF(OR(C59="",C59=0),"",C59*21.655)</f>
        <v>10229.76338</v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42000</v>
      </c>
      <c r="D62" s="4" t="str">
        <f>IF(C62="-","KNOCKOUT on the merchant - do not fund.",IF(C62="","","payback "&amp;TEXT(C62*D61,"$#,##0")&amp;" over "&amp;C61&amp;" daily pmts ("&amp;TEXT(C61/5,"0")&amp;" wks)"))</f>
        <v>payback $60,900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28" t="s">
        <v>32</v>
      </c>
      <c r="C12" s="29"/>
      <c r="D12" s="29"/>
      <c r="E12" s="30">
        <v>0.0</v>
      </c>
      <c r="F12" s="30">
        <v>0.0</v>
      </c>
      <c r="G12" s="32" t="str">
        <f t="shared" ref="G12:G22" si="2">IF(OR(C12="",C13=""),"",(C12-C13)/C13)</f>
        <v/>
      </c>
    </row>
    <row r="13">
      <c r="B13" s="28" t="s">
        <v>35</v>
      </c>
      <c r="C13" s="29"/>
      <c r="D13" s="29"/>
      <c r="E13" s="30">
        <v>0.0</v>
      </c>
      <c r="F13" s="30">
        <v>0.0</v>
      </c>
      <c r="G13" s="32" t="str">
        <f t="shared" si="2"/>
        <v/>
      </c>
    </row>
    <row r="14">
      <c r="B14" s="28" t="s">
        <v>36</v>
      </c>
      <c r="C14" s="29"/>
      <c r="D14" s="29"/>
      <c r="E14" s="30">
        <v>0.0</v>
      </c>
      <c r="F14" s="30">
        <v>0.0</v>
      </c>
      <c r="G14" s="32" t="str">
        <f t="shared" si="2"/>
        <v/>
      </c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</row>
    <row r="16">
      <c r="B16" s="38"/>
      <c r="C16" s="42"/>
      <c r="D16" s="42"/>
      <c r="E16" s="39"/>
      <c r="F16" s="39"/>
      <c r="G16" s="32" t="str">
        <f t="shared" si="2"/>
        <v/>
      </c>
    </row>
    <row r="17">
      <c r="B17" s="38"/>
      <c r="C17" s="42"/>
      <c r="D17" s="42"/>
      <c r="E17" s="39"/>
      <c r="F17" s="39"/>
      <c r="G17" s="32" t="str">
        <f t="shared" si="2"/>
        <v/>
      </c>
    </row>
    <row r="18">
      <c r="B18" s="38"/>
      <c r="C18" s="42"/>
      <c r="D18" s="42"/>
      <c r="E18" s="39"/>
      <c r="F18" s="39"/>
      <c r="G18" s="32" t="str">
        <f t="shared" si="2"/>
        <v/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0</v>
      </c>
      <c r="D24" s="46">
        <f t="shared" si="3"/>
        <v>0</v>
      </c>
      <c r="E24" s="47">
        <f t="shared" ref="E24:F24" si="4">SUM(E12:E23)</f>
        <v>0</v>
      </c>
      <c r="F24" s="47">
        <f t="shared" si="4"/>
        <v>0</v>
      </c>
      <c r="G24" s="48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/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 t="str">
        <f>IF(OR(C24=0,C8=""),"",(E34+C8)*21.655/C24)</f>
        <v/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/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 t="str">
        <f>IF(OR(D24=0,C8=""),"",(E34+C8)/D24)</f>
        <v/>
      </c>
      <c r="D40" s="59">
        <v>0.45</v>
      </c>
      <c r="E40" s="59">
        <v>0.75</v>
      </c>
      <c r="F40" s="60" t="str">
        <f t="shared" si="6"/>
        <v/>
      </c>
      <c r="G40" s="59">
        <v>1.0</v>
      </c>
    </row>
    <row r="41" ht="15.75" customHeight="1">
      <c r="B41" s="14" t="s">
        <v>62</v>
      </c>
      <c r="C41" s="62" t="str">
        <f>IF(OR(C24=0,B6=""),"",B6/C24)</f>
        <v/>
      </c>
      <c r="D41" s="86">
        <v>0.75</v>
      </c>
      <c r="E41" s="86">
        <v>1.25</v>
      </c>
      <c r="F41" s="60" t="str">
        <f t="shared" si="6"/>
        <v/>
      </c>
      <c r="G41" s="63">
        <v>1.5</v>
      </c>
    </row>
    <row r="42" ht="15.75" customHeight="1">
      <c r="B42" s="14" t="s">
        <v>63</v>
      </c>
      <c r="C42" s="64" t="str">
        <f>IF(C24=0,"",C34+1)</f>
        <v/>
      </c>
      <c r="D42" s="39">
        <v>2.0</v>
      </c>
      <c r="E42" s="39">
        <v>5.0</v>
      </c>
      <c r="F42" s="60" t="str">
        <f t="shared" si="6"/>
        <v/>
      </c>
      <c r="G42" s="39">
        <v>6.0</v>
      </c>
    </row>
    <row r="43" ht="15.75" customHeight="1">
      <c r="B43" s="14" t="s">
        <v>64</v>
      </c>
      <c r="C43" s="18" t="str">
        <f>G24</f>
        <v/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/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 t="str">
        <f>IF(C24=0,"",F34/C24)</f>
        <v/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 t="str">
        <f>IF(C24=0,"",D24/C24)</f>
        <v/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/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1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/>
      </c>
    </row>
    <row r="56" ht="15.75" customHeight="1">
      <c r="B56" s="70" t="s">
        <v>79</v>
      </c>
      <c r="C56" s="15" t="str">
        <f>IF(C24=0,"",D39*C24/21.655)</f>
        <v/>
      </c>
    </row>
    <row r="57" ht="15.75" customHeight="1">
      <c r="B57" s="70" t="s">
        <v>80</v>
      </c>
      <c r="C57" s="15" t="str">
        <f>IF(C24=0,"",(D38*C24-F34)/21.655)</f>
        <v/>
      </c>
    </row>
    <row r="58" ht="15.75" customHeight="1">
      <c r="B58" s="70" t="s">
        <v>81</v>
      </c>
      <c r="C58" s="15" t="str">
        <f>IF(OR(C24=0,D24=0),"",D40*D24-E34)</f>
        <v/>
      </c>
    </row>
    <row r="59" ht="15.75" customHeight="1">
      <c r="B59" s="68" t="s">
        <v>82</v>
      </c>
      <c r="C59" s="21" t="str">
        <f>IF(C24=0,"",MAX(0,MIN(C56:C58)))</f>
        <v/>
      </c>
      <c r="D59" s="4" t="str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>
      <c r="B60" s="70" t="s">
        <v>83</v>
      </c>
      <c r="C60" s="15" t="str">
        <f>IF(OR(C59="",C59=0),"",C59*5)</f>
        <v/>
      </c>
      <c r="D60" s="75" t="str">
        <f>IF(OR(C59="",C59=0),"",C59*21.655)</f>
        <v/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70000.0</v>
      </c>
      <c r="C6" s="10">
        <v>1.45</v>
      </c>
      <c r="D6" s="11">
        <v>36.0</v>
      </c>
      <c r="E6" s="12" t="s">
        <v>12</v>
      </c>
      <c r="F6" s="13">
        <v>0.05</v>
      </c>
      <c r="J6" s="14" t="s">
        <v>13</v>
      </c>
      <c r="K6" s="15">
        <f>IF(OR(D8="",C24=0),"",D8)</f>
        <v>2819.444444</v>
      </c>
      <c r="L6" s="15">
        <f>IF(OR(D8="",C24=0),"",L7*C24/4)</f>
        <v>2816.5</v>
      </c>
      <c r="M6" s="16">
        <f t="shared" ref="M6:M8" si="1">IF(OR(K6="",L6=""),"",L6-K6)</f>
        <v>-2.944444444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0.04259656008</v>
      </c>
      <c r="L7" s="17">
        <f>IF(OR(D8="",C24=0),"",ROUND(D8*4/C24*100,2)/100)</f>
        <v>0.0393</v>
      </c>
      <c r="M7" s="18">
        <f t="shared" si="1"/>
        <v>-0.003296560078</v>
      </c>
    </row>
    <row r="8">
      <c r="B8" s="19">
        <f>IF(OR(B6="",C6=""),"",B6*C6)</f>
        <v>101500</v>
      </c>
      <c r="C8" s="21">
        <f>IF(OR(B8="",D6="",D6=0),"",IF(E6="Weekly",(B8/D6)/5,B8/D6))</f>
        <v>563.8888889</v>
      </c>
      <c r="D8" s="21">
        <f>IF(C8="","",C8*5)</f>
        <v>2819.444444</v>
      </c>
      <c r="E8" s="19">
        <f>IF(C8="","",C8*21.655)</f>
        <v>12211.01389</v>
      </c>
      <c r="F8" s="22">
        <f>IF(OR(D6="",D6=0),"",IF(E6="Weekly",D6,D6/5)/(21.655/5))</f>
        <v>8.312168091</v>
      </c>
      <c r="G8" s="19">
        <f>IF(B6="","",B6-(B6*F6))</f>
        <v>66500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28" t="s">
        <v>32</v>
      </c>
      <c r="C12" s="29">
        <v>300000.0</v>
      </c>
      <c r="D12" s="29">
        <v>45000.0</v>
      </c>
      <c r="E12" s="30">
        <v>0.0</v>
      </c>
      <c r="F12" s="30">
        <v>0.0</v>
      </c>
      <c r="G12" s="32">
        <f t="shared" ref="G12:G22" si="2">IF(OR(C12="",C13=""),"",(C12-C13)/C13)</f>
        <v>0.2</v>
      </c>
    </row>
    <row r="13">
      <c r="B13" s="28" t="s">
        <v>35</v>
      </c>
      <c r="C13" s="29">
        <v>250000.0</v>
      </c>
      <c r="D13" s="29">
        <v>50000.0</v>
      </c>
      <c r="E13" s="30">
        <v>0.0</v>
      </c>
      <c r="F13" s="30">
        <v>0.0</v>
      </c>
      <c r="G13" s="32">
        <f t="shared" si="2"/>
        <v>-0.1935483871</v>
      </c>
    </row>
    <row r="14">
      <c r="B14" s="28" t="s">
        <v>36</v>
      </c>
      <c r="C14" s="29">
        <v>310000.0</v>
      </c>
      <c r="D14" s="29">
        <v>51000.0</v>
      </c>
      <c r="E14" s="30">
        <v>0.0</v>
      </c>
      <c r="F14" s="30">
        <v>0.0</v>
      </c>
      <c r="G14" s="32" t="str">
        <f t="shared" si="2"/>
        <v/>
      </c>
    </row>
    <row r="15">
      <c r="B15" s="28" t="s">
        <v>37</v>
      </c>
      <c r="C15" s="29"/>
      <c r="D15" s="29"/>
      <c r="E15" s="30">
        <v>0.0</v>
      </c>
      <c r="F15" s="30">
        <v>0.0</v>
      </c>
      <c r="G15" s="32" t="str">
        <f t="shared" si="2"/>
        <v/>
      </c>
    </row>
    <row r="16">
      <c r="B16" s="38"/>
      <c r="C16" s="42"/>
      <c r="D16" s="42"/>
      <c r="E16" s="39"/>
      <c r="F16" s="39"/>
      <c r="G16" s="32" t="str">
        <f t="shared" si="2"/>
        <v/>
      </c>
    </row>
    <row r="17">
      <c r="B17" s="38"/>
      <c r="C17" s="42"/>
      <c r="D17" s="42"/>
      <c r="E17" s="39"/>
      <c r="F17" s="39"/>
      <c r="G17" s="32" t="str">
        <f t="shared" si="2"/>
        <v/>
      </c>
    </row>
    <row r="18">
      <c r="B18" s="38"/>
      <c r="C18" s="42"/>
      <c r="D18" s="42"/>
      <c r="E18" s="39"/>
      <c r="F18" s="39"/>
      <c r="G18" s="32" t="str">
        <f t="shared" si="2"/>
        <v/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286666.6667</v>
      </c>
      <c r="D24" s="46">
        <f t="shared" si="3"/>
        <v>48666.66667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0.003225806452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/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563.8888889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IF(OR(C24=0,C8=""),"",(E34+C8)*21.655/C24)</f>
        <v>0.04259656008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0.04259656008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IF(OR(D24=0,C8=""),"",(E34+C8)/D24)</f>
        <v>0.01158675799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0.2441860465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0.003225806452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5">
        <f>E24+F24</f>
        <v>0</v>
      </c>
      <c r="D44" s="39">
        <v>1.0</v>
      </c>
      <c r="E44" s="30">
        <v>6.0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0.1697674419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2382.821519</v>
      </c>
    </row>
    <row r="57" ht="15.75" customHeight="1">
      <c r="B57" s="70" t="s">
        <v>80</v>
      </c>
      <c r="C57" s="15">
        <f>IF(C24=0,"",(D38*C24-F34)/21.655)</f>
        <v>3971.369199</v>
      </c>
    </row>
    <row r="58" ht="15.75" customHeight="1">
      <c r="B58" s="70" t="s">
        <v>81</v>
      </c>
      <c r="C58" s="15">
        <f>IF(OR(C24=0,D24=0),"",D40*D24-E34)</f>
        <v>21900</v>
      </c>
    </row>
    <row r="59" ht="15.75" customHeight="1">
      <c r="B59" s="68" t="s">
        <v>82</v>
      </c>
      <c r="C59" s="21">
        <f>IF(C24=0,"",MAX(0,MIN(C56:C58)))</f>
        <v>2382.821519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11914.1076</v>
      </c>
      <c r="D60" s="75">
        <f>IF(OR(C59="",C59=0),"",C59*21.655)</f>
        <v>51600</v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213500</v>
      </c>
      <c r="D62" s="4" t="str">
        <f>IF(C62="-","KNOCKOUT on the merchant - do not fund.",IF(C62="","","payback "&amp;TEXT(C62*D61,"$#,##0")&amp;" over "&amp;C61&amp;" daily pmts ("&amp;TEXT(C61/5,"0")&amp;" wks)"))</f>
        <v>payback $309,575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70000.0</v>
      </c>
      <c r="C6" s="10">
        <v>1.45</v>
      </c>
      <c r="D6" s="11">
        <v>36.0</v>
      </c>
      <c r="E6" s="12" t="s">
        <v>12</v>
      </c>
      <c r="F6" s="13">
        <v>0.05</v>
      </c>
      <c r="J6" s="14" t="s">
        <v>13</v>
      </c>
      <c r="K6" s="15">
        <f>IF(OR(D8="",C24=0),"",D8)</f>
        <v>2819.444444</v>
      </c>
      <c r="L6" s="15">
        <f>IF(OR(D8="",C24=0),"",L7*C24/4)</f>
        <v>2820.08125</v>
      </c>
      <c r="M6" s="16">
        <f t="shared" ref="M6:M8" si="1">IF(OR(K6="",L6=""),"",L6-K6)</f>
        <v>0.6368055556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0.05531603121</v>
      </c>
      <c r="L7" s="17">
        <f>IF(OR(D8="",C24=0),"",ROUND(D8*4/C24*100,2)/100)</f>
        <v>0.0511</v>
      </c>
      <c r="M7" s="18">
        <f t="shared" si="1"/>
        <v>-0.004216031207</v>
      </c>
    </row>
    <row r="8">
      <c r="B8" s="19">
        <f>IF(OR(B6="",C6=""),"",B6*C6)</f>
        <v>101500</v>
      </c>
      <c r="C8" s="21">
        <f>IF(OR(B8="",D6="",D6=0),"",IF(E6="Weekly",(B8/D6)/5,B8/D6))</f>
        <v>563.8888889</v>
      </c>
      <c r="D8" s="21">
        <f>IF(C8="","",C8*5)</f>
        <v>2819.444444</v>
      </c>
      <c r="E8" s="19">
        <f>IF(C8="","",C8*21.655)</f>
        <v>12211.01389</v>
      </c>
      <c r="F8" s="22">
        <f>IF(OR(D6="",D6=0),"",IF(E6="Weekly",D6,D6/5)/(21.655/5))</f>
        <v>8.312168091</v>
      </c>
      <c r="G8" s="19">
        <f>IF(B6="","",B6-(B6*F6))</f>
        <v>66500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28" t="s">
        <v>32</v>
      </c>
      <c r="C12" s="29">
        <v>210000.0</v>
      </c>
      <c r="D12" s="29">
        <v>7000.0</v>
      </c>
      <c r="E12" s="30">
        <v>0.0</v>
      </c>
      <c r="F12" s="30">
        <v>0.0</v>
      </c>
      <c r="G12" s="32">
        <f t="shared" ref="G12:G22" si="2">IF(OR(C12="",C13=""),"",(C12-C13)/C13)</f>
        <v>-0.16</v>
      </c>
    </row>
    <row r="13">
      <c r="B13" s="28" t="s">
        <v>35</v>
      </c>
      <c r="C13" s="94">
        <v>250000.0</v>
      </c>
      <c r="D13" s="94">
        <v>4100.0</v>
      </c>
      <c r="E13" s="30">
        <v>0.0</v>
      </c>
      <c r="F13" s="30">
        <v>0.0</v>
      </c>
      <c r="G13" s="32">
        <f t="shared" si="2"/>
        <v>0.1363636364</v>
      </c>
    </row>
    <row r="14">
      <c r="B14" s="28" t="s">
        <v>36</v>
      </c>
      <c r="C14" s="94">
        <v>220000.0</v>
      </c>
      <c r="D14" s="94">
        <v>5000.0</v>
      </c>
      <c r="E14" s="30">
        <v>0.0</v>
      </c>
      <c r="F14" s="30">
        <v>0.0</v>
      </c>
      <c r="G14" s="32">
        <f t="shared" si="2"/>
        <v>0.08374384236</v>
      </c>
    </row>
    <row r="15">
      <c r="B15" s="28" t="s">
        <v>37</v>
      </c>
      <c r="C15" s="94">
        <v>203000.0</v>
      </c>
      <c r="D15" s="94">
        <v>8300.0</v>
      </c>
      <c r="E15" s="30">
        <v>0.0</v>
      </c>
      <c r="F15" s="30">
        <v>0.0</v>
      </c>
      <c r="G15" s="32" t="str">
        <f t="shared" si="2"/>
        <v/>
      </c>
    </row>
    <row r="16">
      <c r="B16" s="38"/>
      <c r="C16" s="42"/>
      <c r="D16" s="42"/>
      <c r="E16" s="39"/>
      <c r="F16" s="39"/>
      <c r="G16" s="32" t="str">
        <f t="shared" si="2"/>
        <v/>
      </c>
    </row>
    <row r="17">
      <c r="B17" s="38"/>
      <c r="C17" s="42"/>
      <c r="D17" s="42"/>
      <c r="E17" s="39"/>
      <c r="F17" s="39"/>
      <c r="G17" s="32" t="str">
        <f t="shared" si="2"/>
        <v/>
      </c>
    </row>
    <row r="18">
      <c r="B18" s="38"/>
      <c r="C18" s="42"/>
      <c r="D18" s="42"/>
      <c r="E18" s="39"/>
      <c r="F18" s="39"/>
      <c r="G18" s="32" t="str">
        <f t="shared" si="2"/>
        <v/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220750</v>
      </c>
      <c r="D24" s="46">
        <f t="shared" si="3"/>
        <v>6100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0.02003582624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/>
      <c r="F28" s="15" t="str">
        <f t="shared" ref="F28:F33" si="5">IF(D28="","",IF(E28="Daily",D28,IF(E28="Weekly",D28/5,D28/21.655)))</f>
        <v/>
      </c>
    </row>
    <row r="29" ht="15.75" customHeight="1">
      <c r="B29" s="50"/>
      <c r="C29" s="29"/>
      <c r="D29" s="29"/>
      <c r="E29" s="38"/>
      <c r="F29" s="15" t="str">
        <f t="shared" si="5"/>
        <v/>
      </c>
    </row>
    <row r="30" ht="15.75" customHeight="1">
      <c r="B30" s="50"/>
      <c r="C30" s="29"/>
      <c r="D30" s="29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563.8888889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IF(OR(C24=0,C8=""),"",(E34+C8)*21.655/C24)</f>
        <v>0.05531603121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0.05531603121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IF(OR(D24=0,C8=""),"",(E34+C8)/D24)</f>
        <v>0.09244080146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0.3171007928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0.02003582624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4">
        <f>E24+F24</f>
        <v>0</v>
      </c>
      <c r="D44" s="39">
        <v>1.0</v>
      </c>
      <c r="E44" s="39">
        <v>4.0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0.02763306908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1834.911106</v>
      </c>
    </row>
    <row r="57" ht="15.75" customHeight="1">
      <c r="B57" s="70" t="s">
        <v>80</v>
      </c>
      <c r="C57" s="15">
        <f>IF(C24=0,"",(D38*C24-F34)/21.655)</f>
        <v>3058.185177</v>
      </c>
    </row>
    <row r="58" ht="15.75" customHeight="1">
      <c r="B58" s="70" t="s">
        <v>81</v>
      </c>
      <c r="C58" s="15">
        <f>IF(OR(C24=0,D24=0),"",D40*D24-E34)</f>
        <v>2745</v>
      </c>
    </row>
    <row r="59" ht="15.75" customHeight="1">
      <c r="B59" s="68" t="s">
        <v>82</v>
      </c>
      <c r="C59" s="21">
        <f>IF(C24=0,"",MAX(0,MIN(C56:C58)))</f>
        <v>1834.911106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9174.55553</v>
      </c>
      <c r="D60" s="75">
        <f>IF(OR(C59="",C59=0),"",C59*21.655)</f>
        <v>39735</v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164500</v>
      </c>
      <c r="D62" s="4" t="str">
        <f>IF(C62="-","KNOCKOUT on the merchant - do not fund.",IF(C62="","","payback "&amp;TEXT(C62*D61,"$#,##0")&amp;" over "&amp;C61&amp;" daily pmts ("&amp;TEXT(C61/5,"0")&amp;" wks)"))</f>
        <v>payback $238,525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APPROVE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0 red flag(s) vs limit 2   |   7G / 0Y / 0R   |   score 7.0/7 = Strong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(weeks)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5">
        <v>35000.0</v>
      </c>
      <c r="C6" s="96">
        <v>1.45</v>
      </c>
      <c r="D6" s="97">
        <v>26.0</v>
      </c>
      <c r="E6" s="98" t="s">
        <v>12</v>
      </c>
      <c r="F6" s="99">
        <v>0.05</v>
      </c>
      <c r="J6" s="14" t="s">
        <v>13</v>
      </c>
      <c r="K6" s="15">
        <f>IF(OR(D8="",C24=0),"",D8)</f>
        <v>1951.923077</v>
      </c>
      <c r="L6" s="15">
        <f>IF(OR(D8="",C24=0),"",L7*C24/4)</f>
        <v>1951.425</v>
      </c>
      <c r="M6" s="16">
        <f t="shared" ref="M6:M8" si="1">IF(OR(K6="",L6=""),"",L6-K6)</f>
        <v>-0.4980769231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0.1789159544</v>
      </c>
      <c r="L7" s="17">
        <f>IF(OR(D8="",C24=0),"",ROUND(D8*4/C24*100,2)/100)</f>
        <v>0.1652</v>
      </c>
      <c r="M7" s="18">
        <f t="shared" si="1"/>
        <v>-0.01371595442</v>
      </c>
    </row>
    <row r="8">
      <c r="B8" s="19">
        <f>IF(OR(B6="",C6=""),"",B6*C6)</f>
        <v>50750</v>
      </c>
      <c r="C8" s="21">
        <f>IF(OR(B8="",D6="",D6=0),"",IF(E6="Weekly",(B8/D6)/5,B8/D6))</f>
        <v>390.3846154</v>
      </c>
      <c r="D8" s="21">
        <f>IF(C8="","",C8*5)</f>
        <v>1951.923077</v>
      </c>
      <c r="E8" s="19">
        <f>IF(C8="","",C8*21.655)</f>
        <v>8453.778846</v>
      </c>
      <c r="F8" s="22">
        <f>IF(OR(D6="",D6=0),"",IF(E6="Weekly",D6,D6/5)/(21.655/5))</f>
        <v>6.00323251</v>
      </c>
      <c r="G8" s="19">
        <f>IF(B6="","",B6-(B6*F6))</f>
        <v>33250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28" t="s">
        <v>32</v>
      </c>
      <c r="C12" s="29">
        <v>60000.0</v>
      </c>
      <c r="D12" s="29">
        <v>9200.0</v>
      </c>
      <c r="E12" s="30">
        <v>0.0</v>
      </c>
      <c r="F12" s="30">
        <v>0.0</v>
      </c>
      <c r="G12" s="32">
        <f t="shared" ref="G12:G22" si="2">IF(OR(C12="",C13=""),"",(C12-C13)/C13)</f>
        <v>0.07142857143</v>
      </c>
    </row>
    <row r="13">
      <c r="B13" s="28" t="s">
        <v>35</v>
      </c>
      <c r="C13" s="29">
        <v>56000.0</v>
      </c>
      <c r="D13" s="29">
        <v>5300.0</v>
      </c>
      <c r="E13" s="30">
        <v>0.0</v>
      </c>
      <c r="F13" s="30">
        <v>0.0</v>
      </c>
      <c r="G13" s="32">
        <f t="shared" si="2"/>
        <v>0.3023255814</v>
      </c>
    </row>
    <row r="14">
      <c r="B14" s="28" t="s">
        <v>36</v>
      </c>
      <c r="C14" s="29">
        <v>43000.0</v>
      </c>
      <c r="D14" s="29">
        <v>7600.0</v>
      </c>
      <c r="E14" s="30">
        <v>0.0</v>
      </c>
      <c r="F14" s="30">
        <v>0.0</v>
      </c>
      <c r="G14" s="32">
        <f t="shared" si="2"/>
        <v>0.4333333333</v>
      </c>
    </row>
    <row r="15">
      <c r="B15" s="28" t="s">
        <v>37</v>
      </c>
      <c r="C15" s="29">
        <v>30000.0</v>
      </c>
      <c r="D15" s="29">
        <v>5400.0</v>
      </c>
      <c r="E15" s="30">
        <v>0.0</v>
      </c>
      <c r="F15" s="30">
        <v>0.0</v>
      </c>
      <c r="G15" s="32" t="str">
        <f t="shared" si="2"/>
        <v/>
      </c>
    </row>
    <row r="16">
      <c r="B16" s="38"/>
      <c r="C16" s="42"/>
      <c r="D16" s="42"/>
      <c r="E16" s="39"/>
      <c r="F16" s="39"/>
      <c r="G16" s="32" t="str">
        <f t="shared" si="2"/>
        <v/>
      </c>
    </row>
    <row r="17">
      <c r="B17" s="38"/>
      <c r="C17" s="42"/>
      <c r="D17" s="42"/>
      <c r="E17" s="39"/>
      <c r="F17" s="39"/>
      <c r="G17" s="32" t="str">
        <f t="shared" si="2"/>
        <v/>
      </c>
    </row>
    <row r="18">
      <c r="B18" s="38"/>
      <c r="C18" s="42"/>
      <c r="D18" s="42"/>
      <c r="E18" s="39"/>
      <c r="F18" s="39"/>
      <c r="G18" s="32" t="str">
        <f t="shared" si="2"/>
        <v/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47250</v>
      </c>
      <c r="D24" s="46">
        <f t="shared" si="3"/>
        <v>6875</v>
      </c>
      <c r="E24" s="47">
        <f t="shared" ref="E24:F24" si="4">SUM(E12:E23)</f>
        <v>0</v>
      </c>
      <c r="F24" s="47">
        <f t="shared" si="4"/>
        <v>0</v>
      </c>
      <c r="G24" s="48">
        <f>IFERROR(AVERAGE(G12:G22),"")</f>
        <v>0.2690291621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>
        <v>1302.0</v>
      </c>
      <c r="E28" s="28" t="s">
        <v>96</v>
      </c>
      <c r="F28" s="15">
        <f t="shared" ref="F28:F33" si="5">IF(D28="","",IF(E28="Daily",D28,IF(E28="Weekly",D28/5,D28/21.655)))</f>
        <v>60.12468252</v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60.12468252</v>
      </c>
      <c r="F34" s="46">
        <f>E34*21.655</f>
        <v>1302</v>
      </c>
      <c r="G34" s="4" t="s">
        <v>52</v>
      </c>
    </row>
    <row r="35" ht="15.75" customHeight="1">
      <c r="E35" s="57">
        <f>E34+C8</f>
        <v>450.5092979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IF(OR(C24=0,C8=""),"",(E34+C8)*21.655/C24)</f>
        <v>0.20647151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0.1789159544</v>
      </c>
      <c r="D39" s="59">
        <v>0.18</v>
      </c>
      <c r="E39" s="59">
        <v>0.25</v>
      </c>
      <c r="F39" s="60" t="str">
        <f t="shared" si="6"/>
        <v>GREEN</v>
      </c>
      <c r="G39" s="59">
        <v>0.35</v>
      </c>
    </row>
    <row r="40" ht="15.75" customHeight="1">
      <c r="B40" s="14" t="s">
        <v>61</v>
      </c>
      <c r="C40" s="18">
        <f>IF(OR(D24=0,C8=""),"",(E34+C8)/D24)</f>
        <v>0.06552862515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0.7407407407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0.2690291621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4">
        <f>E24+F24</f>
        <v>0</v>
      </c>
      <c r="D44" s="39">
        <v>1.0</v>
      </c>
      <c r="E44" s="39">
        <v>4.0</v>
      </c>
      <c r="F44" s="60" t="str">
        <f>IF(C44="","",IF(C44&gt;=G44,"KNOCKOUT",IF(C44&lt;=D44,"GREEN",IF(C44&gt;=E44,"RED","YELLOW"))))</f>
        <v>GREEN</v>
      </c>
      <c r="G44" s="30">
        <v>10.0</v>
      </c>
    </row>
    <row r="45" ht="15.75" customHeight="1">
      <c r="B45" s="14" t="s">
        <v>66</v>
      </c>
      <c r="C45" s="18">
        <f>IF(C24=0,"",F34/C24)</f>
        <v>0.02755555556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0.1455026455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APPROVE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All 7 decision metrics green.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7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Strong</v>
      </c>
    </row>
    <row r="56" ht="15.75" customHeight="1">
      <c r="B56" s="70" t="s">
        <v>79</v>
      </c>
      <c r="C56" s="15">
        <f>IF(C24=0,"",D39*C24/21.655)</f>
        <v>392.7499423</v>
      </c>
    </row>
    <row r="57" ht="15.75" customHeight="1">
      <c r="B57" s="70" t="s">
        <v>80</v>
      </c>
      <c r="C57" s="15">
        <f>IF(C24=0,"",(D38*C24-F34)/21.655)</f>
        <v>594.4585546</v>
      </c>
    </row>
    <row r="58" ht="15.75" customHeight="1">
      <c r="B58" s="70" t="s">
        <v>81</v>
      </c>
      <c r="C58" s="15">
        <f>IF(OR(C24=0,D24=0),"",D40*D24-E34)</f>
        <v>3033.625317</v>
      </c>
    </row>
    <row r="59" ht="15.75" customHeight="1">
      <c r="B59" s="68" t="s">
        <v>82</v>
      </c>
      <c r="C59" s="21">
        <f>IF(C24=0,"",MAX(0,MIN(C56:C58)))</f>
        <v>392.7499423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1963.749711</v>
      </c>
      <c r="D60" s="75">
        <f>IF(OR(C59="",C59=0),"",C59*21.655)</f>
        <v>8505</v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35000</v>
      </c>
      <c r="D62" s="4" t="str">
        <f>IF(C62="-","KNOCKOUT on the merchant - do not fund.",IF(C62="","","payback "&amp;TEXT(C62*D61,"$#,##0")&amp;" over "&amp;C61&amp;" daily pmts ("&amp;TEXT(C61/5,"0")&amp;" wks)"))</f>
        <v>payback $50,750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DECLINE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2G / 0Y / 0R   |   score 2.0/7 = Weak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2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IF(OR(D8="",C24=0),"",L7*C24/4)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 t="str">
        <f>IF(OR(D8="",C24=0),"",E8/C24)</f>
        <v/>
      </c>
      <c r="L7" s="17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28" t="s">
        <v>32</v>
      </c>
      <c r="C12" s="29">
        <v>205000.0</v>
      </c>
      <c r="D12" s="29">
        <v>12467.0</v>
      </c>
      <c r="E12" s="30">
        <v>2.0</v>
      </c>
      <c r="F12" s="30">
        <v>5.0</v>
      </c>
      <c r="G12" s="32">
        <f t="shared" ref="G12:G22" si="2">IF(OR(C12="",C13=""),"",(C12-C13)/C13)</f>
        <v>-0.1458333333</v>
      </c>
    </row>
    <row r="13">
      <c r="B13" s="28" t="s">
        <v>35</v>
      </c>
      <c r="C13" s="29">
        <v>240000.0</v>
      </c>
      <c r="D13" s="29">
        <v>13335.0</v>
      </c>
      <c r="E13" s="30">
        <v>3.0</v>
      </c>
      <c r="F13" s="30">
        <v>2.0</v>
      </c>
      <c r="G13" s="32">
        <f t="shared" si="2"/>
        <v>0.2765957447</v>
      </c>
    </row>
    <row r="14">
      <c r="B14" s="28" t="s">
        <v>36</v>
      </c>
      <c r="C14" s="29">
        <v>188000.0</v>
      </c>
      <c r="D14" s="29"/>
      <c r="E14" s="30">
        <v>0.0</v>
      </c>
      <c r="F14" s="30">
        <v>0.0</v>
      </c>
      <c r="G14" s="32">
        <f t="shared" si="2"/>
        <v>0.6637168142</v>
      </c>
    </row>
    <row r="15">
      <c r="B15" s="28" t="s">
        <v>37</v>
      </c>
      <c r="C15" s="29">
        <v>113000.0</v>
      </c>
      <c r="D15" s="29"/>
      <c r="E15" s="30">
        <v>0.0</v>
      </c>
      <c r="F15" s="30">
        <v>0.0</v>
      </c>
      <c r="G15" s="32" t="str">
        <f t="shared" si="2"/>
        <v/>
      </c>
    </row>
    <row r="16">
      <c r="B16" s="38"/>
      <c r="C16" s="42"/>
      <c r="D16" s="42"/>
      <c r="E16" s="39"/>
      <c r="F16" s="39"/>
      <c r="G16" s="32" t="str">
        <f t="shared" si="2"/>
        <v/>
      </c>
    </row>
    <row r="17">
      <c r="B17" s="38"/>
      <c r="C17" s="42"/>
      <c r="D17" s="42"/>
      <c r="E17" s="39"/>
      <c r="F17" s="39"/>
      <c r="G17" s="32" t="str">
        <f t="shared" si="2"/>
        <v/>
      </c>
    </row>
    <row r="18">
      <c r="B18" s="38"/>
      <c r="C18" s="42"/>
      <c r="D18" s="42"/>
      <c r="E18" s="39"/>
      <c r="F18" s="39"/>
      <c r="G18" s="32" t="str">
        <f t="shared" si="2"/>
        <v/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186500</v>
      </c>
      <c r="D24" s="46">
        <f t="shared" si="3"/>
        <v>12901</v>
      </c>
      <c r="E24" s="47">
        <f t="shared" ref="E24:F24" si="4">SUM(E12:E23)</f>
        <v>5</v>
      </c>
      <c r="F24" s="47">
        <f t="shared" si="4"/>
        <v>7</v>
      </c>
      <c r="G24" s="48">
        <f>IFERROR(AVERAGE(G12:G22),"")</f>
        <v>0.2648264085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/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0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 t="str">
        <f>IF(OR(C24=0,C8=""),"",(E34+C8)*21.655/C24)</f>
        <v/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/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 t="str">
        <f>IF(OR(D24=0,C8=""),"",(E34+C8)/D24)</f>
        <v/>
      </c>
      <c r="D40" s="59">
        <v>0.45</v>
      </c>
      <c r="E40" s="59">
        <v>0.75</v>
      </c>
      <c r="F40" s="60" t="str">
        <f t="shared" si="6"/>
        <v/>
      </c>
      <c r="G40" s="59">
        <v>1.0</v>
      </c>
    </row>
    <row r="41" ht="15.75" customHeight="1">
      <c r="B41" s="14" t="s">
        <v>62</v>
      </c>
      <c r="C41" s="62" t="str">
        <f>IF(OR(C24=0,B6=""),"",B6/C24)</f>
        <v/>
      </c>
      <c r="D41" s="86">
        <v>0.75</v>
      </c>
      <c r="E41" s="86">
        <v>1.25</v>
      </c>
      <c r="F41" s="60" t="str">
        <f t="shared" si="6"/>
        <v/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0.2648264085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GREEN</v>
      </c>
      <c r="G43" s="59">
        <v>-0.3</v>
      </c>
    </row>
    <row r="44" ht="15.75" customHeight="1">
      <c r="B44" s="14" t="s">
        <v>65</v>
      </c>
      <c r="C44" s="64">
        <f>IF(AND(E24=0,F24=0),"",E24+F24)</f>
        <v>12</v>
      </c>
      <c r="D44" s="39">
        <v>1.0</v>
      </c>
      <c r="E44" s="39">
        <v>4.0</v>
      </c>
      <c r="F44" s="60" t="str">
        <f>IF(C44="","",IF(C44&gt;=G44,"KNOCKOUT",IF(C44&lt;=D44,"GREEN",IF(C44&gt;=E44,"RED","YELLOW"))))</f>
        <v>KNOCKOUT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0.06917426273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1</v>
      </c>
      <c r="D49" s="68" t="s">
        <v>72</v>
      </c>
      <c r="E49" s="69">
        <f>COUNTIF(F38:F44,"KNOCKOUT")</f>
        <v>1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DECLINE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KNOCKOUT: Neg days + NSFs (total) is past its knockout line.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2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Weak</v>
      </c>
    </row>
    <row r="56" ht="15.75" customHeight="1">
      <c r="B56" s="70" t="s">
        <v>79</v>
      </c>
      <c r="C56" s="15">
        <f>IF(C24=0,"",D39*C24/21.655)</f>
        <v>1550.219349</v>
      </c>
    </row>
    <row r="57" ht="15.75" customHeight="1">
      <c r="B57" s="70" t="s">
        <v>80</v>
      </c>
      <c r="C57" s="15">
        <f>IF(C24=0,"",(D38*C24-F34)/21.655)</f>
        <v>2583.698915</v>
      </c>
    </row>
    <row r="58" ht="15.75" customHeight="1">
      <c r="B58" s="70" t="s">
        <v>81</v>
      </c>
      <c r="C58" s="15">
        <f>IF(OR(C24=0,D24=0),"",D40*D24-E34)</f>
        <v>5805.45</v>
      </c>
    </row>
    <row r="59" ht="15.75" customHeight="1">
      <c r="B59" s="68" t="s">
        <v>82</v>
      </c>
      <c r="C59" s="21">
        <f>IF(C24=0,"",MAX(0,MIN(C56:C58)))</f>
        <v>1550.219349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7751.096744</v>
      </c>
      <c r="D60" s="75">
        <f>IF(OR(C59="",C59=0),"",C59*21.655)</f>
        <v>33570</v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>-</v>
      </c>
      <c r="D62" s="4" t="str">
        <f>IF(C62="-","KNOCKOUT on the merchant - do not fund.",IF(C62="","","payback "&amp;TEXT(C62*D61,"$#,##0")&amp;" over "&amp;C61&amp;" daily pmts ("&amp;TEXT(C61/5,"0")&amp;" wks)"))</f>
        <v>KNOCKOUT on the merchant - do not fund.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4" width="17.29"/>
    <col customWidth="1" min="5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>CONDITIONAL</v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>1 red flag(s) vs limit 2   |   4G / 2Y / 1R   |   score 5.0/7 = Solid</v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>
        <v>12000.0</v>
      </c>
      <c r="C6" s="10">
        <v>1.45</v>
      </c>
      <c r="D6" s="11">
        <v>100.0</v>
      </c>
      <c r="E6" s="12" t="s">
        <v>87</v>
      </c>
      <c r="F6" s="13">
        <v>0.05</v>
      </c>
      <c r="J6" s="14" t="s">
        <v>13</v>
      </c>
      <c r="K6" s="15">
        <f>IF(OR(D8="",C24=0),"",D8)</f>
        <v>870</v>
      </c>
      <c r="L6" s="15">
        <f>IF(OR(D8="",C24=0),"",L7*C24/4)</f>
        <v>869.8295625</v>
      </c>
      <c r="M6" s="16">
        <f t="shared" ref="M6:M8" si="1">IF(OR(K6="",L6=""),"",L6-K6)</f>
        <v>-0.1704375</v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17">
        <f>IF(OR(D8="",C24=0),"",E8/C24)</f>
        <v>0.2305626434</v>
      </c>
      <c r="L7" s="17">
        <f>IF(OR(D8="",C24=0),"",ROUND(D8*4/C24*100,2)/100)</f>
        <v>0.2129</v>
      </c>
      <c r="M7" s="18">
        <f t="shared" si="1"/>
        <v>-0.01766264341</v>
      </c>
    </row>
    <row r="8">
      <c r="B8" s="19">
        <f>IF(OR(B6="",C6=""),"",B6*C6)</f>
        <v>17400</v>
      </c>
      <c r="C8" s="21">
        <f>IF(OR(B8="",D6="",D6=0),"",IF(E6="Weekly",(B8/D6)/5,B8/D6))</f>
        <v>174</v>
      </c>
      <c r="D8" s="21">
        <f>IF(C8="","",C8*5)</f>
        <v>870</v>
      </c>
      <c r="E8" s="19">
        <f>IF(C8="","",C8*21.655)</f>
        <v>3767.97</v>
      </c>
      <c r="F8" s="22">
        <f>IF(OR(D6="",D6=0),"",IF(E6="Weekly",D6,D6/5)/(21.655/5))</f>
        <v>4.617871161</v>
      </c>
      <c r="G8" s="19">
        <f>IF(B6="","",B6-(B6*F6))</f>
        <v>11400</v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28" t="s">
        <v>32</v>
      </c>
      <c r="C12" s="29">
        <v>15388.0</v>
      </c>
      <c r="D12" s="29">
        <v>1026.0</v>
      </c>
      <c r="E12" s="30">
        <v>0.0</v>
      </c>
      <c r="F12" s="30">
        <v>0.0</v>
      </c>
      <c r="G12" s="32">
        <f t="shared" ref="G12:G22" si="2">IF(OR(C12="",C13=""),"",(C12-C13)/C13)</f>
        <v>-0.06609212842</v>
      </c>
    </row>
    <row r="13">
      <c r="B13" s="28" t="s">
        <v>35</v>
      </c>
      <c r="C13" s="29">
        <v>16477.0</v>
      </c>
      <c r="D13" s="29">
        <v>1173.0</v>
      </c>
      <c r="E13" s="30">
        <v>0.0</v>
      </c>
      <c r="F13" s="30">
        <v>0.0</v>
      </c>
      <c r="G13" s="32">
        <f t="shared" si="2"/>
        <v>0.1857369027</v>
      </c>
    </row>
    <row r="14">
      <c r="B14" s="28" t="s">
        <v>36</v>
      </c>
      <c r="C14" s="29">
        <v>13896.0</v>
      </c>
      <c r="D14" s="29">
        <v>822.0</v>
      </c>
      <c r="E14" s="30">
        <v>4.0</v>
      </c>
      <c r="F14" s="30">
        <v>4.0</v>
      </c>
      <c r="G14" s="32">
        <f t="shared" si="2"/>
        <v>-0.2913458106</v>
      </c>
    </row>
    <row r="15">
      <c r="B15" s="28" t="s">
        <v>37</v>
      </c>
      <c r="C15" s="29">
        <v>19609.0</v>
      </c>
      <c r="D15" s="29">
        <v>2028.0</v>
      </c>
      <c r="E15" s="30">
        <v>0.0</v>
      </c>
      <c r="F15" s="30">
        <v>0.0</v>
      </c>
      <c r="G15" s="32" t="str">
        <f t="shared" si="2"/>
        <v/>
      </c>
    </row>
    <row r="16">
      <c r="B16" s="38"/>
      <c r="C16" s="42"/>
      <c r="D16" s="42"/>
      <c r="E16" s="39"/>
      <c r="F16" s="39"/>
      <c r="G16" s="32" t="str">
        <f t="shared" si="2"/>
        <v/>
      </c>
    </row>
    <row r="17">
      <c r="B17" s="38"/>
      <c r="C17" s="42"/>
      <c r="D17" s="42"/>
      <c r="E17" s="39"/>
      <c r="F17" s="39"/>
      <c r="G17" s="32" t="str">
        <f t="shared" si="2"/>
        <v/>
      </c>
    </row>
    <row r="18">
      <c r="B18" s="38"/>
      <c r="C18" s="42"/>
      <c r="D18" s="42"/>
      <c r="E18" s="39"/>
      <c r="F18" s="39"/>
      <c r="G18" s="32" t="str">
        <f t="shared" si="2"/>
        <v/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16342.5</v>
      </c>
      <c r="D24" s="46">
        <f t="shared" si="3"/>
        <v>1262.25</v>
      </c>
      <c r="E24" s="47">
        <f t="shared" ref="E24:F24" si="4">SUM(E12:E23)</f>
        <v>4</v>
      </c>
      <c r="F24" s="47">
        <f t="shared" si="4"/>
        <v>4</v>
      </c>
      <c r="G24" s="48">
        <f>IFERROR(AVERAGE(G12:G22),"")</f>
        <v>-0.05723367877</v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29"/>
      <c r="D28" s="29"/>
      <c r="E28" s="28"/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/>
      <c r="F29" s="15" t="str">
        <f t="shared" si="5"/>
        <v/>
      </c>
    </row>
    <row r="30" ht="15.75" customHeight="1">
      <c r="B30" s="50"/>
      <c r="C30" s="42"/>
      <c r="D30" s="42"/>
      <c r="E30" s="38"/>
      <c r="F30" s="15" t="str">
        <f t="shared" si="5"/>
        <v/>
      </c>
    </row>
    <row r="31" ht="15.75" customHeight="1">
      <c r="B31" s="50"/>
      <c r="C31" s="42"/>
      <c r="D31" s="42"/>
      <c r="E31" s="38"/>
      <c r="F31" s="15" t="str">
        <f t="shared" si="5"/>
        <v/>
      </c>
    </row>
    <row r="32" ht="15.75" customHeight="1">
      <c r="B32" s="50"/>
      <c r="C32" s="42"/>
      <c r="D32" s="42"/>
      <c r="E32" s="38"/>
      <c r="F32" s="15" t="str">
        <f t="shared" si="5"/>
        <v/>
      </c>
    </row>
    <row r="33" ht="15.75" customHeight="1">
      <c r="B33" s="50"/>
      <c r="C33" s="42"/>
      <c r="D33" s="42"/>
      <c r="E33" s="38"/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>
      <c r="E35" s="57">
        <f>E34+C8</f>
        <v>174</v>
      </c>
    </row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58">
        <f>IF(OR(C24=0,C8=""),"",(E34+C8)*21.655/C24)</f>
        <v>0.2305626434</v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>GREEN</v>
      </c>
      <c r="G38" s="61">
        <v>0.55</v>
      </c>
    </row>
    <row r="39" ht="15.75" customHeight="1">
      <c r="B39" s="14" t="s">
        <v>60</v>
      </c>
      <c r="C39" s="18">
        <f>IF(OR(C24=0,E8=""),"",E8/C24)</f>
        <v>0.2305626434</v>
      </c>
      <c r="D39" s="59">
        <v>0.18</v>
      </c>
      <c r="E39" s="59">
        <v>0.25</v>
      </c>
      <c r="F39" s="60" t="str">
        <f t="shared" si="6"/>
        <v>YELLOW</v>
      </c>
      <c r="G39" s="59">
        <v>0.35</v>
      </c>
    </row>
    <row r="40" ht="15.75" customHeight="1">
      <c r="B40" s="14" t="s">
        <v>61</v>
      </c>
      <c r="C40" s="18">
        <f>IF(OR(D24=0,C8=""),"",(E34+C8)/D24)</f>
        <v>0.137849079</v>
      </c>
      <c r="D40" s="59">
        <v>0.45</v>
      </c>
      <c r="E40" s="59">
        <v>0.75</v>
      </c>
      <c r="F40" s="60" t="str">
        <f t="shared" si="6"/>
        <v>GREEN</v>
      </c>
      <c r="G40" s="59">
        <v>1.0</v>
      </c>
    </row>
    <row r="41" ht="15.75" customHeight="1">
      <c r="B41" s="14" t="s">
        <v>62</v>
      </c>
      <c r="C41" s="62">
        <f>IF(OR(C24=0,B6=""),"",B6/C24)</f>
        <v>0.7342817806</v>
      </c>
      <c r="D41" s="86">
        <v>0.75</v>
      </c>
      <c r="E41" s="86">
        <v>1.25</v>
      </c>
      <c r="F41" s="60" t="str">
        <f t="shared" si="6"/>
        <v>GREEN</v>
      </c>
      <c r="G41" s="63">
        <v>1.5</v>
      </c>
    </row>
    <row r="42" ht="15.75" customHeight="1">
      <c r="B42" s="14" t="s">
        <v>63</v>
      </c>
      <c r="C42" s="64">
        <f>IF(C24=0,"",C34+1)</f>
        <v>1</v>
      </c>
      <c r="D42" s="39">
        <v>2.0</v>
      </c>
      <c r="E42" s="39">
        <v>5.0</v>
      </c>
      <c r="F42" s="60" t="str">
        <f t="shared" si="6"/>
        <v>GREEN</v>
      </c>
      <c r="G42" s="39">
        <v>6.0</v>
      </c>
    </row>
    <row r="43" ht="15.75" customHeight="1">
      <c r="B43" s="14" t="s">
        <v>64</v>
      </c>
      <c r="C43" s="18">
        <f>G24</f>
        <v>-0.05723367877</v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>YELLOW</v>
      </c>
      <c r="G43" s="59">
        <v>-0.3</v>
      </c>
    </row>
    <row r="44" ht="15.75" customHeight="1">
      <c r="B44" s="14" t="s">
        <v>65</v>
      </c>
      <c r="C44" s="64">
        <f>E24+F24</f>
        <v>8</v>
      </c>
      <c r="D44" s="39">
        <v>1.0</v>
      </c>
      <c r="E44" s="39">
        <v>4.0</v>
      </c>
      <c r="F44" s="60" t="str">
        <f>IF(C44="","",IF(C44&gt;=G44,"KNOCKOUT",IF(C44&lt;=D44,"GREEN",IF(C44&gt;=E44,"RED","YELLOW"))))</f>
        <v>RED</v>
      </c>
      <c r="G44" s="30">
        <v>10.0</v>
      </c>
    </row>
    <row r="45" ht="15.75" customHeight="1">
      <c r="B45" s="14" t="s">
        <v>66</v>
      </c>
      <c r="C45" s="18">
        <f>IF(C24=0,"",F34/C24)</f>
        <v>0</v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>
        <f>IF(C24=0,"",D24/C24)</f>
        <v>0.0772372648</v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1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  <c r="D50" s="72" t="s">
        <v>74</v>
      </c>
      <c r="E50" s="90">
        <v>10000.0</v>
      </c>
    </row>
    <row r="51" ht="15.75" customHeight="1">
      <c r="B51" s="68" t="s">
        <v>1</v>
      </c>
      <c r="C51" s="3" t="str">
        <f>IF(C24=0,"",IF(OR(E49&gt;0,IF(ISNUMBER(C62),C62,0)&lt;E50),"DECLINE",IF(OR(B6="",B6=0),"",IF(C49&gt;=C50,"DECLINE",IF(COUNTIF(F38:F44,"GREEN")=7,"APPROVE","CONDITIONAL")))))</f>
        <v>CONDITIONAL</v>
      </c>
      <c r="D51" s="4" t="str">
        <f t="array" ref="D51">IF(C51="DECLINE",IF(E49&gt;0,"KNOCKOUT: "&amp;INDEX(B38:B44,MATCH("KNOCKOUT",F38:F44,0))&amp;" is past its knockout line.",IF(C49&gt;=C50,"Red flags reached the threshold.","Recommended fund "&amp;IF(ISNUMBER(C62),TEXT(C62,"$#,##0"),"$0")&amp;" is below your minimum "&amp;TEXT(E50,"$#,##0")&amp;".")),IF(C51="APPROVE","All 7 decision metrics green.",IF(C51="","Enter offer + bank data.","Fundable but not clean - review yellows/reds above.")))</f>
        <v>Fundable but not clean - review yellows/reds above.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5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>Solid</v>
      </c>
    </row>
    <row r="56" ht="15.75" customHeight="1">
      <c r="B56" s="70" t="s">
        <v>79</v>
      </c>
      <c r="C56" s="15">
        <f>IF(C24=0,"",D39*C24/21.655)</f>
        <v>135.841607</v>
      </c>
    </row>
    <row r="57" ht="15.75" customHeight="1">
      <c r="B57" s="70" t="s">
        <v>80</v>
      </c>
      <c r="C57" s="15">
        <f>IF(C24=0,"",(D38*C24-F34)/21.655)</f>
        <v>226.4026784</v>
      </c>
    </row>
    <row r="58" ht="15.75" customHeight="1">
      <c r="B58" s="70" t="s">
        <v>81</v>
      </c>
      <c r="C58" s="15">
        <f>IF(OR(C24=0,D24=0),"",D40*D24-E34)</f>
        <v>568.0125</v>
      </c>
    </row>
    <row r="59" ht="15.75" customHeight="1">
      <c r="B59" s="68" t="s">
        <v>82</v>
      </c>
      <c r="C59" s="21">
        <f>IF(C24=0,"",MAX(0,MIN(C56:C58)))</f>
        <v>135.841607</v>
      </c>
      <c r="D59" s="4" t="str">
        <f t="array" ref="D59">IF(C59="","",IF(C59=0,"no clean room - existing debt is over a green line",INDEX({"SP% holdback";"Total LVG";"Daily/Balance"},MATCH(C59,C56:C58,0))&amp;" is the limit"))</f>
        <v>SP% holdback is the limit</v>
      </c>
    </row>
    <row r="60" ht="15.75" customHeight="1">
      <c r="B60" s="70" t="s">
        <v>83</v>
      </c>
      <c r="C60" s="15">
        <f>IF(OR(C59="",C59=0),"",C59*5)</f>
        <v>679.2080351</v>
      </c>
      <c r="D60" s="75">
        <f>IF(OR(C59="",C59=0),"",C59*21.655)</f>
        <v>2941.65</v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>
        <f>IF(COUNTIF(F42:F44,"KNOCKOUT")&gt;0,"-",IF(OR(C59="",C59=0,C61="",D61=""),"",FLOOR(C59*C61/D61,500)))</f>
        <v>12000</v>
      </c>
      <c r="D62" s="4" t="str">
        <f>IF(C62="-","KNOCKOUT on the merchant - do not fund.",IF(C62="","","payback "&amp;TEXT(C62*D61,"$#,##0")&amp;" over "&amp;C61&amp;" daily pmts ("&amp;TEXT(C61/5,"0")&amp;" wks)"))</f>
        <v>payback $17,400 over 130 daily pmts (26 wks)</v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14"/>
    <col customWidth="1" min="3" max="3" width="17.29"/>
    <col customWidth="1" min="4" max="5" width="13.0"/>
    <col customWidth="1" min="6" max="6" width="12.0"/>
    <col customWidth="1" min="7" max="7" width="13.0"/>
    <col customWidth="1" min="8" max="8" width="12.0"/>
    <col customWidth="1" min="9" max="9" width="2.0"/>
    <col customWidth="1" min="10" max="10" width="18.0"/>
    <col customWidth="1" min="11" max="13" width="14.29"/>
    <col customWidth="1" min="14" max="26" width="8.71"/>
  </cols>
  <sheetData>
    <row r="1">
      <c r="B1" s="1" t="s">
        <v>0</v>
      </c>
    </row>
    <row r="2">
      <c r="B2" s="2" t="s">
        <v>1</v>
      </c>
      <c r="C2" s="3" t="str">
        <f>C51</f>
        <v/>
      </c>
      <c r="D2" s="4" t="str">
        <f>IF(C51="","",C49&amp;" red flag(s) vs limit "&amp;C50&amp;"   |   "&amp;COUNTIF(F38:F44,"GREEN")&amp;"G / "&amp;COUNTIF(F38:F44,"YELLOW")&amp;"Y / "&amp;COUNTIF(F38:F44,"RED")&amp;"R   |   score "&amp;TEXT(C54,"0.0")&amp;"/7 = "&amp;C55)</f>
        <v/>
      </c>
    </row>
    <row r="3">
      <c r="B3" s="4"/>
    </row>
    <row r="4">
      <c r="B4" s="5" t="s">
        <v>2</v>
      </c>
      <c r="C4" s="6"/>
      <c r="D4" s="6"/>
      <c r="E4" s="6"/>
      <c r="F4" s="6"/>
      <c r="G4" s="6"/>
      <c r="H4" s="7"/>
      <c r="J4" s="5" t="s">
        <v>3</v>
      </c>
      <c r="K4" s="6"/>
      <c r="L4" s="6"/>
      <c r="M4" s="7"/>
    </row>
    <row r="5">
      <c r="B5" s="8" t="s">
        <v>4</v>
      </c>
      <c r="C5" s="8" t="s">
        <v>5</v>
      </c>
      <c r="D5" s="8" t="str">
        <f>IF($E$6="Weekly","Term (weeks)","Term (daily pmts)")</f>
        <v>Term (daily pmts)</v>
      </c>
      <c r="E5" s="8" t="s">
        <v>6</v>
      </c>
      <c r="F5" s="8" t="s">
        <v>7</v>
      </c>
      <c r="J5" s="8" t="s">
        <v>8</v>
      </c>
      <c r="K5" s="8" t="s">
        <v>9</v>
      </c>
      <c r="L5" s="8" t="s">
        <v>10</v>
      </c>
      <c r="M5" s="8" t="s">
        <v>11</v>
      </c>
    </row>
    <row r="6">
      <c r="B6" s="9"/>
      <c r="C6" s="10"/>
      <c r="D6" s="11"/>
      <c r="E6" s="100"/>
      <c r="F6" s="13">
        <v>0.05</v>
      </c>
      <c r="J6" s="14" t="s">
        <v>13</v>
      </c>
      <c r="K6" s="15" t="str">
        <f>IF(OR(D8="",C24=0),"",D8)</f>
        <v/>
      </c>
      <c r="L6" s="15" t="str">
        <f>IF(OR(D8="",C24=0),"",ROUND(D8*4/C24*100,2)/100*C24/4)</f>
        <v/>
      </c>
      <c r="M6" s="16" t="str">
        <f t="shared" ref="M6:M8" si="1">IF(OR(K6="",L6=""),"",L6-K6)</f>
        <v/>
      </c>
    </row>
    <row r="7"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J7" s="14" t="s">
        <v>20</v>
      </c>
      <c r="K7" s="32" t="str">
        <f>IF(OR(D8="",C24=0),"",E8/C24)</f>
        <v/>
      </c>
      <c r="L7" s="32" t="str">
        <f>IF(OR(D8="",C24=0),"",ROUND(D8*4/C24*100,2)/100)</f>
        <v/>
      </c>
      <c r="M7" s="18" t="str">
        <f t="shared" si="1"/>
        <v/>
      </c>
    </row>
    <row r="8">
      <c r="B8" s="19" t="str">
        <f>IF(OR(B6="",C6=""),"",B6*C6)</f>
        <v/>
      </c>
      <c r="C8" s="21" t="str">
        <f>IF(OR(B8="",D6="",D6=0),"",IF(E6="Weekly",(B8/D6)/5,B8/D6))</f>
        <v/>
      </c>
      <c r="D8" s="21" t="str">
        <f>IF(C8="","",C8*5)</f>
        <v/>
      </c>
      <c r="E8" s="19" t="str">
        <f>IF(C8="","",C8*21.655)</f>
        <v/>
      </c>
      <c r="F8" s="22" t="str">
        <f>IF(OR(D6="",D6=0),"",IF(E6="Weekly",D6,D6/5)/(21.655/5))</f>
        <v/>
      </c>
      <c r="G8" s="19" t="str">
        <f>IF(B6="","",B6-(B6*F6))</f>
        <v/>
      </c>
      <c r="J8" s="14" t="s">
        <v>21</v>
      </c>
      <c r="K8" s="23">
        <v>4.331</v>
      </c>
      <c r="L8" s="23">
        <v>4.0</v>
      </c>
      <c r="M8" s="24">
        <f t="shared" si="1"/>
        <v>-0.331</v>
      </c>
    </row>
    <row r="9">
      <c r="J9" s="4"/>
    </row>
    <row r="10">
      <c r="B10" s="5" t="s">
        <v>23</v>
      </c>
      <c r="C10" s="6"/>
      <c r="D10" s="6"/>
      <c r="E10" s="6"/>
      <c r="F10" s="6"/>
      <c r="G10" s="6"/>
      <c r="H10" s="7"/>
    </row>
    <row r="11"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</row>
    <row r="12">
      <c r="B12" s="38"/>
      <c r="C12" s="29"/>
      <c r="D12" s="42"/>
      <c r="E12" s="39"/>
      <c r="F12" s="39"/>
      <c r="G12" s="32" t="str">
        <f t="shared" ref="G12:G22" si="2">IF(OR(C12="",C13=""),"",(C12-C13)/C13)</f>
        <v/>
      </c>
    </row>
    <row r="13">
      <c r="B13" s="38"/>
      <c r="C13" s="42"/>
      <c r="D13" s="42"/>
      <c r="E13" s="39"/>
      <c r="F13" s="39"/>
      <c r="G13" s="32" t="str">
        <f t="shared" si="2"/>
        <v/>
      </c>
    </row>
    <row r="14">
      <c r="B14" s="38"/>
      <c r="C14" s="42"/>
      <c r="D14" s="42"/>
      <c r="E14" s="39"/>
      <c r="F14" s="39"/>
      <c r="G14" s="32" t="str">
        <f t="shared" si="2"/>
        <v/>
      </c>
    </row>
    <row r="15">
      <c r="B15" s="38"/>
      <c r="C15" s="42"/>
      <c r="D15" s="42"/>
      <c r="E15" s="39"/>
      <c r="F15" s="30"/>
      <c r="G15" s="32" t="str">
        <f t="shared" si="2"/>
        <v/>
      </c>
    </row>
    <row r="16">
      <c r="B16" s="38"/>
      <c r="C16" s="42"/>
      <c r="D16" s="42"/>
      <c r="E16" s="39"/>
      <c r="F16" s="39"/>
      <c r="G16" s="32" t="str">
        <f t="shared" si="2"/>
        <v/>
      </c>
    </row>
    <row r="17">
      <c r="B17" s="38"/>
      <c r="C17" s="42"/>
      <c r="D17" s="42"/>
      <c r="E17" s="39"/>
      <c r="F17" s="39"/>
      <c r="G17" s="32" t="str">
        <f t="shared" si="2"/>
        <v/>
      </c>
    </row>
    <row r="18">
      <c r="B18" s="38"/>
      <c r="C18" s="42"/>
      <c r="D18" s="42"/>
      <c r="E18" s="39"/>
      <c r="F18" s="39"/>
      <c r="G18" s="32" t="str">
        <f t="shared" si="2"/>
        <v/>
      </c>
    </row>
    <row r="19">
      <c r="B19" s="38"/>
      <c r="C19" s="42"/>
      <c r="D19" s="42"/>
      <c r="E19" s="39"/>
      <c r="F19" s="39"/>
      <c r="G19" s="32" t="str">
        <f t="shared" si="2"/>
        <v/>
      </c>
    </row>
    <row r="20">
      <c r="B20" s="38"/>
      <c r="C20" s="42"/>
      <c r="D20" s="42"/>
      <c r="E20" s="39"/>
      <c r="F20" s="39"/>
      <c r="G20" s="32" t="str">
        <f t="shared" si="2"/>
        <v/>
      </c>
    </row>
    <row r="21" ht="15.75" customHeight="1">
      <c r="B21" s="38"/>
      <c r="C21" s="42"/>
      <c r="D21" s="42"/>
      <c r="E21" s="39"/>
      <c r="F21" s="39"/>
      <c r="G21" s="32" t="str">
        <f t="shared" si="2"/>
        <v/>
      </c>
    </row>
    <row r="22" ht="15.75" customHeight="1">
      <c r="B22" s="38"/>
      <c r="C22" s="42"/>
      <c r="D22" s="42"/>
      <c r="E22" s="39"/>
      <c r="F22" s="39"/>
      <c r="G22" s="32" t="str">
        <f t="shared" si="2"/>
        <v/>
      </c>
    </row>
    <row r="23" ht="15.75" customHeight="1">
      <c r="B23" s="38"/>
      <c r="C23" s="42"/>
      <c r="D23" s="42"/>
      <c r="E23" s="39"/>
      <c r="F23" s="39"/>
      <c r="G23" s="44"/>
    </row>
    <row r="24" ht="15.75" customHeight="1">
      <c r="B24" s="45" t="s">
        <v>40</v>
      </c>
      <c r="C24" s="46">
        <f t="shared" ref="C24:D24" si="3">IF(COUNT(C12:C23)=0,0,AVERAGE(C12:C23))</f>
        <v>0</v>
      </c>
      <c r="D24" s="46">
        <f t="shared" si="3"/>
        <v>0</v>
      </c>
      <c r="E24" s="47">
        <f t="shared" ref="E24:F24" si="4">SUM(E12:E23)</f>
        <v>0</v>
      </c>
      <c r="F24" s="47">
        <f t="shared" si="4"/>
        <v>0</v>
      </c>
      <c r="G24" s="48" t="str">
        <f>IFERROR(AVERAGE(G12:G22),"")</f>
        <v/>
      </c>
    </row>
    <row r="25" ht="15.75" customHeight="1"/>
    <row r="26" ht="15.75" customHeight="1">
      <c r="B26" s="5" t="s">
        <v>41</v>
      </c>
      <c r="C26" s="6"/>
      <c r="D26" s="6"/>
      <c r="E26" s="6"/>
      <c r="F26" s="6"/>
      <c r="G26" s="6"/>
      <c r="H26" s="7"/>
    </row>
    <row r="27" ht="15.75" customHeight="1">
      <c r="B27" s="8" t="s">
        <v>42</v>
      </c>
      <c r="C27" s="8" t="s">
        <v>43</v>
      </c>
      <c r="D27" s="8" t="s">
        <v>44</v>
      </c>
      <c r="E27" s="8" t="s">
        <v>6</v>
      </c>
      <c r="F27" s="8" t="s">
        <v>45</v>
      </c>
    </row>
    <row r="28" ht="15.75" customHeight="1">
      <c r="B28" s="50"/>
      <c r="C28" s="42"/>
      <c r="D28" s="42"/>
      <c r="E28" s="38" t="s">
        <v>12</v>
      </c>
      <c r="F28" s="15" t="str">
        <f t="shared" ref="F28:F33" si="5">IF(D28="","",IF(E28="Daily",D28,IF(E28="Weekly",D28/5,D28/21.655)))</f>
        <v/>
      </c>
    </row>
    <row r="29" ht="15.75" customHeight="1">
      <c r="B29" s="50"/>
      <c r="C29" s="42"/>
      <c r="D29" s="42"/>
      <c r="E29" s="38" t="s">
        <v>12</v>
      </c>
      <c r="F29" s="15" t="str">
        <f t="shared" si="5"/>
        <v/>
      </c>
    </row>
    <row r="30" ht="15.75" customHeight="1">
      <c r="B30" s="50"/>
      <c r="C30" s="42"/>
      <c r="D30" s="42"/>
      <c r="E30" s="38" t="s">
        <v>12</v>
      </c>
      <c r="F30" s="15" t="str">
        <f t="shared" si="5"/>
        <v/>
      </c>
    </row>
    <row r="31" ht="15.75" customHeight="1">
      <c r="B31" s="50"/>
      <c r="C31" s="42"/>
      <c r="D31" s="42"/>
      <c r="E31" s="38" t="s">
        <v>12</v>
      </c>
      <c r="F31" s="15" t="str">
        <f t="shared" si="5"/>
        <v/>
      </c>
    </row>
    <row r="32" ht="15.75" customHeight="1">
      <c r="B32" s="50"/>
      <c r="C32" s="42"/>
      <c r="D32" s="42"/>
      <c r="E32" s="38" t="s">
        <v>12</v>
      </c>
      <c r="F32" s="15" t="str">
        <f t="shared" si="5"/>
        <v/>
      </c>
    </row>
    <row r="33" ht="15.75" customHeight="1">
      <c r="B33" s="50"/>
      <c r="C33" s="42"/>
      <c r="D33" s="42"/>
      <c r="E33" s="38" t="s">
        <v>12</v>
      </c>
      <c r="F33" s="15" t="str">
        <f t="shared" si="5"/>
        <v/>
      </c>
    </row>
    <row r="34" ht="15.75" customHeight="1">
      <c r="B34" s="55" t="s">
        <v>50</v>
      </c>
      <c r="C34" s="47">
        <f>SUMPRODUCT((D28:D33&lt;&gt;"")*(E28:E33&lt;&gt;"Monthly"))</f>
        <v>0</v>
      </c>
      <c r="D34" s="55" t="s">
        <v>51</v>
      </c>
      <c r="E34" s="56">
        <f>SUM(F28:F33)</f>
        <v>0</v>
      </c>
      <c r="F34" s="46">
        <f>E34*21.655</f>
        <v>0</v>
      </c>
      <c r="G34" s="4" t="s">
        <v>52</v>
      </c>
    </row>
    <row r="35" ht="15.75" customHeight="1"/>
    <row r="36" ht="15.75" customHeight="1">
      <c r="B36" s="5" t="s">
        <v>53</v>
      </c>
      <c r="C36" s="6"/>
      <c r="D36" s="6"/>
      <c r="E36" s="6"/>
      <c r="F36" s="6"/>
      <c r="G36" s="6"/>
      <c r="H36" s="7"/>
    </row>
    <row r="37" ht="15.75" customHeight="1">
      <c r="B37" s="8" t="s">
        <v>8</v>
      </c>
      <c r="C37" s="8" t="s">
        <v>54</v>
      </c>
      <c r="D37" s="8" t="s">
        <v>55</v>
      </c>
      <c r="E37" s="8" t="s">
        <v>56</v>
      </c>
      <c r="F37" s="8" t="s">
        <v>57</v>
      </c>
      <c r="G37" s="8" t="s">
        <v>58</v>
      </c>
    </row>
    <row r="38" ht="15.75" customHeight="1">
      <c r="B38" s="14" t="s">
        <v>59</v>
      </c>
      <c r="C38" s="18" t="str">
        <f>IF(OR(C24=0,C8=""),"",(E34+C8)*21.655/C24)</f>
        <v/>
      </c>
      <c r="D38" s="59">
        <v>0.3</v>
      </c>
      <c r="E38" s="59">
        <v>0.45</v>
      </c>
      <c r="F38" s="60" t="str">
        <f t="shared" ref="F38:F42" si="6">IF(C38="","",IF(C38&gt;=G38,"KNOCKOUT",IF(C38&lt;=D38,"GREEN",IF(C38&gt;=E38,"RED","YELLOW"))))</f>
        <v/>
      </c>
      <c r="G38" s="61">
        <v>0.55</v>
      </c>
    </row>
    <row r="39" ht="15.75" customHeight="1">
      <c r="B39" s="14" t="s">
        <v>60</v>
      </c>
      <c r="C39" s="18" t="str">
        <f>IF(OR(C24=0,E8=""),"",E8/C24)</f>
        <v/>
      </c>
      <c r="D39" s="59">
        <v>0.18</v>
      </c>
      <c r="E39" s="59">
        <v>0.25</v>
      </c>
      <c r="F39" s="60" t="str">
        <f t="shared" si="6"/>
        <v/>
      </c>
      <c r="G39" s="59">
        <v>0.35</v>
      </c>
    </row>
    <row r="40" ht="15.75" customHeight="1">
      <c r="B40" s="14" t="s">
        <v>61</v>
      </c>
      <c r="C40" s="18" t="str">
        <f>IF(OR(D24=0,C8=""),"",(E34+C8)/D24)</f>
        <v/>
      </c>
      <c r="D40" s="59">
        <v>0.45</v>
      </c>
      <c r="E40" s="59">
        <v>0.75</v>
      </c>
      <c r="F40" s="60" t="str">
        <f t="shared" si="6"/>
        <v/>
      </c>
      <c r="G40" s="59">
        <v>1.0</v>
      </c>
    </row>
    <row r="41" ht="15.75" customHeight="1">
      <c r="B41" s="14" t="s">
        <v>62</v>
      </c>
      <c r="C41" s="62" t="str">
        <f>IF(OR(C24=0,B6=""),"",B6/C24)</f>
        <v/>
      </c>
      <c r="D41" s="86">
        <v>0.75</v>
      </c>
      <c r="E41" s="86">
        <v>1.25</v>
      </c>
      <c r="F41" s="60" t="str">
        <f t="shared" si="6"/>
        <v/>
      </c>
      <c r="G41" s="63">
        <v>1.5</v>
      </c>
    </row>
    <row r="42" ht="15.75" customHeight="1">
      <c r="B42" s="14" t="s">
        <v>63</v>
      </c>
      <c r="C42" s="64" t="str">
        <f>IF(C24=0,"",C34+1)</f>
        <v/>
      </c>
      <c r="D42" s="39">
        <v>2.0</v>
      </c>
      <c r="E42" s="39">
        <v>5.0</v>
      </c>
      <c r="F42" s="60" t="str">
        <f t="shared" si="6"/>
        <v/>
      </c>
      <c r="G42" s="39">
        <v>6.0</v>
      </c>
    </row>
    <row r="43" ht="15.75" customHeight="1">
      <c r="B43" s="14" t="s">
        <v>64</v>
      </c>
      <c r="C43" s="18" t="str">
        <f>G24</f>
        <v/>
      </c>
      <c r="D43" s="59">
        <v>-0.05</v>
      </c>
      <c r="E43" s="59">
        <v>-0.15</v>
      </c>
      <c r="F43" s="60" t="str">
        <f>IF(C24=0,"",IF(NOT(ISNUMBER(C43)),"YELLOW",IF(C43&lt;=G43,"KNOCKOUT",IF(C43&gt;=D43,"GREEN",IF(C43&lt;=E43,"RED","YELLOW")))))</f>
        <v/>
      </c>
      <c r="G43" s="59">
        <v>-0.3</v>
      </c>
    </row>
    <row r="44" ht="15.75" customHeight="1">
      <c r="B44" s="14" t="s">
        <v>65</v>
      </c>
      <c r="C44" s="64" t="str">
        <f>IF(E24+C24=0,"",E24+C24)</f>
        <v/>
      </c>
      <c r="D44" s="39">
        <v>1.0</v>
      </c>
      <c r="E44" s="39">
        <v>4.0</v>
      </c>
      <c r="F44" s="60" t="str">
        <f>IF(C44="","",IF(C44&gt;=G44,"KNOCKOUT",IF(C44&lt;=D44,"GREEN",IF(C44&gt;=E44,"RED","YELLOW"))))</f>
        <v/>
      </c>
      <c r="G44" s="39">
        <v>8.0</v>
      </c>
    </row>
    <row r="45" ht="15.75" customHeight="1">
      <c r="B45" s="14" t="s">
        <v>66</v>
      </c>
      <c r="C45" s="18" t="str">
        <f>IF(C24=0,"",F34/C24)</f>
        <v/>
      </c>
      <c r="D45" s="66" t="s">
        <v>67</v>
      </c>
      <c r="E45" s="66" t="s">
        <v>67</v>
      </c>
      <c r="F45" s="67" t="s">
        <v>68</v>
      </c>
    </row>
    <row r="46" ht="15.75" customHeight="1">
      <c r="B46" s="14" t="s">
        <v>69</v>
      </c>
      <c r="C46" s="18" t="str">
        <f>IF(C24=0,"",D24/C24)</f>
        <v/>
      </c>
      <c r="D46" s="66" t="s">
        <v>67</v>
      </c>
      <c r="E46" s="66" t="s">
        <v>67</v>
      </c>
      <c r="F46" s="67" t="s">
        <v>68</v>
      </c>
    </row>
    <row r="47" ht="15.75" customHeight="1"/>
    <row r="48" ht="15.75" customHeight="1">
      <c r="B48" s="5" t="s">
        <v>70</v>
      </c>
      <c r="C48" s="6"/>
      <c r="D48" s="6"/>
      <c r="E48" s="6"/>
      <c r="F48" s="6"/>
      <c r="G48" s="6"/>
      <c r="H48" s="7"/>
    </row>
    <row r="49" ht="15.75" customHeight="1">
      <c r="B49" s="68" t="s">
        <v>71</v>
      </c>
      <c r="C49" s="69">
        <f>COUNTIF(F38:F44,"RED")+COUNTIF(F38:F44,"KNOCKOUT")</f>
        <v>0</v>
      </c>
      <c r="D49" s="68" t="s">
        <v>72</v>
      </c>
      <c r="E49" s="69">
        <f>COUNTIF(F38:F44,"KNOCKOUT")</f>
        <v>0</v>
      </c>
    </row>
    <row r="50" ht="15.75" customHeight="1">
      <c r="B50" s="70" t="s">
        <v>73</v>
      </c>
      <c r="C50" s="71">
        <v>2.0</v>
      </c>
    </row>
    <row r="51" ht="15.75" customHeight="1">
      <c r="B51" s="68" t="s">
        <v>1</v>
      </c>
      <c r="C51" s="3" t="str">
        <f>IF(OR(C24=0,B6="",B6=0),"",IF(OR(E49&gt;0,C49&gt;=C50),"DECLINE",IF(COUNTIF(F38:F44,"GREEN")=7,"APPROVE","CONDITIONAL")))</f>
        <v/>
      </c>
      <c r="D51" s="4" t="str">
        <f t="array" ref="D51">IF(C51="DECLINE",IF(E49&gt;0,"KNOCKOUT: "&amp;INDEX(B38:B44,MATCH("KNOCKOUT",F38:F44,0))&amp;" is past its knockout line.","Red flags reached the threshold."),IF(C51="APPROVE","All 7 decision metrics green.",IF(C51="","Enter offer + bank data.","Fundable but not clean - review yellows/reds above.")))</f>
        <v>Enter offer + bank data.</v>
      </c>
    </row>
    <row r="52" ht="15.75" customHeight="1"/>
    <row r="53" ht="15.75" customHeight="1">
      <c r="B53" s="5" t="s">
        <v>75</v>
      </c>
      <c r="C53" s="6"/>
      <c r="D53" s="6"/>
      <c r="E53" s="6"/>
      <c r="F53" s="6"/>
      <c r="G53" s="6"/>
      <c r="H53" s="7"/>
    </row>
    <row r="54" ht="15.75" customHeight="1">
      <c r="B54" s="70" t="s">
        <v>76</v>
      </c>
      <c r="C54" s="74">
        <f>COUNTIF(F38:F44,"GREEN")+0.5*COUNTIF(F38:F44,"YELLOW")</f>
        <v>0</v>
      </c>
      <c r="D54" s="4" t="s">
        <v>77</v>
      </c>
    </row>
    <row r="55" ht="15.75" customHeight="1">
      <c r="B55" s="70" t="s">
        <v>78</v>
      </c>
      <c r="C55" s="60" t="str">
        <f>IF(C24=0,"",IF(C54&gt;=6.5,"Strong",IF(C54&gt;=5,"Solid",IF(C54&gt;=3.5,"Moderate","Weak"))))</f>
        <v/>
      </c>
    </row>
    <row r="56" ht="15.75" customHeight="1">
      <c r="B56" s="70" t="s">
        <v>79</v>
      </c>
      <c r="C56" s="15" t="str">
        <f>IF(C24=0,"",D39*C24/21.655)</f>
        <v/>
      </c>
    </row>
    <row r="57" ht="15.75" customHeight="1">
      <c r="B57" s="70" t="s">
        <v>80</v>
      </c>
      <c r="C57" s="15" t="str">
        <f>IF(C24=0,"",(D38*C24-F34)/21.655)</f>
        <v/>
      </c>
    </row>
    <row r="58" ht="15.75" customHeight="1">
      <c r="B58" s="70" t="s">
        <v>81</v>
      </c>
      <c r="C58" s="15" t="str">
        <f>IF(OR(C24=0,D24=0),"",D40*D24-E34)</f>
        <v/>
      </c>
    </row>
    <row r="59" ht="15.75" customHeight="1">
      <c r="B59" s="68" t="s">
        <v>82</v>
      </c>
      <c r="C59" s="21" t="str">
        <f>IF(C24=0,"",MAX(0,MIN(C56:C58)))</f>
        <v/>
      </c>
      <c r="D59" s="4" t="str">
        <f t="array" ref="D59">IF(C59="","",IF(C59=0,"no clean room - existing debt is over a green line",INDEX({"SP% holdback";"Total LVG";"Daily/Balance"},MATCH(C59,C56:C58,0))&amp;" is the limit"))</f>
        <v/>
      </c>
    </row>
    <row r="60" ht="15.75" customHeight="1">
      <c r="B60" s="70" t="s">
        <v>83</v>
      </c>
      <c r="C60" s="15" t="str">
        <f>IF(OR(C59="",C59=0),"",C59*5)</f>
        <v/>
      </c>
      <c r="D60" s="75" t="str">
        <f>IF(OR(C59="",C59=0),"",C59*21.655)</f>
        <v/>
      </c>
    </row>
    <row r="61" ht="15.75" customHeight="1">
      <c r="B61" s="70" t="s">
        <v>84</v>
      </c>
      <c r="C61" s="76">
        <v>130.0</v>
      </c>
      <c r="D61" s="77">
        <v>1.45</v>
      </c>
    </row>
    <row r="62" ht="15.75" customHeight="1">
      <c r="B62" s="68" t="s">
        <v>85</v>
      </c>
      <c r="C62" s="78" t="str">
        <f>IF(COUNTIF(F42:F44,"KNOCKOUT")&gt;0,"-",IF(OR(C59="",C59=0,C61="",D61=""),"",FLOOR(C59*C61/D61,500)))</f>
        <v/>
      </c>
      <c r="D62" s="4" t="str">
        <f>IF(C62="-","KNOCKOUT on the merchant - do not fund.",IF(C62="","","payback "&amp;TEXT(C62*D61,"$#,##0")&amp;" over "&amp;C61&amp;" daily pmts ("&amp;TEXT(C61/5,"0")&amp;" wks)"))</f>
        <v/>
      </c>
    </row>
    <row r="63" ht="15.75" customHeight="1">
      <c r="B63" s="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H48"/>
    <mergeCell ref="D51:H51"/>
    <mergeCell ref="B53:H53"/>
    <mergeCell ref="D59:H59"/>
    <mergeCell ref="D62:H62"/>
    <mergeCell ref="B63:H63"/>
    <mergeCell ref="D2:H2"/>
    <mergeCell ref="B4:H4"/>
    <mergeCell ref="J4:M4"/>
    <mergeCell ref="J9:M9"/>
    <mergeCell ref="B10:H10"/>
    <mergeCell ref="B26:H26"/>
    <mergeCell ref="B36:H36"/>
  </mergeCells>
  <conditionalFormatting sqref="F38:F44">
    <cfRule type="cellIs" dxfId="0" priority="1" operator="equal">
      <formula>"GREEN"</formula>
    </cfRule>
  </conditionalFormatting>
  <conditionalFormatting sqref="F38:F44">
    <cfRule type="cellIs" dxfId="1" priority="2" operator="equal">
      <formula>"YELLOW"</formula>
    </cfRule>
  </conditionalFormatting>
  <conditionalFormatting sqref="F38:F44">
    <cfRule type="cellIs" dxfId="2" priority="3" operator="equal">
      <formula>"RED"</formula>
    </cfRule>
  </conditionalFormatting>
  <conditionalFormatting sqref="F38:F44">
    <cfRule type="cellIs" dxfId="2" priority="4" operator="equal">
      <formula>"KNOCKOUT"</formula>
    </cfRule>
  </conditionalFormatting>
  <conditionalFormatting sqref="C2">
    <cfRule type="cellIs" dxfId="0" priority="5" operator="equal">
      <formula>"APPROVE"</formula>
    </cfRule>
  </conditionalFormatting>
  <conditionalFormatting sqref="C2">
    <cfRule type="cellIs" dxfId="1" priority="6" operator="equal">
      <formula>"CONDITIONAL"</formula>
    </cfRule>
  </conditionalFormatting>
  <conditionalFormatting sqref="C2">
    <cfRule type="cellIs" dxfId="2" priority="7" operator="equal">
      <formula>"DECLINE"</formula>
    </cfRule>
  </conditionalFormatting>
  <conditionalFormatting sqref="C51">
    <cfRule type="cellIs" dxfId="0" priority="8" operator="equal">
      <formula>"APPROVE"</formula>
    </cfRule>
  </conditionalFormatting>
  <conditionalFormatting sqref="C51">
    <cfRule type="cellIs" dxfId="1" priority="9" operator="equal">
      <formula>"CONDITIONAL"</formula>
    </cfRule>
  </conditionalFormatting>
  <conditionalFormatting sqref="C51">
    <cfRule type="cellIs" dxfId="2" priority="10" operator="equal">
      <formula>"DECLINE"</formula>
    </cfRule>
  </conditionalFormatting>
  <dataValidations>
    <dataValidation type="list" allowBlank="1" sqref="E28:E33">
      <formula1>"Weekly,Daily,Monthly"</formula1>
    </dataValidation>
    <dataValidation type="list" allowBlank="1" sqref="B12:B23">
      <formula1>"Jan,Feb,Mar,Apr,May,Jun,Jul,Aug,Sep,Oct,Nov,Dec"</formula1>
    </dataValidation>
    <dataValidation type="list" allowBlank="1" sqref="E6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9.29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15" width="8.71"/>
    <col customWidth="1" min="16" max="16" width="26.0"/>
    <col customWidth="1" min="17" max="19" width="12.0"/>
    <col customWidth="1" min="20" max="20" width="11.0"/>
    <col customWidth="1" min="21" max="21" width="7.0"/>
    <col customWidth="1" min="22" max="22" width="24.71"/>
    <col customWidth="1" min="23" max="24" width="20.0"/>
    <col customWidth="1" min="25" max="25" width="52.14"/>
    <col customWidth="1" min="26" max="26" width="7.0"/>
  </cols>
  <sheetData>
    <row r="1">
      <c r="A1" s="101"/>
      <c r="B1" s="102" t="s">
        <v>108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101"/>
      <c r="B2" s="103" t="s">
        <v>109</v>
      </c>
      <c r="C2" s="104" t="str">
        <f>IF(C9=0,"",IF(OR(K35,K33&gt;=3),"DECLINE",IF(K34=5,"FUND","CONDITIONAL")))</f>
        <v>CONDITIONAL</v>
      </c>
      <c r="D2" s="105"/>
      <c r="E2" s="106"/>
      <c r="J2" s="101"/>
      <c r="K2" s="101"/>
      <c r="L2" s="101"/>
      <c r="M2" s="106" t="s">
        <v>110</v>
      </c>
      <c r="N2" s="107">
        <f>COUNT(F13:F19)</f>
        <v>1</v>
      </c>
      <c r="O2" s="101"/>
      <c r="P2" s="108" t="s">
        <v>111</v>
      </c>
      <c r="Q2" s="6"/>
      <c r="R2" s="6"/>
      <c r="S2" s="6"/>
      <c r="T2" s="7"/>
      <c r="U2" s="101"/>
      <c r="V2" s="109" t="s">
        <v>3</v>
      </c>
      <c r="Z2" s="101"/>
    </row>
    <row r="3">
      <c r="A3" s="101"/>
      <c r="B3" s="110" t="s">
        <v>112</v>
      </c>
      <c r="C3" s="6"/>
      <c r="D3" s="6"/>
      <c r="E3" s="6"/>
      <c r="F3" s="6"/>
      <c r="G3" s="6"/>
      <c r="H3" s="6"/>
      <c r="I3" s="7"/>
      <c r="J3" s="101"/>
      <c r="K3" s="101"/>
      <c r="L3" s="101"/>
      <c r="M3" s="106" t="s">
        <v>113</v>
      </c>
      <c r="N3" s="111">
        <f>N2+1</f>
        <v>2</v>
      </c>
      <c r="O3" s="101"/>
      <c r="P3" s="101"/>
      <c r="Q3" s="101"/>
      <c r="R3" s="101"/>
      <c r="S3" s="101"/>
      <c r="T3" s="101"/>
      <c r="U3" s="101"/>
      <c r="V3" s="112"/>
      <c r="Z3" s="101"/>
    </row>
    <row r="4">
      <c r="A4" s="101"/>
      <c r="B4" s="113" t="s">
        <v>4</v>
      </c>
      <c r="C4" s="113" t="s">
        <v>5</v>
      </c>
      <c r="D4" s="113" t="s">
        <v>114</v>
      </c>
      <c r="E4" s="113" t="s">
        <v>6</v>
      </c>
      <c r="F4" s="113" t="s">
        <v>7</v>
      </c>
      <c r="G4" s="113" t="s">
        <v>14</v>
      </c>
      <c r="H4" s="113" t="s">
        <v>115</v>
      </c>
      <c r="I4" s="113" t="s">
        <v>116</v>
      </c>
      <c r="J4" s="101"/>
      <c r="K4" s="101"/>
      <c r="L4" s="101"/>
      <c r="M4" s="106" t="s">
        <v>117</v>
      </c>
      <c r="N4" s="114">
        <f>IF(C9=0,0,F20*21.655/C9)</f>
        <v>0.05948276644</v>
      </c>
      <c r="O4" s="101"/>
      <c r="P4" s="106"/>
      <c r="U4" s="101"/>
      <c r="V4" s="115" t="s">
        <v>8</v>
      </c>
      <c r="W4" s="115" t="s">
        <v>9</v>
      </c>
      <c r="X4" s="115" t="s">
        <v>10</v>
      </c>
      <c r="Y4" s="115" t="s">
        <v>118</v>
      </c>
      <c r="Z4" s="101"/>
    </row>
    <row r="5">
      <c r="A5" s="101"/>
      <c r="B5" s="116">
        <v>10000.0</v>
      </c>
      <c r="C5" s="117">
        <v>1.0</v>
      </c>
      <c r="D5" s="118">
        <v>10.0</v>
      </c>
      <c r="E5" s="119" t="s">
        <v>87</v>
      </c>
      <c r="F5" s="120">
        <v>0.05</v>
      </c>
      <c r="G5" s="122">
        <f>IF(OR(B5="",C5=""),"",B5*C5)</f>
        <v>10000</v>
      </c>
      <c r="H5" s="122">
        <f>IF(OR(D5="",D5=0),"",IF(E5="Weekly",(G5/D5)*5,G5/D5))</f>
        <v>1000</v>
      </c>
      <c r="I5" s="122">
        <f>IF(B5="","",B5-(B5*F5))</f>
        <v>9500</v>
      </c>
      <c r="J5" s="101"/>
      <c r="K5" s="101"/>
      <c r="L5" s="101"/>
      <c r="M5" s="125" t="s">
        <v>119</v>
      </c>
      <c r="N5" s="114">
        <f>IF(C9=0,0,F9/C9)</f>
        <v>0.1328376315</v>
      </c>
      <c r="O5" s="101"/>
      <c r="P5" s="113" t="s">
        <v>120</v>
      </c>
      <c r="Q5" s="113" t="s">
        <v>54</v>
      </c>
      <c r="R5" s="113" t="s">
        <v>121</v>
      </c>
      <c r="S5" s="113" t="s">
        <v>122</v>
      </c>
      <c r="T5" s="113" t="s">
        <v>123</v>
      </c>
      <c r="U5" s="101"/>
      <c r="V5" s="126" t="s">
        <v>13</v>
      </c>
      <c r="W5" s="129" t="str">
        <f>IF(OR(E5&lt;&gt;"Weekly",E6="",C9=0,D5=""),"",E6)</f>
        <v/>
      </c>
      <c r="X5" s="129" t="str">
        <f>IF(OR(E5&lt;&gt;"Weekly",E6="",C9=0,D5=""),"",ROUND(E6*4/C9*100,2)/100*C9/4)</f>
        <v/>
      </c>
      <c r="Y5" s="135" t="str">
        <f t="shared" ref="Y5:Y7" si="1">IF(OR(W5="",X5=""),"",X5-W5)</f>
        <v/>
      </c>
      <c r="Z5" s="101"/>
    </row>
    <row r="6">
      <c r="A6" s="101"/>
      <c r="B6" s="136" t="s">
        <v>15</v>
      </c>
      <c r="C6" s="138">
        <f>G5/D5</f>
        <v>1000</v>
      </c>
      <c r="D6" s="139" t="s">
        <v>16</v>
      </c>
      <c r="E6" s="140">
        <f>G5/D5*5</f>
        <v>5000</v>
      </c>
      <c r="F6" s="139" t="s">
        <v>124</v>
      </c>
      <c r="G6" s="142">
        <f>IF(H5="","",H5*21.655)</f>
        <v>21655</v>
      </c>
      <c r="H6" s="139" t="s">
        <v>18</v>
      </c>
      <c r="I6" s="145">
        <f>IF(OR(D5="",D5=0),"",IF(E5="Weekly",D5,D5/5)/(21.655/5))</f>
        <v>0.4617871161</v>
      </c>
      <c r="J6" s="101"/>
      <c r="K6" s="101"/>
      <c r="L6" s="101"/>
      <c r="M6" s="106" t="s">
        <v>126</v>
      </c>
      <c r="N6" s="114">
        <f>IFERROR(AVERAGE(E41:E43),"na")</f>
        <v>0</v>
      </c>
      <c r="O6" s="101"/>
      <c r="P6" s="147" t="s">
        <v>127</v>
      </c>
      <c r="Q6" s="148">
        <f t="shared" ref="Q6:Q9" si="2">N3</f>
        <v>2</v>
      </c>
      <c r="R6" s="150">
        <v>2.0</v>
      </c>
      <c r="S6" s="150">
        <v>5.0</v>
      </c>
      <c r="T6" s="152" t="str">
        <f t="shared" ref="T6:T7" si="3">IF(NOT(ISNUMBER(Q6)),"YELLOW",IF(Q6&lt;=R6,"GREEN",IF(Q6&gt;=S6,"RED","YELLOW")))</f>
        <v>GREEN</v>
      </c>
      <c r="U6" s="101"/>
      <c r="V6" s="126" t="s">
        <v>20</v>
      </c>
      <c r="W6" s="154" t="str">
        <f>IF(OR(E5&lt;&gt;"Weekly",E6="",C9=0,D5=""),"",D35)</f>
        <v/>
      </c>
      <c r="X6" s="154" t="str">
        <f>IF(OR(E5&lt;&gt;"Weekly",E6="",C9=0,D5=""),"",ROUND(E6*4/C9*100,2)/100)</f>
        <v/>
      </c>
      <c r="Y6" s="155" t="str">
        <f t="shared" si="1"/>
        <v/>
      </c>
      <c r="Z6" s="101"/>
    </row>
    <row r="7">
      <c r="A7" s="101"/>
      <c r="B7" s="101"/>
      <c r="C7" s="156"/>
      <c r="D7" s="101"/>
      <c r="E7" s="101"/>
      <c r="F7" s="101"/>
      <c r="G7" s="156"/>
      <c r="H7" s="101"/>
      <c r="I7" s="101"/>
      <c r="J7" s="101"/>
      <c r="K7" s="101"/>
      <c r="L7" s="101"/>
      <c r="M7" s="101"/>
      <c r="N7" s="101"/>
      <c r="O7" s="101"/>
      <c r="P7" s="147" t="s">
        <v>135</v>
      </c>
      <c r="Q7" s="157">
        <f t="shared" si="2"/>
        <v>0.05948276644</v>
      </c>
      <c r="R7" s="158">
        <v>0.3</v>
      </c>
      <c r="S7" s="158">
        <v>0.45</v>
      </c>
      <c r="T7" s="152" t="str">
        <f t="shared" si="3"/>
        <v>GREEN</v>
      </c>
      <c r="U7" s="101"/>
      <c r="V7" s="126" t="s">
        <v>138</v>
      </c>
      <c r="W7" s="161" t="str">
        <f>IF(OR(E5&lt;&gt;"Weekly",E6="",C9=0,D5=""),"",21.655/5)</f>
        <v/>
      </c>
      <c r="X7" s="161" t="str">
        <f>IF(OR(E5&lt;&gt;"Weekly",E6="",C9=0,D5=""),"",4)</f>
        <v/>
      </c>
      <c r="Y7" s="164" t="str">
        <f t="shared" si="1"/>
        <v/>
      </c>
      <c r="Z7" s="101"/>
    </row>
    <row r="8">
      <c r="A8" s="101"/>
      <c r="B8" s="110" t="s">
        <v>129</v>
      </c>
      <c r="C8" s="6"/>
      <c r="D8" s="6"/>
      <c r="E8" s="6"/>
      <c r="F8" s="6"/>
      <c r="G8" s="6"/>
      <c r="H8" s="6"/>
      <c r="I8" s="7"/>
      <c r="J8" s="101"/>
      <c r="K8" s="101"/>
      <c r="L8" s="101"/>
      <c r="M8" s="101"/>
      <c r="N8" s="101"/>
      <c r="O8" s="101"/>
      <c r="P8" s="147" t="s">
        <v>141</v>
      </c>
      <c r="Q8" s="157">
        <f t="shared" si="2"/>
        <v>0.1328376315</v>
      </c>
      <c r="R8" s="167">
        <v>0.15</v>
      </c>
      <c r="S8" s="167">
        <v>0.08</v>
      </c>
      <c r="T8" s="152" t="str">
        <f t="shared" ref="T8:T9" si="4">IF(NOT(ISNUMBER(Q8)),"YELLOW",IF(Q8&gt;=R8,"GREEN",IF(Q8&lt;=S8,"RED","YELLOW")))</f>
        <v>YELLOW</v>
      </c>
      <c r="U8" s="101"/>
      <c r="V8" s="101"/>
      <c r="W8" s="101"/>
      <c r="X8" s="101"/>
      <c r="Y8" s="101"/>
      <c r="Z8" s="101"/>
    </row>
    <row r="9">
      <c r="A9" s="101"/>
      <c r="B9" s="136" t="s">
        <v>143</v>
      </c>
      <c r="C9" s="169">
        <f>C46</f>
        <v>171638.11</v>
      </c>
      <c r="D9" s="156"/>
      <c r="E9" s="136" t="s">
        <v>144</v>
      </c>
      <c r="F9" s="169">
        <f>D46</f>
        <v>22800</v>
      </c>
      <c r="G9" s="156"/>
      <c r="H9" s="101"/>
      <c r="I9" s="101"/>
      <c r="J9" s="101"/>
      <c r="K9" s="101"/>
      <c r="L9" s="101"/>
      <c r="M9" s="101"/>
      <c r="N9" s="101"/>
      <c r="O9" s="101"/>
      <c r="P9" s="147" t="s">
        <v>64</v>
      </c>
      <c r="Q9" s="157">
        <f t="shared" si="2"/>
        <v>0</v>
      </c>
      <c r="R9" s="167">
        <v>-0.05</v>
      </c>
      <c r="S9" s="167">
        <v>-0.15</v>
      </c>
      <c r="T9" s="152" t="str">
        <f t="shared" si="4"/>
        <v>GREEN</v>
      </c>
      <c r="U9" s="101"/>
      <c r="V9" s="159"/>
      <c r="W9" s="101"/>
      <c r="X9" s="101"/>
      <c r="Y9" s="101"/>
      <c r="Z9" s="101"/>
    </row>
    <row r="10">
      <c r="A10" s="101"/>
      <c r="B10" s="106"/>
      <c r="J10" s="101"/>
      <c r="K10" s="101"/>
      <c r="L10" s="101"/>
      <c r="M10" s="101"/>
      <c r="N10" s="101"/>
      <c r="O10" s="101"/>
      <c r="P10" s="170" t="s">
        <v>146</v>
      </c>
      <c r="Q10" s="171"/>
      <c r="R10" s="171"/>
      <c r="S10" s="105"/>
      <c r="T10" s="172">
        <f>N11</f>
        <v>3.5</v>
      </c>
      <c r="U10" s="101"/>
      <c r="V10" s="173"/>
      <c r="Z10" s="101"/>
    </row>
    <row r="11">
      <c r="A11" s="101"/>
      <c r="B11" s="110" t="s">
        <v>136</v>
      </c>
      <c r="C11" s="6"/>
      <c r="D11" s="6"/>
      <c r="E11" s="6"/>
      <c r="F11" s="6"/>
      <c r="G11" s="6"/>
      <c r="H11" s="6"/>
      <c r="I11" s="7"/>
      <c r="J11" s="101"/>
      <c r="K11" s="101"/>
      <c r="L11" s="101"/>
      <c r="M11" s="175" t="s">
        <v>149</v>
      </c>
      <c r="N11" s="176">
        <f>COUNTIF($T$6:$T$9,"GREEN")+0.5*COUNTIF($T$6:$T$9,"YELLOW")</f>
        <v>3.5</v>
      </c>
      <c r="O11" s="101"/>
      <c r="P11" s="101"/>
      <c r="Q11" s="101"/>
      <c r="R11" s="101"/>
      <c r="S11" s="101"/>
      <c r="T11" s="101"/>
      <c r="U11" s="101"/>
      <c r="V11" s="173"/>
      <c r="Z11" s="101"/>
    </row>
    <row r="12">
      <c r="A12" s="101"/>
      <c r="B12" s="113" t="s">
        <v>42</v>
      </c>
      <c r="C12" s="113" t="s">
        <v>43</v>
      </c>
      <c r="D12" s="113" t="s">
        <v>44</v>
      </c>
      <c r="E12" s="113" t="s">
        <v>6</v>
      </c>
      <c r="F12" s="113" t="s">
        <v>45</v>
      </c>
      <c r="G12" s="113" t="s">
        <v>139</v>
      </c>
      <c r="H12" s="101"/>
      <c r="I12" s="101"/>
      <c r="J12" s="101"/>
      <c r="K12" s="101"/>
      <c r="L12" s="101"/>
      <c r="M12" s="106" t="s">
        <v>140</v>
      </c>
      <c r="N12" s="198" t="str">
        <f t="array" ref="N12">INDEX($Q$14:$Q$18,MATCH(N11,$P$14:$P$18,1))</f>
        <v>Solid</v>
      </c>
      <c r="O12" s="101"/>
      <c r="P12" s="199" t="s">
        <v>190</v>
      </c>
      <c r="U12" s="101"/>
      <c r="V12" s="173"/>
      <c r="Z12" s="101"/>
    </row>
    <row r="13">
      <c r="A13" s="101"/>
      <c r="B13" s="147"/>
      <c r="C13" s="163">
        <v>50000.0</v>
      </c>
      <c r="D13" s="163">
        <v>2357.31</v>
      </c>
      <c r="E13" s="165" t="s">
        <v>12</v>
      </c>
      <c r="F13" s="166">
        <f t="shared" ref="F13:F19" si="5">IF(D13="","",IF(E13="Daily",D13,IF(E13="Weekly",D13/5,D13/21.655)))</f>
        <v>471.462</v>
      </c>
      <c r="G13" s="168">
        <f>IF(OR(C13="",F13="",F13=0,E13="Monthly"),"",C13*1.4/F13/21.655)</f>
        <v>6.856352819</v>
      </c>
      <c r="H13" s="156"/>
      <c r="I13" s="101"/>
      <c r="J13" s="101"/>
      <c r="K13" s="101"/>
      <c r="L13" s="101"/>
      <c r="M13" s="106" t="s">
        <v>142</v>
      </c>
      <c r="N13" s="200">
        <f t="array" ref="N13">INDEX($R$14:$R$18,MATCH(N11,$P$14:$P$18,1))</f>
        <v>140</v>
      </c>
      <c r="O13" s="101"/>
      <c r="P13" s="113" t="s">
        <v>33</v>
      </c>
      <c r="Q13" s="113" t="s">
        <v>78</v>
      </c>
      <c r="R13" s="113" t="s">
        <v>114</v>
      </c>
      <c r="S13" s="113" t="s">
        <v>5</v>
      </c>
      <c r="T13" s="113" t="s">
        <v>6</v>
      </c>
      <c r="U13" s="101"/>
      <c r="V13" s="101"/>
      <c r="W13" s="101"/>
      <c r="X13" s="101"/>
      <c r="Y13" s="101"/>
      <c r="Z13" s="101"/>
    </row>
    <row r="14">
      <c r="A14" s="101"/>
      <c r="B14" s="147"/>
      <c r="C14" s="162"/>
      <c r="D14" s="163"/>
      <c r="E14" s="177"/>
      <c r="F14" s="166" t="str">
        <f t="shared" si="5"/>
        <v/>
      </c>
      <c r="G14" s="168" t="str">
        <f t="shared" ref="G14:G19" si="6">IF(OR(C14="",F14="",F14=0),"",C14*1.4/F14/21.655)</f>
        <v/>
      </c>
      <c r="H14" s="101"/>
      <c r="I14" s="101"/>
      <c r="J14" s="101"/>
      <c r="K14" s="101"/>
      <c r="L14" s="101"/>
      <c r="M14" s="106" t="s">
        <v>145</v>
      </c>
      <c r="N14" s="198">
        <f>IF(N13=0,"",N13/5)</f>
        <v>28</v>
      </c>
      <c r="O14" s="101"/>
      <c r="P14" s="201">
        <v>0.0</v>
      </c>
      <c r="Q14" s="177" t="s">
        <v>191</v>
      </c>
      <c r="R14" s="150">
        <v>0.0</v>
      </c>
      <c r="S14" s="202">
        <v>0.0</v>
      </c>
      <c r="T14" s="177" t="s">
        <v>67</v>
      </c>
      <c r="U14" s="101"/>
      <c r="V14" s="101"/>
      <c r="W14" s="101"/>
      <c r="X14" s="101"/>
      <c r="Y14" s="101"/>
      <c r="Z14" s="101"/>
    </row>
    <row r="15">
      <c r="A15" s="101"/>
      <c r="B15" s="147"/>
      <c r="C15" s="162"/>
      <c r="D15" s="162"/>
      <c r="E15" s="177"/>
      <c r="F15" s="166" t="str">
        <f t="shared" si="5"/>
        <v/>
      </c>
      <c r="G15" s="168" t="str">
        <f t="shared" si="6"/>
        <v/>
      </c>
      <c r="H15" s="101"/>
      <c r="I15" s="101"/>
      <c r="J15" s="101"/>
      <c r="K15" s="101"/>
      <c r="L15" s="101"/>
      <c r="M15" s="175" t="s">
        <v>192</v>
      </c>
      <c r="N15" s="176" t="b">
        <f>OR(N12="DECLINE",COUNTIF($T$6:$T$9,"RED")&gt;=$Q$21)</f>
        <v>0</v>
      </c>
      <c r="O15" s="101"/>
      <c r="P15" s="201">
        <v>1.5</v>
      </c>
      <c r="Q15" s="177" t="s">
        <v>193</v>
      </c>
      <c r="R15" s="150">
        <v>120.0</v>
      </c>
      <c r="S15" s="202">
        <v>1.49</v>
      </c>
      <c r="T15" s="177" t="s">
        <v>87</v>
      </c>
      <c r="U15" s="101"/>
      <c r="V15" s="101"/>
      <c r="W15" s="101"/>
      <c r="X15" s="101"/>
      <c r="Y15" s="101"/>
      <c r="Z15" s="101"/>
    </row>
    <row r="16">
      <c r="A16" s="101"/>
      <c r="B16" s="147"/>
      <c r="C16" s="162"/>
      <c r="D16" s="162"/>
      <c r="E16" s="177"/>
      <c r="F16" s="166" t="str">
        <f t="shared" si="5"/>
        <v/>
      </c>
      <c r="G16" s="168" t="str">
        <f t="shared" si="6"/>
        <v/>
      </c>
      <c r="H16" s="101"/>
      <c r="I16" s="101"/>
      <c r="J16" s="101"/>
      <c r="K16" s="101"/>
      <c r="L16" s="101"/>
      <c r="M16" s="106" t="s">
        <v>147</v>
      </c>
      <c r="N16" s="174">
        <f t="array" ref="N16">INDEX($S$14:$S$18,MATCH(N11,$P$14:$P$18,1))</f>
        <v>1.45</v>
      </c>
      <c r="O16" s="101"/>
      <c r="P16" s="201">
        <v>2.5</v>
      </c>
      <c r="Q16" s="177" t="s">
        <v>194</v>
      </c>
      <c r="R16" s="150">
        <v>130.0</v>
      </c>
      <c r="S16" s="202">
        <v>1.45</v>
      </c>
      <c r="T16" s="177" t="s">
        <v>12</v>
      </c>
      <c r="U16" s="101"/>
      <c r="V16" s="101"/>
      <c r="W16" s="101"/>
      <c r="X16" s="101"/>
      <c r="Y16" s="101"/>
      <c r="Z16" s="101"/>
    </row>
    <row r="17">
      <c r="A17" s="101"/>
      <c r="B17" s="147"/>
      <c r="C17" s="162"/>
      <c r="D17" s="162"/>
      <c r="E17" s="177"/>
      <c r="F17" s="166" t="str">
        <f t="shared" si="5"/>
        <v/>
      </c>
      <c r="G17" s="168" t="str">
        <f t="shared" si="6"/>
        <v/>
      </c>
      <c r="H17" s="101"/>
      <c r="I17" s="101"/>
      <c r="J17" s="101"/>
      <c r="K17" s="101"/>
      <c r="L17" s="101"/>
      <c r="M17" s="106" t="s">
        <v>148</v>
      </c>
      <c r="N17" s="198" t="str">
        <f t="array" ref="N17">IF(N3&gt;=$Q$20,"Daily",INDEX($T$14:$T$18,MATCH(N11,$P$14:$P$18,1)))</f>
        <v>Weekly</v>
      </c>
      <c r="O17" s="101"/>
      <c r="P17" s="201">
        <v>3.5</v>
      </c>
      <c r="Q17" s="177" t="s">
        <v>195</v>
      </c>
      <c r="R17" s="150">
        <v>140.0</v>
      </c>
      <c r="S17" s="202">
        <v>1.45</v>
      </c>
      <c r="T17" s="177" t="s">
        <v>12</v>
      </c>
      <c r="U17" s="101"/>
      <c r="V17" s="101"/>
      <c r="W17" s="101"/>
      <c r="X17" s="101"/>
      <c r="Y17" s="101"/>
      <c r="Z17" s="101"/>
    </row>
    <row r="18">
      <c r="A18" s="101"/>
      <c r="B18" s="147"/>
      <c r="C18" s="162"/>
      <c r="D18" s="162"/>
      <c r="E18" s="177"/>
      <c r="F18" s="166" t="str">
        <f t="shared" si="5"/>
        <v/>
      </c>
      <c r="G18" s="168" t="str">
        <f t="shared" si="6"/>
        <v/>
      </c>
      <c r="H18" s="101"/>
      <c r="I18" s="101"/>
      <c r="J18" s="101"/>
      <c r="K18" s="101"/>
      <c r="L18" s="101"/>
      <c r="M18" s="106" t="s">
        <v>150</v>
      </c>
      <c r="N18" s="178">
        <f>MAX(0,MIN(F35*C9/21.655,F33*C9/21.655-F20,IF(F9&gt;0,F36*F9-F20,1000000000000000)))</f>
        <v>1426.684821</v>
      </c>
      <c r="O18" s="101"/>
      <c r="P18" s="201">
        <v>4.0</v>
      </c>
      <c r="Q18" s="177" t="s">
        <v>196</v>
      </c>
      <c r="R18" s="150">
        <v>150.0</v>
      </c>
      <c r="S18" s="202">
        <v>1.4</v>
      </c>
      <c r="T18" s="177" t="s">
        <v>12</v>
      </c>
      <c r="U18" s="101"/>
      <c r="V18" s="101"/>
      <c r="W18" s="101"/>
      <c r="X18" s="101"/>
      <c r="Y18" s="101"/>
      <c r="Z18" s="101"/>
    </row>
    <row r="19">
      <c r="A19" s="101"/>
      <c r="B19" s="147"/>
      <c r="C19" s="162"/>
      <c r="D19" s="162"/>
      <c r="E19" s="177"/>
      <c r="F19" s="166" t="str">
        <f t="shared" si="5"/>
        <v/>
      </c>
      <c r="G19" s="168" t="str">
        <f t="shared" si="6"/>
        <v/>
      </c>
      <c r="H19" s="101"/>
      <c r="I19" s="101"/>
      <c r="J19" s="101"/>
      <c r="K19" s="101"/>
      <c r="L19" s="101"/>
      <c r="M19" s="106" t="s">
        <v>151</v>
      </c>
      <c r="N19" s="179">
        <f>IF(OR(C9=0,N18&lt;=0,N15,N13=0),0,FLOOR(MIN(N18*N13/N16,$F$37*C9),500))</f>
        <v>128500</v>
      </c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>
      <c r="A20" s="101"/>
      <c r="B20" s="203" t="s">
        <v>51</v>
      </c>
      <c r="C20" s="101"/>
      <c r="D20" s="101"/>
      <c r="E20" s="101"/>
      <c r="F20" s="204">
        <f>SUM(F13:F19)</f>
        <v>471.462</v>
      </c>
      <c r="G20" s="101"/>
      <c r="H20" s="101"/>
      <c r="I20" s="101"/>
      <c r="J20" s="101"/>
      <c r="K20" s="101"/>
      <c r="L20" s="101"/>
      <c r="M20" s="106" t="s">
        <v>152</v>
      </c>
      <c r="N20" s="179">
        <f>IF(N19=0,0,N19*N16/N13)</f>
        <v>1330.892857</v>
      </c>
      <c r="O20" s="101"/>
      <c r="P20" s="147" t="s">
        <v>197</v>
      </c>
      <c r="Q20" s="150">
        <v>3.0</v>
      </c>
      <c r="R20" s="101"/>
      <c r="S20" s="101"/>
      <c r="T20" s="101"/>
      <c r="U20" s="101"/>
      <c r="V20" s="101"/>
      <c r="W20" s="101"/>
      <c r="X20" s="101"/>
      <c r="Y20" s="101"/>
      <c r="Z20" s="101"/>
    </row>
    <row r="21" ht="15.75" customHeight="1">
      <c r="A21" s="101"/>
      <c r="B21" s="203" t="s">
        <v>153</v>
      </c>
      <c r="C21" s="101"/>
      <c r="D21" s="101"/>
      <c r="E21" s="101"/>
      <c r="F21" s="204">
        <f>F20+IF(C6="",0,C6)</f>
        <v>1471.462</v>
      </c>
      <c r="G21" s="156"/>
      <c r="H21" s="101"/>
      <c r="I21" s="101"/>
      <c r="J21" s="101"/>
      <c r="K21" s="101"/>
      <c r="L21" s="101"/>
      <c r="M21" s="106" t="s">
        <v>154</v>
      </c>
      <c r="N21" s="179">
        <f>N20*5</f>
        <v>6654.464286</v>
      </c>
      <c r="O21" s="101"/>
      <c r="P21" s="205" t="s">
        <v>198</v>
      </c>
      <c r="Q21" s="150">
        <v>2.0</v>
      </c>
      <c r="R21" s="101"/>
      <c r="S21" s="101"/>
      <c r="T21" s="101"/>
      <c r="U21" s="101"/>
      <c r="V21" s="101"/>
      <c r="W21" s="101"/>
      <c r="X21" s="101"/>
      <c r="Y21" s="101"/>
      <c r="Z21" s="101"/>
    </row>
    <row r="22" ht="15.75" customHeight="1">
      <c r="A22" s="101"/>
      <c r="B22" s="203" t="s">
        <v>155</v>
      </c>
      <c r="C22" s="101"/>
      <c r="D22" s="101"/>
      <c r="E22" s="101"/>
      <c r="F22" s="204">
        <f>F21*21.655</f>
        <v>31864.50961</v>
      </c>
      <c r="G22" s="101"/>
      <c r="H22" s="101"/>
      <c r="I22" s="101"/>
      <c r="J22" s="101"/>
      <c r="K22" s="101"/>
      <c r="L22" s="101"/>
      <c r="M22" s="106" t="s">
        <v>156</v>
      </c>
      <c r="N22" s="198" t="str">
        <f>N3&amp;IF(OR(N3=11,N3=12,N3=13),"th",IF(MOD(N3,10)=1,"st",IF(MOD(N3,10)=2,"nd",IF(MOD(N3,10)=3,"rd","th"))))</f>
        <v>2nd</v>
      </c>
      <c r="O22" s="101"/>
      <c r="P22" s="170" t="s">
        <v>199</v>
      </c>
      <c r="Q22" s="171"/>
      <c r="R22" s="171"/>
      <c r="S22" s="171"/>
      <c r="T22" s="105"/>
      <c r="U22" s="101"/>
      <c r="V22" s="101"/>
      <c r="W22" s="101"/>
      <c r="X22" s="101"/>
      <c r="Y22" s="101"/>
      <c r="Z22" s="101"/>
    </row>
    <row r="23" ht="15.75" customHeight="1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206" t="s">
        <v>78</v>
      </c>
      <c r="Q23" s="206" t="s">
        <v>114</v>
      </c>
      <c r="R23" s="206" t="s">
        <v>200</v>
      </c>
      <c r="S23" s="206" t="s">
        <v>5</v>
      </c>
      <c r="T23" s="206" t="s">
        <v>6</v>
      </c>
      <c r="U23" s="101"/>
      <c r="V23" s="101"/>
      <c r="W23" s="101"/>
      <c r="X23" s="101"/>
      <c r="Y23" s="101"/>
      <c r="Z23" s="101"/>
    </row>
    <row r="24" ht="15.75" customHeight="1">
      <c r="A24" s="101"/>
      <c r="B24" s="108" t="s">
        <v>201</v>
      </c>
      <c r="C24" s="6"/>
      <c r="D24" s="6"/>
      <c r="E24" s="6"/>
      <c r="F24" s="6"/>
      <c r="G24" s="6"/>
      <c r="H24" s="6"/>
      <c r="I24" s="7"/>
      <c r="J24" s="101"/>
      <c r="K24" s="101"/>
      <c r="L24" s="101"/>
      <c r="M24" s="101"/>
      <c r="N24" s="101"/>
      <c r="O24" s="101"/>
      <c r="P24" s="207" t="str">
        <f>IF(N15,"DECLINE",N12)</f>
        <v>Solid</v>
      </c>
      <c r="Q24" s="208">
        <f>IF(N15,"-",N13)</f>
        <v>140</v>
      </c>
      <c r="R24" s="207">
        <f>IF(N15,"-",N14)</f>
        <v>28</v>
      </c>
      <c r="S24" s="210">
        <f>IF(N15,"-",N16)</f>
        <v>1.45</v>
      </c>
      <c r="T24" s="207" t="str">
        <f>IF(N15,"-",N17)</f>
        <v>Weekly</v>
      </c>
      <c r="U24" s="101"/>
      <c r="V24" s="101"/>
      <c r="W24" s="101"/>
      <c r="X24" s="101"/>
      <c r="Y24" s="101"/>
      <c r="Z24" s="101"/>
    </row>
    <row r="25" ht="15.75" customHeight="1">
      <c r="A25" s="101"/>
      <c r="B25" s="113" t="s">
        <v>202</v>
      </c>
      <c r="C25" s="113" t="s">
        <v>5</v>
      </c>
      <c r="D25" s="113" t="s">
        <v>158</v>
      </c>
      <c r="E25" s="113" t="s">
        <v>6</v>
      </c>
      <c r="F25" s="113" t="s">
        <v>159</v>
      </c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15.75" customHeight="1">
      <c r="A26" s="101"/>
      <c r="B26" s="169">
        <f>IF(N19=0,"",N19)</f>
        <v>128500</v>
      </c>
      <c r="C26" s="211">
        <f>IF(N19=0,"",N16)</f>
        <v>1.45</v>
      </c>
      <c r="D26" s="212" t="str">
        <f>IF(N19=0,"",N14&amp;" wk / "&amp;N13&amp;" daily")</f>
        <v>28 wk / 140 daily</v>
      </c>
      <c r="E26" s="212" t="str">
        <f>IF(N19=0,"",N17)</f>
        <v>Weekly</v>
      </c>
      <c r="F26" s="169">
        <f>IF(N19=0,"",IF(N17="Daily",N20,N21))</f>
        <v>6654.464286</v>
      </c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15.75" customHeight="1">
      <c r="A27" s="101"/>
      <c r="B27" s="106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15.75" customHeight="1">
      <c r="A28" s="101"/>
      <c r="B28" s="213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5.75" customHeight="1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ht="15.75" customHeight="1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ht="15.75" customHeight="1">
      <c r="A31" s="101"/>
      <c r="B31" s="110" t="s">
        <v>160</v>
      </c>
      <c r="C31" s="6"/>
      <c r="D31" s="6"/>
      <c r="E31" s="6"/>
      <c r="F31" s="6"/>
      <c r="G31" s="6"/>
      <c r="H31" s="7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ht="15.75" customHeight="1">
      <c r="A32" s="101"/>
      <c r="B32" s="214" t="s">
        <v>8</v>
      </c>
      <c r="C32" s="113" t="s">
        <v>161</v>
      </c>
      <c r="D32" s="113" t="s">
        <v>54</v>
      </c>
      <c r="E32" s="113" t="s">
        <v>121</v>
      </c>
      <c r="F32" s="113" t="s">
        <v>162</v>
      </c>
      <c r="G32" s="113" t="s">
        <v>163</v>
      </c>
      <c r="H32" s="113" t="s">
        <v>58</v>
      </c>
      <c r="I32" s="156" t="s">
        <v>203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ht="15.75" customHeight="1">
      <c r="A33" s="101"/>
      <c r="B33" s="147" t="s">
        <v>164</v>
      </c>
      <c r="C33" s="215" t="s">
        <v>165</v>
      </c>
      <c r="D33" s="216">
        <f>IF(C9=0,"",F22/C9)</f>
        <v>0.1856493853</v>
      </c>
      <c r="E33" s="206" t="s">
        <v>166</v>
      </c>
      <c r="F33" s="167">
        <v>0.3</v>
      </c>
      <c r="G33" s="167">
        <v>0.45</v>
      </c>
      <c r="H33" s="158">
        <v>0.6</v>
      </c>
      <c r="I33" s="101"/>
      <c r="J33" s="106" t="s">
        <v>167</v>
      </c>
      <c r="K33" s="198">
        <f>IF(AND(ISNUMBER(D33),D33&gt;G33),1,0)+IF(AND(ISNUMBER(D34),D34&lt;G34),1,0)+IF(AND(ISNUMBER(D35),D35&gt;G35),1,0)+IF(AND(ISNUMBER(D36),D36&gt;G36),1,0)+IF(AND(ISNUMBER(D37),D37&gt;G37),1,0)</f>
        <v>0</v>
      </c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ht="15.75" customHeight="1">
      <c r="A34" s="101"/>
      <c r="B34" s="190" t="s">
        <v>119</v>
      </c>
      <c r="C34" s="215" t="s">
        <v>168</v>
      </c>
      <c r="D34" s="216">
        <f>IF(C9=0,"",F9/C9)</f>
        <v>0.1328376315</v>
      </c>
      <c r="E34" s="206" t="s">
        <v>169</v>
      </c>
      <c r="F34" s="167">
        <v>0.15</v>
      </c>
      <c r="G34" s="167">
        <v>0.08</v>
      </c>
      <c r="H34" s="167">
        <v>0.03</v>
      </c>
      <c r="I34" s="101"/>
      <c r="J34" s="106" t="s">
        <v>170</v>
      </c>
      <c r="K34" s="198">
        <f>IF(AND(ISNUMBER(D33),D33&lt;=F33),1,0)+IF(AND(ISNUMBER(D34),D34&gt;=F34),1,0)+IF(AND(ISNUMBER(D35),D35&lt;=F35),1,0)+IF(AND(ISNUMBER(D36),D36&lt;=F36),1,0)+IF(AND(ISNUMBER(D37),D37&lt;=F37),1,0)</f>
        <v>4</v>
      </c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ht="15.75" customHeight="1">
      <c r="A35" s="101"/>
      <c r="B35" s="147" t="s">
        <v>60</v>
      </c>
      <c r="C35" s="215" t="s">
        <v>171</v>
      </c>
      <c r="D35" s="216">
        <f>IF(OR(G6="",C9=0),"",G6/C9)</f>
        <v>0.1261666188</v>
      </c>
      <c r="E35" s="206" t="s">
        <v>172</v>
      </c>
      <c r="F35" s="167">
        <v>0.18</v>
      </c>
      <c r="G35" s="167">
        <v>0.25</v>
      </c>
      <c r="H35" s="167">
        <v>0.35</v>
      </c>
      <c r="I35" s="101"/>
      <c r="J35" s="106" t="s">
        <v>173</v>
      </c>
      <c r="K35" s="198" t="b">
        <f>OR(AND(ISNUMBER(D33),D33&gt;H33),AND(ISNUMBER(D34),D34&lt;H34),AND(ISNUMBER(D35),D35&gt;H35),AND(ISNUMBER(D36),D36&gt;H36),AND(ISNUMBER(D37),D37&gt;H37))</f>
        <v>0</v>
      </c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ht="15.75" customHeight="1">
      <c r="A36" s="101"/>
      <c r="B36" s="147" t="s">
        <v>174</v>
      </c>
      <c r="C36" s="215" t="s">
        <v>175</v>
      </c>
      <c r="D36" s="216">
        <f>IF(F9=0,"",F21/F9)</f>
        <v>0.06453780702</v>
      </c>
      <c r="E36" s="206" t="s">
        <v>176</v>
      </c>
      <c r="F36" s="167">
        <v>0.45</v>
      </c>
      <c r="G36" s="167">
        <v>0.75</v>
      </c>
      <c r="H36" s="167">
        <v>1.0</v>
      </c>
      <c r="I36" s="101"/>
      <c r="J36" s="106" t="s">
        <v>204</v>
      </c>
      <c r="K36" s="198">
        <f>SUMPRODUCT(--ISNUMBER(D33:D37))-K33-K34</f>
        <v>1</v>
      </c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ht="15.75" customHeight="1">
      <c r="A37" s="101"/>
      <c r="B37" s="147" t="s">
        <v>178</v>
      </c>
      <c r="C37" s="215" t="s">
        <v>179</v>
      </c>
      <c r="D37" s="217">
        <f>IF(OR(B5="",C9=0),"",B5/C9)</f>
        <v>0.05826211906</v>
      </c>
      <c r="E37" s="206" t="s">
        <v>180</v>
      </c>
      <c r="F37" s="192">
        <v>0.75</v>
      </c>
      <c r="G37" s="202">
        <v>1.6</v>
      </c>
      <c r="H37" s="202">
        <v>2.0</v>
      </c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ht="15.7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ht="15.75" customHeight="1">
      <c r="A39" s="101"/>
      <c r="B39" s="110" t="s">
        <v>181</v>
      </c>
      <c r="C39" s="6"/>
      <c r="D39" s="6"/>
      <c r="E39" s="6"/>
      <c r="F39" s="6"/>
      <c r="G39" s="6"/>
      <c r="H39" s="7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ht="15.75" customHeight="1">
      <c r="A40" s="101"/>
      <c r="B40" s="113" t="s">
        <v>182</v>
      </c>
      <c r="C40" s="113" t="s">
        <v>25</v>
      </c>
      <c r="D40" s="113" t="s">
        <v>26</v>
      </c>
      <c r="E40" s="113" t="s">
        <v>183</v>
      </c>
      <c r="F40" s="113" t="s">
        <v>184</v>
      </c>
      <c r="G40" s="113" t="s">
        <v>185</v>
      </c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ht="15.75" customHeight="1">
      <c r="A41" s="101"/>
      <c r="B41" s="177" t="s">
        <v>32</v>
      </c>
      <c r="C41" s="163">
        <v>171638.11</v>
      </c>
      <c r="D41" s="163">
        <v>20800.0</v>
      </c>
      <c r="E41" s="193">
        <f t="shared" ref="E41:E44" si="7">IF(OR(C41="",C42=""),"",(C41-C42)/C42)</f>
        <v>0</v>
      </c>
      <c r="F41" s="193">
        <f t="shared" ref="F41:F44" si="8">IF(C41="","",D41/C41)</f>
        <v>0.1211852076</v>
      </c>
      <c r="G41" s="194">
        <f t="shared" ref="G41:G44" si="9">IF(C41="","",$B$5/C41)</f>
        <v>0.05826211906</v>
      </c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ht="15.75" customHeight="1">
      <c r="A42" s="101"/>
      <c r="B42" s="177" t="s">
        <v>35</v>
      </c>
      <c r="C42" s="163">
        <v>171638.11</v>
      </c>
      <c r="D42" s="163">
        <v>21200.0</v>
      </c>
      <c r="E42" s="193">
        <f t="shared" si="7"/>
        <v>0</v>
      </c>
      <c r="F42" s="193">
        <f t="shared" si="8"/>
        <v>0.1235156924</v>
      </c>
      <c r="G42" s="194">
        <f t="shared" si="9"/>
        <v>0.05826211906</v>
      </c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ht="15.75" customHeight="1">
      <c r="A43" s="101"/>
      <c r="B43" s="177" t="s">
        <v>36</v>
      </c>
      <c r="C43" s="163">
        <v>171638.11</v>
      </c>
      <c r="D43" s="163">
        <v>26400.0</v>
      </c>
      <c r="E43" s="193" t="str">
        <f t="shared" si="7"/>
        <v/>
      </c>
      <c r="F43" s="193">
        <f t="shared" si="8"/>
        <v>0.1538119943</v>
      </c>
      <c r="G43" s="194">
        <f t="shared" si="9"/>
        <v>0.05826211906</v>
      </c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ht="15.75" customHeight="1">
      <c r="A44" s="101"/>
      <c r="B44" s="177" t="s">
        <v>37</v>
      </c>
      <c r="C44" s="163"/>
      <c r="D44" s="163"/>
      <c r="E44" s="193" t="str">
        <f t="shared" si="7"/>
        <v/>
      </c>
      <c r="F44" s="193" t="str">
        <f t="shared" si="8"/>
        <v/>
      </c>
      <c r="G44" s="194" t="str">
        <f t="shared" si="9"/>
        <v/>
      </c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ht="15.75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ht="15.75" customHeight="1">
      <c r="A46" s="101"/>
      <c r="B46" s="203" t="s">
        <v>189</v>
      </c>
      <c r="C46" s="204">
        <f t="shared" ref="C46:D46" si="10">IFERROR(AVERAGE(C41:C44),"")</f>
        <v>171638.11</v>
      </c>
      <c r="D46" s="204">
        <f t="shared" si="10"/>
        <v>22800</v>
      </c>
      <c r="E46" s="218">
        <f>IFERROR(AVERAGE(E41:E43),"")</f>
        <v>0</v>
      </c>
      <c r="F46" s="218">
        <f t="shared" ref="F46:G46" si="11">IFERROR(AVERAGE(F41:F44),"")</f>
        <v>0.1328376315</v>
      </c>
      <c r="G46" s="219">
        <f t="shared" si="11"/>
        <v>0.05826211906</v>
      </c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ht="15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ht="15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ht="15.7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ht="15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ht="15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ht="15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ht="15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ht="15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ht="15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ht="15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ht="15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ht="15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5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ht="15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ht="15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ht="15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ht="15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ht="15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ht="15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ht="15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ht="15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ht="15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ht="15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ht="15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ht="15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ht="15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ht="15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ht="15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ht="15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ht="15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ht="15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ht="15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ht="15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ht="15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ht="15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ht="15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ht="15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ht="15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ht="15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ht="15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ht="15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ht="15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ht="15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ht="15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ht="15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ht="15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ht="15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ht="15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ht="15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ht="15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ht="15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ht="15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ht="15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ht="15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ht="15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ht="15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ht="15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ht="15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ht="15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ht="15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ht="15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ht="15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ht="15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ht="15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ht="15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ht="15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ht="15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ht="15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ht="15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ht="15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ht="15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ht="15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ht="15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ht="15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ht="15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ht="15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ht="15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ht="15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ht="15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ht="15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ht="15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ht="15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ht="15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ht="15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ht="15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ht="15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ht="15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ht="15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ht="15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ht="15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ht="15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ht="15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ht="15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ht="15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ht="15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ht="15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ht="15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ht="15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ht="15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ht="15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ht="15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ht="15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ht="15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15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ht="15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15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15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15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15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15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15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15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ht="15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ht="15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ht="15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ht="15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ht="15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ht="15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ht="15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ht="15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ht="15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ht="15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ht="15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ht="15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ht="15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ht="15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ht="15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ht="15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ht="15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ht="15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ht="15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ht="15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ht="15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ht="15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ht="15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ht="15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ht="15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ht="15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ht="15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ht="15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ht="15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ht="15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ht="15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ht="15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ht="15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ht="15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ht="15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ht="15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ht="15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ht="15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ht="15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ht="15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ht="15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ht="15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ht="15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ht="15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15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ht="15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ht="15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ht="15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ht="15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ht="15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ht="15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ht="15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ht="15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ht="15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ht="15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ht="15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ht="15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ht="15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ht="15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ht="15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ht="15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ht="15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ht="15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ht="15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ht="15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ht="15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ht="15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ht="15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ht="15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ht="15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ht="15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ht="15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ht="15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ht="15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ht="15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ht="15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ht="15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ht="15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ht="15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ht="15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ht="15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ht="15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ht="15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ht="15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ht="15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ht="15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ht="15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ht="15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ht="15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ht="15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ht="15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ht="15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ht="15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ht="15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ht="15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ht="15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ht="15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ht="15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ht="15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ht="15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ht="15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ht="15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ht="15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ht="15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ht="15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ht="15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ht="15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ht="15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ht="15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ht="15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ht="15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ht="15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ht="15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ht="15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ht="15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ht="15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ht="15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ht="15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ht="15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ht="15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ht="15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ht="15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ht="15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ht="15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ht="15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ht="15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ht="15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ht="15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ht="15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ht="15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ht="15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ht="15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ht="15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ht="15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ht="15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ht="15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ht="15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ht="15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ht="15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ht="15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ht="15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ht="15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ht="15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ht="15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ht="15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ht="15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ht="15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ht="15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ht="15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ht="15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ht="15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ht="15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ht="15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ht="15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ht="15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ht="15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ht="15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ht="15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ht="15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ht="15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ht="15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ht="15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ht="15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ht="15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ht="15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ht="15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ht="15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ht="15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ht="15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ht="15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ht="15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ht="15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ht="15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ht="15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ht="15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ht="15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ht="15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ht="15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ht="15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ht="15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ht="15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ht="15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ht="15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ht="15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ht="15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ht="15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ht="15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ht="15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ht="15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ht="15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ht="15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ht="15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ht="15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ht="15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ht="15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ht="15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ht="15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ht="15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ht="15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ht="15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ht="15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ht="15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ht="15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ht="15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ht="15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ht="15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ht="15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ht="15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ht="15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ht="15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ht="15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ht="15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ht="15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ht="15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ht="15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ht="15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ht="15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ht="15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ht="15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ht="15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ht="15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ht="15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ht="15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ht="15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ht="15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ht="15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ht="15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ht="15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ht="15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ht="15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ht="15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ht="15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ht="15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ht="15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ht="15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ht="15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ht="15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ht="15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ht="15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ht="15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ht="15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ht="15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ht="15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ht="15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ht="15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ht="15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ht="15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ht="15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ht="15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ht="15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ht="15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ht="15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ht="15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ht="15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ht="15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ht="15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ht="15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ht="15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ht="15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ht="15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ht="15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ht="15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ht="15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ht="15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ht="15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ht="15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ht="15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ht="15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ht="15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ht="15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ht="15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ht="15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ht="15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ht="15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ht="15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ht="15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ht="15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ht="15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ht="15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ht="15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ht="15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ht="15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ht="15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ht="15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ht="15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ht="15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ht="15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ht="15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ht="15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ht="15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ht="15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ht="15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ht="15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ht="15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ht="15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ht="15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ht="15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ht="15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ht="15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ht="15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ht="15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ht="15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ht="15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ht="15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ht="15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ht="15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ht="15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ht="15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ht="15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ht="15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ht="15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ht="15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ht="15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ht="15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ht="15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ht="15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ht="15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ht="15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ht="15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ht="15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ht="15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ht="15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ht="15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ht="15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ht="15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ht="15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ht="15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ht="15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ht="15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ht="15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ht="15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ht="15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ht="15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ht="15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ht="15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ht="15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ht="15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ht="15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ht="15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ht="15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ht="15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ht="15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ht="15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ht="15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ht="15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ht="15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ht="15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ht="15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ht="15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ht="15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ht="15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ht="15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ht="15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ht="15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ht="15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ht="15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ht="15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ht="15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ht="15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ht="15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ht="15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ht="15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ht="15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ht="15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ht="15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ht="15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ht="15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ht="15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ht="15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ht="15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ht="15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ht="15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ht="15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ht="15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ht="15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ht="15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ht="15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ht="15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ht="15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ht="15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ht="15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ht="15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ht="15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ht="15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ht="15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ht="15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ht="15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ht="15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ht="15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ht="15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ht="15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ht="15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ht="15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ht="15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ht="15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ht="15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ht="15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ht="15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ht="15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ht="15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ht="15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ht="15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ht="15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ht="15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ht="15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ht="15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ht="15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ht="15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ht="15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ht="15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ht="15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ht="15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ht="15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ht="15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ht="15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ht="15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ht="15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ht="15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ht="15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ht="15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ht="15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ht="15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ht="15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ht="15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ht="15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ht="15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ht="15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ht="15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ht="15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ht="15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ht="15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ht="15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ht="15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ht="15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ht="15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ht="15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ht="15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ht="15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ht="15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ht="15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ht="15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ht="15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ht="15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ht="15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ht="15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ht="15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ht="15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ht="15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ht="15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ht="15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ht="15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ht="15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ht="15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ht="15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ht="15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ht="15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ht="15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ht="15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ht="15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ht="15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ht="15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ht="15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ht="15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ht="15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ht="15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ht="15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ht="15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ht="15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ht="15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ht="15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ht="15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ht="15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ht="15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ht="15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ht="15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ht="15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ht="15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ht="15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ht="15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ht="15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ht="15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ht="15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ht="15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ht="15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ht="15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ht="15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ht="15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ht="15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ht="15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ht="15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ht="15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ht="15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ht="15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ht="15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ht="15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ht="15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ht="15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ht="15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ht="15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ht="15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ht="15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ht="15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ht="15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ht="15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ht="15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ht="15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ht="15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ht="15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ht="15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ht="15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ht="15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ht="15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ht="15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ht="15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ht="15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ht="15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ht="15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ht="15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ht="15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ht="15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ht="15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ht="15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ht="15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ht="15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ht="15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ht="15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ht="15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ht="15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ht="15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ht="15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ht="15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ht="15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ht="15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ht="15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ht="15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ht="15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ht="15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ht="15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ht="15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ht="15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ht="15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ht="15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ht="15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ht="15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ht="15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ht="15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ht="15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ht="15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ht="15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ht="15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ht="15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ht="15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ht="15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ht="15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ht="15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ht="15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ht="15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ht="15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ht="15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ht="15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ht="15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ht="15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ht="15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ht="15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ht="15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ht="15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ht="15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ht="15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ht="15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ht="15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ht="15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ht="15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ht="15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ht="15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ht="15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ht="15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ht="15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ht="15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ht="15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ht="15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ht="15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ht="15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ht="15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ht="15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ht="15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ht="15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ht="15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ht="15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ht="15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ht="15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ht="15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ht="15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ht="15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ht="15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ht="15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ht="15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ht="15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ht="15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ht="15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ht="15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ht="15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ht="15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ht="15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ht="15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ht="15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ht="15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ht="15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ht="15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ht="15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ht="15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ht="15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ht="15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ht="15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ht="15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ht="15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ht="15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ht="15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ht="15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ht="15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ht="15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ht="15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ht="15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ht="15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ht="15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ht="15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ht="15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ht="15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ht="15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ht="15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ht="15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ht="15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ht="15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ht="15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ht="15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ht="15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ht="15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ht="15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ht="15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ht="15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ht="15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ht="15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ht="15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ht="15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ht="15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ht="15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ht="15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ht="15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ht="15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ht="15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ht="15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ht="15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ht="15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ht="15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ht="15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ht="15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ht="15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ht="15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ht="15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ht="15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ht="15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ht="15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ht="15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ht="15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ht="15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ht="15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ht="15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ht="15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ht="15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ht="15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ht="15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ht="15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ht="15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ht="15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ht="15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ht="15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ht="15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ht="15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ht="15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ht="15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ht="15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ht="15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ht="15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ht="15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ht="15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ht="15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ht="15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ht="15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ht="15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ht="15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ht="15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ht="15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ht="15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ht="15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ht="15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ht="15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ht="15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ht="15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ht="15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ht="15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ht="15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ht="15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ht="15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ht="15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ht="15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ht="15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ht="15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ht="15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ht="15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ht="15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ht="15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ht="15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ht="15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ht="15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ht="15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ht="15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ht="15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ht="15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ht="15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ht="15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ht="15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ht="15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ht="15.7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ht="15.7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ht="15.7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ht="15.7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ht="15.7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ht="15.7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ht="15.7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ht="15.7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ht="15.7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ht="15.7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ht="15.7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ht="15.7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ht="15.7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ht="15.7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ht="15.7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ht="15.7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ht="15.7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ht="15.7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ht="15.7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ht="15.7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ht="15.7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ht="15.7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ht="15.7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ht="15.7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ht="15.7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ht="15.7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ht="15.7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ht="15.7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ht="15.7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ht="15.7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ht="15.7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ht="15.7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ht="15.7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ht="15.7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ht="15.7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ht="15.7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ht="15.7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ht="15.7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ht="15.7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ht="15.7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ht="15.7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ht="15.7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ht="15.7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ht="15.7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ht="15.7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ht="15.7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ht="15.7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ht="15.7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ht="15.7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ht="15.7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ht="15.7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ht="15.7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ht="15.7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ht="15.7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ht="15.7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ht="15.7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ht="15.7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ht="15.7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ht="15.7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ht="15.7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ht="15.7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ht="15.7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ht="15.7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ht="15.7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ht="15.7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ht="15.7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ht="15.7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ht="15.7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ht="15.7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ht="15.7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ht="15.7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ht="15.7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ht="15.7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ht="15.7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ht="15.7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ht="15.7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ht="15.7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ht="15.7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ht="15.7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ht="15.7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ht="15.7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ht="15.7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ht="15.7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ht="15.7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ht="15.7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ht="15.7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ht="15.7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ht="15.7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ht="15.7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ht="15.7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ht="15.7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ht="15.7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ht="15.7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ht="15.7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ht="15.7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ht="15.7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ht="15.7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ht="15.7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ht="15.7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ht="15.7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ht="15.7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ht="15.7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ht="15.7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ht="15.75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 ht="15.75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 ht="15.75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 ht="15.75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 ht="15.75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 ht="15.75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 ht="15.75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 ht="15.75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 ht="15.75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 ht="15.75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 ht="15.75" customHeight="1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 ht="15.75" customHeight="1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 ht="15.75" customHeight="1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 ht="15.75" customHeight="1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 ht="15.75" customHeight="1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 ht="15.75" customHeight="1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 ht="15.75" customHeight="1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Z999" s="101"/>
    </row>
    <row r="1000" ht="15.75" customHeight="1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Z1000" s="101"/>
    </row>
  </sheetData>
  <mergeCells count="21">
    <mergeCell ref="C2:D2"/>
    <mergeCell ref="E2:I2"/>
    <mergeCell ref="P2:T2"/>
    <mergeCell ref="V2:Y2"/>
    <mergeCell ref="B3:I3"/>
    <mergeCell ref="V3:Y3"/>
    <mergeCell ref="P4:T4"/>
    <mergeCell ref="P12:T12"/>
    <mergeCell ref="P22:T22"/>
    <mergeCell ref="B24:I24"/>
    <mergeCell ref="B27:I27"/>
    <mergeCell ref="B28:I28"/>
    <mergeCell ref="B31:H31"/>
    <mergeCell ref="B39:H39"/>
    <mergeCell ref="B8:I8"/>
    <mergeCell ref="B10:I10"/>
    <mergeCell ref="P10:S10"/>
    <mergeCell ref="V10:Y10"/>
    <mergeCell ref="B11:I11"/>
    <mergeCell ref="V11:Y11"/>
    <mergeCell ref="V12:Y12"/>
  </mergeCells>
  <conditionalFormatting sqref="C2">
    <cfRule type="cellIs" dxfId="6" priority="1" operator="equal">
      <formula>"FUND"</formula>
    </cfRule>
  </conditionalFormatting>
  <conditionalFormatting sqref="C2">
    <cfRule type="cellIs" dxfId="7" priority="2" operator="equal">
      <formula>"CONDITIONAL"</formula>
    </cfRule>
  </conditionalFormatting>
  <conditionalFormatting sqref="C2">
    <cfRule type="cellIs" dxfId="8" priority="3" operator="equal">
      <formula>"DECLINE"</formula>
    </cfRule>
  </conditionalFormatting>
  <conditionalFormatting sqref="D33">
    <cfRule type="cellIs" dxfId="6" priority="4" operator="lessThanOrEqual">
      <formula>$F$33</formula>
    </cfRule>
  </conditionalFormatting>
  <conditionalFormatting sqref="D33">
    <cfRule type="cellIs" dxfId="8" priority="5" operator="greaterThan">
      <formula>$G$33</formula>
    </cfRule>
  </conditionalFormatting>
  <conditionalFormatting sqref="D33">
    <cfRule type="expression" dxfId="7" priority="6">
      <formula>AND(D33&gt;$F$33,D33&lt;=$G$33)</formula>
    </cfRule>
  </conditionalFormatting>
  <conditionalFormatting sqref="D34">
    <cfRule type="cellIs" dxfId="6" priority="7" operator="greaterThanOrEqual">
      <formula>$F$34</formula>
    </cfRule>
  </conditionalFormatting>
  <conditionalFormatting sqref="D34">
    <cfRule type="cellIs" dxfId="8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conditionalFormatting sqref="T6">
    <cfRule type="cellIs" dxfId="3" priority="19" operator="equal">
      <formula>"GREEN"</formula>
    </cfRule>
  </conditionalFormatting>
  <conditionalFormatting sqref="T6">
    <cfRule type="cellIs" dxfId="4" priority="20" operator="equal">
      <formula>"YELLOW"</formula>
    </cfRule>
  </conditionalFormatting>
  <conditionalFormatting sqref="T6">
    <cfRule type="cellIs" dxfId="5" priority="21" operator="equal">
      <formula>"RED"</formula>
    </cfRule>
  </conditionalFormatting>
  <conditionalFormatting sqref="T7">
    <cfRule type="cellIs" dxfId="3" priority="22" operator="equal">
      <formula>"GREEN"</formula>
    </cfRule>
  </conditionalFormatting>
  <conditionalFormatting sqref="T7">
    <cfRule type="cellIs" dxfId="4" priority="23" operator="equal">
      <formula>"YELLOW"</formula>
    </cfRule>
  </conditionalFormatting>
  <conditionalFormatting sqref="T7">
    <cfRule type="cellIs" dxfId="5" priority="24" operator="equal">
      <formula>"RED"</formula>
    </cfRule>
  </conditionalFormatting>
  <conditionalFormatting sqref="T8">
    <cfRule type="cellIs" dxfId="3" priority="25" operator="equal">
      <formula>"GREEN"</formula>
    </cfRule>
  </conditionalFormatting>
  <conditionalFormatting sqref="T8">
    <cfRule type="cellIs" dxfId="4" priority="26" operator="equal">
      <formula>"YELLOW"</formula>
    </cfRule>
  </conditionalFormatting>
  <conditionalFormatting sqref="T8">
    <cfRule type="cellIs" dxfId="5" priority="27" operator="equal">
      <formula>"RED"</formula>
    </cfRule>
  </conditionalFormatting>
  <conditionalFormatting sqref="T9">
    <cfRule type="cellIs" dxfId="3" priority="28" operator="equal">
      <formula>"GREEN"</formula>
    </cfRule>
  </conditionalFormatting>
  <conditionalFormatting sqref="T9">
    <cfRule type="cellIs" dxfId="4" priority="29" operator="equal">
      <formula>"YELLOW"</formula>
    </cfRule>
  </conditionalFormatting>
  <conditionalFormatting sqref="T9">
    <cfRule type="cellIs" dxfId="5" priority="30" operator="equal">
      <formula>"RED"</formula>
    </cfRule>
  </conditionalFormatting>
  <conditionalFormatting sqref="P24">
    <cfRule type="cellIs" dxfId="5" priority="31" operator="equal">
      <formula>"DECLINE"</formula>
    </cfRule>
  </conditionalFormatting>
  <conditionalFormatting sqref="P24">
    <cfRule type="expression" dxfId="5" priority="32">
      <formula>$N$15=TRUE</formula>
    </cfRule>
  </conditionalFormatting>
  <conditionalFormatting sqref="Q24">
    <cfRule type="expression" dxfId="5" priority="33">
      <formula>$N$15=TRUE</formula>
    </cfRule>
  </conditionalFormatting>
  <conditionalFormatting sqref="R24">
    <cfRule type="expression" dxfId="5" priority="34">
      <formula>$N$15=TRUE</formula>
    </cfRule>
  </conditionalFormatting>
  <conditionalFormatting sqref="S24">
    <cfRule type="expression" dxfId="5" priority="35">
      <formula>$N$15=TRUE</formula>
    </cfRule>
  </conditionalFormatting>
  <conditionalFormatting sqref="T24">
    <cfRule type="expression" dxfId="5" priority="36">
      <formula>$N$15=TRUE</formula>
    </cfRule>
  </conditionalFormatting>
  <conditionalFormatting sqref="C35">
    <cfRule type="notContainsBlanks" dxfId="9" priority="37">
      <formula>LEN(TRIM(C35))&gt;0</formula>
    </cfRule>
  </conditionalFormatting>
  <dataValidations>
    <dataValidation type="list" allowBlank="1" sqref="B41:B44">
      <formula1>"Jan,Feb,Mar,Apr,May,Jun,Jul,Aug,Sep,Oct,Nov,Dec"</formula1>
    </dataValidation>
    <dataValidation type="list" allowBlank="1" sqref="E13:E19">
      <formula1>"Weekly,Daily,Monthly"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1" t="s">
        <v>108</v>
      </c>
    </row>
    <row r="2">
      <c r="B2" s="123" t="s">
        <v>109</v>
      </c>
      <c r="C2" s="124" t="str">
        <f>IF(C9=0,"",IF(OR(K35,K33&gt;=3),"DECLINE",IF(K34=5,"FUND","CONDITIONAL")))</f>
        <v>CONDITIONAL</v>
      </c>
      <c r="D2" s="105"/>
      <c r="E2" s="112" t="str">
        <f>IF(C9=0,"Enter the months below to begin.",IF(K35,"Knockout: a check is past its line.",IF(K33&gt;=3,K33&amp;" red checks (3+ auto-declines).",IF(K34=5,"All 5 checks green.",K34&amp;" green / "&amp;K36&amp;" amber / "&amp;K33&amp;" red."))))</f>
        <v>4 green / 1 amber / 0 red.</v>
      </c>
      <c r="M2" s="112" t="s">
        <v>110</v>
      </c>
      <c r="N2" s="107">
        <f>COUNT(F13:F19)</f>
        <v>2</v>
      </c>
    </row>
    <row r="3">
      <c r="B3" s="127" t="s">
        <v>112</v>
      </c>
      <c r="C3" s="6"/>
      <c r="D3" s="6"/>
      <c r="E3" s="6"/>
      <c r="F3" s="6"/>
      <c r="G3" s="6"/>
      <c r="H3" s="6"/>
      <c r="I3" s="7"/>
      <c r="M3" s="112" t="s">
        <v>113</v>
      </c>
      <c r="N3" s="111">
        <f>N2+1</f>
        <v>3</v>
      </c>
    </row>
    <row r="4">
      <c r="B4" s="128" t="s">
        <v>4</v>
      </c>
      <c r="C4" s="128" t="s">
        <v>5</v>
      </c>
      <c r="D4" s="128" t="s">
        <v>114</v>
      </c>
      <c r="E4" s="128" t="s">
        <v>6</v>
      </c>
      <c r="F4" s="128" t="s">
        <v>7</v>
      </c>
      <c r="G4" s="128" t="s">
        <v>14</v>
      </c>
      <c r="H4" s="128" t="s">
        <v>115</v>
      </c>
      <c r="I4" s="128" t="s">
        <v>116</v>
      </c>
      <c r="M4" s="112" t="s">
        <v>117</v>
      </c>
      <c r="N4" s="114">
        <f>IF(C9=0,0,F20*21.655/C9)</f>
        <v>0.1855455397</v>
      </c>
    </row>
    <row r="5">
      <c r="B5" s="130">
        <v>40000.0</v>
      </c>
      <c r="C5" s="131">
        <v>1.49</v>
      </c>
      <c r="D5" s="132">
        <v>120.0</v>
      </c>
      <c r="E5" s="133" t="s">
        <v>87</v>
      </c>
      <c r="F5" s="134">
        <v>0.05</v>
      </c>
      <c r="G5" s="137">
        <f>IF(OR(B5="",C5=""),"",B5*C5)</f>
        <v>59600</v>
      </c>
      <c r="H5" s="137">
        <f>IF(OR(D5="",D5=0),"",IF(E5="Weekly",(G5/D5)/5,G5/D5))</f>
        <v>496.6666667</v>
      </c>
      <c r="I5" s="137">
        <f>IF(B5="","",B5-(B5*F5))</f>
        <v>38000</v>
      </c>
      <c r="M5" s="141" t="s">
        <v>125</v>
      </c>
      <c r="N5" s="114">
        <f>IF(C9=0,0,F9/C9)</f>
        <v>0.4888888889</v>
      </c>
    </row>
    <row r="6">
      <c r="B6" s="143" t="s">
        <v>16</v>
      </c>
      <c r="C6" s="144">
        <f>IF(H5="","",H5*5)</f>
        <v>2483.333333</v>
      </c>
      <c r="D6" s="143" t="s">
        <v>124</v>
      </c>
      <c r="E6" s="144">
        <f>IF(H5="","",H5*21.655)</f>
        <v>10755.31667</v>
      </c>
      <c r="F6" s="143" t="s">
        <v>18</v>
      </c>
      <c r="G6" s="146">
        <f>IF(OR(D5="",D5=0),"",IF(E5="Weekly",D5,D5/5)/4.33)</f>
        <v>5.542725173</v>
      </c>
      <c r="M6" s="112" t="s">
        <v>126</v>
      </c>
      <c r="N6" s="114">
        <f>IFERROR(AVERAGE(E41:E43),"na")</f>
        <v>0.1310606061</v>
      </c>
    </row>
    <row r="7">
      <c r="M7" s="112" t="s">
        <v>128</v>
      </c>
      <c r="N7" s="149">
        <f>IF(N3&lt;=1,30,IF(N3=2,22,IF(N3=3,12,IF(N3=4,4,0))))</f>
        <v>12</v>
      </c>
    </row>
    <row r="8">
      <c r="B8" s="127" t="s">
        <v>129</v>
      </c>
      <c r="C8" s="6"/>
      <c r="D8" s="6"/>
      <c r="E8" s="6"/>
      <c r="F8" s="6"/>
      <c r="G8" s="6"/>
      <c r="H8" s="6"/>
      <c r="I8" s="7"/>
      <c r="M8" s="112" t="s">
        <v>130</v>
      </c>
      <c r="N8" s="149">
        <f>IF(N4&lt;0.1,25,IF(N4&lt;0.2,18,IF(N4&lt;0.3,8,0)))</f>
        <v>18</v>
      </c>
    </row>
    <row r="9">
      <c r="B9" s="151" t="s">
        <v>131</v>
      </c>
      <c r="C9" s="153">
        <f>IF(COUNT(C41:C48)=0,0,SUM(C41:C48)/COUNT(C41:C48))</f>
        <v>63000</v>
      </c>
      <c r="E9" s="151" t="s">
        <v>132</v>
      </c>
      <c r="F9" s="153">
        <f>IF(COUNT(D41:D48)=0,0,SUM(D41:D48)/COUNT(D41:D48))</f>
        <v>30800</v>
      </c>
      <c r="M9" s="112" t="s">
        <v>133</v>
      </c>
      <c r="N9" s="149">
        <f>IF(N5&gt;=0.25,25,IF(N5&gt;=0.15,18,IF(N5&gt;=0.08,8,0)))</f>
        <v>25</v>
      </c>
    </row>
    <row r="10">
      <c r="B10" s="112"/>
      <c r="M10" s="112" t="s">
        <v>134</v>
      </c>
      <c r="N10" s="149">
        <f>IF(N6="na",12,IF(N6&gt;=0.05,20,IF(N6&gt;=-0.05,12,IF(N6&gt;=-0.15,4,0))))</f>
        <v>20</v>
      </c>
    </row>
    <row r="11">
      <c r="B11" s="127" t="s">
        <v>136</v>
      </c>
      <c r="C11" s="6"/>
      <c r="D11" s="6"/>
      <c r="E11" s="6"/>
      <c r="F11" s="6"/>
      <c r="G11" s="6"/>
      <c r="H11" s="6"/>
      <c r="I11" s="7"/>
      <c r="M11" s="159" t="s">
        <v>137</v>
      </c>
      <c r="N11" s="160">
        <f>N7+N8+N9+N10</f>
        <v>75</v>
      </c>
    </row>
    <row r="12">
      <c r="B12" s="128" t="s">
        <v>42</v>
      </c>
      <c r="C12" s="128" t="s">
        <v>43</v>
      </c>
      <c r="D12" s="128" t="s">
        <v>44</v>
      </c>
      <c r="E12" s="128" t="s">
        <v>6</v>
      </c>
      <c r="F12" s="128" t="s">
        <v>45</v>
      </c>
      <c r="G12" s="128" t="s">
        <v>139</v>
      </c>
      <c r="M12" s="112" t="s">
        <v>140</v>
      </c>
      <c r="N12" s="149" t="str">
        <f>IF(N11&gt;=75,"Strong",IF(N11&gt;=55,"Solid",IF(N11&gt;=40,"Moderate",IF(N11&gt;=25,"Weak","Thin"))))</f>
        <v>Strong</v>
      </c>
    </row>
    <row r="13">
      <c r="B13" s="147"/>
      <c r="C13" s="162"/>
      <c r="D13" s="163">
        <v>1693.0</v>
      </c>
      <c r="E13" s="165" t="s">
        <v>12</v>
      </c>
      <c r="F13" s="166">
        <f t="shared" ref="F13:F19" si="1">IF(D13="","",IF(E13="Daily",D13,IF(E13="Weekly",D13/5,D13/21.655)))</f>
        <v>338.6</v>
      </c>
      <c r="G13" s="168" t="str">
        <f t="shared" ref="G13:G19" si="2">IF(OR(C13="",F13="",F13=0),"",C13*1.4/F13/21.655)</f>
        <v/>
      </c>
      <c r="M13" s="112" t="s">
        <v>142</v>
      </c>
      <c r="N13" s="149">
        <f>IF(N11&gt;=75,150,IF(N11&gt;=55,140,IF(N11&gt;=40,130,IF(N11&gt;=25,120,100))))</f>
        <v>150</v>
      </c>
    </row>
    <row r="14">
      <c r="B14" s="147"/>
      <c r="C14" s="162"/>
      <c r="D14" s="163">
        <v>1006.0</v>
      </c>
      <c r="E14" s="165" t="s">
        <v>12</v>
      </c>
      <c r="F14" s="166">
        <f t="shared" si="1"/>
        <v>201.2</v>
      </c>
      <c r="G14" s="168" t="str">
        <f t="shared" si="2"/>
        <v/>
      </c>
      <c r="M14" s="112" t="s">
        <v>145</v>
      </c>
      <c r="N14" s="149">
        <f>N13/5</f>
        <v>30</v>
      </c>
    </row>
    <row r="15">
      <c r="B15" s="147"/>
      <c r="C15" s="162"/>
      <c r="D15" s="163"/>
      <c r="E15" s="165"/>
      <c r="F15" s="166" t="str">
        <f t="shared" si="1"/>
        <v/>
      </c>
      <c r="G15" s="168" t="str">
        <f t="shared" si="2"/>
        <v/>
      </c>
    </row>
    <row r="16">
      <c r="B16" s="147"/>
      <c r="C16" s="162"/>
      <c r="D16" s="163"/>
      <c r="E16" s="165"/>
      <c r="F16" s="166" t="str">
        <f t="shared" si="1"/>
        <v/>
      </c>
      <c r="G16" s="168" t="str">
        <f t="shared" si="2"/>
        <v/>
      </c>
      <c r="M16" s="112" t="s">
        <v>147</v>
      </c>
      <c r="N16" s="174">
        <f>IF(N11&gt;=75,1.4,IF(N11&gt;=40,1.45,1.49))</f>
        <v>1.4</v>
      </c>
    </row>
    <row r="17">
      <c r="B17" s="147"/>
      <c r="C17" s="162"/>
      <c r="D17" s="163"/>
      <c r="E17" s="165"/>
      <c r="F17" s="166" t="str">
        <f t="shared" si="1"/>
        <v/>
      </c>
      <c r="G17" s="168" t="str">
        <f t="shared" si="2"/>
        <v/>
      </c>
      <c r="M17" s="112" t="s">
        <v>148</v>
      </c>
      <c r="N17" s="149" t="str">
        <f>IF(OR(N3&gt;=3,N11&lt;40),"Daily","Weekly")</f>
        <v>Daily</v>
      </c>
    </row>
    <row r="18">
      <c r="B18" s="147"/>
      <c r="C18" s="162"/>
      <c r="D18" s="162"/>
      <c r="E18" s="177"/>
      <c r="F18" s="166" t="str">
        <f t="shared" si="1"/>
        <v/>
      </c>
      <c r="G18" s="168" t="str">
        <f t="shared" si="2"/>
        <v/>
      </c>
      <c r="M18" s="112" t="s">
        <v>150</v>
      </c>
      <c r="N18" s="178">
        <f>MAX(0,MIN(F35*C9/21.655,F33*C9/21.655-F20,IF(F9&gt;0,F36*F9-F20,1000000000000000)))</f>
        <v>332.9776495</v>
      </c>
    </row>
    <row r="19">
      <c r="B19" s="147"/>
      <c r="C19" s="162"/>
      <c r="D19" s="162"/>
      <c r="E19" s="177"/>
      <c r="F19" s="166" t="str">
        <f t="shared" si="1"/>
        <v/>
      </c>
      <c r="G19" s="168" t="str">
        <f t="shared" si="2"/>
        <v/>
      </c>
      <c r="M19" s="112" t="s">
        <v>151</v>
      </c>
      <c r="N19" s="179">
        <f>IF(OR(C9=0,N18&lt;=0),0,FLOOR(MIN(N18*N13/N16,$F$37*C9),500))</f>
        <v>35500</v>
      </c>
    </row>
    <row r="20">
      <c r="B20" s="180" t="s">
        <v>51</v>
      </c>
      <c r="F20" s="181">
        <f>SUM(F13:F19)</f>
        <v>539.8</v>
      </c>
      <c r="M20" s="112" t="s">
        <v>152</v>
      </c>
      <c r="N20" s="179">
        <f>IF(N19=0,0,N19*N16/N13)</f>
        <v>331.3333333</v>
      </c>
    </row>
    <row r="21" ht="15.75" customHeight="1">
      <c r="B21" s="180" t="s">
        <v>153</v>
      </c>
      <c r="F21" s="181">
        <f>F20+IF(H5="",0,H5)</f>
        <v>1036.466667</v>
      </c>
      <c r="M21" s="112" t="s">
        <v>154</v>
      </c>
      <c r="N21" s="179">
        <f>N20*5</f>
        <v>1656.666667</v>
      </c>
    </row>
    <row r="22" ht="15.75" customHeight="1">
      <c r="B22" s="180" t="s">
        <v>155</v>
      </c>
      <c r="F22" s="181">
        <f>F21*21.655</f>
        <v>22444.68567</v>
      </c>
      <c r="M22" s="112" t="s">
        <v>156</v>
      </c>
      <c r="N22" s="149" t="str">
        <f>N3&amp;IF(OR(N3=11,N3=12,N3=13),"th",IF(MOD(N3,10)=1,"st",IF(MOD(N3,10)=2,"nd",IF(MOD(N3,10)=3,"rd","th"))))</f>
        <v>3rd</v>
      </c>
    </row>
    <row r="23" ht="15.75" customHeight="1"/>
    <row r="24" ht="15.75" customHeight="1">
      <c r="B24" s="182" t="s">
        <v>157</v>
      </c>
      <c r="C24" s="6"/>
      <c r="D24" s="6"/>
      <c r="E24" s="6"/>
      <c r="F24" s="6"/>
      <c r="G24" s="6"/>
      <c r="H24" s="6"/>
      <c r="I24" s="7"/>
    </row>
    <row r="25" ht="15.75" customHeight="1">
      <c r="B25" s="128"/>
      <c r="C25" s="128" t="s">
        <v>5</v>
      </c>
      <c r="D25" s="128" t="s">
        <v>158</v>
      </c>
      <c r="E25" s="128" t="s">
        <v>6</v>
      </c>
      <c r="F25" s="128" t="s">
        <v>159</v>
      </c>
    </row>
    <row r="26" ht="15.75" customHeight="1">
      <c r="B26" s="153">
        <f>IF(N19=0,"",N19)</f>
        <v>35500</v>
      </c>
      <c r="C26" s="183">
        <f>IF(N19=0,"",N16)</f>
        <v>1.4</v>
      </c>
      <c r="D26" s="184" t="str">
        <f>IF(N19=0,"",N14&amp;" wk / "&amp;N13&amp;" daily")</f>
        <v>30 wk / 150 daily</v>
      </c>
      <c r="E26" s="184" t="str">
        <f>IF(N19=0,"",N17)</f>
        <v>Daily</v>
      </c>
      <c r="F26" s="153">
        <f>IF(N19=0,"",IF(N17="Daily",N20,N21))</f>
        <v>331.3333333</v>
      </c>
    </row>
    <row r="27" ht="15.75" customHeight="1">
      <c r="B27" s="112"/>
    </row>
    <row r="28" ht="15.75" customHeight="1">
      <c r="B28" s="185"/>
    </row>
    <row r="29" ht="15.75" customHeight="1"/>
    <row r="30" ht="15.75" customHeight="1"/>
    <row r="31" ht="15.75" customHeight="1">
      <c r="B31" s="127" t="s">
        <v>160</v>
      </c>
      <c r="C31" s="6"/>
      <c r="D31" s="6"/>
      <c r="E31" s="6"/>
      <c r="F31" s="6"/>
      <c r="G31" s="6"/>
      <c r="H31" s="7"/>
    </row>
    <row r="32" ht="15.75" customHeight="1">
      <c r="B32" s="186" t="s">
        <v>8</v>
      </c>
      <c r="C32" s="128" t="s">
        <v>161</v>
      </c>
      <c r="D32" s="128" t="s">
        <v>54</v>
      </c>
      <c r="E32" s="128" t="s">
        <v>121</v>
      </c>
      <c r="F32" s="128" t="s">
        <v>162</v>
      </c>
      <c r="G32" s="128" t="s">
        <v>163</v>
      </c>
      <c r="H32" s="128" t="s">
        <v>58</v>
      </c>
    </row>
    <row r="33" ht="15.75" customHeight="1">
      <c r="B33" s="147" t="s">
        <v>164</v>
      </c>
      <c r="C33" s="187" t="s">
        <v>165</v>
      </c>
      <c r="D33" s="188">
        <f>IF(C9=0,"",F22/C9)</f>
        <v>0.3562648519</v>
      </c>
      <c r="E33" s="189" t="s">
        <v>166</v>
      </c>
      <c r="F33" s="167">
        <v>0.3</v>
      </c>
      <c r="G33" s="167">
        <v>0.45</v>
      </c>
      <c r="H33" s="167">
        <v>0.6</v>
      </c>
      <c r="J33" s="112" t="s">
        <v>167</v>
      </c>
      <c r="K33" s="149">
        <f>IF(AND(ISNUMBER(D33),D33&gt;G33),1,0)+IF(AND(ISNUMBER(D34),D34&lt;G34),1,0)+IF(AND(ISNUMBER(D35),D35&gt;G35),1,0)+IF(AND(ISNUMBER(D36),D36&gt;G36),1,0)+IF(AND(ISNUMBER(D37),D37&gt;G37),1,0)</f>
        <v>0</v>
      </c>
    </row>
    <row r="34" ht="15.75" customHeight="1">
      <c r="B34" s="190" t="s">
        <v>119</v>
      </c>
      <c r="C34" s="187" t="s">
        <v>168</v>
      </c>
      <c r="D34" s="188">
        <f>IF(C9=0,"",F9/C9)</f>
        <v>0.4888888889</v>
      </c>
      <c r="E34" s="189" t="s">
        <v>169</v>
      </c>
      <c r="F34" s="167">
        <v>0.15</v>
      </c>
      <c r="G34" s="167">
        <v>0.08</v>
      </c>
      <c r="H34" s="158">
        <v>0.035</v>
      </c>
      <c r="J34" s="112" t="s">
        <v>170</v>
      </c>
      <c r="K34" s="149">
        <f>IF(AND(ISNUMBER(D33),D33&lt;=F33),1,0)+IF(AND(ISNUMBER(D34),D34&gt;=F34),1,0)+IF(AND(ISNUMBER(D35),D35&lt;=F35),1,0)+IF(AND(ISNUMBER(D36),D36&lt;=F36),1,0)+IF(AND(ISNUMBER(D37),D37&lt;=F37),1,0)</f>
        <v>4</v>
      </c>
    </row>
    <row r="35" ht="15.75" customHeight="1">
      <c r="B35" s="147" t="s">
        <v>60</v>
      </c>
      <c r="C35" s="187" t="s">
        <v>171</v>
      </c>
      <c r="D35" s="188">
        <f>IF(OR(E6="",C9=0),"",E6/C9)</f>
        <v>0.1707193122</v>
      </c>
      <c r="E35" s="189" t="s">
        <v>172</v>
      </c>
      <c r="F35" s="167">
        <v>0.18</v>
      </c>
      <c r="G35" s="167">
        <v>0.25</v>
      </c>
      <c r="H35" s="167">
        <v>0.35</v>
      </c>
      <c r="J35" s="112" t="s">
        <v>173</v>
      </c>
      <c r="K35" s="149" t="b">
        <f>OR(AND(ISNUMBER(D33),D33&gt;H33),AND(ISNUMBER(D34),D34&lt;H34),AND(ISNUMBER(D35),D35&gt;H35),AND(ISNUMBER(D36),D36&gt;H36),AND(ISNUMBER(D37),D37&gt;H37))</f>
        <v>0</v>
      </c>
    </row>
    <row r="36" ht="15.75" customHeight="1">
      <c r="B36" s="147" t="s">
        <v>174</v>
      </c>
      <c r="C36" s="187" t="s">
        <v>175</v>
      </c>
      <c r="D36" s="188">
        <f>IF(F9=0,"",F21/F9)</f>
        <v>0.03365151515</v>
      </c>
      <c r="E36" s="189" t="s">
        <v>176</v>
      </c>
      <c r="F36" s="167">
        <v>0.45</v>
      </c>
      <c r="G36" s="167">
        <v>0.75</v>
      </c>
      <c r="H36" s="167">
        <v>1.0</v>
      </c>
      <c r="J36" s="141" t="s">
        <v>177</v>
      </c>
      <c r="K36" s="149">
        <f>SUMPRODUCT(--ISNUMBER(D33:D37))-K33-K34</f>
        <v>1</v>
      </c>
    </row>
    <row r="37" ht="15.75" customHeight="1">
      <c r="B37" s="147" t="s">
        <v>178</v>
      </c>
      <c r="C37" s="187" t="s">
        <v>179</v>
      </c>
      <c r="D37" s="191">
        <f>IF(OR(B5="",C9=0),"",B5/C9)</f>
        <v>0.6349206349</v>
      </c>
      <c r="E37" s="189" t="s">
        <v>180</v>
      </c>
      <c r="F37" s="192">
        <v>0.75</v>
      </c>
      <c r="G37" s="192">
        <v>1.2</v>
      </c>
      <c r="H37" s="192">
        <v>1.4</v>
      </c>
    </row>
    <row r="38" ht="15.75" customHeight="1"/>
    <row r="39" ht="15.75" customHeight="1">
      <c r="B39" s="127" t="s">
        <v>181</v>
      </c>
      <c r="C39" s="6"/>
      <c r="D39" s="6"/>
      <c r="E39" s="6"/>
      <c r="F39" s="6"/>
      <c r="G39" s="6"/>
      <c r="H39" s="7"/>
    </row>
    <row r="40" ht="15.75" customHeight="1">
      <c r="B40" s="128" t="s">
        <v>182</v>
      </c>
      <c r="C40" s="128" t="s">
        <v>25</v>
      </c>
      <c r="D40" s="128" t="s">
        <v>26</v>
      </c>
      <c r="E40" s="128" t="s">
        <v>183</v>
      </c>
      <c r="F40" s="128" t="s">
        <v>184</v>
      </c>
      <c r="G40" s="128" t="s">
        <v>185</v>
      </c>
    </row>
    <row r="41" ht="15.75" customHeight="1">
      <c r="B41" s="177" t="s">
        <v>32</v>
      </c>
      <c r="C41" s="163">
        <v>74000.0</v>
      </c>
      <c r="D41" s="163">
        <v>16700.0</v>
      </c>
      <c r="E41" s="193">
        <f t="shared" ref="E41:E48" si="3">IF(OR(C41="",C42=""),"",(C41-C42)/C42)</f>
        <v>0.3454545455</v>
      </c>
      <c r="F41" s="193">
        <f t="shared" ref="F41:F48" si="4">IF(C41="","",D41/C41)</f>
        <v>0.2256756757</v>
      </c>
      <c r="G41" s="194">
        <f t="shared" ref="G41:G48" si="5">IF(C41="","",$B$5/C41)</f>
        <v>0.5405405405</v>
      </c>
    </row>
    <row r="42" ht="15.75" customHeight="1">
      <c r="B42" s="177" t="s">
        <v>35</v>
      </c>
      <c r="C42" s="163">
        <v>55000.0</v>
      </c>
      <c r="D42" s="163">
        <v>25700.0</v>
      </c>
      <c r="E42" s="193">
        <f t="shared" si="3"/>
        <v>-0.08333333333</v>
      </c>
      <c r="F42" s="193">
        <f t="shared" si="4"/>
        <v>0.4672727273</v>
      </c>
      <c r="G42" s="194">
        <f t="shared" si="5"/>
        <v>0.7272727273</v>
      </c>
    </row>
    <row r="43" ht="15.75" customHeight="1">
      <c r="B43" s="177" t="s">
        <v>36</v>
      </c>
      <c r="C43" s="163">
        <v>60000.0</v>
      </c>
      <c r="D43" s="163">
        <v>50000.0</v>
      </c>
      <c r="E43" s="193" t="str">
        <f t="shared" si="3"/>
        <v/>
      </c>
      <c r="F43" s="193">
        <f t="shared" si="4"/>
        <v>0.8333333333</v>
      </c>
      <c r="G43" s="194">
        <f t="shared" si="5"/>
        <v>0.6666666667</v>
      </c>
    </row>
    <row r="44" ht="15.75" customHeight="1">
      <c r="B44" s="177" t="s">
        <v>37</v>
      </c>
      <c r="C44" s="163"/>
      <c r="D44" s="163"/>
      <c r="E44" s="193" t="str">
        <f t="shared" si="3"/>
        <v/>
      </c>
      <c r="F44" s="193" t="str">
        <f t="shared" si="4"/>
        <v/>
      </c>
      <c r="G44" s="194" t="str">
        <f t="shared" si="5"/>
        <v/>
      </c>
    </row>
    <row r="45" ht="15.75" customHeight="1">
      <c r="B45" s="195" t="s">
        <v>89</v>
      </c>
      <c r="C45" s="196"/>
      <c r="D45" s="196"/>
      <c r="E45" s="193" t="str">
        <f t="shared" si="3"/>
        <v/>
      </c>
      <c r="F45" s="193" t="str">
        <f t="shared" si="4"/>
        <v/>
      </c>
      <c r="G45" s="194" t="str">
        <f t="shared" si="5"/>
        <v/>
      </c>
    </row>
    <row r="46" ht="15.75" customHeight="1">
      <c r="B46" s="195" t="s">
        <v>186</v>
      </c>
      <c r="C46" s="196"/>
      <c r="D46" s="196"/>
      <c r="E46" s="193" t="str">
        <f t="shared" si="3"/>
        <v/>
      </c>
      <c r="F46" s="193" t="str">
        <f t="shared" si="4"/>
        <v/>
      </c>
      <c r="G46" s="194" t="str">
        <f t="shared" si="5"/>
        <v/>
      </c>
    </row>
    <row r="47" ht="15.75" customHeight="1">
      <c r="B47" s="195" t="s">
        <v>187</v>
      </c>
      <c r="C47" s="196"/>
      <c r="D47" s="196"/>
      <c r="E47" s="193" t="str">
        <f t="shared" si="3"/>
        <v/>
      </c>
      <c r="F47" s="193" t="str">
        <f t="shared" si="4"/>
        <v/>
      </c>
      <c r="G47" s="194" t="str">
        <f t="shared" si="5"/>
        <v/>
      </c>
    </row>
    <row r="48" ht="15.75" customHeight="1">
      <c r="B48" s="195" t="s">
        <v>188</v>
      </c>
      <c r="C48" s="196"/>
      <c r="D48" s="196"/>
      <c r="E48" s="193" t="str">
        <f t="shared" si="3"/>
        <v/>
      </c>
      <c r="F48" s="193" t="str">
        <f t="shared" si="4"/>
        <v/>
      </c>
      <c r="G48" s="194" t="str">
        <f t="shared" si="5"/>
        <v/>
      </c>
    </row>
    <row r="49" ht="15.75" customHeight="1"/>
    <row r="50" ht="15.75" customHeight="1"/>
    <row r="51" ht="15.75" customHeight="1">
      <c r="B51" s="180" t="s">
        <v>189</v>
      </c>
      <c r="C51" s="181">
        <f t="shared" ref="C51:G51" si="6">IFERROR(AVERAGE(C41:C48),"")</f>
        <v>63000</v>
      </c>
      <c r="D51" s="181">
        <f t="shared" si="6"/>
        <v>30800</v>
      </c>
      <c r="E51" s="197">
        <f t="shared" si="6"/>
        <v>0.1310606061</v>
      </c>
      <c r="F51" s="197">
        <f t="shared" si="6"/>
        <v>0.5087605788</v>
      </c>
      <c r="G51" s="197">
        <f t="shared" si="6"/>
        <v>0.6448266448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1" t="s">
        <v>108</v>
      </c>
    </row>
    <row r="2">
      <c r="B2" s="123" t="s">
        <v>109</v>
      </c>
      <c r="C2" s="124" t="str">
        <f>IF(C9=0,"",IF(OR(K35,K33&gt;=3),"DECLINE",IF(K34=5,"FUND","CONDITIONAL")))</f>
        <v>CONDITIONAL</v>
      </c>
      <c r="D2" s="105"/>
      <c r="E2" s="112" t="str">
        <f>IF(C9=0,"Enter the months below to begin.",IF(K35,"Knockout: a check is past its line.",IF(K33&gt;=3,K33&amp;" red checks (3+ auto-declines).",IF(K34=5,"All 5 checks green.",K34&amp;" green / "&amp;K36&amp;" amber / "&amp;K33&amp;" red."))))</f>
        <v>4 green / 1 amber / 0 red.</v>
      </c>
      <c r="M2" s="112" t="s">
        <v>110</v>
      </c>
      <c r="N2" s="107">
        <f>COUNT(F13:F19)</f>
        <v>1</v>
      </c>
    </row>
    <row r="3">
      <c r="B3" s="127" t="s">
        <v>112</v>
      </c>
      <c r="C3" s="6"/>
      <c r="D3" s="6"/>
      <c r="E3" s="6"/>
      <c r="F3" s="6"/>
      <c r="G3" s="6"/>
      <c r="H3" s="6"/>
      <c r="I3" s="7"/>
      <c r="M3" s="112" t="s">
        <v>113</v>
      </c>
      <c r="N3" s="111">
        <f>N2+1</f>
        <v>2</v>
      </c>
    </row>
    <row r="4">
      <c r="B4" s="128" t="s">
        <v>4</v>
      </c>
      <c r="C4" s="128" t="s">
        <v>5</v>
      </c>
      <c r="D4" s="128" t="s">
        <v>114</v>
      </c>
      <c r="E4" s="128" t="s">
        <v>6</v>
      </c>
      <c r="F4" s="128" t="s">
        <v>7</v>
      </c>
      <c r="G4" s="128" t="s">
        <v>14</v>
      </c>
      <c r="H4" s="128" t="s">
        <v>115</v>
      </c>
      <c r="I4" s="128" t="s">
        <v>116</v>
      </c>
      <c r="M4" s="112" t="s">
        <v>117</v>
      </c>
      <c r="N4" s="114">
        <f>IF(C9=0,0,F20*21.655/C9)</f>
        <v>0.2265446154</v>
      </c>
    </row>
    <row r="5">
      <c r="B5" s="130">
        <v>20000.0</v>
      </c>
      <c r="C5" s="131">
        <v>1.45</v>
      </c>
      <c r="D5" s="132">
        <v>26.0</v>
      </c>
      <c r="E5" s="133" t="s">
        <v>12</v>
      </c>
      <c r="F5" s="134">
        <v>0.05</v>
      </c>
      <c r="G5" s="137">
        <f>IF(OR(B5="",C5=""),"",B5*C5)</f>
        <v>29000</v>
      </c>
      <c r="H5" s="137">
        <f>IF(OR(D5="",D5=0),"",IF(E5="Weekly",(G5/D5)/5,G5/D5))</f>
        <v>223.0769231</v>
      </c>
      <c r="I5" s="137">
        <f>IF(B5="","",B5-(B5*F5))</f>
        <v>19000</v>
      </c>
      <c r="M5" s="141" t="s">
        <v>125</v>
      </c>
      <c r="N5" s="114">
        <f>IF(C9=0,0,F9/C9)</f>
        <v>0.3504273504</v>
      </c>
    </row>
    <row r="6">
      <c r="B6" s="143" t="s">
        <v>16</v>
      </c>
      <c r="C6" s="209">
        <f>IF(H5="","",H5*5)</f>
        <v>1115.384615</v>
      </c>
      <c r="D6" s="143" t="s">
        <v>124</v>
      </c>
      <c r="E6" s="144">
        <f>IF(H5="","",H5*21.655)</f>
        <v>4830.730769</v>
      </c>
      <c r="F6" s="143" t="s">
        <v>18</v>
      </c>
      <c r="G6" s="146">
        <f>IF(OR(D5="",D5=0),"",IF(E5="Weekly",D5,D5/5)/4.33)</f>
        <v>6.004618938</v>
      </c>
      <c r="M6" s="112" t="s">
        <v>126</v>
      </c>
      <c r="N6" s="114">
        <f>IFERROR(AVERAGE(E41:E43),"na")</f>
        <v>-0.07790413014</v>
      </c>
    </row>
    <row r="7">
      <c r="M7" s="112" t="s">
        <v>128</v>
      </c>
      <c r="N7" s="149">
        <f>IF(N3&lt;=1,30,IF(N3=2,22,IF(N3=3,12,IF(N3=4,4,0))))</f>
        <v>22</v>
      </c>
    </row>
    <row r="8">
      <c r="B8" s="127" t="s">
        <v>129</v>
      </c>
      <c r="C8" s="6"/>
      <c r="D8" s="6"/>
      <c r="E8" s="6"/>
      <c r="F8" s="6"/>
      <c r="G8" s="6"/>
      <c r="H8" s="6"/>
      <c r="I8" s="7"/>
      <c r="M8" s="112" t="s">
        <v>130</v>
      </c>
      <c r="N8" s="149">
        <f>IF(N4&lt;0.1,25,IF(N4&lt;0.2,18,IF(N4&lt;0.3,8,0)))</f>
        <v>8</v>
      </c>
    </row>
    <row r="9">
      <c r="B9" s="151" t="s">
        <v>131</v>
      </c>
      <c r="C9" s="153">
        <f>IF(COUNT(C41:C48)=0,0,SUM(C41:C48)/COUNT(C41:C48))</f>
        <v>58500</v>
      </c>
      <c r="E9" s="151" t="s">
        <v>132</v>
      </c>
      <c r="F9" s="153">
        <f>IF(COUNT(D41:D48)=0,0,SUM(D41:D48)/COUNT(D41:D48))</f>
        <v>20500</v>
      </c>
      <c r="M9" s="112" t="s">
        <v>133</v>
      </c>
      <c r="N9" s="149">
        <f>IF(N5&gt;=0.25,25,IF(N5&gt;=0.15,18,IF(N5&gt;=0.08,8,0)))</f>
        <v>25</v>
      </c>
    </row>
    <row r="10">
      <c r="B10" s="112"/>
      <c r="M10" s="112" t="s">
        <v>134</v>
      </c>
      <c r="N10" s="149">
        <f>IF(N6="na",12,IF(N6&gt;=0.05,20,IF(N6&gt;=-0.05,12,IF(N6&gt;=-0.15,4,0))))</f>
        <v>4</v>
      </c>
    </row>
    <row r="11">
      <c r="B11" s="127" t="s">
        <v>136</v>
      </c>
      <c r="C11" s="6"/>
      <c r="D11" s="6"/>
      <c r="E11" s="6"/>
      <c r="F11" s="6"/>
      <c r="G11" s="6"/>
      <c r="H11" s="6"/>
      <c r="I11" s="7"/>
      <c r="M11" s="159" t="s">
        <v>137</v>
      </c>
      <c r="N11" s="160">
        <f>N7+N8+N9+N10</f>
        <v>59</v>
      </c>
    </row>
    <row r="12">
      <c r="B12" s="128" t="s">
        <v>42</v>
      </c>
      <c r="C12" s="128" t="s">
        <v>43</v>
      </c>
      <c r="D12" s="128" t="s">
        <v>44</v>
      </c>
      <c r="E12" s="128" t="s">
        <v>6</v>
      </c>
      <c r="F12" s="128" t="s">
        <v>45</v>
      </c>
      <c r="G12" s="128" t="s">
        <v>139</v>
      </c>
      <c r="M12" s="112" t="s">
        <v>140</v>
      </c>
      <c r="N12" s="149" t="str">
        <f>IF(N11&gt;=75,"Strong",IF(N11&gt;=55,"Solid",IF(N11&gt;=40,"Moderate",IF(N11&gt;=25,"Weak","Thin"))))</f>
        <v>Solid</v>
      </c>
    </row>
    <row r="13">
      <c r="B13" s="147"/>
      <c r="C13" s="163">
        <v>116000.0</v>
      </c>
      <c r="D13" s="163">
        <v>3060.0</v>
      </c>
      <c r="E13" s="165" t="s">
        <v>12</v>
      </c>
      <c r="F13" s="166">
        <f t="shared" ref="F13:F19" si="1">IF(D13="","",IF(E13="Daily",D13,IF(E13="Weekly",D13/5,D13/21.655)))</f>
        <v>612</v>
      </c>
      <c r="G13" s="168">
        <f t="shared" ref="G13:G19" si="2">IF(OR(C13="",F13="",F13=0),"",C13*1.4/F13/21.655)</f>
        <v>12.25395877</v>
      </c>
      <c r="M13" s="112" t="s">
        <v>142</v>
      </c>
      <c r="N13" s="149">
        <f>IF(N11&gt;=75,150,IF(N11&gt;=55,140,IF(N11&gt;=40,130,IF(N11&gt;=25,120,100))))</f>
        <v>140</v>
      </c>
    </row>
    <row r="14">
      <c r="B14" s="147"/>
      <c r="C14" s="162"/>
      <c r="D14" s="163"/>
      <c r="E14" s="165"/>
      <c r="F14" s="166" t="str">
        <f t="shared" si="1"/>
        <v/>
      </c>
      <c r="G14" s="168" t="str">
        <f t="shared" si="2"/>
        <v/>
      </c>
      <c r="M14" s="112" t="s">
        <v>145</v>
      </c>
      <c r="N14" s="149">
        <f>N13/5</f>
        <v>28</v>
      </c>
    </row>
    <row r="15">
      <c r="B15" s="147"/>
      <c r="C15" s="162"/>
      <c r="D15" s="163"/>
      <c r="E15" s="165"/>
      <c r="F15" s="166" t="str">
        <f t="shared" si="1"/>
        <v/>
      </c>
      <c r="G15" s="168" t="str">
        <f t="shared" si="2"/>
        <v/>
      </c>
    </row>
    <row r="16">
      <c r="B16" s="147"/>
      <c r="C16" s="162"/>
      <c r="D16" s="163"/>
      <c r="E16" s="165"/>
      <c r="F16" s="166" t="str">
        <f t="shared" si="1"/>
        <v/>
      </c>
      <c r="G16" s="168" t="str">
        <f t="shared" si="2"/>
        <v/>
      </c>
      <c r="M16" s="112" t="s">
        <v>147</v>
      </c>
      <c r="N16" s="174">
        <f>IF(N11&gt;=75,1.4,IF(N11&gt;=40,1.45,1.49))</f>
        <v>1.45</v>
      </c>
    </row>
    <row r="17">
      <c r="B17" s="147"/>
      <c r="C17" s="162"/>
      <c r="D17" s="163"/>
      <c r="E17" s="165"/>
      <c r="F17" s="166" t="str">
        <f t="shared" si="1"/>
        <v/>
      </c>
      <c r="G17" s="168" t="str">
        <f t="shared" si="2"/>
        <v/>
      </c>
      <c r="M17" s="112" t="s">
        <v>148</v>
      </c>
      <c r="N17" s="149" t="str">
        <f>IF(OR(N3&gt;=3,N11&lt;40),"Daily","Weekly")</f>
        <v>Weekly</v>
      </c>
    </row>
    <row r="18">
      <c r="B18" s="147"/>
      <c r="C18" s="162"/>
      <c r="D18" s="162"/>
      <c r="E18" s="177"/>
      <c r="F18" s="166" t="str">
        <f t="shared" si="1"/>
        <v/>
      </c>
      <c r="G18" s="168" t="str">
        <f t="shared" si="2"/>
        <v/>
      </c>
      <c r="M18" s="112" t="s">
        <v>150</v>
      </c>
      <c r="N18" s="178">
        <f>MAX(0,MIN(F35*C9/21.655,F33*C9/21.655-F20,IF(F9&gt;0,F36*F9-F20,1000000000000000)))</f>
        <v>198.4363888</v>
      </c>
    </row>
    <row r="19">
      <c r="B19" s="147"/>
      <c r="C19" s="162"/>
      <c r="D19" s="162"/>
      <c r="E19" s="177"/>
      <c r="F19" s="166" t="str">
        <f t="shared" si="1"/>
        <v/>
      </c>
      <c r="G19" s="168" t="str">
        <f t="shared" si="2"/>
        <v/>
      </c>
      <c r="M19" s="112" t="s">
        <v>151</v>
      </c>
      <c r="N19" s="179">
        <f>IF(OR(C9=0,N18&lt;=0),0,FLOOR(MIN(N18*N13/N16,$F$37*C9),500))</f>
        <v>19000</v>
      </c>
    </row>
    <row r="20">
      <c r="B20" s="180" t="s">
        <v>51</v>
      </c>
      <c r="F20" s="181">
        <f>SUM(F13:F19)</f>
        <v>612</v>
      </c>
      <c r="M20" s="112" t="s">
        <v>152</v>
      </c>
      <c r="N20" s="179">
        <f>IF(N19=0,0,N19*N16/N13)</f>
        <v>196.7857143</v>
      </c>
    </row>
    <row r="21" ht="15.75" customHeight="1">
      <c r="B21" s="180" t="s">
        <v>153</v>
      </c>
      <c r="F21" s="181">
        <f>F20+IF(H5="",0,H5)</f>
        <v>835.0769231</v>
      </c>
      <c r="M21" s="112" t="s">
        <v>154</v>
      </c>
      <c r="N21" s="179">
        <f>N20*5</f>
        <v>983.9285714</v>
      </c>
    </row>
    <row r="22" ht="15.75" customHeight="1">
      <c r="B22" s="180" t="s">
        <v>155</v>
      </c>
      <c r="F22" s="181">
        <f>F21*21.655</f>
        <v>18083.59077</v>
      </c>
      <c r="M22" s="112" t="s">
        <v>156</v>
      </c>
      <c r="N22" s="149" t="str">
        <f>N3&amp;IF(OR(N3=11,N3=12,N3=13),"th",IF(MOD(N3,10)=1,"st",IF(MOD(N3,10)=2,"nd",IF(MOD(N3,10)=3,"rd","th"))))</f>
        <v>2nd</v>
      </c>
    </row>
    <row r="23" ht="15.75" customHeight="1"/>
    <row r="24" ht="15.75" customHeight="1">
      <c r="B24" s="182" t="s">
        <v>157</v>
      </c>
      <c r="C24" s="6"/>
      <c r="D24" s="6"/>
      <c r="E24" s="6"/>
      <c r="F24" s="6"/>
      <c r="G24" s="6"/>
      <c r="H24" s="6"/>
      <c r="I24" s="7"/>
    </row>
    <row r="25" ht="15.75" customHeight="1">
      <c r="B25" s="128"/>
      <c r="C25" s="128" t="s">
        <v>5</v>
      </c>
      <c r="D25" s="128" t="s">
        <v>158</v>
      </c>
      <c r="E25" s="128" t="s">
        <v>6</v>
      </c>
      <c r="F25" s="128" t="s">
        <v>159</v>
      </c>
    </row>
    <row r="26" ht="15.75" customHeight="1">
      <c r="B26" s="153">
        <f>IF(N19=0,"",N19)</f>
        <v>19000</v>
      </c>
      <c r="C26" s="183">
        <f>IF(N19=0,"",N16)</f>
        <v>1.45</v>
      </c>
      <c r="D26" s="184" t="str">
        <f>IF(N19=0,"",N14&amp;" wk / "&amp;N13&amp;" daily")</f>
        <v>28 wk / 140 daily</v>
      </c>
      <c r="E26" s="184" t="str">
        <f>IF(N19=0,"",N17)</f>
        <v>Weekly</v>
      </c>
      <c r="F26" s="153">
        <f>IF(N19=0,"",IF(N17="Daily",N20,N21))</f>
        <v>983.9285714</v>
      </c>
    </row>
    <row r="27" ht="15.75" customHeight="1">
      <c r="B27" s="112"/>
    </row>
    <row r="28" ht="15.75" customHeight="1">
      <c r="B28" s="185"/>
    </row>
    <row r="29" ht="15.75" customHeight="1"/>
    <row r="30" ht="15.75" customHeight="1"/>
    <row r="31" ht="15.75" customHeight="1">
      <c r="B31" s="127" t="s">
        <v>160</v>
      </c>
      <c r="C31" s="6"/>
      <c r="D31" s="6"/>
      <c r="E31" s="6"/>
      <c r="F31" s="6"/>
      <c r="G31" s="6"/>
      <c r="H31" s="7"/>
    </row>
    <row r="32" ht="15.75" customHeight="1">
      <c r="B32" s="186" t="s">
        <v>8</v>
      </c>
      <c r="C32" s="128" t="s">
        <v>161</v>
      </c>
      <c r="D32" s="128" t="s">
        <v>54</v>
      </c>
      <c r="E32" s="128" t="s">
        <v>121</v>
      </c>
      <c r="F32" s="128" t="s">
        <v>162</v>
      </c>
      <c r="G32" s="128" t="s">
        <v>163</v>
      </c>
      <c r="H32" s="128" t="s">
        <v>58</v>
      </c>
    </row>
    <row r="33" ht="15.75" customHeight="1">
      <c r="B33" s="147" t="s">
        <v>164</v>
      </c>
      <c r="C33" s="187" t="s">
        <v>165</v>
      </c>
      <c r="D33" s="188">
        <f>IF(C9=0,"",F22/C9)</f>
        <v>0.3091212097</v>
      </c>
      <c r="E33" s="189" t="s">
        <v>166</v>
      </c>
      <c r="F33" s="167">
        <v>0.3</v>
      </c>
      <c r="G33" s="167">
        <v>0.45</v>
      </c>
      <c r="H33" s="167">
        <v>0.6</v>
      </c>
      <c r="J33" s="112" t="s">
        <v>167</v>
      </c>
      <c r="K33" s="149">
        <f>IF(AND(ISNUMBER(D33),D33&gt;G33),1,0)+IF(AND(ISNUMBER(D34),D34&lt;G34),1,0)+IF(AND(ISNUMBER(D35),D35&gt;G35),1,0)+IF(AND(ISNUMBER(D36),D36&gt;G36),1,0)+IF(AND(ISNUMBER(D37),D37&gt;G37),1,0)</f>
        <v>0</v>
      </c>
    </row>
    <row r="34" ht="15.75" customHeight="1">
      <c r="B34" s="190" t="s">
        <v>119</v>
      </c>
      <c r="C34" s="187" t="s">
        <v>168</v>
      </c>
      <c r="D34" s="188">
        <f>IF(C9=0,"",F9/C9)</f>
        <v>0.3504273504</v>
      </c>
      <c r="E34" s="189" t="s">
        <v>169</v>
      </c>
      <c r="F34" s="167">
        <v>0.15</v>
      </c>
      <c r="G34" s="167">
        <v>0.08</v>
      </c>
      <c r="H34" s="167">
        <v>0.03</v>
      </c>
      <c r="J34" s="112" t="s">
        <v>170</v>
      </c>
      <c r="K34" s="149">
        <f>IF(AND(ISNUMBER(D33),D33&lt;=F33),1,0)+IF(AND(ISNUMBER(D34),D34&gt;=F34),1,0)+IF(AND(ISNUMBER(D35),D35&lt;=F35),1,0)+IF(AND(ISNUMBER(D36),D36&lt;=F36),1,0)+IF(AND(ISNUMBER(D37),D37&lt;=F37),1,0)</f>
        <v>4</v>
      </c>
    </row>
    <row r="35" ht="15.75" customHeight="1">
      <c r="B35" s="147" t="s">
        <v>60</v>
      </c>
      <c r="C35" s="187" t="s">
        <v>171</v>
      </c>
      <c r="D35" s="188">
        <f>IF(OR(E6="",C9=0),"",E6/C9)</f>
        <v>0.08257659435</v>
      </c>
      <c r="E35" s="189" t="s">
        <v>172</v>
      </c>
      <c r="F35" s="167">
        <v>0.18</v>
      </c>
      <c r="G35" s="167">
        <v>0.25</v>
      </c>
      <c r="H35" s="167">
        <v>0.35</v>
      </c>
      <c r="J35" s="112" t="s">
        <v>173</v>
      </c>
      <c r="K35" s="149" t="b">
        <f>OR(AND(ISNUMBER(D33),D33&gt;H33),AND(ISNUMBER(D34),D34&lt;H34),AND(ISNUMBER(D35),D35&gt;H35),AND(ISNUMBER(D36),D36&gt;H36),AND(ISNUMBER(D37),D37&gt;H37))</f>
        <v>0</v>
      </c>
    </row>
    <row r="36" ht="15.75" customHeight="1">
      <c r="B36" s="147" t="s">
        <v>174</v>
      </c>
      <c r="C36" s="187" t="s">
        <v>175</v>
      </c>
      <c r="D36" s="188">
        <f>IF(F9=0,"",F21/F9)</f>
        <v>0.04073545966</v>
      </c>
      <c r="E36" s="189" t="s">
        <v>176</v>
      </c>
      <c r="F36" s="167">
        <v>0.45</v>
      </c>
      <c r="G36" s="167">
        <v>0.75</v>
      </c>
      <c r="H36" s="167">
        <v>1.0</v>
      </c>
      <c r="J36" s="141" t="s">
        <v>177</v>
      </c>
      <c r="K36" s="149">
        <f>SUMPRODUCT(--ISNUMBER(D33:D37))-K33-K34</f>
        <v>1</v>
      </c>
    </row>
    <row r="37" ht="15.75" customHeight="1">
      <c r="B37" s="147" t="s">
        <v>178</v>
      </c>
      <c r="C37" s="187" t="s">
        <v>179</v>
      </c>
      <c r="D37" s="191">
        <f>IF(OR(B5="",C9=0),"",B5/C9)</f>
        <v>0.3418803419</v>
      </c>
      <c r="E37" s="189" t="s">
        <v>180</v>
      </c>
      <c r="F37" s="192">
        <v>0.75</v>
      </c>
      <c r="G37" s="192">
        <v>1.2</v>
      </c>
      <c r="H37" s="192">
        <v>1.4</v>
      </c>
    </row>
    <row r="38" ht="15.75" customHeight="1"/>
    <row r="39" ht="15.75" customHeight="1">
      <c r="B39" s="127" t="s">
        <v>181</v>
      </c>
      <c r="C39" s="6"/>
      <c r="D39" s="6"/>
      <c r="E39" s="6"/>
      <c r="F39" s="6"/>
      <c r="G39" s="6"/>
      <c r="H39" s="7"/>
    </row>
    <row r="40" ht="15.75" customHeight="1">
      <c r="B40" s="128" t="s">
        <v>182</v>
      </c>
      <c r="C40" s="128" t="s">
        <v>25</v>
      </c>
      <c r="D40" s="128" t="s">
        <v>26</v>
      </c>
      <c r="E40" s="128" t="s">
        <v>183</v>
      </c>
      <c r="F40" s="128" t="s">
        <v>184</v>
      </c>
      <c r="G40" s="128" t="s">
        <v>185</v>
      </c>
    </row>
    <row r="41" ht="15.75" customHeight="1">
      <c r="B41" s="177" t="s">
        <v>32</v>
      </c>
      <c r="C41" s="163">
        <v>50000.0</v>
      </c>
      <c r="D41" s="163">
        <v>23000.0</v>
      </c>
      <c r="E41" s="193">
        <f t="shared" ref="E41:E48" si="3">IF(OR(C41="",C42=""),"",(C41-C42)/C42)</f>
        <v>-0.2063492063</v>
      </c>
      <c r="F41" s="193">
        <f t="shared" ref="F41:F48" si="4">IF(C41="","",D41/C41)</f>
        <v>0.46</v>
      </c>
      <c r="G41" s="194">
        <f t="shared" ref="G41:G48" si="5">IF(C41="","",$B$5/C41)</f>
        <v>0.4</v>
      </c>
    </row>
    <row r="42" ht="15.75" customHeight="1">
      <c r="B42" s="177" t="s">
        <v>35</v>
      </c>
      <c r="C42" s="163">
        <v>63000.0</v>
      </c>
      <c r="D42" s="163">
        <v>28000.0</v>
      </c>
      <c r="E42" s="193">
        <f t="shared" si="3"/>
        <v>0.1666666667</v>
      </c>
      <c r="F42" s="193">
        <f t="shared" si="4"/>
        <v>0.4444444444</v>
      </c>
      <c r="G42" s="194">
        <f t="shared" si="5"/>
        <v>0.3174603175</v>
      </c>
    </row>
    <row r="43" ht="15.75" customHeight="1">
      <c r="B43" s="177" t="s">
        <v>36</v>
      </c>
      <c r="C43" s="163">
        <v>54000.0</v>
      </c>
      <c r="D43" s="163">
        <v>12000.0</v>
      </c>
      <c r="E43" s="193">
        <f t="shared" si="3"/>
        <v>-0.1940298507</v>
      </c>
      <c r="F43" s="193">
        <f t="shared" si="4"/>
        <v>0.2222222222</v>
      </c>
      <c r="G43" s="194">
        <f t="shared" si="5"/>
        <v>0.3703703704</v>
      </c>
    </row>
    <row r="44" ht="15.75" customHeight="1">
      <c r="B44" s="177" t="s">
        <v>37</v>
      </c>
      <c r="C44" s="163">
        <v>67000.0</v>
      </c>
      <c r="D44" s="163">
        <v>19000.0</v>
      </c>
      <c r="E44" s="193" t="str">
        <f t="shared" si="3"/>
        <v/>
      </c>
      <c r="F44" s="193">
        <f t="shared" si="4"/>
        <v>0.2835820896</v>
      </c>
      <c r="G44" s="194">
        <f t="shared" si="5"/>
        <v>0.2985074627</v>
      </c>
    </row>
    <row r="45" ht="15.75" customHeight="1">
      <c r="B45" s="195" t="s">
        <v>89</v>
      </c>
      <c r="C45" s="196"/>
      <c r="D45" s="196"/>
      <c r="E45" s="193" t="str">
        <f t="shared" si="3"/>
        <v/>
      </c>
      <c r="F45" s="193" t="str">
        <f t="shared" si="4"/>
        <v/>
      </c>
      <c r="G45" s="194" t="str">
        <f t="shared" si="5"/>
        <v/>
      </c>
    </row>
    <row r="46" ht="15.75" customHeight="1">
      <c r="B46" s="195" t="s">
        <v>186</v>
      </c>
      <c r="C46" s="196"/>
      <c r="D46" s="196"/>
      <c r="E46" s="193" t="str">
        <f t="shared" si="3"/>
        <v/>
      </c>
      <c r="F46" s="193" t="str">
        <f t="shared" si="4"/>
        <v/>
      </c>
      <c r="G46" s="194" t="str">
        <f t="shared" si="5"/>
        <v/>
      </c>
    </row>
    <row r="47" ht="15.75" customHeight="1">
      <c r="B47" s="195" t="s">
        <v>187</v>
      </c>
      <c r="C47" s="196"/>
      <c r="D47" s="196"/>
      <c r="E47" s="193" t="str">
        <f t="shared" si="3"/>
        <v/>
      </c>
      <c r="F47" s="193" t="str">
        <f t="shared" si="4"/>
        <v/>
      </c>
      <c r="G47" s="194" t="str">
        <f t="shared" si="5"/>
        <v/>
      </c>
    </row>
    <row r="48" ht="15.75" customHeight="1">
      <c r="B48" s="195" t="s">
        <v>188</v>
      </c>
      <c r="C48" s="196"/>
      <c r="D48" s="196"/>
      <c r="E48" s="193" t="str">
        <f t="shared" si="3"/>
        <v/>
      </c>
      <c r="F48" s="193" t="str">
        <f t="shared" si="4"/>
        <v/>
      </c>
      <c r="G48" s="194" t="str">
        <f t="shared" si="5"/>
        <v/>
      </c>
    </row>
    <row r="49" ht="15.75" customHeight="1"/>
    <row r="50" ht="15.75" customHeight="1"/>
    <row r="51" ht="15.75" customHeight="1">
      <c r="B51" s="180" t="s">
        <v>189</v>
      </c>
      <c r="C51" s="181">
        <f t="shared" ref="C51:G51" si="6">IFERROR(AVERAGE(C41:C48),"")</f>
        <v>58500</v>
      </c>
      <c r="D51" s="181">
        <f t="shared" si="6"/>
        <v>20500</v>
      </c>
      <c r="E51" s="197">
        <f t="shared" si="6"/>
        <v>-0.07790413014</v>
      </c>
      <c r="F51" s="197">
        <f t="shared" si="6"/>
        <v>0.3525621891</v>
      </c>
      <c r="G51" s="197">
        <f t="shared" si="6"/>
        <v>0.3465845376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1" t="s">
        <v>108</v>
      </c>
    </row>
    <row r="2">
      <c r="B2" s="123" t="s">
        <v>109</v>
      </c>
      <c r="C2" s="124" t="str">
        <f>IF(C9=0,"",IF(OR(K35,K33&gt;=3),"DECLINE",IF(K34=5,"FUND","CONDITIONAL")))</f>
        <v>FUND</v>
      </c>
      <c r="D2" s="105"/>
      <c r="E2" s="112" t="str">
        <f>IF(C9=0,"Enter the months below to begin.",IF(K35,"Knockout: a check is past its line.",IF(K33&gt;=3,K33&amp;" red checks (3+ auto-declines).",IF(K34=5,"All 5 checks green.",K34&amp;" green / "&amp;K36&amp;" amber / "&amp;K33&amp;" red."))))</f>
        <v>All 5 checks green.</v>
      </c>
      <c r="M2" s="112" t="s">
        <v>110</v>
      </c>
      <c r="N2" s="107">
        <f>COUNT(F13:F19)</f>
        <v>0</v>
      </c>
    </row>
    <row r="3">
      <c r="B3" s="127" t="s">
        <v>112</v>
      </c>
      <c r="C3" s="6"/>
      <c r="D3" s="6"/>
      <c r="E3" s="6"/>
      <c r="F3" s="6"/>
      <c r="G3" s="6"/>
      <c r="H3" s="6"/>
      <c r="I3" s="7"/>
      <c r="M3" s="112" t="s">
        <v>113</v>
      </c>
      <c r="N3" s="111">
        <f>N2+1</f>
        <v>1</v>
      </c>
    </row>
    <row r="4">
      <c r="B4" s="128" t="s">
        <v>4</v>
      </c>
      <c r="C4" s="128" t="s">
        <v>5</v>
      </c>
      <c r="D4" s="128" t="s">
        <v>114</v>
      </c>
      <c r="E4" s="128" t="s">
        <v>6</v>
      </c>
      <c r="F4" s="128" t="s">
        <v>7</v>
      </c>
      <c r="G4" s="128" t="s">
        <v>14</v>
      </c>
      <c r="H4" s="128" t="s">
        <v>115</v>
      </c>
      <c r="I4" s="128" t="s">
        <v>116</v>
      </c>
      <c r="M4" s="112" t="s">
        <v>117</v>
      </c>
      <c r="N4" s="114">
        <f>IF(C9=0,0,F20*21.655/C9)</f>
        <v>0</v>
      </c>
    </row>
    <row r="5">
      <c r="B5" s="130">
        <v>20000.0</v>
      </c>
      <c r="C5" s="131">
        <v>1.45</v>
      </c>
      <c r="D5" s="132">
        <v>100.0</v>
      </c>
      <c r="E5" s="133" t="s">
        <v>87</v>
      </c>
      <c r="F5" s="134">
        <v>0.05</v>
      </c>
      <c r="G5" s="137">
        <f>IF(OR(B5="",C5=""),"",B5*C5)</f>
        <v>29000</v>
      </c>
      <c r="H5" s="137">
        <f>IF(OR(D5="",D5=0),"",IF(E5="Weekly",(G5/D5)/5,G5/D5))</f>
        <v>290</v>
      </c>
      <c r="I5" s="137">
        <f>IF(B5="","",B5-(B5*F5))</f>
        <v>19000</v>
      </c>
      <c r="M5" s="141" t="s">
        <v>125</v>
      </c>
      <c r="N5" s="114">
        <f>IF(C9=0,0,F9/C9)</f>
        <v>0.1607142857</v>
      </c>
    </row>
    <row r="6">
      <c r="B6" s="143" t="s">
        <v>16</v>
      </c>
      <c r="C6" s="144">
        <f>IF(H5="","",H5*5)</f>
        <v>1450</v>
      </c>
      <c r="D6" s="143" t="s">
        <v>124</v>
      </c>
      <c r="E6" s="144">
        <f>IF(H5="","",H5*21.655)</f>
        <v>6279.95</v>
      </c>
      <c r="F6" s="143" t="s">
        <v>18</v>
      </c>
      <c r="G6" s="146">
        <f>IF(OR(D5="",D5=0),"",IF(E5="Weekly",D5,D5/5)/4.33)</f>
        <v>4.618937644</v>
      </c>
      <c r="M6" s="112" t="s">
        <v>126</v>
      </c>
      <c r="N6" s="114">
        <f>IFERROR(AVERAGE(E41:E43),"na")</f>
        <v>0.05578784359</v>
      </c>
    </row>
    <row r="7">
      <c r="M7" s="112" t="s">
        <v>128</v>
      </c>
      <c r="N7" s="149">
        <f>IF(N3&lt;=1,30,IF(N3=2,22,IF(N3=3,12,IF(N3=4,4,0))))</f>
        <v>30</v>
      </c>
    </row>
    <row r="8">
      <c r="B8" s="127" t="s">
        <v>129</v>
      </c>
      <c r="C8" s="6"/>
      <c r="D8" s="6"/>
      <c r="E8" s="6"/>
      <c r="F8" s="6"/>
      <c r="G8" s="6"/>
      <c r="H8" s="6"/>
      <c r="I8" s="7"/>
      <c r="M8" s="112" t="s">
        <v>130</v>
      </c>
      <c r="N8" s="149">
        <f>IF(N4&lt;0.1,25,IF(N4&lt;0.2,18,IF(N4&lt;0.3,8,0)))</f>
        <v>25</v>
      </c>
    </row>
    <row r="9">
      <c r="B9" s="151" t="s">
        <v>131</v>
      </c>
      <c r="C9" s="153">
        <f>IF(COUNT(C41:C48)=0,0,SUM(C41:C48)/COUNT(C41:C48))</f>
        <v>35000</v>
      </c>
      <c r="E9" s="151" t="s">
        <v>132</v>
      </c>
      <c r="F9" s="153">
        <f>IF(COUNT(D41:D48)=0,0,SUM(D41:D48)/COUNT(D41:D48))</f>
        <v>5625</v>
      </c>
      <c r="M9" s="112" t="s">
        <v>133</v>
      </c>
      <c r="N9" s="149">
        <f>IF(N5&gt;=0.25,25,IF(N5&gt;=0.15,18,IF(N5&gt;=0.08,8,0)))</f>
        <v>18</v>
      </c>
    </row>
    <row r="10">
      <c r="B10" s="112"/>
      <c r="M10" s="112" t="s">
        <v>134</v>
      </c>
      <c r="N10" s="149">
        <f>IF(N6="na",12,IF(N6&gt;=0.05,20,IF(N6&gt;=-0.05,12,IF(N6&gt;=-0.15,4,0))))</f>
        <v>20</v>
      </c>
    </row>
    <row r="11">
      <c r="B11" s="127" t="s">
        <v>136</v>
      </c>
      <c r="C11" s="6"/>
      <c r="D11" s="6"/>
      <c r="E11" s="6"/>
      <c r="F11" s="6"/>
      <c r="G11" s="6"/>
      <c r="H11" s="6"/>
      <c r="I11" s="7"/>
      <c r="M11" s="159" t="s">
        <v>137</v>
      </c>
      <c r="N11" s="160">
        <f>N7+N8+N9+N10</f>
        <v>93</v>
      </c>
    </row>
    <row r="12">
      <c r="B12" s="128" t="s">
        <v>42</v>
      </c>
      <c r="C12" s="128" t="s">
        <v>43</v>
      </c>
      <c r="D12" s="128" t="s">
        <v>44</v>
      </c>
      <c r="E12" s="128" t="s">
        <v>6</v>
      </c>
      <c r="F12" s="128" t="s">
        <v>45</v>
      </c>
      <c r="G12" s="128" t="s">
        <v>139</v>
      </c>
      <c r="M12" s="112" t="s">
        <v>140</v>
      </c>
      <c r="N12" s="149" t="str">
        <f>IF(N11&gt;=75,"Strong",IF(N11&gt;=55,"Solid",IF(N11&gt;=40,"Moderate",IF(N11&gt;=25,"Weak","Thin"))))</f>
        <v>Strong</v>
      </c>
    </row>
    <row r="13">
      <c r="B13" s="147"/>
      <c r="C13" s="162"/>
      <c r="D13" s="163"/>
      <c r="E13" s="165"/>
      <c r="F13" s="166" t="str">
        <f t="shared" ref="F13:F19" si="1">IF(D13="","",IF(E13="Daily",D13,IF(E13="Weekly",D13/5,D13/21.655)))</f>
        <v/>
      </c>
      <c r="G13" s="168" t="str">
        <f t="shared" ref="G13:G19" si="2">IF(OR(C13="",F13="",F13=0),"",C13*1.4/F13/21.655)</f>
        <v/>
      </c>
      <c r="M13" s="112" t="s">
        <v>142</v>
      </c>
      <c r="N13" s="149">
        <f>IF(N11&gt;=75,150,IF(N11&gt;=55,140,IF(N11&gt;=40,130,IF(N11&gt;=25,120,100))))</f>
        <v>150</v>
      </c>
    </row>
    <row r="14">
      <c r="B14" s="147"/>
      <c r="C14" s="162"/>
      <c r="D14" s="163"/>
      <c r="E14" s="165"/>
      <c r="F14" s="166" t="str">
        <f t="shared" si="1"/>
        <v/>
      </c>
      <c r="G14" s="168" t="str">
        <f t="shared" si="2"/>
        <v/>
      </c>
      <c r="M14" s="112" t="s">
        <v>145</v>
      </c>
      <c r="N14" s="149">
        <f>N13/5</f>
        <v>30</v>
      </c>
    </row>
    <row r="15">
      <c r="B15" s="147"/>
      <c r="C15" s="162"/>
      <c r="D15" s="163"/>
      <c r="E15" s="165"/>
      <c r="F15" s="166" t="str">
        <f t="shared" si="1"/>
        <v/>
      </c>
      <c r="G15" s="168" t="str">
        <f t="shared" si="2"/>
        <v/>
      </c>
    </row>
    <row r="16">
      <c r="B16" s="147"/>
      <c r="C16" s="162"/>
      <c r="D16" s="163"/>
      <c r="E16" s="165"/>
      <c r="F16" s="166" t="str">
        <f t="shared" si="1"/>
        <v/>
      </c>
      <c r="G16" s="168" t="str">
        <f t="shared" si="2"/>
        <v/>
      </c>
      <c r="M16" s="112" t="s">
        <v>147</v>
      </c>
      <c r="N16" s="174">
        <f>IF(N11&gt;=75,1.4,IF(N11&gt;=40,1.45,1.49))</f>
        <v>1.4</v>
      </c>
    </row>
    <row r="17">
      <c r="B17" s="147"/>
      <c r="C17" s="162"/>
      <c r="D17" s="163"/>
      <c r="E17" s="165"/>
      <c r="F17" s="166" t="str">
        <f t="shared" si="1"/>
        <v/>
      </c>
      <c r="G17" s="168" t="str">
        <f t="shared" si="2"/>
        <v/>
      </c>
      <c r="M17" s="112" t="s">
        <v>148</v>
      </c>
      <c r="N17" s="149" t="str">
        <f>IF(OR(N3&gt;=3,N11&lt;40),"Daily","Weekly")</f>
        <v>Weekly</v>
      </c>
    </row>
    <row r="18">
      <c r="B18" s="147"/>
      <c r="C18" s="162"/>
      <c r="D18" s="162"/>
      <c r="E18" s="177"/>
      <c r="F18" s="166" t="str">
        <f t="shared" si="1"/>
        <v/>
      </c>
      <c r="G18" s="168" t="str">
        <f t="shared" si="2"/>
        <v/>
      </c>
      <c r="M18" s="112" t="s">
        <v>150</v>
      </c>
      <c r="N18" s="178">
        <f>MAX(0,MIN(F35*C9/21.655,F33*C9/21.655-F20,IF(F9&gt;0,F36*F9-F20,1000000000000000)))</f>
        <v>290.9258832</v>
      </c>
    </row>
    <row r="19">
      <c r="B19" s="147"/>
      <c r="C19" s="162"/>
      <c r="D19" s="162"/>
      <c r="E19" s="177"/>
      <c r="F19" s="166" t="str">
        <f t="shared" si="1"/>
        <v/>
      </c>
      <c r="G19" s="168" t="str">
        <f t="shared" si="2"/>
        <v/>
      </c>
      <c r="M19" s="112" t="s">
        <v>151</v>
      </c>
      <c r="N19" s="179">
        <f>IF(OR(C9=0,N18&lt;=0),0,FLOOR(MIN(N18*N13/N16,$F$37*C9),500))</f>
        <v>26000</v>
      </c>
    </row>
    <row r="20">
      <c r="B20" s="180" t="s">
        <v>51</v>
      </c>
      <c r="F20" s="181">
        <f>SUM(F13:F19)</f>
        <v>0</v>
      </c>
      <c r="M20" s="112" t="s">
        <v>152</v>
      </c>
      <c r="N20" s="179">
        <f>IF(N19=0,0,N19*N16/N13)</f>
        <v>242.6666667</v>
      </c>
    </row>
    <row r="21" ht="15.75" customHeight="1">
      <c r="B21" s="180" t="s">
        <v>153</v>
      </c>
      <c r="F21" s="181">
        <f>F20+IF(H5="",0,H5)</f>
        <v>290</v>
      </c>
      <c r="M21" s="112" t="s">
        <v>154</v>
      </c>
      <c r="N21" s="179">
        <f>N20*5</f>
        <v>1213.333333</v>
      </c>
    </row>
    <row r="22" ht="15.75" customHeight="1">
      <c r="B22" s="180" t="s">
        <v>155</v>
      </c>
      <c r="F22" s="181">
        <f>F21*21.655</f>
        <v>6279.95</v>
      </c>
      <c r="M22" s="112" t="s">
        <v>156</v>
      </c>
      <c r="N22" s="149" t="str">
        <f>N3&amp;IF(OR(N3=11,N3=12,N3=13),"th",IF(MOD(N3,10)=1,"st",IF(MOD(N3,10)=2,"nd",IF(MOD(N3,10)=3,"rd","th"))))</f>
        <v>1st</v>
      </c>
    </row>
    <row r="23" ht="15.75" customHeight="1"/>
    <row r="24" ht="15.75" customHeight="1">
      <c r="B24" s="182" t="s">
        <v>157</v>
      </c>
      <c r="C24" s="6"/>
      <c r="D24" s="6"/>
      <c r="E24" s="6"/>
      <c r="F24" s="6"/>
      <c r="G24" s="6"/>
      <c r="H24" s="6"/>
      <c r="I24" s="7"/>
    </row>
    <row r="25" ht="15.75" customHeight="1">
      <c r="B25" s="128"/>
      <c r="C25" s="128" t="s">
        <v>5</v>
      </c>
      <c r="D25" s="128" t="s">
        <v>158</v>
      </c>
      <c r="E25" s="128" t="s">
        <v>6</v>
      </c>
      <c r="F25" s="128" t="s">
        <v>159</v>
      </c>
    </row>
    <row r="26" ht="15.75" customHeight="1">
      <c r="B26" s="153">
        <f>IF(N19=0,"",N19)</f>
        <v>26000</v>
      </c>
      <c r="C26" s="183">
        <f>IF(N19=0,"",N16)</f>
        <v>1.4</v>
      </c>
      <c r="D26" s="184" t="str">
        <f>IF(N19=0,"",N14&amp;" wk / "&amp;N13&amp;" daily")</f>
        <v>30 wk / 150 daily</v>
      </c>
      <c r="E26" s="184" t="str">
        <f>IF(N19=0,"",N17)</f>
        <v>Weekly</v>
      </c>
      <c r="F26" s="153">
        <f>IF(N19=0,"",IF(N17="Daily",N20,N21))</f>
        <v>1213.333333</v>
      </c>
    </row>
    <row r="27" ht="15.75" customHeight="1">
      <c r="B27" s="112"/>
    </row>
    <row r="28" ht="15.75" customHeight="1">
      <c r="B28" s="185"/>
    </row>
    <row r="29" ht="15.75" customHeight="1"/>
    <row r="30" ht="15.75" customHeight="1"/>
    <row r="31" ht="15.75" customHeight="1">
      <c r="B31" s="127" t="s">
        <v>160</v>
      </c>
      <c r="C31" s="6"/>
      <c r="D31" s="6"/>
      <c r="E31" s="6"/>
      <c r="F31" s="6"/>
      <c r="G31" s="6"/>
      <c r="H31" s="7"/>
    </row>
    <row r="32" ht="15.75" customHeight="1">
      <c r="B32" s="186" t="s">
        <v>8</v>
      </c>
      <c r="C32" s="128" t="s">
        <v>161</v>
      </c>
      <c r="D32" s="128" t="s">
        <v>54</v>
      </c>
      <c r="E32" s="128" t="s">
        <v>121</v>
      </c>
      <c r="F32" s="128" t="s">
        <v>162</v>
      </c>
      <c r="G32" s="128" t="s">
        <v>163</v>
      </c>
      <c r="H32" s="128" t="s">
        <v>58</v>
      </c>
    </row>
    <row r="33" ht="15.75" customHeight="1">
      <c r="B33" s="147" t="s">
        <v>164</v>
      </c>
      <c r="C33" s="187" t="s">
        <v>165</v>
      </c>
      <c r="D33" s="188">
        <f>IF(C9=0,"",F22/C9)</f>
        <v>0.1794271429</v>
      </c>
      <c r="E33" s="189" t="s">
        <v>166</v>
      </c>
      <c r="F33" s="167">
        <v>0.3</v>
      </c>
      <c r="G33" s="167">
        <v>0.45</v>
      </c>
      <c r="H33" s="167">
        <v>0.6</v>
      </c>
      <c r="J33" s="112" t="s">
        <v>167</v>
      </c>
      <c r="K33" s="149">
        <f>IF(AND(ISNUMBER(D33),D33&gt;G33),1,0)+IF(AND(ISNUMBER(D34),D34&lt;G34),1,0)+IF(AND(ISNUMBER(D35),D35&gt;G35),1,0)+IF(AND(ISNUMBER(D36),D36&gt;G36),1,0)+IF(AND(ISNUMBER(D37),D37&gt;G37),1,0)</f>
        <v>0</v>
      </c>
    </row>
    <row r="34" ht="15.75" customHeight="1">
      <c r="B34" s="190" t="s">
        <v>119</v>
      </c>
      <c r="C34" s="187" t="s">
        <v>168</v>
      </c>
      <c r="D34" s="188">
        <f>IF(C9=0,"",F9/C9)</f>
        <v>0.1607142857</v>
      </c>
      <c r="E34" s="189" t="s">
        <v>169</v>
      </c>
      <c r="F34" s="167">
        <v>0.15</v>
      </c>
      <c r="G34" s="167">
        <v>0.08</v>
      </c>
      <c r="H34" s="167">
        <v>0.03</v>
      </c>
      <c r="J34" s="112" t="s">
        <v>170</v>
      </c>
      <c r="K34" s="149">
        <f>IF(AND(ISNUMBER(D33),D33&lt;=F33),1,0)+IF(AND(ISNUMBER(D34),D34&gt;=F34),1,0)+IF(AND(ISNUMBER(D35),D35&lt;=F35),1,0)+IF(AND(ISNUMBER(D36),D36&lt;=F36),1,0)+IF(AND(ISNUMBER(D37),D37&lt;=F37),1,0)</f>
        <v>5</v>
      </c>
    </row>
    <row r="35" ht="15.75" customHeight="1">
      <c r="B35" s="147" t="s">
        <v>60</v>
      </c>
      <c r="C35" s="187" t="s">
        <v>171</v>
      </c>
      <c r="D35" s="188">
        <f>IF(OR(E6="",C9=0),"",E6/C9)</f>
        <v>0.1794271429</v>
      </c>
      <c r="E35" s="189" t="s">
        <v>172</v>
      </c>
      <c r="F35" s="167">
        <v>0.18</v>
      </c>
      <c r="G35" s="167">
        <v>0.25</v>
      </c>
      <c r="H35" s="167">
        <v>0.35</v>
      </c>
      <c r="J35" s="112" t="s">
        <v>173</v>
      </c>
      <c r="K35" s="149" t="b">
        <f>OR(AND(ISNUMBER(D33),D33&gt;H33),AND(ISNUMBER(D34),D34&lt;H34),AND(ISNUMBER(D35),D35&gt;H35),AND(ISNUMBER(D36),D36&gt;H36),AND(ISNUMBER(D37),D37&gt;H37))</f>
        <v>0</v>
      </c>
    </row>
    <row r="36" ht="15.75" customHeight="1">
      <c r="B36" s="147" t="s">
        <v>174</v>
      </c>
      <c r="C36" s="187" t="s">
        <v>175</v>
      </c>
      <c r="D36" s="188">
        <f>IF(F9=0,"",F21/F9)</f>
        <v>0.05155555556</v>
      </c>
      <c r="E36" s="189" t="s">
        <v>176</v>
      </c>
      <c r="F36" s="167">
        <v>0.45</v>
      </c>
      <c r="G36" s="167">
        <v>0.75</v>
      </c>
      <c r="H36" s="167">
        <v>1.0</v>
      </c>
      <c r="J36" s="141" t="s">
        <v>177</v>
      </c>
      <c r="K36" s="149">
        <f>SUMPRODUCT(--ISNUMBER(D33:D37))-K33-K34</f>
        <v>0</v>
      </c>
    </row>
    <row r="37" ht="15.75" customHeight="1">
      <c r="B37" s="147" t="s">
        <v>178</v>
      </c>
      <c r="C37" s="187" t="s">
        <v>179</v>
      </c>
      <c r="D37" s="191">
        <f>IF(OR(B5="",C9=0),"",B5/C9)</f>
        <v>0.5714285714</v>
      </c>
      <c r="E37" s="189" t="s">
        <v>180</v>
      </c>
      <c r="F37" s="192">
        <v>0.75</v>
      </c>
      <c r="G37" s="192">
        <v>1.2</v>
      </c>
      <c r="H37" s="192">
        <v>1.4</v>
      </c>
    </row>
    <row r="38" ht="15.75" customHeight="1"/>
    <row r="39" ht="15.75" customHeight="1">
      <c r="B39" s="127" t="s">
        <v>181</v>
      </c>
      <c r="C39" s="6"/>
      <c r="D39" s="6"/>
      <c r="E39" s="6"/>
      <c r="F39" s="6"/>
      <c r="G39" s="6"/>
      <c r="H39" s="7"/>
    </row>
    <row r="40" ht="15.75" customHeight="1">
      <c r="B40" s="128" t="s">
        <v>182</v>
      </c>
      <c r="C40" s="128" t="s">
        <v>25</v>
      </c>
      <c r="D40" s="128" t="s">
        <v>26</v>
      </c>
      <c r="E40" s="128" t="s">
        <v>183</v>
      </c>
      <c r="F40" s="128" t="s">
        <v>184</v>
      </c>
      <c r="G40" s="128" t="s">
        <v>185</v>
      </c>
    </row>
    <row r="41" ht="15.75" customHeight="1">
      <c r="B41" s="177" t="s">
        <v>32</v>
      </c>
      <c r="C41" s="163">
        <v>34000.0</v>
      </c>
      <c r="D41" s="163">
        <v>6000.0</v>
      </c>
      <c r="E41" s="193">
        <f t="shared" ref="E41:E48" si="3">IF(OR(C41="",C42=""),"",(C41-C42)/C42)</f>
        <v>-0.1707317073</v>
      </c>
      <c r="F41" s="193">
        <f t="shared" ref="F41:F48" si="4">IF(C41="","",D41/C41)</f>
        <v>0.1764705882</v>
      </c>
      <c r="G41" s="194">
        <f t="shared" ref="G41:G48" si="5">IF(C41="","",$B$5/C41)</f>
        <v>0.5882352941</v>
      </c>
    </row>
    <row r="42" ht="15.75" customHeight="1">
      <c r="B42" s="177" t="s">
        <v>35</v>
      </c>
      <c r="C42" s="163">
        <v>41000.0</v>
      </c>
      <c r="D42" s="163">
        <v>5300.0</v>
      </c>
      <c r="E42" s="193">
        <f t="shared" si="3"/>
        <v>0.1714285714</v>
      </c>
      <c r="F42" s="193">
        <f t="shared" si="4"/>
        <v>0.1292682927</v>
      </c>
      <c r="G42" s="194">
        <f t="shared" si="5"/>
        <v>0.487804878</v>
      </c>
    </row>
    <row r="43" ht="15.75" customHeight="1">
      <c r="B43" s="177" t="s">
        <v>36</v>
      </c>
      <c r="C43" s="163">
        <v>35000.0</v>
      </c>
      <c r="D43" s="163">
        <v>5600.0</v>
      </c>
      <c r="E43" s="193">
        <f t="shared" si="3"/>
        <v>0.1666666667</v>
      </c>
      <c r="F43" s="193">
        <f t="shared" si="4"/>
        <v>0.16</v>
      </c>
      <c r="G43" s="194">
        <f t="shared" si="5"/>
        <v>0.5714285714</v>
      </c>
    </row>
    <row r="44" ht="15.75" customHeight="1">
      <c r="B44" s="177" t="s">
        <v>37</v>
      </c>
      <c r="C44" s="163">
        <v>30000.0</v>
      </c>
      <c r="D44" s="163">
        <v>5600.0</v>
      </c>
      <c r="E44" s="193" t="str">
        <f t="shared" si="3"/>
        <v/>
      </c>
      <c r="F44" s="193">
        <f t="shared" si="4"/>
        <v>0.1866666667</v>
      </c>
      <c r="G44" s="194">
        <f t="shared" si="5"/>
        <v>0.6666666667</v>
      </c>
    </row>
    <row r="45" ht="15.75" customHeight="1">
      <c r="B45" s="195" t="s">
        <v>89</v>
      </c>
      <c r="C45" s="196"/>
      <c r="D45" s="196"/>
      <c r="E45" s="193" t="str">
        <f t="shared" si="3"/>
        <v/>
      </c>
      <c r="F45" s="193" t="str">
        <f t="shared" si="4"/>
        <v/>
      </c>
      <c r="G45" s="194" t="str">
        <f t="shared" si="5"/>
        <v/>
      </c>
    </row>
    <row r="46" ht="15.75" customHeight="1">
      <c r="B46" s="195" t="s">
        <v>186</v>
      </c>
      <c r="C46" s="196"/>
      <c r="D46" s="196"/>
      <c r="E46" s="193" t="str">
        <f t="shared" si="3"/>
        <v/>
      </c>
      <c r="F46" s="193" t="str">
        <f t="shared" si="4"/>
        <v/>
      </c>
      <c r="G46" s="194" t="str">
        <f t="shared" si="5"/>
        <v/>
      </c>
    </row>
    <row r="47" ht="15.75" customHeight="1">
      <c r="B47" s="195" t="s">
        <v>187</v>
      </c>
      <c r="C47" s="196"/>
      <c r="D47" s="196"/>
      <c r="E47" s="193" t="str">
        <f t="shared" si="3"/>
        <v/>
      </c>
      <c r="F47" s="193" t="str">
        <f t="shared" si="4"/>
        <v/>
      </c>
      <c r="G47" s="194" t="str">
        <f t="shared" si="5"/>
        <v/>
      </c>
    </row>
    <row r="48" ht="15.75" customHeight="1">
      <c r="B48" s="195" t="s">
        <v>188</v>
      </c>
      <c r="C48" s="196"/>
      <c r="D48" s="196"/>
      <c r="E48" s="193" t="str">
        <f t="shared" si="3"/>
        <v/>
      </c>
      <c r="F48" s="193" t="str">
        <f t="shared" si="4"/>
        <v/>
      </c>
      <c r="G48" s="194" t="str">
        <f t="shared" si="5"/>
        <v/>
      </c>
    </row>
    <row r="49" ht="15.75" customHeight="1"/>
    <row r="50" ht="15.75" customHeight="1"/>
    <row r="51" ht="15.75" customHeight="1">
      <c r="B51" s="180" t="s">
        <v>189</v>
      </c>
      <c r="C51" s="181">
        <f t="shared" ref="C51:G51" si="6">IFERROR(AVERAGE(C41:C48),"")</f>
        <v>35000</v>
      </c>
      <c r="D51" s="181">
        <f t="shared" si="6"/>
        <v>5625</v>
      </c>
      <c r="E51" s="181">
        <f t="shared" si="6"/>
        <v>0.05578784359</v>
      </c>
      <c r="F51" s="181">
        <f t="shared" si="6"/>
        <v>0.1631013869</v>
      </c>
      <c r="G51" s="181">
        <f t="shared" si="6"/>
        <v>0.5785338526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1" t="s">
        <v>108</v>
      </c>
    </row>
    <row r="2">
      <c r="B2" s="123" t="s">
        <v>109</v>
      </c>
      <c r="C2" s="124" t="str">
        <f>IF(C9=0,"",IF(OR(K35,K33&gt;=3),"DECLINE",IF(K34=5,"FUND","CONDITIONAL")))</f>
        <v>DECLINE</v>
      </c>
      <c r="D2" s="105"/>
      <c r="E2" s="112" t="str">
        <f>IF(C9=0,"Enter the months below to begin.",IF(K35,"Knockout: a check is past its line.",IF(K33&gt;=3,K33&amp;" red checks (3+ auto-declines).",IF(K34=5,"All 5 checks green.",K34&amp;" green / "&amp;K36&amp;" amber / "&amp;K33&amp;" red."))))</f>
        <v>Knockout: a check is past its line.</v>
      </c>
      <c r="M2" s="112" t="s">
        <v>110</v>
      </c>
      <c r="N2" s="107">
        <f>COUNT(F13:F19)</f>
        <v>2</v>
      </c>
    </row>
    <row r="3">
      <c r="B3" s="127" t="s">
        <v>112</v>
      </c>
      <c r="C3" s="6"/>
      <c r="D3" s="6"/>
      <c r="E3" s="6"/>
      <c r="F3" s="6"/>
      <c r="G3" s="6"/>
      <c r="H3" s="6"/>
      <c r="I3" s="7"/>
      <c r="M3" s="112" t="s">
        <v>113</v>
      </c>
      <c r="N3" s="111">
        <f>N2+1</f>
        <v>3</v>
      </c>
    </row>
    <row r="4">
      <c r="B4" s="128" t="s">
        <v>4</v>
      </c>
      <c r="C4" s="128" t="s">
        <v>5</v>
      </c>
      <c r="D4" s="128" t="s">
        <v>114</v>
      </c>
      <c r="E4" s="128" t="s">
        <v>6</v>
      </c>
      <c r="F4" s="128" t="s">
        <v>7</v>
      </c>
      <c r="G4" s="128" t="s">
        <v>14</v>
      </c>
      <c r="H4" s="128" t="s">
        <v>115</v>
      </c>
      <c r="I4" s="128" t="s">
        <v>116</v>
      </c>
      <c r="M4" s="112" t="s">
        <v>117</v>
      </c>
      <c r="N4" s="114">
        <f>IF(C9=0,0,F20*21.655/C9)</f>
        <v>0.141479008</v>
      </c>
    </row>
    <row r="5">
      <c r="B5" s="130">
        <v>24500.0</v>
      </c>
      <c r="C5" s="131">
        <v>1.45</v>
      </c>
      <c r="D5" s="132">
        <v>130.0</v>
      </c>
      <c r="E5" s="133" t="s">
        <v>87</v>
      </c>
      <c r="F5" s="134">
        <v>0.05</v>
      </c>
      <c r="G5" s="137">
        <f>IF(OR(B5="",C5=""),"",B5*C5)</f>
        <v>35525</v>
      </c>
      <c r="H5" s="137">
        <f>IF(OR(D5="",D5=0),"",IF(E5="Weekly",(G5/D5)/5,G5/D5))</f>
        <v>273.2692308</v>
      </c>
      <c r="I5" s="137">
        <f>IF(B5="","",B5-(B5*F5))</f>
        <v>23275</v>
      </c>
      <c r="M5" s="141" t="s">
        <v>125</v>
      </c>
      <c r="N5" s="114">
        <f>IF(C9=0,0,F9/C9)</f>
        <v>0.02824788732</v>
      </c>
    </row>
    <row r="6">
      <c r="B6" s="143" t="s">
        <v>16</v>
      </c>
      <c r="C6" s="144">
        <f>IF(H5="","",H5*5)</f>
        <v>1366.346154</v>
      </c>
      <c r="D6" s="143" t="s">
        <v>124</v>
      </c>
      <c r="E6" s="144">
        <f>IF(H5="","",H5*21.655)</f>
        <v>5917.645192</v>
      </c>
      <c r="F6" s="143" t="s">
        <v>18</v>
      </c>
      <c r="G6" s="146">
        <f>IF(OR(D5="",D5=0),"",IF(E5="Weekly",D5,D5/5)/4.33)</f>
        <v>6.004618938</v>
      </c>
      <c r="M6" s="112" t="s">
        <v>126</v>
      </c>
      <c r="N6" s="114">
        <f>IFERROR(AVERAGE(E41:E43),"na")</f>
        <v>0.09752518476</v>
      </c>
    </row>
    <row r="7">
      <c r="M7" s="112" t="s">
        <v>128</v>
      </c>
      <c r="N7" s="149">
        <f>IF(N3&lt;=1,30,IF(N3=2,22,IF(N3=3,12,IF(N3=4,4,0))))</f>
        <v>12</v>
      </c>
    </row>
    <row r="8">
      <c r="B8" s="127" t="s">
        <v>129</v>
      </c>
      <c r="C8" s="6"/>
      <c r="D8" s="6"/>
      <c r="E8" s="6"/>
      <c r="F8" s="6"/>
      <c r="G8" s="6"/>
      <c r="H8" s="6"/>
      <c r="I8" s="7"/>
      <c r="M8" s="112" t="s">
        <v>130</v>
      </c>
      <c r="N8" s="149">
        <f>IF(N4&lt;0.1,25,IF(N4&lt;0.2,18,IF(N4&lt;0.3,8,0)))</f>
        <v>18</v>
      </c>
    </row>
    <row r="9">
      <c r="B9" s="151" t="s">
        <v>131</v>
      </c>
      <c r="C9" s="153">
        <f>IF(COUNT(C41:C48)=0,0,SUM(C41:C48)/COUNT(C41:C48))</f>
        <v>44375</v>
      </c>
      <c r="E9" s="151" t="s">
        <v>132</v>
      </c>
      <c r="F9" s="153">
        <f>IF(COUNT(D41:D48)=0,0,SUM(D41:D48)/COUNT(D41:D48))</f>
        <v>1253.5</v>
      </c>
      <c r="M9" s="112" t="s">
        <v>133</v>
      </c>
      <c r="N9" s="149">
        <f>IF(N5&gt;=0.25,25,IF(N5&gt;=0.15,18,IF(N5&gt;=0.08,8,0)))</f>
        <v>0</v>
      </c>
    </row>
    <row r="10">
      <c r="B10" s="112"/>
      <c r="M10" s="112" t="s">
        <v>134</v>
      </c>
      <c r="N10" s="149">
        <f>IF(N6="na",12,IF(N6&gt;=0.05,20,IF(N6&gt;=-0.05,12,IF(N6&gt;=-0.15,4,0))))</f>
        <v>20</v>
      </c>
    </row>
    <row r="11">
      <c r="B11" s="127" t="s">
        <v>136</v>
      </c>
      <c r="C11" s="6"/>
      <c r="D11" s="6"/>
      <c r="E11" s="6"/>
      <c r="F11" s="6"/>
      <c r="G11" s="6"/>
      <c r="H11" s="6"/>
      <c r="I11" s="7"/>
      <c r="M11" s="159" t="s">
        <v>137</v>
      </c>
      <c r="N11" s="160">
        <f>N7+N8+N9+N10</f>
        <v>50</v>
      </c>
    </row>
    <row r="12">
      <c r="B12" s="128" t="s">
        <v>42</v>
      </c>
      <c r="C12" s="128" t="s">
        <v>43</v>
      </c>
      <c r="D12" s="128" t="s">
        <v>44</v>
      </c>
      <c r="E12" s="128" t="s">
        <v>6</v>
      </c>
      <c r="F12" s="128" t="s">
        <v>45</v>
      </c>
      <c r="G12" s="128" t="s">
        <v>139</v>
      </c>
      <c r="M12" s="112" t="s">
        <v>140</v>
      </c>
      <c r="N12" s="149" t="str">
        <f>IF(N11&gt;=75,"Strong",IF(N11&gt;=55,"Solid",IF(N11&gt;=40,"Moderate",IF(N11&gt;=25,"Weak","Thin"))))</f>
        <v>Moderate</v>
      </c>
    </row>
    <row r="13">
      <c r="B13" s="147"/>
      <c r="C13" s="162"/>
      <c r="D13" s="163">
        <v>989.58</v>
      </c>
      <c r="E13" s="165" t="s">
        <v>12</v>
      </c>
      <c r="F13" s="166">
        <f t="shared" ref="F13:F19" si="1">IF(D13="","",IF(E13="Daily",D13,IF(E13="Weekly",D13/5,D13/21.655)))</f>
        <v>197.916</v>
      </c>
      <c r="G13" s="168" t="str">
        <f t="shared" ref="G13:G19" si="2">IF(OR(C13="",F13="",F13=0),"",C13*1.4/F13/21.655)</f>
        <v/>
      </c>
      <c r="M13" s="112" t="s">
        <v>142</v>
      </c>
      <c r="N13" s="149">
        <f>IF(N11&gt;=75,150,IF(N11&gt;=55,140,IF(N11&gt;=40,130,IF(N11&gt;=25,120,100))))</f>
        <v>130</v>
      </c>
    </row>
    <row r="14">
      <c r="B14" s="147"/>
      <c r="C14" s="162"/>
      <c r="D14" s="163">
        <v>460.0</v>
      </c>
      <c r="E14" s="165" t="s">
        <v>12</v>
      </c>
      <c r="F14" s="166">
        <f t="shared" si="1"/>
        <v>92</v>
      </c>
      <c r="G14" s="168" t="str">
        <f t="shared" si="2"/>
        <v/>
      </c>
      <c r="M14" s="112" t="s">
        <v>145</v>
      </c>
      <c r="N14" s="149">
        <f>N13/5</f>
        <v>26</v>
      </c>
    </row>
    <row r="15">
      <c r="B15" s="147"/>
      <c r="C15" s="162"/>
      <c r="D15" s="162"/>
      <c r="E15" s="177"/>
      <c r="F15" s="166" t="str">
        <f t="shared" si="1"/>
        <v/>
      </c>
      <c r="G15" s="168" t="str">
        <f t="shared" si="2"/>
        <v/>
      </c>
    </row>
    <row r="16">
      <c r="B16" s="147"/>
      <c r="C16" s="162"/>
      <c r="D16" s="162"/>
      <c r="E16" s="177"/>
      <c r="F16" s="166" t="str">
        <f t="shared" si="1"/>
        <v/>
      </c>
      <c r="G16" s="168" t="str">
        <f t="shared" si="2"/>
        <v/>
      </c>
      <c r="M16" s="112" t="s">
        <v>147</v>
      </c>
      <c r="N16" s="174">
        <f>IF(N11&gt;=75,1.4,IF(N11&gt;=40,1.45,1.49))</f>
        <v>1.45</v>
      </c>
    </row>
    <row r="17">
      <c r="B17" s="147"/>
      <c r="C17" s="162"/>
      <c r="D17" s="162"/>
      <c r="E17" s="177"/>
      <c r="F17" s="166" t="str">
        <f t="shared" si="1"/>
        <v/>
      </c>
      <c r="G17" s="168" t="str">
        <f t="shared" si="2"/>
        <v/>
      </c>
      <c r="M17" s="112" t="s">
        <v>148</v>
      </c>
      <c r="N17" s="149" t="str">
        <f>IF(OR(N3&gt;=3,N11&lt;40),"Daily","Weekly")</f>
        <v>Daily</v>
      </c>
    </row>
    <row r="18">
      <c r="B18" s="147"/>
      <c r="C18" s="162"/>
      <c r="D18" s="162"/>
      <c r="E18" s="177"/>
      <c r="F18" s="166" t="str">
        <f t="shared" si="1"/>
        <v/>
      </c>
      <c r="G18" s="168" t="str">
        <f t="shared" si="2"/>
        <v/>
      </c>
      <c r="M18" s="112" t="s">
        <v>150</v>
      </c>
      <c r="N18" s="178">
        <f>MAX(0,MIN(F35*C9/21.655,F33*C9/21.655-F20,IF(F9&gt;0,F36*F9-F20,1000000000000000)))</f>
        <v>274.159</v>
      </c>
    </row>
    <row r="19">
      <c r="B19" s="147"/>
      <c r="C19" s="162"/>
      <c r="D19" s="162"/>
      <c r="E19" s="177"/>
      <c r="F19" s="166" t="str">
        <f t="shared" si="1"/>
        <v/>
      </c>
      <c r="G19" s="168" t="str">
        <f t="shared" si="2"/>
        <v/>
      </c>
      <c r="M19" s="112" t="s">
        <v>151</v>
      </c>
      <c r="N19" s="179">
        <f>IF(OR(C9=0,N18&lt;=0),0,FLOOR(MIN(N18*N13/N16,$F$37*C9),500))</f>
        <v>24500</v>
      </c>
    </row>
    <row r="20">
      <c r="B20" s="180" t="s">
        <v>51</v>
      </c>
      <c r="F20" s="181">
        <f>SUM(F13:F19)</f>
        <v>289.916</v>
      </c>
      <c r="M20" s="112" t="s">
        <v>152</v>
      </c>
      <c r="N20" s="179">
        <f>IF(N19=0,0,N19*N16/N13)</f>
        <v>273.2692308</v>
      </c>
    </row>
    <row r="21" ht="15.75" customHeight="1">
      <c r="B21" s="180" t="s">
        <v>153</v>
      </c>
      <c r="F21" s="181">
        <f>F20+IF(H5="",0,H5)</f>
        <v>563.1852308</v>
      </c>
      <c r="M21" s="112" t="s">
        <v>154</v>
      </c>
      <c r="N21" s="179">
        <f>N20*5</f>
        <v>1366.346154</v>
      </c>
    </row>
    <row r="22" ht="15.75" customHeight="1">
      <c r="B22" s="180" t="s">
        <v>155</v>
      </c>
      <c r="F22" s="181">
        <f>F21*21.655</f>
        <v>12195.77617</v>
      </c>
      <c r="M22" s="112" t="s">
        <v>156</v>
      </c>
      <c r="N22" s="149" t="str">
        <f>N3&amp;IF(OR(N3=11,N3=12,N3=13),"th",IF(MOD(N3,10)=1,"st",IF(MOD(N3,10)=2,"nd",IF(MOD(N3,10)=3,"rd","th"))))</f>
        <v>3rd</v>
      </c>
    </row>
    <row r="23" ht="15.75" customHeight="1"/>
    <row r="24" ht="15.75" customHeight="1">
      <c r="B24" s="182" t="s">
        <v>157</v>
      </c>
      <c r="C24" s="6"/>
      <c r="D24" s="6"/>
      <c r="E24" s="6"/>
      <c r="F24" s="6"/>
      <c r="G24" s="6"/>
      <c r="H24" s="6"/>
      <c r="I24" s="7"/>
    </row>
    <row r="25" ht="15.75" customHeight="1">
      <c r="B25" s="128"/>
      <c r="C25" s="128" t="s">
        <v>5</v>
      </c>
      <c r="D25" s="128" t="s">
        <v>158</v>
      </c>
      <c r="E25" s="128" t="s">
        <v>6</v>
      </c>
      <c r="F25" s="128" t="s">
        <v>159</v>
      </c>
    </row>
    <row r="26" ht="15.75" customHeight="1">
      <c r="B26" s="153">
        <f>IF(N19=0,"",N19)</f>
        <v>24500</v>
      </c>
      <c r="C26" s="183">
        <f>IF(N19=0,"",N16)</f>
        <v>1.45</v>
      </c>
      <c r="D26" s="184" t="str">
        <f>IF(N19=0,"",N14&amp;" wk / "&amp;N13&amp;" daily")</f>
        <v>26 wk / 130 daily</v>
      </c>
      <c r="E26" s="184" t="str">
        <f>IF(N19=0,"",N17)</f>
        <v>Daily</v>
      </c>
      <c r="F26" s="153">
        <f>IF(N19=0,"",IF(N17="Daily",N20,N21))</f>
        <v>273.2692308</v>
      </c>
    </row>
    <row r="27" ht="15.75" customHeight="1">
      <c r="B27" s="112"/>
    </row>
    <row r="28" ht="15.75" customHeight="1">
      <c r="B28" s="185"/>
    </row>
    <row r="29" ht="15.75" customHeight="1"/>
    <row r="30" ht="15.75" customHeight="1"/>
    <row r="31" ht="15.75" customHeight="1">
      <c r="B31" s="127" t="s">
        <v>160</v>
      </c>
      <c r="C31" s="6"/>
      <c r="D31" s="6"/>
      <c r="E31" s="6"/>
      <c r="F31" s="6"/>
      <c r="G31" s="6"/>
      <c r="H31" s="7"/>
    </row>
    <row r="32" ht="15.75" customHeight="1">
      <c r="B32" s="186" t="s">
        <v>8</v>
      </c>
      <c r="C32" s="128" t="s">
        <v>161</v>
      </c>
      <c r="D32" s="128" t="s">
        <v>54</v>
      </c>
      <c r="E32" s="128" t="s">
        <v>121</v>
      </c>
      <c r="F32" s="128" t="s">
        <v>162</v>
      </c>
      <c r="G32" s="128" t="s">
        <v>163</v>
      </c>
      <c r="H32" s="128" t="s">
        <v>58</v>
      </c>
    </row>
    <row r="33" ht="15.75" customHeight="1">
      <c r="B33" s="147" t="s">
        <v>164</v>
      </c>
      <c r="C33" s="187" t="s">
        <v>165</v>
      </c>
      <c r="D33" s="188">
        <f>IF(C9=0,"",F22/C9)</f>
        <v>0.2748343926</v>
      </c>
      <c r="E33" s="189" t="s">
        <v>166</v>
      </c>
      <c r="F33" s="167">
        <v>0.3</v>
      </c>
      <c r="G33" s="167">
        <v>0.45</v>
      </c>
      <c r="H33" s="167">
        <v>0.6</v>
      </c>
      <c r="J33" s="112" t="s">
        <v>167</v>
      </c>
      <c r="K33" s="149">
        <f>IF(AND(ISNUMBER(D33),D33&gt;G33),1,0)+IF(AND(ISNUMBER(D34),D34&lt;G34),1,0)+IF(AND(ISNUMBER(D35),D35&gt;G35),1,0)+IF(AND(ISNUMBER(D36),D36&gt;G36),1,0)+IF(AND(ISNUMBER(D37),D37&gt;G37),1,0)</f>
        <v>1</v>
      </c>
    </row>
    <row r="34" ht="15.75" customHeight="1">
      <c r="B34" s="190" t="s">
        <v>119</v>
      </c>
      <c r="C34" s="187" t="s">
        <v>168</v>
      </c>
      <c r="D34" s="188">
        <f>IF(C9=0,"",F9/C9)</f>
        <v>0.02824788732</v>
      </c>
      <c r="E34" s="189" t="s">
        <v>169</v>
      </c>
      <c r="F34" s="167">
        <v>0.15</v>
      </c>
      <c r="G34" s="167">
        <v>0.08</v>
      </c>
      <c r="H34" s="167">
        <v>0.03</v>
      </c>
      <c r="J34" s="112" t="s">
        <v>170</v>
      </c>
      <c r="K34" s="149">
        <f>IF(AND(ISNUMBER(D33),D33&lt;=F33),1,0)+IF(AND(ISNUMBER(D34),D34&gt;=F34),1,0)+IF(AND(ISNUMBER(D35),D35&lt;=F35),1,0)+IF(AND(ISNUMBER(D36),D36&lt;=F36),1,0)+IF(AND(ISNUMBER(D37),D37&lt;=F37),1,0)</f>
        <v>4</v>
      </c>
    </row>
    <row r="35" ht="15.75" customHeight="1">
      <c r="B35" s="147" t="s">
        <v>60</v>
      </c>
      <c r="C35" s="187" t="s">
        <v>171</v>
      </c>
      <c r="D35" s="188">
        <f>IF(OR(E6="",C9=0),"",E6/C9)</f>
        <v>0.1333553846</v>
      </c>
      <c r="E35" s="189" t="s">
        <v>172</v>
      </c>
      <c r="F35" s="167">
        <v>0.18</v>
      </c>
      <c r="G35" s="167">
        <v>0.25</v>
      </c>
      <c r="H35" s="167">
        <v>0.35</v>
      </c>
      <c r="J35" s="112" t="s">
        <v>173</v>
      </c>
      <c r="K35" s="149" t="b">
        <f>OR(AND(ISNUMBER(D33),D33&gt;H33),AND(ISNUMBER(D34),D34&lt;H34),AND(ISNUMBER(D35),D35&gt;H35),AND(ISNUMBER(D36),D36&gt;H36),AND(ISNUMBER(D37),D37&gt;H37))</f>
        <v>1</v>
      </c>
    </row>
    <row r="36" ht="15.75" customHeight="1">
      <c r="B36" s="147" t="s">
        <v>174</v>
      </c>
      <c r="C36" s="187" t="s">
        <v>175</v>
      </c>
      <c r="D36" s="188">
        <f>IF(F9=0,"",F21/F9)</f>
        <v>0.4492901721</v>
      </c>
      <c r="E36" s="189" t="s">
        <v>176</v>
      </c>
      <c r="F36" s="167">
        <v>0.45</v>
      </c>
      <c r="G36" s="167">
        <v>0.75</v>
      </c>
      <c r="H36" s="167">
        <v>1.0</v>
      </c>
      <c r="J36" s="141" t="s">
        <v>177</v>
      </c>
      <c r="K36" s="149">
        <f>SUMPRODUCT(--ISNUMBER(D33:D37))-K33-K34</f>
        <v>0</v>
      </c>
    </row>
    <row r="37" ht="15.75" customHeight="1">
      <c r="B37" s="147" t="s">
        <v>178</v>
      </c>
      <c r="C37" s="187" t="s">
        <v>179</v>
      </c>
      <c r="D37" s="191">
        <f>IF(OR(B5="",C9=0),"",B5/C9)</f>
        <v>0.5521126761</v>
      </c>
      <c r="E37" s="189" t="s">
        <v>180</v>
      </c>
      <c r="F37" s="202">
        <v>1.0</v>
      </c>
      <c r="G37" s="202">
        <v>1.6</v>
      </c>
      <c r="H37" s="202">
        <v>2.0</v>
      </c>
    </row>
    <row r="38" ht="15.75" customHeight="1"/>
    <row r="39" ht="15.75" customHeight="1">
      <c r="B39" s="127" t="s">
        <v>181</v>
      </c>
      <c r="C39" s="6"/>
      <c r="D39" s="6"/>
      <c r="E39" s="6"/>
      <c r="F39" s="6"/>
      <c r="G39" s="6"/>
      <c r="H39" s="7"/>
    </row>
    <row r="40" ht="15.75" customHeight="1">
      <c r="B40" s="128" t="s">
        <v>182</v>
      </c>
      <c r="C40" s="128" t="s">
        <v>25</v>
      </c>
      <c r="D40" s="128" t="s">
        <v>26</v>
      </c>
      <c r="E40" s="128" t="s">
        <v>183</v>
      </c>
      <c r="F40" s="128" t="s">
        <v>184</v>
      </c>
      <c r="G40" s="128" t="s">
        <v>185</v>
      </c>
    </row>
    <row r="41" ht="15.75" customHeight="1">
      <c r="B41" s="177" t="s">
        <v>32</v>
      </c>
      <c r="C41" s="163">
        <v>48500.0</v>
      </c>
      <c r="D41" s="163">
        <v>1240.0</v>
      </c>
      <c r="E41" s="193">
        <f t="shared" ref="E41:E48" si="3">IF(OR(C41="",C42=""),"",(C41-C42)/C42)</f>
        <v>0.03191489362</v>
      </c>
      <c r="F41" s="193">
        <f t="shared" ref="F41:F48" si="4">IF(C41="","",D41/C41)</f>
        <v>0.02556701031</v>
      </c>
      <c r="G41" s="194">
        <f t="shared" ref="G41:G48" si="5">IF(C41="","",$B$5/C41)</f>
        <v>0.5051546392</v>
      </c>
    </row>
    <row r="42" ht="15.75" customHeight="1">
      <c r="B42" s="177" t="s">
        <v>35</v>
      </c>
      <c r="C42" s="163">
        <v>47000.0</v>
      </c>
      <c r="D42" s="163">
        <v>1134.0</v>
      </c>
      <c r="E42" s="193">
        <f t="shared" si="3"/>
        <v>0.04444444444</v>
      </c>
      <c r="F42" s="193">
        <f t="shared" si="4"/>
        <v>0.02412765957</v>
      </c>
      <c r="G42" s="194">
        <f t="shared" si="5"/>
        <v>0.5212765957</v>
      </c>
    </row>
    <row r="43" ht="15.75" customHeight="1">
      <c r="B43" s="177" t="s">
        <v>36</v>
      </c>
      <c r="C43" s="163">
        <v>45000.0</v>
      </c>
      <c r="D43" s="163">
        <v>1532.0</v>
      </c>
      <c r="E43" s="193">
        <f t="shared" si="3"/>
        <v>0.2162162162</v>
      </c>
      <c r="F43" s="193">
        <f t="shared" si="4"/>
        <v>0.03404444444</v>
      </c>
      <c r="G43" s="194">
        <f t="shared" si="5"/>
        <v>0.5444444444</v>
      </c>
    </row>
    <row r="44" ht="15.75" customHeight="1">
      <c r="B44" s="177" t="s">
        <v>37</v>
      </c>
      <c r="C44" s="163">
        <v>37000.0</v>
      </c>
      <c r="D44" s="163">
        <v>1108.0</v>
      </c>
      <c r="E44" s="193" t="str">
        <f t="shared" si="3"/>
        <v/>
      </c>
      <c r="F44" s="193">
        <f t="shared" si="4"/>
        <v>0.02994594595</v>
      </c>
      <c r="G44" s="194">
        <f t="shared" si="5"/>
        <v>0.6621621622</v>
      </c>
    </row>
    <row r="45" ht="15.75" customHeight="1">
      <c r="B45" s="195" t="s">
        <v>89</v>
      </c>
      <c r="C45" s="196"/>
      <c r="D45" s="196"/>
      <c r="E45" s="193" t="str">
        <f t="shared" si="3"/>
        <v/>
      </c>
      <c r="F45" s="193" t="str">
        <f t="shared" si="4"/>
        <v/>
      </c>
      <c r="G45" s="194" t="str">
        <f t="shared" si="5"/>
        <v/>
      </c>
    </row>
    <row r="46" ht="15.75" customHeight="1">
      <c r="B46" s="195" t="s">
        <v>186</v>
      </c>
      <c r="C46" s="196"/>
      <c r="D46" s="196"/>
      <c r="E46" s="193" t="str">
        <f t="shared" si="3"/>
        <v/>
      </c>
      <c r="F46" s="193" t="str">
        <f t="shared" si="4"/>
        <v/>
      </c>
      <c r="G46" s="194" t="str">
        <f t="shared" si="5"/>
        <v/>
      </c>
    </row>
    <row r="47" ht="15.75" customHeight="1">
      <c r="B47" s="195" t="s">
        <v>187</v>
      </c>
      <c r="C47" s="196"/>
      <c r="D47" s="196"/>
      <c r="E47" s="193" t="str">
        <f t="shared" si="3"/>
        <v/>
      </c>
      <c r="F47" s="193" t="str">
        <f t="shared" si="4"/>
        <v/>
      </c>
      <c r="G47" s="194" t="str">
        <f t="shared" si="5"/>
        <v/>
      </c>
    </row>
    <row r="48" ht="15.75" customHeight="1">
      <c r="B48" s="195" t="s">
        <v>188</v>
      </c>
      <c r="C48" s="196"/>
      <c r="D48" s="196"/>
      <c r="E48" s="193" t="str">
        <f t="shared" si="3"/>
        <v/>
      </c>
      <c r="F48" s="193" t="str">
        <f t="shared" si="4"/>
        <v/>
      </c>
      <c r="G48" s="194" t="str">
        <f t="shared" si="5"/>
        <v/>
      </c>
    </row>
    <row r="49" ht="15.75" customHeight="1"/>
    <row r="50" ht="15.75" customHeight="1"/>
    <row r="51" ht="15.75" customHeight="1">
      <c r="B51" s="180" t="s">
        <v>189</v>
      </c>
      <c r="C51" s="181">
        <f t="shared" ref="C51:G51" si="6">IFERROR(AVERAGE(C41:C48),"")</f>
        <v>44375</v>
      </c>
      <c r="D51" s="181">
        <f t="shared" si="6"/>
        <v>1253.5</v>
      </c>
      <c r="E51" s="181">
        <f t="shared" si="6"/>
        <v>0.09752518476</v>
      </c>
      <c r="F51" s="181">
        <f t="shared" si="6"/>
        <v>0.02842126507</v>
      </c>
      <c r="G51" s="181">
        <f t="shared" si="6"/>
        <v>0.5582594604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1" t="s">
        <v>108</v>
      </c>
    </row>
    <row r="2">
      <c r="B2" s="123" t="s">
        <v>109</v>
      </c>
      <c r="C2" s="124" t="str">
        <f>IF(C9=0,"",IF(OR(K35,K33&gt;=3),"DECLINE",IF(K34=5,"FUND","CONDITIONAL")))</f>
        <v>FUND</v>
      </c>
      <c r="D2" s="105"/>
      <c r="E2" s="112"/>
      <c r="M2" s="112" t="s">
        <v>110</v>
      </c>
      <c r="N2" s="107">
        <f>COUNT(F13:F19)</f>
        <v>1</v>
      </c>
    </row>
    <row r="3">
      <c r="B3" s="127" t="s">
        <v>112</v>
      </c>
      <c r="C3" s="6"/>
      <c r="D3" s="6"/>
      <c r="E3" s="6"/>
      <c r="F3" s="6"/>
      <c r="G3" s="6"/>
      <c r="H3" s="6"/>
      <c r="I3" s="7"/>
      <c r="M3" s="112" t="s">
        <v>113</v>
      </c>
      <c r="N3" s="111">
        <f>N2+1</f>
        <v>2</v>
      </c>
    </row>
    <row r="4">
      <c r="B4" s="128" t="s">
        <v>4</v>
      </c>
      <c r="C4" s="128" t="s">
        <v>5</v>
      </c>
      <c r="D4" s="128" t="s">
        <v>114</v>
      </c>
      <c r="E4" s="128" t="s">
        <v>6</v>
      </c>
      <c r="F4" s="128" t="s">
        <v>7</v>
      </c>
      <c r="G4" s="128" t="s">
        <v>14</v>
      </c>
      <c r="H4" s="128" t="s">
        <v>115</v>
      </c>
      <c r="I4" s="128" t="s">
        <v>116</v>
      </c>
      <c r="M4" s="112" t="s">
        <v>117</v>
      </c>
      <c r="N4" s="114">
        <f>IF(C9=0,0,F20*21.655/C9)</f>
        <v>0.07218333333</v>
      </c>
    </row>
    <row r="5">
      <c r="B5" s="220">
        <v>45000.0</v>
      </c>
      <c r="C5" s="221">
        <v>1.4</v>
      </c>
      <c r="D5" s="222">
        <v>140.0</v>
      </c>
      <c r="E5" s="223" t="s">
        <v>12</v>
      </c>
      <c r="F5" s="224">
        <v>0.05</v>
      </c>
      <c r="G5" s="137">
        <f>IF(OR(B5="",C5=""),"",B5*C5)</f>
        <v>63000</v>
      </c>
      <c r="H5" s="137">
        <f>IF(OR(D5="",D5=0),"",IF(E5="Weekly",(G5/D5)/5,G5/D5))</f>
        <v>90</v>
      </c>
      <c r="I5" s="137">
        <f>IF(B5="","",B5-(B5*F5))</f>
        <v>42750</v>
      </c>
      <c r="M5" s="141" t="s">
        <v>125</v>
      </c>
      <c r="N5" s="114">
        <f>IF(C9=0,0,F9/C9)</f>
        <v>0.2</v>
      </c>
    </row>
    <row r="6">
      <c r="B6" s="143" t="s">
        <v>16</v>
      </c>
      <c r="C6" s="144">
        <f>IF(H5="","",H5*5)</f>
        <v>450</v>
      </c>
      <c r="D6" s="143" t="s">
        <v>124</v>
      </c>
      <c r="E6" s="144">
        <f>IF(H5="","",H5*21.655)</f>
        <v>1948.95</v>
      </c>
      <c r="F6" s="143" t="s">
        <v>18</v>
      </c>
      <c r="G6" s="146">
        <f>IF(OR(D5="",D5=0),"",IF(E5="Weekly",D5,D5/5)/4.33)</f>
        <v>32.33256351</v>
      </c>
      <c r="M6" s="112" t="s">
        <v>126</v>
      </c>
      <c r="N6" s="114">
        <f>IFERROR(AVERAGE(E41:E43),"na")</f>
        <v>0</v>
      </c>
    </row>
    <row r="7">
      <c r="M7" s="112" t="s">
        <v>128</v>
      </c>
      <c r="N7" s="149">
        <f>IF(N3&lt;=1,30,IF(N3=2,22,IF(N3=3,12,IF(N3=4,4,0))))</f>
        <v>22</v>
      </c>
    </row>
    <row r="8">
      <c r="B8" s="127" t="s">
        <v>129</v>
      </c>
      <c r="C8" s="6"/>
      <c r="D8" s="6"/>
      <c r="E8" s="6"/>
      <c r="F8" s="6"/>
      <c r="G8" s="6"/>
      <c r="H8" s="6"/>
      <c r="I8" s="7"/>
      <c r="M8" s="112" t="s">
        <v>130</v>
      </c>
      <c r="N8" s="149">
        <f>IF(N4&lt;0.1,25,IF(N4&lt;0.2,18,IF(N4&lt;0.3,8,0)))</f>
        <v>25</v>
      </c>
    </row>
    <row r="9">
      <c r="B9" s="151" t="s">
        <v>131</v>
      </c>
      <c r="C9" s="153">
        <f>IF(COUNT(C41:C48)=0,0,SUM(C41:C48)/COUNT(C41:C48))</f>
        <v>60000</v>
      </c>
      <c r="E9" s="151" t="s">
        <v>132</v>
      </c>
      <c r="F9" s="153">
        <f>IF(COUNT(D41:D48)=0,0,SUM(D41:D48)/COUNT(D41:D48))</f>
        <v>12000</v>
      </c>
      <c r="M9" s="112" t="s">
        <v>133</v>
      </c>
      <c r="N9" s="149">
        <f>IF(N5&gt;=0.25,25,IF(N5&gt;=0.15,18,IF(N5&gt;=0.08,8,0)))</f>
        <v>18</v>
      </c>
    </row>
    <row r="10">
      <c r="B10" s="112"/>
      <c r="M10" s="112" t="s">
        <v>134</v>
      </c>
      <c r="N10" s="149">
        <f>IF(N6="na",12,IF(N6&gt;=0.05,20,IF(N6&gt;=-0.05,12,IF(N6&gt;=-0.15,4,0))))</f>
        <v>12</v>
      </c>
    </row>
    <row r="11">
      <c r="B11" s="127" t="s">
        <v>136</v>
      </c>
      <c r="C11" s="6"/>
      <c r="D11" s="6"/>
      <c r="E11" s="6"/>
      <c r="F11" s="6"/>
      <c r="G11" s="6"/>
      <c r="H11" s="6"/>
      <c r="I11" s="7"/>
      <c r="M11" s="159" t="s">
        <v>137</v>
      </c>
      <c r="N11" s="160">
        <f>N7+N8+N9+N10</f>
        <v>77</v>
      </c>
    </row>
    <row r="12">
      <c r="B12" s="128" t="s">
        <v>42</v>
      </c>
      <c r="C12" s="128" t="s">
        <v>43</v>
      </c>
      <c r="D12" s="128" t="s">
        <v>44</v>
      </c>
      <c r="E12" s="128" t="s">
        <v>6</v>
      </c>
      <c r="F12" s="128" t="s">
        <v>45</v>
      </c>
      <c r="G12" s="128" t="s">
        <v>139</v>
      </c>
      <c r="M12" s="112" t="s">
        <v>140</v>
      </c>
      <c r="N12" s="149" t="str">
        <f>IF(N11&gt;=75,"Strong",IF(N11&gt;=55,"Solid",IF(N11&gt;=40,"Moderate",IF(N11&gt;=25,"Weak","Thin"))))</f>
        <v>Strong</v>
      </c>
    </row>
    <row r="13">
      <c r="B13" s="126" t="s">
        <v>205</v>
      </c>
      <c r="C13" s="196">
        <v>20000.0</v>
      </c>
      <c r="D13" s="196">
        <v>1000.0</v>
      </c>
      <c r="E13" s="165" t="s">
        <v>12</v>
      </c>
      <c r="F13" s="166">
        <f t="shared" ref="F13:F19" si="1">IF(D13="","",IF(E13="Daily",D13,IF(E13="Weekly",D13/5,D13/21.655)))</f>
        <v>200</v>
      </c>
      <c r="G13" s="168">
        <f t="shared" ref="G13:G19" si="2">IF(OR(C13="",F13="",F13=0),"",C13*1.4/F13/21.655)</f>
        <v>6.465019626</v>
      </c>
      <c r="M13" s="112" t="s">
        <v>142</v>
      </c>
      <c r="N13" s="149">
        <f>IF(N11&gt;=75,150,IF(N11&gt;=55,140,IF(N11&gt;=40,130,IF(N11&gt;=25,120,100))))</f>
        <v>150</v>
      </c>
    </row>
    <row r="14">
      <c r="B14" s="147"/>
      <c r="C14" s="162"/>
      <c r="D14" s="162"/>
      <c r="E14" s="177"/>
      <c r="F14" s="166" t="str">
        <f t="shared" si="1"/>
        <v/>
      </c>
      <c r="G14" s="168" t="str">
        <f t="shared" si="2"/>
        <v/>
      </c>
      <c r="M14" s="112" t="s">
        <v>145</v>
      </c>
      <c r="N14" s="149">
        <f>N13/5</f>
        <v>30</v>
      </c>
    </row>
    <row r="15">
      <c r="B15" s="147"/>
      <c r="C15" s="162"/>
      <c r="D15" s="162"/>
      <c r="E15" s="177"/>
      <c r="F15" s="166" t="str">
        <f t="shared" si="1"/>
        <v/>
      </c>
      <c r="G15" s="168" t="str">
        <f t="shared" si="2"/>
        <v/>
      </c>
    </row>
    <row r="16">
      <c r="B16" s="147"/>
      <c r="C16" s="162"/>
      <c r="D16" s="162"/>
      <c r="E16" s="177"/>
      <c r="F16" s="166" t="str">
        <f t="shared" si="1"/>
        <v/>
      </c>
      <c r="G16" s="168" t="str">
        <f t="shared" si="2"/>
        <v/>
      </c>
      <c r="M16" s="112" t="s">
        <v>147</v>
      </c>
      <c r="N16" s="174">
        <f>IF(N11&gt;=75,1.4,IF(N11&gt;=40,1.45,1.49))</f>
        <v>1.4</v>
      </c>
    </row>
    <row r="17">
      <c r="B17" s="147"/>
      <c r="C17" s="162"/>
      <c r="D17" s="162"/>
      <c r="E17" s="177"/>
      <c r="F17" s="166" t="str">
        <f t="shared" si="1"/>
        <v/>
      </c>
      <c r="G17" s="168" t="str">
        <f t="shared" si="2"/>
        <v/>
      </c>
      <c r="M17" s="112" t="s">
        <v>148</v>
      </c>
      <c r="N17" s="149" t="str">
        <f>IF(OR(N3&gt;=3,N11&lt;40),"Daily","Weekly")</f>
        <v>Weekly</v>
      </c>
    </row>
    <row r="18">
      <c r="B18" s="147"/>
      <c r="C18" s="162"/>
      <c r="D18" s="162"/>
      <c r="E18" s="177"/>
      <c r="F18" s="166" t="str">
        <f t="shared" si="1"/>
        <v/>
      </c>
      <c r="G18" s="168" t="str">
        <f t="shared" si="2"/>
        <v/>
      </c>
      <c r="M18" s="112" t="s">
        <v>150</v>
      </c>
      <c r="N18" s="178">
        <f>MAX(0,MIN(F35*C9/21.655,F33*C9/21.655-F20,IF(F9&gt;0,F36*F9-F20,1000000000000000)))</f>
        <v>498.7300854</v>
      </c>
    </row>
    <row r="19">
      <c r="B19" s="147"/>
      <c r="C19" s="162"/>
      <c r="D19" s="162"/>
      <c r="E19" s="177"/>
      <c r="F19" s="166" t="str">
        <f t="shared" si="1"/>
        <v/>
      </c>
      <c r="G19" s="168" t="str">
        <f t="shared" si="2"/>
        <v/>
      </c>
      <c r="M19" s="112" t="s">
        <v>151</v>
      </c>
      <c r="N19" s="179">
        <f>IF(OR(C9=0,N18&lt;=0),0,FLOOR(MIN(N18*N13/N16,$F$37*C9),500))</f>
        <v>45000</v>
      </c>
    </row>
    <row r="20">
      <c r="B20" s="180" t="s">
        <v>51</v>
      </c>
      <c r="F20" s="181">
        <f>SUM(F13:F19)</f>
        <v>200</v>
      </c>
      <c r="M20" s="112" t="s">
        <v>152</v>
      </c>
      <c r="N20" s="179">
        <f>IF(N19=0,0,N19*N16/N13)</f>
        <v>420</v>
      </c>
    </row>
    <row r="21" ht="15.75" customHeight="1">
      <c r="B21" s="180" t="s">
        <v>153</v>
      </c>
      <c r="F21" s="181">
        <f>F20+IF(H5="",0,H5)</f>
        <v>290</v>
      </c>
      <c r="M21" s="112" t="s">
        <v>154</v>
      </c>
      <c r="N21" s="179">
        <f>N20*5</f>
        <v>2100</v>
      </c>
    </row>
    <row r="22" ht="15.75" customHeight="1">
      <c r="B22" s="180" t="s">
        <v>155</v>
      </c>
      <c r="F22" s="181">
        <f>F21*21.655</f>
        <v>6279.95</v>
      </c>
      <c r="M22" s="112" t="s">
        <v>156</v>
      </c>
      <c r="N22" s="149" t="str">
        <f>N3&amp;IF(OR(N3=11,N3=12,N3=13),"th",IF(MOD(N3,10)=1,"st",IF(MOD(N3,10)=2,"nd",IF(MOD(N3,10)=3,"rd","th"))))</f>
        <v>2nd</v>
      </c>
    </row>
    <row r="23" ht="15.75" customHeight="1"/>
    <row r="24" ht="15.75" customHeight="1">
      <c r="B24" s="182" t="s">
        <v>157</v>
      </c>
      <c r="C24" s="6"/>
      <c r="D24" s="6"/>
      <c r="E24" s="6"/>
      <c r="F24" s="6"/>
      <c r="G24" s="6"/>
      <c r="H24" s="6"/>
      <c r="I24" s="7"/>
    </row>
    <row r="25" ht="15.75" customHeight="1">
      <c r="B25" s="128"/>
      <c r="C25" s="128" t="s">
        <v>5</v>
      </c>
      <c r="D25" s="128" t="s">
        <v>158</v>
      </c>
      <c r="E25" s="128" t="s">
        <v>6</v>
      </c>
      <c r="F25" s="128" t="s">
        <v>159</v>
      </c>
    </row>
    <row r="26" ht="15.75" customHeight="1">
      <c r="B26" s="153">
        <f>IF(N19=0,"",N19)</f>
        <v>45000</v>
      </c>
      <c r="C26" s="183">
        <f>IF(N19=0,"",N16)</f>
        <v>1.4</v>
      </c>
      <c r="D26" s="184" t="str">
        <f>IF(N19=0,"",N14&amp;" wk / "&amp;N13&amp;" daily")</f>
        <v>30 wk / 150 daily</v>
      </c>
      <c r="E26" s="184" t="str">
        <f>IF(N19=0,"",N17)</f>
        <v>Weekly</v>
      </c>
      <c r="F26" s="153">
        <f>IF(N19=0,"",IF(N17="Daily",N20,N21))</f>
        <v>2100</v>
      </c>
    </row>
    <row r="27" ht="15.75" customHeight="1">
      <c r="B27" s="112"/>
    </row>
    <row r="28" ht="15.75" customHeight="1">
      <c r="B28" s="185"/>
    </row>
    <row r="29" ht="15.75" customHeight="1"/>
    <row r="30" ht="15.75" customHeight="1"/>
    <row r="31" ht="15.75" customHeight="1">
      <c r="B31" s="127" t="s">
        <v>160</v>
      </c>
      <c r="C31" s="6"/>
      <c r="D31" s="6"/>
      <c r="E31" s="6"/>
      <c r="F31" s="6"/>
      <c r="G31" s="6"/>
      <c r="H31" s="7"/>
    </row>
    <row r="32" ht="15.75" customHeight="1">
      <c r="B32" s="186" t="s">
        <v>8</v>
      </c>
      <c r="C32" s="128" t="s">
        <v>161</v>
      </c>
      <c r="D32" s="128" t="s">
        <v>54</v>
      </c>
      <c r="E32" s="128" t="s">
        <v>121</v>
      </c>
      <c r="F32" s="128" t="s">
        <v>162</v>
      </c>
      <c r="G32" s="128" t="s">
        <v>163</v>
      </c>
      <c r="H32" s="128" t="s">
        <v>58</v>
      </c>
    </row>
    <row r="33" ht="15.75" customHeight="1">
      <c r="B33" s="147" t="s">
        <v>164</v>
      </c>
      <c r="C33" s="187" t="s">
        <v>165</v>
      </c>
      <c r="D33" s="188">
        <f>IF(C9=0,"",F22/C9)</f>
        <v>0.1046658333</v>
      </c>
      <c r="E33" s="189" t="s">
        <v>166</v>
      </c>
      <c r="F33" s="167">
        <v>0.3</v>
      </c>
      <c r="G33" s="167">
        <v>0.45</v>
      </c>
      <c r="H33" s="167">
        <v>0.6</v>
      </c>
      <c r="J33" s="112" t="s">
        <v>167</v>
      </c>
      <c r="K33" s="149">
        <f>IF(AND(ISNUMBER(D33),D33&gt;G33),1,0)+IF(AND(ISNUMBER(D34),D34&lt;G34),1,0)+IF(AND(ISNUMBER(D35),D35&gt;G35),1,0)+IF(AND(ISNUMBER(D36),D36&gt;G36),1,0)+IF(AND(ISNUMBER(D37),D37&gt;G37),1,0)</f>
        <v>0</v>
      </c>
    </row>
    <row r="34" ht="15.75" customHeight="1">
      <c r="B34" s="190" t="s">
        <v>208</v>
      </c>
      <c r="C34" s="187" t="s">
        <v>168</v>
      </c>
      <c r="D34" s="188">
        <f>IF(C9=0,"",F9/C9)</f>
        <v>0.2</v>
      </c>
      <c r="E34" s="189" t="s">
        <v>169</v>
      </c>
      <c r="F34" s="167">
        <v>0.15</v>
      </c>
      <c r="G34" s="167">
        <v>0.08</v>
      </c>
      <c r="H34" s="167">
        <v>0.03</v>
      </c>
      <c r="J34" s="112" t="s">
        <v>170</v>
      </c>
      <c r="K34" s="149">
        <f>IF(AND(ISNUMBER(D33),D33&lt;=F33),1,0)+IF(AND(ISNUMBER(D34),D34&gt;=F34),1,0)+IF(AND(ISNUMBER(D35),D35&lt;=F35),1,0)+IF(AND(ISNUMBER(D36),D36&lt;=F36),1,0)+IF(AND(ISNUMBER(D37),D37&lt;=F37),1,0)</f>
        <v>5</v>
      </c>
    </row>
    <row r="35" ht="15.75" customHeight="1">
      <c r="B35" s="147" t="s">
        <v>60</v>
      </c>
      <c r="C35" s="187" t="s">
        <v>171</v>
      </c>
      <c r="D35" s="188">
        <f>IF(OR(E6="",C9=0),"",E6/C9)</f>
        <v>0.0324825</v>
      </c>
      <c r="E35" s="189" t="s">
        <v>172</v>
      </c>
      <c r="F35" s="167">
        <v>0.18</v>
      </c>
      <c r="G35" s="167">
        <v>0.25</v>
      </c>
      <c r="H35" s="167">
        <v>0.35</v>
      </c>
      <c r="J35" s="112" t="s">
        <v>173</v>
      </c>
      <c r="K35" s="149" t="b">
        <f>OR(AND(ISNUMBER(D33),D33&gt;H33),AND(ISNUMBER(D34),D34&lt;H34),AND(ISNUMBER(D35),D35&gt;H35),AND(ISNUMBER(D36),D36&gt;H36),AND(ISNUMBER(D37),D37&gt;H37))</f>
        <v>0</v>
      </c>
    </row>
    <row r="36" ht="15.75" customHeight="1">
      <c r="B36" s="147" t="s">
        <v>174</v>
      </c>
      <c r="C36" s="187" t="s">
        <v>175</v>
      </c>
      <c r="D36" s="188">
        <f>IF(F9=0,"",F21/F9)</f>
        <v>0.02416666667</v>
      </c>
      <c r="E36" s="189" t="s">
        <v>176</v>
      </c>
      <c r="F36" s="167">
        <v>0.45</v>
      </c>
      <c r="G36" s="167">
        <v>0.75</v>
      </c>
      <c r="H36" s="167">
        <v>1.0</v>
      </c>
      <c r="J36" s="141" t="s">
        <v>177</v>
      </c>
      <c r="K36" s="149">
        <f>SUMPRODUCT(--ISNUMBER(D33:D37))-K33-K34</f>
        <v>0</v>
      </c>
    </row>
    <row r="37" ht="15.75" customHeight="1">
      <c r="B37" s="147" t="s">
        <v>178</v>
      </c>
      <c r="C37" s="187" t="s">
        <v>179</v>
      </c>
      <c r="D37" s="191">
        <f>IF(OR(B5="",C9=0),"",B5/C9)</f>
        <v>0.75</v>
      </c>
      <c r="E37" s="189" t="s">
        <v>180</v>
      </c>
      <c r="F37" s="192">
        <v>0.75</v>
      </c>
      <c r="G37" s="202">
        <v>1.6</v>
      </c>
      <c r="H37" s="202">
        <v>2.0</v>
      </c>
    </row>
    <row r="38" ht="15.75" customHeight="1"/>
    <row r="39" ht="15.75" customHeight="1">
      <c r="B39" s="127" t="s">
        <v>181</v>
      </c>
      <c r="C39" s="6"/>
      <c r="D39" s="6"/>
      <c r="E39" s="6"/>
      <c r="F39" s="6"/>
      <c r="G39" s="6"/>
      <c r="H39" s="7"/>
    </row>
    <row r="40" ht="15.75" customHeight="1">
      <c r="B40" s="128" t="s">
        <v>182</v>
      </c>
      <c r="C40" s="128" t="s">
        <v>25</v>
      </c>
      <c r="D40" s="128" t="s">
        <v>26</v>
      </c>
      <c r="E40" s="128" t="s">
        <v>183</v>
      </c>
      <c r="F40" s="128" t="s">
        <v>184</v>
      </c>
      <c r="G40" s="128" t="s">
        <v>185</v>
      </c>
    </row>
    <row r="41" ht="15.75" customHeight="1">
      <c r="B41" s="177" t="s">
        <v>32</v>
      </c>
      <c r="C41" s="196">
        <v>60000.0</v>
      </c>
      <c r="D41" s="196">
        <v>12000.0</v>
      </c>
      <c r="E41" s="193">
        <f t="shared" ref="E41:E48" si="3">IF(OR(C41="",C42=""),"",(C41-C42)/C42)</f>
        <v>0</v>
      </c>
      <c r="F41" s="193">
        <f t="shared" ref="F41:F48" si="4">IF(C41="","",D41/C41)</f>
        <v>0.2</v>
      </c>
      <c r="G41" s="194">
        <f t="shared" ref="G41:G48" si="5">IF(C41="","",$B$5/C41)</f>
        <v>0.75</v>
      </c>
    </row>
    <row r="42" ht="15.75" customHeight="1">
      <c r="B42" s="177" t="s">
        <v>35</v>
      </c>
      <c r="C42" s="225">
        <v>60000.0</v>
      </c>
      <c r="D42" s="196">
        <v>12000.0</v>
      </c>
      <c r="E42" s="193">
        <f t="shared" si="3"/>
        <v>0</v>
      </c>
      <c r="F42" s="193">
        <f t="shared" si="4"/>
        <v>0.2</v>
      </c>
      <c r="G42" s="194">
        <f t="shared" si="5"/>
        <v>0.75</v>
      </c>
    </row>
    <row r="43" ht="15.75" customHeight="1">
      <c r="B43" s="177" t="s">
        <v>36</v>
      </c>
      <c r="C43" s="196">
        <v>60000.0</v>
      </c>
      <c r="D43" s="196">
        <v>12000.0</v>
      </c>
      <c r="E43" s="193">
        <f t="shared" si="3"/>
        <v>0</v>
      </c>
      <c r="F43" s="193">
        <f t="shared" si="4"/>
        <v>0.2</v>
      </c>
      <c r="G43" s="194">
        <f t="shared" si="5"/>
        <v>0.75</v>
      </c>
    </row>
    <row r="44" ht="15.75" customHeight="1">
      <c r="B44" s="177" t="s">
        <v>37</v>
      </c>
      <c r="C44" s="196">
        <v>60000.0</v>
      </c>
      <c r="D44" s="196">
        <v>12000.0</v>
      </c>
      <c r="E44" s="193" t="str">
        <f t="shared" si="3"/>
        <v/>
      </c>
      <c r="F44" s="193">
        <f t="shared" si="4"/>
        <v>0.2</v>
      </c>
      <c r="G44" s="194">
        <f t="shared" si="5"/>
        <v>0.75</v>
      </c>
    </row>
    <row r="45" ht="15.75" customHeight="1">
      <c r="B45" s="195" t="s">
        <v>89</v>
      </c>
      <c r="C45" s="196"/>
      <c r="D45" s="196"/>
      <c r="E45" s="193" t="str">
        <f t="shared" si="3"/>
        <v/>
      </c>
      <c r="F45" s="193" t="str">
        <f t="shared" si="4"/>
        <v/>
      </c>
      <c r="G45" s="194" t="str">
        <f t="shared" si="5"/>
        <v/>
      </c>
    </row>
    <row r="46" ht="15.75" customHeight="1">
      <c r="B46" s="195" t="s">
        <v>186</v>
      </c>
      <c r="C46" s="196"/>
      <c r="D46" s="196"/>
      <c r="E46" s="193" t="str">
        <f t="shared" si="3"/>
        <v/>
      </c>
      <c r="F46" s="193" t="str">
        <f t="shared" si="4"/>
        <v/>
      </c>
      <c r="G46" s="194" t="str">
        <f t="shared" si="5"/>
        <v/>
      </c>
    </row>
    <row r="47" ht="15.75" customHeight="1">
      <c r="B47" s="195" t="s">
        <v>187</v>
      </c>
      <c r="C47" s="196"/>
      <c r="D47" s="196"/>
      <c r="E47" s="193" t="str">
        <f t="shared" si="3"/>
        <v/>
      </c>
      <c r="F47" s="193" t="str">
        <f t="shared" si="4"/>
        <v/>
      </c>
      <c r="G47" s="194" t="str">
        <f t="shared" si="5"/>
        <v/>
      </c>
    </row>
    <row r="48" ht="15.75" customHeight="1">
      <c r="B48" s="195" t="s">
        <v>188</v>
      </c>
      <c r="C48" s="196"/>
      <c r="D48" s="196"/>
      <c r="E48" s="193" t="str">
        <f t="shared" si="3"/>
        <v/>
      </c>
      <c r="F48" s="193" t="str">
        <f t="shared" si="4"/>
        <v/>
      </c>
      <c r="G48" s="194" t="str">
        <f t="shared" si="5"/>
        <v/>
      </c>
    </row>
    <row r="49" ht="15.75" customHeight="1"/>
    <row r="50" ht="15.75" customHeight="1"/>
    <row r="51" ht="15.75" customHeight="1">
      <c r="B51" s="180" t="s">
        <v>189</v>
      </c>
      <c r="C51" s="181">
        <f t="shared" ref="C51:G51" si="6">IFERROR(AVERAGE(C41:C48),"")</f>
        <v>60000</v>
      </c>
      <c r="D51" s="181">
        <f t="shared" si="6"/>
        <v>12000</v>
      </c>
      <c r="E51" s="197">
        <f t="shared" si="6"/>
        <v>0</v>
      </c>
      <c r="F51" s="197">
        <f t="shared" si="6"/>
        <v>0.2</v>
      </c>
      <c r="G51" s="197">
        <f t="shared" si="6"/>
        <v>0.75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1" t="s">
        <v>108</v>
      </c>
    </row>
    <row r="2">
      <c r="B2" s="123" t="s">
        <v>109</v>
      </c>
      <c r="C2" s="124" t="str">
        <f>IF(C9=0,"",IF(OR(K35,K33&gt;=3),"DECLINE",IF(K34=5,"FUND","CONDITIONAL")))</f>
        <v>CONDITIONAL</v>
      </c>
      <c r="D2" s="105"/>
      <c r="E2" s="112" t="str">
        <f>IF(C9=0,"Enter the months below to begin.",IF(K35,"Knockout: a check is past its line.",IF(K33&gt;=3,K33&amp;" red checks (3+ auto-declines).",IF(K34=5,"All 5 checks green.",K34&amp;" green / "&amp;K36&amp;" amber / "&amp;K33&amp;" red."))))</f>
        <v>2 green / 2 amber / 1 red.</v>
      </c>
      <c r="M2" s="112" t="s">
        <v>110</v>
      </c>
      <c r="N2" s="107">
        <f>COUNT(F13:F19)</f>
        <v>1</v>
      </c>
    </row>
    <row r="3">
      <c r="B3" s="127" t="s">
        <v>112</v>
      </c>
      <c r="C3" s="6"/>
      <c r="D3" s="6"/>
      <c r="E3" s="6"/>
      <c r="F3" s="6"/>
      <c r="G3" s="6"/>
      <c r="H3" s="6"/>
      <c r="I3" s="7"/>
      <c r="M3" s="112" t="s">
        <v>113</v>
      </c>
      <c r="N3" s="111">
        <f>N2+1</f>
        <v>2</v>
      </c>
    </row>
    <row r="4">
      <c r="B4" s="128" t="s">
        <v>4</v>
      </c>
      <c r="C4" s="128" t="s">
        <v>5</v>
      </c>
      <c r="D4" s="128" t="s">
        <v>114</v>
      </c>
      <c r="E4" s="128" t="s">
        <v>6</v>
      </c>
      <c r="F4" s="128" t="s">
        <v>7</v>
      </c>
      <c r="G4" s="128" t="s">
        <v>14</v>
      </c>
      <c r="H4" s="128" t="s">
        <v>115</v>
      </c>
      <c r="I4" s="128" t="s">
        <v>116</v>
      </c>
      <c r="M4" s="112" t="s">
        <v>117</v>
      </c>
      <c r="N4" s="114">
        <f>IF(C9=0,0,F20*21.655/C9)</f>
        <v>0.2776282051</v>
      </c>
    </row>
    <row r="5">
      <c r="B5" s="130">
        <v>70000.0</v>
      </c>
      <c r="C5" s="131">
        <v>1.45</v>
      </c>
      <c r="D5" s="132">
        <v>30.0</v>
      </c>
      <c r="E5" s="133" t="s">
        <v>12</v>
      </c>
      <c r="F5" s="134">
        <v>0.05</v>
      </c>
      <c r="G5" s="137">
        <f>IF(OR(B5="",C5=""),"",B5*C5)</f>
        <v>101500</v>
      </c>
      <c r="H5" s="137">
        <f>IF(OR(D5="",D5=0),"",IF(E5="Weekly",(G5/D5)/5,G5/D5))</f>
        <v>676.6666667</v>
      </c>
      <c r="I5" s="137">
        <f>IF(B5="","",B5-(B5*F5))</f>
        <v>66500</v>
      </c>
      <c r="M5" s="112" t="s">
        <v>206</v>
      </c>
      <c r="N5" s="114">
        <f>IF(C9=0,0,F9/C9)</f>
        <v>0.2871794872</v>
      </c>
    </row>
    <row r="6">
      <c r="B6" s="143" t="s">
        <v>16</v>
      </c>
      <c r="C6" s="144">
        <f>IF(H5="","",H5*5)</f>
        <v>3383.333333</v>
      </c>
      <c r="D6" s="143" t="s">
        <v>124</v>
      </c>
      <c r="E6" s="144">
        <f>IF(H5="","",H5*21.655)</f>
        <v>14653.21667</v>
      </c>
      <c r="F6" s="143" t="s">
        <v>18</v>
      </c>
      <c r="G6" s="146">
        <f>IF(OR(D5="",D5=0),"",IF(E5="Weekly",D5,D5/5)/4.33)</f>
        <v>6.928406467</v>
      </c>
      <c r="M6" s="112" t="s">
        <v>126</v>
      </c>
      <c r="N6" s="114">
        <f>IFERROR(AVERAGE(E41:E43),"na")</f>
        <v>-0.007453666398</v>
      </c>
    </row>
    <row r="7">
      <c r="M7" s="112" t="s">
        <v>128</v>
      </c>
      <c r="N7" s="149">
        <f>IF(N3&lt;=1,30,IF(N3=2,22,IF(N3=3,12,IF(N3=4,4,0))))</f>
        <v>22</v>
      </c>
    </row>
    <row r="8">
      <c r="B8" s="127" t="s">
        <v>129</v>
      </c>
      <c r="C8" s="6"/>
      <c r="D8" s="6"/>
      <c r="E8" s="6"/>
      <c r="F8" s="6"/>
      <c r="G8" s="6"/>
      <c r="H8" s="6"/>
      <c r="I8" s="7"/>
      <c r="M8" s="112" t="s">
        <v>130</v>
      </c>
      <c r="N8" s="149">
        <f>IF(N4&lt;0.1,25,IF(N4&lt;0.2,18,IF(N4&lt;0.3,8,0)))</f>
        <v>8</v>
      </c>
    </row>
    <row r="9">
      <c r="B9" s="151" t="s">
        <v>131</v>
      </c>
      <c r="C9" s="153">
        <f>IF(COUNT(C41:C48)=0,0,SUM(C41:C48)/COUNT(C41:C48))</f>
        <v>78000</v>
      </c>
      <c r="E9" s="151" t="s">
        <v>132</v>
      </c>
      <c r="F9" s="153">
        <f>IF(COUNT(D41:D48)=0,0,SUM(D41:D48)/COUNT(D41:D48))</f>
        <v>22400</v>
      </c>
      <c r="M9" s="112" t="s">
        <v>133</v>
      </c>
      <c r="N9" s="149">
        <f>IF(N5&gt;=0.25,25,IF(N5&gt;=0.15,18,IF(N5&gt;=0.08,8,0)))</f>
        <v>25</v>
      </c>
    </row>
    <row r="10">
      <c r="B10" s="112"/>
      <c r="M10" s="112" t="s">
        <v>134</v>
      </c>
      <c r="N10" s="149">
        <f>IF(N6="na",12,IF(N6&gt;=0.05,20,IF(N6&gt;=-0.05,12,IF(N6&gt;=-0.15,4,0))))</f>
        <v>12</v>
      </c>
    </row>
    <row r="11">
      <c r="B11" s="127" t="s">
        <v>136</v>
      </c>
      <c r="C11" s="6"/>
      <c r="D11" s="6"/>
      <c r="E11" s="6"/>
      <c r="F11" s="6"/>
      <c r="G11" s="6"/>
      <c r="H11" s="6"/>
      <c r="I11" s="7"/>
      <c r="M11" s="159" t="s">
        <v>137</v>
      </c>
      <c r="N11" s="160">
        <f>N7+N8+N9+N10</f>
        <v>67</v>
      </c>
    </row>
    <row r="12">
      <c r="B12" s="128" t="s">
        <v>42</v>
      </c>
      <c r="C12" s="128" t="s">
        <v>43</v>
      </c>
      <c r="D12" s="128" t="s">
        <v>44</v>
      </c>
      <c r="E12" s="128" t="s">
        <v>6</v>
      </c>
      <c r="F12" s="128" t="s">
        <v>45</v>
      </c>
      <c r="G12" s="128" t="s">
        <v>139</v>
      </c>
      <c r="M12" s="112" t="s">
        <v>140</v>
      </c>
      <c r="N12" s="149" t="str">
        <f>IF(N11&gt;=75,"Strong",IF(N11&gt;=55,"Solid",IF(N11&gt;=40,"Moderate",IF(N11&gt;=25,"Weak","Thin"))))</f>
        <v>Solid</v>
      </c>
    </row>
    <row r="13">
      <c r="B13" s="147"/>
      <c r="C13" s="162"/>
      <c r="D13" s="163">
        <v>5000.0</v>
      </c>
      <c r="E13" s="165" t="s">
        <v>12</v>
      </c>
      <c r="F13" s="166">
        <f t="shared" ref="F13:F19" si="1">IF(D13="","",IF(E13="Daily",D13,IF(E13="Weekly",D13/5,D13/21.655)))</f>
        <v>1000</v>
      </c>
      <c r="G13" s="168" t="str">
        <f t="shared" ref="G13:G19" si="2">IF(OR(C13="",F13="",F13=0),"",C13*1.4/F13/21.655)</f>
        <v/>
      </c>
      <c r="M13" s="112" t="s">
        <v>142</v>
      </c>
      <c r="N13" s="149">
        <f>IF(N11&gt;=75,150,IF(N11&gt;=55,140,IF(N11&gt;=40,130,IF(N11&gt;=25,120,100))))</f>
        <v>140</v>
      </c>
    </row>
    <row r="14">
      <c r="B14" s="147"/>
      <c r="C14" s="162"/>
      <c r="D14" s="162"/>
      <c r="E14" s="177"/>
      <c r="F14" s="166" t="str">
        <f t="shared" si="1"/>
        <v/>
      </c>
      <c r="G14" s="168" t="str">
        <f t="shared" si="2"/>
        <v/>
      </c>
      <c r="M14" s="112" t="s">
        <v>145</v>
      </c>
      <c r="N14" s="149">
        <f>N13/5</f>
        <v>28</v>
      </c>
    </row>
    <row r="15">
      <c r="B15" s="147"/>
      <c r="C15" s="162"/>
      <c r="D15" s="162"/>
      <c r="E15" s="177"/>
      <c r="F15" s="166" t="str">
        <f t="shared" si="1"/>
        <v/>
      </c>
      <c r="G15" s="168" t="str">
        <f t="shared" si="2"/>
        <v/>
      </c>
    </row>
    <row r="16">
      <c r="B16" s="147"/>
      <c r="C16" s="162"/>
      <c r="D16" s="162"/>
      <c r="E16" s="177"/>
      <c r="F16" s="166" t="str">
        <f t="shared" si="1"/>
        <v/>
      </c>
      <c r="G16" s="168" t="str">
        <f t="shared" si="2"/>
        <v/>
      </c>
      <c r="M16" s="112" t="s">
        <v>147</v>
      </c>
      <c r="N16" s="174">
        <f>IF(N11&gt;=75,1.4,IF(N11&gt;=40,1.45,1.49))</f>
        <v>1.45</v>
      </c>
    </row>
    <row r="17">
      <c r="B17" s="147"/>
      <c r="C17" s="162"/>
      <c r="D17" s="162"/>
      <c r="E17" s="177"/>
      <c r="F17" s="166" t="str">
        <f t="shared" si="1"/>
        <v/>
      </c>
      <c r="G17" s="168" t="str">
        <f t="shared" si="2"/>
        <v/>
      </c>
      <c r="M17" s="112" t="s">
        <v>148</v>
      </c>
      <c r="N17" s="149" t="str">
        <f>IF(OR(N3&gt;=3,N11&lt;40),"Daily","Weekly")</f>
        <v>Weekly</v>
      </c>
    </row>
    <row r="18">
      <c r="B18" s="147"/>
      <c r="C18" s="162"/>
      <c r="D18" s="162"/>
      <c r="E18" s="177"/>
      <c r="F18" s="166" t="str">
        <f t="shared" si="1"/>
        <v/>
      </c>
      <c r="G18" s="168" t="str">
        <f t="shared" si="2"/>
        <v/>
      </c>
      <c r="M18" s="112" t="s">
        <v>150</v>
      </c>
      <c r="N18" s="178">
        <f>MAX(0,MIN(F35*C9/21.655,F33*C9/21.655-F20,IF(F9&gt;0,F36*F9-F20,1000000000000000)))</f>
        <v>80.58185177</v>
      </c>
    </row>
    <row r="19">
      <c r="B19" s="147"/>
      <c r="C19" s="162"/>
      <c r="D19" s="162"/>
      <c r="E19" s="177"/>
      <c r="F19" s="166" t="str">
        <f t="shared" si="1"/>
        <v/>
      </c>
      <c r="G19" s="168" t="str">
        <f t="shared" si="2"/>
        <v/>
      </c>
      <c r="M19" s="112" t="s">
        <v>151</v>
      </c>
      <c r="N19" s="179">
        <f>IF(OR(C9=0,N18&lt;=0),0,FLOOR(MIN(N18*N13/N16,$F$37*C9),500))</f>
        <v>7500</v>
      </c>
    </row>
    <row r="20">
      <c r="B20" s="180" t="s">
        <v>51</v>
      </c>
      <c r="F20" s="181">
        <f>SUM(F13:F19)</f>
        <v>1000</v>
      </c>
      <c r="M20" s="112" t="s">
        <v>152</v>
      </c>
      <c r="N20" s="179">
        <f>IF(N19=0,0,N19*N16/N13)</f>
        <v>77.67857143</v>
      </c>
    </row>
    <row r="21" ht="15.75" customHeight="1">
      <c r="B21" s="180" t="s">
        <v>153</v>
      </c>
      <c r="F21" s="181">
        <f>F20+IF(H5="",0,H5)</f>
        <v>1676.666667</v>
      </c>
      <c r="M21" s="112" t="s">
        <v>154</v>
      </c>
      <c r="N21" s="179">
        <f>N20*5</f>
        <v>388.3928571</v>
      </c>
    </row>
    <row r="22" ht="15.75" customHeight="1">
      <c r="B22" s="180" t="s">
        <v>155</v>
      </c>
      <c r="F22" s="181">
        <f>F21*21.655</f>
        <v>36308.21667</v>
      </c>
      <c r="M22" s="112" t="s">
        <v>156</v>
      </c>
      <c r="N22" s="149" t="str">
        <f>N3&amp;IF(OR(N3=11,N3=12,N3=13),"th",IF(MOD(N3,10)=1,"st",IF(MOD(N3,10)=2,"nd",IF(MOD(N3,10)=3,"rd","th"))))</f>
        <v>2nd</v>
      </c>
    </row>
    <row r="23" ht="15.75" customHeight="1"/>
    <row r="24" ht="15.75" customHeight="1">
      <c r="B24" s="182" t="s">
        <v>157</v>
      </c>
      <c r="C24" s="6"/>
      <c r="D24" s="6"/>
      <c r="E24" s="6"/>
      <c r="F24" s="6"/>
      <c r="G24" s="6"/>
      <c r="H24" s="6"/>
      <c r="I24" s="7"/>
    </row>
    <row r="25" ht="15.75" customHeight="1">
      <c r="B25" s="128"/>
      <c r="C25" s="128" t="s">
        <v>5</v>
      </c>
      <c r="D25" s="128" t="s">
        <v>158</v>
      </c>
      <c r="E25" s="128" t="s">
        <v>6</v>
      </c>
      <c r="F25" s="128" t="s">
        <v>159</v>
      </c>
    </row>
    <row r="26" ht="15.75" customHeight="1">
      <c r="B26" s="153">
        <f>IF(N19=0,"",N19)</f>
        <v>7500</v>
      </c>
      <c r="C26" s="183">
        <f>IF(N19=0,"",N16)</f>
        <v>1.45</v>
      </c>
      <c r="D26" s="184" t="str">
        <f>IF(N19=0,"",N14&amp;" wk / "&amp;N13&amp;" daily")</f>
        <v>28 wk / 140 daily</v>
      </c>
      <c r="E26" s="184" t="str">
        <f>IF(N19=0,"",N17)</f>
        <v>Weekly</v>
      </c>
      <c r="F26" s="153">
        <f>IF(N19=0,"",IF(N17="Daily",N20,N21))</f>
        <v>388.3928571</v>
      </c>
    </row>
    <row r="27" ht="15.75" customHeight="1">
      <c r="B27" s="112"/>
    </row>
    <row r="28" ht="15.75" customHeight="1">
      <c r="B28" s="185"/>
    </row>
    <row r="29" ht="15.75" customHeight="1"/>
    <row r="30" ht="15.75" customHeight="1"/>
    <row r="31" ht="15.75" customHeight="1">
      <c r="B31" s="127" t="s">
        <v>160</v>
      </c>
      <c r="C31" s="6"/>
      <c r="D31" s="6"/>
      <c r="E31" s="6"/>
      <c r="F31" s="6"/>
      <c r="G31" s="6"/>
      <c r="H31" s="7"/>
    </row>
    <row r="32" ht="15.75" customHeight="1">
      <c r="B32" s="186" t="s">
        <v>8</v>
      </c>
      <c r="C32" s="128" t="s">
        <v>161</v>
      </c>
      <c r="D32" s="128" t="s">
        <v>54</v>
      </c>
      <c r="E32" s="128" t="s">
        <v>121</v>
      </c>
      <c r="F32" s="128" t="s">
        <v>162</v>
      </c>
      <c r="G32" s="128" t="s">
        <v>163</v>
      </c>
      <c r="H32" s="128" t="s">
        <v>58</v>
      </c>
    </row>
    <row r="33" ht="15.75" customHeight="1">
      <c r="B33" s="147" t="s">
        <v>164</v>
      </c>
      <c r="C33" s="187" t="s">
        <v>165</v>
      </c>
      <c r="D33" s="188">
        <f>IF(C9=0,"",F22/C9)</f>
        <v>0.4654899573</v>
      </c>
      <c r="E33" s="189" t="s">
        <v>166</v>
      </c>
      <c r="F33" s="167">
        <v>0.3</v>
      </c>
      <c r="G33" s="167">
        <v>0.45</v>
      </c>
      <c r="H33" s="167">
        <v>0.6</v>
      </c>
      <c r="J33" s="112" t="s">
        <v>167</v>
      </c>
      <c r="K33" s="149">
        <f>IF(AND(ISNUMBER(D33),D33&gt;G33),1,0)+IF(AND(ISNUMBER(D34),D34&lt;G34),1,0)+IF(AND(ISNUMBER(D35),D35&gt;G35),1,0)+IF(AND(ISNUMBER(D36),D36&gt;G36),1,0)+IF(AND(ISNUMBER(D37),D37&gt;G37),1,0)</f>
        <v>1</v>
      </c>
    </row>
    <row r="34" ht="15.75" customHeight="1">
      <c r="B34" s="147" t="s">
        <v>209</v>
      </c>
      <c r="C34" s="187" t="s">
        <v>168</v>
      </c>
      <c r="D34" s="188">
        <f>IF(C9=0,"",F9/C9)</f>
        <v>0.2871794872</v>
      </c>
      <c r="E34" s="189" t="s">
        <v>169</v>
      </c>
      <c r="F34" s="167">
        <v>0.15</v>
      </c>
      <c r="G34" s="167">
        <v>0.08</v>
      </c>
      <c r="H34" s="167">
        <v>0.03</v>
      </c>
      <c r="J34" s="112" t="s">
        <v>170</v>
      </c>
      <c r="K34" s="149">
        <f>IF(AND(ISNUMBER(D33),D33&lt;=F33),1,0)+IF(AND(ISNUMBER(D34),D34&gt;=F34),1,0)+IF(AND(ISNUMBER(D35),D35&lt;=F35),1,0)+IF(AND(ISNUMBER(D36),D36&lt;=F36),1,0)+IF(AND(ISNUMBER(D37),D37&lt;=F37),1,0)</f>
        <v>2</v>
      </c>
    </row>
    <row r="35" ht="15.75" customHeight="1">
      <c r="B35" s="147" t="s">
        <v>60</v>
      </c>
      <c r="C35" s="187" t="s">
        <v>171</v>
      </c>
      <c r="D35" s="188">
        <f>IF(OR(E6="",C9=0),"",E6/C9)</f>
        <v>0.1878617521</v>
      </c>
      <c r="E35" s="189" t="s">
        <v>172</v>
      </c>
      <c r="F35" s="167">
        <v>0.18</v>
      </c>
      <c r="G35" s="167">
        <v>0.25</v>
      </c>
      <c r="H35" s="167">
        <v>0.35</v>
      </c>
      <c r="J35" s="112" t="s">
        <v>173</v>
      </c>
      <c r="K35" s="149" t="b">
        <f>OR(AND(ISNUMBER(D33),D33&gt;H33),AND(ISNUMBER(D34),D34&lt;H34),AND(ISNUMBER(D35),D35&gt;H35),AND(ISNUMBER(D36),D36&gt;H36),AND(ISNUMBER(D37),D37&gt;H37))</f>
        <v>0</v>
      </c>
    </row>
    <row r="36" ht="15.75" customHeight="1">
      <c r="B36" s="147" t="s">
        <v>174</v>
      </c>
      <c r="C36" s="187" t="s">
        <v>175</v>
      </c>
      <c r="D36" s="188">
        <f>IF(F9=0,"",F21/F9)</f>
        <v>0.07485119048</v>
      </c>
      <c r="E36" s="189" t="s">
        <v>176</v>
      </c>
      <c r="F36" s="167">
        <v>0.45</v>
      </c>
      <c r="G36" s="167">
        <v>0.75</v>
      </c>
      <c r="H36" s="167">
        <v>1.0</v>
      </c>
      <c r="J36" s="141" t="s">
        <v>177</v>
      </c>
      <c r="K36" s="149">
        <f>SUMPRODUCT(--ISNUMBER(D33:D37))-K33-K34</f>
        <v>2</v>
      </c>
    </row>
    <row r="37" ht="15.75" customHeight="1">
      <c r="B37" s="147" t="s">
        <v>178</v>
      </c>
      <c r="C37" s="187" t="s">
        <v>179</v>
      </c>
      <c r="D37" s="191">
        <f>IF(OR(B5="",C9=0),"",B5/C9)</f>
        <v>0.8974358974</v>
      </c>
      <c r="E37" s="189" t="s">
        <v>180</v>
      </c>
      <c r="F37" s="192">
        <v>0.75</v>
      </c>
      <c r="G37" s="192">
        <v>1.0</v>
      </c>
      <c r="H37" s="192">
        <v>1.3</v>
      </c>
    </row>
    <row r="38" ht="15.75" customHeight="1"/>
    <row r="39" ht="15.75" customHeight="1">
      <c r="B39" s="127" t="s">
        <v>181</v>
      </c>
      <c r="C39" s="6"/>
      <c r="D39" s="6"/>
      <c r="E39" s="6"/>
      <c r="F39" s="6"/>
      <c r="G39" s="6"/>
      <c r="H39" s="7"/>
    </row>
    <row r="40" ht="15.75" customHeight="1">
      <c r="B40" s="128" t="s">
        <v>182</v>
      </c>
      <c r="C40" s="128" t="s">
        <v>25</v>
      </c>
      <c r="D40" s="128" t="s">
        <v>26</v>
      </c>
      <c r="E40" s="128" t="s">
        <v>183</v>
      </c>
      <c r="F40" s="128" t="s">
        <v>184</v>
      </c>
      <c r="G40" s="128" t="s">
        <v>185</v>
      </c>
    </row>
    <row r="41" ht="15.75" customHeight="1">
      <c r="B41" s="177" t="s">
        <v>32</v>
      </c>
      <c r="C41" s="163">
        <v>66000.0</v>
      </c>
      <c r="D41" s="163">
        <v>12000.0</v>
      </c>
      <c r="E41" s="193">
        <f t="shared" ref="E41:E48" si="3">IF(OR(C41="",C42=""),"",(C41-C42)/C42)</f>
        <v>-0.09589041096</v>
      </c>
      <c r="F41" s="193">
        <f t="shared" ref="F41:F48" si="4">IF(C41="","",D41/C41)</f>
        <v>0.1818181818</v>
      </c>
      <c r="G41" s="194">
        <f t="shared" ref="G41:G48" si="5">IF(C41="","",$B$5/C41)</f>
        <v>1.060606061</v>
      </c>
    </row>
    <row r="42" ht="15.75" customHeight="1">
      <c r="B42" s="177" t="s">
        <v>35</v>
      </c>
      <c r="C42" s="163">
        <v>73000.0</v>
      </c>
      <c r="D42" s="163">
        <v>17000.0</v>
      </c>
      <c r="E42" s="193">
        <f t="shared" si="3"/>
        <v>0.07352941176</v>
      </c>
      <c r="F42" s="193">
        <f t="shared" si="4"/>
        <v>0.2328767123</v>
      </c>
      <c r="G42" s="194">
        <f t="shared" si="5"/>
        <v>0.9589041096</v>
      </c>
    </row>
    <row r="43" ht="15.75" customHeight="1">
      <c r="B43" s="177" t="s">
        <v>36</v>
      </c>
      <c r="C43" s="163">
        <v>68000.0</v>
      </c>
      <c r="D43" s="163">
        <v>12000.0</v>
      </c>
      <c r="E43" s="193">
        <f t="shared" si="3"/>
        <v>0</v>
      </c>
      <c r="F43" s="193">
        <f t="shared" si="4"/>
        <v>0.1764705882</v>
      </c>
      <c r="G43" s="194">
        <f t="shared" si="5"/>
        <v>1.029411765</v>
      </c>
    </row>
    <row r="44" ht="15.75" customHeight="1">
      <c r="B44" s="177" t="s">
        <v>37</v>
      </c>
      <c r="C44" s="163">
        <v>68000.0</v>
      </c>
      <c r="D44" s="163">
        <v>23000.0</v>
      </c>
      <c r="E44" s="193">
        <f t="shared" si="3"/>
        <v>-0.4086956522</v>
      </c>
      <c r="F44" s="193">
        <f t="shared" si="4"/>
        <v>0.3382352941</v>
      </c>
      <c r="G44" s="194">
        <f t="shared" si="5"/>
        <v>1.029411765</v>
      </c>
    </row>
    <row r="45" ht="15.75" customHeight="1">
      <c r="B45" s="195" t="s">
        <v>89</v>
      </c>
      <c r="C45" s="225">
        <v>115000.0</v>
      </c>
      <c r="D45" s="225">
        <v>48000.0</v>
      </c>
      <c r="E45" s="193" t="str">
        <f t="shared" si="3"/>
        <v/>
      </c>
      <c r="F45" s="193">
        <f t="shared" si="4"/>
        <v>0.4173913043</v>
      </c>
      <c r="G45" s="194">
        <f t="shared" si="5"/>
        <v>0.6086956522</v>
      </c>
    </row>
    <row r="46" ht="15.75" customHeight="1">
      <c r="B46" s="195" t="s">
        <v>186</v>
      </c>
      <c r="C46" s="196"/>
      <c r="D46" s="196"/>
      <c r="E46" s="193" t="str">
        <f t="shared" si="3"/>
        <v/>
      </c>
      <c r="F46" s="193" t="str">
        <f t="shared" si="4"/>
        <v/>
      </c>
      <c r="G46" s="194" t="str">
        <f t="shared" si="5"/>
        <v/>
      </c>
    </row>
    <row r="47" ht="15.75" customHeight="1">
      <c r="B47" s="195" t="s">
        <v>187</v>
      </c>
      <c r="C47" s="196"/>
      <c r="D47" s="196"/>
      <c r="E47" s="193" t="str">
        <f t="shared" si="3"/>
        <v/>
      </c>
      <c r="F47" s="193" t="str">
        <f t="shared" si="4"/>
        <v/>
      </c>
      <c r="G47" s="194" t="str">
        <f t="shared" si="5"/>
        <v/>
      </c>
    </row>
    <row r="48" ht="15.75" customHeight="1">
      <c r="B48" s="195" t="s">
        <v>188</v>
      </c>
      <c r="C48" s="196"/>
      <c r="D48" s="196"/>
      <c r="E48" s="193" t="str">
        <f t="shared" si="3"/>
        <v/>
      </c>
      <c r="F48" s="193" t="str">
        <f t="shared" si="4"/>
        <v/>
      </c>
      <c r="G48" s="194" t="str">
        <f t="shared" si="5"/>
        <v/>
      </c>
    </row>
    <row r="49" ht="15.75" customHeight="1"/>
    <row r="50" ht="15.75" customHeight="1"/>
    <row r="51" ht="15.75" customHeight="1">
      <c r="B51" s="180" t="s">
        <v>189</v>
      </c>
      <c r="C51" s="181">
        <f t="shared" ref="C51:G51" si="6">IFERROR(AVERAGE(C41:C48),"")</f>
        <v>78000</v>
      </c>
      <c r="D51" s="181">
        <f t="shared" si="6"/>
        <v>22400</v>
      </c>
      <c r="E51" s="197">
        <f t="shared" si="6"/>
        <v>-0.1077641628</v>
      </c>
      <c r="F51" s="197">
        <f t="shared" si="6"/>
        <v>0.2693584162</v>
      </c>
      <c r="G51" s="197">
        <f t="shared" si="6"/>
        <v>0.9374058704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71"/>
    <col customWidth="1" min="4" max="4" width="16.0"/>
    <col customWidth="1" min="5" max="7" width="13.0"/>
    <col customWidth="1" min="8" max="8" width="15.0"/>
    <col customWidth="1" min="9" max="9" width="13.0"/>
    <col customWidth="1" min="10" max="11" width="12.0"/>
    <col customWidth="1" min="12" max="12" width="8.71"/>
    <col customWidth="1" min="13" max="13" width="16.0"/>
    <col customWidth="1" min="14" max="14" width="12.0"/>
    <col customWidth="1" min="15" max="26" width="8.71"/>
  </cols>
  <sheetData>
    <row r="1">
      <c r="B1" s="121" t="s">
        <v>108</v>
      </c>
    </row>
    <row r="2">
      <c r="B2" s="123" t="s">
        <v>109</v>
      </c>
      <c r="C2" s="124" t="str">
        <f>IF(OR(K35,K33&gt;=3),"DECLINE",IF(K34=5,"FUND","CONDITIONAL"))</f>
        <v>CONDITIONAL</v>
      </c>
      <c r="D2" s="105"/>
      <c r="E2" s="112"/>
      <c r="M2" s="112" t="s">
        <v>110</v>
      </c>
      <c r="N2" s="107">
        <f>COUNT(F13:F19)</f>
        <v>1</v>
      </c>
    </row>
    <row r="3">
      <c r="B3" s="127" t="s">
        <v>112</v>
      </c>
      <c r="C3" s="6"/>
      <c r="D3" s="6"/>
      <c r="E3" s="6"/>
      <c r="F3" s="6"/>
      <c r="G3" s="6"/>
      <c r="H3" s="6"/>
      <c r="I3" s="7"/>
      <c r="M3" s="112" t="s">
        <v>113</v>
      </c>
      <c r="N3" s="111">
        <f>N2+1</f>
        <v>2</v>
      </c>
    </row>
    <row r="4">
      <c r="B4" s="128" t="s">
        <v>4</v>
      </c>
      <c r="C4" s="128" t="s">
        <v>5</v>
      </c>
      <c r="D4" s="128" t="s">
        <v>114</v>
      </c>
      <c r="E4" s="128" t="s">
        <v>6</v>
      </c>
      <c r="F4" s="128" t="s">
        <v>7</v>
      </c>
      <c r="G4" s="128" t="s">
        <v>14</v>
      </c>
      <c r="H4" s="128" t="s">
        <v>115</v>
      </c>
      <c r="I4" s="128" t="s">
        <v>116</v>
      </c>
      <c r="M4" s="112" t="s">
        <v>117</v>
      </c>
      <c r="N4" s="114">
        <f>IF(C9=0,0,F20*21.655/C9)</f>
        <v>0.0253196698</v>
      </c>
    </row>
    <row r="5">
      <c r="B5" s="130">
        <v>43500.0</v>
      </c>
      <c r="C5" s="131">
        <v>1.45</v>
      </c>
      <c r="D5" s="132">
        <v>30.0</v>
      </c>
      <c r="E5" s="133" t="s">
        <v>12</v>
      </c>
      <c r="F5" s="134">
        <v>0.05</v>
      </c>
      <c r="G5" s="137">
        <f>B5*C5</f>
        <v>63075</v>
      </c>
      <c r="H5" s="137">
        <f>IFERROR(IF(E5="Weekly",(G5/D5)/5,G5/D5),0)
</f>
        <v>420.5</v>
      </c>
      <c r="I5" s="137">
        <f>B5-(B5*F5)</f>
        <v>41325</v>
      </c>
      <c r="M5" s="112" t="s">
        <v>206</v>
      </c>
      <c r="N5" s="114">
        <f>IF(C9=0,0,F9/C9)</f>
        <v>0.1351351351</v>
      </c>
    </row>
    <row r="6">
      <c r="B6" s="143" t="s">
        <v>16</v>
      </c>
      <c r="C6" s="144">
        <f>H5*5</f>
        <v>2102.5</v>
      </c>
      <c r="D6" s="143" t="s">
        <v>124</v>
      </c>
      <c r="E6" s="144">
        <f>H5*21.655</f>
        <v>9105.9275</v>
      </c>
      <c r="F6" s="143" t="s">
        <v>18</v>
      </c>
      <c r="G6" s="146">
        <f>IF(E5="Weekly",D5,D5/5)/4.33</f>
        <v>6.928406467</v>
      </c>
      <c r="M6" s="112" t="s">
        <v>126</v>
      </c>
      <c r="N6" s="114">
        <f>IFERROR(AVERAGE(E41:E43),"na")</f>
        <v>0.0765993266</v>
      </c>
    </row>
    <row r="7">
      <c r="M7" s="112" t="s">
        <v>128</v>
      </c>
      <c r="N7" s="149">
        <f>IF(N3&lt;=1,30,IF(N3=2,22,IF(N3=3,12,IF(N3=4,4,0))))</f>
        <v>22</v>
      </c>
    </row>
    <row r="8">
      <c r="B8" s="127" t="s">
        <v>129</v>
      </c>
      <c r="C8" s="6"/>
      <c r="D8" s="6"/>
      <c r="E8" s="6"/>
      <c r="F8" s="6"/>
      <c r="G8" s="6"/>
      <c r="H8" s="6"/>
      <c r="I8" s="7"/>
      <c r="M8" s="112" t="s">
        <v>130</v>
      </c>
      <c r="N8" s="149">
        <f>IF(N4&lt;0.1,25,IF(N4&lt;0.2,18,IF(N4&lt;0.3,8,0)))</f>
        <v>25</v>
      </c>
    </row>
    <row r="9">
      <c r="B9" s="151" t="s">
        <v>131</v>
      </c>
      <c r="C9" s="153">
        <f>IF(COUNT(C41:C44)=0,0,SUM(C41:C44)/COUNT(C41:C44))</f>
        <v>49333.33333</v>
      </c>
      <c r="E9" s="151" t="s">
        <v>132</v>
      </c>
      <c r="F9" s="153">
        <f>IF(COUNT(D41:D44)=0,0,SUM(D41:D44)/COUNT(D41:D44))</f>
        <v>6666.666667</v>
      </c>
      <c r="M9" s="112" t="s">
        <v>133</v>
      </c>
      <c r="N9" s="149">
        <f>IF(N5&gt;=0.25,25,IF(N5&gt;=0.15,18,IF(N5&gt;=0.08,8,0)))</f>
        <v>8</v>
      </c>
    </row>
    <row r="10">
      <c r="B10" s="112"/>
      <c r="M10" s="112" t="s">
        <v>134</v>
      </c>
      <c r="N10" s="149">
        <f>IF(N6="na",12,IF(N6&gt;=0.05,20,IF(N6&gt;=-0.05,12,IF(N6&gt;=-0.15,4,0))))</f>
        <v>20</v>
      </c>
    </row>
    <row r="11">
      <c r="B11" s="127" t="s">
        <v>136</v>
      </c>
      <c r="C11" s="6"/>
      <c r="D11" s="6"/>
      <c r="E11" s="6"/>
      <c r="F11" s="6"/>
      <c r="G11" s="6"/>
      <c r="H11" s="6"/>
      <c r="I11" s="7"/>
      <c r="M11" s="159" t="s">
        <v>137</v>
      </c>
      <c r="N11" s="160">
        <f>N7+N8+N9+N10</f>
        <v>75</v>
      </c>
    </row>
    <row r="12">
      <c r="B12" s="128" t="s">
        <v>42</v>
      </c>
      <c r="C12" s="128" t="s">
        <v>43</v>
      </c>
      <c r="D12" s="128" t="s">
        <v>44</v>
      </c>
      <c r="E12" s="128" t="s">
        <v>6</v>
      </c>
      <c r="F12" s="128" t="s">
        <v>45</v>
      </c>
      <c r="G12" s="128" t="s">
        <v>139</v>
      </c>
      <c r="M12" s="112" t="s">
        <v>140</v>
      </c>
      <c r="N12" s="149" t="str">
        <f>IF(N11&gt;=75,"Strong",IF(N11&gt;=55,"Solid",IF(N11&gt;=40,"Moderate",IF(N11&gt;=25,"Weak","Thin"))))</f>
        <v>Strong</v>
      </c>
    </row>
    <row r="13">
      <c r="B13" s="190" t="s">
        <v>207</v>
      </c>
      <c r="C13" s="162"/>
      <c r="D13" s="163">
        <v>288.41</v>
      </c>
      <c r="E13" s="165" t="s">
        <v>12</v>
      </c>
      <c r="F13" s="166">
        <f t="shared" ref="F13:F19" si="1">IF(D13="","",IF(E13="Daily",D13,IF(E13="Weekly",D13/5,D13/21.655)))</f>
        <v>57.682</v>
      </c>
      <c r="G13" s="168" t="str">
        <f t="shared" ref="G13:G19" si="2">IF(OR(C13="",F13="",F13=0),"",C13*1.4/F13/21.655)</f>
        <v/>
      </c>
      <c r="M13" s="112" t="s">
        <v>142</v>
      </c>
      <c r="N13" s="149">
        <f>IF(N11&gt;=75,150,IF(N11&gt;=55,140,IF(N11&gt;=40,130,IF(N11&gt;=25,120,100))))</f>
        <v>150</v>
      </c>
    </row>
    <row r="14">
      <c r="B14" s="147"/>
      <c r="C14" s="162"/>
      <c r="D14" s="162"/>
      <c r="E14" s="177"/>
      <c r="F14" s="166" t="str">
        <f t="shared" si="1"/>
        <v/>
      </c>
      <c r="G14" s="168" t="str">
        <f t="shared" si="2"/>
        <v/>
      </c>
      <c r="M14" s="112" t="s">
        <v>145</v>
      </c>
      <c r="N14" s="149">
        <f>N13/5</f>
        <v>30</v>
      </c>
    </row>
    <row r="15">
      <c r="B15" s="147"/>
      <c r="C15" s="162"/>
      <c r="D15" s="162"/>
      <c r="E15" s="177"/>
      <c r="F15" s="166" t="str">
        <f t="shared" si="1"/>
        <v/>
      </c>
      <c r="G15" s="168" t="str">
        <f t="shared" si="2"/>
        <v/>
      </c>
    </row>
    <row r="16">
      <c r="B16" s="147"/>
      <c r="C16" s="162"/>
      <c r="D16" s="162"/>
      <c r="E16" s="177"/>
      <c r="F16" s="166" t="str">
        <f t="shared" si="1"/>
        <v/>
      </c>
      <c r="G16" s="168" t="str">
        <f t="shared" si="2"/>
        <v/>
      </c>
      <c r="M16" s="112" t="s">
        <v>147</v>
      </c>
      <c r="N16" s="174">
        <f>IF(N11&gt;=75,1.4,IF(N11&gt;=40,1.45,1.49))</f>
        <v>1.4</v>
      </c>
    </row>
    <row r="17">
      <c r="B17" s="147"/>
      <c r="C17" s="162"/>
      <c r="D17" s="162"/>
      <c r="E17" s="177"/>
      <c r="F17" s="166" t="str">
        <f t="shared" si="1"/>
        <v/>
      </c>
      <c r="G17" s="168" t="str">
        <f t="shared" si="2"/>
        <v/>
      </c>
      <c r="M17" s="112" t="s">
        <v>148</v>
      </c>
      <c r="N17" s="149" t="str">
        <f>IF(OR(N3&gt;=3,N11&lt;40),"Daily","Weekly")</f>
        <v>Weekly</v>
      </c>
    </row>
    <row r="18">
      <c r="B18" s="147"/>
      <c r="C18" s="162"/>
      <c r="D18" s="162"/>
      <c r="E18" s="177"/>
      <c r="F18" s="166" t="str">
        <f t="shared" si="1"/>
        <v/>
      </c>
      <c r="G18" s="168" t="str">
        <f t="shared" si="2"/>
        <v/>
      </c>
      <c r="M18" s="112" t="s">
        <v>150</v>
      </c>
      <c r="N18" s="178">
        <f>MAX(0,MIN(F35*C9/21.655,F33*C9/21.655-F20,IF(F9&gt;0,F36*F9-F20,1000000000000000)))</f>
        <v>410.0669591</v>
      </c>
    </row>
    <row r="19">
      <c r="B19" s="147"/>
      <c r="C19" s="162"/>
      <c r="D19" s="162"/>
      <c r="E19" s="177"/>
      <c r="F19" s="166" t="str">
        <f t="shared" si="1"/>
        <v/>
      </c>
      <c r="G19" s="168" t="str">
        <f t="shared" si="2"/>
        <v/>
      </c>
      <c r="M19" s="112" t="s">
        <v>151</v>
      </c>
      <c r="N19" s="179">
        <f>IF(OR(C9=0,N18&lt;=0),0,FLOOR(MIN(N18*N13/N16,$F$37*C9),500))</f>
        <v>43500</v>
      </c>
    </row>
    <row r="20">
      <c r="B20" s="180" t="s">
        <v>51</v>
      </c>
      <c r="F20" s="181">
        <f>SUM(F13:F19)</f>
        <v>57.682</v>
      </c>
      <c r="M20" s="112" t="s">
        <v>152</v>
      </c>
      <c r="N20" s="179">
        <f>IF(N19=0,0,N19*N16/N13)</f>
        <v>406</v>
      </c>
    </row>
    <row r="21" ht="15.75" customHeight="1">
      <c r="B21" s="180" t="s">
        <v>153</v>
      </c>
      <c r="F21" s="181">
        <f>F20+H5</f>
        <v>478.182</v>
      </c>
      <c r="M21" s="112" t="s">
        <v>154</v>
      </c>
      <c r="N21" s="179">
        <f>N20*5</f>
        <v>2030</v>
      </c>
    </row>
    <row r="22" ht="15.75" customHeight="1">
      <c r="B22" s="180" t="s">
        <v>155</v>
      </c>
      <c r="F22" s="181">
        <f>F21*21.655</f>
        <v>10355.03121</v>
      </c>
      <c r="M22" s="112" t="s">
        <v>156</v>
      </c>
      <c r="N22" s="149" t="str">
        <f>N3&amp;IF(OR(N3=11,N3=12,N3=13),"th",IF(MOD(N3,10)=1,"st",IF(MOD(N3,10)=2,"nd",IF(MOD(N3,10)=3,"rd","th"))))</f>
        <v>2nd</v>
      </c>
    </row>
    <row r="23" ht="15.75" customHeight="1"/>
    <row r="24" ht="15.75" customHeight="1">
      <c r="B24" s="182" t="s">
        <v>157</v>
      </c>
      <c r="C24" s="6"/>
      <c r="D24" s="6"/>
      <c r="E24" s="6"/>
      <c r="F24" s="6"/>
      <c r="G24" s="6"/>
      <c r="H24" s="6"/>
      <c r="I24" s="7"/>
    </row>
    <row r="25" ht="15.75" customHeight="1">
      <c r="B25" s="128"/>
      <c r="C25" s="128" t="s">
        <v>5</v>
      </c>
      <c r="D25" s="128" t="s">
        <v>158</v>
      </c>
      <c r="E25" s="128" t="s">
        <v>6</v>
      </c>
      <c r="F25" s="128" t="s">
        <v>159</v>
      </c>
    </row>
    <row r="26" ht="15.75" customHeight="1">
      <c r="B26" s="153">
        <f>IF(N19=0,"",N19)</f>
        <v>43500</v>
      </c>
      <c r="C26" s="183">
        <f>IF(N19=0,"",N16)</f>
        <v>1.4</v>
      </c>
      <c r="D26" s="184" t="str">
        <f>IF(N19=0,"",N14&amp;" wk / "&amp;N13&amp;" daily")</f>
        <v>30 wk / 150 daily</v>
      </c>
      <c r="E26" s="184" t="str">
        <f>IF(N19=0,"",N17)</f>
        <v>Weekly</v>
      </c>
      <c r="F26" s="153">
        <f>IF(N19=0,"",IF(N17="Daily",N20,N21))</f>
        <v>2030</v>
      </c>
    </row>
    <row r="27" ht="15.75" customHeight="1">
      <c r="B27" s="112"/>
    </row>
    <row r="28" ht="15.75" customHeight="1">
      <c r="B28" s="185"/>
    </row>
    <row r="29" ht="15.75" customHeight="1"/>
    <row r="30" ht="15.75" customHeight="1"/>
    <row r="31" ht="15.75" customHeight="1">
      <c r="B31" s="127" t="s">
        <v>160</v>
      </c>
      <c r="C31" s="6"/>
      <c r="D31" s="6"/>
      <c r="E31" s="6"/>
      <c r="F31" s="6"/>
      <c r="G31" s="6"/>
      <c r="H31" s="7"/>
    </row>
    <row r="32" ht="15.75" customHeight="1">
      <c r="B32" s="186" t="s">
        <v>8</v>
      </c>
      <c r="C32" s="128" t="s">
        <v>161</v>
      </c>
      <c r="D32" s="128" t="s">
        <v>54</v>
      </c>
      <c r="E32" s="128" t="s">
        <v>121</v>
      </c>
      <c r="F32" s="128" t="s">
        <v>162</v>
      </c>
      <c r="G32" s="128" t="s">
        <v>163</v>
      </c>
      <c r="H32" s="128" t="s">
        <v>58</v>
      </c>
    </row>
    <row r="33" ht="15.75" customHeight="1">
      <c r="B33" s="147" t="s">
        <v>164</v>
      </c>
      <c r="C33" s="187" t="s">
        <v>165</v>
      </c>
      <c r="D33" s="188">
        <f>F22/C9</f>
        <v>0.2098992813</v>
      </c>
      <c r="E33" s="189" t="s">
        <v>166</v>
      </c>
      <c r="F33" s="167">
        <v>0.3</v>
      </c>
      <c r="G33" s="167">
        <v>0.45</v>
      </c>
      <c r="H33" s="167">
        <v>0.6</v>
      </c>
      <c r="J33" s="112" t="s">
        <v>167</v>
      </c>
      <c r="K33" s="149">
        <f>IF(D33&gt;G33,1,0)+IF(D34&lt;G34,1,0)+IF(D35&gt;G35,1,0)+IF(D36&gt;G36,1,0)+IF(D37&gt;G37,1,0)</f>
        <v>0</v>
      </c>
    </row>
    <row r="34" ht="15.75" customHeight="1">
      <c r="B34" s="190" t="s">
        <v>119</v>
      </c>
      <c r="C34" s="187" t="s">
        <v>168</v>
      </c>
      <c r="D34" s="188">
        <f>F9/C9</f>
        <v>0.1351351351</v>
      </c>
      <c r="E34" s="189" t="s">
        <v>169</v>
      </c>
      <c r="F34" s="167">
        <v>0.15</v>
      </c>
      <c r="G34" s="167">
        <v>0.08</v>
      </c>
      <c r="H34" s="167">
        <v>0.03</v>
      </c>
      <c r="J34" s="112" t="s">
        <v>170</v>
      </c>
      <c r="K34" s="149">
        <f>IF(D33&lt;=F33,1,0)+IF(D34&gt;=F34,1,0)+IF(D35&lt;=F35,1,0)+IF(D36&lt;=F36,1,0)+IF(D37&lt;=F37,1,0)</f>
        <v>3</v>
      </c>
    </row>
    <row r="35" ht="15.75" customHeight="1">
      <c r="B35" s="147" t="s">
        <v>60</v>
      </c>
      <c r="C35" s="187" t="s">
        <v>171</v>
      </c>
      <c r="D35" s="188">
        <f>E6/C9</f>
        <v>0.1845796115</v>
      </c>
      <c r="E35" s="189" t="s">
        <v>172</v>
      </c>
      <c r="F35" s="167">
        <v>0.18</v>
      </c>
      <c r="G35" s="167">
        <v>0.25</v>
      </c>
      <c r="H35" s="167">
        <v>0.35</v>
      </c>
      <c r="J35" s="112" t="s">
        <v>173</v>
      </c>
      <c r="K35" s="149" t="b">
        <f>OR(D33&gt;H33,D34&lt;H34,D35&gt;H35,D36&gt;H36,D37&gt;H37)</f>
        <v>0</v>
      </c>
    </row>
    <row r="36" ht="15.75" customHeight="1">
      <c r="B36" s="147" t="s">
        <v>174</v>
      </c>
      <c r="C36" s="187" t="s">
        <v>175</v>
      </c>
      <c r="D36" s="188">
        <f>F21/F9</f>
        <v>0.0717273</v>
      </c>
      <c r="E36" s="189" t="s">
        <v>176</v>
      </c>
      <c r="F36" s="167">
        <v>0.45</v>
      </c>
      <c r="G36" s="167">
        <v>0.75</v>
      </c>
      <c r="H36" s="167">
        <v>1.0</v>
      </c>
    </row>
    <row r="37" ht="15.75" customHeight="1">
      <c r="B37" s="147" t="s">
        <v>178</v>
      </c>
      <c r="C37" s="187" t="s">
        <v>179</v>
      </c>
      <c r="D37" s="191">
        <f>B5/C9</f>
        <v>0.8817567568</v>
      </c>
      <c r="E37" s="189" t="s">
        <v>180</v>
      </c>
      <c r="F37" s="202">
        <v>1.0</v>
      </c>
      <c r="G37" s="202">
        <v>1.6</v>
      </c>
      <c r="H37" s="202">
        <v>2.0</v>
      </c>
    </row>
    <row r="38" ht="15.75" customHeight="1"/>
    <row r="39" ht="15.75" customHeight="1">
      <c r="B39" s="127" t="s">
        <v>181</v>
      </c>
      <c r="C39" s="6"/>
      <c r="D39" s="6"/>
      <c r="E39" s="6"/>
      <c r="F39" s="6"/>
      <c r="G39" s="6"/>
      <c r="H39" s="7"/>
    </row>
    <row r="40" ht="15.75" customHeight="1">
      <c r="B40" s="128" t="s">
        <v>182</v>
      </c>
      <c r="C40" s="128" t="s">
        <v>25</v>
      </c>
      <c r="D40" s="128" t="s">
        <v>26</v>
      </c>
      <c r="E40" s="128" t="s">
        <v>183</v>
      </c>
      <c r="F40" s="128" t="s">
        <v>184</v>
      </c>
      <c r="G40" s="128" t="s">
        <v>185</v>
      </c>
    </row>
    <row r="41" ht="15.75" customHeight="1">
      <c r="B41" s="177" t="s">
        <v>32</v>
      </c>
      <c r="C41" s="163">
        <v>50000.0</v>
      </c>
      <c r="D41" s="163">
        <v>6000.0</v>
      </c>
      <c r="E41" s="193">
        <f t="shared" ref="E41:E48" si="3">IF(OR(C41="",C42=""),"",(C41-C42)/C42)</f>
        <v>-0.07407407407</v>
      </c>
      <c r="F41" s="193">
        <f t="shared" ref="F41:F48" si="4">IF(C41="","",D41/C41)</f>
        <v>0.12</v>
      </c>
      <c r="G41" s="194">
        <f t="shared" ref="G41:G48" si="5">IF(C41="","",$B$5/C41)</f>
        <v>0.87</v>
      </c>
    </row>
    <row r="42" ht="15.75" customHeight="1">
      <c r="B42" s="177" t="s">
        <v>35</v>
      </c>
      <c r="C42" s="163">
        <v>54000.0</v>
      </c>
      <c r="D42" s="163">
        <v>8000.0</v>
      </c>
      <c r="E42" s="193">
        <f t="shared" si="3"/>
        <v>0.2272727273</v>
      </c>
      <c r="F42" s="193">
        <f t="shared" si="4"/>
        <v>0.1481481481</v>
      </c>
      <c r="G42" s="194">
        <f t="shared" si="5"/>
        <v>0.8055555556</v>
      </c>
    </row>
    <row r="43" ht="15.75" customHeight="1">
      <c r="B43" s="177" t="s">
        <v>36</v>
      </c>
      <c r="C43" s="163">
        <v>44000.0</v>
      </c>
      <c r="D43" s="163">
        <v>6000.0</v>
      </c>
      <c r="E43" s="193" t="str">
        <f t="shared" si="3"/>
        <v/>
      </c>
      <c r="F43" s="193">
        <f t="shared" si="4"/>
        <v>0.1363636364</v>
      </c>
      <c r="G43" s="194">
        <f t="shared" si="5"/>
        <v>0.9886363636</v>
      </c>
    </row>
    <row r="44" ht="15.75" customHeight="1">
      <c r="B44" s="177" t="s">
        <v>37</v>
      </c>
      <c r="C44" s="162"/>
      <c r="D44" s="162"/>
      <c r="E44" s="193" t="str">
        <f t="shared" si="3"/>
        <v/>
      </c>
      <c r="F44" s="193" t="str">
        <f t="shared" si="4"/>
        <v/>
      </c>
      <c r="G44" s="194" t="str">
        <f t="shared" si="5"/>
        <v/>
      </c>
    </row>
    <row r="45" ht="15.75" customHeight="1">
      <c r="B45" s="195" t="s">
        <v>89</v>
      </c>
      <c r="C45" s="196"/>
      <c r="D45" s="196"/>
      <c r="E45" s="193" t="str">
        <f t="shared" si="3"/>
        <v/>
      </c>
      <c r="F45" s="193" t="str">
        <f t="shared" si="4"/>
        <v/>
      </c>
      <c r="G45" s="194" t="str">
        <f t="shared" si="5"/>
        <v/>
      </c>
    </row>
    <row r="46" ht="15.75" customHeight="1">
      <c r="B46" s="195" t="s">
        <v>186</v>
      </c>
      <c r="C46" s="196"/>
      <c r="D46" s="196"/>
      <c r="E46" s="193" t="str">
        <f t="shared" si="3"/>
        <v/>
      </c>
      <c r="F46" s="193" t="str">
        <f t="shared" si="4"/>
        <v/>
      </c>
      <c r="G46" s="194" t="str">
        <f t="shared" si="5"/>
        <v/>
      </c>
    </row>
    <row r="47" ht="15.75" customHeight="1">
      <c r="B47" s="195" t="s">
        <v>187</v>
      </c>
      <c r="C47" s="196"/>
      <c r="D47" s="196"/>
      <c r="E47" s="193" t="str">
        <f t="shared" si="3"/>
        <v/>
      </c>
      <c r="F47" s="193" t="str">
        <f t="shared" si="4"/>
        <v/>
      </c>
      <c r="G47" s="194" t="str">
        <f t="shared" si="5"/>
        <v/>
      </c>
    </row>
    <row r="48" ht="15.75" customHeight="1">
      <c r="B48" s="195" t="s">
        <v>188</v>
      </c>
      <c r="C48" s="196"/>
      <c r="D48" s="196"/>
      <c r="E48" s="193" t="str">
        <f t="shared" si="3"/>
        <v/>
      </c>
      <c r="F48" s="193" t="str">
        <f t="shared" si="4"/>
        <v/>
      </c>
      <c r="G48" s="194" t="str">
        <f t="shared" si="5"/>
        <v/>
      </c>
    </row>
    <row r="49" ht="15.75" customHeight="1"/>
    <row r="50" ht="15.75" customHeight="1"/>
    <row r="51" ht="15.75" customHeight="1">
      <c r="B51" s="180" t="s">
        <v>189</v>
      </c>
      <c r="C51" s="181">
        <f t="shared" ref="C51:G51" si="6">AVERAGE(C41:C48)</f>
        <v>49333.33333</v>
      </c>
      <c r="D51" s="181">
        <f t="shared" si="6"/>
        <v>6666.666667</v>
      </c>
      <c r="E51" s="226">
        <f t="shared" si="6"/>
        <v>0.0765993266</v>
      </c>
      <c r="F51" s="226">
        <f t="shared" si="6"/>
        <v>0.1348372615</v>
      </c>
      <c r="G51" s="227">
        <f t="shared" si="6"/>
        <v>0.8880639731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7:I27"/>
    <mergeCell ref="B28:I28"/>
    <mergeCell ref="B31:H31"/>
    <mergeCell ref="B39:H39"/>
    <mergeCell ref="C2:D2"/>
    <mergeCell ref="E2:I2"/>
    <mergeCell ref="B3:I3"/>
    <mergeCell ref="B8:I8"/>
    <mergeCell ref="B10:I10"/>
    <mergeCell ref="B11:I11"/>
    <mergeCell ref="B24:I24"/>
  </mergeCells>
  <conditionalFormatting sqref="C2">
    <cfRule type="cellIs" dxfId="3" priority="1" operator="equal">
      <formula>"FUND"</formula>
    </cfRule>
  </conditionalFormatting>
  <conditionalFormatting sqref="C2">
    <cfRule type="cellIs" dxfId="4" priority="2" operator="equal">
      <formula>"CONDITIONAL"</formula>
    </cfRule>
  </conditionalFormatting>
  <conditionalFormatting sqref="C2">
    <cfRule type="cellIs" dxfId="5" priority="3" operator="equal">
      <formula>"DECLINE"</formula>
    </cfRule>
  </conditionalFormatting>
  <conditionalFormatting sqref="D33">
    <cfRule type="cellIs" dxfId="3" priority="4" operator="lessThanOrEqual">
      <formula>$F$33</formula>
    </cfRule>
  </conditionalFormatting>
  <conditionalFormatting sqref="D33">
    <cfRule type="cellIs" dxfId="5" priority="5" operator="greaterThan">
      <formula>$G$33</formula>
    </cfRule>
  </conditionalFormatting>
  <conditionalFormatting sqref="D33">
    <cfRule type="expression" dxfId="4" priority="6">
      <formula>AND(D33&gt;$F$33,D33&lt;=$G$33)</formula>
    </cfRule>
  </conditionalFormatting>
  <conditionalFormatting sqref="D34">
    <cfRule type="cellIs" dxfId="3" priority="7" operator="greaterThanOrEqual">
      <formula>$F$34</formula>
    </cfRule>
  </conditionalFormatting>
  <conditionalFormatting sqref="D34">
    <cfRule type="cellIs" dxfId="5" priority="8" operator="lessThan">
      <formula>$G$34</formula>
    </cfRule>
  </conditionalFormatting>
  <conditionalFormatting sqref="D34">
    <cfRule type="expression" dxfId="4" priority="9">
      <formula>AND(D34&lt;$F$34,D34&gt;=$G$34)</formula>
    </cfRule>
  </conditionalFormatting>
  <conditionalFormatting sqref="D35">
    <cfRule type="cellIs" dxfId="3" priority="10" operator="lessThanOrEqual">
      <formula>$F$35</formula>
    </cfRule>
  </conditionalFormatting>
  <conditionalFormatting sqref="D35">
    <cfRule type="cellIs" dxfId="5" priority="11" operator="greaterThan">
      <formula>$G$35</formula>
    </cfRule>
  </conditionalFormatting>
  <conditionalFormatting sqref="D35">
    <cfRule type="expression" dxfId="4" priority="12">
      <formula>AND(D35&gt;$F$35,D35&lt;=$G$35)</formula>
    </cfRule>
  </conditionalFormatting>
  <conditionalFormatting sqref="D36">
    <cfRule type="cellIs" dxfId="3" priority="13" operator="lessThanOrEqual">
      <formula>$F$36</formula>
    </cfRule>
  </conditionalFormatting>
  <conditionalFormatting sqref="D36">
    <cfRule type="cellIs" dxfId="5" priority="14" operator="greaterThan">
      <formula>$G$36</formula>
    </cfRule>
  </conditionalFormatting>
  <conditionalFormatting sqref="D36">
    <cfRule type="expression" dxfId="4" priority="15">
      <formula>AND(D36&gt;$F$36,D36&lt;=$G$36)</formula>
    </cfRule>
  </conditionalFormatting>
  <conditionalFormatting sqref="D37">
    <cfRule type="cellIs" dxfId="3" priority="16" operator="lessThanOrEqual">
      <formula>$F$37</formula>
    </cfRule>
  </conditionalFormatting>
  <conditionalFormatting sqref="D37">
    <cfRule type="cellIs" dxfId="5" priority="17" operator="greaterThan">
      <formula>$G$37</formula>
    </cfRule>
  </conditionalFormatting>
  <conditionalFormatting sqref="D37">
    <cfRule type="expression" dxfId="4" priority="18">
      <formula>AND(D37&gt;$F$37,D37&lt;=$G$37)</formula>
    </cfRule>
  </conditionalFormatting>
  <dataValidations>
    <dataValidation type="list" allowBlank="1" sqref="B41:B48">
      <formula1>"Jan,Feb,Mar,Apr,May,Jun,Jul,Aug,Sep,Oct,Nov,Dec"</formula1>
    </dataValidation>
    <dataValidation type="list" allowBlank="1" sqref="E13:E19">
      <formula1>"Weekly,Daily"</formula1>
    </dataValidation>
    <dataValidation type="list" allowBlank="1" sqref="E5">
      <formula1>"Daily,Weekly"</formula1>
    </dataValidation>
  </dataValidations>
  <printOptions/>
  <pageMargins bottom="1.0" footer="0.0" header="0.0" left="0.75" right="0.75" top="1.0"/>
  <pageSetup orientation="landscape"/>
  <drawing r:id="rId1"/>
</worksheet>
</file>