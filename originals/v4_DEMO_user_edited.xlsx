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" sheetId="1" r:id="rId4"/>
    <sheet state="visible" name="Historical Score" sheetId="2" r:id="rId5"/>
    <sheet state="visible" name="Comparable Deals" sheetId="3" r:id="rId6"/>
    <sheet state="visible" name="Historical Data" sheetId="4" r:id="rId7"/>
    <sheet state="visible" name="Controls" sheetId="5" r:id="rId8"/>
    <sheet state="visible" name="Ref" sheetId="6" r:id="rId9"/>
  </sheets>
  <definedNames>
    <definedName name="D26D33">#REF!</definedName>
    <definedName hidden="1" localSheetId="2" name="_xlnm._FilterDatabase">'Comparable Deals'!$A$4:$V$12</definedName>
  </definedNames>
  <calcPr/>
  <extLst>
    <ext uri="GoogleSheetsCustomDataVersion2">
      <go:sheetsCustomData xmlns:go="http://customooxmlschemas.google.com/" r:id="rId10" roundtripDataChecksum="JDeakTE3iCJugakfTTFAZEuC+5sSE3zc2opOxFjJRVQ="/>
    </ext>
  </extLst>
</workbook>
</file>

<file path=xl/sharedStrings.xml><?xml version="1.0" encoding="utf-8"?>
<sst xmlns="http://schemas.openxmlformats.org/spreadsheetml/2006/main" count="879" uniqueCount="605">
  <si>
    <t xml:space="preserve"> UNDERWRITING TOOL</t>
  </si>
  <si>
    <t xml:space="preserve">HISTORICAL SCORE  </t>
  </si>
  <si>
    <t>DECISION</t>
  </si>
  <si>
    <t>DEAL BEING MATCHED</t>
  </si>
  <si>
    <t>New deal or renewal</t>
  </si>
  <si>
    <t xml:space="preserve">COMPARABLE DEALS  </t>
  </si>
  <si>
    <t>A.  OFFER</t>
  </si>
  <si>
    <t>Position (Deal C42)</t>
  </si>
  <si>
    <t>MONEYBADGER CROSS-CHECK</t>
  </si>
  <si>
    <t>Contract ID</t>
  </si>
  <si>
    <t>Fund $</t>
  </si>
  <si>
    <t>Industry</t>
  </si>
  <si>
    <t>DBA</t>
  </si>
  <si>
    <t>Status</t>
  </si>
  <si>
    <t>ISO</t>
  </si>
  <si>
    <t>Factor</t>
  </si>
  <si>
    <t>Legal name</t>
  </si>
  <si>
    <t>Funded</t>
  </si>
  <si>
    <t>Position</t>
  </si>
  <si>
    <t>Start date</t>
  </si>
  <si>
    <t>Last active</t>
  </si>
  <si>
    <t>New/renewal</t>
  </si>
  <si>
    <t>SIC</t>
  </si>
  <si>
    <t>SIC2</t>
  </si>
  <si>
    <t>State</t>
  </si>
  <si>
    <t>Advance</t>
  </si>
  <si>
    <t>Seasoned-book principal lost rate (baseline)</t>
  </si>
  <si>
    <t>New or renewal</t>
  </si>
  <si>
    <t>Freq</t>
  </si>
  <si>
    <t>Collected</t>
  </si>
  <si>
    <t>Fee %</t>
  </si>
  <si>
    <t>% paid</t>
  </si>
  <si>
    <t>Metric</t>
  </si>
  <si>
    <t>Commission</t>
  </si>
  <si>
    <t>Net cash</t>
  </si>
  <si>
    <t>Payback</t>
  </si>
  <si>
    <t>This tool</t>
  </si>
  <si>
    <t>Principal lost</t>
  </si>
  <si>
    <t>MoneyBadger</t>
  </si>
  <si>
    <t>Term (bd)</t>
  </si>
  <si>
    <t>Diff</t>
  </si>
  <si>
    <t>Balance</t>
  </si>
  <si>
    <t>Age (bd)</t>
  </si>
  <si>
    <t>Days on book</t>
  </si>
  <si>
    <t>Exp dur (raw)</t>
  </si>
  <si>
    <t>Seasoned-book return on funded</t>
  </si>
  <si>
    <t>Seasoned</t>
  </si>
  <si>
    <t>NSF count</t>
  </si>
  <si>
    <t>Default</t>
  </si>
  <si>
    <t>Avg rev/mo</t>
  </si>
  <si>
    <t>Holdback %</t>
  </si>
  <si>
    <t>Open</t>
  </si>
  <si>
    <t>Biz start</t>
  </si>
  <si>
    <t>Best tier (1 = closest)</t>
  </si>
  <si>
    <t>In primary cohort</t>
  </si>
  <si>
    <t>Tier</t>
  </si>
  <si>
    <t>Cohort</t>
  </si>
  <si>
    <t>Seasoned deals</t>
  </si>
  <si>
    <t>Funded $ (seasoned)</t>
  </si>
  <si>
    <t>Weekly</t>
  </si>
  <si>
    <t>Meets min?</t>
  </si>
  <si>
    <t>Principal lost rate</t>
  </si>
  <si>
    <t>Return on funded</t>
  </si>
  <si>
    <t>Index</t>
  </si>
  <si>
    <t>Pay frequency</t>
  </si>
  <si>
    <t>T1: new/renewal + industry + position</t>
  </si>
  <si>
    <t>Term (bus. days)</t>
  </si>
  <si>
    <t>Age at as-of (bus. days)</t>
  </si>
  <si>
    <t>In window</t>
  </si>
  <si>
    <t>Resolved</t>
  </si>
  <si>
    <t>Closed family</t>
  </si>
  <si>
    <t>Status valid</t>
  </si>
  <si>
    <t>Adv / revenue</t>
  </si>
  <si>
    <t>Has revenue</t>
  </si>
  <si>
    <t>Days on book (bus.)</t>
  </si>
  <si>
    <t>Renewal</t>
  </si>
  <si>
    <t>Eligible (seasoned &amp; in window)</t>
  </si>
  <si>
    <t>m: position</t>
  </si>
  <si>
    <t>m: new/renewal</t>
  </si>
  <si>
    <t>m: industry</t>
  </si>
  <si>
    <t>m: ISO</t>
  </si>
  <si>
    <t>T1 NR+Ind+Pos</t>
  </si>
  <si>
    <t>T2 NR+ISO+Pos</t>
  </si>
  <si>
    <t>T3 NR+Ind</t>
  </si>
  <si>
    <t>T4 NR+ISO</t>
  </si>
  <si>
    <t>T5 NR+Pos</t>
  </si>
  <si>
    <t>T6 NR</t>
  </si>
  <si>
    <t>T7 Book</t>
  </si>
  <si>
    <t>Best tier</t>
  </si>
  <si>
    <t>A-001</t>
  </si>
  <si>
    <t>Ridgeline Cafe</t>
  </si>
  <si>
    <t>Ridgeline Cafe LLC</t>
  </si>
  <si>
    <t>Closed</t>
  </si>
  <si>
    <t>5812</t>
  </si>
  <si>
    <t>58</t>
  </si>
  <si>
    <t>NJ</t>
  </si>
  <si>
    <t>Fundwell</t>
  </si>
  <si>
    <t>New Deal</t>
  </si>
  <si>
    <t>T2: new/renewal + ISO + position</t>
  </si>
  <si>
    <t>Daily $</t>
  </si>
  <si>
    <t>Weekly $</t>
  </si>
  <si>
    <t>Monthly $</t>
  </si>
  <si>
    <t>Term (mo)</t>
  </si>
  <si>
    <t>Net $</t>
  </si>
  <si>
    <t>T3: new/renewal + industry</t>
  </si>
  <si>
    <t>T4: new/renewal + ISO</t>
  </si>
  <si>
    <t>Weeks / month</t>
  </si>
  <si>
    <t>T5: new/renewal + position</t>
  </si>
  <si>
    <t>Days / month</t>
  </si>
  <si>
    <t xml:space="preserve">B.  BANK DATA  </t>
  </si>
  <si>
    <t>Month - NEWEST FIRST</t>
  </si>
  <si>
    <t>True rev $</t>
  </si>
  <si>
    <t>Avg daily bal $</t>
  </si>
  <si>
    <t>Neg days</t>
  </si>
  <si>
    <t>NSFs</t>
  </si>
  <si>
    <t>MoM %</t>
  </si>
  <si>
    <t xml:space="preserve">DEAL PROFILE  </t>
  </si>
  <si>
    <t>Aug</t>
  </si>
  <si>
    <t>T6: new/renewal only</t>
  </si>
  <si>
    <t>T7: seasoned book (baseline)</t>
  </si>
  <si>
    <t>Jul</t>
  </si>
  <si>
    <t>Eating &amp; Drinking Places</t>
  </si>
  <si>
    <t>Jun</t>
  </si>
  <si>
    <t>SINGLE-DIMENSION EVIDENCE  (feeds the C2 block and the largest-impact test; does not pick the cohort)</t>
  </si>
  <si>
    <t>A-002</t>
  </si>
  <si>
    <t>Delta Freight</t>
  </si>
  <si>
    <t>Delta Freight Group LLC</t>
  </si>
  <si>
    <t>|PLR - book PLR|</t>
  </si>
  <si>
    <t>4213</t>
  </si>
  <si>
    <t>42</t>
  </si>
  <si>
    <t>S1</t>
  </si>
  <si>
    <t>TX</t>
  </si>
  <si>
    <t>May</t>
  </si>
  <si>
    <t>Position only</t>
  </si>
  <si>
    <t>Westwood</t>
  </si>
  <si>
    <t>Credit score</t>
  </si>
  <si>
    <t>AVG / TOTAL (months entered)</t>
  </si>
  <si>
    <t>S2</t>
  </si>
  <si>
    <t>New/renewal only</t>
  </si>
  <si>
    <t xml:space="preserve">EXISTING POSITIONS  </t>
  </si>
  <si>
    <t>Funder</t>
  </si>
  <si>
    <t>Funded $</t>
  </si>
  <si>
    <t>Payment</t>
  </si>
  <si>
    <t>Daily equiv</t>
  </si>
  <si>
    <t>Start Date</t>
  </si>
  <si>
    <t>Est Term</t>
  </si>
  <si>
    <t>Est term (mo)</t>
  </si>
  <si>
    <t>Mo. remaining</t>
  </si>
  <si>
    <t>S3</t>
  </si>
  <si>
    <t>Industry only</t>
  </si>
  <si>
    <t>A-003</t>
  </si>
  <si>
    <t>Kane Construction</t>
  </si>
  <si>
    <t>Kane Construction Inc</t>
  </si>
  <si>
    <t>Legal</t>
  </si>
  <si>
    <t>1542</t>
  </si>
  <si>
    <t>15</t>
  </si>
  <si>
    <t>S4</t>
  </si>
  <si>
    <t>ISO only</t>
  </si>
  <si>
    <t>RESULT</t>
  </si>
  <si>
    <t>Primary tier = the LOWEST tier number that meets both minimums</t>
  </si>
  <si>
    <t>Primary cohort</t>
  </si>
  <si>
    <t>Seasoned deals in it</t>
  </si>
  <si>
    <t>Its principal lost rate</t>
  </si>
  <si>
    <t>Its return on funded</t>
  </si>
  <si>
    <t>Index (its PLR / book PLR)</t>
  </si>
  <si>
    <t>HOUSE-BOOK OUTCOME</t>
  </si>
  <si>
    <t>A-004</t>
  </si>
  <si>
    <t>Baymont Auto Body</t>
  </si>
  <si>
    <t>Baymont Auto Body LLC</t>
  </si>
  <si>
    <t>In House Collection</t>
  </si>
  <si>
    <t>7538</t>
  </si>
  <si>
    <t>75</t>
  </si>
  <si>
    <t>Sizing flex applied to section C (Supportive only)</t>
  </si>
  <si>
    <t>Largest-impact variable (position / new-renewal / industry / ISO)</t>
  </si>
  <si>
    <t>A-005</t>
  </si>
  <si>
    <t>Sunset Nails</t>
  </si>
  <si>
    <t>Sunset Nails Corp</t>
  </si>
  <si>
    <t>Written-Off</t>
  </si>
  <si>
    <t>7231</t>
  </si>
  <si>
    <t>72</t>
  </si>
  <si>
    <t>Positions (excl. Monthly)</t>
  </si>
  <si>
    <t>Total existing daily</t>
  </si>
  <si>
    <t>/month</t>
  </si>
  <si>
    <t>C.  METRICS</t>
  </si>
  <si>
    <t>Value</t>
  </si>
  <si>
    <t>Green</t>
  </si>
  <si>
    <t>Red</t>
  </si>
  <si>
    <t>Knockout</t>
  </si>
  <si>
    <t>Sizing line</t>
  </si>
  <si>
    <t>Total LVG (all debt / rev)</t>
  </si>
  <si>
    <t>New holdback SP%</t>
  </si>
  <si>
    <t>A-006</t>
  </si>
  <si>
    <t>Orchard Supply</t>
  </si>
  <si>
    <t>Orchard Supply Co LLC</t>
  </si>
  <si>
    <t>Bankruptcy</t>
  </si>
  <si>
    <t>Daily debt / balance</t>
  </si>
  <si>
    <t xml:space="preserve">CONTROLS </t>
  </si>
  <si>
    <t>1. CASH-FLOW THRESHOLDS</t>
  </si>
  <si>
    <t>Green (at or better)</t>
  </si>
  <si>
    <t>Red (at or worse)</t>
  </si>
  <si>
    <t xml:space="preserve">Total LVG </t>
  </si>
  <si>
    <t>Fund / revenue</t>
  </si>
  <si>
    <t>Industry (SIC major group)</t>
  </si>
  <si>
    <t>Division</t>
  </si>
  <si>
    <t>ISO (house-book spelling)</t>
  </si>
  <si>
    <t>Industry list</t>
  </si>
  <si>
    <t>Fed holiday</t>
  </si>
  <si>
    <t>Status list</t>
  </si>
  <si>
    <t>01</t>
  </si>
  <si>
    <t>Agricultural Production - Crops</t>
  </si>
  <si>
    <t>Agriculture, Forestry &amp; Fishing</t>
  </si>
  <si>
    <t>Ace Partners</t>
  </si>
  <si>
    <t>Administration of Economic Programs</t>
  </si>
  <si>
    <t>02</t>
  </si>
  <si>
    <t>Agricultural Production - Livestock</t>
  </si>
  <si>
    <t>Advance Consolidations</t>
  </si>
  <si>
    <t>07</t>
  </si>
  <si>
    <t>Agricultural Services</t>
  </si>
  <si>
    <t>ALLSTATE FUND PROS LLC</t>
  </si>
  <si>
    <t>08</t>
  </si>
  <si>
    <t>Forestry</t>
  </si>
  <si>
    <t>Alternative Solutions Funding</t>
  </si>
  <si>
    <t># positions (incl. new)</t>
  </si>
  <si>
    <t>13</t>
  </si>
  <si>
    <t>Oil &amp; Gas Extraction</t>
  </si>
  <si>
    <t>Mining</t>
  </si>
  <si>
    <t>alvara capital</t>
  </si>
  <si>
    <t>Air Transportation</t>
  </si>
  <si>
    <t>Lowered Payments</t>
  </si>
  <si>
    <t>14</t>
  </si>
  <si>
    <t>Nonmetallic Minerals Mining</t>
  </si>
  <si>
    <t>Revenue trend (avg MoM)</t>
  </si>
  <si>
    <t>American Funding Association 1</t>
  </si>
  <si>
    <t>Amusement &amp; Recreation Services</t>
  </si>
  <si>
    <t>Neg days + NSFs (total)</t>
  </si>
  <si>
    <t>General Building Contractors</t>
  </si>
  <si>
    <t>Construction</t>
  </si>
  <si>
    <t>Amerishop Financial services</t>
  </si>
  <si>
    <t>Credit score (FICO)</t>
  </si>
  <si>
    <t>Apparel &amp; Accessory Stores</t>
  </si>
  <si>
    <t>Decline if red flags (RED + KNOCKOUT) &gt;=</t>
  </si>
  <si>
    <t>16</t>
  </si>
  <si>
    <t>Heavy Construction</t>
  </si>
  <si>
    <t>Minimum fund $</t>
  </si>
  <si>
    <t>Aspire Funding</t>
  </si>
  <si>
    <t>Apparel &amp; Textile Products</t>
  </si>
  <si>
    <t>Settlement Agreement</t>
  </si>
  <si>
    <t>17</t>
  </si>
  <si>
    <t>Special Trade Contractors</t>
  </si>
  <si>
    <t>Atla Finance</t>
  </si>
  <si>
    <t>Auto Dealers &amp; Gas Stations</t>
  </si>
  <si>
    <t>Closed/NSF</t>
  </si>
  <si>
    <t>20</t>
  </si>
  <si>
    <t>Food &amp; Kindred Products</t>
  </si>
  <si>
    <t>Manufacturing</t>
  </si>
  <si>
    <t>AVON ADVANCE</t>
  </si>
  <si>
    <t>Auto Repair &amp; Services</t>
  </si>
  <si>
    <t>Closed/NSF Unpaid</t>
  </si>
  <si>
    <t>23</t>
  </si>
  <si>
    <t>Ballicci</t>
  </si>
  <si>
    <t>Building Materials &amp; Garden Supply</t>
  </si>
  <si>
    <t>At-Risk</t>
  </si>
  <si>
    <t>24</t>
  </si>
  <si>
    <t>Lumber &amp; Wood Products</t>
  </si>
  <si>
    <t>BFA 3</t>
  </si>
  <si>
    <t>Business Services</t>
  </si>
  <si>
    <t>25</t>
  </si>
  <si>
    <t>Furniture &amp; Fixtures</t>
  </si>
  <si>
    <t>Bingo advance LLC</t>
  </si>
  <si>
    <t>Chemicals &amp; Allied Products</t>
  </si>
  <si>
    <t>27</t>
  </si>
  <si>
    <t>Printing &amp; Publishing</t>
  </si>
  <si>
    <t>Birkin Capital Inc</t>
  </si>
  <si>
    <t>Communications</t>
  </si>
  <si>
    <t>28</t>
  </si>
  <si>
    <t>biz advance now</t>
  </si>
  <si>
    <t>30</t>
  </si>
  <si>
    <t>Rubber &amp; Plastics</t>
  </si>
  <si>
    <t>Biz fuel</t>
  </si>
  <si>
    <t>Educational Services</t>
  </si>
  <si>
    <t>32</t>
  </si>
  <si>
    <t>Stone, Clay, Glass &amp; Concrete</t>
  </si>
  <si>
    <t>BizFin LLC</t>
  </si>
  <si>
    <t>Electric, Gas &amp; Sanitary Services</t>
  </si>
  <si>
    <t>Underwriting fee %</t>
  </si>
  <si>
    <t>33</t>
  </si>
  <si>
    <t>Primary Metal Industries</t>
  </si>
  <si>
    <t>black flag funding</t>
  </si>
  <si>
    <t>Electronic &amp; Electrical Equipment</t>
  </si>
  <si>
    <t>34</t>
  </si>
  <si>
    <t>Fabricated Metal Products</t>
  </si>
  <si>
    <t>Black Tie Funding</t>
  </si>
  <si>
    <t>2. PRICING BANDS</t>
  </si>
  <si>
    <t>Engineering, Accounting &amp; Management</t>
  </si>
  <si>
    <t>35</t>
  </si>
  <si>
    <t>Industrial Machinery &amp; Equipment</t>
  </si>
  <si>
    <t>Blue Oak Advance</t>
  </si>
  <si>
    <t>Environmental Quality &amp; Housing</t>
  </si>
  <si>
    <t>36</t>
  </si>
  <si>
    <t>bridge consolidation</t>
  </si>
  <si>
    <t>37</t>
  </si>
  <si>
    <t>Score &gt;=</t>
  </si>
  <si>
    <t>Transportation Equipment</t>
  </si>
  <si>
    <t>Term cap (daily pmts)</t>
  </si>
  <si>
    <t>Broadway Advance LLC</t>
  </si>
  <si>
    <t>38</t>
  </si>
  <si>
    <t>Instruments &amp; Related Products</t>
  </si>
  <si>
    <t>Business Fund USA 4</t>
  </si>
  <si>
    <t>Food Stores</t>
  </si>
  <si>
    <t>39</t>
  </si>
  <si>
    <t>Miscellaneous Manufacturing</t>
  </si>
  <si>
    <t>Can I Have Money</t>
  </si>
  <si>
    <t>41</t>
  </si>
  <si>
    <t>Local &amp; Interurban Passenger Transit</t>
  </si>
  <si>
    <t>Transportation &amp; Utilities</t>
  </si>
  <si>
    <t>Capfront Funding</t>
  </si>
  <si>
    <t>Trucking &amp; Warehousing</t>
  </si>
  <si>
    <t>Capital 1 Group LLC DBA Tier One Financing LLC</t>
  </si>
  <si>
    <t>Furniture &amp; Home Furnishings Stores</t>
  </si>
  <si>
    <t>44</t>
  </si>
  <si>
    <t>Water Transportation</t>
  </si>
  <si>
    <t>Max term (months)</t>
  </si>
  <si>
    <t>CARE FUNDING GROUP</t>
  </si>
  <si>
    <t>A-007</t>
  </si>
  <si>
    <t>Approved factor tiers (low -&gt; high)</t>
  </si>
  <si>
    <t>Pinewood Dental</t>
  </si>
  <si>
    <t>45</t>
  </si>
  <si>
    <t>Pinewood Dental PC</t>
  </si>
  <si>
    <t>cavala funding</t>
  </si>
  <si>
    <t>General Merchandise Stores</t>
  </si>
  <si>
    <t>Tier cut-offs on 7-point scale: Strong / Solid / Moderate</t>
  </si>
  <si>
    <t>8021</t>
  </si>
  <si>
    <t>80</t>
  </si>
  <si>
    <t>3. CONVERSION CONSTANTS</t>
  </si>
  <si>
    <t>47</t>
  </si>
  <si>
    <t>Transportation Services</t>
  </si>
  <si>
    <t>cenitcapital</t>
  </si>
  <si>
    <t>Health Services</t>
  </si>
  <si>
    <t>48</t>
  </si>
  <si>
    <t>Choicecapital Solutions LLC</t>
  </si>
  <si>
    <t>Weeks per month (ours)</t>
  </si>
  <si>
    <t>49</t>
  </si>
  <si>
    <t>City Wide Capital</t>
  </si>
  <si>
    <t>Hotels &amp; Lodging</t>
  </si>
  <si>
    <t>50</t>
  </si>
  <si>
    <t>Wholesale Trade - Durable Goods</t>
  </si>
  <si>
    <t>Wholesale Trade</t>
  </si>
  <si>
    <t>Clover Capital</t>
  </si>
  <si>
    <t>Business days per month (ours)</t>
  </si>
  <si>
    <t>51</t>
  </si>
  <si>
    <t>Wholesale Trade - Nondurable Goods</t>
  </si>
  <si>
    <t>MoneyBadger weeks per month</t>
  </si>
  <si>
    <t>CNL LOANS</t>
  </si>
  <si>
    <t>MoneyBadger business days per month</t>
  </si>
  <si>
    <t>52</t>
  </si>
  <si>
    <t>Retail Trade</t>
  </si>
  <si>
    <t>Credibly</t>
  </si>
  <si>
    <t>Insurance Agents &amp; Brokers</t>
  </si>
  <si>
    <t>Calendar days per month</t>
  </si>
  <si>
    <t>53</t>
  </si>
  <si>
    <t>DBS FUNDING GROUP</t>
  </si>
  <si>
    <t>Insurance Carriers</t>
  </si>
  <si>
    <t>Assumed factor on existing positions</t>
  </si>
  <si>
    <t>54</t>
  </si>
  <si>
    <t>Deal Struck</t>
  </si>
  <si>
    <t>Justice, Public Order &amp; Safety</t>
  </si>
  <si>
    <t>4. HISTORICAL EVIDENCE SETTINGS</t>
  </si>
  <si>
    <t>55</t>
  </si>
  <si>
    <t>Diamond Bar Funding</t>
  </si>
  <si>
    <t>Legal Services</t>
  </si>
  <si>
    <t>56</t>
  </si>
  <si>
    <t>DIRECT CAPITAL SOURCE, INC.</t>
  </si>
  <si>
    <t>As-of date for seasoning (date of the CRM export)</t>
  </si>
  <si>
    <t>57</t>
  </si>
  <si>
    <t>Direct Funding LLC</t>
  </si>
  <si>
    <t>Dubbs holding</t>
  </si>
  <si>
    <t>Membership Organizations</t>
  </si>
  <si>
    <t>Window: funded on or after</t>
  </si>
  <si>
    <t>59</t>
  </si>
  <si>
    <t>Window: funded on or before</t>
  </si>
  <si>
    <t>Miscellaneous Retail</t>
  </si>
  <si>
    <t>ecp business capital</t>
  </si>
  <si>
    <t>Seasoning multiple (age &gt;= multiple x contracted term)</t>
  </si>
  <si>
    <t>62</t>
  </si>
  <si>
    <t>Security &amp; Commodity Brokers</t>
  </si>
  <si>
    <t>Minimum seasoned deals for a cohort to be PRIMARY</t>
  </si>
  <si>
    <t>Finance, Insurance &amp; Real Estate</t>
  </si>
  <si>
    <t>Elite Advance 5</t>
  </si>
  <si>
    <t>Miscellaneous Repair Services</t>
  </si>
  <si>
    <t>63</t>
  </si>
  <si>
    <t>Minimum seasoned funded $ for a cohort to be PRIMARY</t>
  </si>
  <si>
    <t>elite finance team</t>
  </si>
  <si>
    <t>(reserved) Credibility constant K - NOT USED in v3</t>
  </si>
  <si>
    <t>64</t>
  </si>
  <si>
    <t>ELITE FUNDING PARTNERS LLC 6</t>
  </si>
  <si>
    <t>Minimum seasoned deals before a rate is shown</t>
  </si>
  <si>
    <t>Motion Pictures</t>
  </si>
  <si>
    <t>65</t>
  </si>
  <si>
    <t>Real Estate</t>
  </si>
  <si>
    <t>Seasoned deals for the sample-size indicator to be GREEN</t>
  </si>
  <si>
    <t>EVR GREEN LLC</t>
  </si>
  <si>
    <t>Museums &amp; Botanical Gardens</t>
  </si>
  <si>
    <t>70</t>
  </si>
  <si>
    <t>Services</t>
  </si>
  <si>
    <t>EZ ADVANCE LLC</t>
  </si>
  <si>
    <t>National Security &amp; Intl Affairs</t>
  </si>
  <si>
    <t xml:space="preserve">5. HOUSE-BOOK OUTCOME   index = primary-cohort principal lost rate / seasoned-book principal lost rate  </t>
  </si>
  <si>
    <t>Personal Services</t>
  </si>
  <si>
    <t>ez alternative solutions</t>
  </si>
  <si>
    <t>73</t>
  </si>
  <si>
    <t>FC ADVANCE</t>
  </si>
  <si>
    <t>Fidelity Funding</t>
  </si>
  <si>
    <t>76</t>
  </si>
  <si>
    <t>Setting</t>
  </si>
  <si>
    <t>FIFTH VENTURE</t>
  </si>
  <si>
    <t>78</t>
  </si>
  <si>
    <t>FIMACAP INC</t>
  </si>
  <si>
    <t>79</t>
  </si>
  <si>
    <t>SUPPORTIVE when index at or below</t>
  </si>
  <si>
    <t>Financial Express LLC</t>
  </si>
  <si>
    <t>Financity</t>
  </si>
  <si>
    <t>81</t>
  </si>
  <si>
    <t>NEGATIVE when index above</t>
  </si>
  <si>
    <t>FireLine Funding</t>
  </si>
  <si>
    <t>Supportive: sizing flex (0 = green line, 1 = red line)</t>
  </si>
  <si>
    <t>82</t>
  </si>
  <si>
    <t>First Path Capital</t>
  </si>
  <si>
    <t>Services - Miscellaneous</t>
  </si>
  <si>
    <t>83</t>
  </si>
  <si>
    <t>Social Services</t>
  </si>
  <si>
    <t>Fund Kite</t>
  </si>
  <si>
    <t>Negative: fund cut %</t>
  </si>
  <si>
    <t>84</t>
  </si>
  <si>
    <t>Fund Max</t>
  </si>
  <si>
    <t>86</t>
  </si>
  <si>
    <t>Fund Simple</t>
  </si>
  <si>
    <t xml:space="preserve">6. STATUS </t>
  </si>
  <si>
    <t>87</t>
  </si>
  <si>
    <t>Fund Your Bizz</t>
  </si>
  <si>
    <t>89</t>
  </si>
  <si>
    <t>Default?</t>
  </si>
  <si>
    <t>FundFlex</t>
  </si>
  <si>
    <t>Resolved?</t>
  </si>
  <si>
    <t>Closed?</t>
  </si>
  <si>
    <t>92</t>
  </si>
  <si>
    <t>Open?</t>
  </si>
  <si>
    <t>Public Administration</t>
  </si>
  <si>
    <t>Deals in file</t>
  </si>
  <si>
    <t>Fundible</t>
  </si>
  <si>
    <t>95</t>
  </si>
  <si>
    <t>Fundward</t>
  </si>
  <si>
    <t>No</t>
  </si>
  <si>
    <t>96</t>
  </si>
  <si>
    <t>Yes</t>
  </si>
  <si>
    <t>97</t>
  </si>
  <si>
    <t>Go Ai Ez LLC Dba:Gova Funding</t>
  </si>
  <si>
    <t>GREYSTONE</t>
  </si>
  <si>
    <t>No SIC</t>
  </si>
  <si>
    <t>GROWTH RATE CAPITAL INC</t>
  </si>
  <si>
    <t>Unclassified</t>
  </si>
  <si>
    <t>Hero Advance Group</t>
  </si>
  <si>
    <t>I burst funding</t>
  </si>
  <si>
    <t>ICB FUNDING</t>
  </si>
  <si>
    <t>ICG Funding</t>
  </si>
  <si>
    <t>J Capital Solutions</t>
  </si>
  <si>
    <t>JABSCAP</t>
  </si>
  <si>
    <t>Kelly Kapital</t>
  </si>
  <si>
    <t>Key Capital Funding</t>
  </si>
  <si>
    <t>Klendify</t>
  </si>
  <si>
    <t>langtech</t>
  </si>
  <si>
    <t>legacy funding llc</t>
  </si>
  <si>
    <t>Lemonaid</t>
  </si>
  <si>
    <t>Lend Bull LLC</t>
  </si>
  <si>
    <t>LENDCAP SOLUTIONS</t>
  </si>
  <si>
    <t>level 3 funding</t>
  </si>
  <si>
    <t>lexington capital holdings</t>
  </si>
  <si>
    <t>Liberty Bell Capital</t>
  </si>
  <si>
    <t>Lightning SBA Loans</t>
  </si>
  <si>
    <t>lightningfundingsolutions</t>
  </si>
  <si>
    <t>Linked In Funding</t>
  </si>
  <si>
    <t>liquidity lending group</t>
  </si>
  <si>
    <t>Llama Loan</t>
  </si>
  <si>
    <t>MADVANCEGRP</t>
  </si>
  <si>
    <t>Merchant Advance Now</t>
  </si>
  <si>
    <t>Merchant ReFi</t>
  </si>
  <si>
    <t>Milestone Capital Funding Inc</t>
  </si>
  <si>
    <t>Mills  funding group</t>
  </si>
  <si>
    <t>Monarch funding Group</t>
  </si>
  <si>
    <t>MONETCAP</t>
  </si>
  <si>
    <t>MZ ADVANCE</t>
  </si>
  <si>
    <t>National Business Capital</t>
  </si>
  <si>
    <t>NS PRO INC.</t>
  </si>
  <si>
    <t>NY Tribeca Group</t>
  </si>
  <si>
    <t>One Box Funding</t>
  </si>
  <si>
    <t>ontime cap</t>
  </si>
  <si>
    <t>Pathway Catalyst</t>
  </si>
  <si>
    <t>PEACH STATE SOLUTIONS</t>
  </si>
  <si>
    <t>peach tree capital</t>
  </si>
  <si>
    <t>Existing leverage (before new)</t>
  </si>
  <si>
    <t>penco holdings</t>
  </si>
  <si>
    <t>Pharoah Fund</t>
  </si>
  <si>
    <t>Platform Funding</t>
  </si>
  <si>
    <t>PMF</t>
  </si>
  <si>
    <t>Premium Capital (AMRK)</t>
  </si>
  <si>
    <t>Pro Source Lending Group</t>
  </si>
  <si>
    <t>Pyn Capital</t>
  </si>
  <si>
    <t>Qualifier</t>
  </si>
  <si>
    <t>Redline Capital</t>
  </si>
  <si>
    <t>ROK</t>
  </si>
  <si>
    <t>ROYAL FUNDING GROUP</t>
  </si>
  <si>
    <t>SABER ASSETS LLC</t>
  </si>
  <si>
    <t>Samson Funding</t>
  </si>
  <si>
    <t>Seacap</t>
  </si>
  <si>
    <t>Secure Capital Solutions 7</t>
  </si>
  <si>
    <t>secure way capital</t>
  </si>
  <si>
    <t>Shield Funding</t>
  </si>
  <si>
    <t>-</t>
  </si>
  <si>
    <t>Shop Funder</t>
  </si>
  <si>
    <t>Shore Funding USA</t>
  </si>
  <si>
    <t>Simply capital source inc</t>
  </si>
  <si>
    <t>Siriux internacional corp</t>
  </si>
  <si>
    <t>Sky Advance</t>
  </si>
  <si>
    <t>Smarter Credit Inc.</t>
  </si>
  <si>
    <t>INFO</t>
  </si>
  <si>
    <t>SNA Capital source</t>
  </si>
  <si>
    <t>SNB CAPITAL 18 LLC</t>
  </si>
  <si>
    <t>Splash</t>
  </si>
  <si>
    <t>Balance / revenue</t>
  </si>
  <si>
    <t>Springville Partners</t>
  </si>
  <si>
    <t>Streamline Funding LLC</t>
  </si>
  <si>
    <t>Supreme Capital Solutions</t>
  </si>
  <si>
    <t>Swift Business Funding</t>
  </si>
  <si>
    <t>Tech Consulting Pro LLC D/B/A: Nationwide Advance</t>
  </si>
  <si>
    <t>A-008</t>
  </si>
  <si>
    <t>The Funding Channel</t>
  </si>
  <si>
    <t>Harbor Cleaning</t>
  </si>
  <si>
    <t>Harbor Cleaning Services LLC</t>
  </si>
  <si>
    <t>The Funding Family</t>
  </si>
  <si>
    <t>Tier one</t>
  </si>
  <si>
    <t>7349</t>
  </si>
  <si>
    <t>Tip Top Capital</t>
  </si>
  <si>
    <t>Top Floor Advance</t>
  </si>
  <si>
    <t>Triumph Cap Fund</t>
  </si>
  <si>
    <t>True Eagle Capital</t>
  </si>
  <si>
    <t>True Path Funding</t>
  </si>
  <si>
    <t>TRUSTFI</t>
  </si>
  <si>
    <t>United Secured Capital 8</t>
  </si>
  <si>
    <t>C2.  HOUSE-BOOK INDICATORS   (set the sizing line + modifier; NOT counted in the cash-flow score)</t>
  </si>
  <si>
    <t>upcrunch</t>
  </si>
  <si>
    <t>Upright Advance Corp</t>
  </si>
  <si>
    <t>Upwise capital</t>
  </si>
  <si>
    <t>Vanguard Equities</t>
  </si>
  <si>
    <t>Vantage Cap Group</t>
  </si>
  <si>
    <t>Viking Funding LLC</t>
  </si>
  <si>
    <t>Vital Funding</t>
  </si>
  <si>
    <t>Green &lt;=</t>
  </si>
  <si>
    <t>Red &gt;</t>
  </si>
  <si>
    <t>Wisco Capital</t>
  </si>
  <si>
    <t>WOTR Enterprise LLC</t>
  </si>
  <si>
    <t>YM ventures</t>
  </si>
  <si>
    <t>Seasoned Deals</t>
  </si>
  <si>
    <t>New deal / renewal</t>
  </si>
  <si>
    <t>Seasoned deals behind the primary cohort</t>
  </si>
  <si>
    <t>D.  DECISION  (cash-flow layer, on the requested offer)</t>
  </si>
  <si>
    <t>Red flags</t>
  </si>
  <si>
    <t>Knockouts</t>
  </si>
  <si>
    <t>Decline if red flags &gt;=  (Controls)</t>
  </si>
  <si>
    <t>E.  DEAL QUALITY  &amp;  MAXIMUM OFFER at the sizing line  (green line unless the house book is supportive)</t>
  </si>
  <si>
    <t>Score (G=1, Y=0.5, R=0)</t>
  </si>
  <si>
    <t>Tier  (score scaled to 7 for the bands)</t>
  </si>
  <si>
    <t>Max daily by SP% sizing line</t>
  </si>
  <si>
    <t>Max daily by Total LVG sizing line</t>
  </si>
  <si>
    <t>Max daily by Daily/Balance sizing line</t>
  </si>
  <si>
    <t>MAX DAILY  (weakest link)</t>
  </si>
  <si>
    <t>Weekly / monthly equivalent</t>
  </si>
  <si>
    <t>Term (daily pmts) / factor from bands</t>
  </si>
  <si>
    <t>MAX FUND at the sizing line</t>
  </si>
  <si>
    <t>F.  FINAL OFFER  (PLANNED - outline only)   =   max at the sizing line (section E)  -&gt;  house-book outcome applied</t>
  </si>
  <si>
    <t>Item</t>
  </si>
  <si>
    <t>How it will be computed</t>
  </si>
  <si>
    <t>FINAL DECISION</t>
  </si>
  <si>
    <t>APPROVE / CONDITIONAL / DECLINE</t>
  </si>
  <si>
    <t>-&gt; DECLINE if D says DECLINE on the merchant side (knockout, red flags, below minimum). CONDITIONAL if any metric is YELLOW at the final offer or the house-book outcome is Negative. Else APPROVE.</t>
  </si>
  <si>
    <t>Recommended fund</t>
  </si>
  <si>
    <t>$</t>
  </si>
  <si>
    <t>-&gt; Section E max fund (C73). If the house-book outcome is Negative: C73 x (1 - fund cut % on Controls). Floor to $500. Never above C73.</t>
  </si>
  <si>
    <t>1.40 / 1.45 / 1.49</t>
  </si>
  <si>
    <t>-&gt; Band factor D72 (unchanged by history for now).</t>
  </si>
  <si>
    <t>Term</t>
  </si>
  <si>
    <t>weeks or daily pmts</t>
  </si>
  <si>
    <t>-&gt; Band term C72; shown in the frequency of E6.</t>
  </si>
  <si>
    <t>per week / per day</t>
  </si>
  <si>
    <t>-&gt; fund x factor / term (daily); x5 for weekly.</t>
  </si>
  <si>
    <t>Holdback % at final offer</t>
  </si>
  <si>
    <t>%</t>
  </si>
  <si>
    <t>-&gt; payment x 21.655 / avg revenue, with GREEN / YELLOW status against Controls. Yellow is allowed only when the outcome is Supportive.</t>
  </si>
  <si>
    <t>Total LVG / daily debt-balance / fund-rev at final offer</t>
  </si>
  <si>
    <t>-&gt; same re-check for the other three offer-side metrics; RED must be impossible because the sizing line stops short of the red line.</t>
  </si>
  <si>
    <t>House-book outcome</t>
  </si>
  <si>
    <t>Supportive / Neutral / Negative</t>
  </si>
  <si>
    <t>-&gt; from Historical Score C35</t>
  </si>
  <si>
    <t>Primary cohort and its numbers</t>
  </si>
  <si>
    <t>text</t>
  </si>
  <si>
    <t>-&gt; tier, seasoned n, PLR, ROF, index - from Historical Score</t>
  </si>
  <si>
    <t>Layer 1 stays the ceiling: the sizing line never reaches the red line, knockouts are never removed, the final fund never exceeds C73.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</si>
</sst>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\$#,##0"/>
    <numFmt numFmtId="166" formatCode="mm/dd/yyyy"/>
    <numFmt numFmtId="167" formatCode="\$#,##0.00"/>
    <numFmt numFmtId="168" formatCode="0.0"/>
    <numFmt numFmtId="169" formatCode="0.000"/>
    <numFmt numFmtId="170" formatCode="m/d/yyyy"/>
    <numFmt numFmtId="171" formatCode="0.0000"/>
  </numFmts>
  <fonts count="19">
    <font>
      <sz val="11.0"/>
      <color theme="1"/>
      <name val="Calibri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9.0"/>
      <color rgb="FF374151"/>
      <name val="Calibri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3.0"/>
      <color theme="1"/>
      <name val="Calibri"/>
    </font>
    <font>
      <i/>
      <sz val="9.0"/>
      <color rgb="FF374151"/>
      <name val="Calibri"/>
    </font>
    <font>
      <b/>
      <sz val="9.0"/>
      <color rgb="FFFFFFFF"/>
      <name val="Calibri"/>
    </font>
    <font>
      <b/>
      <sz val="12.0"/>
      <color theme="1"/>
      <name val="Calibri"/>
    </font>
    <font>
      <b/>
      <sz val="12.0"/>
      <color rgb="FF008000"/>
      <name val="Calibri"/>
    </font>
    <font>
      <color theme="1"/>
      <name val="Calibri"/>
      <scheme val="minor"/>
    </font>
    <font>
      <i/>
      <sz val="11.0"/>
      <color rgb="FF374151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i/>
      <sz val="9.0"/>
      <color rgb="FF374151"/>
      <name val="Calibri"/>
    </font>
    <font>
      <i/>
      <sz val="10.0"/>
      <color rgb="FF37415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medium">
        <color rgb="FF374151"/>
      </left>
      <top style="medium">
        <color rgb="FF374151"/>
      </top>
    </border>
    <border>
      <top style="thin">
        <color rgb="FF000000"/>
      </top>
    </border>
    <border>
      <left style="thin">
        <color rgb="FF9CA3AF"/>
      </left>
      <top style="thin">
        <color rgb="FF9CA3AF"/>
      </top>
    </border>
    <border>
      <left style="thin">
        <color rgb="FF9CA3AF"/>
      </left>
    </border>
    <border>
      <left/>
      <right/>
      <top/>
      <bottom/>
    </border>
    <border>
      <left style="thick">
        <color rgb="FF000000"/>
      </left>
      <right style="thin">
        <color rgb="FF9CA3AF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top style="thin">
        <color rgb="FF9CA3AF"/>
      </top>
      <bottom style="thin">
        <color rgb="FF9CA3AF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2" fontId="5" numFmtId="0" xfId="0" applyAlignment="1" applyBorder="1" applyFill="1" applyFont="1">
      <alignment horizontal="left" shrinkToFit="0" vertical="center" wrapText="0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4" fillId="0" fontId="3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4" fillId="3" fontId="10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0"/>
    </xf>
    <xf borderId="5" fillId="0" fontId="11" numFmtId="165" xfId="0" applyAlignment="1" applyBorder="1" applyFont="1" applyNumberFormat="1">
      <alignment horizontal="center" shrinkToFit="0" vertical="center" wrapText="0"/>
    </xf>
    <xf borderId="5" fillId="0" fontId="11" numFmtId="2" xfId="0" applyAlignment="1" applyBorder="1" applyFont="1" applyNumberFormat="1">
      <alignment horizontal="center" shrinkToFit="0" vertical="center" wrapText="0"/>
    </xf>
    <xf borderId="5" fillId="0" fontId="11" numFmtId="1" xfId="0" applyAlignment="1" applyBorder="1" applyFont="1" applyNumberFormat="1">
      <alignment horizontal="center" shrinkToFit="0" vertical="center" wrapText="0"/>
    </xf>
    <xf borderId="4" fillId="2" fontId="10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5" fillId="0" fontId="12" numFmtId="9" xfId="0" applyAlignment="1" applyBorder="1" applyFont="1" applyNumberForma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0" fillId="0" fontId="7" numFmtId="166" xfId="0" applyAlignment="1" applyFont="1" applyNumberFormat="1">
      <alignment shrinkToFit="0" vertical="bottom" wrapText="0"/>
    </xf>
    <xf borderId="0" fillId="0" fontId="13" numFmtId="0" xfId="0" applyFont="1"/>
    <xf borderId="4" fillId="0" fontId="7" numFmtId="167" xfId="0" applyAlignment="1" applyBorder="1" applyFont="1" applyNumberFormat="1">
      <alignment horizontal="center" shrinkToFit="0" vertical="center" wrapText="0"/>
    </xf>
    <xf borderId="0" fillId="0" fontId="7" numFmtId="2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0" fillId="0" fontId="7" numFmtId="9" xfId="0" applyAlignment="1" applyFont="1" applyNumberFormat="1">
      <alignment shrinkToFit="0" vertical="bottom" wrapText="0"/>
    </xf>
    <xf borderId="4" fillId="0" fontId="7" numFmtId="2" xfId="0" applyAlignment="1" applyBorder="1" applyFont="1" applyNumberFormat="1">
      <alignment horizontal="center" shrinkToFit="0" vertical="center" wrapText="0"/>
    </xf>
    <xf borderId="4" fillId="0" fontId="3" numFmtId="167" xfId="0" applyAlignment="1" applyBorder="1" applyFont="1" applyNumberFormat="1">
      <alignment horizontal="center" shrinkToFit="0" vertical="center" wrapText="0"/>
    </xf>
    <xf borderId="4" fillId="0" fontId="7" numFmtId="10" xfId="0" applyAlignment="1" applyBorder="1" applyFont="1" applyNumberFormat="1">
      <alignment horizontal="center" shrinkToFit="0" vertical="center" wrapText="0"/>
    </xf>
    <xf borderId="4" fillId="0" fontId="11" numFmtId="165" xfId="0" applyAlignment="1" applyBorder="1" applyFont="1" applyNumberFormat="1">
      <alignment horizontal="center" shrinkToFit="0" vertical="center" wrapText="0"/>
    </xf>
    <xf borderId="4" fillId="0" fontId="11" numFmtId="167" xfId="0" applyAlignment="1" applyBorder="1" applyFont="1" applyNumberFormat="1">
      <alignment horizontal="center" shrinkToFit="0" vertical="center" wrapText="0"/>
    </xf>
    <xf borderId="4" fillId="0" fontId="11" numFmtId="168" xfId="0" applyAlignment="1" applyBorder="1" applyFont="1" applyNumberFormat="1">
      <alignment horizontal="center" shrinkToFit="0" vertical="center" wrapText="0"/>
    </xf>
    <xf borderId="4" fillId="0" fontId="14" numFmtId="169" xfId="0" applyAlignment="1" applyBorder="1" applyFont="1" applyNumberFormat="1">
      <alignment horizontal="center" shrinkToFit="0" vertical="center" wrapText="0"/>
    </xf>
    <xf borderId="4" fillId="0" fontId="3" numFmtId="169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horizontal="left"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165" xfId="0" applyAlignment="1" applyBorder="1" applyFont="1" applyNumberFormat="1">
      <alignment horizontal="center" shrinkToFit="0" vertical="center" wrapText="0"/>
    </xf>
    <xf borderId="5" fillId="0" fontId="7" numFmtId="1" xfId="0" applyAlignment="1" applyBorder="1" applyFont="1" applyNumberFormat="1">
      <alignment horizontal="center" shrinkToFit="0" vertical="center" wrapText="0"/>
    </xf>
    <xf borderId="4" fillId="3" fontId="10" numFmtId="0" xfId="0" applyAlignment="1" applyBorder="1" applyFill="1" applyFont="1">
      <alignment horizontal="left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7" fillId="5" fontId="4" numFmtId="0" xfId="0" applyAlignment="1" applyBorder="1" applyFill="1" applyFont="1">
      <alignment horizontal="center" shrinkToFit="0" vertical="bottom" wrapText="0"/>
    </xf>
    <xf borderId="8" fillId="0" fontId="6" numFmtId="0" xfId="0" applyBorder="1" applyFont="1"/>
    <xf borderId="4" fillId="3" fontId="10" numFmtId="168" xfId="0" applyAlignment="1" applyBorder="1" applyFill="1" applyFont="1" applyNumberFormat="1">
      <alignment horizontal="left" readingOrder="0" shrinkToFit="0" vertical="center" wrapText="0"/>
    </xf>
    <xf borderId="6" fillId="4" fontId="3" numFmtId="1" xfId="0" applyAlignment="1" applyBorder="1" applyFill="1" applyFont="1" applyNumberFormat="1">
      <alignment horizontal="center" shrinkToFit="0" vertical="center" wrapText="0"/>
    </xf>
    <xf borderId="9" fillId="0" fontId="4" numFmtId="2" xfId="0" applyAlignment="1" applyBorder="1" applyFont="1" applyNumberFormat="1">
      <alignment horizontal="center" shrinkToFit="0" vertical="bottom" wrapText="0"/>
    </xf>
    <xf borderId="10" fillId="0" fontId="6" numFmtId="0" xfId="0" applyBorder="1" applyFont="1"/>
    <xf borderId="4" fillId="3" fontId="10" numFmtId="168" xfId="0" applyAlignment="1" applyBorder="1" applyFill="1" applyFont="1" applyNumberFormat="1">
      <alignment horizontal="left" shrinkToFit="0" vertical="center" wrapText="0"/>
    </xf>
    <xf borderId="11" fillId="3" fontId="10" numFmtId="168" xfId="0" applyAlignment="1" applyBorder="1" applyFill="1" applyFont="1" applyNumberFormat="1">
      <alignment horizontal="left" readingOrder="0" shrinkToFit="0" vertical="center" wrapText="0"/>
    </xf>
    <xf borderId="12" fillId="4" fontId="3" numFmtId="1" xfId="0" applyAlignment="1" applyBorder="1" applyFill="1" applyFont="1" applyNumberFormat="1">
      <alignment horizontal="center" shrinkToFit="0" vertical="center" wrapText="0"/>
    </xf>
    <xf borderId="13" fillId="0" fontId="4" numFmtId="168" xfId="0" applyAlignment="1" applyBorder="1" applyFont="1" applyNumberFormat="1">
      <alignment horizontal="left" shrinkToFit="0" vertical="center" wrapText="0"/>
    </xf>
    <xf borderId="13" fillId="0" fontId="7" numFmtId="1" xfId="0" applyAlignment="1" applyBorder="1" applyFont="1" applyNumberFormat="1">
      <alignment horizontal="center" shrinkToFit="0" vertical="bottom" wrapText="0"/>
    </xf>
    <xf borderId="13" fillId="0" fontId="7" numFmtId="2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4" fillId="0" fontId="7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0" fontId="4" numFmtId="164" xfId="0" applyAlignment="1" applyBorder="1" applyFont="1" applyNumberFormat="1">
      <alignment horizontal="center" shrinkToFit="0" vertical="center" wrapText="0"/>
    </xf>
    <xf borderId="4" fillId="4" fontId="3" numFmtId="165" xfId="0" applyAlignment="1" applyBorder="1" applyFill="1" applyFont="1" applyNumberFormat="1">
      <alignment horizontal="center" shrinkToFit="0" vertical="center" wrapText="0"/>
    </xf>
    <xf borderId="4" fillId="4" fontId="3" numFmtId="1" xfId="0" applyAlignment="1" applyBorder="1" applyFill="1" applyFont="1" applyNumberFormat="1">
      <alignment horizontal="center" shrinkToFit="0" vertical="center" wrapText="0"/>
    </xf>
    <xf borderId="4" fillId="4" fontId="3" numFmtId="164" xfId="0" applyAlignment="1" applyBorder="1" applyFill="1" applyFont="1" applyNumberFormat="1">
      <alignment horizontal="center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5" fillId="0" fontId="7" numFmtId="165" xfId="0" applyAlignment="1" applyBorder="1" applyFont="1" applyNumberForma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4" fillId="0" fontId="7" numFmtId="170" xfId="0" applyAlignment="1" applyBorder="1" applyFont="1" applyNumberFormat="1">
      <alignment horizontal="center" readingOrder="0" shrinkToFit="0" vertical="center" wrapText="0"/>
    </xf>
    <xf borderId="4" fillId="0" fontId="7" numFmtId="4" xfId="0" applyAlignment="1" applyBorder="1" applyFont="1" applyNumberFormat="1">
      <alignment horizontal="center" shrinkToFit="0" vertical="center" wrapText="0"/>
    </xf>
    <xf borderId="4" fillId="0" fontId="7" numFmtId="170" xfId="0" applyAlignment="1" applyBorder="1" applyFont="1" applyNumberFormat="1">
      <alignment horizontal="center" shrinkToFit="0" vertical="center" wrapText="0"/>
    </xf>
    <xf borderId="4" fillId="0" fontId="3" numFmtId="1" xfId="0" applyAlignment="1" applyBorder="1" applyFont="1" applyNumberForma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0" fontId="3" numFmtId="164" xfId="0" applyAlignment="1" applyBorder="1" applyFont="1" applyNumberFormat="1">
      <alignment horizontal="left" shrinkToFit="0" vertical="center" wrapText="0"/>
    </xf>
    <xf borderId="4" fillId="0" fontId="3" numFmtId="2" xfId="0" applyAlignment="1" applyBorder="1" applyFont="1" applyNumberFormat="1">
      <alignment horizontal="left" shrinkToFit="0" vertical="center" wrapText="0"/>
    </xf>
    <xf borderId="4" fillId="0" fontId="11" numFmtId="0" xfId="0" applyAlignment="1" applyBorder="1" applyFont="1">
      <alignment horizontal="left" shrinkToFit="0" vertical="center" wrapText="0"/>
    </xf>
    <xf borderId="4" fillId="0" fontId="3" numFmtId="9" xfId="0" applyAlignment="1" applyBorder="1" applyFont="1" applyNumberFormat="1">
      <alignment horizontal="left" shrinkToFit="0" vertical="center" wrapText="0"/>
    </xf>
    <xf borderId="4" fillId="4" fontId="3" numFmtId="0" xfId="0" applyAlignment="1" applyBorder="1" applyFill="1" applyFont="1">
      <alignment horizontal="right" shrinkToFit="0" vertical="center" wrapText="0"/>
    </xf>
    <xf borderId="4" fillId="4" fontId="3" numFmtId="167" xfId="0" applyAlignment="1" applyBorder="1" applyFill="1" applyFont="1" applyNumberFormat="1">
      <alignment horizontal="center" shrinkToFit="0" vertical="center" wrapText="0"/>
    </xf>
    <xf borderId="0" fillId="0" fontId="7" numFmtId="167" xfId="0" applyAlignment="1" applyFont="1" applyNumberFormat="1">
      <alignment shrinkToFit="0" vertical="bottom" wrapText="0"/>
    </xf>
    <xf borderId="4" fillId="0" fontId="3" numFmtId="10" xfId="0" applyAlignment="1" applyBorder="1" applyFont="1" applyNumberFormat="1">
      <alignment horizontal="center" shrinkToFit="0" vertical="center" wrapText="0"/>
    </xf>
    <xf borderId="5" fillId="0" fontId="14" numFmtId="164" xfId="0" applyAlignment="1" applyBorder="1" applyFont="1" applyNumberFormat="1">
      <alignment horizontal="center" shrinkToFit="0" vertical="center" wrapText="0"/>
    </xf>
    <xf borderId="4" fillId="0" fontId="15" numFmtId="164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left" readingOrder="0" shrinkToFit="0" vertical="center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14" fillId="0" fontId="7" numFmtId="0" xfId="0" applyAlignment="1" applyBorder="1" applyFont="1">
      <alignment horizontal="left" shrinkToFit="0" vertical="center" wrapText="0"/>
    </xf>
    <xf borderId="4" fillId="0" fontId="3" numFmtId="2" xfId="0" applyAlignment="1" applyBorder="1" applyFont="1" applyNumberFormat="1">
      <alignment horizontal="center" shrinkToFit="0" vertical="center" wrapText="0"/>
    </xf>
    <xf borderId="15" fillId="0" fontId="7" numFmtId="0" xfId="0" applyAlignment="1" applyBorder="1" applyFont="1">
      <alignment horizontal="left" shrinkToFit="0" vertical="center" wrapText="0"/>
    </xf>
    <xf borderId="5" fillId="0" fontId="14" numFmtId="2" xfId="0" applyAlignment="1" applyBorder="1" applyFont="1" applyNumberFormat="1">
      <alignment horizontal="center" shrinkToFit="0" vertical="center" wrapText="0"/>
    </xf>
    <xf borderId="6" fillId="4" fontId="15" numFmtId="2" xfId="0" applyAlignment="1" applyBorder="1" applyFill="1" applyFont="1" applyNumberFormat="1">
      <alignment horizontal="center" shrinkToFit="0" vertical="center" wrapText="0"/>
    </xf>
    <xf borderId="6" fillId="4" fontId="15" numFmtId="1" xfId="0" applyAlignment="1" applyBorder="1" applyFill="1" applyFont="1" applyNumberFormat="1">
      <alignment horizontal="center" shrinkToFit="0" vertical="center" wrapText="0"/>
    </xf>
    <xf borderId="4" fillId="0" fontId="15" numFmtId="2" xfId="0" applyAlignment="1" applyBorder="1" applyFont="1" applyNumberFormat="1">
      <alignment horizontal="center" shrinkToFit="0" vertical="center" wrapText="0"/>
    </xf>
    <xf borderId="6" fillId="4" fontId="15" numFmtId="165" xfId="0" applyAlignment="1" applyBorder="1" applyFill="1" applyFont="1" applyNumberFormat="1">
      <alignment horizontal="center" shrinkToFit="0" vertical="center" wrapText="0"/>
    </xf>
    <xf borderId="6" fillId="4" fontId="15" numFmtId="9" xfId="0" applyAlignment="1" applyBorder="1" applyFill="1" applyFont="1" applyNumberFormat="1">
      <alignment horizontal="center" shrinkToFit="0" vertical="center" wrapText="0"/>
    </xf>
    <xf borderId="5" fillId="0" fontId="14" numFmtId="1" xfId="0" applyAlignment="1" applyBorder="1" applyFont="1" applyNumberFormat="1">
      <alignment horizontal="center" shrinkToFit="0" vertical="center" wrapText="0"/>
    </xf>
    <xf borderId="6" fillId="4" fontId="15" numFmtId="168" xfId="0" applyAlignment="1" applyBorder="1" applyFill="1" applyFont="1" applyNumberFormat="1">
      <alignment horizontal="center" shrinkToFit="0" vertical="center" wrapText="0"/>
    </xf>
    <xf borderId="6" fillId="4" fontId="15" numFmtId="169" xfId="0" applyAlignment="1" applyBorder="1" applyFill="1" applyFont="1" applyNumberFormat="1">
      <alignment horizontal="center" shrinkToFit="0" vertical="center" wrapText="0"/>
    </xf>
    <xf borderId="6" fillId="4" fontId="15" numFmtId="171" xfId="0" applyAlignment="1" applyBorder="1" applyFill="1" applyFont="1" applyNumberFormat="1">
      <alignment horizontal="center" shrinkToFit="0" vertical="center" wrapText="0"/>
    </xf>
    <xf borderId="6" fillId="4" fontId="15" numFmtId="166" xfId="0" applyAlignment="1" applyBorder="1" applyFill="1" applyFont="1" applyNumberFormat="1">
      <alignment horizontal="center" shrinkToFit="0" vertical="center" wrapText="0"/>
    </xf>
    <xf borderId="4" fillId="4" fontId="15" numFmtId="2" xfId="0" applyAlignment="1" applyBorder="1" applyFill="1" applyFont="1" applyNumberFormat="1">
      <alignment horizontal="center" shrinkToFit="0" vertical="center" wrapText="0"/>
    </xf>
    <xf borderId="4" fillId="4" fontId="15" numFmtId="9" xfId="0" applyAlignment="1" applyBorder="1" applyFill="1" applyFont="1" applyNumberFormat="1">
      <alignment horizontal="center" shrinkToFit="0" vertical="center" wrapText="0"/>
    </xf>
    <xf borderId="6" fillId="4" fontId="15" numFmtId="0" xfId="0" applyAlignment="1" applyBorder="1" applyFill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4" fontId="9" numFmtId="0" xfId="0" applyAlignment="1" applyBorder="1" applyFill="1" applyFont="1">
      <alignment horizontal="center" shrinkToFit="0" vertical="center" wrapText="0"/>
    </xf>
    <xf borderId="16" fillId="2" fontId="5" numFmtId="0" xfId="0" applyAlignment="1" applyBorder="1" applyFill="1" applyFont="1">
      <alignment horizontal="left" shrinkToFit="0" vertical="center" wrapText="0"/>
    </xf>
    <xf borderId="4" fillId="3" fontId="10" numFmtId="0" xfId="0" applyAlignment="1" applyBorder="1" applyFill="1" applyFont="1">
      <alignment horizontal="center" readingOrder="0" shrinkToFit="0" vertical="center" wrapText="0"/>
    </xf>
    <xf borderId="5" fillId="0" fontId="7" numFmtId="3" xfId="0" applyAlignment="1" applyBorder="1" applyFont="1" applyNumberFormat="1">
      <alignment horizontal="center" shrinkToFit="0" vertical="center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5" fillId="0" fontId="7" numFmtId="164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right" shrinkToFit="0" vertical="center" wrapText="0"/>
    </xf>
    <xf borderId="5" fillId="0" fontId="16" numFmtId="1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right" shrinkToFit="0" vertical="bottom" wrapText="0"/>
    </xf>
    <xf borderId="5" fillId="0" fontId="16" numFmtId="165" xfId="0" applyAlignment="1" applyBorder="1" applyFont="1" applyNumberFormat="1">
      <alignment horizontal="center" shrinkToFit="0" vertical="bottom" wrapText="0"/>
    </xf>
    <xf borderId="4" fillId="0" fontId="3" numFmtId="168" xfId="0" applyAlignment="1" applyBorder="1" applyFont="1" applyNumberFormat="1">
      <alignment horizontal="center" shrinkToFit="0" vertical="center" wrapText="0"/>
    </xf>
    <xf borderId="0" fillId="0" fontId="7" numFmtId="168" xfId="0" applyAlignment="1" applyFont="1" applyNumberFormat="1">
      <alignment shrinkToFit="0" vertical="bottom" wrapText="0"/>
    </xf>
    <xf borderId="11" fillId="0" fontId="7" numFmtId="0" xfId="0" applyAlignment="1" applyBorder="1" applyFont="1">
      <alignment horizontal="right" shrinkToFit="0" vertical="center" wrapText="0"/>
    </xf>
    <xf borderId="11" fillId="0" fontId="7" numFmtId="167" xfId="0" applyAlignment="1" applyBorder="1" applyFont="1" applyNumberFormat="1">
      <alignment horizontal="center" shrinkToFit="0" vertical="center" wrapText="0"/>
    </xf>
    <xf borderId="17" fillId="0" fontId="3" numFmtId="0" xfId="0" applyAlignment="1" applyBorder="1" applyFont="1">
      <alignment horizontal="right" shrinkToFit="0" vertical="center" wrapText="0"/>
    </xf>
    <xf borderId="18" fillId="0" fontId="11" numFmtId="167" xfId="0" applyAlignment="1" applyBorder="1" applyFont="1" applyNumberFormat="1">
      <alignment horizontal="center" shrinkToFit="0" vertical="center" wrapText="0"/>
    </xf>
    <xf borderId="19" fillId="0" fontId="7" numFmtId="0" xfId="0" applyAlignment="1" applyBorder="1" applyFont="1">
      <alignment horizontal="right" shrinkToFit="0" vertical="center" wrapText="0"/>
    </xf>
    <xf borderId="19" fillId="0" fontId="7" numFmtId="165" xfId="0" applyAlignment="1" applyBorder="1" applyFont="1" applyNumberFormat="1">
      <alignment horizontal="center" shrinkToFit="0" vertical="center" wrapText="0"/>
    </xf>
    <xf borderId="5" fillId="0" fontId="3" numFmtId="1" xfId="0" applyAlignment="1" applyBorder="1" applyFont="1" applyNumberFormat="1">
      <alignment horizontal="center" shrinkToFit="0" vertical="center" wrapText="0"/>
    </xf>
    <xf borderId="5" fillId="0" fontId="3" numFmtId="2" xfId="0" applyAlignment="1" applyBorder="1" applyFont="1" applyNumberFormat="1">
      <alignment horizontal="center" shrinkToFit="0" vertical="center" wrapText="0"/>
    </xf>
    <xf borderId="4" fillId="0" fontId="8" numFmtId="165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0"/>
    </xf>
    <xf borderId="7" fillId="3" fontId="10" numFmtId="0" xfId="0" applyAlignment="1" applyBorder="1" applyFill="1" applyFont="1">
      <alignment horizontal="center" shrinkToFit="0" vertical="center" wrapText="1"/>
    </xf>
    <xf borderId="20" fillId="0" fontId="6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7" fillId="6" fontId="18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97316"/>
          <bgColor rgb="FFF9731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8" width="13.0"/>
    <col customWidth="1" min="9" max="9" width="11.86"/>
    <col customWidth="1" min="10" max="10" width="27.0"/>
    <col customWidth="1" min="11" max="13" width="26.0"/>
  </cols>
  <sheetData>
    <row r="1">
      <c r="B1" s="1" t="s">
        <v>0</v>
      </c>
    </row>
    <row r="2">
      <c r="B2" s="3" t="s">
        <v>2</v>
      </c>
      <c r="C2" s="9" t="str">
        <f>C62</f>
        <v>CONDITIONAL</v>
      </c>
      <c r="D2" s="10"/>
    </row>
    <row r="3">
      <c r="B3" s="10"/>
    </row>
    <row r="4">
      <c r="B4" s="5" t="s">
        <v>6</v>
      </c>
      <c r="C4" s="6"/>
      <c r="D4" s="6"/>
      <c r="E4" s="6"/>
      <c r="F4" s="6"/>
      <c r="G4" s="6"/>
      <c r="H4" s="7"/>
      <c r="J4" s="5" t="s">
        <v>8</v>
      </c>
      <c r="K4" s="6"/>
      <c r="L4" s="6"/>
      <c r="M4" s="7"/>
    </row>
    <row r="5">
      <c r="B5" s="14" t="s">
        <v>10</v>
      </c>
      <c r="C5" s="14" t="s">
        <v>15</v>
      </c>
      <c r="D5" s="14" t="str">
        <f>IF($E$6="Weekly","Term (weeks)","Term (daily pmts)")</f>
        <v>Term (weeks)</v>
      </c>
      <c r="E5" s="14" t="s">
        <v>28</v>
      </c>
      <c r="F5" s="14" t="s">
        <v>30</v>
      </c>
      <c r="J5" s="14" t="s">
        <v>32</v>
      </c>
      <c r="K5" s="14" t="s">
        <v>36</v>
      </c>
      <c r="L5" s="14" t="s">
        <v>38</v>
      </c>
      <c r="M5" s="14" t="s">
        <v>40</v>
      </c>
    </row>
    <row r="6">
      <c r="B6" s="17">
        <v>40000.0</v>
      </c>
      <c r="C6" s="18">
        <v>1.45</v>
      </c>
      <c r="D6" s="19">
        <v>24.0</v>
      </c>
      <c r="E6" s="21" t="s">
        <v>59</v>
      </c>
      <c r="F6" s="23">
        <f>Controls!$B$15</f>
        <v>0.05</v>
      </c>
      <c r="J6" s="8" t="str">
        <f>IF($E$6="Weekly","Weekly remittance","Daily remittance")</f>
        <v>Weekly remittance</v>
      </c>
      <c r="K6" s="28">
        <f>IF(OR($E$6="",C8="",C24=0),"",IF($E$6="Weekly",D8,C8))</f>
        <v>2416.666667</v>
      </c>
      <c r="L6" s="28">
        <f>IF(OR(L7="",C24=0),"",L7*C24/IF($E$6="Weekly",$L$8,$L$9))</f>
        <v>2417.15625</v>
      </c>
      <c r="M6" s="35">
        <f t="shared" ref="M6:M9" si="1">IF(OR(K6="",L6=""),"",L6-K6)</f>
        <v>0.4895833333</v>
      </c>
    </row>
    <row r="7">
      <c r="B7" s="14" t="s">
        <v>35</v>
      </c>
      <c r="C7" s="14" t="s">
        <v>99</v>
      </c>
      <c r="D7" s="14" t="s">
        <v>100</v>
      </c>
      <c r="E7" s="14" t="s">
        <v>101</v>
      </c>
      <c r="F7" s="14" t="s">
        <v>102</v>
      </c>
      <c r="G7" s="14" t="s">
        <v>103</v>
      </c>
      <c r="J7" s="8" t="s">
        <v>50</v>
      </c>
      <c r="K7" s="36">
        <f>IF(OR(D8="",C24=0),"",E8/C24)</f>
        <v>0.1213516908</v>
      </c>
      <c r="L7" s="36">
        <f>IF(OR($E$6="",C8="",C24=0),"",ROUND(IF($E$6="Weekly",D8*$L$8,C8*$L$9)/C24*100,2)/100)</f>
        <v>0.1121</v>
      </c>
      <c r="M7" s="16">
        <f t="shared" si="1"/>
        <v>-0.009251690821</v>
      </c>
    </row>
    <row r="8">
      <c r="B8" s="37">
        <f>IF(OR(B6="",C6=""),"",B6*C6)</f>
        <v>58000</v>
      </c>
      <c r="C8" s="38">
        <f>IF(OR(B8="",D6="",D6=0),"",IF(E6="Weekly",(B8/D6)/5,B8/D6))</f>
        <v>483.3333333</v>
      </c>
      <c r="D8" s="38">
        <f>IF(C8="","",C8*5)</f>
        <v>2416.666667</v>
      </c>
      <c r="E8" s="37">
        <f>IF(C8="","",C8*$K$9)</f>
        <v>10466.58333</v>
      </c>
      <c r="F8" s="39">
        <f>IF(OR(D6="",D6=0),"",IF(E6="Weekly",D6,D6/5)/($K$9/5))</f>
        <v>5.541445394</v>
      </c>
      <c r="G8" s="37">
        <f>IF(B6="","",B6-(B6*F6))</f>
        <v>38000</v>
      </c>
      <c r="J8" s="8" t="s">
        <v>106</v>
      </c>
      <c r="K8" s="40">
        <f>Controls!$B$28</f>
        <v>4.331</v>
      </c>
      <c r="L8" s="40">
        <f>Controls!$B$30</f>
        <v>4</v>
      </c>
      <c r="M8" s="41">
        <f t="shared" si="1"/>
        <v>-0.331</v>
      </c>
    </row>
    <row r="9">
      <c r="J9" s="8" t="s">
        <v>108</v>
      </c>
      <c r="K9" s="40">
        <f>Controls!$B$29</f>
        <v>21.655</v>
      </c>
      <c r="L9" s="40">
        <f>Controls!$B$31</f>
        <v>21</v>
      </c>
      <c r="M9" s="41">
        <f t="shared" si="1"/>
        <v>-0.655</v>
      </c>
    </row>
    <row r="10">
      <c r="B10" s="42" t="s">
        <v>109</v>
      </c>
      <c r="C10" s="6"/>
      <c r="D10" s="6"/>
      <c r="E10" s="6"/>
      <c r="F10" s="6"/>
      <c r="G10" s="6"/>
      <c r="H10" s="7"/>
    </row>
    <row r="11">
      <c r="B11" s="14" t="s">
        <v>110</v>
      </c>
      <c r="C11" s="14" t="s">
        <v>111</v>
      </c>
      <c r="D11" s="14" t="s">
        <v>112</v>
      </c>
      <c r="E11" s="14" t="s">
        <v>113</v>
      </c>
      <c r="F11" s="14" t="s">
        <v>114</v>
      </c>
      <c r="G11" s="14" t="s">
        <v>115</v>
      </c>
      <c r="J11" s="42" t="s">
        <v>116</v>
      </c>
      <c r="K11" s="6"/>
      <c r="L11" s="6"/>
      <c r="M11" s="7"/>
    </row>
    <row r="12">
      <c r="B12" s="43" t="s">
        <v>117</v>
      </c>
      <c r="C12" s="44">
        <v>88000.0</v>
      </c>
      <c r="D12" s="44">
        <v>7400.0</v>
      </c>
      <c r="E12" s="45">
        <v>0.0</v>
      </c>
      <c r="F12" s="45">
        <v>0.0</v>
      </c>
      <c r="G12" s="32">
        <f t="shared" ref="G12:G22" si="2">IF(OR(C12="",C13=""),"",(C12-C13)/C13)</f>
        <v>0.04761904762</v>
      </c>
      <c r="J12" s="46" t="s">
        <v>14</v>
      </c>
      <c r="K12" s="47" t="s">
        <v>96</v>
      </c>
      <c r="L12" s="48" t="str">
        <f>IF(K12="","",COUNTIF('Historical Data'!$K$2:$K$9,K12)&amp;" deals in book")</f>
        <v>4 deals in book</v>
      </c>
      <c r="M12" s="49"/>
    </row>
    <row r="13">
      <c r="B13" s="43" t="s">
        <v>120</v>
      </c>
      <c r="C13" s="44">
        <v>84000.0</v>
      </c>
      <c r="D13" s="44">
        <v>6900.0</v>
      </c>
      <c r="E13" s="45">
        <v>0.0</v>
      </c>
      <c r="F13" s="45">
        <v>1.0</v>
      </c>
      <c r="G13" s="32">
        <f t="shared" si="2"/>
        <v>-0.07692307692</v>
      </c>
      <c r="J13" s="50" t="s">
        <v>11</v>
      </c>
      <c r="K13" s="51" t="s">
        <v>121</v>
      </c>
      <c r="L13" s="52" t="str">
        <f>IF(K13="","",COUNTIF('Historical Data'!$Y$2:$Y$9,K13)&amp;" deals in book")</f>
        <v>1 deals in book</v>
      </c>
      <c r="M13" s="53"/>
    </row>
    <row r="14">
      <c r="B14" s="43" t="s">
        <v>122</v>
      </c>
      <c r="C14" s="44">
        <v>91000.0</v>
      </c>
      <c r="D14" s="44">
        <v>8100.0</v>
      </c>
      <c r="E14" s="45">
        <v>0.0</v>
      </c>
      <c r="F14" s="45">
        <v>0.0</v>
      </c>
      <c r="G14" s="32">
        <f t="shared" si="2"/>
        <v>0.1097560976</v>
      </c>
      <c r="J14" s="54" t="s">
        <v>4</v>
      </c>
      <c r="K14" s="51" t="s">
        <v>97</v>
      </c>
      <c r="L14" s="52"/>
      <c r="M14" s="53"/>
    </row>
    <row r="15">
      <c r="B15" s="43" t="s">
        <v>132</v>
      </c>
      <c r="C15" s="44">
        <v>82000.0</v>
      </c>
      <c r="D15" s="44">
        <v>6500.0</v>
      </c>
      <c r="E15" s="45">
        <v>1.0</v>
      </c>
      <c r="F15" s="45">
        <v>0.0</v>
      </c>
      <c r="G15" s="32" t="str">
        <f t="shared" si="2"/>
        <v/>
      </c>
      <c r="J15" s="55" t="s">
        <v>135</v>
      </c>
      <c r="K15" s="56">
        <v>672.0</v>
      </c>
      <c r="L15" s="52"/>
      <c r="M15" s="53"/>
    </row>
    <row r="16">
      <c r="B16" s="43"/>
      <c r="C16" s="44"/>
      <c r="D16" s="44"/>
      <c r="E16" s="45"/>
      <c r="F16" s="45"/>
      <c r="G16" s="32" t="str">
        <f t="shared" si="2"/>
        <v/>
      </c>
      <c r="J16" s="57"/>
      <c r="K16" s="58"/>
      <c r="L16" s="59"/>
      <c r="M16" s="22"/>
    </row>
    <row r="17">
      <c r="B17" s="43"/>
      <c r="C17" s="44"/>
      <c r="D17" s="44"/>
      <c r="E17" s="45"/>
      <c r="F17" s="45"/>
      <c r="G17" s="32" t="str">
        <f t="shared" si="2"/>
        <v/>
      </c>
      <c r="J17" s="60"/>
      <c r="K17" s="61"/>
      <c r="L17" s="22"/>
      <c r="M17" s="22"/>
    </row>
    <row r="18">
      <c r="B18" s="43"/>
      <c r="C18" s="44"/>
      <c r="D18" s="44"/>
      <c r="E18" s="45"/>
      <c r="F18" s="45"/>
      <c r="G18" s="32" t="str">
        <f t="shared" si="2"/>
        <v/>
      </c>
      <c r="J18" s="62"/>
    </row>
    <row r="19">
      <c r="B19" s="43"/>
      <c r="C19" s="44"/>
      <c r="D19" s="44"/>
      <c r="E19" s="45"/>
      <c r="F19" s="45"/>
      <c r="G19" s="32" t="str">
        <f t="shared" si="2"/>
        <v/>
      </c>
    </row>
    <row r="20">
      <c r="B20" s="43"/>
      <c r="C20" s="44"/>
      <c r="D20" s="44"/>
      <c r="E20" s="45"/>
      <c r="F20" s="45"/>
      <c r="G20" s="32" t="str">
        <f t="shared" si="2"/>
        <v/>
      </c>
    </row>
    <row r="21" ht="15.75" customHeight="1">
      <c r="B21" s="43"/>
      <c r="C21" s="44"/>
      <c r="D21" s="44"/>
      <c r="E21" s="45"/>
      <c r="F21" s="45"/>
      <c r="G21" s="32" t="str">
        <f t="shared" si="2"/>
        <v/>
      </c>
    </row>
    <row r="22" ht="15.75" customHeight="1">
      <c r="B22" s="43"/>
      <c r="C22" s="44"/>
      <c r="D22" s="44"/>
      <c r="E22" s="45"/>
      <c r="F22" s="45"/>
      <c r="G22" s="32" t="str">
        <f t="shared" si="2"/>
        <v/>
      </c>
    </row>
    <row r="23" ht="15.75" customHeight="1">
      <c r="B23" s="43"/>
      <c r="C23" s="44"/>
      <c r="D23" s="44"/>
      <c r="E23" s="45"/>
      <c r="F23" s="45"/>
      <c r="G23" s="63"/>
    </row>
    <row r="24" ht="15.75" customHeight="1">
      <c r="B24" s="64" t="s">
        <v>136</v>
      </c>
      <c r="C24" s="66">
        <f t="shared" ref="C24:D24" si="3">IF(COUNT(C12:C23)=0,0,AVERAGE(C12:C23))</f>
        <v>86250</v>
      </c>
      <c r="D24" s="66">
        <f t="shared" si="3"/>
        <v>7225</v>
      </c>
      <c r="E24" s="67">
        <f t="shared" ref="E24:F24" si="4">SUM(E12:E23)</f>
        <v>1</v>
      </c>
      <c r="F24" s="67">
        <f t="shared" si="4"/>
        <v>1</v>
      </c>
      <c r="G24" s="68">
        <f>IFERROR(AVERAGE(G12:G22),"")</f>
        <v>0.02681735609</v>
      </c>
    </row>
    <row r="25" ht="15.75" customHeight="1"/>
    <row r="26" ht="15.75" customHeight="1">
      <c r="B26" s="42" t="s">
        <v>139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14" t="s">
        <v>140</v>
      </c>
      <c r="C27" s="14" t="s">
        <v>141</v>
      </c>
      <c r="D27" s="14" t="s">
        <v>142</v>
      </c>
      <c r="E27" s="14" t="s">
        <v>28</v>
      </c>
      <c r="F27" s="14" t="s">
        <v>143</v>
      </c>
      <c r="G27" s="14" t="s">
        <v>144</v>
      </c>
      <c r="H27" s="14" t="s">
        <v>145</v>
      </c>
      <c r="I27" s="14" t="s">
        <v>146</v>
      </c>
      <c r="J27" s="14" t="s">
        <v>147</v>
      </c>
    </row>
    <row r="28" ht="15.75" customHeight="1">
      <c r="B28" s="69"/>
      <c r="C28" s="70">
        <v>100000.0</v>
      </c>
      <c r="D28" s="70">
        <v>3000.0</v>
      </c>
      <c r="E28" s="71" t="s">
        <v>59</v>
      </c>
      <c r="F28" s="28">
        <f>IF(D28&lt;&gt;"",IF(E28="Daily",D28,IF(E28="Weekly",D28/5,D28/$K$9)),IF(C28="","",C28*Controls!$B$33/(Controls!$B$23*$K$9)))</f>
        <v>600</v>
      </c>
      <c r="G28" s="72">
        <v>46127.0</v>
      </c>
      <c r="H28" s="73">
        <f>IF(OR(C28="",D28=""),"",ROUND(C28*Controls!$B$33/D28,0))</f>
        <v>48</v>
      </c>
      <c r="I28" s="73">
        <f t="shared" ref="I28:I33" si="5">IF(H28="","",H28/IF(E28="Daily",$K$9,IF(E28="Weekly",$K$9/5,1)))</f>
        <v>11.08289079</v>
      </c>
      <c r="J28" s="73">
        <f>IF(OR(I28="",G28=""),"",MAX(0,I28-(TODAY()-G28)/Controls!$B$32))</f>
        <v>6.286176208</v>
      </c>
    </row>
    <row r="29" ht="15.75" customHeight="1">
      <c r="B29" s="69"/>
      <c r="C29" s="44"/>
      <c r="D29" s="44"/>
      <c r="E29" s="43" t="s">
        <v>59</v>
      </c>
      <c r="F29" s="28" t="str">
        <f>IF(D29&lt;&gt;"",IF(E29="Daily",D29,IF(E29="Weekly",D29/5,D29/$K$9)),IF(C29="","",C29*Controls!$B$33/(Controls!$B$23*$K$9)))</f>
        <v/>
      </c>
      <c r="G29" s="74"/>
      <c r="H29" s="74" t="str">
        <f>IF(OR(C29="",D29=""),"",ROUND(C29*Controls!$B$33/D29,0))</f>
        <v/>
      </c>
      <c r="I29" s="63" t="str">
        <f t="shared" si="5"/>
        <v/>
      </c>
      <c r="J29" s="74" t="str">
        <f>IF(OR(I29="",G29=""),"",MAX(0,I29-(TODAY()-G29)/Controls!$B$32))</f>
        <v/>
      </c>
    </row>
    <row r="30" ht="15.75" customHeight="1">
      <c r="B30" s="69"/>
      <c r="C30" s="44"/>
      <c r="D30" s="44"/>
      <c r="E30" s="43" t="s">
        <v>59</v>
      </c>
      <c r="F30" s="28" t="str">
        <f>IF(D30&lt;&gt;"",IF(E30="Daily",D30,IF(E30="Weekly",D30/5,D30/$K$9)),IF(C30="","",C30*Controls!$B$33/(Controls!$B$23*$K$9)))</f>
        <v/>
      </c>
      <c r="G30" s="74"/>
      <c r="H30" s="74" t="str">
        <f>IF(OR(C30="",D30=""),"",ROUND(C30*Controls!$B$33/D30,0))</f>
        <v/>
      </c>
      <c r="I30" s="63" t="str">
        <f t="shared" si="5"/>
        <v/>
      </c>
      <c r="J30" s="74" t="str">
        <f>IF(OR(I30="",G30=""),"",MAX(0,I30-(TODAY()-G30)/Controls!$B$32))</f>
        <v/>
      </c>
    </row>
    <row r="31" ht="15.75" customHeight="1">
      <c r="B31" s="69"/>
      <c r="C31" s="44"/>
      <c r="D31" s="44"/>
      <c r="E31" s="43" t="s">
        <v>59</v>
      </c>
      <c r="F31" s="28" t="str">
        <f>IF(D31&lt;&gt;"",IF(E31="Daily",D31,IF(E31="Weekly",D31/5,D31/$K$9)),IF(C31="","",C31*Controls!$B$33/(Controls!$B$23*$K$9)))</f>
        <v/>
      </c>
      <c r="G31" s="74"/>
      <c r="H31" s="74" t="str">
        <f>IF(OR(C31="",D31=""),"",ROUND(C31*Controls!$B$33/D31,0))</f>
        <v/>
      </c>
      <c r="I31" s="63" t="str">
        <f t="shared" si="5"/>
        <v/>
      </c>
      <c r="J31" s="74" t="str">
        <f>IF(OR(I31="",G31=""),"",MAX(0,I31-(TODAY()-G31)/Controls!$B$32))</f>
        <v/>
      </c>
    </row>
    <row r="32" ht="15.75" customHeight="1">
      <c r="B32" s="69"/>
      <c r="C32" s="44"/>
      <c r="D32" s="44"/>
      <c r="E32" s="43" t="s">
        <v>59</v>
      </c>
      <c r="F32" s="28" t="str">
        <f>IF(D32&lt;&gt;"",IF(E32="Daily",D32,IF(E32="Weekly",D32/5,D32/$K$9)),IF(C32="","",C32*Controls!$B$33/(Controls!$B$23*$K$9)))</f>
        <v/>
      </c>
      <c r="G32" s="74"/>
      <c r="H32" s="74" t="str">
        <f>IF(OR(C32="",D32=""),"",ROUND(C32*Controls!$B$33/D32,0))</f>
        <v/>
      </c>
      <c r="I32" s="63" t="str">
        <f t="shared" si="5"/>
        <v/>
      </c>
      <c r="J32" s="74" t="str">
        <f>IF(OR(I32="",G32=""),"",MAX(0,I32-(TODAY()-G32)/Controls!$B$32))</f>
        <v/>
      </c>
    </row>
    <row r="33" ht="15.75" customHeight="1">
      <c r="B33" s="69"/>
      <c r="C33" s="44"/>
      <c r="D33" s="44"/>
      <c r="E33" s="43" t="s">
        <v>59</v>
      </c>
      <c r="F33" s="28" t="str">
        <f>IF(D33&lt;&gt;"",IF(E33="Daily",D33,IF(E33="Weekly",D33/5,D33/$K$9)),IF(C33="","",C33*Controls!$B$33/(Controls!$B$23*$K$9)))</f>
        <v/>
      </c>
      <c r="G33" s="74"/>
      <c r="H33" s="74" t="str">
        <f>IF(OR(C33="",D33=""),"",ROUND(C33*Controls!$B$33/D33,0))</f>
        <v/>
      </c>
      <c r="I33" s="63" t="str">
        <f t="shared" si="5"/>
        <v/>
      </c>
      <c r="J33" s="74" t="str">
        <f>IF(OR(I33="",G33=""),"",MAX(0,I33-(TODAY()-G33)/Controls!$B$32))</f>
        <v/>
      </c>
    </row>
    <row r="34" ht="15.75" customHeight="1">
      <c r="B34" s="81" t="s">
        <v>180</v>
      </c>
      <c r="C34" s="67">
        <f>SUMPRODUCT(((C28:C33&lt;&gt;"")+(D28:D33&lt;&gt;"")&gt;0)*(E28:E33&lt;&gt;"Monthly"))</f>
        <v>1</v>
      </c>
      <c r="D34" s="81" t="s">
        <v>181</v>
      </c>
      <c r="E34" s="82">
        <f>SUM(F28:F33)</f>
        <v>600</v>
      </c>
      <c r="F34" s="66">
        <f>E34*$K$9</f>
        <v>12993</v>
      </c>
      <c r="G34" s="10" t="s">
        <v>182</v>
      </c>
    </row>
    <row r="35" ht="15.75" customHeight="1">
      <c r="E35" s="83"/>
    </row>
    <row r="36" ht="15.75" customHeight="1">
      <c r="B36" s="5" t="s">
        <v>183</v>
      </c>
      <c r="C36" s="6"/>
      <c r="D36" s="6"/>
      <c r="E36" s="6"/>
      <c r="F36" s="6"/>
      <c r="G36" s="6"/>
      <c r="H36" s="7"/>
    </row>
    <row r="37" ht="15.75" customHeight="1">
      <c r="B37" s="14" t="s">
        <v>32</v>
      </c>
      <c r="C37" s="14" t="s">
        <v>184</v>
      </c>
      <c r="D37" s="14" t="s">
        <v>185</v>
      </c>
      <c r="E37" s="14" t="s">
        <v>186</v>
      </c>
      <c r="F37" s="14" t="s">
        <v>13</v>
      </c>
      <c r="G37" s="14" t="s">
        <v>187</v>
      </c>
      <c r="H37" s="14" t="s">
        <v>188</v>
      </c>
    </row>
    <row r="38" ht="15.75" customHeight="1">
      <c r="B38" s="8" t="s">
        <v>189</v>
      </c>
      <c r="C38" s="84">
        <f>IF(C24=0,"",(E34+IF(C8="",0,C8))*$K$9/C24)</f>
        <v>0.2719951691</v>
      </c>
      <c r="D38" s="85">
        <f>Controls!$B$5</f>
        <v>0.3</v>
      </c>
      <c r="E38" s="85">
        <f>Controls!$C$5</f>
        <v>0.45</v>
      </c>
      <c r="F38" s="15" t="str">
        <f t="shared" ref="F38:F42" si="6">IF(C38="","",IF(C38&gt;=G38,"KNOCKOUT",IF(C38&lt;=D38,"GREEN",IF(C38&gt;=E38,"RED","YELLOW"))))</f>
        <v>GREEN</v>
      </c>
      <c r="G38" s="85">
        <f>Controls!$D$5</f>
        <v>0.55</v>
      </c>
      <c r="H38" s="86">
        <f>D38+'Historical Score'!$C$36*(E38-D38)</f>
        <v>0.3</v>
      </c>
    </row>
    <row r="39" ht="15.75" customHeight="1">
      <c r="B39" s="8" t="s">
        <v>190</v>
      </c>
      <c r="C39" s="84">
        <f>IF(OR(C24=0,E8=""),"",E8/C24)</f>
        <v>0.1213516908</v>
      </c>
      <c r="D39" s="85">
        <f>Controls!$B$6</f>
        <v>0.18</v>
      </c>
      <c r="E39" s="85">
        <f>Controls!$C$6</f>
        <v>0.25</v>
      </c>
      <c r="F39" s="15" t="str">
        <f t="shared" si="6"/>
        <v>GREEN</v>
      </c>
      <c r="G39" s="85">
        <f>Controls!$D$6</f>
        <v>0.35</v>
      </c>
      <c r="H39" s="86">
        <f>D39+'Historical Score'!$C$36*(E39-D39)</f>
        <v>0.18</v>
      </c>
    </row>
    <row r="40" ht="15.75" customHeight="1">
      <c r="B40" s="8" t="s">
        <v>195</v>
      </c>
      <c r="C40" s="84">
        <f>IF(D24=0,"",(E34+IF(C8="",0,C8))/D24)</f>
        <v>0.1499423299</v>
      </c>
      <c r="D40" s="85">
        <f>Controls!$B$7</f>
        <v>0.18</v>
      </c>
      <c r="E40" s="85">
        <f>Controls!$C$7</f>
        <v>0.3</v>
      </c>
      <c r="F40" s="15" t="str">
        <f t="shared" si="6"/>
        <v>GREEN</v>
      </c>
      <c r="G40" s="85">
        <f>Controls!$D$7</f>
        <v>0.35</v>
      </c>
      <c r="H40" s="86">
        <f>D40+'Historical Score'!$C$36*(E40-D40)</f>
        <v>0.18</v>
      </c>
    </row>
    <row r="41" ht="15.75" customHeight="1">
      <c r="B41" s="8" t="s">
        <v>201</v>
      </c>
      <c r="C41" s="90">
        <f>IF(OR(C24=0,B6=""),"",B6/C24)</f>
        <v>0.4637681159</v>
      </c>
      <c r="D41" s="92">
        <f>Controls!$B$8</f>
        <v>0.6</v>
      </c>
      <c r="E41" s="92">
        <f>Controls!$C$8</f>
        <v>0.9</v>
      </c>
      <c r="F41" s="15" t="str">
        <f t="shared" si="6"/>
        <v>GREEN</v>
      </c>
      <c r="G41" s="92">
        <f>Controls!$D$8</f>
        <v>1.25</v>
      </c>
      <c r="H41" s="95">
        <f>D41+'Historical Score'!$C$36*(E41-D41)</f>
        <v>0.6</v>
      </c>
    </row>
    <row r="42" ht="15.75" customHeight="1">
      <c r="B42" s="8" t="s">
        <v>222</v>
      </c>
      <c r="C42" s="11">
        <f>IF(C24=0,"",C34+1)</f>
        <v>2</v>
      </c>
      <c r="D42" s="98">
        <f>Controls!$B$9</f>
        <v>2</v>
      </c>
      <c r="E42" s="98">
        <f>Controls!$C$9</f>
        <v>5</v>
      </c>
      <c r="F42" s="15" t="str">
        <f t="shared" si="6"/>
        <v>GREEN</v>
      </c>
      <c r="G42" s="98">
        <f>Controls!$D$9</f>
        <v>6</v>
      </c>
    </row>
    <row r="43" ht="15.75" customHeight="1">
      <c r="B43" s="8" t="s">
        <v>231</v>
      </c>
      <c r="C43" s="16">
        <f>G24</f>
        <v>0.02681735609</v>
      </c>
      <c r="D43" s="85">
        <f>Controls!$B$10</f>
        <v>-0.05</v>
      </c>
      <c r="E43" s="85">
        <f>Controls!$C$10</f>
        <v>-0.15</v>
      </c>
      <c r="F43" s="15" t="str">
        <f>IF(C24=0,"",IF(NOT(ISNUMBER(C43)),"YELLOW",IF(C43&lt;=G43,"KNOCKOUT",IF(C43&gt;=D43,"GREEN",IF(C43&lt;=E43,"RED","YELLOW")))))</f>
        <v>GREEN</v>
      </c>
      <c r="G43" s="85">
        <f>Controls!$D$10</f>
        <v>-0.3</v>
      </c>
    </row>
    <row r="44" ht="15.75" customHeight="1">
      <c r="B44" s="8" t="s">
        <v>234</v>
      </c>
      <c r="C44" s="11">
        <f>E24+F24</f>
        <v>2</v>
      </c>
      <c r="D44" s="98">
        <f>Controls!$B$11</f>
        <v>1</v>
      </c>
      <c r="E44" s="98">
        <f>Controls!$C$11</f>
        <v>6</v>
      </c>
      <c r="F44" s="15" t="str">
        <f>IF(C44="","",IF(C44&gt;=G44,"KNOCKOUT",IF(C44&lt;=D44,"GREEN",IF(C44&gt;=E44,"RED","YELLOW"))))</f>
        <v>YELLOW</v>
      </c>
      <c r="G44" s="98">
        <f>Controls!$D$11</f>
        <v>10</v>
      </c>
    </row>
    <row r="45" ht="15.75" customHeight="1">
      <c r="B45" s="8" t="s">
        <v>238</v>
      </c>
      <c r="C45" s="11">
        <f>IF(K15="","",K15)</f>
        <v>672</v>
      </c>
      <c r="D45" s="98">
        <f>Controls!$B$12</f>
        <v>650</v>
      </c>
      <c r="E45" s="98">
        <f>Controls!$C$12</f>
        <v>630</v>
      </c>
      <c r="F45" s="15" t="str">
        <f>IF(C45="","",IF(AND(G45&lt;&gt;0,C45&lt;=G45),"KNOCKOUT",IF(C45&gt;=D45,"GREEN",IF(C45&lt;E45,"RED","YELLOW"))))</f>
        <v>GREEN</v>
      </c>
      <c r="G45" s="98">
        <f>Controls!$D$12</f>
        <v>0</v>
      </c>
    </row>
    <row r="46" ht="15.75" customHeight="1">
      <c r="B46" s="8" t="s">
        <v>498</v>
      </c>
      <c r="C46" s="16">
        <f>IF(C24=0,"",F34/C24)</f>
        <v>0.1506434783</v>
      </c>
      <c r="D46" s="106" t="s">
        <v>516</v>
      </c>
      <c r="E46" s="106" t="s">
        <v>516</v>
      </c>
      <c r="F46" s="107" t="s">
        <v>523</v>
      </c>
    </row>
    <row r="47" ht="15.75" customHeight="1">
      <c r="B47" s="8" t="s">
        <v>527</v>
      </c>
      <c r="C47" s="16">
        <f>IF(C24=0,"",D24/C24)</f>
        <v>0.08376811594</v>
      </c>
      <c r="D47" s="106" t="s">
        <v>516</v>
      </c>
      <c r="E47" s="106" t="s">
        <v>516</v>
      </c>
      <c r="F47" s="107" t="s">
        <v>523</v>
      </c>
    </row>
    <row r="48" ht="15.75" customHeight="1"/>
    <row r="49" ht="15.75" customHeight="1">
      <c r="B49" s="108" t="s">
        <v>547</v>
      </c>
    </row>
    <row r="50" ht="15.75" customHeight="1">
      <c r="B50" s="14" t="s">
        <v>56</v>
      </c>
      <c r="C50" s="14" t="s">
        <v>61</v>
      </c>
      <c r="D50" s="14" t="s">
        <v>555</v>
      </c>
      <c r="E50" s="14" t="s">
        <v>556</v>
      </c>
      <c r="F50" s="14" t="s">
        <v>13</v>
      </c>
      <c r="G50" s="109" t="s">
        <v>560</v>
      </c>
      <c r="H50" s="14" t="s">
        <v>62</v>
      </c>
    </row>
    <row r="51" ht="15.75" customHeight="1">
      <c r="B51" s="8" t="str">
        <f>"Primary cohort: "&amp;'Historical Score'!$C$30</f>
        <v>Primary cohort: T6: new/renewal only</v>
      </c>
      <c r="C51" s="16">
        <f>IF('Historical Score'!$C$29=7,"",'Historical Score'!$C$32)</f>
        <v>0.5083333333</v>
      </c>
      <c r="D51" s="85">
        <f>'Historical Score'!$C$10*Controls!$B$49</f>
        <v>0.3485</v>
      </c>
      <c r="E51" s="85">
        <f>'Historical Score'!$C$10*Controls!$B$50</f>
        <v>0.4715</v>
      </c>
      <c r="F51" s="15" t="str">
        <f>IF('Historical Score'!$C$29=7,"NO EVIDENCE",IF('Historical Score'!$C$34&lt;=Controls!$B$49,"GREEN",IF('Historical Score'!$C$34&lt;=Controls!$B$50,"YELLOW","RED")))</f>
        <v>RED</v>
      </c>
      <c r="G51" s="110">
        <f>'Historical Score'!$C$31</f>
        <v>5</v>
      </c>
      <c r="H51" s="16">
        <f>IF('Historical Score'!$C$29=7,"",'Historical Score'!$C$33)</f>
        <v>-0.3833333333</v>
      </c>
    </row>
    <row r="52" ht="15.75" customHeight="1">
      <c r="B52" s="8" t="s">
        <v>14</v>
      </c>
      <c r="C52" s="16">
        <f>IF('Historical Score'!$F$25="","",'Historical Score'!$F$25)</f>
        <v>0.43</v>
      </c>
      <c r="D52" s="85">
        <f>'Historical Score'!$C$10*Controls!$B$49</f>
        <v>0.3485</v>
      </c>
      <c r="E52" s="85">
        <f>'Historical Score'!$C$10*Controls!$B$50</f>
        <v>0.4715</v>
      </c>
      <c r="F52" s="15" t="str">
        <f>IF('Historical Score'!$C$25=0,"NO DEALS",IF('Historical Score'!$F$25="","TOO FEW",IF('Historical Score'!$H$25&lt;=Controls!$B$49,"GREEN",IF('Historical Score'!$H$25&lt;=Controls!$B$50,"YELLOW","RED"))))</f>
        <v>YELLOW</v>
      </c>
      <c r="G52" s="45">
        <f>'Historical Score'!$C$25</f>
        <v>3</v>
      </c>
      <c r="H52" s="16">
        <f>IF('Historical Score'!$G$25="","",'Historical Score'!$G$25)</f>
        <v>-0.33</v>
      </c>
    </row>
    <row r="53" ht="15.75" customHeight="1">
      <c r="B53" s="8" t="s">
        <v>11</v>
      </c>
      <c r="C53" s="16" t="str">
        <f>IF('Historical Score'!$F$24="","",'Historical Score'!$F$24)</f>
        <v/>
      </c>
      <c r="D53" s="85">
        <f>'Historical Score'!$C$10*Controls!$B$49</f>
        <v>0.3485</v>
      </c>
      <c r="E53" s="85">
        <f>'Historical Score'!$C$10*Controls!$B$50</f>
        <v>0.4715</v>
      </c>
      <c r="F53" s="15" t="str">
        <f>IF('Historical Score'!$C$24=0,"NO DEALS",IF('Historical Score'!$F$24="","TOO FEW",IF('Historical Score'!$H$24&lt;=Controls!$B$49,"GREEN",IF('Historical Score'!$H$24&lt;=Controls!$B$50,"YELLOW","RED"))))</f>
        <v>TOO FEW</v>
      </c>
      <c r="G53" s="45">
        <f>'Historical Score'!$C$24</f>
        <v>1</v>
      </c>
      <c r="H53" s="16" t="str">
        <f>IF('Historical Score'!$G$24="","",'Historical Score'!$G$24)</f>
        <v/>
      </c>
    </row>
    <row r="54" ht="15.75" customHeight="1">
      <c r="B54" s="8" t="s">
        <v>561</v>
      </c>
      <c r="C54" s="16">
        <f>IF('Historical Score'!$F$23="","",'Historical Score'!$F$23)</f>
        <v>0.5083333333</v>
      </c>
      <c r="D54" s="85">
        <f>'Historical Score'!$C$10*Controls!$B$49</f>
        <v>0.3485</v>
      </c>
      <c r="E54" s="85">
        <f>'Historical Score'!$C$10*Controls!$B$50</f>
        <v>0.4715</v>
      </c>
      <c r="F54" s="15" t="str">
        <f>IF('Historical Score'!$C$23=0,"NO DEALS",IF('Historical Score'!$F$23="","TOO FEW",IF('Historical Score'!$H$23&lt;=Controls!$B$49,"GREEN",IF('Historical Score'!$H$23&lt;=Controls!$B$50,"YELLOW","RED"))))</f>
        <v>RED</v>
      </c>
      <c r="G54" s="45">
        <f>'Historical Score'!$C$23</f>
        <v>5</v>
      </c>
      <c r="H54" s="16">
        <f>IF('Historical Score'!$G$23="","",'Historical Score'!$G$23)</f>
        <v>-0.3833333333</v>
      </c>
    </row>
    <row r="55" ht="15.75" customHeight="1">
      <c r="B55" s="8" t="s">
        <v>18</v>
      </c>
      <c r="C55" s="16">
        <f>IF('Historical Score'!$F$22="","",'Historical Score'!$F$22)</f>
        <v>0.01666666667</v>
      </c>
      <c r="D55" s="85">
        <f>'Historical Score'!$C$10*Controls!$B$49</f>
        <v>0.3485</v>
      </c>
      <c r="E55" s="85">
        <f>'Historical Score'!$C$10*Controls!$B$50</f>
        <v>0.4715</v>
      </c>
      <c r="F55" s="15" t="str">
        <f>IF('Historical Score'!$C$22=0,"NO DEALS",IF('Historical Score'!$F$22="","TOO FEW",IF('Historical Score'!$H$22&lt;=Controls!$B$49,"GREEN",IF('Historical Score'!$H$22&lt;=Controls!$B$50,"YELLOW","RED"))))</f>
        <v>GREEN</v>
      </c>
      <c r="G55" s="45">
        <f>'Historical Score'!$C$22</f>
        <v>2</v>
      </c>
      <c r="H55" s="111">
        <f>IF('Historical Score'!$G$22="","",'Historical Score'!$G$22)</f>
        <v>0.3166666667</v>
      </c>
    </row>
    <row r="56" ht="15.75" customHeight="1">
      <c r="B56" s="8" t="s">
        <v>562</v>
      </c>
      <c r="C56" s="11">
        <f t="array" ref="C56">IF('Historical Score'!$C$29=7,0,INDEX('Historical Score'!$C$14:$C$20,'Historical Score'!$C$29))</f>
        <v>5</v>
      </c>
      <c r="D56" s="98">
        <f>Controls!$B$44</f>
        <v>5</v>
      </c>
      <c r="E56" s="98">
        <f>Controls!$B$40</f>
        <v>3</v>
      </c>
      <c r="F56" s="112" t="str">
        <f>IF(C56&gt;=D56,"GREEN",IF(C56&gt;=E56,"YELLOW","RED"))</f>
        <v>GREEN</v>
      </c>
      <c r="G56" s="45"/>
      <c r="H56" s="111"/>
    </row>
    <row r="57" ht="15.75" customHeight="1">
      <c r="B57" s="8"/>
      <c r="C57" s="84"/>
      <c r="D57" s="113"/>
      <c r="E57" s="113"/>
      <c r="F57" s="113"/>
      <c r="G57" s="45"/>
      <c r="H57" s="111"/>
    </row>
    <row r="58" ht="15.75" customHeight="1">
      <c r="B58" s="8"/>
      <c r="C58" s="84"/>
      <c r="D58" s="113"/>
      <c r="E58" s="113"/>
      <c r="F58" s="113"/>
      <c r="G58" s="45"/>
      <c r="H58" s="111"/>
    </row>
    <row r="59" ht="15.75" customHeight="1">
      <c r="B59" s="5" t="s">
        <v>563</v>
      </c>
      <c r="C59" s="6"/>
      <c r="D59" s="6"/>
      <c r="E59" s="6"/>
      <c r="F59" s="6"/>
      <c r="G59" s="6"/>
      <c r="H59" s="7"/>
    </row>
    <row r="60" ht="15.75" customHeight="1">
      <c r="B60" s="114" t="s">
        <v>564</v>
      </c>
      <c r="C60" s="115">
        <f>COUNTIF(F38:F45,"RED")+COUNTIF(F38:F45,"KNOCKOUT")</f>
        <v>0</v>
      </c>
      <c r="D60" s="114" t="s">
        <v>565</v>
      </c>
      <c r="E60" s="115">
        <f>COUNTIF(F38:F45,"KNOCKOUT")</f>
        <v>0</v>
      </c>
    </row>
    <row r="61" ht="15.75" customHeight="1">
      <c r="B61" s="116" t="s">
        <v>566</v>
      </c>
      <c r="C61" s="117">
        <f>Controls!$B$13</f>
        <v>2</v>
      </c>
      <c r="D61" s="118" t="s">
        <v>243</v>
      </c>
      <c r="E61" s="119">
        <f>Controls!$B$14</f>
        <v>10000</v>
      </c>
    </row>
    <row r="62" ht="15.75" customHeight="1">
      <c r="B62" s="114" t="s">
        <v>2</v>
      </c>
      <c r="C62" s="9" t="str">
        <f>IF(C24=0,"",IF(OR(E60&gt;0,IF(ISNUMBER(C73),C73,0)&lt;E61),"DECLINE",IF(OR(B6="",B6=0),"",IF(C60&gt;=C61,"DECLINE",IF(COUNTIF(F38:F45,"GREEN")=D65,"APPROVE","CONDITIONAL")))))</f>
        <v>CONDITIONAL</v>
      </c>
      <c r="D62" s="10"/>
    </row>
    <row r="63" ht="15.75" customHeight="1"/>
    <row r="64" ht="15.75" customHeight="1">
      <c r="B64" s="5" t="s">
        <v>567</v>
      </c>
      <c r="C64" s="6"/>
      <c r="D64" s="6"/>
      <c r="E64" s="6"/>
      <c r="F64" s="6"/>
      <c r="G64" s="6"/>
      <c r="H64" s="7"/>
    </row>
    <row r="65" ht="15.75" customHeight="1">
      <c r="B65" s="116" t="s">
        <v>568</v>
      </c>
      <c r="C65" s="120">
        <f>COUNTIF(F38:F45,"GREEN")+0.5*COUNTIF(F38:F45,"YELLOW")</f>
        <v>7.5</v>
      </c>
      <c r="D65" s="10"/>
    </row>
    <row r="66" ht="15.75" customHeight="1">
      <c r="B66" s="116" t="s">
        <v>569</v>
      </c>
      <c r="C66" s="15" t="str">
        <f>IF(C24=0,"",IF(D67&gt;=Controls!$B$25,"Strong",IF(D67&gt;=Controls!$C$25,"Solid",IF(D67&gt;=Controls!$D$25,"Moderate","Weak"))))</f>
        <v>Weak</v>
      </c>
    </row>
    <row r="67" ht="15.75" customHeight="1">
      <c r="B67" s="116" t="s">
        <v>570</v>
      </c>
      <c r="C67" s="28">
        <f>IF(C24=0,"",H39*C24/$K$9)</f>
        <v>716.9244978</v>
      </c>
      <c r="D67" s="121"/>
    </row>
    <row r="68" ht="15.75" customHeight="1">
      <c r="B68" s="116" t="s">
        <v>571</v>
      </c>
      <c r="C68" s="28">
        <f>IF(C24=0,"",(H38*C24-F34)/$K$9)</f>
        <v>594.874163</v>
      </c>
    </row>
    <row r="69" ht="15.75" customHeight="1">
      <c r="B69" s="122" t="s">
        <v>572</v>
      </c>
      <c r="C69" s="123">
        <f>IF(OR(C24=0,D24=0),"",H40*D24-E34)</f>
        <v>700.5</v>
      </c>
    </row>
    <row r="70" ht="15.75" customHeight="1">
      <c r="B70" s="124" t="s">
        <v>573</v>
      </c>
      <c r="C70" s="125">
        <f>IF(C24=0,"",MAX(0,MIN(C67:C69)))</f>
        <v>594.874163</v>
      </c>
      <c r="D70" s="10"/>
    </row>
    <row r="71" ht="15.75" customHeight="1">
      <c r="B71" s="126" t="s">
        <v>574</v>
      </c>
      <c r="C71" s="127">
        <f>IF(OR(C70="",C70=0),"",C70*5)</f>
        <v>2974.370815</v>
      </c>
      <c r="D71" s="25">
        <f>IF(OR(C70="",C70=0),"",C70*$K$9)</f>
        <v>12882</v>
      </c>
    </row>
    <row r="72" ht="15.75" customHeight="1">
      <c r="B72" s="116" t="s">
        <v>575</v>
      </c>
      <c r="C72" s="128">
        <f t="array" ref="C72">IF(OR(C70="",C70=0,C65=""),"",MAX(20,MIN(INDEX(Controls!$B$19:$B$22,MATCH(D67,Controls!$A$19:$A$22,1)),FLOOR(Controls!$B$23*$K$9,5),FLOOR(H41*C24*D72/C70,5))))</f>
        <v>100</v>
      </c>
      <c r="D72" s="129">
        <f t="array" ref="D72">IF(OR(C65="",C24=0),"",INDEX(Controls!$C$19:$C$22,MATCH(D67,Controls!$A$19:$A$22,1)))</f>
        <v>1.49</v>
      </c>
    </row>
    <row r="73" ht="15.75" customHeight="1">
      <c r="B73" s="114" t="s">
        <v>576</v>
      </c>
      <c r="C73" s="130">
        <f>IF(COUNTIF(F42:F45,"KNOCKOUT")&gt;0,"-",IF(OR(C70="",C70=0,C72="",D72=""),"",FLOOR(C70*C72/D72,500)))</f>
        <v>39500</v>
      </c>
      <c r="D73" s="131" t="str">
        <f>IF(C73="-","KNOCKOUT on the merchant - do not fund.",IF(C73="","","payback "&amp;TEXT(C73*D72,"$#,##0")&amp;" over "&amp;C72&amp;" daily pmts ("&amp;TEXT(C72/5,"0")&amp;" wks)"))</f>
        <v>payback $58,855 over 100 daily pmts (20 wks)</v>
      </c>
    </row>
    <row r="74" ht="15.75" customHeight="1">
      <c r="B74" s="10"/>
    </row>
    <row r="75" ht="15.75" customHeight="1">
      <c r="B75" s="5" t="s">
        <v>577</v>
      </c>
      <c r="C75" s="6"/>
      <c r="D75" s="6"/>
      <c r="E75" s="6"/>
      <c r="F75" s="6"/>
      <c r="G75" s="6"/>
      <c r="H75" s="7"/>
    </row>
    <row r="76" ht="15.75" customHeight="1">
      <c r="B76" s="13" t="s">
        <v>578</v>
      </c>
      <c r="C76" s="13" t="s">
        <v>184</v>
      </c>
      <c r="D76" s="132" t="s">
        <v>579</v>
      </c>
      <c r="E76" s="133"/>
      <c r="F76" s="133"/>
      <c r="G76" s="133"/>
      <c r="H76" s="49"/>
    </row>
    <row r="77" ht="30.0" customHeight="1">
      <c r="B77" s="15" t="s">
        <v>580</v>
      </c>
      <c r="C77" s="134" t="s">
        <v>581</v>
      </c>
      <c r="D77" s="135" t="s">
        <v>582</v>
      </c>
      <c r="E77" s="133"/>
      <c r="F77" s="133"/>
      <c r="G77" s="133"/>
      <c r="H77" s="49"/>
    </row>
    <row r="78" ht="30.0" customHeight="1">
      <c r="B78" s="15" t="s">
        <v>583</v>
      </c>
      <c r="C78" s="134" t="s">
        <v>584</v>
      </c>
      <c r="D78" s="135" t="s">
        <v>585</v>
      </c>
      <c r="E78" s="133"/>
      <c r="F78" s="133"/>
      <c r="G78" s="133"/>
      <c r="H78" s="49"/>
    </row>
    <row r="79" ht="30.0" customHeight="1">
      <c r="B79" s="15" t="s">
        <v>15</v>
      </c>
      <c r="C79" s="134" t="s">
        <v>586</v>
      </c>
      <c r="D79" s="135" t="s">
        <v>587</v>
      </c>
      <c r="E79" s="133"/>
      <c r="F79" s="133"/>
      <c r="G79" s="133"/>
      <c r="H79" s="49"/>
    </row>
    <row r="80" ht="30.0" customHeight="1">
      <c r="B80" s="15" t="s">
        <v>588</v>
      </c>
      <c r="C80" s="134" t="s">
        <v>589</v>
      </c>
      <c r="D80" s="135" t="s">
        <v>590</v>
      </c>
      <c r="E80" s="133"/>
      <c r="F80" s="133"/>
      <c r="G80" s="133"/>
      <c r="H80" s="49"/>
    </row>
    <row r="81" ht="30.0" customHeight="1">
      <c r="B81" s="15" t="s">
        <v>142</v>
      </c>
      <c r="C81" s="134" t="s">
        <v>591</v>
      </c>
      <c r="D81" s="135" t="s">
        <v>592</v>
      </c>
      <c r="E81" s="133"/>
      <c r="F81" s="133"/>
      <c r="G81" s="133"/>
      <c r="H81" s="49"/>
    </row>
    <row r="82" ht="30.0" customHeight="1">
      <c r="B82" s="15" t="s">
        <v>593</v>
      </c>
      <c r="C82" s="134" t="s">
        <v>594</v>
      </c>
      <c r="D82" s="135" t="s">
        <v>595</v>
      </c>
      <c r="E82" s="133"/>
      <c r="F82" s="133"/>
      <c r="G82" s="133"/>
      <c r="H82" s="49"/>
    </row>
    <row r="83" ht="30.0" customHeight="1">
      <c r="B83" s="15" t="s">
        <v>596</v>
      </c>
      <c r="C83" s="134" t="s">
        <v>594</v>
      </c>
      <c r="D83" s="135" t="s">
        <v>597</v>
      </c>
      <c r="E83" s="133"/>
      <c r="F83" s="133"/>
      <c r="G83" s="133"/>
      <c r="H83" s="49"/>
    </row>
    <row r="84" ht="30.0" customHeight="1">
      <c r="B84" s="15" t="s">
        <v>598</v>
      </c>
      <c r="C84" s="134" t="s">
        <v>599</v>
      </c>
      <c r="D84" s="135" t="s">
        <v>600</v>
      </c>
      <c r="E84" s="133"/>
      <c r="F84" s="133"/>
      <c r="G84" s="133"/>
      <c r="H84" s="49"/>
    </row>
    <row r="85" ht="30.0" customHeight="1">
      <c r="B85" s="15" t="s">
        <v>601</v>
      </c>
      <c r="C85" s="134" t="s">
        <v>602</v>
      </c>
      <c r="D85" s="135" t="s">
        <v>603</v>
      </c>
      <c r="E85" s="133"/>
      <c r="F85" s="133"/>
      <c r="G85" s="133"/>
      <c r="H85" s="49"/>
    </row>
    <row r="86" ht="15.75" customHeight="1">
      <c r="B86" s="4" t="s">
        <v>604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D2:H2"/>
    <mergeCell ref="B4:H4"/>
    <mergeCell ref="J4:M4"/>
    <mergeCell ref="B10:H10"/>
    <mergeCell ref="J11:M11"/>
    <mergeCell ref="L12:M12"/>
    <mergeCell ref="L13:M13"/>
    <mergeCell ref="B26:J26"/>
    <mergeCell ref="B36:H36"/>
    <mergeCell ref="B59:H59"/>
    <mergeCell ref="B64:H64"/>
    <mergeCell ref="L14:M14"/>
    <mergeCell ref="L15:M15"/>
    <mergeCell ref="D78:H78"/>
    <mergeCell ref="D79:H79"/>
    <mergeCell ref="D80:H80"/>
    <mergeCell ref="D81:H81"/>
    <mergeCell ref="D82:H82"/>
    <mergeCell ref="D83:H83"/>
    <mergeCell ref="D84:H84"/>
    <mergeCell ref="D85:H85"/>
    <mergeCell ref="D62:H62"/>
    <mergeCell ref="D70:H70"/>
    <mergeCell ref="D73:H73"/>
    <mergeCell ref="B74:H74"/>
    <mergeCell ref="B75:H75"/>
    <mergeCell ref="D76:H76"/>
    <mergeCell ref="D77:H77"/>
  </mergeCells>
  <conditionalFormatting sqref="F38:F45">
    <cfRule type="cellIs" dxfId="0" priority="1" operator="equal">
      <formula>"GREEN"</formula>
    </cfRule>
  </conditionalFormatting>
  <conditionalFormatting sqref="F38:F45">
    <cfRule type="cellIs" dxfId="2" priority="2" operator="equal">
      <formula>"YELLOW"</formula>
    </cfRule>
  </conditionalFormatting>
  <conditionalFormatting sqref="F38:F45">
    <cfRule type="cellIs" dxfId="3" priority="3" operator="equal">
      <formula>"RED"</formula>
    </cfRule>
  </conditionalFormatting>
  <conditionalFormatting sqref="F38:F45">
    <cfRule type="cellIs" dxfId="3" priority="4" operator="equal">
      <formula>"KNOCKOUT"</formula>
    </cfRule>
  </conditionalFormatting>
  <conditionalFormatting sqref="F51:F56">
    <cfRule type="cellIs" dxfId="0" priority="5" operator="equal">
      <formula>"GREEN"</formula>
    </cfRule>
  </conditionalFormatting>
  <conditionalFormatting sqref="F51:F56">
    <cfRule type="cellIs" dxfId="2" priority="6" operator="equal">
      <formula>"YELLOW"</formula>
    </cfRule>
  </conditionalFormatting>
  <conditionalFormatting sqref="F51:F56">
    <cfRule type="cellIs" dxfId="3" priority="7" operator="equal">
      <formula>"RED"</formula>
    </cfRule>
  </conditionalFormatting>
  <conditionalFormatting sqref="F51:F56">
    <cfRule type="cellIs" dxfId="3" priority="8" operator="equal">
      <formula>"KNOCKOUT"</formula>
    </cfRule>
  </conditionalFormatting>
  <conditionalFormatting sqref="C2">
    <cfRule type="cellIs" dxfId="0" priority="9" operator="equal">
      <formula>"APPROVE"</formula>
    </cfRule>
  </conditionalFormatting>
  <conditionalFormatting sqref="C2">
    <cfRule type="cellIs" dxfId="2" priority="10" operator="equal">
      <formula>"CONDITIONAL"</formula>
    </cfRule>
  </conditionalFormatting>
  <conditionalFormatting sqref="C2">
    <cfRule type="cellIs" dxfId="3" priority="11" operator="equal">
      <formula>"DECLINE"</formula>
    </cfRule>
  </conditionalFormatting>
  <conditionalFormatting sqref="C2">
    <cfRule type="cellIs" dxfId="4" priority="12" operator="equal">
      <formula>"MANUAL REVIEW"</formula>
    </cfRule>
  </conditionalFormatting>
  <conditionalFormatting sqref="C62">
    <cfRule type="cellIs" dxfId="0" priority="13" operator="equal">
      <formula>"APPROVE"</formula>
    </cfRule>
  </conditionalFormatting>
  <conditionalFormatting sqref="C62">
    <cfRule type="cellIs" dxfId="2" priority="14" operator="equal">
      <formula>"CONDITIONAL"</formula>
    </cfRule>
  </conditionalFormatting>
  <conditionalFormatting sqref="C62">
    <cfRule type="cellIs" dxfId="3" priority="15" operator="equal">
      <formula>"DECLINE"</formula>
    </cfRule>
  </conditionalFormatting>
  <conditionalFormatting sqref="C62">
    <cfRule type="cellIs" dxfId="4" priority="16" operator="equal">
      <formula>"MANUAL REVIEW"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K13">
      <formula1>Ref!$G$2:$G$67</formula1>
    </dataValidation>
    <dataValidation type="list" allowBlank="1" sqref="K12">
      <formula1>Ref!$E$2:$E$157</formula1>
    </dataValidation>
    <dataValidation type="list" allowBlank="1" sqref="E6">
      <formula1>"Daily,Weekly"</formula1>
    </dataValidation>
    <dataValidation type="list" allowBlank="1" sqref="K14">
      <formula1>"New Deal,Renewal"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38.0"/>
    <col customWidth="1" min="3" max="3" width="23.57"/>
    <col customWidth="1" min="4" max="4" width="16.0"/>
    <col customWidth="1" min="5" max="5" width="12.0"/>
    <col customWidth="1" min="6" max="7" width="16.0"/>
    <col customWidth="1" min="8" max="8" width="12.0"/>
    <col customWidth="1" min="9" max="9" width="60.0"/>
    <col customWidth="1" min="10" max="26" width="8.57"/>
  </cols>
  <sheetData>
    <row r="1">
      <c r="A1" s="2" t="s">
        <v>1</v>
      </c>
    </row>
    <row r="2">
      <c r="A2" s="4"/>
    </row>
    <row r="4">
      <c r="A4" s="5" t="s">
        <v>3</v>
      </c>
      <c r="B4" s="6"/>
      <c r="C4" s="7"/>
    </row>
    <row r="5">
      <c r="B5" s="8" t="s">
        <v>4</v>
      </c>
      <c r="C5" s="11" t="str">
        <f>IF(Deal!$K$14="","",Deal!$K$14)</f>
        <v>New Deal</v>
      </c>
    </row>
    <row r="6">
      <c r="B6" s="8" t="s">
        <v>7</v>
      </c>
      <c r="C6" s="11">
        <f>IF(Deal!$C$42="","",Deal!$C$42)</f>
        <v>2</v>
      </c>
    </row>
    <row r="7">
      <c r="B7" s="8" t="s">
        <v>11</v>
      </c>
      <c r="C7" s="11" t="str">
        <f>IF(Deal!$K$13="","",Deal!$K$13)</f>
        <v>Eating &amp; Drinking Places</v>
      </c>
    </row>
    <row r="8">
      <c r="B8" s="8" t="s">
        <v>14</v>
      </c>
      <c r="C8" s="15" t="str">
        <f>IF(Deal!$K$12="","",Deal!$K$12)</f>
        <v>Fundwell</v>
      </c>
    </row>
    <row r="10">
      <c r="B10" s="8" t="s">
        <v>26</v>
      </c>
      <c r="C10" s="16">
        <f>IF($F$20="",0,$F$20)</f>
        <v>0.41</v>
      </c>
    </row>
    <row r="11">
      <c r="B11" s="8" t="s">
        <v>45</v>
      </c>
      <c r="C11" s="16">
        <f>IF($G$20="",0,$G$20)</f>
        <v>-0.2433333333</v>
      </c>
    </row>
    <row r="13" ht="30.0" customHeight="1">
      <c r="A13" s="13" t="s">
        <v>55</v>
      </c>
      <c r="B13" s="13" t="s">
        <v>56</v>
      </c>
      <c r="C13" s="13" t="s">
        <v>57</v>
      </c>
      <c r="D13" s="13" t="s">
        <v>58</v>
      </c>
      <c r="E13" s="13" t="s">
        <v>60</v>
      </c>
      <c r="F13" s="13" t="s">
        <v>61</v>
      </c>
      <c r="G13" s="13" t="s">
        <v>62</v>
      </c>
      <c r="H13" s="13" t="s">
        <v>63</v>
      </c>
      <c r="I13" s="13"/>
    </row>
    <row r="14">
      <c r="A14" s="15">
        <v>1.0</v>
      </c>
      <c r="B14" s="8" t="s">
        <v>65</v>
      </c>
      <c r="C14" s="24">
        <f>SUMPRODUCT('Historical Data'!$AU$2:$AU$9*'Historical Data'!$AP$2:$AP$9)</f>
        <v>0</v>
      </c>
      <c r="D14" s="25">
        <f>SUMPRODUCT('Historical Data'!$AU$2:$AU$9*'Historical Data'!$AP$2:$AP$9*'Historical Data'!$N$2:$N$9)</f>
        <v>0</v>
      </c>
      <c r="E14" s="15" t="str">
        <f>IF(AND(C14&gt;=Controls!$B$40,D14&gt;=Controls!$B$41),"Yes","No")</f>
        <v>No</v>
      </c>
      <c r="F14" s="32" t="str">
        <f>IF(OR(C14&lt;Controls!$B$43,D14=0),"",SUMPRODUCT('Historical Data'!$AU$2:$AU$9*'Historical Data'!$AP$2:$AP$9*'Historical Data'!$AK$2:$AK$9)/D14)</f>
        <v/>
      </c>
      <c r="G14" s="32" t="str">
        <f>IF(OR(C14&lt;Controls!$B$43,D14=0),"",SUMPRODUCT('Historical Data'!$AU$2:$AU$9*'Historical Data'!$AP$2:$AP$9*'Historical Data'!$AJ$2:$AJ$9)/D14)</f>
        <v/>
      </c>
      <c r="H14" s="34" t="str">
        <f t="shared" ref="H14:H20" si="1">IF(OR(F14="",$C$10=0),"",F14/$C$10)</f>
        <v/>
      </c>
      <c r="I14" s="4"/>
    </row>
    <row r="15">
      <c r="A15" s="15">
        <v>2.0</v>
      </c>
      <c r="B15" s="8" t="s">
        <v>98</v>
      </c>
      <c r="C15" s="24">
        <f>SUMPRODUCT('Historical Data'!$AV$2:$AV$9*'Historical Data'!$AP$2:$AP$9)</f>
        <v>0</v>
      </c>
      <c r="D15" s="25">
        <f>SUMPRODUCT('Historical Data'!$AV$2:$AV$9*'Historical Data'!$AP$2:$AP$9*'Historical Data'!$N$2:$N$9)</f>
        <v>0</v>
      </c>
      <c r="E15" s="15" t="str">
        <f>IF(AND(C15&gt;=Controls!$B$40,D15&gt;=Controls!$B$41),"Yes","No")</f>
        <v>No</v>
      </c>
      <c r="F15" s="32" t="str">
        <f>IF(OR(C15&lt;Controls!$B$43,D15=0),"",SUMPRODUCT('Historical Data'!$AV$2:$AV$9*'Historical Data'!$AP$2:$AP$9*'Historical Data'!$AK$2:$AK$9)/D15)</f>
        <v/>
      </c>
      <c r="G15" s="32" t="str">
        <f>IF(OR(C15&lt;Controls!$B$43,D15=0),"",SUMPRODUCT('Historical Data'!$AV$2:$AV$9*'Historical Data'!$AP$2:$AP$9*'Historical Data'!$AJ$2:$AJ$9)/D15)</f>
        <v/>
      </c>
      <c r="H15" s="34" t="str">
        <f t="shared" si="1"/>
        <v/>
      </c>
    </row>
    <row r="16">
      <c r="A16" s="15">
        <v>3.0</v>
      </c>
      <c r="B16" s="8" t="s">
        <v>104</v>
      </c>
      <c r="C16" s="24">
        <f>SUMPRODUCT('Historical Data'!$AW$2:$AW$9*'Historical Data'!$AP$2:$AP$9)</f>
        <v>1</v>
      </c>
      <c r="D16" s="25">
        <f>SUMPRODUCT('Historical Data'!$AW$2:$AW$9*'Historical Data'!$AP$2:$AP$9*'Historical Data'!$N$2:$N$9)</f>
        <v>10000</v>
      </c>
      <c r="E16" s="15" t="str">
        <f>IF(AND(C16&gt;=Controls!$B$40,D16&gt;=Controls!$B$41),"Yes","No")</f>
        <v>No</v>
      </c>
      <c r="F16" s="32" t="str">
        <f>IF(OR(C16&lt;Controls!$B$43,D16=0),"",SUMPRODUCT('Historical Data'!$AW$2:$AW$9*'Historical Data'!$AP$2:$AP$9*'Historical Data'!$AK$2:$AK$9)/D16)</f>
        <v/>
      </c>
      <c r="G16" s="32" t="str">
        <f>IF(OR(C16&lt;Controls!$B$43,D16=0),"",SUMPRODUCT('Historical Data'!$AW$2:$AW$9*'Historical Data'!$AP$2:$AP$9*'Historical Data'!$AJ$2:$AJ$9)/D16)</f>
        <v/>
      </c>
      <c r="H16" s="34" t="str">
        <f t="shared" si="1"/>
        <v/>
      </c>
    </row>
    <row r="17">
      <c r="A17" s="15">
        <v>4.0</v>
      </c>
      <c r="B17" s="8" t="s">
        <v>105</v>
      </c>
      <c r="C17" s="24">
        <f>SUMPRODUCT('Historical Data'!$AX$2:$AX$9*'Historical Data'!$AP$2:$AP$9)</f>
        <v>2</v>
      </c>
      <c r="D17" s="25">
        <f>SUMPRODUCT('Historical Data'!$AX$2:$AX$9*'Historical Data'!$AP$2:$AP$9*'Historical Data'!$N$2:$N$9)</f>
        <v>40000</v>
      </c>
      <c r="E17" s="15" t="str">
        <f>IF(AND(C17&gt;=Controls!$B$40,D17&gt;=Controls!$B$41),"Yes","No")</f>
        <v>No</v>
      </c>
      <c r="F17" s="32">
        <f>IF(OR(C17&lt;Controls!$B$43,D17=0),"",SUMPRODUCT('Historical Data'!$AX$2:$AX$9*'Historical Data'!$AP$2:$AP$9*'Historical Data'!$AK$2:$AK$9)/D17)</f>
        <v>0.525</v>
      </c>
      <c r="G17" s="32">
        <f>IF(OR(C17&lt;Controls!$B$43,D17=0),"",SUMPRODUCT('Historical Data'!$AX$2:$AX$9*'Historical Data'!$AP$2:$AP$9*'Historical Data'!$AJ$2:$AJ$9)/D17)</f>
        <v>-0.4</v>
      </c>
      <c r="H17" s="34">
        <f t="shared" si="1"/>
        <v>1.280487805</v>
      </c>
    </row>
    <row r="18">
      <c r="A18" s="15">
        <v>5.0</v>
      </c>
      <c r="B18" s="8" t="s">
        <v>107</v>
      </c>
      <c r="C18" s="24">
        <f>SUMPRODUCT('Historical Data'!$AY$2:$AY$9*'Historical Data'!$AP$2:$AP$9)</f>
        <v>0</v>
      </c>
      <c r="D18" s="25">
        <f>SUMPRODUCT('Historical Data'!$AY$2:$AY$9*'Historical Data'!$AP$2:$AP$9*'Historical Data'!$N$2:$N$9)</f>
        <v>0</v>
      </c>
      <c r="E18" s="15" t="str">
        <f>IF(AND(C18&gt;=Controls!$B$40,D18&gt;=Controls!$B$41),"Yes","No")</f>
        <v>No</v>
      </c>
      <c r="F18" s="32" t="str">
        <f>IF(OR(C18&lt;Controls!$B$43,D18=0),"",SUMPRODUCT('Historical Data'!$AY$2:$AY$9*'Historical Data'!$AP$2:$AP$9*'Historical Data'!$AK$2:$AK$9)/D18)</f>
        <v/>
      </c>
      <c r="G18" s="32" t="str">
        <f>IF(OR(C18&lt;Controls!$B$43,D18=0),"",SUMPRODUCT('Historical Data'!$AY$2:$AY$9*'Historical Data'!$AP$2:$AP$9*'Historical Data'!$AJ$2:$AJ$9)/D18)</f>
        <v/>
      </c>
      <c r="H18" s="34" t="str">
        <f t="shared" si="1"/>
        <v/>
      </c>
    </row>
    <row r="19">
      <c r="A19" s="15">
        <v>6.0</v>
      </c>
      <c r="B19" s="8" t="s">
        <v>118</v>
      </c>
      <c r="C19" s="24">
        <f>SUMPRODUCT('Historical Data'!$AZ$2:$AZ$9*'Historical Data'!$AP$2:$AP$9)</f>
        <v>5</v>
      </c>
      <c r="D19" s="25">
        <f>SUMPRODUCT('Historical Data'!$AZ$2:$AZ$9*'Historical Data'!$AP$2:$AP$9*'Historical Data'!$N$2:$N$9)</f>
        <v>120000</v>
      </c>
      <c r="E19" s="15" t="str">
        <f>IF(AND(C19&gt;=Controls!$B$40,D19&gt;=Controls!$B$41),"Yes","No")</f>
        <v>Yes</v>
      </c>
      <c r="F19" s="32">
        <f>IF(OR(C19&lt;Controls!$B$43,D19=0),"",SUMPRODUCT('Historical Data'!$AZ$2:$AZ$9*'Historical Data'!$AP$2:$AP$9*'Historical Data'!$AK$2:$AK$9)/D19)</f>
        <v>0.5083333333</v>
      </c>
      <c r="G19" s="32">
        <f>IF(OR(C19&lt;Controls!$B$43,D19=0),"",SUMPRODUCT('Historical Data'!$AZ$2:$AZ$9*'Historical Data'!$AP$2:$AP$9*'Historical Data'!$AJ$2:$AJ$9)/D19)</f>
        <v>-0.3833333333</v>
      </c>
      <c r="H19" s="34">
        <f t="shared" si="1"/>
        <v>1.239837398</v>
      </c>
    </row>
    <row r="20">
      <c r="A20" s="15">
        <v>7.0</v>
      </c>
      <c r="B20" s="8" t="s">
        <v>119</v>
      </c>
      <c r="C20" s="24">
        <f>SUMPRODUCT('Historical Data'!$BA$2:$BA$9*'Historical Data'!$AP$2:$AP$9)</f>
        <v>7</v>
      </c>
      <c r="D20" s="25">
        <f>SUMPRODUCT('Historical Data'!$BA$2:$BA$9*'Historical Data'!$AP$2:$AP$9*'Historical Data'!$N$2:$N$9)</f>
        <v>150000</v>
      </c>
      <c r="E20" s="15" t="str">
        <f>IF(AND(C20&gt;=Controls!$B$40,D20&gt;=Controls!$B$41),"Yes","No")</f>
        <v>Yes</v>
      </c>
      <c r="F20" s="32">
        <f>IF(OR(C20&lt;Controls!$B$43,D20=0),"",SUMPRODUCT('Historical Data'!$BA$2:$BA$9*'Historical Data'!$AP$2:$AP$9*'Historical Data'!$AK$2:$AK$9)/D20)</f>
        <v>0.41</v>
      </c>
      <c r="G20" s="32">
        <f>IF(OR(C20&lt;Controls!$B$43,D20=0),"",SUMPRODUCT('Historical Data'!$BA$2:$BA$9*'Historical Data'!$AP$2:$AP$9*'Historical Data'!$AJ$2:$AJ$9)/D20)</f>
        <v>-0.2433333333</v>
      </c>
      <c r="H20" s="34">
        <f t="shared" si="1"/>
        <v>1</v>
      </c>
    </row>
    <row r="21" ht="15.75" customHeight="1">
      <c r="A21" s="13"/>
      <c r="B21" s="13" t="s">
        <v>123</v>
      </c>
      <c r="C21" s="13"/>
      <c r="D21" s="13"/>
      <c r="E21" s="13"/>
      <c r="F21" s="13"/>
      <c r="G21" s="13"/>
      <c r="H21" s="13"/>
      <c r="I21" s="14" t="s">
        <v>127</v>
      </c>
    </row>
    <row r="22" ht="15.75" customHeight="1">
      <c r="A22" s="15" t="s">
        <v>130</v>
      </c>
      <c r="B22" s="8" t="s">
        <v>133</v>
      </c>
      <c r="C22" s="24">
        <f>SUMPRODUCT('Historical Data'!$AQ$2:$AQ$9*'Historical Data'!$AP$2:$AP$9)</f>
        <v>2</v>
      </c>
      <c r="D22" s="25">
        <f>SUMPRODUCT('Historical Data'!$AQ$2:$AQ$9*'Historical Data'!$AP$2:$AP$9*'Historical Data'!$N$2:$N$9)</f>
        <v>30000</v>
      </c>
      <c r="E22" s="15" t="str">
        <f>IF(AND(C22&gt;=Controls!$B$40,D22&gt;=Controls!$B$41),"Yes","No")</f>
        <v>No</v>
      </c>
      <c r="F22" s="32">
        <f>IF(OR(C22&lt;Controls!$B$43,D22=0),"",SUMPRODUCT('Historical Data'!$AQ$2:$AQ$9*'Historical Data'!$AP$2:$AP$9*'Historical Data'!$AK$2:$AK$9)/D22)</f>
        <v>0.01666666667</v>
      </c>
      <c r="G22" s="32">
        <f>IF(OR(C22&lt;Controls!$B$43,D22=0),"",SUMPRODUCT('Historical Data'!$AQ$2:$AQ$9*'Historical Data'!$AP$2:$AP$9*'Historical Data'!$AJ$2:$AJ$9)/D22)</f>
        <v>0.3166666667</v>
      </c>
      <c r="H22" s="34">
        <f t="shared" ref="H22:H25" si="2">IF(OR(F22="",$C$10=0),"",F22/$C$10)</f>
        <v>0.0406504065</v>
      </c>
      <c r="I22" s="65">
        <f t="shared" ref="I22:I25" si="3">IF(F22="",0,ABS(F22-$C$10))</f>
        <v>0.3933333333</v>
      </c>
    </row>
    <row r="23" ht="15.75" customHeight="1">
      <c r="A23" s="15" t="s">
        <v>137</v>
      </c>
      <c r="B23" s="8" t="s">
        <v>138</v>
      </c>
      <c r="C23" s="24">
        <f>SUMPRODUCT('Historical Data'!$AR$2:$AR$9*'Historical Data'!$AP$2:$AP$9)</f>
        <v>5</v>
      </c>
      <c r="D23" s="25">
        <f>SUMPRODUCT('Historical Data'!$AR$2:$AR$9*'Historical Data'!$AP$2:$AP$9*'Historical Data'!$N$2:$N$9)</f>
        <v>120000</v>
      </c>
      <c r="E23" s="15" t="str">
        <f>IF(AND(C23&gt;=Controls!$B$40,D23&gt;=Controls!$B$41),"Yes","No")</f>
        <v>Yes</v>
      </c>
      <c r="F23" s="32">
        <f>IF(OR(C23&lt;Controls!$B$43,D23=0),"",SUMPRODUCT('Historical Data'!$AR$2:$AR$9*'Historical Data'!$AP$2:$AP$9*'Historical Data'!$AK$2:$AK$9)/D23)</f>
        <v>0.5083333333</v>
      </c>
      <c r="G23" s="32">
        <f>IF(OR(C23&lt;Controls!$B$43,D23=0),"",SUMPRODUCT('Historical Data'!$AR$2:$AR$9*'Historical Data'!$AP$2:$AP$9*'Historical Data'!$AJ$2:$AJ$9)/D23)</f>
        <v>-0.3833333333</v>
      </c>
      <c r="H23" s="34">
        <f t="shared" si="2"/>
        <v>1.239837398</v>
      </c>
      <c r="I23" s="65">
        <f t="shared" si="3"/>
        <v>0.09833333333</v>
      </c>
    </row>
    <row r="24" ht="15.75" customHeight="1">
      <c r="A24" s="15" t="s">
        <v>148</v>
      </c>
      <c r="B24" s="8" t="s">
        <v>149</v>
      </c>
      <c r="C24" s="24">
        <f>SUMPRODUCT('Historical Data'!$AS$2:$AS$9*'Historical Data'!$AP$2:$AP$9)</f>
        <v>1</v>
      </c>
      <c r="D24" s="25">
        <f>SUMPRODUCT('Historical Data'!$AS$2:$AS$9*'Historical Data'!$AP$2:$AP$9*'Historical Data'!$N$2:$N$9)</f>
        <v>10000</v>
      </c>
      <c r="E24" s="15" t="str">
        <f>IF(AND(C24&gt;=Controls!$B$40,D24&gt;=Controls!$B$41),"Yes","No")</f>
        <v>No</v>
      </c>
      <c r="F24" s="32" t="str">
        <f>IF(OR(C24&lt;Controls!$B$43,D24=0),"",SUMPRODUCT('Historical Data'!$AS$2:$AS$9*'Historical Data'!$AP$2:$AP$9*'Historical Data'!$AK$2:$AK$9)/D24)</f>
        <v/>
      </c>
      <c r="G24" s="32" t="str">
        <f>IF(OR(C24&lt;Controls!$B$43,D24=0),"",SUMPRODUCT('Historical Data'!$AS$2:$AS$9*'Historical Data'!$AP$2:$AP$9*'Historical Data'!$AJ$2:$AJ$9)/D24)</f>
        <v/>
      </c>
      <c r="H24" s="34" t="str">
        <f t="shared" si="2"/>
        <v/>
      </c>
      <c r="I24" s="65">
        <f t="shared" si="3"/>
        <v>0</v>
      </c>
    </row>
    <row r="25" ht="15.75" customHeight="1">
      <c r="A25" s="15" t="s">
        <v>156</v>
      </c>
      <c r="B25" s="8" t="s">
        <v>157</v>
      </c>
      <c r="C25" s="24">
        <f>SUMPRODUCT('Historical Data'!$AT$2:$AT$9*'Historical Data'!$AP$2:$AP$9)</f>
        <v>3</v>
      </c>
      <c r="D25" s="25">
        <f>SUMPRODUCT('Historical Data'!$AT$2:$AT$9*'Historical Data'!$AP$2:$AP$9*'Historical Data'!$N$2:$N$9)</f>
        <v>50000</v>
      </c>
      <c r="E25" s="15" t="str">
        <f>IF(AND(C25&gt;=Controls!$B$40,D25&gt;=Controls!$B$41),"Yes","No")</f>
        <v>Yes</v>
      </c>
      <c r="F25" s="32">
        <f>IF(OR(C25&lt;Controls!$B$43,D25=0),"",SUMPRODUCT('Historical Data'!$AT$2:$AT$9*'Historical Data'!$AP$2:$AP$9*'Historical Data'!$AK$2:$AK$9)/D25)</f>
        <v>0.43</v>
      </c>
      <c r="G25" s="32">
        <f>IF(OR(C25&lt;Controls!$B$43,D25=0),"",SUMPRODUCT('Historical Data'!$AT$2:$AT$9*'Historical Data'!$AP$2:$AP$9*'Historical Data'!$AJ$2:$AJ$9)/D25)</f>
        <v>-0.33</v>
      </c>
      <c r="H25" s="34">
        <f t="shared" si="2"/>
        <v>1.048780488</v>
      </c>
      <c r="I25" s="65">
        <f t="shared" si="3"/>
        <v>0.02</v>
      </c>
    </row>
    <row r="26" ht="15.75" customHeight="1"/>
    <row r="27" ht="15.75" customHeight="1"/>
    <row r="28" ht="15.75" customHeight="1">
      <c r="A28" s="5" t="s">
        <v>158</v>
      </c>
      <c r="B28" s="6"/>
      <c r="C28" s="7"/>
    </row>
    <row r="29" ht="15.75" customHeight="1">
      <c r="B29" s="8" t="s">
        <v>159</v>
      </c>
      <c r="C29" s="75">
        <f>IFERROR(MATCH("Yes",$E$14:$E$20,0),7)</f>
        <v>6</v>
      </c>
    </row>
    <row r="30" ht="15.75" customHeight="1">
      <c r="B30" s="8" t="s">
        <v>160</v>
      </c>
      <c r="C30" s="76" t="str">
        <f t="array" ref="C30">INDEX($B$14:$B$20,$C$29)</f>
        <v>T6: new/renewal only</v>
      </c>
    </row>
    <row r="31" ht="15.75" customHeight="1">
      <c r="B31" s="8" t="s">
        <v>161</v>
      </c>
      <c r="C31" s="75">
        <f t="array" ref="C31">INDEX($C$14:$C$20,$C$29)</f>
        <v>5</v>
      </c>
    </row>
    <row r="32" ht="15.75" customHeight="1">
      <c r="B32" s="8" t="s">
        <v>162</v>
      </c>
      <c r="C32" s="77">
        <f t="array" ref="C32">INDEX($F$14:$F$20,$C$29)</f>
        <v>0.5083333333</v>
      </c>
    </row>
    <row r="33" ht="15.75" customHeight="1">
      <c r="B33" s="8" t="s">
        <v>163</v>
      </c>
      <c r="C33" s="77">
        <f t="array" ref="C33">INDEX($G$14:$G$20,$C$29)</f>
        <v>-0.3833333333</v>
      </c>
    </row>
    <row r="34" ht="15.75" customHeight="1">
      <c r="B34" s="8" t="s">
        <v>164</v>
      </c>
      <c r="C34" s="78">
        <f t="array" ref="C34">INDEX($H$14:$H$20,$C$29)</f>
        <v>1.239837398</v>
      </c>
    </row>
    <row r="35" ht="15.75" customHeight="1">
      <c r="B35" s="8" t="s">
        <v>165</v>
      </c>
      <c r="C35" s="79" t="str">
        <f>IF(OR(C29=7,C34=""),"Neutral",IF(C34&lt;=Controls!$B$49,"Supportive",IF(C34&gt;Controls!$B$50,"Negative","Neutral")))</f>
        <v>Negative</v>
      </c>
    </row>
    <row r="36" ht="15.75" customHeight="1">
      <c r="B36" s="8" t="s">
        <v>172</v>
      </c>
      <c r="C36" s="80">
        <f>IF(C35="Supportive",Controls!$B$51,0)</f>
        <v>0</v>
      </c>
    </row>
    <row r="37" ht="15.75" customHeight="1">
      <c r="B37" s="8" t="s">
        <v>173</v>
      </c>
      <c r="C37" s="76" t="str">
        <f t="array" ref="C37">IF(MAX($I$22:$I$25)=0,"none rated",INDEX($B$22:$B$25,MATCH(MAX($I$22:$I$25),$I$22:$I$25,0))&amp;": "&amp;TEXT(INDEX($F$22:$F$25,MATCH(MAX($I$22:$I$25),$I$22:$I$25,0)),"0.0%")&amp;" PLR vs "&amp;TEXT($C$10,"0.0%")&amp;" book")</f>
        <v>Position only: 1.7% PLR vs 41.0% book</v>
      </c>
    </row>
    <row r="38" ht="15.75" customHeight="1"/>
    <row r="39" ht="15.75" customHeight="1">
      <c r="B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C4"/>
    <mergeCell ref="A28:C28"/>
  </mergeCells>
  <conditionalFormatting sqref="E14:E25">
    <cfRule type="cellIs" dxfId="0" priority="1" operator="equal">
      <formula>"Yes"</formula>
    </cfRule>
  </conditionalFormatting>
  <conditionalFormatting sqref="E14:E25">
    <cfRule type="cellIs" dxfId="1" priority="2" operator="equal">
      <formula>"No"</formula>
    </cfRule>
  </conditionalFormatting>
  <printOptions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11.0"/>
    <col customWidth="1" min="5" max="5" width="8.0"/>
    <col customWidth="1" min="6" max="6" width="26.0"/>
    <col customWidth="1" min="7" max="7" width="24.0"/>
    <col customWidth="1" min="8" max="8" width="11.0"/>
    <col customWidth="1" min="9" max="9" width="7.0"/>
    <col customWidth="1" min="10" max="11" width="11.0"/>
    <col customWidth="1" min="12" max="12" width="7.0"/>
    <col customWidth="1" min="13" max="14" width="11.0"/>
    <col customWidth="1" min="15" max="16" width="8.0"/>
    <col customWidth="1" min="17" max="18" width="9.0"/>
    <col customWidth="1" min="19" max="19" width="8.0"/>
    <col customWidth="1" min="20" max="20" width="7.0"/>
    <col customWidth="1" min="21" max="22" width="10.0"/>
    <col customWidth="1" min="23" max="26" width="8.57"/>
  </cols>
  <sheetData>
    <row r="1">
      <c r="A1" s="2" t="s">
        <v>5</v>
      </c>
    </row>
    <row r="2">
      <c r="A2" s="12"/>
    </row>
    <row r="4" ht="30.0" customHeight="1">
      <c r="A4" s="13" t="s">
        <v>9</v>
      </c>
      <c r="B4" s="13" t="s">
        <v>12</v>
      </c>
      <c r="C4" s="13" t="s">
        <v>13</v>
      </c>
      <c r="D4" s="13" t="s">
        <v>17</v>
      </c>
      <c r="E4" s="13" t="s">
        <v>18</v>
      </c>
      <c r="F4" s="13" t="s">
        <v>11</v>
      </c>
      <c r="G4" s="13" t="s">
        <v>14</v>
      </c>
      <c r="H4" s="13" t="s">
        <v>21</v>
      </c>
      <c r="I4" s="13" t="s">
        <v>15</v>
      </c>
      <c r="J4" s="13" t="s">
        <v>25</v>
      </c>
      <c r="K4" s="13" t="s">
        <v>29</v>
      </c>
      <c r="L4" s="13" t="s">
        <v>31</v>
      </c>
      <c r="M4" s="13" t="s">
        <v>34</v>
      </c>
      <c r="N4" s="13" t="s">
        <v>37</v>
      </c>
      <c r="O4" s="13" t="s">
        <v>39</v>
      </c>
      <c r="P4" s="13" t="s">
        <v>42</v>
      </c>
      <c r="Q4" s="13" t="s">
        <v>43</v>
      </c>
      <c r="R4" s="13" t="s">
        <v>46</v>
      </c>
      <c r="S4" s="13" t="s">
        <v>48</v>
      </c>
      <c r="T4" s="13" t="s">
        <v>51</v>
      </c>
      <c r="U4" s="13" t="s">
        <v>53</v>
      </c>
      <c r="V4" s="13" t="s">
        <v>54</v>
      </c>
    </row>
    <row r="5">
      <c r="A5" s="22" t="str">
        <f>'Historical Data'!A2</f>
        <v>A-001</v>
      </c>
      <c r="B5" s="22" t="str">
        <f>'Historical Data'!B2</f>
        <v>Ridgeline Cafe</v>
      </c>
      <c r="C5" s="22" t="str">
        <f>'Historical Data'!D2</f>
        <v>Closed</v>
      </c>
      <c r="D5" s="26">
        <f>'Historical Data'!E2</f>
        <v>45672</v>
      </c>
      <c r="E5" s="22">
        <f>'Historical Data'!G2</f>
        <v>1</v>
      </c>
      <c r="F5" s="22" t="str">
        <f>'Historical Data'!Y2</f>
        <v>Eating &amp; Drinking Places</v>
      </c>
      <c r="G5" s="22" t="str">
        <f>'Historical Data'!K2</f>
        <v>Fundwell</v>
      </c>
      <c r="H5" s="22" t="str">
        <f>'Historical Data'!L2</f>
        <v>New Deal</v>
      </c>
      <c r="I5" s="29">
        <f>'Historical Data'!M2</f>
        <v>1.5</v>
      </c>
      <c r="J5" s="30">
        <f>'Historical Data'!N2</f>
        <v>10000</v>
      </c>
      <c r="K5" s="30">
        <f>'Historical Data'!Q2</f>
        <v>15000</v>
      </c>
      <c r="L5" s="33">
        <f>'Historical Data'!S2</f>
        <v>1</v>
      </c>
      <c r="M5" s="30">
        <f>'Historical Data'!AJ2</f>
        <v>5000</v>
      </c>
      <c r="N5" s="30">
        <f>'Historical Data'!AK2</f>
        <v>0</v>
      </c>
      <c r="O5" s="22">
        <f>'Historical Data'!AA2</f>
        <v>108.275</v>
      </c>
      <c r="P5" s="22">
        <f>'Historical Data'!AB2</f>
        <v>405</v>
      </c>
      <c r="Q5" s="22">
        <f>'Historical Data'!AN2</f>
        <v>105</v>
      </c>
      <c r="R5" s="22">
        <f>'Historical Data'!AC2</f>
        <v>1</v>
      </c>
      <c r="S5" s="22">
        <f>'Historical Data'!AE2</f>
        <v>0</v>
      </c>
      <c r="T5" s="22">
        <f>'Historical Data'!AH2</f>
        <v>0</v>
      </c>
      <c r="U5" s="22">
        <f>'Historical Data'!BB2</f>
        <v>3</v>
      </c>
      <c r="V5" s="22">
        <f>'Historical Data'!BC2</f>
        <v>1</v>
      </c>
    </row>
    <row r="6" hidden="1">
      <c r="A6" s="22" t="str">
        <f>'Historical Data'!A3</f>
        <v>A-002</v>
      </c>
      <c r="B6" s="22" t="str">
        <f>'Historical Data'!B3</f>
        <v>Delta Freight</v>
      </c>
      <c r="C6" s="22" t="str">
        <f>'Historical Data'!D3</f>
        <v>Closed</v>
      </c>
      <c r="D6" s="26">
        <f>'Historical Data'!E3</f>
        <v>45698</v>
      </c>
      <c r="E6" s="22">
        <f>'Historical Data'!G3</f>
        <v>2</v>
      </c>
      <c r="F6" s="22" t="str">
        <f>'Historical Data'!Y3</f>
        <v>Trucking &amp; Warehousing</v>
      </c>
      <c r="G6" s="22" t="str">
        <f>'Historical Data'!K3</f>
        <v>Westwood</v>
      </c>
      <c r="H6" s="22" t="str">
        <f>'Historical Data'!L3</f>
        <v>Renewal</v>
      </c>
      <c r="I6" s="29">
        <f>'Historical Data'!M3</f>
        <v>1.5</v>
      </c>
      <c r="J6" s="30">
        <f>'Historical Data'!N3</f>
        <v>20000</v>
      </c>
      <c r="K6" s="30">
        <f>'Historical Data'!Q3</f>
        <v>30000</v>
      </c>
      <c r="L6" s="33">
        <f>'Historical Data'!S3</f>
        <v>1</v>
      </c>
      <c r="M6" s="30">
        <f>'Historical Data'!AJ3</f>
        <v>10000</v>
      </c>
      <c r="N6" s="30">
        <f>'Historical Data'!AK3</f>
        <v>0</v>
      </c>
      <c r="O6" s="22">
        <f>'Historical Data'!AA3</f>
        <v>100</v>
      </c>
      <c r="P6" s="22">
        <f>'Historical Data'!AB3</f>
        <v>388</v>
      </c>
      <c r="Q6" s="22">
        <f>'Historical Data'!AN3</f>
        <v>105</v>
      </c>
      <c r="R6" s="22">
        <f>'Historical Data'!AC3</f>
        <v>1</v>
      </c>
      <c r="S6" s="22">
        <f>'Historical Data'!AE3</f>
        <v>0</v>
      </c>
      <c r="T6" s="22">
        <f>'Historical Data'!AH3</f>
        <v>0</v>
      </c>
      <c r="U6" s="22">
        <f>'Historical Data'!BB3</f>
        <v>7</v>
      </c>
      <c r="V6" s="22">
        <f>'Historical Data'!BC3</f>
        <v>0</v>
      </c>
    </row>
    <row r="7">
      <c r="A7" s="22" t="str">
        <f>'Historical Data'!A4</f>
        <v>A-003</v>
      </c>
      <c r="B7" s="22" t="str">
        <f>'Historical Data'!B4</f>
        <v>Kane Construction</v>
      </c>
      <c r="C7" s="22" t="str">
        <f>'Historical Data'!D4</f>
        <v>Legal</v>
      </c>
      <c r="D7" s="26">
        <f>'Historical Data'!E4</f>
        <v>45721</v>
      </c>
      <c r="E7" s="22">
        <f>'Historical Data'!G4</f>
        <v>3</v>
      </c>
      <c r="F7" s="22" t="str">
        <f>'Historical Data'!Y4</f>
        <v>General Building Contractors</v>
      </c>
      <c r="G7" s="22" t="str">
        <f>'Historical Data'!K4</f>
        <v>Fundwell</v>
      </c>
      <c r="H7" s="22" t="str">
        <f>'Historical Data'!L4</f>
        <v>New Deal</v>
      </c>
      <c r="I7" s="29">
        <f>'Historical Data'!M4</f>
        <v>1.5</v>
      </c>
      <c r="J7" s="30">
        <f>'Historical Data'!N4</f>
        <v>30000</v>
      </c>
      <c r="K7" s="30">
        <f>'Historical Data'!Q4</f>
        <v>9000</v>
      </c>
      <c r="L7" s="33">
        <f>'Historical Data'!S4</f>
        <v>0.2</v>
      </c>
      <c r="M7" s="30">
        <f>'Historical Data'!AJ4</f>
        <v>-21000</v>
      </c>
      <c r="N7" s="30">
        <f>'Historical Data'!AK4</f>
        <v>21000</v>
      </c>
      <c r="O7" s="22">
        <f>'Historical Data'!AA4</f>
        <v>129.93</v>
      </c>
      <c r="P7" s="22">
        <f>'Historical Data'!AB4</f>
        <v>372</v>
      </c>
      <c r="Q7" s="22">
        <f>'Historical Data'!AN4</f>
        <v>66</v>
      </c>
      <c r="R7" s="22">
        <f>'Historical Data'!AC4</f>
        <v>1</v>
      </c>
      <c r="S7" s="22">
        <f>'Historical Data'!AE4</f>
        <v>1</v>
      </c>
      <c r="T7" s="22">
        <f>'Historical Data'!AH4</f>
        <v>0</v>
      </c>
      <c r="U7" s="22">
        <f>'Historical Data'!BB4</f>
        <v>4</v>
      </c>
      <c r="V7" s="22">
        <f>'Historical Data'!BC4</f>
        <v>1</v>
      </c>
    </row>
    <row r="8">
      <c r="A8" s="22" t="str">
        <f>'Historical Data'!A5</f>
        <v>A-004</v>
      </c>
      <c r="B8" s="22" t="str">
        <f>'Historical Data'!B5</f>
        <v>Baymont Auto Body</v>
      </c>
      <c r="C8" s="22" t="str">
        <f>'Historical Data'!D5</f>
        <v>In House Collection</v>
      </c>
      <c r="D8" s="26">
        <f>'Historical Data'!E5</f>
        <v>45768</v>
      </c>
      <c r="E8" s="22">
        <f>'Historical Data'!G5</f>
        <v>3</v>
      </c>
      <c r="F8" s="22" t="str">
        <f>'Historical Data'!Y5</f>
        <v>Auto Repair &amp; Services</v>
      </c>
      <c r="G8" s="22" t="str">
        <f>'Historical Data'!K5</f>
        <v>Westwood</v>
      </c>
      <c r="H8" s="22" t="str">
        <f>'Historical Data'!L5</f>
        <v>New Deal</v>
      </c>
      <c r="I8" s="29">
        <f>'Historical Data'!M5</f>
        <v>1.5</v>
      </c>
      <c r="J8" s="30">
        <f>'Historical Data'!N5</f>
        <v>40000</v>
      </c>
      <c r="K8" s="30">
        <f>'Historical Data'!Q5</f>
        <v>20000</v>
      </c>
      <c r="L8" s="33">
        <f>'Historical Data'!S5</f>
        <v>0.3333333333</v>
      </c>
      <c r="M8" s="30">
        <f>'Historical Data'!AJ5</f>
        <v>-20000</v>
      </c>
      <c r="N8" s="30">
        <f>'Historical Data'!AK5</f>
        <v>20000</v>
      </c>
      <c r="O8" s="22">
        <f>'Historical Data'!AA5</f>
        <v>120</v>
      </c>
      <c r="P8" s="22">
        <f>'Historical Data'!AB5</f>
        <v>339</v>
      </c>
      <c r="Q8" s="22">
        <f>'Historical Data'!AN5</f>
        <v>85</v>
      </c>
      <c r="R8" s="22">
        <f>'Historical Data'!AC5</f>
        <v>1</v>
      </c>
      <c r="S8" s="22">
        <f>'Historical Data'!AE5</f>
        <v>1</v>
      </c>
      <c r="T8" s="22">
        <f>'Historical Data'!AH5</f>
        <v>0</v>
      </c>
      <c r="U8" s="22">
        <f>'Historical Data'!BB5</f>
        <v>6</v>
      </c>
      <c r="V8" s="22">
        <f>'Historical Data'!BC5</f>
        <v>1</v>
      </c>
    </row>
    <row r="9" hidden="1">
      <c r="A9" s="22" t="str">
        <f>'Historical Data'!A6</f>
        <v>A-005</v>
      </c>
      <c r="B9" s="22" t="str">
        <f>'Historical Data'!B6</f>
        <v>Sunset Nails</v>
      </c>
      <c r="C9" s="22" t="str">
        <f>'Historical Data'!D6</f>
        <v>Written-Off</v>
      </c>
      <c r="D9" s="26">
        <f>'Historical Data'!E6</f>
        <v>45789</v>
      </c>
      <c r="E9" s="22">
        <f>'Historical Data'!G6</f>
        <v>2</v>
      </c>
      <c r="F9" s="22" t="str">
        <f>'Historical Data'!Y6</f>
        <v>Personal Services</v>
      </c>
      <c r="G9" s="22" t="str">
        <f>'Historical Data'!K6</f>
        <v>Fundwell</v>
      </c>
      <c r="H9" s="22" t="str">
        <f>'Historical Data'!L6</f>
        <v>Renewal</v>
      </c>
      <c r="I9" s="29">
        <f>'Historical Data'!M6</f>
        <v>1.5</v>
      </c>
      <c r="J9" s="30">
        <f>'Historical Data'!N6</f>
        <v>10000</v>
      </c>
      <c r="K9" s="30">
        <f>'Historical Data'!Q6</f>
        <v>9500</v>
      </c>
      <c r="L9" s="33">
        <f>'Historical Data'!S6</f>
        <v>0.6333333333</v>
      </c>
      <c r="M9" s="30">
        <f>'Historical Data'!AJ6</f>
        <v>-500</v>
      </c>
      <c r="N9" s="30">
        <f>'Historical Data'!AK6</f>
        <v>500</v>
      </c>
      <c r="O9" s="22">
        <f>'Historical Data'!AA6</f>
        <v>86.62</v>
      </c>
      <c r="P9" s="22">
        <f>'Historical Data'!AB6</f>
        <v>324</v>
      </c>
      <c r="Q9" s="22">
        <f>'Historical Data'!AN6</f>
        <v>127</v>
      </c>
      <c r="R9" s="22">
        <f>'Historical Data'!AC6</f>
        <v>1</v>
      </c>
      <c r="S9" s="22">
        <f>'Historical Data'!AE6</f>
        <v>1</v>
      </c>
      <c r="T9" s="22">
        <f>'Historical Data'!AH6</f>
        <v>0</v>
      </c>
      <c r="U9" s="22">
        <f>'Historical Data'!BB6</f>
        <v>7</v>
      </c>
      <c r="V9" s="22">
        <f>'Historical Data'!BC6</f>
        <v>0</v>
      </c>
    </row>
    <row r="10">
      <c r="A10" s="22" t="str">
        <f>'Historical Data'!A7</f>
        <v>A-006</v>
      </c>
      <c r="B10" s="22" t="str">
        <f>'Historical Data'!B7</f>
        <v>Orchard Supply</v>
      </c>
      <c r="C10" s="22" t="str">
        <f>'Historical Data'!D7</f>
        <v>Bankruptcy</v>
      </c>
      <c r="D10" s="26">
        <f>'Historical Data'!E7</f>
        <v>45826</v>
      </c>
      <c r="E10" s="22">
        <f>'Historical Data'!G7</f>
        <v>4</v>
      </c>
      <c r="F10" s="22" t="str">
        <f>'Historical Data'!Y7</f>
        <v>No SIC</v>
      </c>
      <c r="G10" s="22" t="str">
        <f>'Historical Data'!K7</f>
        <v>Westwood</v>
      </c>
      <c r="H10" s="22" t="str">
        <f>'Historical Data'!L7</f>
        <v>New Deal</v>
      </c>
      <c r="I10" s="29">
        <f>'Historical Data'!M7</f>
        <v>1.5</v>
      </c>
      <c r="J10" s="30">
        <f>'Historical Data'!N7</f>
        <v>20000</v>
      </c>
      <c r="K10" s="30">
        <f>'Historical Data'!Q7</f>
        <v>0</v>
      </c>
      <c r="L10" s="33">
        <f>'Historical Data'!S7</f>
        <v>0</v>
      </c>
      <c r="M10" s="30">
        <f>'Historical Data'!AJ7</f>
        <v>-20000</v>
      </c>
      <c r="N10" s="30">
        <f>'Historical Data'!AK7</f>
        <v>20000</v>
      </c>
      <c r="O10" s="22">
        <f>'Historical Data'!AA7</f>
        <v>80</v>
      </c>
      <c r="P10" s="22">
        <f>'Historical Data'!AB7</f>
        <v>298</v>
      </c>
      <c r="Q10" s="22">
        <f>'Historical Data'!AN7</f>
        <v>64</v>
      </c>
      <c r="R10" s="22">
        <f>'Historical Data'!AC7</f>
        <v>1</v>
      </c>
      <c r="S10" s="22">
        <f>'Historical Data'!AE7</f>
        <v>1</v>
      </c>
      <c r="T10" s="22">
        <f>'Historical Data'!AH7</f>
        <v>0</v>
      </c>
      <c r="U10" s="22">
        <f>'Historical Data'!BB7</f>
        <v>6</v>
      </c>
      <c r="V10" s="22">
        <f>'Historical Data'!BC7</f>
        <v>1</v>
      </c>
    </row>
    <row r="11">
      <c r="A11" s="22" t="str">
        <f>'Historical Data'!A8</f>
        <v>A-007</v>
      </c>
      <c r="B11" s="22" t="str">
        <f>'Historical Data'!B8</f>
        <v>Pinewood Dental</v>
      </c>
      <c r="C11" s="22" t="str">
        <f>'Historical Data'!D8</f>
        <v>Open</v>
      </c>
      <c r="D11" s="26">
        <f>'Historical Data'!E8</f>
        <v>46030</v>
      </c>
      <c r="E11" s="22">
        <f>'Historical Data'!G8</f>
        <v>1</v>
      </c>
      <c r="F11" s="22" t="str">
        <f>'Historical Data'!Y8</f>
        <v>Health Services</v>
      </c>
      <c r="G11" s="22" t="str">
        <f>'Historical Data'!K8</f>
        <v>Fundwell</v>
      </c>
      <c r="H11" s="22" t="str">
        <f>'Historical Data'!L8</f>
        <v>New Deal</v>
      </c>
      <c r="I11" s="29">
        <f>'Historical Data'!M8</f>
        <v>1.5</v>
      </c>
      <c r="J11" s="30">
        <f>'Historical Data'!N8</f>
        <v>50000</v>
      </c>
      <c r="K11" s="30">
        <f>'Historical Data'!Q8</f>
        <v>30000</v>
      </c>
      <c r="L11" s="33">
        <f>'Historical Data'!S8</f>
        <v>0.4</v>
      </c>
      <c r="M11" s="30">
        <f>'Historical Data'!AJ8</f>
        <v>-20000</v>
      </c>
      <c r="N11" s="30">
        <f>'Historical Data'!AK8</f>
        <v>0</v>
      </c>
      <c r="O11" s="22">
        <f>'Historical Data'!AA8</f>
        <v>129.93</v>
      </c>
      <c r="P11" s="22">
        <f>'Historical Data'!AB8</f>
        <v>160</v>
      </c>
      <c r="Q11" s="22">
        <f>'Historical Data'!AN8</f>
        <v>144</v>
      </c>
      <c r="R11" s="22">
        <f>'Historical Data'!AC8</f>
        <v>0</v>
      </c>
      <c r="S11" s="22">
        <f>'Historical Data'!AE8</f>
        <v>0</v>
      </c>
      <c r="T11" s="22">
        <f>'Historical Data'!AH8</f>
        <v>1</v>
      </c>
      <c r="U11" s="22">
        <f>'Historical Data'!BB8</f>
        <v>4</v>
      </c>
      <c r="V11" s="22">
        <f>'Historical Data'!BC8</f>
        <v>1</v>
      </c>
    </row>
    <row r="12">
      <c r="A12" s="22" t="str">
        <f>'Historical Data'!A9</f>
        <v>A-008</v>
      </c>
      <c r="B12" s="22" t="str">
        <f>'Historical Data'!B9</f>
        <v>Harbor Cleaning</v>
      </c>
      <c r="C12" s="22" t="str">
        <f>'Historical Data'!D9</f>
        <v>Closed/NSF Unpaid</v>
      </c>
      <c r="D12" s="26">
        <f>'Historical Data'!E9</f>
        <v>45852</v>
      </c>
      <c r="E12" s="22">
        <f>'Historical Data'!G9</f>
        <v>3</v>
      </c>
      <c r="F12" s="22" t="str">
        <f>'Historical Data'!Y9</f>
        <v>Business Services</v>
      </c>
      <c r="G12" s="22" t="str">
        <f>'Historical Data'!K9</f>
        <v>Westwood</v>
      </c>
      <c r="H12" s="22" t="str">
        <f>'Historical Data'!L9</f>
        <v>New Deal</v>
      </c>
      <c r="I12" s="29">
        <f>'Historical Data'!M9</f>
        <v>1.5</v>
      </c>
      <c r="J12" s="30">
        <f>'Historical Data'!N9</f>
        <v>20000</v>
      </c>
      <c r="K12" s="30">
        <f>'Historical Data'!Q9</f>
        <v>30000</v>
      </c>
      <c r="L12" s="33">
        <f>'Historical Data'!S9</f>
        <v>1</v>
      </c>
      <c r="M12" s="30">
        <f>'Historical Data'!AJ9</f>
        <v>10000</v>
      </c>
      <c r="N12" s="30">
        <f>'Historical Data'!AK9</f>
        <v>0</v>
      </c>
      <c r="O12" s="22">
        <f>'Historical Data'!AA9</f>
        <v>100</v>
      </c>
      <c r="P12" s="22">
        <f>'Historical Data'!AB9</f>
        <v>282</v>
      </c>
      <c r="Q12" s="22">
        <f>'Historical Data'!AN9</f>
        <v>107</v>
      </c>
      <c r="R12" s="22">
        <f>'Historical Data'!AC9</f>
        <v>1</v>
      </c>
      <c r="S12" s="22">
        <f>'Historical Data'!AE9</f>
        <v>0</v>
      </c>
      <c r="T12" s="22">
        <f>'Historical Data'!AH9</f>
        <v>0</v>
      </c>
      <c r="U12" s="22">
        <f>'Historical Data'!BB9</f>
        <v>6</v>
      </c>
      <c r="V12" s="22">
        <f>'Historical Data'!BC9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V$12">
    <filterColumn colId="21">
      <filters>
        <filter val="1"/>
      </filters>
    </filterColumn>
  </autoFilter>
  <printOptions/>
  <pageMargins bottom="1.0" footer="0.0" header="0.0" left="0.75" right="0.7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4" width="18.0"/>
    <col customWidth="1" min="5" max="10" width="8.57"/>
    <col customWidth="1" min="11" max="11" width="24.0"/>
    <col customWidth="1" min="12" max="24" width="8.57"/>
    <col customWidth="1" min="25" max="25" width="26.0"/>
    <col customWidth="1" min="26" max="55" width="8.57"/>
  </cols>
  <sheetData>
    <row r="1" ht="42.0" customHeight="1">
      <c r="A1" s="13" t="s">
        <v>9</v>
      </c>
      <c r="B1" s="13" t="s">
        <v>12</v>
      </c>
      <c r="C1" s="13" t="s">
        <v>16</v>
      </c>
      <c r="D1" s="13" t="s">
        <v>13</v>
      </c>
      <c r="E1" s="13" t="s">
        <v>19</v>
      </c>
      <c r="F1" s="13" t="s">
        <v>20</v>
      </c>
      <c r="G1" s="13" t="s">
        <v>18</v>
      </c>
      <c r="H1" s="13" t="s">
        <v>22</v>
      </c>
      <c r="I1" s="13" t="s">
        <v>23</v>
      </c>
      <c r="J1" s="13" t="s">
        <v>24</v>
      </c>
      <c r="K1" s="13" t="s">
        <v>14</v>
      </c>
      <c r="L1" s="13" t="s">
        <v>27</v>
      </c>
      <c r="M1" s="13" t="s">
        <v>15</v>
      </c>
      <c r="N1" s="13" t="s">
        <v>25</v>
      </c>
      <c r="O1" s="13" t="s">
        <v>33</v>
      </c>
      <c r="P1" s="13" t="s">
        <v>35</v>
      </c>
      <c r="Q1" s="13" t="s">
        <v>29</v>
      </c>
      <c r="R1" s="13" t="s">
        <v>41</v>
      </c>
      <c r="S1" s="13" t="s">
        <v>31</v>
      </c>
      <c r="T1" s="13" t="s">
        <v>44</v>
      </c>
      <c r="U1" s="13" t="s">
        <v>47</v>
      </c>
      <c r="V1" s="13" t="s">
        <v>49</v>
      </c>
      <c r="W1" s="13" t="s">
        <v>50</v>
      </c>
      <c r="X1" s="13" t="s">
        <v>52</v>
      </c>
      <c r="Y1" s="20" t="s">
        <v>11</v>
      </c>
      <c r="Z1" s="20" t="s">
        <v>64</v>
      </c>
      <c r="AA1" s="20" t="s">
        <v>66</v>
      </c>
      <c r="AB1" s="20" t="s">
        <v>67</v>
      </c>
      <c r="AC1" s="20" t="s">
        <v>46</v>
      </c>
      <c r="AD1" s="20" t="s">
        <v>68</v>
      </c>
      <c r="AE1" s="20" t="s">
        <v>48</v>
      </c>
      <c r="AF1" s="20" t="s">
        <v>69</v>
      </c>
      <c r="AG1" s="20" t="s">
        <v>70</v>
      </c>
      <c r="AH1" s="20" t="s">
        <v>51</v>
      </c>
      <c r="AI1" s="20" t="s">
        <v>71</v>
      </c>
      <c r="AJ1" s="20" t="s">
        <v>34</v>
      </c>
      <c r="AK1" s="20" t="s">
        <v>37</v>
      </c>
      <c r="AL1" s="20" t="s">
        <v>72</v>
      </c>
      <c r="AM1" s="20" t="s">
        <v>73</v>
      </c>
      <c r="AN1" s="20" t="s">
        <v>74</v>
      </c>
      <c r="AO1" s="20" t="s">
        <v>75</v>
      </c>
      <c r="AP1" s="20" t="s">
        <v>76</v>
      </c>
      <c r="AQ1" s="20" t="s">
        <v>77</v>
      </c>
      <c r="AR1" s="20" t="s">
        <v>78</v>
      </c>
      <c r="AS1" s="20" t="s">
        <v>79</v>
      </c>
      <c r="AT1" s="20" t="s">
        <v>80</v>
      </c>
      <c r="AU1" s="20" t="s">
        <v>81</v>
      </c>
      <c r="AV1" s="20" t="s">
        <v>82</v>
      </c>
      <c r="AW1" s="20" t="s">
        <v>83</v>
      </c>
      <c r="AX1" s="20" t="s">
        <v>84</v>
      </c>
      <c r="AY1" s="20" t="s">
        <v>85</v>
      </c>
      <c r="AZ1" s="20" t="s">
        <v>86</v>
      </c>
      <c r="BA1" s="20" t="s">
        <v>87</v>
      </c>
      <c r="BB1" s="20" t="s">
        <v>88</v>
      </c>
      <c r="BC1" s="20" t="s">
        <v>54</v>
      </c>
    </row>
    <row r="2">
      <c r="A2" s="27" t="s">
        <v>89</v>
      </c>
      <c r="B2" s="27" t="s">
        <v>90</v>
      </c>
      <c r="C2" s="27" t="s">
        <v>91</v>
      </c>
      <c r="D2" s="27" t="s">
        <v>92</v>
      </c>
      <c r="E2" s="26">
        <v>45672.0</v>
      </c>
      <c r="F2" s="26">
        <v>45821.0</v>
      </c>
      <c r="G2" s="27">
        <v>1.0</v>
      </c>
      <c r="H2" s="22" t="s">
        <v>93</v>
      </c>
      <c r="I2" s="22" t="s">
        <v>94</v>
      </c>
      <c r="J2" s="22" t="s">
        <v>95</v>
      </c>
      <c r="K2" s="27" t="s">
        <v>96</v>
      </c>
      <c r="L2" s="22" t="s">
        <v>97</v>
      </c>
      <c r="M2" s="27">
        <v>1.5</v>
      </c>
      <c r="N2" s="30">
        <v>10000.0</v>
      </c>
      <c r="O2" s="30">
        <v>1000.0</v>
      </c>
      <c r="P2" s="30">
        <v>15000.0</v>
      </c>
      <c r="Q2" s="30">
        <v>15000.0</v>
      </c>
      <c r="R2" s="30">
        <v>0.0</v>
      </c>
      <c r="S2" s="31">
        <v>1.0</v>
      </c>
      <c r="T2" s="27">
        <v>5.0</v>
      </c>
      <c r="U2" s="27">
        <v>0.0</v>
      </c>
      <c r="V2" s="27">
        <v>50000.0</v>
      </c>
      <c r="W2" s="31">
        <v>0.12</v>
      </c>
      <c r="X2" s="26">
        <v>43160.0</v>
      </c>
      <c r="Y2" s="27" t="str">
        <f>IF(I2="","No SIC",IFERROR(VLOOKUP(I2,Ref!$A$2:$B$65,2,FALSE()),"Unclassified"))</f>
        <v>Eating &amp; Drinking Places</v>
      </c>
      <c r="Z2" s="27" t="str">
        <f t="shared" ref="Z2:Z9" si="1">IF(T2="","",IF(T2&lt;12,"Daily","Weekly"))</f>
        <v>Daily</v>
      </c>
      <c r="AA2" s="22">
        <f>IF(T2="",0,IF(T2&lt;12,T2*Controls!$B$29,T2*5))</f>
        <v>108.275</v>
      </c>
      <c r="AB2" s="22">
        <f>IF(E2="",0,NETWORKDAYS(E2,Controls!$B$36,Ref!$K$2:$K$42))</f>
        <v>405</v>
      </c>
      <c r="AC2" s="22">
        <f>IF(AND(AA2&gt;0,AB2&gt;=Controls!$B$39*AA2),1,0)</f>
        <v>1</v>
      </c>
      <c r="AD2" s="22">
        <f>IF(AND(E2&lt;&gt;"",E2&gt;=Controls!$B$37,E2&lt;=Controls!$B$38),1,0)</f>
        <v>1</v>
      </c>
      <c r="AE2" s="22">
        <f>IF(IFERROR(VLOOKUP(D2,Controls!$A$59:$E$69,2,FALSE()),"No")="Yes",1,0)</f>
        <v>0</v>
      </c>
      <c r="AF2" s="22">
        <f>IF(IFERROR(VLOOKUP(D2,Controls!$A$59:$E$69,3,FALSE()),"No")="Yes",1,0)</f>
        <v>1</v>
      </c>
      <c r="AG2" s="22">
        <f>IF(IFERROR(VLOOKUP(D2,Controls!$A$59:$E$69,4,FALSE()),"No")="Yes",1,0)</f>
        <v>1</v>
      </c>
      <c r="AH2" s="22">
        <f>IF(IFERROR(VLOOKUP(D2,Controls!$A$59:$E$69,5,FALSE()),"No")="Yes",1,0)</f>
        <v>0</v>
      </c>
      <c r="AI2" s="22">
        <f>IF(ISNUMBER(MATCH(D2,Controls!$A$59:$A$69,0)),1,0)</f>
        <v>1</v>
      </c>
      <c r="AJ2" s="30">
        <f t="shared" ref="AJ2:AJ9" si="2">Q2-N2</f>
        <v>5000</v>
      </c>
      <c r="AK2" s="22">
        <f t="shared" ref="AK2:AK9" si="3">IF(AE2=1,MAX(0,N2-Q2),0)</f>
        <v>0</v>
      </c>
      <c r="AL2" s="22">
        <f t="shared" ref="AL2:AL9" si="4">IF(OR(V2="",V2=0),0,N2/V2)</f>
        <v>0.2</v>
      </c>
      <c r="AM2" s="22">
        <f t="shared" ref="AM2:AM9" si="5">IF(OR(V2="",V2=0),0,1)</f>
        <v>1</v>
      </c>
      <c r="AN2" s="22">
        <f>IF(OR(E2="",F2=""),0,NETWORKDAYS(E2,F2,Ref!$K$2:$K$42))</f>
        <v>105</v>
      </c>
      <c r="AO2" s="22">
        <f t="shared" ref="AO2:AO9" si="6">IF(L2="Renewal",1,0)</f>
        <v>0</v>
      </c>
      <c r="AP2" s="22">
        <f t="shared" ref="AP2:AP9" si="7">AC2*AD2</f>
        <v>1</v>
      </c>
      <c r="AQ2" s="22">
        <f>IF(AND(G2&lt;&gt;"",'Historical Score'!$C$6&lt;&gt;""),IF(G2='Historical Score'!$C$6,1,0),0)</f>
        <v>0</v>
      </c>
      <c r="AR2" s="22">
        <f>IF(AND(L2&lt;&gt;"",'Historical Score'!$C$5&lt;&gt;""),IF(L2='Historical Score'!$C$5,1,0),0)</f>
        <v>1</v>
      </c>
      <c r="AS2" s="22">
        <f>IF(AND(Y2&lt;&gt;"",'Historical Score'!$C$7&lt;&gt;""),IF(Y2='Historical Score'!$C$7,1,0),0)</f>
        <v>1</v>
      </c>
      <c r="AT2" s="22">
        <f>IF(AND(K2&lt;&gt;"",'Historical Score'!$C$8&lt;&gt;""),IF(K2='Historical Score'!$C$8,1,0),0)</f>
        <v>1</v>
      </c>
      <c r="AU2" s="22">
        <f t="shared" ref="AU2:AU9" si="8">AR2*AS2*AQ2</f>
        <v>0</v>
      </c>
      <c r="AV2" s="22">
        <f t="shared" ref="AV2:AV9" si="9">AR2*AT2*AQ2</f>
        <v>0</v>
      </c>
      <c r="AW2" s="22">
        <f t="shared" ref="AW2:AW9" si="10">AR2*AS2</f>
        <v>1</v>
      </c>
      <c r="AX2" s="22">
        <f t="shared" ref="AX2:AX9" si="11">AR2*AT2</f>
        <v>1</v>
      </c>
      <c r="AY2" s="22">
        <f t="shared" ref="AY2:AY9" si="12">AR2*AQ2</f>
        <v>0</v>
      </c>
      <c r="AZ2" s="22">
        <f t="shared" ref="AZ2:AZ9" si="13">AR2</f>
        <v>1</v>
      </c>
      <c r="BA2" s="22">
        <f t="shared" ref="BA2:BA9" si="14">1</f>
        <v>1</v>
      </c>
      <c r="BB2" s="22">
        <f t="shared" ref="BB2:BB9" si="15">IF(AU2=1,1,IF(AV2=1,2,IF(AW2=1,3,IF(AX2=1,4,IF(AY2=1,5,IF(AZ2=1,6,7))))))</f>
        <v>3</v>
      </c>
      <c r="BC2" s="22">
        <f>IF(AD2=1,CHOOSE('Historical Score'!$C$29,AU2,AV2,AW2,AX2,AY2,AZ2,BA2),0)</f>
        <v>1</v>
      </c>
    </row>
    <row r="3">
      <c r="A3" s="27" t="s">
        <v>124</v>
      </c>
      <c r="B3" s="27" t="s">
        <v>125</v>
      </c>
      <c r="C3" s="27" t="s">
        <v>126</v>
      </c>
      <c r="D3" s="27" t="s">
        <v>92</v>
      </c>
      <c r="E3" s="26">
        <v>45698.0</v>
      </c>
      <c r="F3" s="26">
        <v>45848.0</v>
      </c>
      <c r="G3" s="27">
        <v>2.0</v>
      </c>
      <c r="H3" s="22" t="s">
        <v>128</v>
      </c>
      <c r="I3" s="22" t="s">
        <v>129</v>
      </c>
      <c r="J3" s="22" t="s">
        <v>131</v>
      </c>
      <c r="K3" s="27" t="s">
        <v>134</v>
      </c>
      <c r="L3" s="22" t="s">
        <v>75</v>
      </c>
      <c r="M3" s="27">
        <v>1.5</v>
      </c>
      <c r="N3" s="30">
        <v>20000.0</v>
      </c>
      <c r="O3" s="30">
        <v>2000.0</v>
      </c>
      <c r="P3" s="30">
        <v>30000.0</v>
      </c>
      <c r="Q3" s="30">
        <v>30000.0</v>
      </c>
      <c r="R3" s="30">
        <v>0.0</v>
      </c>
      <c r="S3" s="31">
        <v>1.0</v>
      </c>
      <c r="T3" s="27">
        <v>20.0</v>
      </c>
      <c r="U3" s="27">
        <v>0.0</v>
      </c>
      <c r="V3" s="27">
        <v>100000.0</v>
      </c>
      <c r="W3" s="31">
        <v>0.09</v>
      </c>
      <c r="X3" s="26">
        <v>42170.0</v>
      </c>
      <c r="Y3" s="27" t="str">
        <f>IF(I3="","No SIC",IFERROR(VLOOKUP(I3,Ref!$A$2:$B$65,2,FALSE()),"Unclassified"))</f>
        <v>Trucking &amp; Warehousing</v>
      </c>
      <c r="Z3" s="27" t="str">
        <f t="shared" si="1"/>
        <v>Weekly</v>
      </c>
      <c r="AA3" s="22">
        <f>IF(T3="",0,IF(T3&lt;12,T3*Controls!$B$29,T3*5))</f>
        <v>100</v>
      </c>
      <c r="AB3" s="22">
        <f>IF(E3="",0,NETWORKDAYS(E3,Controls!$B$36,Ref!$K$2:$K$42))</f>
        <v>388</v>
      </c>
      <c r="AC3" s="22">
        <f>IF(AND(AA3&gt;0,AB3&gt;=Controls!$B$39*AA3),1,0)</f>
        <v>1</v>
      </c>
      <c r="AD3" s="22">
        <f>IF(AND(E3&lt;&gt;"",E3&gt;=Controls!$B$37,E3&lt;=Controls!$B$38),1,0)</f>
        <v>1</v>
      </c>
      <c r="AE3" s="22">
        <f>IF(IFERROR(VLOOKUP(D3,Controls!$A$59:$E$69,2,FALSE()),"No")="Yes",1,0)</f>
        <v>0</v>
      </c>
      <c r="AF3" s="22">
        <f>IF(IFERROR(VLOOKUP(D3,Controls!$A$59:$E$69,3,FALSE()),"No")="Yes",1,0)</f>
        <v>1</v>
      </c>
      <c r="AG3" s="22">
        <f>IF(IFERROR(VLOOKUP(D3,Controls!$A$59:$E$69,4,FALSE()),"No")="Yes",1,0)</f>
        <v>1</v>
      </c>
      <c r="AH3" s="22">
        <f>IF(IFERROR(VLOOKUP(D3,Controls!$A$59:$E$69,5,FALSE()),"No")="Yes",1,0)</f>
        <v>0</v>
      </c>
      <c r="AI3" s="22">
        <f>IF(ISNUMBER(MATCH(D3,Controls!$A$59:$A$69,0)),1,0)</f>
        <v>1</v>
      </c>
      <c r="AJ3" s="30">
        <f t="shared" si="2"/>
        <v>10000</v>
      </c>
      <c r="AK3" s="22">
        <f t="shared" si="3"/>
        <v>0</v>
      </c>
      <c r="AL3" s="22">
        <f t="shared" si="4"/>
        <v>0.2</v>
      </c>
      <c r="AM3" s="22">
        <f t="shared" si="5"/>
        <v>1</v>
      </c>
      <c r="AN3" s="22">
        <f>IF(OR(E3="",F3=""),0,NETWORKDAYS(E3,F3,Ref!$K$2:$K$42))</f>
        <v>105</v>
      </c>
      <c r="AO3" s="22">
        <f t="shared" si="6"/>
        <v>1</v>
      </c>
      <c r="AP3" s="22">
        <f t="shared" si="7"/>
        <v>1</v>
      </c>
      <c r="AQ3" s="22">
        <f>IF(AND(G3&lt;&gt;"",'Historical Score'!$C$6&lt;&gt;""),IF(G3='Historical Score'!$C$6,1,0),0)</f>
        <v>1</v>
      </c>
      <c r="AR3" s="22">
        <f>IF(AND(L3&lt;&gt;"",'Historical Score'!$C$5&lt;&gt;""),IF(L3='Historical Score'!$C$5,1,0),0)</f>
        <v>0</v>
      </c>
      <c r="AS3" s="22">
        <f>IF(AND(Y3&lt;&gt;"",'Historical Score'!$C$7&lt;&gt;""),IF(Y3='Historical Score'!$C$7,1,0),0)</f>
        <v>0</v>
      </c>
      <c r="AT3" s="22">
        <f>IF(AND(K3&lt;&gt;"",'Historical Score'!$C$8&lt;&gt;""),IF(K3='Historical Score'!$C$8,1,0),0)</f>
        <v>0</v>
      </c>
      <c r="AU3" s="22">
        <f t="shared" si="8"/>
        <v>0</v>
      </c>
      <c r="AV3" s="22">
        <f t="shared" si="9"/>
        <v>0</v>
      </c>
      <c r="AW3" s="22">
        <f t="shared" si="10"/>
        <v>0</v>
      </c>
      <c r="AX3" s="22">
        <f t="shared" si="11"/>
        <v>0</v>
      </c>
      <c r="AY3" s="22">
        <f t="shared" si="12"/>
        <v>0</v>
      </c>
      <c r="AZ3" s="22">
        <f t="shared" si="13"/>
        <v>0</v>
      </c>
      <c r="BA3" s="22">
        <f t="shared" si="14"/>
        <v>1</v>
      </c>
      <c r="BB3" s="22">
        <f t="shared" si="15"/>
        <v>7</v>
      </c>
      <c r="BC3" s="22">
        <f>IF(AD3=1,CHOOSE('Historical Score'!$C$29,AU3,AV3,AW3,AX3,AY3,AZ3,BA3),0)</f>
        <v>0</v>
      </c>
    </row>
    <row r="4">
      <c r="A4" s="27" t="s">
        <v>150</v>
      </c>
      <c r="B4" s="27" t="s">
        <v>151</v>
      </c>
      <c r="C4" s="27" t="s">
        <v>152</v>
      </c>
      <c r="D4" s="27" t="s">
        <v>153</v>
      </c>
      <c r="E4" s="26">
        <v>45721.0</v>
      </c>
      <c r="F4" s="26">
        <v>45813.0</v>
      </c>
      <c r="G4" s="27">
        <v>3.0</v>
      </c>
      <c r="H4" s="22" t="s">
        <v>154</v>
      </c>
      <c r="I4" s="22" t="s">
        <v>155</v>
      </c>
      <c r="J4" s="22" t="s">
        <v>95</v>
      </c>
      <c r="K4" s="27" t="s">
        <v>96</v>
      </c>
      <c r="L4" s="22" t="s">
        <v>97</v>
      </c>
      <c r="M4" s="27">
        <v>1.5</v>
      </c>
      <c r="N4" s="30">
        <v>30000.0</v>
      </c>
      <c r="O4" s="30">
        <v>3000.0</v>
      </c>
      <c r="P4" s="30">
        <v>45000.0</v>
      </c>
      <c r="Q4" s="30">
        <v>9000.0</v>
      </c>
      <c r="R4" s="30">
        <v>36000.0</v>
      </c>
      <c r="S4" s="31">
        <v>0.2</v>
      </c>
      <c r="T4" s="27">
        <v>6.0</v>
      </c>
      <c r="U4" s="27">
        <v>4.0</v>
      </c>
      <c r="V4" s="27">
        <v>60000.0</v>
      </c>
      <c r="W4" s="31">
        <v>0.15</v>
      </c>
      <c r="X4" s="26">
        <v>43840.0</v>
      </c>
      <c r="Y4" s="27" t="str">
        <f>IF(I4="","No SIC",IFERROR(VLOOKUP(I4,Ref!$A$2:$B$65,2,FALSE()),"Unclassified"))</f>
        <v>General Building Contractors</v>
      </c>
      <c r="Z4" s="27" t="str">
        <f t="shared" si="1"/>
        <v>Daily</v>
      </c>
      <c r="AA4" s="22">
        <f>IF(T4="",0,IF(T4&lt;12,T4*Controls!$B$29,T4*5))</f>
        <v>129.93</v>
      </c>
      <c r="AB4" s="22">
        <f>IF(E4="",0,NETWORKDAYS(E4,Controls!$B$36,Ref!$K$2:$K$42))</f>
        <v>372</v>
      </c>
      <c r="AC4" s="22">
        <f>IF(AND(AA4&gt;0,AB4&gt;=Controls!$B$39*AA4),1,0)</f>
        <v>1</v>
      </c>
      <c r="AD4" s="22">
        <f>IF(AND(E4&lt;&gt;"",E4&gt;=Controls!$B$37,E4&lt;=Controls!$B$38),1,0)</f>
        <v>1</v>
      </c>
      <c r="AE4" s="22">
        <f>IF(IFERROR(VLOOKUP(D4,Controls!$A$59:$E$69,2,FALSE()),"No")="Yes",1,0)</f>
        <v>1</v>
      </c>
      <c r="AF4" s="22">
        <f>IF(IFERROR(VLOOKUP(D4,Controls!$A$59:$E$69,3,FALSE()),"No")="Yes",1,0)</f>
        <v>0</v>
      </c>
      <c r="AG4" s="22">
        <f>IF(IFERROR(VLOOKUP(D4,Controls!$A$59:$E$69,4,FALSE()),"No")="Yes",1,0)</f>
        <v>0</v>
      </c>
      <c r="AH4" s="22">
        <f>IF(IFERROR(VLOOKUP(D4,Controls!$A$59:$E$69,5,FALSE()),"No")="Yes",1,0)</f>
        <v>0</v>
      </c>
      <c r="AI4" s="22">
        <f>IF(ISNUMBER(MATCH(D4,Controls!$A$59:$A$69,0)),1,0)</f>
        <v>1</v>
      </c>
      <c r="AJ4" s="30">
        <f t="shared" si="2"/>
        <v>-21000</v>
      </c>
      <c r="AK4" s="22">
        <f t="shared" si="3"/>
        <v>21000</v>
      </c>
      <c r="AL4" s="22">
        <f t="shared" si="4"/>
        <v>0.5</v>
      </c>
      <c r="AM4" s="22">
        <f t="shared" si="5"/>
        <v>1</v>
      </c>
      <c r="AN4" s="22">
        <f>IF(OR(E4="",F4=""),0,NETWORKDAYS(E4,F4,Ref!$K$2:$K$42))</f>
        <v>66</v>
      </c>
      <c r="AO4" s="22">
        <f t="shared" si="6"/>
        <v>0</v>
      </c>
      <c r="AP4" s="22">
        <f t="shared" si="7"/>
        <v>1</v>
      </c>
      <c r="AQ4" s="22">
        <f>IF(AND(G4&lt;&gt;"",'Historical Score'!$C$6&lt;&gt;""),IF(G4='Historical Score'!$C$6,1,0),0)</f>
        <v>0</v>
      </c>
      <c r="AR4" s="22">
        <f>IF(AND(L4&lt;&gt;"",'Historical Score'!$C$5&lt;&gt;""),IF(L4='Historical Score'!$C$5,1,0),0)</f>
        <v>1</v>
      </c>
      <c r="AS4" s="22">
        <f>IF(AND(Y4&lt;&gt;"",'Historical Score'!$C$7&lt;&gt;""),IF(Y4='Historical Score'!$C$7,1,0),0)</f>
        <v>0</v>
      </c>
      <c r="AT4" s="22">
        <f>IF(AND(K4&lt;&gt;"",'Historical Score'!$C$8&lt;&gt;""),IF(K4='Historical Score'!$C$8,1,0),0)</f>
        <v>1</v>
      </c>
      <c r="AU4" s="22">
        <f t="shared" si="8"/>
        <v>0</v>
      </c>
      <c r="AV4" s="22">
        <f t="shared" si="9"/>
        <v>0</v>
      </c>
      <c r="AW4" s="22">
        <f t="shared" si="10"/>
        <v>0</v>
      </c>
      <c r="AX4" s="22">
        <f t="shared" si="11"/>
        <v>1</v>
      </c>
      <c r="AY4" s="22">
        <f t="shared" si="12"/>
        <v>0</v>
      </c>
      <c r="AZ4" s="22">
        <f t="shared" si="13"/>
        <v>1</v>
      </c>
      <c r="BA4" s="22">
        <f t="shared" si="14"/>
        <v>1</v>
      </c>
      <c r="BB4" s="22">
        <f t="shared" si="15"/>
        <v>4</v>
      </c>
      <c r="BC4" s="22">
        <f>IF(AD4=1,CHOOSE('Historical Score'!$C$29,AU4,AV4,AW4,AX4,AY4,AZ4,BA4),0)</f>
        <v>1</v>
      </c>
    </row>
    <row r="5">
      <c r="A5" s="27" t="s">
        <v>166</v>
      </c>
      <c r="B5" s="27" t="s">
        <v>167</v>
      </c>
      <c r="C5" s="27" t="s">
        <v>168</v>
      </c>
      <c r="D5" s="27" t="s">
        <v>169</v>
      </c>
      <c r="E5" s="26">
        <v>45768.0</v>
      </c>
      <c r="F5" s="26">
        <v>45889.0</v>
      </c>
      <c r="G5" s="27">
        <v>3.0</v>
      </c>
      <c r="H5" s="22" t="s">
        <v>170</v>
      </c>
      <c r="I5" s="22" t="s">
        <v>171</v>
      </c>
      <c r="J5" s="22" t="s">
        <v>131</v>
      </c>
      <c r="K5" s="27" t="s">
        <v>134</v>
      </c>
      <c r="L5" s="22" t="s">
        <v>97</v>
      </c>
      <c r="M5" s="27">
        <v>1.5</v>
      </c>
      <c r="N5" s="30">
        <v>40000.0</v>
      </c>
      <c r="O5" s="30">
        <v>4000.0</v>
      </c>
      <c r="P5" s="30">
        <v>60000.0</v>
      </c>
      <c r="Q5" s="30">
        <v>20000.0</v>
      </c>
      <c r="R5" s="30">
        <v>40000.0</v>
      </c>
      <c r="S5" s="31">
        <v>0.333333333333333</v>
      </c>
      <c r="T5" s="27">
        <v>24.0</v>
      </c>
      <c r="U5" s="27">
        <v>7.0</v>
      </c>
      <c r="V5" s="27">
        <v>80000.0</v>
      </c>
      <c r="W5" s="31">
        <v>0.11</v>
      </c>
      <c r="X5" s="26">
        <v>41182.0</v>
      </c>
      <c r="Y5" s="27" t="str">
        <f>IF(I5="","No SIC",IFERROR(VLOOKUP(I5,Ref!$A$2:$B$65,2,FALSE()),"Unclassified"))</f>
        <v>Auto Repair &amp; Services</v>
      </c>
      <c r="Z5" s="27" t="str">
        <f t="shared" si="1"/>
        <v>Weekly</v>
      </c>
      <c r="AA5" s="22">
        <f>IF(T5="",0,IF(T5&lt;12,T5*Controls!$B$29,T5*5))</f>
        <v>120</v>
      </c>
      <c r="AB5" s="22">
        <f>IF(E5="",0,NETWORKDAYS(E5,Controls!$B$36,Ref!$K$2:$K$42))</f>
        <v>339</v>
      </c>
      <c r="AC5" s="22">
        <f>IF(AND(AA5&gt;0,AB5&gt;=Controls!$B$39*AA5),1,0)</f>
        <v>1</v>
      </c>
      <c r="AD5" s="22">
        <f>IF(AND(E5&lt;&gt;"",E5&gt;=Controls!$B$37,E5&lt;=Controls!$B$38),1,0)</f>
        <v>1</v>
      </c>
      <c r="AE5" s="22">
        <f>IF(IFERROR(VLOOKUP(D5,Controls!$A$59:$E$69,2,FALSE()),"No")="Yes",1,0)</f>
        <v>1</v>
      </c>
      <c r="AF5" s="22">
        <f>IF(IFERROR(VLOOKUP(D5,Controls!$A$59:$E$69,3,FALSE()),"No")="Yes",1,0)</f>
        <v>0</v>
      </c>
      <c r="AG5" s="22">
        <f>IF(IFERROR(VLOOKUP(D5,Controls!$A$59:$E$69,4,FALSE()),"No")="Yes",1,0)</f>
        <v>0</v>
      </c>
      <c r="AH5" s="22">
        <f>IF(IFERROR(VLOOKUP(D5,Controls!$A$59:$E$69,5,FALSE()),"No")="Yes",1,0)</f>
        <v>0</v>
      </c>
      <c r="AI5" s="22">
        <f>IF(ISNUMBER(MATCH(D5,Controls!$A$59:$A$69,0)),1,0)</f>
        <v>1</v>
      </c>
      <c r="AJ5" s="30">
        <f t="shared" si="2"/>
        <v>-20000</v>
      </c>
      <c r="AK5" s="22">
        <f t="shared" si="3"/>
        <v>20000</v>
      </c>
      <c r="AL5" s="22">
        <f t="shared" si="4"/>
        <v>0.5</v>
      </c>
      <c r="AM5" s="22">
        <f t="shared" si="5"/>
        <v>1</v>
      </c>
      <c r="AN5" s="22">
        <f>IF(OR(E5="",F5=""),0,NETWORKDAYS(E5,F5,Ref!$K$2:$K$42))</f>
        <v>85</v>
      </c>
      <c r="AO5" s="22">
        <f t="shared" si="6"/>
        <v>0</v>
      </c>
      <c r="AP5" s="22">
        <f t="shared" si="7"/>
        <v>1</v>
      </c>
      <c r="AQ5" s="22">
        <f>IF(AND(G5&lt;&gt;"",'Historical Score'!$C$6&lt;&gt;""),IF(G5='Historical Score'!$C$6,1,0),0)</f>
        <v>0</v>
      </c>
      <c r="AR5" s="22">
        <f>IF(AND(L5&lt;&gt;"",'Historical Score'!$C$5&lt;&gt;""),IF(L5='Historical Score'!$C$5,1,0),0)</f>
        <v>1</v>
      </c>
      <c r="AS5" s="22">
        <f>IF(AND(Y5&lt;&gt;"",'Historical Score'!$C$7&lt;&gt;""),IF(Y5='Historical Score'!$C$7,1,0),0)</f>
        <v>0</v>
      </c>
      <c r="AT5" s="22">
        <f>IF(AND(K5&lt;&gt;"",'Historical Score'!$C$8&lt;&gt;""),IF(K5='Historical Score'!$C$8,1,0),0)</f>
        <v>0</v>
      </c>
      <c r="AU5" s="22">
        <f t="shared" si="8"/>
        <v>0</v>
      </c>
      <c r="AV5" s="22">
        <f t="shared" si="9"/>
        <v>0</v>
      </c>
      <c r="AW5" s="22">
        <f t="shared" si="10"/>
        <v>0</v>
      </c>
      <c r="AX5" s="22">
        <f t="shared" si="11"/>
        <v>0</v>
      </c>
      <c r="AY5" s="22">
        <f t="shared" si="12"/>
        <v>0</v>
      </c>
      <c r="AZ5" s="22">
        <f t="shared" si="13"/>
        <v>1</v>
      </c>
      <c r="BA5" s="22">
        <f t="shared" si="14"/>
        <v>1</v>
      </c>
      <c r="BB5" s="22">
        <f t="shared" si="15"/>
        <v>6</v>
      </c>
      <c r="BC5" s="22">
        <f>IF(AD5=1,CHOOSE('Historical Score'!$C$29,AU5,AV5,AW5,AX5,AY5,AZ5,BA5),0)</f>
        <v>1</v>
      </c>
    </row>
    <row r="6">
      <c r="A6" s="27" t="s">
        <v>174</v>
      </c>
      <c r="B6" s="27" t="s">
        <v>175</v>
      </c>
      <c r="C6" s="27" t="s">
        <v>176</v>
      </c>
      <c r="D6" s="27" t="s">
        <v>177</v>
      </c>
      <c r="E6" s="26">
        <v>45789.0</v>
      </c>
      <c r="F6" s="26">
        <v>45973.0</v>
      </c>
      <c r="G6" s="27">
        <v>2.0</v>
      </c>
      <c r="H6" s="22" t="s">
        <v>178</v>
      </c>
      <c r="I6" s="22" t="s">
        <v>179</v>
      </c>
      <c r="J6" s="22" t="s">
        <v>95</v>
      </c>
      <c r="K6" s="27" t="s">
        <v>96</v>
      </c>
      <c r="L6" s="22" t="s">
        <v>75</v>
      </c>
      <c r="M6" s="27">
        <v>1.5</v>
      </c>
      <c r="N6" s="30">
        <v>10000.0</v>
      </c>
      <c r="O6" s="30">
        <v>1000.0</v>
      </c>
      <c r="P6" s="30">
        <v>15000.0</v>
      </c>
      <c r="Q6" s="30">
        <v>9500.0</v>
      </c>
      <c r="R6" s="30">
        <v>5500.0</v>
      </c>
      <c r="S6" s="31">
        <v>0.633333333333333</v>
      </c>
      <c r="T6" s="27">
        <v>4.0</v>
      </c>
      <c r="U6" s="27">
        <v>2.0</v>
      </c>
      <c r="V6" s="27">
        <v>20000.0</v>
      </c>
      <c r="W6" s="31">
        <v>0.14</v>
      </c>
      <c r="X6" s="26">
        <v>43774.0</v>
      </c>
      <c r="Y6" s="27" t="str">
        <f>IF(I6="","No SIC",IFERROR(VLOOKUP(I6,Ref!$A$2:$B$65,2,FALSE()),"Unclassified"))</f>
        <v>Personal Services</v>
      </c>
      <c r="Z6" s="27" t="str">
        <f t="shared" si="1"/>
        <v>Daily</v>
      </c>
      <c r="AA6" s="22">
        <f>IF(T6="",0,IF(T6&lt;12,T6*Controls!$B$29,T6*5))</f>
        <v>86.62</v>
      </c>
      <c r="AB6" s="22">
        <f>IF(E6="",0,NETWORKDAYS(E6,Controls!$B$36,Ref!$K$2:$K$42))</f>
        <v>324</v>
      </c>
      <c r="AC6" s="22">
        <f>IF(AND(AA6&gt;0,AB6&gt;=Controls!$B$39*AA6),1,0)</f>
        <v>1</v>
      </c>
      <c r="AD6" s="22">
        <f>IF(AND(E6&lt;&gt;"",E6&gt;=Controls!$B$37,E6&lt;=Controls!$B$38),1,0)</f>
        <v>1</v>
      </c>
      <c r="AE6" s="22">
        <f>IF(IFERROR(VLOOKUP(D6,Controls!$A$59:$E$69,2,FALSE()),"No")="Yes",1,0)</f>
        <v>1</v>
      </c>
      <c r="AF6" s="22">
        <f>IF(IFERROR(VLOOKUP(D6,Controls!$A$59:$E$69,3,FALSE()),"No")="Yes",1,0)</f>
        <v>1</v>
      </c>
      <c r="AG6" s="22">
        <f>IF(IFERROR(VLOOKUP(D6,Controls!$A$59:$E$69,4,FALSE()),"No")="Yes",1,0)</f>
        <v>0</v>
      </c>
      <c r="AH6" s="22">
        <f>IF(IFERROR(VLOOKUP(D6,Controls!$A$59:$E$69,5,FALSE()),"No")="Yes",1,0)</f>
        <v>0</v>
      </c>
      <c r="AI6" s="22">
        <f>IF(ISNUMBER(MATCH(D6,Controls!$A$59:$A$69,0)),1,0)</f>
        <v>1</v>
      </c>
      <c r="AJ6" s="30">
        <f t="shared" si="2"/>
        <v>-500</v>
      </c>
      <c r="AK6" s="22">
        <f t="shared" si="3"/>
        <v>500</v>
      </c>
      <c r="AL6" s="22">
        <f t="shared" si="4"/>
        <v>0.5</v>
      </c>
      <c r="AM6" s="22">
        <f t="shared" si="5"/>
        <v>1</v>
      </c>
      <c r="AN6" s="22">
        <f>IF(OR(E6="",F6=""),0,NETWORKDAYS(E6,F6,Ref!$K$2:$K$42))</f>
        <v>127</v>
      </c>
      <c r="AO6" s="22">
        <f t="shared" si="6"/>
        <v>1</v>
      </c>
      <c r="AP6" s="22">
        <f t="shared" si="7"/>
        <v>1</v>
      </c>
      <c r="AQ6" s="22">
        <f>IF(AND(G6&lt;&gt;"",'Historical Score'!$C$6&lt;&gt;""),IF(G6='Historical Score'!$C$6,1,0),0)</f>
        <v>1</v>
      </c>
      <c r="AR6" s="22">
        <f>IF(AND(L6&lt;&gt;"",'Historical Score'!$C$5&lt;&gt;""),IF(L6='Historical Score'!$C$5,1,0),0)</f>
        <v>0</v>
      </c>
      <c r="AS6" s="22">
        <f>IF(AND(Y6&lt;&gt;"",'Historical Score'!$C$7&lt;&gt;""),IF(Y6='Historical Score'!$C$7,1,0),0)</f>
        <v>0</v>
      </c>
      <c r="AT6" s="22">
        <f>IF(AND(K6&lt;&gt;"",'Historical Score'!$C$8&lt;&gt;""),IF(K6='Historical Score'!$C$8,1,0),0)</f>
        <v>1</v>
      </c>
      <c r="AU6" s="22">
        <f t="shared" si="8"/>
        <v>0</v>
      </c>
      <c r="AV6" s="22">
        <f t="shared" si="9"/>
        <v>0</v>
      </c>
      <c r="AW6" s="22">
        <f t="shared" si="10"/>
        <v>0</v>
      </c>
      <c r="AX6" s="22">
        <f t="shared" si="11"/>
        <v>0</v>
      </c>
      <c r="AY6" s="22">
        <f t="shared" si="12"/>
        <v>0</v>
      </c>
      <c r="AZ6" s="22">
        <f t="shared" si="13"/>
        <v>0</v>
      </c>
      <c r="BA6" s="22">
        <f t="shared" si="14"/>
        <v>1</v>
      </c>
      <c r="BB6" s="22">
        <f t="shared" si="15"/>
        <v>7</v>
      </c>
      <c r="BC6" s="22">
        <f>IF(AD6=1,CHOOSE('Historical Score'!$C$29,AU6,AV6,AW6,AX6,AY6,AZ6,BA6),0)</f>
        <v>0</v>
      </c>
    </row>
    <row r="7">
      <c r="A7" s="27" t="s">
        <v>191</v>
      </c>
      <c r="B7" s="27" t="s">
        <v>192</v>
      </c>
      <c r="C7" s="27" t="s">
        <v>193</v>
      </c>
      <c r="D7" s="27" t="s">
        <v>194</v>
      </c>
      <c r="E7" s="26">
        <v>45826.0</v>
      </c>
      <c r="F7" s="26">
        <v>45918.0</v>
      </c>
      <c r="G7" s="27">
        <v>4.0</v>
      </c>
      <c r="J7" s="22" t="s">
        <v>131</v>
      </c>
      <c r="K7" s="27" t="s">
        <v>134</v>
      </c>
      <c r="L7" s="22" t="s">
        <v>97</v>
      </c>
      <c r="M7" s="27">
        <v>1.5</v>
      </c>
      <c r="N7" s="30">
        <v>20000.0</v>
      </c>
      <c r="O7" s="30">
        <v>2000.0</v>
      </c>
      <c r="P7" s="30">
        <v>30000.0</v>
      </c>
      <c r="Q7" s="30">
        <v>0.0</v>
      </c>
      <c r="R7" s="30">
        <v>30000.0</v>
      </c>
      <c r="S7" s="31">
        <v>0.0</v>
      </c>
      <c r="T7" s="27">
        <v>16.0</v>
      </c>
      <c r="U7" s="27">
        <v>9.0</v>
      </c>
      <c r="V7" s="27">
        <v>100000.0</v>
      </c>
      <c r="W7" s="31">
        <v>0.1</v>
      </c>
      <c r="X7" s="26">
        <v>44305.0</v>
      </c>
      <c r="Y7" s="27" t="str">
        <f>IF(I7="","No SIC",IFERROR(VLOOKUP(I7,Ref!$A$2:$B$65,2,FALSE()),"Unclassified"))</f>
        <v>No SIC</v>
      </c>
      <c r="Z7" s="27" t="str">
        <f t="shared" si="1"/>
        <v>Weekly</v>
      </c>
      <c r="AA7" s="22">
        <f>IF(T7="",0,IF(T7&lt;12,T7*Controls!$B$29,T7*5))</f>
        <v>80</v>
      </c>
      <c r="AB7" s="22">
        <f>IF(E7="",0,NETWORKDAYS(E7,Controls!$B$36,Ref!$K$2:$K$42))</f>
        <v>298</v>
      </c>
      <c r="AC7" s="22">
        <f>IF(AND(AA7&gt;0,AB7&gt;=Controls!$B$39*AA7),1,0)</f>
        <v>1</v>
      </c>
      <c r="AD7" s="22">
        <f>IF(AND(E7&lt;&gt;"",E7&gt;=Controls!$B$37,E7&lt;=Controls!$B$38),1,0)</f>
        <v>1</v>
      </c>
      <c r="AE7" s="22">
        <f>IF(IFERROR(VLOOKUP(D7,Controls!$A$59:$E$69,2,FALSE()),"No")="Yes",1,0)</f>
        <v>1</v>
      </c>
      <c r="AF7" s="22">
        <f>IF(IFERROR(VLOOKUP(D7,Controls!$A$59:$E$69,3,FALSE()),"No")="Yes",1,0)</f>
        <v>1</v>
      </c>
      <c r="AG7" s="22">
        <f>IF(IFERROR(VLOOKUP(D7,Controls!$A$59:$E$69,4,FALSE()),"No")="Yes",1,0)</f>
        <v>0</v>
      </c>
      <c r="AH7" s="22">
        <f>IF(IFERROR(VLOOKUP(D7,Controls!$A$59:$E$69,5,FALSE()),"No")="Yes",1,0)</f>
        <v>0</v>
      </c>
      <c r="AI7" s="22">
        <f>IF(ISNUMBER(MATCH(D7,Controls!$A$59:$A$69,0)),1,0)</f>
        <v>1</v>
      </c>
      <c r="AJ7" s="30">
        <f t="shared" si="2"/>
        <v>-20000</v>
      </c>
      <c r="AK7" s="22">
        <f t="shared" si="3"/>
        <v>20000</v>
      </c>
      <c r="AL7" s="22">
        <f t="shared" si="4"/>
        <v>0.2</v>
      </c>
      <c r="AM7" s="22">
        <f t="shared" si="5"/>
        <v>1</v>
      </c>
      <c r="AN7" s="22">
        <f>IF(OR(E7="",F7=""),0,NETWORKDAYS(E7,F7,Ref!$K$2:$K$42))</f>
        <v>64</v>
      </c>
      <c r="AO7" s="22">
        <f t="shared" si="6"/>
        <v>0</v>
      </c>
      <c r="AP7" s="22">
        <f t="shared" si="7"/>
        <v>1</v>
      </c>
      <c r="AQ7" s="22">
        <f>IF(AND(G7&lt;&gt;"",'Historical Score'!$C$6&lt;&gt;""),IF(G7='Historical Score'!$C$6,1,0),0)</f>
        <v>0</v>
      </c>
      <c r="AR7" s="22">
        <f>IF(AND(L7&lt;&gt;"",'Historical Score'!$C$5&lt;&gt;""),IF(L7='Historical Score'!$C$5,1,0),0)</f>
        <v>1</v>
      </c>
      <c r="AS7" s="22">
        <f>IF(AND(Y7&lt;&gt;"",'Historical Score'!$C$7&lt;&gt;""),IF(Y7='Historical Score'!$C$7,1,0),0)</f>
        <v>0</v>
      </c>
      <c r="AT7" s="22">
        <f>IF(AND(K7&lt;&gt;"",'Historical Score'!$C$8&lt;&gt;""),IF(K7='Historical Score'!$C$8,1,0),0)</f>
        <v>0</v>
      </c>
      <c r="AU7" s="22">
        <f t="shared" si="8"/>
        <v>0</v>
      </c>
      <c r="AV7" s="22">
        <f t="shared" si="9"/>
        <v>0</v>
      </c>
      <c r="AW7" s="22">
        <f t="shared" si="10"/>
        <v>0</v>
      </c>
      <c r="AX7" s="22">
        <f t="shared" si="11"/>
        <v>0</v>
      </c>
      <c r="AY7" s="22">
        <f t="shared" si="12"/>
        <v>0</v>
      </c>
      <c r="AZ7" s="22">
        <f t="shared" si="13"/>
        <v>1</v>
      </c>
      <c r="BA7" s="22">
        <f t="shared" si="14"/>
        <v>1</v>
      </c>
      <c r="BB7" s="22">
        <f t="shared" si="15"/>
        <v>6</v>
      </c>
      <c r="BC7" s="22">
        <f>IF(AD7=1,CHOOSE('Historical Score'!$C$29,AU7,AV7,AW7,AX7,AY7,AZ7,BA7),0)</f>
        <v>1</v>
      </c>
    </row>
    <row r="8">
      <c r="A8" s="27" t="s">
        <v>323</v>
      </c>
      <c r="B8" s="27" t="s">
        <v>325</v>
      </c>
      <c r="C8" s="27" t="s">
        <v>327</v>
      </c>
      <c r="D8" s="27" t="s">
        <v>51</v>
      </c>
      <c r="E8" s="26">
        <v>46030.0</v>
      </c>
      <c r="F8" s="26">
        <v>46237.0</v>
      </c>
      <c r="G8" s="27">
        <v>1.0</v>
      </c>
      <c r="H8" s="22" t="s">
        <v>331</v>
      </c>
      <c r="I8" s="22" t="s">
        <v>332</v>
      </c>
      <c r="J8" s="22" t="s">
        <v>95</v>
      </c>
      <c r="K8" s="27" t="s">
        <v>96</v>
      </c>
      <c r="L8" s="22" t="s">
        <v>97</v>
      </c>
      <c r="M8" s="27">
        <v>1.5</v>
      </c>
      <c r="N8" s="30">
        <v>50000.0</v>
      </c>
      <c r="O8" s="30">
        <v>5000.0</v>
      </c>
      <c r="P8" s="30">
        <v>75000.0</v>
      </c>
      <c r="Q8" s="30">
        <v>30000.0</v>
      </c>
      <c r="R8" s="30">
        <v>45000.0</v>
      </c>
      <c r="S8" s="31">
        <v>0.4</v>
      </c>
      <c r="T8" s="27">
        <v>6.0</v>
      </c>
      <c r="U8" s="27">
        <v>0.0</v>
      </c>
      <c r="V8" s="27">
        <v>250000.0</v>
      </c>
      <c r="W8" s="31">
        <v>0.08</v>
      </c>
      <c r="X8" s="26">
        <v>40211.0</v>
      </c>
      <c r="Y8" s="27" t="str">
        <f>IF(I8="","No SIC",IFERROR(VLOOKUP(I8,Ref!$A$2:$B$65,2,FALSE()),"Unclassified"))</f>
        <v>Health Services</v>
      </c>
      <c r="Z8" s="27" t="str">
        <f t="shared" si="1"/>
        <v>Daily</v>
      </c>
      <c r="AA8" s="22">
        <f>IF(T8="",0,IF(T8&lt;12,T8*Controls!$B$29,T8*5))</f>
        <v>129.93</v>
      </c>
      <c r="AB8" s="22">
        <f>IF(E8="",0,NETWORKDAYS(E8,Controls!$B$36,Ref!$K$2:$K$42))</f>
        <v>160</v>
      </c>
      <c r="AC8" s="22">
        <f>IF(AND(AA8&gt;0,AB8&gt;=Controls!$B$39*AA8),1,0)</f>
        <v>0</v>
      </c>
      <c r="AD8" s="22">
        <f>IF(AND(E8&lt;&gt;"",E8&gt;=Controls!$B$37,E8&lt;=Controls!$B$38),1,0)</f>
        <v>1</v>
      </c>
      <c r="AE8" s="22">
        <f>IF(IFERROR(VLOOKUP(D8,Controls!$A$59:$E$69,2,FALSE()),"No")="Yes",1,0)</f>
        <v>0</v>
      </c>
      <c r="AF8" s="22">
        <f>IF(IFERROR(VLOOKUP(D8,Controls!$A$59:$E$69,3,FALSE()),"No")="Yes",1,0)</f>
        <v>0</v>
      </c>
      <c r="AG8" s="22">
        <f>IF(IFERROR(VLOOKUP(D8,Controls!$A$59:$E$69,4,FALSE()),"No")="Yes",1,0)</f>
        <v>0</v>
      </c>
      <c r="AH8" s="22">
        <f>IF(IFERROR(VLOOKUP(D8,Controls!$A$59:$E$69,5,FALSE()),"No")="Yes",1,0)</f>
        <v>1</v>
      </c>
      <c r="AI8" s="22">
        <f>IF(ISNUMBER(MATCH(D8,Controls!$A$59:$A$69,0)),1,0)</f>
        <v>1</v>
      </c>
      <c r="AJ8" s="30">
        <f t="shared" si="2"/>
        <v>-20000</v>
      </c>
      <c r="AK8" s="22">
        <f t="shared" si="3"/>
        <v>0</v>
      </c>
      <c r="AL8" s="22">
        <f t="shared" si="4"/>
        <v>0.2</v>
      </c>
      <c r="AM8" s="22">
        <f t="shared" si="5"/>
        <v>1</v>
      </c>
      <c r="AN8" s="22">
        <f>IF(OR(E8="",F8=""),0,NETWORKDAYS(E8,F8,Ref!$K$2:$K$42))</f>
        <v>144</v>
      </c>
      <c r="AO8" s="22">
        <f t="shared" si="6"/>
        <v>0</v>
      </c>
      <c r="AP8" s="22">
        <f t="shared" si="7"/>
        <v>0</v>
      </c>
      <c r="AQ8" s="22">
        <f>IF(AND(G8&lt;&gt;"",'Historical Score'!$C$6&lt;&gt;""),IF(G8='Historical Score'!$C$6,1,0),0)</f>
        <v>0</v>
      </c>
      <c r="AR8" s="22">
        <f>IF(AND(L8&lt;&gt;"",'Historical Score'!$C$5&lt;&gt;""),IF(L8='Historical Score'!$C$5,1,0),0)</f>
        <v>1</v>
      </c>
      <c r="AS8" s="22">
        <f>IF(AND(Y8&lt;&gt;"",'Historical Score'!$C$7&lt;&gt;""),IF(Y8='Historical Score'!$C$7,1,0),0)</f>
        <v>0</v>
      </c>
      <c r="AT8" s="22">
        <f>IF(AND(K8&lt;&gt;"",'Historical Score'!$C$8&lt;&gt;""),IF(K8='Historical Score'!$C$8,1,0),0)</f>
        <v>1</v>
      </c>
      <c r="AU8" s="22">
        <f t="shared" si="8"/>
        <v>0</v>
      </c>
      <c r="AV8" s="22">
        <f t="shared" si="9"/>
        <v>0</v>
      </c>
      <c r="AW8" s="22">
        <f t="shared" si="10"/>
        <v>0</v>
      </c>
      <c r="AX8" s="22">
        <f t="shared" si="11"/>
        <v>1</v>
      </c>
      <c r="AY8" s="22">
        <f t="shared" si="12"/>
        <v>0</v>
      </c>
      <c r="AZ8" s="22">
        <f t="shared" si="13"/>
        <v>1</v>
      </c>
      <c r="BA8" s="22">
        <f t="shared" si="14"/>
        <v>1</v>
      </c>
      <c r="BB8" s="22">
        <f t="shared" si="15"/>
        <v>4</v>
      </c>
      <c r="BC8" s="22">
        <f>IF(AD8=1,CHOOSE('Historical Score'!$C$29,AU8,AV8,AW8,AX8,AY8,AZ8,BA8),0)</f>
        <v>1</v>
      </c>
    </row>
    <row r="9">
      <c r="A9" s="27" t="s">
        <v>533</v>
      </c>
      <c r="B9" s="27" t="s">
        <v>535</v>
      </c>
      <c r="C9" s="27" t="s">
        <v>536</v>
      </c>
      <c r="D9" s="27" t="s">
        <v>257</v>
      </c>
      <c r="E9" s="26">
        <v>45852.0</v>
      </c>
      <c r="F9" s="26">
        <v>46006.0</v>
      </c>
      <c r="G9" s="27">
        <v>3.0</v>
      </c>
      <c r="H9" s="22" t="s">
        <v>539</v>
      </c>
      <c r="I9" s="22" t="s">
        <v>409</v>
      </c>
      <c r="J9" s="22" t="s">
        <v>131</v>
      </c>
      <c r="K9" s="27" t="s">
        <v>134</v>
      </c>
      <c r="L9" s="22" t="s">
        <v>97</v>
      </c>
      <c r="M9" s="27">
        <v>1.5</v>
      </c>
      <c r="N9" s="30">
        <v>20000.0</v>
      </c>
      <c r="O9" s="30">
        <v>2000.0</v>
      </c>
      <c r="P9" s="30">
        <v>30000.0</v>
      </c>
      <c r="Q9" s="30">
        <v>30000.0</v>
      </c>
      <c r="R9" s="30">
        <v>0.0</v>
      </c>
      <c r="S9" s="31">
        <v>1.0</v>
      </c>
      <c r="T9" s="27">
        <v>20.0</v>
      </c>
      <c r="U9" s="27">
        <v>11.0</v>
      </c>
      <c r="W9" s="31">
        <v>0.13</v>
      </c>
      <c r="X9" s="26">
        <v>44781.0</v>
      </c>
      <c r="Y9" s="27" t="str">
        <f>IF(I9="","No SIC",IFERROR(VLOOKUP(I9,Ref!$A$2:$B$65,2,FALSE()),"Unclassified"))</f>
        <v>Business Services</v>
      </c>
      <c r="Z9" s="27" t="str">
        <f t="shared" si="1"/>
        <v>Weekly</v>
      </c>
      <c r="AA9" s="22">
        <f>IF(T9="",0,IF(T9&lt;12,T9*Controls!$B$29,T9*5))</f>
        <v>100</v>
      </c>
      <c r="AB9" s="22">
        <f>IF(E9="",0,NETWORKDAYS(E9,Controls!$B$36,Ref!$K$2:$K$42))</f>
        <v>282</v>
      </c>
      <c r="AC9" s="22">
        <f>IF(AND(AA9&gt;0,AB9&gt;=Controls!$B$39*AA9),1,0)</f>
        <v>1</v>
      </c>
      <c r="AD9" s="22">
        <f>IF(AND(E9&lt;&gt;"",E9&gt;=Controls!$B$37,E9&lt;=Controls!$B$38),1,0)</f>
        <v>1</v>
      </c>
      <c r="AE9" s="22">
        <f>IF(IFERROR(VLOOKUP(D9,Controls!$A$59:$E$69,2,FALSE()),"No")="Yes",1,0)</f>
        <v>0</v>
      </c>
      <c r="AF9" s="22">
        <f>IF(IFERROR(VLOOKUP(D9,Controls!$A$59:$E$69,3,FALSE()),"No")="Yes",1,0)</f>
        <v>1</v>
      </c>
      <c r="AG9" s="22">
        <f>IF(IFERROR(VLOOKUP(D9,Controls!$A$59:$E$69,4,FALSE()),"No")="Yes",1,0)</f>
        <v>1</v>
      </c>
      <c r="AH9" s="22">
        <f>IF(IFERROR(VLOOKUP(D9,Controls!$A$59:$E$69,5,FALSE()),"No")="Yes",1,0)</f>
        <v>0</v>
      </c>
      <c r="AI9" s="22">
        <f>IF(ISNUMBER(MATCH(D9,Controls!$A$59:$A$69,0)),1,0)</f>
        <v>1</v>
      </c>
      <c r="AJ9" s="30">
        <f t="shared" si="2"/>
        <v>10000</v>
      </c>
      <c r="AK9" s="22">
        <f t="shared" si="3"/>
        <v>0</v>
      </c>
      <c r="AL9" s="22">
        <f t="shared" si="4"/>
        <v>0</v>
      </c>
      <c r="AM9" s="22">
        <f t="shared" si="5"/>
        <v>0</v>
      </c>
      <c r="AN9" s="22">
        <f>IF(OR(E9="",F9=""),0,NETWORKDAYS(E9,F9,Ref!$K$2:$K$42))</f>
        <v>107</v>
      </c>
      <c r="AO9" s="22">
        <f t="shared" si="6"/>
        <v>0</v>
      </c>
      <c r="AP9" s="22">
        <f t="shared" si="7"/>
        <v>1</v>
      </c>
      <c r="AQ9" s="22">
        <f>IF(AND(G9&lt;&gt;"",'Historical Score'!$C$6&lt;&gt;""),IF(G9='Historical Score'!$C$6,1,0),0)</f>
        <v>0</v>
      </c>
      <c r="AR9" s="22">
        <f>IF(AND(L9&lt;&gt;"",'Historical Score'!$C$5&lt;&gt;""),IF(L9='Historical Score'!$C$5,1,0),0)</f>
        <v>1</v>
      </c>
      <c r="AS9" s="22">
        <f>IF(AND(Y9&lt;&gt;"",'Historical Score'!$C$7&lt;&gt;""),IF(Y9='Historical Score'!$C$7,1,0),0)</f>
        <v>0</v>
      </c>
      <c r="AT9" s="22">
        <f>IF(AND(K9&lt;&gt;"",'Historical Score'!$C$8&lt;&gt;""),IF(K9='Historical Score'!$C$8,1,0),0)</f>
        <v>0</v>
      </c>
      <c r="AU9" s="22">
        <f t="shared" si="8"/>
        <v>0</v>
      </c>
      <c r="AV9" s="22">
        <f t="shared" si="9"/>
        <v>0</v>
      </c>
      <c r="AW9" s="22">
        <f t="shared" si="10"/>
        <v>0</v>
      </c>
      <c r="AX9" s="22">
        <f t="shared" si="11"/>
        <v>0</v>
      </c>
      <c r="AY9" s="22">
        <f t="shared" si="12"/>
        <v>0</v>
      </c>
      <c r="AZ9" s="22">
        <f t="shared" si="13"/>
        <v>1</v>
      </c>
      <c r="BA9" s="22">
        <f t="shared" si="14"/>
        <v>1</v>
      </c>
      <c r="BB9" s="22">
        <f t="shared" si="15"/>
        <v>6</v>
      </c>
      <c r="BC9" s="22">
        <f>IF(AD9=1,CHOOSE('Historical Score'!$C$29,AU9,AV9,AW9,AX9,AY9,AZ9,BA9),0)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5" width="15.0"/>
    <col customWidth="1" min="6" max="6" width="13.0"/>
    <col customWidth="1" min="7" max="22" width="8.57"/>
  </cols>
  <sheetData>
    <row r="1">
      <c r="A1" s="2" t="s">
        <v>196</v>
      </c>
    </row>
    <row r="2">
      <c r="A2" s="4"/>
    </row>
    <row r="3">
      <c r="A3" s="5" t="s">
        <v>197</v>
      </c>
      <c r="B3" s="6"/>
      <c r="C3" s="6"/>
      <c r="D3" s="6"/>
      <c r="E3" s="6"/>
      <c r="F3" s="7"/>
    </row>
    <row r="4">
      <c r="A4" s="13" t="s">
        <v>32</v>
      </c>
      <c r="B4" s="13" t="s">
        <v>198</v>
      </c>
      <c r="C4" s="13" t="s">
        <v>199</v>
      </c>
      <c r="D4" s="13" t="s">
        <v>187</v>
      </c>
      <c r="E4" s="13"/>
      <c r="F4" s="13"/>
    </row>
    <row r="5">
      <c r="A5" s="87" t="s">
        <v>200</v>
      </c>
      <c r="B5" s="88">
        <v>0.3</v>
      </c>
      <c r="C5" s="88">
        <v>0.45</v>
      </c>
      <c r="D5" s="88">
        <v>0.55</v>
      </c>
      <c r="E5" s="89"/>
    </row>
    <row r="6">
      <c r="A6" s="8" t="s">
        <v>190</v>
      </c>
      <c r="B6" s="88">
        <v>0.18</v>
      </c>
      <c r="C6" s="88">
        <v>0.25</v>
      </c>
      <c r="D6" s="88">
        <v>0.35</v>
      </c>
      <c r="E6" s="91"/>
    </row>
    <row r="7">
      <c r="A7" s="8" t="s">
        <v>195</v>
      </c>
      <c r="B7" s="88">
        <v>0.18</v>
      </c>
      <c r="C7" s="88">
        <v>0.3</v>
      </c>
      <c r="D7" s="88">
        <v>0.35</v>
      </c>
      <c r="E7" s="91"/>
    </row>
    <row r="8">
      <c r="A8" s="8" t="s">
        <v>201</v>
      </c>
      <c r="B8" s="93">
        <v>0.6</v>
      </c>
      <c r="C8" s="93">
        <v>0.9</v>
      </c>
      <c r="D8" s="93">
        <v>1.25</v>
      </c>
      <c r="E8" s="91"/>
    </row>
    <row r="9">
      <c r="A9" s="8" t="s">
        <v>222</v>
      </c>
      <c r="B9" s="94">
        <v>2.0</v>
      </c>
      <c r="C9" s="94">
        <v>5.0</v>
      </c>
      <c r="D9" s="94">
        <v>6.0</v>
      </c>
      <c r="E9" s="91"/>
    </row>
    <row r="10">
      <c r="A10" s="8" t="s">
        <v>231</v>
      </c>
      <c r="B10" s="88">
        <v>-0.05</v>
      </c>
      <c r="C10" s="88">
        <v>-0.15</v>
      </c>
      <c r="D10" s="88">
        <v>-0.3</v>
      </c>
      <c r="E10" s="91"/>
    </row>
    <row r="11">
      <c r="A11" s="8" t="s">
        <v>234</v>
      </c>
      <c r="B11" s="94">
        <v>1.0</v>
      </c>
      <c r="C11" s="94">
        <v>6.0</v>
      </c>
      <c r="D11" s="94">
        <v>10.0</v>
      </c>
      <c r="E11" s="91"/>
    </row>
    <row r="12">
      <c r="A12" s="8" t="s">
        <v>238</v>
      </c>
      <c r="B12" s="94">
        <v>650.0</v>
      </c>
      <c r="C12" s="94">
        <v>630.0</v>
      </c>
      <c r="D12" s="94">
        <v>0.0</v>
      </c>
      <c r="E12" s="91"/>
    </row>
    <row r="13">
      <c r="A13" s="8" t="s">
        <v>240</v>
      </c>
      <c r="B13" s="94">
        <v>2.0</v>
      </c>
    </row>
    <row r="14">
      <c r="A14" s="8" t="s">
        <v>243</v>
      </c>
      <c r="B14" s="96">
        <v>10000.0</v>
      </c>
    </row>
    <row r="15">
      <c r="A15" s="8" t="s">
        <v>284</v>
      </c>
      <c r="B15" s="97">
        <v>0.05</v>
      </c>
    </row>
    <row r="17">
      <c r="A17" s="5" t="s">
        <v>292</v>
      </c>
      <c r="B17" s="6"/>
      <c r="C17" s="6"/>
      <c r="D17" s="6"/>
      <c r="E17" s="6"/>
      <c r="F17" s="7"/>
    </row>
    <row r="18">
      <c r="A18" s="13" t="s">
        <v>301</v>
      </c>
      <c r="B18" s="13" t="s">
        <v>303</v>
      </c>
      <c r="C18" s="13" t="s">
        <v>15</v>
      </c>
      <c r="D18" s="13"/>
      <c r="E18" s="13"/>
      <c r="F18" s="13"/>
    </row>
    <row r="19">
      <c r="A19" s="99">
        <v>0.0</v>
      </c>
      <c r="B19" s="94">
        <v>100.0</v>
      </c>
      <c r="C19" s="93">
        <v>1.49</v>
      </c>
    </row>
    <row r="20">
      <c r="A20" s="99">
        <v>5.0</v>
      </c>
      <c r="B20" s="94">
        <v>130.0</v>
      </c>
      <c r="C20" s="93">
        <v>1.45</v>
      </c>
    </row>
    <row r="21" ht="15.75" customHeight="1">
      <c r="A21" s="99">
        <v>6.0</v>
      </c>
      <c r="B21" s="94">
        <v>150.0</v>
      </c>
      <c r="C21" s="93">
        <v>1.45</v>
      </c>
    </row>
    <row r="22" ht="15.75" customHeight="1">
      <c r="A22" s="99">
        <v>7.0</v>
      </c>
      <c r="B22" s="94">
        <v>195.0</v>
      </c>
      <c r="C22" s="93">
        <v>1.4</v>
      </c>
    </row>
    <row r="23" ht="15.75" customHeight="1">
      <c r="A23" s="8" t="s">
        <v>321</v>
      </c>
      <c r="B23" s="94">
        <v>9.0</v>
      </c>
    </row>
    <row r="24" ht="15.75" customHeight="1">
      <c r="A24" s="8" t="s">
        <v>324</v>
      </c>
      <c r="B24" s="93">
        <v>1.4</v>
      </c>
      <c r="C24" s="93">
        <v>1.45</v>
      </c>
      <c r="D24" s="93">
        <v>1.49</v>
      </c>
    </row>
    <row r="25" ht="15.75" customHeight="1">
      <c r="A25" s="8" t="s">
        <v>330</v>
      </c>
      <c r="B25" s="99">
        <v>6.5</v>
      </c>
      <c r="C25" s="99">
        <v>5.0</v>
      </c>
      <c r="D25" s="99">
        <v>3.5</v>
      </c>
    </row>
    <row r="26" ht="15.75" customHeight="1"/>
    <row r="27" ht="15.75" customHeight="1">
      <c r="A27" s="5" t="s">
        <v>333</v>
      </c>
      <c r="B27" s="6"/>
      <c r="C27" s="6"/>
      <c r="D27" s="6"/>
      <c r="E27" s="6"/>
      <c r="F27" s="7"/>
    </row>
    <row r="28" ht="15.75" customHeight="1">
      <c r="A28" s="8" t="s">
        <v>340</v>
      </c>
      <c r="B28" s="100">
        <v>4.331</v>
      </c>
    </row>
    <row r="29" ht="15.75" customHeight="1">
      <c r="A29" s="8" t="s">
        <v>348</v>
      </c>
      <c r="B29" s="100">
        <v>21.655</v>
      </c>
    </row>
    <row r="30" ht="15.75" customHeight="1">
      <c r="A30" s="8" t="s">
        <v>351</v>
      </c>
      <c r="B30" s="94">
        <v>4.0</v>
      </c>
    </row>
    <row r="31" ht="15.75" customHeight="1">
      <c r="A31" s="8" t="s">
        <v>353</v>
      </c>
      <c r="B31" s="94">
        <v>21.0</v>
      </c>
    </row>
    <row r="32" ht="15.75" customHeight="1">
      <c r="A32" s="8" t="s">
        <v>358</v>
      </c>
      <c r="B32" s="101">
        <v>30.4375</v>
      </c>
    </row>
    <row r="33" ht="15.75" customHeight="1">
      <c r="A33" s="8" t="s">
        <v>362</v>
      </c>
      <c r="B33" s="93">
        <v>1.45</v>
      </c>
    </row>
    <row r="34" ht="15.75" customHeight="1"/>
    <row r="35" ht="15.75" customHeight="1">
      <c r="A35" s="5" t="s">
        <v>366</v>
      </c>
      <c r="B35" s="6"/>
      <c r="C35" s="6"/>
      <c r="D35" s="6"/>
      <c r="E35" s="6"/>
      <c r="F35" s="7"/>
    </row>
    <row r="36" ht="15.75" customHeight="1">
      <c r="A36" s="8" t="s">
        <v>372</v>
      </c>
      <c r="B36" s="102">
        <v>46259.0</v>
      </c>
    </row>
    <row r="37" ht="15.75" customHeight="1">
      <c r="A37" s="8" t="s">
        <v>377</v>
      </c>
      <c r="B37" s="102">
        <v>45597.0</v>
      </c>
    </row>
    <row r="38" ht="15.75" customHeight="1">
      <c r="A38" s="8" t="s">
        <v>379</v>
      </c>
      <c r="B38" s="102">
        <v>46259.0</v>
      </c>
    </row>
    <row r="39" ht="15.75" customHeight="1">
      <c r="A39" s="8" t="s">
        <v>382</v>
      </c>
      <c r="B39" s="93">
        <v>1.25</v>
      </c>
    </row>
    <row r="40" ht="15.75" customHeight="1">
      <c r="A40" s="8" t="s">
        <v>385</v>
      </c>
      <c r="B40" s="94">
        <v>3.0</v>
      </c>
    </row>
    <row r="41" ht="15.75" customHeight="1">
      <c r="A41" s="8" t="s">
        <v>390</v>
      </c>
      <c r="B41" s="96">
        <v>30000.0</v>
      </c>
    </row>
    <row r="42" ht="15.75" customHeight="1">
      <c r="A42" s="8" t="s">
        <v>392</v>
      </c>
      <c r="B42" s="94">
        <v>30.0</v>
      </c>
    </row>
    <row r="43" ht="15.75" customHeight="1">
      <c r="A43" s="8" t="s">
        <v>395</v>
      </c>
      <c r="B43" s="94">
        <v>2.0</v>
      </c>
    </row>
    <row r="44" ht="15.75" customHeight="1">
      <c r="A44" s="8" t="s">
        <v>399</v>
      </c>
      <c r="B44" s="94">
        <v>5.0</v>
      </c>
    </row>
    <row r="45" ht="15.75" customHeight="1"/>
    <row r="46" ht="15.75" customHeight="1"/>
    <row r="47" ht="15.75" customHeight="1">
      <c r="A47" s="42" t="s">
        <v>406</v>
      </c>
      <c r="B47" s="6"/>
      <c r="C47" s="6"/>
      <c r="D47" s="6"/>
      <c r="E47" s="6"/>
      <c r="F47" s="7"/>
    </row>
    <row r="48" ht="15.75" customHeight="1">
      <c r="A48" s="13" t="s">
        <v>413</v>
      </c>
      <c r="B48" s="13" t="s">
        <v>184</v>
      </c>
      <c r="C48" s="13"/>
      <c r="D48" s="13"/>
      <c r="E48" s="13"/>
      <c r="F48" s="13"/>
    </row>
    <row r="49" ht="15.75" customHeight="1">
      <c r="A49" s="8" t="s">
        <v>418</v>
      </c>
      <c r="B49" s="103">
        <v>0.85</v>
      </c>
    </row>
    <row r="50" ht="15.75" customHeight="1">
      <c r="A50" s="8" t="s">
        <v>422</v>
      </c>
      <c r="B50" s="103">
        <v>1.15</v>
      </c>
    </row>
    <row r="51" ht="15.75" customHeight="1">
      <c r="A51" s="8" t="s">
        <v>424</v>
      </c>
      <c r="B51" s="104">
        <v>0.5</v>
      </c>
    </row>
    <row r="52" ht="15.75" customHeight="1">
      <c r="A52" s="8" t="s">
        <v>431</v>
      </c>
      <c r="B52" s="104">
        <v>0.2</v>
      </c>
    </row>
    <row r="53" ht="15.75" customHeight="1"/>
    <row r="54" ht="15.75" customHeight="1">
      <c r="A54" s="4"/>
    </row>
    <row r="55" ht="15.75" customHeight="1"/>
    <row r="56" ht="15.75" customHeight="1"/>
    <row r="57" ht="15.75" customHeight="1">
      <c r="A57" s="42" t="s">
        <v>436</v>
      </c>
      <c r="B57" s="6"/>
      <c r="C57" s="6"/>
      <c r="D57" s="6"/>
      <c r="E57" s="6"/>
      <c r="F57" s="7"/>
    </row>
    <row r="58" ht="15.75" customHeight="1">
      <c r="A58" s="13" t="s">
        <v>13</v>
      </c>
      <c r="B58" s="13" t="s">
        <v>440</v>
      </c>
      <c r="C58" s="13" t="s">
        <v>442</v>
      </c>
      <c r="D58" s="13" t="s">
        <v>443</v>
      </c>
      <c r="E58" s="13" t="s">
        <v>445</v>
      </c>
      <c r="F58" s="13" t="s">
        <v>447</v>
      </c>
    </row>
    <row r="59" ht="15.75" customHeight="1">
      <c r="A59" s="8" t="s">
        <v>92</v>
      </c>
      <c r="B59" s="105" t="s">
        <v>451</v>
      </c>
      <c r="C59" s="105" t="s">
        <v>453</v>
      </c>
      <c r="D59" s="105" t="s">
        <v>453</v>
      </c>
      <c r="E59" s="105" t="s">
        <v>451</v>
      </c>
      <c r="F59" s="24">
        <f>COUNTIF('Historical Data'!$D$2:$D$9,A59)</f>
        <v>2</v>
      </c>
    </row>
    <row r="60" ht="15.75" customHeight="1">
      <c r="A60" s="8" t="s">
        <v>51</v>
      </c>
      <c r="B60" s="105" t="s">
        <v>451</v>
      </c>
      <c r="C60" s="105" t="s">
        <v>451</v>
      </c>
      <c r="D60" s="105" t="s">
        <v>451</v>
      </c>
      <c r="E60" s="105" t="s">
        <v>453</v>
      </c>
      <c r="F60" s="24">
        <f>COUNTIF('Historical Data'!$D$2:$D$9,A60)</f>
        <v>1</v>
      </c>
    </row>
    <row r="61" ht="15.75" customHeight="1">
      <c r="A61" s="8" t="s">
        <v>153</v>
      </c>
      <c r="B61" s="105" t="s">
        <v>453</v>
      </c>
      <c r="C61" s="105" t="s">
        <v>451</v>
      </c>
      <c r="D61" s="105" t="s">
        <v>451</v>
      </c>
      <c r="E61" s="105" t="s">
        <v>451</v>
      </c>
      <c r="F61" s="24">
        <f>COUNTIF('Historical Data'!$D$2:$D$9,A61)</f>
        <v>1</v>
      </c>
    </row>
    <row r="62" ht="15.75" customHeight="1">
      <c r="A62" s="8" t="s">
        <v>169</v>
      </c>
      <c r="B62" s="105" t="s">
        <v>453</v>
      </c>
      <c r="C62" s="105" t="s">
        <v>451</v>
      </c>
      <c r="D62" s="105" t="s">
        <v>451</v>
      </c>
      <c r="E62" s="105" t="s">
        <v>451</v>
      </c>
      <c r="F62" s="24">
        <f>COUNTIF('Historical Data'!$D$2:$D$9,A62)</f>
        <v>1</v>
      </c>
    </row>
    <row r="63" ht="15.75" customHeight="1">
      <c r="A63" s="8" t="s">
        <v>228</v>
      </c>
      <c r="B63" s="105" t="s">
        <v>451</v>
      </c>
      <c r="C63" s="105" t="s">
        <v>451</v>
      </c>
      <c r="D63" s="105" t="s">
        <v>451</v>
      </c>
      <c r="E63" s="105" t="s">
        <v>451</v>
      </c>
      <c r="F63" s="24">
        <f>COUNTIF('Historical Data'!$D$2:$D$9,A63)</f>
        <v>0</v>
      </c>
    </row>
    <row r="64" ht="15.75" customHeight="1">
      <c r="A64" s="8" t="s">
        <v>177</v>
      </c>
      <c r="B64" s="105" t="s">
        <v>453</v>
      </c>
      <c r="C64" s="105" t="s">
        <v>453</v>
      </c>
      <c r="D64" s="105" t="s">
        <v>451</v>
      </c>
      <c r="E64" s="105" t="s">
        <v>451</v>
      </c>
      <c r="F64" s="24">
        <f>COUNTIF('Historical Data'!$D$2:$D$9,A64)</f>
        <v>1</v>
      </c>
    </row>
    <row r="65" ht="15.75" customHeight="1">
      <c r="A65" s="8" t="s">
        <v>194</v>
      </c>
      <c r="B65" s="105" t="s">
        <v>453</v>
      </c>
      <c r="C65" s="105" t="s">
        <v>453</v>
      </c>
      <c r="D65" s="105" t="s">
        <v>451</v>
      </c>
      <c r="E65" s="105" t="s">
        <v>451</v>
      </c>
      <c r="F65" s="24">
        <f>COUNTIF('Historical Data'!$D$2:$D$9,A65)</f>
        <v>1</v>
      </c>
    </row>
    <row r="66" ht="15.75" customHeight="1">
      <c r="A66" s="8" t="s">
        <v>246</v>
      </c>
      <c r="B66" s="105" t="s">
        <v>453</v>
      </c>
      <c r="C66" s="105" t="s">
        <v>453</v>
      </c>
      <c r="D66" s="105" t="s">
        <v>451</v>
      </c>
      <c r="E66" s="105" t="s">
        <v>451</v>
      </c>
      <c r="F66" s="24">
        <f>COUNTIF('Historical Data'!$D$2:$D$9,A66)</f>
        <v>0</v>
      </c>
    </row>
    <row r="67" ht="15.75" customHeight="1">
      <c r="A67" s="8" t="s">
        <v>251</v>
      </c>
      <c r="B67" s="105" t="s">
        <v>451</v>
      </c>
      <c r="C67" s="105" t="s">
        <v>453</v>
      </c>
      <c r="D67" s="105" t="s">
        <v>453</v>
      </c>
      <c r="E67" s="105" t="s">
        <v>451</v>
      </c>
      <c r="F67" s="24">
        <f>COUNTIF('Historical Data'!$D$2:$D$9,A67)</f>
        <v>0</v>
      </c>
    </row>
    <row r="68" ht="15.75" customHeight="1">
      <c r="A68" s="8" t="s">
        <v>257</v>
      </c>
      <c r="B68" s="105" t="s">
        <v>451</v>
      </c>
      <c r="C68" s="105" t="s">
        <v>453</v>
      </c>
      <c r="D68" s="105" t="s">
        <v>453</v>
      </c>
      <c r="E68" s="105" t="s">
        <v>451</v>
      </c>
      <c r="F68" s="24">
        <f>COUNTIF('Historical Data'!$D$2:$D$9,A68)</f>
        <v>1</v>
      </c>
    </row>
    <row r="69" ht="15.75" customHeight="1">
      <c r="A69" s="8" t="s">
        <v>261</v>
      </c>
      <c r="B69" s="105" t="s">
        <v>453</v>
      </c>
      <c r="C69" s="105" t="s">
        <v>451</v>
      </c>
      <c r="D69" s="105" t="s">
        <v>451</v>
      </c>
      <c r="E69" s="105" t="s">
        <v>451</v>
      </c>
      <c r="F69" s="24">
        <f>COUNTIF('Historical Data'!$D$2:$D$9,A69)</f>
        <v>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F3"/>
    <mergeCell ref="A17:F17"/>
    <mergeCell ref="A27:F27"/>
    <mergeCell ref="A35:F35"/>
    <mergeCell ref="A47:F47"/>
    <mergeCell ref="A57:F57"/>
  </mergeCells>
  <printOptions/>
  <pageMargins bottom="1.0" footer="0.0" header="0.0" left="0.75" right="0.75" top="1.0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32.0"/>
    <col customWidth="1" min="4" max="4" width="8.57"/>
    <col customWidth="1" min="5" max="5" width="44.0"/>
    <col customWidth="1" min="6" max="6" width="8.57"/>
    <col customWidth="1" min="7" max="7" width="40.0"/>
    <col customWidth="1" min="8" max="8" width="8.57"/>
    <col customWidth="1" min="9" max="9" width="10.0"/>
    <col customWidth="1" min="10" max="10" width="8.57"/>
    <col customWidth="1" min="11" max="11" width="14.0"/>
    <col customWidth="1" min="12" max="12" width="8.57"/>
    <col customWidth="1" min="13" max="13" width="22.0"/>
    <col customWidth="1" min="14" max="26" width="8.57"/>
  </cols>
  <sheetData>
    <row r="1">
      <c r="A1" s="14" t="s">
        <v>23</v>
      </c>
      <c r="B1" s="14" t="s">
        <v>202</v>
      </c>
      <c r="C1" s="14" t="s">
        <v>203</v>
      </c>
      <c r="E1" s="14" t="s">
        <v>204</v>
      </c>
      <c r="G1" s="14" t="s">
        <v>205</v>
      </c>
      <c r="K1" s="14" t="s">
        <v>206</v>
      </c>
      <c r="M1" s="14" t="s">
        <v>207</v>
      </c>
    </row>
    <row r="2">
      <c r="A2" s="27" t="s">
        <v>208</v>
      </c>
      <c r="B2" s="27" t="s">
        <v>209</v>
      </c>
      <c r="C2" s="27" t="s">
        <v>210</v>
      </c>
      <c r="E2" s="27" t="s">
        <v>211</v>
      </c>
      <c r="G2" s="27" t="s">
        <v>212</v>
      </c>
      <c r="K2" s="26">
        <v>45292.0</v>
      </c>
      <c r="M2" s="27" t="s">
        <v>92</v>
      </c>
    </row>
    <row r="3">
      <c r="A3" s="27" t="s">
        <v>213</v>
      </c>
      <c r="B3" s="27" t="s">
        <v>214</v>
      </c>
      <c r="C3" s="27" t="s">
        <v>210</v>
      </c>
      <c r="E3" s="27" t="s">
        <v>215</v>
      </c>
      <c r="G3" s="27" t="s">
        <v>209</v>
      </c>
      <c r="K3" s="26">
        <v>45306.0</v>
      </c>
      <c r="M3" s="27" t="s">
        <v>51</v>
      </c>
    </row>
    <row r="4">
      <c r="A4" s="27" t="s">
        <v>216</v>
      </c>
      <c r="B4" s="27" t="s">
        <v>217</v>
      </c>
      <c r="C4" s="27" t="s">
        <v>210</v>
      </c>
      <c r="E4" s="27" t="s">
        <v>218</v>
      </c>
      <c r="G4" s="27" t="s">
        <v>214</v>
      </c>
      <c r="K4" s="26">
        <v>45341.0</v>
      </c>
      <c r="M4" s="27" t="s">
        <v>153</v>
      </c>
    </row>
    <row r="5">
      <c r="A5" s="27" t="s">
        <v>219</v>
      </c>
      <c r="B5" s="27" t="s">
        <v>220</v>
      </c>
      <c r="C5" s="27" t="s">
        <v>210</v>
      </c>
      <c r="E5" s="27" t="s">
        <v>221</v>
      </c>
      <c r="G5" s="27" t="s">
        <v>217</v>
      </c>
      <c r="K5" s="26">
        <v>45439.0</v>
      </c>
      <c r="M5" s="27" t="s">
        <v>169</v>
      </c>
    </row>
    <row r="6">
      <c r="A6" s="27" t="s">
        <v>223</v>
      </c>
      <c r="B6" s="27" t="s">
        <v>224</v>
      </c>
      <c r="C6" s="27" t="s">
        <v>225</v>
      </c>
      <c r="E6" s="27" t="s">
        <v>226</v>
      </c>
      <c r="G6" s="27" t="s">
        <v>227</v>
      </c>
      <c r="K6" s="26">
        <v>45462.0</v>
      </c>
      <c r="M6" s="27" t="s">
        <v>228</v>
      </c>
    </row>
    <row r="7">
      <c r="A7" s="27" t="s">
        <v>229</v>
      </c>
      <c r="B7" s="27" t="s">
        <v>230</v>
      </c>
      <c r="C7" s="27" t="s">
        <v>225</v>
      </c>
      <c r="E7" s="27" t="s">
        <v>232</v>
      </c>
      <c r="G7" s="27" t="s">
        <v>233</v>
      </c>
      <c r="K7" s="26">
        <v>45477.0</v>
      </c>
      <c r="M7" s="27" t="s">
        <v>177</v>
      </c>
    </row>
    <row r="8">
      <c r="A8" s="27" t="s">
        <v>155</v>
      </c>
      <c r="B8" s="27" t="s">
        <v>235</v>
      </c>
      <c r="C8" s="27" t="s">
        <v>236</v>
      </c>
      <c r="E8" s="27" t="s">
        <v>237</v>
      </c>
      <c r="G8" s="27" t="s">
        <v>239</v>
      </c>
      <c r="K8" s="26">
        <v>45537.0</v>
      </c>
      <c r="M8" s="27" t="s">
        <v>194</v>
      </c>
    </row>
    <row r="9">
      <c r="A9" s="27" t="s">
        <v>241</v>
      </c>
      <c r="B9" s="27" t="s">
        <v>242</v>
      </c>
      <c r="C9" s="27" t="s">
        <v>236</v>
      </c>
      <c r="E9" s="27" t="s">
        <v>244</v>
      </c>
      <c r="G9" s="27" t="s">
        <v>245</v>
      </c>
      <c r="K9" s="26">
        <v>45579.0</v>
      </c>
      <c r="M9" s="27" t="s">
        <v>246</v>
      </c>
    </row>
    <row r="10">
      <c r="A10" s="27" t="s">
        <v>247</v>
      </c>
      <c r="B10" s="27" t="s">
        <v>248</v>
      </c>
      <c r="C10" s="27" t="s">
        <v>236</v>
      </c>
      <c r="E10" s="27" t="s">
        <v>249</v>
      </c>
      <c r="G10" s="27" t="s">
        <v>250</v>
      </c>
      <c r="K10" s="26">
        <v>45607.0</v>
      </c>
      <c r="M10" s="27" t="s">
        <v>251</v>
      </c>
    </row>
    <row r="11">
      <c r="A11" s="27" t="s">
        <v>252</v>
      </c>
      <c r="B11" s="27" t="s">
        <v>253</v>
      </c>
      <c r="C11" s="27" t="s">
        <v>254</v>
      </c>
      <c r="E11" s="27" t="s">
        <v>255</v>
      </c>
      <c r="G11" s="27" t="s">
        <v>256</v>
      </c>
      <c r="K11" s="26">
        <v>45624.0</v>
      </c>
      <c r="M11" s="27" t="s">
        <v>257</v>
      </c>
    </row>
    <row r="12">
      <c r="A12" s="27" t="s">
        <v>258</v>
      </c>
      <c r="B12" s="27" t="s">
        <v>245</v>
      </c>
      <c r="C12" s="27" t="s">
        <v>254</v>
      </c>
      <c r="E12" s="27" t="s">
        <v>259</v>
      </c>
      <c r="G12" s="27" t="s">
        <v>260</v>
      </c>
      <c r="K12" s="26">
        <v>45651.0</v>
      </c>
      <c r="M12" s="27" t="s">
        <v>261</v>
      </c>
    </row>
    <row r="13">
      <c r="A13" s="27" t="s">
        <v>262</v>
      </c>
      <c r="B13" s="27" t="s">
        <v>263</v>
      </c>
      <c r="C13" s="27" t="s">
        <v>254</v>
      </c>
      <c r="E13" s="27" t="s">
        <v>264</v>
      </c>
      <c r="G13" s="27" t="s">
        <v>265</v>
      </c>
      <c r="K13" s="26">
        <v>45658.0</v>
      </c>
    </row>
    <row r="14">
      <c r="A14" s="27" t="s">
        <v>266</v>
      </c>
      <c r="B14" s="27" t="s">
        <v>267</v>
      </c>
      <c r="C14" s="27" t="s">
        <v>254</v>
      </c>
      <c r="E14" s="27" t="s">
        <v>268</v>
      </c>
      <c r="G14" s="27" t="s">
        <v>269</v>
      </c>
      <c r="K14" s="26">
        <v>45677.0</v>
      </c>
    </row>
    <row r="15">
      <c r="A15" s="27" t="s">
        <v>270</v>
      </c>
      <c r="B15" s="27" t="s">
        <v>271</v>
      </c>
      <c r="C15" s="27" t="s">
        <v>254</v>
      </c>
      <c r="E15" s="27" t="s">
        <v>272</v>
      </c>
      <c r="G15" s="27" t="s">
        <v>273</v>
      </c>
      <c r="K15" s="26">
        <v>45705.0</v>
      </c>
    </row>
    <row r="16">
      <c r="A16" s="27" t="s">
        <v>274</v>
      </c>
      <c r="B16" s="27" t="s">
        <v>269</v>
      </c>
      <c r="C16" s="27" t="s">
        <v>254</v>
      </c>
      <c r="E16" s="27" t="s">
        <v>275</v>
      </c>
      <c r="G16" s="27" t="s">
        <v>121</v>
      </c>
      <c r="K16" s="26">
        <v>45803.0</v>
      </c>
    </row>
    <row r="17">
      <c r="A17" s="27" t="s">
        <v>276</v>
      </c>
      <c r="B17" s="27" t="s">
        <v>277</v>
      </c>
      <c r="C17" s="27" t="s">
        <v>254</v>
      </c>
      <c r="E17" s="27" t="s">
        <v>278</v>
      </c>
      <c r="G17" s="27" t="s">
        <v>279</v>
      </c>
      <c r="K17" s="26">
        <v>45827.0</v>
      </c>
    </row>
    <row r="18">
      <c r="A18" s="27" t="s">
        <v>280</v>
      </c>
      <c r="B18" s="27" t="s">
        <v>281</v>
      </c>
      <c r="C18" s="27" t="s">
        <v>254</v>
      </c>
      <c r="E18" s="27" t="s">
        <v>282</v>
      </c>
      <c r="G18" s="27" t="s">
        <v>283</v>
      </c>
      <c r="K18" s="26">
        <v>45842.0</v>
      </c>
    </row>
    <row r="19">
      <c r="A19" s="27" t="s">
        <v>285</v>
      </c>
      <c r="B19" s="27" t="s">
        <v>286</v>
      </c>
      <c r="C19" s="27" t="s">
        <v>254</v>
      </c>
      <c r="E19" s="27" t="s">
        <v>287</v>
      </c>
      <c r="G19" s="27" t="s">
        <v>288</v>
      </c>
      <c r="K19" s="26">
        <v>45901.0</v>
      </c>
    </row>
    <row r="20">
      <c r="A20" s="27" t="s">
        <v>289</v>
      </c>
      <c r="B20" s="27" t="s">
        <v>290</v>
      </c>
      <c r="C20" s="27" t="s">
        <v>254</v>
      </c>
      <c r="E20" s="27" t="s">
        <v>291</v>
      </c>
      <c r="G20" s="27" t="s">
        <v>293</v>
      </c>
      <c r="K20" s="26">
        <v>45943.0</v>
      </c>
    </row>
    <row r="21" ht="15.75" customHeight="1">
      <c r="A21" s="27" t="s">
        <v>294</v>
      </c>
      <c r="B21" s="27" t="s">
        <v>295</v>
      </c>
      <c r="C21" s="27" t="s">
        <v>254</v>
      </c>
      <c r="E21" s="27" t="s">
        <v>296</v>
      </c>
      <c r="G21" s="27" t="s">
        <v>297</v>
      </c>
      <c r="K21" s="26">
        <v>45972.0</v>
      </c>
    </row>
    <row r="22" ht="15.75" customHeight="1">
      <c r="A22" s="27" t="s">
        <v>298</v>
      </c>
      <c r="B22" s="27" t="s">
        <v>288</v>
      </c>
      <c r="C22" s="27" t="s">
        <v>254</v>
      </c>
      <c r="E22" s="27" t="s">
        <v>299</v>
      </c>
      <c r="G22" s="27" t="s">
        <v>290</v>
      </c>
      <c r="K22" s="26">
        <v>45988.0</v>
      </c>
    </row>
    <row r="23" ht="15.75" customHeight="1">
      <c r="A23" s="27" t="s">
        <v>300</v>
      </c>
      <c r="B23" s="27" t="s">
        <v>302</v>
      </c>
      <c r="C23" s="27" t="s">
        <v>254</v>
      </c>
      <c r="E23" s="27" t="s">
        <v>304</v>
      </c>
      <c r="G23" s="27" t="s">
        <v>253</v>
      </c>
      <c r="K23" s="26">
        <v>46016.0</v>
      </c>
    </row>
    <row r="24" ht="15.75" customHeight="1">
      <c r="A24" s="27" t="s">
        <v>305</v>
      </c>
      <c r="B24" s="27" t="s">
        <v>306</v>
      </c>
      <c r="C24" s="27" t="s">
        <v>254</v>
      </c>
      <c r="E24" s="27" t="s">
        <v>307</v>
      </c>
      <c r="G24" s="27" t="s">
        <v>308</v>
      </c>
      <c r="K24" s="26">
        <v>46023.0</v>
      </c>
    </row>
    <row r="25" ht="15.75" customHeight="1">
      <c r="A25" s="27" t="s">
        <v>309</v>
      </c>
      <c r="B25" s="27" t="s">
        <v>310</v>
      </c>
      <c r="C25" s="27" t="s">
        <v>254</v>
      </c>
      <c r="E25" s="27" t="s">
        <v>311</v>
      </c>
      <c r="G25" s="27" t="s">
        <v>220</v>
      </c>
      <c r="K25" s="26">
        <v>46041.0</v>
      </c>
    </row>
    <row r="26" ht="15.75" customHeight="1">
      <c r="A26" s="27" t="s">
        <v>312</v>
      </c>
      <c r="B26" s="27" t="s">
        <v>313</v>
      </c>
      <c r="C26" s="27" t="s">
        <v>314</v>
      </c>
      <c r="E26" s="27" t="s">
        <v>315</v>
      </c>
      <c r="G26" s="27" t="s">
        <v>267</v>
      </c>
      <c r="K26" s="26">
        <v>46069.0</v>
      </c>
    </row>
    <row r="27" ht="15.75" customHeight="1">
      <c r="A27" s="27" t="s">
        <v>129</v>
      </c>
      <c r="B27" s="27" t="s">
        <v>316</v>
      </c>
      <c r="C27" s="27" t="s">
        <v>314</v>
      </c>
      <c r="E27" s="27" t="s">
        <v>317</v>
      </c>
      <c r="G27" s="27" t="s">
        <v>318</v>
      </c>
      <c r="K27" s="26">
        <v>46167.0</v>
      </c>
    </row>
    <row r="28" ht="15.75" customHeight="1">
      <c r="A28" s="27" t="s">
        <v>319</v>
      </c>
      <c r="B28" s="27" t="s">
        <v>320</v>
      </c>
      <c r="C28" s="27" t="s">
        <v>314</v>
      </c>
      <c r="E28" s="27" t="s">
        <v>322</v>
      </c>
      <c r="G28" s="27" t="s">
        <v>235</v>
      </c>
      <c r="K28" s="26">
        <v>46192.0</v>
      </c>
    </row>
    <row r="29" ht="15.75" customHeight="1">
      <c r="A29" s="27" t="s">
        <v>326</v>
      </c>
      <c r="B29" s="27" t="s">
        <v>227</v>
      </c>
      <c r="C29" s="27" t="s">
        <v>314</v>
      </c>
      <c r="E29" s="27" t="s">
        <v>328</v>
      </c>
      <c r="G29" s="27" t="s">
        <v>329</v>
      </c>
      <c r="K29" s="26">
        <v>46272.0</v>
      </c>
    </row>
    <row r="30" ht="15.75" customHeight="1">
      <c r="A30" s="27" t="s">
        <v>334</v>
      </c>
      <c r="B30" s="27" t="s">
        <v>335</v>
      </c>
      <c r="C30" s="27" t="s">
        <v>314</v>
      </c>
      <c r="E30" s="27" t="s">
        <v>336</v>
      </c>
      <c r="G30" s="27" t="s">
        <v>337</v>
      </c>
      <c r="K30" s="26">
        <v>46307.0</v>
      </c>
    </row>
    <row r="31" ht="15.75" customHeight="1">
      <c r="A31" s="27" t="s">
        <v>338</v>
      </c>
      <c r="B31" s="27" t="s">
        <v>273</v>
      </c>
      <c r="C31" s="27" t="s">
        <v>314</v>
      </c>
      <c r="E31" s="27" t="s">
        <v>339</v>
      </c>
      <c r="G31" s="27" t="s">
        <v>242</v>
      </c>
      <c r="K31" s="26">
        <v>46337.0</v>
      </c>
    </row>
    <row r="32" ht="15.75" customHeight="1">
      <c r="A32" s="27" t="s">
        <v>341</v>
      </c>
      <c r="B32" s="27" t="s">
        <v>283</v>
      </c>
      <c r="C32" s="27" t="s">
        <v>314</v>
      </c>
      <c r="E32" s="27" t="s">
        <v>342</v>
      </c>
      <c r="G32" s="27" t="s">
        <v>343</v>
      </c>
      <c r="K32" s="26">
        <v>46352.0</v>
      </c>
    </row>
    <row r="33" ht="15.75" customHeight="1">
      <c r="A33" s="27" t="s">
        <v>344</v>
      </c>
      <c r="B33" s="27" t="s">
        <v>345</v>
      </c>
      <c r="C33" s="27" t="s">
        <v>346</v>
      </c>
      <c r="E33" s="27" t="s">
        <v>347</v>
      </c>
      <c r="G33" s="27" t="s">
        <v>295</v>
      </c>
      <c r="K33" s="26">
        <v>46381.0</v>
      </c>
    </row>
    <row r="34" ht="15.75" customHeight="1">
      <c r="A34" s="27" t="s">
        <v>349</v>
      </c>
      <c r="B34" s="27" t="s">
        <v>350</v>
      </c>
      <c r="C34" s="27" t="s">
        <v>346</v>
      </c>
      <c r="E34" s="27" t="s">
        <v>352</v>
      </c>
      <c r="G34" s="27" t="s">
        <v>306</v>
      </c>
      <c r="K34" s="26">
        <v>46388.0</v>
      </c>
    </row>
    <row r="35" ht="15.75" customHeight="1">
      <c r="A35" s="27" t="s">
        <v>354</v>
      </c>
      <c r="B35" s="27" t="s">
        <v>260</v>
      </c>
      <c r="C35" s="27" t="s">
        <v>355</v>
      </c>
      <c r="E35" s="27" t="s">
        <v>356</v>
      </c>
      <c r="G35" s="27" t="s">
        <v>357</v>
      </c>
      <c r="K35" s="26">
        <v>46405.0</v>
      </c>
    </row>
    <row r="36" ht="15.75" customHeight="1">
      <c r="A36" s="27" t="s">
        <v>359</v>
      </c>
      <c r="B36" s="27" t="s">
        <v>329</v>
      </c>
      <c r="C36" s="27" t="s">
        <v>355</v>
      </c>
      <c r="E36" s="27" t="s">
        <v>360</v>
      </c>
      <c r="G36" s="27" t="s">
        <v>361</v>
      </c>
      <c r="K36" s="26">
        <v>46433.0</v>
      </c>
    </row>
    <row r="37" ht="15.75" customHeight="1">
      <c r="A37" s="27" t="s">
        <v>363</v>
      </c>
      <c r="B37" s="27" t="s">
        <v>308</v>
      </c>
      <c r="C37" s="27" t="s">
        <v>355</v>
      </c>
      <c r="E37" s="27" t="s">
        <v>364</v>
      </c>
      <c r="G37" s="27" t="s">
        <v>365</v>
      </c>
      <c r="K37" s="26">
        <v>46538.0</v>
      </c>
    </row>
    <row r="38" ht="15.75" customHeight="1">
      <c r="A38" s="27" t="s">
        <v>367</v>
      </c>
      <c r="B38" s="27" t="s">
        <v>250</v>
      </c>
      <c r="C38" s="27" t="s">
        <v>355</v>
      </c>
      <c r="E38" s="27" t="s">
        <v>368</v>
      </c>
      <c r="G38" s="27" t="s">
        <v>369</v>
      </c>
      <c r="K38" s="26">
        <v>46573.0</v>
      </c>
    </row>
    <row r="39" ht="15.75" customHeight="1">
      <c r="A39" s="27" t="s">
        <v>370</v>
      </c>
      <c r="B39" s="27" t="s">
        <v>239</v>
      </c>
      <c r="C39" s="27" t="s">
        <v>355</v>
      </c>
      <c r="E39" s="27" t="s">
        <v>371</v>
      </c>
      <c r="G39" s="27" t="s">
        <v>313</v>
      </c>
      <c r="K39" s="26">
        <v>46636.0</v>
      </c>
    </row>
    <row r="40" ht="15.75" customHeight="1">
      <c r="A40" s="27" t="s">
        <v>373</v>
      </c>
      <c r="B40" s="27" t="s">
        <v>318</v>
      </c>
      <c r="C40" s="27" t="s">
        <v>355</v>
      </c>
      <c r="E40" s="27" t="s">
        <v>374</v>
      </c>
      <c r="G40" s="27" t="s">
        <v>263</v>
      </c>
      <c r="K40" s="26">
        <v>46671.0</v>
      </c>
    </row>
    <row r="41" ht="15.75" customHeight="1">
      <c r="A41" s="27" t="s">
        <v>94</v>
      </c>
      <c r="B41" s="27" t="s">
        <v>121</v>
      </c>
      <c r="C41" s="27" t="s">
        <v>355</v>
      </c>
      <c r="E41" s="27" t="s">
        <v>375</v>
      </c>
      <c r="G41" s="27" t="s">
        <v>376</v>
      </c>
      <c r="K41" s="26">
        <v>46702.0</v>
      </c>
    </row>
    <row r="42" ht="15.75" customHeight="1">
      <c r="A42" s="27" t="s">
        <v>378</v>
      </c>
      <c r="B42" s="27" t="s">
        <v>380</v>
      </c>
      <c r="C42" s="27" t="s">
        <v>355</v>
      </c>
      <c r="E42" s="27" t="s">
        <v>381</v>
      </c>
      <c r="G42" s="27" t="s">
        <v>310</v>
      </c>
      <c r="K42" s="26">
        <v>46716.0</v>
      </c>
    </row>
    <row r="43" ht="15.75" customHeight="1">
      <c r="A43" s="27" t="s">
        <v>383</v>
      </c>
      <c r="B43" s="27" t="s">
        <v>384</v>
      </c>
      <c r="C43" s="27" t="s">
        <v>386</v>
      </c>
      <c r="E43" s="27" t="s">
        <v>387</v>
      </c>
      <c r="G43" s="27" t="s">
        <v>388</v>
      </c>
    </row>
    <row r="44" ht="15.75" customHeight="1">
      <c r="A44" s="27" t="s">
        <v>389</v>
      </c>
      <c r="B44" s="27" t="s">
        <v>361</v>
      </c>
      <c r="C44" s="27" t="s">
        <v>386</v>
      </c>
      <c r="E44" s="27" t="s">
        <v>391</v>
      </c>
      <c r="G44" s="27" t="s">
        <v>380</v>
      </c>
    </row>
    <row r="45" ht="15.75" customHeight="1">
      <c r="A45" s="27" t="s">
        <v>393</v>
      </c>
      <c r="B45" s="27" t="s">
        <v>357</v>
      </c>
      <c r="C45" s="27" t="s">
        <v>386</v>
      </c>
      <c r="E45" s="27" t="s">
        <v>394</v>
      </c>
      <c r="G45" s="27" t="s">
        <v>396</v>
      </c>
    </row>
    <row r="46" ht="15.75" customHeight="1">
      <c r="A46" s="27" t="s">
        <v>397</v>
      </c>
      <c r="B46" s="27" t="s">
        <v>398</v>
      </c>
      <c r="C46" s="27" t="s">
        <v>386</v>
      </c>
      <c r="E46" s="27" t="s">
        <v>400</v>
      </c>
      <c r="G46" s="27" t="s">
        <v>401</v>
      </c>
    </row>
    <row r="47" ht="15.75" customHeight="1">
      <c r="A47" s="27" t="s">
        <v>402</v>
      </c>
      <c r="B47" s="27" t="s">
        <v>343</v>
      </c>
      <c r="C47" s="27" t="s">
        <v>403</v>
      </c>
      <c r="E47" s="27" t="s">
        <v>404</v>
      </c>
      <c r="G47" s="27" t="s">
        <v>405</v>
      </c>
    </row>
    <row r="48" ht="15.75" customHeight="1">
      <c r="A48" s="27" t="s">
        <v>179</v>
      </c>
      <c r="B48" s="27" t="s">
        <v>407</v>
      </c>
      <c r="C48" s="27" t="s">
        <v>403</v>
      </c>
      <c r="E48" s="27" t="s">
        <v>408</v>
      </c>
      <c r="G48" s="27" t="s">
        <v>230</v>
      </c>
    </row>
    <row r="49" ht="15.75" customHeight="1">
      <c r="A49" s="27" t="s">
        <v>409</v>
      </c>
      <c r="B49" s="27" t="s">
        <v>265</v>
      </c>
      <c r="C49" s="27" t="s">
        <v>403</v>
      </c>
      <c r="E49" s="27" t="s">
        <v>410</v>
      </c>
      <c r="G49" s="27" t="s">
        <v>224</v>
      </c>
    </row>
    <row r="50" ht="15.75" customHeight="1">
      <c r="A50" s="27" t="s">
        <v>171</v>
      </c>
      <c r="B50" s="27" t="s">
        <v>256</v>
      </c>
      <c r="C50" s="27" t="s">
        <v>403</v>
      </c>
      <c r="E50" s="27" t="s">
        <v>411</v>
      </c>
      <c r="G50" s="27" t="s">
        <v>407</v>
      </c>
    </row>
    <row r="51" ht="15.75" customHeight="1">
      <c r="A51" s="27" t="s">
        <v>412</v>
      </c>
      <c r="B51" s="27" t="s">
        <v>388</v>
      </c>
      <c r="C51" s="27" t="s">
        <v>403</v>
      </c>
      <c r="E51" s="27" t="s">
        <v>414</v>
      </c>
      <c r="G51" s="27" t="s">
        <v>286</v>
      </c>
    </row>
    <row r="52" ht="15.75" customHeight="1">
      <c r="A52" s="27" t="s">
        <v>415</v>
      </c>
      <c r="B52" s="27" t="s">
        <v>396</v>
      </c>
      <c r="C52" s="27" t="s">
        <v>403</v>
      </c>
      <c r="E52" s="27" t="s">
        <v>416</v>
      </c>
      <c r="G52" s="27" t="s">
        <v>271</v>
      </c>
    </row>
    <row r="53" ht="15.75" customHeight="1">
      <c r="A53" s="27" t="s">
        <v>417</v>
      </c>
      <c r="B53" s="27" t="s">
        <v>233</v>
      </c>
      <c r="C53" s="27" t="s">
        <v>403</v>
      </c>
      <c r="E53" s="27" t="s">
        <v>419</v>
      </c>
      <c r="G53" s="27" t="s">
        <v>398</v>
      </c>
    </row>
    <row r="54" ht="15.75" customHeight="1">
      <c r="A54" s="27" t="s">
        <v>332</v>
      </c>
      <c r="B54" s="27" t="s">
        <v>337</v>
      </c>
      <c r="C54" s="27" t="s">
        <v>403</v>
      </c>
      <c r="E54" s="27" t="s">
        <v>420</v>
      </c>
      <c r="G54" s="27" t="s">
        <v>277</v>
      </c>
    </row>
    <row r="55" ht="15.75" customHeight="1">
      <c r="A55" s="27" t="s">
        <v>421</v>
      </c>
      <c r="B55" s="27" t="s">
        <v>369</v>
      </c>
      <c r="C55" s="27" t="s">
        <v>403</v>
      </c>
      <c r="E55" s="27" t="s">
        <v>423</v>
      </c>
      <c r="G55" s="27" t="s">
        <v>384</v>
      </c>
    </row>
    <row r="56" ht="15.75" customHeight="1">
      <c r="A56" s="27" t="s">
        <v>425</v>
      </c>
      <c r="B56" s="27" t="s">
        <v>279</v>
      </c>
      <c r="C56" s="27" t="s">
        <v>403</v>
      </c>
      <c r="E56" s="27" t="s">
        <v>426</v>
      </c>
      <c r="G56" s="27" t="s">
        <v>427</v>
      </c>
    </row>
    <row r="57" ht="15.75" customHeight="1">
      <c r="A57" s="27" t="s">
        <v>428</v>
      </c>
      <c r="B57" s="27" t="s">
        <v>429</v>
      </c>
      <c r="C57" s="27" t="s">
        <v>403</v>
      </c>
      <c r="E57" s="27" t="s">
        <v>430</v>
      </c>
      <c r="G57" s="27" t="s">
        <v>429</v>
      </c>
    </row>
    <row r="58" ht="15.75" customHeight="1">
      <c r="A58" s="27" t="s">
        <v>432</v>
      </c>
      <c r="B58" s="27" t="s">
        <v>401</v>
      </c>
      <c r="C58" s="27" t="s">
        <v>403</v>
      </c>
      <c r="E58" s="27" t="s">
        <v>433</v>
      </c>
      <c r="G58" s="27" t="s">
        <v>248</v>
      </c>
    </row>
    <row r="59" ht="15.75" customHeight="1">
      <c r="A59" s="27" t="s">
        <v>434</v>
      </c>
      <c r="B59" s="27" t="s">
        <v>376</v>
      </c>
      <c r="C59" s="27" t="s">
        <v>403</v>
      </c>
      <c r="E59" s="27" t="s">
        <v>435</v>
      </c>
      <c r="G59" s="27" t="s">
        <v>281</v>
      </c>
    </row>
    <row r="60" ht="15.75" customHeight="1">
      <c r="A60" s="27" t="s">
        <v>437</v>
      </c>
      <c r="B60" s="27" t="s">
        <v>293</v>
      </c>
      <c r="C60" s="27" t="s">
        <v>403</v>
      </c>
      <c r="E60" s="27" t="s">
        <v>438</v>
      </c>
      <c r="G60" s="27" t="s">
        <v>302</v>
      </c>
    </row>
    <row r="61" ht="15.75" customHeight="1">
      <c r="A61" s="27" t="s">
        <v>439</v>
      </c>
      <c r="B61" s="27" t="s">
        <v>427</v>
      </c>
      <c r="C61" s="27" t="s">
        <v>403</v>
      </c>
      <c r="E61" s="27" t="s">
        <v>441</v>
      </c>
      <c r="G61" s="27" t="s">
        <v>335</v>
      </c>
    </row>
    <row r="62" ht="15.75" customHeight="1">
      <c r="A62" s="27" t="s">
        <v>444</v>
      </c>
      <c r="B62" s="27" t="s">
        <v>365</v>
      </c>
      <c r="C62" s="27" t="s">
        <v>446</v>
      </c>
      <c r="E62" s="27" t="s">
        <v>448</v>
      </c>
      <c r="G62" s="27" t="s">
        <v>316</v>
      </c>
    </row>
    <row r="63" ht="15.75" customHeight="1">
      <c r="A63" s="27" t="s">
        <v>449</v>
      </c>
      <c r="B63" s="27" t="s">
        <v>297</v>
      </c>
      <c r="C63" s="27" t="s">
        <v>446</v>
      </c>
      <c r="E63" s="27" t="s">
        <v>450</v>
      </c>
      <c r="G63" s="27" t="s">
        <v>320</v>
      </c>
    </row>
    <row r="64" ht="15.75" customHeight="1">
      <c r="A64" s="27" t="s">
        <v>452</v>
      </c>
      <c r="B64" s="27" t="s">
        <v>212</v>
      </c>
      <c r="C64" s="27" t="s">
        <v>446</v>
      </c>
      <c r="E64" s="27" t="s">
        <v>96</v>
      </c>
      <c r="G64" s="27" t="s">
        <v>345</v>
      </c>
    </row>
    <row r="65" ht="15.75" customHeight="1">
      <c r="A65" s="27" t="s">
        <v>454</v>
      </c>
      <c r="B65" s="27" t="s">
        <v>405</v>
      </c>
      <c r="C65" s="27" t="s">
        <v>446</v>
      </c>
      <c r="E65" s="27" t="s">
        <v>455</v>
      </c>
      <c r="G65" s="27" t="s">
        <v>350</v>
      </c>
    </row>
    <row r="66" ht="15.75" customHeight="1">
      <c r="E66" s="27" t="s">
        <v>456</v>
      </c>
      <c r="G66" s="27" t="s">
        <v>457</v>
      </c>
    </row>
    <row r="67" ht="15.75" customHeight="1">
      <c r="E67" s="27" t="s">
        <v>458</v>
      </c>
      <c r="G67" s="27" t="s">
        <v>459</v>
      </c>
    </row>
    <row r="68" ht="15.75" customHeight="1">
      <c r="E68" s="27" t="s">
        <v>460</v>
      </c>
    </row>
    <row r="69" ht="15.75" customHeight="1">
      <c r="E69" s="27" t="s">
        <v>461</v>
      </c>
    </row>
    <row r="70" ht="15.75" customHeight="1">
      <c r="E70" s="27" t="s">
        <v>462</v>
      </c>
    </row>
    <row r="71" ht="15.75" customHeight="1">
      <c r="E71" s="27" t="s">
        <v>463</v>
      </c>
    </row>
    <row r="72" ht="15.75" customHeight="1">
      <c r="E72" s="27" t="s">
        <v>464</v>
      </c>
    </row>
    <row r="73" ht="15.75" customHeight="1">
      <c r="E73" s="27" t="s">
        <v>465</v>
      </c>
    </row>
    <row r="74" ht="15.75" customHeight="1">
      <c r="E74" s="27" t="s">
        <v>466</v>
      </c>
    </row>
    <row r="75" ht="15.75" customHeight="1">
      <c r="E75" s="27" t="s">
        <v>467</v>
      </c>
    </row>
    <row r="76" ht="15.75" customHeight="1">
      <c r="E76" s="27" t="s">
        <v>468</v>
      </c>
    </row>
    <row r="77" ht="15.75" customHeight="1">
      <c r="E77" s="27" t="s">
        <v>469</v>
      </c>
    </row>
    <row r="78" ht="15.75" customHeight="1">
      <c r="E78" s="27" t="s">
        <v>470</v>
      </c>
    </row>
    <row r="79" ht="15.75" customHeight="1">
      <c r="E79" s="27" t="s">
        <v>471</v>
      </c>
    </row>
    <row r="80" ht="15.75" customHeight="1">
      <c r="E80" s="27" t="s">
        <v>472</v>
      </c>
    </row>
    <row r="81" ht="15.75" customHeight="1">
      <c r="E81" s="27" t="s">
        <v>473</v>
      </c>
    </row>
    <row r="82" ht="15.75" customHeight="1">
      <c r="E82" s="27" t="s">
        <v>474</v>
      </c>
    </row>
    <row r="83" ht="15.75" customHeight="1">
      <c r="E83" s="27" t="s">
        <v>475</v>
      </c>
    </row>
    <row r="84" ht="15.75" customHeight="1">
      <c r="E84" s="27" t="s">
        <v>476</v>
      </c>
    </row>
    <row r="85" ht="15.75" customHeight="1">
      <c r="E85" s="27" t="s">
        <v>477</v>
      </c>
    </row>
    <row r="86" ht="15.75" customHeight="1">
      <c r="E86" s="27" t="s">
        <v>478</v>
      </c>
    </row>
    <row r="87" ht="15.75" customHeight="1">
      <c r="E87" s="27" t="s">
        <v>479</v>
      </c>
    </row>
    <row r="88" ht="15.75" customHeight="1">
      <c r="E88" s="27" t="s">
        <v>480</v>
      </c>
    </row>
    <row r="89" ht="15.75" customHeight="1">
      <c r="E89" s="27" t="s">
        <v>481</v>
      </c>
    </row>
    <row r="90" ht="15.75" customHeight="1">
      <c r="E90" s="27" t="s">
        <v>482</v>
      </c>
    </row>
    <row r="91" ht="15.75" customHeight="1">
      <c r="E91" s="27" t="s">
        <v>483</v>
      </c>
    </row>
    <row r="92" ht="15.75" customHeight="1">
      <c r="E92" s="27" t="s">
        <v>484</v>
      </c>
    </row>
    <row r="93" ht="15.75" customHeight="1">
      <c r="E93" s="27" t="s">
        <v>485</v>
      </c>
    </row>
    <row r="94" ht="15.75" customHeight="1">
      <c r="E94" s="27" t="s">
        <v>486</v>
      </c>
    </row>
    <row r="95" ht="15.75" customHeight="1">
      <c r="E95" s="27" t="s">
        <v>487</v>
      </c>
    </row>
    <row r="96" ht="15.75" customHeight="1">
      <c r="E96" s="27" t="s">
        <v>488</v>
      </c>
    </row>
    <row r="97" ht="15.75" customHeight="1">
      <c r="E97" s="27" t="s">
        <v>489</v>
      </c>
    </row>
    <row r="98" ht="15.75" customHeight="1">
      <c r="E98" s="27" t="s">
        <v>490</v>
      </c>
    </row>
    <row r="99" ht="15.75" customHeight="1">
      <c r="E99" s="27" t="s">
        <v>491</v>
      </c>
    </row>
    <row r="100" ht="15.75" customHeight="1">
      <c r="E100" s="27" t="s">
        <v>492</v>
      </c>
    </row>
    <row r="101" ht="15.75" customHeight="1">
      <c r="E101" s="27" t="s">
        <v>493</v>
      </c>
    </row>
    <row r="102" ht="15.75" customHeight="1">
      <c r="E102" s="27" t="s">
        <v>494</v>
      </c>
    </row>
    <row r="103" ht="15.75" customHeight="1">
      <c r="E103" s="27" t="s">
        <v>495</v>
      </c>
    </row>
    <row r="104" ht="15.75" customHeight="1">
      <c r="E104" s="27" t="s">
        <v>496</v>
      </c>
    </row>
    <row r="105" ht="15.75" customHeight="1">
      <c r="E105" s="27" t="s">
        <v>497</v>
      </c>
    </row>
    <row r="106" ht="15.75" customHeight="1">
      <c r="E106" s="27" t="s">
        <v>499</v>
      </c>
    </row>
    <row r="107" ht="15.75" customHeight="1">
      <c r="E107" s="27" t="s">
        <v>500</v>
      </c>
    </row>
    <row r="108" ht="15.75" customHeight="1">
      <c r="E108" s="27" t="s">
        <v>501</v>
      </c>
    </row>
    <row r="109" ht="15.75" customHeight="1">
      <c r="E109" s="27" t="s">
        <v>502</v>
      </c>
    </row>
    <row r="110" ht="15.75" customHeight="1">
      <c r="E110" s="27" t="s">
        <v>503</v>
      </c>
    </row>
    <row r="111" ht="15.75" customHeight="1">
      <c r="E111" s="27" t="s">
        <v>504</v>
      </c>
    </row>
    <row r="112" ht="15.75" customHeight="1">
      <c r="E112" s="27" t="s">
        <v>505</v>
      </c>
    </row>
    <row r="113" ht="15.75" customHeight="1">
      <c r="E113" s="27" t="s">
        <v>506</v>
      </c>
    </row>
    <row r="114" ht="15.75" customHeight="1">
      <c r="E114" s="27" t="s">
        <v>507</v>
      </c>
    </row>
    <row r="115" ht="15.75" customHeight="1">
      <c r="E115" s="27" t="s">
        <v>508</v>
      </c>
    </row>
    <row r="116" ht="15.75" customHeight="1">
      <c r="E116" s="27" t="s">
        <v>509</v>
      </c>
    </row>
    <row r="117" ht="15.75" customHeight="1">
      <c r="E117" s="27" t="s">
        <v>510</v>
      </c>
    </row>
    <row r="118" ht="15.75" customHeight="1">
      <c r="E118" s="27" t="s">
        <v>511</v>
      </c>
    </row>
    <row r="119" ht="15.75" customHeight="1">
      <c r="E119" s="27" t="s">
        <v>512</v>
      </c>
    </row>
    <row r="120" ht="15.75" customHeight="1">
      <c r="E120" s="27" t="s">
        <v>513</v>
      </c>
    </row>
    <row r="121" ht="15.75" customHeight="1">
      <c r="E121" s="27" t="s">
        <v>514</v>
      </c>
    </row>
    <row r="122" ht="15.75" customHeight="1">
      <c r="E122" s="27" t="s">
        <v>515</v>
      </c>
    </row>
    <row r="123" ht="15.75" customHeight="1">
      <c r="E123" s="27" t="s">
        <v>517</v>
      </c>
    </row>
    <row r="124" ht="15.75" customHeight="1">
      <c r="E124" s="27" t="s">
        <v>518</v>
      </c>
    </row>
    <row r="125" ht="15.75" customHeight="1">
      <c r="E125" s="27" t="s">
        <v>519</v>
      </c>
    </row>
    <row r="126" ht="15.75" customHeight="1">
      <c r="E126" s="27" t="s">
        <v>520</v>
      </c>
    </row>
    <row r="127" ht="15.75" customHeight="1">
      <c r="E127" s="27" t="s">
        <v>521</v>
      </c>
    </row>
    <row r="128" ht="15.75" customHeight="1">
      <c r="E128" s="27" t="s">
        <v>522</v>
      </c>
    </row>
    <row r="129" ht="15.75" customHeight="1">
      <c r="E129" s="27" t="s">
        <v>524</v>
      </c>
    </row>
    <row r="130" ht="15.75" customHeight="1">
      <c r="E130" s="27" t="s">
        <v>525</v>
      </c>
    </row>
    <row r="131" ht="15.75" customHeight="1">
      <c r="E131" s="27" t="s">
        <v>526</v>
      </c>
    </row>
    <row r="132" ht="15.75" customHeight="1">
      <c r="E132" s="27" t="s">
        <v>528</v>
      </c>
    </row>
    <row r="133" ht="15.75" customHeight="1">
      <c r="E133" s="27" t="s">
        <v>529</v>
      </c>
    </row>
    <row r="134" ht="15.75" customHeight="1">
      <c r="E134" s="27" t="s">
        <v>530</v>
      </c>
    </row>
    <row r="135" ht="15.75" customHeight="1">
      <c r="E135" s="27" t="s">
        <v>531</v>
      </c>
    </row>
    <row r="136" ht="15.75" customHeight="1">
      <c r="E136" s="27" t="s">
        <v>532</v>
      </c>
    </row>
    <row r="137" ht="15.75" customHeight="1">
      <c r="E137" s="27" t="s">
        <v>534</v>
      </c>
    </row>
    <row r="138" ht="15.75" customHeight="1">
      <c r="E138" s="27" t="s">
        <v>537</v>
      </c>
    </row>
    <row r="139" ht="15.75" customHeight="1">
      <c r="E139" s="27" t="s">
        <v>538</v>
      </c>
    </row>
    <row r="140" ht="15.75" customHeight="1">
      <c r="E140" s="27" t="s">
        <v>540</v>
      </c>
    </row>
    <row r="141" ht="15.75" customHeight="1">
      <c r="E141" s="27" t="s">
        <v>541</v>
      </c>
    </row>
    <row r="142" ht="15.75" customHeight="1">
      <c r="E142" s="27" t="s">
        <v>542</v>
      </c>
    </row>
    <row r="143" ht="15.75" customHeight="1">
      <c r="E143" s="27" t="s">
        <v>543</v>
      </c>
    </row>
    <row r="144" ht="15.75" customHeight="1">
      <c r="E144" s="27" t="s">
        <v>544</v>
      </c>
    </row>
    <row r="145" ht="15.75" customHeight="1">
      <c r="E145" s="27" t="s">
        <v>545</v>
      </c>
    </row>
    <row r="146" ht="15.75" customHeight="1">
      <c r="E146" s="27" t="s">
        <v>546</v>
      </c>
    </row>
    <row r="147" ht="15.75" customHeight="1">
      <c r="E147" s="27" t="s">
        <v>548</v>
      </c>
    </row>
    <row r="148" ht="15.75" customHeight="1">
      <c r="E148" s="27" t="s">
        <v>549</v>
      </c>
    </row>
    <row r="149" ht="15.75" customHeight="1">
      <c r="E149" s="27" t="s">
        <v>550</v>
      </c>
    </row>
    <row r="150" ht="15.75" customHeight="1">
      <c r="E150" s="27" t="s">
        <v>551</v>
      </c>
    </row>
    <row r="151" ht="15.75" customHeight="1">
      <c r="E151" s="27" t="s">
        <v>552</v>
      </c>
    </row>
    <row r="152" ht="15.75" customHeight="1">
      <c r="E152" s="27" t="s">
        <v>553</v>
      </c>
    </row>
    <row r="153" ht="15.75" customHeight="1">
      <c r="E153" s="27" t="s">
        <v>554</v>
      </c>
    </row>
    <row r="154" ht="15.75" customHeight="1">
      <c r="E154" s="27" t="s">
        <v>134</v>
      </c>
    </row>
    <row r="155" ht="15.75" customHeight="1">
      <c r="E155" s="27" t="s">
        <v>557</v>
      </c>
    </row>
    <row r="156" ht="15.75" customHeight="1">
      <c r="E156" s="27" t="s">
        <v>558</v>
      </c>
    </row>
    <row r="157" ht="15.75" customHeight="1">
      <c r="E157" s="27" t="s">
        <v>559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2026-09-07T23:52:22Z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