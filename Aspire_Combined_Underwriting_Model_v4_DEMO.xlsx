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" sheetId="2" state="visible" r:id="rId4"/>
    <sheet name="Historical Score" sheetId="3" state="visible" r:id="rId5"/>
    <sheet name="Comparable Deals" sheetId="4" state="visible" r:id="rId6"/>
    <sheet name="Historical Data" sheetId="5" state="visible" r:id="rId7"/>
    <sheet name="Controls" sheetId="6" state="visible" r:id="rId8"/>
    <sheet name="Ref" sheetId="7" state="visible" r:id="rId9"/>
  </sheets>
  <definedNames>
    <definedName function="false" hidden="true" localSheetId="3" name="_xlnm._FilterDatabase" vbProcedure="false">'Comparable Deals'!$A$4:$V$12</definedName>
    <definedName function="false" hidden="false" name="D26D33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<sst xmlns="http://schemas.openxmlformats.org/spreadsheetml/2006/main" count="924" uniqueCount="640">
  <si>
    <t xml:space="preserve">ASPIRE COMBINED UNDERWRITING MODEL  v4  -  DEMO: 8 sample deals, Deal sheet populated</t>
  </si>
  <si>
    <t xml:space="preserve">HOW TO RUN A DEAL</t>
  </si>
  <si>
    <t xml:space="preserve">Deal sheet: sections A, B and existing positions as always; DEAL PROFILE (right of the bank data): ISO, industry, new/renewal, credit score. Position comes from C42.</t>
  </si>
  <si>
    <t xml:space="preserve">Read C (cash flow), C2 (house-book indicators, same colour code), D (decision on the requested offer), E (max offer at the sizing line). Section F is an outline of the final offer, to be built.</t>
  </si>
  <si>
    <t xml:space="preserve">HOW THE HOUSE BOOK CHANGES THE OFFER</t>
  </si>
  <si>
    <t xml:space="preserve">1. Historical Score matches the deal to seven cohorts (new/renewal + industry + position ... down to the whole seasoned book) and picks the LOWEST tier with enough seasoned deals and dollars (Controls section 4).</t>
  </si>
  <si>
    <t xml:space="preserve">2. Index = that cohort's principal lost rate / the seasoned book's. Outcome: SUPPORTIVE (index &lt;= 0.85), NEUTRAL, NEGATIVE (index &gt; 1.15). Thresholds on Controls section 5.</t>
  </si>
  <si>
    <t xml:space="preserve">3. Supportive moves the sizing lines (column H of section C) part-way toward the red lines, so section E sizes a larger max and metrics may show YELLOW, never RED. Neutral = the tool exactly as built. Negative = green lines, then a fund cut in section F (planned).</t>
  </si>
  <si>
    <t xml:space="preserve">SIDE NOTE</t>
  </si>
  <si>
    <t xml:space="preserve">A blend rate and a credibility factor (small cohorts pulled toward the book) are under consideration; not built.</t>
  </si>
  <si>
    <t xml:space="preserve">COLOUR KEY (colour-blind safe)</t>
  </si>
  <si>
    <t xml:space="preserve">Editable = bold black on grey with a thick border. Italic grey = link to Controls. Statuses are always written as words (GREEN / YELLOW / RED / KNOCKOUT) as well as coloured.</t>
  </si>
  <si>
    <t xml:space="preserve"> UNDERWRITING TOOL</t>
  </si>
  <si>
    <t xml:space="preserve">DECISION</t>
  </si>
  <si>
    <t xml:space="preserve">A.  OFFER</t>
  </si>
  <si>
    <t xml:space="preserve">MONEYBADGER CROSS-CHECK</t>
  </si>
  <si>
    <t xml:space="preserve">Fund $</t>
  </si>
  <si>
    <t xml:space="preserve">Factor</t>
  </si>
  <si>
    <t xml:space="preserve">Freq</t>
  </si>
  <si>
    <t xml:space="preserve">Fee %</t>
  </si>
  <si>
    <t xml:space="preserve">Metric</t>
  </si>
  <si>
    <t xml:space="preserve">This tool</t>
  </si>
  <si>
    <t xml:space="preserve">MoneyBadger</t>
  </si>
  <si>
    <t xml:space="preserve">Diff</t>
  </si>
  <si>
    <t xml:space="preserve">Weekly</t>
  </si>
  <si>
    <t xml:space="preserve">Payback</t>
  </si>
  <si>
    <t xml:space="preserve">Daily $</t>
  </si>
  <si>
    <t xml:space="preserve">Weekly $</t>
  </si>
  <si>
    <t xml:space="preserve">Monthly $</t>
  </si>
  <si>
    <t xml:space="preserve">Term (mo)</t>
  </si>
  <si>
    <t xml:space="preserve">Net $</t>
  </si>
  <si>
    <t xml:space="preserve">Holdback %</t>
  </si>
  <si>
    <t xml:space="preserve">Weeks / month</t>
  </si>
  <si>
    <t xml:space="preserve">Days / month</t>
  </si>
  <si>
    <t xml:space="preserve">B.  BANK DATA  (up to 12 months)</t>
  </si>
  <si>
    <t xml:space="preserve">Month - NEWEST FIRST</t>
  </si>
  <si>
    <t xml:space="preserve">True rev $</t>
  </si>
  <si>
    <t xml:space="preserve">Avg daily bal $</t>
  </si>
  <si>
    <t xml:space="preserve">Neg days</t>
  </si>
  <si>
    <t xml:space="preserve">NSFs</t>
  </si>
  <si>
    <t xml:space="preserve">MoM %</t>
  </si>
  <si>
    <t xml:space="preserve">DEAL PROFILE  (house-book match inputs)</t>
  </si>
  <si>
    <t xml:space="preserve">Aug</t>
  </si>
  <si>
    <t xml:space="preserve">ISO</t>
  </si>
  <si>
    <t xml:space="preserve">Fundwell</t>
  </si>
  <si>
    <t xml:space="preserve">Jul</t>
  </si>
  <si>
    <t xml:space="preserve">Industry (SIC major group)</t>
  </si>
  <si>
    <t xml:space="preserve">Eating &amp; Drinking Places</t>
  </si>
  <si>
    <t xml:space="preserve">Jun</t>
  </si>
  <si>
    <t xml:space="preserve">New deal or renewal</t>
  </si>
  <si>
    <t xml:space="preserve">New Deal</t>
  </si>
  <si>
    <t xml:space="preserve">May</t>
  </si>
  <si>
    <t xml:space="preserve">Credit score (FICO)</t>
  </si>
  <si>
    <t xml:space="preserve">Position for matching = C42 (existing positions + 1). Bands and thresholds: Controls.</t>
  </si>
  <si>
    <t xml:space="preserve">AVG / TOTAL (months entered)</t>
  </si>
  <si>
    <t xml:space="preserve">EXISTING POSITIONS   (freq Monthly = leverage only, NOT a position)</t>
  </si>
  <si>
    <t xml:space="preserve">Funder</t>
  </si>
  <si>
    <t xml:space="preserve">Funded $</t>
  </si>
  <si>
    <t xml:space="preserve">Payment</t>
  </si>
  <si>
    <t xml:space="preserve">Daily equiv</t>
  </si>
  <si>
    <t xml:space="preserve">Start Date</t>
  </si>
  <si>
    <t xml:space="preserve">Est Term</t>
  </si>
  <si>
    <t xml:space="preserve">Est term (mo)</t>
  </si>
  <si>
    <t xml:space="preserve">Mo. remaining</t>
  </si>
  <si>
    <t xml:space="preserve">Positions (excl. Monthly)</t>
  </si>
  <si>
    <t xml:space="preserve">Total existing daily</t>
  </si>
  <si>
    <t xml:space="preserve">/month</t>
  </si>
  <si>
    <t xml:space="preserve">C.  METRICS</t>
  </si>
  <si>
    <t xml:space="preserve">Value</t>
  </si>
  <si>
    <t xml:space="preserve">Green</t>
  </si>
  <si>
    <t xml:space="preserve">Red</t>
  </si>
  <si>
    <t xml:space="preserve">Status</t>
  </si>
  <si>
    <t xml:space="preserve">Knockout</t>
  </si>
  <si>
    <t xml:space="preserve">Sizing line</t>
  </si>
  <si>
    <t xml:space="preserve">Total LVG (all debt / rev)</t>
  </si>
  <si>
    <t xml:space="preserve">New holdback SP%</t>
  </si>
  <si>
    <t xml:space="preserve">Daily debt / balance</t>
  </si>
  <si>
    <t xml:space="preserve">Fund / revenue</t>
  </si>
  <si>
    <t xml:space="preserve"># positions (incl. new)</t>
  </si>
  <si>
    <t xml:space="preserve">Revenue trend (avg MoM)</t>
  </si>
  <si>
    <t xml:space="preserve">Neg days + NSFs (total)</t>
  </si>
  <si>
    <t xml:space="preserve">Existing leverage (before new)</t>
  </si>
  <si>
    <t xml:space="preserve">-</t>
  </si>
  <si>
    <t xml:space="preserve">INFO</t>
  </si>
  <si>
    <t xml:space="preserve">Balance / revenue</t>
  </si>
  <si>
    <t xml:space="preserve">C2.  HOUSE-BOOK INDICATORS   (set the sizing line + modifier; NOT counted in the cash-flow score)</t>
  </si>
  <si>
    <t xml:space="preserve">Cohort</t>
  </si>
  <si>
    <t xml:space="preserve">Principal lost rate</t>
  </si>
  <si>
    <t xml:space="preserve">Green &lt;=</t>
  </si>
  <si>
    <t xml:space="preserve">Red &gt;</t>
  </si>
  <si>
    <t xml:space="preserve">Seasoned n</t>
  </si>
  <si>
    <t xml:space="preserve">Return on funded</t>
  </si>
  <si>
    <t xml:space="preserve">Industry</t>
  </si>
  <si>
    <t xml:space="preserve">New deal / renewal</t>
  </si>
  <si>
    <t xml:space="preserve">Position</t>
  </si>
  <si>
    <t xml:space="preserve">Seasoned deals behind the primary cohort</t>
  </si>
  <si>
    <t xml:space="preserve">D.  DECISION  (cash-flow layer, on the requested offer)</t>
  </si>
  <si>
    <t xml:space="preserve">Red flags</t>
  </si>
  <si>
    <t xml:space="preserve">Knockouts</t>
  </si>
  <si>
    <t xml:space="preserve">Decline if red flags &gt;=  (Controls)</t>
  </si>
  <si>
    <t xml:space="preserve">Minimum fund $</t>
  </si>
  <si>
    <t xml:space="preserve">E.  DEAL QUALITY  &amp;  MAXIMUM OFFER at the sizing line  (green line unless the house book is supportive)</t>
  </si>
  <si>
    <t xml:space="preserve">Score (G=1, Y=0.5, R=0)</t>
  </si>
  <si>
    <t xml:space="preserve">scored metrics</t>
  </si>
  <si>
    <t xml:space="preserve">Tier  (score scaled to 7 for the bands)</t>
  </si>
  <si>
    <t xml:space="preserve">Max daily by SP% sizing line</t>
  </si>
  <si>
    <t xml:space="preserve">scaled score /7</t>
  </si>
  <si>
    <t xml:space="preserve">Max daily by Total LVG sizing line</t>
  </si>
  <si>
    <t xml:space="preserve">Max daily by Daily/Balance sizing line</t>
  </si>
  <si>
    <t xml:space="preserve">MAX DAILY  (weakest link)</t>
  </si>
  <si>
    <t xml:space="preserve">Weekly / monthly equivalent</t>
  </si>
  <si>
    <t xml:space="preserve">Term (daily pmts) / factor from bands</t>
  </si>
  <si>
    <t xml:space="preserve">MAX FUND at the sizing line</t>
  </si>
  <si>
    <t xml:space="preserve">F.  FINAL OFFER  (PLANNED - outline only)   =   max at the sizing line (section E)  -&gt;  house-book outcome applied</t>
  </si>
  <si>
    <t xml:space="preserve">Item</t>
  </si>
  <si>
    <t xml:space="preserve">How it will be computed</t>
  </si>
  <si>
    <t xml:space="preserve">FINAL DECISION</t>
  </si>
  <si>
    <t xml:space="preserve">APPROVE / CONDITIONAL / DECLINE</t>
  </si>
  <si>
    <t xml:space="preserve">-&gt; DECLINE if D says DECLINE on the merchant side (knockout, red flags, below minimum). CONDITIONAL if any metric is YELLOW at the final offer or the house-book outcome is Negative. Else APPROVE.</t>
  </si>
  <si>
    <t xml:space="preserve">Recommended fund</t>
  </si>
  <si>
    <t xml:space="preserve">$</t>
  </si>
  <si>
    <t xml:space="preserve">-&gt; Section E max fund (C73). If the house-book outcome is Negative: C73 x (1 - fund cut % on Controls). Floor to $500. Never above C73.</t>
  </si>
  <si>
    <t xml:space="preserve">1.40 / 1.45 / 1.49</t>
  </si>
  <si>
    <t xml:space="preserve">-&gt; Band factor D72 (unchanged by history for now).</t>
  </si>
  <si>
    <t xml:space="preserve">Term</t>
  </si>
  <si>
    <t xml:space="preserve">weeks or daily pmts</t>
  </si>
  <si>
    <t xml:space="preserve">-&gt; Band term C72; shown in the frequency of E6.</t>
  </si>
  <si>
    <t xml:space="preserve">per week / per day</t>
  </si>
  <si>
    <t xml:space="preserve">-&gt; fund x factor / term (daily); x5 for weekly.</t>
  </si>
  <si>
    <t xml:space="preserve">Holdback % at final offer</t>
  </si>
  <si>
    <t xml:space="preserve">%</t>
  </si>
  <si>
    <t xml:space="preserve">-&gt; payment x 21.655 / avg revenue, with GREEN / YELLOW status against Controls. Yellow is allowed only when the outcome is Supportive.</t>
  </si>
  <si>
    <t xml:space="preserve">Total LVG / daily debt-balance / fund-rev at final offer</t>
  </si>
  <si>
    <t xml:space="preserve">-&gt; same re-check for the other three offer-side metrics; RED must be impossible because the sizing line stops short of the red line.</t>
  </si>
  <si>
    <t xml:space="preserve">House-book outcome</t>
  </si>
  <si>
    <t xml:space="preserve">Supportive / Neutral / Negative</t>
  </si>
  <si>
    <t xml:space="preserve">-&gt; from Historical Score C35</t>
  </si>
  <si>
    <t xml:space="preserve">Primary cohort and its numbers</t>
  </si>
  <si>
    <t xml:space="preserve">text</t>
  </si>
  <si>
    <t xml:space="preserve">-&gt; tier, seasoned n, PLR, ROF, index - from Historical Score</t>
  </si>
  <si>
    <t xml:space="preserve">Layer 1 stays the ceiling: the sizing line never reaches the red line, knockouts are never removed, the final fund never exceeds C73.</t>
  </si>
  <si>
    <t xml:space="preserve">HISTORICAL SCORE  -  which cohort, what it lost, what it returned</t>
  </si>
  <si>
    <t xml:space="preserve">Rates use SEASONED deals only (age &gt;= multiple x contracted term). Index = cohort principal lost rate / seasoned-book principal lost rate (1.00 = book). SIDE NOTE: a blend rate and a credibility factor (small cohorts pulled toward the book) are under consideration; not built.</t>
  </si>
  <si>
    <t xml:space="preserve">DEAL BEING MATCHED</t>
  </si>
  <si>
    <t xml:space="preserve">Position (Deal C42)</t>
  </si>
  <si>
    <t xml:space="preserve">Seasoned-book principal lost rate (baseline)</t>
  </si>
  <si>
    <t xml:space="preserve">Seasoned-book return on funded</t>
  </si>
  <si>
    <t xml:space="preserve">Tier</t>
  </si>
  <si>
    <t xml:space="preserve">Seasoned deals</t>
  </si>
  <si>
    <t xml:space="preserve">Funded $ (seasoned)</t>
  </si>
  <si>
    <t xml:space="preserve">Meets min?</t>
  </si>
  <si>
    <t xml:space="preserve">Index</t>
  </si>
  <si>
    <t xml:space="preserve">How</t>
  </si>
  <si>
    <t xml:space="preserve">T1: new/renewal + industry + position</t>
  </si>
  <si>
    <t xml:space="preserve">Seasoned deals = count of matches that are seasoned and in the window. Funded = their advances. Meets min = both Controls minimums. PLR = principal lost / funded. ROF = (collected - advance) / funded, closed deals included. Index = PLR / book PLR.</t>
  </si>
  <si>
    <t xml:space="preserve">T2: new/renewal + ISO + position</t>
  </si>
  <si>
    <t xml:space="preserve">T3: new/renewal + industry</t>
  </si>
  <si>
    <t xml:space="preserve">T4: new/renewal + ISO</t>
  </si>
  <si>
    <t xml:space="preserve">T5: new/renewal + position</t>
  </si>
  <si>
    <t xml:space="preserve">T6: new/renewal only</t>
  </si>
  <si>
    <t xml:space="preserve">T7: seasoned book (baseline)</t>
  </si>
  <si>
    <t xml:space="preserve">SINGLE-DIMENSION EVIDENCE  (feeds the C2 block and the largest-impact test; does not pick the cohort)</t>
  </si>
  <si>
    <t xml:space="preserve">|PLR - book PLR|</t>
  </si>
  <si>
    <t xml:space="preserve">S1</t>
  </si>
  <si>
    <t xml:space="preserve">Position only</t>
  </si>
  <si>
    <t xml:space="preserve">S2</t>
  </si>
  <si>
    <t xml:space="preserve">New/renewal only</t>
  </si>
  <si>
    <t xml:space="preserve">S3</t>
  </si>
  <si>
    <t xml:space="preserve">Industry only</t>
  </si>
  <si>
    <t xml:space="preserve">S4</t>
  </si>
  <si>
    <t xml:space="preserve">ISO only</t>
  </si>
  <si>
    <t xml:space="preserve">RESULT</t>
  </si>
  <si>
    <t xml:space="preserve">Primary tier = the LOWEST tier number that meets both minimums</t>
  </si>
  <si>
    <t xml:space="preserve">Primary cohort</t>
  </si>
  <si>
    <t xml:space="preserve">Seasoned deals in it</t>
  </si>
  <si>
    <t xml:space="preserve">Its principal lost rate</t>
  </si>
  <si>
    <t xml:space="preserve">Its return on funded</t>
  </si>
  <si>
    <t xml:space="preserve">Index (its PLR / book PLR)</t>
  </si>
  <si>
    <t xml:space="preserve">HOUSE-BOOK OUTCOME</t>
  </si>
  <si>
    <t xml:space="preserve">Sizing flex applied to section C (Supportive only)</t>
  </si>
  <si>
    <t xml:space="preserve">Largest-impact variable (position / new-renewal / industry / ISO)</t>
  </si>
  <si>
    <t xml:space="preserve">Largest-impact: column I = |PLR - book PLR| for the four single-dimension rows; the biggest gap wins. Display only.</t>
  </si>
  <si>
    <t xml:space="preserve">COMPARABLE DEALS  -  the whole book with two flags; filter column V to 1 to see the primary cohort</t>
  </si>
  <si>
    <t xml:space="preserve">Contract ID</t>
  </si>
  <si>
    <t xml:space="preserve">DBA</t>
  </si>
  <si>
    <t xml:space="preserve">Funded</t>
  </si>
  <si>
    <t xml:space="preserve">New/renewal</t>
  </si>
  <si>
    <t xml:space="preserve">Advance</t>
  </si>
  <si>
    <t xml:space="preserve">Collected</t>
  </si>
  <si>
    <t xml:space="preserve">% paid</t>
  </si>
  <si>
    <t xml:space="preserve">Net cash</t>
  </si>
  <si>
    <t xml:space="preserve">Principal lost</t>
  </si>
  <si>
    <t xml:space="preserve">Term (bd)</t>
  </si>
  <si>
    <t xml:space="preserve">Age (bd)</t>
  </si>
  <si>
    <t xml:space="preserve">Days on book</t>
  </si>
  <si>
    <t xml:space="preserve">Seasoned</t>
  </si>
  <si>
    <t xml:space="preserve">Default</t>
  </si>
  <si>
    <t xml:space="preserve">Open</t>
  </si>
  <si>
    <t xml:space="preserve">Best tier (1 = closest)</t>
  </si>
  <si>
    <t xml:space="preserve">In primary cohort</t>
  </si>
  <si>
    <t xml:space="preserve">Legal name</t>
  </si>
  <si>
    <t xml:space="preserve">Start date</t>
  </si>
  <si>
    <t xml:space="preserve">Last active</t>
  </si>
  <si>
    <t xml:space="preserve">SIC</t>
  </si>
  <si>
    <t xml:space="preserve">SIC2</t>
  </si>
  <si>
    <t xml:space="preserve">State</t>
  </si>
  <si>
    <t xml:space="preserve">New or renewal</t>
  </si>
  <si>
    <t xml:space="preserve">Commission</t>
  </si>
  <si>
    <t xml:space="preserve">Balance</t>
  </si>
  <si>
    <t xml:space="preserve">Exp dur (raw)</t>
  </si>
  <si>
    <t xml:space="preserve">NSF count</t>
  </si>
  <si>
    <t xml:space="preserve">Avg rev/mo</t>
  </si>
  <si>
    <t xml:space="preserve">Biz start</t>
  </si>
  <si>
    <t xml:space="preserve">Pay frequency</t>
  </si>
  <si>
    <t xml:space="preserve">Term (bus. days)</t>
  </si>
  <si>
    <t xml:space="preserve">Age at as-of (bus. days)</t>
  </si>
  <si>
    <t xml:space="preserve">In window</t>
  </si>
  <si>
    <t xml:space="preserve">Resolved</t>
  </si>
  <si>
    <t xml:space="preserve">Closed family</t>
  </si>
  <si>
    <t xml:space="preserve">Status valid</t>
  </si>
  <si>
    <t xml:space="preserve">Adv / revenue</t>
  </si>
  <si>
    <t xml:space="preserve">Has revenue</t>
  </si>
  <si>
    <t xml:space="preserve">Days on book (bus.)</t>
  </si>
  <si>
    <t xml:space="preserve">Renewal</t>
  </si>
  <si>
    <t xml:space="preserve">Eligible (seasoned &amp; in window)</t>
  </si>
  <si>
    <t xml:space="preserve">m: position</t>
  </si>
  <si>
    <t xml:space="preserve">m: new/renewal</t>
  </si>
  <si>
    <t xml:space="preserve">m: industry</t>
  </si>
  <si>
    <t xml:space="preserve">m: ISO</t>
  </si>
  <si>
    <t xml:space="preserve">T1 NR+Ind+Pos</t>
  </si>
  <si>
    <t xml:space="preserve">T2 NR+ISO+Pos</t>
  </si>
  <si>
    <t xml:space="preserve">T3 NR+Ind</t>
  </si>
  <si>
    <t xml:space="preserve">T4 NR+ISO</t>
  </si>
  <si>
    <t xml:space="preserve">T5 NR+Pos</t>
  </si>
  <si>
    <t xml:space="preserve">T6 NR</t>
  </si>
  <si>
    <t xml:space="preserve">T7 Book</t>
  </si>
  <si>
    <t xml:space="preserve">Best tier</t>
  </si>
  <si>
    <t xml:space="preserve">A-001</t>
  </si>
  <si>
    <t xml:space="preserve">Ridgeline Cafe</t>
  </si>
  <si>
    <t xml:space="preserve">Ridgeline Cafe LLC</t>
  </si>
  <si>
    <t xml:space="preserve">Closed</t>
  </si>
  <si>
    <t xml:space="preserve">5812</t>
  </si>
  <si>
    <t xml:space="preserve">58</t>
  </si>
  <si>
    <t xml:space="preserve">NJ</t>
  </si>
  <si>
    <t xml:space="preserve">A-002</t>
  </si>
  <si>
    <t xml:space="preserve">Delta Freight</t>
  </si>
  <si>
    <t xml:space="preserve">Delta Freight Group LLC</t>
  </si>
  <si>
    <t xml:space="preserve">4213</t>
  </si>
  <si>
    <t xml:space="preserve">42</t>
  </si>
  <si>
    <t xml:space="preserve">TX</t>
  </si>
  <si>
    <t xml:space="preserve">Westwood</t>
  </si>
  <si>
    <t xml:space="preserve">A-003</t>
  </si>
  <si>
    <t xml:space="preserve">Kane Construction</t>
  </si>
  <si>
    <t xml:space="preserve">Kane Construction Inc</t>
  </si>
  <si>
    <t xml:space="preserve">Legal</t>
  </si>
  <si>
    <t xml:space="preserve">1542</t>
  </si>
  <si>
    <t xml:space="preserve">15</t>
  </si>
  <si>
    <t xml:space="preserve">A-004</t>
  </si>
  <si>
    <t xml:space="preserve">Baymont Auto Body</t>
  </si>
  <si>
    <t xml:space="preserve">Baymont Auto Body LLC</t>
  </si>
  <si>
    <t xml:space="preserve">In House Collection</t>
  </si>
  <si>
    <t xml:space="preserve">7538</t>
  </si>
  <si>
    <t xml:space="preserve">75</t>
  </si>
  <si>
    <t xml:space="preserve">A-005</t>
  </si>
  <si>
    <t xml:space="preserve">Sunset Nails</t>
  </si>
  <si>
    <t xml:space="preserve">Sunset Nails Corp</t>
  </si>
  <si>
    <t xml:space="preserve">Written-Off</t>
  </si>
  <si>
    <t xml:space="preserve">7231</t>
  </si>
  <si>
    <t xml:space="preserve">72</t>
  </si>
  <si>
    <t xml:space="preserve">A-006</t>
  </si>
  <si>
    <t xml:space="preserve">Orchard Supply</t>
  </si>
  <si>
    <t xml:space="preserve">Orchard Supply Co LLC</t>
  </si>
  <si>
    <t xml:space="preserve">Bankruptcy</t>
  </si>
  <si>
    <t xml:space="preserve">A-007</t>
  </si>
  <si>
    <t xml:space="preserve">Pinewood Dental</t>
  </si>
  <si>
    <t xml:space="preserve">Pinewood Dental PC</t>
  </si>
  <si>
    <t xml:space="preserve">8021</t>
  </si>
  <si>
    <t xml:space="preserve">80</t>
  </si>
  <si>
    <t xml:space="preserve">A-008</t>
  </si>
  <si>
    <t xml:space="preserve">Harbor Cleaning</t>
  </si>
  <si>
    <t xml:space="preserve">Harbor Cleaning Services LLC</t>
  </si>
  <si>
    <t xml:space="preserve">Closed/NSF Unpaid</t>
  </si>
  <si>
    <t xml:space="preserve">7349</t>
  </si>
  <si>
    <t xml:space="preserve">73</t>
  </si>
  <si>
    <t xml:space="preserve">CONTROLS  -  every editable threshold, tier, historical weight and rule</t>
  </si>
  <si>
    <t xml:space="preserve">EDITABLE cells = bold black text on grey with a thick border. Do not insert or delete rows; formulas reference fixed cells.</t>
  </si>
  <si>
    <t xml:space="preserve">1. CASH-FLOW THRESHOLDS</t>
  </si>
  <si>
    <t xml:space="preserve">Green (at or better)</t>
  </si>
  <si>
    <t xml:space="preserve">Red (at or worse)</t>
  </si>
  <si>
    <t xml:space="preserve">Direction</t>
  </si>
  <si>
    <t xml:space="preserve">Note</t>
  </si>
  <si>
    <t xml:space="preserve">higher is worse</t>
  </si>
  <si>
    <t xml:space="preserve">lower is worse</t>
  </si>
  <si>
    <t xml:space="preserve">total across all months entered</t>
  </si>
  <si>
    <t xml:space="preserve">650+ green, 630-649 yellow, below 630 red; knockout 0 = off</t>
  </si>
  <si>
    <t xml:space="preserve">Decline if red flags (RED + KNOCKOUT) &gt;=</t>
  </si>
  <si>
    <t xml:space="preserve">Underwriting fee %</t>
  </si>
  <si>
    <t xml:space="preserve">2. PRICING BANDS</t>
  </si>
  <si>
    <t xml:space="preserve">Score &gt;=</t>
  </si>
  <si>
    <t xml:space="preserve">Term cap (daily pmts)</t>
  </si>
  <si>
    <t xml:space="preserve">Max term (months)</t>
  </si>
  <si>
    <t xml:space="preserve">Approved factor tiers (low -&gt; high)</t>
  </si>
  <si>
    <t xml:space="preserve">Tier cut-offs on 7-point scale: Strong / Solid / Moderate</t>
  </si>
  <si>
    <t xml:space="preserve">3. CONVERSION CONSTANTS</t>
  </si>
  <si>
    <t xml:space="preserve">Weeks per month (ours)</t>
  </si>
  <si>
    <t xml:space="preserve">Business days per month (ours)</t>
  </si>
  <si>
    <t xml:space="preserve">MoneyBadger weeks per month</t>
  </si>
  <si>
    <t xml:space="preserve">MoneyBadger business days per month</t>
  </si>
  <si>
    <t xml:space="preserve">Calendar days per month</t>
  </si>
  <si>
    <t xml:space="preserve">Assumed factor on existing positions</t>
  </si>
  <si>
    <t xml:space="preserve">4. HISTORICAL EVIDENCE SETTINGS</t>
  </si>
  <si>
    <t xml:space="preserve">As-of date for seasoning (date of the CRM export)</t>
  </si>
  <si>
    <t xml:space="preserve">Window: funded on or after</t>
  </si>
  <si>
    <t xml:space="preserve">Window: funded on or before</t>
  </si>
  <si>
    <t xml:space="preserve">12/31/2025 = settled book</t>
  </si>
  <si>
    <t xml:space="preserve">Seasoning multiple (age &gt;= multiple x contracted term)</t>
  </si>
  <si>
    <t xml:space="preserve">Minimum seasoned deals for a cohort to be PRIMARY</t>
  </si>
  <si>
    <t xml:space="preserve">RECOMMENDED for the full book: 10</t>
  </si>
  <si>
    <t xml:space="preserve">Minimum seasoned funded $ for a cohort to be PRIMARY</t>
  </si>
  <si>
    <t xml:space="preserve">RECOMMENDED for the full book: $150,000</t>
  </si>
  <si>
    <t xml:space="preserve">(reserved) Credibility constant K - NOT USED in v3</t>
  </si>
  <si>
    <t xml:space="preserve">SIDE NOTE: thinking of adding a blend rate and a credibility factor later (small cohorts pulled toward the book by Z = n/(n+K)). Nothing reads this cell today.</t>
  </si>
  <si>
    <t xml:space="preserve">Minimum seasoned deals before a rate is shown</t>
  </si>
  <si>
    <t xml:space="preserve">RECOMMENDED for the full book: 5</t>
  </si>
  <si>
    <t xml:space="preserve">Seasoned deals for the sample-size indicator to be GREEN</t>
  </si>
  <si>
    <t xml:space="preserve">RECOMMENDED for the full book: 30</t>
  </si>
  <si>
    <t xml:space="preserve">5. HOUSE-BOOK OUTCOME   index = primary-cohort principal lost rate / seasoned-book principal lost rate  (1.00 = book)</t>
  </si>
  <si>
    <t xml:space="preserve">Setting</t>
  </si>
  <si>
    <t xml:space="preserve">SUPPORTIVE when index at or below</t>
  </si>
  <si>
    <t xml:space="preserve">cohort loses at most 85% of what the book loses</t>
  </si>
  <si>
    <t xml:space="preserve">NEGATIVE when index above</t>
  </si>
  <si>
    <t xml:space="preserve">between the two = NEUTRAL = the cash-flow tool exactly as built</t>
  </si>
  <si>
    <t xml:space="preserve">Supportive: sizing flex (0 = green line, 1 = red line)</t>
  </si>
  <si>
    <t xml:space="preserve">RECOMMENDED 50%: size half-way to the red line, so metrics may go YELLOW, never RED. Keep below 100%.</t>
  </si>
  <si>
    <t xml:space="preserve">Negative: fund cut %</t>
  </si>
  <si>
    <t xml:space="preserve">RECOMMENDED 20%: green-line max x (1 - cut). Section F, planned.</t>
  </si>
  <si>
    <t xml:space="preserve">The C2 block on the Deal sheet uses B49 / B50 as its GREEN / RED lines for every house-book indicator. Outcome = Neutral whenever no cohort meets the minimums (tier 7).</t>
  </si>
  <si>
    <t xml:space="preserve">6. STATUS MAPPING</t>
  </si>
  <si>
    <t xml:space="preserve">Default?</t>
  </si>
  <si>
    <t xml:space="preserve">Resolved?</t>
  </si>
  <si>
    <t xml:space="preserve">Closed?</t>
  </si>
  <si>
    <t xml:space="preserve">Open?</t>
  </si>
  <si>
    <t xml:space="preserve">Deals in file</t>
  </si>
  <si>
    <t xml:space="preserve">No</t>
  </si>
  <si>
    <t xml:space="preserve">Yes</t>
  </si>
  <si>
    <t xml:space="preserve">Lowered Payments</t>
  </si>
  <si>
    <t xml:space="preserve">Settlement Agreement</t>
  </si>
  <si>
    <t xml:space="preserve">Closed/NSF</t>
  </si>
  <si>
    <t xml:space="preserve">At-Risk</t>
  </si>
  <si>
    <t xml:space="preserve">Division</t>
  </si>
  <si>
    <t xml:space="preserve">ISO (house-book spelling)</t>
  </si>
  <si>
    <t xml:space="preserve">Industry list</t>
  </si>
  <si>
    <t xml:space="preserve">Fed holiday</t>
  </si>
  <si>
    <t xml:space="preserve">Status list</t>
  </si>
  <si>
    <t xml:space="preserve">01</t>
  </si>
  <si>
    <t xml:space="preserve">Agricultural Production - Crops</t>
  </si>
  <si>
    <t xml:space="preserve">Agriculture, Forestry &amp; Fishing</t>
  </si>
  <si>
    <t xml:space="preserve">Ace Partners</t>
  </si>
  <si>
    <t xml:space="preserve">Administration of Economic Programs</t>
  </si>
  <si>
    <t xml:space="preserve">02</t>
  </si>
  <si>
    <t xml:space="preserve">Agricultural Production - Livestock</t>
  </si>
  <si>
    <t xml:space="preserve">Advance Consolidations</t>
  </si>
  <si>
    <t xml:space="preserve">07</t>
  </si>
  <si>
    <t xml:space="preserve">Agricultural Services</t>
  </si>
  <si>
    <t xml:space="preserve">ALLSTATE FUND PROS LLC</t>
  </si>
  <si>
    <t xml:space="preserve">08</t>
  </si>
  <si>
    <t xml:space="preserve">Forestry</t>
  </si>
  <si>
    <t xml:space="preserve">Alternative Solutions Funding</t>
  </si>
  <si>
    <t xml:space="preserve">13</t>
  </si>
  <si>
    <t xml:space="preserve">Oil &amp; Gas Extraction</t>
  </si>
  <si>
    <t xml:space="preserve">Mining</t>
  </si>
  <si>
    <t xml:space="preserve">alvara capital</t>
  </si>
  <si>
    <t xml:space="preserve">Air Transportation</t>
  </si>
  <si>
    <t xml:space="preserve">14</t>
  </si>
  <si>
    <t xml:space="preserve">Nonmetallic Minerals Mining</t>
  </si>
  <si>
    <t xml:space="preserve">American Funding Association 1</t>
  </si>
  <si>
    <t xml:space="preserve">Amusement &amp; Recreation Services</t>
  </si>
  <si>
    <t xml:space="preserve">General Building Contractors</t>
  </si>
  <si>
    <t xml:space="preserve">Construction</t>
  </si>
  <si>
    <t xml:space="preserve">Amerishop Financial services</t>
  </si>
  <si>
    <t xml:space="preserve">Apparel &amp; Accessory Stores</t>
  </si>
  <si>
    <t xml:space="preserve">16</t>
  </si>
  <si>
    <t xml:space="preserve">Heavy Construction</t>
  </si>
  <si>
    <t xml:space="preserve">Aspire Funding</t>
  </si>
  <si>
    <t xml:space="preserve">Apparel &amp; Textile Products</t>
  </si>
  <si>
    <t xml:space="preserve">17</t>
  </si>
  <si>
    <t xml:space="preserve">Special Trade Contractors</t>
  </si>
  <si>
    <t xml:space="preserve">Atla Finance</t>
  </si>
  <si>
    <t xml:space="preserve">Auto Dealers &amp; Gas Stations</t>
  </si>
  <si>
    <t xml:space="preserve">20</t>
  </si>
  <si>
    <t xml:space="preserve">Food &amp; Kindred Products</t>
  </si>
  <si>
    <t xml:space="preserve">Manufacturing</t>
  </si>
  <si>
    <t xml:space="preserve">AVON ADVANCE</t>
  </si>
  <si>
    <t xml:space="preserve">Auto Repair &amp; Services</t>
  </si>
  <si>
    <t xml:space="preserve">23</t>
  </si>
  <si>
    <t xml:space="preserve">Ballicci</t>
  </si>
  <si>
    <t xml:space="preserve">Building Materials &amp; Garden Supply</t>
  </si>
  <si>
    <t xml:space="preserve">24</t>
  </si>
  <si>
    <t xml:space="preserve">Lumber &amp; Wood Products</t>
  </si>
  <si>
    <t xml:space="preserve">BFA 3</t>
  </si>
  <si>
    <t xml:space="preserve">Business Services</t>
  </si>
  <si>
    <t xml:space="preserve">25</t>
  </si>
  <si>
    <t xml:space="preserve">Furniture &amp; Fixtures</t>
  </si>
  <si>
    <t xml:space="preserve">Bingo advance LLC</t>
  </si>
  <si>
    <t xml:space="preserve">Chemicals &amp; Allied Products</t>
  </si>
  <si>
    <t xml:space="preserve">27</t>
  </si>
  <si>
    <t xml:space="preserve">Printing &amp; Publishing</t>
  </si>
  <si>
    <t xml:space="preserve">Birkin Capital Inc</t>
  </si>
  <si>
    <t xml:space="preserve">Communications</t>
  </si>
  <si>
    <t xml:space="preserve">28</t>
  </si>
  <si>
    <t xml:space="preserve">biz advance now</t>
  </si>
  <si>
    <t xml:space="preserve">30</t>
  </si>
  <si>
    <t xml:space="preserve">Rubber &amp; Plastics</t>
  </si>
  <si>
    <t xml:space="preserve">Biz fuel</t>
  </si>
  <si>
    <t xml:space="preserve">Educational Services</t>
  </si>
  <si>
    <t xml:space="preserve">32</t>
  </si>
  <si>
    <t xml:space="preserve">Stone, Clay, Glass &amp; Concrete</t>
  </si>
  <si>
    <t xml:space="preserve">BizFin LLC</t>
  </si>
  <si>
    <t xml:space="preserve">Electric, Gas &amp; Sanitary Services</t>
  </si>
  <si>
    <t xml:space="preserve">33</t>
  </si>
  <si>
    <t xml:space="preserve">Primary Metal Industries</t>
  </si>
  <si>
    <t xml:space="preserve">black flag funding</t>
  </si>
  <si>
    <t xml:space="preserve">Electronic &amp; Electrical Equipment</t>
  </si>
  <si>
    <t xml:space="preserve">34</t>
  </si>
  <si>
    <t xml:space="preserve">Fabricated Metal Products</t>
  </si>
  <si>
    <t xml:space="preserve">Black Tie Funding</t>
  </si>
  <si>
    <t xml:space="preserve">Engineering, Accounting &amp; Management</t>
  </si>
  <si>
    <t xml:space="preserve">35</t>
  </si>
  <si>
    <t xml:space="preserve">Industrial Machinery &amp; Equipment</t>
  </si>
  <si>
    <t xml:space="preserve">Blue Oak Advance</t>
  </si>
  <si>
    <t xml:space="preserve">Environmental Quality &amp; Housing</t>
  </si>
  <si>
    <t xml:space="preserve">36</t>
  </si>
  <si>
    <t xml:space="preserve">bridge consolidation</t>
  </si>
  <si>
    <t xml:space="preserve">37</t>
  </si>
  <si>
    <t xml:space="preserve">Transportation Equipment</t>
  </si>
  <si>
    <t xml:space="preserve">Broadway Advance LLC</t>
  </si>
  <si>
    <t xml:space="preserve">38</t>
  </si>
  <si>
    <t xml:space="preserve">Instruments &amp; Related Products</t>
  </si>
  <si>
    <t xml:space="preserve">Business Fund USA 4</t>
  </si>
  <si>
    <t xml:space="preserve">Food Stores</t>
  </si>
  <si>
    <t xml:space="preserve">39</t>
  </si>
  <si>
    <t xml:space="preserve">Miscellaneous Manufacturing</t>
  </si>
  <si>
    <t xml:space="preserve">Can I Have Money</t>
  </si>
  <si>
    <t xml:space="preserve">41</t>
  </si>
  <si>
    <t xml:space="preserve">Local &amp; Interurban Passenger Transit</t>
  </si>
  <si>
    <t xml:space="preserve">Transportation &amp; Utilities</t>
  </si>
  <si>
    <t xml:space="preserve">Capfront Funding</t>
  </si>
  <si>
    <t xml:space="preserve">Trucking &amp; Warehousing</t>
  </si>
  <si>
    <t xml:space="preserve">Capital 1 Group LLC DBA Tier One Financing LLC</t>
  </si>
  <si>
    <t xml:space="preserve">Furniture &amp; Home Furnishings Stores</t>
  </si>
  <si>
    <t xml:space="preserve">44</t>
  </si>
  <si>
    <t xml:space="preserve">Water Transportation</t>
  </si>
  <si>
    <t xml:space="preserve">CARE FUNDING GROUP</t>
  </si>
  <si>
    <t xml:space="preserve">45</t>
  </si>
  <si>
    <t xml:space="preserve">cavala funding</t>
  </si>
  <si>
    <t xml:space="preserve">General Merchandise Stores</t>
  </si>
  <si>
    <t xml:space="preserve">47</t>
  </si>
  <si>
    <t xml:space="preserve">Transportation Services</t>
  </si>
  <si>
    <t xml:space="preserve">cenitcapital</t>
  </si>
  <si>
    <t xml:space="preserve">Health Services</t>
  </si>
  <si>
    <t xml:space="preserve">48</t>
  </si>
  <si>
    <t xml:space="preserve">Choicecapital Solutions LLC</t>
  </si>
  <si>
    <t xml:space="preserve">49</t>
  </si>
  <si>
    <t xml:space="preserve">City Wide Capital</t>
  </si>
  <si>
    <t xml:space="preserve">Hotels &amp; Lodging</t>
  </si>
  <si>
    <t xml:space="preserve">50</t>
  </si>
  <si>
    <t xml:space="preserve">Wholesale Trade - Durable Goods</t>
  </si>
  <si>
    <t xml:space="preserve">Wholesale Trade</t>
  </si>
  <si>
    <t xml:space="preserve">Clover Capital</t>
  </si>
  <si>
    <t xml:space="preserve">51</t>
  </si>
  <si>
    <t xml:space="preserve">Wholesale Trade - Nondurable Goods</t>
  </si>
  <si>
    <t xml:space="preserve">CNL LOANS</t>
  </si>
  <si>
    <t xml:space="preserve">52</t>
  </si>
  <si>
    <t xml:space="preserve">Retail Trade</t>
  </si>
  <si>
    <t xml:space="preserve">Credibly</t>
  </si>
  <si>
    <t xml:space="preserve">Insurance Agents &amp; Brokers</t>
  </si>
  <si>
    <t xml:space="preserve">53</t>
  </si>
  <si>
    <t xml:space="preserve">DBS FUNDING GROUP</t>
  </si>
  <si>
    <t xml:space="preserve">Insurance Carriers</t>
  </si>
  <si>
    <t xml:space="preserve">54</t>
  </si>
  <si>
    <t xml:space="preserve">Deal Struck</t>
  </si>
  <si>
    <t xml:space="preserve">Justice, Public Order &amp; Safety</t>
  </si>
  <si>
    <t xml:space="preserve">55</t>
  </si>
  <si>
    <t xml:space="preserve">Diamond Bar Funding</t>
  </si>
  <si>
    <t xml:space="preserve">Legal Services</t>
  </si>
  <si>
    <t xml:space="preserve">56</t>
  </si>
  <si>
    <t xml:space="preserve">DIRECT CAPITAL SOURCE, INC.</t>
  </si>
  <si>
    <t xml:space="preserve">57</t>
  </si>
  <si>
    <t xml:space="preserve">Direct Funding LLC</t>
  </si>
  <si>
    <t xml:space="preserve">Dubbs holding</t>
  </si>
  <si>
    <t xml:space="preserve">Membership Organizations</t>
  </si>
  <si>
    <t xml:space="preserve">59</t>
  </si>
  <si>
    <t xml:space="preserve">Miscellaneous Retail</t>
  </si>
  <si>
    <t xml:space="preserve">ecp business capital</t>
  </si>
  <si>
    <t xml:space="preserve">62</t>
  </si>
  <si>
    <t xml:space="preserve">Security &amp; Commodity Brokers</t>
  </si>
  <si>
    <t xml:space="preserve">Finance, Insurance &amp; Real Estate</t>
  </si>
  <si>
    <t xml:space="preserve">Elite Advance 5</t>
  </si>
  <si>
    <t xml:space="preserve">Miscellaneous Repair Services</t>
  </si>
  <si>
    <t xml:space="preserve">63</t>
  </si>
  <si>
    <t xml:space="preserve">elite finance team</t>
  </si>
  <si>
    <t xml:space="preserve">64</t>
  </si>
  <si>
    <t xml:space="preserve">ELITE FUNDING PARTNERS LLC 6</t>
  </si>
  <si>
    <t xml:space="preserve">Motion Pictures</t>
  </si>
  <si>
    <t xml:space="preserve">65</t>
  </si>
  <si>
    <t xml:space="preserve">Real Estate</t>
  </si>
  <si>
    <t xml:space="preserve">EVR GREEN LLC</t>
  </si>
  <si>
    <t xml:space="preserve">Museums &amp; Botanical Gardens</t>
  </si>
  <si>
    <t xml:space="preserve">70</t>
  </si>
  <si>
    <t xml:space="preserve">Services</t>
  </si>
  <si>
    <t xml:space="preserve">EZ ADVANCE LLC</t>
  </si>
  <si>
    <t xml:space="preserve">National Security &amp; Intl Affairs</t>
  </si>
  <si>
    <t xml:space="preserve">Personal Services</t>
  </si>
  <si>
    <t xml:space="preserve">ez alternative solutions</t>
  </si>
  <si>
    <t xml:space="preserve">FC ADVANCE</t>
  </si>
  <si>
    <t xml:space="preserve">Fidelity Funding</t>
  </si>
  <si>
    <t xml:space="preserve">76</t>
  </si>
  <si>
    <t xml:space="preserve">FIFTH VENTURE</t>
  </si>
  <si>
    <t xml:space="preserve">78</t>
  </si>
  <si>
    <t xml:space="preserve">FIMACAP INC</t>
  </si>
  <si>
    <t xml:space="preserve">79</t>
  </si>
  <si>
    <t xml:space="preserve">Financial Express LLC</t>
  </si>
  <si>
    <t xml:space="preserve">Financity</t>
  </si>
  <si>
    <t xml:space="preserve">81</t>
  </si>
  <si>
    <t xml:space="preserve">FireLine Funding</t>
  </si>
  <si>
    <t xml:space="preserve">82</t>
  </si>
  <si>
    <t xml:space="preserve">First Path Capital</t>
  </si>
  <si>
    <t xml:space="preserve">Services - Miscellaneous</t>
  </si>
  <si>
    <t xml:space="preserve">83</t>
  </si>
  <si>
    <t xml:space="preserve">Social Services</t>
  </si>
  <si>
    <t xml:space="preserve">Fund Kite</t>
  </si>
  <si>
    <t xml:space="preserve">84</t>
  </si>
  <si>
    <t xml:space="preserve">Fund Max</t>
  </si>
  <si>
    <t xml:space="preserve">86</t>
  </si>
  <si>
    <t xml:space="preserve">Fund Simple</t>
  </si>
  <si>
    <t xml:space="preserve">87</t>
  </si>
  <si>
    <t xml:space="preserve">Fund Your Bizz</t>
  </si>
  <si>
    <t xml:space="preserve">89</t>
  </si>
  <si>
    <t xml:space="preserve">FundFlex</t>
  </si>
  <si>
    <t xml:space="preserve">92</t>
  </si>
  <si>
    <t xml:space="preserve">Public Administration</t>
  </si>
  <si>
    <t xml:space="preserve">Fundible</t>
  </si>
  <si>
    <t xml:space="preserve">95</t>
  </si>
  <si>
    <t xml:space="preserve">Fundward</t>
  </si>
  <si>
    <t xml:space="preserve">96</t>
  </si>
  <si>
    <t xml:space="preserve">97</t>
  </si>
  <si>
    <t xml:space="preserve">Go Ai Ez LLC Dba:Gova Funding</t>
  </si>
  <si>
    <t xml:space="preserve">GREYSTONE</t>
  </si>
  <si>
    <t xml:space="preserve">No SIC</t>
  </si>
  <si>
    <t xml:space="preserve">GROWTH RATE CAPITAL INC</t>
  </si>
  <si>
    <t xml:space="preserve">Unclassified</t>
  </si>
  <si>
    <t xml:space="preserve">Hero Advance Group</t>
  </si>
  <si>
    <t xml:space="preserve">I burst funding</t>
  </si>
  <si>
    <t xml:space="preserve">ICB FUNDING</t>
  </si>
  <si>
    <t xml:space="preserve">ICG Funding</t>
  </si>
  <si>
    <t xml:space="preserve">J Capital Solutions</t>
  </si>
  <si>
    <t xml:space="preserve">JABSCAP</t>
  </si>
  <si>
    <t xml:space="preserve">Kelly Kapital</t>
  </si>
  <si>
    <t xml:space="preserve">Key Capital Funding</t>
  </si>
  <si>
    <t xml:space="preserve">Klendify</t>
  </si>
  <si>
    <t xml:space="preserve">langtech</t>
  </si>
  <si>
    <t xml:space="preserve">legacy funding llc</t>
  </si>
  <si>
    <t xml:space="preserve">Lemonaid</t>
  </si>
  <si>
    <t xml:space="preserve">Lend Bull LLC</t>
  </si>
  <si>
    <t xml:space="preserve">LENDCAP SOLUTIONS</t>
  </si>
  <si>
    <t xml:space="preserve">level 3 funding</t>
  </si>
  <si>
    <t xml:space="preserve">lexington capital holdings</t>
  </si>
  <si>
    <t xml:space="preserve">Liberty Bell Capital</t>
  </si>
  <si>
    <t xml:space="preserve">Lightning SBA Loans</t>
  </si>
  <si>
    <t xml:space="preserve">lightningfundingsolutions</t>
  </si>
  <si>
    <t xml:space="preserve">Linked In Funding</t>
  </si>
  <si>
    <t xml:space="preserve">liquidity lending group</t>
  </si>
  <si>
    <t xml:space="preserve">Llama Loan</t>
  </si>
  <si>
    <t xml:space="preserve">MADVANCEGRP</t>
  </si>
  <si>
    <t xml:space="preserve">Merchant Advance Now</t>
  </si>
  <si>
    <t xml:space="preserve">Merchant ReFi</t>
  </si>
  <si>
    <t xml:space="preserve">Milestone Capital Funding Inc</t>
  </si>
  <si>
    <t xml:space="preserve">Mills  funding group</t>
  </si>
  <si>
    <t xml:space="preserve">Monarch funding Group</t>
  </si>
  <si>
    <t xml:space="preserve">MONETCAP</t>
  </si>
  <si>
    <t xml:space="preserve">MZ ADVANCE</t>
  </si>
  <si>
    <t xml:space="preserve">National Business Capital</t>
  </si>
  <si>
    <t xml:space="preserve">NS PRO INC.</t>
  </si>
  <si>
    <t xml:space="preserve">NY Tribeca Group</t>
  </si>
  <si>
    <t xml:space="preserve">One Box Funding</t>
  </si>
  <si>
    <t xml:space="preserve">ontime cap</t>
  </si>
  <si>
    <t xml:space="preserve">Pathway Catalyst</t>
  </si>
  <si>
    <t xml:space="preserve">PEACH STATE SOLUTIONS</t>
  </si>
  <si>
    <t xml:space="preserve">peach tree capital</t>
  </si>
  <si>
    <t xml:space="preserve">penco holdings</t>
  </si>
  <si>
    <t xml:space="preserve">Pharoah Fund</t>
  </si>
  <si>
    <t xml:space="preserve">Platform Funding</t>
  </si>
  <si>
    <t xml:space="preserve">PMF</t>
  </si>
  <si>
    <t xml:space="preserve">Premium Capital (AMRK)</t>
  </si>
  <si>
    <t xml:space="preserve">Pro Source Lending Group</t>
  </si>
  <si>
    <t xml:space="preserve">Pyn Capital</t>
  </si>
  <si>
    <t xml:space="preserve">Qualifier</t>
  </si>
  <si>
    <t xml:space="preserve">Redline Capital</t>
  </si>
  <si>
    <t xml:space="preserve">ROK</t>
  </si>
  <si>
    <t xml:space="preserve">ROYAL FUNDING GROUP</t>
  </si>
  <si>
    <t xml:space="preserve">SABER ASSETS LLC</t>
  </si>
  <si>
    <t xml:space="preserve">Samson Funding</t>
  </si>
  <si>
    <t xml:space="preserve">Seacap</t>
  </si>
  <si>
    <t xml:space="preserve">Secure Capital Solutions 7</t>
  </si>
  <si>
    <t xml:space="preserve">secure way capital</t>
  </si>
  <si>
    <t xml:space="preserve">Shield Funding</t>
  </si>
  <si>
    <t xml:space="preserve">Shop Funder</t>
  </si>
  <si>
    <t xml:space="preserve">Shore Funding USA</t>
  </si>
  <si>
    <t xml:space="preserve">Simply capital source inc</t>
  </si>
  <si>
    <t xml:space="preserve">Siriux internacional corp</t>
  </si>
  <si>
    <t xml:space="preserve">Sky Advance</t>
  </si>
  <si>
    <t xml:space="preserve">Smarter Credit Inc.</t>
  </si>
  <si>
    <t xml:space="preserve">SNA Capital source</t>
  </si>
  <si>
    <t xml:space="preserve">SNB CAPITAL 18 LLC</t>
  </si>
  <si>
    <t xml:space="preserve">Splash</t>
  </si>
  <si>
    <t xml:space="preserve">Springville Partners</t>
  </si>
  <si>
    <t xml:space="preserve">Streamline Funding LLC</t>
  </si>
  <si>
    <t xml:space="preserve">Supreme Capital Solutions</t>
  </si>
  <si>
    <t xml:space="preserve">Swift Business Funding</t>
  </si>
  <si>
    <t xml:space="preserve">Tech Consulting Pro LLC D/B/A: Nationwide Advance</t>
  </si>
  <si>
    <t xml:space="preserve">The Funding Channel</t>
  </si>
  <si>
    <t xml:space="preserve">The Funding Family</t>
  </si>
  <si>
    <t xml:space="preserve">Tier one</t>
  </si>
  <si>
    <t xml:space="preserve">Tip Top Capital</t>
  </si>
  <si>
    <t xml:space="preserve">Top Floor Advance</t>
  </si>
  <si>
    <t xml:space="preserve">Triumph Cap Fund</t>
  </si>
  <si>
    <t xml:space="preserve">True Eagle Capital</t>
  </si>
  <si>
    <t xml:space="preserve">True Path Funding</t>
  </si>
  <si>
    <t xml:space="preserve">TRUSTFI</t>
  </si>
  <si>
    <t xml:space="preserve">United Secured Capital 8</t>
  </si>
  <si>
    <t xml:space="preserve">upcrunch</t>
  </si>
  <si>
    <t xml:space="preserve">Upright Advance Corp</t>
  </si>
  <si>
    <t xml:space="preserve">Upwise capital</t>
  </si>
  <si>
    <t xml:space="preserve">Vanguard Equities</t>
  </si>
  <si>
    <t xml:space="preserve">Vantage Cap Group</t>
  </si>
  <si>
    <t xml:space="preserve">Viking Funding LLC</t>
  </si>
  <si>
    <t xml:space="preserve">Vital Funding</t>
  </si>
  <si>
    <t xml:space="preserve">Wisco Capital</t>
  </si>
  <si>
    <t xml:space="preserve">WOTR Enterprise LLC</t>
  </si>
  <si>
    <t xml:space="preserve">YM ventures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</si>
</sst>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"/>
    <numFmt numFmtId="167" formatCode="0"/>
    <numFmt numFmtId="168" formatCode="0%"/>
    <numFmt numFmtId="169" formatCode="\$#,##0.00"/>
    <numFmt numFmtId="170" formatCode="0.00%"/>
    <numFmt numFmtId="171" formatCode="0.0%"/>
    <numFmt numFmtId="172" formatCode="0.0"/>
    <numFmt numFmtId="173" formatCode="0.000"/>
    <numFmt numFmtId="174" formatCode="m/d/yyyy"/>
    <numFmt numFmtId="175" formatCode="#,##0.00"/>
    <numFmt numFmtId="176" formatCode="General"/>
    <numFmt numFmtId="177" formatCode="mm/dd/yyyy"/>
    <numFmt numFmtId="178" formatCode="0.0000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5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i val="true"/>
      <sz val="9"/>
      <color rgb="FF37415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i val="true"/>
      <sz val="11"/>
      <color rgb="FF374151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0"/>
      <color rgb="FF37415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1" t="s">
        <v>1</v>
      </c>
    </row>
    <row r="5" customFormat="false" ht="28.35" hidden="false" customHeight="false" outlineLevel="0" collapsed="false">
      <c r="B5" s="2" t="s">
        <v>2</v>
      </c>
    </row>
    <row r="6" customFormat="false" ht="28.3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1" t="s">
        <v>4</v>
      </c>
    </row>
    <row r="9" customFormat="false" ht="28.35" hidden="false" customHeight="false" outlineLevel="0" collapsed="false">
      <c r="B9" s="2" t="s">
        <v>5</v>
      </c>
    </row>
    <row r="10" customFormat="false" ht="28.35" hidden="false" customHeight="false" outlineLevel="0" collapsed="false">
      <c r="B10" s="2" t="s">
        <v>6</v>
      </c>
    </row>
    <row r="11" customFormat="false" ht="28.3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1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2" t="s">
        <v>10</v>
      </c>
    </row>
    <row r="17" customFormat="false" ht="28.35" hidden="false" customHeight="false" outlineLevel="0" collapsed="false">
      <c r="B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7.14"/>
    <col collapsed="false" customWidth="true" hidden="false" outlineLevel="0" max="4" min="3" style="0" width="17.2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1.86"/>
    <col collapsed="false" customWidth="true" hidden="false" outlineLevel="0" max="10" min="10" style="0" width="27"/>
    <col collapsed="false" customWidth="true" hidden="false" outlineLevel="0" max="13" min="11" style="0" width="26"/>
    <col collapsed="false" customWidth="true" hidden="false" outlineLevel="0" max="26" min="14" style="0" width="8.71"/>
  </cols>
  <sheetData>
    <row r="1" customFormat="false" ht="18.55" hidden="false" customHeight="false" outlineLevel="0" collapsed="false">
      <c r="B1" s="3" t="s">
        <v>12</v>
      </c>
    </row>
    <row r="2" customFormat="false" ht="16.4" hidden="false" customHeight="false" outlineLevel="0" collapsed="false">
      <c r="B2" s="4" t="s">
        <v>13</v>
      </c>
      <c r="C2" s="5" t="str">
        <f aca="false">C62</f>
        <v>CONDITIONAL</v>
      </c>
      <c r="D2" s="6" t="str">
        <f aca="false">IF(C62="","",C60&amp;" red flag(s) vs limit "&amp;C61&amp;"   |   "&amp;COUNTIF(F38:F45,"GREEN")&amp;"G / "&amp;COUNTIF(F38:F45,"YELLOW")&amp;"Y / "&amp;COUNTIF(F38:F45,"RED")&amp;"R   |   score "&amp;TEXT(C65,"0.0")&amp;"/"&amp;D65&amp;" = "&amp;C66)</f>
        <v>0 red flag(s) vs limit 2   |   7G / 1Y / 0R   |   score 7.5/8 = Strong</v>
      </c>
      <c r="E2" s="6"/>
      <c r="F2" s="6"/>
      <c r="G2" s="6"/>
      <c r="H2" s="6"/>
    </row>
    <row r="3" customFormat="false" ht="15" hidden="false" customHeight="false" outlineLevel="0" collapsed="false">
      <c r="B3" s="7"/>
    </row>
    <row r="4" customFormat="false" ht="15" hidden="false" customHeight="false" outlineLevel="0" collapsed="false">
      <c r="B4" s="8" t="s">
        <v>14</v>
      </c>
      <c r="C4" s="8"/>
      <c r="D4" s="8"/>
      <c r="E4" s="8"/>
      <c r="F4" s="8"/>
      <c r="G4" s="8"/>
      <c r="H4" s="8"/>
      <c r="J4" s="8" t="s">
        <v>15</v>
      </c>
      <c r="K4" s="8"/>
      <c r="L4" s="8"/>
      <c r="M4" s="8"/>
    </row>
    <row r="5" customFormat="false" ht="15" hidden="false" customHeight="false" outlineLevel="0" collapsed="false">
      <c r="B5" s="9" t="s">
        <v>16</v>
      </c>
      <c r="C5" s="9" t="s">
        <v>17</v>
      </c>
      <c r="D5" s="9" t="str">
        <f aca="false">IF($E$6="Weekly","Term (weeks)","Term (daily pmts)")</f>
        <v>Term (weeks)</v>
      </c>
      <c r="E5" s="9" t="s">
        <v>18</v>
      </c>
      <c r="F5" s="9" t="s">
        <v>19</v>
      </c>
      <c r="J5" s="9" t="s">
        <v>20</v>
      </c>
      <c r="K5" s="9" t="s">
        <v>21</v>
      </c>
      <c r="L5" s="9" t="s">
        <v>22</v>
      </c>
      <c r="M5" s="9" t="s">
        <v>23</v>
      </c>
    </row>
    <row r="6" customFormat="false" ht="15" hidden="false" customHeight="false" outlineLevel="0" collapsed="false">
      <c r="B6" s="10" t="n">
        <v>40000</v>
      </c>
      <c r="C6" s="11" t="n">
        <v>1.45</v>
      </c>
      <c r="D6" s="12" t="n">
        <v>24</v>
      </c>
      <c r="E6" s="13" t="s">
        <v>24</v>
      </c>
      <c r="F6" s="14" t="n">
        <f aca="false">Controls!$B$15</f>
        <v>0.05</v>
      </c>
      <c r="J6" s="15" t="str">
        <f aca="false">IF($E$6="Weekly","Weekly remittance","Daily remittance")</f>
        <v>Weekly remittance</v>
      </c>
      <c r="K6" s="16" t="n">
        <f aca="false">IF(OR($E$6="",C8="",C24=0),"",IF($E$6="Weekly",D8,C8))</f>
        <v>2416.66666666667</v>
      </c>
      <c r="L6" s="16" t="n">
        <f aca="false">IF(OR(L7="",C24=0),"",L7*C24/IF($E$6="Weekly",$L$8,$L$9))</f>
        <v>2417.15625</v>
      </c>
      <c r="M6" s="17" t="n">
        <f aca="false">IF(OR(K6="",L6=""),"",L6-K6)</f>
        <v>0.489583333333485</v>
      </c>
    </row>
    <row r="7" customFormat="false" ht="15" hidden="false" customHeight="false" outlineLevel="0" collapsed="false">
      <c r="B7" s="9" t="s">
        <v>25</v>
      </c>
      <c r="C7" s="9" t="s">
        <v>26</v>
      </c>
      <c r="D7" s="9" t="s">
        <v>27</v>
      </c>
      <c r="E7" s="9" t="s">
        <v>28</v>
      </c>
      <c r="F7" s="9" t="s">
        <v>29</v>
      </c>
      <c r="G7" s="9" t="s">
        <v>30</v>
      </c>
      <c r="J7" s="15" t="s">
        <v>31</v>
      </c>
      <c r="K7" s="18" t="n">
        <f aca="false">IF(OR(D8="",C24=0),"",E8/C24)</f>
        <v>0.121351690821256</v>
      </c>
      <c r="L7" s="18" t="n">
        <f aca="false">IF(OR($E$6="",C8="",C24=0),"",ROUND(IF($E$6="Weekly",D8*$L$8,C8*$L$9)/C24*100,2)/100)</f>
        <v>0.1121</v>
      </c>
      <c r="M7" s="19" t="n">
        <f aca="false">IF(OR(K7="",L7=""),"",L7-K7)</f>
        <v>-0.00925169082125604</v>
      </c>
    </row>
    <row r="8" customFormat="false" ht="15" hidden="false" customHeight="false" outlineLevel="0" collapsed="false">
      <c r="B8" s="20" t="n">
        <f aca="false">IF(OR(B6="",C6=""),"",B6*C6)</f>
        <v>58000</v>
      </c>
      <c r="C8" s="21" t="n">
        <f aca="false">IF(OR(B8="",D6="",D6=0),"",IF(E6="Weekly",(B8/D6)/5,B8/D6))</f>
        <v>483.333333333333</v>
      </c>
      <c r="D8" s="21" t="n">
        <f aca="false">IF(C8="","",C8*5)</f>
        <v>2416.66666666667</v>
      </c>
      <c r="E8" s="20" t="n">
        <f aca="false">IF(C8="","",C8*$K$9)</f>
        <v>10466.5833333333</v>
      </c>
      <c r="F8" s="22" t="n">
        <f aca="false">IF(OR(D6="",D6=0),"",IF(E6="Weekly",D6,D6/5)/($K$9/5))</f>
        <v>5.54144539367352</v>
      </c>
      <c r="G8" s="20" t="n">
        <f aca="false">IF(B6="","",B6-(B6*F6))</f>
        <v>38000</v>
      </c>
      <c r="J8" s="15" t="s">
        <v>32</v>
      </c>
      <c r="K8" s="23" t="n">
        <f aca="false">Controls!$B$28</f>
        <v>4.331</v>
      </c>
      <c r="L8" s="23" t="n">
        <f aca="false">Controls!$B$30</f>
        <v>4</v>
      </c>
      <c r="M8" s="24" t="n">
        <f aca="false">IF(OR(K8="",L8=""),"",L8-K8)</f>
        <v>-0.331</v>
      </c>
    </row>
    <row r="9" customFormat="false" ht="15" hidden="false" customHeight="false" outlineLevel="0" collapsed="false">
      <c r="J9" s="15" t="s">
        <v>33</v>
      </c>
      <c r="K9" s="23" t="n">
        <f aca="false">Controls!$B$29</f>
        <v>21.655</v>
      </c>
      <c r="L9" s="23" t="n">
        <f aca="false">Controls!$B$31</f>
        <v>21</v>
      </c>
      <c r="M9" s="24" t="n">
        <f aca="false">IF(OR(K9="",L9=""),"",L9-K9)</f>
        <v>-0.655000000000001</v>
      </c>
    </row>
    <row r="10" customFormat="false" ht="15" hidden="false" customHeight="false" outlineLevel="0" collapsed="false">
      <c r="B10" s="8" t="s">
        <v>34</v>
      </c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B11" s="9" t="s">
        <v>35</v>
      </c>
      <c r="C11" s="9" t="s">
        <v>36</v>
      </c>
      <c r="D11" s="9" t="s">
        <v>37</v>
      </c>
      <c r="E11" s="9" t="s">
        <v>38</v>
      </c>
      <c r="F11" s="9" t="s">
        <v>39</v>
      </c>
      <c r="G11" s="9" t="s">
        <v>40</v>
      </c>
      <c r="J11" s="8" t="s">
        <v>41</v>
      </c>
      <c r="K11" s="8"/>
      <c r="L11" s="8"/>
      <c r="M11" s="8"/>
    </row>
    <row r="12" customFormat="false" ht="15" hidden="false" customHeight="false" outlineLevel="0" collapsed="false">
      <c r="B12" s="25" t="s">
        <v>42</v>
      </c>
      <c r="C12" s="26" t="n">
        <v>88000</v>
      </c>
      <c r="D12" s="26" t="n">
        <v>7400</v>
      </c>
      <c r="E12" s="27" t="n">
        <v>0</v>
      </c>
      <c r="F12" s="27" t="n">
        <v>0</v>
      </c>
      <c r="G12" s="28" t="n">
        <f aca="false">IF(OR(C12="",C13=""),"",(C12-C13)/C13)</f>
        <v>0.0476190476190476</v>
      </c>
      <c r="J12" s="29" t="s">
        <v>43</v>
      </c>
      <c r="K12" s="30" t="s">
        <v>44</v>
      </c>
      <c r="L12" s="31" t="str">
        <f aca="false">IF(K12="","",COUNTIF('Historical Data'!$K$2:$K$9,K12)&amp;" deals in book")</f>
        <v>4 deals in book</v>
      </c>
      <c r="M12" s="31"/>
    </row>
    <row r="13" customFormat="false" ht="15" hidden="false" customHeight="false" outlineLevel="0" collapsed="false">
      <c r="B13" s="25" t="s">
        <v>45</v>
      </c>
      <c r="C13" s="26" t="n">
        <v>84000</v>
      </c>
      <c r="D13" s="26" t="n">
        <v>6900</v>
      </c>
      <c r="E13" s="27" t="n">
        <v>0</v>
      </c>
      <c r="F13" s="27" t="n">
        <v>1</v>
      </c>
      <c r="G13" s="28" t="n">
        <f aca="false">IF(OR(C13="",C14=""),"",(C13-C14)/C14)</f>
        <v>-0.0769230769230769</v>
      </c>
      <c r="J13" s="32" t="s">
        <v>46</v>
      </c>
      <c r="K13" s="33" t="s">
        <v>47</v>
      </c>
      <c r="L13" s="34" t="str">
        <f aca="false">IF(K13="","",COUNTIF('Historical Data'!$Y$2:$Y$9,K13)&amp;" deals in book")</f>
        <v>1 deals in book</v>
      </c>
      <c r="M13" s="34"/>
    </row>
    <row r="14" customFormat="false" ht="15" hidden="false" customHeight="false" outlineLevel="0" collapsed="false">
      <c r="B14" s="25" t="s">
        <v>48</v>
      </c>
      <c r="C14" s="26" t="n">
        <v>91000</v>
      </c>
      <c r="D14" s="26" t="n">
        <v>8100</v>
      </c>
      <c r="E14" s="27" t="n">
        <v>0</v>
      </c>
      <c r="F14" s="27" t="n">
        <v>0</v>
      </c>
      <c r="G14" s="28" t="n">
        <f aca="false">IF(OR(C14="",C15=""),"",(C14-C15)/C15)</f>
        <v>0.109756097560976</v>
      </c>
      <c r="J14" s="32" t="s">
        <v>49</v>
      </c>
      <c r="K14" s="33" t="s">
        <v>50</v>
      </c>
      <c r="L14" s="34" t="str">
        <f aca="false">IF(K14="","required for history match","")</f>
        <v/>
      </c>
      <c r="M14" s="34"/>
    </row>
    <row r="15" customFormat="false" ht="15" hidden="false" customHeight="false" outlineLevel="0" collapsed="false">
      <c r="B15" s="25" t="s">
        <v>51</v>
      </c>
      <c r="C15" s="26" t="n">
        <v>82000</v>
      </c>
      <c r="D15" s="26" t="n">
        <v>6500</v>
      </c>
      <c r="E15" s="27" t="n">
        <v>1</v>
      </c>
      <c r="F15" s="27" t="n">
        <v>0</v>
      </c>
      <c r="G15" s="28" t="str">
        <f aca="false">IF(OR(C15="",C16=""),"",(C15-C16)/C16)</f>
        <v/>
      </c>
      <c r="J15" s="32" t="s">
        <v>52</v>
      </c>
      <c r="K15" s="33" t="n">
        <v>672</v>
      </c>
      <c r="L15" s="34" t="str">
        <f aca="false">IF(K15="","not scored",IF(K15&gt;=Controls!$B$12,"GREEN",IF(K15&gt;=Controls!$C$12,"YELLOW","RED")))</f>
        <v>GREEN</v>
      </c>
      <c r="M15" s="34"/>
    </row>
    <row r="16" customFormat="false" ht="15" hidden="false" customHeight="false" outlineLevel="0" collapsed="false">
      <c r="B16" s="25"/>
      <c r="C16" s="26"/>
      <c r="D16" s="26"/>
      <c r="E16" s="27"/>
      <c r="F16" s="27"/>
      <c r="G16" s="28" t="str">
        <f aca="false">IF(OR(C16="",C17=""),"",(C16-C17)/C17)</f>
        <v/>
      </c>
      <c r="J16" s="35" t="s">
        <v>53</v>
      </c>
      <c r="K16" s="36"/>
      <c r="L16" s="37"/>
      <c r="M16" s="38"/>
    </row>
    <row r="17" customFormat="false" ht="15" hidden="false" customHeight="false" outlineLevel="0" collapsed="false">
      <c r="B17" s="25"/>
      <c r="C17" s="26"/>
      <c r="D17" s="26"/>
      <c r="E17" s="27"/>
      <c r="F17" s="27"/>
      <c r="G17" s="28" t="str">
        <f aca="false">IF(OR(C17="",C18=""),"",(C17-C18)/C18)</f>
        <v/>
      </c>
      <c r="J17" s="39"/>
      <c r="K17" s="40"/>
      <c r="L17" s="38"/>
      <c r="M17" s="38"/>
    </row>
    <row r="18" customFormat="false" ht="15" hidden="false" customHeight="false" outlineLevel="0" collapsed="false">
      <c r="B18" s="25"/>
      <c r="C18" s="26"/>
      <c r="D18" s="26"/>
      <c r="E18" s="27"/>
      <c r="F18" s="27"/>
      <c r="G18" s="28" t="str">
        <f aca="false">IF(OR(C18="",C19=""),"",(C18-C19)/C19)</f>
        <v/>
      </c>
      <c r="J18" s="41"/>
    </row>
    <row r="19" customFormat="false" ht="15" hidden="false" customHeight="false" outlineLevel="0" collapsed="false">
      <c r="B19" s="25"/>
      <c r="C19" s="26"/>
      <c r="D19" s="26"/>
      <c r="E19" s="27"/>
      <c r="F19" s="27"/>
      <c r="G19" s="28" t="str">
        <f aca="false">IF(OR(C19="",C20=""),"",(C19-C20)/C20)</f>
        <v/>
      </c>
    </row>
    <row r="20" customFormat="false" ht="15" hidden="false" customHeight="false" outlineLevel="0" collapsed="false">
      <c r="B20" s="25"/>
      <c r="C20" s="26"/>
      <c r="D20" s="26"/>
      <c r="E20" s="27"/>
      <c r="F20" s="27"/>
      <c r="G20" s="28" t="str">
        <f aca="false">IF(OR(C20="",C21=""),"",(C20-C21)/C21)</f>
        <v/>
      </c>
    </row>
    <row r="21" customFormat="false" ht="15.75" hidden="false" customHeight="true" outlineLevel="0" collapsed="false">
      <c r="B21" s="25"/>
      <c r="C21" s="26"/>
      <c r="D21" s="26"/>
      <c r="E21" s="27"/>
      <c r="F21" s="27"/>
      <c r="G21" s="28" t="str">
        <f aca="false">IF(OR(C21="",C22=""),"",(C21-C22)/C22)</f>
        <v/>
      </c>
    </row>
    <row r="22" customFormat="false" ht="15.75" hidden="false" customHeight="true" outlineLevel="0" collapsed="false">
      <c r="B22" s="25"/>
      <c r="C22" s="26"/>
      <c r="D22" s="26"/>
      <c r="E22" s="27"/>
      <c r="F22" s="27"/>
      <c r="G22" s="28" t="str">
        <f aca="false">IF(OR(C22="",C23=""),"",(C22-C23)/C23)</f>
        <v/>
      </c>
    </row>
    <row r="23" customFormat="false" ht="15.75" hidden="false" customHeight="true" outlineLevel="0" collapsed="false">
      <c r="B23" s="25"/>
      <c r="C23" s="26"/>
      <c r="D23" s="26"/>
      <c r="E23" s="27"/>
      <c r="F23" s="27"/>
      <c r="G23" s="42"/>
    </row>
    <row r="24" customFormat="false" ht="15.75" hidden="false" customHeight="true" outlineLevel="0" collapsed="false">
      <c r="B24" s="43" t="s">
        <v>54</v>
      </c>
      <c r="C24" s="44" t="n">
        <f aca="false">IF(COUNT(C12:C23)=0,0,AVERAGE(C12:C23))</f>
        <v>86250</v>
      </c>
      <c r="D24" s="44" t="n">
        <f aca="false">IF(COUNT(D12:D23)=0,0,AVERAGE(D12:D23))</f>
        <v>7225</v>
      </c>
      <c r="E24" s="45" t="n">
        <f aca="false">SUM(E12:E23)</f>
        <v>1</v>
      </c>
      <c r="F24" s="45" t="n">
        <f aca="false">SUM(F12:F23)</f>
        <v>1</v>
      </c>
      <c r="G24" s="46" t="n">
        <f aca="false">IFERROR(AVERAGE(G12:G22),"")</f>
        <v>0.0268173560856488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8" t="s">
        <v>55</v>
      </c>
      <c r="C26" s="8"/>
      <c r="D26" s="8"/>
      <c r="E26" s="8"/>
      <c r="F26" s="8"/>
      <c r="G26" s="8"/>
      <c r="H26" s="8"/>
      <c r="I26" s="8"/>
      <c r="J26" s="8"/>
    </row>
    <row r="27" customFormat="false" ht="15.75" hidden="false" customHeight="true" outlineLevel="0" collapsed="false">
      <c r="B27" s="9" t="s">
        <v>56</v>
      </c>
      <c r="C27" s="9" t="s">
        <v>57</v>
      </c>
      <c r="D27" s="9" t="s">
        <v>58</v>
      </c>
      <c r="E27" s="9" t="s">
        <v>18</v>
      </c>
      <c r="F27" s="9" t="s">
        <v>59</v>
      </c>
      <c r="G27" s="9" t="s">
        <v>60</v>
      </c>
      <c r="H27" s="9" t="s">
        <v>61</v>
      </c>
      <c r="I27" s="9" t="s">
        <v>62</v>
      </c>
      <c r="J27" s="9" t="s">
        <v>63</v>
      </c>
    </row>
    <row r="28" customFormat="false" ht="15.75" hidden="false" customHeight="true" outlineLevel="0" collapsed="false">
      <c r="B28" s="47"/>
      <c r="C28" s="26"/>
      <c r="D28" s="26"/>
      <c r="E28" s="25" t="s">
        <v>24</v>
      </c>
      <c r="F28" s="16" t="str">
        <f aca="false">IF(D28&lt;&gt;"",IF(E28="Daily",D28,IF(E28="Weekly",D28/5,D28/$K$9)),IF(C28="","",C28*Controls!$B$33/(Controls!$B$23*$K$9)))</f>
        <v/>
      </c>
      <c r="G28" s="48"/>
      <c r="H28" s="49" t="str">
        <f aca="false">IF(OR(C28="",D28=""),"",ROUND(C28*Controls!$B$33/D28,0))</f>
        <v/>
      </c>
      <c r="I28" s="49" t="str">
        <f aca="false">IF(H28="","",H28/IF(E28="Daily",$K$9,IF(E28="Weekly",$K$9/5,1)))</f>
        <v/>
      </c>
      <c r="J28" s="49" t="str">
        <f aca="true">IF(OR(I28="",G28=""),"",MAX(0,I28-(TODAY()-G28)/Controls!$B$32))</f>
        <v/>
      </c>
    </row>
    <row r="29" customFormat="false" ht="15.75" hidden="false" customHeight="true" outlineLevel="0" collapsed="false">
      <c r="B29" s="47"/>
      <c r="C29" s="26"/>
      <c r="D29" s="26"/>
      <c r="E29" s="25" t="s">
        <v>24</v>
      </c>
      <c r="F29" s="16" t="str">
        <f aca="false">IF(D29&lt;&gt;"",IF(E29="Daily",D29,IF(E29="Weekly",D29/5,D29/$K$9)),IF(C29="","",C29*Controls!$B$33/(Controls!$B$23*$K$9)))</f>
        <v/>
      </c>
      <c r="G29" s="48"/>
      <c r="H29" s="48" t="str">
        <f aca="false">IF(OR(C29="",D29=""),"",ROUND(C29*Controls!$B$33/D29,0))</f>
        <v/>
      </c>
      <c r="I29" s="42" t="str">
        <f aca="false">IF(H29="","",H29/IF(E29="Daily",$K$9,IF(E29="Weekly",$K$9/5,1)))</f>
        <v/>
      </c>
      <c r="J29" s="48" t="str">
        <f aca="true">IF(OR(I29="",G29=""),"",MAX(0,I29-(TODAY()-G29)/Controls!$B$32))</f>
        <v/>
      </c>
    </row>
    <row r="30" customFormat="false" ht="15.75" hidden="false" customHeight="true" outlineLevel="0" collapsed="false">
      <c r="B30" s="47"/>
      <c r="C30" s="26"/>
      <c r="D30" s="26"/>
      <c r="E30" s="25" t="s">
        <v>24</v>
      </c>
      <c r="F30" s="16" t="str">
        <f aca="false">IF(D30&lt;&gt;"",IF(E30="Daily",D30,IF(E30="Weekly",D30/5,D30/$K$9)),IF(C30="","",C30*Controls!$B$33/(Controls!$B$23*$K$9)))</f>
        <v/>
      </c>
      <c r="G30" s="48"/>
      <c r="H30" s="48" t="str">
        <f aca="false">IF(OR(C30="",D30=""),"",ROUND(C30*Controls!$B$33/D30,0))</f>
        <v/>
      </c>
      <c r="I30" s="42" t="str">
        <f aca="false">IF(H30="","",H30/IF(E30="Daily",$K$9,IF(E30="Weekly",$K$9/5,1)))</f>
        <v/>
      </c>
      <c r="J30" s="48" t="str">
        <f aca="true">IF(OR(I30="",G30=""),"",MAX(0,I30-(TODAY()-G30)/Controls!$B$32))</f>
        <v/>
      </c>
    </row>
    <row r="31" customFormat="false" ht="15.75" hidden="false" customHeight="true" outlineLevel="0" collapsed="false">
      <c r="B31" s="47"/>
      <c r="C31" s="26"/>
      <c r="D31" s="26"/>
      <c r="E31" s="25" t="s">
        <v>24</v>
      </c>
      <c r="F31" s="16" t="str">
        <f aca="false">IF(D31&lt;&gt;"",IF(E31="Daily",D31,IF(E31="Weekly",D31/5,D31/$K$9)),IF(C31="","",C31*Controls!$B$33/(Controls!$B$23*$K$9)))</f>
        <v/>
      </c>
      <c r="G31" s="48"/>
      <c r="H31" s="48" t="str">
        <f aca="false">IF(OR(C31="",D31=""),"",ROUND(C31*Controls!$B$33/D31,0))</f>
        <v/>
      </c>
      <c r="I31" s="42" t="str">
        <f aca="false">IF(H31="","",H31/IF(E31="Daily",$K$9,IF(E31="Weekly",$K$9/5,1)))</f>
        <v/>
      </c>
      <c r="J31" s="48" t="str">
        <f aca="true">IF(OR(I31="",G31=""),"",MAX(0,I31-(TODAY()-G31)/Controls!$B$32))</f>
        <v/>
      </c>
    </row>
    <row r="32" customFormat="false" ht="15.75" hidden="false" customHeight="true" outlineLevel="0" collapsed="false">
      <c r="B32" s="47"/>
      <c r="C32" s="26"/>
      <c r="D32" s="26"/>
      <c r="E32" s="25" t="s">
        <v>24</v>
      </c>
      <c r="F32" s="16" t="str">
        <f aca="false">IF(D32&lt;&gt;"",IF(E32="Daily",D32,IF(E32="Weekly",D32/5,D32/$K$9)),IF(C32="","",C32*Controls!$B$33/(Controls!$B$23*$K$9)))</f>
        <v/>
      </c>
      <c r="G32" s="48"/>
      <c r="H32" s="48" t="str">
        <f aca="false">IF(OR(C32="",D32=""),"",ROUND(C32*Controls!$B$33/D32,0))</f>
        <v/>
      </c>
      <c r="I32" s="42" t="str">
        <f aca="false">IF(H32="","",H32/IF(E32="Daily",$K$9,IF(E32="Weekly",$K$9/5,1)))</f>
        <v/>
      </c>
      <c r="J32" s="48" t="str">
        <f aca="true">IF(OR(I32="",G32=""),"",MAX(0,I32-(TODAY()-G32)/Controls!$B$32))</f>
        <v/>
      </c>
    </row>
    <row r="33" customFormat="false" ht="15.75" hidden="false" customHeight="true" outlineLevel="0" collapsed="false">
      <c r="B33" s="47"/>
      <c r="C33" s="26"/>
      <c r="D33" s="26"/>
      <c r="E33" s="25" t="s">
        <v>24</v>
      </c>
      <c r="F33" s="16" t="str">
        <f aca="false">IF(D33&lt;&gt;"",IF(E33="Daily",D33,IF(E33="Weekly",D33/5,D33/$K$9)),IF(C33="","",C33*Controls!$B$33/(Controls!$B$23*$K$9)))</f>
        <v/>
      </c>
      <c r="G33" s="48"/>
      <c r="H33" s="48" t="str">
        <f aca="false">IF(OR(C33="",D33=""),"",ROUND(C33*Controls!$B$33/D33,0))</f>
        <v/>
      </c>
      <c r="I33" s="42" t="str">
        <f aca="false">IF(H33="","",H33/IF(E33="Daily",$K$9,IF(E33="Weekly",$K$9/5,1)))</f>
        <v/>
      </c>
      <c r="J33" s="48" t="str">
        <f aca="true">IF(OR(I33="",G33=""),"",MAX(0,I33-(TODAY()-G33)/Controls!$B$32))</f>
        <v/>
      </c>
    </row>
    <row r="34" customFormat="false" ht="15.75" hidden="false" customHeight="true" outlineLevel="0" collapsed="false">
      <c r="B34" s="50" t="s">
        <v>64</v>
      </c>
      <c r="C34" s="45" t="n">
        <f aca="false">SUMPRODUCT(((C28:C33&lt;&gt;"")+(D28:D33&lt;&gt;"")&gt;0)*(E28:E33&lt;&gt;"Monthly"))</f>
        <v>0</v>
      </c>
      <c r="D34" s="50" t="s">
        <v>65</v>
      </c>
      <c r="E34" s="51" t="n">
        <f aca="false">SUM(F28:F33)</f>
        <v>0</v>
      </c>
      <c r="F34" s="44" t="n">
        <f aca="false">E34*$K$9</f>
        <v>0</v>
      </c>
      <c r="G34" s="7" t="s">
        <v>66</v>
      </c>
    </row>
    <row r="35" customFormat="false" ht="15.75" hidden="false" customHeight="true" outlineLevel="0" collapsed="false">
      <c r="E35" s="52"/>
    </row>
    <row r="36" customFormat="false" ht="15.75" hidden="false" customHeight="true" outlineLevel="0" collapsed="false">
      <c r="B36" s="8" t="s">
        <v>67</v>
      </c>
      <c r="C36" s="8"/>
      <c r="D36" s="8"/>
      <c r="E36" s="8"/>
      <c r="F36" s="8"/>
      <c r="G36" s="8"/>
      <c r="H36" s="8"/>
    </row>
    <row r="37" customFormat="false" ht="15.75" hidden="false" customHeight="true" outlineLevel="0" collapsed="false">
      <c r="B37" s="9" t="s">
        <v>20</v>
      </c>
      <c r="C37" s="9" t="s">
        <v>68</v>
      </c>
      <c r="D37" s="9" t="s">
        <v>69</v>
      </c>
      <c r="E37" s="9" t="s">
        <v>70</v>
      </c>
      <c r="F37" s="9" t="s">
        <v>71</v>
      </c>
      <c r="G37" s="9" t="s">
        <v>72</v>
      </c>
      <c r="H37" s="9" t="s">
        <v>73</v>
      </c>
    </row>
    <row r="38" customFormat="false" ht="15.75" hidden="false" customHeight="true" outlineLevel="0" collapsed="false">
      <c r="B38" s="15" t="s">
        <v>74</v>
      </c>
      <c r="C38" s="53" t="n">
        <f aca="false">IF(C24=0,"",(E34+IF(C8="",0,C8))*$K$9/C24)</f>
        <v>0.121351690821256</v>
      </c>
      <c r="D38" s="54" t="n">
        <f aca="false">Controls!$B$5</f>
        <v>0.3</v>
      </c>
      <c r="E38" s="54" t="n">
        <f aca="false">Controls!$C$5</f>
        <v>0.45</v>
      </c>
      <c r="F38" s="55" t="str">
        <f aca="false">IF(C38="","",IF(C38&gt;=G38,"KNOCKOUT",IF(C38&lt;=D38,"GREEN",IF(C38&gt;=E38,"RED","YELLOW"))))</f>
        <v>GREEN</v>
      </c>
      <c r="G38" s="54" t="n">
        <f aca="false">Controls!$D$5</f>
        <v>0.55</v>
      </c>
      <c r="H38" s="56" t="n">
        <f aca="false">D38+'Historical Score'!$C$36*(E38-D38)</f>
        <v>0.3</v>
      </c>
    </row>
    <row r="39" customFormat="false" ht="15.75" hidden="false" customHeight="true" outlineLevel="0" collapsed="false">
      <c r="B39" s="15" t="s">
        <v>75</v>
      </c>
      <c r="C39" s="53" t="n">
        <f aca="false">IF(OR(C24=0,E8=""),"",E8/C24)</f>
        <v>0.121351690821256</v>
      </c>
      <c r="D39" s="54" t="n">
        <f aca="false">Controls!$B$6</f>
        <v>0.18</v>
      </c>
      <c r="E39" s="54" t="n">
        <f aca="false">Controls!$C$6</f>
        <v>0.25</v>
      </c>
      <c r="F39" s="55" t="str">
        <f aca="false">IF(C39="","",IF(C39&gt;=G39,"KNOCKOUT",IF(C39&lt;=D39,"GREEN",IF(C39&gt;=E39,"RED","YELLOW"))))</f>
        <v>GREEN</v>
      </c>
      <c r="G39" s="54" t="n">
        <f aca="false">Controls!$D$6</f>
        <v>0.35</v>
      </c>
      <c r="H39" s="56" t="n">
        <f aca="false">D39+'Historical Score'!$C$36*(E39-D39)</f>
        <v>0.18</v>
      </c>
    </row>
    <row r="40" customFormat="false" ht="15.75" hidden="false" customHeight="true" outlineLevel="0" collapsed="false">
      <c r="B40" s="15" t="s">
        <v>76</v>
      </c>
      <c r="C40" s="53" t="n">
        <f aca="false">IF(D24=0,"",(E34+IF(C8="",0,C8))/D24)</f>
        <v>0.0668973471741638</v>
      </c>
      <c r="D40" s="54" t="n">
        <f aca="false">Controls!$B$7</f>
        <v>0.18</v>
      </c>
      <c r="E40" s="54" t="n">
        <f aca="false">Controls!$C$7</f>
        <v>0.3</v>
      </c>
      <c r="F40" s="55" t="str">
        <f aca="false">IF(C40="","",IF(C40&gt;=G40,"KNOCKOUT",IF(C40&lt;=D40,"GREEN",IF(C40&gt;=E40,"RED","YELLOW"))))</f>
        <v>GREEN</v>
      </c>
      <c r="G40" s="54" t="n">
        <f aca="false">Controls!$D$7</f>
        <v>0.35</v>
      </c>
      <c r="H40" s="56" t="n">
        <f aca="false">D40+'Historical Score'!$C$36*(E40-D40)</f>
        <v>0.18</v>
      </c>
    </row>
    <row r="41" customFormat="false" ht="15.75" hidden="false" customHeight="true" outlineLevel="0" collapsed="false">
      <c r="B41" s="15" t="s">
        <v>77</v>
      </c>
      <c r="C41" s="57" t="n">
        <f aca="false">IF(OR(C24=0,B6=""),"",B6/C24)</f>
        <v>0.463768115942029</v>
      </c>
      <c r="D41" s="58" t="n">
        <f aca="false">Controls!$B$8</f>
        <v>0.6</v>
      </c>
      <c r="E41" s="58" t="n">
        <f aca="false">Controls!$C$8</f>
        <v>0.9</v>
      </c>
      <c r="F41" s="55" t="str">
        <f aca="false">IF(C41="","",IF(C41&gt;=G41,"KNOCKOUT",IF(C41&lt;=D41,"GREEN",IF(C41&gt;=E41,"RED","YELLOW"))))</f>
        <v>GREEN</v>
      </c>
      <c r="G41" s="58" t="n">
        <f aca="false">Controls!$D$8</f>
        <v>1.25</v>
      </c>
      <c r="H41" s="59" t="n">
        <f aca="false">D41+'Historical Score'!$C$36*(E41-D41)</f>
        <v>0.6</v>
      </c>
    </row>
    <row r="42" customFormat="false" ht="15.75" hidden="false" customHeight="true" outlineLevel="0" collapsed="false">
      <c r="B42" s="15" t="s">
        <v>78</v>
      </c>
      <c r="C42" s="60" t="n">
        <f aca="false">IF(C24=0,"",C34+1)</f>
        <v>1</v>
      </c>
      <c r="D42" s="61" t="n">
        <f aca="false">Controls!$B$9</f>
        <v>2</v>
      </c>
      <c r="E42" s="61" t="n">
        <f aca="false">Controls!$C$9</f>
        <v>5</v>
      </c>
      <c r="F42" s="55" t="str">
        <f aca="false">IF(C42="","",IF(C42&gt;=G42,"KNOCKOUT",IF(C42&lt;=D42,"GREEN",IF(C42&gt;=E42,"RED","YELLOW"))))</f>
        <v>GREEN</v>
      </c>
      <c r="G42" s="61" t="n">
        <f aca="false">Controls!$D$9</f>
        <v>6</v>
      </c>
    </row>
    <row r="43" customFormat="false" ht="15.75" hidden="false" customHeight="true" outlineLevel="0" collapsed="false">
      <c r="B43" s="15" t="s">
        <v>79</v>
      </c>
      <c r="C43" s="19" t="n">
        <f aca="false">G24</f>
        <v>0.0268173560856488</v>
      </c>
      <c r="D43" s="54" t="n">
        <f aca="false">Controls!$B$10</f>
        <v>-0.05</v>
      </c>
      <c r="E43" s="54" t="n">
        <f aca="false">Controls!$C$10</f>
        <v>-0.15</v>
      </c>
      <c r="F43" s="55" t="str">
        <f aca="false">IF(C24=0,"",IF(NOT(ISNUMBER(C43)),"YELLOW",IF(C43&lt;=G43,"KNOCKOUT",IF(C43&gt;=D43,"GREEN",IF(C43&lt;=E43,"RED","YELLOW")))))</f>
        <v>GREEN</v>
      </c>
      <c r="G43" s="54" t="n">
        <f aca="false">Controls!$D$10</f>
        <v>-0.3</v>
      </c>
    </row>
    <row r="44" customFormat="false" ht="15.75" hidden="false" customHeight="true" outlineLevel="0" collapsed="false">
      <c r="B44" s="15" t="s">
        <v>80</v>
      </c>
      <c r="C44" s="60" t="n">
        <f aca="false">E24+F24</f>
        <v>2</v>
      </c>
      <c r="D44" s="61" t="n">
        <f aca="false">Controls!$B$11</f>
        <v>1</v>
      </c>
      <c r="E44" s="61" t="n">
        <f aca="false">Controls!$C$11</f>
        <v>6</v>
      </c>
      <c r="F44" s="55" t="str">
        <f aca="false">IF(C44="","",IF(C44&gt;=G44,"KNOCKOUT",IF(C44&lt;=D44,"GREEN",IF(C44&gt;=E44,"RED","YELLOW"))))</f>
        <v>YELLOW</v>
      </c>
      <c r="G44" s="61" t="n">
        <f aca="false">Controls!$D$11</f>
        <v>10</v>
      </c>
    </row>
    <row r="45" customFormat="false" ht="15.75" hidden="false" customHeight="true" outlineLevel="0" collapsed="false">
      <c r="B45" s="15" t="s">
        <v>52</v>
      </c>
      <c r="C45" s="60" t="n">
        <f aca="false">IF(K15="","",K15)</f>
        <v>672</v>
      </c>
      <c r="D45" s="61" t="n">
        <f aca="false">Controls!$B$12</f>
        <v>650</v>
      </c>
      <c r="E45" s="61" t="n">
        <f aca="false">Controls!$C$12</f>
        <v>630</v>
      </c>
      <c r="F45" s="55" t="str">
        <f aca="false">IF(C45="","",IF(AND(G45&lt;&gt;0,C45&lt;=G45),"KNOCKOUT",IF(C45&gt;=D45,"GREEN",IF(C45&lt;E45,"RED","YELLOW"))))</f>
        <v>GREEN</v>
      </c>
      <c r="G45" s="61" t="n">
        <f aca="false">Controls!$D$12</f>
        <v>0</v>
      </c>
    </row>
    <row r="46" customFormat="false" ht="15.75" hidden="false" customHeight="true" outlineLevel="0" collapsed="false">
      <c r="B46" s="15" t="s">
        <v>81</v>
      </c>
      <c r="C46" s="19" t="n">
        <f aca="false">IF(C24=0,"",F34/C24)</f>
        <v>0</v>
      </c>
      <c r="D46" s="62" t="s">
        <v>82</v>
      </c>
      <c r="E46" s="62" t="s">
        <v>82</v>
      </c>
      <c r="F46" s="63" t="s">
        <v>83</v>
      </c>
    </row>
    <row r="47" customFormat="false" ht="15.75" hidden="false" customHeight="true" outlineLevel="0" collapsed="false">
      <c r="B47" s="15" t="s">
        <v>84</v>
      </c>
      <c r="C47" s="19" t="n">
        <f aca="false">IF(C24=0,"",D24/C24)</f>
        <v>0.083768115942029</v>
      </c>
      <c r="D47" s="62" t="s">
        <v>82</v>
      </c>
      <c r="E47" s="62" t="s">
        <v>82</v>
      </c>
      <c r="F47" s="63" t="s">
        <v>83</v>
      </c>
    </row>
    <row r="48" customFormat="false" ht="15.75" hidden="false" customHeight="true" outlineLevel="0" collapsed="false"/>
    <row r="49" customFormat="false" ht="15.75" hidden="false" customHeight="true" outlineLevel="0" collapsed="false">
      <c r="B49" s="8" t="s">
        <v>85</v>
      </c>
    </row>
    <row r="50" customFormat="false" ht="15.75" hidden="false" customHeight="true" outlineLevel="0" collapsed="false">
      <c r="B50" s="9" t="s">
        <v>86</v>
      </c>
      <c r="C50" s="9" t="s">
        <v>87</v>
      </c>
      <c r="D50" s="9" t="s">
        <v>88</v>
      </c>
      <c r="E50" s="9" t="s">
        <v>89</v>
      </c>
      <c r="F50" s="9" t="s">
        <v>71</v>
      </c>
      <c r="G50" s="9" t="s">
        <v>90</v>
      </c>
      <c r="H50" s="9" t="s">
        <v>91</v>
      </c>
    </row>
    <row r="51" customFormat="false" ht="15.75" hidden="false" customHeight="true" outlineLevel="0" collapsed="false">
      <c r="B51" s="15" t="str">
        <f aca="false">"Primary cohort: "&amp;'Historical Score'!$C$30</f>
        <v>Primary cohort: T6: new/renewal only</v>
      </c>
      <c r="C51" s="19" t="n">
        <f aca="false">IF('Historical Score'!$C$29=7,"",'Historical Score'!$C$32)</f>
        <v>0.508333333333333</v>
      </c>
      <c r="D51" s="54" t="n">
        <f aca="false">'Historical Score'!$C$10*Controls!$B$49</f>
        <v>0.3485</v>
      </c>
      <c r="E51" s="54" t="n">
        <f aca="false">'Historical Score'!$C$10*Controls!$B$50</f>
        <v>0.4715</v>
      </c>
      <c r="F51" s="55" t="str">
        <f aca="false">IF('Historical Score'!$C$29=7,"NO EVIDENCE",IF('Historical Score'!$C$34&lt;=Controls!$B$49,"GREEN",IF('Historical Score'!$C$34&lt;=Controls!$B$50,"YELLOW","RED")))</f>
        <v>RED</v>
      </c>
      <c r="G51" s="64" t="n">
        <f aca="false">'Historical Score'!$C$31</f>
        <v>5</v>
      </c>
      <c r="H51" s="19" t="n">
        <f aca="false">IF('Historical Score'!$C$29=7,"",'Historical Score'!$C$33)</f>
        <v>-0.383333333333333</v>
      </c>
    </row>
    <row r="52" customFormat="false" ht="15.75" hidden="false" customHeight="true" outlineLevel="0" collapsed="false">
      <c r="B52" s="15" t="s">
        <v>43</v>
      </c>
      <c r="C52" s="19" t="n">
        <f aca="false">IF('Historical Score'!$F$25="","",'Historical Score'!$F$25)</f>
        <v>0.43</v>
      </c>
      <c r="D52" s="54" t="n">
        <f aca="false">'Historical Score'!$C$10*Controls!$B$49</f>
        <v>0.3485</v>
      </c>
      <c r="E52" s="54" t="n">
        <f aca="false">'Historical Score'!$C$10*Controls!$B$50</f>
        <v>0.4715</v>
      </c>
      <c r="F52" s="55" t="str">
        <f aca="false">IF('Historical Score'!$C$25=0,"NO DEALS",IF('Historical Score'!$F$25="","TOO FEW",IF('Historical Score'!$H$25&lt;=Controls!$B$49,"GREEN",IF('Historical Score'!$H$25&lt;=Controls!$B$50,"YELLOW","RED"))))</f>
        <v>YELLOW</v>
      </c>
      <c r="G52" s="27" t="n">
        <f aca="false">'Historical Score'!$C$25</f>
        <v>3</v>
      </c>
      <c r="H52" s="19" t="n">
        <f aca="false">IF('Historical Score'!$G$25="","",'Historical Score'!$G$25)</f>
        <v>-0.33</v>
      </c>
    </row>
    <row r="53" customFormat="false" ht="15.75" hidden="false" customHeight="true" outlineLevel="0" collapsed="false">
      <c r="B53" s="15" t="s">
        <v>92</v>
      </c>
      <c r="C53" s="19" t="str">
        <f aca="false">IF('Historical Score'!$F$24="","",'Historical Score'!$F$24)</f>
        <v/>
      </c>
      <c r="D53" s="54" t="n">
        <f aca="false">'Historical Score'!$C$10*Controls!$B$49</f>
        <v>0.3485</v>
      </c>
      <c r="E53" s="54" t="n">
        <f aca="false">'Historical Score'!$C$10*Controls!$B$50</f>
        <v>0.4715</v>
      </c>
      <c r="F53" s="55" t="str">
        <f aca="false">IF('Historical Score'!$C$24=0,"NO DEALS",IF('Historical Score'!$F$24="","TOO FEW",IF('Historical Score'!$H$24&lt;=Controls!$B$49,"GREEN",IF('Historical Score'!$H$24&lt;=Controls!$B$50,"YELLOW","RED"))))</f>
        <v>TOO FEW</v>
      </c>
      <c r="G53" s="27" t="n">
        <f aca="false">'Historical Score'!$C$24</f>
        <v>1</v>
      </c>
      <c r="H53" s="19" t="str">
        <f aca="false">IF('Historical Score'!$G$24="","",'Historical Score'!$G$24)</f>
        <v/>
      </c>
    </row>
    <row r="54" customFormat="false" ht="15.75" hidden="false" customHeight="true" outlineLevel="0" collapsed="false">
      <c r="B54" s="15" t="s">
        <v>93</v>
      </c>
      <c r="C54" s="19" t="n">
        <f aca="false">IF('Historical Score'!$F$23="","",'Historical Score'!$F$23)</f>
        <v>0.508333333333333</v>
      </c>
      <c r="D54" s="54" t="n">
        <f aca="false">'Historical Score'!$C$10*Controls!$B$49</f>
        <v>0.3485</v>
      </c>
      <c r="E54" s="54" t="n">
        <f aca="false">'Historical Score'!$C$10*Controls!$B$50</f>
        <v>0.4715</v>
      </c>
      <c r="F54" s="55" t="str">
        <f aca="false">IF('Historical Score'!$C$23=0,"NO DEALS",IF('Historical Score'!$F$23="","TOO FEW",IF('Historical Score'!$H$23&lt;=Controls!$B$49,"GREEN",IF('Historical Score'!$H$23&lt;=Controls!$B$50,"YELLOW","RED"))))</f>
        <v>RED</v>
      </c>
      <c r="G54" s="27" t="n">
        <f aca="false">'Historical Score'!$C$23</f>
        <v>5</v>
      </c>
      <c r="H54" s="19" t="n">
        <f aca="false">IF('Historical Score'!$G$23="","",'Historical Score'!$G$23)</f>
        <v>-0.383333333333333</v>
      </c>
    </row>
    <row r="55" customFormat="false" ht="15.75" hidden="false" customHeight="true" outlineLevel="0" collapsed="false">
      <c r="B55" s="15" t="s">
        <v>94</v>
      </c>
      <c r="C55" s="19" t="str">
        <f aca="false">IF('Historical Score'!$F$22="","",'Historical Score'!$F$22)</f>
        <v/>
      </c>
      <c r="D55" s="54" t="n">
        <f aca="false">'Historical Score'!$C$10*Controls!$B$49</f>
        <v>0.3485</v>
      </c>
      <c r="E55" s="54" t="n">
        <f aca="false">'Historical Score'!$C$10*Controls!$B$50</f>
        <v>0.4715</v>
      </c>
      <c r="F55" s="55" t="str">
        <f aca="false">IF('Historical Score'!$C$22=0,"NO DEALS",IF('Historical Score'!$F$22="","TOO FEW",IF('Historical Score'!$H$22&lt;=Controls!$B$49,"GREEN",IF('Historical Score'!$H$22&lt;=Controls!$B$50,"YELLOW","RED"))))</f>
        <v>TOO FEW</v>
      </c>
      <c r="G55" s="27" t="n">
        <f aca="false">'Historical Score'!$C$22</f>
        <v>1</v>
      </c>
      <c r="H55" s="19" t="str">
        <f aca="false">IF('Historical Score'!$G$22="","",'Historical Score'!$G$22)</f>
        <v/>
      </c>
    </row>
    <row r="56" customFormat="false" ht="15.75" hidden="false" customHeight="true" outlineLevel="0" collapsed="false">
      <c r="B56" s="15" t="s">
        <v>95</v>
      </c>
      <c r="C56" s="60" t="n">
        <f aca="false">IF('Historical Score'!$C$29=7,0,INDEX('Historical Score'!$C$14:$C$20,'Historical Score'!$C$29))</f>
        <v>5</v>
      </c>
      <c r="D56" s="61" t="n">
        <f aca="false">Controls!$B$44</f>
        <v>5</v>
      </c>
      <c r="E56" s="61" t="n">
        <f aca="false">Controls!$B$40</f>
        <v>3</v>
      </c>
      <c r="F56" s="55" t="str">
        <f aca="false">IF(C56&gt;=D56,"GREEN",IF(C56&gt;=E56,"YELLOW","RED"))</f>
        <v>GREEN</v>
      </c>
      <c r="G56" s="65" t="str">
        <f aca="false">"house book: "&amp;'Historical Score'!$C$35&amp;"  |  sizing flex "&amp;TEXT('Historical Score'!$C$36,"0%")</f>
        <v>house book: Negative  |  sizing flex 0%</v>
      </c>
      <c r="H56" s="65"/>
    </row>
    <row r="57" customFormat="false" ht="15.75" hidden="false" customHeight="true" outlineLevel="0" collapsed="false">
      <c r="B57" s="15"/>
      <c r="C57" s="53"/>
      <c r="D57" s="64"/>
      <c r="E57" s="64"/>
      <c r="F57" s="55"/>
      <c r="G57" s="64"/>
    </row>
    <row r="58" customFormat="false" ht="15.75" hidden="false" customHeight="true" outlineLevel="0" collapsed="false">
      <c r="B58" s="15"/>
      <c r="C58" s="53"/>
      <c r="D58" s="64"/>
      <c r="E58" s="64"/>
      <c r="F58" s="55"/>
      <c r="G58" s="64"/>
    </row>
    <row r="59" customFormat="false" ht="15.75" hidden="false" customHeight="true" outlineLevel="0" collapsed="false">
      <c r="B59" s="8" t="s">
        <v>96</v>
      </c>
      <c r="C59" s="8"/>
      <c r="D59" s="8"/>
      <c r="E59" s="8"/>
      <c r="F59" s="8"/>
      <c r="G59" s="8"/>
      <c r="H59" s="8"/>
    </row>
    <row r="60" customFormat="false" ht="15.75" hidden="false" customHeight="true" outlineLevel="0" collapsed="false">
      <c r="B60" s="66" t="s">
        <v>97</v>
      </c>
      <c r="C60" s="67" t="n">
        <f aca="false">COUNTIF(F38:F45,"RED")+COUNTIF(F38:F45,"KNOCKOUT")</f>
        <v>0</v>
      </c>
      <c r="D60" s="66" t="s">
        <v>98</v>
      </c>
      <c r="E60" s="67" t="n">
        <f aca="false">COUNTIF(F38:F45,"KNOCKOUT")</f>
        <v>0</v>
      </c>
    </row>
    <row r="61" customFormat="false" ht="15.75" hidden="false" customHeight="true" outlineLevel="0" collapsed="false">
      <c r="B61" s="68" t="s">
        <v>99</v>
      </c>
      <c r="C61" s="69" t="n">
        <f aca="false">Controls!$B$13</f>
        <v>2</v>
      </c>
      <c r="D61" s="39" t="s">
        <v>100</v>
      </c>
      <c r="E61" s="70" t="n">
        <f aca="false">Controls!$B$14</f>
        <v>10000</v>
      </c>
    </row>
    <row r="62" customFormat="false" ht="15.75" hidden="false" customHeight="true" outlineLevel="0" collapsed="false">
      <c r="B62" s="66" t="s">
        <v>13</v>
      </c>
      <c r="C62" s="5" t="str">
        <f aca="false">IF(C24=0,"",IF(OR(E60&gt;0,IF(ISNUMBER(C73),C73,0)&lt;E61),"DECLINE",IF(OR(B6="",B6=0),"",IF(C60&gt;=C61,"DECLINE",IF(COUNTIF(F38:F45,"GREEN")=D65,"APPROVE","CONDITIONAL")))))</f>
        <v>CONDITIONAL</v>
      </c>
      <c r="D62" s="6" t="str">
        <f aca="false">IF(C62="DECLINE",IF(E60&gt;0,"KNOCKOUT: "&amp;INDEX(B38:B45,MATCH("KNOCKOUT",F38:F45,0))&amp;" is past its knockout line.",IF(C60&gt;=C61,"Red flags reached the threshold.","Max fund "&amp;IF(ISNUMBER(C73),TEXT(C73,"$#,##0"),"$0")&amp;" is below your minimum "&amp;TEXT(E61,"$#,##0")&amp;".")),IF(C62="APPROVE","All "&amp;D65&amp;" decision metrics green.",IF(C62="","Enter offer + bank data.","Fundable but not clean - review yellows/reds above.")))</f>
        <v>Fundable but not clean - review yellows/reds above.</v>
      </c>
      <c r="E62" s="6"/>
      <c r="F62" s="6"/>
      <c r="G62" s="6"/>
      <c r="H62" s="6"/>
    </row>
    <row r="63" customFormat="false" ht="15.75" hidden="false" customHeight="true" outlineLevel="0" collapsed="false"/>
    <row r="64" customFormat="false" ht="15.75" hidden="false" customHeight="true" outlineLevel="0" collapsed="false">
      <c r="B64" s="8" t="s">
        <v>101</v>
      </c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B65" s="68" t="s">
        <v>102</v>
      </c>
      <c r="C65" s="71" t="n">
        <f aca="false">COUNTIF(F38:F45,"GREEN")+0.5*COUNTIF(F38:F45,"YELLOW")</f>
        <v>7.5</v>
      </c>
      <c r="D65" s="7" t="n">
        <f aca="false">SUMPRODUCT(--(F38:F45&lt;&gt;""))</f>
        <v>8</v>
      </c>
      <c r="E65" s="0" t="s">
        <v>103</v>
      </c>
    </row>
    <row r="66" customFormat="false" ht="15.75" hidden="false" customHeight="true" outlineLevel="0" collapsed="false">
      <c r="B66" s="68" t="s">
        <v>104</v>
      </c>
      <c r="C66" s="55" t="str">
        <f aca="false">IF(C24=0,"",IF(D67&gt;=Controls!$B$25,"Strong",IF(D67&gt;=Controls!$C$25,"Solid",IF(D67&gt;=Controls!$D$25,"Moderate","Weak"))))</f>
        <v>Strong</v>
      </c>
    </row>
    <row r="67" customFormat="false" ht="15.75" hidden="false" customHeight="true" outlineLevel="0" collapsed="false">
      <c r="B67" s="68" t="s">
        <v>105</v>
      </c>
      <c r="C67" s="16" t="n">
        <f aca="false">IF(C24=0,"",H39*C24/$K$9)</f>
        <v>716.924497806511</v>
      </c>
      <c r="D67" s="72" t="n">
        <f aca="false">IF(D65=0,0,C65*7/D65)</f>
        <v>6.5625</v>
      </c>
      <c r="E67" s="0" t="s">
        <v>106</v>
      </c>
    </row>
    <row r="68" customFormat="false" ht="15.75" hidden="false" customHeight="true" outlineLevel="0" collapsed="false">
      <c r="B68" s="68" t="s">
        <v>107</v>
      </c>
      <c r="C68" s="16" t="n">
        <f aca="false">IF(C24=0,"",(H38*C24-F34)/$K$9)</f>
        <v>1194.87416301085</v>
      </c>
    </row>
    <row r="69" customFormat="false" ht="15.75" hidden="false" customHeight="true" outlineLevel="0" collapsed="false">
      <c r="B69" s="68" t="s">
        <v>108</v>
      </c>
      <c r="C69" s="16" t="n">
        <f aca="false">IF(OR(C24=0,D24=0),"",H40*D24-E34)</f>
        <v>1300.5</v>
      </c>
    </row>
    <row r="70" customFormat="false" ht="15.75" hidden="false" customHeight="true" outlineLevel="0" collapsed="false">
      <c r="B70" s="66" t="s">
        <v>109</v>
      </c>
      <c r="C70" s="21" t="n">
        <f aca="false">IF(C24=0,"",MAX(0,MIN(C67:C69)))</f>
        <v>716.924497806511</v>
      </c>
      <c r="D70" s="6" t="str">
        <f aca="false">IF(C70="","",IF(C70=0,"no clean room - existing debt is over the sizing line",INDEX({"SP% holdback";"Total LVG";"Daily/Balance"},MATCH(C70,C67:C69,0))&amp;" is the limit"))</f>
        <v>SP% holdback is the limit</v>
      </c>
      <c r="E70" s="6"/>
      <c r="F70" s="6"/>
      <c r="G70" s="6"/>
      <c r="H70" s="6"/>
    </row>
    <row r="71" customFormat="false" ht="15.75" hidden="false" customHeight="true" outlineLevel="0" collapsed="false">
      <c r="B71" s="68" t="s">
        <v>110</v>
      </c>
      <c r="C71" s="73" t="n">
        <f aca="false">IF(OR(C70="",C70=0),"",C70*5)</f>
        <v>3584.62248903256</v>
      </c>
      <c r="D71" s="73" t="n">
        <f aca="false">IF(OR(C70="",C70=0),"",C70*$K$9)</f>
        <v>15525</v>
      </c>
    </row>
    <row r="72" customFormat="false" ht="15.75" hidden="false" customHeight="true" outlineLevel="0" collapsed="false">
      <c r="B72" s="68" t="s">
        <v>111</v>
      </c>
      <c r="C72" s="74" t="n">
        <f aca="false">IF(OR(C70="",C70=0,C65=""),"",MAX(20,MIN(INDEX(Controls!$B$19:$B$22,MATCH(D67,Controls!$A$19:$A$22,1)),FLOOR(Controls!$B$23*$K$9,5),FLOOR(H41*C24*D72/C70,5))))</f>
        <v>100</v>
      </c>
      <c r="D72" s="75" t="n">
        <f aca="false">IF(OR(C65="",C24=0),"",INDEX(Controls!$C$19:$C$22,MATCH(D67,Controls!$A$19:$A$22,1)))</f>
        <v>1.45</v>
      </c>
    </row>
    <row r="73" customFormat="false" ht="15.75" hidden="false" customHeight="true" outlineLevel="0" collapsed="false">
      <c r="B73" s="66" t="s">
        <v>112</v>
      </c>
      <c r="C73" s="76" t="n">
        <f aca="false">IF(COUNTIF(F42:F45,"KNOCKOUT")&gt;0,"-",IF(OR(C70="",C70=0,C72="",D72=""),"",FLOOR(C70*C72/D72,500)))</f>
        <v>49000</v>
      </c>
      <c r="D73" s="6" t="str">
        <f aca="false">IF(C73="-","KNOCKOUT on the merchant - do not fund.",IF(C73="","","payback "&amp;TEXT(C73*D72,"$#,##0")&amp;" over "&amp;C72&amp;" daily pmts ("&amp;TEXT(C72/5,"0")&amp;" wks)"))</f>
        <v>payback $71,050 over 100 daily pmts (20 wks)</v>
      </c>
      <c r="E73" s="6"/>
      <c r="F73" s="6"/>
      <c r="G73" s="6"/>
      <c r="H73" s="6"/>
    </row>
    <row r="74" customFormat="false" ht="15.75" hidden="false" customHeight="true" outlineLevel="0" collapsed="false">
      <c r="B74" s="6"/>
      <c r="C74" s="6"/>
      <c r="D74" s="6"/>
      <c r="E74" s="6"/>
      <c r="F74" s="6"/>
      <c r="G74" s="6"/>
      <c r="H74" s="6"/>
    </row>
    <row r="75" customFormat="false" ht="15.75" hidden="false" customHeight="true" outlineLevel="0" collapsed="false">
      <c r="B75" s="8" t="s">
        <v>113</v>
      </c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B76" s="77" t="s">
        <v>114</v>
      </c>
      <c r="C76" s="77" t="s">
        <v>68</v>
      </c>
      <c r="D76" s="77" t="s">
        <v>115</v>
      </c>
      <c r="E76" s="77"/>
      <c r="F76" s="77"/>
      <c r="G76" s="77"/>
      <c r="H76" s="77"/>
    </row>
    <row r="77" customFormat="false" ht="30" hidden="false" customHeight="true" outlineLevel="0" collapsed="false">
      <c r="B77" s="78" t="s">
        <v>116</v>
      </c>
      <c r="C77" s="79" t="s">
        <v>117</v>
      </c>
      <c r="D77" s="80" t="s">
        <v>118</v>
      </c>
      <c r="E77" s="80"/>
      <c r="F77" s="80"/>
      <c r="G77" s="80"/>
      <c r="H77" s="80"/>
    </row>
    <row r="78" customFormat="false" ht="30" hidden="false" customHeight="true" outlineLevel="0" collapsed="false">
      <c r="B78" s="78" t="s">
        <v>119</v>
      </c>
      <c r="C78" s="79" t="s">
        <v>120</v>
      </c>
      <c r="D78" s="80" t="s">
        <v>121</v>
      </c>
      <c r="E78" s="80"/>
      <c r="F78" s="80"/>
      <c r="G78" s="80"/>
      <c r="H78" s="80"/>
    </row>
    <row r="79" customFormat="false" ht="30" hidden="false" customHeight="true" outlineLevel="0" collapsed="false">
      <c r="B79" s="78" t="s">
        <v>17</v>
      </c>
      <c r="C79" s="79" t="s">
        <v>122</v>
      </c>
      <c r="D79" s="80" t="s">
        <v>123</v>
      </c>
      <c r="E79" s="80"/>
      <c r="F79" s="80"/>
      <c r="G79" s="80"/>
      <c r="H79" s="80"/>
    </row>
    <row r="80" customFormat="false" ht="30" hidden="false" customHeight="true" outlineLevel="0" collapsed="false">
      <c r="B80" s="78" t="s">
        <v>124</v>
      </c>
      <c r="C80" s="79" t="s">
        <v>125</v>
      </c>
      <c r="D80" s="80" t="s">
        <v>126</v>
      </c>
      <c r="E80" s="80"/>
      <c r="F80" s="80"/>
      <c r="G80" s="80"/>
      <c r="H80" s="80"/>
    </row>
    <row r="81" customFormat="false" ht="30" hidden="false" customHeight="true" outlineLevel="0" collapsed="false">
      <c r="B81" s="78" t="s">
        <v>58</v>
      </c>
      <c r="C81" s="79" t="s">
        <v>127</v>
      </c>
      <c r="D81" s="80" t="s">
        <v>128</v>
      </c>
      <c r="E81" s="80"/>
      <c r="F81" s="80"/>
      <c r="G81" s="80"/>
      <c r="H81" s="80"/>
    </row>
    <row r="82" customFormat="false" ht="30" hidden="false" customHeight="true" outlineLevel="0" collapsed="false">
      <c r="B82" s="78" t="s">
        <v>129</v>
      </c>
      <c r="C82" s="79" t="s">
        <v>130</v>
      </c>
      <c r="D82" s="80" t="s">
        <v>131</v>
      </c>
      <c r="E82" s="80"/>
      <c r="F82" s="80"/>
      <c r="G82" s="80"/>
      <c r="H82" s="80"/>
    </row>
    <row r="83" customFormat="false" ht="30" hidden="false" customHeight="true" outlineLevel="0" collapsed="false">
      <c r="B83" s="78" t="s">
        <v>132</v>
      </c>
      <c r="C83" s="79" t="s">
        <v>130</v>
      </c>
      <c r="D83" s="80" t="s">
        <v>133</v>
      </c>
      <c r="E83" s="80"/>
      <c r="F83" s="80"/>
      <c r="G83" s="80"/>
      <c r="H83" s="80"/>
    </row>
    <row r="84" customFormat="false" ht="30" hidden="false" customHeight="true" outlineLevel="0" collapsed="false">
      <c r="B84" s="78" t="s">
        <v>134</v>
      </c>
      <c r="C84" s="79" t="s">
        <v>135</v>
      </c>
      <c r="D84" s="80" t="s">
        <v>136</v>
      </c>
      <c r="E84" s="80"/>
      <c r="F84" s="80"/>
      <c r="G84" s="80"/>
      <c r="H84" s="80"/>
    </row>
    <row r="85" customFormat="false" ht="30" hidden="false" customHeight="true" outlineLevel="0" collapsed="false">
      <c r="B85" s="78" t="s">
        <v>137</v>
      </c>
      <c r="C85" s="79" t="s">
        <v>138</v>
      </c>
      <c r="D85" s="80" t="s">
        <v>139</v>
      </c>
      <c r="E85" s="80"/>
      <c r="F85" s="80"/>
      <c r="G85" s="80"/>
      <c r="H85" s="80"/>
    </row>
    <row r="86" customFormat="false" ht="15.75" hidden="false" customHeight="true" outlineLevel="0" collapsed="false">
      <c r="B86" s="81" t="s">
        <v>140</v>
      </c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D2:H2"/>
    <mergeCell ref="B4:H4"/>
    <mergeCell ref="J4:M4"/>
    <mergeCell ref="B10:H10"/>
    <mergeCell ref="J11:M11"/>
    <mergeCell ref="L12:M12"/>
    <mergeCell ref="L13:M13"/>
    <mergeCell ref="L14:M14"/>
    <mergeCell ref="L15:M15"/>
    <mergeCell ref="B26:J26"/>
    <mergeCell ref="B36:H36"/>
    <mergeCell ref="G56:H56"/>
    <mergeCell ref="B59:H59"/>
    <mergeCell ref="D62:H62"/>
    <mergeCell ref="B64:H64"/>
    <mergeCell ref="D70:H70"/>
    <mergeCell ref="D73:H73"/>
    <mergeCell ref="B74:H74"/>
    <mergeCell ref="B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</mergeCells>
  <conditionalFormatting sqref="F38:F4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F51:F56">
    <cfRule type="cellIs" priority="6" operator="equal" aboveAverage="0" equalAverage="0" bottom="0" percent="0" rank="0" text="" dxfId="0">
      <formula>"GREEN"</formula>
    </cfRule>
    <cfRule type="cellIs" priority="7" operator="equal" aboveAverage="0" equalAverage="0" bottom="0" percent="0" rank="0" text="" dxfId="1">
      <formula>"YELLOW"</formula>
    </cfRule>
    <cfRule type="cellIs" priority="8" operator="equal" aboveAverage="0" equalAverage="0" bottom="0" percent="0" rank="0" text="" dxfId="2">
      <formula>"RED"</formula>
    </cfRule>
    <cfRule type="cellIs" priority="9" operator="equal" aboveAverage="0" equalAverage="0" bottom="0" percent="0" rank="0" text="" dxfId="2">
      <formula>"KNOCKOUT"</formula>
    </cfRule>
  </conditionalFormatting>
  <conditionalFormatting sqref="C2">
    <cfRule type="cellIs" priority="10" operator="equal" aboveAverage="0" equalAverage="0" bottom="0" percent="0" rank="0" text="" dxfId="0">
      <formula>"APPROVE"</formula>
    </cfRule>
    <cfRule type="cellIs" priority="11" operator="equal" aboveAverage="0" equalAverage="0" bottom="0" percent="0" rank="0" text="" dxfId="1">
      <formula>"CONDITIONAL"</formula>
    </cfRule>
    <cfRule type="cellIs" priority="12" operator="equal" aboveAverage="0" equalAverage="0" bottom="0" percent="0" rank="0" text="" dxfId="2">
      <formula>"DECLINE"</formula>
    </cfRule>
    <cfRule type="cellIs" priority="13" operator="equal" aboveAverage="0" equalAverage="0" bottom="0" percent="0" rank="0" text="" dxfId="3">
      <formula>"MANUAL REVIEW"</formula>
    </cfRule>
  </conditionalFormatting>
  <conditionalFormatting sqref="C62">
    <cfRule type="cellIs" priority="14" operator="equal" aboveAverage="0" equalAverage="0" bottom="0" percent="0" rank="0" text="" dxfId="0">
      <formula>"APPROVE"</formula>
    </cfRule>
    <cfRule type="cellIs" priority="15" operator="equal" aboveAverage="0" equalAverage="0" bottom="0" percent="0" rank="0" text="" dxfId="1">
      <formula>"CONDITIONAL"</formula>
    </cfRule>
    <cfRule type="cellIs" priority="16" operator="equal" aboveAverage="0" equalAverage="0" bottom="0" percent="0" rank="0" text="" dxfId="2">
      <formula>"DECLINE"</formula>
    </cfRule>
    <cfRule type="cellIs" priority="17" operator="equal" aboveAverage="0" equalAverage="0" bottom="0" percent="0" rank="0" text="" dxfId="3">
      <formula>"MANUAL REVIEW"</formula>
    </cfRule>
  </conditionalFormatting>
  <dataValidations count="6">
    <dataValidation allowBlank="true" errorStyle="stop" operator="between" showDropDown="false" showErrorMessage="false" showInputMessage="false" sqref="E28:E33" type="list">
      <formula1>"Weekly,Daily,Monthly"</formula1>
      <formula2>0</formula2>
    </dataValidation>
    <dataValidation allowBlank="true" errorStyle="stop" operator="between" showDropDown="false" showErrorMessage="false" showInputMessage="false" sqref="B12:B23" type="list">
      <formula1>"Jan,Feb,Mar,Apr,May,Jun,Jul,Aug,Sep,Oct,Nov,Dec"</formula1>
      <formula2>0</formula2>
    </dataValidation>
    <dataValidation allowBlank="true" errorStyle="stop" operator="between" showDropDown="false" showErrorMessage="false" showInputMessage="false" sqref="E6" type="list">
      <formula1>"Daily,Weekly"</formula1>
      <formula2>0</formula2>
    </dataValidation>
    <dataValidation allowBlank="true" errorStyle="stop" operator="between" showDropDown="false" showErrorMessage="false" showInputMessage="false" sqref="K12" type="list">
      <formula1>Ref!$E$2:$E$157</formula1>
      <formula2>0</formula2>
    </dataValidation>
    <dataValidation allowBlank="true" errorStyle="stop" operator="between" showDropDown="false" showErrorMessage="false" showInputMessage="false" sqref="K13" type="list">
      <formula1>Ref!$G$2:$G$67</formula1>
      <formula2>0</formula2>
    </dataValidation>
    <dataValidation allowBlank="true" errorStyle="stop" operator="between" showDropDown="false" showErrorMessage="false" showInputMessage="false" sqref="K14" type="list">
      <formula1>"New Deal,Renewal"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82" t="s">
        <v>141</v>
      </c>
    </row>
    <row r="2" customFormat="false" ht="15" hidden="false" customHeight="false" outlineLevel="0" collapsed="false">
      <c r="A2" s="81" t="s">
        <v>142</v>
      </c>
    </row>
    <row r="4" customFormat="false" ht="15" hidden="false" customHeight="false" outlineLevel="0" collapsed="false">
      <c r="A4" s="8" t="s">
        <v>143</v>
      </c>
      <c r="B4" s="8"/>
      <c r="C4" s="8"/>
    </row>
    <row r="5" customFormat="false" ht="15" hidden="false" customHeight="false" outlineLevel="0" collapsed="false">
      <c r="B5" s="83" t="s">
        <v>49</v>
      </c>
      <c r="C5" s="84" t="str">
        <f aca="false">IF(Deal!$K$14="","",Deal!$K$14)</f>
        <v>New Deal</v>
      </c>
    </row>
    <row r="6" customFormat="false" ht="15" hidden="false" customHeight="false" outlineLevel="0" collapsed="false">
      <c r="B6" s="83" t="s">
        <v>144</v>
      </c>
      <c r="C6" s="85" t="n">
        <f aca="false">IF(Deal!$C$42="","",Deal!$C$42)</f>
        <v>1</v>
      </c>
    </row>
    <row r="7" customFormat="false" ht="15" hidden="false" customHeight="false" outlineLevel="0" collapsed="false">
      <c r="B7" s="83" t="s">
        <v>92</v>
      </c>
      <c r="C7" s="84" t="str">
        <f aca="false">IF(Deal!$K$13="","",Deal!$K$13)</f>
        <v>Eating &amp; Drinking Places</v>
      </c>
    </row>
    <row r="8" customFormat="false" ht="15" hidden="false" customHeight="false" outlineLevel="0" collapsed="false">
      <c r="B8" s="83" t="s">
        <v>43</v>
      </c>
      <c r="C8" s="84" t="str">
        <f aca="false">IF(Deal!$K$12="","",Deal!$K$12)</f>
        <v>Fundwell</v>
      </c>
    </row>
    <row r="10" customFormat="false" ht="15" hidden="false" customHeight="false" outlineLevel="0" collapsed="false">
      <c r="B10" s="83" t="s">
        <v>145</v>
      </c>
      <c r="C10" s="86" t="n">
        <f aca="false">IF($F$20="",0,$F$20)</f>
        <v>0.41</v>
      </c>
    </row>
    <row r="11" customFormat="false" ht="15" hidden="false" customHeight="false" outlineLevel="0" collapsed="false">
      <c r="B11" s="83" t="s">
        <v>146</v>
      </c>
      <c r="C11" s="86" t="n">
        <f aca="false">IF($G$20="",0,$G$20)</f>
        <v>-0.243333333333333</v>
      </c>
    </row>
    <row r="13" customFormat="false" ht="30" hidden="false" customHeight="true" outlineLevel="0" collapsed="false">
      <c r="A13" s="77" t="s">
        <v>147</v>
      </c>
      <c r="B13" s="77" t="s">
        <v>86</v>
      </c>
      <c r="C13" s="77" t="s">
        <v>148</v>
      </c>
      <c r="D13" s="77" t="s">
        <v>149</v>
      </c>
      <c r="E13" s="77" t="s">
        <v>150</v>
      </c>
      <c r="F13" s="77" t="s">
        <v>87</v>
      </c>
      <c r="G13" s="77" t="s">
        <v>91</v>
      </c>
      <c r="H13" s="77" t="s">
        <v>151</v>
      </c>
      <c r="I13" s="77" t="s">
        <v>152</v>
      </c>
    </row>
    <row r="14" customFormat="false" ht="15" hidden="false" customHeight="false" outlineLevel="0" collapsed="false">
      <c r="A14" s="84" t="n">
        <v>1</v>
      </c>
      <c r="B14" s="83" t="s">
        <v>153</v>
      </c>
      <c r="C14" s="87" t="n">
        <f aca="false">SUMPRODUCT('Historical Data'!$AU$2:$AU$9*'Historical Data'!$AP$2:$AP$9)</f>
        <v>1</v>
      </c>
      <c r="D14" s="88" t="n">
        <f aca="false">SUMPRODUCT('Historical Data'!$AU$2:$AU$9*'Historical Data'!$AP$2:$AP$9*'Historical Data'!$N$2:$N$9)</f>
        <v>10000</v>
      </c>
      <c r="E14" s="84" t="str">
        <f aca="false">IF(AND(C14&gt;=Controls!$B$40,D14&gt;=Controls!$B$41),"Yes","No")</f>
        <v>No</v>
      </c>
      <c r="F14" s="89" t="str">
        <f aca="false">IF(OR(C14&lt;Controls!$B$43,D14=0),"",SUMPRODUCT('Historical Data'!$AU$2:$AU$9*'Historical Data'!$AP$2:$AP$9*'Historical Data'!$AK$2:$AK$9)/D14)</f>
        <v/>
      </c>
      <c r="G14" s="89" t="str">
        <f aca="false">IF(OR(C14&lt;Controls!$B$43,D14=0),"",SUMPRODUCT('Historical Data'!$AU$2:$AU$9*'Historical Data'!$AP$2:$AP$9*'Historical Data'!$AJ$2:$AJ$9)/D14)</f>
        <v/>
      </c>
      <c r="H14" s="90" t="str">
        <f aca="false">IF(OR(F14="",$C$10=0),"",F14/$C$10)</f>
        <v/>
      </c>
      <c r="I14" s="81" t="s">
        <v>154</v>
      </c>
    </row>
    <row r="15" customFormat="false" ht="15" hidden="false" customHeight="false" outlineLevel="0" collapsed="false">
      <c r="A15" s="84" t="n">
        <v>2</v>
      </c>
      <c r="B15" s="83" t="s">
        <v>155</v>
      </c>
      <c r="C15" s="87" t="n">
        <f aca="false">SUMPRODUCT('Historical Data'!$AV$2:$AV$9*'Historical Data'!$AP$2:$AP$9)</f>
        <v>1</v>
      </c>
      <c r="D15" s="88" t="n">
        <f aca="false">SUMPRODUCT('Historical Data'!$AV$2:$AV$9*'Historical Data'!$AP$2:$AP$9*'Historical Data'!$N$2:$N$9)</f>
        <v>10000</v>
      </c>
      <c r="E15" s="84" t="str">
        <f aca="false">IF(AND(C15&gt;=Controls!$B$40,D15&gt;=Controls!$B$41),"Yes","No")</f>
        <v>No</v>
      </c>
      <c r="F15" s="89" t="str">
        <f aca="false">IF(OR(C15&lt;Controls!$B$43,D15=0),"",SUMPRODUCT('Historical Data'!$AV$2:$AV$9*'Historical Data'!$AP$2:$AP$9*'Historical Data'!$AK$2:$AK$9)/D15)</f>
        <v/>
      </c>
      <c r="G15" s="89" t="str">
        <f aca="false">IF(OR(C15&lt;Controls!$B$43,D15=0),"",SUMPRODUCT('Historical Data'!$AV$2:$AV$9*'Historical Data'!$AP$2:$AP$9*'Historical Data'!$AJ$2:$AJ$9)/D15)</f>
        <v/>
      </c>
      <c r="H15" s="90" t="str">
        <f aca="false">IF(OR(F15="",$C$10=0),"",F15/$C$10)</f>
        <v/>
      </c>
    </row>
    <row r="16" customFormat="false" ht="15" hidden="false" customHeight="false" outlineLevel="0" collapsed="false">
      <c r="A16" s="84" t="n">
        <v>3</v>
      </c>
      <c r="B16" s="83" t="s">
        <v>156</v>
      </c>
      <c r="C16" s="87" t="n">
        <f aca="false">SUMPRODUCT('Historical Data'!$AW$2:$AW$9*'Historical Data'!$AP$2:$AP$9)</f>
        <v>1</v>
      </c>
      <c r="D16" s="88" t="n">
        <f aca="false">SUMPRODUCT('Historical Data'!$AW$2:$AW$9*'Historical Data'!$AP$2:$AP$9*'Historical Data'!$N$2:$N$9)</f>
        <v>10000</v>
      </c>
      <c r="E16" s="84" t="str">
        <f aca="false">IF(AND(C16&gt;=Controls!$B$40,D16&gt;=Controls!$B$41),"Yes","No")</f>
        <v>No</v>
      </c>
      <c r="F16" s="89" t="str">
        <f aca="false">IF(OR(C16&lt;Controls!$B$43,D16=0),"",SUMPRODUCT('Historical Data'!$AW$2:$AW$9*'Historical Data'!$AP$2:$AP$9*'Historical Data'!$AK$2:$AK$9)/D16)</f>
        <v/>
      </c>
      <c r="G16" s="89" t="str">
        <f aca="false">IF(OR(C16&lt;Controls!$B$43,D16=0),"",SUMPRODUCT('Historical Data'!$AW$2:$AW$9*'Historical Data'!$AP$2:$AP$9*'Historical Data'!$AJ$2:$AJ$9)/D16)</f>
        <v/>
      </c>
      <c r="H16" s="90" t="str">
        <f aca="false">IF(OR(F16="",$C$10=0),"",F16/$C$10)</f>
        <v/>
      </c>
    </row>
    <row r="17" customFormat="false" ht="15" hidden="false" customHeight="false" outlineLevel="0" collapsed="false">
      <c r="A17" s="84" t="n">
        <v>4</v>
      </c>
      <c r="B17" s="83" t="s">
        <v>157</v>
      </c>
      <c r="C17" s="87" t="n">
        <f aca="false">SUMPRODUCT('Historical Data'!$AX$2:$AX$9*'Historical Data'!$AP$2:$AP$9)</f>
        <v>2</v>
      </c>
      <c r="D17" s="88" t="n">
        <f aca="false">SUMPRODUCT('Historical Data'!$AX$2:$AX$9*'Historical Data'!$AP$2:$AP$9*'Historical Data'!$N$2:$N$9)</f>
        <v>40000</v>
      </c>
      <c r="E17" s="84" t="str">
        <f aca="false">IF(AND(C17&gt;=Controls!$B$40,D17&gt;=Controls!$B$41),"Yes","No")</f>
        <v>No</v>
      </c>
      <c r="F17" s="89" t="n">
        <f aca="false">IF(OR(C17&lt;Controls!$B$43,D17=0),"",SUMPRODUCT('Historical Data'!$AX$2:$AX$9*'Historical Data'!$AP$2:$AP$9*'Historical Data'!$AK$2:$AK$9)/D17)</f>
        <v>0.525</v>
      </c>
      <c r="G17" s="89" t="n">
        <f aca="false">IF(OR(C17&lt;Controls!$B$43,D17=0),"",SUMPRODUCT('Historical Data'!$AX$2:$AX$9*'Historical Data'!$AP$2:$AP$9*'Historical Data'!$AJ$2:$AJ$9)/D17)</f>
        <v>-0.4</v>
      </c>
      <c r="H17" s="90" t="n">
        <f aca="false">IF(OR(F17="",$C$10=0),"",F17/$C$10)</f>
        <v>1.28048780487805</v>
      </c>
    </row>
    <row r="18" customFormat="false" ht="15" hidden="false" customHeight="false" outlineLevel="0" collapsed="false">
      <c r="A18" s="84" t="n">
        <v>5</v>
      </c>
      <c r="B18" s="83" t="s">
        <v>158</v>
      </c>
      <c r="C18" s="87" t="n">
        <f aca="false">SUMPRODUCT('Historical Data'!$AY$2:$AY$9*'Historical Data'!$AP$2:$AP$9)</f>
        <v>1</v>
      </c>
      <c r="D18" s="88" t="n">
        <f aca="false">SUMPRODUCT('Historical Data'!$AY$2:$AY$9*'Historical Data'!$AP$2:$AP$9*'Historical Data'!$N$2:$N$9)</f>
        <v>10000</v>
      </c>
      <c r="E18" s="84" t="str">
        <f aca="false">IF(AND(C18&gt;=Controls!$B$40,D18&gt;=Controls!$B$41),"Yes","No")</f>
        <v>No</v>
      </c>
      <c r="F18" s="89" t="str">
        <f aca="false">IF(OR(C18&lt;Controls!$B$43,D18=0),"",SUMPRODUCT('Historical Data'!$AY$2:$AY$9*'Historical Data'!$AP$2:$AP$9*'Historical Data'!$AK$2:$AK$9)/D18)</f>
        <v/>
      </c>
      <c r="G18" s="89" t="str">
        <f aca="false">IF(OR(C18&lt;Controls!$B$43,D18=0),"",SUMPRODUCT('Historical Data'!$AY$2:$AY$9*'Historical Data'!$AP$2:$AP$9*'Historical Data'!$AJ$2:$AJ$9)/D18)</f>
        <v/>
      </c>
      <c r="H18" s="90" t="str">
        <f aca="false">IF(OR(F18="",$C$10=0),"",F18/$C$10)</f>
        <v/>
      </c>
    </row>
    <row r="19" customFormat="false" ht="15" hidden="false" customHeight="false" outlineLevel="0" collapsed="false">
      <c r="A19" s="84" t="n">
        <v>6</v>
      </c>
      <c r="B19" s="83" t="s">
        <v>159</v>
      </c>
      <c r="C19" s="87" t="n">
        <f aca="false">SUMPRODUCT('Historical Data'!$AZ$2:$AZ$9*'Historical Data'!$AP$2:$AP$9)</f>
        <v>5</v>
      </c>
      <c r="D19" s="88" t="n">
        <f aca="false">SUMPRODUCT('Historical Data'!$AZ$2:$AZ$9*'Historical Data'!$AP$2:$AP$9*'Historical Data'!$N$2:$N$9)</f>
        <v>120000</v>
      </c>
      <c r="E19" s="84" t="str">
        <f aca="false">IF(AND(C19&gt;=Controls!$B$40,D19&gt;=Controls!$B$41),"Yes","No")</f>
        <v>Yes</v>
      </c>
      <c r="F19" s="89" t="n">
        <f aca="false">IF(OR(C19&lt;Controls!$B$43,D19=0),"",SUMPRODUCT('Historical Data'!$AZ$2:$AZ$9*'Historical Data'!$AP$2:$AP$9*'Historical Data'!$AK$2:$AK$9)/D19)</f>
        <v>0.508333333333333</v>
      </c>
      <c r="G19" s="89" t="n">
        <f aca="false">IF(OR(C19&lt;Controls!$B$43,D19=0),"",SUMPRODUCT('Historical Data'!$AZ$2:$AZ$9*'Historical Data'!$AP$2:$AP$9*'Historical Data'!$AJ$2:$AJ$9)/D19)</f>
        <v>-0.383333333333333</v>
      </c>
      <c r="H19" s="90" t="n">
        <f aca="false">IF(OR(F19="",$C$10=0),"",F19/$C$10)</f>
        <v>1.23983739837398</v>
      </c>
    </row>
    <row r="20" customFormat="false" ht="15" hidden="false" customHeight="false" outlineLevel="0" collapsed="false">
      <c r="A20" s="84" t="n">
        <v>7</v>
      </c>
      <c r="B20" s="83" t="s">
        <v>160</v>
      </c>
      <c r="C20" s="87" t="n">
        <f aca="false">SUMPRODUCT('Historical Data'!$BA$2:$BA$9*'Historical Data'!$AP$2:$AP$9)</f>
        <v>7</v>
      </c>
      <c r="D20" s="88" t="n">
        <f aca="false">SUMPRODUCT('Historical Data'!$BA$2:$BA$9*'Historical Data'!$AP$2:$AP$9*'Historical Data'!$N$2:$N$9)</f>
        <v>150000</v>
      </c>
      <c r="E20" s="84" t="str">
        <f aca="false">IF(AND(C20&gt;=Controls!$B$40,D20&gt;=Controls!$B$41),"Yes","No")</f>
        <v>Yes</v>
      </c>
      <c r="F20" s="89" t="n">
        <f aca="false">IF(OR(C20&lt;Controls!$B$43,D20=0),"",SUMPRODUCT('Historical Data'!$BA$2:$BA$9*'Historical Data'!$AP$2:$AP$9*'Historical Data'!$AK$2:$AK$9)/D20)</f>
        <v>0.41</v>
      </c>
      <c r="G20" s="89" t="n">
        <f aca="false">IF(OR(C20&lt;Controls!$B$43,D20=0),"",SUMPRODUCT('Historical Data'!$BA$2:$BA$9*'Historical Data'!$AP$2:$AP$9*'Historical Data'!$AJ$2:$AJ$9)/D20)</f>
        <v>-0.243333333333333</v>
      </c>
      <c r="H20" s="90" t="n">
        <f aca="false">IF(OR(F20="",$C$10=0),"",F20/$C$10)</f>
        <v>1</v>
      </c>
    </row>
    <row r="21" customFormat="false" ht="32.8" hidden="false" customHeight="false" outlineLevel="0" collapsed="false">
      <c r="A21" s="77"/>
      <c r="B21" s="77" t="s">
        <v>161</v>
      </c>
      <c r="C21" s="77"/>
      <c r="D21" s="77"/>
      <c r="E21" s="77"/>
      <c r="F21" s="77"/>
      <c r="G21" s="77"/>
      <c r="H21" s="77"/>
      <c r="I21" s="9" t="s">
        <v>162</v>
      </c>
    </row>
    <row r="22" customFormat="false" ht="15" hidden="false" customHeight="false" outlineLevel="0" collapsed="false">
      <c r="A22" s="84" t="s">
        <v>163</v>
      </c>
      <c r="B22" s="83" t="s">
        <v>164</v>
      </c>
      <c r="C22" s="87" t="n">
        <f aca="false">SUMPRODUCT('Historical Data'!$AQ$2:$AQ$9*'Historical Data'!$AP$2:$AP$9)</f>
        <v>1</v>
      </c>
      <c r="D22" s="88" t="n">
        <f aca="false">SUMPRODUCT('Historical Data'!$AQ$2:$AQ$9*'Historical Data'!$AP$2:$AP$9*'Historical Data'!$N$2:$N$9)</f>
        <v>10000</v>
      </c>
      <c r="E22" s="84" t="str">
        <f aca="false">IF(AND(C22&gt;=Controls!$B$40,D22&gt;=Controls!$B$41),"Yes","No")</f>
        <v>No</v>
      </c>
      <c r="F22" s="89" t="str">
        <f aca="false">IF(OR(C22&lt;Controls!$B$43,D22=0),"",SUMPRODUCT('Historical Data'!$AQ$2:$AQ$9*'Historical Data'!$AP$2:$AP$9*'Historical Data'!$AK$2:$AK$9)/D22)</f>
        <v/>
      </c>
      <c r="G22" s="89" t="str">
        <f aca="false">IF(OR(C22&lt;Controls!$B$43,D22=0),"",SUMPRODUCT('Historical Data'!$AQ$2:$AQ$9*'Historical Data'!$AP$2:$AP$9*'Historical Data'!$AJ$2:$AJ$9)/D22)</f>
        <v/>
      </c>
      <c r="H22" s="90" t="str">
        <f aca="false">IF(OR(F22="",$C$10=0),"",F22/$C$10)</f>
        <v/>
      </c>
      <c r="I22" s="91" t="n">
        <f aca="false">IF(F22="",0,ABS(F22-$C$10))</f>
        <v>0</v>
      </c>
    </row>
    <row r="23" customFormat="false" ht="15" hidden="false" customHeight="false" outlineLevel="0" collapsed="false">
      <c r="A23" s="84" t="s">
        <v>165</v>
      </c>
      <c r="B23" s="83" t="s">
        <v>166</v>
      </c>
      <c r="C23" s="87" t="n">
        <f aca="false">SUMPRODUCT('Historical Data'!$AR$2:$AR$9*'Historical Data'!$AP$2:$AP$9)</f>
        <v>5</v>
      </c>
      <c r="D23" s="88" t="n">
        <f aca="false">SUMPRODUCT('Historical Data'!$AR$2:$AR$9*'Historical Data'!$AP$2:$AP$9*'Historical Data'!$N$2:$N$9)</f>
        <v>120000</v>
      </c>
      <c r="E23" s="84" t="str">
        <f aca="false">IF(AND(C23&gt;=Controls!$B$40,D23&gt;=Controls!$B$41),"Yes","No")</f>
        <v>Yes</v>
      </c>
      <c r="F23" s="89" t="n">
        <f aca="false">IF(OR(C23&lt;Controls!$B$43,D23=0),"",SUMPRODUCT('Historical Data'!$AR$2:$AR$9*'Historical Data'!$AP$2:$AP$9*'Historical Data'!$AK$2:$AK$9)/D23)</f>
        <v>0.508333333333333</v>
      </c>
      <c r="G23" s="89" t="n">
        <f aca="false">IF(OR(C23&lt;Controls!$B$43,D23=0),"",SUMPRODUCT('Historical Data'!$AR$2:$AR$9*'Historical Data'!$AP$2:$AP$9*'Historical Data'!$AJ$2:$AJ$9)/D23)</f>
        <v>-0.383333333333333</v>
      </c>
      <c r="H23" s="90" t="n">
        <f aca="false">IF(OR(F23="",$C$10=0),"",F23/$C$10)</f>
        <v>1.23983739837398</v>
      </c>
      <c r="I23" s="91" t="n">
        <f aca="false">IF(F23="",0,ABS(F23-$C$10))</f>
        <v>0.0983333333333333</v>
      </c>
    </row>
    <row r="24" customFormat="false" ht="15" hidden="false" customHeight="false" outlineLevel="0" collapsed="false">
      <c r="A24" s="84" t="s">
        <v>167</v>
      </c>
      <c r="B24" s="83" t="s">
        <v>168</v>
      </c>
      <c r="C24" s="87" t="n">
        <f aca="false">SUMPRODUCT('Historical Data'!$AS$2:$AS$9*'Historical Data'!$AP$2:$AP$9)</f>
        <v>1</v>
      </c>
      <c r="D24" s="88" t="n">
        <f aca="false">SUMPRODUCT('Historical Data'!$AS$2:$AS$9*'Historical Data'!$AP$2:$AP$9*'Historical Data'!$N$2:$N$9)</f>
        <v>10000</v>
      </c>
      <c r="E24" s="84" t="str">
        <f aca="false">IF(AND(C24&gt;=Controls!$B$40,D24&gt;=Controls!$B$41),"Yes","No")</f>
        <v>No</v>
      </c>
      <c r="F24" s="89" t="str">
        <f aca="false">IF(OR(C24&lt;Controls!$B$43,D24=0),"",SUMPRODUCT('Historical Data'!$AS$2:$AS$9*'Historical Data'!$AP$2:$AP$9*'Historical Data'!$AK$2:$AK$9)/D24)</f>
        <v/>
      </c>
      <c r="G24" s="89" t="str">
        <f aca="false">IF(OR(C24&lt;Controls!$B$43,D24=0),"",SUMPRODUCT('Historical Data'!$AS$2:$AS$9*'Historical Data'!$AP$2:$AP$9*'Historical Data'!$AJ$2:$AJ$9)/D24)</f>
        <v/>
      </c>
      <c r="H24" s="90" t="str">
        <f aca="false">IF(OR(F24="",$C$10=0),"",F24/$C$10)</f>
        <v/>
      </c>
      <c r="I24" s="91" t="n">
        <f aca="false">IF(F24="",0,ABS(F24-$C$10))</f>
        <v>0</v>
      </c>
    </row>
    <row r="25" customFormat="false" ht="15" hidden="false" customHeight="false" outlineLevel="0" collapsed="false">
      <c r="A25" s="84" t="s">
        <v>169</v>
      </c>
      <c r="B25" s="83" t="s">
        <v>170</v>
      </c>
      <c r="C25" s="87" t="n">
        <f aca="false">SUMPRODUCT('Historical Data'!$AT$2:$AT$9*'Historical Data'!$AP$2:$AP$9)</f>
        <v>3</v>
      </c>
      <c r="D25" s="88" t="n">
        <f aca="false">SUMPRODUCT('Historical Data'!$AT$2:$AT$9*'Historical Data'!$AP$2:$AP$9*'Historical Data'!$N$2:$N$9)</f>
        <v>50000</v>
      </c>
      <c r="E25" s="84" t="str">
        <f aca="false">IF(AND(C25&gt;=Controls!$B$40,D25&gt;=Controls!$B$41),"Yes","No")</f>
        <v>Yes</v>
      </c>
      <c r="F25" s="89" t="n">
        <f aca="false">IF(OR(C25&lt;Controls!$B$43,D25=0),"",SUMPRODUCT('Historical Data'!$AT$2:$AT$9*'Historical Data'!$AP$2:$AP$9*'Historical Data'!$AK$2:$AK$9)/D25)</f>
        <v>0.43</v>
      </c>
      <c r="G25" s="89" t="n">
        <f aca="false">IF(OR(C25&lt;Controls!$B$43,D25=0),"",SUMPRODUCT('Historical Data'!$AT$2:$AT$9*'Historical Data'!$AP$2:$AP$9*'Historical Data'!$AJ$2:$AJ$9)/D25)</f>
        <v>-0.33</v>
      </c>
      <c r="H25" s="90" t="n">
        <f aca="false">IF(OR(F25="",$C$10=0),"",F25/$C$10)</f>
        <v>1.04878048780488</v>
      </c>
      <c r="I25" s="91" t="n">
        <f aca="false">IF(F25="",0,ABS(F25-$C$10))</f>
        <v>0.02</v>
      </c>
    </row>
    <row r="28" customFormat="false" ht="15" hidden="false" customHeight="false" outlineLevel="0" collapsed="false">
      <c r="A28" s="8" t="s">
        <v>171</v>
      </c>
      <c r="B28" s="8"/>
      <c r="C28" s="8"/>
    </row>
    <row r="29" customFormat="false" ht="15" hidden="false" customHeight="false" outlineLevel="0" collapsed="false">
      <c r="B29" s="83" t="s">
        <v>172</v>
      </c>
      <c r="C29" s="92" t="n">
        <f aca="false">IFERROR(MATCH("Yes",$E$14:$E$20,0),7)</f>
        <v>6</v>
      </c>
    </row>
    <row r="30" customFormat="false" ht="15" hidden="false" customHeight="false" outlineLevel="0" collapsed="false">
      <c r="B30" s="83" t="s">
        <v>173</v>
      </c>
      <c r="C30" s="93" t="str">
        <f aca="false">INDEX($B$14:$B$20,$C$29)</f>
        <v>T6: new/renewal only</v>
      </c>
    </row>
    <row r="31" customFormat="false" ht="15" hidden="false" customHeight="false" outlineLevel="0" collapsed="false">
      <c r="B31" s="83" t="s">
        <v>174</v>
      </c>
      <c r="C31" s="92" t="n">
        <f aca="false">INDEX($C$14:$C$20,$C$29)</f>
        <v>5</v>
      </c>
    </row>
    <row r="32" customFormat="false" ht="15" hidden="false" customHeight="false" outlineLevel="0" collapsed="false">
      <c r="B32" s="83" t="s">
        <v>175</v>
      </c>
      <c r="C32" s="94" t="n">
        <f aca="false">INDEX($F$14:$F$20,$C$29)</f>
        <v>0.508333333333333</v>
      </c>
    </row>
    <row r="33" customFormat="false" ht="15" hidden="false" customHeight="false" outlineLevel="0" collapsed="false">
      <c r="B33" s="83" t="s">
        <v>176</v>
      </c>
      <c r="C33" s="94" t="n">
        <f aca="false">INDEX($G$14:$G$20,$C$29)</f>
        <v>-0.383333333333333</v>
      </c>
    </row>
    <row r="34" customFormat="false" ht="15" hidden="false" customHeight="false" outlineLevel="0" collapsed="false">
      <c r="B34" s="83" t="s">
        <v>177</v>
      </c>
      <c r="C34" s="95" t="n">
        <f aca="false">INDEX($H$14:$H$20,$C$29)</f>
        <v>1.23983739837398</v>
      </c>
    </row>
    <row r="35" customFormat="false" ht="15" hidden="false" customHeight="false" outlineLevel="0" collapsed="false">
      <c r="B35" s="83" t="s">
        <v>178</v>
      </c>
      <c r="C35" s="96" t="str">
        <f aca="false">IF(OR(C29=7,C34=""),"Neutral",IF(C34&lt;=Controls!$B$49,"Supportive",IF(C34&gt;Controls!$B$50,"Negative","Neutral")))</f>
        <v>Negative</v>
      </c>
    </row>
    <row r="36" customFormat="false" ht="15" hidden="false" customHeight="false" outlineLevel="0" collapsed="false">
      <c r="B36" s="83" t="s">
        <v>179</v>
      </c>
      <c r="C36" s="97" t="n">
        <f aca="false">IF(C35="Supportive",Controls!$B$51,0)</f>
        <v>0</v>
      </c>
    </row>
    <row r="37" customFormat="false" ht="15" hidden="false" customHeight="false" outlineLevel="0" collapsed="false">
      <c r="B37" s="83" t="s">
        <v>180</v>
      </c>
      <c r="C37" s="93" t="str">
        <f aca="false">IF(MAX($I$22:$I$25)=0,"none rated",INDEX($B$22:$B$25,MATCH(MAX($I$22:$I$25),$I$22:$I$25,0))&amp;": "&amp;TEXT(INDEX($F$22:$F$25,MATCH(MAX($I$22:$I$25),$I$22:$I$25,0)),"0.0%")&amp;" PLR vs "&amp;TEXT($C$10,"0.0%")&amp;" book")</f>
        <v>New/renewal only: 50.8% PLR vs 41.0% book</v>
      </c>
    </row>
    <row r="39" customFormat="false" ht="15" hidden="false" customHeight="false" outlineLevel="0" collapsed="false">
      <c r="B39" s="81" t="s">
        <v>181</v>
      </c>
    </row>
  </sheetData>
  <mergeCells count="2">
    <mergeCell ref="A4:C4"/>
    <mergeCell ref="A28:C28"/>
  </mergeCells>
  <conditionalFormatting sqref="E14:E25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4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false" outlineLevel="0" max="12" min="12" style="0" width="7"/>
    <col collapsed="false" customWidth="true" hidden="false" outlineLevel="0" max="14" min="13" style="0" width="11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2" min="21" style="0" width="10"/>
  </cols>
  <sheetData>
    <row r="1" customFormat="false" ht="17.35" hidden="false" customHeight="false" outlineLevel="0" collapsed="false">
      <c r="A1" s="82" t="s">
        <v>182</v>
      </c>
    </row>
    <row r="2" customFormat="false" ht="15" hidden="false" customHeight="false" outlineLevel="0" collapsed="false">
      <c r="A2" s="98" t="str">
        <f aca="false">"Primary cohort: "&amp;'Historical Score'!$C$30&amp;"   |   "&amp;'Historical Score'!$C$31&amp;" seasoned deals"</f>
        <v>Primary cohort: T6: new/renewal only   |   5 seasoned deals</v>
      </c>
    </row>
    <row r="4" customFormat="false" ht="30" hidden="false" customHeight="true" outlineLevel="0" collapsed="false">
      <c r="A4" s="77" t="s">
        <v>183</v>
      </c>
      <c r="B4" s="77" t="s">
        <v>184</v>
      </c>
      <c r="C4" s="77" t="s">
        <v>71</v>
      </c>
      <c r="D4" s="77" t="s">
        <v>185</v>
      </c>
      <c r="E4" s="77" t="s">
        <v>94</v>
      </c>
      <c r="F4" s="77" t="s">
        <v>92</v>
      </c>
      <c r="G4" s="77" t="s">
        <v>43</v>
      </c>
      <c r="H4" s="77" t="s">
        <v>186</v>
      </c>
      <c r="I4" s="77" t="s">
        <v>17</v>
      </c>
      <c r="J4" s="77" t="s">
        <v>187</v>
      </c>
      <c r="K4" s="77" t="s">
        <v>188</v>
      </c>
      <c r="L4" s="77" t="s">
        <v>189</v>
      </c>
      <c r="M4" s="77" t="s">
        <v>190</v>
      </c>
      <c r="N4" s="77" t="s">
        <v>191</v>
      </c>
      <c r="O4" s="77" t="s">
        <v>192</v>
      </c>
      <c r="P4" s="77" t="s">
        <v>193</v>
      </c>
      <c r="Q4" s="77" t="s">
        <v>194</v>
      </c>
      <c r="R4" s="77" t="s">
        <v>195</v>
      </c>
      <c r="S4" s="77" t="s">
        <v>196</v>
      </c>
      <c r="T4" s="77" t="s">
        <v>197</v>
      </c>
      <c r="U4" s="77" t="s">
        <v>198</v>
      </c>
      <c r="V4" s="77" t="s">
        <v>199</v>
      </c>
    </row>
    <row r="5" customFormat="false" ht="15" hidden="false" customHeight="false" outlineLevel="0" collapsed="false">
      <c r="A5" s="99" t="str">
        <f aca="false">'Historical Data'!A2</f>
        <v>A-001</v>
      </c>
      <c r="B5" s="99" t="str">
        <f aca="false">'Historical Data'!B2</f>
        <v>Ridgeline Cafe</v>
      </c>
      <c r="C5" s="99" t="str">
        <f aca="false">'Historical Data'!D2</f>
        <v>Closed</v>
      </c>
      <c r="D5" s="100" t="n">
        <f aca="false">'Historical Data'!E2</f>
        <v>45672</v>
      </c>
      <c r="E5" s="99" t="n">
        <f aca="false">'Historical Data'!G2</f>
        <v>1</v>
      </c>
      <c r="F5" s="99" t="str">
        <f aca="false">'Historical Data'!Y2</f>
        <v>Eating &amp; Drinking Places</v>
      </c>
      <c r="G5" s="99" t="str">
        <f aca="false">'Historical Data'!K2</f>
        <v>Fundwell</v>
      </c>
      <c r="H5" s="99" t="str">
        <f aca="false">'Historical Data'!L2</f>
        <v>New Deal</v>
      </c>
      <c r="I5" s="101" t="n">
        <f aca="false">'Historical Data'!M2</f>
        <v>1.5</v>
      </c>
      <c r="J5" s="102" t="n">
        <f aca="false">'Historical Data'!N2</f>
        <v>10000</v>
      </c>
      <c r="K5" s="102" t="n">
        <f aca="false">'Historical Data'!Q2</f>
        <v>15000</v>
      </c>
      <c r="L5" s="103" t="n">
        <f aca="false">'Historical Data'!S2</f>
        <v>1</v>
      </c>
      <c r="M5" s="102" t="n">
        <f aca="false">'Historical Data'!AJ2</f>
        <v>5000</v>
      </c>
      <c r="N5" s="102" t="n">
        <f aca="false">'Historical Data'!AK2</f>
        <v>0</v>
      </c>
      <c r="O5" s="99" t="n">
        <f aca="false">'Historical Data'!AA2</f>
        <v>108.275</v>
      </c>
      <c r="P5" s="99" t="n">
        <f aca="false">'Historical Data'!AB2</f>
        <v>405</v>
      </c>
      <c r="Q5" s="99" t="n">
        <f aca="false">'Historical Data'!AN2</f>
        <v>105</v>
      </c>
      <c r="R5" s="99" t="n">
        <f aca="false">'Historical Data'!AC2</f>
        <v>1</v>
      </c>
      <c r="S5" s="99" t="n">
        <f aca="false">'Historical Data'!AE2</f>
        <v>0</v>
      </c>
      <c r="T5" s="99" t="n">
        <f aca="false">'Historical Data'!AH2</f>
        <v>0</v>
      </c>
      <c r="U5" s="99" t="n">
        <f aca="false">'Historical Data'!BB2</f>
        <v>1</v>
      </c>
      <c r="V5" s="99" t="n">
        <f aca="false">'Historical Data'!BC2</f>
        <v>1</v>
      </c>
    </row>
    <row r="6" customFormat="false" ht="15" hidden="false" customHeight="false" outlineLevel="0" collapsed="false">
      <c r="A6" s="99" t="str">
        <f aca="false">'Historical Data'!A3</f>
        <v>A-002</v>
      </c>
      <c r="B6" s="99" t="str">
        <f aca="false">'Historical Data'!B3</f>
        <v>Delta Freight</v>
      </c>
      <c r="C6" s="99" t="str">
        <f aca="false">'Historical Data'!D3</f>
        <v>Closed</v>
      </c>
      <c r="D6" s="100" t="n">
        <f aca="false">'Historical Data'!E3</f>
        <v>45698</v>
      </c>
      <c r="E6" s="99" t="n">
        <f aca="false">'Historical Data'!G3</f>
        <v>2</v>
      </c>
      <c r="F6" s="99" t="str">
        <f aca="false">'Historical Data'!Y3</f>
        <v>Trucking &amp; Warehousing</v>
      </c>
      <c r="G6" s="99" t="str">
        <f aca="false">'Historical Data'!K3</f>
        <v>Westwood</v>
      </c>
      <c r="H6" s="99" t="str">
        <f aca="false">'Historical Data'!L3</f>
        <v>Renewal</v>
      </c>
      <c r="I6" s="101" t="n">
        <f aca="false">'Historical Data'!M3</f>
        <v>1.5</v>
      </c>
      <c r="J6" s="102" t="n">
        <f aca="false">'Historical Data'!N3</f>
        <v>20000</v>
      </c>
      <c r="K6" s="102" t="n">
        <f aca="false">'Historical Data'!Q3</f>
        <v>30000</v>
      </c>
      <c r="L6" s="103" t="n">
        <f aca="false">'Historical Data'!S3</f>
        <v>1</v>
      </c>
      <c r="M6" s="102" t="n">
        <f aca="false">'Historical Data'!AJ3</f>
        <v>10000</v>
      </c>
      <c r="N6" s="102" t="n">
        <f aca="false">'Historical Data'!AK3</f>
        <v>0</v>
      </c>
      <c r="O6" s="99" t="n">
        <f aca="false">'Historical Data'!AA3</f>
        <v>100</v>
      </c>
      <c r="P6" s="99" t="n">
        <f aca="false">'Historical Data'!AB3</f>
        <v>388</v>
      </c>
      <c r="Q6" s="99" t="n">
        <f aca="false">'Historical Data'!AN3</f>
        <v>105</v>
      </c>
      <c r="R6" s="99" t="n">
        <f aca="false">'Historical Data'!AC3</f>
        <v>1</v>
      </c>
      <c r="S6" s="99" t="n">
        <f aca="false">'Historical Data'!AE3</f>
        <v>0</v>
      </c>
      <c r="T6" s="99" t="n">
        <f aca="false">'Historical Data'!AH3</f>
        <v>0</v>
      </c>
      <c r="U6" s="99" t="n">
        <f aca="false">'Historical Data'!BB3</f>
        <v>7</v>
      </c>
      <c r="V6" s="99" t="n">
        <f aca="false">'Historical Data'!BC3</f>
        <v>0</v>
      </c>
    </row>
    <row r="7" customFormat="false" ht="15" hidden="false" customHeight="false" outlineLevel="0" collapsed="false">
      <c r="A7" s="99" t="str">
        <f aca="false">'Historical Data'!A4</f>
        <v>A-003</v>
      </c>
      <c r="B7" s="99" t="str">
        <f aca="false">'Historical Data'!B4</f>
        <v>Kane Construction</v>
      </c>
      <c r="C7" s="99" t="str">
        <f aca="false">'Historical Data'!D4</f>
        <v>Legal</v>
      </c>
      <c r="D7" s="100" t="n">
        <f aca="false">'Historical Data'!E4</f>
        <v>45721</v>
      </c>
      <c r="E7" s="99" t="n">
        <f aca="false">'Historical Data'!G4</f>
        <v>3</v>
      </c>
      <c r="F7" s="99" t="str">
        <f aca="false">'Historical Data'!Y4</f>
        <v>General Building Contractors</v>
      </c>
      <c r="G7" s="99" t="str">
        <f aca="false">'Historical Data'!K4</f>
        <v>Fundwell</v>
      </c>
      <c r="H7" s="99" t="str">
        <f aca="false">'Historical Data'!L4</f>
        <v>New Deal</v>
      </c>
      <c r="I7" s="101" t="n">
        <f aca="false">'Historical Data'!M4</f>
        <v>1.5</v>
      </c>
      <c r="J7" s="102" t="n">
        <f aca="false">'Historical Data'!N4</f>
        <v>30000</v>
      </c>
      <c r="K7" s="102" t="n">
        <f aca="false">'Historical Data'!Q4</f>
        <v>9000</v>
      </c>
      <c r="L7" s="103" t="n">
        <f aca="false">'Historical Data'!S4</f>
        <v>0.2</v>
      </c>
      <c r="M7" s="102" t="n">
        <f aca="false">'Historical Data'!AJ4</f>
        <v>-21000</v>
      </c>
      <c r="N7" s="102" t="n">
        <f aca="false">'Historical Data'!AK4</f>
        <v>21000</v>
      </c>
      <c r="O7" s="99" t="n">
        <f aca="false">'Historical Data'!AA4</f>
        <v>129.93</v>
      </c>
      <c r="P7" s="99" t="n">
        <f aca="false">'Historical Data'!AB4</f>
        <v>372</v>
      </c>
      <c r="Q7" s="99" t="n">
        <f aca="false">'Historical Data'!AN4</f>
        <v>66</v>
      </c>
      <c r="R7" s="99" t="n">
        <f aca="false">'Historical Data'!AC4</f>
        <v>1</v>
      </c>
      <c r="S7" s="99" t="n">
        <f aca="false">'Historical Data'!AE4</f>
        <v>1</v>
      </c>
      <c r="T7" s="99" t="n">
        <f aca="false">'Historical Data'!AH4</f>
        <v>0</v>
      </c>
      <c r="U7" s="99" t="n">
        <f aca="false">'Historical Data'!BB4</f>
        <v>4</v>
      </c>
      <c r="V7" s="99" t="n">
        <f aca="false">'Historical Data'!BC4</f>
        <v>1</v>
      </c>
    </row>
    <row r="8" customFormat="false" ht="15" hidden="false" customHeight="false" outlineLevel="0" collapsed="false">
      <c r="A8" s="99" t="str">
        <f aca="false">'Historical Data'!A5</f>
        <v>A-004</v>
      </c>
      <c r="B8" s="99" t="str">
        <f aca="false">'Historical Data'!B5</f>
        <v>Baymont Auto Body</v>
      </c>
      <c r="C8" s="99" t="str">
        <f aca="false">'Historical Data'!D5</f>
        <v>In House Collection</v>
      </c>
      <c r="D8" s="100" t="n">
        <f aca="false">'Historical Data'!E5</f>
        <v>45768</v>
      </c>
      <c r="E8" s="99" t="n">
        <f aca="false">'Historical Data'!G5</f>
        <v>3</v>
      </c>
      <c r="F8" s="99" t="str">
        <f aca="false">'Historical Data'!Y5</f>
        <v>Auto Repair &amp; Services</v>
      </c>
      <c r="G8" s="99" t="str">
        <f aca="false">'Historical Data'!K5</f>
        <v>Westwood</v>
      </c>
      <c r="H8" s="99" t="str">
        <f aca="false">'Historical Data'!L5</f>
        <v>New Deal</v>
      </c>
      <c r="I8" s="101" t="n">
        <f aca="false">'Historical Data'!M5</f>
        <v>1.5</v>
      </c>
      <c r="J8" s="102" t="n">
        <f aca="false">'Historical Data'!N5</f>
        <v>40000</v>
      </c>
      <c r="K8" s="102" t="n">
        <f aca="false">'Historical Data'!Q5</f>
        <v>20000</v>
      </c>
      <c r="L8" s="103" t="n">
        <f aca="false">'Historical Data'!S5</f>
        <v>0.333333333333333</v>
      </c>
      <c r="M8" s="102" t="n">
        <f aca="false">'Historical Data'!AJ5</f>
        <v>-20000</v>
      </c>
      <c r="N8" s="102" t="n">
        <f aca="false">'Historical Data'!AK5</f>
        <v>20000</v>
      </c>
      <c r="O8" s="99" t="n">
        <f aca="false">'Historical Data'!AA5</f>
        <v>120</v>
      </c>
      <c r="P8" s="99" t="n">
        <f aca="false">'Historical Data'!AB5</f>
        <v>339</v>
      </c>
      <c r="Q8" s="99" t="n">
        <f aca="false">'Historical Data'!AN5</f>
        <v>85</v>
      </c>
      <c r="R8" s="99" t="n">
        <f aca="false">'Historical Data'!AC5</f>
        <v>1</v>
      </c>
      <c r="S8" s="99" t="n">
        <f aca="false">'Historical Data'!AE5</f>
        <v>1</v>
      </c>
      <c r="T8" s="99" t="n">
        <f aca="false">'Historical Data'!AH5</f>
        <v>0</v>
      </c>
      <c r="U8" s="99" t="n">
        <f aca="false">'Historical Data'!BB5</f>
        <v>6</v>
      </c>
      <c r="V8" s="99" t="n">
        <f aca="false">'Historical Data'!BC5</f>
        <v>1</v>
      </c>
    </row>
    <row r="9" customFormat="false" ht="15" hidden="false" customHeight="false" outlineLevel="0" collapsed="false">
      <c r="A9" s="99" t="str">
        <f aca="false">'Historical Data'!A6</f>
        <v>A-005</v>
      </c>
      <c r="B9" s="99" t="str">
        <f aca="false">'Historical Data'!B6</f>
        <v>Sunset Nails</v>
      </c>
      <c r="C9" s="99" t="str">
        <f aca="false">'Historical Data'!D6</f>
        <v>Written-Off</v>
      </c>
      <c r="D9" s="100" t="n">
        <f aca="false">'Historical Data'!E6</f>
        <v>45789</v>
      </c>
      <c r="E9" s="99" t="n">
        <f aca="false">'Historical Data'!G6</f>
        <v>2</v>
      </c>
      <c r="F9" s="99" t="str">
        <f aca="false">'Historical Data'!Y6</f>
        <v>Personal Services</v>
      </c>
      <c r="G9" s="99" t="str">
        <f aca="false">'Historical Data'!K6</f>
        <v>Fundwell</v>
      </c>
      <c r="H9" s="99" t="str">
        <f aca="false">'Historical Data'!L6</f>
        <v>Renewal</v>
      </c>
      <c r="I9" s="101" t="n">
        <f aca="false">'Historical Data'!M6</f>
        <v>1.5</v>
      </c>
      <c r="J9" s="102" t="n">
        <f aca="false">'Historical Data'!N6</f>
        <v>10000</v>
      </c>
      <c r="K9" s="102" t="n">
        <f aca="false">'Historical Data'!Q6</f>
        <v>9500</v>
      </c>
      <c r="L9" s="103" t="n">
        <f aca="false">'Historical Data'!S6</f>
        <v>0.633333333333333</v>
      </c>
      <c r="M9" s="102" t="n">
        <f aca="false">'Historical Data'!AJ6</f>
        <v>-500</v>
      </c>
      <c r="N9" s="102" t="n">
        <f aca="false">'Historical Data'!AK6</f>
        <v>500</v>
      </c>
      <c r="O9" s="99" t="n">
        <f aca="false">'Historical Data'!AA6</f>
        <v>86.62</v>
      </c>
      <c r="P9" s="99" t="n">
        <f aca="false">'Historical Data'!AB6</f>
        <v>324</v>
      </c>
      <c r="Q9" s="99" t="n">
        <f aca="false">'Historical Data'!AN6</f>
        <v>127</v>
      </c>
      <c r="R9" s="99" t="n">
        <f aca="false">'Historical Data'!AC6</f>
        <v>1</v>
      </c>
      <c r="S9" s="99" t="n">
        <f aca="false">'Historical Data'!AE6</f>
        <v>1</v>
      </c>
      <c r="T9" s="99" t="n">
        <f aca="false">'Historical Data'!AH6</f>
        <v>0</v>
      </c>
      <c r="U9" s="99" t="n">
        <f aca="false">'Historical Data'!BB6</f>
        <v>7</v>
      </c>
      <c r="V9" s="99" t="n">
        <f aca="false">'Historical Data'!BC6</f>
        <v>0</v>
      </c>
    </row>
    <row r="10" customFormat="false" ht="15" hidden="false" customHeight="false" outlineLevel="0" collapsed="false">
      <c r="A10" s="99" t="str">
        <f aca="false">'Historical Data'!A7</f>
        <v>A-006</v>
      </c>
      <c r="B10" s="99" t="str">
        <f aca="false">'Historical Data'!B7</f>
        <v>Orchard Supply</v>
      </c>
      <c r="C10" s="99" t="str">
        <f aca="false">'Historical Data'!D7</f>
        <v>Bankruptcy</v>
      </c>
      <c r="D10" s="100" t="n">
        <f aca="false">'Historical Data'!E7</f>
        <v>45826</v>
      </c>
      <c r="E10" s="99" t="n">
        <f aca="false">'Historical Data'!G7</f>
        <v>4</v>
      </c>
      <c r="F10" s="99" t="str">
        <f aca="false">'Historical Data'!Y7</f>
        <v>No SIC</v>
      </c>
      <c r="G10" s="99" t="str">
        <f aca="false">'Historical Data'!K7</f>
        <v>Westwood</v>
      </c>
      <c r="H10" s="99" t="str">
        <f aca="false">'Historical Data'!L7</f>
        <v>New Deal</v>
      </c>
      <c r="I10" s="101" t="n">
        <f aca="false">'Historical Data'!M7</f>
        <v>1.5</v>
      </c>
      <c r="J10" s="102" t="n">
        <f aca="false">'Historical Data'!N7</f>
        <v>20000</v>
      </c>
      <c r="K10" s="102" t="n">
        <f aca="false">'Historical Data'!Q7</f>
        <v>0</v>
      </c>
      <c r="L10" s="103" t="n">
        <f aca="false">'Historical Data'!S7</f>
        <v>0</v>
      </c>
      <c r="M10" s="102" t="n">
        <f aca="false">'Historical Data'!AJ7</f>
        <v>-20000</v>
      </c>
      <c r="N10" s="102" t="n">
        <f aca="false">'Historical Data'!AK7</f>
        <v>20000</v>
      </c>
      <c r="O10" s="99" t="n">
        <f aca="false">'Historical Data'!AA7</f>
        <v>80</v>
      </c>
      <c r="P10" s="99" t="n">
        <f aca="false">'Historical Data'!AB7</f>
        <v>298</v>
      </c>
      <c r="Q10" s="99" t="n">
        <f aca="false">'Historical Data'!AN7</f>
        <v>64</v>
      </c>
      <c r="R10" s="99" t="n">
        <f aca="false">'Historical Data'!AC7</f>
        <v>1</v>
      </c>
      <c r="S10" s="99" t="n">
        <f aca="false">'Historical Data'!AE7</f>
        <v>1</v>
      </c>
      <c r="T10" s="99" t="n">
        <f aca="false">'Historical Data'!AH7</f>
        <v>0</v>
      </c>
      <c r="U10" s="99" t="n">
        <f aca="false">'Historical Data'!BB7</f>
        <v>6</v>
      </c>
      <c r="V10" s="99" t="n">
        <f aca="false">'Historical Data'!BC7</f>
        <v>1</v>
      </c>
    </row>
    <row r="11" customFormat="false" ht="15" hidden="false" customHeight="false" outlineLevel="0" collapsed="false">
      <c r="A11" s="99" t="str">
        <f aca="false">'Historical Data'!A8</f>
        <v>A-007</v>
      </c>
      <c r="B11" s="99" t="str">
        <f aca="false">'Historical Data'!B8</f>
        <v>Pinewood Dental</v>
      </c>
      <c r="C11" s="99" t="str">
        <f aca="false">'Historical Data'!D8</f>
        <v>Open</v>
      </c>
      <c r="D11" s="100" t="n">
        <f aca="false">'Historical Data'!E8</f>
        <v>46030</v>
      </c>
      <c r="E11" s="99" t="n">
        <f aca="false">'Historical Data'!G8</f>
        <v>1</v>
      </c>
      <c r="F11" s="99" t="str">
        <f aca="false">'Historical Data'!Y8</f>
        <v>Health Services</v>
      </c>
      <c r="G11" s="99" t="str">
        <f aca="false">'Historical Data'!K8</f>
        <v>Fundwell</v>
      </c>
      <c r="H11" s="99" t="str">
        <f aca="false">'Historical Data'!L8</f>
        <v>New Deal</v>
      </c>
      <c r="I11" s="101" t="n">
        <f aca="false">'Historical Data'!M8</f>
        <v>1.5</v>
      </c>
      <c r="J11" s="102" t="n">
        <f aca="false">'Historical Data'!N8</f>
        <v>50000</v>
      </c>
      <c r="K11" s="102" t="n">
        <f aca="false">'Historical Data'!Q8</f>
        <v>30000</v>
      </c>
      <c r="L11" s="103" t="n">
        <f aca="false">'Historical Data'!S8</f>
        <v>0.4</v>
      </c>
      <c r="M11" s="102" t="n">
        <f aca="false">'Historical Data'!AJ8</f>
        <v>-20000</v>
      </c>
      <c r="N11" s="102" t="n">
        <f aca="false">'Historical Data'!AK8</f>
        <v>0</v>
      </c>
      <c r="O11" s="99" t="n">
        <f aca="false">'Historical Data'!AA8</f>
        <v>129.93</v>
      </c>
      <c r="P11" s="99" t="n">
        <f aca="false">'Historical Data'!AB8</f>
        <v>160</v>
      </c>
      <c r="Q11" s="99" t="n">
        <f aca="false">'Historical Data'!AN8</f>
        <v>144</v>
      </c>
      <c r="R11" s="99" t="n">
        <f aca="false">'Historical Data'!AC8</f>
        <v>0</v>
      </c>
      <c r="S11" s="99" t="n">
        <f aca="false">'Historical Data'!AE8</f>
        <v>0</v>
      </c>
      <c r="T11" s="99" t="n">
        <f aca="false">'Historical Data'!AH8</f>
        <v>1</v>
      </c>
      <c r="U11" s="99" t="n">
        <f aca="false">'Historical Data'!BB8</f>
        <v>2</v>
      </c>
      <c r="V11" s="99" t="n">
        <f aca="false">'Historical Data'!BC8</f>
        <v>1</v>
      </c>
    </row>
    <row r="12" customFormat="false" ht="15" hidden="false" customHeight="false" outlineLevel="0" collapsed="false">
      <c r="A12" s="99" t="str">
        <f aca="false">'Historical Data'!A9</f>
        <v>A-008</v>
      </c>
      <c r="B12" s="99" t="str">
        <f aca="false">'Historical Data'!B9</f>
        <v>Harbor Cleaning</v>
      </c>
      <c r="C12" s="99" t="str">
        <f aca="false">'Historical Data'!D9</f>
        <v>Closed/NSF Unpaid</v>
      </c>
      <c r="D12" s="100" t="n">
        <f aca="false">'Historical Data'!E9</f>
        <v>45852</v>
      </c>
      <c r="E12" s="99" t="n">
        <f aca="false">'Historical Data'!G9</f>
        <v>3</v>
      </c>
      <c r="F12" s="99" t="str">
        <f aca="false">'Historical Data'!Y9</f>
        <v>Business Services</v>
      </c>
      <c r="G12" s="99" t="str">
        <f aca="false">'Historical Data'!K9</f>
        <v>Westwood</v>
      </c>
      <c r="H12" s="99" t="str">
        <f aca="false">'Historical Data'!L9</f>
        <v>New Deal</v>
      </c>
      <c r="I12" s="101" t="n">
        <f aca="false">'Historical Data'!M9</f>
        <v>1.5</v>
      </c>
      <c r="J12" s="102" t="n">
        <f aca="false">'Historical Data'!N9</f>
        <v>20000</v>
      </c>
      <c r="K12" s="102" t="n">
        <f aca="false">'Historical Data'!Q9</f>
        <v>30000</v>
      </c>
      <c r="L12" s="103" t="n">
        <f aca="false">'Historical Data'!S9</f>
        <v>1</v>
      </c>
      <c r="M12" s="102" t="n">
        <f aca="false">'Historical Data'!AJ9</f>
        <v>10000</v>
      </c>
      <c r="N12" s="102" t="n">
        <f aca="false">'Historical Data'!AK9</f>
        <v>0</v>
      </c>
      <c r="O12" s="99" t="n">
        <f aca="false">'Historical Data'!AA9</f>
        <v>100</v>
      </c>
      <c r="P12" s="99" t="n">
        <f aca="false">'Historical Data'!AB9</f>
        <v>282</v>
      </c>
      <c r="Q12" s="99" t="n">
        <f aca="false">'Historical Data'!AN9</f>
        <v>107</v>
      </c>
      <c r="R12" s="99" t="n">
        <f aca="false">'Historical Data'!AC9</f>
        <v>1</v>
      </c>
      <c r="S12" s="99" t="n">
        <f aca="false">'Historical Data'!AE9</f>
        <v>0</v>
      </c>
      <c r="T12" s="99" t="n">
        <f aca="false">'Historical Data'!AH9</f>
        <v>0</v>
      </c>
      <c r="U12" s="99" t="n">
        <f aca="false">'Historical Data'!BB9</f>
        <v>6</v>
      </c>
      <c r="V12" s="99" t="n">
        <f aca="false">'Historical Data'!BC9</f>
        <v>1</v>
      </c>
    </row>
  </sheetData>
  <autoFilter ref="A4:V1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4" min="4" style="0" width="18"/>
    <col collapsed="false" customWidth="true" hidden="false" outlineLevel="0" max="11" min="11" style="0" width="24"/>
    <col collapsed="false" customWidth="true" hidden="false" outlineLevel="0" max="25" min="25" style="0" width="26"/>
  </cols>
  <sheetData>
    <row r="1" customFormat="false" ht="42" hidden="false" customHeight="true" outlineLevel="0" collapsed="false">
      <c r="A1" s="77" t="s">
        <v>183</v>
      </c>
      <c r="B1" s="77" t="s">
        <v>184</v>
      </c>
      <c r="C1" s="77" t="s">
        <v>200</v>
      </c>
      <c r="D1" s="77" t="s">
        <v>71</v>
      </c>
      <c r="E1" s="77" t="s">
        <v>201</v>
      </c>
      <c r="F1" s="77" t="s">
        <v>202</v>
      </c>
      <c r="G1" s="77" t="s">
        <v>94</v>
      </c>
      <c r="H1" s="77" t="s">
        <v>203</v>
      </c>
      <c r="I1" s="77" t="s">
        <v>204</v>
      </c>
      <c r="J1" s="77" t="s">
        <v>205</v>
      </c>
      <c r="K1" s="77" t="s">
        <v>43</v>
      </c>
      <c r="L1" s="77" t="s">
        <v>206</v>
      </c>
      <c r="M1" s="77" t="s">
        <v>17</v>
      </c>
      <c r="N1" s="77" t="s">
        <v>187</v>
      </c>
      <c r="O1" s="77" t="s">
        <v>207</v>
      </c>
      <c r="P1" s="77" t="s">
        <v>25</v>
      </c>
      <c r="Q1" s="77" t="s">
        <v>188</v>
      </c>
      <c r="R1" s="77" t="s">
        <v>208</v>
      </c>
      <c r="S1" s="77" t="s">
        <v>189</v>
      </c>
      <c r="T1" s="77" t="s">
        <v>209</v>
      </c>
      <c r="U1" s="77" t="s">
        <v>210</v>
      </c>
      <c r="V1" s="77" t="s">
        <v>211</v>
      </c>
      <c r="W1" s="77" t="s">
        <v>31</v>
      </c>
      <c r="X1" s="77" t="s">
        <v>212</v>
      </c>
      <c r="Y1" s="104" t="s">
        <v>92</v>
      </c>
      <c r="Z1" s="104" t="s">
        <v>213</v>
      </c>
      <c r="AA1" s="104" t="s">
        <v>214</v>
      </c>
      <c r="AB1" s="104" t="s">
        <v>215</v>
      </c>
      <c r="AC1" s="104" t="s">
        <v>195</v>
      </c>
      <c r="AD1" s="104" t="s">
        <v>216</v>
      </c>
      <c r="AE1" s="104" t="s">
        <v>196</v>
      </c>
      <c r="AF1" s="104" t="s">
        <v>217</v>
      </c>
      <c r="AG1" s="104" t="s">
        <v>218</v>
      </c>
      <c r="AH1" s="104" t="s">
        <v>197</v>
      </c>
      <c r="AI1" s="104" t="s">
        <v>219</v>
      </c>
      <c r="AJ1" s="104" t="s">
        <v>190</v>
      </c>
      <c r="AK1" s="104" t="s">
        <v>191</v>
      </c>
      <c r="AL1" s="104" t="s">
        <v>220</v>
      </c>
      <c r="AM1" s="104" t="s">
        <v>221</v>
      </c>
      <c r="AN1" s="104" t="s">
        <v>222</v>
      </c>
      <c r="AO1" s="104" t="s">
        <v>223</v>
      </c>
      <c r="AP1" s="104" t="s">
        <v>224</v>
      </c>
      <c r="AQ1" s="104" t="s">
        <v>225</v>
      </c>
      <c r="AR1" s="104" t="s">
        <v>226</v>
      </c>
      <c r="AS1" s="104" t="s">
        <v>227</v>
      </c>
      <c r="AT1" s="104" t="s">
        <v>228</v>
      </c>
      <c r="AU1" s="104" t="s">
        <v>229</v>
      </c>
      <c r="AV1" s="104" t="s">
        <v>230</v>
      </c>
      <c r="AW1" s="104" t="s">
        <v>231</v>
      </c>
      <c r="AX1" s="104" t="s">
        <v>232</v>
      </c>
      <c r="AY1" s="104" t="s">
        <v>233</v>
      </c>
      <c r="AZ1" s="104" t="s">
        <v>234</v>
      </c>
      <c r="BA1" s="104" t="s">
        <v>235</v>
      </c>
      <c r="BB1" s="104" t="s">
        <v>236</v>
      </c>
      <c r="BC1" s="104" t="s">
        <v>199</v>
      </c>
    </row>
    <row r="2" customFormat="false" ht="15" hidden="false" customHeight="false" outlineLevel="0" collapsed="false">
      <c r="A2" s="0" t="s">
        <v>237</v>
      </c>
      <c r="B2" s="0" t="s">
        <v>238</v>
      </c>
      <c r="C2" s="0" t="s">
        <v>239</v>
      </c>
      <c r="D2" s="0" t="s">
        <v>240</v>
      </c>
      <c r="E2" s="105" t="n">
        <v>45672</v>
      </c>
      <c r="F2" s="105" t="n">
        <v>45821</v>
      </c>
      <c r="G2" s="0" t="n">
        <v>1</v>
      </c>
      <c r="H2" s="106" t="s">
        <v>241</v>
      </c>
      <c r="I2" s="106" t="s">
        <v>242</v>
      </c>
      <c r="J2" s="106" t="s">
        <v>243</v>
      </c>
      <c r="K2" s="0" t="s">
        <v>44</v>
      </c>
      <c r="L2" s="106" t="s">
        <v>50</v>
      </c>
      <c r="M2" s="0" t="n">
        <v>1.5</v>
      </c>
      <c r="N2" s="107" t="n">
        <v>10000</v>
      </c>
      <c r="O2" s="107" t="n">
        <v>1000</v>
      </c>
      <c r="P2" s="107" t="n">
        <v>15000</v>
      </c>
      <c r="Q2" s="107" t="n">
        <v>15000</v>
      </c>
      <c r="R2" s="107" t="n">
        <v>0</v>
      </c>
      <c r="S2" s="108" t="n">
        <v>1</v>
      </c>
      <c r="T2" s="0" t="n">
        <v>5</v>
      </c>
      <c r="U2" s="0" t="n">
        <v>0</v>
      </c>
      <c r="V2" s="0" t="n">
        <v>50000</v>
      </c>
      <c r="W2" s="108" t="n">
        <v>0.12</v>
      </c>
      <c r="X2" s="105" t="n">
        <v>43160</v>
      </c>
      <c r="Y2" s="0" t="str">
        <f aca="false">IF(I2="","No SIC",IFERROR(VLOOKUP(I2,Ref!$A$2:$B$65,2,FALSE()),"Unclassified"))</f>
        <v>Eating &amp; Drinking Places</v>
      </c>
      <c r="Z2" s="0" t="str">
        <f aca="false">IF(T2="","",IF(T2&lt;12,"Daily","Weekly"))</f>
        <v>Daily</v>
      </c>
      <c r="AA2" s="106" t="n">
        <f aca="false">IF(T2="",0,IF(T2&lt;12,T2*Controls!$B$29,T2*5))</f>
        <v>108.275</v>
      </c>
      <c r="AB2" s="106" t="n">
        <f aca="false">IF(E2="",0,NETWORKDAYS(E2,Controls!$B$36,Ref!$K$2:$K$42))</f>
        <v>405</v>
      </c>
      <c r="AC2" s="106" t="n">
        <f aca="false">IF(AND(AA2&gt;0,AB2&gt;=Controls!$B$39*AA2),1,0)</f>
        <v>1</v>
      </c>
      <c r="AD2" s="106" t="n">
        <f aca="false">IF(AND(E2&lt;&gt;"",E2&gt;=Controls!$B$37,E2&lt;=Controls!$B$38),1,0)</f>
        <v>1</v>
      </c>
      <c r="AE2" s="106" t="n">
        <f aca="false">IF(IFERROR(VLOOKUP(D2,Controls!$A$59:$E$69,2,FALSE()),"No")="Yes",1,0)</f>
        <v>0</v>
      </c>
      <c r="AF2" s="106" t="n">
        <f aca="false">IF(IFERROR(VLOOKUP(D2,Controls!$A$59:$E$69,3,FALSE()),"No")="Yes",1,0)</f>
        <v>1</v>
      </c>
      <c r="AG2" s="106" t="n">
        <f aca="false">IF(IFERROR(VLOOKUP(D2,Controls!$A$59:$E$69,4,FALSE()),"No")="Yes",1,0)</f>
        <v>1</v>
      </c>
      <c r="AH2" s="106" t="n">
        <f aca="false">IF(IFERROR(VLOOKUP(D2,Controls!$A$59:$E$69,5,FALSE()),"No")="Yes",1,0)</f>
        <v>0</v>
      </c>
      <c r="AI2" s="106" t="n">
        <f aca="false">IF(ISNUMBER(MATCH(D2,Controls!$A$59:$A$69,0)),1,0)</f>
        <v>1</v>
      </c>
      <c r="AJ2" s="106" t="n">
        <f aca="false">Q2-N2</f>
        <v>5000</v>
      </c>
      <c r="AK2" s="106" t="n">
        <f aca="false">IF(AE2=1,MAX(0,N2-Q2),0)</f>
        <v>0</v>
      </c>
      <c r="AL2" s="106" t="n">
        <f aca="false">IF(OR(V2="",V2=0),0,N2/V2)</f>
        <v>0.2</v>
      </c>
      <c r="AM2" s="106" t="n">
        <f aca="false">IF(OR(V2="",V2=0),0,1)</f>
        <v>1</v>
      </c>
      <c r="AN2" s="106" t="n">
        <f aca="false">IF(OR(E2="",F2=""),0,NETWORKDAYS(E2,F2,Ref!$K$2:$K$42))</f>
        <v>105</v>
      </c>
      <c r="AO2" s="106" t="n">
        <f aca="false">IF(L2="Renewal",1,0)</f>
        <v>0</v>
      </c>
      <c r="AP2" s="106" t="n">
        <f aca="false">AC2*AD2</f>
        <v>1</v>
      </c>
      <c r="AQ2" s="106" t="n">
        <f aca="false">IF(AND(G2&lt;&gt;"",'Historical Score'!$C$6&lt;&gt;""),IF(G2='Historical Score'!$C$6,1,0),0)</f>
        <v>1</v>
      </c>
      <c r="AR2" s="106" t="n">
        <f aca="false">IF(AND(L2&lt;&gt;"",'Historical Score'!$C$5&lt;&gt;""),IF(L2='Historical Score'!$C$5,1,0),0)</f>
        <v>1</v>
      </c>
      <c r="AS2" s="106" t="n">
        <f aca="false">IF(AND(Y2&lt;&gt;"",'Historical Score'!$C$7&lt;&gt;""),IF(Y2='Historical Score'!$C$7,1,0),0)</f>
        <v>1</v>
      </c>
      <c r="AT2" s="106" t="n">
        <f aca="false">IF(AND(K2&lt;&gt;"",'Historical Score'!$C$8&lt;&gt;""),IF(K2='Historical Score'!$C$8,1,0),0)</f>
        <v>1</v>
      </c>
      <c r="AU2" s="106" t="n">
        <f aca="false">AR2*AS2*AQ2</f>
        <v>1</v>
      </c>
      <c r="AV2" s="106" t="n">
        <f aca="false">AR2*AT2*AQ2</f>
        <v>1</v>
      </c>
      <c r="AW2" s="106" t="n">
        <f aca="false">AR2*AS2</f>
        <v>1</v>
      </c>
      <c r="AX2" s="106" t="n">
        <f aca="false">AR2*AT2</f>
        <v>1</v>
      </c>
      <c r="AY2" s="106" t="n">
        <f aca="false">AR2*AQ2</f>
        <v>1</v>
      </c>
      <c r="AZ2" s="106" t="n">
        <f aca="false">AR2</f>
        <v>1</v>
      </c>
      <c r="BA2" s="106" t="n">
        <f aca="false">1</f>
        <v>1</v>
      </c>
      <c r="BB2" s="106" t="n">
        <f aca="false">IF(AU2=1,1,IF(AV2=1,2,IF(AW2=1,3,IF(AX2=1,4,IF(AY2=1,5,IF(AZ2=1,6,7))))))</f>
        <v>1</v>
      </c>
      <c r="BC2" s="106" t="n">
        <f aca="false">IF(AD2=1,CHOOSE('Historical Score'!$C$29,AU2,AV2,AW2,AX2,AY2,AZ2,BA2),0)</f>
        <v>1</v>
      </c>
    </row>
    <row r="3" customFormat="false" ht="15" hidden="false" customHeight="false" outlineLevel="0" collapsed="false">
      <c r="A3" s="0" t="s">
        <v>244</v>
      </c>
      <c r="B3" s="0" t="s">
        <v>245</v>
      </c>
      <c r="C3" s="0" t="s">
        <v>246</v>
      </c>
      <c r="D3" s="0" t="s">
        <v>240</v>
      </c>
      <c r="E3" s="105" t="n">
        <v>45698</v>
      </c>
      <c r="F3" s="105" t="n">
        <v>45848</v>
      </c>
      <c r="G3" s="0" t="n">
        <v>2</v>
      </c>
      <c r="H3" s="106" t="s">
        <v>247</v>
      </c>
      <c r="I3" s="106" t="s">
        <v>248</v>
      </c>
      <c r="J3" s="106" t="s">
        <v>249</v>
      </c>
      <c r="K3" s="0" t="s">
        <v>250</v>
      </c>
      <c r="L3" s="106" t="s">
        <v>223</v>
      </c>
      <c r="M3" s="0" t="n">
        <v>1.5</v>
      </c>
      <c r="N3" s="107" t="n">
        <v>20000</v>
      </c>
      <c r="O3" s="107" t="n">
        <v>2000</v>
      </c>
      <c r="P3" s="107" t="n">
        <v>30000</v>
      </c>
      <c r="Q3" s="107" t="n">
        <v>30000</v>
      </c>
      <c r="R3" s="107" t="n">
        <v>0</v>
      </c>
      <c r="S3" s="108" t="n">
        <v>1</v>
      </c>
      <c r="T3" s="0" t="n">
        <v>20</v>
      </c>
      <c r="U3" s="0" t="n">
        <v>0</v>
      </c>
      <c r="V3" s="0" t="n">
        <v>100000</v>
      </c>
      <c r="W3" s="108" t="n">
        <v>0.09</v>
      </c>
      <c r="X3" s="105" t="n">
        <v>42170</v>
      </c>
      <c r="Y3" s="0" t="str">
        <f aca="false">IF(I3="","No SIC",IFERROR(VLOOKUP(I3,Ref!$A$2:$B$65,2,FALSE()),"Unclassified"))</f>
        <v>Trucking &amp; Warehousing</v>
      </c>
      <c r="Z3" s="0" t="str">
        <f aca="false">IF(T3="","",IF(T3&lt;12,"Daily","Weekly"))</f>
        <v>Weekly</v>
      </c>
      <c r="AA3" s="106" t="n">
        <f aca="false">IF(T3="",0,IF(T3&lt;12,T3*Controls!$B$29,T3*5))</f>
        <v>100</v>
      </c>
      <c r="AB3" s="106" t="n">
        <f aca="false">IF(E3="",0,NETWORKDAYS(E3,Controls!$B$36,Ref!$K$2:$K$42))</f>
        <v>388</v>
      </c>
      <c r="AC3" s="106" t="n">
        <f aca="false">IF(AND(AA3&gt;0,AB3&gt;=Controls!$B$39*AA3),1,0)</f>
        <v>1</v>
      </c>
      <c r="AD3" s="106" t="n">
        <f aca="false">IF(AND(E3&lt;&gt;"",E3&gt;=Controls!$B$37,E3&lt;=Controls!$B$38),1,0)</f>
        <v>1</v>
      </c>
      <c r="AE3" s="106" t="n">
        <f aca="false">IF(IFERROR(VLOOKUP(D3,Controls!$A$59:$E$69,2,FALSE()),"No")="Yes",1,0)</f>
        <v>0</v>
      </c>
      <c r="AF3" s="106" t="n">
        <f aca="false">IF(IFERROR(VLOOKUP(D3,Controls!$A$59:$E$69,3,FALSE()),"No")="Yes",1,0)</f>
        <v>1</v>
      </c>
      <c r="AG3" s="106" t="n">
        <f aca="false">IF(IFERROR(VLOOKUP(D3,Controls!$A$59:$E$69,4,FALSE()),"No")="Yes",1,0)</f>
        <v>1</v>
      </c>
      <c r="AH3" s="106" t="n">
        <f aca="false">IF(IFERROR(VLOOKUP(D3,Controls!$A$59:$E$69,5,FALSE()),"No")="Yes",1,0)</f>
        <v>0</v>
      </c>
      <c r="AI3" s="106" t="n">
        <f aca="false">IF(ISNUMBER(MATCH(D3,Controls!$A$59:$A$69,0)),1,0)</f>
        <v>1</v>
      </c>
      <c r="AJ3" s="106" t="n">
        <f aca="false">Q3-N3</f>
        <v>10000</v>
      </c>
      <c r="AK3" s="106" t="n">
        <f aca="false">IF(AE3=1,MAX(0,N3-Q3),0)</f>
        <v>0</v>
      </c>
      <c r="AL3" s="106" t="n">
        <f aca="false">IF(OR(V3="",V3=0),0,N3/V3)</f>
        <v>0.2</v>
      </c>
      <c r="AM3" s="106" t="n">
        <f aca="false">IF(OR(V3="",V3=0),0,1)</f>
        <v>1</v>
      </c>
      <c r="AN3" s="106" t="n">
        <f aca="false">IF(OR(E3="",F3=""),0,NETWORKDAYS(E3,F3,Ref!$K$2:$K$42))</f>
        <v>105</v>
      </c>
      <c r="AO3" s="106" t="n">
        <f aca="false">IF(L3="Renewal",1,0)</f>
        <v>1</v>
      </c>
      <c r="AP3" s="106" t="n">
        <f aca="false">AC3*AD3</f>
        <v>1</v>
      </c>
      <c r="AQ3" s="106" t="n">
        <f aca="false">IF(AND(G3&lt;&gt;"",'Historical Score'!$C$6&lt;&gt;""),IF(G3='Historical Score'!$C$6,1,0),0)</f>
        <v>0</v>
      </c>
      <c r="AR3" s="106" t="n">
        <f aca="false">IF(AND(L3&lt;&gt;"",'Historical Score'!$C$5&lt;&gt;""),IF(L3='Historical Score'!$C$5,1,0),0)</f>
        <v>0</v>
      </c>
      <c r="AS3" s="106" t="n">
        <f aca="false">IF(AND(Y3&lt;&gt;"",'Historical Score'!$C$7&lt;&gt;""),IF(Y3='Historical Score'!$C$7,1,0),0)</f>
        <v>0</v>
      </c>
      <c r="AT3" s="106" t="n">
        <f aca="false">IF(AND(K3&lt;&gt;"",'Historical Score'!$C$8&lt;&gt;""),IF(K3='Historical Score'!$C$8,1,0),0)</f>
        <v>0</v>
      </c>
      <c r="AU3" s="106" t="n">
        <f aca="false">AR3*AS3*AQ3</f>
        <v>0</v>
      </c>
      <c r="AV3" s="106" t="n">
        <f aca="false">AR3*AT3*AQ3</f>
        <v>0</v>
      </c>
      <c r="AW3" s="106" t="n">
        <f aca="false">AR3*AS3</f>
        <v>0</v>
      </c>
      <c r="AX3" s="106" t="n">
        <f aca="false">AR3*AT3</f>
        <v>0</v>
      </c>
      <c r="AY3" s="106" t="n">
        <f aca="false">AR3*AQ3</f>
        <v>0</v>
      </c>
      <c r="AZ3" s="106" t="n">
        <f aca="false">AR3</f>
        <v>0</v>
      </c>
      <c r="BA3" s="106" t="n">
        <f aca="false">1</f>
        <v>1</v>
      </c>
      <c r="BB3" s="106" t="n">
        <f aca="false">IF(AU3=1,1,IF(AV3=1,2,IF(AW3=1,3,IF(AX3=1,4,IF(AY3=1,5,IF(AZ3=1,6,7))))))</f>
        <v>7</v>
      </c>
      <c r="BC3" s="106" t="n">
        <f aca="false">IF(AD3=1,CHOOSE('Historical Score'!$C$29,AU3,AV3,AW3,AX3,AY3,AZ3,BA3),0)</f>
        <v>0</v>
      </c>
    </row>
    <row r="4" customFormat="false" ht="15" hidden="false" customHeight="false" outlineLevel="0" collapsed="false">
      <c r="A4" s="0" t="s">
        <v>251</v>
      </c>
      <c r="B4" s="0" t="s">
        <v>252</v>
      </c>
      <c r="C4" s="0" t="s">
        <v>253</v>
      </c>
      <c r="D4" s="0" t="s">
        <v>254</v>
      </c>
      <c r="E4" s="105" t="n">
        <v>45721</v>
      </c>
      <c r="F4" s="105" t="n">
        <v>45813</v>
      </c>
      <c r="G4" s="0" t="n">
        <v>3</v>
      </c>
      <c r="H4" s="106" t="s">
        <v>255</v>
      </c>
      <c r="I4" s="106" t="s">
        <v>256</v>
      </c>
      <c r="J4" s="106" t="s">
        <v>243</v>
      </c>
      <c r="K4" s="0" t="s">
        <v>44</v>
      </c>
      <c r="L4" s="106" t="s">
        <v>50</v>
      </c>
      <c r="M4" s="0" t="n">
        <v>1.5</v>
      </c>
      <c r="N4" s="107" t="n">
        <v>30000</v>
      </c>
      <c r="O4" s="107" t="n">
        <v>3000</v>
      </c>
      <c r="P4" s="107" t="n">
        <v>45000</v>
      </c>
      <c r="Q4" s="107" t="n">
        <v>9000</v>
      </c>
      <c r="R4" s="107" t="n">
        <v>36000</v>
      </c>
      <c r="S4" s="108" t="n">
        <v>0.2</v>
      </c>
      <c r="T4" s="0" t="n">
        <v>6</v>
      </c>
      <c r="U4" s="0" t="n">
        <v>4</v>
      </c>
      <c r="V4" s="0" t="n">
        <v>60000</v>
      </c>
      <c r="W4" s="108" t="n">
        <v>0.15</v>
      </c>
      <c r="X4" s="105" t="n">
        <v>43840</v>
      </c>
      <c r="Y4" s="0" t="str">
        <f aca="false">IF(I4="","No SIC",IFERROR(VLOOKUP(I4,Ref!$A$2:$B$65,2,FALSE()),"Unclassified"))</f>
        <v>General Building Contractors</v>
      </c>
      <c r="Z4" s="0" t="str">
        <f aca="false">IF(T4="","",IF(T4&lt;12,"Daily","Weekly"))</f>
        <v>Daily</v>
      </c>
      <c r="AA4" s="106" t="n">
        <f aca="false">IF(T4="",0,IF(T4&lt;12,T4*Controls!$B$29,T4*5))</f>
        <v>129.93</v>
      </c>
      <c r="AB4" s="106" t="n">
        <f aca="false">IF(E4="",0,NETWORKDAYS(E4,Controls!$B$36,Ref!$K$2:$K$42))</f>
        <v>372</v>
      </c>
      <c r="AC4" s="106" t="n">
        <f aca="false">IF(AND(AA4&gt;0,AB4&gt;=Controls!$B$39*AA4),1,0)</f>
        <v>1</v>
      </c>
      <c r="AD4" s="106" t="n">
        <f aca="false">IF(AND(E4&lt;&gt;"",E4&gt;=Controls!$B$37,E4&lt;=Controls!$B$38),1,0)</f>
        <v>1</v>
      </c>
      <c r="AE4" s="106" t="n">
        <f aca="false">IF(IFERROR(VLOOKUP(D4,Controls!$A$59:$E$69,2,FALSE()),"No")="Yes",1,0)</f>
        <v>1</v>
      </c>
      <c r="AF4" s="106" t="n">
        <f aca="false">IF(IFERROR(VLOOKUP(D4,Controls!$A$59:$E$69,3,FALSE()),"No")="Yes",1,0)</f>
        <v>0</v>
      </c>
      <c r="AG4" s="106" t="n">
        <f aca="false">IF(IFERROR(VLOOKUP(D4,Controls!$A$59:$E$69,4,FALSE()),"No")="Yes",1,0)</f>
        <v>0</v>
      </c>
      <c r="AH4" s="106" t="n">
        <f aca="false">IF(IFERROR(VLOOKUP(D4,Controls!$A$59:$E$69,5,FALSE()),"No")="Yes",1,0)</f>
        <v>0</v>
      </c>
      <c r="AI4" s="106" t="n">
        <f aca="false">IF(ISNUMBER(MATCH(D4,Controls!$A$59:$A$69,0)),1,0)</f>
        <v>1</v>
      </c>
      <c r="AJ4" s="106" t="n">
        <f aca="false">Q4-N4</f>
        <v>-21000</v>
      </c>
      <c r="AK4" s="106" t="n">
        <f aca="false">IF(AE4=1,MAX(0,N4-Q4),0)</f>
        <v>21000</v>
      </c>
      <c r="AL4" s="106" t="n">
        <f aca="false">IF(OR(V4="",V4=0),0,N4/V4)</f>
        <v>0.5</v>
      </c>
      <c r="AM4" s="106" t="n">
        <f aca="false">IF(OR(V4="",V4=0),0,1)</f>
        <v>1</v>
      </c>
      <c r="AN4" s="106" t="n">
        <f aca="false">IF(OR(E4="",F4=""),0,NETWORKDAYS(E4,F4,Ref!$K$2:$K$42))</f>
        <v>66</v>
      </c>
      <c r="AO4" s="106" t="n">
        <f aca="false">IF(L4="Renewal",1,0)</f>
        <v>0</v>
      </c>
      <c r="AP4" s="106" t="n">
        <f aca="false">AC4*AD4</f>
        <v>1</v>
      </c>
      <c r="AQ4" s="106" t="n">
        <f aca="false">IF(AND(G4&lt;&gt;"",'Historical Score'!$C$6&lt;&gt;""),IF(G4='Historical Score'!$C$6,1,0),0)</f>
        <v>0</v>
      </c>
      <c r="AR4" s="106" t="n">
        <f aca="false">IF(AND(L4&lt;&gt;"",'Historical Score'!$C$5&lt;&gt;""),IF(L4='Historical Score'!$C$5,1,0),0)</f>
        <v>1</v>
      </c>
      <c r="AS4" s="106" t="n">
        <f aca="false">IF(AND(Y4&lt;&gt;"",'Historical Score'!$C$7&lt;&gt;""),IF(Y4='Historical Score'!$C$7,1,0),0)</f>
        <v>0</v>
      </c>
      <c r="AT4" s="106" t="n">
        <f aca="false">IF(AND(K4&lt;&gt;"",'Historical Score'!$C$8&lt;&gt;""),IF(K4='Historical Score'!$C$8,1,0),0)</f>
        <v>1</v>
      </c>
      <c r="AU4" s="106" t="n">
        <f aca="false">AR4*AS4*AQ4</f>
        <v>0</v>
      </c>
      <c r="AV4" s="106" t="n">
        <f aca="false">AR4*AT4*AQ4</f>
        <v>0</v>
      </c>
      <c r="AW4" s="106" t="n">
        <f aca="false">AR4*AS4</f>
        <v>0</v>
      </c>
      <c r="AX4" s="106" t="n">
        <f aca="false">AR4*AT4</f>
        <v>1</v>
      </c>
      <c r="AY4" s="106" t="n">
        <f aca="false">AR4*AQ4</f>
        <v>0</v>
      </c>
      <c r="AZ4" s="106" t="n">
        <f aca="false">AR4</f>
        <v>1</v>
      </c>
      <c r="BA4" s="106" t="n">
        <f aca="false">1</f>
        <v>1</v>
      </c>
      <c r="BB4" s="106" t="n">
        <f aca="false">IF(AU4=1,1,IF(AV4=1,2,IF(AW4=1,3,IF(AX4=1,4,IF(AY4=1,5,IF(AZ4=1,6,7))))))</f>
        <v>4</v>
      </c>
      <c r="BC4" s="106" t="n">
        <f aca="false">IF(AD4=1,CHOOSE('Historical Score'!$C$29,AU4,AV4,AW4,AX4,AY4,AZ4,BA4),0)</f>
        <v>1</v>
      </c>
    </row>
    <row r="5" customFormat="false" ht="15" hidden="false" customHeight="false" outlineLevel="0" collapsed="false">
      <c r="A5" s="0" t="s">
        <v>257</v>
      </c>
      <c r="B5" s="0" t="s">
        <v>258</v>
      </c>
      <c r="C5" s="0" t="s">
        <v>259</v>
      </c>
      <c r="D5" s="0" t="s">
        <v>260</v>
      </c>
      <c r="E5" s="105" t="n">
        <v>45768</v>
      </c>
      <c r="F5" s="105" t="n">
        <v>45889</v>
      </c>
      <c r="G5" s="0" t="n">
        <v>3</v>
      </c>
      <c r="H5" s="106" t="s">
        <v>261</v>
      </c>
      <c r="I5" s="106" t="s">
        <v>262</v>
      </c>
      <c r="J5" s="106" t="s">
        <v>249</v>
      </c>
      <c r="K5" s="0" t="s">
        <v>250</v>
      </c>
      <c r="L5" s="106" t="s">
        <v>50</v>
      </c>
      <c r="M5" s="0" t="n">
        <v>1.5</v>
      </c>
      <c r="N5" s="107" t="n">
        <v>40000</v>
      </c>
      <c r="O5" s="107" t="n">
        <v>4000</v>
      </c>
      <c r="P5" s="107" t="n">
        <v>60000</v>
      </c>
      <c r="Q5" s="107" t="n">
        <v>20000</v>
      </c>
      <c r="R5" s="107" t="n">
        <v>40000</v>
      </c>
      <c r="S5" s="108" t="n">
        <v>0.333333333333333</v>
      </c>
      <c r="T5" s="0" t="n">
        <v>24</v>
      </c>
      <c r="U5" s="0" t="n">
        <v>7</v>
      </c>
      <c r="V5" s="0" t="n">
        <v>80000</v>
      </c>
      <c r="W5" s="108" t="n">
        <v>0.11</v>
      </c>
      <c r="X5" s="105" t="n">
        <v>41182</v>
      </c>
      <c r="Y5" s="0" t="str">
        <f aca="false">IF(I5="","No SIC",IFERROR(VLOOKUP(I5,Ref!$A$2:$B$65,2,FALSE()),"Unclassified"))</f>
        <v>Auto Repair &amp; Services</v>
      </c>
      <c r="Z5" s="0" t="str">
        <f aca="false">IF(T5="","",IF(T5&lt;12,"Daily","Weekly"))</f>
        <v>Weekly</v>
      </c>
      <c r="AA5" s="106" t="n">
        <f aca="false">IF(T5="",0,IF(T5&lt;12,T5*Controls!$B$29,T5*5))</f>
        <v>120</v>
      </c>
      <c r="AB5" s="106" t="n">
        <f aca="false">IF(E5="",0,NETWORKDAYS(E5,Controls!$B$36,Ref!$K$2:$K$42))</f>
        <v>339</v>
      </c>
      <c r="AC5" s="106" t="n">
        <f aca="false">IF(AND(AA5&gt;0,AB5&gt;=Controls!$B$39*AA5),1,0)</f>
        <v>1</v>
      </c>
      <c r="AD5" s="106" t="n">
        <f aca="false">IF(AND(E5&lt;&gt;"",E5&gt;=Controls!$B$37,E5&lt;=Controls!$B$38),1,0)</f>
        <v>1</v>
      </c>
      <c r="AE5" s="106" t="n">
        <f aca="false">IF(IFERROR(VLOOKUP(D5,Controls!$A$59:$E$69,2,FALSE()),"No")="Yes",1,0)</f>
        <v>1</v>
      </c>
      <c r="AF5" s="106" t="n">
        <f aca="false">IF(IFERROR(VLOOKUP(D5,Controls!$A$59:$E$69,3,FALSE()),"No")="Yes",1,0)</f>
        <v>0</v>
      </c>
      <c r="AG5" s="106" t="n">
        <f aca="false">IF(IFERROR(VLOOKUP(D5,Controls!$A$59:$E$69,4,FALSE()),"No")="Yes",1,0)</f>
        <v>0</v>
      </c>
      <c r="AH5" s="106" t="n">
        <f aca="false">IF(IFERROR(VLOOKUP(D5,Controls!$A$59:$E$69,5,FALSE()),"No")="Yes",1,0)</f>
        <v>0</v>
      </c>
      <c r="AI5" s="106" t="n">
        <f aca="false">IF(ISNUMBER(MATCH(D5,Controls!$A$59:$A$69,0)),1,0)</f>
        <v>1</v>
      </c>
      <c r="AJ5" s="106" t="n">
        <f aca="false">Q5-N5</f>
        <v>-20000</v>
      </c>
      <c r="AK5" s="106" t="n">
        <f aca="false">IF(AE5=1,MAX(0,N5-Q5),0)</f>
        <v>20000</v>
      </c>
      <c r="AL5" s="106" t="n">
        <f aca="false">IF(OR(V5="",V5=0),0,N5/V5)</f>
        <v>0.5</v>
      </c>
      <c r="AM5" s="106" t="n">
        <f aca="false">IF(OR(V5="",V5=0),0,1)</f>
        <v>1</v>
      </c>
      <c r="AN5" s="106" t="n">
        <f aca="false">IF(OR(E5="",F5=""),0,NETWORKDAYS(E5,F5,Ref!$K$2:$K$42))</f>
        <v>85</v>
      </c>
      <c r="AO5" s="106" t="n">
        <f aca="false">IF(L5="Renewal",1,0)</f>
        <v>0</v>
      </c>
      <c r="AP5" s="106" t="n">
        <f aca="false">AC5*AD5</f>
        <v>1</v>
      </c>
      <c r="AQ5" s="106" t="n">
        <f aca="false">IF(AND(G5&lt;&gt;"",'Historical Score'!$C$6&lt;&gt;""),IF(G5='Historical Score'!$C$6,1,0),0)</f>
        <v>0</v>
      </c>
      <c r="AR5" s="106" t="n">
        <f aca="false">IF(AND(L5&lt;&gt;"",'Historical Score'!$C$5&lt;&gt;""),IF(L5='Historical Score'!$C$5,1,0),0)</f>
        <v>1</v>
      </c>
      <c r="AS5" s="106" t="n">
        <f aca="false">IF(AND(Y5&lt;&gt;"",'Historical Score'!$C$7&lt;&gt;""),IF(Y5='Historical Score'!$C$7,1,0),0)</f>
        <v>0</v>
      </c>
      <c r="AT5" s="106" t="n">
        <f aca="false">IF(AND(K5&lt;&gt;"",'Historical Score'!$C$8&lt;&gt;""),IF(K5='Historical Score'!$C$8,1,0),0)</f>
        <v>0</v>
      </c>
      <c r="AU5" s="106" t="n">
        <f aca="false">AR5*AS5*AQ5</f>
        <v>0</v>
      </c>
      <c r="AV5" s="106" t="n">
        <f aca="false">AR5*AT5*AQ5</f>
        <v>0</v>
      </c>
      <c r="AW5" s="106" t="n">
        <f aca="false">AR5*AS5</f>
        <v>0</v>
      </c>
      <c r="AX5" s="106" t="n">
        <f aca="false">AR5*AT5</f>
        <v>0</v>
      </c>
      <c r="AY5" s="106" t="n">
        <f aca="false">AR5*AQ5</f>
        <v>0</v>
      </c>
      <c r="AZ5" s="106" t="n">
        <f aca="false">AR5</f>
        <v>1</v>
      </c>
      <c r="BA5" s="106" t="n">
        <f aca="false">1</f>
        <v>1</v>
      </c>
      <c r="BB5" s="106" t="n">
        <f aca="false">IF(AU5=1,1,IF(AV5=1,2,IF(AW5=1,3,IF(AX5=1,4,IF(AY5=1,5,IF(AZ5=1,6,7))))))</f>
        <v>6</v>
      </c>
      <c r="BC5" s="106" t="n">
        <f aca="false">IF(AD5=1,CHOOSE('Historical Score'!$C$29,AU5,AV5,AW5,AX5,AY5,AZ5,BA5),0)</f>
        <v>1</v>
      </c>
    </row>
    <row r="6" customFormat="false" ht="15" hidden="false" customHeight="false" outlineLevel="0" collapsed="false">
      <c r="A6" s="0" t="s">
        <v>263</v>
      </c>
      <c r="B6" s="0" t="s">
        <v>264</v>
      </c>
      <c r="C6" s="0" t="s">
        <v>265</v>
      </c>
      <c r="D6" s="0" t="s">
        <v>266</v>
      </c>
      <c r="E6" s="105" t="n">
        <v>45789</v>
      </c>
      <c r="F6" s="105" t="n">
        <v>45973</v>
      </c>
      <c r="G6" s="0" t="n">
        <v>2</v>
      </c>
      <c r="H6" s="106" t="s">
        <v>267</v>
      </c>
      <c r="I6" s="106" t="s">
        <v>268</v>
      </c>
      <c r="J6" s="106" t="s">
        <v>243</v>
      </c>
      <c r="K6" s="0" t="s">
        <v>44</v>
      </c>
      <c r="L6" s="106" t="s">
        <v>223</v>
      </c>
      <c r="M6" s="0" t="n">
        <v>1.5</v>
      </c>
      <c r="N6" s="107" t="n">
        <v>10000</v>
      </c>
      <c r="O6" s="107" t="n">
        <v>1000</v>
      </c>
      <c r="P6" s="107" t="n">
        <v>15000</v>
      </c>
      <c r="Q6" s="107" t="n">
        <v>9500</v>
      </c>
      <c r="R6" s="107" t="n">
        <v>5500</v>
      </c>
      <c r="S6" s="108" t="n">
        <v>0.633333333333333</v>
      </c>
      <c r="T6" s="0" t="n">
        <v>4</v>
      </c>
      <c r="U6" s="0" t="n">
        <v>2</v>
      </c>
      <c r="V6" s="0" t="n">
        <v>20000</v>
      </c>
      <c r="W6" s="108" t="n">
        <v>0.14</v>
      </c>
      <c r="X6" s="105" t="n">
        <v>43774</v>
      </c>
      <c r="Y6" s="0" t="str">
        <f aca="false">IF(I6="","No SIC",IFERROR(VLOOKUP(I6,Ref!$A$2:$B$65,2,FALSE()),"Unclassified"))</f>
        <v>Personal Services</v>
      </c>
      <c r="Z6" s="0" t="str">
        <f aca="false">IF(T6="","",IF(T6&lt;12,"Daily","Weekly"))</f>
        <v>Daily</v>
      </c>
      <c r="AA6" s="106" t="n">
        <f aca="false">IF(T6="",0,IF(T6&lt;12,T6*Controls!$B$29,T6*5))</f>
        <v>86.62</v>
      </c>
      <c r="AB6" s="106" t="n">
        <f aca="false">IF(E6="",0,NETWORKDAYS(E6,Controls!$B$36,Ref!$K$2:$K$42))</f>
        <v>324</v>
      </c>
      <c r="AC6" s="106" t="n">
        <f aca="false">IF(AND(AA6&gt;0,AB6&gt;=Controls!$B$39*AA6),1,0)</f>
        <v>1</v>
      </c>
      <c r="AD6" s="106" t="n">
        <f aca="false">IF(AND(E6&lt;&gt;"",E6&gt;=Controls!$B$37,E6&lt;=Controls!$B$38),1,0)</f>
        <v>1</v>
      </c>
      <c r="AE6" s="106" t="n">
        <f aca="false">IF(IFERROR(VLOOKUP(D6,Controls!$A$59:$E$69,2,FALSE()),"No")="Yes",1,0)</f>
        <v>1</v>
      </c>
      <c r="AF6" s="106" t="n">
        <f aca="false">IF(IFERROR(VLOOKUP(D6,Controls!$A$59:$E$69,3,FALSE()),"No")="Yes",1,0)</f>
        <v>1</v>
      </c>
      <c r="AG6" s="106" t="n">
        <f aca="false">IF(IFERROR(VLOOKUP(D6,Controls!$A$59:$E$69,4,FALSE()),"No")="Yes",1,0)</f>
        <v>0</v>
      </c>
      <c r="AH6" s="106" t="n">
        <f aca="false">IF(IFERROR(VLOOKUP(D6,Controls!$A$59:$E$69,5,FALSE()),"No")="Yes",1,0)</f>
        <v>0</v>
      </c>
      <c r="AI6" s="106" t="n">
        <f aca="false">IF(ISNUMBER(MATCH(D6,Controls!$A$59:$A$69,0)),1,0)</f>
        <v>1</v>
      </c>
      <c r="AJ6" s="106" t="n">
        <f aca="false">Q6-N6</f>
        <v>-500</v>
      </c>
      <c r="AK6" s="106" t="n">
        <f aca="false">IF(AE6=1,MAX(0,N6-Q6),0)</f>
        <v>500</v>
      </c>
      <c r="AL6" s="106" t="n">
        <f aca="false">IF(OR(V6="",V6=0),0,N6/V6)</f>
        <v>0.5</v>
      </c>
      <c r="AM6" s="106" t="n">
        <f aca="false">IF(OR(V6="",V6=0),0,1)</f>
        <v>1</v>
      </c>
      <c r="AN6" s="106" t="n">
        <f aca="false">IF(OR(E6="",F6=""),0,NETWORKDAYS(E6,F6,Ref!$K$2:$K$42))</f>
        <v>127</v>
      </c>
      <c r="AO6" s="106" t="n">
        <f aca="false">IF(L6="Renewal",1,0)</f>
        <v>1</v>
      </c>
      <c r="AP6" s="106" t="n">
        <f aca="false">AC6*AD6</f>
        <v>1</v>
      </c>
      <c r="AQ6" s="106" t="n">
        <f aca="false">IF(AND(G6&lt;&gt;"",'Historical Score'!$C$6&lt;&gt;""),IF(G6='Historical Score'!$C$6,1,0),0)</f>
        <v>0</v>
      </c>
      <c r="AR6" s="106" t="n">
        <f aca="false">IF(AND(L6&lt;&gt;"",'Historical Score'!$C$5&lt;&gt;""),IF(L6='Historical Score'!$C$5,1,0),0)</f>
        <v>0</v>
      </c>
      <c r="AS6" s="106" t="n">
        <f aca="false">IF(AND(Y6&lt;&gt;"",'Historical Score'!$C$7&lt;&gt;""),IF(Y6='Historical Score'!$C$7,1,0),0)</f>
        <v>0</v>
      </c>
      <c r="AT6" s="106" t="n">
        <f aca="false">IF(AND(K6&lt;&gt;"",'Historical Score'!$C$8&lt;&gt;""),IF(K6='Historical Score'!$C$8,1,0),0)</f>
        <v>1</v>
      </c>
      <c r="AU6" s="106" t="n">
        <f aca="false">AR6*AS6*AQ6</f>
        <v>0</v>
      </c>
      <c r="AV6" s="106" t="n">
        <f aca="false">AR6*AT6*AQ6</f>
        <v>0</v>
      </c>
      <c r="AW6" s="106" t="n">
        <f aca="false">AR6*AS6</f>
        <v>0</v>
      </c>
      <c r="AX6" s="106" t="n">
        <f aca="false">AR6*AT6</f>
        <v>0</v>
      </c>
      <c r="AY6" s="106" t="n">
        <f aca="false">AR6*AQ6</f>
        <v>0</v>
      </c>
      <c r="AZ6" s="106" t="n">
        <f aca="false">AR6</f>
        <v>0</v>
      </c>
      <c r="BA6" s="106" t="n">
        <f aca="false">1</f>
        <v>1</v>
      </c>
      <c r="BB6" s="106" t="n">
        <f aca="false">IF(AU6=1,1,IF(AV6=1,2,IF(AW6=1,3,IF(AX6=1,4,IF(AY6=1,5,IF(AZ6=1,6,7))))))</f>
        <v>7</v>
      </c>
      <c r="BC6" s="106" t="n">
        <f aca="false">IF(AD6=1,CHOOSE('Historical Score'!$C$29,AU6,AV6,AW6,AX6,AY6,AZ6,BA6),0)</f>
        <v>0</v>
      </c>
    </row>
    <row r="7" customFormat="false" ht="15" hidden="false" customHeight="false" outlineLevel="0" collapsed="false">
      <c r="A7" s="0" t="s">
        <v>269</v>
      </c>
      <c r="B7" s="0" t="s">
        <v>270</v>
      </c>
      <c r="C7" s="0" t="s">
        <v>271</v>
      </c>
      <c r="D7" s="0" t="s">
        <v>272</v>
      </c>
      <c r="E7" s="105" t="n">
        <v>45826</v>
      </c>
      <c r="F7" s="105" t="n">
        <v>45918</v>
      </c>
      <c r="G7" s="0" t="n">
        <v>4</v>
      </c>
      <c r="J7" s="106" t="s">
        <v>249</v>
      </c>
      <c r="K7" s="0" t="s">
        <v>250</v>
      </c>
      <c r="L7" s="106" t="s">
        <v>50</v>
      </c>
      <c r="M7" s="0" t="n">
        <v>1.5</v>
      </c>
      <c r="N7" s="107" t="n">
        <v>20000</v>
      </c>
      <c r="O7" s="107" t="n">
        <v>2000</v>
      </c>
      <c r="P7" s="107" t="n">
        <v>30000</v>
      </c>
      <c r="Q7" s="107" t="n">
        <v>0</v>
      </c>
      <c r="R7" s="107" t="n">
        <v>30000</v>
      </c>
      <c r="S7" s="108" t="n">
        <v>0</v>
      </c>
      <c r="T7" s="0" t="n">
        <v>16</v>
      </c>
      <c r="U7" s="0" t="n">
        <v>9</v>
      </c>
      <c r="V7" s="0" t="n">
        <v>100000</v>
      </c>
      <c r="W7" s="108" t="n">
        <v>0.1</v>
      </c>
      <c r="X7" s="105" t="n">
        <v>44305</v>
      </c>
      <c r="Y7" s="0" t="str">
        <f aca="false">IF(I7="","No SIC",IFERROR(VLOOKUP(I7,Ref!$A$2:$B$65,2,FALSE()),"Unclassified"))</f>
        <v>No SIC</v>
      </c>
      <c r="Z7" s="0" t="str">
        <f aca="false">IF(T7="","",IF(T7&lt;12,"Daily","Weekly"))</f>
        <v>Weekly</v>
      </c>
      <c r="AA7" s="106" t="n">
        <f aca="false">IF(T7="",0,IF(T7&lt;12,T7*Controls!$B$29,T7*5))</f>
        <v>80</v>
      </c>
      <c r="AB7" s="106" t="n">
        <f aca="false">IF(E7="",0,NETWORKDAYS(E7,Controls!$B$36,Ref!$K$2:$K$42))</f>
        <v>298</v>
      </c>
      <c r="AC7" s="106" t="n">
        <f aca="false">IF(AND(AA7&gt;0,AB7&gt;=Controls!$B$39*AA7),1,0)</f>
        <v>1</v>
      </c>
      <c r="AD7" s="106" t="n">
        <f aca="false">IF(AND(E7&lt;&gt;"",E7&gt;=Controls!$B$37,E7&lt;=Controls!$B$38),1,0)</f>
        <v>1</v>
      </c>
      <c r="AE7" s="106" t="n">
        <f aca="false">IF(IFERROR(VLOOKUP(D7,Controls!$A$59:$E$69,2,FALSE()),"No")="Yes",1,0)</f>
        <v>1</v>
      </c>
      <c r="AF7" s="106" t="n">
        <f aca="false">IF(IFERROR(VLOOKUP(D7,Controls!$A$59:$E$69,3,FALSE()),"No")="Yes",1,0)</f>
        <v>1</v>
      </c>
      <c r="AG7" s="106" t="n">
        <f aca="false">IF(IFERROR(VLOOKUP(D7,Controls!$A$59:$E$69,4,FALSE()),"No")="Yes",1,0)</f>
        <v>0</v>
      </c>
      <c r="AH7" s="106" t="n">
        <f aca="false">IF(IFERROR(VLOOKUP(D7,Controls!$A$59:$E$69,5,FALSE()),"No")="Yes",1,0)</f>
        <v>0</v>
      </c>
      <c r="AI7" s="106" t="n">
        <f aca="false">IF(ISNUMBER(MATCH(D7,Controls!$A$59:$A$69,0)),1,0)</f>
        <v>1</v>
      </c>
      <c r="AJ7" s="106" t="n">
        <f aca="false">Q7-N7</f>
        <v>-20000</v>
      </c>
      <c r="AK7" s="106" t="n">
        <f aca="false">IF(AE7=1,MAX(0,N7-Q7),0)</f>
        <v>20000</v>
      </c>
      <c r="AL7" s="106" t="n">
        <f aca="false">IF(OR(V7="",V7=0),0,N7/V7)</f>
        <v>0.2</v>
      </c>
      <c r="AM7" s="106" t="n">
        <f aca="false">IF(OR(V7="",V7=0),0,1)</f>
        <v>1</v>
      </c>
      <c r="AN7" s="106" t="n">
        <f aca="false">IF(OR(E7="",F7=""),0,NETWORKDAYS(E7,F7,Ref!$K$2:$K$42))</f>
        <v>64</v>
      </c>
      <c r="AO7" s="106" t="n">
        <f aca="false">IF(L7="Renewal",1,0)</f>
        <v>0</v>
      </c>
      <c r="AP7" s="106" t="n">
        <f aca="false">AC7*AD7</f>
        <v>1</v>
      </c>
      <c r="AQ7" s="106" t="n">
        <f aca="false">IF(AND(G7&lt;&gt;"",'Historical Score'!$C$6&lt;&gt;""),IF(G7='Historical Score'!$C$6,1,0),0)</f>
        <v>0</v>
      </c>
      <c r="AR7" s="106" t="n">
        <f aca="false">IF(AND(L7&lt;&gt;"",'Historical Score'!$C$5&lt;&gt;""),IF(L7='Historical Score'!$C$5,1,0),0)</f>
        <v>1</v>
      </c>
      <c r="AS7" s="106" t="n">
        <f aca="false">IF(AND(Y7&lt;&gt;"",'Historical Score'!$C$7&lt;&gt;""),IF(Y7='Historical Score'!$C$7,1,0),0)</f>
        <v>0</v>
      </c>
      <c r="AT7" s="106" t="n">
        <f aca="false">IF(AND(K7&lt;&gt;"",'Historical Score'!$C$8&lt;&gt;""),IF(K7='Historical Score'!$C$8,1,0),0)</f>
        <v>0</v>
      </c>
      <c r="AU7" s="106" t="n">
        <f aca="false">AR7*AS7*AQ7</f>
        <v>0</v>
      </c>
      <c r="AV7" s="106" t="n">
        <f aca="false">AR7*AT7*AQ7</f>
        <v>0</v>
      </c>
      <c r="AW7" s="106" t="n">
        <f aca="false">AR7*AS7</f>
        <v>0</v>
      </c>
      <c r="AX7" s="106" t="n">
        <f aca="false">AR7*AT7</f>
        <v>0</v>
      </c>
      <c r="AY7" s="106" t="n">
        <f aca="false">AR7*AQ7</f>
        <v>0</v>
      </c>
      <c r="AZ7" s="106" t="n">
        <f aca="false">AR7</f>
        <v>1</v>
      </c>
      <c r="BA7" s="106" t="n">
        <f aca="false">1</f>
        <v>1</v>
      </c>
      <c r="BB7" s="106" t="n">
        <f aca="false">IF(AU7=1,1,IF(AV7=1,2,IF(AW7=1,3,IF(AX7=1,4,IF(AY7=1,5,IF(AZ7=1,6,7))))))</f>
        <v>6</v>
      </c>
      <c r="BC7" s="106" t="n">
        <f aca="false">IF(AD7=1,CHOOSE('Historical Score'!$C$29,AU7,AV7,AW7,AX7,AY7,AZ7,BA7),0)</f>
        <v>1</v>
      </c>
    </row>
    <row r="8" customFormat="false" ht="15" hidden="false" customHeight="false" outlineLevel="0" collapsed="false">
      <c r="A8" s="0" t="s">
        <v>273</v>
      </c>
      <c r="B8" s="0" t="s">
        <v>274</v>
      </c>
      <c r="C8" s="0" t="s">
        <v>275</v>
      </c>
      <c r="D8" s="0" t="s">
        <v>197</v>
      </c>
      <c r="E8" s="105" t="n">
        <v>46030</v>
      </c>
      <c r="F8" s="105" t="n">
        <v>46237</v>
      </c>
      <c r="G8" s="0" t="n">
        <v>1</v>
      </c>
      <c r="H8" s="106" t="s">
        <v>276</v>
      </c>
      <c r="I8" s="106" t="s">
        <v>277</v>
      </c>
      <c r="J8" s="106" t="s">
        <v>243</v>
      </c>
      <c r="K8" s="0" t="s">
        <v>44</v>
      </c>
      <c r="L8" s="106" t="s">
        <v>50</v>
      </c>
      <c r="M8" s="0" t="n">
        <v>1.5</v>
      </c>
      <c r="N8" s="107" t="n">
        <v>50000</v>
      </c>
      <c r="O8" s="107" t="n">
        <v>5000</v>
      </c>
      <c r="P8" s="107" t="n">
        <v>75000</v>
      </c>
      <c r="Q8" s="107" t="n">
        <v>30000</v>
      </c>
      <c r="R8" s="107" t="n">
        <v>45000</v>
      </c>
      <c r="S8" s="108" t="n">
        <v>0.4</v>
      </c>
      <c r="T8" s="0" t="n">
        <v>6</v>
      </c>
      <c r="U8" s="0" t="n">
        <v>0</v>
      </c>
      <c r="V8" s="0" t="n">
        <v>250000</v>
      </c>
      <c r="W8" s="108" t="n">
        <v>0.08</v>
      </c>
      <c r="X8" s="105" t="n">
        <v>40211</v>
      </c>
      <c r="Y8" s="0" t="str">
        <f aca="false">IF(I8="","No SIC",IFERROR(VLOOKUP(I8,Ref!$A$2:$B$65,2,FALSE()),"Unclassified"))</f>
        <v>Health Services</v>
      </c>
      <c r="Z8" s="0" t="str">
        <f aca="false">IF(T8="","",IF(T8&lt;12,"Daily","Weekly"))</f>
        <v>Daily</v>
      </c>
      <c r="AA8" s="106" t="n">
        <f aca="false">IF(T8="",0,IF(T8&lt;12,T8*Controls!$B$29,T8*5))</f>
        <v>129.93</v>
      </c>
      <c r="AB8" s="106" t="n">
        <f aca="false">IF(E8="",0,NETWORKDAYS(E8,Controls!$B$36,Ref!$K$2:$K$42))</f>
        <v>160</v>
      </c>
      <c r="AC8" s="106" t="n">
        <f aca="false">IF(AND(AA8&gt;0,AB8&gt;=Controls!$B$39*AA8),1,0)</f>
        <v>0</v>
      </c>
      <c r="AD8" s="106" t="n">
        <f aca="false">IF(AND(E8&lt;&gt;"",E8&gt;=Controls!$B$37,E8&lt;=Controls!$B$38),1,0)</f>
        <v>1</v>
      </c>
      <c r="AE8" s="106" t="n">
        <f aca="false">IF(IFERROR(VLOOKUP(D8,Controls!$A$59:$E$69,2,FALSE()),"No")="Yes",1,0)</f>
        <v>0</v>
      </c>
      <c r="AF8" s="106" t="n">
        <f aca="false">IF(IFERROR(VLOOKUP(D8,Controls!$A$59:$E$69,3,FALSE()),"No")="Yes",1,0)</f>
        <v>0</v>
      </c>
      <c r="AG8" s="106" t="n">
        <f aca="false">IF(IFERROR(VLOOKUP(D8,Controls!$A$59:$E$69,4,FALSE()),"No")="Yes",1,0)</f>
        <v>0</v>
      </c>
      <c r="AH8" s="106" t="n">
        <f aca="false">IF(IFERROR(VLOOKUP(D8,Controls!$A$59:$E$69,5,FALSE()),"No")="Yes",1,0)</f>
        <v>1</v>
      </c>
      <c r="AI8" s="106" t="n">
        <f aca="false">IF(ISNUMBER(MATCH(D8,Controls!$A$59:$A$69,0)),1,0)</f>
        <v>1</v>
      </c>
      <c r="AJ8" s="106" t="n">
        <f aca="false">Q8-N8</f>
        <v>-20000</v>
      </c>
      <c r="AK8" s="106" t="n">
        <f aca="false">IF(AE8=1,MAX(0,N8-Q8),0)</f>
        <v>0</v>
      </c>
      <c r="AL8" s="106" t="n">
        <f aca="false">IF(OR(V8="",V8=0),0,N8/V8)</f>
        <v>0.2</v>
      </c>
      <c r="AM8" s="106" t="n">
        <f aca="false">IF(OR(V8="",V8=0),0,1)</f>
        <v>1</v>
      </c>
      <c r="AN8" s="106" t="n">
        <f aca="false">IF(OR(E8="",F8=""),0,NETWORKDAYS(E8,F8,Ref!$K$2:$K$42))</f>
        <v>144</v>
      </c>
      <c r="AO8" s="106" t="n">
        <f aca="false">IF(L8="Renewal",1,0)</f>
        <v>0</v>
      </c>
      <c r="AP8" s="106" t="n">
        <f aca="false">AC8*AD8</f>
        <v>0</v>
      </c>
      <c r="AQ8" s="106" t="n">
        <f aca="false">IF(AND(G8&lt;&gt;"",'Historical Score'!$C$6&lt;&gt;""),IF(G8='Historical Score'!$C$6,1,0),0)</f>
        <v>1</v>
      </c>
      <c r="AR8" s="106" t="n">
        <f aca="false">IF(AND(L8&lt;&gt;"",'Historical Score'!$C$5&lt;&gt;""),IF(L8='Historical Score'!$C$5,1,0),0)</f>
        <v>1</v>
      </c>
      <c r="AS8" s="106" t="n">
        <f aca="false">IF(AND(Y8&lt;&gt;"",'Historical Score'!$C$7&lt;&gt;""),IF(Y8='Historical Score'!$C$7,1,0),0)</f>
        <v>0</v>
      </c>
      <c r="AT8" s="106" t="n">
        <f aca="false">IF(AND(K8&lt;&gt;"",'Historical Score'!$C$8&lt;&gt;""),IF(K8='Historical Score'!$C$8,1,0),0)</f>
        <v>1</v>
      </c>
      <c r="AU8" s="106" t="n">
        <f aca="false">AR8*AS8*AQ8</f>
        <v>0</v>
      </c>
      <c r="AV8" s="106" t="n">
        <f aca="false">AR8*AT8*AQ8</f>
        <v>1</v>
      </c>
      <c r="AW8" s="106" t="n">
        <f aca="false">AR8*AS8</f>
        <v>0</v>
      </c>
      <c r="AX8" s="106" t="n">
        <f aca="false">AR8*AT8</f>
        <v>1</v>
      </c>
      <c r="AY8" s="106" t="n">
        <f aca="false">AR8*AQ8</f>
        <v>1</v>
      </c>
      <c r="AZ8" s="106" t="n">
        <f aca="false">AR8</f>
        <v>1</v>
      </c>
      <c r="BA8" s="106" t="n">
        <f aca="false">1</f>
        <v>1</v>
      </c>
      <c r="BB8" s="106" t="n">
        <f aca="false">IF(AU8=1,1,IF(AV8=1,2,IF(AW8=1,3,IF(AX8=1,4,IF(AY8=1,5,IF(AZ8=1,6,7))))))</f>
        <v>2</v>
      </c>
      <c r="BC8" s="106" t="n">
        <f aca="false">IF(AD8=1,CHOOSE('Historical Score'!$C$29,AU8,AV8,AW8,AX8,AY8,AZ8,BA8),0)</f>
        <v>1</v>
      </c>
    </row>
    <row r="9" customFormat="false" ht="15" hidden="false" customHeight="false" outlineLevel="0" collapsed="false">
      <c r="A9" s="0" t="s">
        <v>278</v>
      </c>
      <c r="B9" s="0" t="s">
        <v>279</v>
      </c>
      <c r="C9" s="0" t="s">
        <v>280</v>
      </c>
      <c r="D9" s="0" t="s">
        <v>281</v>
      </c>
      <c r="E9" s="105" t="n">
        <v>45852</v>
      </c>
      <c r="F9" s="105" t="n">
        <v>46006</v>
      </c>
      <c r="G9" s="0" t="n">
        <v>3</v>
      </c>
      <c r="H9" s="106" t="s">
        <v>282</v>
      </c>
      <c r="I9" s="106" t="s">
        <v>283</v>
      </c>
      <c r="J9" s="106" t="s">
        <v>249</v>
      </c>
      <c r="K9" s="0" t="s">
        <v>250</v>
      </c>
      <c r="L9" s="106" t="s">
        <v>50</v>
      </c>
      <c r="M9" s="0" t="n">
        <v>1.5</v>
      </c>
      <c r="N9" s="107" t="n">
        <v>20000</v>
      </c>
      <c r="O9" s="107" t="n">
        <v>2000</v>
      </c>
      <c r="P9" s="107" t="n">
        <v>30000</v>
      </c>
      <c r="Q9" s="107" t="n">
        <v>30000</v>
      </c>
      <c r="R9" s="107" t="n">
        <v>0</v>
      </c>
      <c r="S9" s="108" t="n">
        <v>1</v>
      </c>
      <c r="T9" s="0" t="n">
        <v>20</v>
      </c>
      <c r="U9" s="0" t="n">
        <v>11</v>
      </c>
      <c r="W9" s="108" t="n">
        <v>0.13</v>
      </c>
      <c r="X9" s="105" t="n">
        <v>44781</v>
      </c>
      <c r="Y9" s="0" t="str">
        <f aca="false">IF(I9="","No SIC",IFERROR(VLOOKUP(I9,Ref!$A$2:$B$65,2,FALSE()),"Unclassified"))</f>
        <v>Business Services</v>
      </c>
      <c r="Z9" s="0" t="str">
        <f aca="false">IF(T9="","",IF(T9&lt;12,"Daily","Weekly"))</f>
        <v>Weekly</v>
      </c>
      <c r="AA9" s="106" t="n">
        <f aca="false">IF(T9="",0,IF(T9&lt;12,T9*Controls!$B$29,T9*5))</f>
        <v>100</v>
      </c>
      <c r="AB9" s="106" t="n">
        <f aca="false">IF(E9="",0,NETWORKDAYS(E9,Controls!$B$36,Ref!$K$2:$K$42))</f>
        <v>282</v>
      </c>
      <c r="AC9" s="106" t="n">
        <f aca="false">IF(AND(AA9&gt;0,AB9&gt;=Controls!$B$39*AA9),1,0)</f>
        <v>1</v>
      </c>
      <c r="AD9" s="106" t="n">
        <f aca="false">IF(AND(E9&lt;&gt;"",E9&gt;=Controls!$B$37,E9&lt;=Controls!$B$38),1,0)</f>
        <v>1</v>
      </c>
      <c r="AE9" s="106" t="n">
        <f aca="false">IF(IFERROR(VLOOKUP(D9,Controls!$A$59:$E$69,2,FALSE()),"No")="Yes",1,0)</f>
        <v>0</v>
      </c>
      <c r="AF9" s="106" t="n">
        <f aca="false">IF(IFERROR(VLOOKUP(D9,Controls!$A$59:$E$69,3,FALSE()),"No")="Yes",1,0)</f>
        <v>1</v>
      </c>
      <c r="AG9" s="106" t="n">
        <f aca="false">IF(IFERROR(VLOOKUP(D9,Controls!$A$59:$E$69,4,FALSE()),"No")="Yes",1,0)</f>
        <v>1</v>
      </c>
      <c r="AH9" s="106" t="n">
        <f aca="false">IF(IFERROR(VLOOKUP(D9,Controls!$A$59:$E$69,5,FALSE()),"No")="Yes",1,0)</f>
        <v>0</v>
      </c>
      <c r="AI9" s="106" t="n">
        <f aca="false">IF(ISNUMBER(MATCH(D9,Controls!$A$59:$A$69,0)),1,0)</f>
        <v>1</v>
      </c>
      <c r="AJ9" s="106" t="n">
        <f aca="false">Q9-N9</f>
        <v>10000</v>
      </c>
      <c r="AK9" s="106" t="n">
        <f aca="false">IF(AE9=1,MAX(0,N9-Q9),0)</f>
        <v>0</v>
      </c>
      <c r="AL9" s="106" t="n">
        <f aca="false">IF(OR(V9="",V9=0),0,N9/V9)</f>
        <v>0</v>
      </c>
      <c r="AM9" s="106" t="n">
        <f aca="false">IF(OR(V9="",V9=0),0,1)</f>
        <v>0</v>
      </c>
      <c r="AN9" s="106" t="n">
        <f aca="false">IF(OR(E9="",F9=""),0,NETWORKDAYS(E9,F9,Ref!$K$2:$K$42))</f>
        <v>107</v>
      </c>
      <c r="AO9" s="106" t="n">
        <f aca="false">IF(L9="Renewal",1,0)</f>
        <v>0</v>
      </c>
      <c r="AP9" s="106" t="n">
        <f aca="false">AC9*AD9</f>
        <v>1</v>
      </c>
      <c r="AQ9" s="106" t="n">
        <f aca="false">IF(AND(G9&lt;&gt;"",'Historical Score'!$C$6&lt;&gt;""),IF(G9='Historical Score'!$C$6,1,0),0)</f>
        <v>0</v>
      </c>
      <c r="AR9" s="106" t="n">
        <f aca="false">IF(AND(L9&lt;&gt;"",'Historical Score'!$C$5&lt;&gt;""),IF(L9='Historical Score'!$C$5,1,0),0)</f>
        <v>1</v>
      </c>
      <c r="AS9" s="106" t="n">
        <f aca="false">IF(AND(Y9&lt;&gt;"",'Historical Score'!$C$7&lt;&gt;""),IF(Y9='Historical Score'!$C$7,1,0),0)</f>
        <v>0</v>
      </c>
      <c r="AT9" s="106" t="n">
        <f aca="false">IF(AND(K9&lt;&gt;"",'Historical Score'!$C$8&lt;&gt;""),IF(K9='Historical Score'!$C$8,1,0),0)</f>
        <v>0</v>
      </c>
      <c r="AU9" s="106" t="n">
        <f aca="false">AR9*AS9*AQ9</f>
        <v>0</v>
      </c>
      <c r="AV9" s="106" t="n">
        <f aca="false">AR9*AT9*AQ9</f>
        <v>0</v>
      </c>
      <c r="AW9" s="106" t="n">
        <f aca="false">AR9*AS9</f>
        <v>0</v>
      </c>
      <c r="AX9" s="106" t="n">
        <f aca="false">AR9*AT9</f>
        <v>0</v>
      </c>
      <c r="AY9" s="106" t="n">
        <f aca="false">AR9*AQ9</f>
        <v>0</v>
      </c>
      <c r="AZ9" s="106" t="n">
        <f aca="false">AR9</f>
        <v>1</v>
      </c>
      <c r="BA9" s="106" t="n">
        <f aca="false">1</f>
        <v>1</v>
      </c>
      <c r="BB9" s="106" t="n">
        <f aca="false">IF(AU9=1,1,IF(AV9=1,2,IF(AW9=1,3,IF(AX9=1,4,IF(AY9=1,5,IF(AZ9=1,6,7))))))</f>
        <v>6</v>
      </c>
      <c r="BC9" s="106" t="n">
        <f aca="false">IF(AD9=1,CHOOSE('Historical Score'!$C$29,AU9,AV9,AW9,AX9,AY9,AZ9,BA9),0)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8" min="6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82" t="s">
        <v>284</v>
      </c>
    </row>
    <row r="2" customFormat="false" ht="15" hidden="false" customHeight="false" outlineLevel="0" collapsed="false">
      <c r="A2" s="81" t="s">
        <v>285</v>
      </c>
    </row>
    <row r="3" customFormat="false" ht="15" hidden="false" customHeight="false" outlineLevel="0" collapsed="false">
      <c r="A3" s="8" t="s">
        <v>286</v>
      </c>
      <c r="B3" s="8"/>
      <c r="C3" s="8"/>
      <c r="D3" s="8"/>
      <c r="E3" s="8"/>
      <c r="F3" s="8"/>
      <c r="G3" s="8"/>
      <c r="H3" s="8"/>
      <c r="I3" s="8"/>
    </row>
    <row r="4" customFormat="false" ht="22.35" hidden="false" customHeight="false" outlineLevel="0" collapsed="false">
      <c r="A4" s="77" t="s">
        <v>20</v>
      </c>
      <c r="B4" s="77" t="s">
        <v>287</v>
      </c>
      <c r="C4" s="77" t="s">
        <v>288</v>
      </c>
      <c r="D4" s="77" t="s">
        <v>72</v>
      </c>
      <c r="E4" s="77" t="s">
        <v>289</v>
      </c>
      <c r="F4" s="77"/>
      <c r="G4" s="77"/>
      <c r="H4" s="77"/>
      <c r="I4" s="77" t="s">
        <v>290</v>
      </c>
    </row>
    <row r="5" customFormat="false" ht="15" hidden="false" customHeight="false" outlineLevel="0" collapsed="false">
      <c r="A5" s="83" t="s">
        <v>74</v>
      </c>
      <c r="B5" s="109" t="n">
        <v>0.3</v>
      </c>
      <c r="C5" s="109" t="n">
        <v>0.45</v>
      </c>
      <c r="D5" s="109" t="n">
        <v>0.55</v>
      </c>
      <c r="E5" s="83" t="s">
        <v>291</v>
      </c>
      <c r="I5" s="81"/>
    </row>
    <row r="6" customFormat="false" ht="15" hidden="false" customHeight="false" outlineLevel="0" collapsed="false">
      <c r="A6" s="83" t="s">
        <v>75</v>
      </c>
      <c r="B6" s="109" t="n">
        <v>0.18</v>
      </c>
      <c r="C6" s="109" t="n">
        <v>0.25</v>
      </c>
      <c r="D6" s="109" t="n">
        <v>0.35</v>
      </c>
      <c r="E6" s="83" t="s">
        <v>291</v>
      </c>
      <c r="I6" s="81"/>
    </row>
    <row r="7" customFormat="false" ht="15" hidden="false" customHeight="false" outlineLevel="0" collapsed="false">
      <c r="A7" s="83" t="s">
        <v>76</v>
      </c>
      <c r="B7" s="109" t="n">
        <v>0.18</v>
      </c>
      <c r="C7" s="109" t="n">
        <v>0.3</v>
      </c>
      <c r="D7" s="109" t="n">
        <v>0.35</v>
      </c>
      <c r="E7" s="83" t="s">
        <v>291</v>
      </c>
      <c r="I7" s="81"/>
    </row>
    <row r="8" customFormat="false" ht="15" hidden="false" customHeight="false" outlineLevel="0" collapsed="false">
      <c r="A8" s="83" t="s">
        <v>77</v>
      </c>
      <c r="B8" s="110" t="n">
        <v>0.6</v>
      </c>
      <c r="C8" s="110" t="n">
        <v>0.9</v>
      </c>
      <c r="D8" s="110" t="n">
        <v>1.25</v>
      </c>
      <c r="E8" s="83" t="s">
        <v>291</v>
      </c>
      <c r="I8" s="81"/>
    </row>
    <row r="9" customFormat="false" ht="15" hidden="false" customHeight="false" outlineLevel="0" collapsed="false">
      <c r="A9" s="83" t="s">
        <v>78</v>
      </c>
      <c r="B9" s="111" t="n">
        <v>2</v>
      </c>
      <c r="C9" s="111" t="n">
        <v>5</v>
      </c>
      <c r="D9" s="111" t="n">
        <v>6</v>
      </c>
      <c r="E9" s="83" t="s">
        <v>291</v>
      </c>
      <c r="I9" s="81"/>
    </row>
    <row r="10" customFormat="false" ht="15" hidden="false" customHeight="false" outlineLevel="0" collapsed="false">
      <c r="A10" s="83" t="s">
        <v>79</v>
      </c>
      <c r="B10" s="109" t="n">
        <v>-0.05</v>
      </c>
      <c r="C10" s="109" t="n">
        <v>-0.15</v>
      </c>
      <c r="D10" s="109" t="n">
        <v>-0.3</v>
      </c>
      <c r="E10" s="83" t="s">
        <v>292</v>
      </c>
      <c r="I10" s="81"/>
    </row>
    <row r="11" customFormat="false" ht="15" hidden="false" customHeight="false" outlineLevel="0" collapsed="false">
      <c r="A11" s="83" t="s">
        <v>80</v>
      </c>
      <c r="B11" s="111" t="n">
        <v>1</v>
      </c>
      <c r="C11" s="111" t="n">
        <v>6</v>
      </c>
      <c r="D11" s="111" t="n">
        <v>10</v>
      </c>
      <c r="E11" s="83" t="s">
        <v>291</v>
      </c>
      <c r="I11" s="81" t="s">
        <v>293</v>
      </c>
    </row>
    <row r="12" customFormat="false" ht="15" hidden="false" customHeight="false" outlineLevel="0" collapsed="false">
      <c r="A12" s="83" t="s">
        <v>52</v>
      </c>
      <c r="B12" s="111" t="n">
        <v>650</v>
      </c>
      <c r="C12" s="111" t="n">
        <v>630</v>
      </c>
      <c r="D12" s="111" t="n">
        <v>0</v>
      </c>
      <c r="E12" s="83" t="s">
        <v>292</v>
      </c>
      <c r="I12" s="81" t="s">
        <v>294</v>
      </c>
    </row>
    <row r="13" customFormat="false" ht="15" hidden="false" customHeight="false" outlineLevel="0" collapsed="false">
      <c r="A13" s="83" t="s">
        <v>295</v>
      </c>
      <c r="B13" s="111" t="n">
        <v>2</v>
      </c>
    </row>
    <row r="14" customFormat="false" ht="15" hidden="false" customHeight="false" outlineLevel="0" collapsed="false">
      <c r="A14" s="83" t="s">
        <v>100</v>
      </c>
      <c r="B14" s="112" t="n">
        <v>10000</v>
      </c>
    </row>
    <row r="15" customFormat="false" ht="15" hidden="false" customHeight="false" outlineLevel="0" collapsed="false">
      <c r="A15" s="83" t="s">
        <v>296</v>
      </c>
      <c r="B15" s="113" t="n">
        <v>0.05</v>
      </c>
    </row>
    <row r="17" customFormat="false" ht="15" hidden="false" customHeight="false" outlineLevel="0" collapsed="false">
      <c r="A17" s="8" t="s">
        <v>297</v>
      </c>
      <c r="B17" s="8"/>
      <c r="C17" s="8"/>
      <c r="D17" s="8"/>
      <c r="E17" s="8"/>
      <c r="F17" s="8"/>
      <c r="G17" s="8"/>
      <c r="H17" s="8"/>
      <c r="I17" s="8"/>
    </row>
    <row r="18" customFormat="false" ht="22.35" hidden="false" customHeight="false" outlineLevel="0" collapsed="false">
      <c r="A18" s="77" t="s">
        <v>298</v>
      </c>
      <c r="B18" s="77" t="s">
        <v>299</v>
      </c>
      <c r="C18" s="77" t="s">
        <v>17</v>
      </c>
      <c r="D18" s="77"/>
      <c r="E18" s="77"/>
      <c r="F18" s="77"/>
      <c r="G18" s="77"/>
      <c r="H18" s="77"/>
      <c r="I18" s="77" t="s">
        <v>290</v>
      </c>
    </row>
    <row r="19" customFormat="false" ht="15" hidden="false" customHeight="false" outlineLevel="0" collapsed="false">
      <c r="A19" s="114" t="n">
        <v>0</v>
      </c>
      <c r="B19" s="111" t="n">
        <v>100</v>
      </c>
      <c r="C19" s="110" t="n">
        <v>1.49</v>
      </c>
    </row>
    <row r="20" customFormat="false" ht="15" hidden="false" customHeight="false" outlineLevel="0" collapsed="false">
      <c r="A20" s="114" t="n">
        <v>5</v>
      </c>
      <c r="B20" s="111" t="n">
        <v>130</v>
      </c>
      <c r="C20" s="110" t="n">
        <v>1.45</v>
      </c>
    </row>
    <row r="21" customFormat="false" ht="15" hidden="false" customHeight="false" outlineLevel="0" collapsed="false">
      <c r="A21" s="114" t="n">
        <v>6</v>
      </c>
      <c r="B21" s="111" t="n">
        <v>150</v>
      </c>
      <c r="C21" s="110" t="n">
        <v>1.45</v>
      </c>
    </row>
    <row r="22" customFormat="false" ht="15" hidden="false" customHeight="false" outlineLevel="0" collapsed="false">
      <c r="A22" s="114" t="n">
        <v>7</v>
      </c>
      <c r="B22" s="111" t="n">
        <v>195</v>
      </c>
      <c r="C22" s="110" t="n">
        <v>1.4</v>
      </c>
    </row>
    <row r="23" customFormat="false" ht="15" hidden="false" customHeight="false" outlineLevel="0" collapsed="false">
      <c r="A23" s="83" t="s">
        <v>300</v>
      </c>
      <c r="B23" s="111" t="n">
        <v>9</v>
      </c>
    </row>
    <row r="24" customFormat="false" ht="15" hidden="false" customHeight="false" outlineLevel="0" collapsed="false">
      <c r="A24" s="83" t="s">
        <v>301</v>
      </c>
      <c r="B24" s="110" t="n">
        <v>1.4</v>
      </c>
      <c r="C24" s="110" t="n">
        <v>1.45</v>
      </c>
      <c r="D24" s="110" t="n">
        <v>1.49</v>
      </c>
    </row>
    <row r="25" customFormat="false" ht="15" hidden="false" customHeight="false" outlineLevel="0" collapsed="false">
      <c r="A25" s="83" t="s">
        <v>302</v>
      </c>
      <c r="B25" s="114" t="n">
        <v>6.5</v>
      </c>
      <c r="C25" s="114" t="n">
        <v>5</v>
      </c>
      <c r="D25" s="114" t="n">
        <v>3.5</v>
      </c>
    </row>
    <row r="27" customFormat="false" ht="15" hidden="false" customHeight="false" outlineLevel="0" collapsed="false">
      <c r="A27" s="8" t="s">
        <v>303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83" t="s">
        <v>304</v>
      </c>
      <c r="B28" s="115" t="n">
        <v>4.331</v>
      </c>
    </row>
    <row r="29" customFormat="false" ht="15" hidden="false" customHeight="false" outlineLevel="0" collapsed="false">
      <c r="A29" s="83" t="s">
        <v>305</v>
      </c>
      <c r="B29" s="115" t="n">
        <v>21.655</v>
      </c>
    </row>
    <row r="30" customFormat="false" ht="15" hidden="false" customHeight="false" outlineLevel="0" collapsed="false">
      <c r="A30" s="83" t="s">
        <v>306</v>
      </c>
      <c r="B30" s="111" t="n">
        <v>4</v>
      </c>
    </row>
    <row r="31" customFormat="false" ht="15" hidden="false" customHeight="false" outlineLevel="0" collapsed="false">
      <c r="A31" s="83" t="s">
        <v>307</v>
      </c>
      <c r="B31" s="111" t="n">
        <v>21</v>
      </c>
    </row>
    <row r="32" customFormat="false" ht="15" hidden="false" customHeight="false" outlineLevel="0" collapsed="false">
      <c r="A32" s="83" t="s">
        <v>308</v>
      </c>
      <c r="B32" s="116" t="n">
        <v>30.4375</v>
      </c>
    </row>
    <row r="33" customFormat="false" ht="15" hidden="false" customHeight="false" outlineLevel="0" collapsed="false">
      <c r="A33" s="83" t="s">
        <v>309</v>
      </c>
      <c r="B33" s="110" t="n">
        <v>1.45</v>
      </c>
    </row>
    <row r="35" customFormat="false" ht="15" hidden="false" customHeight="false" outlineLevel="0" collapsed="false">
      <c r="A35" s="8" t="s">
        <v>310</v>
      </c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83" t="s">
        <v>311</v>
      </c>
      <c r="B36" s="117" t="n">
        <v>46259</v>
      </c>
      <c r="I36" s="81"/>
    </row>
    <row r="37" customFormat="false" ht="15" hidden="false" customHeight="false" outlineLevel="0" collapsed="false">
      <c r="A37" s="83" t="s">
        <v>312</v>
      </c>
      <c r="B37" s="117" t="n">
        <v>45597</v>
      </c>
      <c r="I37" s="81"/>
    </row>
    <row r="38" customFormat="false" ht="15" hidden="false" customHeight="false" outlineLevel="0" collapsed="false">
      <c r="A38" s="83" t="s">
        <v>313</v>
      </c>
      <c r="B38" s="117" t="n">
        <v>46259</v>
      </c>
      <c r="I38" s="81" t="s">
        <v>314</v>
      </c>
    </row>
    <row r="39" customFormat="false" ht="15" hidden="false" customHeight="false" outlineLevel="0" collapsed="false">
      <c r="A39" s="83" t="s">
        <v>315</v>
      </c>
      <c r="B39" s="110" t="n">
        <v>1.25</v>
      </c>
      <c r="I39" s="81"/>
    </row>
    <row r="40" customFormat="false" ht="15" hidden="false" customHeight="false" outlineLevel="0" collapsed="false">
      <c r="A40" s="83" t="s">
        <v>316</v>
      </c>
      <c r="B40" s="111" t="n">
        <v>3</v>
      </c>
      <c r="I40" s="81" t="s">
        <v>317</v>
      </c>
    </row>
    <row r="41" customFormat="false" ht="15" hidden="false" customHeight="false" outlineLevel="0" collapsed="false">
      <c r="A41" s="83" t="s">
        <v>318</v>
      </c>
      <c r="B41" s="112" t="n">
        <v>30000</v>
      </c>
      <c r="I41" s="81" t="s">
        <v>319</v>
      </c>
    </row>
    <row r="42" customFormat="false" ht="15" hidden="false" customHeight="false" outlineLevel="0" collapsed="false">
      <c r="A42" s="83" t="s">
        <v>320</v>
      </c>
      <c r="B42" s="111" t="n">
        <v>30</v>
      </c>
      <c r="I42" s="81" t="s">
        <v>321</v>
      </c>
    </row>
    <row r="43" customFormat="false" ht="15" hidden="false" customHeight="false" outlineLevel="0" collapsed="false">
      <c r="A43" s="83" t="s">
        <v>322</v>
      </c>
      <c r="B43" s="111" t="n">
        <v>2</v>
      </c>
      <c r="I43" s="81" t="s">
        <v>323</v>
      </c>
    </row>
    <row r="44" customFormat="false" ht="15" hidden="false" customHeight="false" outlineLevel="0" collapsed="false">
      <c r="A44" s="83" t="s">
        <v>324</v>
      </c>
      <c r="B44" s="111" t="n">
        <v>5</v>
      </c>
      <c r="I44" s="81" t="s">
        <v>325</v>
      </c>
    </row>
    <row r="47" customFormat="false" ht="15" hidden="false" customHeight="false" outlineLevel="0" collapsed="false">
      <c r="A47" s="8" t="s">
        <v>326</v>
      </c>
      <c r="B47" s="8"/>
      <c r="C47" s="8"/>
      <c r="D47" s="8"/>
      <c r="E47" s="8"/>
      <c r="F47" s="8"/>
      <c r="G47" s="8"/>
      <c r="H47" s="8"/>
      <c r="I47" s="8"/>
    </row>
    <row r="48" customFormat="false" ht="15" hidden="false" customHeight="false" outlineLevel="0" collapsed="false">
      <c r="A48" s="77" t="s">
        <v>327</v>
      </c>
      <c r="B48" s="77" t="s">
        <v>68</v>
      </c>
      <c r="C48" s="77"/>
      <c r="D48" s="77"/>
      <c r="E48" s="77"/>
      <c r="F48" s="77"/>
      <c r="G48" s="77"/>
      <c r="H48" s="77"/>
      <c r="I48" s="77" t="s">
        <v>290</v>
      </c>
    </row>
    <row r="49" customFormat="false" ht="15" hidden="false" customHeight="false" outlineLevel="0" collapsed="false">
      <c r="A49" s="83" t="s">
        <v>328</v>
      </c>
      <c r="B49" s="118" t="n">
        <v>0.85</v>
      </c>
      <c r="I49" s="81" t="s">
        <v>329</v>
      </c>
    </row>
    <row r="50" customFormat="false" ht="15" hidden="false" customHeight="false" outlineLevel="0" collapsed="false">
      <c r="A50" s="83" t="s">
        <v>330</v>
      </c>
      <c r="B50" s="118" t="n">
        <v>1.15</v>
      </c>
      <c r="I50" s="81" t="s">
        <v>331</v>
      </c>
    </row>
    <row r="51" customFormat="false" ht="15" hidden="false" customHeight="false" outlineLevel="0" collapsed="false">
      <c r="A51" s="83" t="s">
        <v>332</v>
      </c>
      <c r="B51" s="119" t="n">
        <v>0.5</v>
      </c>
      <c r="I51" s="81" t="s">
        <v>333</v>
      </c>
    </row>
    <row r="52" customFormat="false" ht="15" hidden="false" customHeight="false" outlineLevel="0" collapsed="false">
      <c r="A52" s="83" t="s">
        <v>334</v>
      </c>
      <c r="B52" s="119" t="n">
        <v>0.2</v>
      </c>
      <c r="I52" s="81" t="s">
        <v>335</v>
      </c>
    </row>
    <row r="54" customFormat="false" ht="15" hidden="false" customHeight="false" outlineLevel="0" collapsed="false">
      <c r="A54" s="81" t="s">
        <v>336</v>
      </c>
    </row>
    <row r="57" customFormat="false" ht="15" hidden="false" customHeight="false" outlineLevel="0" collapsed="false">
      <c r="A57" s="8" t="s">
        <v>337</v>
      </c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77" t="s">
        <v>71</v>
      </c>
      <c r="B58" s="77" t="s">
        <v>338</v>
      </c>
      <c r="C58" s="77" t="s">
        <v>339</v>
      </c>
      <c r="D58" s="77" t="s">
        <v>340</v>
      </c>
      <c r="E58" s="77" t="s">
        <v>341</v>
      </c>
      <c r="F58" s="77" t="s">
        <v>342</v>
      </c>
      <c r="G58" s="77"/>
      <c r="H58" s="77"/>
      <c r="I58" s="77"/>
    </row>
    <row r="59" customFormat="false" ht="15" hidden="false" customHeight="false" outlineLevel="0" collapsed="false">
      <c r="A59" s="83" t="s">
        <v>240</v>
      </c>
      <c r="B59" s="120" t="s">
        <v>343</v>
      </c>
      <c r="C59" s="120" t="s">
        <v>344</v>
      </c>
      <c r="D59" s="120" t="s">
        <v>344</v>
      </c>
      <c r="E59" s="120" t="s">
        <v>343</v>
      </c>
      <c r="F59" s="87" t="n">
        <f aca="false">COUNTIF('Historical Data'!$D$2:$D$9,A59)</f>
        <v>2</v>
      </c>
    </row>
    <row r="60" customFormat="false" ht="15" hidden="false" customHeight="false" outlineLevel="0" collapsed="false">
      <c r="A60" s="83" t="s">
        <v>197</v>
      </c>
      <c r="B60" s="120" t="s">
        <v>343</v>
      </c>
      <c r="C60" s="120" t="s">
        <v>343</v>
      </c>
      <c r="D60" s="120" t="s">
        <v>343</v>
      </c>
      <c r="E60" s="120" t="s">
        <v>344</v>
      </c>
      <c r="F60" s="87" t="n">
        <f aca="false">COUNTIF('Historical Data'!$D$2:$D$9,A60)</f>
        <v>1</v>
      </c>
    </row>
    <row r="61" customFormat="false" ht="15" hidden="false" customHeight="false" outlineLevel="0" collapsed="false">
      <c r="A61" s="83" t="s">
        <v>254</v>
      </c>
      <c r="B61" s="120" t="s">
        <v>344</v>
      </c>
      <c r="C61" s="120" t="s">
        <v>343</v>
      </c>
      <c r="D61" s="120" t="s">
        <v>343</v>
      </c>
      <c r="E61" s="120" t="s">
        <v>343</v>
      </c>
      <c r="F61" s="87" t="n">
        <f aca="false">COUNTIF('Historical Data'!$D$2:$D$9,A61)</f>
        <v>1</v>
      </c>
    </row>
    <row r="62" customFormat="false" ht="15" hidden="false" customHeight="false" outlineLevel="0" collapsed="false">
      <c r="A62" s="83" t="s">
        <v>260</v>
      </c>
      <c r="B62" s="120" t="s">
        <v>344</v>
      </c>
      <c r="C62" s="120" t="s">
        <v>343</v>
      </c>
      <c r="D62" s="120" t="s">
        <v>343</v>
      </c>
      <c r="E62" s="120" t="s">
        <v>343</v>
      </c>
      <c r="F62" s="87" t="n">
        <f aca="false">COUNTIF('Historical Data'!$D$2:$D$9,A62)</f>
        <v>1</v>
      </c>
    </row>
    <row r="63" customFormat="false" ht="15" hidden="false" customHeight="false" outlineLevel="0" collapsed="false">
      <c r="A63" s="83" t="s">
        <v>345</v>
      </c>
      <c r="B63" s="120" t="s">
        <v>343</v>
      </c>
      <c r="C63" s="120" t="s">
        <v>343</v>
      </c>
      <c r="D63" s="120" t="s">
        <v>343</v>
      </c>
      <c r="E63" s="120" t="s">
        <v>343</v>
      </c>
      <c r="F63" s="87" t="n">
        <f aca="false">COUNTIF('Historical Data'!$D$2:$D$9,A63)</f>
        <v>0</v>
      </c>
    </row>
    <row r="64" customFormat="false" ht="15" hidden="false" customHeight="false" outlineLevel="0" collapsed="false">
      <c r="A64" s="83" t="s">
        <v>266</v>
      </c>
      <c r="B64" s="120" t="s">
        <v>344</v>
      </c>
      <c r="C64" s="120" t="s">
        <v>344</v>
      </c>
      <c r="D64" s="120" t="s">
        <v>343</v>
      </c>
      <c r="E64" s="120" t="s">
        <v>343</v>
      </c>
      <c r="F64" s="87" t="n">
        <f aca="false">COUNTIF('Historical Data'!$D$2:$D$9,A64)</f>
        <v>1</v>
      </c>
    </row>
    <row r="65" customFormat="false" ht="15" hidden="false" customHeight="false" outlineLevel="0" collapsed="false">
      <c r="A65" s="83" t="s">
        <v>272</v>
      </c>
      <c r="B65" s="120" t="s">
        <v>344</v>
      </c>
      <c r="C65" s="120" t="s">
        <v>344</v>
      </c>
      <c r="D65" s="120" t="s">
        <v>343</v>
      </c>
      <c r="E65" s="120" t="s">
        <v>343</v>
      </c>
      <c r="F65" s="87" t="n">
        <f aca="false">COUNTIF('Historical Data'!$D$2:$D$9,A65)</f>
        <v>1</v>
      </c>
    </row>
    <row r="66" customFormat="false" ht="15" hidden="false" customHeight="false" outlineLevel="0" collapsed="false">
      <c r="A66" s="83" t="s">
        <v>346</v>
      </c>
      <c r="B66" s="120" t="s">
        <v>344</v>
      </c>
      <c r="C66" s="120" t="s">
        <v>344</v>
      </c>
      <c r="D66" s="120" t="s">
        <v>343</v>
      </c>
      <c r="E66" s="120" t="s">
        <v>343</v>
      </c>
      <c r="F66" s="87" t="n">
        <f aca="false">COUNTIF('Historical Data'!$D$2:$D$9,A66)</f>
        <v>0</v>
      </c>
    </row>
    <row r="67" customFormat="false" ht="15" hidden="false" customHeight="false" outlineLevel="0" collapsed="false">
      <c r="A67" s="83" t="s">
        <v>347</v>
      </c>
      <c r="B67" s="120" t="s">
        <v>343</v>
      </c>
      <c r="C67" s="120" t="s">
        <v>344</v>
      </c>
      <c r="D67" s="120" t="s">
        <v>344</v>
      </c>
      <c r="E67" s="120" t="s">
        <v>343</v>
      </c>
      <c r="F67" s="87" t="n">
        <f aca="false">COUNTIF('Historical Data'!$D$2:$D$9,A67)</f>
        <v>0</v>
      </c>
    </row>
    <row r="68" customFormat="false" ht="15" hidden="false" customHeight="false" outlineLevel="0" collapsed="false">
      <c r="A68" s="83" t="s">
        <v>281</v>
      </c>
      <c r="B68" s="120" t="s">
        <v>343</v>
      </c>
      <c r="C68" s="120" t="s">
        <v>344</v>
      </c>
      <c r="D68" s="120" t="s">
        <v>344</v>
      </c>
      <c r="E68" s="120" t="s">
        <v>343</v>
      </c>
      <c r="F68" s="87" t="n">
        <f aca="false">COUNTIF('Historical Data'!$D$2:$D$9,A68)</f>
        <v>1</v>
      </c>
    </row>
    <row r="69" customFormat="false" ht="15" hidden="false" customHeight="false" outlineLevel="0" collapsed="false">
      <c r="A69" s="83" t="s">
        <v>348</v>
      </c>
      <c r="B69" s="120" t="s">
        <v>344</v>
      </c>
      <c r="C69" s="120" t="s">
        <v>343</v>
      </c>
      <c r="D69" s="120" t="s">
        <v>343</v>
      </c>
      <c r="E69" s="120" t="s">
        <v>343</v>
      </c>
      <c r="F69" s="87" t="n">
        <f aca="false">COUNTIF('Historical Data'!$D$2:$D$9,A69)</f>
        <v>0</v>
      </c>
    </row>
  </sheetData>
  <mergeCells count="6">
    <mergeCell ref="A3:I3"/>
    <mergeCell ref="A17:I17"/>
    <mergeCell ref="A27:I27"/>
    <mergeCell ref="A35:I35"/>
    <mergeCell ref="A47:I47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5" min="5" style="0" width="44"/>
    <col collapsed="false" customWidth="true" hidden="false" outlineLevel="0" max="7" min="7" style="0" width="40"/>
    <col collapsed="false" customWidth="true" hidden="false" outlineLevel="0" max="9" min="9" style="0" width="10"/>
    <col collapsed="false" customWidth="true" hidden="false" outlineLevel="0" max="11" min="11" style="0" width="14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9" t="s">
        <v>204</v>
      </c>
      <c r="B1" s="9" t="s">
        <v>46</v>
      </c>
      <c r="C1" s="9" t="s">
        <v>349</v>
      </c>
      <c r="E1" s="9" t="s">
        <v>350</v>
      </c>
      <c r="G1" s="9" t="s">
        <v>351</v>
      </c>
      <c r="K1" s="9" t="s">
        <v>352</v>
      </c>
      <c r="M1" s="9" t="s">
        <v>353</v>
      </c>
    </row>
    <row r="2" customFormat="false" ht="15" hidden="false" customHeight="false" outlineLevel="0" collapsed="false">
      <c r="A2" s="0" t="s">
        <v>354</v>
      </c>
      <c r="B2" s="0" t="s">
        <v>355</v>
      </c>
      <c r="C2" s="0" t="s">
        <v>356</v>
      </c>
      <c r="E2" s="0" t="s">
        <v>357</v>
      </c>
      <c r="G2" s="0" t="s">
        <v>358</v>
      </c>
      <c r="K2" s="105" t="n">
        <v>45292</v>
      </c>
      <c r="M2" s="0" t="s">
        <v>240</v>
      </c>
    </row>
    <row r="3" customFormat="false" ht="15" hidden="false" customHeight="false" outlineLevel="0" collapsed="false">
      <c r="A3" s="0" t="s">
        <v>359</v>
      </c>
      <c r="B3" s="0" t="s">
        <v>360</v>
      </c>
      <c r="C3" s="0" t="s">
        <v>356</v>
      </c>
      <c r="E3" s="0" t="s">
        <v>361</v>
      </c>
      <c r="G3" s="0" t="s">
        <v>355</v>
      </c>
      <c r="K3" s="105" t="n">
        <v>45306</v>
      </c>
      <c r="M3" s="0" t="s">
        <v>197</v>
      </c>
    </row>
    <row r="4" customFormat="false" ht="15" hidden="false" customHeight="false" outlineLevel="0" collapsed="false">
      <c r="A4" s="0" t="s">
        <v>362</v>
      </c>
      <c r="B4" s="0" t="s">
        <v>363</v>
      </c>
      <c r="C4" s="0" t="s">
        <v>356</v>
      </c>
      <c r="E4" s="0" t="s">
        <v>364</v>
      </c>
      <c r="G4" s="0" t="s">
        <v>360</v>
      </c>
      <c r="K4" s="105" t="n">
        <v>45341</v>
      </c>
      <c r="M4" s="0" t="s">
        <v>254</v>
      </c>
    </row>
    <row r="5" customFormat="false" ht="15" hidden="false" customHeight="false" outlineLevel="0" collapsed="false">
      <c r="A5" s="0" t="s">
        <v>365</v>
      </c>
      <c r="B5" s="0" t="s">
        <v>366</v>
      </c>
      <c r="C5" s="0" t="s">
        <v>356</v>
      </c>
      <c r="E5" s="0" t="s">
        <v>367</v>
      </c>
      <c r="G5" s="0" t="s">
        <v>363</v>
      </c>
      <c r="K5" s="105" t="n">
        <v>45439</v>
      </c>
      <c r="M5" s="0" t="s">
        <v>260</v>
      </c>
    </row>
    <row r="6" customFormat="false" ht="15" hidden="false" customHeight="false" outlineLevel="0" collapsed="false">
      <c r="A6" s="0" t="s">
        <v>368</v>
      </c>
      <c r="B6" s="0" t="s">
        <v>369</v>
      </c>
      <c r="C6" s="0" t="s">
        <v>370</v>
      </c>
      <c r="E6" s="0" t="s">
        <v>371</v>
      </c>
      <c r="G6" s="0" t="s">
        <v>372</v>
      </c>
      <c r="K6" s="105" t="n">
        <v>45462</v>
      </c>
      <c r="M6" s="0" t="s">
        <v>345</v>
      </c>
    </row>
    <row r="7" customFormat="false" ht="15" hidden="false" customHeight="false" outlineLevel="0" collapsed="false">
      <c r="A7" s="0" t="s">
        <v>373</v>
      </c>
      <c r="B7" s="0" t="s">
        <v>374</v>
      </c>
      <c r="C7" s="0" t="s">
        <v>370</v>
      </c>
      <c r="E7" s="0" t="s">
        <v>375</v>
      </c>
      <c r="G7" s="0" t="s">
        <v>376</v>
      </c>
      <c r="K7" s="105" t="n">
        <v>45477</v>
      </c>
      <c r="M7" s="0" t="s">
        <v>266</v>
      </c>
    </row>
    <row r="8" customFormat="false" ht="15" hidden="false" customHeight="false" outlineLevel="0" collapsed="false">
      <c r="A8" s="0" t="s">
        <v>256</v>
      </c>
      <c r="B8" s="0" t="s">
        <v>377</v>
      </c>
      <c r="C8" s="0" t="s">
        <v>378</v>
      </c>
      <c r="E8" s="0" t="s">
        <v>379</v>
      </c>
      <c r="G8" s="0" t="s">
        <v>380</v>
      </c>
      <c r="K8" s="105" t="n">
        <v>45537</v>
      </c>
      <c r="M8" s="0" t="s">
        <v>272</v>
      </c>
    </row>
    <row r="9" customFormat="false" ht="15" hidden="false" customHeight="false" outlineLevel="0" collapsed="false">
      <c r="A9" s="0" t="s">
        <v>381</v>
      </c>
      <c r="B9" s="0" t="s">
        <v>382</v>
      </c>
      <c r="C9" s="0" t="s">
        <v>378</v>
      </c>
      <c r="E9" s="0" t="s">
        <v>383</v>
      </c>
      <c r="G9" s="0" t="s">
        <v>384</v>
      </c>
      <c r="K9" s="105" t="n">
        <v>45579</v>
      </c>
      <c r="M9" s="0" t="s">
        <v>346</v>
      </c>
    </row>
    <row r="10" customFormat="false" ht="15" hidden="false" customHeight="false" outlineLevel="0" collapsed="false">
      <c r="A10" s="0" t="s">
        <v>385</v>
      </c>
      <c r="B10" s="0" t="s">
        <v>386</v>
      </c>
      <c r="C10" s="0" t="s">
        <v>378</v>
      </c>
      <c r="E10" s="0" t="s">
        <v>387</v>
      </c>
      <c r="G10" s="0" t="s">
        <v>388</v>
      </c>
      <c r="K10" s="105" t="n">
        <v>45607</v>
      </c>
      <c r="M10" s="0" t="s">
        <v>347</v>
      </c>
    </row>
    <row r="11" customFormat="false" ht="15" hidden="false" customHeight="false" outlineLevel="0" collapsed="false">
      <c r="A11" s="0" t="s">
        <v>389</v>
      </c>
      <c r="B11" s="0" t="s">
        <v>390</v>
      </c>
      <c r="C11" s="0" t="s">
        <v>391</v>
      </c>
      <c r="E11" s="0" t="s">
        <v>392</v>
      </c>
      <c r="G11" s="0" t="s">
        <v>393</v>
      </c>
      <c r="K11" s="105" t="n">
        <v>45624</v>
      </c>
      <c r="M11" s="0" t="s">
        <v>281</v>
      </c>
    </row>
    <row r="12" customFormat="false" ht="15" hidden="false" customHeight="false" outlineLevel="0" collapsed="false">
      <c r="A12" s="0" t="s">
        <v>394</v>
      </c>
      <c r="B12" s="0" t="s">
        <v>384</v>
      </c>
      <c r="C12" s="0" t="s">
        <v>391</v>
      </c>
      <c r="E12" s="0" t="s">
        <v>395</v>
      </c>
      <c r="G12" s="0" t="s">
        <v>396</v>
      </c>
      <c r="K12" s="105" t="n">
        <v>45651</v>
      </c>
      <c r="M12" s="0" t="s">
        <v>348</v>
      </c>
    </row>
    <row r="13" customFormat="false" ht="15" hidden="false" customHeight="false" outlineLevel="0" collapsed="false">
      <c r="A13" s="0" t="s">
        <v>397</v>
      </c>
      <c r="B13" s="0" t="s">
        <v>398</v>
      </c>
      <c r="C13" s="0" t="s">
        <v>391</v>
      </c>
      <c r="E13" s="0" t="s">
        <v>399</v>
      </c>
      <c r="G13" s="0" t="s">
        <v>400</v>
      </c>
      <c r="K13" s="105" t="n">
        <v>45658</v>
      </c>
    </row>
    <row r="14" customFormat="false" ht="15" hidden="false" customHeight="false" outlineLevel="0" collapsed="false">
      <c r="A14" s="0" t="s">
        <v>401</v>
      </c>
      <c r="B14" s="0" t="s">
        <v>402</v>
      </c>
      <c r="C14" s="0" t="s">
        <v>391</v>
      </c>
      <c r="E14" s="0" t="s">
        <v>403</v>
      </c>
      <c r="G14" s="0" t="s">
        <v>404</v>
      </c>
      <c r="K14" s="105" t="n">
        <v>45677</v>
      </c>
    </row>
    <row r="15" customFormat="false" ht="15" hidden="false" customHeight="false" outlineLevel="0" collapsed="false">
      <c r="A15" s="0" t="s">
        <v>405</v>
      </c>
      <c r="B15" s="0" t="s">
        <v>406</v>
      </c>
      <c r="C15" s="0" t="s">
        <v>391</v>
      </c>
      <c r="E15" s="0" t="s">
        <v>407</v>
      </c>
      <c r="G15" s="0" t="s">
        <v>408</v>
      </c>
      <c r="K15" s="105" t="n">
        <v>45705</v>
      </c>
    </row>
    <row r="16" customFormat="false" ht="15" hidden="false" customHeight="false" outlineLevel="0" collapsed="false">
      <c r="A16" s="0" t="s">
        <v>409</v>
      </c>
      <c r="B16" s="0" t="s">
        <v>404</v>
      </c>
      <c r="C16" s="0" t="s">
        <v>391</v>
      </c>
      <c r="E16" s="0" t="s">
        <v>410</v>
      </c>
      <c r="G16" s="0" t="s">
        <v>47</v>
      </c>
      <c r="K16" s="105" t="n">
        <v>45803</v>
      </c>
    </row>
    <row r="17" customFormat="false" ht="15" hidden="false" customHeight="false" outlineLevel="0" collapsed="false">
      <c r="A17" s="0" t="s">
        <v>411</v>
      </c>
      <c r="B17" s="0" t="s">
        <v>412</v>
      </c>
      <c r="C17" s="0" t="s">
        <v>391</v>
      </c>
      <c r="E17" s="0" t="s">
        <v>413</v>
      </c>
      <c r="G17" s="0" t="s">
        <v>414</v>
      </c>
      <c r="K17" s="105" t="n">
        <v>45827</v>
      </c>
    </row>
    <row r="18" customFormat="false" ht="15" hidden="false" customHeight="false" outlineLevel="0" collapsed="false">
      <c r="A18" s="0" t="s">
        <v>415</v>
      </c>
      <c r="B18" s="0" t="s">
        <v>416</v>
      </c>
      <c r="C18" s="0" t="s">
        <v>391</v>
      </c>
      <c r="E18" s="0" t="s">
        <v>417</v>
      </c>
      <c r="G18" s="0" t="s">
        <v>418</v>
      </c>
      <c r="K18" s="105" t="n">
        <v>45842</v>
      </c>
    </row>
    <row r="19" customFormat="false" ht="15" hidden="false" customHeight="false" outlineLevel="0" collapsed="false">
      <c r="A19" s="0" t="s">
        <v>419</v>
      </c>
      <c r="B19" s="0" t="s">
        <v>420</v>
      </c>
      <c r="C19" s="0" t="s">
        <v>391</v>
      </c>
      <c r="E19" s="0" t="s">
        <v>421</v>
      </c>
      <c r="G19" s="0" t="s">
        <v>422</v>
      </c>
      <c r="K19" s="105" t="n">
        <v>45901</v>
      </c>
    </row>
    <row r="20" customFormat="false" ht="15" hidden="false" customHeight="false" outlineLevel="0" collapsed="false">
      <c r="A20" s="0" t="s">
        <v>423</v>
      </c>
      <c r="B20" s="0" t="s">
        <v>424</v>
      </c>
      <c r="C20" s="0" t="s">
        <v>391</v>
      </c>
      <c r="E20" s="0" t="s">
        <v>425</v>
      </c>
      <c r="G20" s="0" t="s">
        <v>426</v>
      </c>
      <c r="K20" s="105" t="n">
        <v>45943</v>
      </c>
    </row>
    <row r="21" customFormat="false" ht="15" hidden="false" customHeight="false" outlineLevel="0" collapsed="false">
      <c r="A21" s="0" t="s">
        <v>427</v>
      </c>
      <c r="B21" s="0" t="s">
        <v>428</v>
      </c>
      <c r="C21" s="0" t="s">
        <v>391</v>
      </c>
      <c r="E21" s="0" t="s">
        <v>429</v>
      </c>
      <c r="G21" s="0" t="s">
        <v>430</v>
      </c>
      <c r="K21" s="105" t="n">
        <v>45972</v>
      </c>
    </row>
    <row r="22" customFormat="false" ht="15" hidden="false" customHeight="false" outlineLevel="0" collapsed="false">
      <c r="A22" s="0" t="s">
        <v>431</v>
      </c>
      <c r="B22" s="0" t="s">
        <v>422</v>
      </c>
      <c r="C22" s="0" t="s">
        <v>391</v>
      </c>
      <c r="E22" s="0" t="s">
        <v>432</v>
      </c>
      <c r="G22" s="0" t="s">
        <v>424</v>
      </c>
      <c r="K22" s="105" t="n">
        <v>45988</v>
      </c>
    </row>
    <row r="23" customFormat="false" ht="15" hidden="false" customHeight="false" outlineLevel="0" collapsed="false">
      <c r="A23" s="0" t="s">
        <v>433</v>
      </c>
      <c r="B23" s="0" t="s">
        <v>434</v>
      </c>
      <c r="C23" s="0" t="s">
        <v>391</v>
      </c>
      <c r="E23" s="0" t="s">
        <v>435</v>
      </c>
      <c r="G23" s="0" t="s">
        <v>390</v>
      </c>
      <c r="K23" s="105" t="n">
        <v>46016</v>
      </c>
    </row>
    <row r="24" customFormat="false" ht="15" hidden="false" customHeight="false" outlineLevel="0" collapsed="false">
      <c r="A24" s="0" t="s">
        <v>436</v>
      </c>
      <c r="B24" s="0" t="s">
        <v>437</v>
      </c>
      <c r="C24" s="0" t="s">
        <v>391</v>
      </c>
      <c r="E24" s="0" t="s">
        <v>438</v>
      </c>
      <c r="G24" s="0" t="s">
        <v>439</v>
      </c>
      <c r="K24" s="105" t="n">
        <v>46023</v>
      </c>
    </row>
    <row r="25" customFormat="false" ht="15" hidden="false" customHeight="false" outlineLevel="0" collapsed="false">
      <c r="A25" s="0" t="s">
        <v>440</v>
      </c>
      <c r="B25" s="0" t="s">
        <v>441</v>
      </c>
      <c r="C25" s="0" t="s">
        <v>391</v>
      </c>
      <c r="E25" s="0" t="s">
        <v>442</v>
      </c>
      <c r="G25" s="0" t="s">
        <v>366</v>
      </c>
      <c r="K25" s="105" t="n">
        <v>46041</v>
      </c>
    </row>
    <row r="26" customFormat="false" ht="15" hidden="false" customHeight="false" outlineLevel="0" collapsed="false">
      <c r="A26" s="0" t="s">
        <v>443</v>
      </c>
      <c r="B26" s="0" t="s">
        <v>444</v>
      </c>
      <c r="C26" s="0" t="s">
        <v>445</v>
      </c>
      <c r="E26" s="0" t="s">
        <v>446</v>
      </c>
      <c r="G26" s="0" t="s">
        <v>402</v>
      </c>
      <c r="K26" s="105" t="n">
        <v>46069</v>
      </c>
    </row>
    <row r="27" customFormat="false" ht="15" hidden="false" customHeight="false" outlineLevel="0" collapsed="false">
      <c r="A27" s="0" t="s">
        <v>248</v>
      </c>
      <c r="B27" s="0" t="s">
        <v>447</v>
      </c>
      <c r="C27" s="0" t="s">
        <v>445</v>
      </c>
      <c r="E27" s="0" t="s">
        <v>448</v>
      </c>
      <c r="G27" s="0" t="s">
        <v>449</v>
      </c>
      <c r="K27" s="105" t="n">
        <v>46167</v>
      </c>
    </row>
    <row r="28" customFormat="false" ht="15" hidden="false" customHeight="false" outlineLevel="0" collapsed="false">
      <c r="A28" s="0" t="s">
        <v>450</v>
      </c>
      <c r="B28" s="0" t="s">
        <v>451</v>
      </c>
      <c r="C28" s="0" t="s">
        <v>445</v>
      </c>
      <c r="E28" s="0" t="s">
        <v>452</v>
      </c>
      <c r="G28" s="0" t="s">
        <v>377</v>
      </c>
      <c r="K28" s="105" t="n">
        <v>46192</v>
      </c>
    </row>
    <row r="29" customFormat="false" ht="15" hidden="false" customHeight="false" outlineLevel="0" collapsed="false">
      <c r="A29" s="0" t="s">
        <v>453</v>
      </c>
      <c r="B29" s="0" t="s">
        <v>372</v>
      </c>
      <c r="C29" s="0" t="s">
        <v>445</v>
      </c>
      <c r="E29" s="0" t="s">
        <v>454</v>
      </c>
      <c r="G29" s="0" t="s">
        <v>455</v>
      </c>
      <c r="K29" s="105" t="n">
        <v>46272</v>
      </c>
    </row>
    <row r="30" customFormat="false" ht="15" hidden="false" customHeight="false" outlineLevel="0" collapsed="false">
      <c r="A30" s="0" t="s">
        <v>456</v>
      </c>
      <c r="B30" s="0" t="s">
        <v>457</v>
      </c>
      <c r="C30" s="0" t="s">
        <v>445</v>
      </c>
      <c r="E30" s="0" t="s">
        <v>458</v>
      </c>
      <c r="G30" s="0" t="s">
        <v>459</v>
      </c>
      <c r="K30" s="105" t="n">
        <v>46307</v>
      </c>
    </row>
    <row r="31" customFormat="false" ht="15" hidden="false" customHeight="false" outlineLevel="0" collapsed="false">
      <c r="A31" s="0" t="s">
        <v>460</v>
      </c>
      <c r="B31" s="0" t="s">
        <v>408</v>
      </c>
      <c r="C31" s="0" t="s">
        <v>445</v>
      </c>
      <c r="E31" s="0" t="s">
        <v>461</v>
      </c>
      <c r="G31" s="0" t="s">
        <v>382</v>
      </c>
      <c r="K31" s="105" t="n">
        <v>46337</v>
      </c>
    </row>
    <row r="32" customFormat="false" ht="15" hidden="false" customHeight="false" outlineLevel="0" collapsed="false">
      <c r="A32" s="0" t="s">
        <v>462</v>
      </c>
      <c r="B32" s="0" t="s">
        <v>418</v>
      </c>
      <c r="C32" s="0" t="s">
        <v>445</v>
      </c>
      <c r="E32" s="0" t="s">
        <v>463</v>
      </c>
      <c r="G32" s="0" t="s">
        <v>464</v>
      </c>
      <c r="K32" s="105" t="n">
        <v>46352</v>
      </c>
    </row>
    <row r="33" customFormat="false" ht="15" hidden="false" customHeight="false" outlineLevel="0" collapsed="false">
      <c r="A33" s="0" t="s">
        <v>465</v>
      </c>
      <c r="B33" s="0" t="s">
        <v>466</v>
      </c>
      <c r="C33" s="0" t="s">
        <v>467</v>
      </c>
      <c r="E33" s="0" t="s">
        <v>468</v>
      </c>
      <c r="G33" s="0" t="s">
        <v>428</v>
      </c>
      <c r="K33" s="105" t="n">
        <v>46381</v>
      </c>
    </row>
    <row r="34" customFormat="false" ht="15" hidden="false" customHeight="false" outlineLevel="0" collapsed="false">
      <c r="A34" s="0" t="s">
        <v>469</v>
      </c>
      <c r="B34" s="0" t="s">
        <v>470</v>
      </c>
      <c r="C34" s="0" t="s">
        <v>467</v>
      </c>
      <c r="E34" s="0" t="s">
        <v>471</v>
      </c>
      <c r="G34" s="0" t="s">
        <v>437</v>
      </c>
      <c r="K34" s="105" t="n">
        <v>46388</v>
      </c>
    </row>
    <row r="35" customFormat="false" ht="15" hidden="false" customHeight="false" outlineLevel="0" collapsed="false">
      <c r="A35" s="0" t="s">
        <v>472</v>
      </c>
      <c r="B35" s="0" t="s">
        <v>396</v>
      </c>
      <c r="C35" s="0" t="s">
        <v>473</v>
      </c>
      <c r="E35" s="0" t="s">
        <v>474</v>
      </c>
      <c r="G35" s="0" t="s">
        <v>475</v>
      </c>
      <c r="K35" s="105" t="n">
        <v>46405</v>
      </c>
    </row>
    <row r="36" customFormat="false" ht="15" hidden="false" customHeight="false" outlineLevel="0" collapsed="false">
      <c r="A36" s="0" t="s">
        <v>476</v>
      </c>
      <c r="B36" s="0" t="s">
        <v>455</v>
      </c>
      <c r="C36" s="0" t="s">
        <v>473</v>
      </c>
      <c r="E36" s="0" t="s">
        <v>477</v>
      </c>
      <c r="G36" s="0" t="s">
        <v>478</v>
      </c>
      <c r="K36" s="105" t="n">
        <v>46433</v>
      </c>
    </row>
    <row r="37" customFormat="false" ht="15" hidden="false" customHeight="false" outlineLevel="0" collapsed="false">
      <c r="A37" s="0" t="s">
        <v>479</v>
      </c>
      <c r="B37" s="0" t="s">
        <v>439</v>
      </c>
      <c r="C37" s="0" t="s">
        <v>473</v>
      </c>
      <c r="E37" s="0" t="s">
        <v>480</v>
      </c>
      <c r="G37" s="0" t="s">
        <v>481</v>
      </c>
      <c r="K37" s="105" t="n">
        <v>46538</v>
      </c>
    </row>
    <row r="38" customFormat="false" ht="15" hidden="false" customHeight="false" outlineLevel="0" collapsed="false">
      <c r="A38" s="0" t="s">
        <v>482</v>
      </c>
      <c r="B38" s="0" t="s">
        <v>388</v>
      </c>
      <c r="C38" s="0" t="s">
        <v>473</v>
      </c>
      <c r="E38" s="0" t="s">
        <v>483</v>
      </c>
      <c r="G38" s="0" t="s">
        <v>484</v>
      </c>
      <c r="K38" s="105" t="n">
        <v>46573</v>
      </c>
    </row>
    <row r="39" customFormat="false" ht="15" hidden="false" customHeight="false" outlineLevel="0" collapsed="false">
      <c r="A39" s="0" t="s">
        <v>485</v>
      </c>
      <c r="B39" s="0" t="s">
        <v>380</v>
      </c>
      <c r="C39" s="0" t="s">
        <v>473</v>
      </c>
      <c r="E39" s="0" t="s">
        <v>486</v>
      </c>
      <c r="G39" s="0" t="s">
        <v>444</v>
      </c>
      <c r="K39" s="105" t="n">
        <v>46636</v>
      </c>
    </row>
    <row r="40" customFormat="false" ht="15" hidden="false" customHeight="false" outlineLevel="0" collapsed="false">
      <c r="A40" s="0" t="s">
        <v>487</v>
      </c>
      <c r="B40" s="0" t="s">
        <v>449</v>
      </c>
      <c r="C40" s="0" t="s">
        <v>473</v>
      </c>
      <c r="E40" s="0" t="s">
        <v>488</v>
      </c>
      <c r="G40" s="0" t="s">
        <v>398</v>
      </c>
      <c r="K40" s="105" t="n">
        <v>46671</v>
      </c>
    </row>
    <row r="41" customFormat="false" ht="15" hidden="false" customHeight="false" outlineLevel="0" collapsed="false">
      <c r="A41" s="0" t="s">
        <v>242</v>
      </c>
      <c r="B41" s="0" t="s">
        <v>47</v>
      </c>
      <c r="C41" s="0" t="s">
        <v>473</v>
      </c>
      <c r="E41" s="0" t="s">
        <v>489</v>
      </c>
      <c r="G41" s="0" t="s">
        <v>490</v>
      </c>
      <c r="K41" s="105" t="n">
        <v>46702</v>
      </c>
    </row>
    <row r="42" customFormat="false" ht="15" hidden="false" customHeight="false" outlineLevel="0" collapsed="false">
      <c r="A42" s="0" t="s">
        <v>491</v>
      </c>
      <c r="B42" s="0" t="s">
        <v>492</v>
      </c>
      <c r="C42" s="0" t="s">
        <v>473</v>
      </c>
      <c r="E42" s="0" t="s">
        <v>493</v>
      </c>
      <c r="G42" s="0" t="s">
        <v>441</v>
      </c>
      <c r="K42" s="105" t="n">
        <v>46716</v>
      </c>
    </row>
    <row r="43" customFormat="false" ht="15" hidden="false" customHeight="false" outlineLevel="0" collapsed="false">
      <c r="A43" s="0" t="s">
        <v>494</v>
      </c>
      <c r="B43" s="0" t="s">
        <v>495</v>
      </c>
      <c r="C43" s="0" t="s">
        <v>496</v>
      </c>
      <c r="E43" s="0" t="s">
        <v>497</v>
      </c>
      <c r="G43" s="0" t="s">
        <v>498</v>
      </c>
    </row>
    <row r="44" customFormat="false" ht="15" hidden="false" customHeight="false" outlineLevel="0" collapsed="false">
      <c r="A44" s="0" t="s">
        <v>499</v>
      </c>
      <c r="B44" s="0" t="s">
        <v>478</v>
      </c>
      <c r="C44" s="0" t="s">
        <v>496</v>
      </c>
      <c r="E44" s="0" t="s">
        <v>500</v>
      </c>
      <c r="G44" s="0" t="s">
        <v>492</v>
      </c>
    </row>
    <row r="45" customFormat="false" ht="15" hidden="false" customHeight="false" outlineLevel="0" collapsed="false">
      <c r="A45" s="0" t="s">
        <v>501</v>
      </c>
      <c r="B45" s="0" t="s">
        <v>475</v>
      </c>
      <c r="C45" s="0" t="s">
        <v>496</v>
      </c>
      <c r="E45" s="0" t="s">
        <v>502</v>
      </c>
      <c r="G45" s="0" t="s">
        <v>503</v>
      </c>
    </row>
    <row r="46" customFormat="false" ht="15" hidden="false" customHeight="false" outlineLevel="0" collapsed="false">
      <c r="A46" s="0" t="s">
        <v>504</v>
      </c>
      <c r="B46" s="0" t="s">
        <v>505</v>
      </c>
      <c r="C46" s="0" t="s">
        <v>496</v>
      </c>
      <c r="E46" s="0" t="s">
        <v>506</v>
      </c>
      <c r="G46" s="0" t="s">
        <v>507</v>
      </c>
    </row>
    <row r="47" customFormat="false" ht="15" hidden="false" customHeight="false" outlineLevel="0" collapsed="false">
      <c r="A47" s="0" t="s">
        <v>508</v>
      </c>
      <c r="B47" s="0" t="s">
        <v>464</v>
      </c>
      <c r="C47" s="0" t="s">
        <v>509</v>
      </c>
      <c r="E47" s="0" t="s">
        <v>510</v>
      </c>
      <c r="G47" s="0" t="s">
        <v>511</v>
      </c>
    </row>
    <row r="48" customFormat="false" ht="15" hidden="false" customHeight="false" outlineLevel="0" collapsed="false">
      <c r="A48" s="0" t="s">
        <v>268</v>
      </c>
      <c r="B48" s="0" t="s">
        <v>512</v>
      </c>
      <c r="C48" s="0" t="s">
        <v>509</v>
      </c>
      <c r="E48" s="0" t="s">
        <v>513</v>
      </c>
      <c r="G48" s="0" t="s">
        <v>374</v>
      </c>
    </row>
    <row r="49" customFormat="false" ht="15" hidden="false" customHeight="false" outlineLevel="0" collapsed="false">
      <c r="A49" s="0" t="s">
        <v>283</v>
      </c>
      <c r="B49" s="0" t="s">
        <v>400</v>
      </c>
      <c r="C49" s="0" t="s">
        <v>509</v>
      </c>
      <c r="E49" s="0" t="s">
        <v>514</v>
      </c>
      <c r="G49" s="0" t="s">
        <v>369</v>
      </c>
    </row>
    <row r="50" customFormat="false" ht="15" hidden="false" customHeight="false" outlineLevel="0" collapsed="false">
      <c r="A50" s="0" t="s">
        <v>262</v>
      </c>
      <c r="B50" s="0" t="s">
        <v>393</v>
      </c>
      <c r="C50" s="0" t="s">
        <v>509</v>
      </c>
      <c r="E50" s="0" t="s">
        <v>515</v>
      </c>
      <c r="G50" s="0" t="s">
        <v>512</v>
      </c>
    </row>
    <row r="51" customFormat="false" ht="15" hidden="false" customHeight="false" outlineLevel="0" collapsed="false">
      <c r="A51" s="0" t="s">
        <v>516</v>
      </c>
      <c r="B51" s="0" t="s">
        <v>498</v>
      </c>
      <c r="C51" s="0" t="s">
        <v>509</v>
      </c>
      <c r="E51" s="0" t="s">
        <v>517</v>
      </c>
      <c r="G51" s="0" t="s">
        <v>420</v>
      </c>
    </row>
    <row r="52" customFormat="false" ht="15" hidden="false" customHeight="false" outlineLevel="0" collapsed="false">
      <c r="A52" s="0" t="s">
        <v>518</v>
      </c>
      <c r="B52" s="0" t="s">
        <v>503</v>
      </c>
      <c r="C52" s="0" t="s">
        <v>509</v>
      </c>
      <c r="E52" s="0" t="s">
        <v>519</v>
      </c>
      <c r="G52" s="0" t="s">
        <v>406</v>
      </c>
    </row>
    <row r="53" customFormat="false" ht="15" hidden="false" customHeight="false" outlineLevel="0" collapsed="false">
      <c r="A53" s="0" t="s">
        <v>520</v>
      </c>
      <c r="B53" s="0" t="s">
        <v>376</v>
      </c>
      <c r="C53" s="0" t="s">
        <v>509</v>
      </c>
      <c r="E53" s="0" t="s">
        <v>521</v>
      </c>
      <c r="G53" s="0" t="s">
        <v>505</v>
      </c>
    </row>
    <row r="54" customFormat="false" ht="15" hidden="false" customHeight="false" outlineLevel="0" collapsed="false">
      <c r="A54" s="0" t="s">
        <v>277</v>
      </c>
      <c r="B54" s="0" t="s">
        <v>459</v>
      </c>
      <c r="C54" s="0" t="s">
        <v>509</v>
      </c>
      <c r="E54" s="0" t="s">
        <v>522</v>
      </c>
      <c r="G54" s="0" t="s">
        <v>412</v>
      </c>
    </row>
    <row r="55" customFormat="false" ht="15" hidden="false" customHeight="false" outlineLevel="0" collapsed="false">
      <c r="A55" s="0" t="s">
        <v>523</v>
      </c>
      <c r="B55" s="0" t="s">
        <v>484</v>
      </c>
      <c r="C55" s="0" t="s">
        <v>509</v>
      </c>
      <c r="E55" s="0" t="s">
        <v>524</v>
      </c>
      <c r="G55" s="0" t="s">
        <v>495</v>
      </c>
    </row>
    <row r="56" customFormat="false" ht="15" hidden="false" customHeight="false" outlineLevel="0" collapsed="false">
      <c r="A56" s="0" t="s">
        <v>525</v>
      </c>
      <c r="B56" s="0" t="s">
        <v>414</v>
      </c>
      <c r="C56" s="0" t="s">
        <v>509</v>
      </c>
      <c r="E56" s="0" t="s">
        <v>526</v>
      </c>
      <c r="G56" s="0" t="s">
        <v>527</v>
      </c>
    </row>
    <row r="57" customFormat="false" ht="15" hidden="false" customHeight="false" outlineLevel="0" collapsed="false">
      <c r="A57" s="0" t="s">
        <v>528</v>
      </c>
      <c r="B57" s="0" t="s">
        <v>529</v>
      </c>
      <c r="C57" s="0" t="s">
        <v>509</v>
      </c>
      <c r="E57" s="0" t="s">
        <v>530</v>
      </c>
      <c r="G57" s="0" t="s">
        <v>529</v>
      </c>
    </row>
    <row r="58" customFormat="false" ht="15" hidden="false" customHeight="false" outlineLevel="0" collapsed="false">
      <c r="A58" s="0" t="s">
        <v>531</v>
      </c>
      <c r="B58" s="0" t="s">
        <v>507</v>
      </c>
      <c r="C58" s="0" t="s">
        <v>509</v>
      </c>
      <c r="E58" s="0" t="s">
        <v>532</v>
      </c>
      <c r="G58" s="0" t="s">
        <v>386</v>
      </c>
    </row>
    <row r="59" customFormat="false" ht="15" hidden="false" customHeight="false" outlineLevel="0" collapsed="false">
      <c r="A59" s="0" t="s">
        <v>533</v>
      </c>
      <c r="B59" s="0" t="s">
        <v>490</v>
      </c>
      <c r="C59" s="0" t="s">
        <v>509</v>
      </c>
      <c r="E59" s="0" t="s">
        <v>534</v>
      </c>
      <c r="G59" s="0" t="s">
        <v>416</v>
      </c>
    </row>
    <row r="60" customFormat="false" ht="15" hidden="false" customHeight="false" outlineLevel="0" collapsed="false">
      <c r="A60" s="0" t="s">
        <v>535</v>
      </c>
      <c r="B60" s="0" t="s">
        <v>426</v>
      </c>
      <c r="C60" s="0" t="s">
        <v>509</v>
      </c>
      <c r="E60" s="0" t="s">
        <v>536</v>
      </c>
      <c r="G60" s="0" t="s">
        <v>434</v>
      </c>
    </row>
    <row r="61" customFormat="false" ht="15" hidden="false" customHeight="false" outlineLevel="0" collapsed="false">
      <c r="A61" s="0" t="s">
        <v>537</v>
      </c>
      <c r="B61" s="0" t="s">
        <v>527</v>
      </c>
      <c r="C61" s="0" t="s">
        <v>509</v>
      </c>
      <c r="E61" s="0" t="s">
        <v>538</v>
      </c>
      <c r="G61" s="0" t="s">
        <v>457</v>
      </c>
    </row>
    <row r="62" customFormat="false" ht="15" hidden="false" customHeight="false" outlineLevel="0" collapsed="false">
      <c r="A62" s="0" t="s">
        <v>539</v>
      </c>
      <c r="B62" s="0" t="s">
        <v>481</v>
      </c>
      <c r="C62" s="0" t="s">
        <v>540</v>
      </c>
      <c r="E62" s="0" t="s">
        <v>541</v>
      </c>
      <c r="G62" s="0" t="s">
        <v>447</v>
      </c>
    </row>
    <row r="63" customFormat="false" ht="15" hidden="false" customHeight="false" outlineLevel="0" collapsed="false">
      <c r="A63" s="0" t="s">
        <v>542</v>
      </c>
      <c r="B63" s="0" t="s">
        <v>430</v>
      </c>
      <c r="C63" s="0" t="s">
        <v>540</v>
      </c>
      <c r="E63" s="0" t="s">
        <v>543</v>
      </c>
      <c r="G63" s="0" t="s">
        <v>451</v>
      </c>
    </row>
    <row r="64" customFormat="false" ht="15" hidden="false" customHeight="false" outlineLevel="0" collapsed="false">
      <c r="A64" s="0" t="s">
        <v>544</v>
      </c>
      <c r="B64" s="0" t="s">
        <v>358</v>
      </c>
      <c r="C64" s="0" t="s">
        <v>540</v>
      </c>
      <c r="E64" s="0" t="s">
        <v>44</v>
      </c>
      <c r="G64" s="0" t="s">
        <v>466</v>
      </c>
    </row>
    <row r="65" customFormat="false" ht="15" hidden="false" customHeight="false" outlineLevel="0" collapsed="false">
      <c r="A65" s="0" t="s">
        <v>545</v>
      </c>
      <c r="B65" s="0" t="s">
        <v>511</v>
      </c>
      <c r="C65" s="0" t="s">
        <v>540</v>
      </c>
      <c r="E65" s="0" t="s">
        <v>546</v>
      </c>
      <c r="G65" s="0" t="s">
        <v>470</v>
      </c>
    </row>
    <row r="66" customFormat="false" ht="15" hidden="false" customHeight="false" outlineLevel="0" collapsed="false">
      <c r="E66" s="0" t="s">
        <v>547</v>
      </c>
      <c r="G66" s="0" t="s">
        <v>548</v>
      </c>
    </row>
    <row r="67" customFormat="false" ht="15" hidden="false" customHeight="false" outlineLevel="0" collapsed="false">
      <c r="E67" s="0" t="s">
        <v>549</v>
      </c>
      <c r="G67" s="0" t="s">
        <v>550</v>
      </c>
    </row>
    <row r="68" customFormat="false" ht="15" hidden="false" customHeight="false" outlineLevel="0" collapsed="false">
      <c r="E68" s="0" t="s">
        <v>551</v>
      </c>
    </row>
    <row r="69" customFormat="false" ht="15" hidden="false" customHeight="false" outlineLevel="0" collapsed="false">
      <c r="E69" s="0" t="s">
        <v>552</v>
      </c>
    </row>
    <row r="70" customFormat="false" ht="15" hidden="false" customHeight="false" outlineLevel="0" collapsed="false">
      <c r="E70" s="0" t="s">
        <v>553</v>
      </c>
    </row>
    <row r="71" customFormat="false" ht="15" hidden="false" customHeight="false" outlineLevel="0" collapsed="false">
      <c r="E71" s="0" t="s">
        <v>554</v>
      </c>
    </row>
    <row r="72" customFormat="false" ht="15" hidden="false" customHeight="false" outlineLevel="0" collapsed="false">
      <c r="E72" s="0" t="s">
        <v>555</v>
      </c>
    </row>
    <row r="73" customFormat="false" ht="15" hidden="false" customHeight="false" outlineLevel="0" collapsed="false">
      <c r="E73" s="0" t="s">
        <v>556</v>
      </c>
    </row>
    <row r="74" customFormat="false" ht="15" hidden="false" customHeight="false" outlineLevel="0" collapsed="false">
      <c r="E74" s="0" t="s">
        <v>557</v>
      </c>
    </row>
    <row r="75" customFormat="false" ht="15" hidden="false" customHeight="false" outlineLevel="0" collapsed="false">
      <c r="E75" s="0" t="s">
        <v>558</v>
      </c>
    </row>
    <row r="76" customFormat="false" ht="15" hidden="false" customHeight="false" outlineLevel="0" collapsed="false">
      <c r="E76" s="0" t="s">
        <v>559</v>
      </c>
    </row>
    <row r="77" customFormat="false" ht="15" hidden="false" customHeight="false" outlineLevel="0" collapsed="false">
      <c r="E77" s="0" t="s">
        <v>560</v>
      </c>
    </row>
    <row r="78" customFormat="false" ht="15" hidden="false" customHeight="false" outlineLevel="0" collapsed="false">
      <c r="E78" s="0" t="s">
        <v>561</v>
      </c>
    </row>
    <row r="79" customFormat="false" ht="15" hidden="false" customHeight="false" outlineLevel="0" collapsed="false">
      <c r="E79" s="0" t="s">
        <v>562</v>
      </c>
    </row>
    <row r="80" customFormat="false" ht="15" hidden="false" customHeight="false" outlineLevel="0" collapsed="false">
      <c r="E80" s="0" t="s">
        <v>563</v>
      </c>
    </row>
    <row r="81" customFormat="false" ht="15" hidden="false" customHeight="false" outlineLevel="0" collapsed="false">
      <c r="E81" s="0" t="s">
        <v>564</v>
      </c>
    </row>
    <row r="82" customFormat="false" ht="15" hidden="false" customHeight="false" outlineLevel="0" collapsed="false">
      <c r="E82" s="0" t="s">
        <v>565</v>
      </c>
    </row>
    <row r="83" customFormat="false" ht="15" hidden="false" customHeight="false" outlineLevel="0" collapsed="false">
      <c r="E83" s="0" t="s">
        <v>566</v>
      </c>
    </row>
    <row r="84" customFormat="false" ht="15" hidden="false" customHeight="false" outlineLevel="0" collapsed="false">
      <c r="E84" s="0" t="s">
        <v>567</v>
      </c>
    </row>
    <row r="85" customFormat="false" ht="15" hidden="false" customHeight="false" outlineLevel="0" collapsed="false">
      <c r="E85" s="0" t="s">
        <v>568</v>
      </c>
    </row>
    <row r="86" customFormat="false" ht="15" hidden="false" customHeight="false" outlineLevel="0" collapsed="false">
      <c r="E86" s="0" t="s">
        <v>569</v>
      </c>
    </row>
    <row r="87" customFormat="false" ht="15" hidden="false" customHeight="false" outlineLevel="0" collapsed="false">
      <c r="E87" s="0" t="s">
        <v>570</v>
      </c>
    </row>
    <row r="88" customFormat="false" ht="15" hidden="false" customHeight="false" outlineLevel="0" collapsed="false">
      <c r="E88" s="0" t="s">
        <v>571</v>
      </c>
    </row>
    <row r="89" customFormat="false" ht="15" hidden="false" customHeight="false" outlineLevel="0" collapsed="false">
      <c r="E89" s="0" t="s">
        <v>572</v>
      </c>
    </row>
    <row r="90" customFormat="false" ht="15" hidden="false" customHeight="false" outlineLevel="0" collapsed="false">
      <c r="E90" s="0" t="s">
        <v>573</v>
      </c>
    </row>
    <row r="91" customFormat="false" ht="15" hidden="false" customHeight="false" outlineLevel="0" collapsed="false">
      <c r="E91" s="0" t="s">
        <v>574</v>
      </c>
    </row>
    <row r="92" customFormat="false" ht="15" hidden="false" customHeight="false" outlineLevel="0" collapsed="false">
      <c r="E92" s="0" t="s">
        <v>575</v>
      </c>
    </row>
    <row r="93" customFormat="false" ht="15" hidden="false" customHeight="false" outlineLevel="0" collapsed="false">
      <c r="E93" s="0" t="s">
        <v>576</v>
      </c>
    </row>
    <row r="94" customFormat="false" ht="15" hidden="false" customHeight="false" outlineLevel="0" collapsed="false">
      <c r="E94" s="0" t="s">
        <v>577</v>
      </c>
    </row>
    <row r="95" customFormat="false" ht="15" hidden="false" customHeight="false" outlineLevel="0" collapsed="false">
      <c r="E95" s="0" t="s">
        <v>578</v>
      </c>
    </row>
    <row r="96" customFormat="false" ht="15" hidden="false" customHeight="false" outlineLevel="0" collapsed="false">
      <c r="E96" s="0" t="s">
        <v>579</v>
      </c>
    </row>
    <row r="97" customFormat="false" ht="15" hidden="false" customHeight="false" outlineLevel="0" collapsed="false">
      <c r="E97" s="0" t="s">
        <v>580</v>
      </c>
    </row>
    <row r="98" customFormat="false" ht="15" hidden="false" customHeight="false" outlineLevel="0" collapsed="false">
      <c r="E98" s="0" t="s">
        <v>581</v>
      </c>
    </row>
    <row r="99" customFormat="false" ht="15" hidden="false" customHeight="false" outlineLevel="0" collapsed="false">
      <c r="E99" s="0" t="s">
        <v>582</v>
      </c>
    </row>
    <row r="100" customFormat="false" ht="15" hidden="false" customHeight="false" outlineLevel="0" collapsed="false">
      <c r="E100" s="0" t="s">
        <v>583</v>
      </c>
    </row>
    <row r="101" customFormat="false" ht="15" hidden="false" customHeight="false" outlineLevel="0" collapsed="false">
      <c r="E101" s="0" t="s">
        <v>584</v>
      </c>
    </row>
    <row r="102" customFormat="false" ht="15" hidden="false" customHeight="false" outlineLevel="0" collapsed="false">
      <c r="E102" s="0" t="s">
        <v>585</v>
      </c>
    </row>
    <row r="103" customFormat="false" ht="15" hidden="false" customHeight="false" outlineLevel="0" collapsed="false">
      <c r="E103" s="0" t="s">
        <v>586</v>
      </c>
    </row>
    <row r="104" customFormat="false" ht="15" hidden="false" customHeight="false" outlineLevel="0" collapsed="false">
      <c r="E104" s="0" t="s">
        <v>587</v>
      </c>
    </row>
    <row r="105" customFormat="false" ht="15" hidden="false" customHeight="false" outlineLevel="0" collapsed="false">
      <c r="E105" s="0" t="s">
        <v>588</v>
      </c>
    </row>
    <row r="106" customFormat="false" ht="15" hidden="false" customHeight="false" outlineLevel="0" collapsed="false">
      <c r="E106" s="0" t="s">
        <v>589</v>
      </c>
    </row>
    <row r="107" customFormat="false" ht="15" hidden="false" customHeight="false" outlineLevel="0" collapsed="false">
      <c r="E107" s="0" t="s">
        <v>590</v>
      </c>
    </row>
    <row r="108" customFormat="false" ht="15" hidden="false" customHeight="false" outlineLevel="0" collapsed="false">
      <c r="E108" s="0" t="s">
        <v>591</v>
      </c>
    </row>
    <row r="109" customFormat="false" ht="15" hidden="false" customHeight="false" outlineLevel="0" collapsed="false">
      <c r="E109" s="0" t="s">
        <v>592</v>
      </c>
    </row>
    <row r="110" customFormat="false" ht="15" hidden="false" customHeight="false" outlineLevel="0" collapsed="false">
      <c r="E110" s="0" t="s">
        <v>593</v>
      </c>
    </row>
    <row r="111" customFormat="false" ht="15" hidden="false" customHeight="false" outlineLevel="0" collapsed="false">
      <c r="E111" s="0" t="s">
        <v>594</v>
      </c>
    </row>
    <row r="112" customFormat="false" ht="15" hidden="false" customHeight="false" outlineLevel="0" collapsed="false">
      <c r="E112" s="0" t="s">
        <v>595</v>
      </c>
    </row>
    <row r="113" customFormat="false" ht="15" hidden="false" customHeight="false" outlineLevel="0" collapsed="false">
      <c r="E113" s="0" t="s">
        <v>596</v>
      </c>
    </row>
    <row r="114" customFormat="false" ht="15" hidden="false" customHeight="false" outlineLevel="0" collapsed="false">
      <c r="E114" s="0" t="s">
        <v>597</v>
      </c>
    </row>
    <row r="115" customFormat="false" ht="15" hidden="false" customHeight="false" outlineLevel="0" collapsed="false">
      <c r="E115" s="0" t="s">
        <v>598</v>
      </c>
    </row>
    <row r="116" customFormat="false" ht="15" hidden="false" customHeight="false" outlineLevel="0" collapsed="false">
      <c r="E116" s="0" t="s">
        <v>599</v>
      </c>
    </row>
    <row r="117" customFormat="false" ht="15" hidden="false" customHeight="false" outlineLevel="0" collapsed="false">
      <c r="E117" s="0" t="s">
        <v>600</v>
      </c>
    </row>
    <row r="118" customFormat="false" ht="15" hidden="false" customHeight="false" outlineLevel="0" collapsed="false">
      <c r="E118" s="0" t="s">
        <v>601</v>
      </c>
    </row>
    <row r="119" customFormat="false" ht="15" hidden="false" customHeight="false" outlineLevel="0" collapsed="false">
      <c r="E119" s="0" t="s">
        <v>602</v>
      </c>
    </row>
    <row r="120" customFormat="false" ht="15" hidden="false" customHeight="false" outlineLevel="0" collapsed="false">
      <c r="E120" s="0" t="s">
        <v>603</v>
      </c>
    </row>
    <row r="121" customFormat="false" ht="15" hidden="false" customHeight="false" outlineLevel="0" collapsed="false">
      <c r="E121" s="0" t="s">
        <v>604</v>
      </c>
    </row>
    <row r="122" customFormat="false" ht="15" hidden="false" customHeight="false" outlineLevel="0" collapsed="false">
      <c r="E122" s="0" t="s">
        <v>605</v>
      </c>
    </row>
    <row r="123" customFormat="false" ht="15" hidden="false" customHeight="false" outlineLevel="0" collapsed="false">
      <c r="E123" s="0" t="s">
        <v>606</v>
      </c>
    </row>
    <row r="124" customFormat="false" ht="15" hidden="false" customHeight="false" outlineLevel="0" collapsed="false">
      <c r="E124" s="0" t="s">
        <v>607</v>
      </c>
    </row>
    <row r="125" customFormat="false" ht="15" hidden="false" customHeight="false" outlineLevel="0" collapsed="false">
      <c r="E125" s="0" t="s">
        <v>608</v>
      </c>
    </row>
    <row r="126" customFormat="false" ht="15" hidden="false" customHeight="false" outlineLevel="0" collapsed="false">
      <c r="E126" s="0" t="s">
        <v>609</v>
      </c>
    </row>
    <row r="127" customFormat="false" ht="15" hidden="false" customHeight="false" outlineLevel="0" collapsed="false">
      <c r="E127" s="0" t="s">
        <v>610</v>
      </c>
    </row>
    <row r="128" customFormat="false" ht="15" hidden="false" customHeight="false" outlineLevel="0" collapsed="false">
      <c r="E128" s="0" t="s">
        <v>611</v>
      </c>
    </row>
    <row r="129" customFormat="false" ht="15" hidden="false" customHeight="false" outlineLevel="0" collapsed="false">
      <c r="E129" s="0" t="s">
        <v>612</v>
      </c>
    </row>
    <row r="130" customFormat="false" ht="15" hidden="false" customHeight="false" outlineLevel="0" collapsed="false">
      <c r="E130" s="0" t="s">
        <v>613</v>
      </c>
    </row>
    <row r="131" customFormat="false" ht="15" hidden="false" customHeight="false" outlineLevel="0" collapsed="false">
      <c r="E131" s="0" t="s">
        <v>614</v>
      </c>
    </row>
    <row r="132" customFormat="false" ht="15" hidden="false" customHeight="false" outlineLevel="0" collapsed="false">
      <c r="E132" s="0" t="s">
        <v>615</v>
      </c>
    </row>
    <row r="133" customFormat="false" ht="15" hidden="false" customHeight="false" outlineLevel="0" collapsed="false">
      <c r="E133" s="0" t="s">
        <v>616</v>
      </c>
    </row>
    <row r="134" customFormat="false" ht="15" hidden="false" customHeight="false" outlineLevel="0" collapsed="false">
      <c r="E134" s="0" t="s">
        <v>617</v>
      </c>
    </row>
    <row r="135" customFormat="false" ht="15" hidden="false" customHeight="false" outlineLevel="0" collapsed="false">
      <c r="E135" s="0" t="s">
        <v>618</v>
      </c>
    </row>
    <row r="136" customFormat="false" ht="15" hidden="false" customHeight="false" outlineLevel="0" collapsed="false">
      <c r="E136" s="0" t="s">
        <v>619</v>
      </c>
    </row>
    <row r="137" customFormat="false" ht="15" hidden="false" customHeight="false" outlineLevel="0" collapsed="false">
      <c r="E137" s="0" t="s">
        <v>620</v>
      </c>
    </row>
    <row r="138" customFormat="false" ht="15" hidden="false" customHeight="false" outlineLevel="0" collapsed="false">
      <c r="E138" s="0" t="s">
        <v>621</v>
      </c>
    </row>
    <row r="139" customFormat="false" ht="15" hidden="false" customHeight="false" outlineLevel="0" collapsed="false">
      <c r="E139" s="0" t="s">
        <v>622</v>
      </c>
    </row>
    <row r="140" customFormat="false" ht="15" hidden="false" customHeight="false" outlineLevel="0" collapsed="false">
      <c r="E140" s="0" t="s">
        <v>623</v>
      </c>
    </row>
    <row r="141" customFormat="false" ht="15" hidden="false" customHeight="false" outlineLevel="0" collapsed="false">
      <c r="E141" s="0" t="s">
        <v>624</v>
      </c>
    </row>
    <row r="142" customFormat="false" ht="15" hidden="false" customHeight="false" outlineLevel="0" collapsed="false">
      <c r="E142" s="0" t="s">
        <v>625</v>
      </c>
    </row>
    <row r="143" customFormat="false" ht="15" hidden="false" customHeight="false" outlineLevel="0" collapsed="false">
      <c r="E143" s="0" t="s">
        <v>626</v>
      </c>
    </row>
    <row r="144" customFormat="false" ht="15" hidden="false" customHeight="false" outlineLevel="0" collapsed="false">
      <c r="E144" s="0" t="s">
        <v>627</v>
      </c>
    </row>
    <row r="145" customFormat="false" ht="15" hidden="false" customHeight="false" outlineLevel="0" collapsed="false">
      <c r="E145" s="0" t="s">
        <v>628</v>
      </c>
    </row>
    <row r="146" customFormat="false" ht="15" hidden="false" customHeight="false" outlineLevel="0" collapsed="false">
      <c r="E146" s="0" t="s">
        <v>629</v>
      </c>
    </row>
    <row r="147" customFormat="false" ht="15" hidden="false" customHeight="false" outlineLevel="0" collapsed="false">
      <c r="E147" s="0" t="s">
        <v>630</v>
      </c>
    </row>
    <row r="148" customFormat="false" ht="15" hidden="false" customHeight="false" outlineLevel="0" collapsed="false">
      <c r="E148" s="0" t="s">
        <v>631</v>
      </c>
    </row>
    <row r="149" customFormat="false" ht="15" hidden="false" customHeight="false" outlineLevel="0" collapsed="false">
      <c r="E149" s="0" t="s">
        <v>632</v>
      </c>
    </row>
    <row r="150" customFormat="false" ht="15" hidden="false" customHeight="false" outlineLevel="0" collapsed="false">
      <c r="E150" s="0" t="s">
        <v>633</v>
      </c>
    </row>
    <row r="151" customFormat="false" ht="15" hidden="false" customHeight="false" outlineLevel="0" collapsed="false">
      <c r="E151" s="0" t="s">
        <v>634</v>
      </c>
    </row>
    <row r="152" customFormat="false" ht="15" hidden="false" customHeight="false" outlineLevel="0" collapsed="false">
      <c r="E152" s="0" t="s">
        <v>635</v>
      </c>
    </row>
    <row r="153" customFormat="false" ht="15" hidden="false" customHeight="false" outlineLevel="0" collapsed="false">
      <c r="E153" s="0" t="s">
        <v>636</v>
      </c>
    </row>
    <row r="154" customFormat="false" ht="15" hidden="false" customHeight="false" outlineLevel="0" collapsed="false">
      <c r="E154" s="0" t="s">
        <v>250</v>
      </c>
    </row>
    <row r="155" customFormat="false" ht="15" hidden="false" customHeight="false" outlineLevel="0" collapsed="false">
      <c r="E155" s="0" t="s">
        <v>637</v>
      </c>
    </row>
    <row r="156" customFormat="false" ht="15" hidden="false" customHeight="false" outlineLevel="0" collapsed="false">
      <c r="E156" s="0" t="s">
        <v>638</v>
      </c>
    </row>
    <row r="157" customFormat="false" ht="15" hidden="false" customHeight="false" outlineLevel="0" collapsed="false">
      <c r="E157" s="0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2026-09-07T23:52:22Z</dcterms:created>
  <dc:creator>openpyxl</dc:creator>
  <dc:description/>
  <dc:language>en-US</dc:language>
  <cp:lastModifiedBy/>
  <dcterms:modified xsi:type="dcterms:W3CDTF">2026-09-07T23:52:25Z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